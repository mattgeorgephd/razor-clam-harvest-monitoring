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razor-clam-harvest-monitoring/02_data/"/>
    </mc:Choice>
  </mc:AlternateContent>
  <xr:revisionPtr revIDLastSave="7032" documentId="8_{F89BB5D5-1B67-4BC8-AE80-830BAA1C71A6}" xr6:coauthVersionLast="47" xr6:coauthVersionMax="47" xr10:uidLastSave="{00472BEA-F402-4DE2-B724-A5D043944F75}"/>
  <bookViews>
    <workbookView xWindow="38280" yWindow="-120" windowWidth="38640" windowHeight="21120" tabRatio="657" activeTab="1" xr2:uid="{00000000-000D-0000-FFFF-FFFF00000000}"/>
  </bookViews>
  <sheets>
    <sheet name="Harvest" sheetId="2" r:id="rId1"/>
    <sheet name="Effort" sheetId="1" r:id="rId2"/>
    <sheet name="CPUE" sheetId="3" r:id="rId3"/>
    <sheet name="Summary Table" sheetId="4" r:id="rId4"/>
    <sheet name="Summary Table Public" sheetId="15" r:id="rId5"/>
    <sheet name="Tribal Update" sheetId="13" r:id="rId6"/>
    <sheet name="TAC" sheetId="5" r:id="rId7"/>
    <sheet name="LB Wastage" sheetId="7" r:id="rId8"/>
    <sheet name="TH Wastage" sheetId="6" r:id="rId9"/>
    <sheet name="Cop Wastage" sheetId="8" r:id="rId10"/>
    <sheet name="Moc Wastage" sheetId="9" r:id="rId11"/>
    <sheet name="Kal Wastage" sheetId="11" r:id="rId12"/>
  </sheets>
  <definedNames>
    <definedName name="_xlnm.Print_Area" localSheetId="5">'Tribal Update'!$A$1:$O$127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8" i="1"/>
  <c r="F7" i="1"/>
  <c r="F5" i="1"/>
  <c r="F2" i="1"/>
  <c r="F5" i="2"/>
  <c r="H22" i="2"/>
  <c r="J19" i="4"/>
  <c r="F3" i="3"/>
  <c r="F3" i="1"/>
  <c r="F2" i="2"/>
  <c r="E123" i="4" l="1"/>
  <c r="E121" i="4"/>
  <c r="H115" i="2"/>
  <c r="H110" i="2"/>
  <c r="I112" i="4" s="1"/>
  <c r="H108" i="2"/>
  <c r="I110" i="4" s="1"/>
  <c r="H107" i="2"/>
  <c r="F117" i="2"/>
  <c r="F116" i="2"/>
  <c r="F114" i="2"/>
  <c r="F112" i="2"/>
  <c r="F110" i="2"/>
  <c r="F112" i="15" s="1"/>
  <c r="F108" i="2"/>
  <c r="F107" i="2"/>
  <c r="F109" i="15" s="1"/>
  <c r="F104" i="2"/>
  <c r="H115" i="1"/>
  <c r="O115" i="1"/>
  <c r="F114" i="1"/>
  <c r="F117" i="1"/>
  <c r="F116" i="1"/>
  <c r="F112" i="1"/>
  <c r="O112" i="1" s="1"/>
  <c r="F104" i="1"/>
  <c r="E106" i="4"/>
  <c r="H108" i="1"/>
  <c r="F108" i="1"/>
  <c r="E110" i="15" s="1"/>
  <c r="F110" i="1"/>
  <c r="H110" i="1"/>
  <c r="F107" i="1"/>
  <c r="H112" i="15"/>
  <c r="H107" i="1"/>
  <c r="H109" i="15" s="1"/>
  <c r="F118" i="1"/>
  <c r="F115" i="1"/>
  <c r="F113" i="1"/>
  <c r="F109" i="1"/>
  <c r="O109" i="1" s="1"/>
  <c r="F105" i="1"/>
  <c r="E107" i="15"/>
  <c r="F106" i="1"/>
  <c r="E108" i="15"/>
  <c r="F113" i="3"/>
  <c r="L116" i="3"/>
  <c r="L115" i="3"/>
  <c r="L112" i="3"/>
  <c r="L109" i="3"/>
  <c r="P111" i="4" s="1"/>
  <c r="L108" i="3"/>
  <c r="P110" i="4" s="1"/>
  <c r="L105" i="3"/>
  <c r="J107" i="13" s="1"/>
  <c r="L104" i="3"/>
  <c r="P106" i="15" s="1"/>
  <c r="J118" i="3"/>
  <c r="J117" i="3"/>
  <c r="J114" i="3"/>
  <c r="J113" i="3"/>
  <c r="J110" i="3"/>
  <c r="G112" i="13" s="1"/>
  <c r="J107" i="3"/>
  <c r="G109" i="13" s="1"/>
  <c r="J106" i="3"/>
  <c r="M108" i="15" s="1"/>
  <c r="H118" i="3"/>
  <c r="H117" i="3"/>
  <c r="H116" i="3"/>
  <c r="H114" i="3"/>
  <c r="H113" i="3"/>
  <c r="H112" i="3"/>
  <c r="H109" i="3"/>
  <c r="J111" i="15" s="1"/>
  <c r="H106" i="3"/>
  <c r="J108" i="4" s="1"/>
  <c r="H105" i="3"/>
  <c r="J107" i="4" s="1"/>
  <c r="H104" i="3"/>
  <c r="J106" i="15" s="1"/>
  <c r="R123" i="15"/>
  <c r="Q123" i="15"/>
  <c r="L123" i="13"/>
  <c r="K123" i="13"/>
  <c r="J112" i="13"/>
  <c r="I112" i="13"/>
  <c r="H112" i="13"/>
  <c r="F112" i="13"/>
  <c r="O112" i="13" s="1"/>
  <c r="E112" i="13"/>
  <c r="I111" i="13"/>
  <c r="H111" i="13"/>
  <c r="N111" i="13" s="1"/>
  <c r="G111" i="13"/>
  <c r="F111" i="13"/>
  <c r="E111" i="13"/>
  <c r="I110" i="13"/>
  <c r="H110" i="13"/>
  <c r="G110" i="13"/>
  <c r="F110" i="13"/>
  <c r="E110" i="13"/>
  <c r="J109" i="13"/>
  <c r="I109" i="13"/>
  <c r="H109" i="13"/>
  <c r="N109" i="13" s="1"/>
  <c r="F109" i="13"/>
  <c r="E109" i="13"/>
  <c r="J108" i="13"/>
  <c r="I108" i="13"/>
  <c r="H108" i="13"/>
  <c r="F108" i="13"/>
  <c r="E108" i="13"/>
  <c r="I107" i="13"/>
  <c r="H107" i="13"/>
  <c r="G107" i="13"/>
  <c r="F107" i="13"/>
  <c r="E107" i="13"/>
  <c r="I106" i="13"/>
  <c r="O106" i="13" s="1"/>
  <c r="H106" i="13"/>
  <c r="G106" i="13"/>
  <c r="F106" i="13"/>
  <c r="E106" i="13"/>
  <c r="P112" i="4"/>
  <c r="O112" i="4"/>
  <c r="N112" i="4"/>
  <c r="L112" i="4"/>
  <c r="K112" i="4"/>
  <c r="J112" i="4"/>
  <c r="H112" i="4"/>
  <c r="G112" i="4"/>
  <c r="E112" i="4"/>
  <c r="O111" i="4"/>
  <c r="N111" i="4"/>
  <c r="M111" i="4"/>
  <c r="L111" i="4"/>
  <c r="K111" i="4"/>
  <c r="I111" i="4"/>
  <c r="H111" i="4"/>
  <c r="F111" i="4"/>
  <c r="O110" i="4"/>
  <c r="N110" i="4"/>
  <c r="M110" i="4"/>
  <c r="L110" i="4"/>
  <c r="K110" i="4"/>
  <c r="J110" i="4"/>
  <c r="H110" i="4"/>
  <c r="G110" i="4"/>
  <c r="F110" i="4"/>
  <c r="P109" i="4"/>
  <c r="O109" i="4"/>
  <c r="N109" i="4"/>
  <c r="L109" i="4"/>
  <c r="K109" i="4"/>
  <c r="J109" i="4"/>
  <c r="I109" i="4"/>
  <c r="G109" i="4"/>
  <c r="E109" i="4"/>
  <c r="P108" i="4"/>
  <c r="O108" i="4"/>
  <c r="N108" i="4"/>
  <c r="L108" i="4"/>
  <c r="K108" i="4"/>
  <c r="I108" i="4"/>
  <c r="H108" i="4"/>
  <c r="F108" i="4"/>
  <c r="U108" i="4" s="1"/>
  <c r="O107" i="4"/>
  <c r="N107" i="4"/>
  <c r="M107" i="4"/>
  <c r="L107" i="4"/>
  <c r="K107" i="4"/>
  <c r="I107" i="4"/>
  <c r="H107" i="4"/>
  <c r="F107" i="4"/>
  <c r="O106" i="4"/>
  <c r="N106" i="4"/>
  <c r="M106" i="4"/>
  <c r="L106" i="4"/>
  <c r="K106" i="4"/>
  <c r="I106" i="4"/>
  <c r="H106" i="4"/>
  <c r="G106" i="4"/>
  <c r="P112" i="15"/>
  <c r="O112" i="15"/>
  <c r="N112" i="15"/>
  <c r="M112" i="15"/>
  <c r="L112" i="15"/>
  <c r="K112" i="15"/>
  <c r="J112" i="15"/>
  <c r="G112" i="15"/>
  <c r="E112" i="15"/>
  <c r="O111" i="15"/>
  <c r="N111" i="15"/>
  <c r="M111" i="15"/>
  <c r="L111" i="15"/>
  <c r="K111" i="15"/>
  <c r="I111" i="15"/>
  <c r="H111" i="15"/>
  <c r="F111" i="15"/>
  <c r="O110" i="15"/>
  <c r="N110" i="15"/>
  <c r="M110" i="15"/>
  <c r="L110" i="15"/>
  <c r="K110" i="15"/>
  <c r="J110" i="15"/>
  <c r="H110" i="15"/>
  <c r="G110" i="15"/>
  <c r="F110" i="15"/>
  <c r="P109" i="15"/>
  <c r="O109" i="15"/>
  <c r="N109" i="15"/>
  <c r="L109" i="15"/>
  <c r="K109" i="15"/>
  <c r="J109" i="15"/>
  <c r="I109" i="15"/>
  <c r="G109" i="15"/>
  <c r="E109" i="15"/>
  <c r="P108" i="15"/>
  <c r="O108" i="15"/>
  <c r="N108" i="15"/>
  <c r="L108" i="15"/>
  <c r="K108" i="15"/>
  <c r="I108" i="15"/>
  <c r="H108" i="15"/>
  <c r="F108" i="15"/>
  <c r="O107" i="15"/>
  <c r="N107" i="15"/>
  <c r="M107" i="15"/>
  <c r="L107" i="15"/>
  <c r="K107" i="15"/>
  <c r="I107" i="15"/>
  <c r="H107" i="15"/>
  <c r="F107" i="15"/>
  <c r="O106" i="15"/>
  <c r="N106" i="15"/>
  <c r="M106" i="15"/>
  <c r="L106" i="15"/>
  <c r="K106" i="15"/>
  <c r="K113" i="15" s="1"/>
  <c r="I106" i="15"/>
  <c r="H106" i="15"/>
  <c r="G106" i="15"/>
  <c r="O102" i="1"/>
  <c r="O110" i="1"/>
  <c r="O107" i="1"/>
  <c r="O109" i="2"/>
  <c r="O106" i="2"/>
  <c r="O105" i="2"/>
  <c r="I112" i="15" l="1"/>
  <c r="O109" i="3"/>
  <c r="O110" i="13"/>
  <c r="I110" i="15"/>
  <c r="N110" i="13"/>
  <c r="U108" i="15"/>
  <c r="G108" i="13"/>
  <c r="L113" i="4"/>
  <c r="U111" i="15"/>
  <c r="F113" i="13"/>
  <c r="M108" i="4"/>
  <c r="O107" i="13"/>
  <c r="O111" i="13"/>
  <c r="U109" i="15"/>
  <c r="J111" i="4"/>
  <c r="N112" i="13"/>
  <c r="O108" i="2"/>
  <c r="O107" i="2"/>
  <c r="O107" i="3" s="1"/>
  <c r="F109" i="4"/>
  <c r="U109" i="4" s="1"/>
  <c r="F106" i="4"/>
  <c r="U106" i="4" s="1"/>
  <c r="O104" i="2"/>
  <c r="O104" i="3" s="1"/>
  <c r="F106" i="15"/>
  <c r="U106" i="15" s="1"/>
  <c r="U112" i="15"/>
  <c r="U110" i="15"/>
  <c r="O110" i="2"/>
  <c r="O110" i="3" s="1"/>
  <c r="F112" i="4"/>
  <c r="U112" i="4" s="1"/>
  <c r="E106" i="15"/>
  <c r="O104" i="1"/>
  <c r="E110" i="4"/>
  <c r="T110" i="4" s="1"/>
  <c r="O108" i="1"/>
  <c r="O108" i="3" s="1"/>
  <c r="T110" i="15"/>
  <c r="T112" i="15"/>
  <c r="H109" i="4"/>
  <c r="H113" i="4" s="1"/>
  <c r="T109" i="4"/>
  <c r="T109" i="15"/>
  <c r="E111" i="15"/>
  <c r="E111" i="4"/>
  <c r="G111" i="4"/>
  <c r="E107" i="4"/>
  <c r="G107" i="4"/>
  <c r="O105" i="1"/>
  <c r="O105" i="3" s="1"/>
  <c r="F106" i="3"/>
  <c r="G108" i="4" s="1"/>
  <c r="O106" i="1"/>
  <c r="O106" i="3" s="1"/>
  <c r="E108" i="4"/>
  <c r="F120" i="1"/>
  <c r="M112" i="4"/>
  <c r="E113" i="13"/>
  <c r="T112" i="4"/>
  <c r="T111" i="15"/>
  <c r="T111" i="4"/>
  <c r="T108" i="15"/>
  <c r="K113" i="4"/>
  <c r="N108" i="13"/>
  <c r="J108" i="15"/>
  <c r="H113" i="13"/>
  <c r="N113" i="4"/>
  <c r="N113" i="15"/>
  <c r="T107" i="15"/>
  <c r="N107" i="13"/>
  <c r="T107" i="4"/>
  <c r="H113" i="15"/>
  <c r="E113" i="15"/>
  <c r="N106" i="13"/>
  <c r="T106" i="4"/>
  <c r="P111" i="15"/>
  <c r="J111" i="13"/>
  <c r="P110" i="15"/>
  <c r="J110" i="13"/>
  <c r="P107" i="15"/>
  <c r="P107" i="4"/>
  <c r="J106" i="13"/>
  <c r="P106" i="4"/>
  <c r="M109" i="4"/>
  <c r="M109" i="15"/>
  <c r="J107" i="15"/>
  <c r="J106" i="4"/>
  <c r="G107" i="15"/>
  <c r="G108" i="15"/>
  <c r="G111" i="15"/>
  <c r="I113" i="15"/>
  <c r="U107" i="15"/>
  <c r="U107" i="4"/>
  <c r="I113" i="13"/>
  <c r="I113" i="4"/>
  <c r="O108" i="13"/>
  <c r="O109" i="13"/>
  <c r="U110" i="4"/>
  <c r="U111" i="4"/>
  <c r="O113" i="15"/>
  <c r="O113" i="4"/>
  <c r="Q113" i="13"/>
  <c r="M113" i="4"/>
  <c r="L113" i="15"/>
  <c r="M113" i="15" s="1"/>
  <c r="T106" i="15"/>
  <c r="P113" i="15" l="1"/>
  <c r="P113" i="4"/>
  <c r="F113" i="15"/>
  <c r="N113" i="13"/>
  <c r="O113" i="13"/>
  <c r="U113" i="4"/>
  <c r="F113" i="4"/>
  <c r="X113" i="4" s="1"/>
  <c r="U113" i="15"/>
  <c r="J113" i="15"/>
  <c r="E113" i="4"/>
  <c r="W113" i="4" s="1"/>
  <c r="T108" i="4"/>
  <c r="T113" i="4" s="1"/>
  <c r="T113" i="15"/>
  <c r="J113" i="4"/>
  <c r="J113" i="13"/>
  <c r="W113" i="15"/>
  <c r="G113" i="15"/>
  <c r="R113" i="13"/>
  <c r="G113" i="13"/>
  <c r="X113" i="15"/>
  <c r="G113" i="4" l="1"/>
  <c r="O112" i="2"/>
  <c r="O113" i="2"/>
  <c r="O114" i="2"/>
  <c r="O115" i="2"/>
  <c r="O115" i="3" s="1"/>
  <c r="O116" i="2"/>
  <c r="O117" i="2"/>
  <c r="O118" i="2"/>
  <c r="O113" i="1"/>
  <c r="O114" i="1"/>
  <c r="O116" i="1"/>
  <c r="O117" i="1"/>
  <c r="O118" i="1"/>
  <c r="J120" i="13"/>
  <c r="I120" i="13"/>
  <c r="H120" i="13"/>
  <c r="N120" i="13" s="1"/>
  <c r="G120" i="13"/>
  <c r="F120" i="13"/>
  <c r="E120" i="13"/>
  <c r="J119" i="13"/>
  <c r="I119" i="13"/>
  <c r="H119" i="13"/>
  <c r="G119" i="13"/>
  <c r="F119" i="13"/>
  <c r="E119" i="13"/>
  <c r="J118" i="13"/>
  <c r="I118" i="13"/>
  <c r="H118" i="13"/>
  <c r="G118" i="13"/>
  <c r="F118" i="13"/>
  <c r="E118" i="13"/>
  <c r="J117" i="13"/>
  <c r="I117" i="13"/>
  <c r="H117" i="13"/>
  <c r="G117" i="13"/>
  <c r="F117" i="13"/>
  <c r="O117" i="13" s="1"/>
  <c r="E117" i="13"/>
  <c r="J116" i="13"/>
  <c r="I116" i="13"/>
  <c r="H116" i="13"/>
  <c r="G116" i="13"/>
  <c r="F116" i="13"/>
  <c r="E116" i="13"/>
  <c r="J115" i="13"/>
  <c r="I115" i="13"/>
  <c r="H115" i="13"/>
  <c r="G115" i="13"/>
  <c r="F115" i="13"/>
  <c r="O115" i="13" s="1"/>
  <c r="E115" i="13"/>
  <c r="E121" i="13" s="1"/>
  <c r="E123" i="13" s="1"/>
  <c r="J114" i="13"/>
  <c r="I114" i="13"/>
  <c r="H114" i="13"/>
  <c r="N114" i="13" s="1"/>
  <c r="G114" i="13"/>
  <c r="F114" i="13"/>
  <c r="E114" i="13"/>
  <c r="R123" i="4"/>
  <c r="Q123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N120" i="1"/>
  <c r="Q125" i="4" s="1"/>
  <c r="L120" i="1"/>
  <c r="N125" i="4" s="1"/>
  <c r="J120" i="1"/>
  <c r="K125" i="4" s="1"/>
  <c r="N120" i="2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O114" i="13" l="1"/>
  <c r="E121" i="15"/>
  <c r="E123" i="15" s="1"/>
  <c r="O118" i="3"/>
  <c r="O116" i="3"/>
  <c r="N116" i="13"/>
  <c r="O120" i="1"/>
  <c r="O114" i="3"/>
  <c r="O120" i="13"/>
  <c r="O117" i="3"/>
  <c r="O121" i="4"/>
  <c r="N121" i="15"/>
  <c r="N119" i="13"/>
  <c r="T117" i="15"/>
  <c r="O112" i="3"/>
  <c r="N117" i="13"/>
  <c r="H121" i="15"/>
  <c r="T114" i="4"/>
  <c r="T120" i="4"/>
  <c r="U114" i="15"/>
  <c r="T119" i="4"/>
  <c r="U118" i="4"/>
  <c r="U119" i="15"/>
  <c r="O116" i="13"/>
  <c r="O118" i="13"/>
  <c r="H121" i="13"/>
  <c r="U118" i="15"/>
  <c r="U115" i="15"/>
  <c r="U119" i="4"/>
  <c r="N118" i="13"/>
  <c r="T115" i="4"/>
  <c r="T116" i="4"/>
  <c r="T117" i="4"/>
  <c r="T118" i="4"/>
  <c r="U120" i="15"/>
  <c r="T114" i="15"/>
  <c r="T115" i="15"/>
  <c r="F121" i="4"/>
  <c r="U115" i="4"/>
  <c r="U116" i="4"/>
  <c r="U117" i="4"/>
  <c r="N121" i="4"/>
  <c r="H121" i="4"/>
  <c r="U120" i="4"/>
  <c r="N115" i="13"/>
  <c r="I121" i="4"/>
  <c r="O121" i="15"/>
  <c r="L121" i="4"/>
  <c r="I121" i="13"/>
  <c r="K121" i="4"/>
  <c r="O119" i="13"/>
  <c r="T116" i="15"/>
  <c r="F121" i="15"/>
  <c r="U116" i="15"/>
  <c r="U117" i="15"/>
  <c r="T118" i="15"/>
  <c r="T119" i="15"/>
  <c r="T120" i="15"/>
  <c r="O113" i="3"/>
  <c r="F121" i="13"/>
  <c r="U114" i="4"/>
  <c r="I121" i="15"/>
  <c r="K121" i="15"/>
  <c r="L121" i="15"/>
  <c r="O121" i="13" l="1"/>
  <c r="G121" i="4"/>
  <c r="N121" i="13"/>
  <c r="M121" i="4"/>
  <c r="W121" i="15"/>
  <c r="P121" i="15"/>
  <c r="P121" i="4"/>
  <c r="G121" i="15"/>
  <c r="J121" i="15"/>
  <c r="J121" i="4"/>
  <c r="M121" i="15"/>
  <c r="T121" i="4"/>
  <c r="Q121" i="13"/>
  <c r="W121" i="4"/>
  <c r="J121" i="13"/>
  <c r="T121" i="15"/>
  <c r="X121" i="4"/>
  <c r="U121" i="15"/>
  <c r="U121" i="4"/>
  <c r="R121" i="13"/>
  <c r="G121" i="13"/>
  <c r="X121" i="15"/>
  <c r="H100" i="1" l="1"/>
  <c r="H97" i="1"/>
  <c r="H100" i="2"/>
  <c r="H99" i="4"/>
  <c r="F100" i="1"/>
  <c r="E102" i="4" s="1"/>
  <c r="F98" i="1"/>
  <c r="F102" i="1" s="1"/>
  <c r="E100" i="15"/>
  <c r="F101" i="1"/>
  <c r="F96" i="1" s="1"/>
  <c r="L101" i="3"/>
  <c r="J103" i="13" s="1"/>
  <c r="L100" i="3"/>
  <c r="J102" i="13" s="1"/>
  <c r="L97" i="3"/>
  <c r="P99" i="4" s="1"/>
  <c r="L96" i="3"/>
  <c r="P98" i="4" s="1"/>
  <c r="J102" i="3"/>
  <c r="G104" i="13" s="1"/>
  <c r="J99" i="3"/>
  <c r="M101" i="15" s="1"/>
  <c r="J98" i="3"/>
  <c r="M100" i="15" s="1"/>
  <c r="H96" i="3"/>
  <c r="J98" i="15" s="1"/>
  <c r="H99" i="3"/>
  <c r="J101" i="15" s="1"/>
  <c r="H101" i="3"/>
  <c r="J103" i="4" s="1"/>
  <c r="H102" i="3"/>
  <c r="J104" i="15" s="1"/>
  <c r="F101" i="2"/>
  <c r="F101" i="3" s="1"/>
  <c r="G103" i="4" s="1"/>
  <c r="J104" i="13"/>
  <c r="I104" i="13"/>
  <c r="H104" i="13"/>
  <c r="F104" i="13"/>
  <c r="E104" i="13"/>
  <c r="I103" i="13"/>
  <c r="H103" i="13"/>
  <c r="G103" i="13"/>
  <c r="F103" i="13"/>
  <c r="E103" i="13"/>
  <c r="I102" i="13"/>
  <c r="H102" i="13"/>
  <c r="G102" i="13"/>
  <c r="F102" i="13"/>
  <c r="E102" i="13"/>
  <c r="J101" i="13"/>
  <c r="I101" i="13"/>
  <c r="H101" i="13"/>
  <c r="F101" i="13"/>
  <c r="E101" i="13"/>
  <c r="J100" i="13"/>
  <c r="I100" i="13"/>
  <c r="H100" i="13"/>
  <c r="F100" i="13"/>
  <c r="E100" i="13"/>
  <c r="I99" i="13"/>
  <c r="H99" i="13"/>
  <c r="G99" i="13"/>
  <c r="F99" i="13"/>
  <c r="E99" i="13"/>
  <c r="I98" i="13"/>
  <c r="H98" i="13"/>
  <c r="G98" i="13"/>
  <c r="F98" i="13"/>
  <c r="E98" i="13"/>
  <c r="P104" i="4"/>
  <c r="O104" i="4"/>
  <c r="N104" i="4"/>
  <c r="L104" i="4"/>
  <c r="K104" i="4"/>
  <c r="I104" i="4"/>
  <c r="H104" i="4"/>
  <c r="G104" i="4"/>
  <c r="O103" i="4"/>
  <c r="N103" i="4"/>
  <c r="M103" i="4"/>
  <c r="L103" i="4"/>
  <c r="K103" i="4"/>
  <c r="I103" i="4"/>
  <c r="H103" i="4"/>
  <c r="O102" i="4"/>
  <c r="N102" i="4"/>
  <c r="M102" i="4"/>
  <c r="L102" i="4"/>
  <c r="K102" i="4"/>
  <c r="J102" i="4"/>
  <c r="G102" i="4"/>
  <c r="P101" i="4"/>
  <c r="O101" i="4"/>
  <c r="N101" i="4"/>
  <c r="L101" i="4"/>
  <c r="K101" i="4"/>
  <c r="I101" i="4"/>
  <c r="H101" i="4"/>
  <c r="G101" i="4"/>
  <c r="P100" i="4"/>
  <c r="O100" i="4"/>
  <c r="N100" i="4"/>
  <c r="L100" i="4"/>
  <c r="K100" i="4"/>
  <c r="J100" i="4"/>
  <c r="G100" i="4"/>
  <c r="O99" i="4"/>
  <c r="N99" i="4"/>
  <c r="M99" i="4"/>
  <c r="L99" i="4"/>
  <c r="K99" i="4"/>
  <c r="J99" i="4"/>
  <c r="G99" i="4"/>
  <c r="O98" i="4"/>
  <c r="N98" i="4"/>
  <c r="M98" i="4"/>
  <c r="L98" i="4"/>
  <c r="K98" i="4"/>
  <c r="I98" i="4"/>
  <c r="H98" i="4"/>
  <c r="G98" i="4"/>
  <c r="P104" i="15"/>
  <c r="O104" i="15"/>
  <c r="N104" i="15"/>
  <c r="L104" i="15"/>
  <c r="K104" i="15"/>
  <c r="I104" i="15"/>
  <c r="H104" i="15"/>
  <c r="G104" i="15"/>
  <c r="O103" i="15"/>
  <c r="N103" i="15"/>
  <c r="M103" i="15"/>
  <c r="L103" i="15"/>
  <c r="K103" i="15"/>
  <c r="I103" i="15"/>
  <c r="H103" i="15"/>
  <c r="O102" i="15"/>
  <c r="N102" i="15"/>
  <c r="M102" i="15"/>
  <c r="L102" i="15"/>
  <c r="K102" i="15"/>
  <c r="J102" i="15"/>
  <c r="G102" i="15"/>
  <c r="P101" i="15"/>
  <c r="O101" i="15"/>
  <c r="N101" i="15"/>
  <c r="L101" i="15"/>
  <c r="K101" i="15"/>
  <c r="I101" i="15"/>
  <c r="H101" i="15"/>
  <c r="G101" i="15"/>
  <c r="P100" i="15"/>
  <c r="O100" i="15"/>
  <c r="N100" i="15"/>
  <c r="L100" i="15"/>
  <c r="K100" i="15"/>
  <c r="J100" i="15"/>
  <c r="G100" i="15"/>
  <c r="O99" i="15"/>
  <c r="N99" i="15"/>
  <c r="M99" i="15"/>
  <c r="L99" i="15"/>
  <c r="K99" i="15"/>
  <c r="J99" i="15"/>
  <c r="G99" i="15"/>
  <c r="O98" i="15"/>
  <c r="N98" i="15"/>
  <c r="M98" i="15"/>
  <c r="L98" i="15"/>
  <c r="K98" i="15"/>
  <c r="I98" i="15"/>
  <c r="H98" i="15"/>
  <c r="G98" i="15"/>
  <c r="L94" i="2"/>
  <c r="N98" i="13" l="1"/>
  <c r="F99" i="1"/>
  <c r="F99" i="2" s="1"/>
  <c r="O100" i="1"/>
  <c r="O102" i="13"/>
  <c r="F102" i="2"/>
  <c r="F104" i="4" s="1"/>
  <c r="E104" i="4"/>
  <c r="T104" i="4" s="1"/>
  <c r="E104" i="15"/>
  <c r="T104" i="15" s="1"/>
  <c r="E98" i="15"/>
  <c r="F96" i="2"/>
  <c r="O96" i="2" s="1"/>
  <c r="O96" i="3" s="1"/>
  <c r="N103" i="13"/>
  <c r="H98" i="1"/>
  <c r="O98" i="1" s="1"/>
  <c r="F97" i="1"/>
  <c r="F97" i="2" s="1"/>
  <c r="F99" i="15" s="1"/>
  <c r="N104" i="13"/>
  <c r="N100" i="13"/>
  <c r="E102" i="15"/>
  <c r="N99" i="13"/>
  <c r="P102" i="4"/>
  <c r="P102" i="15"/>
  <c r="O99" i="13"/>
  <c r="J99" i="13"/>
  <c r="N102" i="13"/>
  <c r="O100" i="13"/>
  <c r="O101" i="2"/>
  <c r="O98" i="13"/>
  <c r="N101" i="13"/>
  <c r="O101" i="13"/>
  <c r="P103" i="15"/>
  <c r="F103" i="15"/>
  <c r="U103" i="15" s="1"/>
  <c r="L105" i="15"/>
  <c r="K105" i="4"/>
  <c r="G100" i="13"/>
  <c r="I102" i="4"/>
  <c r="I102" i="15"/>
  <c r="H102" i="15"/>
  <c r="H102" i="4"/>
  <c r="T102" i="4" s="1"/>
  <c r="H97" i="2"/>
  <c r="O97" i="2" s="1"/>
  <c r="H99" i="15"/>
  <c r="E101" i="15"/>
  <c r="T101" i="15" s="1"/>
  <c r="E101" i="4"/>
  <c r="T101" i="4" s="1"/>
  <c r="O99" i="1"/>
  <c r="F101" i="4"/>
  <c r="U101" i="4" s="1"/>
  <c r="O99" i="2"/>
  <c r="O99" i="3" s="1"/>
  <c r="F101" i="15"/>
  <c r="U101" i="15" s="1"/>
  <c r="O97" i="1"/>
  <c r="E99" i="15"/>
  <c r="E98" i="4"/>
  <c r="T98" i="4" s="1"/>
  <c r="O96" i="1"/>
  <c r="F100" i="2"/>
  <c r="O100" i="2" s="1"/>
  <c r="O100" i="3" s="1"/>
  <c r="E100" i="4"/>
  <c r="F98" i="2"/>
  <c r="F100" i="4" s="1"/>
  <c r="P103" i="4"/>
  <c r="P99" i="15"/>
  <c r="P98" i="15"/>
  <c r="J98" i="13"/>
  <c r="M104" i="4"/>
  <c r="M104" i="15"/>
  <c r="G101" i="13"/>
  <c r="M101" i="4"/>
  <c r="M100" i="4"/>
  <c r="J98" i="4"/>
  <c r="J101" i="4"/>
  <c r="J103" i="15"/>
  <c r="J104" i="4"/>
  <c r="G103" i="15"/>
  <c r="F105" i="13"/>
  <c r="L105" i="4"/>
  <c r="U104" i="4"/>
  <c r="O104" i="13"/>
  <c r="T98" i="15"/>
  <c r="N105" i="15"/>
  <c r="N105" i="4"/>
  <c r="H105" i="13"/>
  <c r="E103" i="4"/>
  <c r="T103" i="4" s="1"/>
  <c r="E103" i="15"/>
  <c r="T103" i="15" s="1"/>
  <c r="O101" i="1"/>
  <c r="O105" i="4"/>
  <c r="O103" i="13"/>
  <c r="I105" i="13"/>
  <c r="O105" i="15"/>
  <c r="F103" i="4"/>
  <c r="U103" i="4" s="1"/>
  <c r="E105" i="13"/>
  <c r="K105" i="15"/>
  <c r="H89" i="1"/>
  <c r="H90" i="1"/>
  <c r="H91" i="1"/>
  <c r="H93" i="1"/>
  <c r="H93" i="2" s="1"/>
  <c r="H91" i="2"/>
  <c r="H90" i="2"/>
  <c r="H89" i="2"/>
  <c r="F88" i="1"/>
  <c r="F88" i="2" s="1"/>
  <c r="F89" i="1"/>
  <c r="F94" i="1" s="1"/>
  <c r="F94" i="2" s="1"/>
  <c r="F92" i="1"/>
  <c r="F91" i="1" s="1"/>
  <c r="F91" i="2" s="1"/>
  <c r="H87" i="3"/>
  <c r="H88" i="3"/>
  <c r="H92" i="3"/>
  <c r="H94" i="3"/>
  <c r="J87" i="3"/>
  <c r="J88" i="3"/>
  <c r="J91" i="3"/>
  <c r="J92" i="3"/>
  <c r="L93" i="3"/>
  <c r="L90" i="3"/>
  <c r="L89" i="3"/>
  <c r="F92" i="2"/>
  <c r="F92" i="3" s="1"/>
  <c r="O102" i="2" l="1"/>
  <c r="O102" i="3" s="1"/>
  <c r="F99" i="4"/>
  <c r="F98" i="4"/>
  <c r="U98" i="4" s="1"/>
  <c r="T102" i="15"/>
  <c r="F98" i="15"/>
  <c r="F104" i="15"/>
  <c r="U104" i="15" s="1"/>
  <c r="H100" i="4"/>
  <c r="H105" i="4" s="1"/>
  <c r="H98" i="2"/>
  <c r="H100" i="15"/>
  <c r="T100" i="15" s="1"/>
  <c r="T100" i="4"/>
  <c r="E99" i="4"/>
  <c r="T99" i="4" s="1"/>
  <c r="N105" i="13"/>
  <c r="M105" i="4"/>
  <c r="O105" i="13"/>
  <c r="F100" i="15"/>
  <c r="T99" i="15"/>
  <c r="I99" i="15"/>
  <c r="U99" i="15" s="1"/>
  <c r="I99" i="4"/>
  <c r="F102" i="4"/>
  <c r="U102" i="4" s="1"/>
  <c r="F102" i="15"/>
  <c r="U102" i="15" s="1"/>
  <c r="O97" i="3"/>
  <c r="U98" i="15"/>
  <c r="P105" i="4"/>
  <c r="J105" i="13"/>
  <c r="O101" i="3"/>
  <c r="M105" i="15"/>
  <c r="Q105" i="13"/>
  <c r="E105" i="15"/>
  <c r="P105" i="15"/>
  <c r="R105" i="13"/>
  <c r="G105" i="13"/>
  <c r="F87" i="1"/>
  <c r="F87" i="2" s="1"/>
  <c r="F89" i="4" s="1"/>
  <c r="F90" i="1"/>
  <c r="F90" i="2" s="1"/>
  <c r="O90" i="2" s="1"/>
  <c r="F93" i="1"/>
  <c r="F93" i="2" s="1"/>
  <c r="F95" i="4" s="1"/>
  <c r="F89" i="2"/>
  <c r="O89" i="2" s="1"/>
  <c r="J96" i="13"/>
  <c r="I96" i="13"/>
  <c r="H96" i="13"/>
  <c r="G96" i="13"/>
  <c r="F96" i="13"/>
  <c r="E96" i="13"/>
  <c r="J95" i="13"/>
  <c r="I95" i="13"/>
  <c r="H95" i="13"/>
  <c r="G95" i="13"/>
  <c r="F95" i="13"/>
  <c r="E95" i="13"/>
  <c r="J94" i="13"/>
  <c r="I94" i="13"/>
  <c r="H94" i="13"/>
  <c r="G94" i="13"/>
  <c r="F94" i="13"/>
  <c r="E94" i="13"/>
  <c r="J93" i="13"/>
  <c r="I93" i="13"/>
  <c r="H93" i="13"/>
  <c r="G93" i="13"/>
  <c r="F93" i="13"/>
  <c r="E93" i="13"/>
  <c r="J92" i="13"/>
  <c r="I92" i="13"/>
  <c r="H92" i="13"/>
  <c r="G92" i="13"/>
  <c r="F92" i="13"/>
  <c r="E92" i="13"/>
  <c r="J91" i="13"/>
  <c r="I91" i="13"/>
  <c r="H91" i="13"/>
  <c r="G91" i="13"/>
  <c r="F91" i="13"/>
  <c r="E91" i="13"/>
  <c r="J90" i="13"/>
  <c r="I90" i="13"/>
  <c r="H90" i="13"/>
  <c r="G90" i="13"/>
  <c r="F90" i="13"/>
  <c r="E90" i="13"/>
  <c r="J89" i="13"/>
  <c r="I89" i="13"/>
  <c r="H89" i="13"/>
  <c r="G89" i="13"/>
  <c r="F89" i="13"/>
  <c r="E89" i="13"/>
  <c r="P96" i="4"/>
  <c r="O96" i="4"/>
  <c r="N96" i="4"/>
  <c r="M96" i="4"/>
  <c r="L96" i="4"/>
  <c r="K96" i="4"/>
  <c r="J96" i="4"/>
  <c r="I96" i="4"/>
  <c r="H96" i="4"/>
  <c r="G96" i="4"/>
  <c r="F96" i="4"/>
  <c r="E96" i="4"/>
  <c r="P95" i="4"/>
  <c r="O95" i="4"/>
  <c r="N95" i="4"/>
  <c r="M95" i="4"/>
  <c r="L95" i="4"/>
  <c r="K95" i="4"/>
  <c r="J95" i="4"/>
  <c r="I95" i="4"/>
  <c r="H95" i="4"/>
  <c r="G95" i="4"/>
  <c r="P94" i="4"/>
  <c r="O94" i="4"/>
  <c r="N94" i="4"/>
  <c r="M94" i="4"/>
  <c r="L94" i="4"/>
  <c r="K94" i="4"/>
  <c r="J94" i="4"/>
  <c r="I94" i="4"/>
  <c r="H94" i="4"/>
  <c r="G94" i="4"/>
  <c r="F94" i="4"/>
  <c r="E94" i="4"/>
  <c r="P93" i="4"/>
  <c r="O93" i="4"/>
  <c r="N93" i="4"/>
  <c r="M93" i="4"/>
  <c r="L93" i="4"/>
  <c r="K93" i="4"/>
  <c r="J93" i="4"/>
  <c r="I93" i="4"/>
  <c r="H93" i="4"/>
  <c r="G93" i="4"/>
  <c r="F93" i="4"/>
  <c r="E93" i="4"/>
  <c r="P92" i="4"/>
  <c r="O92" i="4"/>
  <c r="N92" i="4"/>
  <c r="M92" i="4"/>
  <c r="L92" i="4"/>
  <c r="K92" i="4"/>
  <c r="J92" i="4"/>
  <c r="I92" i="4"/>
  <c r="H92" i="4"/>
  <c r="G92" i="4"/>
  <c r="P91" i="4"/>
  <c r="O91" i="4"/>
  <c r="N91" i="4"/>
  <c r="M91" i="4"/>
  <c r="L91" i="4"/>
  <c r="K91" i="4"/>
  <c r="J91" i="4"/>
  <c r="I91" i="4"/>
  <c r="H91" i="4"/>
  <c r="G91" i="4"/>
  <c r="E91" i="4"/>
  <c r="P90" i="4"/>
  <c r="O90" i="4"/>
  <c r="N90" i="4"/>
  <c r="M90" i="4"/>
  <c r="L90" i="4"/>
  <c r="K90" i="4"/>
  <c r="J90" i="4"/>
  <c r="I90" i="4"/>
  <c r="H90" i="4"/>
  <c r="G90" i="4"/>
  <c r="F90" i="4"/>
  <c r="E90" i="4"/>
  <c r="P89" i="4"/>
  <c r="O89" i="4"/>
  <c r="N89" i="4"/>
  <c r="M89" i="4"/>
  <c r="L89" i="4"/>
  <c r="K89" i="4"/>
  <c r="J89" i="4"/>
  <c r="I89" i="4"/>
  <c r="H89" i="4"/>
  <c r="G89" i="4"/>
  <c r="P96" i="15"/>
  <c r="M96" i="15"/>
  <c r="J96" i="15"/>
  <c r="G96" i="15"/>
  <c r="O96" i="15"/>
  <c r="N96" i="15"/>
  <c r="L96" i="15"/>
  <c r="K96" i="15"/>
  <c r="I96" i="15"/>
  <c r="H96" i="15"/>
  <c r="F96" i="15"/>
  <c r="E96" i="15"/>
  <c r="P95" i="15"/>
  <c r="O95" i="15"/>
  <c r="N95" i="15"/>
  <c r="M95" i="15"/>
  <c r="L95" i="15"/>
  <c r="K95" i="15"/>
  <c r="J95" i="15"/>
  <c r="I95" i="15"/>
  <c r="H95" i="15"/>
  <c r="G95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P92" i="15"/>
  <c r="O92" i="15"/>
  <c r="N92" i="15"/>
  <c r="M92" i="15"/>
  <c r="L92" i="15"/>
  <c r="K92" i="15"/>
  <c r="J92" i="15"/>
  <c r="I92" i="15"/>
  <c r="H92" i="15"/>
  <c r="G92" i="15"/>
  <c r="P91" i="15"/>
  <c r="O91" i="15"/>
  <c r="N91" i="15"/>
  <c r="M91" i="15"/>
  <c r="L91" i="15"/>
  <c r="K91" i="15"/>
  <c r="J91" i="15"/>
  <c r="I91" i="15"/>
  <c r="H91" i="15"/>
  <c r="G91" i="15"/>
  <c r="E91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P89" i="15"/>
  <c r="O89" i="15"/>
  <c r="N89" i="15"/>
  <c r="M89" i="15"/>
  <c r="L89" i="15"/>
  <c r="K89" i="15"/>
  <c r="J89" i="15"/>
  <c r="I89" i="15"/>
  <c r="H89" i="15"/>
  <c r="G89" i="15"/>
  <c r="O88" i="2"/>
  <c r="O91" i="2"/>
  <c r="O92" i="2"/>
  <c r="O94" i="2"/>
  <c r="O88" i="1"/>
  <c r="O89" i="1"/>
  <c r="O91" i="1"/>
  <c r="O92" i="1"/>
  <c r="O94" i="1"/>
  <c r="E89" i="4" l="1"/>
  <c r="O87" i="1"/>
  <c r="T105" i="4"/>
  <c r="H105" i="15"/>
  <c r="T105" i="15"/>
  <c r="E105" i="4"/>
  <c r="E92" i="15"/>
  <c r="O93" i="1"/>
  <c r="O90" i="1"/>
  <c r="O90" i="3" s="1"/>
  <c r="E95" i="15"/>
  <c r="E89" i="15"/>
  <c r="T89" i="15" s="1"/>
  <c r="E95" i="4"/>
  <c r="T95" i="4" s="1"/>
  <c r="I100" i="4"/>
  <c r="U100" i="4" s="1"/>
  <c r="I100" i="15"/>
  <c r="I105" i="15" s="1"/>
  <c r="E92" i="4"/>
  <c r="O98" i="2"/>
  <c r="O98" i="3" s="1"/>
  <c r="F91" i="15"/>
  <c r="U91" i="15" s="1"/>
  <c r="W105" i="4"/>
  <c r="F91" i="4"/>
  <c r="U91" i="4" s="1"/>
  <c r="O87" i="2"/>
  <c r="O87" i="3" s="1"/>
  <c r="F89" i="15"/>
  <c r="F92" i="15"/>
  <c r="U92" i="15" s="1"/>
  <c r="F95" i="15"/>
  <c r="U95" i="15" s="1"/>
  <c r="F92" i="4"/>
  <c r="O93" i="2"/>
  <c r="U99" i="4"/>
  <c r="F105" i="15"/>
  <c r="F105" i="4"/>
  <c r="W105" i="15"/>
  <c r="N96" i="13"/>
  <c r="I97" i="15"/>
  <c r="T96" i="4"/>
  <c r="N90" i="13"/>
  <c r="N92" i="13"/>
  <c r="N94" i="13"/>
  <c r="O90" i="13"/>
  <c r="O94" i="13"/>
  <c r="U89" i="4"/>
  <c r="U96" i="4"/>
  <c r="T89" i="4"/>
  <c r="N95" i="13"/>
  <c r="O95" i="13"/>
  <c r="U93" i="4"/>
  <c r="O91" i="3"/>
  <c r="T93" i="4"/>
  <c r="T95" i="15"/>
  <c r="T96" i="15"/>
  <c r="T91" i="4"/>
  <c r="N97" i="15"/>
  <c r="H97" i="15"/>
  <c r="O88" i="3"/>
  <c r="T90" i="4"/>
  <c r="O89" i="3"/>
  <c r="H97" i="13"/>
  <c r="K97" i="15"/>
  <c r="H97" i="4"/>
  <c r="K97" i="4"/>
  <c r="T94" i="4"/>
  <c r="E97" i="13"/>
  <c r="O92" i="3"/>
  <c r="O94" i="3"/>
  <c r="N97" i="4"/>
  <c r="F97" i="13"/>
  <c r="L97" i="15"/>
  <c r="O92" i="13"/>
  <c r="O97" i="4"/>
  <c r="I97" i="4"/>
  <c r="U94" i="4"/>
  <c r="L97" i="4"/>
  <c r="O97" i="15"/>
  <c r="I97" i="13"/>
  <c r="U95" i="4"/>
  <c r="O96" i="13"/>
  <c r="U96" i="15"/>
  <c r="N91" i="13"/>
  <c r="N93" i="13"/>
  <c r="O91" i="13"/>
  <c r="O93" i="13"/>
  <c r="N89" i="13"/>
  <c r="O89" i="13"/>
  <c r="U90" i="4"/>
  <c r="T90" i="15"/>
  <c r="T91" i="15"/>
  <c r="T92" i="15"/>
  <c r="T94" i="15"/>
  <c r="U94" i="15"/>
  <c r="U90" i="15"/>
  <c r="T93" i="15"/>
  <c r="U93" i="15"/>
  <c r="E97" i="4" l="1"/>
  <c r="O93" i="3"/>
  <c r="U105" i="4"/>
  <c r="I105" i="4"/>
  <c r="J105" i="4" s="1"/>
  <c r="U100" i="15"/>
  <c r="U105" i="15" s="1"/>
  <c r="E97" i="15"/>
  <c r="T92" i="4"/>
  <c r="T97" i="4" s="1"/>
  <c r="F97" i="15"/>
  <c r="G97" i="15" s="1"/>
  <c r="U89" i="15"/>
  <c r="U97" i="15" s="1"/>
  <c r="X105" i="15"/>
  <c r="F97" i="4"/>
  <c r="G97" i="4" s="1"/>
  <c r="X105" i="4"/>
  <c r="U92" i="4"/>
  <c r="U97" i="4" s="1"/>
  <c r="G105" i="4"/>
  <c r="J105" i="15"/>
  <c r="G105" i="15"/>
  <c r="P97" i="4"/>
  <c r="N97" i="13"/>
  <c r="R97" i="13"/>
  <c r="J97" i="4"/>
  <c r="W97" i="15"/>
  <c r="Q97" i="13"/>
  <c r="T97" i="15"/>
  <c r="W97" i="4"/>
  <c r="M97" i="4"/>
  <c r="O97" i="13"/>
  <c r="J97" i="13"/>
  <c r="G97" i="13"/>
  <c r="M97" i="15"/>
  <c r="J97" i="15"/>
  <c r="P97" i="15"/>
  <c r="X97" i="15" l="1"/>
  <c r="X97" i="4"/>
  <c r="E4" i="13"/>
  <c r="F4" i="13"/>
  <c r="G4" i="13"/>
  <c r="H4" i="13"/>
  <c r="I4" i="13"/>
  <c r="E5" i="13"/>
  <c r="F5" i="13"/>
  <c r="G5" i="13"/>
  <c r="H5" i="13"/>
  <c r="I5" i="13"/>
  <c r="E6" i="13"/>
  <c r="F6" i="13"/>
  <c r="H6" i="13"/>
  <c r="I6" i="13"/>
  <c r="J6" i="13"/>
  <c r="E7" i="13"/>
  <c r="F7" i="13"/>
  <c r="H7" i="13"/>
  <c r="N7" i="13" s="1"/>
  <c r="I7" i="13"/>
  <c r="J7" i="13"/>
  <c r="E8" i="13"/>
  <c r="F8" i="13"/>
  <c r="O8" i="13" s="1"/>
  <c r="G8" i="13"/>
  <c r="H8" i="13"/>
  <c r="I8" i="13"/>
  <c r="E9" i="13"/>
  <c r="F9" i="13"/>
  <c r="G9" i="13"/>
  <c r="H9" i="13"/>
  <c r="I9" i="13"/>
  <c r="E10" i="13"/>
  <c r="F10" i="13"/>
  <c r="H10" i="13"/>
  <c r="I10" i="13"/>
  <c r="J10" i="13"/>
  <c r="E12" i="13"/>
  <c r="F12" i="13"/>
  <c r="H12" i="13"/>
  <c r="I12" i="13"/>
  <c r="J12" i="13"/>
  <c r="E13" i="13"/>
  <c r="F13" i="13"/>
  <c r="H13" i="13"/>
  <c r="I13" i="13"/>
  <c r="J13" i="13"/>
  <c r="E14" i="13"/>
  <c r="F14" i="13"/>
  <c r="G14" i="13"/>
  <c r="H14" i="13"/>
  <c r="I14" i="13"/>
  <c r="E15" i="13"/>
  <c r="F15" i="13"/>
  <c r="G15" i="13"/>
  <c r="H15" i="13"/>
  <c r="J15" i="13"/>
  <c r="E16" i="13"/>
  <c r="F16" i="13"/>
  <c r="H16" i="13"/>
  <c r="I16" i="13"/>
  <c r="J16" i="13"/>
  <c r="E17" i="13"/>
  <c r="G17" i="13"/>
  <c r="H17" i="13"/>
  <c r="I17" i="13"/>
  <c r="J17" i="13"/>
  <c r="E18" i="13"/>
  <c r="F18" i="13"/>
  <c r="G18" i="13"/>
  <c r="H18" i="13"/>
  <c r="I18" i="13"/>
  <c r="E20" i="13"/>
  <c r="F20" i="13"/>
  <c r="G20" i="13"/>
  <c r="H20" i="13"/>
  <c r="I20" i="13"/>
  <c r="E21" i="13"/>
  <c r="F21" i="13"/>
  <c r="G21" i="13"/>
  <c r="H21" i="13"/>
  <c r="I21" i="13"/>
  <c r="E22" i="13"/>
  <c r="F22" i="13"/>
  <c r="H22" i="13"/>
  <c r="I22" i="13"/>
  <c r="J22" i="13"/>
  <c r="E23" i="13"/>
  <c r="F23" i="13"/>
  <c r="H23" i="13"/>
  <c r="I23" i="13"/>
  <c r="J23" i="13"/>
  <c r="E24" i="13"/>
  <c r="F24" i="13"/>
  <c r="G24" i="13"/>
  <c r="H24" i="13"/>
  <c r="I24" i="13"/>
  <c r="E25" i="13"/>
  <c r="F25" i="13"/>
  <c r="G25" i="13"/>
  <c r="H25" i="13"/>
  <c r="I25" i="13"/>
  <c r="E26" i="13"/>
  <c r="F26" i="13"/>
  <c r="H26" i="13"/>
  <c r="I26" i="13"/>
  <c r="J26" i="13"/>
  <c r="E28" i="13"/>
  <c r="F28" i="13"/>
  <c r="H28" i="13"/>
  <c r="I28" i="13"/>
  <c r="J28" i="13"/>
  <c r="E29" i="13"/>
  <c r="F29" i="13"/>
  <c r="G29" i="13"/>
  <c r="H29" i="13"/>
  <c r="I29" i="13"/>
  <c r="E30" i="13"/>
  <c r="F30" i="13"/>
  <c r="G30" i="13"/>
  <c r="H30" i="13"/>
  <c r="I30" i="13"/>
  <c r="E31" i="13"/>
  <c r="F31" i="13"/>
  <c r="H31" i="13"/>
  <c r="I31" i="13"/>
  <c r="J31" i="13"/>
  <c r="E32" i="13"/>
  <c r="F32" i="13"/>
  <c r="H32" i="13"/>
  <c r="I32" i="13"/>
  <c r="J32" i="13"/>
  <c r="E33" i="13"/>
  <c r="F33" i="13"/>
  <c r="G33" i="13"/>
  <c r="H33" i="13"/>
  <c r="I33" i="13"/>
  <c r="E35" i="13"/>
  <c r="F35" i="13"/>
  <c r="H35" i="13"/>
  <c r="N35" i="13" s="1"/>
  <c r="I35" i="13"/>
  <c r="J35" i="13"/>
  <c r="E36" i="13"/>
  <c r="F36" i="13"/>
  <c r="G36" i="13"/>
  <c r="H36" i="13"/>
  <c r="I36" i="13"/>
  <c r="E37" i="13"/>
  <c r="F37" i="13"/>
  <c r="G37" i="13"/>
  <c r="H37" i="13"/>
  <c r="I37" i="13"/>
  <c r="E38" i="13"/>
  <c r="F38" i="13"/>
  <c r="H38" i="13"/>
  <c r="I38" i="13"/>
  <c r="J38" i="13"/>
  <c r="E39" i="13"/>
  <c r="F39" i="13"/>
  <c r="H39" i="13"/>
  <c r="I39" i="13"/>
  <c r="J39" i="13"/>
  <c r="E40" i="13"/>
  <c r="F40" i="13"/>
  <c r="G40" i="13"/>
  <c r="H40" i="13"/>
  <c r="I40" i="13"/>
  <c r="E41" i="13"/>
  <c r="F41" i="13"/>
  <c r="G41" i="13"/>
  <c r="H41" i="13"/>
  <c r="I41" i="13"/>
  <c r="E43" i="13"/>
  <c r="F43" i="13"/>
  <c r="H43" i="13"/>
  <c r="I43" i="13"/>
  <c r="J43" i="13"/>
  <c r="E44" i="13"/>
  <c r="F44" i="13"/>
  <c r="G44" i="13"/>
  <c r="H44" i="13"/>
  <c r="I44" i="13"/>
  <c r="E45" i="13"/>
  <c r="F45" i="13"/>
  <c r="G45" i="13"/>
  <c r="H45" i="13"/>
  <c r="I45" i="13"/>
  <c r="E46" i="13"/>
  <c r="F46" i="13"/>
  <c r="H46" i="13"/>
  <c r="I46" i="13"/>
  <c r="J46" i="13"/>
  <c r="E47" i="13"/>
  <c r="F47" i="13"/>
  <c r="H47" i="13"/>
  <c r="I47" i="13"/>
  <c r="J47" i="13"/>
  <c r="E48" i="13"/>
  <c r="F48" i="13"/>
  <c r="G48" i="13"/>
  <c r="H48" i="13"/>
  <c r="I48" i="13"/>
  <c r="E50" i="13"/>
  <c r="F50" i="13"/>
  <c r="H50" i="13"/>
  <c r="I50" i="13"/>
  <c r="J50" i="13"/>
  <c r="E51" i="13"/>
  <c r="F51" i="13"/>
  <c r="H51" i="13"/>
  <c r="I51" i="13"/>
  <c r="J51" i="13"/>
  <c r="E52" i="13"/>
  <c r="F52" i="13"/>
  <c r="G52" i="13"/>
  <c r="H52" i="13"/>
  <c r="I52" i="13"/>
  <c r="E53" i="13"/>
  <c r="F53" i="13"/>
  <c r="G53" i="13"/>
  <c r="H53" i="13"/>
  <c r="I53" i="13"/>
  <c r="E54" i="13"/>
  <c r="F54" i="13"/>
  <c r="H54" i="13"/>
  <c r="I54" i="13"/>
  <c r="J54" i="13"/>
  <c r="E55" i="13"/>
  <c r="F55" i="13"/>
  <c r="H55" i="13"/>
  <c r="I55" i="13"/>
  <c r="J55" i="13"/>
  <c r="E56" i="13"/>
  <c r="F56" i="13"/>
  <c r="G56" i="13"/>
  <c r="H56" i="13"/>
  <c r="J56" i="13"/>
  <c r="E58" i="13"/>
  <c r="F58" i="13"/>
  <c r="G58" i="13"/>
  <c r="H58" i="13"/>
  <c r="I58" i="13"/>
  <c r="E59" i="13"/>
  <c r="F59" i="13"/>
  <c r="H59" i="13"/>
  <c r="N59" i="13" s="1"/>
  <c r="I59" i="13"/>
  <c r="J59" i="13"/>
  <c r="E60" i="13"/>
  <c r="F60" i="13"/>
  <c r="H60" i="13"/>
  <c r="I60" i="13"/>
  <c r="J60" i="13"/>
  <c r="E61" i="13"/>
  <c r="F61" i="13"/>
  <c r="G61" i="13"/>
  <c r="H61" i="13"/>
  <c r="I61" i="13"/>
  <c r="E62" i="13"/>
  <c r="F62" i="13"/>
  <c r="G62" i="13"/>
  <c r="H62" i="13"/>
  <c r="I62" i="13"/>
  <c r="E63" i="13"/>
  <c r="F63" i="13"/>
  <c r="H63" i="13"/>
  <c r="I63" i="13"/>
  <c r="J63" i="13"/>
  <c r="N9" i="13" l="1"/>
  <c r="N13" i="13"/>
  <c r="N31" i="13"/>
  <c r="N55" i="13"/>
  <c r="N36" i="13"/>
  <c r="N28" i="13"/>
  <c r="N63" i="13"/>
  <c r="N58" i="13"/>
  <c r="N50" i="13"/>
  <c r="N44" i="13"/>
  <c r="N30" i="13"/>
  <c r="N22" i="13"/>
  <c r="N10" i="13"/>
  <c r="N5" i="13"/>
  <c r="N15" i="13"/>
  <c r="N43" i="13"/>
  <c r="E34" i="13"/>
  <c r="N51" i="13"/>
  <c r="N23" i="13"/>
  <c r="N4" i="13"/>
  <c r="N25" i="13"/>
  <c r="N39" i="13"/>
  <c r="N33" i="13"/>
  <c r="N20" i="13"/>
  <c r="N12" i="13"/>
  <c r="N47" i="13"/>
  <c r="N41" i="13"/>
  <c r="O9" i="13"/>
  <c r="N17" i="13"/>
  <c r="E42" i="13"/>
  <c r="N52" i="13"/>
  <c r="N60" i="13"/>
  <c r="N46" i="13"/>
  <c r="E27" i="13"/>
  <c r="E57" i="13"/>
  <c r="E11" i="13"/>
  <c r="E49" i="13"/>
  <c r="N38" i="13"/>
  <c r="O21" i="13"/>
  <c r="N62" i="13"/>
  <c r="N54" i="13"/>
  <c r="E19" i="13"/>
  <c r="O35" i="13"/>
  <c r="N56" i="13"/>
  <c r="N48" i="13"/>
  <c r="N40" i="13"/>
  <c r="N24" i="13"/>
  <c r="N14" i="13"/>
  <c r="N32" i="13"/>
  <c r="N37" i="13"/>
  <c r="N29" i="13"/>
  <c r="N26" i="13"/>
  <c r="N16" i="13"/>
  <c r="N6" i="13"/>
  <c r="N61" i="13"/>
  <c r="N53" i="13"/>
  <c r="N21" i="13"/>
  <c r="N18" i="13"/>
  <c r="N8" i="13"/>
  <c r="I27" i="13"/>
  <c r="O22" i="13"/>
  <c r="O10" i="13"/>
  <c r="O33" i="13"/>
  <c r="O13" i="13"/>
  <c r="O28" i="13"/>
  <c r="O48" i="13"/>
  <c r="O40" i="13"/>
  <c r="O61" i="13"/>
  <c r="O46" i="13"/>
  <c r="I49" i="13"/>
  <c r="O6" i="13"/>
  <c r="O51" i="13"/>
  <c r="H49" i="13"/>
  <c r="O32" i="13"/>
  <c r="O53" i="13"/>
  <c r="O30" i="13"/>
  <c r="O55" i="13"/>
  <c r="I34" i="13"/>
  <c r="O37" i="13"/>
  <c r="F57" i="13"/>
  <c r="O12" i="13"/>
  <c r="O60" i="13"/>
  <c r="O52" i="13"/>
  <c r="O54" i="13"/>
  <c r="O31" i="13"/>
  <c r="O16" i="13"/>
  <c r="O4" i="13"/>
  <c r="O38" i="13"/>
  <c r="F42" i="13"/>
  <c r="O63" i="13"/>
  <c r="O45" i="13"/>
  <c r="O29" i="13"/>
  <c r="O62" i="13"/>
  <c r="O24" i="13"/>
  <c r="O14" i="13"/>
  <c r="O5" i="13"/>
  <c r="H27" i="13"/>
  <c r="H42" i="13"/>
  <c r="O20" i="13"/>
  <c r="O58" i="13"/>
  <c r="O26" i="13"/>
  <c r="H19" i="13"/>
  <c r="O7" i="13"/>
  <c r="O43" i="13"/>
  <c r="O47" i="13"/>
  <c r="O41" i="13"/>
  <c r="O39" i="13"/>
  <c r="I11" i="13"/>
  <c r="F49" i="13"/>
  <c r="G49" i="13" s="1"/>
  <c r="O50" i="13"/>
  <c r="F34" i="13"/>
  <c r="O25" i="13"/>
  <c r="O36" i="13"/>
  <c r="O59" i="13"/>
  <c r="N45" i="13"/>
  <c r="O23" i="13"/>
  <c r="O18" i="13"/>
  <c r="F11" i="13"/>
  <c r="H11" i="13"/>
  <c r="H57" i="13"/>
  <c r="H34" i="13"/>
  <c r="I42" i="13"/>
  <c r="F27" i="13"/>
  <c r="O44" i="13"/>
  <c r="I87" i="13"/>
  <c r="H87" i="13"/>
  <c r="G87" i="13"/>
  <c r="F87" i="13"/>
  <c r="E87" i="13"/>
  <c r="I86" i="13"/>
  <c r="H86" i="13"/>
  <c r="G86" i="13"/>
  <c r="F86" i="13"/>
  <c r="E86" i="13"/>
  <c r="J85" i="13"/>
  <c r="I85" i="13"/>
  <c r="H85" i="13"/>
  <c r="F85" i="13"/>
  <c r="E85" i="13"/>
  <c r="J84" i="13"/>
  <c r="I84" i="13"/>
  <c r="H84" i="13"/>
  <c r="F84" i="13"/>
  <c r="E84" i="13"/>
  <c r="I83" i="13"/>
  <c r="H83" i="13"/>
  <c r="G83" i="13"/>
  <c r="F83" i="13"/>
  <c r="E83" i="13"/>
  <c r="I82" i="13"/>
  <c r="H82" i="13"/>
  <c r="G82" i="13"/>
  <c r="F82" i="13"/>
  <c r="E82" i="13"/>
  <c r="J81" i="13"/>
  <c r="I81" i="13"/>
  <c r="H81" i="13"/>
  <c r="F81" i="13"/>
  <c r="E81" i="13"/>
  <c r="H84" i="1"/>
  <c r="H85" i="1"/>
  <c r="H85" i="2" s="1"/>
  <c r="H84" i="2"/>
  <c r="F83" i="1"/>
  <c r="F83" i="2" s="1"/>
  <c r="F80" i="1"/>
  <c r="F81" i="1" s="1"/>
  <c r="F81" i="2" s="1"/>
  <c r="L85" i="3"/>
  <c r="J87" i="13" s="1"/>
  <c r="L84" i="3"/>
  <c r="J86" i="13" s="1"/>
  <c r="L81" i="3"/>
  <c r="J83" i="13" s="1"/>
  <c r="L80" i="3"/>
  <c r="J82" i="13" s="1"/>
  <c r="J83" i="3"/>
  <c r="G85" i="13" s="1"/>
  <c r="J82" i="3"/>
  <c r="G84" i="13" s="1"/>
  <c r="J79" i="3"/>
  <c r="G81" i="13" s="1"/>
  <c r="H83" i="3"/>
  <c r="H82" i="3"/>
  <c r="H81" i="3"/>
  <c r="H79" i="3"/>
  <c r="F80" i="2"/>
  <c r="F80" i="3" l="1"/>
  <c r="N42" i="13"/>
  <c r="H80" i="1"/>
  <c r="H80" i="2" s="1"/>
  <c r="I82" i="4" s="1"/>
  <c r="F84" i="1"/>
  <c r="F84" i="2" s="1"/>
  <c r="F86" i="4" s="1"/>
  <c r="F85" i="1"/>
  <c r="F85" i="2" s="1"/>
  <c r="F87" i="4" s="1"/>
  <c r="F79" i="1"/>
  <c r="F79" i="2" s="1"/>
  <c r="F81" i="15" s="1"/>
  <c r="G27" i="13"/>
  <c r="G34" i="13"/>
  <c r="N34" i="13"/>
  <c r="Q11" i="13"/>
  <c r="G57" i="13"/>
  <c r="J34" i="13"/>
  <c r="N11" i="13"/>
  <c r="N57" i="13"/>
  <c r="G42" i="13"/>
  <c r="N27" i="13"/>
  <c r="N49" i="13"/>
  <c r="N86" i="13"/>
  <c r="J27" i="13"/>
  <c r="N19" i="13"/>
  <c r="N87" i="13"/>
  <c r="N84" i="13"/>
  <c r="F82" i="1"/>
  <c r="F82" i="2" s="1"/>
  <c r="O82" i="2" s="1"/>
  <c r="N81" i="13"/>
  <c r="J49" i="13"/>
  <c r="O87" i="13"/>
  <c r="O11" i="13"/>
  <c r="O34" i="13"/>
  <c r="O27" i="13"/>
  <c r="O49" i="13"/>
  <c r="O42" i="13"/>
  <c r="J42" i="13"/>
  <c r="N82" i="13"/>
  <c r="O84" i="13"/>
  <c r="J11" i="13"/>
  <c r="G11" i="13"/>
  <c r="R11" i="13"/>
  <c r="O83" i="13"/>
  <c r="O82" i="13"/>
  <c r="H88" i="13"/>
  <c r="O86" i="13"/>
  <c r="N83" i="13"/>
  <c r="N85" i="13"/>
  <c r="O85" i="13"/>
  <c r="I88" i="13"/>
  <c r="O81" i="13"/>
  <c r="E88" i="13"/>
  <c r="F88" i="13"/>
  <c r="P87" i="4"/>
  <c r="O87" i="4"/>
  <c r="N87" i="4"/>
  <c r="M87" i="4"/>
  <c r="L87" i="4"/>
  <c r="K87" i="4"/>
  <c r="J87" i="4"/>
  <c r="I87" i="4"/>
  <c r="H87" i="4"/>
  <c r="G87" i="4"/>
  <c r="E87" i="4"/>
  <c r="P86" i="4"/>
  <c r="O86" i="4"/>
  <c r="N86" i="4"/>
  <c r="M86" i="4"/>
  <c r="L86" i="4"/>
  <c r="K86" i="4"/>
  <c r="J86" i="4"/>
  <c r="I86" i="4"/>
  <c r="H86" i="4"/>
  <c r="G86" i="4"/>
  <c r="E86" i="4"/>
  <c r="P85" i="4"/>
  <c r="O85" i="4"/>
  <c r="N85" i="4"/>
  <c r="M85" i="4"/>
  <c r="L85" i="4"/>
  <c r="K85" i="4"/>
  <c r="J85" i="4"/>
  <c r="I85" i="4"/>
  <c r="H85" i="4"/>
  <c r="G85" i="4"/>
  <c r="F85" i="4"/>
  <c r="E85" i="4"/>
  <c r="P84" i="4"/>
  <c r="O84" i="4"/>
  <c r="N84" i="4"/>
  <c r="M84" i="4"/>
  <c r="L84" i="4"/>
  <c r="K84" i="4"/>
  <c r="J84" i="4"/>
  <c r="I84" i="4"/>
  <c r="H84" i="4"/>
  <c r="G84" i="4"/>
  <c r="P83" i="4"/>
  <c r="O83" i="4"/>
  <c r="N83" i="4"/>
  <c r="M83" i="4"/>
  <c r="L83" i="4"/>
  <c r="K83" i="4"/>
  <c r="J83" i="4"/>
  <c r="I83" i="4"/>
  <c r="H83" i="4"/>
  <c r="G83" i="4"/>
  <c r="F83" i="4"/>
  <c r="E83" i="4"/>
  <c r="P82" i="4"/>
  <c r="O82" i="4"/>
  <c r="N82" i="4"/>
  <c r="M82" i="4"/>
  <c r="L82" i="4"/>
  <c r="K82" i="4"/>
  <c r="J82" i="4"/>
  <c r="G82" i="4"/>
  <c r="F82" i="4"/>
  <c r="E82" i="4"/>
  <c r="P81" i="4"/>
  <c r="O81" i="4"/>
  <c r="N81" i="4"/>
  <c r="M81" i="4"/>
  <c r="L81" i="4"/>
  <c r="K81" i="4"/>
  <c r="J81" i="4"/>
  <c r="I81" i="4"/>
  <c r="H81" i="4"/>
  <c r="G81" i="4"/>
  <c r="E81" i="4"/>
  <c r="P87" i="15"/>
  <c r="O87" i="15"/>
  <c r="N87" i="15"/>
  <c r="M87" i="15"/>
  <c r="L87" i="15"/>
  <c r="K87" i="15"/>
  <c r="J87" i="15"/>
  <c r="I87" i="15"/>
  <c r="H87" i="15"/>
  <c r="G87" i="15"/>
  <c r="P86" i="15"/>
  <c r="O86" i="15"/>
  <c r="N86" i="15"/>
  <c r="M86" i="15"/>
  <c r="L86" i="15"/>
  <c r="K86" i="15"/>
  <c r="J86" i="15"/>
  <c r="I86" i="15"/>
  <c r="H86" i="15"/>
  <c r="G86" i="15"/>
  <c r="E86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P84" i="15"/>
  <c r="O84" i="15"/>
  <c r="N84" i="15"/>
  <c r="M84" i="15"/>
  <c r="L84" i="15"/>
  <c r="K84" i="15"/>
  <c r="J84" i="15"/>
  <c r="I84" i="15"/>
  <c r="H84" i="15"/>
  <c r="G84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P82" i="15"/>
  <c r="O82" i="15"/>
  <c r="N82" i="15"/>
  <c r="M82" i="15"/>
  <c r="L82" i="15"/>
  <c r="K82" i="15"/>
  <c r="J82" i="15"/>
  <c r="G82" i="15"/>
  <c r="F82" i="15"/>
  <c r="E82" i="15"/>
  <c r="P81" i="15"/>
  <c r="O81" i="15"/>
  <c r="N81" i="15"/>
  <c r="M81" i="15"/>
  <c r="L81" i="15"/>
  <c r="K81" i="15"/>
  <c r="J81" i="15"/>
  <c r="I81" i="15"/>
  <c r="H81" i="15"/>
  <c r="G81" i="15"/>
  <c r="O81" i="2"/>
  <c r="O83" i="2"/>
  <c r="O79" i="1"/>
  <c r="O81" i="1"/>
  <c r="O83" i="1"/>
  <c r="O84" i="1"/>
  <c r="O85" i="1"/>
  <c r="F86" i="15" l="1"/>
  <c r="O84" i="2"/>
  <c r="O84" i="3" s="1"/>
  <c r="F87" i="15"/>
  <c r="E87" i="15"/>
  <c r="E81" i="15"/>
  <c r="T81" i="15" s="1"/>
  <c r="F81" i="4"/>
  <c r="U81" i="4" s="1"/>
  <c r="O82" i="1"/>
  <c r="E84" i="4"/>
  <c r="E88" i="4" s="1"/>
  <c r="E84" i="15"/>
  <c r="T84" i="15" s="1"/>
  <c r="O85" i="2"/>
  <c r="O85" i="3" s="1"/>
  <c r="O79" i="2"/>
  <c r="O79" i="3" s="1"/>
  <c r="F84" i="15"/>
  <c r="U84" i="15" s="1"/>
  <c r="F84" i="4"/>
  <c r="O80" i="1"/>
  <c r="H82" i="15"/>
  <c r="H88" i="15" s="1"/>
  <c r="H82" i="4"/>
  <c r="T82" i="4" s="1"/>
  <c r="I82" i="15"/>
  <c r="I88" i="15" s="1"/>
  <c r="O80" i="2"/>
  <c r="O80" i="3" s="1"/>
  <c r="L88" i="15"/>
  <c r="U86" i="15"/>
  <c r="N88" i="13"/>
  <c r="J88" i="13"/>
  <c r="Q88" i="13"/>
  <c r="O88" i="13"/>
  <c r="O88" i="15"/>
  <c r="K88" i="4"/>
  <c r="U83" i="15"/>
  <c r="U87" i="15"/>
  <c r="U83" i="4"/>
  <c r="U85" i="4"/>
  <c r="L88" i="4"/>
  <c r="U85" i="15"/>
  <c r="R88" i="13"/>
  <c r="G88" i="13"/>
  <c r="I88" i="4"/>
  <c r="E88" i="15"/>
  <c r="U87" i="4"/>
  <c r="U81" i="15"/>
  <c r="T81" i="4"/>
  <c r="T83" i="4"/>
  <c r="O81" i="3"/>
  <c r="T83" i="15"/>
  <c r="O82" i="3"/>
  <c r="T85" i="4"/>
  <c r="T85" i="15"/>
  <c r="K88" i="15"/>
  <c r="O83" i="3"/>
  <c r="T86" i="4"/>
  <c r="T86" i="15"/>
  <c r="T87" i="15"/>
  <c r="T87" i="4"/>
  <c r="N88" i="4"/>
  <c r="U86" i="4"/>
  <c r="O88" i="4"/>
  <c r="U82" i="4"/>
  <c r="N88" i="15"/>
  <c r="F88" i="4" l="1"/>
  <c r="T84" i="4"/>
  <c r="F88" i="15"/>
  <c r="X88" i="15" s="1"/>
  <c r="U84" i="4"/>
  <c r="U88" i="4" s="1"/>
  <c r="T82" i="15"/>
  <c r="H88" i="4"/>
  <c r="J88" i="4" s="1"/>
  <c r="U82" i="15"/>
  <c r="U88" i="15" s="1"/>
  <c r="M88" i="4"/>
  <c r="T88" i="15"/>
  <c r="G88" i="15"/>
  <c r="T88" i="4"/>
  <c r="M88" i="15"/>
  <c r="P88" i="15"/>
  <c r="P88" i="4"/>
  <c r="J88" i="15"/>
  <c r="G88" i="4"/>
  <c r="X88" i="4"/>
  <c r="W88" i="15"/>
  <c r="W88" i="4" l="1"/>
  <c r="H77" i="1"/>
  <c r="H75" i="1"/>
  <c r="H74" i="1"/>
  <c r="F76" i="1"/>
  <c r="F75" i="1" s="1"/>
  <c r="F72" i="1" l="1"/>
  <c r="F72" i="2" s="1"/>
  <c r="O72" i="2" s="1"/>
  <c r="H79" i="15"/>
  <c r="H77" i="4"/>
  <c r="E77" i="4"/>
  <c r="E74" i="4"/>
  <c r="F76" i="2"/>
  <c r="F78" i="15" s="1"/>
  <c r="F73" i="1"/>
  <c r="F69" i="1"/>
  <c r="L72" i="3"/>
  <c r="J74" i="13" s="1"/>
  <c r="L75" i="3"/>
  <c r="J77" i="13" s="1"/>
  <c r="L76" i="3"/>
  <c r="P78" i="4" s="1"/>
  <c r="J77" i="3"/>
  <c r="M79" i="4" s="1"/>
  <c r="J74" i="3"/>
  <c r="G76" i="13" s="1"/>
  <c r="J73" i="3"/>
  <c r="M75" i="4" s="1"/>
  <c r="H76" i="3"/>
  <c r="J78" i="4" s="1"/>
  <c r="H73" i="3"/>
  <c r="J75" i="4" s="1"/>
  <c r="H72" i="3"/>
  <c r="J74" i="4" s="1"/>
  <c r="O76" i="1"/>
  <c r="J79" i="13"/>
  <c r="I79" i="13"/>
  <c r="H79" i="13"/>
  <c r="F79" i="13"/>
  <c r="E79" i="13"/>
  <c r="I78" i="13"/>
  <c r="H78" i="13"/>
  <c r="G78" i="13"/>
  <c r="F78" i="13"/>
  <c r="E78" i="13"/>
  <c r="I77" i="13"/>
  <c r="H77" i="13"/>
  <c r="G77" i="13"/>
  <c r="F77" i="13"/>
  <c r="E77" i="13"/>
  <c r="J76" i="13"/>
  <c r="I76" i="13"/>
  <c r="H76" i="13"/>
  <c r="F76" i="13"/>
  <c r="E76" i="13"/>
  <c r="J75" i="13"/>
  <c r="I75" i="13"/>
  <c r="H75" i="13"/>
  <c r="F75" i="13"/>
  <c r="E75" i="13"/>
  <c r="I74" i="13"/>
  <c r="H74" i="13"/>
  <c r="G74" i="13"/>
  <c r="F74" i="13"/>
  <c r="E74" i="13"/>
  <c r="P79" i="4"/>
  <c r="O79" i="4"/>
  <c r="N79" i="4"/>
  <c r="L79" i="4"/>
  <c r="K79" i="4"/>
  <c r="J79" i="4"/>
  <c r="G79" i="4"/>
  <c r="O78" i="4"/>
  <c r="N78" i="4"/>
  <c r="M78" i="4"/>
  <c r="L78" i="4"/>
  <c r="K78" i="4"/>
  <c r="I78" i="4"/>
  <c r="H78" i="4"/>
  <c r="G78" i="4"/>
  <c r="E78" i="4"/>
  <c r="O77" i="4"/>
  <c r="N77" i="4"/>
  <c r="M77" i="4"/>
  <c r="L77" i="4"/>
  <c r="K77" i="4"/>
  <c r="J77" i="4"/>
  <c r="G77" i="4"/>
  <c r="P76" i="4"/>
  <c r="O76" i="4"/>
  <c r="N76" i="4"/>
  <c r="L76" i="4"/>
  <c r="K76" i="4"/>
  <c r="J76" i="4"/>
  <c r="G76" i="4"/>
  <c r="P75" i="4"/>
  <c r="O75" i="4"/>
  <c r="N75" i="4"/>
  <c r="L75" i="4"/>
  <c r="K75" i="4"/>
  <c r="I75" i="4"/>
  <c r="H75" i="4"/>
  <c r="G75" i="4"/>
  <c r="O74" i="4"/>
  <c r="N74" i="4"/>
  <c r="M74" i="4"/>
  <c r="L74" i="4"/>
  <c r="K74" i="4"/>
  <c r="I74" i="4"/>
  <c r="H74" i="4"/>
  <c r="G74" i="4"/>
  <c r="P79" i="15"/>
  <c r="O79" i="15"/>
  <c r="N79" i="15"/>
  <c r="L79" i="15"/>
  <c r="K79" i="15"/>
  <c r="J79" i="15"/>
  <c r="G79" i="15"/>
  <c r="O78" i="15"/>
  <c r="N78" i="15"/>
  <c r="M78" i="15"/>
  <c r="L78" i="15"/>
  <c r="K78" i="15"/>
  <c r="I78" i="15"/>
  <c r="H78" i="15"/>
  <c r="G78" i="15"/>
  <c r="E78" i="15"/>
  <c r="O77" i="15"/>
  <c r="N77" i="15"/>
  <c r="M77" i="15"/>
  <c r="L77" i="15"/>
  <c r="K77" i="15"/>
  <c r="J77" i="15"/>
  <c r="H77" i="15"/>
  <c r="G77" i="15"/>
  <c r="E77" i="15"/>
  <c r="P76" i="15"/>
  <c r="O76" i="15"/>
  <c r="N76" i="15"/>
  <c r="L76" i="15"/>
  <c r="K76" i="15"/>
  <c r="J76" i="15"/>
  <c r="H76" i="15"/>
  <c r="G76" i="15"/>
  <c r="P75" i="15"/>
  <c r="O75" i="15"/>
  <c r="N75" i="15"/>
  <c r="L75" i="15"/>
  <c r="K75" i="15"/>
  <c r="I75" i="15"/>
  <c r="H75" i="15"/>
  <c r="G75" i="15"/>
  <c r="O74" i="15"/>
  <c r="N74" i="15"/>
  <c r="M74" i="15"/>
  <c r="L74" i="15"/>
  <c r="K74" i="15"/>
  <c r="I74" i="15"/>
  <c r="H74" i="15"/>
  <c r="G74" i="15"/>
  <c r="E74" i="15"/>
  <c r="O77" i="13" l="1"/>
  <c r="P74" i="15"/>
  <c r="P77" i="4"/>
  <c r="P77" i="15"/>
  <c r="N79" i="13"/>
  <c r="O79" i="13"/>
  <c r="N78" i="13"/>
  <c r="N76" i="13"/>
  <c r="F77" i="1"/>
  <c r="E79" i="4" s="1"/>
  <c r="F74" i="1"/>
  <c r="O74" i="1" s="1"/>
  <c r="P74" i="4"/>
  <c r="F73" i="2"/>
  <c r="F75" i="4" s="1"/>
  <c r="U75" i="4" s="1"/>
  <c r="E80" i="13"/>
  <c r="O73" i="1"/>
  <c r="M76" i="15"/>
  <c r="M75" i="15"/>
  <c r="O76" i="13"/>
  <c r="J74" i="15"/>
  <c r="O78" i="13"/>
  <c r="N74" i="13"/>
  <c r="J78" i="13"/>
  <c r="G75" i="13"/>
  <c r="K80" i="4"/>
  <c r="P78" i="15"/>
  <c r="O75" i="13"/>
  <c r="K80" i="15"/>
  <c r="L80" i="15"/>
  <c r="J78" i="15"/>
  <c r="M76" i="4"/>
  <c r="O74" i="13"/>
  <c r="O80" i="4"/>
  <c r="J75" i="15"/>
  <c r="O76" i="2"/>
  <c r="O76" i="3" s="1"/>
  <c r="F78" i="4"/>
  <c r="U78" i="4" s="1"/>
  <c r="F74" i="4"/>
  <c r="U74" i="4" s="1"/>
  <c r="H77" i="2"/>
  <c r="H79" i="4"/>
  <c r="H75" i="2"/>
  <c r="F75" i="2"/>
  <c r="O75" i="1"/>
  <c r="H76" i="4"/>
  <c r="H80" i="15"/>
  <c r="H74" i="2"/>
  <c r="I76" i="4" s="1"/>
  <c r="O72" i="1"/>
  <c r="O72" i="3"/>
  <c r="F74" i="15"/>
  <c r="E75" i="15"/>
  <c r="T75" i="15" s="1"/>
  <c r="E75" i="4"/>
  <c r="T75" i="4" s="1"/>
  <c r="M79" i="15"/>
  <c r="G79" i="13"/>
  <c r="T78" i="15"/>
  <c r="T78" i="4"/>
  <c r="N77" i="13"/>
  <c r="T77" i="4"/>
  <c r="N80" i="4"/>
  <c r="T77" i="15"/>
  <c r="N80" i="15"/>
  <c r="H80" i="13"/>
  <c r="N75" i="13"/>
  <c r="L80" i="4"/>
  <c r="U78" i="15"/>
  <c r="I80" i="13"/>
  <c r="O80" i="15"/>
  <c r="F80" i="13"/>
  <c r="T74" i="4"/>
  <c r="T74" i="15"/>
  <c r="T79" i="4" l="1"/>
  <c r="E79" i="15"/>
  <c r="T79" i="15" s="1"/>
  <c r="F77" i="2"/>
  <c r="O77" i="2" s="1"/>
  <c r="O77" i="1"/>
  <c r="F75" i="15"/>
  <c r="U75" i="15" s="1"/>
  <c r="O73" i="2"/>
  <c r="O73" i="3" s="1"/>
  <c r="M80" i="4"/>
  <c r="E76" i="4"/>
  <c r="T76" i="4" s="1"/>
  <c r="E76" i="15"/>
  <c r="F74" i="2"/>
  <c r="O74" i="2" s="1"/>
  <c r="O74" i="3" s="1"/>
  <c r="H80" i="4"/>
  <c r="O80" i="13"/>
  <c r="P80" i="4"/>
  <c r="N80" i="13"/>
  <c r="M80" i="15"/>
  <c r="I76" i="15"/>
  <c r="I79" i="15"/>
  <c r="I79" i="4"/>
  <c r="F79" i="15"/>
  <c r="I77" i="15"/>
  <c r="I77" i="4"/>
  <c r="O75" i="2"/>
  <c r="O75" i="3" s="1"/>
  <c r="F77" i="4"/>
  <c r="F77" i="15"/>
  <c r="U74" i="15"/>
  <c r="Q80" i="13"/>
  <c r="P80" i="15"/>
  <c r="J80" i="13"/>
  <c r="R80" i="13"/>
  <c r="G80" i="13"/>
  <c r="O77" i="3" l="1"/>
  <c r="F79" i="4"/>
  <c r="T80" i="4"/>
  <c r="E80" i="4"/>
  <c r="W80" i="4" s="1"/>
  <c r="T76" i="15"/>
  <c r="T80" i="15" s="1"/>
  <c r="E80" i="15"/>
  <c r="F76" i="4"/>
  <c r="U76" i="4" s="1"/>
  <c r="F76" i="15"/>
  <c r="U76" i="15" s="1"/>
  <c r="U79" i="15"/>
  <c r="I80" i="4"/>
  <c r="I80" i="15"/>
  <c r="U79" i="4"/>
  <c r="U77" i="15"/>
  <c r="U77" i="4"/>
  <c r="F80" i="4" l="1"/>
  <c r="G80" i="4" s="1"/>
  <c r="F80" i="15"/>
  <c r="G80" i="15" s="1"/>
  <c r="W80" i="15"/>
  <c r="U80" i="4"/>
  <c r="U80" i="15"/>
  <c r="J80" i="15"/>
  <c r="J80" i="4"/>
  <c r="X80" i="4" l="1"/>
  <c r="X80" i="15"/>
  <c r="H64" i="3"/>
  <c r="H66" i="1"/>
  <c r="H70" i="1" l="1"/>
  <c r="H72" i="4" s="1"/>
  <c r="H68" i="1"/>
  <c r="H70" i="15" s="1"/>
  <c r="H61" i="1"/>
  <c r="H60" i="1"/>
  <c r="H56" i="1"/>
  <c r="E71" i="4"/>
  <c r="F65" i="1"/>
  <c r="F65" i="2" s="1"/>
  <c r="O65" i="2" s="1"/>
  <c r="F64" i="1"/>
  <c r="F68" i="1" s="1"/>
  <c r="O64" i="1"/>
  <c r="F61" i="1"/>
  <c r="F62" i="1" s="1"/>
  <c r="H57" i="1"/>
  <c r="H69" i="3"/>
  <c r="J71" i="15" s="1"/>
  <c r="H67" i="3"/>
  <c r="J69" i="15" s="1"/>
  <c r="H65" i="3"/>
  <c r="J67" i="4" s="1"/>
  <c r="J66" i="4"/>
  <c r="J65" i="3"/>
  <c r="M67" i="4" s="1"/>
  <c r="J66" i="3"/>
  <c r="G68" i="13" s="1"/>
  <c r="J69" i="3"/>
  <c r="M71" i="4" s="1"/>
  <c r="J70" i="3"/>
  <c r="M72" i="15" s="1"/>
  <c r="L68" i="3"/>
  <c r="P70" i="4" s="1"/>
  <c r="L67" i="3"/>
  <c r="J69" i="13" s="1"/>
  <c r="L64" i="3"/>
  <c r="P66" i="15" s="1"/>
  <c r="P72" i="4"/>
  <c r="O72" i="4"/>
  <c r="N72" i="4"/>
  <c r="L72" i="4"/>
  <c r="K72" i="4"/>
  <c r="J72" i="4"/>
  <c r="G72" i="4"/>
  <c r="P71" i="4"/>
  <c r="O71" i="4"/>
  <c r="N71" i="4"/>
  <c r="L71" i="4"/>
  <c r="K71" i="4"/>
  <c r="I71" i="4"/>
  <c r="H71" i="4"/>
  <c r="G71" i="4"/>
  <c r="O70" i="4"/>
  <c r="N70" i="4"/>
  <c r="M70" i="4"/>
  <c r="L70" i="4"/>
  <c r="K70" i="4"/>
  <c r="J70" i="4"/>
  <c r="H70" i="4"/>
  <c r="G70" i="4"/>
  <c r="O69" i="4"/>
  <c r="N69" i="4"/>
  <c r="M69" i="4"/>
  <c r="L69" i="4"/>
  <c r="K69" i="4"/>
  <c r="I69" i="4"/>
  <c r="H69" i="4"/>
  <c r="G69" i="4"/>
  <c r="P68" i="4"/>
  <c r="O68" i="4"/>
  <c r="N68" i="4"/>
  <c r="L68" i="4"/>
  <c r="K68" i="4"/>
  <c r="J68" i="4"/>
  <c r="G68" i="4"/>
  <c r="P67" i="4"/>
  <c r="O67" i="4"/>
  <c r="N67" i="4"/>
  <c r="L67" i="4"/>
  <c r="K67" i="4"/>
  <c r="I67" i="4"/>
  <c r="H67" i="4"/>
  <c r="G67" i="4"/>
  <c r="O66" i="4"/>
  <c r="N66" i="4"/>
  <c r="M66" i="4"/>
  <c r="L66" i="4"/>
  <c r="K66" i="4"/>
  <c r="I66" i="4"/>
  <c r="H66" i="4"/>
  <c r="G66" i="4"/>
  <c r="J72" i="13"/>
  <c r="I72" i="13"/>
  <c r="H72" i="13"/>
  <c r="F72" i="13"/>
  <c r="E72" i="13"/>
  <c r="J71" i="13"/>
  <c r="I71" i="13"/>
  <c r="H71" i="13"/>
  <c r="F71" i="13"/>
  <c r="E71" i="13"/>
  <c r="I70" i="13"/>
  <c r="H70" i="13"/>
  <c r="G70" i="13"/>
  <c r="F70" i="13"/>
  <c r="E70" i="13"/>
  <c r="I69" i="13"/>
  <c r="H69" i="13"/>
  <c r="G69" i="13"/>
  <c r="F69" i="13"/>
  <c r="E69" i="13"/>
  <c r="J68" i="13"/>
  <c r="I68" i="13"/>
  <c r="H68" i="13"/>
  <c r="F68" i="13"/>
  <c r="E68" i="13"/>
  <c r="J67" i="13"/>
  <c r="I67" i="13"/>
  <c r="H67" i="13"/>
  <c r="F67" i="13"/>
  <c r="E67" i="13"/>
  <c r="I66" i="13"/>
  <c r="H66" i="13"/>
  <c r="G66" i="13"/>
  <c r="F66" i="13"/>
  <c r="E66" i="13"/>
  <c r="P72" i="15"/>
  <c r="O72" i="15"/>
  <c r="N72" i="15"/>
  <c r="L72" i="15"/>
  <c r="K72" i="15"/>
  <c r="J72" i="15"/>
  <c r="G72" i="15"/>
  <c r="P71" i="15"/>
  <c r="O71" i="15"/>
  <c r="N71" i="15"/>
  <c r="L71" i="15"/>
  <c r="K71" i="15"/>
  <c r="I71" i="15"/>
  <c r="H71" i="15"/>
  <c r="G71" i="15"/>
  <c r="O70" i="15"/>
  <c r="N70" i="15"/>
  <c r="M70" i="15"/>
  <c r="L70" i="15"/>
  <c r="K70" i="15"/>
  <c r="J70" i="15"/>
  <c r="G70" i="15"/>
  <c r="O69" i="15"/>
  <c r="N69" i="15"/>
  <c r="M69" i="15"/>
  <c r="L69" i="15"/>
  <c r="K69" i="15"/>
  <c r="I69" i="15"/>
  <c r="H69" i="15"/>
  <c r="G69" i="15"/>
  <c r="P68" i="15"/>
  <c r="O68" i="15"/>
  <c r="N68" i="15"/>
  <c r="L68" i="15"/>
  <c r="K68" i="15"/>
  <c r="J68" i="15"/>
  <c r="G68" i="15"/>
  <c r="P67" i="15"/>
  <c r="O67" i="15"/>
  <c r="N67" i="15"/>
  <c r="L67" i="15"/>
  <c r="K67" i="15"/>
  <c r="I67" i="15"/>
  <c r="H67" i="15"/>
  <c r="G67" i="15"/>
  <c r="O66" i="15"/>
  <c r="N66" i="15"/>
  <c r="M66" i="15"/>
  <c r="L66" i="15"/>
  <c r="K66" i="15"/>
  <c r="I66" i="15"/>
  <c r="H66" i="15"/>
  <c r="G66" i="15"/>
  <c r="F58" i="1" l="1"/>
  <c r="F59" i="1" s="1"/>
  <c r="P70" i="15"/>
  <c r="F68" i="2"/>
  <c r="F70" i="15" s="1"/>
  <c r="E70" i="15"/>
  <c r="T70" i="15" s="1"/>
  <c r="H70" i="2"/>
  <c r="I72" i="4" s="1"/>
  <c r="J70" i="13"/>
  <c r="O65" i="1"/>
  <c r="O65" i="3" s="1"/>
  <c r="F66" i="1"/>
  <c r="N69" i="13"/>
  <c r="F67" i="1"/>
  <c r="E67" i="15"/>
  <c r="T67" i="15" s="1"/>
  <c r="N66" i="13"/>
  <c r="N71" i="13"/>
  <c r="F70" i="1"/>
  <c r="G67" i="13"/>
  <c r="N70" i="13"/>
  <c r="O72" i="13"/>
  <c r="O69" i="13"/>
  <c r="N72" i="13"/>
  <c r="O66" i="13"/>
  <c r="K73" i="4"/>
  <c r="J69" i="4"/>
  <c r="M72" i="4"/>
  <c r="G72" i="13"/>
  <c r="M67" i="15"/>
  <c r="N73" i="4"/>
  <c r="K73" i="15"/>
  <c r="O68" i="13"/>
  <c r="J66" i="15"/>
  <c r="N73" i="15"/>
  <c r="N67" i="13"/>
  <c r="O73" i="15"/>
  <c r="O67" i="13"/>
  <c r="H72" i="15"/>
  <c r="H68" i="2"/>
  <c r="E70" i="4"/>
  <c r="O68" i="1"/>
  <c r="H68" i="15"/>
  <c r="H68" i="4"/>
  <c r="H66" i="2"/>
  <c r="F69" i="2"/>
  <c r="E71" i="15"/>
  <c r="T71" i="15" s="1"/>
  <c r="O69" i="1"/>
  <c r="E67" i="4"/>
  <c r="T67" i="4" s="1"/>
  <c r="E66" i="15"/>
  <c r="F64" i="2"/>
  <c r="E66" i="4"/>
  <c r="T66" i="4" s="1"/>
  <c r="F67" i="4"/>
  <c r="U67" i="4" s="1"/>
  <c r="F67" i="15"/>
  <c r="U67" i="15" s="1"/>
  <c r="J71" i="4"/>
  <c r="J67" i="15"/>
  <c r="M68" i="15"/>
  <c r="M68" i="4"/>
  <c r="G71" i="13"/>
  <c r="M71" i="15"/>
  <c r="P69" i="4"/>
  <c r="P69" i="15"/>
  <c r="J66" i="13"/>
  <c r="P66" i="4"/>
  <c r="T71" i="4"/>
  <c r="N68" i="13"/>
  <c r="H73" i="13"/>
  <c r="L73" i="15"/>
  <c r="I73" i="13"/>
  <c r="O73" i="4"/>
  <c r="O70" i="13"/>
  <c r="L73" i="4"/>
  <c r="O71" i="13"/>
  <c r="E73" i="13"/>
  <c r="F73" i="13"/>
  <c r="F70" i="4" l="1"/>
  <c r="I72" i="15"/>
  <c r="O68" i="2"/>
  <c r="O68" i="3" s="1"/>
  <c r="F70" i="2"/>
  <c r="E72" i="15"/>
  <c r="T72" i="15" s="1"/>
  <c r="O67" i="1"/>
  <c r="E69" i="15"/>
  <c r="T69" i="15" s="1"/>
  <c r="F67" i="2"/>
  <c r="E69" i="4"/>
  <c r="T69" i="4" s="1"/>
  <c r="T66" i="15"/>
  <c r="E72" i="4"/>
  <c r="T72" i="4" s="1"/>
  <c r="E68" i="15"/>
  <c r="T68" i="15" s="1"/>
  <c r="E68" i="4"/>
  <c r="T68" i="4" s="1"/>
  <c r="F66" i="2"/>
  <c r="O66" i="2" s="1"/>
  <c r="O66" i="1"/>
  <c r="O70" i="1"/>
  <c r="M73" i="15"/>
  <c r="P73" i="4"/>
  <c r="H73" i="4"/>
  <c r="N73" i="13"/>
  <c r="P73" i="15"/>
  <c r="O73" i="13"/>
  <c r="I70" i="15"/>
  <c r="U70" i="15" s="1"/>
  <c r="I70" i="4"/>
  <c r="U70" i="4" s="1"/>
  <c r="T70" i="4"/>
  <c r="I68" i="15"/>
  <c r="I68" i="4"/>
  <c r="H73" i="15"/>
  <c r="F71" i="4"/>
  <c r="U71" i="4" s="1"/>
  <c r="F71" i="15"/>
  <c r="U71" i="15" s="1"/>
  <c r="O69" i="2"/>
  <c r="O69" i="3" s="1"/>
  <c r="O64" i="2"/>
  <c r="O64" i="3" s="1"/>
  <c r="F66" i="4"/>
  <c r="U66" i="4" s="1"/>
  <c r="F66" i="15"/>
  <c r="Q73" i="13"/>
  <c r="J73" i="13"/>
  <c r="M73" i="4"/>
  <c r="R73" i="13"/>
  <c r="G73" i="13"/>
  <c r="O66" i="3" l="1"/>
  <c r="E73" i="15"/>
  <c r="T73" i="15"/>
  <c r="F69" i="15"/>
  <c r="U69" i="15" s="1"/>
  <c r="F69" i="4"/>
  <c r="U69" i="4" s="1"/>
  <c r="O67" i="2"/>
  <c r="O67" i="3" s="1"/>
  <c r="T73" i="4"/>
  <c r="E73" i="4"/>
  <c r="F68" i="4"/>
  <c r="U68" i="4" s="1"/>
  <c r="F68" i="15"/>
  <c r="U68" i="15" s="1"/>
  <c r="F72" i="4"/>
  <c r="U72" i="4" s="1"/>
  <c r="F72" i="15"/>
  <c r="U72" i="15" s="1"/>
  <c r="O70" i="2"/>
  <c r="O70" i="3" s="1"/>
  <c r="I73" i="15"/>
  <c r="W73" i="15"/>
  <c r="I73" i="4"/>
  <c r="U66" i="15"/>
  <c r="U73" i="4" l="1"/>
  <c r="F73" i="15"/>
  <c r="X73" i="15" s="1"/>
  <c r="W73" i="4"/>
  <c r="F73" i="4"/>
  <c r="G73" i="4" s="1"/>
  <c r="U73" i="15"/>
  <c r="J73" i="15"/>
  <c r="J73" i="4"/>
  <c r="G73" i="15" l="1"/>
  <c r="X73" i="4"/>
  <c r="F56" i="1"/>
  <c r="F60" i="1" s="1"/>
  <c r="H56" i="2"/>
  <c r="I58" i="4" s="1"/>
  <c r="F56" i="2"/>
  <c r="F58" i="15" s="1"/>
  <c r="F61" i="2"/>
  <c r="F63" i="4" s="1"/>
  <c r="F60" i="2"/>
  <c r="F62" i="4" s="1"/>
  <c r="H52" i="1"/>
  <c r="F53" i="1"/>
  <c r="H62" i="4"/>
  <c r="H63" i="15"/>
  <c r="E64" i="15"/>
  <c r="E63" i="4"/>
  <c r="F57" i="1"/>
  <c r="E59" i="15" s="1"/>
  <c r="L56" i="3"/>
  <c r="J58" i="13" s="1"/>
  <c r="L60" i="3"/>
  <c r="L59" i="3"/>
  <c r="J62" i="3"/>
  <c r="M64" i="15" s="1"/>
  <c r="J61" i="3"/>
  <c r="J58" i="3"/>
  <c r="G60" i="13" s="1"/>
  <c r="J57" i="3"/>
  <c r="G59" i="13" s="1"/>
  <c r="H62" i="3"/>
  <c r="J64" i="15" s="1"/>
  <c r="H59" i="3"/>
  <c r="J61" i="4" s="1"/>
  <c r="H58" i="3"/>
  <c r="J60" i="4" s="1"/>
  <c r="F57" i="2"/>
  <c r="J64" i="13"/>
  <c r="I64" i="13"/>
  <c r="H64" i="13"/>
  <c r="F64" i="13"/>
  <c r="E64" i="13"/>
  <c r="P64" i="4"/>
  <c r="O64" i="4"/>
  <c r="N64" i="4"/>
  <c r="L64" i="4"/>
  <c r="K64" i="4"/>
  <c r="I64" i="4"/>
  <c r="H64" i="4"/>
  <c r="G64" i="4"/>
  <c r="P63" i="4"/>
  <c r="O63" i="4"/>
  <c r="N63" i="4"/>
  <c r="L63" i="4"/>
  <c r="K63" i="4"/>
  <c r="J63" i="4"/>
  <c r="G63" i="4"/>
  <c r="O62" i="4"/>
  <c r="N62" i="4"/>
  <c r="M62" i="4"/>
  <c r="L62" i="4"/>
  <c r="K62" i="4"/>
  <c r="J62" i="4"/>
  <c r="G62" i="4"/>
  <c r="E62" i="4"/>
  <c r="O61" i="4"/>
  <c r="N61" i="4"/>
  <c r="M61" i="4"/>
  <c r="L61" i="4"/>
  <c r="K61" i="4"/>
  <c r="I61" i="4"/>
  <c r="H61" i="4"/>
  <c r="G61" i="4"/>
  <c r="P60" i="4"/>
  <c r="O60" i="4"/>
  <c r="N60" i="4"/>
  <c r="L60" i="4"/>
  <c r="K60" i="4"/>
  <c r="I60" i="4"/>
  <c r="H60" i="4"/>
  <c r="G60" i="4"/>
  <c r="P59" i="4"/>
  <c r="O59" i="4"/>
  <c r="N59" i="4"/>
  <c r="L59" i="4"/>
  <c r="K59" i="4"/>
  <c r="J59" i="4"/>
  <c r="O58" i="4"/>
  <c r="N58" i="4"/>
  <c r="M58" i="4"/>
  <c r="L58" i="4"/>
  <c r="K58" i="4"/>
  <c r="J58" i="4"/>
  <c r="G58" i="4"/>
  <c r="P64" i="15"/>
  <c r="O64" i="15"/>
  <c r="N64" i="15"/>
  <c r="L64" i="15"/>
  <c r="K64" i="15"/>
  <c r="I64" i="15"/>
  <c r="H64" i="15"/>
  <c r="G64" i="15"/>
  <c r="P63" i="15"/>
  <c r="O63" i="15"/>
  <c r="N63" i="15"/>
  <c r="L63" i="15"/>
  <c r="K63" i="15"/>
  <c r="J63" i="15"/>
  <c r="G63" i="15"/>
  <c r="O62" i="15"/>
  <c r="N62" i="15"/>
  <c r="M62" i="15"/>
  <c r="L62" i="15"/>
  <c r="K62" i="15"/>
  <c r="J62" i="15"/>
  <c r="H62" i="15"/>
  <c r="G62" i="15"/>
  <c r="O61" i="15"/>
  <c r="N61" i="15"/>
  <c r="M61" i="15"/>
  <c r="L61" i="15"/>
  <c r="K61" i="15"/>
  <c r="I61" i="15"/>
  <c r="H61" i="15"/>
  <c r="G61" i="15"/>
  <c r="P60" i="15"/>
  <c r="O60" i="15"/>
  <c r="N60" i="15"/>
  <c r="L60" i="15"/>
  <c r="K60" i="15"/>
  <c r="I60" i="15"/>
  <c r="H60" i="15"/>
  <c r="G60" i="15"/>
  <c r="P59" i="15"/>
  <c r="O59" i="15"/>
  <c r="N59" i="15"/>
  <c r="L59" i="15"/>
  <c r="K59" i="15"/>
  <c r="J59" i="15"/>
  <c r="O58" i="15"/>
  <c r="N58" i="15"/>
  <c r="M58" i="15"/>
  <c r="L58" i="15"/>
  <c r="K58" i="15"/>
  <c r="J58" i="15"/>
  <c r="H58" i="15"/>
  <c r="G58" i="15"/>
  <c r="H49" i="1"/>
  <c r="H50" i="1"/>
  <c r="H54" i="1"/>
  <c r="F48" i="1"/>
  <c r="F49" i="1" s="1"/>
  <c r="E58" i="15" l="1"/>
  <c r="O56" i="1"/>
  <c r="P62" i="15"/>
  <c r="J62" i="13"/>
  <c r="M63" i="15"/>
  <c r="G63" i="13"/>
  <c r="P61" i="15"/>
  <c r="J61" i="13"/>
  <c r="E59" i="4"/>
  <c r="O57" i="1"/>
  <c r="J60" i="15"/>
  <c r="I58" i="15"/>
  <c r="U58" i="15" s="1"/>
  <c r="F57" i="3"/>
  <c r="G59" i="15" s="1"/>
  <c r="N64" i="13"/>
  <c r="J61" i="15"/>
  <c r="J64" i="4"/>
  <c r="F52" i="1"/>
  <c r="H61" i="2"/>
  <c r="O61" i="2" s="1"/>
  <c r="F62" i="2"/>
  <c r="F64" i="4" s="1"/>
  <c r="U64" i="4" s="1"/>
  <c r="O62" i="1"/>
  <c r="H57" i="2"/>
  <c r="I59" i="15" s="1"/>
  <c r="H60" i="2"/>
  <c r="I62" i="15" s="1"/>
  <c r="H59" i="15"/>
  <c r="T59" i="15" s="1"/>
  <c r="O60" i="1"/>
  <c r="O64" i="13"/>
  <c r="M59" i="15"/>
  <c r="M59" i="4"/>
  <c r="F63" i="15"/>
  <c r="P58" i="4"/>
  <c r="P58" i="15"/>
  <c r="M60" i="15"/>
  <c r="N65" i="4"/>
  <c r="K65" i="15"/>
  <c r="K65" i="4"/>
  <c r="O65" i="4"/>
  <c r="F58" i="4"/>
  <c r="U58" i="4" s="1"/>
  <c r="O56" i="2"/>
  <c r="O56" i="3" s="1"/>
  <c r="F62" i="15"/>
  <c r="E62" i="15"/>
  <c r="T62" i="15" s="1"/>
  <c r="H63" i="4"/>
  <c r="T63" i="4" s="1"/>
  <c r="E64" i="4"/>
  <c r="T64" i="4" s="1"/>
  <c r="H59" i="4"/>
  <c r="H58" i="4"/>
  <c r="E63" i="15"/>
  <c r="T63" i="15" s="1"/>
  <c r="O61" i="1"/>
  <c r="E58" i="4"/>
  <c r="P62" i="4"/>
  <c r="P61" i="4"/>
  <c r="M64" i="4"/>
  <c r="G64" i="13"/>
  <c r="M63" i="4"/>
  <c r="M60" i="4"/>
  <c r="L65" i="15"/>
  <c r="I65" i="13"/>
  <c r="O65" i="15"/>
  <c r="L65" i="4"/>
  <c r="F59" i="15"/>
  <c r="F59" i="4"/>
  <c r="E65" i="13"/>
  <c r="T64" i="15"/>
  <c r="T62" i="4"/>
  <c r="H65" i="13"/>
  <c r="H123" i="13" s="1"/>
  <c r="Q124" i="13" s="1"/>
  <c r="N65" i="15"/>
  <c r="F65" i="13"/>
  <c r="T58" i="15"/>
  <c r="H45" i="1"/>
  <c r="T59" i="4" l="1"/>
  <c r="O62" i="2"/>
  <c r="O62" i="3" s="1"/>
  <c r="G59" i="4"/>
  <c r="F64" i="15"/>
  <c r="U64" i="15" s="1"/>
  <c r="I63" i="15"/>
  <c r="U63" i="15" s="1"/>
  <c r="I63" i="4"/>
  <c r="U63" i="4" s="1"/>
  <c r="O60" i="2"/>
  <c r="O60" i="3" s="1"/>
  <c r="U62" i="15"/>
  <c r="O57" i="2"/>
  <c r="O57" i="3" s="1"/>
  <c r="I62" i="4"/>
  <c r="U62" i="4" s="1"/>
  <c r="U59" i="15"/>
  <c r="H65" i="15"/>
  <c r="F58" i="2"/>
  <c r="E60" i="15"/>
  <c r="O58" i="1"/>
  <c r="E60" i="4"/>
  <c r="T60" i="4" s="1"/>
  <c r="I59" i="4"/>
  <c r="U59" i="4" s="1"/>
  <c r="M65" i="15"/>
  <c r="H65" i="4"/>
  <c r="O65" i="13"/>
  <c r="O61" i="3"/>
  <c r="P65" i="4"/>
  <c r="T58" i="4"/>
  <c r="M65" i="4"/>
  <c r="P65" i="15"/>
  <c r="J65" i="13"/>
  <c r="Q65" i="13"/>
  <c r="N65" i="13"/>
  <c r="N123" i="13" s="1"/>
  <c r="R65" i="13"/>
  <c r="G65" i="13"/>
  <c r="H56" i="4"/>
  <c r="H52" i="2"/>
  <c r="I54" i="4" s="1"/>
  <c r="H52" i="4"/>
  <c r="E51" i="15"/>
  <c r="H37" i="1"/>
  <c r="H39" i="15" s="1"/>
  <c r="H35" i="1"/>
  <c r="H37" i="4" s="1"/>
  <c r="H33" i="1"/>
  <c r="H35" i="15" s="1"/>
  <c r="H39" i="1"/>
  <c r="H39" i="2" s="1"/>
  <c r="I41" i="4" s="1"/>
  <c r="H38" i="1"/>
  <c r="H40" i="4" s="1"/>
  <c r="F50" i="1"/>
  <c r="O50" i="1" s="1"/>
  <c r="F53" i="2"/>
  <c r="E50" i="15"/>
  <c r="F44" i="1"/>
  <c r="E46" i="4" s="1"/>
  <c r="F42" i="1"/>
  <c r="E44" i="15" s="1"/>
  <c r="F36" i="1"/>
  <c r="E38" i="15" s="1"/>
  <c r="F34" i="1"/>
  <c r="F39" i="1" s="1"/>
  <c r="O39" i="1" s="1"/>
  <c r="L54" i="2"/>
  <c r="I56" i="13" s="1"/>
  <c r="F48" i="2"/>
  <c r="F50" i="15" s="1"/>
  <c r="H54" i="2"/>
  <c r="I56" i="15" s="1"/>
  <c r="H50" i="2"/>
  <c r="I52" i="15" s="1"/>
  <c r="H49" i="2"/>
  <c r="I51" i="15" s="1"/>
  <c r="H45" i="2"/>
  <c r="I47" i="4" s="1"/>
  <c r="F52" i="2"/>
  <c r="F54" i="15" s="1"/>
  <c r="F34" i="2"/>
  <c r="J33" i="3"/>
  <c r="G35" i="13" s="1"/>
  <c r="L34" i="3"/>
  <c r="L35" i="3"/>
  <c r="J36" i="3"/>
  <c r="J37" i="3"/>
  <c r="G39" i="13" s="1"/>
  <c r="L38" i="3"/>
  <c r="L39" i="3"/>
  <c r="J41" i="3"/>
  <c r="G43" i="13" s="1"/>
  <c r="L42" i="3"/>
  <c r="L43" i="3"/>
  <c r="J45" i="3"/>
  <c r="J44" i="3"/>
  <c r="L46" i="3"/>
  <c r="J49" i="3"/>
  <c r="J48" i="3"/>
  <c r="L50" i="3"/>
  <c r="L51" i="3"/>
  <c r="J53" i="13" s="1"/>
  <c r="P56" i="4"/>
  <c r="J52" i="3"/>
  <c r="J53" i="3"/>
  <c r="G55" i="13" s="1"/>
  <c r="H53" i="3"/>
  <c r="J55" i="4" s="1"/>
  <c r="H51" i="3"/>
  <c r="J53" i="4" s="1"/>
  <c r="H48" i="3"/>
  <c r="J50" i="4" s="1"/>
  <c r="H44" i="3"/>
  <c r="J46" i="4" s="1"/>
  <c r="H41" i="3"/>
  <c r="J43" i="4" s="1"/>
  <c r="H36" i="3"/>
  <c r="J38" i="15" s="1"/>
  <c r="H34" i="3"/>
  <c r="J36" i="4" s="1"/>
  <c r="N56" i="4"/>
  <c r="M56" i="4"/>
  <c r="L56" i="4"/>
  <c r="K56" i="4"/>
  <c r="J56" i="4"/>
  <c r="G56" i="4"/>
  <c r="P55" i="4"/>
  <c r="O55" i="4"/>
  <c r="N55" i="4"/>
  <c r="L55" i="4"/>
  <c r="K55" i="4"/>
  <c r="I55" i="4"/>
  <c r="H55" i="4"/>
  <c r="G55" i="4"/>
  <c r="E55" i="4"/>
  <c r="P54" i="4"/>
  <c r="O54" i="4"/>
  <c r="N54" i="4"/>
  <c r="L54" i="4"/>
  <c r="K54" i="4"/>
  <c r="J54" i="4"/>
  <c r="H54" i="4"/>
  <c r="G54" i="4"/>
  <c r="E54" i="4"/>
  <c r="O53" i="4"/>
  <c r="N53" i="4"/>
  <c r="M53" i="4"/>
  <c r="L53" i="4"/>
  <c r="K53" i="4"/>
  <c r="I53" i="4"/>
  <c r="H53" i="4"/>
  <c r="G53" i="4"/>
  <c r="O52" i="4"/>
  <c r="N52" i="4"/>
  <c r="M52" i="4"/>
  <c r="L52" i="4"/>
  <c r="K52" i="4"/>
  <c r="J52" i="4"/>
  <c r="G52" i="4"/>
  <c r="P51" i="4"/>
  <c r="O51" i="4"/>
  <c r="N51" i="4"/>
  <c r="L51" i="4"/>
  <c r="K51" i="4"/>
  <c r="J51" i="4"/>
  <c r="H51" i="4"/>
  <c r="G51" i="4"/>
  <c r="P50" i="4"/>
  <c r="O50" i="4"/>
  <c r="N50" i="4"/>
  <c r="L50" i="4"/>
  <c r="K50" i="4"/>
  <c r="I50" i="4"/>
  <c r="H50" i="4"/>
  <c r="G50" i="4"/>
  <c r="E50" i="4"/>
  <c r="O48" i="4"/>
  <c r="N48" i="4"/>
  <c r="M48" i="4"/>
  <c r="L48" i="4"/>
  <c r="K48" i="4"/>
  <c r="J48" i="4"/>
  <c r="G48" i="4"/>
  <c r="P47" i="4"/>
  <c r="O47" i="4"/>
  <c r="N47" i="4"/>
  <c r="L47" i="4"/>
  <c r="K47" i="4"/>
  <c r="J47" i="4"/>
  <c r="H47" i="4"/>
  <c r="G47" i="4"/>
  <c r="P46" i="4"/>
  <c r="O46" i="4"/>
  <c r="N46" i="4"/>
  <c r="L46" i="4"/>
  <c r="K46" i="4"/>
  <c r="I46" i="4"/>
  <c r="H46" i="4"/>
  <c r="G46" i="4"/>
  <c r="O45" i="4"/>
  <c r="N45" i="4"/>
  <c r="M45" i="4"/>
  <c r="L45" i="4"/>
  <c r="K45" i="4"/>
  <c r="J45" i="4"/>
  <c r="G45" i="4"/>
  <c r="O44" i="4"/>
  <c r="N44" i="4"/>
  <c r="M44" i="4"/>
  <c r="L44" i="4"/>
  <c r="K44" i="4"/>
  <c r="J44" i="4"/>
  <c r="G44" i="4"/>
  <c r="P43" i="4"/>
  <c r="O43" i="4"/>
  <c r="N43" i="4"/>
  <c r="L43" i="4"/>
  <c r="K43" i="4"/>
  <c r="I43" i="4"/>
  <c r="H43" i="4"/>
  <c r="G43" i="4"/>
  <c r="O41" i="4"/>
  <c r="N41" i="4"/>
  <c r="M41" i="4"/>
  <c r="L41" i="4"/>
  <c r="K41" i="4"/>
  <c r="J41" i="4"/>
  <c r="H41" i="4"/>
  <c r="G41" i="4"/>
  <c r="O40" i="4"/>
  <c r="N40" i="4"/>
  <c r="M40" i="4"/>
  <c r="L40" i="4"/>
  <c r="K40" i="4"/>
  <c r="J40" i="4"/>
  <c r="G40" i="4"/>
  <c r="P39" i="4"/>
  <c r="O39" i="4"/>
  <c r="N39" i="4"/>
  <c r="L39" i="4"/>
  <c r="K39" i="4"/>
  <c r="J39" i="4"/>
  <c r="G39" i="4"/>
  <c r="P38" i="4"/>
  <c r="O38" i="4"/>
  <c r="N38" i="4"/>
  <c r="L38" i="4"/>
  <c r="K38" i="4"/>
  <c r="I38" i="4"/>
  <c r="H38" i="4"/>
  <c r="G38" i="4"/>
  <c r="O37" i="4"/>
  <c r="N37" i="4"/>
  <c r="M37" i="4"/>
  <c r="L37" i="4"/>
  <c r="K37" i="4"/>
  <c r="J37" i="4"/>
  <c r="G37" i="4"/>
  <c r="O36" i="4"/>
  <c r="N36" i="4"/>
  <c r="M36" i="4"/>
  <c r="L36" i="4"/>
  <c r="K36" i="4"/>
  <c r="I36" i="4"/>
  <c r="H36" i="4"/>
  <c r="P35" i="4"/>
  <c r="O35" i="4"/>
  <c r="N35" i="4"/>
  <c r="L35" i="4"/>
  <c r="K35" i="4"/>
  <c r="J35" i="4"/>
  <c r="G35" i="4"/>
  <c r="P56" i="15"/>
  <c r="N56" i="15"/>
  <c r="M56" i="15"/>
  <c r="L56" i="15"/>
  <c r="K56" i="15"/>
  <c r="J56" i="15"/>
  <c r="G56" i="15"/>
  <c r="P55" i="15"/>
  <c r="O55" i="15"/>
  <c r="N55" i="15"/>
  <c r="L55" i="15"/>
  <c r="K55" i="15"/>
  <c r="I55" i="15"/>
  <c r="H55" i="15"/>
  <c r="G55" i="15"/>
  <c r="E55" i="15"/>
  <c r="P54" i="15"/>
  <c r="O54" i="15"/>
  <c r="N54" i="15"/>
  <c r="L54" i="15"/>
  <c r="K54" i="15"/>
  <c r="J54" i="15"/>
  <c r="H54" i="15"/>
  <c r="G54" i="15"/>
  <c r="E54" i="15"/>
  <c r="O53" i="15"/>
  <c r="N53" i="15"/>
  <c r="M53" i="15"/>
  <c r="L53" i="15"/>
  <c r="K53" i="15"/>
  <c r="I53" i="15"/>
  <c r="H53" i="15"/>
  <c r="G53" i="15"/>
  <c r="O52" i="15"/>
  <c r="N52" i="15"/>
  <c r="M52" i="15"/>
  <c r="L52" i="15"/>
  <c r="K52" i="15"/>
  <c r="J52" i="15"/>
  <c r="H52" i="15"/>
  <c r="G52" i="15"/>
  <c r="P51" i="15"/>
  <c r="O51" i="15"/>
  <c r="N51" i="15"/>
  <c r="L51" i="15"/>
  <c r="K51" i="15"/>
  <c r="J51" i="15"/>
  <c r="H51" i="15"/>
  <c r="G51" i="15"/>
  <c r="P50" i="15"/>
  <c r="O50" i="15"/>
  <c r="N50" i="15"/>
  <c r="L50" i="15"/>
  <c r="K50" i="15"/>
  <c r="I50" i="15"/>
  <c r="H50" i="15"/>
  <c r="G50" i="15"/>
  <c r="O48" i="15"/>
  <c r="N48" i="15"/>
  <c r="M48" i="15"/>
  <c r="L48" i="15"/>
  <c r="K48" i="15"/>
  <c r="J48" i="15"/>
  <c r="G48" i="15"/>
  <c r="P47" i="15"/>
  <c r="O47" i="15"/>
  <c r="N47" i="15"/>
  <c r="L47" i="15"/>
  <c r="K47" i="15"/>
  <c r="J47" i="15"/>
  <c r="H47" i="15"/>
  <c r="G47" i="15"/>
  <c r="P46" i="15"/>
  <c r="O46" i="15"/>
  <c r="N46" i="15"/>
  <c r="L46" i="15"/>
  <c r="K46" i="15"/>
  <c r="I46" i="15"/>
  <c r="H46" i="15"/>
  <c r="G46" i="15"/>
  <c r="O45" i="15"/>
  <c r="N45" i="15"/>
  <c r="M45" i="15"/>
  <c r="L45" i="15"/>
  <c r="K45" i="15"/>
  <c r="J45" i="15"/>
  <c r="G45" i="15"/>
  <c r="O44" i="15"/>
  <c r="N44" i="15"/>
  <c r="M44" i="15"/>
  <c r="L44" i="15"/>
  <c r="K44" i="15"/>
  <c r="J44" i="15"/>
  <c r="G44" i="15"/>
  <c r="P43" i="15"/>
  <c r="O43" i="15"/>
  <c r="N43" i="15"/>
  <c r="L43" i="15"/>
  <c r="K43" i="15"/>
  <c r="I43" i="15"/>
  <c r="H43" i="15"/>
  <c r="G43" i="15"/>
  <c r="O41" i="15"/>
  <c r="N41" i="15"/>
  <c r="M41" i="15"/>
  <c r="L41" i="15"/>
  <c r="K41" i="15"/>
  <c r="J41" i="15"/>
  <c r="H41" i="15"/>
  <c r="G41" i="15"/>
  <c r="O40" i="15"/>
  <c r="N40" i="15"/>
  <c r="M40" i="15"/>
  <c r="L40" i="15"/>
  <c r="K40" i="15"/>
  <c r="J40" i="15"/>
  <c r="G40" i="15"/>
  <c r="P39" i="15"/>
  <c r="O39" i="15"/>
  <c r="N39" i="15"/>
  <c r="L39" i="15"/>
  <c r="K39" i="15"/>
  <c r="J39" i="15"/>
  <c r="G39" i="15"/>
  <c r="P38" i="15"/>
  <c r="O38" i="15"/>
  <c r="N38" i="15"/>
  <c r="L38" i="15"/>
  <c r="K38" i="15"/>
  <c r="I38" i="15"/>
  <c r="H38" i="15"/>
  <c r="G38" i="15"/>
  <c r="O37" i="15"/>
  <c r="N37" i="15"/>
  <c r="M37" i="15"/>
  <c r="L37" i="15"/>
  <c r="K37" i="15"/>
  <c r="J37" i="15"/>
  <c r="G37" i="15"/>
  <c r="O36" i="15"/>
  <c r="N36" i="15"/>
  <c r="M36" i="15"/>
  <c r="L36" i="15"/>
  <c r="K36" i="15"/>
  <c r="I36" i="15"/>
  <c r="H36" i="15"/>
  <c r="P35" i="15"/>
  <c r="O35" i="15"/>
  <c r="N35" i="15"/>
  <c r="L35" i="15"/>
  <c r="K35" i="15"/>
  <c r="J35" i="15"/>
  <c r="G35" i="15"/>
  <c r="O48" i="1"/>
  <c r="O53" i="1"/>
  <c r="O34" i="1" l="1"/>
  <c r="P40" i="4"/>
  <c r="J40" i="13"/>
  <c r="M38" i="4"/>
  <c r="G38" i="13"/>
  <c r="P52" i="15"/>
  <c r="J52" i="13"/>
  <c r="M51" i="15"/>
  <c r="G51" i="13"/>
  <c r="P36" i="4"/>
  <c r="J36" i="13"/>
  <c r="P48" i="4"/>
  <c r="J48" i="13"/>
  <c r="O56" i="13"/>
  <c r="O57" i="13" s="1"/>
  <c r="I57" i="13"/>
  <c r="J57" i="13" s="1"/>
  <c r="M50" i="15"/>
  <c r="G50" i="13"/>
  <c r="M46" i="4"/>
  <c r="G46" i="13"/>
  <c r="M47" i="4"/>
  <c r="G47" i="13"/>
  <c r="P45" i="15"/>
  <c r="J45" i="13"/>
  <c r="P37" i="15"/>
  <c r="J37" i="13"/>
  <c r="P44" i="15"/>
  <c r="J44" i="13"/>
  <c r="M54" i="4"/>
  <c r="G54" i="13"/>
  <c r="P41" i="15"/>
  <c r="J41" i="13"/>
  <c r="E36" i="4"/>
  <c r="T36" i="4" s="1"/>
  <c r="H39" i="4"/>
  <c r="E36" i="15"/>
  <c r="T36" i="15" s="1"/>
  <c r="F36" i="2"/>
  <c r="O36" i="2" s="1"/>
  <c r="I65" i="15"/>
  <c r="J65" i="15" s="1"/>
  <c r="F35" i="1"/>
  <c r="F35" i="2" s="1"/>
  <c r="F37" i="4" s="1"/>
  <c r="F38" i="1"/>
  <c r="E44" i="4"/>
  <c r="E46" i="15"/>
  <c r="T46" i="15" s="1"/>
  <c r="I65" i="4"/>
  <c r="J65" i="4" s="1"/>
  <c r="F34" i="3"/>
  <c r="G36" i="15" s="1"/>
  <c r="O58" i="2"/>
  <c r="O58" i="3" s="1"/>
  <c r="F60" i="4"/>
  <c r="F60" i="15"/>
  <c r="P36" i="15"/>
  <c r="O59" i="1"/>
  <c r="E61" i="4"/>
  <c r="F59" i="2"/>
  <c r="E61" i="15"/>
  <c r="T61" i="15" s="1"/>
  <c r="H40" i="15"/>
  <c r="T60" i="15"/>
  <c r="E52" i="4"/>
  <c r="T52" i="4" s="1"/>
  <c r="H37" i="2"/>
  <c r="I39" i="4" s="1"/>
  <c r="M47" i="15"/>
  <c r="M35" i="15"/>
  <c r="O56" i="15"/>
  <c r="O57" i="15" s="1"/>
  <c r="O56" i="4"/>
  <c r="O57" i="4" s="1"/>
  <c r="F55" i="15"/>
  <c r="U55" i="15" s="1"/>
  <c r="O53" i="2"/>
  <c r="O53" i="3" s="1"/>
  <c r="F45" i="1"/>
  <c r="F41" i="1"/>
  <c r="H42" i="1"/>
  <c r="H42" i="2" s="1"/>
  <c r="I44" i="4" s="1"/>
  <c r="F37" i="1"/>
  <c r="H35" i="2"/>
  <c r="I37" i="15" s="1"/>
  <c r="O36" i="1"/>
  <c r="H37" i="15"/>
  <c r="F42" i="2"/>
  <c r="F44" i="15" s="1"/>
  <c r="F33" i="1"/>
  <c r="H35" i="4"/>
  <c r="F54" i="1"/>
  <c r="O54" i="1" s="1"/>
  <c r="F51" i="1"/>
  <c r="E52" i="15"/>
  <c r="T52" i="15" s="1"/>
  <c r="E38" i="4"/>
  <c r="T38" i="4" s="1"/>
  <c r="F44" i="2"/>
  <c r="F46" i="4" s="1"/>
  <c r="U46" i="4" s="1"/>
  <c r="H33" i="2"/>
  <c r="I35" i="4" s="1"/>
  <c r="F50" i="2"/>
  <c r="F52" i="15" s="1"/>
  <c r="U52" i="15" s="1"/>
  <c r="F46" i="1"/>
  <c r="E48" i="15" s="1"/>
  <c r="F43" i="1"/>
  <c r="M35" i="4"/>
  <c r="O44" i="1"/>
  <c r="J46" i="15"/>
  <c r="M46" i="15"/>
  <c r="J43" i="15"/>
  <c r="J38" i="4"/>
  <c r="I51" i="4"/>
  <c r="J36" i="15"/>
  <c r="M38" i="15"/>
  <c r="P53" i="15"/>
  <c r="M55" i="4"/>
  <c r="P40" i="15"/>
  <c r="P37" i="4"/>
  <c r="K42" i="4"/>
  <c r="N42" i="4"/>
  <c r="K49" i="4"/>
  <c r="T46" i="4"/>
  <c r="P53" i="4"/>
  <c r="N49" i="15"/>
  <c r="M55" i="15"/>
  <c r="L49" i="4"/>
  <c r="P52" i="4"/>
  <c r="L42" i="4"/>
  <c r="M54" i="15"/>
  <c r="O49" i="4"/>
  <c r="N57" i="4"/>
  <c r="H56" i="15"/>
  <c r="H57" i="15" s="1"/>
  <c r="O52" i="1"/>
  <c r="I52" i="4"/>
  <c r="E51" i="4"/>
  <c r="T51" i="4" s="1"/>
  <c r="O49" i="1"/>
  <c r="F49" i="2"/>
  <c r="H57" i="4"/>
  <c r="E47" i="15"/>
  <c r="T47" i="15" s="1"/>
  <c r="H38" i="2"/>
  <c r="E41" i="4"/>
  <c r="T41" i="4" s="1"/>
  <c r="E41" i="15"/>
  <c r="F39" i="2"/>
  <c r="F41" i="15" s="1"/>
  <c r="F55" i="4"/>
  <c r="U55" i="4" s="1"/>
  <c r="F50" i="4"/>
  <c r="U50" i="4" s="1"/>
  <c r="O48" i="2"/>
  <c r="O48" i="3" s="1"/>
  <c r="I54" i="15"/>
  <c r="U54" i="15" s="1"/>
  <c r="I47" i="15"/>
  <c r="I41" i="15"/>
  <c r="I56" i="4"/>
  <c r="F54" i="4"/>
  <c r="U54" i="4" s="1"/>
  <c r="O52" i="2"/>
  <c r="F36" i="4"/>
  <c r="U36" i="4" s="1"/>
  <c r="F36" i="15"/>
  <c r="U36" i="15" s="1"/>
  <c r="O34" i="2"/>
  <c r="O34" i="3" s="1"/>
  <c r="O42" i="15"/>
  <c r="P41" i="4"/>
  <c r="O42" i="4"/>
  <c r="P44" i="4"/>
  <c r="O49" i="15"/>
  <c r="U50" i="15"/>
  <c r="M51" i="4"/>
  <c r="L57" i="4"/>
  <c r="M39" i="4"/>
  <c r="M39" i="15"/>
  <c r="M43" i="4"/>
  <c r="M43" i="15"/>
  <c r="P45" i="4"/>
  <c r="P48" i="15"/>
  <c r="M50" i="4"/>
  <c r="J55" i="15"/>
  <c r="J53" i="15"/>
  <c r="J50" i="15"/>
  <c r="N42" i="15"/>
  <c r="N49" i="4"/>
  <c r="T51" i="15"/>
  <c r="T54" i="15"/>
  <c r="K57" i="15"/>
  <c r="T54" i="4"/>
  <c r="T55" i="15"/>
  <c r="T55" i="4"/>
  <c r="K57" i="4"/>
  <c r="N57" i="15"/>
  <c r="T50" i="4"/>
  <c r="T50" i="15"/>
  <c r="T38" i="15"/>
  <c r="K49" i="15"/>
  <c r="L49" i="15"/>
  <c r="L57" i="15"/>
  <c r="K42" i="15"/>
  <c r="L42" i="15"/>
  <c r="H31" i="1"/>
  <c r="H33" i="4" s="1"/>
  <c r="H30" i="1"/>
  <c r="H26" i="1"/>
  <c r="H28" i="4" s="1"/>
  <c r="F29" i="1"/>
  <c r="F26" i="1" s="1"/>
  <c r="F27" i="1"/>
  <c r="F27" i="2" s="1"/>
  <c r="O27" i="2" s="1"/>
  <c r="F22" i="1"/>
  <c r="F19" i="1" s="1"/>
  <c r="E21" i="4" s="1"/>
  <c r="H27" i="3"/>
  <c r="J29" i="4" s="1"/>
  <c r="L31" i="3"/>
  <c r="L28" i="3"/>
  <c r="J30" i="13" s="1"/>
  <c r="L27" i="3"/>
  <c r="J30" i="3"/>
  <c r="G32" i="13" s="1"/>
  <c r="J29" i="3"/>
  <c r="J26" i="3"/>
  <c r="G28" i="13" s="1"/>
  <c r="H29" i="3"/>
  <c r="J31" i="15" s="1"/>
  <c r="H28" i="3"/>
  <c r="J30" i="4" s="1"/>
  <c r="H24" i="1"/>
  <c r="H24" i="2" s="1"/>
  <c r="I26" i="15" s="1"/>
  <c r="H20" i="1"/>
  <c r="H22" i="4" s="1"/>
  <c r="H18" i="1"/>
  <c r="H20" i="15" s="1"/>
  <c r="N125" i="15"/>
  <c r="K125" i="15"/>
  <c r="J24" i="3"/>
  <c r="G26" i="13" s="1"/>
  <c r="L23" i="3"/>
  <c r="J25" i="13" s="1"/>
  <c r="L22" i="3"/>
  <c r="J24" i="13" s="1"/>
  <c r="J21" i="3"/>
  <c r="J20" i="3"/>
  <c r="L19" i="3"/>
  <c r="J21" i="13" s="1"/>
  <c r="L18" i="3"/>
  <c r="J20" i="13" s="1"/>
  <c r="H23" i="3"/>
  <c r="J25" i="4" s="1"/>
  <c r="H21" i="3"/>
  <c r="J23" i="4" s="1"/>
  <c r="H19" i="3"/>
  <c r="J21" i="4" s="1"/>
  <c r="L22" i="4"/>
  <c r="O33" i="4"/>
  <c r="N33" i="4"/>
  <c r="M33" i="4"/>
  <c r="L33" i="4"/>
  <c r="K33" i="4"/>
  <c r="J33" i="4"/>
  <c r="G33" i="4"/>
  <c r="P32" i="4"/>
  <c r="O32" i="4"/>
  <c r="N32" i="4"/>
  <c r="L32" i="4"/>
  <c r="K32" i="4"/>
  <c r="J32" i="4"/>
  <c r="G32" i="4"/>
  <c r="P31" i="4"/>
  <c r="O31" i="4"/>
  <c r="N31" i="4"/>
  <c r="L31" i="4"/>
  <c r="K31" i="4"/>
  <c r="I31" i="4"/>
  <c r="H31" i="4"/>
  <c r="G31" i="4"/>
  <c r="O30" i="4"/>
  <c r="N30" i="4"/>
  <c r="M30" i="4"/>
  <c r="L30" i="4"/>
  <c r="K30" i="4"/>
  <c r="I30" i="4"/>
  <c r="H30" i="4"/>
  <c r="G30" i="4"/>
  <c r="O29" i="4"/>
  <c r="N29" i="4"/>
  <c r="M29" i="4"/>
  <c r="L29" i="4"/>
  <c r="K29" i="4"/>
  <c r="I29" i="4"/>
  <c r="H29" i="4"/>
  <c r="G29" i="4"/>
  <c r="P28" i="4"/>
  <c r="O28" i="4"/>
  <c r="N28" i="4"/>
  <c r="L28" i="4"/>
  <c r="K28" i="4"/>
  <c r="J28" i="4"/>
  <c r="G28" i="4"/>
  <c r="O33" i="15"/>
  <c r="N33" i="15"/>
  <c r="M33" i="15"/>
  <c r="L33" i="15"/>
  <c r="K33" i="15"/>
  <c r="J33" i="15"/>
  <c r="G33" i="15"/>
  <c r="P32" i="15"/>
  <c r="O32" i="15"/>
  <c r="N32" i="15"/>
  <c r="L32" i="15"/>
  <c r="K32" i="15"/>
  <c r="J32" i="15"/>
  <c r="G32" i="15"/>
  <c r="P31" i="15"/>
  <c r="O31" i="15"/>
  <c r="N31" i="15"/>
  <c r="L31" i="15"/>
  <c r="K31" i="15"/>
  <c r="I31" i="15"/>
  <c r="H31" i="15"/>
  <c r="G31" i="15"/>
  <c r="E31" i="15"/>
  <c r="O30" i="15"/>
  <c r="N30" i="15"/>
  <c r="M30" i="15"/>
  <c r="L30" i="15"/>
  <c r="K30" i="15"/>
  <c r="I30" i="15"/>
  <c r="H30" i="15"/>
  <c r="G30" i="15"/>
  <c r="O29" i="15"/>
  <c r="N29" i="15"/>
  <c r="M29" i="15"/>
  <c r="L29" i="15"/>
  <c r="K29" i="15"/>
  <c r="I29" i="15"/>
  <c r="H29" i="15"/>
  <c r="G29" i="15"/>
  <c r="P28" i="15"/>
  <c r="O28" i="15"/>
  <c r="N28" i="15"/>
  <c r="L28" i="15"/>
  <c r="K28" i="15"/>
  <c r="J28" i="15"/>
  <c r="G28" i="15"/>
  <c r="O20" i="15"/>
  <c r="L26" i="15"/>
  <c r="L23" i="15"/>
  <c r="I21" i="15"/>
  <c r="I23" i="15"/>
  <c r="I25" i="15"/>
  <c r="F18" i="1"/>
  <c r="F18" i="2" s="1"/>
  <c r="F20" i="4" s="1"/>
  <c r="F20" i="1"/>
  <c r="F21" i="1" s="1"/>
  <c r="P26" i="4"/>
  <c r="O26" i="4"/>
  <c r="N26" i="4"/>
  <c r="K26" i="4"/>
  <c r="J26" i="4"/>
  <c r="G26" i="4"/>
  <c r="N25" i="4"/>
  <c r="M25" i="4"/>
  <c r="L25" i="4"/>
  <c r="K25" i="4"/>
  <c r="H25" i="4"/>
  <c r="G25" i="4"/>
  <c r="N24" i="4"/>
  <c r="M24" i="4"/>
  <c r="L24" i="4"/>
  <c r="K24" i="4"/>
  <c r="J24" i="4"/>
  <c r="G24" i="4"/>
  <c r="P23" i="4"/>
  <c r="O23" i="4"/>
  <c r="N23" i="4"/>
  <c r="K23" i="4"/>
  <c r="H23" i="4"/>
  <c r="G23" i="4"/>
  <c r="P22" i="4"/>
  <c r="O22" i="4"/>
  <c r="N22" i="4"/>
  <c r="K22" i="4"/>
  <c r="J22" i="4"/>
  <c r="G22" i="4"/>
  <c r="N21" i="4"/>
  <c r="M21" i="4"/>
  <c r="L21" i="4"/>
  <c r="K21" i="4"/>
  <c r="H21" i="4"/>
  <c r="G21" i="4"/>
  <c r="N20" i="4"/>
  <c r="M20" i="4"/>
  <c r="L20" i="4"/>
  <c r="K20" i="4"/>
  <c r="J20" i="4"/>
  <c r="G20" i="4"/>
  <c r="P26" i="15"/>
  <c r="O26" i="15"/>
  <c r="N26" i="15"/>
  <c r="K26" i="15"/>
  <c r="J26" i="15"/>
  <c r="G26" i="15"/>
  <c r="N25" i="15"/>
  <c r="M25" i="15"/>
  <c r="L25" i="15"/>
  <c r="K25" i="15"/>
  <c r="H25" i="15"/>
  <c r="G25" i="15"/>
  <c r="N24" i="15"/>
  <c r="M24" i="15"/>
  <c r="L24" i="15"/>
  <c r="K24" i="15"/>
  <c r="J24" i="15"/>
  <c r="G24" i="15"/>
  <c r="P23" i="15"/>
  <c r="O23" i="15"/>
  <c r="N23" i="15"/>
  <c r="K23" i="15"/>
  <c r="H23" i="15"/>
  <c r="G23" i="15"/>
  <c r="P22" i="15"/>
  <c r="O22" i="15"/>
  <c r="N22" i="15"/>
  <c r="K22" i="15"/>
  <c r="J22" i="15"/>
  <c r="G22" i="15"/>
  <c r="N21" i="15"/>
  <c r="M21" i="15"/>
  <c r="L21" i="15"/>
  <c r="K21" i="15"/>
  <c r="H21" i="15"/>
  <c r="G21" i="15"/>
  <c r="N20" i="15"/>
  <c r="M20" i="15"/>
  <c r="L20" i="15"/>
  <c r="K20" i="15"/>
  <c r="J20" i="15"/>
  <c r="G20" i="15"/>
  <c r="H42" i="4" l="1"/>
  <c r="E37" i="4"/>
  <c r="T37" i="4" s="1"/>
  <c r="E37" i="15"/>
  <c r="O36" i="3"/>
  <c r="E20" i="4"/>
  <c r="F38" i="4"/>
  <c r="U38" i="4" s="1"/>
  <c r="F37" i="15"/>
  <c r="U37" i="15" s="1"/>
  <c r="P33" i="4"/>
  <c r="J33" i="13"/>
  <c r="M22" i="4"/>
  <c r="G22" i="13"/>
  <c r="M23" i="4"/>
  <c r="G23" i="13"/>
  <c r="M31" i="15"/>
  <c r="G31" i="13"/>
  <c r="P29" i="15"/>
  <c r="J29" i="13"/>
  <c r="F38" i="15"/>
  <c r="U38" i="15" s="1"/>
  <c r="F38" i="2"/>
  <c r="O38" i="2" s="1"/>
  <c r="O38" i="1"/>
  <c r="E40" i="15"/>
  <c r="T40" i="15" s="1"/>
  <c r="E40" i="4"/>
  <c r="T40" i="4" s="1"/>
  <c r="O52" i="3"/>
  <c r="O35" i="1"/>
  <c r="G36" i="4"/>
  <c r="F20" i="2"/>
  <c r="F22" i="4" s="1"/>
  <c r="H22" i="1"/>
  <c r="H24" i="15" s="1"/>
  <c r="O29" i="1"/>
  <c r="O20" i="1"/>
  <c r="E20" i="15"/>
  <c r="E48" i="4"/>
  <c r="T37" i="15"/>
  <c r="H42" i="15"/>
  <c r="F61" i="15"/>
  <c r="U61" i="15" s="1"/>
  <c r="F61" i="4"/>
  <c r="U61" i="4" s="1"/>
  <c r="O59" i="2"/>
  <c r="O59" i="3" s="1"/>
  <c r="T61" i="4"/>
  <c r="T65" i="4" s="1"/>
  <c r="E65" i="4"/>
  <c r="W65" i="4" s="1"/>
  <c r="O27" i="1"/>
  <c r="O27" i="3" s="1"/>
  <c r="E29" i="4"/>
  <c r="T29" i="4" s="1"/>
  <c r="E29" i="15"/>
  <c r="T29" i="15" s="1"/>
  <c r="E65" i="15"/>
  <c r="W65" i="15" s="1"/>
  <c r="U60" i="15"/>
  <c r="U60" i="4"/>
  <c r="I39" i="15"/>
  <c r="T65" i="15"/>
  <c r="E31" i="4"/>
  <c r="T31" i="4" s="1"/>
  <c r="F46" i="15"/>
  <c r="U46" i="15" s="1"/>
  <c r="O44" i="2"/>
  <c r="O44" i="3" s="1"/>
  <c r="F51" i="15"/>
  <c r="U51" i="15" s="1"/>
  <c r="I37" i="4"/>
  <c r="U37" i="4" s="1"/>
  <c r="F52" i="4"/>
  <c r="U52" i="4" s="1"/>
  <c r="O50" i="2"/>
  <c r="O50" i="3" s="1"/>
  <c r="F23" i="1"/>
  <c r="E25" i="15" s="1"/>
  <c r="T25" i="15" s="1"/>
  <c r="E24" i="15"/>
  <c r="O35" i="2"/>
  <c r="H26" i="15"/>
  <c r="E39" i="15"/>
  <c r="T39" i="15" s="1"/>
  <c r="F37" i="2"/>
  <c r="E39" i="4"/>
  <c r="T39" i="4" s="1"/>
  <c r="O37" i="1"/>
  <c r="F29" i="2"/>
  <c r="F31" i="15" s="1"/>
  <c r="U31" i="15" s="1"/>
  <c r="F51" i="2"/>
  <c r="E53" i="4"/>
  <c r="O51" i="1"/>
  <c r="E53" i="15"/>
  <c r="T53" i="15" s="1"/>
  <c r="H46" i="1"/>
  <c r="H43" i="1"/>
  <c r="H44" i="15"/>
  <c r="O42" i="1"/>
  <c r="H44" i="4"/>
  <c r="T44" i="4" s="1"/>
  <c r="F54" i="2"/>
  <c r="E56" i="4"/>
  <c r="T56" i="4" s="1"/>
  <c r="E56" i="15"/>
  <c r="T56" i="15" s="1"/>
  <c r="E43" i="15"/>
  <c r="T43" i="15" s="1"/>
  <c r="O41" i="1"/>
  <c r="E43" i="4"/>
  <c r="F41" i="2"/>
  <c r="F24" i="1"/>
  <c r="E26" i="15" s="1"/>
  <c r="F45" i="2"/>
  <c r="O45" i="1"/>
  <c r="E47" i="4"/>
  <c r="T47" i="4" s="1"/>
  <c r="F30" i="1"/>
  <c r="O30" i="1" s="1"/>
  <c r="H33" i="15"/>
  <c r="F28" i="1"/>
  <c r="I35" i="15"/>
  <c r="F46" i="2"/>
  <c r="F48" i="4" s="1"/>
  <c r="F44" i="4"/>
  <c r="U44" i="4" s="1"/>
  <c r="E45" i="4"/>
  <c r="F43" i="2"/>
  <c r="E45" i="15"/>
  <c r="F33" i="2"/>
  <c r="E35" i="15"/>
  <c r="T35" i="15" s="1"/>
  <c r="O33" i="1"/>
  <c r="E35" i="4"/>
  <c r="T35" i="4" s="1"/>
  <c r="O42" i="2"/>
  <c r="M42" i="4"/>
  <c r="J31" i="4"/>
  <c r="J30" i="15"/>
  <c r="M49" i="4"/>
  <c r="P42" i="4"/>
  <c r="U41" i="15"/>
  <c r="P49" i="4"/>
  <c r="P49" i="15"/>
  <c r="I44" i="15"/>
  <c r="U44" i="15" s="1"/>
  <c r="F51" i="4"/>
  <c r="U51" i="4" s="1"/>
  <c r="I57" i="4"/>
  <c r="J57" i="4" s="1"/>
  <c r="O49" i="2"/>
  <c r="I40" i="4"/>
  <c r="I40" i="15"/>
  <c r="T41" i="15"/>
  <c r="F41" i="4"/>
  <c r="U41" i="4" s="1"/>
  <c r="O39" i="2"/>
  <c r="O39" i="3" s="1"/>
  <c r="I57" i="15"/>
  <c r="J57" i="15" s="1"/>
  <c r="P42" i="15"/>
  <c r="P57" i="15"/>
  <c r="M57" i="15"/>
  <c r="P57" i="4"/>
  <c r="M42" i="15"/>
  <c r="M49" i="15"/>
  <c r="Q49" i="13"/>
  <c r="Q57" i="13"/>
  <c r="M57" i="4"/>
  <c r="R57" i="13"/>
  <c r="R49" i="13"/>
  <c r="Q42" i="13"/>
  <c r="R42" i="13"/>
  <c r="P24" i="15"/>
  <c r="M28" i="4"/>
  <c r="F26" i="2"/>
  <c r="F28" i="4" s="1"/>
  <c r="E28" i="4"/>
  <c r="E28" i="15"/>
  <c r="O26" i="1"/>
  <c r="H31" i="2"/>
  <c r="I33" i="4" s="1"/>
  <c r="F31" i="1"/>
  <c r="E33" i="4" s="1"/>
  <c r="T33" i="4" s="1"/>
  <c r="H26" i="2"/>
  <c r="I28" i="4" s="1"/>
  <c r="H28" i="15"/>
  <c r="P24" i="4"/>
  <c r="M23" i="15"/>
  <c r="P20" i="4"/>
  <c r="M26" i="4"/>
  <c r="M28" i="15"/>
  <c r="M26" i="15"/>
  <c r="J21" i="15"/>
  <c r="J23" i="15"/>
  <c r="J25" i="15"/>
  <c r="M22" i="15"/>
  <c r="P30" i="15"/>
  <c r="P21" i="4"/>
  <c r="K34" i="4"/>
  <c r="P30" i="4"/>
  <c r="K34" i="15"/>
  <c r="P21" i="15"/>
  <c r="O34" i="15"/>
  <c r="N34" i="15"/>
  <c r="N34" i="4"/>
  <c r="M32" i="4"/>
  <c r="M32" i="15"/>
  <c r="P33" i="15"/>
  <c r="T31" i="15"/>
  <c r="H32" i="15"/>
  <c r="H32" i="4"/>
  <c r="H34" i="4" s="1"/>
  <c r="H30" i="2"/>
  <c r="I32" i="4" s="1"/>
  <c r="P29" i="4"/>
  <c r="M31" i="4"/>
  <c r="J29" i="15"/>
  <c r="F29" i="4"/>
  <c r="U29" i="4" s="1"/>
  <c r="F29" i="15"/>
  <c r="U29" i="15" s="1"/>
  <c r="O34" i="4"/>
  <c r="L34" i="15"/>
  <c r="L34" i="4"/>
  <c r="P25" i="15"/>
  <c r="P25" i="4"/>
  <c r="P20" i="15"/>
  <c r="O21" i="15"/>
  <c r="H18" i="2"/>
  <c r="I20" i="15" s="1"/>
  <c r="O21" i="1"/>
  <c r="E23" i="15"/>
  <c r="T23" i="15" s="1"/>
  <c r="F21" i="2"/>
  <c r="F23" i="4" s="1"/>
  <c r="E23" i="4"/>
  <c r="T23" i="4" s="1"/>
  <c r="H20" i="2"/>
  <c r="I22" i="4" s="1"/>
  <c r="I24" i="15"/>
  <c r="F22" i="2"/>
  <c r="F24" i="4" s="1"/>
  <c r="F19" i="2"/>
  <c r="F21" i="4" s="1"/>
  <c r="O20" i="4"/>
  <c r="O21" i="4"/>
  <c r="L23" i="4"/>
  <c r="L26" i="4"/>
  <c r="O25" i="4"/>
  <c r="L22" i="15"/>
  <c r="L27" i="15" s="1"/>
  <c r="I23" i="4"/>
  <c r="I26" i="4"/>
  <c r="I25" i="4"/>
  <c r="O25" i="15"/>
  <c r="I21" i="4"/>
  <c r="O24" i="15"/>
  <c r="O24" i="4"/>
  <c r="F20" i="15"/>
  <c r="H26" i="4"/>
  <c r="H22" i="15"/>
  <c r="E21" i="15"/>
  <c r="T21" i="15" s="1"/>
  <c r="O19" i="1"/>
  <c r="H20" i="4"/>
  <c r="O22" i="1"/>
  <c r="E24" i="4"/>
  <c r="O18" i="1"/>
  <c r="N27" i="15"/>
  <c r="K27" i="15"/>
  <c r="K27" i="4"/>
  <c r="E22" i="4"/>
  <c r="T22" i="4" s="1"/>
  <c r="E22" i="15"/>
  <c r="N27" i="4"/>
  <c r="T21" i="4"/>
  <c r="T20" i="15"/>
  <c r="F24" i="2" l="1"/>
  <c r="F26" i="4" s="1"/>
  <c r="O38" i="3"/>
  <c r="H24" i="4"/>
  <c r="H27" i="4" s="1"/>
  <c r="O35" i="3"/>
  <c r="F40" i="15"/>
  <c r="U40" i="15" s="1"/>
  <c r="F40" i="4"/>
  <c r="U40" i="4" s="1"/>
  <c r="F22" i="15"/>
  <c r="U22" i="4"/>
  <c r="U65" i="15"/>
  <c r="T24" i="15"/>
  <c r="F65" i="4"/>
  <c r="X65" i="4" s="1"/>
  <c r="T42" i="4"/>
  <c r="F65" i="15"/>
  <c r="X65" i="15" s="1"/>
  <c r="E25" i="4"/>
  <c r="T25" i="4" s="1"/>
  <c r="F23" i="2"/>
  <c r="F25" i="4" s="1"/>
  <c r="O23" i="1"/>
  <c r="U65" i="4"/>
  <c r="F48" i="15"/>
  <c r="T57" i="15"/>
  <c r="O49" i="3"/>
  <c r="F31" i="4"/>
  <c r="U31" i="4" s="1"/>
  <c r="O29" i="2"/>
  <c r="O29" i="3" s="1"/>
  <c r="T26" i="15"/>
  <c r="F35" i="4"/>
  <c r="U35" i="4" s="1"/>
  <c r="F35" i="15"/>
  <c r="O33" i="2"/>
  <c r="O33" i="3" s="1"/>
  <c r="E42" i="4"/>
  <c r="W42" i="4" s="1"/>
  <c r="F39" i="15"/>
  <c r="U39" i="15" s="1"/>
  <c r="O37" i="2"/>
  <c r="O37" i="3" s="1"/>
  <c r="F39" i="4"/>
  <c r="U39" i="4" s="1"/>
  <c r="F45" i="4"/>
  <c r="F45" i="15"/>
  <c r="T44" i="15"/>
  <c r="H45" i="15"/>
  <c r="T45" i="15" s="1"/>
  <c r="H43" i="2"/>
  <c r="O43" i="2" s="1"/>
  <c r="H45" i="4"/>
  <c r="T45" i="4" s="1"/>
  <c r="O43" i="1"/>
  <c r="F47" i="4"/>
  <c r="U47" i="4" s="1"/>
  <c r="O45" i="2"/>
  <c r="O45" i="3" s="1"/>
  <c r="F47" i="15"/>
  <c r="U47" i="15" s="1"/>
  <c r="O24" i="1"/>
  <c r="F56" i="4"/>
  <c r="U56" i="4" s="1"/>
  <c r="F56" i="15"/>
  <c r="U56" i="15" s="1"/>
  <c r="O54" i="2"/>
  <c r="O54" i="3" s="1"/>
  <c r="T42" i="15"/>
  <c r="F30" i="2"/>
  <c r="O30" i="2" s="1"/>
  <c r="O30" i="3" s="1"/>
  <c r="E32" i="15"/>
  <c r="T32" i="15" s="1"/>
  <c r="E32" i="4"/>
  <c r="T32" i="4" s="1"/>
  <c r="E49" i="15"/>
  <c r="O42" i="3"/>
  <c r="F53" i="4"/>
  <c r="U53" i="4" s="1"/>
  <c r="F53" i="15"/>
  <c r="O51" i="2"/>
  <c r="O51" i="3" s="1"/>
  <c r="H48" i="15"/>
  <c r="T48" i="15" s="1"/>
  <c r="O46" i="1"/>
  <c r="H48" i="4"/>
  <c r="H46" i="2"/>
  <c r="F43" i="4"/>
  <c r="O41" i="2"/>
  <c r="O41" i="3" s="1"/>
  <c r="F43" i="15"/>
  <c r="U43" i="15" s="1"/>
  <c r="T43" i="4"/>
  <c r="E49" i="4"/>
  <c r="E57" i="4"/>
  <c r="T53" i="4"/>
  <c r="T57" i="4" s="1"/>
  <c r="E42" i="15"/>
  <c r="W42" i="15" s="1"/>
  <c r="E26" i="4"/>
  <c r="T26" i="4" s="1"/>
  <c r="E30" i="15"/>
  <c r="T30" i="15" s="1"/>
  <c r="E30" i="4"/>
  <c r="T30" i="4" s="1"/>
  <c r="F28" i="2"/>
  <c r="O28" i="1"/>
  <c r="E57" i="15"/>
  <c r="O26" i="2"/>
  <c r="O26" i="3" s="1"/>
  <c r="I42" i="15"/>
  <c r="J42" i="15" s="1"/>
  <c r="F28" i="15"/>
  <c r="I42" i="4"/>
  <c r="T28" i="4"/>
  <c r="T28" i="15"/>
  <c r="U28" i="4"/>
  <c r="I33" i="15"/>
  <c r="O31" i="1"/>
  <c r="I28" i="15"/>
  <c r="E33" i="15"/>
  <c r="F31" i="2"/>
  <c r="F33" i="15" s="1"/>
  <c r="P34" i="4"/>
  <c r="M34" i="4"/>
  <c r="H34" i="15"/>
  <c r="Q34" i="13"/>
  <c r="O18" i="2"/>
  <c r="O18" i="3" s="1"/>
  <c r="F23" i="15"/>
  <c r="U23" i="15" s="1"/>
  <c r="I32" i="15"/>
  <c r="O20" i="2"/>
  <c r="O20" i="3" s="1"/>
  <c r="I20" i="4"/>
  <c r="U20" i="4" s="1"/>
  <c r="H27" i="15"/>
  <c r="M34" i="15"/>
  <c r="I34" i="4"/>
  <c r="J34" i="4" s="1"/>
  <c r="O24" i="2"/>
  <c r="I24" i="4"/>
  <c r="U24" i="4" s="1"/>
  <c r="I22" i="15"/>
  <c r="I27" i="15" s="1"/>
  <c r="O19" i="2"/>
  <c r="O19" i="3" s="1"/>
  <c r="O21" i="2"/>
  <c r="O21" i="3" s="1"/>
  <c r="U21" i="4"/>
  <c r="F21" i="15"/>
  <c r="U21" i="15" s="1"/>
  <c r="O22" i="2"/>
  <c r="O22" i="3" s="1"/>
  <c r="F24" i="15"/>
  <c r="U24" i="15" s="1"/>
  <c r="L27" i="4"/>
  <c r="O27" i="4"/>
  <c r="U23" i="4"/>
  <c r="U26" i="4"/>
  <c r="T20" i="4"/>
  <c r="O27" i="15"/>
  <c r="U20" i="15"/>
  <c r="M27" i="15"/>
  <c r="T22" i="15"/>
  <c r="Q27" i="13"/>
  <c r="E27" i="15"/>
  <c r="L13" i="2"/>
  <c r="L120" i="2" s="1"/>
  <c r="J14" i="3"/>
  <c r="G16" i="13" s="1"/>
  <c r="F26" i="15" l="1"/>
  <c r="U26" i="15" s="1"/>
  <c r="F27" i="4"/>
  <c r="E27" i="4"/>
  <c r="I15" i="13"/>
  <c r="G65" i="4"/>
  <c r="T24" i="4"/>
  <c r="T27" i="4" s="1"/>
  <c r="O23" i="2"/>
  <c r="O23" i="3" s="1"/>
  <c r="G65" i="15"/>
  <c r="F25" i="15"/>
  <c r="U25" i="15" s="1"/>
  <c r="U25" i="4"/>
  <c r="U27" i="4" s="1"/>
  <c r="O24" i="3"/>
  <c r="O43" i="3"/>
  <c r="T27" i="15"/>
  <c r="F42" i="4"/>
  <c r="X42" i="4" s="1"/>
  <c r="U42" i="4"/>
  <c r="W57" i="4"/>
  <c r="W57" i="15"/>
  <c r="U57" i="4"/>
  <c r="H49" i="15"/>
  <c r="W49" i="15" s="1"/>
  <c r="T49" i="15"/>
  <c r="I45" i="15"/>
  <c r="I45" i="4"/>
  <c r="U53" i="15"/>
  <c r="U57" i="15" s="1"/>
  <c r="F57" i="15"/>
  <c r="O28" i="2"/>
  <c r="O28" i="3" s="1"/>
  <c r="F30" i="15"/>
  <c r="U30" i="15" s="1"/>
  <c r="F30" i="4"/>
  <c r="U30" i="4" s="1"/>
  <c r="E34" i="4"/>
  <c r="W34" i="4" s="1"/>
  <c r="F32" i="4"/>
  <c r="U32" i="4" s="1"/>
  <c r="F32" i="15"/>
  <c r="U32" i="15" s="1"/>
  <c r="F57" i="4"/>
  <c r="I48" i="15"/>
  <c r="U48" i="15" s="1"/>
  <c r="I48" i="4"/>
  <c r="U48" i="4" s="1"/>
  <c r="O46" i="2"/>
  <c r="O46" i="3" s="1"/>
  <c r="H49" i="4"/>
  <c r="W49" i="4" s="1"/>
  <c r="T48" i="4"/>
  <c r="T49" i="4" s="1"/>
  <c r="F49" i="15"/>
  <c r="G49" i="15" s="1"/>
  <c r="U43" i="4"/>
  <c r="F49" i="4"/>
  <c r="G49" i="4" s="1"/>
  <c r="F42" i="15"/>
  <c r="G42" i="15" s="1"/>
  <c r="U35" i="15"/>
  <c r="U42" i="15" s="1"/>
  <c r="T34" i="4"/>
  <c r="U28" i="15"/>
  <c r="U33" i="15"/>
  <c r="F33" i="4"/>
  <c r="U33" i="4" s="1"/>
  <c r="I34" i="15"/>
  <c r="J34" i="15" s="1"/>
  <c r="J42" i="4"/>
  <c r="O31" i="2"/>
  <c r="O31" i="3" s="1"/>
  <c r="T33" i="15"/>
  <c r="T34" i="15" s="1"/>
  <c r="E34" i="15"/>
  <c r="W34" i="15" s="1"/>
  <c r="U22" i="15"/>
  <c r="I27" i="4"/>
  <c r="J27" i="4" s="1"/>
  <c r="M27" i="4"/>
  <c r="P27" i="4"/>
  <c r="P34" i="15"/>
  <c r="J27" i="15"/>
  <c r="R27" i="13"/>
  <c r="P27" i="15"/>
  <c r="W27" i="15"/>
  <c r="B9" i="5"/>
  <c r="C9" i="5"/>
  <c r="G27" i="4" l="1"/>
  <c r="W27" i="4"/>
  <c r="O15" i="13"/>
  <c r="I19" i="13"/>
  <c r="I123" i="13" s="1"/>
  <c r="F27" i="15"/>
  <c r="X27" i="15" s="1"/>
  <c r="U27" i="15"/>
  <c r="G42" i="4"/>
  <c r="I49" i="15"/>
  <c r="J49" i="15" s="1"/>
  <c r="U34" i="15"/>
  <c r="X57" i="4"/>
  <c r="U45" i="15"/>
  <c r="U49" i="15" s="1"/>
  <c r="F34" i="15"/>
  <c r="G34" i="15" s="1"/>
  <c r="U34" i="4"/>
  <c r="G57" i="15"/>
  <c r="X57" i="15"/>
  <c r="X42" i="15"/>
  <c r="U45" i="4"/>
  <c r="U49" i="4" s="1"/>
  <c r="I49" i="4"/>
  <c r="G57" i="4"/>
  <c r="F34" i="4"/>
  <c r="G34" i="4" s="1"/>
  <c r="X27" i="4"/>
  <c r="R34" i="13"/>
  <c r="J15" i="2"/>
  <c r="J120" i="2" s="1"/>
  <c r="H15" i="2"/>
  <c r="H10" i="3"/>
  <c r="J19" i="13" l="1"/>
  <c r="F17" i="13"/>
  <c r="X49" i="15"/>
  <c r="G27" i="15"/>
  <c r="X34" i="15"/>
  <c r="X49" i="4"/>
  <c r="J49" i="4"/>
  <c r="X34" i="4"/>
  <c r="H12" i="3"/>
  <c r="H5" i="3"/>
  <c r="H6" i="3"/>
  <c r="H7" i="3"/>
  <c r="H2" i="3"/>
  <c r="L16" i="3"/>
  <c r="J18" i="13" s="1"/>
  <c r="L12" i="3"/>
  <c r="J14" i="13" s="1"/>
  <c r="J11" i="3"/>
  <c r="G13" i="13" s="1"/>
  <c r="J10" i="3"/>
  <c r="G12" i="13" s="1"/>
  <c r="J8" i="3"/>
  <c r="G10" i="13" s="1"/>
  <c r="J5" i="3"/>
  <c r="G7" i="13" s="1"/>
  <c r="J4" i="3"/>
  <c r="G6" i="13" s="1"/>
  <c r="L7" i="3"/>
  <c r="J9" i="13" s="1"/>
  <c r="L6" i="3"/>
  <c r="J8" i="13" s="1"/>
  <c r="L3" i="3"/>
  <c r="J5" i="13" s="1"/>
  <c r="L2" i="3"/>
  <c r="J4" i="13" s="1"/>
  <c r="O17" i="13" l="1"/>
  <c r="O19" i="13" s="1"/>
  <c r="O123" i="13" s="1"/>
  <c r="F19" i="13"/>
  <c r="F123" i="13" s="1"/>
  <c r="F3" i="2"/>
  <c r="F5" i="4" s="1"/>
  <c r="H16" i="1"/>
  <c r="H16" i="2" s="1"/>
  <c r="I18" i="15" s="1"/>
  <c r="H13" i="1"/>
  <c r="H11" i="1"/>
  <c r="H13" i="15" s="1"/>
  <c r="H8" i="1"/>
  <c r="H10" i="4" s="1"/>
  <c r="H3" i="1"/>
  <c r="F14" i="1"/>
  <c r="F12" i="1"/>
  <c r="F12" i="2" s="1"/>
  <c r="F14" i="4" s="1"/>
  <c r="F6" i="1"/>
  <c r="F6" i="2" s="1"/>
  <c r="F8" i="4" s="1"/>
  <c r="F4" i="1"/>
  <c r="F4" i="2" s="1"/>
  <c r="F6" i="15" s="1"/>
  <c r="E5" i="4"/>
  <c r="P18" i="15"/>
  <c r="O18" i="15"/>
  <c r="N18" i="15"/>
  <c r="M18" i="15"/>
  <c r="L18" i="15"/>
  <c r="K18" i="15"/>
  <c r="J18" i="15"/>
  <c r="G18" i="15"/>
  <c r="P17" i="15"/>
  <c r="O17" i="15"/>
  <c r="N17" i="15"/>
  <c r="M17" i="15"/>
  <c r="L17" i="15"/>
  <c r="K17" i="15"/>
  <c r="J17" i="15"/>
  <c r="I17" i="15"/>
  <c r="H17" i="15"/>
  <c r="G17" i="15"/>
  <c r="P16" i="15"/>
  <c r="O16" i="15"/>
  <c r="N16" i="15"/>
  <c r="M16" i="15"/>
  <c r="L16" i="15"/>
  <c r="K16" i="15"/>
  <c r="J16" i="15"/>
  <c r="G16" i="15"/>
  <c r="P15" i="15"/>
  <c r="O15" i="15"/>
  <c r="N15" i="15"/>
  <c r="M15" i="15"/>
  <c r="L15" i="15"/>
  <c r="K15" i="15"/>
  <c r="J15" i="15"/>
  <c r="G15" i="15"/>
  <c r="P14" i="15"/>
  <c r="O14" i="15"/>
  <c r="N14" i="15"/>
  <c r="M14" i="15"/>
  <c r="L14" i="15"/>
  <c r="K14" i="15"/>
  <c r="J14" i="15"/>
  <c r="I14" i="15"/>
  <c r="H14" i="15"/>
  <c r="G14" i="15"/>
  <c r="P13" i="15"/>
  <c r="O13" i="15"/>
  <c r="N13" i="15"/>
  <c r="M13" i="15"/>
  <c r="L13" i="15"/>
  <c r="K13" i="15"/>
  <c r="J13" i="15"/>
  <c r="G13" i="15"/>
  <c r="P12" i="15"/>
  <c r="O12" i="15"/>
  <c r="N12" i="15"/>
  <c r="M12" i="15"/>
  <c r="L12" i="15"/>
  <c r="K12" i="15"/>
  <c r="J12" i="15"/>
  <c r="I12" i="15"/>
  <c r="H12" i="15"/>
  <c r="G12" i="15"/>
  <c r="P10" i="15"/>
  <c r="O10" i="15"/>
  <c r="N10" i="15"/>
  <c r="M10" i="15"/>
  <c r="L10" i="15"/>
  <c r="K10" i="15"/>
  <c r="J10" i="15"/>
  <c r="G10" i="15"/>
  <c r="P9" i="15"/>
  <c r="O9" i="15"/>
  <c r="N9" i="15"/>
  <c r="M9" i="15"/>
  <c r="L9" i="15"/>
  <c r="K9" i="15"/>
  <c r="J9" i="15"/>
  <c r="I9" i="15"/>
  <c r="H9" i="15"/>
  <c r="G9" i="15"/>
  <c r="P8" i="15"/>
  <c r="O8" i="15"/>
  <c r="N8" i="15"/>
  <c r="M8" i="15"/>
  <c r="L8" i="15"/>
  <c r="K8" i="15"/>
  <c r="J8" i="15"/>
  <c r="I8" i="15"/>
  <c r="H8" i="15"/>
  <c r="G8" i="15"/>
  <c r="P7" i="15"/>
  <c r="O7" i="15"/>
  <c r="N7" i="15"/>
  <c r="M7" i="15"/>
  <c r="L7" i="15"/>
  <c r="K7" i="15"/>
  <c r="J7" i="15"/>
  <c r="I7" i="15"/>
  <c r="H7" i="15"/>
  <c r="G7" i="15"/>
  <c r="P6" i="15"/>
  <c r="O6" i="15"/>
  <c r="N6" i="15"/>
  <c r="M6" i="15"/>
  <c r="L6" i="15"/>
  <c r="K6" i="15"/>
  <c r="J6" i="15"/>
  <c r="G6" i="15"/>
  <c r="P5" i="15"/>
  <c r="O5" i="15"/>
  <c r="N5" i="15"/>
  <c r="M5" i="15"/>
  <c r="L5" i="15"/>
  <c r="K5" i="15"/>
  <c r="J5" i="15"/>
  <c r="P4" i="15"/>
  <c r="O4" i="15"/>
  <c r="N4" i="15"/>
  <c r="M4" i="15"/>
  <c r="L4" i="15"/>
  <c r="K4" i="15"/>
  <c r="J4" i="15"/>
  <c r="I4" i="15"/>
  <c r="H4" i="15"/>
  <c r="G4" i="15"/>
  <c r="P18" i="4"/>
  <c r="O18" i="4"/>
  <c r="N18" i="4"/>
  <c r="M18" i="4"/>
  <c r="L18" i="4"/>
  <c r="K18" i="4"/>
  <c r="J18" i="4"/>
  <c r="G18" i="4"/>
  <c r="P17" i="4"/>
  <c r="O17" i="4"/>
  <c r="N17" i="4"/>
  <c r="M17" i="4"/>
  <c r="L17" i="4"/>
  <c r="K17" i="4"/>
  <c r="J17" i="4"/>
  <c r="I17" i="4"/>
  <c r="H17" i="4"/>
  <c r="G17" i="4"/>
  <c r="P16" i="4"/>
  <c r="O16" i="4"/>
  <c r="N16" i="4"/>
  <c r="M16" i="4"/>
  <c r="L16" i="4"/>
  <c r="K16" i="4"/>
  <c r="J16" i="4"/>
  <c r="G16" i="4"/>
  <c r="P15" i="4"/>
  <c r="O15" i="4"/>
  <c r="N15" i="4"/>
  <c r="M15" i="4"/>
  <c r="L15" i="4"/>
  <c r="K15" i="4"/>
  <c r="J15" i="4"/>
  <c r="G15" i="4"/>
  <c r="P14" i="4"/>
  <c r="O14" i="4"/>
  <c r="N14" i="4"/>
  <c r="M14" i="4"/>
  <c r="L14" i="4"/>
  <c r="K14" i="4"/>
  <c r="J14" i="4"/>
  <c r="I14" i="4"/>
  <c r="H14" i="4"/>
  <c r="G14" i="4"/>
  <c r="P13" i="4"/>
  <c r="O13" i="4"/>
  <c r="N13" i="4"/>
  <c r="M13" i="4"/>
  <c r="L13" i="4"/>
  <c r="K13" i="4"/>
  <c r="J13" i="4"/>
  <c r="G13" i="4"/>
  <c r="P12" i="4"/>
  <c r="O12" i="4"/>
  <c r="N12" i="4"/>
  <c r="M12" i="4"/>
  <c r="L12" i="4"/>
  <c r="K12" i="4"/>
  <c r="J12" i="4"/>
  <c r="I12" i="4"/>
  <c r="H12" i="4"/>
  <c r="G12" i="4"/>
  <c r="P5" i="4"/>
  <c r="P6" i="4"/>
  <c r="P7" i="4"/>
  <c r="P8" i="4"/>
  <c r="P9" i="4"/>
  <c r="P10" i="4"/>
  <c r="M5" i="4"/>
  <c r="M6" i="4"/>
  <c r="M7" i="4"/>
  <c r="M8" i="4"/>
  <c r="M9" i="4"/>
  <c r="M10" i="4"/>
  <c r="J5" i="4"/>
  <c r="J6" i="4"/>
  <c r="J7" i="4"/>
  <c r="J8" i="4"/>
  <c r="J9" i="4"/>
  <c r="J10" i="4"/>
  <c r="G6" i="4"/>
  <c r="G7" i="4"/>
  <c r="G8" i="4"/>
  <c r="G9" i="4"/>
  <c r="G10" i="4"/>
  <c r="O5" i="4"/>
  <c r="O6" i="4"/>
  <c r="O7" i="4"/>
  <c r="O8" i="4"/>
  <c r="O9" i="4"/>
  <c r="O10" i="4"/>
  <c r="N5" i="4"/>
  <c r="N6" i="4"/>
  <c r="N7" i="4"/>
  <c r="N8" i="4"/>
  <c r="N9" i="4"/>
  <c r="N10" i="4"/>
  <c r="L5" i="4"/>
  <c r="L6" i="4"/>
  <c r="L7" i="4"/>
  <c r="L8" i="4"/>
  <c r="L9" i="4"/>
  <c r="L10" i="4"/>
  <c r="K5" i="4"/>
  <c r="K6" i="4"/>
  <c r="K7" i="4"/>
  <c r="K8" i="4"/>
  <c r="K9" i="4"/>
  <c r="K10" i="4"/>
  <c r="I7" i="4"/>
  <c r="I8" i="4"/>
  <c r="I9" i="4"/>
  <c r="H7" i="4"/>
  <c r="H8" i="4"/>
  <c r="H9" i="4"/>
  <c r="G19" i="13" l="1"/>
  <c r="H18" i="4"/>
  <c r="H18" i="15"/>
  <c r="F5" i="15"/>
  <c r="E8" i="4"/>
  <c r="T8" i="4" s="1"/>
  <c r="H5" i="4"/>
  <c r="T5" i="4" s="1"/>
  <c r="I18" i="4"/>
  <c r="O11" i="15"/>
  <c r="O123" i="15" s="1"/>
  <c r="E5" i="15"/>
  <c r="O6" i="2"/>
  <c r="F6" i="4"/>
  <c r="O8" i="1"/>
  <c r="H13" i="4"/>
  <c r="H11" i="2"/>
  <c r="F8" i="15"/>
  <c r="U8" i="15" s="1"/>
  <c r="E14" i="15"/>
  <c r="T14" i="15" s="1"/>
  <c r="E16" i="15"/>
  <c r="F14" i="2"/>
  <c r="F13" i="1"/>
  <c r="F15" i="1"/>
  <c r="E6" i="4"/>
  <c r="F16" i="1"/>
  <c r="E18" i="4" s="1"/>
  <c r="F14" i="15"/>
  <c r="U14" i="15" s="1"/>
  <c r="E7" i="4"/>
  <c r="T7" i="4" s="1"/>
  <c r="H5" i="15"/>
  <c r="H3" i="2"/>
  <c r="H10" i="15"/>
  <c r="H8" i="2"/>
  <c r="H14" i="1"/>
  <c r="F10" i="1" s="1"/>
  <c r="F10" i="2" s="1"/>
  <c r="H15" i="4"/>
  <c r="H13" i="2"/>
  <c r="H4" i="1"/>
  <c r="H6" i="15" s="1"/>
  <c r="H15" i="15"/>
  <c r="E6" i="15"/>
  <c r="L19" i="15"/>
  <c r="O19" i="4"/>
  <c r="L19" i="4"/>
  <c r="O19" i="15"/>
  <c r="U14" i="4"/>
  <c r="U8" i="4"/>
  <c r="L11" i="15"/>
  <c r="L123" i="15" s="1"/>
  <c r="E16" i="4"/>
  <c r="E14" i="4"/>
  <c r="T14" i="4" s="1"/>
  <c r="E8" i="15"/>
  <c r="T8" i="15" s="1"/>
  <c r="N11" i="15"/>
  <c r="N123" i="15" s="1"/>
  <c r="K11" i="15"/>
  <c r="K123" i="15" s="1"/>
  <c r="K19" i="15"/>
  <c r="N19" i="15"/>
  <c r="N19" i="4"/>
  <c r="H120" i="1" l="1"/>
  <c r="H125" i="4" s="1"/>
  <c r="T18" i="4"/>
  <c r="T5" i="15"/>
  <c r="E4" i="15"/>
  <c r="T4" i="15" s="1"/>
  <c r="E10" i="4"/>
  <c r="T10" i="4" s="1"/>
  <c r="F12" i="15"/>
  <c r="F12" i="4"/>
  <c r="U12" i="4" s="1"/>
  <c r="I15" i="15"/>
  <c r="I15" i="4"/>
  <c r="F13" i="2"/>
  <c r="E15" i="15"/>
  <c r="T15" i="15" s="1"/>
  <c r="E15" i="4"/>
  <c r="T15" i="4" s="1"/>
  <c r="I10" i="4"/>
  <c r="I10" i="15"/>
  <c r="E9" i="15"/>
  <c r="T9" i="15" s="1"/>
  <c r="F7" i="2"/>
  <c r="E9" i="4"/>
  <c r="T9" i="4" s="1"/>
  <c r="I5" i="15"/>
  <c r="I5" i="4"/>
  <c r="U5" i="4" s="1"/>
  <c r="G5" i="4"/>
  <c r="G5" i="15"/>
  <c r="E7" i="15"/>
  <c r="F16" i="4"/>
  <c r="F16" i="15"/>
  <c r="M11" i="15"/>
  <c r="H6" i="4"/>
  <c r="T6" i="4" s="1"/>
  <c r="H4" i="2"/>
  <c r="H120" i="2" s="1"/>
  <c r="E18" i="15"/>
  <c r="T18" i="15" s="1"/>
  <c r="F16" i="2"/>
  <c r="F8" i="2"/>
  <c r="E10" i="15"/>
  <c r="T10" i="15" s="1"/>
  <c r="E17" i="4"/>
  <c r="T17" i="4" s="1"/>
  <c r="F15" i="2"/>
  <c r="E17" i="15"/>
  <c r="T17" i="15" s="1"/>
  <c r="O15" i="1"/>
  <c r="H14" i="2"/>
  <c r="H16" i="15"/>
  <c r="H16" i="4"/>
  <c r="T16" i="4" s="1"/>
  <c r="I13" i="4"/>
  <c r="I13" i="15"/>
  <c r="T6" i="15"/>
  <c r="P19" i="15"/>
  <c r="M19" i="15"/>
  <c r="H11" i="15"/>
  <c r="Q125" i="15"/>
  <c r="H125" i="15" l="1"/>
  <c r="F4" i="15"/>
  <c r="U4" i="15" s="1"/>
  <c r="M123" i="15"/>
  <c r="P123" i="15"/>
  <c r="I6" i="15"/>
  <c r="U6" i="15" s="1"/>
  <c r="I6" i="4"/>
  <c r="U6" i="4" s="1"/>
  <c r="F9" i="4"/>
  <c r="U9" i="4" s="1"/>
  <c r="F9" i="15"/>
  <c r="U9" i="15" s="1"/>
  <c r="T16" i="15"/>
  <c r="H19" i="15"/>
  <c r="H123" i="15" s="1"/>
  <c r="I16" i="15"/>
  <c r="U16" i="15" s="1"/>
  <c r="I16" i="4"/>
  <c r="U16" i="4" s="1"/>
  <c r="F17" i="4"/>
  <c r="U17" i="4" s="1"/>
  <c r="F17" i="15"/>
  <c r="U17" i="15" s="1"/>
  <c r="O15" i="2"/>
  <c r="O15" i="3" s="1"/>
  <c r="F7" i="15"/>
  <c r="F7" i="4"/>
  <c r="U7" i="4" s="1"/>
  <c r="T7" i="15"/>
  <c r="T11" i="15" s="1"/>
  <c r="E11" i="15"/>
  <c r="F15" i="4"/>
  <c r="U15" i="4" s="1"/>
  <c r="F15" i="15"/>
  <c r="U15" i="15" s="1"/>
  <c r="F10" i="4"/>
  <c r="U10" i="4" s="1"/>
  <c r="F10" i="15"/>
  <c r="U10" i="15" s="1"/>
  <c r="F18" i="15"/>
  <c r="U18" i="15" s="1"/>
  <c r="F18" i="4"/>
  <c r="U18" i="4" s="1"/>
  <c r="U5" i="15"/>
  <c r="U12" i="15"/>
  <c r="E100" i="9"/>
  <c r="D100" i="9"/>
  <c r="C100" i="9"/>
  <c r="W11" i="15" l="1"/>
  <c r="F100" i="9"/>
  <c r="I11" i="15"/>
  <c r="I19" i="15"/>
  <c r="U7" i="15"/>
  <c r="U11" i="15" s="1"/>
  <c r="F11" i="15"/>
  <c r="I123" i="15" l="1"/>
  <c r="X11" i="15"/>
  <c r="J11" i="15"/>
  <c r="J19" i="15"/>
  <c r="G11" i="15"/>
  <c r="J123" i="15" l="1"/>
  <c r="L120" i="3"/>
  <c r="J120" i="3"/>
  <c r="E125" i="13" l="1"/>
  <c r="H125" i="13" l="1"/>
  <c r="K125" i="13" l="1"/>
  <c r="O16" i="2" l="1"/>
  <c r="Q19" i="13" l="1"/>
  <c r="Q123" i="13" s="1"/>
  <c r="R19" i="13"/>
  <c r="R123" i="13" s="1"/>
  <c r="O8" i="2" l="1"/>
  <c r="O8" i="3" s="1"/>
  <c r="O12" i="1" l="1"/>
  <c r="O13" i="1"/>
  <c r="O14" i="1"/>
  <c r="O10" i="2"/>
  <c r="O12" i="2"/>
  <c r="O13" i="2"/>
  <c r="O14" i="2"/>
  <c r="O7" i="2" l="1"/>
  <c r="I19" i="4"/>
  <c r="O14" i="3"/>
  <c r="K19" i="4"/>
  <c r="O12" i="3"/>
  <c r="H19" i="4"/>
  <c r="O13" i="3"/>
  <c r="P19" i="4" l="1"/>
  <c r="M19" i="4"/>
  <c r="O7" i="1" l="1"/>
  <c r="O7" i="3" s="1"/>
  <c r="O6" i="1"/>
  <c r="O6" i="3" s="1"/>
  <c r="H120" i="3"/>
  <c r="C100" i="6"/>
  <c r="D9" i="5"/>
  <c r="N121" i="2" l="1"/>
  <c r="N122" i="2" l="1"/>
  <c r="R124" i="4" s="1"/>
  <c r="R125" i="4" s="1"/>
  <c r="R124" i="15" l="1"/>
  <c r="R125" i="15" s="1"/>
  <c r="L124" i="13"/>
  <c r="L125" i="13" s="1"/>
  <c r="N123" i="2"/>
  <c r="N125" i="2" l="1"/>
  <c r="R126" i="4" s="1"/>
  <c r="N126" i="2"/>
  <c r="R126" i="15" l="1"/>
  <c r="L126" i="13"/>
  <c r="G4" i="4"/>
  <c r="J4" i="4"/>
  <c r="K4" i="4"/>
  <c r="L4" i="4"/>
  <c r="L11" i="4" s="1"/>
  <c r="L123" i="4" s="1"/>
  <c r="M4" i="4"/>
  <c r="N4" i="4"/>
  <c r="O4" i="4"/>
  <c r="O11" i="4" s="1"/>
  <c r="O123" i="4" s="1"/>
  <c r="N11" i="4" l="1"/>
  <c r="K11" i="4"/>
  <c r="H4" i="4"/>
  <c r="F9" i="5"/>
  <c r="K123" i="4" l="1"/>
  <c r="M123" i="4" s="1"/>
  <c r="N123" i="4"/>
  <c r="P123" i="4" s="1"/>
  <c r="P11" i="4"/>
  <c r="H11" i="4"/>
  <c r="H123" i="4" s="1"/>
  <c r="G123" i="13"/>
  <c r="M11" i="4"/>
  <c r="I4" i="4"/>
  <c r="P4" i="4"/>
  <c r="J123" i="13" l="1"/>
  <c r="R124" i="13"/>
  <c r="I11" i="4"/>
  <c r="I123" i="4" s="1"/>
  <c r="E4" i="4"/>
  <c r="J123" i="4" l="1"/>
  <c r="E11" i="4"/>
  <c r="T4" i="4"/>
  <c r="T11" i="4" s="1"/>
  <c r="J11" i="4"/>
  <c r="F4" i="4"/>
  <c r="G9" i="5"/>
  <c r="F11" i="4" l="1"/>
  <c r="F123" i="4" s="1"/>
  <c r="U4" i="4"/>
  <c r="W11" i="4"/>
  <c r="E100" i="6"/>
  <c r="F100" i="6" s="1"/>
  <c r="D100" i="6"/>
  <c r="O2" i="2"/>
  <c r="O4" i="2"/>
  <c r="O2" i="1"/>
  <c r="O4" i="1"/>
  <c r="O3" i="2"/>
  <c r="O3" i="1"/>
  <c r="G11" i="4" l="1"/>
  <c r="U11" i="4"/>
  <c r="X11" i="4"/>
  <c r="O3" i="3"/>
  <c r="O4" i="3"/>
  <c r="O2" i="3"/>
  <c r="O5" i="1" l="1"/>
  <c r="O5" i="2" l="1"/>
  <c r="O5" i="3" l="1"/>
  <c r="N125" i="13" l="1"/>
  <c r="C100" i="7"/>
  <c r="D100" i="7"/>
  <c r="E100" i="7"/>
  <c r="F100" i="7" s="1"/>
  <c r="E100" i="8"/>
  <c r="D100" i="8"/>
  <c r="C100" i="8"/>
  <c r="L121" i="2" l="1"/>
  <c r="L122" i="2" s="1"/>
  <c r="O124" i="4" s="1"/>
  <c r="O125" i="4" s="1"/>
  <c r="F100" i="8"/>
  <c r="J121" i="2" s="1"/>
  <c r="J122" i="2" s="1"/>
  <c r="L124" i="4" s="1"/>
  <c r="H121" i="2"/>
  <c r="L125" i="4" l="1"/>
  <c r="H122" i="2"/>
  <c r="I124" i="4" s="1"/>
  <c r="I125" i="4" s="1"/>
  <c r="L124" i="15"/>
  <c r="L125" i="15" s="1"/>
  <c r="O124" i="15"/>
  <c r="O125" i="15" s="1"/>
  <c r="F124" i="13"/>
  <c r="I124" i="13"/>
  <c r="I125" i="13" s="1"/>
  <c r="J123" i="2"/>
  <c r="L123" i="2"/>
  <c r="H9" i="5"/>
  <c r="H123" i="2" l="1"/>
  <c r="H126" i="2" s="1"/>
  <c r="I124" i="15"/>
  <c r="I125" i="15" s="1"/>
  <c r="J126" i="2"/>
  <c r="J125" i="2"/>
  <c r="L126" i="4" s="1"/>
  <c r="L125" i="2"/>
  <c r="O126" i="4" s="1"/>
  <c r="L126" i="2"/>
  <c r="O124" i="13"/>
  <c r="O125" i="13" s="1"/>
  <c r="F125" i="13"/>
  <c r="R125" i="13" s="1"/>
  <c r="Q9" i="5"/>
  <c r="P9" i="5"/>
  <c r="O9" i="5"/>
  <c r="M9" i="5"/>
  <c r="L9" i="5"/>
  <c r="K9" i="5"/>
  <c r="J9" i="5"/>
  <c r="I9" i="5"/>
  <c r="N8" i="5"/>
  <c r="N6" i="5"/>
  <c r="N5" i="5"/>
  <c r="F121" i="2"/>
  <c r="H125" i="2" l="1"/>
  <c r="I126" i="4" s="1"/>
  <c r="L126" i="15"/>
  <c r="O126" i="15"/>
  <c r="F126" i="13"/>
  <c r="I126" i="13"/>
  <c r="N9" i="5"/>
  <c r="I126" i="15" l="1"/>
  <c r="O16" i="1"/>
  <c r="O16" i="3" l="1"/>
  <c r="E12" i="4" l="1"/>
  <c r="T12" i="4" s="1"/>
  <c r="O10" i="1"/>
  <c r="E12" i="15"/>
  <c r="T12" i="15" s="1"/>
  <c r="E125" i="4"/>
  <c r="E125" i="15" l="1"/>
  <c r="O10" i="3"/>
  <c r="O11" i="1"/>
  <c r="F11" i="2"/>
  <c r="F120" i="2" s="1"/>
  <c r="E13" i="15"/>
  <c r="E13" i="4"/>
  <c r="P120" i="2" l="1"/>
  <c r="F13" i="15"/>
  <c r="F13" i="4"/>
  <c r="O11" i="2"/>
  <c r="O120" i="2" s="1"/>
  <c r="T13" i="15"/>
  <c r="T19" i="15" s="1"/>
  <c r="T123" i="15" s="1"/>
  <c r="E19" i="15"/>
  <c r="E19" i="4"/>
  <c r="W124" i="4" s="1"/>
  <c r="T13" i="4"/>
  <c r="T19" i="4" s="1"/>
  <c r="P120" i="1"/>
  <c r="T123" i="4" l="1"/>
  <c r="T125" i="4" s="1"/>
  <c r="F120" i="3"/>
  <c r="W124" i="15"/>
  <c r="T125" i="15"/>
  <c r="O11" i="3"/>
  <c r="O120" i="3"/>
  <c r="U13" i="4"/>
  <c r="U19" i="4" s="1"/>
  <c r="U123" i="4" s="1"/>
  <c r="F19" i="4"/>
  <c r="F122" i="2"/>
  <c r="F124" i="4" s="1"/>
  <c r="U124" i="4" s="1"/>
  <c r="U13" i="15"/>
  <c r="U19" i="15" s="1"/>
  <c r="U123" i="15" s="1"/>
  <c r="F19" i="15"/>
  <c r="F123" i="15" s="1"/>
  <c r="W19" i="4"/>
  <c r="W123" i="4" s="1"/>
  <c r="W19" i="15"/>
  <c r="W123" i="15" s="1"/>
  <c r="U125" i="4" l="1"/>
  <c r="F125" i="4"/>
  <c r="X126" i="4" s="1"/>
  <c r="G123" i="4"/>
  <c r="X124" i="4"/>
  <c r="G19" i="4"/>
  <c r="F123" i="2"/>
  <c r="F125" i="2" s="1"/>
  <c r="F126" i="4" s="1"/>
  <c r="F124" i="15"/>
  <c r="U124" i="15" s="1"/>
  <c r="U125" i="15" s="1"/>
  <c r="G19" i="15"/>
  <c r="X19" i="15"/>
  <c r="X123" i="15" s="1"/>
  <c r="O122" i="2"/>
  <c r="O123" i="2" s="1"/>
  <c r="X19" i="4"/>
  <c r="X123" i="4" s="1"/>
  <c r="O126" i="2" l="1"/>
  <c r="O125" i="2"/>
  <c r="P123" i="2"/>
  <c r="F126" i="2"/>
  <c r="F126" i="15"/>
  <c r="F125" i="15"/>
  <c r="X126" i="15" s="1"/>
  <c r="G123" i="15"/>
  <c r="X12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A6C84C67-F18B-4063-9F01-456E99DE6E2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F3" authorId="0" shapeId="0" xr:uid="{9CFD59E7-3E64-4282-B889-218C03A857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LB07=LB07s+LB07n</t>
        </r>
      </text>
    </comment>
    <comment ref="H3" authorId="0" shapeId="0" xr:uid="{135CEAEF-8ED8-4522-9773-DF075592E6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TH07Harvest = TH07Effort * TH07CPUE</t>
        </r>
      </text>
    </comment>
    <comment ref="F4" authorId="0" shapeId="0" xr:uid="{6E94883E-3901-4022-8D94-D592AA22414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H4" authorId="0" shapeId="0" xr:uid="{1D1BB668-6847-4BDA-BFC1-F01578B1554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TH08Harvest = TH08Effort * TH08CPUE</t>
        </r>
      </text>
    </comment>
    <comment ref="F5" authorId="0" shapeId="0" xr:uid="{66FDDD36-2886-4446-B5F4-74D35738E59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F6" authorId="0" shapeId="0" xr:uid="{2C5FA0C9-6AE4-4C12-B9D7-E4B9C2DA65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F7" authorId="0" shapeId="0" xr:uid="{4843757B-19A7-4ACB-AB2D-DF81B83E53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8" authorId="0" shapeId="0" xr:uid="{173AD1E4-EA72-424F-A36D-CDEEE3CC01C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H8" authorId="0" shapeId="0" xr:uid="{8D5A2006-2E15-4645-9575-558BA50053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TH12Harvest = TH12Effort * TH12CPUE</t>
        </r>
      </text>
    </comment>
    <comment ref="F10" authorId="0" shapeId="0" xr:uid="{185935E8-32A0-432C-9FDD-7512690ADB8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F11" authorId="0" shapeId="0" xr:uid="{8188D48A-E52B-4EA5-A7C8-7B4BE9186EE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H11" authorId="0" shapeId="0" xr:uid="{7801178D-1148-4211-96CA-AC36B8B17E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TH21Harvest = TH21Effort * TH21CPUE</t>
        </r>
      </text>
    </comment>
    <comment ref="F12" authorId="0" shapeId="0" xr:uid="{C76929DE-CE32-40FF-8548-91697480188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F13" authorId="0" shapeId="0" xr:uid="{E6D15EE2-13CE-4295-B946-98497A77430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13" authorId="0" shapeId="0" xr:uid="{5E51EF68-7796-4633-9F66-76977F8A774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L13" authorId="0" shapeId="0" xr:uid="{39F0754B-1168-4772-BCB4-3060E6C628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MR23Harvest = MR23Effort * MR23CPUE</t>
        </r>
      </text>
    </comment>
    <comment ref="F14" authorId="0" shapeId="0" xr:uid="{C72C24C2-1E46-4850-924A-CB731E17F96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H14" authorId="0" shapeId="0" xr:uid="{A7B7C40E-5D06-4DC0-9CC7-8D0B4FEDC8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TH24Harvest = TH24Effort * TH24CPUE</t>
        </r>
      </text>
    </comment>
    <comment ref="F15" authorId="0" shapeId="0" xr:uid="{0D4579E1-C256-40A5-98EE-7739BE3F00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H15" authorId="0" shapeId="0" xr:uid="{6A7B336B-7FCA-4221-9442-3326CEFF7CB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TH25Harvest = TH25Effort * TH25CPUE</t>
        </r>
      </text>
    </comment>
    <comment ref="J15" authorId="0" shapeId="0" xr:uid="{5F21DD30-37F3-42E4-A0F6-6EF0B00AB1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CP25Harvest = CP25Effort * CP25CPUE</t>
        </r>
      </text>
    </comment>
    <comment ref="F16" authorId="0" shapeId="0" xr:uid="{466541E3-7A67-4E17-B70C-EADECADD2E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H16" authorId="0" shapeId="0" xr:uid="{6DA7789E-4FD4-4202-8355-288098FDCA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TH26Harvest = TH26Effort * TH26CPUE</t>
        </r>
      </text>
    </comment>
    <comment ref="F18" authorId="0" shapeId="0" xr:uid="{BBD578B2-7CAA-43C9-8EA5-FAAC14AE30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H18" authorId="0" shapeId="0" xr:uid="{A77B7AF9-2690-40A1-83FE-820ABF21E4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F19" authorId="0" shapeId="0" xr:uid="{77D2D312-03A1-485D-8724-EFABECCA3AF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F20" authorId="0" shapeId="0" xr:uid="{1BE156D6-2F3D-4188-AF8C-AD7CD423B7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H20" authorId="0" shapeId="0" xr:uid="{62156553-F178-4B62-9287-5D77673B01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TH05Harvest = TH05Effort * TH05CPUE</t>
        </r>
      </text>
    </comment>
    <comment ref="F21" authorId="0" shapeId="0" xr:uid="{8476EBE2-6DD5-4729-B4AD-5B979D1B40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F22" authorId="0" shapeId="0" xr:uid="{73AE1BF3-2115-4166-888E-856807E6359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H22" authorId="0" shapeId="0" xr:uid="{E2C5F440-988C-4C46-B806-7F77FDE94EB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TH07Harvest = TH07Effort * TH07CPUE</t>
        </r>
      </text>
    </comment>
    <comment ref="F23" authorId="0" shapeId="0" xr:uid="{339D5E46-06C6-49BC-9892-44969AE4986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F24" authorId="0" shapeId="0" xr:uid="{30B5CF4E-63A6-4019-995D-9A812D2ECC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H24" authorId="0" shapeId="0" xr:uid="{C8A3DCB1-A5BA-427B-9F6F-D19D3B4A78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TH09Harvest = TH09Effort * TH09CPUE</t>
        </r>
      </text>
    </comment>
    <comment ref="F26" authorId="0" shapeId="0" xr:uid="{18190892-BDE3-456B-A03B-CC2A86E56F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H26" authorId="0" shapeId="0" xr:uid="{45F2F229-4FCC-4CDA-B4AA-7145716A75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TH18Harvest = TH18Effort * TH18CPUE</t>
        </r>
      </text>
    </comment>
    <comment ref="F27" authorId="0" shapeId="0" xr:uid="{EE6F9982-780C-4218-96D9-F80A194FD5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F28" authorId="0" shapeId="0" xr:uid="{91C1FF71-4EA1-4004-AA0D-887B05CBDDD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F29" authorId="0" shapeId="0" xr:uid="{2B463B08-1E3E-4D5B-9B9D-87184E2AB5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30" authorId="0" shapeId="0" xr:uid="{EA53E2C7-E81C-4DE4-91C7-2D54772D9AC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H30" authorId="0" shapeId="0" xr:uid="{43026EB1-0928-48D2-ACCD-AB3BF00E94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31" authorId="0" shapeId="0" xr:uid="{93391A85-894B-4C5F-8505-737033A1F7D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31" authorId="0" shapeId="0" xr:uid="{08EF55AA-513C-43C4-8FED-9CCCD16CDF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33" authorId="0" shapeId="0" xr:uid="{AF6DB003-08A0-4A8D-A00B-276CED4FFE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33" authorId="0" shapeId="0" xr:uid="{B80F5160-0D6D-435B-B927-24DE63B3579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35" authorId="0" shapeId="0" xr:uid="{A02ABD9C-8326-4036-AABF-807DEE4B16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H35" authorId="0" shapeId="0" xr:uid="{E9016759-F8DE-4349-8DC9-741250B7C8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TH04Harvest = TH04Effort * TH04CPUE</t>
        </r>
      </text>
    </comment>
    <comment ref="F36" authorId="0" shapeId="0" xr:uid="{D1E10C98-8E47-4609-8E65-FA5A2978676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F37" authorId="0" shapeId="0" xr:uid="{6CB5DF78-A99B-4FE2-973A-DA7B421FE42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H37" authorId="0" shapeId="0" xr:uid="{6E9025B0-0138-4C9F-AC85-3A16E3A8F42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TH06Harvest = TH06Effort * TH06CPUE</t>
        </r>
      </text>
    </comment>
    <comment ref="F38" authorId="0" shapeId="0" xr:uid="{346263D0-8AA8-4C15-9A26-85249251CFA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H38" authorId="0" shapeId="0" xr:uid="{B63F3BBB-815F-4166-82FF-C9C49451378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TH07Harvest = TH07Effort * TH07CPUE</t>
        </r>
      </text>
    </comment>
    <comment ref="F39" authorId="0" shapeId="0" xr:uid="{AC3CC737-B006-441B-A9AA-5B2B518574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H39" authorId="0" shapeId="0" xr:uid="{E98AC95A-DA20-4A80-89A2-4D13C025A88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TH08Harvest = TH08Effort * TH08CPUE</t>
        </r>
      </text>
    </comment>
    <comment ref="F41" authorId="0" shapeId="0" xr:uid="{28449F58-8F91-43C1-B7BD-A181890C13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42" authorId="0" shapeId="0" xr:uid="{9536CA87-A1EF-427A-A0AB-7E5D726DF8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H42" authorId="0" shapeId="0" xr:uid="{9A04B1E9-8A85-4413-8B9B-0F235D1FC6C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TH19Harvest = TH19Effort * TH19CPUE</t>
        </r>
      </text>
    </comment>
    <comment ref="F43" authorId="0" shapeId="0" xr:uid="{4F088A3E-A9A5-4230-8BB7-8CFC9B35F38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H43" authorId="0" shapeId="0" xr:uid="{8971446B-3BBF-4616-8F87-44C6374893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TH20Harvest = TH20Effort * TH20CPUE</t>
        </r>
      </text>
    </comment>
    <comment ref="F44" authorId="0" shapeId="0" xr:uid="{2B93ED9C-3109-4989-A2C5-DCE3F026939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45" authorId="0" shapeId="0" xr:uid="{7499460D-1AE5-4A27-8B99-4DF407D34E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H45" authorId="0" shapeId="0" xr:uid="{6AE883DB-5262-442E-A3AF-63A1B703CFE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46" authorId="0" shapeId="0" xr:uid="{8C61C787-3C76-4D35-8F8C-5F38B42ACC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46" authorId="0" shapeId="0" xr:uid="{D4DE70B9-A4B7-4821-9829-C99CA2A4DD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48" authorId="0" shapeId="0" xr:uid="{C90CB986-1768-4637-8095-5C0594A5A8D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F49" authorId="0" shapeId="0" xr:uid="{E007A0B6-EBB4-4FB3-BB91-2CE39FB14AE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H49" authorId="0" shapeId="0" xr:uid="{80638004-41D6-4D9E-B0EB-666BDBF0FC2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TH01Harvest = TH01Effort * TH01CPUE</t>
        </r>
      </text>
    </comment>
    <comment ref="F50" authorId="0" shapeId="0" xr:uid="{6B4B547D-ECA3-428E-B2EF-57244DA7F43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50" authorId="0" shapeId="0" xr:uid="{B071A54D-095E-43A8-8932-37A563C83EF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51" authorId="0" shapeId="0" xr:uid="{3780B648-2402-43AE-984E-6569B32EC7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F52" authorId="0" shapeId="0" xr:uid="{3B3A6E41-143A-433C-8C0A-5CB27AE1E85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H52" authorId="0" shapeId="0" xr:uid="{23E3F3AB-73E7-4DD8-99B7-62E8AC3ADED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TH04Harvest = TH04Effort * TH04CPUE</t>
        </r>
      </text>
    </comment>
    <comment ref="F53" authorId="0" shapeId="0" xr:uid="{FA664BE9-35C1-4BEB-9D8D-6D89C9A48E2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F54" authorId="0" shapeId="0" xr:uid="{E3C7EC93-6E8E-4E33-8C41-1CC6D3B9DA7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H54" authorId="0" shapeId="0" xr:uid="{62818EB6-6174-4FE2-8FFE-7163FB0A71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TH06Harvest = TH06Effort * TH06CPUE</t>
        </r>
      </text>
    </comment>
    <comment ref="L54" authorId="0" shapeId="0" xr:uid="{E98E344E-77AB-4349-8B13-80354C4E62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M06Harvest = M06Effort * M06CPUE</t>
        </r>
      </text>
    </comment>
    <comment ref="F56" authorId="0" shapeId="0" xr:uid="{1F0D469C-4374-45E8-88AE-2DEEEBF1B4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H56" authorId="0" shapeId="0" xr:uid="{715C6BCE-8F6C-4346-B7A1-9046B3963A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TH15Harvest = TH15Effort * TH15CPUE</t>
        </r>
      </text>
    </comment>
    <comment ref="H57" authorId="0" shapeId="0" xr:uid="{FB6ED46D-049F-448C-A3AF-D48F0334DB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58" authorId="0" shapeId="0" xr:uid="{5E49B19A-0B29-4053-9E50-CA07D8026F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F59" authorId="0" shapeId="0" xr:uid="{8B9559EB-BA68-4F02-B265-E5E95601608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60" authorId="0" shapeId="0" xr:uid="{155A4037-E610-422B-9D4F-087BC7800A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H60" authorId="0" shapeId="0" xr:uid="{3BD04C44-4E9D-4FF7-B95B-0137A02A6C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TH19Harvest = TH19Effort * TH19CPUE</t>
        </r>
      </text>
    </comment>
    <comment ref="F61" authorId="0" shapeId="0" xr:uid="{91C524B4-46BD-43C7-A932-4361F652876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H61" authorId="0" shapeId="0" xr:uid="{93B5AD58-E5B1-46DD-A7E0-3A18DCBCDA0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TH20Harvest = TH20Effort * TH20CPUE</t>
        </r>
      </text>
    </comment>
    <comment ref="F62" authorId="0" shapeId="0" xr:uid="{727DEBFC-C47F-4DC2-B094-5C97E1F161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64" authorId="0" shapeId="0" xr:uid="{5B926361-A26A-4A5D-995E-81E0403E0C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65" authorId="0" shapeId="0" xr:uid="{3842D795-6577-47EB-AB66-2BF720482F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F66" authorId="0" shapeId="0" xr:uid="{A2D5B3EA-2A15-4919-A7B9-63914C54FDE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H66" authorId="0" shapeId="0" xr:uid="{ACAE1290-8E76-416A-A473-E71C120BA9A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TH31Harvest = TH31Effort * TH31CPUE</t>
        </r>
      </text>
    </comment>
    <comment ref="F67" authorId="0" shapeId="0" xr:uid="{7D6B77DC-2B51-4889-AB85-B85C8031CDA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68" authorId="0" shapeId="0" xr:uid="{29DA6987-474F-4D65-B2E9-8CC65032BE8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68" authorId="0" shapeId="0" xr:uid="{C72CC163-1785-4DFD-A31D-61FCA891AA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69" authorId="0" shapeId="0" xr:uid="{F2CB9399-97C5-4C0E-B2FF-DAE91FB5B8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F70" authorId="0" shapeId="0" xr:uid="{0A8FFB1F-DA66-4BDF-8E81-40B42307F1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H70" authorId="0" shapeId="0" xr:uid="{1A92CB34-C574-454D-9F4E-015167FC3D8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TH04Harvest = TH04Effort * TH04CPUE</t>
        </r>
      </text>
    </comment>
    <comment ref="F72" authorId="0" shapeId="0" xr:uid="{6751D050-58BE-46CD-9610-C7CFC09DDB5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F73" authorId="0" shapeId="0" xr:uid="{2F3890D6-DB56-4044-A5B8-F49673A8E6D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F74" authorId="0" shapeId="0" xr:uid="{CF50A530-AD65-4169-B7D4-DFBF552ADEB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H74" authorId="0" shapeId="0" xr:uid="{0E21E9E6-BB91-47B0-9335-A856727FDE2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75" authorId="0" shapeId="0" xr:uid="{24DAB1F1-E858-49C5-8523-876DD25AFB2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H75" authorId="0" shapeId="0" xr:uid="{46A32D6E-73DC-4BA4-A156-D6E6AC11F58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76" authorId="0" shapeId="0" xr:uid="{AC8DC31D-116E-40B2-B715-DE0D6A518D4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77" authorId="0" shapeId="0" xr:uid="{8F9D615E-766A-498C-B58F-FE6C69D770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H77" authorId="0" shapeId="0" xr:uid="{496EBFD6-D9D3-4B6A-891E-900624FBDCE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TH19Harvest = TH19Effort * TH19CPUE</t>
        </r>
      </text>
    </comment>
    <comment ref="F79" authorId="0" shapeId="0" xr:uid="{6A7E7F41-BE02-47B1-9EFA-D4BDD67548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F80" authorId="0" shapeId="0" xr:uid="{E0CD410B-EF14-4E1B-B74B-A4DD5A172F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LB27s+LB27n</t>
        </r>
      </text>
    </comment>
    <comment ref="H80" authorId="0" shapeId="0" xr:uid="{0F0D40A8-8B60-4821-A5DD-9554390CF33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TH27Harvest = TH27Effort * TH27CPUE</t>
        </r>
      </text>
    </comment>
    <comment ref="F81" authorId="0" shapeId="0" xr:uid="{5F22C174-4C94-429A-9879-691707F140A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F82" authorId="0" shapeId="0" xr:uid="{E967AF68-A72C-45A7-996D-97829F24B8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83" authorId="0" shapeId="0" xr:uid="{929762D1-4687-4324-B8B4-25DE360EFEF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F84" authorId="0" shapeId="0" xr:uid="{872B9F7F-F4AE-47AB-A0E1-DE8D23C3FA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H84" authorId="0" shapeId="0" xr:uid="{87996050-0C59-4BA8-8F72-5ECA8ACBE02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F85" authorId="0" shapeId="0" xr:uid="{E4F83715-B667-4671-95B7-2AC2FCC129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H85" authorId="0" shapeId="0" xr:uid="{E698F7CD-95BC-4C7F-A2BC-08BC75592D0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TH04Harvest = TH04Effort * TH04CPUE</t>
        </r>
      </text>
    </comment>
    <comment ref="F87" authorId="0" shapeId="0" xr:uid="{439D977C-D449-4112-997F-B01130E31DA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F88" authorId="0" shapeId="0" xr:uid="{E4F71C49-1208-46AE-88F9-E2B3E9A075B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89" authorId="0" shapeId="0" xr:uid="{2868EECF-7D26-4596-AE5B-2AE6D0F7F0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H89" authorId="0" shapeId="0" xr:uid="{07B01778-982D-415F-A6F2-56C06DDB28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TH19Harvest = TH19Effort * TH19CPUE</t>
        </r>
      </text>
    </comment>
    <comment ref="F90" authorId="0" shapeId="0" xr:uid="{2344B734-E53F-4CD6-863E-98CB564CC54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H90" authorId="0" shapeId="0" xr:uid="{58436950-655D-4AF6-9CBD-94CCBFA7A42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TH20Harvest = TH20Effort * TH20CPUE</t>
        </r>
      </text>
    </comment>
    <comment ref="F91" authorId="0" shapeId="0" xr:uid="{E0DB5600-947F-4852-A728-F2AD33D021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H91" authorId="0" shapeId="0" xr:uid="{1C5F146A-E204-484A-9CA0-B4074F22BE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TH21Harvest = TH21Effort * TH21CPUE</t>
        </r>
      </text>
    </comment>
    <comment ref="F93" authorId="0" shapeId="0" xr:uid="{C258AC92-02E0-4C5F-B8E8-978CF5A4359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93" authorId="0" shapeId="0" xr:uid="{1262B805-E3A8-407C-8709-4614E58F52B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94" authorId="0" shapeId="0" xr:uid="{2AB190CE-5E24-44B0-BE5F-101A24202E0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L94" authorId="0" shapeId="0" xr:uid="{67150521-6D2D-4534-A050-25319185A9C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M24Harvest = M24Effort * M24CPUE</t>
        </r>
      </text>
    </comment>
    <comment ref="F96" authorId="0" shapeId="0" xr:uid="{AC856EE3-858F-4BEE-95DC-A653EA5A376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97" authorId="0" shapeId="0" xr:uid="{4845432B-E69C-462F-BFA4-BDF56FD67C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97" authorId="0" shapeId="0" xr:uid="{B8422741-64AB-443E-86C3-6E556631F7F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98" authorId="0" shapeId="0" xr:uid="{40D2BA3D-AA48-4AE9-8559-96A7DEDE90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H98" authorId="0" shapeId="0" xr:uid="{8C3B09A1-FCD8-4413-9387-9936A6B05A4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F99" authorId="0" shapeId="0" xr:uid="{16C89D39-044F-491F-A9CE-B6F47D32DA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F100" authorId="0" shapeId="0" xr:uid="{2618EF18-F06F-4CA6-AE20-BBF1F79C146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H100" authorId="0" shapeId="0" xr:uid="{60C82316-7395-4015-8A0C-6F62E74F5C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TH05Harvest = TH05Effort * TH05CPUE</t>
        </r>
      </text>
    </comment>
    <comment ref="F102" authorId="0" shapeId="0" xr:uid="{AF42A13B-5E90-474D-8E40-B59394CAEB9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F104" authorId="0" shapeId="0" xr:uid="{8A8244FA-8F40-44B4-8A07-226128556E9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F107" authorId="0" shapeId="0" xr:uid="{12166D58-F83C-44BC-9907-8FC021E3BFF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H107" authorId="0" shapeId="0" xr:uid="{CDE65CF0-D63B-4AD4-9228-221FDB1CAB6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TH20Harvest = TH20Effort * TH20CPUE</t>
        </r>
      </text>
    </comment>
    <comment ref="F108" authorId="0" shapeId="0" xr:uid="{67F66CC2-977F-412E-A596-E941DC3D19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H108" authorId="0" shapeId="0" xr:uid="{1FE35C55-146B-451C-921A-DFA63D4846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TH21Harvest = TH21Effort * TH21CPUE</t>
        </r>
      </text>
    </comment>
    <comment ref="F110" authorId="0" shapeId="0" xr:uid="{479A60DF-D0E0-4C4C-8EB0-DE775F44BA8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110" authorId="0" shapeId="0" xr:uid="{0680E7E6-9C58-49A1-912B-8BA18EE1F95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112" authorId="0" shapeId="0" xr:uid="{E971A010-4881-4666-8A44-9EFE02D52CF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F114" authorId="0" shapeId="0" xr:uid="{26382406-43F8-4041-89CC-108173A209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115" authorId="0" shapeId="0" xr:uid="{8DD6705E-B0F7-4DAE-85DB-34D3343CF7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F116" authorId="0" shapeId="0" xr:uid="{556A0385-4D14-4CE8-897F-69A3C1C2EBC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F117" authorId="0" shapeId="0" xr:uid="{C2A32EA0-ACFE-4D60-AFDA-9C4EB73D395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31171C5D-555E-4C28-BA75-EDD62FD9C1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LB06=LB07/TH07*TH06</t>
        </r>
      </text>
    </comment>
    <comment ref="F3" authorId="0" shapeId="0" xr:uid="{EAF286A8-2415-4477-A0B7-125C1253A0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LB07s + LB07n</t>
        </r>
      </text>
    </comment>
    <comment ref="H3" authorId="0" shapeId="0" xr:uid="{FB6CD65E-2726-456E-BE66-A0630545195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TH07=TH06/M06*M07</t>
        </r>
      </text>
    </comment>
    <comment ref="F4" authorId="0" shapeId="0" xr:uid="{A46D2690-0E1E-46F1-8BEC-35CE1D7F38D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(LB07s/LB07n * LB08n) + LB08n
Used 10/07 full count</t>
        </r>
      </text>
    </comment>
    <comment ref="H4" authorId="0" shapeId="0" xr:uid="{B08B1518-1B9B-4044-9B55-9FFE67BD49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TH08=TH10/LB10*LB08</t>
        </r>
      </text>
    </comment>
    <comment ref="F5" authorId="0" shapeId="0" xr:uid="{05FE0FC5-9B54-4291-A74E-8DB4BE342B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LB09=LB10/TH10*TH09</t>
        </r>
      </text>
    </comment>
    <comment ref="F6" authorId="0" shapeId="0" xr:uid="{861CCD3A-8283-4493-B22E-B612C7CA84D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(LB07s/LB07n * LB10n) + LB10n
Used 10/07 full count</t>
        </r>
      </text>
    </comment>
    <comment ref="F7" authorId="0" shapeId="0" xr:uid="{56FA27A4-0402-4B7E-9BC1-0F5DFFF97F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LB10/TH10 * TH11</t>
        </r>
      </text>
    </comment>
    <comment ref="F8" authorId="0" shapeId="0" xr:uid="{CC9A3CF8-A396-40E7-B53A-4D76EB69C4C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LB12=LB08/C08*C12</t>
        </r>
      </text>
    </comment>
    <comment ref="H8" authorId="0" shapeId="0" xr:uid="{32F14120-FD81-49FF-85E1-B18800DCB36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 = TH09/C09 * C12</t>
        </r>
      </text>
    </comment>
    <comment ref="F10" authorId="0" shapeId="0" xr:uid="{E85EE75C-A50C-48F9-BD5D-A70BDEB928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(LB07s/LB07n * LB20n) + LB20n
Used 10/07 full count</t>
        </r>
      </text>
    </comment>
    <comment ref="F11" authorId="0" shapeId="0" xr:uid="{B74F9385-3EA1-44C9-8A04-F3D05DFAEA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LB21=LB24/TH24*TH21</t>
        </r>
      </text>
    </comment>
    <comment ref="F12" authorId="0" shapeId="0" xr:uid="{1117909B-A976-4F74-8D3A-822B6FF8975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(LB07s/LB07n * LB22n) + LB22n
Used 10/07 full count</t>
        </r>
      </text>
    </comment>
    <comment ref="F13" authorId="0" shapeId="0" xr:uid="{CD645AD6-9B27-486D-BCDC-89144F8013D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(LB14s/LB14n * LB17n) + LB17n
Used 10/14 full count</t>
        </r>
      </text>
    </comment>
    <comment ref="H13" authorId="0" shapeId="0" xr:uid="{A8B63330-4F9F-4F5E-A77B-15F17C602C4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TH15/C15 * C17</t>
        </r>
      </text>
    </comment>
    <comment ref="F14" authorId="0" shapeId="0" xr:uid="{4A501BB3-AF29-45B5-B72C-59FE50559D1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(LB07s/LB07n * LB24n) + LB24n
Used 10/07 full count</t>
        </r>
      </text>
    </comment>
    <comment ref="H14" authorId="0" shapeId="0" xr:uid="{10BF2CD6-F53A-44E7-A72E-CE1973D5FE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LB24=LB22/TH22*TH24</t>
        </r>
      </text>
    </comment>
    <comment ref="F15" authorId="0" shapeId="0" xr:uid="{69F93850-C784-4C8E-82D2-02EE9262534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LB25=LB22/TH22*TH25</t>
        </r>
      </text>
    </comment>
    <comment ref="F16" authorId="0" shapeId="0" xr:uid="{4DD68160-42AE-4022-8636-D7373E69AD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LB26=LB22/C22*C26</t>
        </r>
      </text>
    </comment>
    <comment ref="H16" authorId="0" shapeId="0" xr:uid="{C085498A-5541-49D4-BC60-2D6AB93B2F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TH26=TH22/C22*C26</t>
        </r>
      </text>
    </comment>
    <comment ref="F18" authorId="0" shapeId="0" xr:uid="{5F357067-351C-45ED-A962-26797D3953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(LB05s/LB05n * LB03n) + LB03n
Used 11/05 full count</t>
        </r>
      </text>
    </comment>
    <comment ref="H18" authorId="0" shapeId="0" xr:uid="{D8485919-ED79-4023-82C6-F5B43324636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TH04=TH03/M03*M04</t>
        </r>
      </text>
    </comment>
    <comment ref="F19" authorId="0" shapeId="0" xr:uid="{49F7024E-7C21-4286-A790-65006AE1F3E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LB04=LB07/M07*M04</t>
        </r>
      </text>
    </comment>
    <comment ref="F20" authorId="0" shapeId="0" xr:uid="{4733861C-FC71-4A6F-B031-A2240EF181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LB05s + LB05n</t>
        </r>
      </text>
    </comment>
    <comment ref="H20" authorId="0" shapeId="0" xr:uid="{5C9C4101-0174-4D1D-9C93-703597A4740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TH05=TH06/C06*C05</t>
        </r>
      </text>
    </comment>
    <comment ref="F21" authorId="0" shapeId="0" xr:uid="{302CC6E2-A315-4D0A-B562-C229C40A0B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LB06=LB05/C05*C06</t>
        </r>
      </text>
    </comment>
    <comment ref="F22" authorId="0" shapeId="0" xr:uid="{6713D37F-C103-4B1A-9201-6B9AC8EE48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(LB05s/LB05n * LB07n) + LB07n
Used 11/05 full count</t>
        </r>
      </text>
    </comment>
    <comment ref="H22" authorId="0" shapeId="0" xr:uid="{3D495D42-0513-472A-A49C-3E326009F4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TH07=TH03/M03*M07</t>
        </r>
      </text>
    </comment>
    <comment ref="F23" authorId="0" shapeId="0" xr:uid="{AE6CB8FC-A5A6-4DD0-BF27-9300E1B8F83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LB08=LB07/M07*M08</t>
        </r>
      </text>
    </comment>
    <comment ref="F24" authorId="0" shapeId="0" xr:uid="{C035ABE4-B400-45C3-BA7A-6EBD6ACACAB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LB09=LB05/C05*C09</t>
        </r>
      </text>
    </comment>
    <comment ref="H24" authorId="0" shapeId="0" xr:uid="{046F0B27-2022-4068-8B7F-C08B17FEA4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TH09=TH06/C06*C09</t>
        </r>
      </text>
    </comment>
    <comment ref="F26" authorId="0" shapeId="0" xr:uid="{47E048E7-93C7-4B53-B933-5DC86970AE0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LB18=LB21/C21*C18</t>
        </r>
      </text>
    </comment>
    <comment ref="H26" authorId="0" shapeId="0" xr:uid="{62AC2A50-B3F2-4472-A956-A9812419325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TH18=TH21/C21*C18</t>
        </r>
      </text>
    </comment>
    <comment ref="F27" authorId="0" shapeId="0" xr:uid="{D509C0CF-8829-4F1E-915E-34C5CFA8981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(LB05s/LB05n * LB19n) + LB19n
Used 11/05 full count</t>
        </r>
      </text>
    </comment>
    <comment ref="F28" authorId="0" shapeId="0" xr:uid="{C830E62B-E4CD-4348-9DAE-CAC3D87E214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LB20=LB21/TH21*TH20</t>
        </r>
      </text>
    </comment>
    <comment ref="F29" authorId="0" shapeId="0" xr:uid="{277A21AF-2567-410E-8433-471A99AA57A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(LB05s/LB05n * LB21n) + LB21n
Used 11/05 full count</t>
        </r>
      </text>
    </comment>
    <comment ref="F30" authorId="0" shapeId="0" xr:uid="{7D2C8493-E827-4B74-B2BF-DE7C0F4A4D1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LB22=LB21/C21*C22</t>
        </r>
      </text>
    </comment>
    <comment ref="H30" authorId="0" shapeId="0" xr:uid="{9E4683CF-6FED-4410-B0A9-F6592871DE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TH22=TH21/C21*C22</t>
        </r>
      </text>
    </comment>
    <comment ref="F31" authorId="0" shapeId="0" xr:uid="{527B8A59-1F5A-4699-9683-F4215D8023D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LB23=LB19/M19*M23</t>
        </r>
      </text>
    </comment>
    <comment ref="H31" authorId="0" shapeId="0" xr:uid="{315896A0-ED06-4F20-BA75-FA7C6D6104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TH23=TH20/M20*M23</t>
        </r>
      </text>
    </comment>
    <comment ref="F33" authorId="0" shapeId="0" xr:uid="{25E8E4C4-648C-4ED6-8D0D-B96A7A3E8E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LB02=LB05/C05*C02</t>
        </r>
      </text>
    </comment>
    <comment ref="H33" authorId="0" shapeId="0" xr:uid="{EE5A3A01-ADE4-4B99-B274-CA3D8AB8946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TH02=TH05/C05*C02</t>
        </r>
      </text>
    </comment>
    <comment ref="F34" authorId="0" shapeId="0" xr:uid="{9F467B45-7F23-4A1F-9DB5-A2069E3744A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LB03s + LB03n</t>
        </r>
      </text>
    </comment>
    <comment ref="F35" authorId="0" shapeId="0" xr:uid="{1773E9AE-E87F-4E7B-AAD1-9398FD7EC3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LB04=LB03/M03*M04</t>
        </r>
      </text>
    </comment>
    <comment ref="H35" authorId="0" shapeId="0" xr:uid="{0600C9EB-C734-49E3-9844-9E4B7395A6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TH04=TH03/M03*M04</t>
        </r>
      </text>
    </comment>
    <comment ref="F36" authorId="0" shapeId="0" xr:uid="{CA7D4B89-1B46-4AD5-82FF-E16A76834A9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(LB03s/LB03n * LB05n) + LB05n
Used 12/03 full count</t>
        </r>
      </text>
    </comment>
    <comment ref="F37" authorId="0" shapeId="0" xr:uid="{A324A99D-F086-46A6-9ABB-BFC0A7FCF9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LB06=LB05/C05*C06</t>
        </r>
      </text>
    </comment>
    <comment ref="H37" authorId="0" shapeId="0" xr:uid="{6424A9F4-E6A4-49DA-B238-4F34987B24A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TH06=TH05/C05*C06</t>
        </r>
      </text>
    </comment>
    <comment ref="F38" authorId="0" shapeId="0" xr:uid="{3D1A91F6-4894-4518-B0D3-F90E72B9F83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LB07=LB03/M03*M07</t>
        </r>
      </text>
    </comment>
    <comment ref="H38" authorId="0" shapeId="0" xr:uid="{87A5877E-0055-4F6B-B488-9038229753D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TH07=TH03/M03*M07</t>
        </r>
      </text>
    </comment>
    <comment ref="F39" authorId="0" shapeId="0" xr:uid="{CEE13BC4-9E5B-4949-9BF3-E8B775D66BC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LB08=LB03/M03*M08</t>
        </r>
      </text>
    </comment>
    <comment ref="H39" authorId="0" shapeId="0" xr:uid="{DD18B3C4-1917-4717-A611-B49A353D93E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TH08=TH03/M03*M08</t>
        </r>
      </text>
    </comment>
    <comment ref="F41" authorId="0" shapeId="0" xr:uid="{B46FAD15-362D-4434-A21F-92AB414695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LB18=LB21/TH21*TH18</t>
        </r>
      </text>
    </comment>
    <comment ref="F42" authorId="0" shapeId="0" xr:uid="{F1C3DFBC-9D24-4449-95B3-8E4FCB1B19E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(LB03s/LB03n * LB19n) + LB19n
Used 12/03 full count</t>
        </r>
      </text>
    </comment>
    <comment ref="H42" authorId="0" shapeId="0" xr:uid="{C637E68C-A7AF-4972-9946-52514F4BB6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TH19=TH20/LB20*LB19</t>
        </r>
      </text>
    </comment>
    <comment ref="F43" authorId="0" shapeId="0" xr:uid="{82B6A55E-537C-4793-B584-8D5E56A0812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LB20=LB19/M19*M20</t>
        </r>
      </text>
    </comment>
    <comment ref="H43" authorId="0" shapeId="0" xr:uid="{8949F5D2-DCC9-4976-9922-1C86B288BC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TH20=TH19/M19*M20</t>
        </r>
      </text>
    </comment>
    <comment ref="F44" authorId="0" shapeId="0" xr:uid="{F7E6D2B7-F72C-444C-AE60-51ADBE3BBE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(LB03s/LB03n * LB21n) + LB21n
Used 12/03 full count</t>
        </r>
      </text>
    </comment>
    <comment ref="F45" authorId="0" shapeId="0" xr:uid="{31588DC8-33AE-4594-A4EF-01127F295A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LB22=LB21/C21*C22</t>
        </r>
      </text>
    </comment>
    <comment ref="H45" authorId="0" shapeId="0" xr:uid="{0EDBB2F7-39E0-4F40-AF43-493FEE4C481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TH22=TH21/C21*C22</t>
        </r>
      </text>
    </comment>
    <comment ref="F46" authorId="0" shapeId="0" xr:uid="{C5FF7AC8-EC80-488E-A739-35B32607783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LB23=LB19/M19*M23</t>
        </r>
      </text>
    </comment>
    <comment ref="H46" authorId="0" shapeId="0" xr:uid="{9B71F654-422C-4EA0-97E6-4766FD7EFA9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TH23=TH19/M19*M23</t>
        </r>
      </text>
    </comment>
    <comment ref="F48" authorId="0" shapeId="0" xr:uid="{30C66964-AEF6-4062-9491-54E99ECE36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 = (LB03s/LB03n * LB31n) + LB31n
Used 12/03 full count</t>
        </r>
      </text>
    </comment>
    <comment ref="F49" authorId="0" shapeId="0" xr:uid="{18C3B7A9-2231-4EC2-B237-67EC69836BD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LB01=LB31/C31*C01</t>
        </r>
      </text>
    </comment>
    <comment ref="H49" authorId="0" shapeId="0" xr:uid="{A4CDE703-96BE-4FB2-994D-B975ED6FD16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TH01=TH31/C31*C01</t>
        </r>
      </text>
    </comment>
    <comment ref="F50" authorId="0" shapeId="0" xr:uid="{9E6D4451-F975-4B96-B57A-E4AC6819F6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(LB03s/LB03n * LB02n) + LB02n
Used 12/03 full count</t>
        </r>
      </text>
    </comment>
    <comment ref="H50" authorId="0" shapeId="0" xr:uid="{50DCCE40-C79C-4E7D-AD94-4F5F5C8DD47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TH02=TH03/M03*M02</t>
        </r>
      </text>
    </comment>
    <comment ref="F51" authorId="0" shapeId="0" xr:uid="{CA691E3A-744A-4A19-B913-32B842D90F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LB03=LB02/M02*M003</t>
        </r>
      </text>
    </comment>
    <comment ref="F52" authorId="0" shapeId="0" xr:uid="{CE4786C1-B6C4-4695-A6EF-66063E8BE49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LB04=LB31/C31*C04</t>
        </r>
      </text>
    </comment>
    <comment ref="H52" authorId="0" shapeId="0" xr:uid="{9FFD535E-BFFB-452E-BDC1-F824E6C723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TH04=TH31/C31*C04</t>
        </r>
      </text>
    </comment>
    <comment ref="F53" authorId="0" shapeId="0" xr:uid="{622E4D2B-BCCD-4682-85F3-D094E3360F4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(LB03s/LB03n * LB05n) + LB05n
Used 12/03 full count</t>
        </r>
      </text>
    </comment>
    <comment ref="F54" authorId="0" shapeId="0" xr:uid="{161B722D-8B00-48B8-83EE-EA9AB3C692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LB06=LB02/M02*M06</t>
        </r>
      </text>
    </comment>
    <comment ref="H54" authorId="0" shapeId="0" xr:uid="{72AA14B5-BD84-416A-9303-5B413DA6383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TH06=TH03/M03*M06</t>
        </r>
      </text>
    </comment>
    <comment ref="F56" authorId="0" shapeId="0" xr:uid="{C6A5F11B-E751-472C-BA28-71B3CB1F578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(LB16s/LB16n * LB15n) + LB15n
Used 01/16 full count</t>
        </r>
      </text>
    </comment>
    <comment ref="H56" authorId="0" shapeId="0" xr:uid="{FE91F1C0-4144-44D9-BA25-28C8FD90ED0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TH15=TH18/M18*M15</t>
        </r>
      </text>
    </comment>
    <comment ref="F57" authorId="0" shapeId="0" xr:uid="{0B524798-5755-420A-9E3D-B9B387B444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LB16s + LB16n</t>
        </r>
      </text>
    </comment>
    <comment ref="H57" authorId="0" shapeId="0" xr:uid="{514B9880-018E-4916-9057-963E501A5FD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TH16=TH17/C17*C16</t>
        </r>
      </text>
    </comment>
    <comment ref="F58" authorId="0" shapeId="0" xr:uid="{65BAFEF0-FB94-40E0-AA4F-B746182BE0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LB20/C20 * C17</t>
        </r>
      </text>
    </comment>
    <comment ref="F59" authorId="0" shapeId="0" xr:uid="{0ACBD44C-C713-41F7-AE85-D7604133D24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LB17/TH17 * TH18</t>
        </r>
      </text>
    </comment>
    <comment ref="F60" authorId="0" shapeId="0" xr:uid="{117B7A4A-D730-4197-ACE0-314885AC0AE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LB15/M15 * M19</t>
        </r>
      </text>
    </comment>
    <comment ref="H60" authorId="0" shapeId="0" xr:uid="{61631B58-5C6D-4D09-A3EF-ED0F93CFB8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 = TH18/C18 * C19</t>
        </r>
      </text>
    </comment>
    <comment ref="F61" authorId="0" shapeId="0" xr:uid="{E73235A3-E639-45EB-96E0-CD8340B1893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(LB16s/LB16n * LB20n) + LB20n
Used 01/16 full count</t>
        </r>
      </text>
    </comment>
    <comment ref="H61" authorId="0" shapeId="0" xr:uid="{6F5ABA4A-C223-4AD7-858A-86C5684E1F2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 = TH21/C21 * C20</t>
        </r>
      </text>
    </comment>
    <comment ref="F62" authorId="0" shapeId="0" xr:uid="{86F1E0E0-53A6-455B-956D-8E4C7D2788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LB20/C20 * C21</t>
        </r>
      </text>
    </comment>
    <comment ref="F64" authorId="0" shapeId="0" xr:uid="{6F0D9AE2-C889-47C5-868B-F96D720D355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(LB16s/LB16n * LB29n) + LB29n
Used 01/16 full count</t>
        </r>
      </text>
    </comment>
    <comment ref="F65" authorId="0" shapeId="0" xr:uid="{518820F3-85AE-4F4B-BF06-0FFB69D0AC4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(LB16s/LB16n * LB30n) + LB30n
Used 01/16 full count</t>
        </r>
      </text>
    </comment>
    <comment ref="F66" authorId="0" shapeId="0" xr:uid="{E91EE953-0C5C-4A76-93A9-C8182290336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 = LB03/C03 * C31</t>
        </r>
      </text>
    </comment>
    <comment ref="H66" authorId="0" shapeId="0" xr:uid="{1DD5B8D4-02D9-4830-BA82-7ECF86C790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 = TH30/C30 * C31</t>
        </r>
      </text>
    </comment>
    <comment ref="F67" authorId="0" shapeId="0" xr:uid="{462AA96E-F6D5-4783-967F-4E44B8F4F98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LB03/TH03 * TH01</t>
        </r>
      </text>
    </comment>
    <comment ref="F68" authorId="0" shapeId="0" xr:uid="{E25C6FF5-CA2C-4536-B2A4-C79E8C2630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LB29/M29 * M02</t>
        </r>
      </text>
    </comment>
    <comment ref="H68" authorId="0" shapeId="0" xr:uid="{6660EDBF-7E01-484A-BAE7-A359938EF65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 = TH29/M29 * M02</t>
        </r>
      </text>
    </comment>
    <comment ref="F69" authorId="0" shapeId="0" xr:uid="{B0F0905D-A6AF-4A68-B618-5A180AB09A7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(LB16s/LB16n * LB03n) + LB03n
Used 01/16 full count</t>
        </r>
      </text>
    </comment>
    <comment ref="F70" authorId="0" shapeId="0" xr:uid="{D85C0BA3-1092-4F7E-A882-BC3A62F2509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 = LB03/C03 * C04</t>
        </r>
      </text>
    </comment>
    <comment ref="H70" authorId="0" shapeId="0" xr:uid="{2AA25B10-9570-49B6-95AE-3D60EB21185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 = TH03/C03 * C04</t>
        </r>
      </text>
    </comment>
    <comment ref="F72" authorId="0" shapeId="0" xr:uid="{02C547A7-81A0-4CB1-B58F-9518FFC94D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LB18/TH18 * TH14</t>
        </r>
      </text>
    </comment>
    <comment ref="F73" authorId="0" shapeId="0" xr:uid="{C8EB0A93-6ED3-4C8B-A29B-DA7C4DDA7D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(LB16s/LB16n * LB15n) + LB15n
Used 01/16 full count</t>
        </r>
      </text>
    </comment>
    <comment ref="F74" authorId="0" shapeId="0" xr:uid="{C789945A-C5B5-43C8-AA50-DA59BE4C761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LB15/C15 * C16</t>
        </r>
      </text>
    </comment>
    <comment ref="H74" authorId="0" shapeId="0" xr:uid="{F1AB5C39-F89F-4843-99A6-4995611C552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TH15/C15 * C16</t>
        </r>
      </text>
    </comment>
    <comment ref="F75" authorId="0" shapeId="0" xr:uid="{1C14EFCD-115A-4506-96AD-F35AE3FA23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LB18/M18 * M17</t>
        </r>
      </text>
    </comment>
    <comment ref="H75" authorId="0" shapeId="0" xr:uid="{E3BA7DD7-73E0-46A6-AA37-65D130C4998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TH18/M18 * M17</t>
        </r>
      </text>
    </comment>
    <comment ref="F76" authorId="0" shapeId="0" xr:uid="{330012F5-E581-48BA-BB7B-1181987C8A0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(LB16s/LB16n * LB18n) + LB18n
Used 01/16 full count</t>
        </r>
      </text>
    </comment>
    <comment ref="F77" authorId="0" shapeId="0" xr:uid="{DE0794CC-683A-4BC5-BAB3-02926E3E521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LB15/C15 * C19</t>
        </r>
      </text>
    </comment>
    <comment ref="H77" authorId="0" shapeId="0" xr:uid="{A06D68FB-4742-49EE-BEE6-6DAC48F105F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 = TH15/C15 * C19</t>
        </r>
      </text>
    </comment>
    <comment ref="F79" authorId="0" shapeId="0" xr:uid="{267CE27F-200D-4CD1-B453-475B63BCC4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LB26=LB02/C02*C26</t>
        </r>
      </text>
    </comment>
    <comment ref="F80" authorId="0" shapeId="0" xr:uid="{0E707D12-62E9-46F5-A092-8B4EA6892C4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LB27s+LB27n</t>
        </r>
      </text>
    </comment>
    <comment ref="H80" authorId="0" shapeId="0" xr:uid="{FCE3C8CF-C18A-4A17-B606-E996C2610B3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TH27=TH02/LB02*LB27</t>
        </r>
      </text>
    </comment>
    <comment ref="F81" authorId="0" shapeId="0" xr:uid="{3BFD5DFE-F82F-4779-B82D-FBB1DDF04DC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LB28=LB27/M27*M28</t>
        </r>
      </text>
    </comment>
    <comment ref="F82" authorId="0" shapeId="0" xr:uid="{AA653301-122D-4F58-B7EE-5C6275E31DD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LB01=LB02/C02*C01</t>
        </r>
      </text>
    </comment>
    <comment ref="F83" authorId="0" shapeId="0" xr:uid="{6963DBAD-1FA1-4649-93D5-6B90426A46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(LB27s/LB27n * LB02n) + LB02n
Used 02/27 full count</t>
        </r>
      </text>
    </comment>
    <comment ref="F84" authorId="0" shapeId="0" xr:uid="{98F9AD6E-2ECA-4299-B1EB-47A8C4BEF8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LB03=LB27/M27*M03</t>
        </r>
      </text>
    </comment>
    <comment ref="H84" authorId="0" shapeId="0" xr:uid="{B472C0D6-222A-4EEB-BD18-582C16E9896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TH03=TH28/M28*M03</t>
        </r>
      </text>
    </comment>
    <comment ref="F85" authorId="0" shapeId="0" xr:uid="{45470C26-08AC-4756-BEE3-B626ADFC8AA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LB04=LB27/M27*M04</t>
        </r>
      </text>
    </comment>
    <comment ref="H85" authorId="0" shapeId="0" xr:uid="{017004C4-F8E3-4FA3-A4FE-A1CF77CFB2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TH04=TH28/M28*M04</t>
        </r>
      </text>
    </comment>
    <comment ref="F87" authorId="0" shapeId="0" xr:uid="{ACF7031A-D9A7-4F2A-BBAF-FCAC2309636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LB17=LB18/C18*C17</t>
        </r>
      </text>
    </comment>
    <comment ref="F88" authorId="0" shapeId="0" xr:uid="{24B63BE5-C17B-47DA-96A2-265E38ACC63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(LB22s/LB22n * LB18n) + LB18n
Used 03/22 full count</t>
        </r>
      </text>
    </comment>
    <comment ref="F89" authorId="0" shapeId="0" xr:uid="{5782E6CD-C431-4202-8438-9EDF5AB64D1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(LB22s/LB22n * LB18n) + LB19n
Used 03/22 full count</t>
        </r>
      </text>
    </comment>
    <comment ref="H89" authorId="0" shapeId="0" xr:uid="{490DE2EB-FD70-4653-90AE-C7F1D8DB8B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TH19=TH24/M24 * M19</t>
        </r>
      </text>
    </comment>
    <comment ref="F90" authorId="0" shapeId="0" xr:uid="{1A3C301E-F0FF-4C29-A618-8BDCE4C311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LB20=LB19/M19 * M20</t>
        </r>
      </text>
    </comment>
    <comment ref="H90" authorId="0" shapeId="0" xr:uid="{726D743B-B7CA-4F24-8B0F-AF75C98E037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TH20=TH24/M24 * M20</t>
        </r>
      </text>
    </comment>
    <comment ref="F91" authorId="0" shapeId="0" xr:uid="{16E6147C-A0C6-4E96-801A-173E07CBB7E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LB21=LB22/C22 * C21</t>
        </r>
      </text>
    </comment>
    <comment ref="F92" authorId="0" shapeId="0" xr:uid="{950CE339-004A-4D6D-9B00-87EDD191589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LB22s+LB22n</t>
        </r>
      </text>
    </comment>
    <comment ref="F93" authorId="0" shapeId="0" xr:uid="{30B62E88-C880-4B95-A304-0FEA82C0950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LB23=LB19/M19 * M23</t>
        </r>
      </text>
    </comment>
    <comment ref="H93" authorId="0" shapeId="0" xr:uid="{4468C1B1-C2E6-412C-A370-2CE23B4783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TH23=TH24/M24 * M23</t>
        </r>
      </text>
    </comment>
    <comment ref="F94" authorId="0" shapeId="0" xr:uid="{0153FBDC-7254-4AB7-B60B-7CD853AA32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LB24=LB19/M19 * M24</t>
        </r>
      </text>
    </comment>
    <comment ref="F96" authorId="0" shapeId="0" xr:uid="{C9DA74D5-4006-47C2-9286-D5339F1DE7D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LB06/M06*M01</t>
        </r>
      </text>
    </comment>
    <comment ref="F97" authorId="0" shapeId="0" xr:uid="{423ADA83-9C91-4533-ABF6-00B1BF8D1F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LB06/M06*M02</t>
        </r>
      </text>
    </comment>
    <comment ref="H97" authorId="0" shapeId="0" xr:uid="{6181BCC7-731C-4137-AB34-F2C6DB136C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TH02=TH01/M01*M02</t>
        </r>
      </text>
    </comment>
    <comment ref="F98" authorId="0" shapeId="0" xr:uid="{D2A8B549-3598-44D4-AB07-26B0748AD9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(LB06s/LB06n * LB03n) + LB03n
Used 04/06 full count</t>
        </r>
      </text>
    </comment>
    <comment ref="H98" authorId="0" shapeId="0" xr:uid="{E8984C85-5B78-4397-9D7C-B01D2BC905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TH03=TH06/LB06*LB03</t>
        </r>
      </text>
    </comment>
    <comment ref="F99" authorId="0" shapeId="0" xr:uid="{60BE9D93-BE18-49EF-B53E-E78235AB118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LB04=LB06/TH06*TH04</t>
        </r>
      </text>
    </comment>
    <comment ref="F100" authorId="0" shapeId="0" xr:uid="{0D35FB1C-F517-41A5-8D10-4BED231DC6A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(LB06s/LB06n * LB05n) + LB05n
Used 04/06 full count</t>
        </r>
      </text>
    </comment>
    <comment ref="H100" authorId="0" shapeId="0" xr:uid="{916183C6-6BFF-4F2D-B83A-A3CCAB83E21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TH05=TH01/M01*M05</t>
        </r>
      </text>
    </comment>
    <comment ref="F101" authorId="0" shapeId="0" xr:uid="{7F4F36FC-6DF7-4547-AC46-271F4E86B6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LB06=LB06s+LB06n</t>
        </r>
      </text>
    </comment>
    <comment ref="F102" authorId="0" shapeId="0" xr:uid="{B74B1BD8-8294-4129-BFBF-71CD136746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LB03/C03*C07</t>
        </r>
      </text>
    </comment>
    <comment ref="F104" authorId="0" shapeId="0" xr:uid="{8C844BC0-6A96-49D0-B61D-9E0A5E5489A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LB17=LB18/M18*M17</t>
        </r>
      </text>
    </comment>
    <comment ref="F105" authorId="0" shapeId="0" xr:uid="{2215EEC8-1EB1-401C-ACAA-A1E42160FF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(LB19s/LB19n * LB18n) + LB18n
Used 04/19 full count</t>
        </r>
      </text>
    </comment>
    <comment ref="F106" authorId="0" shapeId="0" xr:uid="{9E0D841D-FAC0-42EB-BF38-B89A7DF3243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LB19=LB19s+LB19n</t>
        </r>
      </text>
    </comment>
    <comment ref="F107" authorId="0" shapeId="0" xr:uid="{4BEBE518-53DB-4212-B404-CF7FEE02F3B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LB20=LB19/C19*C20</t>
        </r>
      </text>
    </comment>
    <comment ref="H107" authorId="0" shapeId="0" xr:uid="{F1C6D083-0A96-40F5-AD5D-BF7E114B95F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TH20=TH19/C19*C20</t>
        </r>
      </text>
    </comment>
    <comment ref="F108" authorId="0" shapeId="0" xr:uid="{D19501EF-C194-4D4B-8A7B-119D3A8E002C}">
      <text>
        <r>
          <rPr>
            <b/>
            <sz val="9"/>
            <color indexed="81"/>
            <rFont val="Tahoma"/>
            <family val="2"/>
          </rPr>
          <t xml:space="preserve">Blumenthal, Bryce W (DFW):
</t>
        </r>
        <r>
          <rPr>
            <sz val="9"/>
            <color indexed="81"/>
            <rFont val="Tahoma"/>
            <family val="2"/>
          </rPr>
          <t>LB</t>
        </r>
        <r>
          <rPr>
            <sz val="9"/>
            <color indexed="81"/>
            <rFont val="Tahoma"/>
            <family val="2"/>
          </rPr>
          <t>21=LB22/M22*M21</t>
        </r>
      </text>
    </comment>
    <comment ref="H108" authorId="0" shapeId="0" xr:uid="{0D74D6AC-91B9-46AD-84B3-B211F5F26D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TH21=TH22/M22*M21</t>
        </r>
      </text>
    </comment>
    <comment ref="F109" authorId="0" shapeId="0" xr:uid="{DCC59CD2-C200-4851-9BFC-FA72D41780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(LB19s/LB19n * LB22n) + LB22n
Used 04/19 full count</t>
        </r>
      </text>
    </comment>
    <comment ref="F110" authorId="0" shapeId="0" xr:uid="{85B6D30C-136E-45E6-9C22-655A5F3AF60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LB23=LB19/C19*C23</t>
        </r>
      </text>
    </comment>
    <comment ref="H110" authorId="0" shapeId="0" xr:uid="{D4A7FEEF-6D83-4B0F-9CEA-F2622FE196B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TH23=TH19/C19*C23</t>
        </r>
      </text>
    </comment>
    <comment ref="F112" authorId="0" shapeId="0" xr:uid="{471A0FEA-68C0-48AD-8467-242A0D73D84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LB30=LB03/M03*M30</t>
        </r>
      </text>
    </comment>
    <comment ref="F113" authorId="0" shapeId="0" xr:uid="{93D3D709-8CF1-4472-AB66-828E2A17041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LB01=LB01s+LB01n</t>
        </r>
      </text>
    </comment>
    <comment ref="F114" authorId="0" shapeId="0" xr:uid="{A2306192-FB5D-4BDB-943D-09C336E90CC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LB02=LB06/TH06*TH02</t>
        </r>
      </text>
    </comment>
    <comment ref="F115" authorId="0" shapeId="0" xr:uid="{8723771B-92BE-4524-9274-E0ED056209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(LB01s/LB01n * LB03n) + LB03n
Used 05/01 full count</t>
        </r>
      </text>
    </comment>
    <comment ref="H115" authorId="0" shapeId="0" xr:uid="{0A8FCD29-6238-4A15-9AA8-0CF67B9E657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TH03=TH30/M30*M03</t>
        </r>
      </text>
    </comment>
    <comment ref="F116" authorId="0" shapeId="0" xr:uid="{3705D661-DBED-435B-B039-02690C6D10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LB04=LB06/TH06*TH04</t>
        </r>
      </text>
    </comment>
    <comment ref="F117" authorId="0" shapeId="0" xr:uid="{03C4B54A-532D-45F2-8687-DA53B961F5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LB05=LB06/TH06*TH05</t>
        </r>
      </text>
    </comment>
    <comment ref="F118" authorId="0" shapeId="0" xr:uid="{E318E96E-E5E8-4FBC-8D89-062227C4996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 = (LB01s/LB01n * LB06n) + LB06n
Used 05/01 full count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8007BC33-6DEA-4B48-B045-0407210F0CB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3" authorId="0" shapeId="0" xr:uid="{7D46AAE0-A9CF-4D3A-AEEE-E40144CEAC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4" authorId="0" shapeId="0" xr:uid="{E1BC6866-6DD8-4ED6-AF57-CEDBDC07E96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11.9 clams/digger from the north beach count assumed for all beach.</t>
        </r>
      </text>
    </comment>
    <comment ref="H4" authorId="0" shapeId="0" xr:uid="{282B0B67-8E59-43BC-9AC5-1D122AD0D3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5" authorId="0" shapeId="0" xr:uid="{845763CA-A808-44D6-B76E-74DBC45ED6D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6" authorId="0" shapeId="0" xr:uid="{3D58F3F9-01A6-4A06-89EC-A75BE50769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7" authorId="0" shapeId="0" xr:uid="{17A082EA-F1EB-4398-9D6A-C1CA9EE4C15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8" authorId="0" shapeId="0" xr:uid="{E77A3D65-35EB-49B6-B27F-304D9FDF852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8" authorId="0" shapeId="0" xr:uid="{1745CEB6-D15E-4C41-9A86-E313334C84F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10" authorId="0" shapeId="0" xr:uid="{2A7F8AC6-6C2D-4FAA-9EAA-2BB9C22CA96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13.6 clams/digger from the north beach count assumed for all beach.</t>
        </r>
      </text>
    </comment>
    <comment ref="F11" authorId="0" shapeId="0" xr:uid="{B5C4359A-88DD-4B84-98F1-6D4647ADF42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7.5 clams/digger based on other beach success</t>
        </r>
      </text>
    </comment>
    <comment ref="H11" authorId="0" shapeId="0" xr:uid="{32898515-E20C-44B9-86A5-B156D1D157C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7.5 clams/digger based on other beach success</t>
        </r>
      </text>
    </comment>
    <comment ref="F12" authorId="0" shapeId="0" xr:uid="{C473EA59-6F79-49AA-AED6-B8804D2F6EC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14.1 clams/digger from the north beach count assumed for all beach.</t>
        </r>
      </text>
    </comment>
    <comment ref="F13" authorId="0" shapeId="0" xr:uid="{DA93FF4F-056A-49DC-9B79-C1F03F32E80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H13" authorId="0" shapeId="0" xr:uid="{C8403844-B287-47B3-AA68-8B0DAD28128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L13" authorId="0" shapeId="0" xr:uid="{784C02F9-0961-4E35-85BC-23AF4AD8F4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clams/digger, actual interviewed was 0.9</t>
        </r>
      </text>
    </comment>
    <comment ref="F14" authorId="0" shapeId="0" xr:uid="{BE862D34-31D9-453A-B37B-7BEA426BCF5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4.0 clams/digger from the north beach count assumed for all beach.</t>
        </r>
      </text>
    </comment>
    <comment ref="H14" authorId="0" shapeId="0" xr:uid="{1FD8B08D-260C-441B-A761-C668038937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15" authorId="0" shapeId="0" xr:uid="{79EA4A15-9D25-4D5E-BB9C-1DA6BF04C0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generous CPUE of 1.0 clams/digger due to 20ft surf and 40kt wind.</t>
        </r>
      </text>
    </comment>
    <comment ref="H15" authorId="0" shapeId="0" xr:uid="{EB1D589C-2201-47E5-8C56-E84037E1F8B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generous CPUE of 1.0 clams/digger due to 20ft surf and 40kt wind.</t>
        </r>
      </text>
    </comment>
    <comment ref="J15" authorId="0" shapeId="0" xr:uid="{9DBBD3CF-6F40-4BBB-B786-671BDEB0A48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generous CPUE of 1.0 clams/digger due to 20ft surf and 40kt wind.</t>
        </r>
      </text>
    </comment>
    <comment ref="F16" authorId="0" shapeId="0" xr:uid="{5719045E-D448-4A2C-B749-67475585F65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H16" authorId="0" shapeId="0" xr:uid="{B19AB4AF-9DAA-4D31-A85A-3C280EC0DF3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18" authorId="0" shapeId="0" xr:uid="{CECA91E9-468D-4E31-9F57-3805AC9282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13.8 clams/digger from the north beach count assumed for all beach.</t>
        </r>
      </text>
    </comment>
    <comment ref="H18" authorId="0" shapeId="0" xr:uid="{23C6538F-62A8-4B17-923A-AD62AE52552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F19" authorId="0" shapeId="0" xr:uid="{2411C39A-74EC-4BBB-9BFA-06EF2641793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20" authorId="0" shapeId="0" xr:uid="{E0DCFF3B-A5D1-4462-8BD9-E7644AF2DD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8.0 clams/digger from the north beach count assumed for all beach.</t>
        </r>
      </text>
    </comment>
    <comment ref="H20" authorId="0" shapeId="0" xr:uid="{BC03F44D-DD4C-4185-97A6-0F097425800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 based on other beach success</t>
        </r>
      </text>
    </comment>
    <comment ref="F21" authorId="0" shapeId="0" xr:uid="{B21D5F45-9528-4C28-93FD-9DEF3180851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F22" authorId="0" shapeId="0" xr:uid="{2664A2A5-EDD5-4CF6-B90B-EFE5AD3D386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 
13.5 clams/digger from the north beach count assumed for all beach.</t>
        </r>
      </text>
    </comment>
    <comment ref="H22" authorId="0" shapeId="0" xr:uid="{3451202A-50EB-4479-A2FB-E0EAF33750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F23" authorId="0" shapeId="0" xr:uid="{2AE2DAFD-986C-4B99-9F25-4A306F5506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24" authorId="0" shapeId="0" xr:uid="{551D37AC-28A3-4038-A3DE-5DA04CDA63C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H24" authorId="0" shapeId="0" xr:uid="{21384EFA-B93B-42AC-BBD1-D9DE1B205C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F26" authorId="0" shapeId="0" xr:uid="{D5D7A877-798B-4DAE-A7EB-0E9AFB02B0F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26" authorId="0" shapeId="0" xr:uid="{92EF95AA-B21C-45C7-B077-01DDCCA965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27" authorId="0" shapeId="0" xr:uid="{02167161-07CD-4D5A-AB2C-8A50A46F9C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13.8 clams/digger from the north beach count assumed for all beach.</t>
        </r>
      </text>
    </comment>
    <comment ref="F28" authorId="0" shapeId="0" xr:uid="{2D4E7584-2B9B-4568-B472-9A5481C2AA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3.0 clams/digger based on other beach success</t>
        </r>
      </text>
    </comment>
    <comment ref="F29" authorId="0" shapeId="0" xr:uid="{DC4C837B-90D0-4082-B8AA-ADA0E23645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30" authorId="0" shapeId="0" xr:uid="{2A502459-A3F4-4E22-8219-13FEE53383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30" authorId="0" shapeId="0" xr:uid="{5B77AF5C-7024-4D47-AFE7-D76020A264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31" authorId="0" shapeId="0" xr:uid="{23F03C9B-193B-42DC-B467-98CD363B8A2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H31" authorId="0" shapeId="0" xr:uid="{3ED1EEDC-8C44-4E1D-87FC-ED550D983D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F33" authorId="0" shapeId="0" xr:uid="{67244A04-CBFB-42FD-9075-CF13076567E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33" authorId="0" shapeId="0" xr:uid="{E6AA54FD-9F7C-4BCF-928D-E30F1532F86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35" authorId="0" shapeId="0" xr:uid="{E00A1731-FAFC-4089-AB96-627E6D1AA9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H35" authorId="0" shapeId="0" xr:uid="{E9151B45-291C-4FD0-B4A6-459AF5E9CF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36" authorId="0" shapeId="0" xr:uid="{E2A9A2B6-E6BA-4645-9759-12BD7F0B94E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37" authorId="0" shapeId="0" xr:uid="{F2BB42C6-77FA-4446-A85B-03324BDFD3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H37" authorId="0" shapeId="0" xr:uid="{603BAD62-1984-44AF-BC59-895AEF992E3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38" authorId="0" shapeId="0" xr:uid="{199EBF9C-A191-470C-9DAC-DE3B6844B1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H38" authorId="0" shapeId="0" xr:uid="{81F0FA5E-A6BC-4168-9849-A145DFDD99B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F39" authorId="0" shapeId="0" xr:uid="{4E8F5294-23EF-441F-BDE7-B4CB4EB22F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39" authorId="0" shapeId="0" xr:uid="{ADF64716-7BFE-4391-8A44-8AE6DB4665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41" authorId="0" shapeId="0" xr:uid="{E0A769E5-D249-4504-93D2-DB63885E27F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42" authorId="0" shapeId="0" xr:uid="{B2486E0C-4CD3-43EE-836B-A7490CECAB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7.0 clams/digger from the north beach count assumed for all beach.</t>
        </r>
      </text>
    </comment>
    <comment ref="H42" authorId="0" shapeId="0" xr:uid="{376E81A8-E1B7-455C-B8B5-E81EFDCCD5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43" authorId="0" shapeId="0" xr:uid="{3105DDE2-2B7D-494D-AD52-B237E50F890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43" authorId="0" shapeId="0" xr:uid="{9F84F537-ED7A-49C0-8BC0-F8702E0AC6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44" authorId="0" shapeId="0" xr:uid="{FB2F298F-BEAE-4AD9-AFE6-B80A7669B9B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45" authorId="0" shapeId="0" xr:uid="{61649088-3BD9-4A90-91D3-C3A42F58972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45" authorId="0" shapeId="0" xr:uid="{7754B5B5-302F-4CA6-841F-91DCA69695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46" authorId="0" shapeId="0" xr:uid="{30BB6270-3BA4-45D0-AF38-D0CACC5467A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46" authorId="0" shapeId="0" xr:uid="{6B2B11D0-1351-4577-9F91-C27D488A284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48" authorId="0" shapeId="0" xr:uid="{8EDD7192-19B8-4000-99AE-A360CD77847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14.8 clams/digger from the north beach count assumed for all beach.</t>
        </r>
      </text>
    </comment>
    <comment ref="F49" authorId="0" shapeId="0" xr:uid="{CCB052B9-DAC3-4D65-BBF4-BC5C3B4FF9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H49" authorId="0" shapeId="0" xr:uid="{437CFAD7-0811-478F-8F47-A7E83A87BEC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F50" authorId="0" shapeId="0" xr:uid="{DD147592-7C25-4B2D-8B1B-8161D09BE4E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50" authorId="0" shapeId="0" xr:uid="{E70175CB-3681-4C78-A013-91D23BD1630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51" authorId="0" shapeId="0" xr:uid="{F44A3182-C1EB-4DE6-B83F-5D24FAEAF12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 based on other beach success</t>
        </r>
      </text>
    </comment>
    <comment ref="F52" authorId="0" shapeId="0" xr:uid="{A5556B2A-36B8-40CC-8A23-8FCDDE5A589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H52" authorId="0" shapeId="0" xr:uid="{EEE069A1-3A65-49D5-AB03-C6C4ECA243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53" authorId="0" shapeId="0" xr:uid="{06CC5D83-1AAA-4188-94D6-DE30760CE57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14.6 clams/digger from the north beach count assumed for all beach.</t>
        </r>
      </text>
    </comment>
    <comment ref="F54" authorId="0" shapeId="0" xr:uid="{E67E4E5F-DE43-44E6-96FD-6A6645E3D2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54" authorId="0" shapeId="0" xr:uid="{577C4CE7-7378-4E4C-81A6-821A4E27E60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L54" authorId="0" shapeId="0" xr:uid="{CFFA9AA5-39A9-47A7-8991-9451530F5F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56" authorId="0" shapeId="0" xr:uid="{018A3B89-3A8F-4556-AAB3-86071D87BE5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56" authorId="0" shapeId="0" xr:uid="{1D3A382A-5815-41BD-9A61-C5BD55525E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57" authorId="0" shapeId="0" xr:uid="{7FE00A36-2866-40BD-A38B-AF0E6D8800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58" authorId="0" shapeId="0" xr:uid="{DCA30199-0335-4B03-B173-60F506D7EC0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59" authorId="0" shapeId="0" xr:uid="{157A204A-ACA3-4978-9934-4CA1B5D2C0C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60" authorId="0" shapeId="0" xr:uid="{F1040555-3A7D-4C4E-8BF6-AD4B049D93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60" authorId="0" shapeId="0" xr:uid="{29067090-8D3E-48A3-96EA-4746C47E93A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61" authorId="0" shapeId="0" xr:uid="{BDA0BFD2-9CE4-40B3-92DA-A3D13C824DE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61" authorId="0" shapeId="0" xr:uid="{E80267BA-5700-457D-8C67-A8393CE1B50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62" authorId="0" shapeId="0" xr:uid="{162813D9-4395-46CD-BD54-DA3A9BA940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64" authorId="0" shapeId="0" xr:uid="{3BC5E996-E446-442D-B132-2BEA021141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4.8 clams/digger from the north beach count assumed for all beach.</t>
        </r>
      </text>
    </comment>
    <comment ref="F65" authorId="0" shapeId="0" xr:uid="{F1900A21-17B4-4A51-B1F5-31456E3C65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12.8 clams/digger from the north beach count assumed for all beach.</t>
        </r>
      </text>
    </comment>
    <comment ref="F66" authorId="0" shapeId="0" xr:uid="{6D27AE2E-A85E-4786-91D4-147688F6EC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66" authorId="0" shapeId="0" xr:uid="{CDBFCF21-CA22-419B-91FE-9E7F13A9BA8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67" authorId="0" shapeId="0" xr:uid="{2ACCCFDE-6F60-4413-A757-48801B6E62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F68" authorId="0" shapeId="0" xr:uid="{365A5AA8-0A8B-4743-BE6C-772035D02E4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68" authorId="0" shapeId="0" xr:uid="{5F5DCD64-821E-4FF4-9125-2371362406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69" authorId="0" shapeId="0" xr:uid="{35A82B90-318B-4540-9B18-32FDDEE4306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70" authorId="0" shapeId="0" xr:uid="{BE61D564-85F0-44C0-8406-368E09DE398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H70" authorId="0" shapeId="0" xr:uid="{7CAD034C-A5D7-4DCB-B547-9784FCB6E5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F72" authorId="0" shapeId="0" xr:uid="{1CF0E752-402A-49D0-962C-C6DDA6B3C5B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 based on other beach success</t>
        </r>
      </text>
    </comment>
    <comment ref="F73" authorId="0" shapeId="0" xr:uid="{C2CF2A18-B2B1-4391-B570-73F22D855AC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10.8 clams/digger from the north beach count assumed for all beach.</t>
        </r>
      </text>
    </comment>
    <comment ref="F74" authorId="0" shapeId="0" xr:uid="{A3258B08-9314-4BD3-8298-F204F445AD6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74" authorId="0" shapeId="0" xr:uid="{CE5EDEE3-E40B-4097-A63B-89115BF8DA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75" authorId="0" shapeId="0" xr:uid="{C9EF8F35-63F5-421C-A624-FE4FCCBDBF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H75" authorId="0" shapeId="0" xr:uid="{7EC6A7C8-909D-4EFB-9EF0-A1F7955D4C4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F76" authorId="0" shapeId="0" xr:uid="{10386AD5-DDA2-460A-B03A-1A2D47A5434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0.8 clams/digger from the north beach count assumed for all beach.</t>
        </r>
      </text>
    </comment>
    <comment ref="F77" authorId="0" shapeId="0" xr:uid="{43BB8251-5230-4B67-8CA9-6CD1DF02EB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77" authorId="0" shapeId="0" xr:uid="{816E1E51-0E72-44DC-ADA5-00F809596B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79" authorId="0" shapeId="0" xr:uid="{3BBBAED9-F7AC-40CE-91B7-BEDE4E6AE9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H80" authorId="0" shapeId="0" xr:uid="{1FF74F07-F3B2-4190-8D8B-42301D6782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81" authorId="0" shapeId="0" xr:uid="{1A73EC20-BBD9-48B0-A9EE-7F3441971F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82" authorId="0" shapeId="0" xr:uid="{7923789B-452A-4458-8155-8F1F99E0FD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83" authorId="0" shapeId="0" xr:uid="{69B757DA-ED53-4060-8367-F51B46437F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14.4 clams/digger from the north beach count assumed for all beach.</t>
        </r>
      </text>
    </comment>
    <comment ref="F84" authorId="0" shapeId="0" xr:uid="{7E3F8473-68D4-4D2F-854D-1079F2386CE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84" authorId="0" shapeId="0" xr:uid="{9BD5C037-EDEF-4E42-9F0C-359BE198F1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85" authorId="0" shapeId="0" xr:uid="{B1D35EB7-ADE3-42EB-9968-13DE4239EC9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85" authorId="0" shapeId="0" xr:uid="{4EC8B223-2160-4A72-AA8B-471F6ED6E7B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87" authorId="0" shapeId="0" xr:uid="{D283B33E-A33C-42B5-B83A-DF7020B254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F88" authorId="0" shapeId="0" xr:uid="{382A723B-FE09-4CE6-99A8-C926B322FC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12.8 clams/digger from the north beach count assumed for all beach.</t>
        </r>
      </text>
    </comment>
    <comment ref="F89" authorId="0" shapeId="0" xr:uid="{EE342269-9C77-48F5-ABEA-FFCF475DB5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H89" authorId="0" shapeId="0" xr:uid="{2E61B2E2-04AF-4798-9A49-D72BD2D6D8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F90" authorId="0" shapeId="0" xr:uid="{9CBADFBE-0B22-402C-9E00-73BE1CB88D0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90" authorId="0" shapeId="0" xr:uid="{F861EB81-ABF5-4DC8-BD32-3C448066322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91" authorId="0" shapeId="0" xr:uid="{95ABF65D-875B-4337-B2DA-A3E6C098F9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H91" authorId="0" shapeId="0" xr:uid="{8D3FEFCF-CA28-4178-B57F-2093748BA3C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93" authorId="0" shapeId="0" xr:uid="{D7A140FA-5835-42F6-8463-9D1D30CCD04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H93" authorId="0" shapeId="0" xr:uid="{49EA08EB-F2C9-42D2-9226-387AD15E383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94" authorId="0" shapeId="0" xr:uid="{5BFEF5B3-720E-4928-9439-D799BF02336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L94" authorId="0" shapeId="0" xr:uid="{24BDCC65-4F94-42ED-AD6E-10EA45FEC9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F96" authorId="0" shapeId="0" xr:uid="{9404E66B-5002-4DA9-89C0-CC5A797F719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97" authorId="0" shapeId="0" xr:uid="{5BA420F6-5D25-4C50-AA98-F1DFC715809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H97" authorId="0" shapeId="0" xr:uid="{6B359890-7827-4421-9C7E-564AB1404E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7.0 clams/digger based on other beach success</t>
        </r>
      </text>
    </comment>
    <comment ref="F98" authorId="0" shapeId="0" xr:uid="{959F6338-8A8D-4D84-A05F-EB7181AD37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14.5 clams/digger from the north beach count assumed for all beach.</t>
        </r>
      </text>
    </comment>
    <comment ref="H98" authorId="0" shapeId="0" xr:uid="{EA762347-EAD1-40CC-A7BE-73F5F2C67CB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99" authorId="0" shapeId="0" xr:uid="{327930B5-6F0B-4B87-BA33-7D284D1563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00" authorId="0" shapeId="0" xr:uid="{3F91585F-F7BE-417E-8E6D-C3948C04612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14.1 clams/digger from the north beach count assumed for all beach.</t>
        </r>
      </text>
    </comment>
    <comment ref="H100" authorId="0" shapeId="0" xr:uid="{E38EDAA0-97E3-499E-84E9-2106AD50B9A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02" authorId="0" shapeId="0" xr:uid="{3296BCAA-C7CB-408F-9A74-5DEA3AB55B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104" authorId="0" shapeId="0" xr:uid="{79BF0596-CD5C-44F1-AABB-DAF68A293EB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05" authorId="0" shapeId="0" xr:uid="{5E5DE312-A0D9-4B77-ACF6-27334FD2CE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107" authorId="0" shapeId="0" xr:uid="{20ED09BF-46A5-4510-8E9A-AFDEA1BAB7C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107" authorId="0" shapeId="0" xr:uid="{57C249F3-EC3D-4C93-89F9-466FE97ABD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08" authorId="0" shapeId="0" xr:uid="{97B1964D-78F1-4DAC-AF45-2B77E145CF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H108" authorId="0" shapeId="0" xr:uid="{5365B42D-E1D0-4AEE-AF20-6670DB918ED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09" authorId="0" shapeId="0" xr:uid="{94F345CE-0AEE-43DA-937D-A73451CF3F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110" authorId="0" shapeId="0" xr:uid="{DDC15E34-0509-4600-A06B-6266EA161A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H110" authorId="0" shapeId="0" xr:uid="{44AEC746-0C4C-4448-9318-D9BA1A31C78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112" authorId="0" shapeId="0" xr:uid="{394FEA54-3B1A-4F1B-AEEA-D8F61A4F75C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14" authorId="0" shapeId="0" xr:uid="{BC80BF48-AC31-401F-B68A-63522447655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15" authorId="0" shapeId="0" xr:uid="{56EBC352-BDA6-4522-8A19-A88C73A628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14.7 clams/digger from the north beach count assumed for all beach.</t>
        </r>
      </text>
    </comment>
    <comment ref="H115" authorId="0" shapeId="0" xr:uid="{B157C7B5-F88B-4AEC-ACA5-8DD4FA51ACD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16" authorId="0" shapeId="0" xr:uid="{65648F61-CBF5-4D6C-BD6B-23188DCE9D4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117" authorId="0" shapeId="0" xr:uid="{F6E982E5-FEFA-4A4D-89D7-453FB5597C3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18" authorId="0" shapeId="0" xr:uid="{1C865914-4A34-4CBD-BA76-3AD499BD82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M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N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M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N5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M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N6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M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N7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M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N8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<sst xmlns="http://schemas.openxmlformats.org/spreadsheetml/2006/main" count="2792" uniqueCount="89">
  <si>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</si>
  <si>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</si>
  <si>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</si>
  <si>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</si>
  <si>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</si>
  <si>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</si>
  <si>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</si>
  <si>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</si>
  <si>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</si>
  <si>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</si>
  <si>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CLOSED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</si>
  <si>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</si>
  <si>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</si>
  <si>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</si>
  <si>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</si>
  <si>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</si>
  <si>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</si>
  <si>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** - No beach count. Used data from another day with similar conditions to estimate count.</t>
  </si>
  <si>
    <t>Fri</t>
  </si>
  <si>
    <t>Sat</t>
  </si>
  <si>
    <t>Sun</t>
  </si>
  <si>
    <t>Mon</t>
  </si>
  <si>
    <t>Thu</t>
  </si>
  <si>
    <t>SEASON TOTALS :</t>
  </si>
  <si>
    <t># - Tide is not low enough for decent digging opportunity</t>
  </si>
  <si>
    <t>Effort</t>
  </si>
  <si>
    <t>Harvest</t>
  </si>
  <si>
    <t>CPUE</t>
  </si>
  <si>
    <t>NON-TRIBAL TOTAL ALLOWABLE CATCH (TAC)</t>
  </si>
  <si>
    <t>2018-2019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</si>
  <si>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</si>
  <si>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</si>
  <si>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</si>
  <si>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</si>
  <si>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</si>
  <si>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</si>
  <si>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</si>
  <si>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</si>
  <si>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LONG BEACH</t>
  </si>
  <si>
    <t>TWIN HARBORS</t>
  </si>
  <si>
    <t>COPALIS</t>
  </si>
  <si>
    <t>MOCROCKS</t>
  </si>
  <si>
    <t>KALALOCH</t>
  </si>
  <si>
    <t>COASTWIDE TAC</t>
  </si>
  <si>
    <t>2019-2020</t>
  </si>
  <si>
    <t>DAILY TOTALS</t>
  </si>
  <si>
    <t>DATE</t>
  </si>
  <si>
    <t>DAY</t>
  </si>
  <si>
    <t>TIDE</t>
  </si>
  <si>
    <t>TIME</t>
  </si>
  <si>
    <t>Tide Series Totals</t>
  </si>
  <si>
    <t>SEASON SUBTOTALS:</t>
  </si>
  <si>
    <t>WASTAGE</t>
  </si>
  <si>
    <t>SEASON TOTALS:</t>
  </si>
  <si>
    <t>2020-2021</t>
  </si>
  <si>
    <t>2021-2022</t>
  </si>
  <si>
    <t>CROSS</t>
  </si>
  <si>
    <t>CHECK</t>
  </si>
  <si>
    <t>2022-2023</t>
  </si>
  <si>
    <t>2023-2024</t>
  </si>
  <si>
    <t>Tue</t>
  </si>
  <si>
    <t>Wed</t>
  </si>
  <si>
    <t>*</t>
  </si>
  <si>
    <t>2025-2026 State (non-Tribal) Recreational Razor Clam Effort, Harvest and CPUE totals.</t>
  </si>
  <si>
    <t xml:space="preserve">FALL 2025 - SPRING 2026 SEASON TOTALS: </t>
  </si>
  <si>
    <t>2024-2025</t>
  </si>
  <si>
    <t>2025-2026</t>
  </si>
  <si>
    <t>11200</t>
  </si>
  <si>
    <t>12400</t>
  </si>
  <si>
    <t>22307</t>
  </si>
  <si>
    <t>32009</t>
  </si>
  <si>
    <t>42600</t>
  </si>
  <si>
    <t>41300</t>
  </si>
  <si>
    <t>42500</t>
  </si>
  <si>
    <t>41400</t>
  </si>
  <si>
    <t>31005</t>
  </si>
  <si>
    <t>32007</t>
  </si>
  <si>
    <t>33012</t>
  </si>
  <si>
    <t>12500</t>
  </si>
  <si>
    <t>21100</t>
  </si>
  <si>
    <t>22309</t>
  </si>
  <si>
    <t>Average Length (mm)</t>
  </si>
  <si>
    <t>21200</t>
  </si>
  <si>
    <t>12300</t>
  </si>
  <si>
    <t>12600</t>
  </si>
  <si>
    <t>11104</t>
  </si>
  <si>
    <t>41200</t>
  </si>
  <si>
    <t>107.16mm</t>
  </si>
  <si>
    <t>119.40mm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</si>
</sst>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ddd"/>
    <numFmt numFmtId="166" formatCode="0.0"/>
    <numFmt numFmtId="167" formatCode="[$-409]h:mm\ AM/PM;@"/>
    <numFmt numFmtId="168" formatCode="0.0%"/>
    <numFmt numFmtId="169" formatCode="#,##0.0_);\(#,##0.0\)"/>
    <numFmt numFmtId="170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i/>
      <sz val="1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0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18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5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0" fontId="1" fillId="0" borderId="0"/>
    <xf numFmtId="0" fontId="18" fillId="0" borderId="0">
      <alignment vertical="top"/>
    </xf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0" fontId="22" fillId="0" borderId="0">
      <alignment vertical="top"/>
    </xf>
    <xf numFmtId="4" fontId="18" fillId="0" borderId="0" applyFont="0" applyFill="0" applyBorder="0" applyAlignment="0" applyProtection="0"/>
    <xf numFmtId="0" fontId="23" fillId="0" borderId="0" applyNumberFormat="0" applyFont="0" applyFill="0" applyAlignment="0" applyProtection="0"/>
    <xf numFmtId="0" fontId="24" fillId="0" borderId="0" applyNumberFormat="0" applyFont="0" applyFill="0" applyAlignment="0" applyProtection="0"/>
    <xf numFmtId="0" fontId="18" fillId="0" borderId="30" applyNumberFormat="0" applyFont="0" applyBorder="0" applyAlignment="0" applyProtection="0"/>
    <xf numFmtId="0" fontId="1" fillId="0" borderId="0"/>
    <xf numFmtId="0" fontId="22" fillId="0" borderId="0">
      <alignment vertical="top"/>
    </xf>
    <xf numFmtId="0" fontId="25" fillId="0" borderId="0"/>
    <xf numFmtId="0" fontId="25" fillId="0" borderId="0"/>
    <xf numFmtId="0" fontId="25" fillId="0" borderId="0"/>
    <xf numFmtId="0" fontId="26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0" applyNumberFormat="1"/>
    <xf numFmtId="37" fontId="0" fillId="0" borderId="0" xfId="1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3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3" xfId="0" applyBorder="1"/>
    <xf numFmtId="3" fontId="0" fillId="0" borderId="4" xfId="0" applyNumberFormat="1" applyBorder="1"/>
    <xf numFmtId="0" fontId="0" fillId="0" borderId="5" xfId="0" applyBorder="1"/>
    <xf numFmtId="3" fontId="0" fillId="0" borderId="6" xfId="0" applyNumberFormat="1" applyBorder="1"/>
    <xf numFmtId="3" fontId="0" fillId="3" borderId="6" xfId="0" applyNumberFormat="1" applyFill="1" applyBorder="1"/>
    <xf numFmtId="3" fontId="10" fillId="3" borderId="0" xfId="0" applyNumberFormat="1" applyFont="1" applyFill="1" applyAlignment="1">
      <alignment horizontal="center"/>
    </xf>
    <xf numFmtId="0" fontId="0" fillId="0" borderId="7" xfId="0" applyBorder="1"/>
    <xf numFmtId="3" fontId="0" fillId="0" borderId="8" xfId="0" applyNumberFormat="1" applyBorder="1"/>
    <xf numFmtId="0" fontId="11" fillId="0" borderId="9" xfId="0" applyFont="1" applyBorder="1"/>
    <xf numFmtId="3" fontId="0" fillId="0" borderId="10" xfId="0" applyNumberFormat="1" applyBorder="1"/>
    <xf numFmtId="10" fontId="0" fillId="0" borderId="0" xfId="2" quotePrefix="1" applyNumberFormat="1" applyFont="1" applyAlignment="1">
      <alignment horizontal="center"/>
    </xf>
    <xf numFmtId="0" fontId="12" fillId="0" borderId="15" xfId="0" applyFont="1" applyBorder="1"/>
    <xf numFmtId="0" fontId="12" fillId="0" borderId="16" xfId="0" applyFont="1" applyBorder="1"/>
    <xf numFmtId="0" fontId="12" fillId="0" borderId="15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16" fontId="12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12" fillId="0" borderId="21" xfId="0" applyNumberFormat="1" applyFont="1" applyBorder="1" applyAlignment="1">
      <alignment horizontal="center"/>
    </xf>
    <xf numFmtId="3" fontId="12" fillId="0" borderId="15" xfId="0" applyNumberFormat="1" applyFont="1" applyBorder="1"/>
    <xf numFmtId="3" fontId="12" fillId="0" borderId="19" xfId="0" applyNumberFormat="1" applyFont="1" applyBorder="1" applyAlignment="1">
      <alignment horizontal="center"/>
    </xf>
    <xf numFmtId="3" fontId="14" fillId="0" borderId="24" xfId="0" applyNumberFormat="1" applyFont="1" applyBorder="1" applyAlignment="1">
      <alignment horizontal="center"/>
    </xf>
    <xf numFmtId="3" fontId="14" fillId="0" borderId="22" xfId="0" applyNumberFormat="1" applyFont="1" applyBorder="1" applyAlignment="1">
      <alignment horizontal="center"/>
    </xf>
    <xf numFmtId="166" fontId="14" fillId="0" borderId="22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15" fillId="0" borderId="14" xfId="0" applyNumberFormat="1" applyFont="1" applyBorder="1"/>
    <xf numFmtId="166" fontId="2" fillId="0" borderId="1" xfId="0" applyNumberFormat="1" applyFont="1" applyBorder="1" applyAlignment="1">
      <alignment horizontal="center"/>
    </xf>
    <xf numFmtId="16" fontId="14" fillId="0" borderId="16" xfId="0" applyNumberFormat="1" applyFont="1" applyBorder="1" applyAlignment="1">
      <alignment horizontal="left"/>
    </xf>
    <xf numFmtId="0" fontId="14" fillId="0" borderId="16" xfId="0" applyFont="1" applyBorder="1"/>
    <xf numFmtId="3" fontId="14" fillId="0" borderId="16" xfId="0" applyNumberFormat="1" applyFont="1" applyBorder="1" applyAlignment="1">
      <alignment horizontal="center"/>
    </xf>
    <xf numFmtId="166" fontId="14" fillId="0" borderId="16" xfId="0" applyNumberFormat="1" applyFont="1" applyBorder="1" applyAlignment="1">
      <alignment horizontal="center"/>
    </xf>
    <xf numFmtId="16" fontId="14" fillId="0" borderId="0" xfId="0" applyNumberFormat="1" applyFont="1" applyAlignment="1">
      <alignment horizontal="left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" fontId="14" fillId="0" borderId="25" xfId="0" applyNumberFormat="1" applyFont="1" applyBorder="1" applyAlignment="1">
      <alignment horizontal="left"/>
    </xf>
    <xf numFmtId="0" fontId="14" fillId="0" borderId="26" xfId="0" applyFont="1" applyBorder="1"/>
    <xf numFmtId="3" fontId="14" fillId="0" borderId="26" xfId="0" applyNumberFormat="1" applyFont="1" applyBorder="1" applyAlignment="1">
      <alignment horizontal="center"/>
    </xf>
    <xf numFmtId="166" fontId="14" fillId="0" borderId="26" xfId="0" applyNumberFormat="1" applyFont="1" applyBorder="1" applyAlignment="1">
      <alignment horizontal="center"/>
    </xf>
    <xf numFmtId="3" fontId="14" fillId="0" borderId="27" xfId="0" applyNumberFormat="1" applyFont="1" applyBorder="1" applyAlignment="1">
      <alignment horizontal="center"/>
    </xf>
    <xf numFmtId="0" fontId="16" fillId="0" borderId="28" xfId="0" applyFont="1" applyBorder="1" applyAlignment="1">
      <alignment horizontal="left"/>
    </xf>
    <xf numFmtId="0" fontId="14" fillId="0" borderId="1" xfId="0" applyFont="1" applyBorder="1"/>
    <xf numFmtId="168" fontId="14" fillId="0" borderId="1" xfId="0" applyNumberFormat="1" applyFont="1" applyBorder="1" applyAlignment="1">
      <alignment horizontal="center"/>
    </xf>
    <xf numFmtId="0" fontId="14" fillId="0" borderId="29" xfId="0" applyFont="1" applyBorder="1"/>
    <xf numFmtId="3" fontId="2" fillId="0" borderId="1" xfId="0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166" fontId="12" fillId="0" borderId="1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3" applyFont="1" applyAlignment="1">
      <alignment horizontal="right" wrapText="1"/>
    </xf>
    <xf numFmtId="166" fontId="14" fillId="0" borderId="12" xfId="0" applyNumberFormat="1" applyFont="1" applyBorder="1" applyAlignment="1">
      <alignment horizontal="center"/>
    </xf>
    <xf numFmtId="37" fontId="0" fillId="0" borderId="0" xfId="0" applyNumberFormat="1" applyAlignment="1">
      <alignment horizontal="center"/>
    </xf>
    <xf numFmtId="16" fontId="14" fillId="0" borderId="0" xfId="0" applyNumberFormat="1" applyFont="1" applyAlignment="1">
      <alignment horizontal="center"/>
    </xf>
    <xf numFmtId="0" fontId="7" fillId="2" borderId="2" xfId="4" applyFont="1" applyFill="1" applyBorder="1" applyAlignment="1">
      <alignment horizontal="center"/>
    </xf>
    <xf numFmtId="0" fontId="12" fillId="0" borderId="0" xfId="0" applyFont="1"/>
    <xf numFmtId="0" fontId="19" fillId="0" borderId="0" xfId="6" applyProtection="1">
      <protection locked="0"/>
    </xf>
    <xf numFmtId="3" fontId="11" fillId="0" borderId="14" xfId="0" applyNumberFormat="1" applyFont="1" applyBorder="1"/>
    <xf numFmtId="3" fontId="14" fillId="0" borderId="1" xfId="0" applyNumberFormat="1" applyFont="1" applyBorder="1"/>
    <xf numFmtId="3" fontId="14" fillId="0" borderId="29" xfId="0" applyNumberFormat="1" applyFont="1" applyBorder="1"/>
    <xf numFmtId="0" fontId="20" fillId="2" borderId="2" xfId="7" applyFont="1" applyFill="1" applyBorder="1" applyAlignment="1">
      <alignment horizontal="center"/>
    </xf>
    <xf numFmtId="0" fontId="20" fillId="2" borderId="2" xfId="8" applyFont="1" applyFill="1" applyBorder="1" applyAlignment="1">
      <alignment horizontal="center"/>
    </xf>
    <xf numFmtId="0" fontId="20" fillId="2" borderId="2" xfId="9" applyFont="1" applyFill="1" applyBorder="1" applyAlignment="1">
      <alignment horizontal="center"/>
    </xf>
    <xf numFmtId="0" fontId="0" fillId="0" borderId="0" xfId="0" applyProtection="1">
      <protection locked="0"/>
    </xf>
    <xf numFmtId="0" fontId="25" fillId="0" borderId="0" xfId="31" applyProtection="1">
      <protection locked="0"/>
    </xf>
    <xf numFmtId="0" fontId="25" fillId="0" borderId="0" xfId="32" applyProtection="1">
      <protection locked="0"/>
    </xf>
    <xf numFmtId="1" fontId="0" fillId="0" borderId="0" xfId="0" applyNumberFormat="1" applyAlignment="1">
      <alignment horizontal="center"/>
    </xf>
    <xf numFmtId="3" fontId="12" fillId="4" borderId="20" xfId="0" applyNumberFormat="1" applyFont="1" applyFill="1" applyBorder="1" applyAlignment="1">
      <alignment horizontal="center"/>
    </xf>
    <xf numFmtId="3" fontId="12" fillId="4" borderId="0" xfId="0" applyNumberFormat="1" applyFont="1" applyFill="1" applyAlignment="1">
      <alignment horizontal="center"/>
    </xf>
    <xf numFmtId="166" fontId="12" fillId="4" borderId="0" xfId="0" applyNumberFormat="1" applyFont="1" applyFill="1" applyAlignment="1">
      <alignment horizontal="center"/>
    </xf>
    <xf numFmtId="0" fontId="27" fillId="2" borderId="2" xfId="33" applyFont="1" applyFill="1" applyBorder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5" fillId="0" borderId="0" xfId="32" applyAlignment="1" applyProtection="1">
      <alignment horizontal="right"/>
      <protection locked="0"/>
    </xf>
    <xf numFmtId="3" fontId="12" fillId="0" borderId="17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6" fontId="12" fillId="0" borderId="17" xfId="0" applyNumberFormat="1" applyFont="1" applyBorder="1" applyAlignment="1">
      <alignment horizontal="center"/>
    </xf>
    <xf numFmtId="16" fontId="12" fillId="0" borderId="16" xfId="0" applyNumberFormat="1" applyFont="1" applyBorder="1" applyAlignment="1">
      <alignment horizontal="center"/>
    </xf>
    <xf numFmtId="16" fontId="12" fillId="0" borderId="18" xfId="0" applyNumberFormat="1" applyFont="1" applyBorder="1" applyAlignment="1">
      <alignment horizontal="center"/>
    </xf>
    <xf numFmtId="16" fontId="14" fillId="0" borderId="22" xfId="0" applyNumberFormat="1" applyFont="1" applyBorder="1" applyAlignment="1">
      <alignment horizontal="center"/>
    </xf>
    <xf numFmtId="16" fontId="14" fillId="0" borderId="2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4">
    <cellStyle name="Comma" xfId="1" builtinId="3"/>
    <cellStyle name="Comma 2" xfId="11" xr:uid="{5A0480C8-43E6-4579-AA5F-71BFA63E8A6F}"/>
    <cellStyle name="Comma 3" xfId="24" xr:uid="{45815489-39BE-47AA-A8D7-27FDEC6B825E}"/>
    <cellStyle name="Comma0" xfId="12" xr:uid="{D992EF3C-7028-40D2-A147-4E6A3565172A}"/>
    <cellStyle name="Currency 2" xfId="13" xr:uid="{3D0E7746-3610-4B4C-92BC-16FE03BB483D}"/>
    <cellStyle name="Currency0" xfId="14" xr:uid="{1FD5A51E-D1AF-4BDE-81BB-1F4C1166E357}"/>
    <cellStyle name="Date" xfId="15" xr:uid="{A25C44B2-778B-4463-8748-DABD73AB0F27}"/>
    <cellStyle name="Fixed" xfId="16" xr:uid="{21588A2B-5C0C-4377-9A37-C419901FE503}"/>
    <cellStyle name="Heading 1 2" xfId="25" xr:uid="{3E255AC5-6346-4902-BB6A-A9B41F3FA737}"/>
    <cellStyle name="Heading 2 2" xfId="26" xr:uid="{64DF30F8-FE72-4413-B8EF-551D4CE238D6}"/>
    <cellStyle name="Normal" xfId="0" builtinId="0"/>
    <cellStyle name="Normal 10" xfId="32" xr:uid="{F23BB3CB-4027-4C5C-AD15-8E2CF2909B5F}"/>
    <cellStyle name="Normal 2" xfId="5" xr:uid="{5F026BFF-F180-40A1-98B2-919AFB767081}"/>
    <cellStyle name="Normal 3" xfId="6" xr:uid="{FA6E2879-CF0C-4935-9AA1-6F3A1A0A2A09}"/>
    <cellStyle name="Normal 3 2" xfId="28" xr:uid="{38A15E38-20BD-4C4E-A4F6-3A3F52867024}"/>
    <cellStyle name="Normal 3_Harvest" xfId="17" xr:uid="{E234AF35-0065-46F6-9D22-8A2606341E41}"/>
    <cellStyle name="Normal 4" xfId="18" xr:uid="{368060C2-7E6F-4433-8630-62FB143BEC16}"/>
    <cellStyle name="Normal 5" xfId="19" xr:uid="{035C9A1B-B44C-409D-ACCD-A6BD73AFC18B}"/>
    <cellStyle name="Normal 5 2" xfId="20" xr:uid="{8F8DB13E-473B-482E-A074-D0D6943C7DC4}"/>
    <cellStyle name="Normal 5 2 2" xfId="10" xr:uid="{B2EFC308-24F1-4ADE-A23A-3777C18BBAF7}"/>
    <cellStyle name="Normal 5 2 2 2" xfId="21" xr:uid="{DF0C93C7-9DA5-42DB-973D-0D6DC8A920B1}"/>
    <cellStyle name="Normal 6" xfId="23" xr:uid="{BDDACFF0-5A47-42F6-A848-B09E950EC19E}"/>
    <cellStyle name="Normal 7" xfId="29" xr:uid="{3A2F85EF-BD8D-4B4C-A9F2-39593565240D}"/>
    <cellStyle name="Normal 8" xfId="30" xr:uid="{763F9B8A-1DCA-4B88-A3FB-01948E69277C}"/>
    <cellStyle name="Normal 9" xfId="31" xr:uid="{BAD39F89-9D64-4D10-96BD-821CB3EF05B5}"/>
    <cellStyle name="Normal_Cop Wastage_1" xfId="9" xr:uid="{7987794B-CE1A-4972-B3BC-32F2D26DBBCD}"/>
    <cellStyle name="Normal_Copy Sheet" xfId="3" xr:uid="{00000000-0005-0000-0000-000002000000}"/>
    <cellStyle name="Normal_LB Wastage_1" xfId="8" xr:uid="{FEEDB232-1B89-4072-A2EF-C67B734FB1DF}"/>
    <cellStyle name="Normal_Moc Wastage" xfId="4" xr:uid="{62C406E5-A92E-4E4C-BB7A-FDDD433B630E}"/>
    <cellStyle name="Normal_TH Wastage" xfId="33" xr:uid="{38C33CE2-F4E2-46AF-A40A-1D27BA16A48F}"/>
    <cellStyle name="Normal_TH Wastage_1" xfId="7" xr:uid="{E73622CF-96CE-4D4E-AFBE-0616F89A43F6}"/>
    <cellStyle name="Percent" xfId="2" builtinId="5"/>
    <cellStyle name="Percent 2" xfId="22" xr:uid="{E5BA0AB6-0C8F-4FF7-9429-2967EB43FFDA}"/>
    <cellStyle name="Total 2" xfId="27" xr:uid="{72733C6B-FFF1-4D49-9835-DCDE6D4BE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1"/>
  <sheetViews>
    <sheetView zoomScale="205" zoomScaleNormal="205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8.7109375" style="2" customWidth="1"/>
    <col min="2" max="2" width="7" style="8" customWidth="1"/>
    <col min="3" max="3" width="7.7109375" style="8" customWidth="1"/>
    <col min="4" max="4" width="9.85546875" style="13" customWidth="1"/>
    <col min="5" max="5" width="3.7109375" style="6" customWidth="1"/>
    <col min="6" max="6" width="12.7109375" style="9" customWidth="1"/>
    <col min="7" max="7" width="3.7109375" customWidth="1"/>
    <col min="8" max="8" width="12.7109375" style="9" customWidth="1"/>
    <col min="9" max="9" width="3.7109375" customWidth="1"/>
    <col min="10" max="10" width="12.7109375" style="9" customWidth="1"/>
    <col min="11" max="11" width="3.7109375" customWidth="1"/>
    <col min="12" max="12" width="12.7109375" style="9" customWidth="1"/>
    <col min="13" max="13" width="3.7109375" customWidth="1"/>
    <col min="14" max="14" width="12.7109375" style="8" customWidth="1"/>
    <col min="15" max="15" width="18.140625" style="9" bestFit="1" customWidth="1"/>
  </cols>
  <sheetData>
    <row r="1" spans="1:15" x14ac:dyDescent="0.25">
      <c r="A1" s="14" t="s">
        <v>0</v>
      </c>
      <c r="B1" s="1" t="s">
        <v>1</v>
      </c>
      <c r="C1" s="1" t="s">
        <v>2</v>
      </c>
      <c r="D1" s="12" t="s">
        <v>3</v>
      </c>
      <c r="E1" s="112" t="s">
        <v>4</v>
      </c>
      <c r="F1" s="112"/>
      <c r="G1" s="112" t="s">
        <v>5</v>
      </c>
      <c r="H1" s="112"/>
      <c r="I1" s="112" t="s">
        <v>6</v>
      </c>
      <c r="J1" s="112"/>
      <c r="K1" s="112" t="s">
        <v>7</v>
      </c>
      <c r="L1" s="112"/>
      <c r="M1" s="112" t="s">
        <v>8</v>
      </c>
      <c r="N1" s="112"/>
      <c r="O1" s="73" t="s">
        <v>9</v>
      </c>
    </row>
    <row r="2" spans="1:15" x14ac:dyDescent="0.25">
      <c r="A2" s="77">
        <v>45936</v>
      </c>
      <c r="B2" s="8" t="s">
        <v>21</v>
      </c>
      <c r="C2" s="4">
        <v>-0.21</v>
      </c>
      <c r="D2" s="13">
        <v>0.77430555555555558</v>
      </c>
      <c r="E2" s="76" t="s">
        <v>62</v>
      </c>
      <c r="F2" s="9">
        <f>+Effort!F2*CPUE!F2</f>
        <v>25248.804015521517</v>
      </c>
      <c r="G2" s="9"/>
      <c r="H2" s="9">
        <v>27015.573975053001</v>
      </c>
      <c r="I2" s="9"/>
      <c r="J2" s="9" t="s">
        <v>10</v>
      </c>
      <c r="K2" s="9"/>
      <c r="L2" s="9">
        <v>22619.961888298501</v>
      </c>
      <c r="M2" s="9"/>
      <c r="N2" s="9" t="s">
        <v>10</v>
      </c>
      <c r="O2" s="9">
        <f t="shared" ref="O2:O14" si="0">SUM(F2:N2)</f>
        <v>74884.339878873026</v>
      </c>
    </row>
    <row r="3" spans="1:15" x14ac:dyDescent="0.25">
      <c r="A3" s="77">
        <v>45937</v>
      </c>
      <c r="B3" s="8" t="s">
        <v>60</v>
      </c>
      <c r="C3" s="4">
        <v>-0.95</v>
      </c>
      <c r="D3" s="13">
        <v>0.8041666666666667</v>
      </c>
      <c r="E3" s="76"/>
      <c r="F3" s="9">
        <f>11674.7548001086+15401.7856066792</f>
        <v>27076.540406787797</v>
      </c>
      <c r="G3" s="9" t="s">
        <v>62</v>
      </c>
      <c r="H3" s="9">
        <f>+Effort!H3*CPUE!H3</f>
        <v>21796.96729099509</v>
      </c>
      <c r="I3" s="9"/>
      <c r="J3" s="9" t="s">
        <v>10</v>
      </c>
      <c r="K3" s="9"/>
      <c r="L3" s="9">
        <v>17526.232453338202</v>
      </c>
      <c r="M3" s="9"/>
      <c r="N3" s="9" t="s">
        <v>10</v>
      </c>
      <c r="O3" s="9">
        <f t="shared" si="0"/>
        <v>66399.740151121092</v>
      </c>
    </row>
    <row r="4" spans="1:15" x14ac:dyDescent="0.25">
      <c r="A4" s="77">
        <v>45938</v>
      </c>
      <c r="B4" s="8" t="s">
        <v>61</v>
      </c>
      <c r="C4" s="4">
        <v>-1.41</v>
      </c>
      <c r="D4" s="13">
        <v>0.83472222222222225</v>
      </c>
      <c r="E4" s="76"/>
      <c r="F4" s="9">
        <f>+Effort!F4*CPUE!F4</f>
        <v>11317.153210140792</v>
      </c>
      <c r="G4" s="9" t="s">
        <v>62</v>
      </c>
      <c r="H4" s="9">
        <f>+Effort!H4*CPUE!H4</f>
        <v>14245.957926077721</v>
      </c>
      <c r="I4" s="9"/>
      <c r="J4" s="9">
        <v>24105.802191916198</v>
      </c>
      <c r="K4" s="9"/>
      <c r="L4" s="9" t="s">
        <v>10</v>
      </c>
      <c r="M4" s="9"/>
      <c r="N4" s="9" t="s">
        <v>10</v>
      </c>
      <c r="O4" s="9">
        <f t="shared" si="0"/>
        <v>49668.913328134709</v>
      </c>
    </row>
    <row r="5" spans="1:15" x14ac:dyDescent="0.25">
      <c r="A5" s="77">
        <v>45939</v>
      </c>
      <c r="B5" s="8" t="s">
        <v>22</v>
      </c>
      <c r="C5" s="4">
        <v>-1.51</v>
      </c>
      <c r="D5" s="13">
        <v>0.86736111111111114</v>
      </c>
      <c r="E5" s="76" t="s">
        <v>62</v>
      </c>
      <c r="F5" s="9">
        <f>+Effort!F5*CPUE!F5</f>
        <v>8680.7079307963595</v>
      </c>
      <c r="G5" s="9"/>
      <c r="H5" s="9">
        <v>11610.1690953407</v>
      </c>
      <c r="I5" s="9"/>
      <c r="J5" s="9">
        <v>8857.6225047732005</v>
      </c>
      <c r="K5" s="9"/>
      <c r="L5" s="9" t="s">
        <v>10</v>
      </c>
      <c r="M5" s="9"/>
      <c r="N5" s="9" t="s">
        <v>10</v>
      </c>
      <c r="O5" s="9">
        <f t="shared" si="0"/>
        <v>29148.49953091026</v>
      </c>
    </row>
    <row r="6" spans="1:15" x14ac:dyDescent="0.25">
      <c r="A6" s="77">
        <v>45940</v>
      </c>
      <c r="B6" s="8" t="s">
        <v>18</v>
      </c>
      <c r="C6" s="4">
        <v>-1.28</v>
      </c>
      <c r="D6" s="13">
        <v>0.90277777777777779</v>
      </c>
      <c r="E6" s="76"/>
      <c r="F6" s="9">
        <f>+Effort!F6*CPUE!F6</f>
        <v>12330.507649379508</v>
      </c>
      <c r="G6" s="9"/>
      <c r="H6" s="9">
        <v>13193.327547197399</v>
      </c>
      <c r="I6" s="9"/>
      <c r="J6" s="9" t="s">
        <v>10</v>
      </c>
      <c r="K6" s="9"/>
      <c r="L6" s="9">
        <v>18312.923120983502</v>
      </c>
      <c r="M6" s="9"/>
      <c r="N6" s="9" t="s">
        <v>10</v>
      </c>
      <c r="O6" s="9">
        <f t="shared" ref="O6:O8" si="1">SUM(F6:N6)</f>
        <v>43836.758317560409</v>
      </c>
    </row>
    <row r="7" spans="1:15" x14ac:dyDescent="0.25">
      <c r="A7" s="77">
        <v>45941</v>
      </c>
      <c r="B7" s="8" t="s">
        <v>19</v>
      </c>
      <c r="C7" s="4">
        <v>-0.81</v>
      </c>
      <c r="D7" s="13">
        <v>0.94236111111111109</v>
      </c>
      <c r="E7" s="76" t="s">
        <v>62</v>
      </c>
      <c r="F7" s="9">
        <f>+Effort!F7*CPUE!F7</f>
        <v>10205.529326316302</v>
      </c>
      <c r="G7" s="9"/>
      <c r="H7" s="9">
        <v>9367.3512204138606</v>
      </c>
      <c r="I7" s="9"/>
      <c r="J7" s="9" t="s">
        <v>10</v>
      </c>
      <c r="K7" s="9"/>
      <c r="L7" s="9">
        <v>10681.042586232699</v>
      </c>
      <c r="M7" s="9"/>
      <c r="N7" s="9" t="s">
        <v>10</v>
      </c>
      <c r="O7" s="9">
        <f t="shared" si="1"/>
        <v>30253.923132962864</v>
      </c>
    </row>
    <row r="8" spans="1:15" x14ac:dyDescent="0.25">
      <c r="A8" s="77">
        <v>45942</v>
      </c>
      <c r="B8" s="8" t="s">
        <v>20</v>
      </c>
      <c r="C8" s="4">
        <v>-0.23</v>
      </c>
      <c r="D8" s="13">
        <v>0.9868055555555556</v>
      </c>
      <c r="E8" s="76" t="s">
        <v>62</v>
      </c>
      <c r="F8" s="9">
        <f>+Effort!F8*CPUE!F8</f>
        <v>580.75474255170002</v>
      </c>
      <c r="G8" s="9" t="s">
        <v>62</v>
      </c>
      <c r="H8" s="9">
        <f>+Effort!H8*CPUE!H8</f>
        <v>956.8625599982596</v>
      </c>
      <c r="I8" s="9"/>
      <c r="J8" s="9">
        <v>977.31234058618998</v>
      </c>
      <c r="K8" s="9"/>
      <c r="L8" s="9" t="s">
        <v>10</v>
      </c>
      <c r="M8" s="9"/>
      <c r="N8" s="9" t="s">
        <v>10</v>
      </c>
      <c r="O8" s="9">
        <f t="shared" si="1"/>
        <v>2514.9296431361499</v>
      </c>
    </row>
    <row r="9" spans="1:15" x14ac:dyDescent="0.25">
      <c r="A9" s="77"/>
      <c r="C9" s="4"/>
      <c r="E9" s="76"/>
      <c r="G9" s="9"/>
      <c r="I9" s="9"/>
      <c r="K9" s="9"/>
      <c r="M9" s="9"/>
      <c r="N9" s="9"/>
    </row>
    <row r="10" spans="1:15" x14ac:dyDescent="0.25">
      <c r="A10" s="77">
        <v>45950</v>
      </c>
      <c r="B10" s="8" t="s">
        <v>21</v>
      </c>
      <c r="C10" s="4">
        <v>0.19</v>
      </c>
      <c r="D10" s="13">
        <v>0.77777777777777779</v>
      </c>
      <c r="E10" s="76"/>
      <c r="F10" s="9">
        <f>+Effort!F10*CPUE!F10</f>
        <v>14795.871879213524</v>
      </c>
      <c r="G10" s="9"/>
      <c r="H10" s="9">
        <v>13766.6190346453</v>
      </c>
      <c r="I10" s="9"/>
      <c r="J10" s="9">
        <v>11601.3907706885</v>
      </c>
      <c r="K10" s="9"/>
      <c r="L10" s="9" t="s">
        <v>10</v>
      </c>
      <c r="M10" s="9"/>
      <c r="N10" s="9" t="s">
        <v>10</v>
      </c>
      <c r="O10" s="9">
        <f t="shared" si="0"/>
        <v>40163.881684547327</v>
      </c>
    </row>
    <row r="11" spans="1:15" x14ac:dyDescent="0.25">
      <c r="A11" s="77">
        <v>45951</v>
      </c>
      <c r="B11" s="8" t="s">
        <v>60</v>
      </c>
      <c r="C11" s="4">
        <v>-0.12</v>
      </c>
      <c r="D11" s="13">
        <v>0.80069444444444449</v>
      </c>
      <c r="E11" s="76" t="s">
        <v>62</v>
      </c>
      <c r="F11" s="9">
        <f>+Effort!F11*CPUE!F11</f>
        <v>7133.2310693693717</v>
      </c>
      <c r="G11" s="9" t="s">
        <v>62</v>
      </c>
      <c r="H11" s="9">
        <f>+Effort!H11*CPUE!H11</f>
        <v>6230.8725430695185</v>
      </c>
      <c r="I11" s="9"/>
      <c r="J11" s="9">
        <v>5646.04091746631</v>
      </c>
      <c r="K11" s="9"/>
      <c r="L11" s="9" t="s">
        <v>10</v>
      </c>
      <c r="M11" s="9"/>
      <c r="N11" s="9" t="s">
        <v>10</v>
      </c>
      <c r="O11" s="9">
        <f t="shared" si="0"/>
        <v>19010.144529905199</v>
      </c>
    </row>
    <row r="12" spans="1:15" x14ac:dyDescent="0.25">
      <c r="A12" s="77">
        <v>45952</v>
      </c>
      <c r="B12" s="8" t="s">
        <v>61</v>
      </c>
      <c r="C12" s="4">
        <v>-0.28000000000000003</v>
      </c>
      <c r="D12" s="13">
        <v>0.82291666666666663</v>
      </c>
      <c r="E12" s="76"/>
      <c r="F12" s="9">
        <f>+Effort!F12*CPUE!F12</f>
        <v>4722.185124163032</v>
      </c>
      <c r="G12" s="9"/>
      <c r="H12" s="9">
        <v>2551.6060219329902</v>
      </c>
      <c r="I12" s="9"/>
      <c r="J12" s="9" t="s">
        <v>10</v>
      </c>
      <c r="K12" s="9"/>
      <c r="L12" s="9">
        <v>4770.4549031206097</v>
      </c>
      <c r="M12" s="9"/>
      <c r="N12" s="9" t="s">
        <v>10</v>
      </c>
      <c r="O12" s="9">
        <f t="shared" si="0"/>
        <v>12044.246049216632</v>
      </c>
    </row>
    <row r="13" spans="1:15" x14ac:dyDescent="0.25">
      <c r="A13" s="77">
        <v>45953</v>
      </c>
      <c r="B13" s="8" t="s">
        <v>22</v>
      </c>
      <c r="C13" s="4">
        <v>-0.27</v>
      </c>
      <c r="D13" s="13">
        <v>0.84583333333333333</v>
      </c>
      <c r="E13" s="76" t="s">
        <v>62</v>
      </c>
      <c r="F13" s="9">
        <f>+Effort!F13*CPUE!F13</f>
        <v>180.40572710662374</v>
      </c>
      <c r="G13" s="9" t="s">
        <v>62</v>
      </c>
      <c r="H13" s="9">
        <f>+Effort!H13*CPUE!H13</f>
        <v>157.58428133192825</v>
      </c>
      <c r="I13" s="9"/>
      <c r="J13" s="9" t="s">
        <v>10</v>
      </c>
      <c r="K13" s="9"/>
      <c r="L13" s="9">
        <f>+Effort!L13*CPUE!L13</f>
        <v>172.35943273416939</v>
      </c>
      <c r="M13" s="9"/>
      <c r="N13" s="9" t="s">
        <v>10</v>
      </c>
      <c r="O13" s="9">
        <f t="shared" si="0"/>
        <v>510.34944117272136</v>
      </c>
    </row>
    <row r="14" spans="1:15" x14ac:dyDescent="0.25">
      <c r="A14" s="77">
        <v>45954</v>
      </c>
      <c r="B14" s="8" t="s">
        <v>18</v>
      </c>
      <c r="C14" s="4">
        <v>-0.12</v>
      </c>
      <c r="D14" s="13">
        <v>0.87013888888888891</v>
      </c>
      <c r="E14" s="76"/>
      <c r="F14" s="9">
        <f>+Effort!F14*CPUE!F14</f>
        <v>583.32027539098908</v>
      </c>
      <c r="G14" s="9" t="s">
        <v>62</v>
      </c>
      <c r="H14" s="9">
        <f>+Effort!H14*CPUE!H14</f>
        <v>509.52986835891022</v>
      </c>
      <c r="I14" s="9"/>
      <c r="J14" s="9">
        <v>1135.27465384321</v>
      </c>
      <c r="K14" s="9"/>
      <c r="L14" s="9" t="s">
        <v>10</v>
      </c>
      <c r="M14" s="9"/>
      <c r="N14" s="9" t="s">
        <v>10</v>
      </c>
      <c r="O14" s="9">
        <f t="shared" si="0"/>
        <v>2228.1247975931092</v>
      </c>
    </row>
    <row r="15" spans="1:15" x14ac:dyDescent="0.25">
      <c r="A15" s="77">
        <v>45955</v>
      </c>
      <c r="B15" s="8" t="s">
        <v>19</v>
      </c>
      <c r="C15" s="4">
        <v>0.14000000000000001</v>
      </c>
      <c r="D15" s="13">
        <v>0.89652777777777781</v>
      </c>
      <c r="E15" s="76" t="s">
        <v>62</v>
      </c>
      <c r="F15" s="9">
        <f>+Effort!F15*CPUE!F15</f>
        <v>19.186936945345195</v>
      </c>
      <c r="G15" s="9"/>
      <c r="H15" s="9">
        <f>+Effort!H15*CPUE!H15</f>
        <v>16.759776521430801</v>
      </c>
      <c r="I15" s="9"/>
      <c r="J15" s="9">
        <f>+Effort!J15*CPUE!J15</f>
        <v>98.666182830420297</v>
      </c>
      <c r="K15" s="9"/>
      <c r="L15" s="9" t="s">
        <v>10</v>
      </c>
      <c r="M15" s="9"/>
      <c r="N15" s="9" t="s">
        <v>10</v>
      </c>
      <c r="O15" s="9">
        <f t="shared" ref="O15:O77" si="2">SUM(F15:N15)</f>
        <v>134.6128962971963</v>
      </c>
    </row>
    <row r="16" spans="1:15" x14ac:dyDescent="0.25">
      <c r="A16" s="77">
        <v>45956</v>
      </c>
      <c r="B16" s="8" t="s">
        <v>20</v>
      </c>
      <c r="C16" s="4">
        <v>0.47</v>
      </c>
      <c r="D16" s="13">
        <v>0.92708333333333337</v>
      </c>
      <c r="E16" s="76" t="s">
        <v>62</v>
      </c>
      <c r="F16" s="9">
        <f>+Effort!F16*CPUE!F16</f>
        <v>558.17791065756853</v>
      </c>
      <c r="G16" s="9" t="s">
        <v>62</v>
      </c>
      <c r="H16" s="9">
        <f>+Effort!H16*CPUE!H16</f>
        <v>487.56802966872476</v>
      </c>
      <c r="I16" s="9"/>
      <c r="J16" s="9" t="s">
        <v>10</v>
      </c>
      <c r="K16" s="9"/>
      <c r="L16" s="9">
        <v>524.39451763639499</v>
      </c>
      <c r="M16" s="9"/>
      <c r="N16" s="9" t="s">
        <v>10</v>
      </c>
      <c r="O16" s="9">
        <f t="shared" si="2"/>
        <v>1570.1404579626883</v>
      </c>
    </row>
    <row r="17" spans="1:15" x14ac:dyDescent="0.25">
      <c r="A17" s="77"/>
      <c r="C17" s="4"/>
      <c r="E17" s="76"/>
      <c r="G17" s="9"/>
      <c r="I17" s="9"/>
      <c r="K17" s="9"/>
      <c r="M17" s="9"/>
      <c r="N17" s="9"/>
    </row>
    <row r="18" spans="1:15" x14ac:dyDescent="0.25">
      <c r="A18" s="77">
        <v>45964</v>
      </c>
      <c r="B18" s="8" t="s">
        <v>21</v>
      </c>
      <c r="C18" s="4">
        <v>-0.1</v>
      </c>
      <c r="D18" s="13">
        <v>0.6875</v>
      </c>
      <c r="E18" s="76"/>
      <c r="F18" s="9">
        <f>+Effort!F18*CPUE!F18</f>
        <v>12243.407284779492</v>
      </c>
      <c r="G18" s="9" t="s">
        <v>62</v>
      </c>
      <c r="H18" s="9">
        <f>+Effort!H18*CPUE!H18</f>
        <v>8709.8268645248991</v>
      </c>
      <c r="I18" s="9"/>
      <c r="J18" s="9" t="s">
        <v>10</v>
      </c>
      <c r="K18" s="9"/>
      <c r="L18" s="9">
        <v>8445.1125651002494</v>
      </c>
      <c r="M18" s="9"/>
      <c r="N18" s="9" t="s">
        <v>10</v>
      </c>
      <c r="O18" s="9">
        <f t="shared" si="2"/>
        <v>29398.346714404644</v>
      </c>
    </row>
    <row r="19" spans="1:15" x14ac:dyDescent="0.25">
      <c r="A19" s="77">
        <v>45965</v>
      </c>
      <c r="B19" s="8" t="s">
        <v>60</v>
      </c>
      <c r="C19" s="4">
        <v>-1.1000000000000001</v>
      </c>
      <c r="D19" s="13">
        <v>0.71875</v>
      </c>
      <c r="E19" s="76" t="s">
        <v>62</v>
      </c>
      <c r="F19" s="9">
        <f>+Effort!F19*CPUE!F19</f>
        <v>6954.1979993030991</v>
      </c>
      <c r="G19" s="9"/>
      <c r="H19" s="9">
        <v>13075.8108795146</v>
      </c>
      <c r="I19" s="9"/>
      <c r="J19" s="9" t="s">
        <v>10</v>
      </c>
      <c r="K19" s="9"/>
      <c r="L19" s="9">
        <v>10552.2593158442</v>
      </c>
      <c r="M19" s="9"/>
      <c r="N19" s="9" t="s">
        <v>10</v>
      </c>
      <c r="O19" s="9">
        <f t="shared" si="2"/>
        <v>30582.268194661898</v>
      </c>
    </row>
    <row r="20" spans="1:15" x14ac:dyDescent="0.25">
      <c r="A20" s="77">
        <v>45966</v>
      </c>
      <c r="B20" s="8" t="s">
        <v>61</v>
      </c>
      <c r="C20" s="4">
        <v>-1.7</v>
      </c>
      <c r="D20" s="13">
        <v>0.75069444444444444</v>
      </c>
      <c r="E20" s="76"/>
      <c r="F20" s="9">
        <f>+Effort!F20*CPUE!F20</f>
        <v>3032.9670117768319</v>
      </c>
      <c r="G20" s="9" t="s">
        <v>62</v>
      </c>
      <c r="H20" s="9">
        <f>+Effort!H20*CPUE!H20</f>
        <v>1877.9884868192128</v>
      </c>
      <c r="I20" s="9"/>
      <c r="J20" s="9">
        <v>4263.8122894902199</v>
      </c>
      <c r="K20" s="9"/>
      <c r="L20" s="9" t="s">
        <v>10</v>
      </c>
      <c r="M20" s="9"/>
      <c r="N20" s="9" t="s">
        <v>10</v>
      </c>
      <c r="O20" s="9">
        <f t="shared" si="2"/>
        <v>9174.7677880862648</v>
      </c>
    </row>
    <row r="21" spans="1:15" x14ac:dyDescent="0.25">
      <c r="A21" s="77">
        <v>45967</v>
      </c>
      <c r="B21" s="8" t="s">
        <v>22</v>
      </c>
      <c r="C21" s="4">
        <v>-2</v>
      </c>
      <c r="D21" s="13">
        <v>0.78194444444444444</v>
      </c>
      <c r="E21" s="76" t="s">
        <v>62</v>
      </c>
      <c r="F21" s="9">
        <f>+Effort!F21*CPUE!F21</f>
        <v>807.72137350670539</v>
      </c>
      <c r="G21" s="9"/>
      <c r="H21" s="9">
        <v>538.60638463381099</v>
      </c>
      <c r="I21" s="9"/>
      <c r="J21" s="9">
        <v>787.90671613010795</v>
      </c>
      <c r="K21" s="9"/>
      <c r="L21" s="9" t="s">
        <v>10</v>
      </c>
      <c r="M21" s="9"/>
      <c r="N21" s="9" t="s">
        <v>10</v>
      </c>
      <c r="O21" s="9">
        <f t="shared" si="2"/>
        <v>2134.2344742706246</v>
      </c>
    </row>
    <row r="22" spans="1:15" x14ac:dyDescent="0.25">
      <c r="A22" s="77">
        <v>45968</v>
      </c>
      <c r="B22" s="8" t="s">
        <v>18</v>
      </c>
      <c r="C22" s="4">
        <v>-1.9</v>
      </c>
      <c r="D22" s="13">
        <v>0.81527777777777777</v>
      </c>
      <c r="E22" s="76"/>
      <c r="F22" s="9">
        <f>+Effort!F22*CPUE!F22</f>
        <v>15757.942777164191</v>
      </c>
      <c r="G22" s="9" t="s">
        <v>62</v>
      </c>
      <c r="H22" s="9">
        <f>+Effort!H22*CPUE!H22</f>
        <v>25604.080374372796</v>
      </c>
      <c r="I22" s="9"/>
      <c r="J22" s="9" t="s">
        <v>10</v>
      </c>
      <c r="K22" s="9"/>
      <c r="L22" s="9">
        <v>25541.0313782056</v>
      </c>
      <c r="M22" s="9"/>
      <c r="N22" s="9" t="s">
        <v>10</v>
      </c>
      <c r="O22" s="9">
        <f t="shared" si="2"/>
        <v>66903.054529742585</v>
      </c>
    </row>
    <row r="23" spans="1:15" x14ac:dyDescent="0.25">
      <c r="A23" s="77">
        <v>45969</v>
      </c>
      <c r="B23" s="8" t="s">
        <v>19</v>
      </c>
      <c r="C23" s="4">
        <v>-1.5</v>
      </c>
      <c r="D23" s="13">
        <v>0.85069444444444442</v>
      </c>
      <c r="E23" s="76" t="s">
        <v>62</v>
      </c>
      <c r="F23" s="9">
        <f>+Effort!F23*CPUE!F23</f>
        <v>16021.053340320554</v>
      </c>
      <c r="G23" s="9"/>
      <c r="H23" s="9">
        <v>34860.537378978101</v>
      </c>
      <c r="I23" s="9"/>
      <c r="J23" s="9" t="s">
        <v>10</v>
      </c>
      <c r="K23" s="9"/>
      <c r="L23" s="9">
        <v>25695.579398207501</v>
      </c>
      <c r="M23" s="9"/>
      <c r="N23" s="9" t="s">
        <v>10</v>
      </c>
      <c r="O23" s="9">
        <f t="shared" si="2"/>
        <v>76577.170117506161</v>
      </c>
    </row>
    <row r="24" spans="1:15" x14ac:dyDescent="0.25">
      <c r="A24" s="77">
        <v>45970</v>
      </c>
      <c r="B24" s="8" t="s">
        <v>20</v>
      </c>
      <c r="C24" s="4">
        <v>-0.9</v>
      </c>
      <c r="D24" s="13">
        <v>0.8881944444444444</v>
      </c>
      <c r="E24" s="76" t="s">
        <v>62</v>
      </c>
      <c r="F24" s="9">
        <f>+Effort!F24*CPUE!F24</f>
        <v>4119.1638703727476</v>
      </c>
      <c r="G24" s="9" t="s">
        <v>62</v>
      </c>
      <c r="H24" s="9">
        <f>+Effort!H24*CPUE!H24</f>
        <v>2550.552740548861</v>
      </c>
      <c r="I24" s="9"/>
      <c r="J24" s="9">
        <v>5778.3333065543202</v>
      </c>
      <c r="K24" s="9"/>
      <c r="L24" s="9" t="s">
        <v>10</v>
      </c>
      <c r="M24" s="9"/>
      <c r="N24" s="9" t="s">
        <v>10</v>
      </c>
      <c r="O24" s="9">
        <f t="shared" si="2"/>
        <v>12448.049917475928</v>
      </c>
    </row>
    <row r="25" spans="1:15" x14ac:dyDescent="0.25">
      <c r="A25" s="77"/>
      <c r="C25" s="4"/>
      <c r="E25" s="76"/>
      <c r="G25" s="9"/>
      <c r="I25" s="9"/>
      <c r="K25" s="9"/>
      <c r="M25" s="9"/>
      <c r="N25" s="9"/>
    </row>
    <row r="26" spans="1:15" x14ac:dyDescent="0.25">
      <c r="A26" s="77">
        <v>45979</v>
      </c>
      <c r="B26" s="8" t="s">
        <v>60</v>
      </c>
      <c r="C26" s="4">
        <v>-0.02</v>
      </c>
      <c r="D26" s="13">
        <v>0.72083333333333333</v>
      </c>
      <c r="E26" s="76" t="s">
        <v>62</v>
      </c>
      <c r="F26" s="9">
        <f>+Effort!F26*CPUE!F26</f>
        <v>5906.8219039770393</v>
      </c>
      <c r="G26" s="9" t="s">
        <v>62</v>
      </c>
      <c r="H26" s="9">
        <f>+Effort!H26*CPUE!H26</f>
        <v>10815.993590204151</v>
      </c>
      <c r="I26" s="9"/>
      <c r="J26" s="9">
        <v>12349.0803269558</v>
      </c>
      <c r="K26" s="9"/>
      <c r="L26" s="9" t="s">
        <v>10</v>
      </c>
      <c r="M26" s="9"/>
      <c r="N26" s="9" t="s">
        <v>10</v>
      </c>
      <c r="O26" s="9">
        <f t="shared" si="2"/>
        <v>29071.89582113699</v>
      </c>
    </row>
    <row r="27" spans="1:15" x14ac:dyDescent="0.25">
      <c r="A27" s="77">
        <v>45980</v>
      </c>
      <c r="B27" s="8" t="s">
        <v>61</v>
      </c>
      <c r="C27" s="4">
        <v>-0.3</v>
      </c>
      <c r="D27" s="13">
        <v>0.74444444444444446</v>
      </c>
      <c r="E27" s="76"/>
      <c r="F27" s="9">
        <f>+Effort!F27*CPUE!F27</f>
        <v>11935.69323749127</v>
      </c>
      <c r="G27" s="9"/>
      <c r="H27" s="9">
        <v>9720.6703824298402</v>
      </c>
      <c r="I27" s="9"/>
      <c r="J27" s="9" t="s">
        <v>10</v>
      </c>
      <c r="K27" s="9"/>
      <c r="L27" s="9">
        <v>3194.8882011639098</v>
      </c>
      <c r="M27" s="9"/>
      <c r="N27" s="9" t="s">
        <v>10</v>
      </c>
      <c r="O27" s="9">
        <f t="shared" si="2"/>
        <v>24851.251821085021</v>
      </c>
    </row>
    <row r="28" spans="1:15" x14ac:dyDescent="0.25">
      <c r="A28" s="77">
        <v>45981</v>
      </c>
      <c r="B28" s="8" t="s">
        <v>22</v>
      </c>
      <c r="C28" s="4">
        <v>-0.43</v>
      </c>
      <c r="D28" s="13">
        <v>0.76736111111111116</v>
      </c>
      <c r="E28" s="76" t="s">
        <v>62</v>
      </c>
      <c r="F28" s="9">
        <f>+Effort!F28*CPUE!F28</f>
        <v>620.29633815477155</v>
      </c>
      <c r="G28" s="9"/>
      <c r="H28" s="9">
        <v>908.66070812013299</v>
      </c>
      <c r="I28" s="9"/>
      <c r="J28" s="9" t="s">
        <v>10</v>
      </c>
      <c r="K28" s="9"/>
      <c r="L28" s="9">
        <v>633.57666769560797</v>
      </c>
      <c r="M28" s="9"/>
      <c r="N28" s="9" t="s">
        <v>10</v>
      </c>
      <c r="O28" s="9">
        <f t="shared" si="2"/>
        <v>2162.5337139705125</v>
      </c>
    </row>
    <row r="29" spans="1:15" x14ac:dyDescent="0.25">
      <c r="A29" s="77">
        <v>45982</v>
      </c>
      <c r="B29" s="8" t="s">
        <v>18</v>
      </c>
      <c r="C29" s="4">
        <v>-0.41</v>
      </c>
      <c r="D29" s="13">
        <v>0.79097222222222219</v>
      </c>
      <c r="E29" s="76"/>
      <c r="F29" s="9">
        <f>+Effort!F29*CPUE!F29</f>
        <v>4153.2341512338598</v>
      </c>
      <c r="G29" s="9"/>
      <c r="H29" s="9">
        <v>7435.9955932653602</v>
      </c>
      <c r="I29" s="9"/>
      <c r="J29" s="9">
        <v>6100.1650205996502</v>
      </c>
      <c r="K29" s="9"/>
      <c r="L29" s="9" t="s">
        <v>10</v>
      </c>
      <c r="M29" s="9"/>
      <c r="N29" s="9" t="s">
        <v>10</v>
      </c>
      <c r="O29" s="9">
        <f t="shared" si="2"/>
        <v>17689.39476509887</v>
      </c>
    </row>
    <row r="30" spans="1:15" x14ac:dyDescent="0.25">
      <c r="A30" s="77">
        <v>45983</v>
      </c>
      <c r="B30" s="8" t="s">
        <v>19</v>
      </c>
      <c r="C30" s="4">
        <v>-0.28999999999999998</v>
      </c>
      <c r="D30" s="13">
        <v>0.81527777777777777</v>
      </c>
      <c r="E30" s="76" t="s">
        <v>62</v>
      </c>
      <c r="F30" s="9">
        <f>+Effort!F30*CPUE!F30</f>
        <v>4068.6224291344333</v>
      </c>
      <c r="G30" s="9" t="s">
        <v>62</v>
      </c>
      <c r="H30" s="9">
        <f>+Effort!H30*CPUE!H30</f>
        <v>7450.0627968569152</v>
      </c>
      <c r="I30" s="9"/>
      <c r="J30" s="9">
        <v>8301.9085575747195</v>
      </c>
      <c r="K30" s="9"/>
      <c r="L30" s="9" t="s">
        <v>10</v>
      </c>
      <c r="M30" s="9"/>
      <c r="N30" s="9" t="s">
        <v>10</v>
      </c>
      <c r="O30" s="9">
        <f t="shared" si="2"/>
        <v>19820.593783566066</v>
      </c>
    </row>
    <row r="31" spans="1:15" x14ac:dyDescent="0.25">
      <c r="A31" s="77">
        <v>45984</v>
      </c>
      <c r="B31" s="8" t="s">
        <v>20</v>
      </c>
      <c r="C31" s="4">
        <v>-0.09</v>
      </c>
      <c r="D31" s="13">
        <v>0.84166666666666667</v>
      </c>
      <c r="E31" s="76" t="s">
        <v>62</v>
      </c>
      <c r="F31" s="9">
        <f>+Effort!F31*CPUE!F31</f>
        <v>3456.0670236338092</v>
      </c>
      <c r="G31" s="9" t="s">
        <v>62</v>
      </c>
      <c r="H31" s="9">
        <f>+Effort!H31*CPUE!H31</f>
        <v>2373.4282833066218</v>
      </c>
      <c r="I31" s="9"/>
      <c r="J31" s="9" t="s">
        <v>10</v>
      </c>
      <c r="K31" s="9"/>
      <c r="L31" s="9">
        <v>1237.95625393059</v>
      </c>
      <c r="M31" s="9"/>
      <c r="N31" s="9" t="s">
        <v>10</v>
      </c>
      <c r="O31" s="9">
        <f t="shared" si="2"/>
        <v>7067.4515608710208</v>
      </c>
    </row>
    <row r="32" spans="1:15" x14ac:dyDescent="0.25">
      <c r="A32" s="77"/>
      <c r="C32" s="4"/>
      <c r="E32" s="76"/>
      <c r="G32" s="9"/>
      <c r="I32" s="9"/>
      <c r="K32" s="9"/>
      <c r="M32" s="9"/>
      <c r="N32" s="9"/>
    </row>
    <row r="33" spans="1:15" x14ac:dyDescent="0.25">
      <c r="A33" s="77">
        <v>45993</v>
      </c>
      <c r="B33" s="8" t="s">
        <v>60</v>
      </c>
      <c r="C33" s="4">
        <v>-0.59</v>
      </c>
      <c r="D33" s="13">
        <v>0.6743055555555556</v>
      </c>
      <c r="E33" s="76" t="s">
        <v>62</v>
      </c>
      <c r="F33" s="9">
        <f>+Effort!F33*CPUE!F33</f>
        <v>14333.704330395189</v>
      </c>
      <c r="G33" s="9" t="s">
        <v>62</v>
      </c>
      <c r="H33" s="9">
        <f>+Effort!H33*CPUE!H33</f>
        <v>13385.462126603472</v>
      </c>
      <c r="I33" s="9"/>
      <c r="J33" s="9">
        <v>18749.224987257599</v>
      </c>
      <c r="K33" s="9"/>
      <c r="L33" s="9" t="s">
        <v>10</v>
      </c>
      <c r="M33" s="9"/>
      <c r="N33" s="9" t="s">
        <v>10</v>
      </c>
      <c r="O33" s="9">
        <f t="shared" si="2"/>
        <v>46468.39144425626</v>
      </c>
    </row>
    <row r="34" spans="1:15" x14ac:dyDescent="0.25">
      <c r="A34" s="77">
        <v>45994</v>
      </c>
      <c r="B34" s="8" t="s">
        <v>61</v>
      </c>
      <c r="C34" s="4">
        <v>-1.4</v>
      </c>
      <c r="D34" s="13">
        <v>0.70763888888888893</v>
      </c>
      <c r="E34" s="76"/>
      <c r="F34" s="9">
        <f>9133.9285325411+10388.3125215894</f>
        <v>19522.2410541305</v>
      </c>
      <c r="G34" s="9"/>
      <c r="H34" s="9">
        <v>16497.788678003199</v>
      </c>
      <c r="I34" s="9"/>
      <c r="J34" s="9" t="s">
        <v>10</v>
      </c>
      <c r="K34" s="9"/>
      <c r="L34" s="9">
        <v>17248.160777355599</v>
      </c>
      <c r="M34" s="9"/>
      <c r="N34" s="9" t="s">
        <v>10</v>
      </c>
      <c r="O34" s="9">
        <f t="shared" si="2"/>
        <v>53268.190509489301</v>
      </c>
    </row>
    <row r="35" spans="1:15" x14ac:dyDescent="0.25">
      <c r="A35" s="77">
        <v>45995</v>
      </c>
      <c r="B35" s="8" t="s">
        <v>22</v>
      </c>
      <c r="C35" s="4">
        <v>-1.9</v>
      </c>
      <c r="D35" s="13">
        <v>0.74097222222222225</v>
      </c>
      <c r="E35" s="76" t="s">
        <v>62</v>
      </c>
      <c r="F35" s="9">
        <f>+Effort!F35*CPUE!F35</f>
        <v>6786.5011183048919</v>
      </c>
      <c r="G35" s="9" t="s">
        <v>62</v>
      </c>
      <c r="H35" s="9">
        <f>+Effort!H35*CPUE!H35</f>
        <v>5721.9606191215698</v>
      </c>
      <c r="I35" s="9"/>
      <c r="J35" s="9" t="s">
        <v>10</v>
      </c>
      <c r="K35" s="9"/>
      <c r="L35" s="9">
        <v>6162.3041414300196</v>
      </c>
      <c r="M35" s="9"/>
      <c r="N35" s="9" t="s">
        <v>10</v>
      </c>
      <c r="O35" s="9">
        <f t="shared" si="2"/>
        <v>18670.76587885648</v>
      </c>
    </row>
    <row r="36" spans="1:15" x14ac:dyDescent="0.25">
      <c r="A36" s="77">
        <v>45996</v>
      </c>
      <c r="B36" s="8" t="s">
        <v>18</v>
      </c>
      <c r="C36" s="4">
        <v>-2.0499999999999998</v>
      </c>
      <c r="D36" s="13">
        <v>0.77361111111111114</v>
      </c>
      <c r="E36" s="76"/>
      <c r="F36" s="9">
        <f>+Effort!F36*CPUE!F36</f>
        <v>12079.725318985167</v>
      </c>
      <c r="G36" s="9"/>
      <c r="H36" s="9">
        <v>7364.8019047088101</v>
      </c>
      <c r="I36" s="9"/>
      <c r="J36" s="9">
        <v>13765.4404283821</v>
      </c>
      <c r="K36" s="9"/>
      <c r="L36" s="9" t="s">
        <v>10</v>
      </c>
      <c r="M36" s="9"/>
      <c r="N36" s="9" t="s">
        <v>10</v>
      </c>
      <c r="O36" s="9">
        <f t="shared" si="2"/>
        <v>33209.967652076077</v>
      </c>
    </row>
    <row r="37" spans="1:15" x14ac:dyDescent="0.25">
      <c r="A37" s="77">
        <v>45997</v>
      </c>
      <c r="B37" s="8" t="s">
        <v>19</v>
      </c>
      <c r="C37" s="4">
        <v>-1.86</v>
      </c>
      <c r="D37" s="13">
        <v>0.80694444444444446</v>
      </c>
      <c r="E37" s="76" t="s">
        <v>62</v>
      </c>
      <c r="F37" s="9">
        <f>+Effort!F37*CPUE!F37</f>
        <v>14088.679297490822</v>
      </c>
      <c r="G37" s="9" t="s">
        <v>62</v>
      </c>
      <c r="H37" s="9">
        <f>+Effort!H37*CPUE!H37</f>
        <v>13156.646656267847</v>
      </c>
      <c r="I37" s="9"/>
      <c r="J37" s="9">
        <v>18799.853535521699</v>
      </c>
      <c r="K37" s="9"/>
      <c r="L37" s="9" t="s">
        <v>10</v>
      </c>
      <c r="M37" s="9"/>
      <c r="N37" s="9" t="s">
        <v>10</v>
      </c>
      <c r="O37" s="9">
        <f t="shared" si="2"/>
        <v>46045.179489280374</v>
      </c>
    </row>
    <row r="38" spans="1:15" x14ac:dyDescent="0.25">
      <c r="A38" s="77">
        <v>45998</v>
      </c>
      <c r="B38" s="8" t="s">
        <v>20</v>
      </c>
      <c r="C38" s="4">
        <v>-1.41</v>
      </c>
      <c r="D38" s="13">
        <v>0.84027777777777779</v>
      </c>
      <c r="E38" s="76" t="s">
        <v>62</v>
      </c>
      <c r="F38" s="9">
        <f>+Effort!F38*CPUE!F38</f>
        <v>2402.8207409831261</v>
      </c>
      <c r="G38" s="9" t="s">
        <v>62</v>
      </c>
      <c r="H38" s="9">
        <f>+Effort!H38*CPUE!H38</f>
        <v>2025.9107624148</v>
      </c>
      <c r="I38" s="9"/>
      <c r="J38" s="9" t="s">
        <v>10</v>
      </c>
      <c r="K38" s="9"/>
      <c r="L38" s="9">
        <v>2056.2771496588998</v>
      </c>
      <c r="M38" s="9"/>
      <c r="N38" s="9" t="s">
        <v>10</v>
      </c>
      <c r="O38" s="9">
        <f t="shared" si="2"/>
        <v>6485.008653056826</v>
      </c>
    </row>
    <row r="39" spans="1:15" x14ac:dyDescent="0.25">
      <c r="A39" s="77">
        <v>45999</v>
      </c>
      <c r="B39" s="8" t="s">
        <v>21</v>
      </c>
      <c r="C39" s="4">
        <v>-0.78</v>
      </c>
      <c r="D39" s="13">
        <v>0.87430555555555556</v>
      </c>
      <c r="E39" s="76" t="s">
        <v>62</v>
      </c>
      <c r="F39" s="9">
        <f>+Effort!F39*CPUE!F39</f>
        <v>84.579290082606235</v>
      </c>
      <c r="G39" s="9" t="s">
        <v>62</v>
      </c>
      <c r="H39" s="9">
        <f>+Effort!H39*CPUE!H39</f>
        <v>71.312058837001118</v>
      </c>
      <c r="I39" s="9"/>
      <c r="J39" s="9" t="s">
        <v>10</v>
      </c>
      <c r="K39" s="9"/>
      <c r="L39" s="9">
        <v>57.142859737889403</v>
      </c>
      <c r="M39" s="9"/>
      <c r="N39" s="9" t="s">
        <v>10</v>
      </c>
      <c r="O39" s="9">
        <f t="shared" si="2"/>
        <v>213.03420865749678</v>
      </c>
    </row>
    <row r="40" spans="1:15" x14ac:dyDescent="0.25">
      <c r="A40" s="77"/>
      <c r="C40" s="4"/>
      <c r="E40" s="76"/>
      <c r="G40" s="9"/>
      <c r="I40" s="9"/>
      <c r="K40" s="9"/>
      <c r="M40" s="9"/>
      <c r="N40" s="9"/>
    </row>
    <row r="41" spans="1:15" x14ac:dyDescent="0.25">
      <c r="A41" s="77">
        <v>46009</v>
      </c>
      <c r="B41" s="8" t="s">
        <v>22</v>
      </c>
      <c r="C41" s="4">
        <v>-0.2</v>
      </c>
      <c r="D41" s="13">
        <v>0.7319444444444444</v>
      </c>
      <c r="E41" s="76" t="s">
        <v>62</v>
      </c>
      <c r="F41" s="9">
        <f>+Effort!F41*CPUE!F41</f>
        <v>926.67378508674744</v>
      </c>
      <c r="G41" s="9"/>
      <c r="H41" s="9">
        <v>851.69488619105198</v>
      </c>
      <c r="I41" s="9"/>
      <c r="J41" s="9">
        <v>654.79846555417305</v>
      </c>
      <c r="K41" s="9"/>
      <c r="L41" s="9" t="s">
        <v>10</v>
      </c>
      <c r="M41" s="9"/>
      <c r="N41" s="9" t="s">
        <v>10</v>
      </c>
      <c r="O41" s="9">
        <f t="shared" si="2"/>
        <v>2433.1671368319726</v>
      </c>
    </row>
    <row r="42" spans="1:15" x14ac:dyDescent="0.25">
      <c r="A42" s="77">
        <v>46010</v>
      </c>
      <c r="B42" s="8" t="s">
        <v>18</v>
      </c>
      <c r="C42" s="4">
        <v>-0.38</v>
      </c>
      <c r="D42" s="13">
        <v>0.75624999999999998</v>
      </c>
      <c r="E42" s="76"/>
      <c r="F42" s="9">
        <f>+Effort!F42*CPUE!F42</f>
        <v>1738.6782164107613</v>
      </c>
      <c r="G42" s="9" t="s">
        <v>62</v>
      </c>
      <c r="H42" s="9">
        <f>+Effort!H42*CPUE!H42</f>
        <v>1657.1836599469257</v>
      </c>
      <c r="I42" s="9"/>
      <c r="J42" s="9" t="s">
        <v>10</v>
      </c>
      <c r="K42" s="9"/>
      <c r="L42" s="9">
        <v>591.11640091454603</v>
      </c>
      <c r="M42" s="9"/>
      <c r="N42" s="9" t="s">
        <v>10</v>
      </c>
      <c r="O42" s="9">
        <f t="shared" si="2"/>
        <v>3986.9782772722328</v>
      </c>
    </row>
    <row r="43" spans="1:15" x14ac:dyDescent="0.25">
      <c r="A43" s="77">
        <v>46011</v>
      </c>
      <c r="B43" s="8" t="s">
        <v>19</v>
      </c>
      <c r="C43" s="4">
        <v>-0.45</v>
      </c>
      <c r="D43" s="13">
        <v>0.78055555555555556</v>
      </c>
      <c r="E43" s="76" t="s">
        <v>62</v>
      </c>
      <c r="F43" s="9">
        <f>+Effort!F43*CPUE!F43</f>
        <v>2809.9790468723459</v>
      </c>
      <c r="G43" s="9" t="s">
        <v>62</v>
      </c>
      <c r="H43" s="9">
        <f>+Effort!H43*CPUE!H43</f>
        <v>2678.2709516445443</v>
      </c>
      <c r="I43" s="9"/>
      <c r="J43" s="9" t="s">
        <v>10</v>
      </c>
      <c r="K43" s="9"/>
      <c r="L43" s="9">
        <v>1177.63224031968</v>
      </c>
      <c r="M43" s="9"/>
      <c r="N43" s="9" t="s">
        <v>10</v>
      </c>
      <c r="O43" s="9">
        <f t="shared" si="2"/>
        <v>6665.8822388365707</v>
      </c>
    </row>
    <row r="44" spans="1:15" x14ac:dyDescent="0.25">
      <c r="A44" s="77">
        <v>46012</v>
      </c>
      <c r="B44" s="8" t="s">
        <v>20</v>
      </c>
      <c r="C44" s="4">
        <v>-0.44</v>
      </c>
      <c r="D44" s="13">
        <v>0.80486111111111114</v>
      </c>
      <c r="E44" s="76"/>
      <c r="F44" s="9">
        <f>+Effort!F44*CPUE!F44</f>
        <v>1327.4464123617395</v>
      </c>
      <c r="G44" s="9"/>
      <c r="H44" s="9">
        <v>1128.16068028275</v>
      </c>
      <c r="I44" s="9"/>
      <c r="J44" s="9">
        <v>2407.9175759837399</v>
      </c>
      <c r="K44" s="9"/>
      <c r="L44" s="9" t="s">
        <v>10</v>
      </c>
      <c r="M44" s="9"/>
      <c r="N44" s="9" t="s">
        <v>10</v>
      </c>
      <c r="O44" s="9">
        <f t="shared" si="2"/>
        <v>4863.5246686282298</v>
      </c>
    </row>
    <row r="45" spans="1:15" x14ac:dyDescent="0.25">
      <c r="A45" s="77">
        <v>46013</v>
      </c>
      <c r="B45" s="8" t="s">
        <v>21</v>
      </c>
      <c r="C45" s="4">
        <v>-0.33</v>
      </c>
      <c r="D45" s="13">
        <v>0.82916666666666672</v>
      </c>
      <c r="E45" s="76" t="s">
        <v>62</v>
      </c>
      <c r="F45" s="9">
        <f>+Effort!F45*CPUE!F45</f>
        <v>268.83477805348241</v>
      </c>
      <c r="G45" s="9" t="s">
        <v>62</v>
      </c>
      <c r="H45" s="9">
        <f>+Effort!H45*CPUE!H45</f>
        <v>256.23407322337926</v>
      </c>
      <c r="I45" s="9"/>
      <c r="J45" s="9">
        <v>497.604150223484</v>
      </c>
      <c r="K45" s="9"/>
      <c r="L45" s="9" t="s">
        <v>10</v>
      </c>
      <c r="M45" s="9"/>
      <c r="N45" s="9" t="s">
        <v>10</v>
      </c>
      <c r="O45" s="9">
        <f t="shared" si="2"/>
        <v>1022.6730015003457</v>
      </c>
    </row>
    <row r="46" spans="1:15" x14ac:dyDescent="0.25">
      <c r="A46" s="77">
        <v>46014</v>
      </c>
      <c r="B46" s="8" t="s">
        <v>60</v>
      </c>
      <c r="C46" s="4">
        <v>-0.11</v>
      </c>
      <c r="D46" s="13">
        <v>0.85486111111111107</v>
      </c>
      <c r="E46" s="76" t="s">
        <v>62</v>
      </c>
      <c r="F46" s="9">
        <f>+Effort!F46*CPUE!F46</f>
        <v>663.72425496814515</v>
      </c>
      <c r="G46" s="9" t="s">
        <v>62</v>
      </c>
      <c r="H46" s="9">
        <f>+Effort!H46*CPUE!H46</f>
        <v>632.61446520809443</v>
      </c>
      <c r="I46" s="9"/>
      <c r="J46" s="9" t="s">
        <v>10</v>
      </c>
      <c r="K46" s="9"/>
      <c r="L46" s="9">
        <v>415.67693623648398</v>
      </c>
      <c r="M46" s="9"/>
      <c r="N46" s="9" t="s">
        <v>10</v>
      </c>
      <c r="O46" s="9">
        <f t="shared" si="2"/>
        <v>1712.0156564127235</v>
      </c>
    </row>
    <row r="47" spans="1:15" x14ac:dyDescent="0.25">
      <c r="A47" s="77"/>
      <c r="C47" s="4"/>
      <c r="E47" s="76"/>
      <c r="G47" s="9"/>
      <c r="I47" s="9"/>
      <c r="K47" s="9"/>
      <c r="M47" s="9"/>
      <c r="N47" s="9"/>
    </row>
    <row r="48" spans="1:15" x14ac:dyDescent="0.25">
      <c r="A48" s="77">
        <v>46022</v>
      </c>
      <c r="B48" s="8" t="s">
        <v>61</v>
      </c>
      <c r="C48" s="4">
        <v>-0.62</v>
      </c>
      <c r="D48" s="13">
        <v>0.66319444444444442</v>
      </c>
      <c r="E48" s="76"/>
      <c r="F48" s="9">
        <f>+Effort!F48*CPUE!F48</f>
        <v>56101.467556209638</v>
      </c>
      <c r="G48" s="9"/>
      <c r="H48" s="9">
        <v>31580.0756681975</v>
      </c>
      <c r="I48" s="9"/>
      <c r="J48" s="9">
        <v>51573.185185185197</v>
      </c>
      <c r="K48" s="9"/>
      <c r="L48" s="9" t="s">
        <v>10</v>
      </c>
      <c r="M48" s="9"/>
      <c r="N48" s="9" t="s">
        <v>10</v>
      </c>
      <c r="O48" s="9">
        <f t="shared" si="2"/>
        <v>139254.72840959235</v>
      </c>
    </row>
    <row r="49" spans="1:15" x14ac:dyDescent="0.25">
      <c r="A49" s="77">
        <v>46023</v>
      </c>
      <c r="B49" s="8" t="s">
        <v>22</v>
      </c>
      <c r="C49" s="4">
        <v>-1.24</v>
      </c>
      <c r="D49" s="13">
        <v>0.69930555555555551</v>
      </c>
      <c r="E49" s="76" t="s">
        <v>62</v>
      </c>
      <c r="F49" s="9">
        <f>+Effort!F49*CPUE!F49</f>
        <v>64132.492340269542</v>
      </c>
      <c r="G49" s="9" t="s">
        <v>62</v>
      </c>
      <c r="H49" s="9">
        <f>+Effort!H49*CPUE!H49</f>
        <v>36126.514157672085</v>
      </c>
      <c r="I49" s="9"/>
      <c r="J49" s="9">
        <v>61932.881012658203</v>
      </c>
      <c r="K49" s="9"/>
      <c r="L49" s="9" t="s">
        <v>10</v>
      </c>
      <c r="M49" s="9"/>
      <c r="N49" s="9" t="s">
        <v>10</v>
      </c>
      <c r="O49" s="9">
        <f t="shared" si="2"/>
        <v>162191.88751059983</v>
      </c>
    </row>
    <row r="50" spans="1:15" x14ac:dyDescent="0.25">
      <c r="A50" s="77">
        <v>46024</v>
      </c>
      <c r="B50" s="8" t="s">
        <v>18</v>
      </c>
      <c r="C50" s="4">
        <v>-1.61</v>
      </c>
      <c r="D50" s="13">
        <v>0.73402777777777772</v>
      </c>
      <c r="E50" s="76"/>
      <c r="F50" s="9">
        <f>+Effort!F50*CPUE!F50</f>
        <v>64609.204744524381</v>
      </c>
      <c r="G50" s="9" t="s">
        <v>62</v>
      </c>
      <c r="H50" s="9">
        <f>+Effort!H50*CPUE!H50</f>
        <v>31608.823403507169</v>
      </c>
      <c r="I50" s="9"/>
      <c r="J50" s="9" t="s">
        <v>10</v>
      </c>
      <c r="K50" s="9"/>
      <c r="L50" s="9">
        <v>12628.819617728899</v>
      </c>
      <c r="M50" s="9"/>
      <c r="N50" s="9" t="s">
        <v>10</v>
      </c>
      <c r="O50" s="9">
        <f t="shared" si="2"/>
        <v>108846.84776576044</v>
      </c>
    </row>
    <row r="51" spans="1:15" x14ac:dyDescent="0.25">
      <c r="A51" s="77">
        <v>46025</v>
      </c>
      <c r="B51" s="8" t="s">
        <v>19</v>
      </c>
      <c r="C51" s="4">
        <v>-1.71</v>
      </c>
      <c r="D51" s="13">
        <v>0.76597222222222228</v>
      </c>
      <c r="E51" s="76" t="s">
        <v>62</v>
      </c>
      <c r="F51" s="9">
        <f>+Effort!F51*CPUE!F51</f>
        <v>17830.316296624689</v>
      </c>
      <c r="G51" s="9"/>
      <c r="H51" s="9">
        <v>10331.4722513259</v>
      </c>
      <c r="I51" s="9"/>
      <c r="J51" s="9" t="s">
        <v>10</v>
      </c>
      <c r="K51" s="9"/>
      <c r="L51" s="9">
        <v>1827.8589539413399</v>
      </c>
      <c r="M51" s="9"/>
      <c r="N51" s="9" t="s">
        <v>10</v>
      </c>
      <c r="O51" s="9">
        <f t="shared" si="2"/>
        <v>29989.64750189193</v>
      </c>
    </row>
    <row r="52" spans="1:15" x14ac:dyDescent="0.25">
      <c r="A52" s="77">
        <v>46026</v>
      </c>
      <c r="B52" s="8" t="s">
        <v>20</v>
      </c>
      <c r="C52" s="4">
        <v>-1.53</v>
      </c>
      <c r="D52" s="13">
        <v>0.79652777777777772</v>
      </c>
      <c r="E52" s="76" t="s">
        <v>62</v>
      </c>
      <c r="F52" s="9">
        <f>+Effort!F52*CPUE!F52</f>
        <v>4853.981222772386</v>
      </c>
      <c r="G52" s="9" t="s">
        <v>62</v>
      </c>
      <c r="H52" s="9">
        <f>+Effort!H52*CPUE!H52</f>
        <v>2734.299182310931</v>
      </c>
      <c r="I52" s="9"/>
      <c r="J52" s="9">
        <v>4510.44867128648</v>
      </c>
      <c r="K52" s="9"/>
      <c r="L52" s="9" t="s">
        <v>10</v>
      </c>
      <c r="M52" s="9"/>
      <c r="N52" s="9" t="s">
        <v>10</v>
      </c>
      <c r="O52" s="9">
        <f t="shared" si="2"/>
        <v>12098.729076369797</v>
      </c>
    </row>
    <row r="53" spans="1:15" x14ac:dyDescent="0.25">
      <c r="A53" s="77">
        <v>46027</v>
      </c>
      <c r="B53" s="8" t="s">
        <v>21</v>
      </c>
      <c r="C53" s="4">
        <v>-1.1100000000000001</v>
      </c>
      <c r="D53" s="13">
        <v>0.82638888888888884</v>
      </c>
      <c r="E53" s="76"/>
      <c r="F53" s="9">
        <f>+Effort!F53*CPUE!F53</f>
        <v>1366.2654117333695</v>
      </c>
      <c r="G53" s="9"/>
      <c r="H53" s="9">
        <v>3909.1340880584899</v>
      </c>
      <c r="I53" s="9"/>
      <c r="J53" s="9">
        <v>3308.8233495924001</v>
      </c>
      <c r="K53" s="9"/>
      <c r="L53" s="9" t="s">
        <v>10</v>
      </c>
      <c r="M53" s="9"/>
      <c r="N53" s="9" t="s">
        <v>10</v>
      </c>
      <c r="O53" s="9">
        <f t="shared" si="2"/>
        <v>8584.2228493842595</v>
      </c>
    </row>
    <row r="54" spans="1:15" x14ac:dyDescent="0.25">
      <c r="A54" s="77">
        <v>46028</v>
      </c>
      <c r="B54" s="8" t="s">
        <v>60</v>
      </c>
      <c r="C54" s="4">
        <v>-0.49</v>
      </c>
      <c r="D54" s="13">
        <v>0.85555555555555551</v>
      </c>
      <c r="E54" s="76" t="s">
        <v>62</v>
      </c>
      <c r="F54" s="9">
        <f>+Effort!F54*CPUE!F54</f>
        <v>307.04780000825093</v>
      </c>
      <c r="G54" s="9" t="s">
        <v>62</v>
      </c>
      <c r="H54" s="9">
        <f>+Effort!H54*CPUE!H54</f>
        <v>180.2607487637041</v>
      </c>
      <c r="I54" s="9"/>
      <c r="J54" s="9" t="s">
        <v>10</v>
      </c>
      <c r="K54" s="9"/>
      <c r="L54" s="9">
        <f>+Effort!L54*CPUE!L54</f>
        <v>146.05203205320751</v>
      </c>
      <c r="M54" s="9"/>
      <c r="N54" s="9" t="s">
        <v>10</v>
      </c>
      <c r="O54" s="9">
        <f t="shared" si="2"/>
        <v>633.36058082516251</v>
      </c>
    </row>
    <row r="55" spans="1:15" x14ac:dyDescent="0.25">
      <c r="A55" s="77"/>
      <c r="C55" s="4"/>
      <c r="E55" s="76"/>
      <c r="G55" s="9"/>
      <c r="I55" s="9"/>
      <c r="K55" s="9"/>
      <c r="M55" s="9"/>
      <c r="N55" s="9"/>
    </row>
    <row r="56" spans="1:15" x14ac:dyDescent="0.25">
      <c r="A56" s="77">
        <v>46037</v>
      </c>
      <c r="B56" s="8" t="s">
        <v>22</v>
      </c>
      <c r="C56" s="4">
        <v>0.37</v>
      </c>
      <c r="D56" s="13">
        <v>0.69097222222222221</v>
      </c>
      <c r="E56" s="76"/>
      <c r="F56" s="9">
        <f>+Effort!F56*CPUE!F56</f>
        <v>13499.998211948678</v>
      </c>
      <c r="G56" s="9" t="s">
        <v>62</v>
      </c>
      <c r="H56" s="9">
        <f>+Effort!H56*CPUE!H56</f>
        <v>8076.6651481301051</v>
      </c>
      <c r="I56" s="9"/>
      <c r="J56" s="9" t="s">
        <v>10</v>
      </c>
      <c r="K56" s="9"/>
      <c r="L56" s="9">
        <v>6185.3035574533296</v>
      </c>
      <c r="M56" s="9"/>
      <c r="N56" s="9" t="s">
        <v>10</v>
      </c>
      <c r="O56" s="9">
        <f t="shared" si="2"/>
        <v>27761.966917532111</v>
      </c>
    </row>
    <row r="57" spans="1:15" x14ac:dyDescent="0.25">
      <c r="A57" s="77">
        <v>46038</v>
      </c>
      <c r="B57" s="8" t="s">
        <v>18</v>
      </c>
      <c r="C57" s="4">
        <v>0.01</v>
      </c>
      <c r="D57" s="13">
        <v>0.71805555555555556</v>
      </c>
      <c r="E57" s="76"/>
      <c r="F57" s="9">
        <f>11509.9347323423+12326.5305261241</f>
        <v>23836.4652584664</v>
      </c>
      <c r="G57" s="9" t="s">
        <v>62</v>
      </c>
      <c r="H57" s="9">
        <f>+Effort!H57*CPUE!H57</f>
        <v>14272.626036464431</v>
      </c>
      <c r="I57" s="9"/>
      <c r="J57" s="9">
        <v>24240.9244015121</v>
      </c>
      <c r="K57" s="9"/>
      <c r="L57" s="9" t="s">
        <v>10</v>
      </c>
      <c r="M57" s="9"/>
      <c r="N57" s="9" t="s">
        <v>10</v>
      </c>
      <c r="O57" s="9">
        <f t="shared" si="2"/>
        <v>62350.015696442933</v>
      </c>
    </row>
    <row r="58" spans="1:15" x14ac:dyDescent="0.25">
      <c r="A58" s="77">
        <v>46039</v>
      </c>
      <c r="B58" s="8" t="s">
        <v>19</v>
      </c>
      <c r="C58" s="4">
        <v>-0.27</v>
      </c>
      <c r="D58" s="13">
        <v>0.74305555555555558</v>
      </c>
      <c r="E58" s="76" t="s">
        <v>62</v>
      </c>
      <c r="F58" s="9">
        <f>+Effort!F58*CPUE!F58</f>
        <v>25422.972461544094</v>
      </c>
      <c r="G58" s="9"/>
      <c r="H58" s="9">
        <v>22135.471773631201</v>
      </c>
      <c r="I58" s="9"/>
      <c r="J58" s="9">
        <v>25861.613934346798</v>
      </c>
      <c r="K58" s="9"/>
      <c r="L58" s="9" t="s">
        <v>10</v>
      </c>
      <c r="M58" s="9"/>
      <c r="N58" s="9" t="s">
        <v>10</v>
      </c>
      <c r="O58" s="9">
        <f t="shared" si="2"/>
        <v>73420.05816952209</v>
      </c>
    </row>
    <row r="59" spans="1:15" x14ac:dyDescent="0.25">
      <c r="A59" s="77">
        <v>46040</v>
      </c>
      <c r="B59" s="8" t="s">
        <v>20</v>
      </c>
      <c r="C59" s="4">
        <v>-0.45</v>
      </c>
      <c r="D59" s="13">
        <v>0.76666666666666672</v>
      </c>
      <c r="E59" s="76" t="s">
        <v>62</v>
      </c>
      <c r="F59" s="9">
        <f>+Effort!F59*CPUE!F59</f>
        <v>35181.384940567725</v>
      </c>
      <c r="G59" s="9"/>
      <c r="H59" s="9">
        <v>28972.459891589799</v>
      </c>
      <c r="I59" s="9"/>
      <c r="J59" s="9" t="s">
        <v>10</v>
      </c>
      <c r="K59" s="9"/>
      <c r="L59" s="9">
        <v>19059.205810035201</v>
      </c>
      <c r="M59" s="9"/>
      <c r="N59" s="9" t="s">
        <v>10</v>
      </c>
      <c r="O59" s="9">
        <f t="shared" si="2"/>
        <v>83213.050642192728</v>
      </c>
    </row>
    <row r="60" spans="1:15" x14ac:dyDescent="0.25">
      <c r="A60" s="77">
        <v>46041</v>
      </c>
      <c r="B60" s="8" t="s">
        <v>21</v>
      </c>
      <c r="C60" s="4">
        <v>-0.5</v>
      </c>
      <c r="D60" s="13">
        <v>0.7895833333333333</v>
      </c>
      <c r="E60" s="76" t="s">
        <v>62</v>
      </c>
      <c r="F60" s="9">
        <f>+Effort!F60*CPUE!F60</f>
        <v>4695.1379294254029</v>
      </c>
      <c r="G60" s="9" t="s">
        <v>62</v>
      </c>
      <c r="H60" s="9">
        <f>+Effort!H60*CPUE!H60</f>
        <v>2808.967548357929</v>
      </c>
      <c r="I60" s="9"/>
      <c r="J60" s="9" t="s">
        <v>10</v>
      </c>
      <c r="K60" s="9"/>
      <c r="L60" s="9">
        <v>1839.9006162925</v>
      </c>
      <c r="M60" s="9"/>
      <c r="N60" s="9" t="s">
        <v>10</v>
      </c>
      <c r="O60" s="9">
        <f t="shared" si="2"/>
        <v>9344.0060940758322</v>
      </c>
    </row>
    <row r="61" spans="1:15" x14ac:dyDescent="0.25">
      <c r="A61" s="77">
        <v>46042</v>
      </c>
      <c r="B61" s="8" t="s">
        <v>60</v>
      </c>
      <c r="C61" s="4">
        <v>-0.39</v>
      </c>
      <c r="D61" s="13">
        <v>0.81180555555555556</v>
      </c>
      <c r="E61" s="76"/>
      <c r="F61" s="9">
        <f>+Effort!F61*CPUE!F61</f>
        <v>2655.1434652520711</v>
      </c>
      <c r="G61" s="9" t="s">
        <v>62</v>
      </c>
      <c r="H61" s="9">
        <f>+Effort!H61*CPUE!H61</f>
        <v>1238.8996278079271</v>
      </c>
      <c r="I61" s="9"/>
      <c r="J61" s="9">
        <v>1929.1546358972901</v>
      </c>
      <c r="K61" s="9"/>
      <c r="L61" s="9" t="s">
        <v>10</v>
      </c>
      <c r="M61" s="9"/>
      <c r="N61" s="9" t="s">
        <v>10</v>
      </c>
      <c r="O61" s="9">
        <f t="shared" si="2"/>
        <v>5823.1977289572878</v>
      </c>
    </row>
    <row r="62" spans="1:15" x14ac:dyDescent="0.25">
      <c r="A62" s="77">
        <v>46043</v>
      </c>
      <c r="B62" s="8" t="s">
        <v>61</v>
      </c>
      <c r="C62" s="4">
        <v>-0.09</v>
      </c>
      <c r="D62" s="13">
        <v>0.83402777777777781</v>
      </c>
      <c r="E62" s="76" t="s">
        <v>62</v>
      </c>
      <c r="F62" s="9">
        <f>+Effort!F62*CPUE!F62</f>
        <v>1471.2023164451689</v>
      </c>
      <c r="G62" s="9"/>
      <c r="H62" s="9">
        <v>828.46925366474295</v>
      </c>
      <c r="I62" s="9"/>
      <c r="J62" s="9">
        <v>1620.28098570868</v>
      </c>
      <c r="K62" s="9"/>
      <c r="L62" s="9" t="s">
        <v>10</v>
      </c>
      <c r="M62" s="9"/>
      <c r="N62" s="9" t="s">
        <v>10</v>
      </c>
      <c r="O62" s="9">
        <f t="shared" si="2"/>
        <v>3919.9525558185919</v>
      </c>
    </row>
    <row r="63" spans="1:15" x14ac:dyDescent="0.25">
      <c r="A63" s="77"/>
      <c r="C63" s="4"/>
      <c r="E63" s="76"/>
      <c r="G63" s="9"/>
      <c r="I63" s="9"/>
      <c r="K63" s="9"/>
      <c r="M63" s="9"/>
      <c r="N63" s="9"/>
    </row>
    <row r="64" spans="1:15" x14ac:dyDescent="0.25">
      <c r="A64" s="77">
        <v>46051</v>
      </c>
      <c r="B64" s="8" t="s">
        <v>22</v>
      </c>
      <c r="C64" s="4">
        <v>-0.6</v>
      </c>
      <c r="D64" s="13">
        <v>0.66319444444444442</v>
      </c>
      <c r="E64" s="76"/>
      <c r="F64" s="9">
        <f>+Effort!F64*CPUE!F64</f>
        <v>1923.7017151193254</v>
      </c>
      <c r="G64" s="9"/>
      <c r="H64" s="9">
        <v>2364.5950228888601</v>
      </c>
      <c r="I64" s="9"/>
      <c r="J64" s="9" t="s">
        <v>10</v>
      </c>
      <c r="K64" s="9"/>
      <c r="L64" s="9">
        <v>833.03751615532997</v>
      </c>
      <c r="M64" s="9"/>
      <c r="N64" s="9" t="s">
        <v>10</v>
      </c>
      <c r="O64" s="9">
        <f t="shared" si="2"/>
        <v>5121.3342541635157</v>
      </c>
    </row>
    <row r="65" spans="1:15" x14ac:dyDescent="0.25">
      <c r="A65" s="77">
        <v>46052</v>
      </c>
      <c r="B65" s="8" t="s">
        <v>18</v>
      </c>
      <c r="C65" s="4">
        <v>-1.2</v>
      </c>
      <c r="D65" s="13">
        <v>0.69930555555555551</v>
      </c>
      <c r="E65" s="76"/>
      <c r="F65" s="9">
        <f>+Effort!F65*CPUE!F65</f>
        <v>13935.734832156444</v>
      </c>
      <c r="G65" s="9"/>
      <c r="H65" s="9">
        <v>6666.7931343269702</v>
      </c>
      <c r="I65" s="9"/>
      <c r="J65" s="9">
        <v>12636.677513946601</v>
      </c>
      <c r="K65" s="9"/>
      <c r="L65" s="9" t="s">
        <v>10</v>
      </c>
      <c r="M65" s="9"/>
      <c r="N65" s="9" t="s">
        <v>10</v>
      </c>
      <c r="O65" s="9">
        <f t="shared" si="2"/>
        <v>33239.205480430013</v>
      </c>
    </row>
    <row r="66" spans="1:15" x14ac:dyDescent="0.25">
      <c r="A66" s="77">
        <v>46053</v>
      </c>
      <c r="B66" s="8" t="s">
        <v>19</v>
      </c>
      <c r="C66" s="4">
        <v>-1.6</v>
      </c>
      <c r="D66" s="13">
        <v>0.73402777777777772</v>
      </c>
      <c r="E66" s="76" t="s">
        <v>62</v>
      </c>
      <c r="F66" s="9">
        <f>+Effort!F66*CPUE!F66</f>
        <v>33071.206911229558</v>
      </c>
      <c r="G66" s="9" t="s">
        <v>62</v>
      </c>
      <c r="H66" s="9">
        <f>+Effort!H66*CPUE!H66</f>
        <v>39917.872455051729</v>
      </c>
      <c r="I66" s="9"/>
      <c r="J66" s="9">
        <v>56499.337539621803</v>
      </c>
      <c r="K66" s="9"/>
      <c r="L66" s="9" t="s">
        <v>10</v>
      </c>
      <c r="M66" s="9"/>
      <c r="N66" s="9" t="s">
        <v>10</v>
      </c>
      <c r="O66" s="9">
        <f t="shared" si="2"/>
        <v>129488.41690590308</v>
      </c>
    </row>
    <row r="67" spans="1:15" x14ac:dyDescent="0.25">
      <c r="A67" s="77">
        <v>46054</v>
      </c>
      <c r="B67" s="8" t="s">
        <v>20</v>
      </c>
      <c r="C67" s="4">
        <v>-1.7</v>
      </c>
      <c r="D67" s="13">
        <v>0.76597222222222228</v>
      </c>
      <c r="E67" s="76" t="s">
        <v>62</v>
      </c>
      <c r="F67" s="9">
        <f>+Effort!F67*CPUE!F67</f>
        <v>6276.0513897066758</v>
      </c>
      <c r="G67" s="9"/>
      <c r="H67" s="9">
        <v>10414.2833745933</v>
      </c>
      <c r="I67" s="9"/>
      <c r="J67" s="9" t="s">
        <v>10</v>
      </c>
      <c r="K67" s="9"/>
      <c r="L67" s="9">
        <v>10243.9226508182</v>
      </c>
      <c r="M67" s="9"/>
      <c r="N67" s="9" t="s">
        <v>10</v>
      </c>
      <c r="O67" s="9">
        <f t="shared" si="2"/>
        <v>26934.257415118176</v>
      </c>
    </row>
    <row r="68" spans="1:15" x14ac:dyDescent="0.25">
      <c r="A68" s="77">
        <v>46055</v>
      </c>
      <c r="B68" s="8" t="s">
        <v>21</v>
      </c>
      <c r="C68" s="4">
        <v>-1.5</v>
      </c>
      <c r="D68" s="13">
        <v>0.79652777777777772</v>
      </c>
      <c r="E68" s="76" t="s">
        <v>62</v>
      </c>
      <c r="F68" s="9">
        <f>+Effort!F68*CPUE!F68</f>
        <v>1330.3122408623472</v>
      </c>
      <c r="G68" s="9" t="s">
        <v>62</v>
      </c>
      <c r="H68" s="9">
        <f>+Effort!H68*CPUE!H68</f>
        <v>1290.2451923460335</v>
      </c>
      <c r="I68" s="9"/>
      <c r="J68" s="9" t="s">
        <v>10</v>
      </c>
      <c r="K68" s="9"/>
      <c r="L68" s="9">
        <v>653.27113637754303</v>
      </c>
      <c r="M68" s="9"/>
      <c r="N68" s="9" t="s">
        <v>10</v>
      </c>
      <c r="O68" s="9">
        <f t="shared" si="2"/>
        <v>3273.8285695859236</v>
      </c>
    </row>
    <row r="69" spans="1:15" x14ac:dyDescent="0.25">
      <c r="A69" s="77">
        <v>46056</v>
      </c>
      <c r="B69" s="8" t="s">
        <v>60</v>
      </c>
      <c r="C69" s="4">
        <v>-1.1000000000000001</v>
      </c>
      <c r="D69" s="13">
        <v>0.82638888888888884</v>
      </c>
      <c r="E69" s="76"/>
      <c r="F69" s="9">
        <f>+Effort!F69*CPUE!F69</f>
        <v>3384.0063772820431</v>
      </c>
      <c r="G69" s="9"/>
      <c r="H69" s="9">
        <v>4791.9372554028396</v>
      </c>
      <c r="I69" s="9"/>
      <c r="J69" s="9">
        <v>4025.0646818077398</v>
      </c>
      <c r="K69" s="9"/>
      <c r="L69" s="9" t="s">
        <v>10</v>
      </c>
      <c r="M69" s="9"/>
      <c r="N69" s="9" t="s">
        <v>10</v>
      </c>
      <c r="O69" s="9">
        <f t="shared" si="2"/>
        <v>12201.008314492623</v>
      </c>
    </row>
    <row r="70" spans="1:15" x14ac:dyDescent="0.25">
      <c r="A70" s="77">
        <v>46057</v>
      </c>
      <c r="B70" s="8" t="s">
        <v>61</v>
      </c>
      <c r="C70" s="4">
        <v>-0.5</v>
      </c>
      <c r="D70" s="13">
        <v>0.85555555555555551</v>
      </c>
      <c r="E70" s="76" t="s">
        <v>62</v>
      </c>
      <c r="F70" s="9">
        <f>+Effort!F70*CPUE!F70</f>
        <v>821.10595467902635</v>
      </c>
      <c r="G70" s="9" t="s">
        <v>62</v>
      </c>
      <c r="H70" s="9">
        <f>+Effort!H70*CPUE!H70</f>
        <v>1314.6453009053657</v>
      </c>
      <c r="I70" s="9"/>
      <c r="J70" s="9">
        <v>1448.8828398119001</v>
      </c>
      <c r="K70" s="9"/>
      <c r="L70" s="9" t="s">
        <v>10</v>
      </c>
      <c r="M70" s="9"/>
      <c r="N70" s="9" t="s">
        <v>10</v>
      </c>
      <c r="O70" s="9">
        <f t="shared" si="2"/>
        <v>3584.6340953962927</v>
      </c>
    </row>
    <row r="71" spans="1:15" x14ac:dyDescent="0.25">
      <c r="A71" s="77"/>
      <c r="C71" s="4"/>
      <c r="E71" s="76"/>
      <c r="G71" s="9"/>
      <c r="I71" s="9"/>
      <c r="K71" s="9"/>
      <c r="M71" s="9"/>
      <c r="N71" s="9"/>
    </row>
    <row r="72" spans="1:15" x14ac:dyDescent="0.25">
      <c r="A72" s="77">
        <v>46067</v>
      </c>
      <c r="B72" s="8" t="s">
        <v>19</v>
      </c>
      <c r="C72" s="4">
        <v>0.25</v>
      </c>
      <c r="D72" s="13">
        <v>0.7</v>
      </c>
      <c r="E72" s="76" t="s">
        <v>62</v>
      </c>
      <c r="F72" s="9">
        <f>+Effort!F72*CPUE!F72</f>
        <v>14582.90499622029</v>
      </c>
      <c r="G72" s="9"/>
      <c r="H72" s="9">
        <v>20794.966634225199</v>
      </c>
      <c r="I72" s="9"/>
      <c r="J72" s="9" t="s">
        <v>10</v>
      </c>
      <c r="K72" s="9"/>
      <c r="L72" s="9">
        <v>6933.4749447617296</v>
      </c>
      <c r="M72" s="9"/>
      <c r="N72" s="9" t="s">
        <v>10</v>
      </c>
      <c r="O72" s="9">
        <f t="shared" si="2"/>
        <v>42311.346575207215</v>
      </c>
    </row>
    <row r="73" spans="1:15" x14ac:dyDescent="0.25">
      <c r="A73" s="77">
        <v>46068</v>
      </c>
      <c r="B73" s="8" t="s">
        <v>20</v>
      </c>
      <c r="C73" s="4">
        <v>-0.09</v>
      </c>
      <c r="D73" s="13">
        <v>0.72499999999999998</v>
      </c>
      <c r="E73" s="76"/>
      <c r="F73" s="9">
        <f>+Effort!F73*CPUE!F73</f>
        <v>26672.198185677946</v>
      </c>
      <c r="G73" s="9"/>
      <c r="H73" s="9">
        <v>18074.0014208469</v>
      </c>
      <c r="I73" s="9"/>
      <c r="J73" s="9">
        <v>14470.398870147401</v>
      </c>
      <c r="K73" s="9"/>
      <c r="L73" s="9" t="s">
        <v>10</v>
      </c>
      <c r="M73" s="9"/>
      <c r="N73" s="9" t="s">
        <v>10</v>
      </c>
      <c r="O73" s="9">
        <f t="shared" si="2"/>
        <v>59216.598476672247</v>
      </c>
    </row>
    <row r="74" spans="1:15" x14ac:dyDescent="0.25">
      <c r="A74" s="77">
        <v>46069</v>
      </c>
      <c r="B74" s="8" t="s">
        <v>21</v>
      </c>
      <c r="C74" s="4">
        <v>-0.28999999999999998</v>
      </c>
      <c r="D74" s="13">
        <v>0.74791666666666667</v>
      </c>
      <c r="E74" s="76" t="s">
        <v>62</v>
      </c>
      <c r="F74" s="9">
        <f>+Effort!F74*CPUE!F74</f>
        <v>3401.2220637039213</v>
      </c>
      <c r="G74" s="9" t="s">
        <v>62</v>
      </c>
      <c r="H74" s="9">
        <f>+Effort!H74*CPUE!H74</f>
        <v>2676.5249566002685</v>
      </c>
      <c r="I74" s="9"/>
      <c r="J74" s="9">
        <v>2651.1436467721801</v>
      </c>
      <c r="K74" s="9"/>
      <c r="L74" s="9" t="s">
        <v>10</v>
      </c>
      <c r="M74" s="9"/>
      <c r="N74" s="9" t="s">
        <v>10</v>
      </c>
      <c r="O74" s="9">
        <f t="shared" si="2"/>
        <v>8728.8906670763699</v>
      </c>
    </row>
    <row r="75" spans="1:15" x14ac:dyDescent="0.25">
      <c r="A75" s="77">
        <v>46070</v>
      </c>
      <c r="B75" s="8" t="s">
        <v>60</v>
      </c>
      <c r="C75" s="4">
        <v>-0.3</v>
      </c>
      <c r="D75" s="13">
        <v>0.77013888888888893</v>
      </c>
      <c r="E75" s="76" t="s">
        <v>62</v>
      </c>
      <c r="F75" s="9">
        <f>+Effort!F75*CPUE!F75</f>
        <v>416.84026252347388</v>
      </c>
      <c r="G75" s="9" t="s">
        <v>62</v>
      </c>
      <c r="H75" s="9">
        <f>+Effort!H75*CPUE!H75</f>
        <v>506.40380047154559</v>
      </c>
      <c r="I75" s="9"/>
      <c r="J75" s="9" t="s">
        <v>10</v>
      </c>
      <c r="K75" s="9"/>
      <c r="L75" s="9">
        <v>73.516810099630206</v>
      </c>
      <c r="M75" s="9"/>
      <c r="N75" s="9" t="s">
        <v>10</v>
      </c>
      <c r="O75" s="9">
        <f t="shared" si="2"/>
        <v>996.7608730946497</v>
      </c>
    </row>
    <row r="76" spans="1:15" x14ac:dyDescent="0.25">
      <c r="A76" s="77">
        <v>46071</v>
      </c>
      <c r="B76" s="8" t="s">
        <v>61</v>
      </c>
      <c r="C76" s="4">
        <v>-0.11</v>
      </c>
      <c r="D76" s="13">
        <v>0.79166666666666663</v>
      </c>
      <c r="E76" s="76"/>
      <c r="F76" s="9">
        <f>+Effort!F76*CPUE!F76</f>
        <v>94.405100986740365</v>
      </c>
      <c r="G76" s="9"/>
      <c r="H76" s="9">
        <v>122.881351739008</v>
      </c>
      <c r="I76" s="9"/>
      <c r="J76" s="9" t="s">
        <v>10</v>
      </c>
      <c r="K76" s="9"/>
      <c r="L76" s="9">
        <v>416.248291351641</v>
      </c>
      <c r="M76" s="9"/>
      <c r="N76" s="9" t="s">
        <v>10</v>
      </c>
      <c r="O76" s="9">
        <f t="shared" si="2"/>
        <v>633.5347440773894</v>
      </c>
    </row>
    <row r="77" spans="1:15" x14ac:dyDescent="0.25">
      <c r="A77" s="77">
        <v>46072</v>
      </c>
      <c r="B77" s="8" t="s">
        <v>22</v>
      </c>
      <c r="C77" s="4">
        <v>0.28999999999999998</v>
      </c>
      <c r="D77" s="13">
        <v>0.81388888888888888</v>
      </c>
      <c r="E77" s="76" t="s">
        <v>62</v>
      </c>
      <c r="F77" s="9">
        <f>+Effort!F77*CPUE!F77</f>
        <v>1130.611282781899</v>
      </c>
      <c r="G77" s="9" t="s">
        <v>62</v>
      </c>
      <c r="H77" s="9">
        <f>+Effort!H77*CPUE!H77</f>
        <v>889.7123615869325</v>
      </c>
      <c r="I77" s="9"/>
      <c r="J77" s="9">
        <v>1009.46077284231</v>
      </c>
      <c r="K77" s="9"/>
      <c r="L77" s="9" t="s">
        <v>10</v>
      </c>
      <c r="M77" s="9"/>
      <c r="N77" s="9" t="s">
        <v>10</v>
      </c>
      <c r="O77" s="9">
        <f t="shared" si="2"/>
        <v>3029.7844172111418</v>
      </c>
    </row>
    <row r="78" spans="1:15" x14ac:dyDescent="0.25">
      <c r="A78" s="77"/>
      <c r="C78" s="4"/>
      <c r="E78" s="76"/>
      <c r="G78" s="9"/>
      <c r="I78" s="9"/>
      <c r="K78" s="9"/>
      <c r="M78" s="9"/>
      <c r="N78" s="9"/>
    </row>
    <row r="79" spans="1:15" x14ac:dyDescent="0.25">
      <c r="A79" s="77">
        <v>46079</v>
      </c>
      <c r="B79" s="8" t="s">
        <v>22</v>
      </c>
      <c r="C79" s="4">
        <v>0.32</v>
      </c>
      <c r="D79" s="13">
        <v>0.60138888888888886</v>
      </c>
      <c r="E79" s="76" t="s">
        <v>62</v>
      </c>
      <c r="F79" s="9">
        <f>+Effort!F79*CPUE!F79</f>
        <v>6361.2905377952156</v>
      </c>
      <c r="G79" s="9"/>
      <c r="H79" s="9">
        <v>7067.1262671079803</v>
      </c>
      <c r="I79" s="9"/>
      <c r="J79" s="9">
        <v>8919.0336062005408</v>
      </c>
      <c r="K79" s="9"/>
      <c r="L79" s="9" t="s">
        <v>10</v>
      </c>
      <c r="M79" s="9"/>
      <c r="N79" s="9" t="s">
        <v>10</v>
      </c>
      <c r="O79" s="9">
        <f t="shared" ref="O79:O118" si="3">SUM(F79:N79)</f>
        <v>22347.450411103739</v>
      </c>
    </row>
    <row r="80" spans="1:15" x14ac:dyDescent="0.25">
      <c r="A80" s="77">
        <v>46080</v>
      </c>
      <c r="B80" s="8" t="s">
        <v>18</v>
      </c>
      <c r="C80" s="4">
        <v>-0.04</v>
      </c>
      <c r="D80" s="13">
        <v>0.64513888888888893</v>
      </c>
      <c r="E80" s="76"/>
      <c r="F80" s="9">
        <f>5688.42917809806+14020.3376719091</f>
        <v>19708.76685000716</v>
      </c>
      <c r="G80" s="9" t="s">
        <v>62</v>
      </c>
      <c r="H80" s="9">
        <f>+Effort!H80*CPUE!H80</f>
        <v>21631.242014564727</v>
      </c>
      <c r="I80" s="9"/>
      <c r="J80" s="9" t="s">
        <v>10</v>
      </c>
      <c r="K80" s="9"/>
      <c r="L80" s="9">
        <v>11137.3296667055</v>
      </c>
      <c r="M80" s="9"/>
      <c r="N80" s="9" t="s">
        <v>10</v>
      </c>
      <c r="O80" s="9">
        <f t="shared" si="3"/>
        <v>52477.33853127739</v>
      </c>
    </row>
    <row r="81" spans="1:15" x14ac:dyDescent="0.25">
      <c r="A81" s="77">
        <v>46081</v>
      </c>
      <c r="B81" s="8" t="s">
        <v>19</v>
      </c>
      <c r="C81" s="4">
        <v>-0.34</v>
      </c>
      <c r="D81" s="13">
        <v>0.68194444444444446</v>
      </c>
      <c r="E81" s="76" t="s">
        <v>62</v>
      </c>
      <c r="F81" s="9">
        <f>+Effort!F81*CPUE!F81</f>
        <v>35866.089189186234</v>
      </c>
      <c r="G81" s="9"/>
      <c r="H81" s="9">
        <v>49432.8727147112</v>
      </c>
      <c r="I81" s="9"/>
      <c r="J81" s="9" t="s">
        <v>10</v>
      </c>
      <c r="K81" s="9"/>
      <c r="L81" s="9">
        <v>35993.149356427901</v>
      </c>
      <c r="M81" s="9"/>
      <c r="N81" s="9" t="s">
        <v>10</v>
      </c>
      <c r="O81" s="9">
        <f t="shared" si="3"/>
        <v>121292.11126032533</v>
      </c>
    </row>
    <row r="82" spans="1:15" x14ac:dyDescent="0.25">
      <c r="A82" s="77">
        <v>46082</v>
      </c>
      <c r="B82" s="8" t="s">
        <v>20</v>
      </c>
      <c r="C82" s="4">
        <v>-0.48</v>
      </c>
      <c r="D82" s="13">
        <v>0.71319444444444446</v>
      </c>
      <c r="E82" s="76" t="s">
        <v>62</v>
      </c>
      <c r="F82" s="9">
        <f>+Effort!F82*CPUE!F82</f>
        <v>31407.253371022289</v>
      </c>
      <c r="G82" s="9"/>
      <c r="H82" s="9">
        <v>28593.042257470199</v>
      </c>
      <c r="I82" s="9"/>
      <c r="J82" s="9">
        <v>53456.589043563297</v>
      </c>
      <c r="K82" s="9"/>
      <c r="L82" s="9" t="s">
        <v>10</v>
      </c>
      <c r="M82" s="9"/>
      <c r="N82" s="9" t="s">
        <v>10</v>
      </c>
      <c r="O82" s="9">
        <f t="shared" si="3"/>
        <v>113456.88467205578</v>
      </c>
    </row>
    <row r="83" spans="1:15" x14ac:dyDescent="0.25">
      <c r="A83" s="77">
        <v>46083</v>
      </c>
      <c r="B83" s="8" t="s">
        <v>21</v>
      </c>
      <c r="C83" s="4">
        <v>-0.42</v>
      </c>
      <c r="D83" s="13">
        <v>0.74027777777777781</v>
      </c>
      <c r="E83" s="76"/>
      <c r="F83" s="9">
        <f>+Effort!F83*CPUE!F83</f>
        <v>12203.328492295037</v>
      </c>
      <c r="G83" s="9"/>
      <c r="H83" s="9">
        <v>15988.501783678799</v>
      </c>
      <c r="I83" s="9"/>
      <c r="J83" s="9">
        <v>13935.373510703101</v>
      </c>
      <c r="K83" s="9"/>
      <c r="L83" s="9" t="s">
        <v>10</v>
      </c>
      <c r="M83" s="9"/>
      <c r="N83" s="9" t="s">
        <v>10</v>
      </c>
      <c r="O83" s="9">
        <f t="shared" si="3"/>
        <v>42127.203786676939</v>
      </c>
    </row>
    <row r="84" spans="1:15" x14ac:dyDescent="0.25">
      <c r="A84" s="77">
        <v>46084</v>
      </c>
      <c r="B84" s="8" t="s">
        <v>60</v>
      </c>
      <c r="C84" s="4">
        <v>-0.15</v>
      </c>
      <c r="D84" s="13">
        <v>0.76527777777777772</v>
      </c>
      <c r="E84" s="76" t="s">
        <v>62</v>
      </c>
      <c r="F84" s="9">
        <f>+Effort!F84*CPUE!F84</f>
        <v>939.07744679925815</v>
      </c>
      <c r="G84" s="9" t="s">
        <v>62</v>
      </c>
      <c r="H84" s="9">
        <f>+Effort!H84*CPUE!H84</f>
        <v>1390.0541758589829</v>
      </c>
      <c r="I84" s="9"/>
      <c r="J84" s="9" t="s">
        <v>10</v>
      </c>
      <c r="K84" s="9"/>
      <c r="L84" s="9">
        <v>814.69649129679703</v>
      </c>
      <c r="M84" s="9"/>
      <c r="N84" s="9" t="s">
        <v>10</v>
      </c>
      <c r="O84" s="9">
        <f t="shared" si="3"/>
        <v>3143.8281139550381</v>
      </c>
    </row>
    <row r="85" spans="1:15" x14ac:dyDescent="0.25">
      <c r="A85" s="77">
        <v>46085</v>
      </c>
      <c r="B85" s="8" t="s">
        <v>61</v>
      </c>
      <c r="C85" s="4">
        <v>0.3</v>
      </c>
      <c r="D85" s="13">
        <v>0.78819444444444442</v>
      </c>
      <c r="E85" s="76" t="s">
        <v>62</v>
      </c>
      <c r="F85" s="9">
        <f>+Effort!F85*CPUE!F85</f>
        <v>721.21147914182984</v>
      </c>
      <c r="G85" s="9" t="s">
        <v>62</v>
      </c>
      <c r="H85" s="9">
        <f>+Effort!H85*CPUE!H85</f>
        <v>1067.5616070596984</v>
      </c>
      <c r="I85" s="9"/>
      <c r="J85" s="9" t="s">
        <v>10</v>
      </c>
      <c r="K85" s="9"/>
      <c r="L85" s="9">
        <v>635.32633943145197</v>
      </c>
      <c r="M85" s="9"/>
      <c r="N85" s="9" t="s">
        <v>10</v>
      </c>
      <c r="O85" s="9">
        <f t="shared" si="3"/>
        <v>2424.0994256329805</v>
      </c>
    </row>
    <row r="86" spans="1:15" x14ac:dyDescent="0.25">
      <c r="A86" s="77"/>
      <c r="C86" s="4"/>
      <c r="E86" s="76"/>
      <c r="G86" s="9"/>
      <c r="I86" s="9"/>
      <c r="K86" s="9"/>
      <c r="M86" s="9"/>
      <c r="N86" s="9"/>
    </row>
    <row r="87" spans="1:15" x14ac:dyDescent="0.25">
      <c r="A87" s="77">
        <v>46098</v>
      </c>
      <c r="B87" s="8" t="s">
        <v>60</v>
      </c>
      <c r="C87" s="4">
        <v>0.16</v>
      </c>
      <c r="D87" s="13">
        <v>0.76458333333333328</v>
      </c>
      <c r="E87" s="76" t="s">
        <v>62</v>
      </c>
      <c r="F87" s="9">
        <f>+Effort!F87*CPUE!F87</f>
        <v>410.60756365892496</v>
      </c>
      <c r="G87" s="9"/>
      <c r="H87" s="9">
        <v>191.4</v>
      </c>
      <c r="I87" s="9"/>
      <c r="J87" s="9">
        <v>442.60283781052402</v>
      </c>
      <c r="K87" s="9"/>
      <c r="L87" s="9" t="s">
        <v>10</v>
      </c>
      <c r="M87" s="9"/>
      <c r="N87" s="9" t="s">
        <v>10</v>
      </c>
      <c r="O87" s="9">
        <f t="shared" si="3"/>
        <v>1044.610401469449</v>
      </c>
    </row>
    <row r="88" spans="1:15" x14ac:dyDescent="0.25">
      <c r="A88" s="77">
        <v>46099</v>
      </c>
      <c r="B88" s="8" t="s">
        <v>61</v>
      </c>
      <c r="C88" s="4">
        <v>0.26</v>
      </c>
      <c r="D88" s="13">
        <v>0.78749999999999998</v>
      </c>
      <c r="E88" s="76"/>
      <c r="F88" s="9">
        <f>+Effort!F88*CPUE!F88</f>
        <v>2525.8344886824671</v>
      </c>
      <c r="G88" s="9"/>
      <c r="H88" s="9">
        <v>1045.38602835744</v>
      </c>
      <c r="I88" s="9"/>
      <c r="J88" s="9">
        <v>1201.1700087239401</v>
      </c>
      <c r="K88" s="9"/>
      <c r="L88" s="9" t="s">
        <v>10</v>
      </c>
      <c r="M88" s="9"/>
      <c r="N88" s="9" t="s">
        <v>10</v>
      </c>
      <c r="O88" s="9">
        <f t="shared" si="3"/>
        <v>4772.3905257638471</v>
      </c>
    </row>
    <row r="89" spans="1:15" x14ac:dyDescent="0.25">
      <c r="A89" s="77">
        <v>46100</v>
      </c>
      <c r="B89" s="8" t="s">
        <v>22</v>
      </c>
      <c r="C89" s="4">
        <v>0.54</v>
      </c>
      <c r="D89" s="13">
        <v>0.81111111111111112</v>
      </c>
      <c r="E89" s="76"/>
      <c r="F89" s="9">
        <f>+Effort!F89*CPUE!F89</f>
        <v>613.07010325678289</v>
      </c>
      <c r="G89" s="9" t="s">
        <v>62</v>
      </c>
      <c r="H89" s="9">
        <f>+Effort!H89*CPUE!H89</f>
        <v>675.33659166380812</v>
      </c>
      <c r="I89" s="9"/>
      <c r="J89" s="9" t="s">
        <v>10</v>
      </c>
      <c r="K89" s="9"/>
      <c r="L89" s="9">
        <v>357.82747853035801</v>
      </c>
      <c r="M89" s="9"/>
      <c r="N89" s="9" t="s">
        <v>10</v>
      </c>
      <c r="O89" s="9">
        <f t="shared" si="3"/>
        <v>1646.2341734509491</v>
      </c>
    </row>
    <row r="90" spans="1:15" x14ac:dyDescent="0.25">
      <c r="A90" s="77">
        <v>46101</v>
      </c>
      <c r="B90" s="8" t="s">
        <v>18</v>
      </c>
      <c r="C90" s="4">
        <v>-0.09</v>
      </c>
      <c r="D90" s="13">
        <v>0.33333333333333331</v>
      </c>
      <c r="E90" s="76" t="s">
        <v>62</v>
      </c>
      <c r="F90" s="9">
        <f>+Effort!F90*CPUE!F90</f>
        <v>2521.0944042090168</v>
      </c>
      <c r="G90" s="9" t="s">
        <v>62</v>
      </c>
      <c r="H90" s="9">
        <f>+Effort!H90*CPUE!H90</f>
        <v>2777.1494534746416</v>
      </c>
      <c r="I90" s="9"/>
      <c r="J90" s="9" t="s">
        <v>10</v>
      </c>
      <c r="K90" s="9"/>
      <c r="L90" s="9">
        <v>724.418078983908</v>
      </c>
      <c r="M90" s="9"/>
      <c r="N90" s="9" t="s">
        <v>10</v>
      </c>
      <c r="O90" s="9">
        <f t="shared" si="3"/>
        <v>6022.6619366675668</v>
      </c>
    </row>
    <row r="91" spans="1:15" x14ac:dyDescent="0.25">
      <c r="A91" s="77">
        <v>46102</v>
      </c>
      <c r="B91" s="8" t="s">
        <v>19</v>
      </c>
      <c r="C91" s="4">
        <v>-0.48</v>
      </c>
      <c r="D91" s="13">
        <v>0.36319444444444443</v>
      </c>
      <c r="E91" s="76" t="s">
        <v>62</v>
      </c>
      <c r="F91" s="9">
        <f>+Effort!F91*CPUE!F91</f>
        <v>23287.737272099377</v>
      </c>
      <c r="G91" s="9" t="s">
        <v>62</v>
      </c>
      <c r="H91" s="9">
        <f>+Effort!H91*CPUE!H91</f>
        <v>33775.390973029709</v>
      </c>
      <c r="I91" s="9"/>
      <c r="J91" s="9">
        <v>56072.5991130447</v>
      </c>
      <c r="K91" s="9"/>
      <c r="L91" s="9" t="s">
        <v>10</v>
      </c>
      <c r="M91" s="9"/>
      <c r="N91" s="9" t="s">
        <v>10</v>
      </c>
      <c r="O91" s="9">
        <f t="shared" si="3"/>
        <v>113135.72735817378</v>
      </c>
    </row>
    <row r="92" spans="1:15" x14ac:dyDescent="0.25">
      <c r="A92" s="77">
        <v>46103</v>
      </c>
      <c r="B92" s="8" t="s">
        <v>20</v>
      </c>
      <c r="C92" s="4">
        <v>-0.6</v>
      </c>
      <c r="D92" s="13">
        <v>0.39513888888888887</v>
      </c>
      <c r="E92" s="76"/>
      <c r="F92" s="9">
        <f>7615.51469190408+17639.4629054986</f>
        <v>25254.977597402678</v>
      </c>
      <c r="G92" s="9"/>
      <c r="H92" s="9">
        <v>36153.0051256609</v>
      </c>
      <c r="I92" s="9"/>
      <c r="J92" s="9">
        <v>54074.3226514173</v>
      </c>
      <c r="K92" s="9"/>
      <c r="L92" s="9" t="s">
        <v>10</v>
      </c>
      <c r="M92" s="9"/>
      <c r="N92" s="9" t="s">
        <v>10</v>
      </c>
      <c r="O92" s="9">
        <f t="shared" si="3"/>
        <v>115482.30537448087</v>
      </c>
    </row>
    <row r="93" spans="1:15" x14ac:dyDescent="0.25">
      <c r="A93" s="77">
        <v>46104</v>
      </c>
      <c r="B93" s="8" t="s">
        <v>21</v>
      </c>
      <c r="C93" s="4">
        <v>-0.46</v>
      </c>
      <c r="D93" s="13">
        <v>0.43194444444444446</v>
      </c>
      <c r="E93" s="76" t="s">
        <v>62</v>
      </c>
      <c r="F93" s="9">
        <f>+Effort!F93*CPUE!F93</f>
        <v>19877.171502850961</v>
      </c>
      <c r="G93" s="9" t="s">
        <v>62</v>
      </c>
      <c r="H93" s="9">
        <f>+Effort!H93*CPUE!H93</f>
        <v>21895.997184240157</v>
      </c>
      <c r="I93" s="9"/>
      <c r="J93" s="9" t="s">
        <v>10</v>
      </c>
      <c r="K93" s="9"/>
      <c r="L93" s="9">
        <v>10753.4891564965</v>
      </c>
      <c r="M93" s="9"/>
      <c r="N93" s="9" t="s">
        <v>10</v>
      </c>
      <c r="O93" s="9">
        <f t="shared" si="3"/>
        <v>52526.657843587622</v>
      </c>
    </row>
    <row r="94" spans="1:15" x14ac:dyDescent="0.25">
      <c r="A94" s="77">
        <v>46105</v>
      </c>
      <c r="B94" s="8" t="s">
        <v>60</v>
      </c>
      <c r="C94" s="4">
        <v>-0.14000000000000001</v>
      </c>
      <c r="D94" s="13">
        <v>0.47291666666666665</v>
      </c>
      <c r="E94" s="76" t="s">
        <v>62</v>
      </c>
      <c r="F94" s="9">
        <f>+Effort!F94*CPUE!F94</f>
        <v>119.05139945265245</v>
      </c>
      <c r="G94" s="9"/>
      <c r="H94" s="9">
        <v>109.28571614683899</v>
      </c>
      <c r="I94" s="9"/>
      <c r="J94" s="9" t="s">
        <v>10</v>
      </c>
      <c r="K94" s="9"/>
      <c r="L94" s="9">
        <f>+Effort!L94*CPUE!L94</f>
        <v>69.486118888120401</v>
      </c>
      <c r="M94" s="9"/>
      <c r="N94" s="9" t="s">
        <v>10</v>
      </c>
      <c r="O94" s="9">
        <f t="shared" si="3"/>
        <v>297.82323448761184</v>
      </c>
    </row>
    <row r="95" spans="1:15" x14ac:dyDescent="0.25">
      <c r="A95" s="77"/>
      <c r="C95" s="4"/>
      <c r="E95" s="76"/>
      <c r="G95" s="9"/>
      <c r="I95" s="9"/>
      <c r="K95" s="9"/>
      <c r="M95" s="9"/>
      <c r="N95" s="9"/>
    </row>
    <row r="96" spans="1:15" x14ac:dyDescent="0.25">
      <c r="A96" s="77">
        <v>46113</v>
      </c>
      <c r="B96" s="8" t="s">
        <v>61</v>
      </c>
      <c r="C96" s="4">
        <v>0.49</v>
      </c>
      <c r="D96" s="13">
        <v>0.28125</v>
      </c>
      <c r="E96" s="76" t="s">
        <v>62</v>
      </c>
      <c r="F96" s="9">
        <f>+Effort!F96*CPUE!F96</f>
        <v>1181.8928726278857</v>
      </c>
      <c r="G96" s="9"/>
      <c r="H96" s="9">
        <v>703.99997202555505</v>
      </c>
      <c r="I96" s="9"/>
      <c r="J96" s="9" t="s">
        <v>10</v>
      </c>
      <c r="K96" s="9"/>
      <c r="L96" s="9">
        <v>211.92306850201101</v>
      </c>
      <c r="M96" s="9"/>
      <c r="N96" s="9" t="s">
        <v>10</v>
      </c>
      <c r="O96" s="9">
        <f t="shared" si="3"/>
        <v>2097.8159131554517</v>
      </c>
    </row>
    <row r="97" spans="1:15" x14ac:dyDescent="0.25">
      <c r="A97" s="77">
        <v>46114</v>
      </c>
      <c r="B97" s="8" t="s">
        <v>22</v>
      </c>
      <c r="C97" s="4">
        <v>7.0000000000000007E-2</v>
      </c>
      <c r="D97" s="13">
        <v>0.30694444444444446</v>
      </c>
      <c r="E97" s="76" t="s">
        <v>62</v>
      </c>
      <c r="F97" s="9">
        <f>+Effort!F97*CPUE!F97</f>
        <v>2701.5993672876084</v>
      </c>
      <c r="G97" s="9" t="s">
        <v>62</v>
      </c>
      <c r="H97" s="9">
        <f>+Effort!H97*CPUE!H97</f>
        <v>1760.0845883139893</v>
      </c>
      <c r="I97" s="9"/>
      <c r="J97" s="9" t="s">
        <v>10</v>
      </c>
      <c r="K97" s="9"/>
      <c r="L97" s="9">
        <v>1302.9197601804799</v>
      </c>
      <c r="M97" s="9"/>
      <c r="N97" s="9" t="s">
        <v>10</v>
      </c>
      <c r="O97" s="9">
        <f t="shared" si="3"/>
        <v>5764.6037157820774</v>
      </c>
    </row>
    <row r="98" spans="1:15" x14ac:dyDescent="0.25">
      <c r="A98" s="77">
        <v>46115</v>
      </c>
      <c r="B98" s="8" t="s">
        <v>18</v>
      </c>
      <c r="C98" s="4">
        <v>-0.17</v>
      </c>
      <c r="D98" s="13">
        <v>0.33124999999999999</v>
      </c>
      <c r="E98" s="76"/>
      <c r="F98" s="9">
        <f>+Effort!F98*CPUE!F98</f>
        <v>14249.444263174564</v>
      </c>
      <c r="G98" s="9" t="s">
        <v>62</v>
      </c>
      <c r="H98" s="9">
        <f>+Effort!H98*CPUE!H98</f>
        <v>9488.8369852938231</v>
      </c>
      <c r="I98" s="9"/>
      <c r="J98" s="9">
        <v>9918.3654301618899</v>
      </c>
      <c r="K98" s="9"/>
      <c r="L98" s="9" t="s">
        <v>10</v>
      </c>
      <c r="M98" s="9"/>
      <c r="N98" s="9" t="s">
        <v>10</v>
      </c>
      <c r="O98" s="9">
        <f t="shared" si="3"/>
        <v>33656.646678630277</v>
      </c>
    </row>
    <row r="99" spans="1:15" x14ac:dyDescent="0.25">
      <c r="A99" s="77">
        <v>46116</v>
      </c>
      <c r="B99" s="8" t="s">
        <v>19</v>
      </c>
      <c r="C99" s="4">
        <v>-0.22</v>
      </c>
      <c r="D99" s="13">
        <v>0.35555555555555557</v>
      </c>
      <c r="E99" s="76" t="s">
        <v>62</v>
      </c>
      <c r="F99" s="9">
        <f>+Effort!F99*CPUE!F99</f>
        <v>33235.989049985146</v>
      </c>
      <c r="G99" s="9"/>
      <c r="H99" s="9">
        <v>25850.3548304578</v>
      </c>
      <c r="I99" s="9"/>
      <c r="J99" s="9">
        <v>43858.491013851199</v>
      </c>
      <c r="K99" s="9"/>
      <c r="L99" s="9" t="s">
        <v>10</v>
      </c>
      <c r="M99" s="9"/>
      <c r="N99" s="9" t="s">
        <v>10</v>
      </c>
      <c r="O99" s="9">
        <f t="shared" si="3"/>
        <v>102944.83489429415</v>
      </c>
    </row>
    <row r="100" spans="1:15" x14ac:dyDescent="0.25">
      <c r="A100" s="77">
        <v>46117</v>
      </c>
      <c r="B100" s="8" t="s">
        <v>20</v>
      </c>
      <c r="C100" s="4">
        <v>-0.1</v>
      </c>
      <c r="D100" s="13">
        <v>0.38055555555555554</v>
      </c>
      <c r="E100" s="76"/>
      <c r="F100" s="9">
        <f>+Effort!F100*CPUE!F100</f>
        <v>9133.3297958096555</v>
      </c>
      <c r="G100" s="9" t="s">
        <v>62</v>
      </c>
      <c r="H100" s="9">
        <f>+Effort!H100*CPUE!H100</f>
        <v>17723.238523536318</v>
      </c>
      <c r="I100" s="9"/>
      <c r="J100" s="9" t="s">
        <v>10</v>
      </c>
      <c r="K100" s="9"/>
      <c r="L100" s="9">
        <v>13413.526810457</v>
      </c>
      <c r="M100" s="9"/>
      <c r="N100" s="9" t="s">
        <v>10</v>
      </c>
      <c r="O100" s="9">
        <f t="shared" si="3"/>
        <v>40270.095129802976</v>
      </c>
    </row>
    <row r="101" spans="1:15" x14ac:dyDescent="0.25">
      <c r="A101" s="77">
        <v>46118</v>
      </c>
      <c r="B101" s="8" t="s">
        <v>21</v>
      </c>
      <c r="C101" s="4">
        <v>0.15</v>
      </c>
      <c r="D101" s="13">
        <v>0.40694444444444444</v>
      </c>
      <c r="E101" s="76"/>
      <c r="F101" s="9">
        <f>6218.41543745872+9052.59627518507</f>
        <v>15271.011712643789</v>
      </c>
      <c r="G101" s="9"/>
      <c r="H101" s="9">
        <v>10877.754636428999</v>
      </c>
      <c r="I101" s="9"/>
      <c r="J101" s="9" t="s">
        <v>10</v>
      </c>
      <c r="K101" s="9"/>
      <c r="L101" s="9">
        <v>3302.1194726385402</v>
      </c>
      <c r="M101" s="9"/>
      <c r="N101" s="9" t="s">
        <v>10</v>
      </c>
      <c r="O101" s="9">
        <f t="shared" si="3"/>
        <v>29450.885821711327</v>
      </c>
    </row>
    <row r="102" spans="1:15" x14ac:dyDescent="0.25">
      <c r="A102" s="77">
        <v>46119</v>
      </c>
      <c r="B102" s="8" t="s">
        <v>60</v>
      </c>
      <c r="C102" s="4">
        <v>0.51</v>
      </c>
      <c r="D102" s="13">
        <v>0.4375</v>
      </c>
      <c r="E102" s="76" t="s">
        <v>62</v>
      </c>
      <c r="F102" s="9">
        <f>+Effort!F102*CPUE!F102</f>
        <v>13733.294716695687</v>
      </c>
      <c r="G102" s="9"/>
      <c r="H102" s="9">
        <v>14057.420548625099</v>
      </c>
      <c r="I102" s="9"/>
      <c r="J102" s="9">
        <v>10938.3702213861</v>
      </c>
      <c r="K102" s="9"/>
      <c r="L102" s="9" t="s">
        <v>10</v>
      </c>
      <c r="M102" s="9"/>
      <c r="N102" s="9" t="s">
        <v>10</v>
      </c>
      <c r="O102" s="9">
        <f t="shared" si="3"/>
        <v>38729.085486706885</v>
      </c>
    </row>
    <row r="103" spans="1:15" x14ac:dyDescent="0.25">
      <c r="A103" s="77"/>
      <c r="C103" s="4"/>
      <c r="E103" s="76"/>
      <c r="G103" s="9"/>
      <c r="I103" s="9"/>
      <c r="K103" s="9"/>
      <c r="M103" s="9"/>
      <c r="N103" s="9"/>
    </row>
    <row r="104" spans="1:15" x14ac:dyDescent="0.25">
      <c r="A104" s="77">
        <v>46129</v>
      </c>
      <c r="B104" s="8" t="s">
        <v>18</v>
      </c>
      <c r="C104" s="4">
        <v>-0.94</v>
      </c>
      <c r="D104" s="13">
        <v>0.2902777777777778</v>
      </c>
      <c r="E104" s="76" t="s">
        <v>62</v>
      </c>
      <c r="F104" s="9">
        <f>+Effort!F104*CPUE!F104</f>
        <v>16615.020804619086</v>
      </c>
      <c r="G104" s="9"/>
      <c r="H104" s="9">
        <v>9880.8466150395598</v>
      </c>
      <c r="I104" s="9"/>
      <c r="J104" s="9" t="s">
        <v>10</v>
      </c>
      <c r="K104" s="9"/>
      <c r="L104" s="9">
        <v>13097.4257588032</v>
      </c>
      <c r="M104" s="9"/>
      <c r="N104" s="9" t="s">
        <v>10</v>
      </c>
      <c r="O104" s="9">
        <f>SUM(F104:N104)</f>
        <v>39593.293178461841</v>
      </c>
    </row>
    <row r="105" spans="1:15" x14ac:dyDescent="0.25">
      <c r="A105" s="77">
        <v>46130</v>
      </c>
      <c r="B105" s="8" t="s">
        <v>19</v>
      </c>
      <c r="C105" s="4">
        <v>-1.51</v>
      </c>
      <c r="D105" s="13">
        <v>0.32013888888888886</v>
      </c>
      <c r="E105" s="76"/>
      <c r="F105" s="9">
        <v>27731.780831992099</v>
      </c>
      <c r="G105" s="9"/>
      <c r="H105" s="9">
        <v>33504.691390656299</v>
      </c>
      <c r="I105" s="9"/>
      <c r="J105" s="9" t="s">
        <v>10</v>
      </c>
      <c r="K105" s="9"/>
      <c r="L105" s="9">
        <v>30692.852192278398</v>
      </c>
      <c r="M105" s="9"/>
      <c r="N105" s="9" t="s">
        <v>10</v>
      </c>
      <c r="O105" s="9">
        <f t="shared" ref="O105:O110" si="4">SUM(F105:N105)</f>
        <v>91929.324414926799</v>
      </c>
    </row>
    <row r="106" spans="1:15" x14ac:dyDescent="0.25">
      <c r="A106" s="77">
        <v>46131</v>
      </c>
      <c r="B106" s="8" t="s">
        <v>20</v>
      </c>
      <c r="C106" s="4">
        <v>-1.75</v>
      </c>
      <c r="D106" s="13">
        <v>0.35138888888888886</v>
      </c>
      <c r="E106" s="76"/>
      <c r="F106" s="9">
        <v>57626.649841644401</v>
      </c>
      <c r="G106" s="9"/>
      <c r="H106" s="9">
        <v>28251.775849968501</v>
      </c>
      <c r="I106" s="9"/>
      <c r="J106" s="9">
        <v>53392.406050994097</v>
      </c>
      <c r="K106" s="9"/>
      <c r="L106" s="9" t="s">
        <v>10</v>
      </c>
      <c r="M106" s="9"/>
      <c r="N106" s="9" t="s">
        <v>10</v>
      </c>
      <c r="O106" s="9">
        <f t="shared" si="4"/>
        <v>139270.831742607</v>
      </c>
    </row>
    <row r="107" spans="1:15" x14ac:dyDescent="0.25">
      <c r="A107" s="77">
        <v>46132</v>
      </c>
      <c r="B107" s="8" t="s">
        <v>21</v>
      </c>
      <c r="C107" s="4">
        <v>-1.67</v>
      </c>
      <c r="D107" s="13">
        <v>0.38472222222222224</v>
      </c>
      <c r="E107" s="76" t="s">
        <v>62</v>
      </c>
      <c r="F107" s="9">
        <f>+Effort!F107*CPUE!F107</f>
        <v>40380.880027884479</v>
      </c>
      <c r="G107" s="9" t="s">
        <v>62</v>
      </c>
      <c r="H107" s="9">
        <f>+Effort!H107*CPUE!H107</f>
        <v>20384.614089689196</v>
      </c>
      <c r="I107" s="9"/>
      <c r="J107" s="9">
        <v>41851.082466412699</v>
      </c>
      <c r="K107" s="9"/>
      <c r="L107" s="9" t="s">
        <v>10</v>
      </c>
      <c r="M107" s="9"/>
      <c r="N107" s="9" t="s">
        <v>10</v>
      </c>
      <c r="O107" s="9">
        <f t="shared" si="4"/>
        <v>102616.57658398637</v>
      </c>
    </row>
    <row r="108" spans="1:15" x14ac:dyDescent="0.25">
      <c r="A108" s="77">
        <v>46133</v>
      </c>
      <c r="B108" s="8" t="s">
        <v>60</v>
      </c>
      <c r="C108" s="4">
        <v>-1.3</v>
      </c>
      <c r="D108" s="13">
        <v>0.42152777777777778</v>
      </c>
      <c r="E108" s="76" t="s">
        <v>62</v>
      </c>
      <c r="F108" s="9">
        <f>+Effort!F108*CPUE!F108</f>
        <v>25241.774335742044</v>
      </c>
      <c r="G108" s="9" t="s">
        <v>62</v>
      </c>
      <c r="H108" s="9">
        <f>+Effort!H108*CPUE!H108</f>
        <v>23604.884541476145</v>
      </c>
      <c r="I108" s="9"/>
      <c r="J108" s="9" t="s">
        <v>10</v>
      </c>
      <c r="K108" s="9"/>
      <c r="L108" s="9">
        <v>16572.207732031398</v>
      </c>
      <c r="M108" s="9"/>
      <c r="N108" s="9" t="s">
        <v>10</v>
      </c>
      <c r="O108" s="9">
        <f t="shared" si="4"/>
        <v>65418.866609249584</v>
      </c>
    </row>
    <row r="109" spans="1:15" x14ac:dyDescent="0.25">
      <c r="A109" s="77">
        <v>46134</v>
      </c>
      <c r="B109" s="8" t="s">
        <v>61</v>
      </c>
      <c r="C109" s="4">
        <v>-0.78</v>
      </c>
      <c r="D109" s="13">
        <v>0.46250000000000002</v>
      </c>
      <c r="E109" s="76"/>
      <c r="F109" s="9">
        <v>6239.0772425987197</v>
      </c>
      <c r="G109" s="9"/>
      <c r="H109" s="9">
        <v>9944.56333374305</v>
      </c>
      <c r="I109" s="9"/>
      <c r="J109" s="9" t="s">
        <v>10</v>
      </c>
      <c r="K109" s="9"/>
      <c r="L109" s="9">
        <v>5747.8320801939599</v>
      </c>
      <c r="M109" s="9"/>
      <c r="N109" s="9" t="s">
        <v>10</v>
      </c>
      <c r="O109" s="9">
        <f t="shared" si="4"/>
        <v>21931.47265653573</v>
      </c>
    </row>
    <row r="110" spans="1:15" x14ac:dyDescent="0.25">
      <c r="A110" s="77">
        <v>46135</v>
      </c>
      <c r="B110" s="8" t="s">
        <v>22</v>
      </c>
      <c r="C110" s="4">
        <v>-0.22</v>
      </c>
      <c r="D110" s="13">
        <v>0.50763888888888886</v>
      </c>
      <c r="E110" s="76" t="s">
        <v>62</v>
      </c>
      <c r="F110" s="9">
        <f>+Effort!F110*CPUE!F110</f>
        <v>11729.704050790875</v>
      </c>
      <c r="G110" s="9" t="s">
        <v>62</v>
      </c>
      <c r="H110" s="9">
        <f>+Effort!H110*CPUE!H110</f>
        <v>5921.2550666683082</v>
      </c>
      <c r="I110" s="9"/>
      <c r="J110" s="9">
        <v>12168.571614354099</v>
      </c>
      <c r="K110" s="9"/>
      <c r="L110" s="9" t="s">
        <v>10</v>
      </c>
      <c r="M110" s="9"/>
      <c r="N110" s="9" t="s">
        <v>10</v>
      </c>
      <c r="O110" s="9">
        <f t="shared" si="4"/>
        <v>29819.530731813284</v>
      </c>
    </row>
    <row r="111" spans="1:15" x14ac:dyDescent="0.25">
      <c r="A111" s="77"/>
      <c r="C111" s="4"/>
      <c r="E111" s="76"/>
      <c r="G111" s="9"/>
      <c r="I111" s="9"/>
      <c r="K111" s="9"/>
      <c r="M111" s="9"/>
      <c r="N111" s="9"/>
    </row>
    <row r="112" spans="1:15" x14ac:dyDescent="0.25">
      <c r="A112" s="77">
        <v>46142</v>
      </c>
      <c r="B112" s="8" t="s">
        <v>22</v>
      </c>
      <c r="C112" s="4">
        <v>-0.32</v>
      </c>
      <c r="D112" s="13">
        <v>0.26805555555555555</v>
      </c>
      <c r="E112" s="76" t="s">
        <v>62</v>
      </c>
      <c r="F112" s="9">
        <f>+Effort!F112*CPUE!F112</f>
        <v>4309.127259993249</v>
      </c>
      <c r="G112" s="9"/>
      <c r="H112" s="9">
        <v>3728.8134320802301</v>
      </c>
      <c r="I112" s="9"/>
      <c r="J112" s="9" t="s">
        <v>10</v>
      </c>
      <c r="K112" s="9"/>
      <c r="L112" s="9">
        <v>3799.6382421959102</v>
      </c>
      <c r="M112" s="9"/>
      <c r="N112" s="9" t="s">
        <v>10</v>
      </c>
      <c r="O112" s="9">
        <f t="shared" si="3"/>
        <v>11837.57893426939</v>
      </c>
    </row>
    <row r="113" spans="1:16" x14ac:dyDescent="0.25">
      <c r="A113" s="77">
        <v>46143</v>
      </c>
      <c r="B113" s="8" t="s">
        <v>18</v>
      </c>
      <c r="C113" s="4">
        <v>-0.66</v>
      </c>
      <c r="D113" s="13">
        <v>0.29236111111111113</v>
      </c>
      <c r="E113" s="76"/>
      <c r="F113" s="9">
        <v>13321.7265260406</v>
      </c>
      <c r="G113" s="9"/>
      <c r="H113" s="9">
        <v>9717.5137926939296</v>
      </c>
      <c r="I113" s="9"/>
      <c r="J113" s="9">
        <v>13866.770955088101</v>
      </c>
      <c r="K113" s="9"/>
      <c r="L113" s="9" t="s">
        <v>10</v>
      </c>
      <c r="M113" s="9"/>
      <c r="N113" s="9" t="s">
        <v>10</v>
      </c>
      <c r="O113" s="9">
        <f t="shared" si="3"/>
        <v>36906.011273822631</v>
      </c>
    </row>
    <row r="114" spans="1:16" x14ac:dyDescent="0.25">
      <c r="A114" s="77">
        <v>46144</v>
      </c>
      <c r="B114" s="8" t="s">
        <v>19</v>
      </c>
      <c r="C114" s="4">
        <v>-0.83</v>
      </c>
      <c r="D114" s="13">
        <v>0.31597222222222221</v>
      </c>
      <c r="E114" s="76" t="s">
        <v>62</v>
      </c>
      <c r="F114" s="9">
        <f>+Effort!F114*CPUE!F114</f>
        <v>36505.995866186313</v>
      </c>
      <c r="G114" s="9"/>
      <c r="H114" s="9">
        <v>34443.092909495397</v>
      </c>
      <c r="I114" s="9"/>
      <c r="J114" s="9">
        <v>42170.079675462803</v>
      </c>
      <c r="K114" s="9"/>
      <c r="L114" s="9" t="s">
        <v>10</v>
      </c>
      <c r="M114" s="9"/>
      <c r="N114" s="9" t="s">
        <v>10</v>
      </c>
      <c r="O114" s="9">
        <f t="shared" si="3"/>
        <v>113119.16845114451</v>
      </c>
    </row>
    <row r="115" spans="1:16" x14ac:dyDescent="0.25">
      <c r="A115" s="77">
        <v>46145</v>
      </c>
      <c r="B115" s="8" t="s">
        <v>20</v>
      </c>
      <c r="C115" s="4">
        <v>-0.82</v>
      </c>
      <c r="D115" s="13">
        <v>0.33888888888888891</v>
      </c>
      <c r="E115" s="76"/>
      <c r="F115" s="9">
        <v>19176.9422445774</v>
      </c>
      <c r="G115" s="9" t="s">
        <v>62</v>
      </c>
      <c r="H115" s="9">
        <f>+Effort!H115*CPUE!H115</f>
        <v>26516.342744074409</v>
      </c>
      <c r="I115" s="9"/>
      <c r="J115" s="9" t="s">
        <v>10</v>
      </c>
      <c r="K115" s="9"/>
      <c r="L115" s="9">
        <v>19018.693423510998</v>
      </c>
      <c r="M115" s="9"/>
      <c r="N115" s="9" t="s">
        <v>10</v>
      </c>
      <c r="O115" s="9">
        <f t="shared" si="3"/>
        <v>64711.978412162804</v>
      </c>
    </row>
    <row r="116" spans="1:16" x14ac:dyDescent="0.25">
      <c r="A116" s="77">
        <v>46146</v>
      </c>
      <c r="B116" s="8" t="s">
        <v>21</v>
      </c>
      <c r="C116" s="4">
        <v>-0.68</v>
      </c>
      <c r="D116" s="13">
        <v>0.36319444444444443</v>
      </c>
      <c r="E116" s="76" t="s">
        <v>62</v>
      </c>
      <c r="F116" s="9">
        <f>+Effort!F116*CPUE!F116</f>
        <v>13763.569343151428</v>
      </c>
      <c r="G116" s="9"/>
      <c r="H116" s="9">
        <v>12735.537259091499</v>
      </c>
      <c r="I116" s="9"/>
      <c r="J116" s="9" t="s">
        <v>10</v>
      </c>
      <c r="K116" s="9"/>
      <c r="L116" s="9">
        <v>5371.9885411046198</v>
      </c>
      <c r="M116" s="9"/>
      <c r="N116" s="9" t="s">
        <v>10</v>
      </c>
      <c r="O116" s="9">
        <f t="shared" si="3"/>
        <v>31871.095143347549</v>
      </c>
    </row>
    <row r="117" spans="1:16" x14ac:dyDescent="0.25">
      <c r="A117" s="77">
        <v>46147</v>
      </c>
      <c r="B117" s="8" t="s">
        <v>60</v>
      </c>
      <c r="C117" s="4">
        <v>-0.42</v>
      </c>
      <c r="D117" s="13">
        <v>0.38958333333333334</v>
      </c>
      <c r="E117" s="76" t="s">
        <v>62</v>
      </c>
      <c r="F117" s="9">
        <f>+Effort!F117*CPUE!F117</f>
        <v>17005.127754579171</v>
      </c>
      <c r="G117" s="9"/>
      <c r="H117" s="9">
        <v>15677.965566700999</v>
      </c>
      <c r="I117" s="9"/>
      <c r="J117" s="9">
        <v>19890.113299141402</v>
      </c>
      <c r="K117" s="9"/>
      <c r="L117" s="9" t="s">
        <v>10</v>
      </c>
      <c r="M117" s="9"/>
      <c r="N117" s="9" t="s">
        <v>10</v>
      </c>
      <c r="O117" s="9">
        <f t="shared" si="3"/>
        <v>52573.206620421566</v>
      </c>
    </row>
    <row r="118" spans="1:16" x14ac:dyDescent="0.25">
      <c r="A118" s="77">
        <v>46148</v>
      </c>
      <c r="B118" s="8" t="s">
        <v>61</v>
      </c>
      <c r="C118" s="4">
        <v>-0.11</v>
      </c>
      <c r="D118" s="13">
        <v>0.41875000000000001</v>
      </c>
      <c r="E118" s="76"/>
      <c r="F118" s="9">
        <v>9646.7650091792693</v>
      </c>
      <c r="G118" s="9"/>
      <c r="H118" s="9">
        <v>14375.0000778924</v>
      </c>
      <c r="I118" s="9"/>
      <c r="J118" s="9">
        <v>13211.786789678399</v>
      </c>
      <c r="K118" s="9"/>
      <c r="L118" s="9" t="s">
        <v>10</v>
      </c>
      <c r="M118" s="9"/>
      <c r="N118" s="9" t="s">
        <v>10</v>
      </c>
      <c r="O118" s="9">
        <f t="shared" si="3"/>
        <v>37233.551876750069</v>
      </c>
    </row>
    <row r="119" spans="1:16" x14ac:dyDescent="0.25">
      <c r="A119" s="77"/>
      <c r="C119" s="4"/>
      <c r="E119" s="76"/>
      <c r="G119" s="9"/>
      <c r="I119" s="9"/>
      <c r="K119" s="9"/>
      <c r="M119" s="9"/>
      <c r="N119" s="9"/>
    </row>
    <row r="120" spans="1:16" x14ac:dyDescent="0.25">
      <c r="A120" s="15" t="s">
        <v>64</v>
      </c>
      <c r="F120" s="9">
        <f>SUM(F2:F119)</f>
        <v>1283163.7984730997</v>
      </c>
      <c r="G120" s="8"/>
      <c r="H120" s="9">
        <f>SUM(H2:H119)</f>
        <v>1168827.9448440762</v>
      </c>
      <c r="I120" s="8"/>
      <c r="J120" s="9">
        <f>SUM(J2:J119)</f>
        <v>861964.161251463</v>
      </c>
      <c r="K120" s="8"/>
      <c r="L120" s="9">
        <f>SUM(L2:L119)</f>
        <v>411473.5448938703</v>
      </c>
      <c r="M120" s="8"/>
      <c r="N120" s="9">
        <f>SUM(N2:N119)</f>
        <v>0</v>
      </c>
      <c r="O120" s="9">
        <f>SUM(O2:O119)</f>
        <v>3725429.4494625106</v>
      </c>
      <c r="P120" s="20">
        <f>SUM(F120,H120,J120,L120,N120)</f>
        <v>3725429.4494625088</v>
      </c>
    </row>
    <row r="121" spans="1:16" x14ac:dyDescent="0.25">
      <c r="A121" s="16" t="s">
        <v>11</v>
      </c>
      <c r="F121" s="33">
        <f>+'LB Wastage'!F100</f>
        <v>2.4E-2</v>
      </c>
      <c r="H121" s="33">
        <f>+'TH Wastage'!F100</f>
        <v>2.057142857142857E-2</v>
      </c>
      <c r="J121" s="33">
        <f>+'Cop Wastage'!F100</f>
        <v>2.0454545454545454E-2</v>
      </c>
      <c r="L121" s="33">
        <f>+'Moc Wastage'!F100</f>
        <v>1.4358974358974359E-2</v>
      </c>
      <c r="N121" s="33">
        <f>+'Kal Wastage'!F100</f>
        <v>0</v>
      </c>
    </row>
    <row r="122" spans="1:16" x14ac:dyDescent="0.25">
      <c r="A122" s="15" t="s">
        <v>12</v>
      </c>
      <c r="F122" s="9">
        <f>+F120*F121</f>
        <v>30795.931163354395</v>
      </c>
      <c r="H122" s="9">
        <f>+H120*H121</f>
        <v>24044.460579649567</v>
      </c>
      <c r="J122" s="9">
        <f>+J120*J121</f>
        <v>17631.085116507198</v>
      </c>
      <c r="L122" s="9">
        <f>+L120*L121</f>
        <v>5908.3380805273682</v>
      </c>
      <c r="N122" s="9">
        <f>+N120*N121</f>
        <v>0</v>
      </c>
      <c r="O122" s="9">
        <f>F122+H122+J122+L122+N122</f>
        <v>78379.814940038515</v>
      </c>
    </row>
    <row r="123" spans="1:16" x14ac:dyDescent="0.25">
      <c r="A123" s="16" t="s">
        <v>13</v>
      </c>
      <c r="F123" s="9">
        <f>F120+F122</f>
        <v>1313959.729636454</v>
      </c>
      <c r="H123" s="9">
        <f>H120+H122</f>
        <v>1192872.4054237257</v>
      </c>
      <c r="J123" s="9">
        <f>J120+J122</f>
        <v>879595.24636797025</v>
      </c>
      <c r="L123" s="9">
        <f>L120+L122</f>
        <v>417381.88297439768</v>
      </c>
      <c r="N123" s="9">
        <f>N120+N122</f>
        <v>0</v>
      </c>
      <c r="O123" s="9">
        <f>O120+O122</f>
        <v>3803809.2644025492</v>
      </c>
      <c r="P123" s="20">
        <f>SUM(F123:L123)</f>
        <v>3803809.2644025483</v>
      </c>
    </row>
    <row r="124" spans="1:16" x14ac:dyDescent="0.25">
      <c r="A124" s="17"/>
      <c r="N124" s="9"/>
    </row>
    <row r="125" spans="1:16" x14ac:dyDescent="0.25">
      <c r="A125" s="17" t="s">
        <v>14</v>
      </c>
      <c r="F125" s="10">
        <f>F123/TAC!B4</f>
        <v>0.68845375183811242</v>
      </c>
      <c r="H125" s="10">
        <f>H123/TAC!B5</f>
        <v>0.58271583581077135</v>
      </c>
      <c r="J125" s="10">
        <f>+J123/TAC!B6</f>
        <v>0.78418931782862056</v>
      </c>
      <c r="L125" s="10">
        <f>L123/TAC!B7</f>
        <v>0.33027648258928377</v>
      </c>
      <c r="N125" s="10">
        <f>N123/TAC!D8</f>
        <v>0</v>
      </c>
      <c r="O125" s="10">
        <f>O123/TAC!B9</f>
        <v>0.59749688205222629</v>
      </c>
    </row>
    <row r="126" spans="1:16" x14ac:dyDescent="0.25">
      <c r="A126" s="17" t="s">
        <v>15</v>
      </c>
      <c r="F126" s="9">
        <f>+TAC!B4-Harvest!F123</f>
        <v>594606.71528202342</v>
      </c>
      <c r="H126" s="9">
        <f>TAC!B5-Harvest!H123</f>
        <v>854218.70162333595</v>
      </c>
      <c r="J126" s="9">
        <f>+TAC!B6-Harvest!J123</f>
        <v>242066.61049527256</v>
      </c>
      <c r="L126" s="9">
        <f>TAC!B7-L123</f>
        <v>846352.91189270793</v>
      </c>
      <c r="N126" s="9">
        <f>TAC!B8-N123</f>
        <v>25186.99130011299</v>
      </c>
      <c r="O126" s="9">
        <f>TAC!B9-Harvest!O123</f>
        <v>2562431.930593451</v>
      </c>
    </row>
    <row r="127" spans="1:16" x14ac:dyDescent="0.25">
      <c r="A127" s="17"/>
    </row>
    <row r="128" spans="1:16" x14ac:dyDescent="0.25">
      <c r="A128" s="15" t="s">
        <v>16</v>
      </c>
    </row>
    <row r="129" spans="1:5" x14ac:dyDescent="0.25">
      <c r="A129" s="17" t="s">
        <v>17</v>
      </c>
    </row>
    <row r="130" spans="1:5" x14ac:dyDescent="0.25">
      <c r="E130"/>
    </row>
    <row r="131" spans="1:5" x14ac:dyDescent="0.25">
      <c r="E131"/>
    </row>
    <row r="132" spans="1:5" x14ac:dyDescent="0.25">
      <c r="E132"/>
    </row>
    <row r="133" spans="1:5" x14ac:dyDescent="0.25">
      <c r="E133"/>
    </row>
    <row r="134" spans="1:5" x14ac:dyDescent="0.25">
      <c r="E134"/>
    </row>
    <row r="135" spans="1:5" x14ac:dyDescent="0.25">
      <c r="E135"/>
    </row>
    <row r="136" spans="1:5" x14ac:dyDescent="0.25">
      <c r="E136"/>
    </row>
    <row r="137" spans="1:5" x14ac:dyDescent="0.25">
      <c r="E137"/>
    </row>
    <row r="138" spans="1:5" x14ac:dyDescent="0.25">
      <c r="E138"/>
    </row>
    <row r="139" spans="1:5" x14ac:dyDescent="0.25">
      <c r="E139"/>
    </row>
    <row r="140" spans="1:5" x14ac:dyDescent="0.25">
      <c r="E140"/>
    </row>
    <row r="141" spans="1:5" x14ac:dyDescent="0.25">
      <c r="E141"/>
    </row>
    <row r="142" spans="1:5" x14ac:dyDescent="0.25">
      <c r="E142"/>
    </row>
    <row r="143" spans="1:5" x14ac:dyDescent="0.25">
      <c r="E143"/>
    </row>
    <row r="144" spans="1:5" x14ac:dyDescent="0.25">
      <c r="E144"/>
    </row>
    <row r="145" spans="2:11" x14ac:dyDescent="0.25">
      <c r="E145"/>
    </row>
    <row r="146" spans="2:11" x14ac:dyDescent="0.25">
      <c r="E146"/>
    </row>
    <row r="147" spans="2:11" x14ac:dyDescent="0.25">
      <c r="E147"/>
    </row>
    <row r="148" spans="2:11" x14ac:dyDescent="0.25">
      <c r="E148"/>
    </row>
    <row r="149" spans="2:11" x14ac:dyDescent="0.25">
      <c r="E149"/>
    </row>
    <row r="150" spans="2:11" x14ac:dyDescent="0.25">
      <c r="B150" s="7"/>
      <c r="C150" s="4"/>
      <c r="K150" s="6"/>
    </row>
    <row r="151" spans="2:11" x14ac:dyDescent="0.25">
      <c r="B151" s="7"/>
      <c r="C151" s="4"/>
    </row>
  </sheetData>
  <mergeCells count="5">
    <mergeCell ref="E1:F1"/>
    <mergeCell ref="G1:H1"/>
    <mergeCell ref="I1:J1"/>
    <mergeCell ref="K1:L1"/>
    <mergeCell ref="M1:N1"/>
  </mergeCells>
  <phoneticPr fontId="17" type="noConversion"/>
  <pageMargins left="0.28999999999999998" right="0.36" top="0.66" bottom="0.5" header="0.2" footer="0.25"/>
  <pageSetup paperSize="3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50"/>
  <sheetViews>
    <sheetView tabSelected="1" zoomScale="190" zoomScaleNormal="190" workbookViewId="0">
      <selection activeCell="F13" sqref="F13"/>
    </sheetView>
  </sheetViews>
  <sheetFormatPr defaultRowHeight="15" x14ac:dyDescent="0.25"/>
  <cols>
    <col min="1" max="1" width="21.140625" customWidth="1"/>
    <col min="4" max="4" width="9.140625" customWidth="1"/>
    <col min="5" max="5" width="3.85546875" customWidth="1"/>
    <col min="6" max="6" width="14.42578125" style="9" customWidth="1"/>
    <col min="7" max="7" width="3.5703125" customWidth="1"/>
    <col min="8" max="8" width="15.28515625" style="9" customWidth="1"/>
    <col min="9" max="9" width="3.85546875" style="8" customWidth="1"/>
    <col min="10" max="10" width="16.28515625" style="9" customWidth="1"/>
    <col min="11" max="11" width="3" style="8" customWidth="1"/>
    <col min="12" max="12" width="15.42578125" style="9" customWidth="1"/>
    <col min="13" max="13" width="3" customWidth="1"/>
    <col min="14" max="14" width="16.42578125" customWidth="1"/>
    <col min="15" max="15" width="13.42578125" style="9" customWidth="1"/>
  </cols>
  <sheetData>
    <row r="1" spans="1:15" x14ac:dyDescent="0.25">
      <c r="A1" s="14" t="s">
        <v>0</v>
      </c>
      <c r="B1" s="1" t="s">
        <v>1</v>
      </c>
      <c r="C1" s="1" t="s">
        <v>2</v>
      </c>
      <c r="D1" s="12" t="s">
        <v>3</v>
      </c>
      <c r="E1" s="112" t="s">
        <v>4</v>
      </c>
      <c r="F1" s="112"/>
      <c r="G1" s="112" t="s">
        <v>5</v>
      </c>
      <c r="H1" s="112"/>
      <c r="I1" s="112" t="s">
        <v>6</v>
      </c>
      <c r="J1" s="112"/>
      <c r="K1" s="112" t="s">
        <v>7</v>
      </c>
      <c r="L1" s="112"/>
      <c r="M1" s="112" t="s">
        <v>8</v>
      </c>
      <c r="N1" s="112"/>
      <c r="O1" s="73" t="s">
        <v>9</v>
      </c>
    </row>
    <row r="2" spans="1:15" x14ac:dyDescent="0.25">
      <c r="A2" s="77">
        <v>45936</v>
      </c>
      <c r="B2" s="8" t="s">
        <v>21</v>
      </c>
      <c r="C2" s="8">
        <v>-0.21</v>
      </c>
      <c r="D2" s="13">
        <v>0.77430555555555558</v>
      </c>
      <c r="E2" s="76" t="s">
        <v>62</v>
      </c>
      <c r="F2" s="9">
        <f>F6/H6*H2</f>
        <v>1683.2536010347678</v>
      </c>
      <c r="G2" s="9"/>
      <c r="H2" s="9">
        <v>1801.0382650035299</v>
      </c>
      <c r="I2" s="9"/>
      <c r="J2" s="9" t="s">
        <v>10</v>
      </c>
      <c r="K2" s="9"/>
      <c r="L2" s="9">
        <v>1507.9974592199001</v>
      </c>
      <c r="M2" s="9"/>
      <c r="N2" s="9" t="s">
        <v>10</v>
      </c>
      <c r="O2" s="80">
        <f t="shared" ref="O2:O14" si="0">SUM(F2:N2)</f>
        <v>4992.289325258198</v>
      </c>
    </row>
    <row r="3" spans="1:15" x14ac:dyDescent="0.25">
      <c r="A3" s="77">
        <v>45937</v>
      </c>
      <c r="B3" s="8" t="s">
        <v>60</v>
      </c>
      <c r="C3" s="8">
        <v>-0.95</v>
      </c>
      <c r="D3" s="13">
        <v>0.8041666666666667</v>
      </c>
      <c r="E3" s="76"/>
      <c r="F3" s="9">
        <f>778.316986673906+1071.4285639429</f>
        <v>1849.7455506168058</v>
      </c>
      <c r="G3" s="9" t="s">
        <v>62</v>
      </c>
      <c r="H3" s="9">
        <f>H2/L2*L3</f>
        <v>1556.9262350710778</v>
      </c>
      <c r="I3" s="9"/>
      <c r="J3" s="9" t="s">
        <v>10</v>
      </c>
      <c r="K3" s="9"/>
      <c r="L3" s="9">
        <v>1303.6040667772199</v>
      </c>
      <c r="M3" s="9"/>
      <c r="N3" s="9" t="s">
        <v>10</v>
      </c>
      <c r="O3" s="80">
        <f t="shared" si="0"/>
        <v>4710.2758524651035</v>
      </c>
    </row>
    <row r="4" spans="1:15" x14ac:dyDescent="0.25">
      <c r="A4" s="77">
        <v>45938</v>
      </c>
      <c r="B4" s="8" t="s">
        <v>61</v>
      </c>
      <c r="C4" s="8">
        <v>-1.41</v>
      </c>
      <c r="D4" s="13">
        <v>0.83472222222222225</v>
      </c>
      <c r="E4" s="76"/>
      <c r="F4" s="9">
        <f>(778.316986673906/1071.4285639429*550.860285622338)+550.860285622338</f>
        <v>951.02127816309167</v>
      </c>
      <c r="G4" s="9" t="s">
        <v>62</v>
      </c>
      <c r="H4" s="9">
        <f>H6/F6*F4</f>
        <v>1017.5684232912657</v>
      </c>
      <c r="I4" s="9"/>
      <c r="J4" s="9">
        <v>1621.46651515131</v>
      </c>
      <c r="K4" s="9"/>
      <c r="L4" s="9" t="s">
        <v>10</v>
      </c>
      <c r="M4" s="9"/>
      <c r="N4" s="9" t="s">
        <v>10</v>
      </c>
      <c r="O4" s="80">
        <f t="shared" si="0"/>
        <v>3590.0562166056675</v>
      </c>
    </row>
    <row r="5" spans="1:15" x14ac:dyDescent="0.25">
      <c r="A5" s="77">
        <v>45939</v>
      </c>
      <c r="B5" s="8" t="s">
        <v>22</v>
      </c>
      <c r="C5" s="8">
        <v>-1.51</v>
      </c>
      <c r="D5" s="13">
        <v>0.86736111111111114</v>
      </c>
      <c r="E5" s="76" t="s">
        <v>62</v>
      </c>
      <c r="F5" s="9">
        <f>F6/H6*H5</f>
        <v>723.39232756636329</v>
      </c>
      <c r="G5" s="9"/>
      <c r="H5" s="9">
        <v>774.01127302271402</v>
      </c>
      <c r="I5" s="9"/>
      <c r="J5" s="9">
        <v>800.95522649544898</v>
      </c>
      <c r="K5" s="9"/>
      <c r="L5" s="9" t="s">
        <v>10</v>
      </c>
      <c r="M5" s="9"/>
      <c r="N5" s="9" t="s">
        <v>10</v>
      </c>
      <c r="O5" s="80">
        <f t="shared" si="0"/>
        <v>2298.3588270845262</v>
      </c>
    </row>
    <row r="6" spans="1:15" x14ac:dyDescent="0.25">
      <c r="A6" s="77">
        <v>45940</v>
      </c>
      <c r="B6" s="8" t="s">
        <v>18</v>
      </c>
      <c r="C6" s="8">
        <v>-1.28</v>
      </c>
      <c r="D6" s="13">
        <v>0.90277777777777779</v>
      </c>
      <c r="E6" s="76"/>
      <c r="F6" s="9">
        <f>(778.316986673906/1071.4285639429*476.146862435801)+476.146862435801</f>
        <v>822.03384329196717</v>
      </c>
      <c r="G6" s="9"/>
      <c r="H6" s="9">
        <v>879.55516981315998</v>
      </c>
      <c r="I6" s="9"/>
      <c r="J6" s="9" t="s">
        <v>10</v>
      </c>
      <c r="K6" s="9"/>
      <c r="L6" s="9">
        <v>1246.5479847204101</v>
      </c>
      <c r="M6" s="9"/>
      <c r="N6" s="9" t="s">
        <v>10</v>
      </c>
      <c r="O6" s="80">
        <f t="shared" ref="O6:O8" si="1">SUM(F6:N6)</f>
        <v>2948.136997825537</v>
      </c>
    </row>
    <row r="7" spans="1:15" x14ac:dyDescent="0.25">
      <c r="A7" s="77">
        <v>45941</v>
      </c>
      <c r="B7" s="8" t="s">
        <v>19</v>
      </c>
      <c r="C7" s="8">
        <v>-0.81</v>
      </c>
      <c r="D7" s="13">
        <v>0.94236111111111109</v>
      </c>
      <c r="E7" s="76" t="s">
        <v>62</v>
      </c>
      <c r="F7" s="9">
        <f>F6/H6*H7</f>
        <v>850.46077719302514</v>
      </c>
      <c r="G7" s="9"/>
      <c r="H7" s="9">
        <v>909.97126141163199</v>
      </c>
      <c r="I7" s="9"/>
      <c r="J7" s="9" t="s">
        <v>10</v>
      </c>
      <c r="K7" s="9"/>
      <c r="L7" s="9">
        <v>717.81200176294897</v>
      </c>
      <c r="M7" s="9"/>
      <c r="N7" s="9" t="s">
        <v>10</v>
      </c>
      <c r="O7" s="80">
        <f t="shared" si="1"/>
        <v>2478.244040367606</v>
      </c>
    </row>
    <row r="8" spans="1:15" x14ac:dyDescent="0.25">
      <c r="A8" s="77">
        <v>45942</v>
      </c>
      <c r="B8" s="8" t="s">
        <v>20</v>
      </c>
      <c r="C8" s="8">
        <v>-0.23</v>
      </c>
      <c r="D8" s="13">
        <v>0.9868055555555556</v>
      </c>
      <c r="E8" s="76" t="s">
        <v>62</v>
      </c>
      <c r="F8" s="9">
        <f>F4/J4*J8</f>
        <v>82.964963221671425</v>
      </c>
      <c r="G8" s="9" t="s">
        <v>62</v>
      </c>
      <c r="H8" s="9">
        <f>H5/J5*J8</f>
        <v>136.6946514283228</v>
      </c>
      <c r="I8" s="9"/>
      <c r="J8" s="9">
        <v>141.45310192694799</v>
      </c>
      <c r="K8" s="9"/>
      <c r="L8" s="9" t="s">
        <v>10</v>
      </c>
      <c r="M8" s="9"/>
      <c r="N8" s="9" t="s">
        <v>10</v>
      </c>
      <c r="O8" s="80">
        <f t="shared" si="1"/>
        <v>361.11271657694226</v>
      </c>
    </row>
    <row r="9" spans="1:15" x14ac:dyDescent="0.25">
      <c r="A9" s="77"/>
      <c r="B9" s="8"/>
      <c r="C9" s="8"/>
      <c r="D9" s="13"/>
      <c r="E9" s="76"/>
      <c r="G9" s="9"/>
      <c r="I9" s="9"/>
      <c r="K9" s="9"/>
      <c r="M9" s="9"/>
      <c r="N9" s="9"/>
      <c r="O9" s="80"/>
    </row>
    <row r="10" spans="1:15" x14ac:dyDescent="0.25">
      <c r="A10" s="77">
        <v>45950</v>
      </c>
      <c r="B10" s="8" t="s">
        <v>21</v>
      </c>
      <c r="C10" s="8">
        <v>0.19</v>
      </c>
      <c r="D10" s="13">
        <v>0.77777777777777779</v>
      </c>
      <c r="E10" s="76"/>
      <c r="F10" s="9">
        <f>F14/H14*H10</f>
        <v>1087.9317558245239</v>
      </c>
      <c r="G10" s="9"/>
      <c r="H10" s="9">
        <v>950.30765724230605</v>
      </c>
      <c r="I10" s="9"/>
      <c r="J10" s="9">
        <v>858.62272485301901</v>
      </c>
      <c r="K10" s="9"/>
      <c r="L10" s="9" t="s">
        <v>10</v>
      </c>
      <c r="M10" s="9"/>
      <c r="N10" s="9" t="s">
        <v>10</v>
      </c>
      <c r="O10" s="80">
        <f t="shared" si="0"/>
        <v>2896.8621379198489</v>
      </c>
    </row>
    <row r="11" spans="1:15" x14ac:dyDescent="0.25">
      <c r="A11" s="77">
        <v>45951</v>
      </c>
      <c r="B11" s="8" t="s">
        <v>60</v>
      </c>
      <c r="C11" s="8">
        <v>-0.12</v>
      </c>
      <c r="D11" s="13">
        <v>0.80069444444444449</v>
      </c>
      <c r="E11" s="76" t="s">
        <v>62</v>
      </c>
      <c r="F11" s="9">
        <f>F10/J10*J11</f>
        <v>951.09747591591622</v>
      </c>
      <c r="G11" s="9" t="s">
        <v>62</v>
      </c>
      <c r="H11" s="9">
        <f>H10/J10*J11</f>
        <v>830.78300574260243</v>
      </c>
      <c r="I11" s="9"/>
      <c r="J11" s="9">
        <v>750.629717351012</v>
      </c>
      <c r="K11" s="9"/>
      <c r="L11" s="9" t="s">
        <v>10</v>
      </c>
      <c r="M11" s="9"/>
      <c r="N11" s="9" t="s">
        <v>10</v>
      </c>
      <c r="O11" s="80">
        <f t="shared" si="0"/>
        <v>2532.5101990095309</v>
      </c>
    </row>
    <row r="12" spans="1:15" x14ac:dyDescent="0.25">
      <c r="A12" s="77">
        <v>45952</v>
      </c>
      <c r="B12" s="8" t="s">
        <v>61</v>
      </c>
      <c r="C12" s="8">
        <v>-0.28000000000000003</v>
      </c>
      <c r="D12" s="13">
        <v>0.82291666666666663</v>
      </c>
      <c r="E12" s="76"/>
      <c r="F12" s="9">
        <f>(778.316986673906/1071.4285639429*193.988115946347)+193.988115946347</f>
        <v>334.9067463945413</v>
      </c>
      <c r="G12" s="9"/>
      <c r="H12" s="9">
        <v>292.54081780123499</v>
      </c>
      <c r="I12" s="9"/>
      <c r="J12" s="9" t="s">
        <v>10</v>
      </c>
      <c r="K12" s="9"/>
      <c r="L12" s="9">
        <v>319.96953618491898</v>
      </c>
      <c r="M12" s="9"/>
      <c r="N12" s="9" t="s">
        <v>10</v>
      </c>
      <c r="O12" s="80">
        <f t="shared" si="0"/>
        <v>947.41710038069527</v>
      </c>
    </row>
    <row r="13" spans="1:15" x14ac:dyDescent="0.25">
      <c r="A13" s="77">
        <v>45953</v>
      </c>
      <c r="B13" s="8" t="s">
        <v>22</v>
      </c>
      <c r="C13" s="8">
        <v>-0.27</v>
      </c>
      <c r="D13" s="13">
        <v>0.84583333333333333</v>
      </c>
      <c r="E13" s="76" t="s">
        <v>62</v>
      </c>
      <c r="F13" s="9">
        <f>F12/L12*L13</f>
        <v>90.202863553311872</v>
      </c>
      <c r="G13" s="9" t="s">
        <v>62</v>
      </c>
      <c r="H13" s="9">
        <f>H12/L12*L13</f>
        <v>78.792140665964126</v>
      </c>
      <c r="I13" s="9"/>
      <c r="J13" s="9" t="s">
        <v>10</v>
      </c>
      <c r="K13" s="9"/>
      <c r="L13" s="9">
        <v>86.179716367084694</v>
      </c>
      <c r="M13" s="9"/>
      <c r="N13" s="9" t="s">
        <v>10</v>
      </c>
      <c r="O13" s="80">
        <f t="shared" si="0"/>
        <v>255.17472058636068</v>
      </c>
    </row>
    <row r="14" spans="1:15" x14ac:dyDescent="0.25">
      <c r="A14" s="77">
        <v>45954</v>
      </c>
      <c r="B14" s="8" t="s">
        <v>18</v>
      </c>
      <c r="C14" s="8">
        <v>-0.12</v>
      </c>
      <c r="D14" s="13">
        <v>0.87013888888888891</v>
      </c>
      <c r="E14" s="76"/>
      <c r="F14" s="9">
        <f>(778.316986673906/1071.4285639429*84.4691861500275)+84.4691861500275</f>
        <v>145.83006884774727</v>
      </c>
      <c r="G14" s="9" t="s">
        <v>62</v>
      </c>
      <c r="H14" s="9">
        <f>H12/F12*F14</f>
        <v>127.38246708972756</v>
      </c>
      <c r="I14" s="9"/>
      <c r="J14" s="9">
        <v>283.81866346080199</v>
      </c>
      <c r="K14" s="9"/>
      <c r="L14" s="9" t="s">
        <v>10</v>
      </c>
      <c r="M14" s="9"/>
      <c r="N14" s="9" t="s">
        <v>10</v>
      </c>
      <c r="O14" s="80">
        <f t="shared" si="0"/>
        <v>557.03119939827684</v>
      </c>
    </row>
    <row r="15" spans="1:15" x14ac:dyDescent="0.25">
      <c r="A15" s="77">
        <v>45955</v>
      </c>
      <c r="B15" s="8" t="s">
        <v>19</v>
      </c>
      <c r="C15" s="8">
        <v>0.14000000000000001</v>
      </c>
      <c r="D15" s="13">
        <v>0.89652777777777781</v>
      </c>
      <c r="E15" s="76" t="s">
        <v>62</v>
      </c>
      <c r="F15" s="9">
        <f>F12/H12*H15</f>
        <v>19.186936945345195</v>
      </c>
      <c r="G15" s="9"/>
      <c r="H15" s="9">
        <v>16.759776521430801</v>
      </c>
      <c r="I15" s="9"/>
      <c r="J15" s="9">
        <v>98.666182830420297</v>
      </c>
      <c r="K15" s="9"/>
      <c r="L15" s="9" t="s">
        <v>10</v>
      </c>
      <c r="M15" s="9"/>
      <c r="N15" s="9" t="s">
        <v>10</v>
      </c>
      <c r="O15" s="80">
        <f t="shared" ref="O15:O77" si="2">SUM(F15:N15)</f>
        <v>134.6128962971963</v>
      </c>
    </row>
    <row r="16" spans="1:15" x14ac:dyDescent="0.25">
      <c r="A16" s="77">
        <v>45956</v>
      </c>
      <c r="B16" s="8" t="s">
        <v>20</v>
      </c>
      <c r="C16" s="8">
        <v>0.47</v>
      </c>
      <c r="D16" s="13">
        <v>0.92708333333333337</v>
      </c>
      <c r="E16" s="76" t="s">
        <v>62</v>
      </c>
      <c r="F16" s="9">
        <f>F12/L12*L16</f>
        <v>46.514825888130709</v>
      </c>
      <c r="G16" s="9" t="s">
        <v>62</v>
      </c>
      <c r="H16" s="9">
        <f>H12/L12*L16</f>
        <v>40.630669139060394</v>
      </c>
      <c r="I16" s="9"/>
      <c r="J16" s="9" t="s">
        <v>10</v>
      </c>
      <c r="K16" s="9"/>
      <c r="L16" s="9">
        <v>44.440213359016496</v>
      </c>
      <c r="M16" s="9"/>
      <c r="N16" s="9" t="s">
        <v>10</v>
      </c>
      <c r="O16" s="80">
        <f t="shared" si="2"/>
        <v>131.58570838620761</v>
      </c>
    </row>
    <row r="17" spans="1:15" x14ac:dyDescent="0.25">
      <c r="A17" s="77"/>
      <c r="B17" s="8"/>
      <c r="C17" s="8"/>
      <c r="D17" s="13"/>
      <c r="E17" s="76"/>
      <c r="G17" s="9"/>
      <c r="I17" s="9"/>
      <c r="K17" s="9"/>
      <c r="M17" s="9"/>
      <c r="N17" s="9"/>
      <c r="O17" s="80"/>
    </row>
    <row r="18" spans="1:15" x14ac:dyDescent="0.25">
      <c r="A18" s="77">
        <v>45964</v>
      </c>
      <c r="B18" s="8" t="s">
        <v>21</v>
      </c>
      <c r="C18" s="4">
        <v>-0.1</v>
      </c>
      <c r="D18" s="13">
        <v>0.6875</v>
      </c>
      <c r="E18" s="76"/>
      <c r="F18" s="9">
        <f>(190.476189145405/188.644687326699*441.458709771157)+441.458709771157</f>
        <v>887.2034264332965</v>
      </c>
      <c r="G18" s="9" t="s">
        <v>62</v>
      </c>
      <c r="H18" s="9">
        <f>H19/L19*L18</f>
        <v>645.1723603351777</v>
      </c>
      <c r="I18" s="9"/>
      <c r="J18" s="9" t="s">
        <v>10</v>
      </c>
      <c r="K18" s="9"/>
      <c r="L18" s="9">
        <v>636.84455408952704</v>
      </c>
      <c r="M18" s="9"/>
      <c r="N18" s="9" t="s">
        <v>10</v>
      </c>
      <c r="O18" s="80">
        <f t="shared" si="2"/>
        <v>2169.2203408580012</v>
      </c>
    </row>
    <row r="19" spans="1:15" x14ac:dyDescent="0.25">
      <c r="A19" s="77">
        <v>45965</v>
      </c>
      <c r="B19" s="8" t="s">
        <v>60</v>
      </c>
      <c r="C19" s="4">
        <v>-1.1000000000000001</v>
      </c>
      <c r="D19" s="13">
        <v>0.71875</v>
      </c>
      <c r="E19" s="76" t="s">
        <v>62</v>
      </c>
      <c r="F19" s="9">
        <f>F22/L22*L19</f>
        <v>556.33583994424794</v>
      </c>
      <c r="G19" s="9"/>
      <c r="H19" s="9">
        <v>903.95477141338904</v>
      </c>
      <c r="I19" s="9"/>
      <c r="J19" s="9" t="s">
        <v>10</v>
      </c>
      <c r="K19" s="9"/>
      <c r="L19" s="9">
        <v>892.28663332506301</v>
      </c>
      <c r="M19" s="9"/>
      <c r="N19" s="9" t="s">
        <v>10</v>
      </c>
      <c r="O19" s="80">
        <f t="shared" si="2"/>
        <v>2352.5772446827</v>
      </c>
    </row>
    <row r="20" spans="1:15" x14ac:dyDescent="0.25">
      <c r="A20" s="77">
        <v>45966</v>
      </c>
      <c r="B20" s="8" t="s">
        <v>61</v>
      </c>
      <c r="C20" s="4">
        <v>-1.7</v>
      </c>
      <c r="D20" s="13">
        <v>0.75069444444444444</v>
      </c>
      <c r="E20" s="76"/>
      <c r="F20" s="9">
        <f>190.476189145405+188.644687326699</f>
        <v>379.12087647210399</v>
      </c>
      <c r="G20" s="9" t="s">
        <v>62</v>
      </c>
      <c r="H20" s="9">
        <f>H21/J21*J20</f>
        <v>234.7485608524016</v>
      </c>
      <c r="I20" s="9"/>
      <c r="J20" s="9">
        <v>522.09946401921002</v>
      </c>
      <c r="K20" s="9"/>
      <c r="L20" s="9" t="s">
        <v>10</v>
      </c>
      <c r="M20" s="9"/>
      <c r="N20" s="9" t="s">
        <v>10</v>
      </c>
      <c r="O20" s="80">
        <f t="shared" si="2"/>
        <v>1135.9689013437155</v>
      </c>
    </row>
    <row r="21" spans="1:15" x14ac:dyDescent="0.25">
      <c r="A21" s="77">
        <v>45967</v>
      </c>
      <c r="B21" s="8" t="s">
        <v>22</v>
      </c>
      <c r="C21" s="4">
        <v>-2</v>
      </c>
      <c r="D21" s="13">
        <v>0.78194444444444444</v>
      </c>
      <c r="E21" s="76" t="s">
        <v>62</v>
      </c>
      <c r="F21" s="9">
        <f>F20/J20*J21</f>
        <v>403.8606867533527</v>
      </c>
      <c r="G21" s="9"/>
      <c r="H21" s="9">
        <v>250.06725000855499</v>
      </c>
      <c r="I21" s="9"/>
      <c r="J21" s="9">
        <v>556.16944668007602</v>
      </c>
      <c r="K21" s="9"/>
      <c r="L21" s="9" t="s">
        <v>10</v>
      </c>
      <c r="M21" s="9"/>
      <c r="N21" s="9" t="s">
        <v>10</v>
      </c>
      <c r="O21" s="80">
        <f t="shared" si="2"/>
        <v>1210.0973834419838</v>
      </c>
    </row>
    <row r="22" spans="1:15" x14ac:dyDescent="0.25">
      <c r="A22" s="77">
        <v>45968</v>
      </c>
      <c r="B22" s="8" t="s">
        <v>18</v>
      </c>
      <c r="C22" s="4">
        <v>-1.9</v>
      </c>
      <c r="D22" s="13">
        <v>0.81527777777777777</v>
      </c>
      <c r="E22" s="76"/>
      <c r="F22" s="9">
        <f>(190.476189145405/188.644687326699*580.80805369401)+580.80805369401</f>
        <v>1167.2550205306809</v>
      </c>
      <c r="G22" s="9" t="s">
        <v>62</v>
      </c>
      <c r="H22" s="9">
        <f>H18/L18*L22</f>
        <v>1896.5985462498368</v>
      </c>
      <c r="I22" s="9"/>
      <c r="J22" s="9" t="s">
        <v>10</v>
      </c>
      <c r="K22" s="9"/>
      <c r="L22" s="9">
        <v>1872.1174832192601</v>
      </c>
      <c r="M22" s="9"/>
      <c r="N22" s="9" t="s">
        <v>10</v>
      </c>
      <c r="O22" s="80">
        <f t="shared" si="2"/>
        <v>4935.9710499997782</v>
      </c>
    </row>
    <row r="23" spans="1:15" x14ac:dyDescent="0.25">
      <c r="A23" s="77">
        <v>45969</v>
      </c>
      <c r="B23" s="8" t="s">
        <v>19</v>
      </c>
      <c r="C23" s="4">
        <v>-1.5</v>
      </c>
      <c r="D23" s="13">
        <v>0.85069444444444442</v>
      </c>
      <c r="E23" s="76" t="s">
        <v>62</v>
      </c>
      <c r="F23" s="9">
        <f>F22/L22*L23</f>
        <v>1104.9002303669347</v>
      </c>
      <c r="G23" s="9"/>
      <c r="H23" s="9">
        <v>2324.03582526521</v>
      </c>
      <c r="I23" s="9"/>
      <c r="J23" s="9" t="s">
        <v>10</v>
      </c>
      <c r="K23" s="9"/>
      <c r="L23" s="9">
        <v>1772.1089240143101</v>
      </c>
      <c r="M23" s="9"/>
      <c r="N23" s="9" t="s">
        <v>10</v>
      </c>
      <c r="O23" s="80">
        <f t="shared" si="2"/>
        <v>5201.0449796464545</v>
      </c>
    </row>
    <row r="24" spans="1:15" x14ac:dyDescent="0.25">
      <c r="A24" s="77">
        <v>45970</v>
      </c>
      <c r="B24" s="8" t="s">
        <v>20</v>
      </c>
      <c r="C24" s="4">
        <v>-0.9</v>
      </c>
      <c r="D24" s="13">
        <v>0.8881944444444444</v>
      </c>
      <c r="E24" s="76" t="s">
        <v>62</v>
      </c>
      <c r="F24" s="9">
        <f>F20/J20*J24</f>
        <v>392.30132098788073</v>
      </c>
      <c r="G24" s="9" t="s">
        <v>62</v>
      </c>
      <c r="H24" s="9">
        <f>H21/J21*J24</f>
        <v>242.90978481417724</v>
      </c>
      <c r="I24" s="9"/>
      <c r="J24" s="9">
        <v>540.25067500304601</v>
      </c>
      <c r="K24" s="9"/>
      <c r="L24" s="9" t="s">
        <v>10</v>
      </c>
      <c r="M24" s="9"/>
      <c r="N24" s="9" t="s">
        <v>10</v>
      </c>
      <c r="O24" s="80">
        <f t="shared" si="2"/>
        <v>1175.4617808051039</v>
      </c>
    </row>
    <row r="25" spans="1:15" x14ac:dyDescent="0.25">
      <c r="A25" s="77"/>
      <c r="B25" s="8"/>
      <c r="C25" s="4"/>
      <c r="D25" s="13"/>
      <c r="E25" s="76"/>
      <c r="G25" s="9"/>
      <c r="I25" s="9"/>
      <c r="K25" s="9"/>
      <c r="M25" s="9"/>
      <c r="N25" s="9"/>
      <c r="O25" s="80"/>
    </row>
    <row r="26" spans="1:15" x14ac:dyDescent="0.25">
      <c r="A26" s="77">
        <v>45979</v>
      </c>
      <c r="B26" s="8" t="s">
        <v>60</v>
      </c>
      <c r="C26" s="4">
        <v>-0.02</v>
      </c>
      <c r="D26" s="13">
        <v>0.72083333333333333</v>
      </c>
      <c r="E26" s="76" t="s">
        <v>62</v>
      </c>
      <c r="F26" s="9">
        <f>F29/J29*J26</f>
        <v>393.78812693180259</v>
      </c>
      <c r="G26" s="9" t="s">
        <v>62</v>
      </c>
      <c r="H26" s="9">
        <f>H29/J29*J26</f>
        <v>721.06623934694335</v>
      </c>
      <c r="I26" s="9"/>
      <c r="J26" s="9">
        <v>829.85819797143097</v>
      </c>
      <c r="K26" s="9"/>
      <c r="L26" s="9" t="s">
        <v>10</v>
      </c>
      <c r="M26" s="9"/>
      <c r="N26" s="9" t="s">
        <v>10</v>
      </c>
      <c r="O26" s="80">
        <f t="shared" si="2"/>
        <v>1944.7125642501769</v>
      </c>
    </row>
    <row r="27" spans="1:15" x14ac:dyDescent="0.25">
      <c r="A27" s="77">
        <v>45980</v>
      </c>
      <c r="B27" s="8" t="s">
        <v>61</v>
      </c>
      <c r="C27" s="4">
        <v>-0.3</v>
      </c>
      <c r="D27" s="13">
        <v>0.74444444444444446</v>
      </c>
      <c r="E27" s="76"/>
      <c r="F27" s="9">
        <f>(190.476189145405/188.644687326699*430.363510278513)+430.363510278513</f>
        <v>864.9053070645848</v>
      </c>
      <c r="G27" s="9"/>
      <c r="H27" s="9">
        <v>648.04469216198902</v>
      </c>
      <c r="I27" s="9"/>
      <c r="J27" s="9" t="s">
        <v>10</v>
      </c>
      <c r="K27" s="9"/>
      <c r="L27" s="9">
        <v>319.48882011639103</v>
      </c>
      <c r="M27" s="9"/>
      <c r="N27" s="9" t="s">
        <v>10</v>
      </c>
      <c r="O27" s="80">
        <f t="shared" si="2"/>
        <v>1832.4388193429647</v>
      </c>
    </row>
    <row r="28" spans="1:15" x14ac:dyDescent="0.25">
      <c r="A28" s="77">
        <v>45981</v>
      </c>
      <c r="B28" s="8" t="s">
        <v>22</v>
      </c>
      <c r="C28" s="4">
        <v>-0.43</v>
      </c>
      <c r="D28" s="13">
        <v>0.76736111111111116</v>
      </c>
      <c r="E28" s="76" t="s">
        <v>62</v>
      </c>
      <c r="F28" s="9">
        <f>F29/H29*H28</f>
        <v>206.76544605159052</v>
      </c>
      <c r="G28" s="9"/>
      <c r="H28" s="9">
        <v>378.60862838338898</v>
      </c>
      <c r="I28" s="9"/>
      <c r="J28" s="9" t="s">
        <v>10</v>
      </c>
      <c r="K28" s="9"/>
      <c r="L28" s="9">
        <v>203.64964318787401</v>
      </c>
      <c r="M28" s="9"/>
      <c r="N28" s="9" t="s">
        <v>10</v>
      </c>
      <c r="O28" s="80">
        <f t="shared" si="2"/>
        <v>789.02371762285361</v>
      </c>
    </row>
    <row r="29" spans="1:15" x14ac:dyDescent="0.25">
      <c r="A29" s="77">
        <v>45982</v>
      </c>
      <c r="B29" s="8" t="s">
        <v>18</v>
      </c>
      <c r="C29" s="4">
        <v>-0.41</v>
      </c>
      <c r="D29" s="13">
        <v>0.79097222222222219</v>
      </c>
      <c r="E29" s="76"/>
      <c r="F29" s="9">
        <f>(190.476189145405/188.644687326699*137.772340604537)+137.772340604537</f>
        <v>276.88227674892397</v>
      </c>
      <c r="G29" s="9"/>
      <c r="H29" s="9">
        <v>506.99969954082002</v>
      </c>
      <c r="I29" s="9"/>
      <c r="J29" s="9">
        <v>583.49404544866297</v>
      </c>
      <c r="K29" s="9"/>
      <c r="L29" s="9" t="s">
        <v>10</v>
      </c>
      <c r="M29" s="9"/>
      <c r="N29" s="9" t="s">
        <v>10</v>
      </c>
      <c r="O29" s="80">
        <f t="shared" si="2"/>
        <v>1367.376021738407</v>
      </c>
    </row>
    <row r="30" spans="1:15" x14ac:dyDescent="0.25">
      <c r="A30" s="77">
        <v>45983</v>
      </c>
      <c r="B30" s="8" t="s">
        <v>19</v>
      </c>
      <c r="C30" s="4">
        <v>-0.28999999999999998</v>
      </c>
      <c r="D30" s="13">
        <v>0.81527777777777777</v>
      </c>
      <c r="E30" s="76" t="s">
        <v>62</v>
      </c>
      <c r="F30" s="9">
        <f>F29/J29*J30</f>
        <v>581.23177559063333</v>
      </c>
      <c r="G30" s="9" t="s">
        <v>62</v>
      </c>
      <c r="H30" s="9">
        <f>H29/J29*J30</f>
        <v>1064.2946852652735</v>
      </c>
      <c r="I30" s="9"/>
      <c r="J30" s="9">
        <v>1224.87175439627</v>
      </c>
      <c r="K30" s="9"/>
      <c r="L30" s="9" t="s">
        <v>10</v>
      </c>
      <c r="M30" s="9"/>
      <c r="N30" s="9" t="s">
        <v>10</v>
      </c>
      <c r="O30" s="80">
        <f t="shared" si="2"/>
        <v>2870.3982152521767</v>
      </c>
    </row>
    <row r="31" spans="1:15" x14ac:dyDescent="0.25">
      <c r="A31" s="77">
        <v>45984</v>
      </c>
      <c r="B31" s="8" t="s">
        <v>20</v>
      </c>
      <c r="C31" s="4">
        <v>-0.09</v>
      </c>
      <c r="D31" s="13">
        <v>0.84166666666666667</v>
      </c>
      <c r="E31" s="76" t="s">
        <v>62</v>
      </c>
      <c r="F31" s="9">
        <f>F27/L27*L31</f>
        <v>576.0111706056349</v>
      </c>
      <c r="G31" s="9" t="s">
        <v>62</v>
      </c>
      <c r="H31" s="9">
        <f>H28/L28*L31</f>
        <v>395.57138055110363</v>
      </c>
      <c r="I31" s="9"/>
      <c r="J31" s="9" t="s">
        <v>10</v>
      </c>
      <c r="K31" s="9"/>
      <c r="L31" s="9">
        <v>212.77373114432001</v>
      </c>
      <c r="M31" s="9"/>
      <c r="N31" s="9" t="s">
        <v>10</v>
      </c>
      <c r="O31" s="80">
        <f t="shared" si="2"/>
        <v>1184.3562823010586</v>
      </c>
    </row>
    <row r="32" spans="1:15" x14ac:dyDescent="0.25">
      <c r="A32" s="77"/>
      <c r="B32" s="8"/>
      <c r="C32" s="4"/>
      <c r="D32" s="13"/>
      <c r="E32" s="76"/>
      <c r="G32" s="9"/>
      <c r="I32" s="9"/>
      <c r="K32" s="9"/>
      <c r="M32" s="9"/>
      <c r="N32" s="9"/>
      <c r="O32" s="80"/>
    </row>
    <row r="33" spans="1:15" x14ac:dyDescent="0.25">
      <c r="A33" s="77">
        <v>45993</v>
      </c>
      <c r="B33" s="8" t="s">
        <v>60</v>
      </c>
      <c r="C33" s="4">
        <v>-0.59</v>
      </c>
      <c r="D33" s="13">
        <v>0.6743055555555556</v>
      </c>
      <c r="E33" s="76" t="s">
        <v>62</v>
      </c>
      <c r="F33" s="9">
        <f>F36/J36*J33</f>
        <v>955.58028869301256</v>
      </c>
      <c r="G33" s="9" t="s">
        <v>62</v>
      </c>
      <c r="H33" s="9">
        <f>H36/J36*J33</f>
        <v>892.36414177356482</v>
      </c>
      <c r="I33" s="9"/>
      <c r="J33" s="9">
        <v>1269.4787751788999</v>
      </c>
      <c r="K33" s="9"/>
      <c r="L33" s="9" t="s">
        <v>10</v>
      </c>
      <c r="M33" s="9"/>
      <c r="N33" s="9" t="s">
        <v>10</v>
      </c>
      <c r="O33" s="80">
        <f t="shared" si="2"/>
        <v>3117.4232056454775</v>
      </c>
    </row>
    <row r="34" spans="1:15" x14ac:dyDescent="0.25">
      <c r="A34" s="77">
        <v>45994</v>
      </c>
      <c r="B34" s="8" t="s">
        <v>61</v>
      </c>
      <c r="C34" s="4">
        <v>-1.4</v>
      </c>
      <c r="D34" s="13">
        <v>0.70763888888888893</v>
      </c>
      <c r="E34" s="76"/>
      <c r="F34" s="9">
        <f>608.928568836074+695.545762784605</f>
        <v>1304.4743316206791</v>
      </c>
      <c r="G34" s="9"/>
      <c r="H34" s="9">
        <v>1099.8525785335501</v>
      </c>
      <c r="I34" s="9"/>
      <c r="J34" s="9" t="s">
        <v>10</v>
      </c>
      <c r="K34" s="9"/>
      <c r="L34" s="9">
        <v>1233.8475667855</v>
      </c>
      <c r="M34" s="9"/>
      <c r="N34" s="9" t="s">
        <v>10</v>
      </c>
      <c r="O34" s="80">
        <f t="shared" si="2"/>
        <v>3638.1744769397292</v>
      </c>
    </row>
    <row r="35" spans="1:15" x14ac:dyDescent="0.25">
      <c r="A35" s="77">
        <v>45995</v>
      </c>
      <c r="B35" s="8" t="s">
        <v>22</v>
      </c>
      <c r="C35" s="4">
        <v>-1.9</v>
      </c>
      <c r="D35" s="13">
        <v>0.74097222222222225</v>
      </c>
      <c r="E35" s="76" t="s">
        <v>62</v>
      </c>
      <c r="F35" s="9">
        <f>F34/L34*L35</f>
        <v>542.92008946439137</v>
      </c>
      <c r="G35" s="9" t="s">
        <v>62</v>
      </c>
      <c r="H35" s="9">
        <f>H34/L34*L35</f>
        <v>457.75684952972557</v>
      </c>
      <c r="I35" s="9"/>
      <c r="J35" s="9" t="s">
        <v>10</v>
      </c>
      <c r="K35" s="9"/>
      <c r="L35" s="9">
        <v>513.52534511916804</v>
      </c>
      <c r="M35" s="9"/>
      <c r="N35" s="9" t="s">
        <v>10</v>
      </c>
      <c r="O35" s="80">
        <f t="shared" si="2"/>
        <v>1514.2022841132848</v>
      </c>
    </row>
    <row r="36" spans="1:15" x14ac:dyDescent="0.25">
      <c r="A36" s="77">
        <v>45996</v>
      </c>
      <c r="B36" s="8" t="s">
        <v>18</v>
      </c>
      <c r="C36" s="4">
        <v>-2.0499999999999998</v>
      </c>
      <c r="D36" s="13">
        <v>0.77361111111111114</v>
      </c>
      <c r="E36" s="76"/>
      <c r="F36" s="9">
        <f>(608.928568836074/695.545762784605*429.393999690455)+429.393999690455</f>
        <v>805.31502126567784</v>
      </c>
      <c r="G36" s="9"/>
      <c r="H36" s="9">
        <v>752.03963111463202</v>
      </c>
      <c r="I36" s="9"/>
      <c r="J36" s="9">
        <v>1069.8528830348801</v>
      </c>
      <c r="K36" s="9"/>
      <c r="L36" s="9" t="s">
        <v>10</v>
      </c>
      <c r="M36" s="9"/>
      <c r="N36" s="9" t="s">
        <v>10</v>
      </c>
      <c r="O36" s="80">
        <f t="shared" si="2"/>
        <v>2627.2075354151898</v>
      </c>
    </row>
    <row r="37" spans="1:15" x14ac:dyDescent="0.25">
      <c r="A37" s="77">
        <v>45997</v>
      </c>
      <c r="B37" s="8" t="s">
        <v>19</v>
      </c>
      <c r="C37" s="4">
        <v>-1.86</v>
      </c>
      <c r="D37" s="13">
        <v>0.80694444444444446</v>
      </c>
      <c r="E37" s="76" t="s">
        <v>62</v>
      </c>
      <c r="F37" s="9">
        <f>F36/J36*J37</f>
        <v>1127.0943437992657</v>
      </c>
      <c r="G37" s="9" t="s">
        <v>62</v>
      </c>
      <c r="H37" s="9">
        <f>H36/J36*J37</f>
        <v>1052.5317325014278</v>
      </c>
      <c r="I37" s="9"/>
      <c r="J37" s="9">
        <v>1497.3334674309301</v>
      </c>
      <c r="K37" s="9"/>
      <c r="L37" s="9" t="s">
        <v>10</v>
      </c>
      <c r="M37" s="9"/>
      <c r="N37" s="9" t="s">
        <v>10</v>
      </c>
      <c r="O37" s="80">
        <f t="shared" si="2"/>
        <v>3676.9595437316239</v>
      </c>
    </row>
    <row r="38" spans="1:15" x14ac:dyDescent="0.25">
      <c r="A38" s="77">
        <v>45998</v>
      </c>
      <c r="B38" s="8" t="s">
        <v>20</v>
      </c>
      <c r="C38" s="4">
        <v>-1.41</v>
      </c>
      <c r="D38" s="13">
        <v>0.84027777777777779</v>
      </c>
      <c r="E38" s="76" t="s">
        <v>62</v>
      </c>
      <c r="F38" s="9">
        <f>F34/L34*L38</f>
        <v>228.84007056982153</v>
      </c>
      <c r="G38" s="9" t="s">
        <v>62</v>
      </c>
      <c r="H38" s="9">
        <f>H34/L34*L38</f>
        <v>192.94388213474286</v>
      </c>
      <c r="I38" s="9"/>
      <c r="J38" s="9" t="s">
        <v>10</v>
      </c>
      <c r="K38" s="9"/>
      <c r="L38" s="9">
        <v>216.45022627988399</v>
      </c>
      <c r="M38" s="9"/>
      <c r="N38" s="9" t="s">
        <v>10</v>
      </c>
      <c r="O38" s="80">
        <f t="shared" si="2"/>
        <v>638.23417898444836</v>
      </c>
    </row>
    <row r="39" spans="1:15" x14ac:dyDescent="0.25">
      <c r="A39" s="77">
        <v>45999</v>
      </c>
      <c r="B39" s="8" t="s">
        <v>21</v>
      </c>
      <c r="C39" s="4">
        <v>-0.78</v>
      </c>
      <c r="D39" s="13">
        <v>0.87430555555555556</v>
      </c>
      <c r="E39" s="76" t="s">
        <v>62</v>
      </c>
      <c r="F39" s="9">
        <f>F34/L34*L39</f>
        <v>12.082755726086605</v>
      </c>
      <c r="G39" s="9" t="s">
        <v>62</v>
      </c>
      <c r="H39" s="9">
        <f>H34/L34*L39</f>
        <v>10.187436976714446</v>
      </c>
      <c r="I39" s="9"/>
      <c r="J39" s="9" t="s">
        <v>10</v>
      </c>
      <c r="K39" s="9"/>
      <c r="L39" s="9">
        <v>11.4285719475779</v>
      </c>
      <c r="M39" s="9"/>
      <c r="N39" s="9" t="s">
        <v>10</v>
      </c>
      <c r="O39" s="80">
        <f t="shared" si="2"/>
        <v>33.698764650378948</v>
      </c>
    </row>
    <row r="40" spans="1:15" x14ac:dyDescent="0.25">
      <c r="A40" s="77"/>
      <c r="B40" s="8"/>
      <c r="C40" s="4"/>
      <c r="D40" s="13"/>
      <c r="E40" s="76"/>
      <c r="G40" s="9"/>
      <c r="I40" s="9"/>
      <c r="K40" s="9"/>
      <c r="M40" s="9"/>
      <c r="N40" s="9"/>
      <c r="O40" s="80"/>
    </row>
    <row r="41" spans="1:15" x14ac:dyDescent="0.25">
      <c r="A41" s="77">
        <v>46009</v>
      </c>
      <c r="B41" s="8" t="s">
        <v>22</v>
      </c>
      <c r="C41" s="4">
        <v>-0.2</v>
      </c>
      <c r="D41" s="13">
        <v>0.7319444444444444</v>
      </c>
      <c r="E41" s="76" t="s">
        <v>62</v>
      </c>
      <c r="F41" s="9">
        <f>F44/H44*H41</f>
        <v>132.38196929810678</v>
      </c>
      <c r="G41" s="9"/>
      <c r="H41" s="9">
        <v>126.177020176452</v>
      </c>
      <c r="I41" s="9"/>
      <c r="J41" s="9">
        <v>147.32965474968901</v>
      </c>
      <c r="K41" s="9"/>
      <c r="L41" s="9" t="s">
        <v>10</v>
      </c>
      <c r="M41" s="9"/>
      <c r="N41" s="9" t="s">
        <v>10</v>
      </c>
      <c r="O41" s="80">
        <f t="shared" si="2"/>
        <v>405.88864422424774</v>
      </c>
    </row>
    <row r="42" spans="1:15" x14ac:dyDescent="0.25">
      <c r="A42" s="77">
        <v>46010</v>
      </c>
      <c r="B42" s="8" t="s">
        <v>18</v>
      </c>
      <c r="C42" s="4">
        <v>-0.38</v>
      </c>
      <c r="D42" s="13">
        <v>0.75624999999999998</v>
      </c>
      <c r="E42" s="76"/>
      <c r="F42" s="9">
        <f>(608.928568836074/695.545762784605*132.437612931347)+132.437612931347</f>
        <v>248.38260234439446</v>
      </c>
      <c r="G42" s="9" t="s">
        <v>62</v>
      </c>
      <c r="H42" s="9">
        <f>H44/F44*F42</f>
        <v>236.74052284956082</v>
      </c>
      <c r="I42" s="9"/>
      <c r="J42" s="9" t="s">
        <v>10</v>
      </c>
      <c r="K42" s="9"/>
      <c r="L42" s="9">
        <v>155.556947609091</v>
      </c>
      <c r="M42" s="9"/>
      <c r="N42" s="9" t="s">
        <v>10</v>
      </c>
      <c r="O42" s="80">
        <f t="shared" si="2"/>
        <v>640.6800728030463</v>
      </c>
    </row>
    <row r="43" spans="1:15" x14ac:dyDescent="0.25">
      <c r="A43" s="77">
        <v>46011</v>
      </c>
      <c r="B43" s="8" t="s">
        <v>19</v>
      </c>
      <c r="C43" s="4">
        <v>-0.45</v>
      </c>
      <c r="D43" s="13">
        <v>0.78055555555555556</v>
      </c>
      <c r="E43" s="76" t="s">
        <v>62</v>
      </c>
      <c r="F43" s="9">
        <f>F42/L42*L43</f>
        <v>401.42557812462087</v>
      </c>
      <c r="G43" s="9" t="s">
        <v>62</v>
      </c>
      <c r="H43" s="9">
        <f>H42/L42*L43</f>
        <v>382.61013594922059</v>
      </c>
      <c r="I43" s="9"/>
      <c r="J43" s="9" t="s">
        <v>10</v>
      </c>
      <c r="K43" s="9"/>
      <c r="L43" s="9">
        <v>251.40463557386499</v>
      </c>
      <c r="M43" s="9"/>
      <c r="N43" s="9" t="s">
        <v>10</v>
      </c>
      <c r="O43" s="80">
        <f t="shared" si="2"/>
        <v>1035.4403496477066</v>
      </c>
    </row>
    <row r="44" spans="1:15" x14ac:dyDescent="0.25">
      <c r="A44" s="77">
        <v>46012</v>
      </c>
      <c r="B44" s="8" t="s">
        <v>20</v>
      </c>
      <c r="C44" s="4">
        <v>-0.44</v>
      </c>
      <c r="D44" s="13">
        <v>0.80486111111111114</v>
      </c>
      <c r="E44" s="76"/>
      <c r="F44" s="9">
        <f>(608.928568836074/695.545762784605*47.1862984734357)+47.1862984734357</f>
        <v>88.496427490782636</v>
      </c>
      <c r="G44" s="9"/>
      <c r="H44" s="9">
        <v>84.348462077215004</v>
      </c>
      <c r="I44" s="9"/>
      <c r="J44" s="9">
        <v>196.56470008030499</v>
      </c>
      <c r="K44" s="9"/>
      <c r="L44" s="9" t="s">
        <v>10</v>
      </c>
      <c r="M44" s="9"/>
      <c r="N44" s="9" t="s">
        <v>10</v>
      </c>
      <c r="O44" s="80">
        <f t="shared" si="2"/>
        <v>369.40958964830264</v>
      </c>
    </row>
    <row r="45" spans="1:15" x14ac:dyDescent="0.25">
      <c r="A45" s="77">
        <v>46013</v>
      </c>
      <c r="B45" s="8" t="s">
        <v>21</v>
      </c>
      <c r="C45" s="4">
        <v>-0.33</v>
      </c>
      <c r="D45" s="13">
        <v>0.82916666666666672</v>
      </c>
      <c r="E45" s="76" t="s">
        <v>62</v>
      </c>
      <c r="F45" s="9">
        <f>F44/J44*J45</f>
        <v>38.404968293354628</v>
      </c>
      <c r="G45" s="9" t="s">
        <v>62</v>
      </c>
      <c r="H45" s="9">
        <f>H44/J44*J45</f>
        <v>36.604867603339898</v>
      </c>
      <c r="I45" s="9"/>
      <c r="J45" s="9">
        <v>85.303568609740196</v>
      </c>
      <c r="K45" s="9"/>
      <c r="L45" s="9" t="s">
        <v>10</v>
      </c>
      <c r="M45" s="9"/>
      <c r="N45" s="9" t="s">
        <v>10</v>
      </c>
      <c r="O45" s="80">
        <f t="shared" si="2"/>
        <v>160.31340450643472</v>
      </c>
    </row>
    <row r="46" spans="1:15" x14ac:dyDescent="0.25">
      <c r="A46" s="77">
        <v>46014</v>
      </c>
      <c r="B46" s="8" t="s">
        <v>60</v>
      </c>
      <c r="C46" s="4">
        <v>-0.11</v>
      </c>
      <c r="D46" s="13">
        <v>0.85486111111111107</v>
      </c>
      <c r="E46" s="76" t="s">
        <v>62</v>
      </c>
      <c r="F46" s="9">
        <f>F42/L42*L46</f>
        <v>94.817750709735023</v>
      </c>
      <c r="G46" s="9" t="s">
        <v>62</v>
      </c>
      <c r="H46" s="9">
        <f>H42/L42*L46</f>
        <v>90.373495029727778</v>
      </c>
      <c r="I46" s="9"/>
      <c r="J46" s="9" t="s">
        <v>10</v>
      </c>
      <c r="K46" s="9"/>
      <c r="L46" s="9">
        <v>59.382419462354797</v>
      </c>
      <c r="M46" s="9"/>
      <c r="N46" s="9" t="s">
        <v>10</v>
      </c>
      <c r="O46" s="80">
        <f t="shared" si="2"/>
        <v>244.57366520181759</v>
      </c>
    </row>
    <row r="47" spans="1:15" x14ac:dyDescent="0.25">
      <c r="A47" s="77"/>
      <c r="B47" s="8"/>
      <c r="C47" s="4"/>
      <c r="D47" s="13"/>
      <c r="E47" s="76"/>
      <c r="G47" s="9"/>
      <c r="I47" s="9"/>
      <c r="K47" s="9"/>
      <c r="M47" s="9"/>
      <c r="N47" s="9"/>
      <c r="O47" s="80"/>
    </row>
    <row r="48" spans="1:15" x14ac:dyDescent="0.25">
      <c r="A48" s="77">
        <v>46022</v>
      </c>
      <c r="B48" s="8" t="s">
        <v>61</v>
      </c>
      <c r="C48" s="4">
        <v>-0.62</v>
      </c>
      <c r="D48" s="13">
        <v>0.66319444444444442</v>
      </c>
      <c r="E48" s="76"/>
      <c r="F48" s="9">
        <f>(608.928568836074/695.545762784605*2021.16923076923)+2021.16923076923</f>
        <v>3790.6396997438942</v>
      </c>
      <c r="G48" s="9"/>
      <c r="H48" s="9">
        <v>2135.30760745819</v>
      </c>
      <c r="I48" s="9"/>
      <c r="J48" s="9">
        <v>3564.2962962963002</v>
      </c>
      <c r="K48" s="9"/>
      <c r="L48" s="9" t="s">
        <v>10</v>
      </c>
      <c r="M48" s="9"/>
      <c r="N48" s="9" t="s">
        <v>10</v>
      </c>
      <c r="O48" s="80">
        <f t="shared" si="2"/>
        <v>9490.2436034983839</v>
      </c>
    </row>
    <row r="49" spans="1:15" x14ac:dyDescent="0.25">
      <c r="A49" s="77">
        <v>46023</v>
      </c>
      <c r="B49" s="8" t="s">
        <v>22</v>
      </c>
      <c r="C49" s="4">
        <v>-1.24</v>
      </c>
      <c r="D49" s="13">
        <v>0.69930555555555551</v>
      </c>
      <c r="E49" s="76" t="s">
        <v>62</v>
      </c>
      <c r="F49" s="9">
        <f>F48/J48*J49</f>
        <v>6107.8564133590044</v>
      </c>
      <c r="G49" s="9" t="s">
        <v>62</v>
      </c>
      <c r="H49" s="9">
        <f>H48/J48*J49</f>
        <v>3440.62039596877</v>
      </c>
      <c r="I49" s="9"/>
      <c r="J49" s="9">
        <v>5743.1493670886102</v>
      </c>
      <c r="K49" s="9"/>
      <c r="L49" s="9" t="s">
        <v>10</v>
      </c>
      <c r="M49" s="9"/>
      <c r="N49" s="9" t="s">
        <v>10</v>
      </c>
      <c r="O49" s="80">
        <f t="shared" si="2"/>
        <v>15291.626176416385</v>
      </c>
    </row>
    <row r="50" spans="1:15" x14ac:dyDescent="0.25">
      <c r="A50" s="77">
        <v>46024</v>
      </c>
      <c r="B50" s="8" t="s">
        <v>18</v>
      </c>
      <c r="C50" s="4">
        <v>-1.61</v>
      </c>
      <c r="D50" s="13">
        <v>0.73402777777777772</v>
      </c>
      <c r="E50" s="76"/>
      <c r="F50" s="9">
        <f>(608.928568836074/695.545762784605*2296.64202698953)+2296.64202698953</f>
        <v>4307.2803163016251</v>
      </c>
      <c r="G50" s="9" t="s">
        <v>62</v>
      </c>
      <c r="H50" s="9">
        <f>H51/L51*L50</f>
        <v>2528.7058722805737</v>
      </c>
      <c r="I50" s="9"/>
      <c r="J50" s="9" t="s">
        <v>10</v>
      </c>
      <c r="K50" s="9"/>
      <c r="L50" s="9">
        <v>2048.82445925921</v>
      </c>
      <c r="M50" s="9"/>
      <c r="N50" s="9" t="s">
        <v>10</v>
      </c>
      <c r="O50" s="80">
        <f t="shared" si="2"/>
        <v>8884.8106478414084</v>
      </c>
    </row>
    <row r="51" spans="1:15" x14ac:dyDescent="0.25">
      <c r="A51" s="77">
        <v>46025</v>
      </c>
      <c r="B51" s="8" t="s">
        <v>19</v>
      </c>
      <c r="C51" s="4">
        <v>-1.71</v>
      </c>
      <c r="D51" s="13">
        <v>0.76597222222222228</v>
      </c>
      <c r="E51" s="76" t="s">
        <v>62</v>
      </c>
      <c r="F51" s="9">
        <f>F50/L50*L51</f>
        <v>2228.7895370780861</v>
      </c>
      <c r="G51" s="9"/>
      <c r="H51" s="9">
        <v>1308.4714196929899</v>
      </c>
      <c r="I51" s="9"/>
      <c r="J51" s="9" t="s">
        <v>10</v>
      </c>
      <c r="K51" s="9"/>
      <c r="L51" s="9">
        <v>1060.1581932859799</v>
      </c>
      <c r="M51" s="9"/>
      <c r="N51" s="9" t="s">
        <v>10</v>
      </c>
      <c r="O51" s="80">
        <f t="shared" si="2"/>
        <v>4597.419150057056</v>
      </c>
    </row>
    <row r="52" spans="1:15" x14ac:dyDescent="0.25">
      <c r="A52" s="77">
        <v>46026</v>
      </c>
      <c r="B52" s="8" t="s">
        <v>20</v>
      </c>
      <c r="C52" s="4">
        <v>-1.53</v>
      </c>
      <c r="D52" s="13">
        <v>0.79652777777777772</v>
      </c>
      <c r="E52" s="76" t="s">
        <v>62</v>
      </c>
      <c r="F52" s="9">
        <f>F48/J48*J52</f>
        <v>388.31849782179091</v>
      </c>
      <c r="G52" s="9" t="s">
        <v>62</v>
      </c>
      <c r="H52" s="9">
        <f>H48/J48*J52</f>
        <v>218.74393458487449</v>
      </c>
      <c r="I52" s="9"/>
      <c r="J52" s="9">
        <v>365.131559104144</v>
      </c>
      <c r="K52" s="9"/>
      <c r="L52" s="9" t="s">
        <v>10</v>
      </c>
      <c r="M52" s="9"/>
      <c r="N52" s="9" t="s">
        <v>10</v>
      </c>
      <c r="O52" s="80">
        <f t="shared" si="2"/>
        <v>972.19399151080938</v>
      </c>
    </row>
    <row r="53" spans="1:15" x14ac:dyDescent="0.25">
      <c r="A53" s="77">
        <v>46027</v>
      </c>
      <c r="B53" s="8" t="s">
        <v>21</v>
      </c>
      <c r="C53" s="4">
        <v>-1.1100000000000001</v>
      </c>
      <c r="D53" s="13">
        <v>0.82638888888888884</v>
      </c>
      <c r="E53" s="76"/>
      <c r="F53" s="9">
        <f>(608.928568836074/695.545762784605*49.8967650020234)+49.8967650020234</f>
        <v>93.579822721463671</v>
      </c>
      <c r="G53" s="9"/>
      <c r="H53" s="9">
        <v>265.02603986837198</v>
      </c>
      <c r="I53" s="9"/>
      <c r="J53" s="9">
        <v>245.098025895733</v>
      </c>
      <c r="K53" s="9"/>
      <c r="L53" s="9" t="s">
        <v>10</v>
      </c>
      <c r="M53" s="9"/>
      <c r="N53" s="9" t="s">
        <v>10</v>
      </c>
      <c r="O53" s="80">
        <f t="shared" si="2"/>
        <v>603.70388848556865</v>
      </c>
    </row>
    <row r="54" spans="1:15" x14ac:dyDescent="0.25">
      <c r="A54" s="77">
        <v>46028</v>
      </c>
      <c r="B54" s="8" t="s">
        <v>60</v>
      </c>
      <c r="C54" s="4">
        <v>-0.49</v>
      </c>
      <c r="D54" s="13">
        <v>0.85555555555555551</v>
      </c>
      <c r="E54" s="76" t="s">
        <v>62</v>
      </c>
      <c r="F54" s="9">
        <f>F50/L50*L54</f>
        <v>61.409560001650185</v>
      </c>
      <c r="G54" s="9" t="s">
        <v>62</v>
      </c>
      <c r="H54" s="9">
        <f>H51/L51*L54</f>
        <v>36.052149752740817</v>
      </c>
      <c r="I54" s="9"/>
      <c r="J54" s="9" t="s">
        <v>10</v>
      </c>
      <c r="K54" s="9"/>
      <c r="L54" s="9">
        <v>29.2104064106415</v>
      </c>
      <c r="M54" s="9"/>
      <c r="N54" s="9" t="s">
        <v>10</v>
      </c>
      <c r="O54" s="80">
        <f t="shared" si="2"/>
        <v>126.67211616503249</v>
      </c>
    </row>
    <row r="55" spans="1:15" x14ac:dyDescent="0.25">
      <c r="A55" s="77"/>
      <c r="B55" s="8"/>
      <c r="C55" s="4"/>
      <c r="D55" s="13"/>
      <c r="E55" s="76"/>
      <c r="G55" s="9"/>
      <c r="I55" s="9"/>
      <c r="K55" s="9"/>
      <c r="M55" s="9"/>
      <c r="N55" s="9"/>
      <c r="O55" s="80"/>
    </row>
    <row r="56" spans="1:15" x14ac:dyDescent="0.25">
      <c r="A56" s="77">
        <v>46037</v>
      </c>
      <c r="B56" s="8" t="s">
        <v>22</v>
      </c>
      <c r="C56" s="4">
        <v>0.37</v>
      </c>
      <c r="D56" s="13">
        <v>0.69097222222222221</v>
      </c>
      <c r="E56" s="76"/>
      <c r="F56" s="9">
        <f>(767.328982156157/857.142851154321*474.879556570981)+474.879556570981</f>
        <v>899.99988079657851</v>
      </c>
      <c r="G56" s="9" t="s">
        <v>62</v>
      </c>
      <c r="H56" s="9">
        <f>H59/L59*L56</f>
        <v>538.44434320867367</v>
      </c>
      <c r="I56" s="9"/>
      <c r="J56" s="9" t="s">
        <v>10</v>
      </c>
      <c r="K56" s="9"/>
      <c r="L56" s="9">
        <v>417.26254157423301</v>
      </c>
      <c r="M56" s="9"/>
      <c r="N56" s="9" t="s">
        <v>10</v>
      </c>
      <c r="O56" s="80">
        <f t="shared" si="2"/>
        <v>1855.7067655794851</v>
      </c>
    </row>
    <row r="57" spans="1:15" x14ac:dyDescent="0.25">
      <c r="A57" s="77">
        <v>46038</v>
      </c>
      <c r="B57" s="8" t="s">
        <v>18</v>
      </c>
      <c r="C57" s="4">
        <v>0.01</v>
      </c>
      <c r="D57" s="13">
        <v>0.71805555555555556</v>
      </c>
      <c r="E57" s="76"/>
      <c r="F57" s="9">
        <f>767.328982156157+857.142851154321</f>
        <v>1624.4718333104779</v>
      </c>
      <c r="G57" s="9" t="s">
        <v>62</v>
      </c>
      <c r="H57" s="9">
        <f>H58/J58*J57</f>
        <v>1019.473288318888</v>
      </c>
      <c r="I57" s="9"/>
      <c r="J57" s="9">
        <v>1739.0228374997801</v>
      </c>
      <c r="K57" s="9"/>
      <c r="L57" s="9" t="s">
        <v>10</v>
      </c>
      <c r="M57" s="9"/>
      <c r="N57" s="9" t="s">
        <v>10</v>
      </c>
      <c r="O57" s="80">
        <f t="shared" si="2"/>
        <v>4382.967959129146</v>
      </c>
    </row>
    <row r="58" spans="1:15" x14ac:dyDescent="0.25">
      <c r="A58" s="77">
        <v>46039</v>
      </c>
      <c r="B58" s="8" t="s">
        <v>19</v>
      </c>
      <c r="C58" s="4">
        <v>-0.27</v>
      </c>
      <c r="D58" s="13">
        <v>0.74305555555555558</v>
      </c>
      <c r="E58" s="76" t="s">
        <v>62</v>
      </c>
      <c r="F58" s="9">
        <f>F61/J61*J58</f>
        <v>2033.8377969235275</v>
      </c>
      <c r="G58" s="9"/>
      <c r="H58" s="9">
        <v>1563.2395320360999</v>
      </c>
      <c r="I58" s="9"/>
      <c r="J58" s="9">
        <v>2666.5821241634198</v>
      </c>
      <c r="K58" s="9"/>
      <c r="L58" s="9" t="s">
        <v>10</v>
      </c>
      <c r="M58" s="9"/>
      <c r="N58" s="9" t="s">
        <v>10</v>
      </c>
      <c r="O58" s="80">
        <f t="shared" si="2"/>
        <v>6263.6594531230476</v>
      </c>
    </row>
    <row r="59" spans="1:15" x14ac:dyDescent="0.25">
      <c r="A59" s="77">
        <v>46040</v>
      </c>
      <c r="B59" s="8" t="s">
        <v>20</v>
      </c>
      <c r="C59" s="4">
        <v>-0.45</v>
      </c>
      <c r="D59" s="13">
        <v>0.76666666666666672</v>
      </c>
      <c r="E59" s="76" t="s">
        <v>62</v>
      </c>
      <c r="F59" s="9">
        <f>F58/H58*H59</f>
        <v>2512.9560671834088</v>
      </c>
      <c r="G59" s="9"/>
      <c r="H59" s="9">
        <v>1931.4973261059799</v>
      </c>
      <c r="I59" s="9"/>
      <c r="J59" s="9" t="s">
        <v>10</v>
      </c>
      <c r="K59" s="9"/>
      <c r="L59" s="9">
        <v>1496.79626780381</v>
      </c>
      <c r="M59" s="9"/>
      <c r="N59" s="9" t="s">
        <v>10</v>
      </c>
      <c r="O59" s="80">
        <f t="shared" si="2"/>
        <v>5941.2496610931985</v>
      </c>
    </row>
    <row r="60" spans="1:15" x14ac:dyDescent="0.25">
      <c r="A60" s="77">
        <v>46041</v>
      </c>
      <c r="B60" s="8" t="s">
        <v>21</v>
      </c>
      <c r="C60" s="4">
        <v>-0.5</v>
      </c>
      <c r="D60" s="13">
        <v>0.7895833333333333</v>
      </c>
      <c r="E60" s="76" t="s">
        <v>62</v>
      </c>
      <c r="F60" s="9">
        <f>F56/L56*L60</f>
        <v>670.73398991791476</v>
      </c>
      <c r="G60" s="9" t="s">
        <v>62</v>
      </c>
      <c r="H60" s="9">
        <f>H59/L59*L60</f>
        <v>401.28107833684697</v>
      </c>
      <c r="I60" s="9"/>
      <c r="J60" s="9" t="s">
        <v>10</v>
      </c>
      <c r="K60" s="9"/>
      <c r="L60" s="9">
        <v>310.96911824661998</v>
      </c>
      <c r="M60" s="9"/>
      <c r="N60" s="9" t="s">
        <v>10</v>
      </c>
      <c r="O60" s="80">
        <f t="shared" si="2"/>
        <v>1382.9841865013816</v>
      </c>
    </row>
    <row r="61" spans="1:15" x14ac:dyDescent="0.25">
      <c r="A61" s="77">
        <v>46042</v>
      </c>
      <c r="B61" s="8" t="s">
        <v>60</v>
      </c>
      <c r="C61" s="4">
        <v>-0.39</v>
      </c>
      <c r="D61" s="13">
        <v>0.81180555555555556</v>
      </c>
      <c r="E61" s="76"/>
      <c r="F61" s="9">
        <f>(767.328982156157/857.142851154321*93.3980384008687)+93.3980384008687</f>
        <v>177.00956435013808</v>
      </c>
      <c r="G61" s="9" t="s">
        <v>62</v>
      </c>
      <c r="H61" s="9">
        <f>H62/J62*J61</f>
        <v>99.111970224634177</v>
      </c>
      <c r="I61" s="9"/>
      <c r="J61" s="9">
        <v>232.07875319065101</v>
      </c>
      <c r="K61" s="9"/>
      <c r="L61" s="9" t="s">
        <v>10</v>
      </c>
      <c r="M61" s="9"/>
      <c r="N61" s="9" t="s">
        <v>10</v>
      </c>
      <c r="O61" s="80">
        <f t="shared" si="2"/>
        <v>508.20028776542324</v>
      </c>
    </row>
    <row r="62" spans="1:15" x14ac:dyDescent="0.25">
      <c r="A62" s="77">
        <v>46043</v>
      </c>
      <c r="B62" s="8" t="s">
        <v>61</v>
      </c>
      <c r="C62" s="4">
        <v>-0.09</v>
      </c>
      <c r="D62" s="13">
        <v>0.83402777777777781</v>
      </c>
      <c r="E62" s="76" t="s">
        <v>62</v>
      </c>
      <c r="F62" s="9">
        <f>F61/J61*J62</f>
        <v>117.6961853156135</v>
      </c>
      <c r="G62" s="9"/>
      <c r="H62" s="9">
        <v>65.900963359695496</v>
      </c>
      <c r="I62" s="9"/>
      <c r="J62" s="9">
        <v>154.31247482939801</v>
      </c>
      <c r="K62" s="9"/>
      <c r="L62" s="9" t="s">
        <v>10</v>
      </c>
      <c r="M62" s="9"/>
      <c r="N62" s="9" t="s">
        <v>10</v>
      </c>
      <c r="O62" s="80">
        <f t="shared" si="2"/>
        <v>337.90962350470704</v>
      </c>
    </row>
    <row r="63" spans="1:15" x14ac:dyDescent="0.25">
      <c r="A63" s="77"/>
      <c r="B63" s="8"/>
      <c r="C63" s="4"/>
      <c r="D63" s="13"/>
      <c r="E63" s="76"/>
      <c r="G63" s="9"/>
      <c r="I63" s="9"/>
      <c r="K63" s="9"/>
      <c r="M63" s="9"/>
      <c r="N63" s="9"/>
      <c r="O63" s="80"/>
    </row>
    <row r="64" spans="1:15" x14ac:dyDescent="0.25">
      <c r="A64" s="77">
        <v>46051</v>
      </c>
      <c r="B64" s="8" t="s">
        <v>22</v>
      </c>
      <c r="C64" s="4">
        <v>-0.6</v>
      </c>
      <c r="D64" s="13">
        <v>0.66319444444444442</v>
      </c>
      <c r="E64" s="76"/>
      <c r="F64" s="9">
        <f>(767.328982156157/857.142851154321*211.46452278836)+211.46452278836</f>
        <v>400.77119064985948</v>
      </c>
      <c r="G64" s="9"/>
      <c r="H64" s="9">
        <v>388.70055170775697</v>
      </c>
      <c r="I64" s="9"/>
      <c r="J64" s="9" t="s">
        <v>10</v>
      </c>
      <c r="K64" s="9"/>
      <c r="L64" s="9">
        <v>281.15016170242399</v>
      </c>
      <c r="M64" s="9"/>
      <c r="N64" s="9" t="s">
        <v>10</v>
      </c>
      <c r="O64" s="80">
        <f t="shared" si="2"/>
        <v>1070.6219040600404</v>
      </c>
    </row>
    <row r="65" spans="1:15" x14ac:dyDescent="0.25">
      <c r="A65" s="77">
        <v>46052</v>
      </c>
      <c r="B65" s="8" t="s">
        <v>18</v>
      </c>
      <c r="C65" s="4">
        <v>-1.2</v>
      </c>
      <c r="D65" s="13">
        <v>0.69930555555555551</v>
      </c>
      <c r="E65" s="76"/>
      <c r="F65" s="9">
        <f>(767.328982156157/857.142851154321*574.461497751802)+574.461497751802</f>
        <v>1088.7292837622222</v>
      </c>
      <c r="G65" s="9"/>
      <c r="H65" s="9">
        <v>765.04183508670098</v>
      </c>
      <c r="I65" s="9"/>
      <c r="J65" s="9">
        <v>1076.98956084772</v>
      </c>
      <c r="K65" s="9"/>
      <c r="L65" s="9" t="s">
        <v>10</v>
      </c>
      <c r="M65" s="9"/>
      <c r="N65" s="9" t="s">
        <v>10</v>
      </c>
      <c r="O65" s="80">
        <f t="shared" si="2"/>
        <v>2930.7606796966429</v>
      </c>
    </row>
    <row r="66" spans="1:15" x14ac:dyDescent="0.25">
      <c r="A66" s="77">
        <v>46053</v>
      </c>
      <c r="B66" s="8" t="s">
        <v>19</v>
      </c>
      <c r="C66" s="4">
        <v>-1.6</v>
      </c>
      <c r="D66" s="13">
        <v>0.73402777777777772</v>
      </c>
      <c r="E66" s="76" t="s">
        <v>62</v>
      </c>
      <c r="F66" s="9">
        <f>F69/J69*J66</f>
        <v>2362.2290650878253</v>
      </c>
      <c r="G66" s="9" t="s">
        <v>62</v>
      </c>
      <c r="H66" s="9">
        <f>H65/J65*J66</f>
        <v>2851.2766039322664</v>
      </c>
      <c r="I66" s="9"/>
      <c r="J66" s="9">
        <v>4013.8917856386001</v>
      </c>
      <c r="K66" s="9"/>
      <c r="L66" s="9" t="s">
        <v>10</v>
      </c>
      <c r="M66" s="9"/>
      <c r="N66" s="9" t="s">
        <v>10</v>
      </c>
      <c r="O66" s="80">
        <f t="shared" si="2"/>
        <v>9227.3974546586924</v>
      </c>
    </row>
    <row r="67" spans="1:15" x14ac:dyDescent="0.25">
      <c r="A67" s="77">
        <v>46054</v>
      </c>
      <c r="B67" s="8" t="s">
        <v>20</v>
      </c>
      <c r="C67" s="4">
        <v>-1.7</v>
      </c>
      <c r="D67" s="13">
        <v>0.76597222222222228</v>
      </c>
      <c r="E67" s="76" t="s">
        <v>62</v>
      </c>
      <c r="F67" s="9">
        <f>F69/H69*H67</f>
        <v>597.71917997206435</v>
      </c>
      <c r="G67" s="9"/>
      <c r="H67" s="9">
        <v>956.98820198965802</v>
      </c>
      <c r="I67" s="9"/>
      <c r="J67" s="9" t="s">
        <v>10</v>
      </c>
      <c r="K67" s="9"/>
      <c r="L67" s="9">
        <v>901.46519327200099</v>
      </c>
      <c r="M67" s="9"/>
      <c r="N67" s="9" t="s">
        <v>10</v>
      </c>
      <c r="O67" s="80">
        <f t="shared" si="2"/>
        <v>2456.1725752337234</v>
      </c>
    </row>
    <row r="68" spans="1:15" x14ac:dyDescent="0.25">
      <c r="A68" s="77">
        <v>46055</v>
      </c>
      <c r="B68" s="8" t="s">
        <v>21</v>
      </c>
      <c r="C68" s="4">
        <v>-1.5</v>
      </c>
      <c r="D68" s="13">
        <v>0.79652777777777772</v>
      </c>
      <c r="E68" s="76" t="s">
        <v>62</v>
      </c>
      <c r="F68" s="9">
        <f>F64/L64*L68</f>
        <v>266.06244817246943</v>
      </c>
      <c r="G68" s="9" t="s">
        <v>62</v>
      </c>
      <c r="H68" s="9">
        <f>H64/L64*L68</f>
        <v>258.04903846920672</v>
      </c>
      <c r="I68" s="9"/>
      <c r="J68" s="9" t="s">
        <v>10</v>
      </c>
      <c r="K68" s="9"/>
      <c r="L68" s="9">
        <v>186.64889610786901</v>
      </c>
      <c r="M68" s="9"/>
      <c r="N68" s="9" t="s">
        <v>10</v>
      </c>
      <c r="O68" s="80">
        <f t="shared" si="2"/>
        <v>710.76038274954522</v>
      </c>
    </row>
    <row r="69" spans="1:15" x14ac:dyDescent="0.25">
      <c r="A69" s="77">
        <v>46056</v>
      </c>
      <c r="B69" s="8" t="s">
        <v>60</v>
      </c>
      <c r="C69" s="4">
        <v>-1.1000000000000001</v>
      </c>
      <c r="D69" s="13">
        <v>0.82638888888888884</v>
      </c>
      <c r="E69" s="76"/>
      <c r="F69" s="9">
        <f>(767.328982156157/857.142851154321*119.03671560895)+119.03671560895</f>
        <v>225.60042515213621</v>
      </c>
      <c r="G69" s="9"/>
      <c r="H69" s="9">
        <v>361.201300658506</v>
      </c>
      <c r="I69" s="9"/>
      <c r="J69" s="9">
        <v>383.33949350549898</v>
      </c>
      <c r="K69" s="9"/>
      <c r="L69" s="9" t="s">
        <v>10</v>
      </c>
      <c r="M69" s="9"/>
      <c r="N69" s="9" t="s">
        <v>10</v>
      </c>
      <c r="O69" s="80">
        <f t="shared" si="2"/>
        <v>970.14121931614113</v>
      </c>
    </row>
    <row r="70" spans="1:15" x14ac:dyDescent="0.25">
      <c r="A70" s="77">
        <v>46057</v>
      </c>
      <c r="B70" s="8" t="s">
        <v>61</v>
      </c>
      <c r="C70" s="4">
        <v>-0.5</v>
      </c>
      <c r="D70" s="13">
        <v>0.85555555555555551</v>
      </c>
      <c r="E70" s="76" t="s">
        <v>62</v>
      </c>
      <c r="F70" s="9">
        <f>F69/J69*J70</f>
        <v>136.85099244650439</v>
      </c>
      <c r="G70" s="9" t="s">
        <v>62</v>
      </c>
      <c r="H70" s="9">
        <f>H69/J69*J70</f>
        <v>219.1075501508943</v>
      </c>
      <c r="I70" s="9"/>
      <c r="J70" s="9">
        <v>232.53675206857699</v>
      </c>
      <c r="K70" s="9"/>
      <c r="L70" s="9" t="s">
        <v>10</v>
      </c>
      <c r="M70" s="9"/>
      <c r="N70" s="9" t="s">
        <v>10</v>
      </c>
      <c r="O70" s="80">
        <f t="shared" si="2"/>
        <v>588.49529466597573</v>
      </c>
    </row>
    <row r="71" spans="1:15" x14ac:dyDescent="0.25">
      <c r="A71" s="77"/>
      <c r="B71" s="8"/>
      <c r="C71" s="4"/>
      <c r="D71" s="13"/>
      <c r="E71" s="76"/>
      <c r="G71" s="9"/>
      <c r="I71" s="9"/>
      <c r="K71" s="9"/>
      <c r="M71" s="9"/>
      <c r="N71" s="9"/>
      <c r="O71" s="80"/>
    </row>
    <row r="72" spans="1:15" x14ac:dyDescent="0.25">
      <c r="A72" s="77">
        <v>46067</v>
      </c>
      <c r="B72" s="8" t="s">
        <v>19</v>
      </c>
      <c r="C72" s="4">
        <v>0.25</v>
      </c>
      <c r="D72" s="13">
        <v>0.7</v>
      </c>
      <c r="E72" s="76" t="s">
        <v>62</v>
      </c>
      <c r="F72" s="9">
        <f>F76/H76*H72</f>
        <v>1822.8631245275362</v>
      </c>
      <c r="G72" s="9"/>
      <c r="H72" s="9">
        <v>2214.5289142941101</v>
      </c>
      <c r="I72" s="9"/>
      <c r="J72" s="9" t="s">
        <v>10</v>
      </c>
      <c r="K72" s="9"/>
      <c r="L72" s="9">
        <v>1985.64305929796</v>
      </c>
      <c r="M72" s="9"/>
      <c r="N72" s="9" t="s">
        <v>10</v>
      </c>
      <c r="O72" s="80">
        <f t="shared" si="2"/>
        <v>6023.0350981196061</v>
      </c>
    </row>
    <row r="73" spans="1:15" x14ac:dyDescent="0.25">
      <c r="A73" s="77">
        <v>46068</v>
      </c>
      <c r="B73" s="8" t="s">
        <v>20</v>
      </c>
      <c r="C73" s="4">
        <v>-0.09</v>
      </c>
      <c r="D73" s="13">
        <v>0.72499999999999998</v>
      </c>
      <c r="E73" s="76"/>
      <c r="F73" s="9">
        <f>(767.328982156157/857.142851154321*1303.0949922622)+1303.0949922622</f>
        <v>2469.6479801553651</v>
      </c>
      <c r="G73" s="9"/>
      <c r="H73" s="9">
        <v>1943.4410129942901</v>
      </c>
      <c r="I73" s="9"/>
      <c r="J73" s="9">
        <v>3150.0188016647498</v>
      </c>
      <c r="K73" s="9"/>
      <c r="L73" s="9" t="s">
        <v>10</v>
      </c>
      <c r="M73" s="9"/>
      <c r="N73" s="9" t="s">
        <v>10</v>
      </c>
      <c r="O73" s="80">
        <f t="shared" si="2"/>
        <v>7563.1077948144048</v>
      </c>
    </row>
    <row r="74" spans="1:15" x14ac:dyDescent="0.25">
      <c r="A74" s="77">
        <v>46069</v>
      </c>
      <c r="B74" s="8" t="s">
        <v>21</v>
      </c>
      <c r="C74" s="4">
        <v>-0.28999999999999998</v>
      </c>
      <c r="D74" s="13">
        <v>0.74791666666666667</v>
      </c>
      <c r="E74" s="76" t="s">
        <v>62</v>
      </c>
      <c r="F74" s="9">
        <f>F73/J73*J74</f>
        <v>680.24441274078424</v>
      </c>
      <c r="G74" s="9" t="s">
        <v>62</v>
      </c>
      <c r="H74" s="9">
        <f>H73/J73*J74</f>
        <v>535.30499132005366</v>
      </c>
      <c r="I74" s="9"/>
      <c r="J74" s="9">
        <v>867.64701167089595</v>
      </c>
      <c r="K74" s="9"/>
      <c r="L74" s="9" t="s">
        <v>10</v>
      </c>
      <c r="M74" s="9"/>
      <c r="N74" s="9" t="s">
        <v>10</v>
      </c>
      <c r="O74" s="80">
        <f t="shared" si="2"/>
        <v>2083.1964157317339</v>
      </c>
    </row>
    <row r="75" spans="1:15" x14ac:dyDescent="0.25">
      <c r="A75" s="77">
        <v>46070</v>
      </c>
      <c r="B75" s="8" t="s">
        <v>60</v>
      </c>
      <c r="C75" s="4">
        <v>-0.3</v>
      </c>
      <c r="D75" s="13">
        <v>0.77013888888888893</v>
      </c>
      <c r="E75" s="76" t="s">
        <v>62</v>
      </c>
      <c r="F75" s="9">
        <f>F76/L76*L75</f>
        <v>208.42013126173694</v>
      </c>
      <c r="G75" s="9" t="s">
        <v>62</v>
      </c>
      <c r="H75" s="9">
        <f>H76/L76*L75</f>
        <v>253.2019002357728</v>
      </c>
      <c r="I75" s="9"/>
      <c r="J75" s="9" t="s">
        <v>10</v>
      </c>
      <c r="K75" s="9"/>
      <c r="L75" s="9">
        <v>367.58405049815099</v>
      </c>
      <c r="M75" s="9"/>
      <c r="N75" s="9" t="s">
        <v>10</v>
      </c>
      <c r="O75" s="80">
        <f t="shared" si="2"/>
        <v>829.20608199566072</v>
      </c>
    </row>
    <row r="76" spans="1:15" x14ac:dyDescent="0.25">
      <c r="A76" s="77">
        <v>46071</v>
      </c>
      <c r="B76" s="8" t="s">
        <v>61</v>
      </c>
      <c r="C76" s="4">
        <v>-0.11</v>
      </c>
      <c r="D76" s="13">
        <v>0.79166666666666663</v>
      </c>
      <c r="E76" s="76"/>
      <c r="F76" s="9">
        <f>(767.328982156157/857.142851154321*62.2653589339125)+62.2653589339125</f>
        <v>118.00637623342546</v>
      </c>
      <c r="G76" s="9"/>
      <c r="H76" s="9">
        <v>143.36157702884199</v>
      </c>
      <c r="I76" s="9"/>
      <c r="J76" s="9" t="s">
        <v>10</v>
      </c>
      <c r="K76" s="9"/>
      <c r="L76" s="9">
        <v>208.12414567581999</v>
      </c>
      <c r="M76" s="9"/>
      <c r="N76" s="9" t="s">
        <v>10</v>
      </c>
      <c r="O76" s="80">
        <f t="shared" si="2"/>
        <v>469.49209893808745</v>
      </c>
    </row>
    <row r="77" spans="1:15" x14ac:dyDescent="0.25">
      <c r="A77" s="77">
        <v>46072</v>
      </c>
      <c r="B77" s="8" t="s">
        <v>22</v>
      </c>
      <c r="C77" s="4">
        <v>0.28999999999999998</v>
      </c>
      <c r="D77" s="13">
        <v>0.81388888888888888</v>
      </c>
      <c r="E77" s="76" t="s">
        <v>62</v>
      </c>
      <c r="F77" s="9">
        <f>F73/J73*J77</f>
        <v>226.1222565563798</v>
      </c>
      <c r="G77" s="9" t="s">
        <v>62</v>
      </c>
      <c r="H77" s="9">
        <f>H73/J73*J77</f>
        <v>177.94247231738649</v>
      </c>
      <c r="I77" s="9"/>
      <c r="J77" s="9">
        <v>288.417363669233</v>
      </c>
      <c r="K77" s="9"/>
      <c r="L77" s="9" t="s">
        <v>10</v>
      </c>
      <c r="M77" s="9"/>
      <c r="N77" s="9" t="s">
        <v>10</v>
      </c>
      <c r="O77" s="80">
        <f t="shared" si="2"/>
        <v>692.48209254299923</v>
      </c>
    </row>
    <row r="78" spans="1:15" x14ac:dyDescent="0.25">
      <c r="A78" s="77"/>
      <c r="B78" s="8"/>
      <c r="C78" s="4"/>
      <c r="D78" s="13"/>
      <c r="E78" s="76"/>
      <c r="G78" s="9"/>
      <c r="I78" s="9"/>
      <c r="K78" s="9"/>
      <c r="M78" s="9"/>
      <c r="N78" s="9"/>
      <c r="O78" s="80"/>
    </row>
    <row r="79" spans="1:15" x14ac:dyDescent="0.25">
      <c r="A79" s="77">
        <v>46079</v>
      </c>
      <c r="B79" s="8" t="s">
        <v>22</v>
      </c>
      <c r="C79" s="4">
        <v>0.32</v>
      </c>
      <c r="D79" s="13">
        <v>0.60138888888888886</v>
      </c>
      <c r="E79" s="76" t="s">
        <v>62</v>
      </c>
      <c r="F79" s="9">
        <f>F83/J83*J79</f>
        <v>508.90324302361722</v>
      </c>
      <c r="G79" s="9"/>
      <c r="H79" s="9">
        <v>542.55496932521896</v>
      </c>
      <c r="I79" s="9"/>
      <c r="J79" s="9">
        <v>821.18979494429504</v>
      </c>
      <c r="K79" s="9"/>
      <c r="L79" s="9" t="s">
        <v>10</v>
      </c>
      <c r="M79" s="9"/>
      <c r="N79" s="9" t="s">
        <v>10</v>
      </c>
      <c r="O79" s="80">
        <f t="shared" ref="O79:O118" si="3">SUM(F79:N79)</f>
        <v>1872.6480072931313</v>
      </c>
    </row>
    <row r="80" spans="1:15" x14ac:dyDescent="0.25">
      <c r="A80" s="77">
        <v>46080</v>
      </c>
      <c r="B80" s="8" t="s">
        <v>18</v>
      </c>
      <c r="C80" s="4">
        <v>-0.04</v>
      </c>
      <c r="D80" s="13">
        <v>0.64513888888888893</v>
      </c>
      <c r="E80" s="76"/>
      <c r="F80" s="9">
        <f>379.228611873204+968.775731648226</f>
        <v>1348.00434352143</v>
      </c>
      <c r="G80" s="9" t="s">
        <v>62</v>
      </c>
      <c r="H80" s="9">
        <f>H83/F83*F80</f>
        <v>1730.499361165178</v>
      </c>
      <c r="I80" s="9"/>
      <c r="J80" s="9" t="s">
        <v>10</v>
      </c>
      <c r="K80" s="9"/>
      <c r="L80" s="9">
        <v>1289.8466429146699</v>
      </c>
      <c r="M80" s="9"/>
      <c r="N80" s="9" t="s">
        <v>10</v>
      </c>
      <c r="O80" s="80">
        <f t="shared" si="3"/>
        <v>4368.3503476012784</v>
      </c>
    </row>
    <row r="81" spans="1:15" x14ac:dyDescent="0.25">
      <c r="A81" s="77">
        <v>46081</v>
      </c>
      <c r="B81" s="8" t="s">
        <v>19</v>
      </c>
      <c r="C81" s="4">
        <v>-0.34</v>
      </c>
      <c r="D81" s="13">
        <v>0.68194444444444446</v>
      </c>
      <c r="E81" s="76" t="s">
        <v>62</v>
      </c>
      <c r="F81" s="9">
        <f>F80/L80*L81</f>
        <v>2869.2871351348986</v>
      </c>
      <c r="G81" s="9"/>
      <c r="H81" s="9">
        <v>4247.2157941040596</v>
      </c>
      <c r="I81" s="9"/>
      <c r="J81" s="9" t="s">
        <v>10</v>
      </c>
      <c r="K81" s="9"/>
      <c r="L81" s="9">
        <v>2745.4958855280302</v>
      </c>
      <c r="M81" s="9"/>
      <c r="N81" s="9" t="s">
        <v>10</v>
      </c>
      <c r="O81" s="80">
        <f t="shared" si="3"/>
        <v>9861.9988147669883</v>
      </c>
    </row>
    <row r="82" spans="1:15" x14ac:dyDescent="0.25">
      <c r="A82" s="77">
        <v>46082</v>
      </c>
      <c r="B82" s="8" t="s">
        <v>20</v>
      </c>
      <c r="C82" s="4">
        <v>-0.48</v>
      </c>
      <c r="D82" s="13">
        <v>0.71319444444444446</v>
      </c>
      <c r="E82" s="76" t="s">
        <v>62</v>
      </c>
      <c r="F82" s="9">
        <f>F83/J83*J82</f>
        <v>2512.5802696817832</v>
      </c>
      <c r="G82" s="9"/>
      <c r="H82" s="9">
        <v>2232.0275248092498</v>
      </c>
      <c r="I82" s="9"/>
      <c r="J82" s="9">
        <v>4054.4156570550899</v>
      </c>
      <c r="K82" s="9"/>
      <c r="L82" s="9" t="s">
        <v>10</v>
      </c>
      <c r="M82" s="9"/>
      <c r="N82" s="9" t="s">
        <v>10</v>
      </c>
      <c r="O82" s="80">
        <f t="shared" si="3"/>
        <v>8799.0234515461234</v>
      </c>
    </row>
    <row r="83" spans="1:15" x14ac:dyDescent="0.25">
      <c r="A83" s="77">
        <v>46083</v>
      </c>
      <c r="B83" s="8" t="s">
        <v>21</v>
      </c>
      <c r="C83" s="4">
        <v>-0.42</v>
      </c>
      <c r="D83" s="13">
        <v>0.74027777777777781</v>
      </c>
      <c r="E83" s="76"/>
      <c r="F83" s="9">
        <f>(379.228611873204/968.775731648226*609.042737957886)+609.042737957886</f>
        <v>847.45336752048865</v>
      </c>
      <c r="G83" s="9"/>
      <c r="H83" s="9">
        <v>1087.9174968238301</v>
      </c>
      <c r="I83" s="9"/>
      <c r="J83" s="9">
        <v>1367.4899239475001</v>
      </c>
      <c r="K83" s="9"/>
      <c r="L83" s="9" t="s">
        <v>10</v>
      </c>
      <c r="M83" s="9"/>
      <c r="N83" s="9" t="s">
        <v>10</v>
      </c>
      <c r="O83" s="80">
        <f t="shared" si="3"/>
        <v>3302.8607882918186</v>
      </c>
    </row>
    <row r="84" spans="1:15" x14ac:dyDescent="0.25">
      <c r="A84" s="77">
        <v>46084</v>
      </c>
      <c r="B84" s="8" t="s">
        <v>60</v>
      </c>
      <c r="C84" s="4">
        <v>-0.15</v>
      </c>
      <c r="D84" s="13">
        <v>0.76527777777777772</v>
      </c>
      <c r="E84" s="76" t="s">
        <v>62</v>
      </c>
      <c r="F84" s="9">
        <f>F80/L80*L84</f>
        <v>187.81548935985163</v>
      </c>
      <c r="G84" s="9" t="s">
        <v>62</v>
      </c>
      <c r="H84" s="9">
        <f>H81/L81*L84</f>
        <v>278.0108351717966</v>
      </c>
      <c r="I84" s="9"/>
      <c r="J84" s="9" t="s">
        <v>10</v>
      </c>
      <c r="K84" s="9"/>
      <c r="L84" s="9">
        <v>179.71246131546999</v>
      </c>
      <c r="M84" s="9"/>
      <c r="N84" s="9" t="s">
        <v>10</v>
      </c>
      <c r="O84" s="80">
        <f t="shared" si="3"/>
        <v>645.53878584711822</v>
      </c>
    </row>
    <row r="85" spans="1:15" x14ac:dyDescent="0.25">
      <c r="A85" s="77">
        <v>46085</v>
      </c>
      <c r="B85" s="8" t="s">
        <v>61</v>
      </c>
      <c r="C85" s="4">
        <v>0.3</v>
      </c>
      <c r="D85" s="13">
        <v>0.78819444444444442</v>
      </c>
      <c r="E85" s="76" t="s">
        <v>62</v>
      </c>
      <c r="F85" s="9">
        <f>F80/L80*L85</f>
        <v>103.03021130597568</v>
      </c>
      <c r="G85" s="9" t="s">
        <v>62</v>
      </c>
      <c r="H85" s="9">
        <f>H81/L81*L85</f>
        <v>152.50880100852834</v>
      </c>
      <c r="I85" s="9"/>
      <c r="J85" s="9" t="s">
        <v>10</v>
      </c>
      <c r="K85" s="9"/>
      <c r="L85" s="9">
        <v>98.585121635914902</v>
      </c>
      <c r="M85" s="9"/>
      <c r="N85" s="9" t="s">
        <v>10</v>
      </c>
      <c r="O85" s="80">
        <f t="shared" si="3"/>
        <v>354.12413395041892</v>
      </c>
    </row>
    <row r="86" spans="1:15" x14ac:dyDescent="0.25">
      <c r="A86" s="77"/>
      <c r="B86" s="8"/>
      <c r="C86" s="4"/>
      <c r="D86" s="13"/>
      <c r="E86" s="76"/>
      <c r="G86" s="9"/>
      <c r="I86" s="9"/>
      <c r="K86" s="9"/>
      <c r="M86" s="9"/>
      <c r="N86" s="9"/>
      <c r="O86" s="80"/>
    </row>
    <row r="87" spans="1:15" x14ac:dyDescent="0.25">
      <c r="A87" s="77">
        <v>46098</v>
      </c>
      <c r="B87" s="8" t="s">
        <v>60</v>
      </c>
      <c r="C87" s="4">
        <v>0.16</v>
      </c>
      <c r="D87" s="13">
        <v>0.76458333333333328</v>
      </c>
      <c r="E87" s="76" t="s">
        <v>62</v>
      </c>
      <c r="F87" s="9">
        <f>F88/J88*J87</f>
        <v>205.30378182946248</v>
      </c>
      <c r="G87" s="9"/>
      <c r="H87" s="9">
        <v>174</v>
      </c>
      <c r="I87" s="9"/>
      <c r="J87" s="9">
        <v>189.686930490225</v>
      </c>
      <c r="K87" s="9"/>
      <c r="L87" s="9" t="s">
        <v>10</v>
      </c>
      <c r="M87" s="9"/>
      <c r="N87" s="9" t="s">
        <v>10</v>
      </c>
      <c r="O87" s="80">
        <f t="shared" si="3"/>
        <v>568.99071231968742</v>
      </c>
    </row>
    <row r="88" spans="1:15" x14ac:dyDescent="0.25">
      <c r="A88" s="77">
        <v>46099</v>
      </c>
      <c r="B88" s="8" t="s">
        <v>61</v>
      </c>
      <c r="C88" s="4">
        <v>0.26</v>
      </c>
      <c r="D88" s="13">
        <v>0.78749999999999998</v>
      </c>
      <c r="E88" s="76"/>
      <c r="F88" s="9">
        <f>(646.600304029591/1175.96419369991*127.322779660336)+127.322779660336</f>
        <v>197.33081942831774</v>
      </c>
      <c r="G88" s="9"/>
      <c r="H88" s="9">
        <v>137.09980699769699</v>
      </c>
      <c r="I88" s="9"/>
      <c r="J88" s="9">
        <v>182.32044775273999</v>
      </c>
      <c r="K88" s="9"/>
      <c r="L88" s="9" t="s">
        <v>10</v>
      </c>
      <c r="M88" s="9"/>
      <c r="N88" s="9" t="s">
        <v>10</v>
      </c>
      <c r="O88" s="80">
        <f t="shared" si="3"/>
        <v>516.75107417875472</v>
      </c>
    </row>
    <row r="89" spans="1:15" x14ac:dyDescent="0.25">
      <c r="A89" s="77">
        <v>46100</v>
      </c>
      <c r="B89" s="8" t="s">
        <v>22</v>
      </c>
      <c r="C89" s="4">
        <v>0.54</v>
      </c>
      <c r="D89" s="13">
        <v>0.81111111111111112</v>
      </c>
      <c r="E89" s="76"/>
      <c r="F89" s="9">
        <f>(646.600304029591/1175.96419369991*197.784081319487)+197.784081319487</f>
        <v>306.53505162839144</v>
      </c>
      <c r="G89" s="9" t="s">
        <v>62</v>
      </c>
      <c r="H89" s="9">
        <f>H94/L94*L89</f>
        <v>337.66829583190406</v>
      </c>
      <c r="I89" s="9"/>
      <c r="J89" s="9" t="s">
        <v>10</v>
      </c>
      <c r="K89" s="9"/>
      <c r="L89" s="9">
        <v>178.913739265179</v>
      </c>
      <c r="M89" s="9"/>
      <c r="N89" s="9" t="s">
        <v>10</v>
      </c>
      <c r="O89" s="80">
        <f t="shared" si="3"/>
        <v>823.11708672547456</v>
      </c>
    </row>
    <row r="90" spans="1:15" x14ac:dyDescent="0.25">
      <c r="A90" s="77">
        <v>46101</v>
      </c>
      <c r="B90" s="8" t="s">
        <v>18</v>
      </c>
      <c r="C90" s="4">
        <v>-0.09</v>
      </c>
      <c r="D90" s="13">
        <v>0.33333333333333331</v>
      </c>
      <c r="E90" s="76" t="s">
        <v>62</v>
      </c>
      <c r="F90" s="9">
        <f>F89/L89*L90</f>
        <v>504.21888084180341</v>
      </c>
      <c r="G90" s="9" t="s">
        <v>62</v>
      </c>
      <c r="H90" s="9">
        <f>H94/L94*L90</f>
        <v>555.4298906949283</v>
      </c>
      <c r="I90" s="9"/>
      <c r="J90" s="9" t="s">
        <v>10</v>
      </c>
      <c r="K90" s="9"/>
      <c r="L90" s="9">
        <v>294.29484458721299</v>
      </c>
      <c r="M90" s="9"/>
      <c r="N90" s="9" t="s">
        <v>10</v>
      </c>
      <c r="O90" s="80">
        <f t="shared" si="3"/>
        <v>1353.9436161239446</v>
      </c>
    </row>
    <row r="91" spans="1:15" x14ac:dyDescent="0.25">
      <c r="A91" s="77">
        <v>46102</v>
      </c>
      <c r="B91" s="8" t="s">
        <v>19</v>
      </c>
      <c r="C91" s="4">
        <v>-0.48</v>
      </c>
      <c r="D91" s="13">
        <v>0.36319444444444443</v>
      </c>
      <c r="E91" s="76" t="s">
        <v>62</v>
      </c>
      <c r="F91" s="9">
        <f>F92/J92*J91</f>
        <v>1606.0508463516812</v>
      </c>
      <c r="G91" s="9" t="s">
        <v>62</v>
      </c>
      <c r="H91" s="9">
        <f>H92/J92*J91</f>
        <v>2329.3373084848076</v>
      </c>
      <c r="I91" s="9"/>
      <c r="J91" s="9">
        <v>3919.6379962516698</v>
      </c>
      <c r="K91" s="9"/>
      <c r="L91" s="9" t="s">
        <v>10</v>
      </c>
      <c r="M91" s="9"/>
      <c r="N91" s="9" t="s">
        <v>10</v>
      </c>
      <c r="O91" s="80">
        <f t="shared" si="3"/>
        <v>7855.0261510881592</v>
      </c>
    </row>
    <row r="92" spans="1:15" x14ac:dyDescent="0.25">
      <c r="A92" s="77">
        <v>46103</v>
      </c>
      <c r="B92" s="8" t="s">
        <v>20</v>
      </c>
      <c r="C92" s="4">
        <v>-0.6</v>
      </c>
      <c r="D92" s="13">
        <v>0.39513888888888887</v>
      </c>
      <c r="E92" s="76"/>
      <c r="F92" s="9">
        <f>646.600304029591+1175.96419369991</f>
        <v>1822.564497729501</v>
      </c>
      <c r="G92" s="9"/>
      <c r="H92" s="9">
        <v>2643.3580800539498</v>
      </c>
      <c r="I92" s="9"/>
      <c r="J92" s="9">
        <v>4448.0491213262603</v>
      </c>
      <c r="K92" s="9"/>
      <c r="L92" s="9" t="s">
        <v>10</v>
      </c>
      <c r="M92" s="9"/>
      <c r="N92" s="9" t="s">
        <v>10</v>
      </c>
      <c r="O92" s="80">
        <f t="shared" si="3"/>
        <v>8913.9716991097121</v>
      </c>
    </row>
    <row r="93" spans="1:15" x14ac:dyDescent="0.25">
      <c r="A93" s="77">
        <v>46104</v>
      </c>
      <c r="B93" s="8" t="s">
        <v>21</v>
      </c>
      <c r="C93" s="4">
        <v>-0.46</v>
      </c>
      <c r="D93" s="13">
        <v>0.43194444444444446</v>
      </c>
      <c r="E93" s="76" t="s">
        <v>62</v>
      </c>
      <c r="F93" s="9">
        <f>F89/L89*L93</f>
        <v>1590.1737202280767</v>
      </c>
      <c r="G93" s="9" t="s">
        <v>62</v>
      </c>
      <c r="H93" s="9">
        <f>H94/L94*L93</f>
        <v>1751.6797747392127</v>
      </c>
      <c r="I93" s="9"/>
      <c r="J93" s="9" t="s">
        <v>10</v>
      </c>
      <c r="K93" s="9"/>
      <c r="L93" s="9">
        <v>928.12852838808897</v>
      </c>
      <c r="M93" s="9"/>
      <c r="N93" s="9" t="s">
        <v>10</v>
      </c>
      <c r="O93" s="80">
        <f t="shared" si="3"/>
        <v>4269.9820233553783</v>
      </c>
    </row>
    <row r="94" spans="1:15" x14ac:dyDescent="0.25">
      <c r="A94" s="77">
        <v>46105</v>
      </c>
      <c r="B94" s="8" t="s">
        <v>60</v>
      </c>
      <c r="C94" s="4">
        <v>-0.14000000000000001</v>
      </c>
      <c r="D94" s="13">
        <v>0.47291666666666665</v>
      </c>
      <c r="E94" s="76" t="s">
        <v>62</v>
      </c>
      <c r="F94" s="9">
        <f>F89/L89*L94</f>
        <v>59.525699726326224</v>
      </c>
      <c r="G94" s="9"/>
      <c r="H94" s="9">
        <v>65.571429688103393</v>
      </c>
      <c r="I94" s="9"/>
      <c r="J94" s="9" t="s">
        <v>10</v>
      </c>
      <c r="K94" s="9"/>
      <c r="L94" s="9">
        <v>34.743059444060201</v>
      </c>
      <c r="M94" s="9"/>
      <c r="N94" s="9" t="s">
        <v>10</v>
      </c>
      <c r="O94" s="80">
        <f t="shared" si="3"/>
        <v>159.84018885848982</v>
      </c>
    </row>
    <row r="95" spans="1:15" x14ac:dyDescent="0.25">
      <c r="A95" s="77"/>
      <c r="B95" s="8"/>
      <c r="C95" s="4"/>
      <c r="D95" s="13"/>
      <c r="E95" s="76"/>
      <c r="G95" s="9"/>
      <c r="I95" s="9"/>
      <c r="K95" s="9"/>
      <c r="M95" s="9"/>
      <c r="N95" s="9"/>
      <c r="O95" s="80"/>
    </row>
    <row r="96" spans="1:15" x14ac:dyDescent="0.25">
      <c r="A96" s="77">
        <v>46113</v>
      </c>
      <c r="B96" s="8" t="s">
        <v>61</v>
      </c>
      <c r="C96" s="4">
        <v>0.49</v>
      </c>
      <c r="D96" s="13">
        <v>0.28125</v>
      </c>
      <c r="E96" s="76" t="s">
        <v>62</v>
      </c>
      <c r="F96" s="9">
        <f>F101/L101*L96</f>
        <v>168.84183894684082</v>
      </c>
      <c r="G96" s="9"/>
      <c r="H96" s="9">
        <v>109.99999562899301</v>
      </c>
      <c r="I96" s="9"/>
      <c r="J96" s="9" t="s">
        <v>10</v>
      </c>
      <c r="K96" s="9"/>
      <c r="L96" s="9">
        <v>94.999996225039297</v>
      </c>
      <c r="M96" s="9"/>
      <c r="N96" s="9" t="s">
        <v>10</v>
      </c>
      <c r="O96" s="80">
        <f t="shared" si="3"/>
        <v>373.84183080087314</v>
      </c>
    </row>
    <row r="97" spans="1:15" x14ac:dyDescent="0.25">
      <c r="A97" s="77">
        <v>46114</v>
      </c>
      <c r="B97" s="8" t="s">
        <v>22</v>
      </c>
      <c r="C97" s="4">
        <v>7.0000000000000007E-2</v>
      </c>
      <c r="D97" s="13">
        <v>0.30694444444444446</v>
      </c>
      <c r="E97" s="76" t="s">
        <v>62</v>
      </c>
      <c r="F97" s="9">
        <f>F101/L101*L97</f>
        <v>385.94276675537265</v>
      </c>
      <c r="G97" s="9" t="s">
        <v>62</v>
      </c>
      <c r="H97" s="9">
        <f>H96/L96*L97</f>
        <v>251.44065547342706</v>
      </c>
      <c r="I97" s="9"/>
      <c r="J97" s="9" t="s">
        <v>10</v>
      </c>
      <c r="K97" s="9"/>
      <c r="L97" s="9">
        <v>217.15329336341401</v>
      </c>
      <c r="M97" s="9"/>
      <c r="N97" s="9" t="s">
        <v>10</v>
      </c>
      <c r="O97" s="80">
        <f t="shared" si="3"/>
        <v>854.53671559221368</v>
      </c>
    </row>
    <row r="98" spans="1:15" x14ac:dyDescent="0.25">
      <c r="A98" s="77">
        <v>46115</v>
      </c>
      <c r="B98" s="8" t="s">
        <v>18</v>
      </c>
      <c r="C98" s="4">
        <v>-0.17</v>
      </c>
      <c r="D98" s="13">
        <v>0.33124999999999999</v>
      </c>
      <c r="E98" s="76"/>
      <c r="F98" s="9">
        <f>(514.120961364698/609.691696425349*533.146160095799)+533.146160095799</f>
        <v>982.72029401203895</v>
      </c>
      <c r="G98" s="9" t="s">
        <v>62</v>
      </c>
      <c r="H98" s="9">
        <f>H101/F101*F98</f>
        <v>759.10695882350581</v>
      </c>
      <c r="I98" s="9"/>
      <c r="J98" s="9">
        <v>1029.8979904908499</v>
      </c>
      <c r="K98" s="9"/>
      <c r="L98" s="9" t="s">
        <v>10</v>
      </c>
      <c r="M98" s="9"/>
      <c r="N98" s="9" t="s">
        <v>10</v>
      </c>
      <c r="O98" s="80">
        <f t="shared" si="3"/>
        <v>2771.7252433263948</v>
      </c>
    </row>
    <row r="99" spans="1:15" x14ac:dyDescent="0.25">
      <c r="A99" s="77">
        <v>46116</v>
      </c>
      <c r="B99" s="8" t="s">
        <v>19</v>
      </c>
      <c r="C99" s="4">
        <v>-0.22</v>
      </c>
      <c r="D99" s="13">
        <v>0.35555555555555557</v>
      </c>
      <c r="E99" s="76" t="s">
        <v>62</v>
      </c>
      <c r="F99" s="9">
        <f>F101/H101*H99</f>
        <v>2292.1371758610444</v>
      </c>
      <c r="G99" s="9"/>
      <c r="H99" s="9">
        <v>1770.57224866149</v>
      </c>
      <c r="I99" s="9"/>
      <c r="J99" s="9">
        <v>3146.9461074893202</v>
      </c>
      <c r="K99" s="9"/>
      <c r="L99" s="9" t="s">
        <v>10</v>
      </c>
      <c r="M99" s="9"/>
      <c r="N99" s="9" t="s">
        <v>10</v>
      </c>
      <c r="O99" s="80">
        <f t="shared" si="3"/>
        <v>7209.655532011855</v>
      </c>
    </row>
    <row r="100" spans="1:15" x14ac:dyDescent="0.25">
      <c r="A100" s="77">
        <v>46117</v>
      </c>
      <c r="B100" s="8" t="s">
        <v>20</v>
      </c>
      <c r="C100" s="4">
        <v>-0.1</v>
      </c>
      <c r="D100" s="13">
        <v>0.38055555555555554</v>
      </c>
      <c r="E100" s="76"/>
      <c r="F100" s="9">
        <f>(514.120961364698/609.691696425349*351.419930201588)+351.419930201588</f>
        <v>647.75388622763512</v>
      </c>
      <c r="G100" s="9" t="s">
        <v>62</v>
      </c>
      <c r="H100" s="9">
        <f>H96/L96*L100</f>
        <v>1265.9456088240227</v>
      </c>
      <c r="I100" s="9"/>
      <c r="J100" s="9" t="s">
        <v>10</v>
      </c>
      <c r="K100" s="9"/>
      <c r="L100" s="9">
        <v>1093.3166621662001</v>
      </c>
      <c r="M100" s="9"/>
      <c r="N100" s="9" t="s">
        <v>10</v>
      </c>
      <c r="O100" s="80">
        <f t="shared" si="3"/>
        <v>3007.0161572178577</v>
      </c>
    </row>
    <row r="101" spans="1:15" x14ac:dyDescent="0.25">
      <c r="A101" s="77">
        <v>46118</v>
      </c>
      <c r="B101" s="8" t="s">
        <v>21</v>
      </c>
      <c r="C101" s="4">
        <v>0.15</v>
      </c>
      <c r="D101" s="13">
        <v>0.40694444444444444</v>
      </c>
      <c r="E101" s="76"/>
      <c r="F101" s="9">
        <f>514.120961364698+609.691696425349</f>
        <v>1123.8126577900471</v>
      </c>
      <c r="G101" s="9"/>
      <c r="H101" s="9">
        <v>868.09442538276596</v>
      </c>
      <c r="I101" s="9"/>
      <c r="J101" s="9" t="s">
        <v>10</v>
      </c>
      <c r="K101" s="9"/>
      <c r="L101" s="9">
        <v>632.32075007972105</v>
      </c>
      <c r="M101" s="9"/>
      <c r="N101" s="9" t="s">
        <v>10</v>
      </c>
      <c r="O101" s="80">
        <f t="shared" si="3"/>
        <v>2624.2278332525343</v>
      </c>
    </row>
    <row r="102" spans="1:15" x14ac:dyDescent="0.25">
      <c r="A102" s="77">
        <v>46119</v>
      </c>
      <c r="B102" s="8" t="s">
        <v>60</v>
      </c>
      <c r="C102" s="4">
        <v>0.51</v>
      </c>
      <c r="D102" s="13">
        <v>0.4375</v>
      </c>
      <c r="E102" s="76" t="s">
        <v>62</v>
      </c>
      <c r="F102" s="9">
        <f>F98/J98*J102</f>
        <v>1098.663577335655</v>
      </c>
      <c r="G102" s="9"/>
      <c r="H102" s="9">
        <v>1122.55263909166</v>
      </c>
      <c r="I102" s="9"/>
      <c r="J102" s="9">
        <v>1151.40739172485</v>
      </c>
      <c r="K102" s="9"/>
      <c r="L102" s="9" t="s">
        <v>10</v>
      </c>
      <c r="M102" s="9"/>
      <c r="N102" s="9" t="s">
        <v>10</v>
      </c>
      <c r="O102" s="80">
        <f>SUM(F102:N102)</f>
        <v>3372.6236081521647</v>
      </c>
    </row>
    <row r="103" spans="1:15" x14ac:dyDescent="0.25">
      <c r="A103" s="77"/>
      <c r="B103" s="8"/>
      <c r="C103" s="4"/>
      <c r="D103" s="13"/>
      <c r="E103" s="76"/>
      <c r="G103" s="9"/>
      <c r="I103" s="9"/>
      <c r="K103" s="9"/>
      <c r="M103" s="9"/>
      <c r="N103" s="9"/>
      <c r="O103" s="80"/>
    </row>
    <row r="104" spans="1:15" x14ac:dyDescent="0.25">
      <c r="A104" s="77">
        <v>46129</v>
      </c>
      <c r="B104" s="8" t="s">
        <v>18</v>
      </c>
      <c r="C104" s="4">
        <v>-0.94</v>
      </c>
      <c r="D104" s="13">
        <v>0.2902777777777778</v>
      </c>
      <c r="E104" s="76" t="s">
        <v>62</v>
      </c>
      <c r="F104" s="9">
        <f>F105/L105*L104</f>
        <v>1107.6680536412723</v>
      </c>
      <c r="G104" s="9"/>
      <c r="H104" s="9">
        <v>669.61109292003596</v>
      </c>
      <c r="I104" s="9"/>
      <c r="J104" s="9" t="s">
        <v>10</v>
      </c>
      <c r="K104" s="9"/>
      <c r="L104" s="9">
        <v>873.16171725355002</v>
      </c>
      <c r="M104" s="9"/>
      <c r="N104" s="9" t="s">
        <v>10</v>
      </c>
      <c r="O104" s="9">
        <f>SUM(F104:N104)</f>
        <v>2650.4408638148579</v>
      </c>
    </row>
    <row r="105" spans="1:15" x14ac:dyDescent="0.25">
      <c r="A105" s="77">
        <v>46130</v>
      </c>
      <c r="B105" s="8" t="s">
        <v>19</v>
      </c>
      <c r="C105" s="4">
        <v>-1.51</v>
      </c>
      <c r="D105" s="13">
        <v>0.32013888888888886</v>
      </c>
      <c r="E105" s="76"/>
      <c r="F105" s="9">
        <f>(1790.79146317277/2155.48151798304*1848.78538879947)+1848.78538879947</f>
        <v>3384.771229493972</v>
      </c>
      <c r="G105" s="9"/>
      <c r="H105" s="9">
        <v>2271.1863631761398</v>
      </c>
      <c r="I105" s="9"/>
      <c r="J105" s="9" t="s">
        <v>10</v>
      </c>
      <c r="K105" s="9"/>
      <c r="L105" s="9">
        <v>2668.1754064675001</v>
      </c>
      <c r="M105" s="9"/>
      <c r="N105" s="9" t="s">
        <v>10</v>
      </c>
      <c r="O105" s="9">
        <f t="shared" ref="O105:O110" si="4">SUM(F105:N105)</f>
        <v>8324.1329991376115</v>
      </c>
    </row>
    <row r="106" spans="1:15" x14ac:dyDescent="0.25">
      <c r="A106" s="77">
        <v>46131</v>
      </c>
      <c r="B106" s="8" t="s">
        <v>20</v>
      </c>
      <c r="C106" s="4">
        <v>-1.75</v>
      </c>
      <c r="D106" s="13">
        <v>0.35138888888888886</v>
      </c>
      <c r="E106" s="76"/>
      <c r="F106" s="9">
        <f>1790.79146317277+2155.48151798304</f>
        <v>3946.2729811558097</v>
      </c>
      <c r="G106" s="9"/>
      <c r="H106" s="9">
        <v>1992.1123996772601</v>
      </c>
      <c r="I106" s="9"/>
      <c r="J106" s="9">
        <v>4133.6056297543901</v>
      </c>
      <c r="K106" s="9"/>
      <c r="L106" s="9" t="s">
        <v>10</v>
      </c>
      <c r="M106" s="9"/>
      <c r="N106" s="9" t="s">
        <v>10</v>
      </c>
      <c r="O106" s="9">
        <f t="shared" si="4"/>
        <v>10071.991010587459</v>
      </c>
    </row>
    <row r="107" spans="1:15" x14ac:dyDescent="0.25">
      <c r="A107" s="77">
        <v>46132</v>
      </c>
      <c r="B107" s="8" t="s">
        <v>21</v>
      </c>
      <c r="C107" s="4">
        <v>-1.67</v>
      </c>
      <c r="D107" s="13">
        <v>0.38472222222222224</v>
      </c>
      <c r="E107" s="76" t="s">
        <v>62</v>
      </c>
      <c r="F107" s="9">
        <f>F106/J106*J107</f>
        <v>2692.0586685256321</v>
      </c>
      <c r="G107" s="9" t="s">
        <v>62</v>
      </c>
      <c r="H107" s="9">
        <f>H106/J106*J107</f>
        <v>1358.9742726459465</v>
      </c>
      <c r="I107" s="9"/>
      <c r="J107" s="9">
        <v>2819.8527879304102</v>
      </c>
      <c r="K107" s="9"/>
      <c r="L107" s="9" t="s">
        <v>10</v>
      </c>
      <c r="M107" s="9"/>
      <c r="N107" s="9" t="s">
        <v>10</v>
      </c>
      <c r="O107" s="9">
        <f t="shared" si="4"/>
        <v>6870.8857291019885</v>
      </c>
    </row>
    <row r="108" spans="1:15" x14ac:dyDescent="0.25">
      <c r="A108" s="77">
        <v>46133</v>
      </c>
      <c r="B108" s="8" t="s">
        <v>60</v>
      </c>
      <c r="C108" s="4">
        <v>-1.3</v>
      </c>
      <c r="D108" s="13">
        <v>0.42152777777777778</v>
      </c>
      <c r="E108" s="76" t="s">
        <v>62</v>
      </c>
      <c r="F108" s="9">
        <f>F109/L109*L108</f>
        <v>1740.8120231546238</v>
      </c>
      <c r="G108" s="9" t="s">
        <v>62</v>
      </c>
      <c r="H108" s="9">
        <f>H109/L109*L108</f>
        <v>1627.923071825941</v>
      </c>
      <c r="I108" s="9"/>
      <c r="J108" s="9" t="s">
        <v>10</v>
      </c>
      <c r="K108" s="9"/>
      <c r="L108" s="9">
        <v>1181.0927559577001</v>
      </c>
      <c r="M108" s="9"/>
      <c r="N108" s="9" t="s">
        <v>10</v>
      </c>
      <c r="O108" s="9">
        <f t="shared" si="4"/>
        <v>4549.8278509382653</v>
      </c>
    </row>
    <row r="109" spans="1:15" x14ac:dyDescent="0.25">
      <c r="A109" s="77">
        <v>46134</v>
      </c>
      <c r="B109" s="8" t="s">
        <v>61</v>
      </c>
      <c r="C109" s="4">
        <v>-0.78</v>
      </c>
      <c r="D109" s="13">
        <v>0.46250000000000002</v>
      </c>
      <c r="E109" s="76"/>
      <c r="F109" s="9">
        <f>(1790.79146317277/2155.48151798304*415.938482839914)+415.938482839914</f>
        <v>761.50353550236628</v>
      </c>
      <c r="G109" s="9"/>
      <c r="H109" s="9">
        <v>712.12121597991495</v>
      </c>
      <c r="I109" s="9"/>
      <c r="J109" s="9" t="s">
        <v>10</v>
      </c>
      <c r="K109" s="9"/>
      <c r="L109" s="9">
        <v>516.65906338822106</v>
      </c>
      <c r="M109" s="9"/>
      <c r="N109" s="9" t="s">
        <v>10</v>
      </c>
      <c r="O109" s="9">
        <f t="shared" si="4"/>
        <v>1990.2838148705023</v>
      </c>
    </row>
    <row r="110" spans="1:15" x14ac:dyDescent="0.25">
      <c r="A110" s="77">
        <v>46135</v>
      </c>
      <c r="B110" s="8" t="s">
        <v>22</v>
      </c>
      <c r="C110" s="4">
        <v>-0.22</v>
      </c>
      <c r="D110" s="13">
        <v>0.50763888888888886</v>
      </c>
      <c r="E110" s="76" t="s">
        <v>62</v>
      </c>
      <c r="F110" s="9">
        <f>F106/J106*J110</f>
        <v>938.37632406326998</v>
      </c>
      <c r="G110" s="9" t="s">
        <v>62</v>
      </c>
      <c r="H110" s="9">
        <f>H106/J106*J110</f>
        <v>473.70040533346463</v>
      </c>
      <c r="I110" s="9"/>
      <c r="J110" s="9">
        <v>982.92177821922803</v>
      </c>
      <c r="K110" s="9"/>
      <c r="L110" s="9" t="s">
        <v>10</v>
      </c>
      <c r="M110" s="9"/>
      <c r="N110" s="9" t="s">
        <v>10</v>
      </c>
      <c r="O110" s="9">
        <f t="shared" si="4"/>
        <v>2394.9985076159628</v>
      </c>
    </row>
    <row r="111" spans="1:15" x14ac:dyDescent="0.25">
      <c r="A111" s="77"/>
      <c r="B111" s="8"/>
      <c r="C111" s="4"/>
      <c r="D111" s="13"/>
      <c r="E111" s="76"/>
      <c r="G111" s="9"/>
      <c r="I111" s="9"/>
      <c r="K111" s="9"/>
      <c r="M111" s="9"/>
      <c r="N111" s="9"/>
    </row>
    <row r="112" spans="1:15" x14ac:dyDescent="0.25">
      <c r="A112" s="77">
        <v>46142</v>
      </c>
      <c r="B112" s="8" t="s">
        <v>22</v>
      </c>
      <c r="C112" s="4">
        <v>-0.32</v>
      </c>
      <c r="D112" s="13">
        <v>0.26805555555555555</v>
      </c>
      <c r="E112" s="76" t="s">
        <v>62</v>
      </c>
      <c r="F112" s="9">
        <f>F115/L115*L112</f>
        <v>287.27515066621663</v>
      </c>
      <c r="G112" s="9"/>
      <c r="H112" s="9">
        <v>248.58756213868199</v>
      </c>
      <c r="I112" s="9"/>
      <c r="J112" s="9" t="s">
        <v>10</v>
      </c>
      <c r="K112" s="9"/>
      <c r="L112" s="9">
        <v>253.30921614639399</v>
      </c>
      <c r="M112" s="9"/>
      <c r="N112" s="9" t="s">
        <v>10</v>
      </c>
      <c r="O112" s="80">
        <f>SUM(F112:N112)</f>
        <v>789.17192895129256</v>
      </c>
    </row>
    <row r="113" spans="1:16" x14ac:dyDescent="0.25">
      <c r="A113" s="77">
        <v>46143</v>
      </c>
      <c r="B113" s="8" t="s">
        <v>18</v>
      </c>
      <c r="C113" s="4">
        <v>-0.66</v>
      </c>
      <c r="D113" s="13">
        <v>0.29236111111111113</v>
      </c>
      <c r="E113" s="76"/>
      <c r="F113" s="9">
        <f>354.663818883223+575.492234414286</f>
        <v>930.15605329750906</v>
      </c>
      <c r="G113" s="9"/>
      <c r="H113" s="9">
        <v>661.330799780559</v>
      </c>
      <c r="I113" s="9"/>
      <c r="J113" s="9">
        <v>1117.99713812154</v>
      </c>
      <c r="K113" s="9"/>
      <c r="L113" s="9" t="s">
        <v>10</v>
      </c>
      <c r="M113" s="9"/>
      <c r="N113" s="9" t="s">
        <v>10</v>
      </c>
      <c r="O113" s="80">
        <f t="shared" si="3"/>
        <v>2709.4839911996082</v>
      </c>
    </row>
    <row r="114" spans="1:16" x14ac:dyDescent="0.25">
      <c r="A114" s="77">
        <v>46144</v>
      </c>
      <c r="B114" s="8" t="s">
        <v>19</v>
      </c>
      <c r="C114" s="4">
        <v>-0.83</v>
      </c>
      <c r="D114" s="13">
        <v>0.31597222222222221</v>
      </c>
      <c r="E114" s="76" t="s">
        <v>62</v>
      </c>
      <c r="F114" s="9">
        <f>F118/H118*H114</f>
        <v>2517.6548873231941</v>
      </c>
      <c r="G114" s="9"/>
      <c r="H114" s="9">
        <v>2321.1649569442602</v>
      </c>
      <c r="I114" s="9"/>
      <c r="J114" s="9">
        <v>3223.3604805628502</v>
      </c>
      <c r="K114" s="9"/>
      <c r="L114" s="9" t="s">
        <v>10</v>
      </c>
      <c r="M114" s="9"/>
      <c r="N114" s="9" t="s">
        <v>10</v>
      </c>
      <c r="O114" s="80">
        <f t="shared" si="3"/>
        <v>8062.1803248303049</v>
      </c>
    </row>
    <row r="115" spans="1:16" x14ac:dyDescent="0.25">
      <c r="A115" s="77">
        <v>46145</v>
      </c>
      <c r="B115" s="8" t="s">
        <v>20</v>
      </c>
      <c r="C115" s="4">
        <v>-0.82</v>
      </c>
      <c r="D115" s="13">
        <v>0.33888888888888891</v>
      </c>
      <c r="E115" s="76"/>
      <c r="F115" s="9">
        <f>(354.663818883223/575.492234414286*1307.51878940301)+1307.51878940301</f>
        <v>2113.3152526397489</v>
      </c>
      <c r="G115" s="9" t="s">
        <v>62</v>
      </c>
      <c r="H115" s="9">
        <f>H112/L112*L115</f>
        <v>1828.7132926947868</v>
      </c>
      <c r="I115" s="9"/>
      <c r="J115" s="9" t="s">
        <v>10</v>
      </c>
      <c r="K115" s="9"/>
      <c r="L115" s="9">
        <v>1863.4477394753201</v>
      </c>
      <c r="M115" s="9"/>
      <c r="N115" s="9" t="s">
        <v>10</v>
      </c>
      <c r="O115" s="80">
        <f>SUM(F115:N115)</f>
        <v>5805.4762848098562</v>
      </c>
    </row>
    <row r="116" spans="1:16" x14ac:dyDescent="0.25">
      <c r="A116" s="77">
        <v>46146</v>
      </c>
      <c r="B116" s="8" t="s">
        <v>21</v>
      </c>
      <c r="C116" s="4">
        <v>-0.68</v>
      </c>
      <c r="D116" s="13">
        <v>0.36319444444444443</v>
      </c>
      <c r="E116" s="76" t="s">
        <v>62</v>
      </c>
      <c r="F116" s="9">
        <f>F118/H118*H116</f>
        <v>1101.0855474521143</v>
      </c>
      <c r="G116" s="9"/>
      <c r="H116" s="9">
        <v>1015.15152065222</v>
      </c>
      <c r="I116" s="9"/>
      <c r="J116" s="9" t="s">
        <v>10</v>
      </c>
      <c r="K116" s="9"/>
      <c r="L116" s="9">
        <v>548.16209603108302</v>
      </c>
      <c r="M116" s="9"/>
      <c r="N116" s="9" t="s">
        <v>10</v>
      </c>
      <c r="O116" s="80">
        <f t="shared" si="3"/>
        <v>2664.3991641354173</v>
      </c>
    </row>
    <row r="117" spans="1:16" x14ac:dyDescent="0.25">
      <c r="A117" s="77">
        <v>46147</v>
      </c>
      <c r="B117" s="8" t="s">
        <v>60</v>
      </c>
      <c r="C117" s="4">
        <v>-0.42</v>
      </c>
      <c r="D117" s="13">
        <v>0.38958333333333334</v>
      </c>
      <c r="E117" s="76" t="s">
        <v>62</v>
      </c>
      <c r="F117" s="9">
        <f>F118/H118*H117</f>
        <v>1133.6751836386113</v>
      </c>
      <c r="G117" s="9"/>
      <c r="H117" s="9">
        <v>1045.1977044467301</v>
      </c>
      <c r="I117" s="9"/>
      <c r="J117" s="9">
        <v>1442.70647721045</v>
      </c>
      <c r="K117" s="9"/>
      <c r="L117" s="9" t="s">
        <v>10</v>
      </c>
      <c r="M117" s="9"/>
      <c r="N117" s="9" t="s">
        <v>10</v>
      </c>
      <c r="O117" s="80">
        <f t="shared" si="3"/>
        <v>3621.5793652957914</v>
      </c>
    </row>
    <row r="118" spans="1:16" x14ac:dyDescent="0.25">
      <c r="A118" s="77">
        <v>46148</v>
      </c>
      <c r="B118" s="8" t="s">
        <v>61</v>
      </c>
      <c r="C118" s="4">
        <v>-0.11</v>
      </c>
      <c r="D118" s="13">
        <v>0.41875000000000001</v>
      </c>
      <c r="E118" s="76"/>
      <c r="F118" s="9">
        <f>(354.663818883223/575.492234414286*643.117667278618)+643.117667278618</f>
        <v>1039.4576250200921</v>
      </c>
      <c r="G118" s="9"/>
      <c r="H118" s="9">
        <v>958.33333852616204</v>
      </c>
      <c r="I118" s="9"/>
      <c r="J118" s="9">
        <v>1033.1492039321899</v>
      </c>
      <c r="K118" s="9"/>
      <c r="L118" s="9" t="s">
        <v>10</v>
      </c>
      <c r="M118" s="9"/>
      <c r="N118" s="9" t="s">
        <v>10</v>
      </c>
      <c r="O118" s="80">
        <f t="shared" si="3"/>
        <v>3030.940167478444</v>
      </c>
    </row>
    <row r="119" spans="1:16" x14ac:dyDescent="0.25">
      <c r="A119" s="77"/>
      <c r="B119" s="8"/>
      <c r="C119" s="4"/>
      <c r="D119" s="13"/>
      <c r="E119" s="76"/>
      <c r="G119" s="9"/>
      <c r="I119" s="9"/>
      <c r="K119" s="9"/>
      <c r="M119" s="9"/>
      <c r="N119" s="9"/>
    </row>
    <row r="120" spans="1:16" x14ac:dyDescent="0.25">
      <c r="A120" s="18" t="s">
        <v>23</v>
      </c>
      <c r="C120" s="8"/>
      <c r="D120" s="8"/>
      <c r="E120" s="6"/>
      <c r="F120" s="9">
        <f>SUM(F2:F119)</f>
        <v>104089.89881769694</v>
      </c>
      <c r="H120" s="9">
        <f>SUM(H2:H119)</f>
        <v>93256.286762591422</v>
      </c>
      <c r="J120" s="9">
        <f>SUM(J2:J119)</f>
        <v>72865.365829009272</v>
      </c>
      <c r="L120" s="9">
        <f>SUM(L2:L119)</f>
        <v>38562.771953033174</v>
      </c>
      <c r="N120" s="9">
        <f>SUM(N2:N119)</f>
        <v>0</v>
      </c>
      <c r="O120" s="9">
        <f>SUM(O2:O119)</f>
        <v>308774.32336233079</v>
      </c>
      <c r="P120" s="20">
        <f>SUM(F120,H120,J120,L120,N120)</f>
        <v>308774.32336233079</v>
      </c>
    </row>
    <row r="121" spans="1:16" x14ac:dyDescent="0.25">
      <c r="A121" s="19" t="s">
        <v>16</v>
      </c>
      <c r="C121" s="8"/>
      <c r="D121" s="8"/>
      <c r="E121" s="6"/>
    </row>
    <row r="122" spans="1:16" x14ac:dyDescent="0.25">
      <c r="A122" s="11" t="s">
        <v>17</v>
      </c>
      <c r="C122" s="8"/>
      <c r="D122" s="8"/>
      <c r="E122" s="6"/>
    </row>
    <row r="123" spans="1:16" x14ac:dyDescent="0.25">
      <c r="A123" t="s">
        <v>24</v>
      </c>
      <c r="C123" s="8"/>
      <c r="D123" s="8"/>
      <c r="E123" s="6"/>
    </row>
    <row r="150" spans="1:14" x14ac:dyDescent="0.25">
      <c r="A150" s="2"/>
      <c r="B150" s="7"/>
      <c r="C150" s="4"/>
      <c r="D150" s="5"/>
      <c r="E150" s="6"/>
      <c r="F150" s="74"/>
      <c r="G150" s="6"/>
      <c r="H150" s="74"/>
      <c r="J150" s="74"/>
      <c r="L150" s="74"/>
      <c r="N150" s="3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6"/>
  <sheetViews>
    <sheetView workbookViewId="0">
      <selection activeCell="J4" sqref="J4"/>
    </sheetView>
  </sheetViews>
  <sheetFormatPr defaultRowHeight="15" x14ac:dyDescent="0.25"/>
  <cols>
    <col min="1" max="1" width="20.7109375" customWidth="1"/>
    <col min="5" max="5" width="3.5703125" customWidth="1"/>
    <col min="6" max="6" width="15" style="4" customWidth="1"/>
    <col min="7" max="7" width="4" customWidth="1"/>
    <col min="8" max="8" width="13.85546875" style="21" customWidth="1"/>
    <col min="9" max="9" width="3.28515625" customWidth="1"/>
    <col min="10" max="10" width="14.28515625" style="21" customWidth="1"/>
    <col min="11" max="11" width="3.28515625" customWidth="1"/>
    <col min="12" max="12" width="15.42578125" style="21" customWidth="1"/>
    <col min="13" max="13" width="3.42578125" customWidth="1"/>
    <col min="14" max="14" width="16" customWidth="1"/>
    <col min="15" max="15" width="13.85546875" style="21" customWidth="1"/>
  </cols>
  <sheetData>
    <row r="1" spans="1:15" x14ac:dyDescent="0.25">
      <c r="A1" s="14" t="s">
        <v>0</v>
      </c>
      <c r="B1" s="1" t="s">
        <v>1</v>
      </c>
      <c r="C1" s="1" t="s">
        <v>2</v>
      </c>
      <c r="D1" s="12" t="s">
        <v>3</v>
      </c>
      <c r="E1" s="112" t="s">
        <v>4</v>
      </c>
      <c r="F1" s="112"/>
      <c r="G1" s="112" t="s">
        <v>5</v>
      </c>
      <c r="H1" s="112"/>
      <c r="I1" s="112" t="s">
        <v>6</v>
      </c>
      <c r="J1" s="112"/>
      <c r="K1" s="112" t="s">
        <v>7</v>
      </c>
      <c r="L1" s="112"/>
      <c r="M1" s="112" t="s">
        <v>8</v>
      </c>
      <c r="N1" s="112"/>
      <c r="O1" s="55" t="s">
        <v>9</v>
      </c>
    </row>
    <row r="2" spans="1:15" x14ac:dyDescent="0.25">
      <c r="A2" s="77">
        <v>45936</v>
      </c>
      <c r="B2" s="8" t="s">
        <v>21</v>
      </c>
      <c r="C2" s="4">
        <v>-0.21</v>
      </c>
      <c r="D2" s="13">
        <v>0.77430555555555558</v>
      </c>
      <c r="E2" s="76" t="s">
        <v>62</v>
      </c>
      <c r="F2" s="4">
        <v>15</v>
      </c>
      <c r="G2" s="4"/>
      <c r="H2" s="4">
        <f>+Harvest!H2/Effort!H2</f>
        <v>15.000000000000028</v>
      </c>
      <c r="I2" s="4"/>
      <c r="J2" s="4" t="s">
        <v>10</v>
      </c>
      <c r="K2" s="4"/>
      <c r="L2" s="4">
        <f>+Harvest!L2/Effort!L2</f>
        <v>15</v>
      </c>
      <c r="M2" s="8"/>
      <c r="N2" s="9" t="s">
        <v>10</v>
      </c>
      <c r="O2" s="4">
        <f>+Harvest!O2/Effort!O2</f>
        <v>15.000000000000011</v>
      </c>
    </row>
    <row r="3" spans="1:15" x14ac:dyDescent="0.25">
      <c r="A3" s="77">
        <v>45937</v>
      </c>
      <c r="B3" s="8" t="s">
        <v>60</v>
      </c>
      <c r="C3" s="4">
        <v>-0.95</v>
      </c>
      <c r="D3" s="13">
        <v>0.8041666666666667</v>
      </c>
      <c r="E3" s="76"/>
      <c r="F3" s="4">
        <f>+Harvest!F3/Effort!F3</f>
        <v>14.637981098405133</v>
      </c>
      <c r="G3" s="4" t="s">
        <v>62</v>
      </c>
      <c r="H3" s="4">
        <v>14</v>
      </c>
      <c r="I3" s="4"/>
      <c r="J3" s="4" t="s">
        <v>10</v>
      </c>
      <c r="K3" s="4"/>
      <c r="L3" s="4">
        <f>+Harvest!L3/Effort!L3</f>
        <v>13.444444444444462</v>
      </c>
      <c r="M3" s="8"/>
      <c r="N3" s="9" t="s">
        <v>10</v>
      </c>
      <c r="O3" s="4">
        <f>+Harvest!O3/Effort!O3</f>
        <v>14.096783761904531</v>
      </c>
    </row>
    <row r="4" spans="1:15" x14ac:dyDescent="0.25">
      <c r="A4" s="77">
        <v>45938</v>
      </c>
      <c r="B4" s="8" t="s">
        <v>61</v>
      </c>
      <c r="C4" s="4">
        <v>-1.41</v>
      </c>
      <c r="D4" s="13">
        <v>0.83472222222222225</v>
      </c>
      <c r="E4" s="76"/>
      <c r="F4" s="4">
        <v>11.9</v>
      </c>
      <c r="G4" s="4" t="s">
        <v>62</v>
      </c>
      <c r="H4" s="4">
        <v>14</v>
      </c>
      <c r="I4" s="4"/>
      <c r="J4" s="4">
        <f>+Harvest!J4/Effort!J4</f>
        <v>14.866666666666701</v>
      </c>
      <c r="K4" s="4"/>
      <c r="L4" s="4" t="s">
        <v>10</v>
      </c>
      <c r="M4" s="8"/>
      <c r="N4" s="9" t="s">
        <v>10</v>
      </c>
      <c r="O4" s="4">
        <f>+Harvest!O4/Effort!O4</f>
        <v>13.835135254538091</v>
      </c>
    </row>
    <row r="5" spans="1:15" x14ac:dyDescent="0.25">
      <c r="A5" s="77">
        <v>45939</v>
      </c>
      <c r="B5" s="8" t="s">
        <v>22</v>
      </c>
      <c r="C5" s="4">
        <v>-1.51</v>
      </c>
      <c r="D5" s="13">
        <v>0.86736111111111114</v>
      </c>
      <c r="E5" s="76" t="s">
        <v>62</v>
      </c>
      <c r="F5" s="4">
        <v>12</v>
      </c>
      <c r="G5" s="4"/>
      <c r="H5" s="4">
        <f>+Harvest!H5/Effort!H5</f>
        <v>14.999999999999986</v>
      </c>
      <c r="I5" s="4"/>
      <c r="J5" s="4">
        <f>+Harvest!J5/Effort!J5</f>
        <v>11.058823529411764</v>
      </c>
      <c r="K5" s="4"/>
      <c r="L5" s="4" t="s">
        <v>10</v>
      </c>
      <c r="M5" s="8"/>
      <c r="N5" s="9" t="s">
        <v>10</v>
      </c>
      <c r="O5" s="4">
        <f>+Harvest!O5/Effort!O5</f>
        <v>12.682310171682461</v>
      </c>
    </row>
    <row r="6" spans="1:15" x14ac:dyDescent="0.25">
      <c r="A6" s="77">
        <v>45940</v>
      </c>
      <c r="B6" s="8" t="s">
        <v>18</v>
      </c>
      <c r="C6" s="4">
        <v>-1.28</v>
      </c>
      <c r="D6" s="13">
        <v>0.90277777777777779</v>
      </c>
      <c r="E6" s="76"/>
      <c r="F6" s="4">
        <v>15</v>
      </c>
      <c r="G6" s="4"/>
      <c r="H6" s="4">
        <f>+Harvest!H6/Effort!H6</f>
        <v>15</v>
      </c>
      <c r="I6" s="4"/>
      <c r="J6" s="4" t="s">
        <v>10</v>
      </c>
      <c r="K6" s="4"/>
      <c r="L6" s="4">
        <f>+Harvest!L6/Effort!L6</f>
        <v>14.690909090909109</v>
      </c>
      <c r="M6" s="8"/>
      <c r="N6" s="9" t="s">
        <v>10</v>
      </c>
      <c r="O6" s="4">
        <f>+Harvest!O6/Effort!O6</f>
        <v>14.869308431017002</v>
      </c>
    </row>
    <row r="7" spans="1:15" x14ac:dyDescent="0.25">
      <c r="A7" s="77">
        <v>45941</v>
      </c>
      <c r="B7" s="8" t="s">
        <v>19</v>
      </c>
      <c r="C7" s="4">
        <v>-0.81</v>
      </c>
      <c r="D7" s="13">
        <v>0.94236111111111109</v>
      </c>
      <c r="E7" s="76" t="s">
        <v>62</v>
      </c>
      <c r="F7" s="4">
        <v>12</v>
      </c>
      <c r="G7" s="4"/>
      <c r="H7" s="4">
        <f>+Harvest!H7/Effort!H7</f>
        <v>10.294117647058826</v>
      </c>
      <c r="I7" s="4"/>
      <c r="J7" s="4" t="s">
        <v>10</v>
      </c>
      <c r="K7" s="4"/>
      <c r="L7" s="4">
        <f>+Harvest!L7/Effort!L7</f>
        <v>14.880000000000026</v>
      </c>
      <c r="M7" s="8"/>
      <c r="N7" s="9" t="s">
        <v>10</v>
      </c>
      <c r="O7" s="4">
        <f>+Harvest!O7/Effort!O7</f>
        <v>12.207806269343514</v>
      </c>
    </row>
    <row r="8" spans="1:15" x14ac:dyDescent="0.25">
      <c r="A8" s="77">
        <v>45942</v>
      </c>
      <c r="B8" s="8" t="s">
        <v>20</v>
      </c>
      <c r="C8" s="4">
        <v>-0.23</v>
      </c>
      <c r="D8" s="13">
        <v>0.9868055555555556</v>
      </c>
      <c r="E8" s="76" t="s">
        <v>62</v>
      </c>
      <c r="F8" s="4">
        <v>7</v>
      </c>
      <c r="G8" s="4" t="s">
        <v>62</v>
      </c>
      <c r="H8" s="4">
        <v>7</v>
      </c>
      <c r="I8" s="4"/>
      <c r="J8" s="4">
        <f>+Harvest!J8/Effort!J8</f>
        <v>6.9090909090909358</v>
      </c>
      <c r="K8" s="4"/>
      <c r="L8" s="4" t="s">
        <v>10</v>
      </c>
      <c r="M8" s="8"/>
      <c r="N8" s="9" t="s">
        <v>10</v>
      </c>
      <c r="O8" s="4">
        <f>+Harvest!O8/Effort!O8</f>
        <v>6.9643895872060604</v>
      </c>
    </row>
    <row r="9" spans="1:15" x14ac:dyDescent="0.25">
      <c r="A9" s="77"/>
      <c r="B9" s="8"/>
      <c r="C9" s="4"/>
      <c r="D9" s="13"/>
      <c r="E9" s="76"/>
      <c r="F9" s="9"/>
      <c r="G9" s="8"/>
      <c r="H9" s="9"/>
      <c r="I9" s="8"/>
      <c r="J9" s="9"/>
      <c r="K9" s="8"/>
      <c r="L9" s="4"/>
      <c r="M9" s="8"/>
      <c r="N9" s="9"/>
      <c r="O9" s="4"/>
    </row>
    <row r="10" spans="1:15" x14ac:dyDescent="0.25">
      <c r="A10" s="77">
        <v>45950</v>
      </c>
      <c r="B10" s="8" t="s">
        <v>21</v>
      </c>
      <c r="C10" s="4">
        <v>0.19</v>
      </c>
      <c r="D10" s="13">
        <v>0.77777777777777779</v>
      </c>
      <c r="E10" s="76"/>
      <c r="F10" s="4">
        <v>13.6</v>
      </c>
      <c r="G10" s="4"/>
      <c r="H10" s="4">
        <f>+Harvest!H10/Effort!H10</f>
        <v>14.486486486486488</v>
      </c>
      <c r="I10" s="8"/>
      <c r="J10" s="4">
        <f>+Harvest!J10/Effort!J10</f>
        <v>13.511627906976784</v>
      </c>
      <c r="K10" s="8"/>
      <c r="L10" s="4" t="s">
        <v>10</v>
      </c>
      <c r="M10" s="8"/>
      <c r="N10" s="9" t="s">
        <v>10</v>
      </c>
      <c r="O10" s="4">
        <f>+Harvest!O10/Effort!O10</f>
        <v>13.864616185493668</v>
      </c>
    </row>
    <row r="11" spans="1:15" x14ac:dyDescent="0.25">
      <c r="A11" s="77">
        <v>45951</v>
      </c>
      <c r="B11" s="8" t="s">
        <v>60</v>
      </c>
      <c r="C11" s="4">
        <v>-0.12</v>
      </c>
      <c r="D11" s="13">
        <v>0.80069444444444449</v>
      </c>
      <c r="E11" s="76" t="s">
        <v>62</v>
      </c>
      <c r="F11" s="4">
        <v>7.5</v>
      </c>
      <c r="G11" s="4" t="s">
        <v>62</v>
      </c>
      <c r="H11" s="4">
        <v>7.5</v>
      </c>
      <c r="I11" s="8"/>
      <c r="J11" s="4">
        <f>+Harvest!J11/Effort!J11</f>
        <v>7.5217391304347858</v>
      </c>
      <c r="K11" s="8"/>
      <c r="L11" s="4" t="s">
        <v>10</v>
      </c>
      <c r="M11" s="8"/>
      <c r="N11" s="9" t="s">
        <v>10</v>
      </c>
      <c r="O11" s="4">
        <f>+Harvest!O11/Effort!O11</f>
        <v>7.5064434241331384</v>
      </c>
    </row>
    <row r="12" spans="1:15" x14ac:dyDescent="0.25">
      <c r="A12" s="77">
        <v>45952</v>
      </c>
      <c r="B12" s="8" t="s">
        <v>61</v>
      </c>
      <c r="C12" s="4">
        <v>-0.28000000000000003</v>
      </c>
      <c r="D12" s="13">
        <v>0.82291666666666663</v>
      </c>
      <c r="E12" s="76"/>
      <c r="F12" s="4">
        <v>14.1</v>
      </c>
      <c r="G12" s="4"/>
      <c r="H12" s="4">
        <f>+Harvest!H12/Effort!H12</f>
        <v>8.722222222222209</v>
      </c>
      <c r="I12" s="8"/>
      <c r="J12" s="4" t="s">
        <v>10</v>
      </c>
      <c r="K12" s="8"/>
      <c r="L12" s="4">
        <f>+Harvest!L12/Effort!L12</f>
        <v>14.909090909090908</v>
      </c>
      <c r="M12" s="8"/>
      <c r="N12" s="9" t="s">
        <v>10</v>
      </c>
      <c r="O12" s="4">
        <f>+Harvest!O12/Effort!O12</f>
        <v>12.712717602813967</v>
      </c>
    </row>
    <row r="13" spans="1:15" x14ac:dyDescent="0.25">
      <c r="A13" s="77">
        <v>45953</v>
      </c>
      <c r="B13" s="8" t="s">
        <v>22</v>
      </c>
      <c r="C13" s="4">
        <v>-0.27</v>
      </c>
      <c r="D13" s="13">
        <v>0.84583333333333333</v>
      </c>
      <c r="E13" s="76" t="s">
        <v>62</v>
      </c>
      <c r="F13" s="4">
        <v>2</v>
      </c>
      <c r="G13" s="4" t="s">
        <v>62</v>
      </c>
      <c r="H13" s="4">
        <v>2</v>
      </c>
      <c r="I13" s="8"/>
      <c r="J13" s="4" t="s">
        <v>10</v>
      </c>
      <c r="K13" s="8"/>
      <c r="L13" s="4">
        <v>2</v>
      </c>
      <c r="M13" s="8"/>
      <c r="N13" s="9" t="s">
        <v>10</v>
      </c>
      <c r="O13" s="4">
        <f>+Harvest!O13/Effort!O13</f>
        <v>2</v>
      </c>
    </row>
    <row r="14" spans="1:15" x14ac:dyDescent="0.25">
      <c r="A14" s="77">
        <v>45954</v>
      </c>
      <c r="B14" s="8" t="s">
        <v>18</v>
      </c>
      <c r="C14" s="4">
        <v>-0.12</v>
      </c>
      <c r="D14" s="13">
        <v>0.87013888888888891</v>
      </c>
      <c r="E14" s="76"/>
      <c r="F14" s="4">
        <v>4</v>
      </c>
      <c r="G14" s="4" t="s">
        <v>62</v>
      </c>
      <c r="H14" s="4">
        <v>4</v>
      </c>
      <c r="I14" s="8"/>
      <c r="J14" s="4">
        <f>+Harvest!J14/Effort!J14</f>
        <v>4.0000000000000071</v>
      </c>
      <c r="K14" s="8"/>
      <c r="L14" s="4" t="s">
        <v>10</v>
      </c>
      <c r="M14" s="8"/>
      <c r="N14" s="9" t="s">
        <v>10</v>
      </c>
      <c r="O14" s="4">
        <f>+Harvest!O14/Effort!O14</f>
        <v>4.0000000000000036</v>
      </c>
    </row>
    <row r="15" spans="1:15" x14ac:dyDescent="0.25">
      <c r="A15" s="77">
        <v>45955</v>
      </c>
      <c r="B15" s="8" t="s">
        <v>19</v>
      </c>
      <c r="C15" s="4">
        <v>0.14000000000000001</v>
      </c>
      <c r="D15" s="13">
        <v>0.89652777777777781</v>
      </c>
      <c r="E15" s="76" t="s">
        <v>62</v>
      </c>
      <c r="F15" s="4">
        <v>1</v>
      </c>
      <c r="G15" s="4"/>
      <c r="H15" s="4">
        <v>1</v>
      </c>
      <c r="I15" s="8"/>
      <c r="J15" s="4">
        <v>1</v>
      </c>
      <c r="K15" s="8"/>
      <c r="L15" s="4" t="s">
        <v>10</v>
      </c>
      <c r="M15" s="8"/>
      <c r="N15" s="9" t="s">
        <v>10</v>
      </c>
      <c r="O15" s="4">
        <f>+Harvest!O15/Effort!O15</f>
        <v>1</v>
      </c>
    </row>
    <row r="16" spans="1:15" x14ac:dyDescent="0.25">
      <c r="A16" s="77">
        <v>45956</v>
      </c>
      <c r="B16" s="8" t="s">
        <v>20</v>
      </c>
      <c r="C16" s="4">
        <v>0.47</v>
      </c>
      <c r="D16" s="13">
        <v>0.92708333333333337</v>
      </c>
      <c r="E16" s="76" t="s">
        <v>62</v>
      </c>
      <c r="F16" s="4">
        <v>12</v>
      </c>
      <c r="G16" s="4" t="s">
        <v>62</v>
      </c>
      <c r="H16" s="4">
        <v>12</v>
      </c>
      <c r="I16" s="8"/>
      <c r="J16" s="4" t="s">
        <v>10</v>
      </c>
      <c r="K16" s="8"/>
      <c r="L16" s="4">
        <f>+Harvest!L16/Effort!L16</f>
        <v>11.800000000000008</v>
      </c>
      <c r="M16" s="8"/>
      <c r="N16" s="9" t="s">
        <v>10</v>
      </c>
      <c r="O16" s="4">
        <f>+Harvest!O16/Effort!O16</f>
        <v>11.932454346442272</v>
      </c>
    </row>
    <row r="17" spans="1:15" x14ac:dyDescent="0.25">
      <c r="A17" s="77"/>
      <c r="B17" s="8"/>
      <c r="C17" s="8"/>
      <c r="D17" s="13"/>
      <c r="E17" s="76"/>
      <c r="F17" s="9"/>
      <c r="G17" s="8"/>
      <c r="H17" s="9"/>
      <c r="I17" s="8"/>
      <c r="J17" s="4"/>
      <c r="K17" s="8"/>
      <c r="L17" s="9"/>
      <c r="M17" s="8"/>
      <c r="N17" s="9"/>
      <c r="O17" s="4"/>
    </row>
    <row r="18" spans="1:15" x14ac:dyDescent="0.25">
      <c r="A18" s="77">
        <v>45964</v>
      </c>
      <c r="B18" s="8" t="s">
        <v>21</v>
      </c>
      <c r="C18" s="4">
        <v>-0.1</v>
      </c>
      <c r="D18" s="13">
        <v>0.6875</v>
      </c>
      <c r="E18" s="76"/>
      <c r="F18" s="4">
        <v>13.8</v>
      </c>
      <c r="G18" s="4" t="s">
        <v>62</v>
      </c>
      <c r="H18" s="4">
        <v>13.5</v>
      </c>
      <c r="I18" s="4"/>
      <c r="J18" s="4" t="s">
        <v>10</v>
      </c>
      <c r="K18" s="4"/>
      <c r="L18" s="4">
        <f>+Harvest!L18/Effort!L18</f>
        <v>13.260869565217391</v>
      </c>
      <c r="M18" s="8"/>
      <c r="N18" s="9" t="s">
        <v>10</v>
      </c>
      <c r="O18" s="4">
        <f>+Harvest!O18/Effort!O18</f>
        <v>13.552494488769447</v>
      </c>
    </row>
    <row r="19" spans="1:15" x14ac:dyDescent="0.25">
      <c r="A19" s="77">
        <v>45965</v>
      </c>
      <c r="B19" s="8" t="s">
        <v>60</v>
      </c>
      <c r="C19" s="4">
        <v>-1.1000000000000001</v>
      </c>
      <c r="D19" s="13">
        <v>0.71875</v>
      </c>
      <c r="E19" s="76" t="s">
        <v>62</v>
      </c>
      <c r="F19" s="4">
        <v>12.5</v>
      </c>
      <c r="G19" s="4"/>
      <c r="H19" s="4">
        <f>+Harvest!H19/Effort!H19</f>
        <v>14.465116279069763</v>
      </c>
      <c r="I19" s="4"/>
      <c r="J19" s="4" t="s">
        <v>10</v>
      </c>
      <c r="K19" s="4"/>
      <c r="L19" s="4">
        <f>+Harvest!L19/Effort!L19</f>
        <v>11.826086956521712</v>
      </c>
      <c r="M19" s="8"/>
      <c r="N19" s="9" t="s">
        <v>10</v>
      </c>
      <c r="O19" s="4">
        <f>+Harvest!O19/Effort!O19</f>
        <v>12.999474624599046</v>
      </c>
    </row>
    <row r="20" spans="1:15" x14ac:dyDescent="0.25">
      <c r="A20" s="77">
        <v>45966</v>
      </c>
      <c r="B20" s="8" t="s">
        <v>61</v>
      </c>
      <c r="C20" s="4">
        <v>-1.7</v>
      </c>
      <c r="D20" s="13">
        <v>0.75069444444444444</v>
      </c>
      <c r="E20" s="76"/>
      <c r="F20" s="4">
        <v>8</v>
      </c>
      <c r="G20" s="4" t="s">
        <v>62</v>
      </c>
      <c r="H20" s="4">
        <v>8</v>
      </c>
      <c r="I20" s="4"/>
      <c r="J20" s="4">
        <f>+Harvest!J20/Effort!J20</f>
        <v>8.166666666666675</v>
      </c>
      <c r="K20" s="4"/>
      <c r="L20" s="4" t="s">
        <v>10</v>
      </c>
      <c r="M20" s="8"/>
      <c r="N20" s="9" t="s">
        <v>10</v>
      </c>
      <c r="O20" s="4">
        <f>+Harvest!O20/Effort!O20</f>
        <v>8.0766011967700972</v>
      </c>
    </row>
    <row r="21" spans="1:15" x14ac:dyDescent="0.25">
      <c r="A21" s="77">
        <v>45967</v>
      </c>
      <c r="B21" s="8" t="s">
        <v>22</v>
      </c>
      <c r="C21" s="4">
        <v>-2</v>
      </c>
      <c r="D21" s="13">
        <v>0.78194444444444444</v>
      </c>
      <c r="E21" s="76" t="s">
        <v>62</v>
      </c>
      <c r="F21" s="4">
        <v>2</v>
      </c>
      <c r="G21" s="4"/>
      <c r="H21" s="4">
        <f>+Harvest!H21/Effort!H21</f>
        <v>2.1538461538461546</v>
      </c>
      <c r="I21" s="4"/>
      <c r="J21" s="4">
        <f>+Harvest!J21/Effort!J21</f>
        <v>1.4166666666666672</v>
      </c>
      <c r="K21" s="4"/>
      <c r="L21" s="4" t="s">
        <v>10</v>
      </c>
      <c r="M21" s="8"/>
      <c r="N21" s="9" t="s">
        <v>10</v>
      </c>
      <c r="O21" s="4">
        <f>+Harvest!O21/Effort!O21</f>
        <v>1.7636881985481518</v>
      </c>
    </row>
    <row r="22" spans="1:15" x14ac:dyDescent="0.25">
      <c r="A22" s="77">
        <v>45968</v>
      </c>
      <c r="B22" s="8" t="s">
        <v>18</v>
      </c>
      <c r="C22" s="4">
        <v>-1.9</v>
      </c>
      <c r="D22" s="13">
        <v>0.81527777777777777</v>
      </c>
      <c r="E22" s="76"/>
      <c r="F22" s="4">
        <v>13.5</v>
      </c>
      <c r="G22" s="4" t="s">
        <v>62</v>
      </c>
      <c r="H22" s="4">
        <v>13.5</v>
      </c>
      <c r="I22" s="4"/>
      <c r="J22" s="4" t="s">
        <v>10</v>
      </c>
      <c r="K22" s="4"/>
      <c r="L22" s="4">
        <f>+Harvest!L22/Effort!L22</f>
        <v>13.642857142857132</v>
      </c>
      <c r="M22" s="8"/>
      <c r="N22" s="9" t="s">
        <v>10</v>
      </c>
      <c r="O22" s="4">
        <f>+Harvest!O22/Effort!O22</f>
        <v>13.55418292612263</v>
      </c>
    </row>
    <row r="23" spans="1:15" x14ac:dyDescent="0.25">
      <c r="A23" s="77">
        <v>45969</v>
      </c>
      <c r="B23" s="8" t="s">
        <v>19</v>
      </c>
      <c r="C23" s="4">
        <v>-1.5</v>
      </c>
      <c r="D23" s="13">
        <v>0.85069444444444442</v>
      </c>
      <c r="E23" s="76" t="s">
        <v>62</v>
      </c>
      <c r="F23" s="4">
        <v>14.5</v>
      </c>
      <c r="G23" s="4"/>
      <c r="H23" s="4">
        <f>+Harvest!H23/Effort!H23</f>
        <v>14.999999999999979</v>
      </c>
      <c r="I23" s="4"/>
      <c r="J23" s="4" t="s">
        <v>10</v>
      </c>
      <c r="K23" s="4"/>
      <c r="L23" s="4">
        <f>+Harvest!L23/Effort!L23</f>
        <v>14.500000000000002</v>
      </c>
      <c r="M23" s="8"/>
      <c r="N23" s="9" t="s">
        <v>10</v>
      </c>
      <c r="O23" s="4">
        <f>+Harvest!O23/Effort!O23</f>
        <v>14.723420085229019</v>
      </c>
    </row>
    <row r="24" spans="1:15" x14ac:dyDescent="0.25">
      <c r="A24" s="77">
        <v>45970</v>
      </c>
      <c r="B24" s="8" t="s">
        <v>20</v>
      </c>
      <c r="C24" s="4">
        <v>-0.9</v>
      </c>
      <c r="D24" s="13">
        <v>0.8881944444444444</v>
      </c>
      <c r="E24" s="76" t="s">
        <v>62</v>
      </c>
      <c r="F24" s="4">
        <v>10.5</v>
      </c>
      <c r="G24" s="4" t="s">
        <v>62</v>
      </c>
      <c r="H24" s="4">
        <v>10.5</v>
      </c>
      <c r="I24" s="4"/>
      <c r="J24" s="4">
        <f>+Harvest!J24/Effort!J24</f>
        <v>10.695652173913047</v>
      </c>
      <c r="K24" s="4"/>
      <c r="L24" s="4" t="s">
        <v>10</v>
      </c>
      <c r="M24" s="8"/>
      <c r="N24" s="9" t="s">
        <v>10</v>
      </c>
      <c r="O24" s="4">
        <f>+Harvest!O24/Effort!O24</f>
        <v>10.589923144034458</v>
      </c>
    </row>
    <row r="25" spans="1:15" x14ac:dyDescent="0.25">
      <c r="A25" s="77"/>
      <c r="B25" s="8"/>
      <c r="C25" s="4"/>
      <c r="D25" s="13"/>
      <c r="E25" s="76"/>
      <c r="F25" s="9"/>
      <c r="G25" s="8"/>
      <c r="H25" s="9"/>
      <c r="I25" s="8"/>
      <c r="J25" s="9"/>
      <c r="K25" s="8"/>
      <c r="L25" s="9"/>
      <c r="M25" s="8"/>
      <c r="N25" s="9"/>
      <c r="O25" s="4"/>
    </row>
    <row r="26" spans="1:15" x14ac:dyDescent="0.25">
      <c r="A26" s="77">
        <v>45979</v>
      </c>
      <c r="B26" s="8" t="s">
        <v>60</v>
      </c>
      <c r="C26" s="4">
        <v>-0.02</v>
      </c>
      <c r="D26" s="13">
        <v>0.72083333333333333</v>
      </c>
      <c r="E26" s="76" t="s">
        <v>62</v>
      </c>
      <c r="F26" s="4">
        <v>15</v>
      </c>
      <c r="G26" s="94" t="s">
        <v>62</v>
      </c>
      <c r="H26" s="4">
        <v>15</v>
      </c>
      <c r="I26" s="94"/>
      <c r="J26" s="4">
        <f>+Harvest!J26/Effort!J26</f>
        <v>14.88095238095236</v>
      </c>
      <c r="K26" s="94"/>
      <c r="L26" s="94" t="s">
        <v>10</v>
      </c>
      <c r="M26" s="8"/>
      <c r="N26" s="9" t="s">
        <v>10</v>
      </c>
      <c r="O26" s="4">
        <f>+Harvest!O26/Effort!O26</f>
        <v>14.9491993601359</v>
      </c>
    </row>
    <row r="27" spans="1:15" x14ac:dyDescent="0.25">
      <c r="A27" s="77">
        <v>45980</v>
      </c>
      <c r="B27" s="8" t="s">
        <v>61</v>
      </c>
      <c r="C27" s="4">
        <v>-0.3</v>
      </c>
      <c r="D27" s="13">
        <v>0.74444444444444446</v>
      </c>
      <c r="E27" s="76"/>
      <c r="F27" s="4">
        <v>13.8</v>
      </c>
      <c r="G27" s="94"/>
      <c r="H27" s="4">
        <f>+Harvest!H27/Effort!H27</f>
        <v>15.000000000000007</v>
      </c>
      <c r="I27" s="94"/>
      <c r="J27" s="94" t="s">
        <v>10</v>
      </c>
      <c r="K27" s="94"/>
      <c r="L27" s="4">
        <f>+Harvest!L27/Effort!L27</f>
        <v>9.9999999999999982</v>
      </c>
      <c r="M27" s="8"/>
      <c r="N27" s="9" t="s">
        <v>10</v>
      </c>
      <c r="O27" s="4">
        <f>+Harvest!O27/Effort!O27</f>
        <v>13.561845317158054</v>
      </c>
    </row>
    <row r="28" spans="1:15" x14ac:dyDescent="0.25">
      <c r="A28" s="77">
        <v>45981</v>
      </c>
      <c r="B28" s="8" t="s">
        <v>22</v>
      </c>
      <c r="C28" s="4">
        <v>-0.43</v>
      </c>
      <c r="D28" s="13">
        <v>0.76736111111111116</v>
      </c>
      <c r="E28" s="76" t="s">
        <v>62</v>
      </c>
      <c r="F28" s="4">
        <v>3</v>
      </c>
      <c r="G28" s="94"/>
      <c r="H28" s="4">
        <f>+Harvest!H28/Effort!H28</f>
        <v>2.3999999999999986</v>
      </c>
      <c r="I28" s="94"/>
      <c r="J28" s="94" t="s">
        <v>10</v>
      </c>
      <c r="K28" s="94"/>
      <c r="L28" s="4">
        <f>+Harvest!L28/Effort!L28</f>
        <v>3.1111111111111107</v>
      </c>
      <c r="M28" s="8"/>
      <c r="N28" s="9" t="s">
        <v>10</v>
      </c>
      <c r="O28" s="4">
        <f>+Harvest!O28/Effort!O28</f>
        <v>2.7407714947856419</v>
      </c>
    </row>
    <row r="29" spans="1:15" x14ac:dyDescent="0.25">
      <c r="A29" s="77">
        <v>45982</v>
      </c>
      <c r="B29" s="8" t="s">
        <v>18</v>
      </c>
      <c r="C29" s="4">
        <v>-0.41</v>
      </c>
      <c r="D29" s="13">
        <v>0.79097222222222219</v>
      </c>
      <c r="E29" s="76"/>
      <c r="F29" s="4">
        <v>15</v>
      </c>
      <c r="G29" s="94"/>
      <c r="H29" s="4">
        <f>+Harvest!H29/Effort!H29</f>
        <v>14.666666666666666</v>
      </c>
      <c r="I29" s="94"/>
      <c r="J29" s="4">
        <f>+Harvest!J29/Effort!J29</f>
        <v>10.454545454545441</v>
      </c>
      <c r="K29" s="94"/>
      <c r="L29" s="94" t="s">
        <v>10</v>
      </c>
      <c r="M29" s="8"/>
      <c r="N29" s="9" t="s">
        <v>10</v>
      </c>
      <c r="O29" s="4">
        <f>+Harvest!O29/Effort!O29</f>
        <v>12.936744892315387</v>
      </c>
    </row>
    <row r="30" spans="1:15" x14ac:dyDescent="0.25">
      <c r="A30" s="77">
        <v>45983</v>
      </c>
      <c r="B30" s="8" t="s">
        <v>19</v>
      </c>
      <c r="C30" s="4">
        <v>-0.28999999999999998</v>
      </c>
      <c r="D30" s="13">
        <v>0.81527777777777777</v>
      </c>
      <c r="E30" s="76" t="s">
        <v>62</v>
      </c>
      <c r="F30" s="4">
        <v>7</v>
      </c>
      <c r="G30" s="94" t="s">
        <v>62</v>
      </c>
      <c r="H30" s="4">
        <v>7</v>
      </c>
      <c r="I30" s="94"/>
      <c r="J30" s="4">
        <f>+Harvest!J30/Effort!J30</f>
        <v>6.7777777777777777</v>
      </c>
      <c r="K30" s="94"/>
      <c r="L30" s="94" t="s">
        <v>10</v>
      </c>
      <c r="M30" s="8"/>
      <c r="N30" s="9" t="s">
        <v>10</v>
      </c>
      <c r="O30" s="4">
        <f>+Harvest!O30/Effort!O30</f>
        <v>6.9051721389203635</v>
      </c>
    </row>
    <row r="31" spans="1:15" x14ac:dyDescent="0.25">
      <c r="A31" s="77">
        <v>45984</v>
      </c>
      <c r="B31" s="8" t="s">
        <v>20</v>
      </c>
      <c r="C31" s="4">
        <v>-0.09</v>
      </c>
      <c r="D31" s="13">
        <v>0.84166666666666667</v>
      </c>
      <c r="E31" s="76" t="s">
        <v>62</v>
      </c>
      <c r="F31" s="4">
        <v>6</v>
      </c>
      <c r="G31" s="94" t="s">
        <v>62</v>
      </c>
      <c r="H31" s="4">
        <v>6</v>
      </c>
      <c r="I31" s="94"/>
      <c r="J31" s="94" t="s">
        <v>10</v>
      </c>
      <c r="K31" s="94"/>
      <c r="L31" s="4">
        <f>+Harvest!L31/Effort!L31</f>
        <v>5.8181818181818228</v>
      </c>
      <c r="M31" s="8"/>
      <c r="N31" s="9" t="s">
        <v>10</v>
      </c>
      <c r="O31" s="4">
        <f>+Harvest!O31/Effort!O31</f>
        <v>5.9673357303765311</v>
      </c>
    </row>
    <row r="32" spans="1:15" x14ac:dyDescent="0.25">
      <c r="A32" s="77"/>
      <c r="B32" s="8"/>
      <c r="C32" s="4"/>
      <c r="D32" s="13"/>
      <c r="E32" s="76"/>
      <c r="F32" s="9"/>
      <c r="G32" s="8"/>
      <c r="H32" s="9"/>
      <c r="I32" s="8"/>
      <c r="J32" s="9"/>
      <c r="K32" s="8"/>
      <c r="L32" s="9"/>
      <c r="M32" s="8"/>
      <c r="N32" s="9"/>
      <c r="O32" s="4"/>
    </row>
    <row r="33" spans="1:15" x14ac:dyDescent="0.25">
      <c r="A33" s="77">
        <v>45993</v>
      </c>
      <c r="B33" s="8" t="s">
        <v>60</v>
      </c>
      <c r="C33" s="4">
        <v>-0.59</v>
      </c>
      <c r="D33" s="13">
        <v>0.6743055555555556</v>
      </c>
      <c r="E33" s="76" t="s">
        <v>62</v>
      </c>
      <c r="F33" s="4">
        <v>15</v>
      </c>
      <c r="G33" s="9" t="s">
        <v>62</v>
      </c>
      <c r="H33" s="4">
        <v>15</v>
      </c>
      <c r="I33" s="9"/>
      <c r="J33" s="4">
        <f>+Harvest!J33/Effort!J33</f>
        <v>14.76923076923077</v>
      </c>
      <c r="K33" s="9"/>
      <c r="L33" s="9" t="s">
        <v>10</v>
      </c>
      <c r="M33" s="9"/>
      <c r="N33" s="9" t="s">
        <v>10</v>
      </c>
      <c r="O33" s="4">
        <f>+Harvest!O33/Effort!O33</f>
        <v>14.906026028196822</v>
      </c>
    </row>
    <row r="34" spans="1:15" x14ac:dyDescent="0.25">
      <c r="A34" s="77">
        <v>45994</v>
      </c>
      <c r="B34" s="8" t="s">
        <v>61</v>
      </c>
      <c r="C34" s="4">
        <v>-1.4</v>
      </c>
      <c r="D34" s="13">
        <v>0.70763888888888893</v>
      </c>
      <c r="E34" s="76"/>
      <c r="F34" s="99">
        <f>+Harvest!F34/Effort!F34</f>
        <v>14.965599997568418</v>
      </c>
      <c r="G34" s="9"/>
      <c r="H34" s="4">
        <f>+Harvest!H34/Effort!H34</f>
        <v>14.999999999999952</v>
      </c>
      <c r="I34" s="9"/>
      <c r="J34" s="9" t="s">
        <v>10</v>
      </c>
      <c r="K34" s="9"/>
      <c r="L34" s="4">
        <f>+Harvest!L34/Effort!L34</f>
        <v>13.979166666666638</v>
      </c>
      <c r="M34" s="9"/>
      <c r="N34" s="9" t="s">
        <v>10</v>
      </c>
      <c r="O34" s="4">
        <f>+Harvest!O34/Effort!O34</f>
        <v>14.641461218291031</v>
      </c>
    </row>
    <row r="35" spans="1:15" x14ac:dyDescent="0.25">
      <c r="A35" s="77">
        <v>45995</v>
      </c>
      <c r="B35" s="8" t="s">
        <v>22</v>
      </c>
      <c r="C35" s="4">
        <v>-1.9</v>
      </c>
      <c r="D35" s="13">
        <v>0.74097222222222225</v>
      </c>
      <c r="E35" s="76" t="s">
        <v>62</v>
      </c>
      <c r="F35" s="4">
        <v>12.5</v>
      </c>
      <c r="G35" s="9" t="s">
        <v>62</v>
      </c>
      <c r="H35" s="4">
        <v>12.5</v>
      </c>
      <c r="I35" s="9"/>
      <c r="J35" s="9" t="s">
        <v>10</v>
      </c>
      <c r="K35" s="9"/>
      <c r="L35" s="4">
        <f>+Harvest!L35/Effort!L35</f>
        <v>12.000000000000005</v>
      </c>
      <c r="M35" s="9"/>
      <c r="N35" s="9" t="s">
        <v>10</v>
      </c>
      <c r="O35" s="4">
        <f>+Harvest!O35/Effort!O35</f>
        <v>12.330430402031826</v>
      </c>
    </row>
    <row r="36" spans="1:15" x14ac:dyDescent="0.25">
      <c r="A36" s="77">
        <v>45996</v>
      </c>
      <c r="B36" s="8" t="s">
        <v>18</v>
      </c>
      <c r="C36" s="4">
        <v>-2.0499999999999998</v>
      </c>
      <c r="D36" s="13">
        <v>0.77361111111111114</v>
      </c>
      <c r="E36" s="76"/>
      <c r="F36" s="4">
        <v>15</v>
      </c>
      <c r="G36" s="9"/>
      <c r="H36" s="4">
        <f>+Harvest!H36/Effort!H36</f>
        <v>9.7931034482758612</v>
      </c>
      <c r="I36" s="9"/>
      <c r="J36" s="4">
        <f>+Harvest!J36/Effort!J36</f>
        <v>12.866666666666646</v>
      </c>
      <c r="K36" s="9"/>
      <c r="L36" s="9" t="s">
        <v>10</v>
      </c>
      <c r="M36" s="9"/>
      <c r="N36" s="9" t="s">
        <v>10</v>
      </c>
      <c r="O36" s="4">
        <f>+Harvest!O36/Effort!O36</f>
        <v>12.640785778968828</v>
      </c>
    </row>
    <row r="37" spans="1:15" x14ac:dyDescent="0.25">
      <c r="A37" s="77">
        <v>45997</v>
      </c>
      <c r="B37" s="8" t="s">
        <v>19</v>
      </c>
      <c r="C37" s="4">
        <v>-1.86</v>
      </c>
      <c r="D37" s="13">
        <v>0.80694444444444446</v>
      </c>
      <c r="E37" s="76" t="s">
        <v>62</v>
      </c>
      <c r="F37" s="4">
        <v>12.5</v>
      </c>
      <c r="G37" s="9" t="s">
        <v>62</v>
      </c>
      <c r="H37" s="4">
        <v>12.5</v>
      </c>
      <c r="I37" s="9"/>
      <c r="J37" s="4">
        <f>+Harvest!J37/Effort!J37</f>
        <v>12.55555555555557</v>
      </c>
      <c r="K37" s="9"/>
      <c r="L37" s="9" t="s">
        <v>10</v>
      </c>
      <c r="M37" s="9"/>
      <c r="N37" s="9" t="s">
        <v>10</v>
      </c>
      <c r="O37" s="4">
        <f>+Harvest!O37/Effort!O37</f>
        <v>12.522623363582253</v>
      </c>
    </row>
    <row r="38" spans="1:15" x14ac:dyDescent="0.25">
      <c r="A38" s="77">
        <v>45998</v>
      </c>
      <c r="B38" s="8" t="s">
        <v>20</v>
      </c>
      <c r="C38" s="4">
        <v>-1.41</v>
      </c>
      <c r="D38" s="13">
        <v>0.84027777777777779</v>
      </c>
      <c r="E38" s="76" t="s">
        <v>62</v>
      </c>
      <c r="F38" s="4">
        <v>10.5</v>
      </c>
      <c r="G38" s="9" t="s">
        <v>62</v>
      </c>
      <c r="H38" s="4">
        <v>10.5</v>
      </c>
      <c r="I38" s="9"/>
      <c r="J38" s="9" t="s">
        <v>10</v>
      </c>
      <c r="K38" s="9"/>
      <c r="L38" s="4">
        <f>+Harvest!L38/Effort!L38</f>
        <v>9.5000000000000089</v>
      </c>
      <c r="M38" s="9"/>
      <c r="N38" s="9" t="s">
        <v>10</v>
      </c>
      <c r="O38" s="4">
        <f>+Harvest!O38/Effort!O38</f>
        <v>10.160860804063651</v>
      </c>
    </row>
    <row r="39" spans="1:15" x14ac:dyDescent="0.25">
      <c r="A39" s="77">
        <v>45999</v>
      </c>
      <c r="B39" s="8" t="s">
        <v>21</v>
      </c>
      <c r="C39" s="4">
        <v>-0.78</v>
      </c>
      <c r="D39" s="13">
        <v>0.87430555555555556</v>
      </c>
      <c r="E39" s="76" t="s">
        <v>62</v>
      </c>
      <c r="F39" s="4">
        <v>7</v>
      </c>
      <c r="G39" s="9" t="s">
        <v>62</v>
      </c>
      <c r="H39" s="4">
        <v>7</v>
      </c>
      <c r="I39" s="9"/>
      <c r="J39" s="9" t="s">
        <v>10</v>
      </c>
      <c r="K39" s="9"/>
      <c r="L39" s="4">
        <f>+Harvest!L39/Effort!L39</f>
        <v>4.9999999999999911</v>
      </c>
      <c r="M39" s="9"/>
      <c r="N39" s="9" t="s">
        <v>10</v>
      </c>
      <c r="O39" s="4">
        <f>+Harvest!O39/Effort!O39</f>
        <v>6.3217216081272927</v>
      </c>
    </row>
    <row r="40" spans="1:15" x14ac:dyDescent="0.25">
      <c r="A40" s="77"/>
      <c r="B40" s="8"/>
      <c r="C40" s="4"/>
      <c r="D40" s="13"/>
      <c r="E40" s="76"/>
      <c r="F40" s="99"/>
      <c r="G40" s="9"/>
      <c r="H40" s="9"/>
      <c r="I40" s="9"/>
      <c r="J40" s="9"/>
      <c r="K40" s="9"/>
      <c r="L40" s="9"/>
      <c r="M40" s="9"/>
      <c r="N40" s="9"/>
      <c r="O40" s="4"/>
    </row>
    <row r="41" spans="1:15" x14ac:dyDescent="0.25">
      <c r="A41" s="77">
        <v>46009</v>
      </c>
      <c r="B41" s="8" t="s">
        <v>22</v>
      </c>
      <c r="C41" s="4">
        <v>-0.2</v>
      </c>
      <c r="D41" s="13">
        <v>0.7319444444444444</v>
      </c>
      <c r="E41" s="76" t="s">
        <v>62</v>
      </c>
      <c r="F41" s="4">
        <v>7</v>
      </c>
      <c r="G41" s="9"/>
      <c r="H41" s="4">
        <f>+Harvest!H41/Effort!H41</f>
        <v>6.7500000000000071</v>
      </c>
      <c r="I41" s="9"/>
      <c r="J41" s="4">
        <f>+Harvest!J41/Effort!J41</f>
        <v>4.444444444444442</v>
      </c>
      <c r="K41" s="9"/>
      <c r="L41" s="9" t="s">
        <v>10</v>
      </c>
      <c r="M41" s="9"/>
      <c r="N41" s="9" t="s">
        <v>10</v>
      </c>
      <c r="O41" s="4">
        <f>+Harvest!O41/Effort!O41</f>
        <v>5.9946666935763844</v>
      </c>
    </row>
    <row r="42" spans="1:15" x14ac:dyDescent="0.25">
      <c r="A42" s="77">
        <v>46010</v>
      </c>
      <c r="B42" s="8" t="s">
        <v>18</v>
      </c>
      <c r="C42" s="4">
        <v>-0.38</v>
      </c>
      <c r="D42" s="13">
        <v>0.75624999999999998</v>
      </c>
      <c r="E42" s="76"/>
      <c r="F42" s="99">
        <v>7</v>
      </c>
      <c r="G42" s="9" t="s">
        <v>62</v>
      </c>
      <c r="H42" s="4">
        <v>7</v>
      </c>
      <c r="I42" s="9"/>
      <c r="J42" s="9" t="s">
        <v>10</v>
      </c>
      <c r="K42" s="9"/>
      <c r="L42" s="4">
        <f>+Harvest!L42/Effort!L42</f>
        <v>3.8000000000000016</v>
      </c>
      <c r="M42" s="9"/>
      <c r="N42" s="9" t="s">
        <v>10</v>
      </c>
      <c r="O42" s="4">
        <f>+Harvest!O42/Effort!O42</f>
        <v>6.2230408694135919</v>
      </c>
    </row>
    <row r="43" spans="1:15" x14ac:dyDescent="0.25">
      <c r="A43" s="77">
        <v>46011</v>
      </c>
      <c r="B43" s="8" t="s">
        <v>19</v>
      </c>
      <c r="C43" s="4">
        <v>-0.45</v>
      </c>
      <c r="D43" s="13">
        <v>0.78055555555555556</v>
      </c>
      <c r="E43" s="76" t="s">
        <v>62</v>
      </c>
      <c r="F43" s="4">
        <v>7</v>
      </c>
      <c r="G43" s="9" t="s">
        <v>62</v>
      </c>
      <c r="H43" s="4">
        <v>7</v>
      </c>
      <c r="I43" s="9"/>
      <c r="J43" s="9" t="s">
        <v>10</v>
      </c>
      <c r="K43" s="9"/>
      <c r="L43" s="4">
        <f>+Harvest!L43/Effort!L43</f>
        <v>4.6842105263157761</v>
      </c>
      <c r="M43" s="9"/>
      <c r="N43" s="9" t="s">
        <v>10</v>
      </c>
      <c r="O43" s="4">
        <f>+Harvest!O43/Effort!O43</f>
        <v>6.4377269449703594</v>
      </c>
    </row>
    <row r="44" spans="1:15" x14ac:dyDescent="0.25">
      <c r="A44" s="77">
        <v>46012</v>
      </c>
      <c r="B44" s="8" t="s">
        <v>20</v>
      </c>
      <c r="C44" s="4">
        <v>-0.44</v>
      </c>
      <c r="D44" s="13">
        <v>0.80486111111111114</v>
      </c>
      <c r="E44" s="76"/>
      <c r="F44" s="4">
        <v>15</v>
      </c>
      <c r="G44" s="9"/>
      <c r="H44" s="4">
        <f>+Harvest!H44/Effort!H44</f>
        <v>13.374999999999993</v>
      </c>
      <c r="I44" s="9"/>
      <c r="J44" s="4">
        <f>+Harvest!J44/Effort!J44</f>
        <v>12.25000000000002</v>
      </c>
      <c r="K44" s="9"/>
      <c r="L44" s="9" t="s">
        <v>10</v>
      </c>
      <c r="M44" s="9"/>
      <c r="N44" s="9" t="s">
        <v>10</v>
      </c>
      <c r="O44" s="4">
        <f>+Harvest!O44/Effort!O44</f>
        <v>13.165669773918324</v>
      </c>
    </row>
    <row r="45" spans="1:15" x14ac:dyDescent="0.25">
      <c r="A45" s="77">
        <v>46013</v>
      </c>
      <c r="B45" s="8" t="s">
        <v>21</v>
      </c>
      <c r="C45" s="4">
        <v>-0.33</v>
      </c>
      <c r="D45" s="13">
        <v>0.82916666666666672</v>
      </c>
      <c r="E45" s="76" t="s">
        <v>62</v>
      </c>
      <c r="F45" s="4">
        <v>7</v>
      </c>
      <c r="G45" s="9" t="s">
        <v>62</v>
      </c>
      <c r="H45" s="4">
        <v>7</v>
      </c>
      <c r="I45" s="9"/>
      <c r="J45" s="4">
        <f>+Harvest!J45/Effort!J45</f>
        <v>5.8333333333333277</v>
      </c>
      <c r="K45" s="9"/>
      <c r="L45" s="9" t="s">
        <v>10</v>
      </c>
      <c r="M45" s="9"/>
      <c r="N45" s="9" t="s">
        <v>10</v>
      </c>
      <c r="O45" s="4">
        <f>+Harvest!O45/Effort!O45</f>
        <v>6.3792108005497274</v>
      </c>
    </row>
    <row r="46" spans="1:15" x14ac:dyDescent="0.25">
      <c r="A46" s="77">
        <v>46014</v>
      </c>
      <c r="B46" s="8" t="s">
        <v>60</v>
      </c>
      <c r="C46" s="4">
        <v>-0.11</v>
      </c>
      <c r="D46" s="13">
        <v>0.85486111111111107</v>
      </c>
      <c r="E46" s="76" t="s">
        <v>62</v>
      </c>
      <c r="F46" s="4">
        <v>7</v>
      </c>
      <c r="G46" s="9" t="s">
        <v>62</v>
      </c>
      <c r="H46" s="4">
        <v>7</v>
      </c>
      <c r="I46" s="9"/>
      <c r="J46" s="9" t="s">
        <v>10</v>
      </c>
      <c r="K46" s="9"/>
      <c r="L46" s="4">
        <f>+Harvest!L46/Effort!L46</f>
        <v>7.0000000000000071</v>
      </c>
      <c r="M46" s="9"/>
      <c r="N46" s="9" t="s">
        <v>10</v>
      </c>
      <c r="O46" s="4">
        <f>+Harvest!O46/Effort!O46</f>
        <v>7.0000000000000018</v>
      </c>
    </row>
    <row r="47" spans="1:15" x14ac:dyDescent="0.25">
      <c r="A47" s="77"/>
      <c r="B47" s="8"/>
      <c r="C47" s="4"/>
      <c r="D47" s="13"/>
      <c r="E47" s="76"/>
      <c r="F47" s="99"/>
      <c r="G47" s="9"/>
      <c r="H47" s="9"/>
      <c r="I47" s="9"/>
      <c r="J47" s="9"/>
      <c r="K47" s="9"/>
      <c r="L47" s="9"/>
      <c r="M47" s="9"/>
      <c r="N47" s="9"/>
      <c r="O47" s="4"/>
    </row>
    <row r="48" spans="1:15" x14ac:dyDescent="0.25">
      <c r="A48" s="77">
        <v>46022</v>
      </c>
      <c r="B48" s="8" t="s">
        <v>61</v>
      </c>
      <c r="C48" s="4">
        <v>-0.62</v>
      </c>
      <c r="D48" s="13">
        <v>0.66319444444444442</v>
      </c>
      <c r="E48" s="76"/>
      <c r="F48" s="99">
        <v>14.8</v>
      </c>
      <c r="G48" s="9"/>
      <c r="H48" s="4">
        <f>+Harvest!H48/Effort!H48</f>
        <v>14.789473684210554</v>
      </c>
      <c r="I48" s="9"/>
      <c r="J48" s="4">
        <f>+Harvest!J48/Effort!J48</f>
        <v>14.469387755102028</v>
      </c>
      <c r="K48" s="9"/>
      <c r="L48" s="9" t="s">
        <v>10</v>
      </c>
      <c r="M48" s="9"/>
      <c r="N48" s="9" t="s">
        <v>10</v>
      </c>
      <c r="O48" s="4">
        <f>+Harvest!O48/Effort!O48</f>
        <v>14.673461949728978</v>
      </c>
    </row>
    <row r="49" spans="1:15" x14ac:dyDescent="0.25">
      <c r="A49" s="77">
        <v>46023</v>
      </c>
      <c r="B49" s="8" t="s">
        <v>22</v>
      </c>
      <c r="C49" s="4">
        <v>-1.24</v>
      </c>
      <c r="D49" s="13">
        <v>0.69930555555555551</v>
      </c>
      <c r="E49" s="76" t="s">
        <v>62</v>
      </c>
      <c r="F49" s="4">
        <v>10.5</v>
      </c>
      <c r="G49" s="9" t="s">
        <v>62</v>
      </c>
      <c r="H49" s="4">
        <v>10.5</v>
      </c>
      <c r="I49" s="9"/>
      <c r="J49" s="4">
        <f>+Harvest!J49/Effort!J49</f>
        <v>10.783783783783775</v>
      </c>
      <c r="K49" s="9"/>
      <c r="L49" s="9" t="s">
        <v>10</v>
      </c>
      <c r="M49" s="9"/>
      <c r="N49" s="9" t="s">
        <v>10</v>
      </c>
      <c r="O49" s="4">
        <f>+Harvest!O49/Effort!O49</f>
        <v>10.606582036431245</v>
      </c>
    </row>
    <row r="50" spans="1:15" x14ac:dyDescent="0.25">
      <c r="A50" s="77">
        <v>46024</v>
      </c>
      <c r="B50" s="8" t="s">
        <v>18</v>
      </c>
      <c r="C50" s="4">
        <v>-1.61</v>
      </c>
      <c r="D50" s="13">
        <v>0.73402777777777772</v>
      </c>
      <c r="E50" s="76"/>
      <c r="F50" s="4">
        <v>15</v>
      </c>
      <c r="G50" s="9" t="s">
        <v>62</v>
      </c>
      <c r="H50" s="4">
        <v>12.5</v>
      </c>
      <c r="I50" s="9"/>
      <c r="J50" s="9" t="s">
        <v>10</v>
      </c>
      <c r="K50" s="9"/>
      <c r="L50" s="4">
        <f>+Harvest!L50/Effort!L50</f>
        <v>6.163934426229507</v>
      </c>
      <c r="M50" s="9"/>
      <c r="N50" s="9" t="s">
        <v>10</v>
      </c>
      <c r="O50" s="4">
        <f>+Harvest!O50/Effort!O50</f>
        <v>12.250891108434045</v>
      </c>
    </row>
    <row r="51" spans="1:15" x14ac:dyDescent="0.25">
      <c r="A51" s="77">
        <v>46025</v>
      </c>
      <c r="B51" s="8" t="s">
        <v>19</v>
      </c>
      <c r="C51" s="4">
        <v>-1.71</v>
      </c>
      <c r="D51" s="13">
        <v>0.76597222222222228</v>
      </c>
      <c r="E51" s="76" t="s">
        <v>62</v>
      </c>
      <c r="F51" s="4">
        <v>8</v>
      </c>
      <c r="G51" s="9"/>
      <c r="H51" s="4">
        <f>+Harvest!H51/Effort!H51</f>
        <v>7.8958333333333339</v>
      </c>
      <c r="I51" s="9"/>
      <c r="J51" s="9" t="s">
        <v>10</v>
      </c>
      <c r="K51" s="9"/>
      <c r="L51" s="4">
        <f>+Harvest!L51/Effort!L51</f>
        <v>1.7241379310344782</v>
      </c>
      <c r="M51" s="9"/>
      <c r="N51" s="9" t="s">
        <v>10</v>
      </c>
      <c r="O51" s="4">
        <f>+Harvest!O51/Effort!O51</f>
        <v>6.5231484280739869</v>
      </c>
    </row>
    <row r="52" spans="1:15" x14ac:dyDescent="0.25">
      <c r="A52" s="77">
        <v>46026</v>
      </c>
      <c r="B52" s="8" t="s">
        <v>20</v>
      </c>
      <c r="C52" s="4">
        <v>-1.53</v>
      </c>
      <c r="D52" s="13">
        <v>0.79652777777777772</v>
      </c>
      <c r="E52" s="76" t="s">
        <v>62</v>
      </c>
      <c r="F52" s="4">
        <v>12.5</v>
      </c>
      <c r="G52" s="9" t="s">
        <v>62</v>
      </c>
      <c r="H52" s="4">
        <v>12.5</v>
      </c>
      <c r="I52" s="9"/>
      <c r="J52" s="4">
        <f>+Harvest!J52/Effort!J52</f>
        <v>12.352941176470575</v>
      </c>
      <c r="K52" s="9"/>
      <c r="L52" s="9" t="s">
        <v>10</v>
      </c>
      <c r="M52" s="9"/>
      <c r="N52" s="9" t="s">
        <v>10</v>
      </c>
      <c r="O52" s="4">
        <f>+Harvest!O52/Effort!O52</f>
        <v>12.444768412493605</v>
      </c>
    </row>
    <row r="53" spans="1:15" x14ac:dyDescent="0.25">
      <c r="A53" s="77">
        <v>46027</v>
      </c>
      <c r="B53" s="8" t="s">
        <v>21</v>
      </c>
      <c r="C53" s="4">
        <v>-1.1100000000000001</v>
      </c>
      <c r="D53" s="13">
        <v>0.82638888888888884</v>
      </c>
      <c r="E53" s="76"/>
      <c r="F53" s="99">
        <v>14.6</v>
      </c>
      <c r="G53" s="9"/>
      <c r="H53" s="4">
        <f>+Harvest!H53/Effort!H53</f>
        <v>14.750000000000012</v>
      </c>
      <c r="I53" s="9"/>
      <c r="J53" s="4">
        <f>+Harvest!J53/Effort!J53</f>
        <v>13.500000000000018</v>
      </c>
      <c r="K53" s="9"/>
      <c r="L53" s="9" t="s">
        <v>10</v>
      </c>
      <c r="M53" s="9"/>
      <c r="N53" s="9" t="s">
        <v>10</v>
      </c>
      <c r="O53" s="4">
        <f>+Harvest!O53/Effort!O53</f>
        <v>14.219260490301551</v>
      </c>
    </row>
    <row r="54" spans="1:15" x14ac:dyDescent="0.25">
      <c r="A54" s="77">
        <v>46028</v>
      </c>
      <c r="B54" s="8" t="s">
        <v>60</v>
      </c>
      <c r="C54" s="4">
        <v>-0.49</v>
      </c>
      <c r="D54" s="13">
        <v>0.85555555555555551</v>
      </c>
      <c r="E54" s="76" t="s">
        <v>62</v>
      </c>
      <c r="F54" s="4">
        <v>5</v>
      </c>
      <c r="G54" s="9" t="s">
        <v>62</v>
      </c>
      <c r="H54" s="4">
        <v>5</v>
      </c>
      <c r="I54" s="9"/>
      <c r="J54" s="9" t="s">
        <v>10</v>
      </c>
      <c r="K54" s="9"/>
      <c r="L54" s="4">
        <v>5</v>
      </c>
      <c r="M54" s="9"/>
      <c r="N54" s="9" t="s">
        <v>10</v>
      </c>
      <c r="O54" s="4">
        <f>+Harvest!O54/Effort!O54</f>
        <v>5.0000000000000009</v>
      </c>
    </row>
    <row r="55" spans="1:15" x14ac:dyDescent="0.25">
      <c r="A55" s="77"/>
      <c r="B55" s="8"/>
      <c r="C55" s="4"/>
      <c r="D55" s="13"/>
      <c r="E55" s="76"/>
      <c r="F55" s="9"/>
      <c r="G55" s="9"/>
      <c r="H55" s="9"/>
      <c r="I55" s="9"/>
      <c r="J55" s="9"/>
      <c r="K55" s="9"/>
      <c r="L55" s="9"/>
      <c r="M55" s="9"/>
      <c r="N55" s="9"/>
      <c r="O55" s="4"/>
    </row>
    <row r="56" spans="1:15" x14ac:dyDescent="0.25">
      <c r="A56" s="77">
        <v>46037</v>
      </c>
      <c r="B56" s="8" t="s">
        <v>22</v>
      </c>
      <c r="C56" s="4">
        <v>0.37</v>
      </c>
      <c r="D56" s="13">
        <v>0.69097222222222221</v>
      </c>
      <c r="E56" s="76"/>
      <c r="F56" s="4">
        <v>15</v>
      </c>
      <c r="G56" s="9" t="s">
        <v>62</v>
      </c>
      <c r="H56" s="4">
        <v>15</v>
      </c>
      <c r="I56" s="9"/>
      <c r="J56" s="9" t="s">
        <v>10</v>
      </c>
      <c r="K56" s="9"/>
      <c r="L56" s="4">
        <f>+Harvest!L56/Effort!L56</f>
        <v>14.823529411764689</v>
      </c>
      <c r="M56" s="9"/>
      <c r="N56" s="9" t="s">
        <v>10</v>
      </c>
      <c r="O56" s="4">
        <f>+Harvest!O56/Effort!O56</f>
        <v>14.960319934417456</v>
      </c>
    </row>
    <row r="57" spans="1:15" x14ac:dyDescent="0.25">
      <c r="A57" s="77">
        <v>46038</v>
      </c>
      <c r="B57" s="8" t="s">
        <v>18</v>
      </c>
      <c r="C57" s="4">
        <v>0.01</v>
      </c>
      <c r="D57" s="13">
        <v>0.71805555555555556</v>
      </c>
      <c r="E57" s="76"/>
      <c r="F57" s="4">
        <f>+Harvest!F57/Effort!F57</f>
        <v>14.673363224704582</v>
      </c>
      <c r="G57" s="9" t="s">
        <v>62</v>
      </c>
      <c r="H57" s="4">
        <v>14</v>
      </c>
      <c r="I57" s="9"/>
      <c r="J57" s="4">
        <f>+Harvest!J57/Effort!J57</f>
        <v>13.939393939393948</v>
      </c>
      <c r="K57" s="9"/>
      <c r="L57" s="9" t="s">
        <v>10</v>
      </c>
      <c r="M57" s="9"/>
      <c r="N57" s="9" t="s">
        <v>10</v>
      </c>
      <c r="O57" s="4">
        <f>+Harvest!O57/Effort!O57</f>
        <v>14.225523954966645</v>
      </c>
    </row>
    <row r="58" spans="1:15" x14ac:dyDescent="0.25">
      <c r="A58" s="77">
        <v>46039</v>
      </c>
      <c r="B58" s="8" t="s">
        <v>19</v>
      </c>
      <c r="C58" s="4">
        <v>-0.27</v>
      </c>
      <c r="D58" s="13">
        <v>0.74305555555555558</v>
      </c>
      <c r="E58" s="76" t="s">
        <v>62</v>
      </c>
      <c r="F58" s="4">
        <v>12.5</v>
      </c>
      <c r="G58" s="9"/>
      <c r="H58" s="4">
        <f>+Harvest!H58/Effort!H58</f>
        <v>14.160000000000016</v>
      </c>
      <c r="I58" s="9"/>
      <c r="J58" s="4">
        <f>+Harvest!J58/Effort!J58</f>
        <v>9.6984126984126906</v>
      </c>
      <c r="K58" s="9"/>
      <c r="L58" s="9" t="s">
        <v>10</v>
      </c>
      <c r="M58" s="9"/>
      <c r="N58" s="9" t="s">
        <v>10</v>
      </c>
      <c r="O58" s="4">
        <f>+Harvest!O58/Effort!O58</f>
        <v>11.721591622117163</v>
      </c>
    </row>
    <row r="59" spans="1:15" x14ac:dyDescent="0.25">
      <c r="A59" s="77">
        <v>46040</v>
      </c>
      <c r="B59" s="8" t="s">
        <v>20</v>
      </c>
      <c r="C59" s="4">
        <v>-0.45</v>
      </c>
      <c r="D59" s="13">
        <v>0.76666666666666672</v>
      </c>
      <c r="E59" s="76" t="s">
        <v>62</v>
      </c>
      <c r="F59" s="4">
        <v>14</v>
      </c>
      <c r="G59" s="9"/>
      <c r="H59" s="4">
        <f>+Harvest!H59/Effort!H59</f>
        <v>15.000000000000052</v>
      </c>
      <c r="I59" s="9"/>
      <c r="J59" s="9" t="s">
        <v>10</v>
      </c>
      <c r="K59" s="9"/>
      <c r="L59" s="4">
        <f>+Harvest!L59/Effort!L59</f>
        <v>12.733333333333347</v>
      </c>
      <c r="M59" s="9"/>
      <c r="N59" s="9" t="s">
        <v>10</v>
      </c>
      <c r="O59" s="4">
        <f>+Harvest!O59/Effort!O59</f>
        <v>14.005984496346079</v>
      </c>
    </row>
    <row r="60" spans="1:15" x14ac:dyDescent="0.25">
      <c r="A60" s="77">
        <v>46041</v>
      </c>
      <c r="B60" s="8" t="s">
        <v>21</v>
      </c>
      <c r="C60" s="4">
        <v>-0.5</v>
      </c>
      <c r="D60" s="13">
        <v>0.7895833333333333</v>
      </c>
      <c r="E60" s="76" t="s">
        <v>62</v>
      </c>
      <c r="F60" s="4">
        <v>7</v>
      </c>
      <c r="G60" s="9" t="s">
        <v>62</v>
      </c>
      <c r="H60" s="4">
        <v>7</v>
      </c>
      <c r="I60" s="9"/>
      <c r="J60" s="9" t="s">
        <v>10</v>
      </c>
      <c r="K60" s="9"/>
      <c r="L60" s="4">
        <f>+Harvest!L60/Effort!L60</f>
        <v>5.9166666666666616</v>
      </c>
      <c r="M60" s="9"/>
      <c r="N60" s="9" t="s">
        <v>10</v>
      </c>
      <c r="O60" s="4">
        <f>+Harvest!O60/Effort!O60</f>
        <v>6.7564084862849567</v>
      </c>
    </row>
    <row r="61" spans="1:15" x14ac:dyDescent="0.25">
      <c r="A61" s="77">
        <v>46042</v>
      </c>
      <c r="B61" s="8" t="s">
        <v>60</v>
      </c>
      <c r="C61" s="4">
        <v>-0.39</v>
      </c>
      <c r="D61" s="13">
        <v>0.81180555555555556</v>
      </c>
      <c r="E61" s="76"/>
      <c r="F61" s="4">
        <v>15</v>
      </c>
      <c r="G61" s="9" t="s">
        <v>62</v>
      </c>
      <c r="H61" s="4">
        <v>12.5</v>
      </c>
      <c r="I61" s="9"/>
      <c r="J61" s="4">
        <f>+Harvest!J61/Effort!J61</f>
        <v>8.312500000000016</v>
      </c>
      <c r="K61" s="9"/>
      <c r="L61" s="9" t="s">
        <v>10</v>
      </c>
      <c r="M61" s="9"/>
      <c r="N61" s="9" t="s">
        <v>10</v>
      </c>
      <c r="O61" s="4">
        <f>+Harvest!O61/Effort!O61</f>
        <v>11.458469955934339</v>
      </c>
    </row>
    <row r="62" spans="1:15" x14ac:dyDescent="0.25">
      <c r="A62" s="77">
        <v>46043</v>
      </c>
      <c r="B62" s="8" t="s">
        <v>61</v>
      </c>
      <c r="C62" s="4">
        <v>-0.09</v>
      </c>
      <c r="D62" s="13">
        <v>0.83402777777777781</v>
      </c>
      <c r="E62" s="76" t="s">
        <v>62</v>
      </c>
      <c r="F62" s="4">
        <v>12.5</v>
      </c>
      <c r="G62" s="9"/>
      <c r="H62" s="4">
        <f>+Harvest!H62/Effort!H62</f>
        <v>12.571428571428566</v>
      </c>
      <c r="I62" s="9"/>
      <c r="J62" s="4">
        <f>+Harvest!J62/Effort!J62</f>
        <v>10.500000000000005</v>
      </c>
      <c r="K62" s="9"/>
      <c r="L62" s="9" t="s">
        <v>10</v>
      </c>
      <c r="M62" s="9"/>
      <c r="N62" s="9" t="s">
        <v>10</v>
      </c>
      <c r="O62" s="4">
        <f>+Harvest!O62/Effort!O62</f>
        <v>11.600594606220167</v>
      </c>
    </row>
    <row r="63" spans="1:15" x14ac:dyDescent="0.25">
      <c r="A63" s="77"/>
      <c r="B63" s="8"/>
      <c r="C63" s="4"/>
      <c r="D63" s="13"/>
      <c r="E63" s="76"/>
      <c r="F63" s="9"/>
      <c r="G63" s="9"/>
      <c r="H63" s="9"/>
      <c r="I63" s="9"/>
      <c r="J63" s="9"/>
      <c r="K63" s="9"/>
      <c r="L63" s="9"/>
      <c r="M63" s="9"/>
      <c r="N63" s="9"/>
      <c r="O63" s="4"/>
    </row>
    <row r="64" spans="1:15" x14ac:dyDescent="0.25">
      <c r="A64" s="77">
        <v>46051</v>
      </c>
      <c r="B64" s="8" t="s">
        <v>22</v>
      </c>
      <c r="C64" s="4">
        <v>-0.6</v>
      </c>
      <c r="D64" s="13">
        <v>0.66319444444444442</v>
      </c>
      <c r="E64" s="76"/>
      <c r="F64" s="4">
        <v>4.8</v>
      </c>
      <c r="G64" s="9"/>
      <c r="H64" s="4">
        <f>+Harvest!H64/Effort!H64</f>
        <v>6.0833333333333464</v>
      </c>
      <c r="I64" s="9"/>
      <c r="J64" s="9" t="s">
        <v>10</v>
      </c>
      <c r="K64" s="9"/>
      <c r="L64" s="4">
        <f>+Harvest!L64/Effort!L64</f>
        <v>2.9629629629629615</v>
      </c>
      <c r="M64" s="9"/>
      <c r="N64" s="9" t="s">
        <v>10</v>
      </c>
      <c r="O64" s="4">
        <f>+Harvest!O64/Effort!O64</f>
        <v>4.7835134277958051</v>
      </c>
    </row>
    <row r="65" spans="1:15" x14ac:dyDescent="0.25">
      <c r="A65" s="77">
        <v>46052</v>
      </c>
      <c r="B65" s="8" t="s">
        <v>18</v>
      </c>
      <c r="C65" s="4">
        <v>-1.2</v>
      </c>
      <c r="D65" s="13">
        <v>0.69930555555555551</v>
      </c>
      <c r="E65" s="76"/>
      <c r="F65" s="4">
        <v>12.8</v>
      </c>
      <c r="G65" s="9"/>
      <c r="H65" s="4">
        <f>+Harvest!H65/Effort!H65</f>
        <v>8.7142857142857206</v>
      </c>
      <c r="I65" s="9"/>
      <c r="J65" s="4">
        <f>+Harvest!J65/Effort!J65</f>
        <v>11.733333333333352</v>
      </c>
      <c r="K65" s="9"/>
      <c r="L65" s="9" t="s">
        <v>10</v>
      </c>
      <c r="M65" s="9"/>
      <c r="N65" s="9" t="s">
        <v>10</v>
      </c>
      <c r="O65" s="4">
        <f>+Harvest!O65/Effort!O65</f>
        <v>11.341494278499239</v>
      </c>
    </row>
    <row r="66" spans="1:15" x14ac:dyDescent="0.25">
      <c r="A66" s="77">
        <v>46053</v>
      </c>
      <c r="B66" s="8" t="s">
        <v>19</v>
      </c>
      <c r="C66" s="4">
        <v>-1.6</v>
      </c>
      <c r="D66" s="13">
        <v>0.73402777777777772</v>
      </c>
      <c r="E66" s="76" t="s">
        <v>62</v>
      </c>
      <c r="F66" s="99">
        <v>14</v>
      </c>
      <c r="G66" s="9" t="s">
        <v>62</v>
      </c>
      <c r="H66" s="4">
        <v>14</v>
      </c>
      <c r="I66" s="9"/>
      <c r="J66" s="4">
        <f>+Harvest!J66/Effort!J66</f>
        <v>14.075949367088604</v>
      </c>
      <c r="K66" s="9"/>
      <c r="L66" s="9" t="s">
        <v>10</v>
      </c>
      <c r="M66" s="9"/>
      <c r="N66" s="9" t="s">
        <v>10</v>
      </c>
      <c r="O66" s="4">
        <f>+Harvest!O66/Effort!O66</f>
        <v>14.033037759799484</v>
      </c>
    </row>
    <row r="67" spans="1:15" x14ac:dyDescent="0.25">
      <c r="A67" s="77">
        <v>46054</v>
      </c>
      <c r="B67" s="8" t="s">
        <v>20</v>
      </c>
      <c r="C67" s="4">
        <v>-1.7</v>
      </c>
      <c r="D67" s="13">
        <v>0.76597222222222228</v>
      </c>
      <c r="E67" s="76" t="s">
        <v>62</v>
      </c>
      <c r="F67" s="99">
        <v>10.5</v>
      </c>
      <c r="G67" s="9"/>
      <c r="H67" s="4">
        <f>+Harvest!H67/Effort!H67</f>
        <v>10.882352941176432</v>
      </c>
      <c r="I67" s="9"/>
      <c r="J67" s="9" t="s">
        <v>10</v>
      </c>
      <c r="K67" s="9"/>
      <c r="L67" s="4">
        <f>+Harvest!L67/Effort!L67</f>
        <v>11.363636363636372</v>
      </c>
      <c r="M67" s="9"/>
      <c r="N67" s="9" t="s">
        <v>10</v>
      </c>
      <c r="O67" s="4">
        <f>+Harvest!O67/Effort!O67</f>
        <v>10.965946646707094</v>
      </c>
    </row>
    <row r="68" spans="1:15" x14ac:dyDescent="0.25">
      <c r="A68" s="77">
        <v>46055</v>
      </c>
      <c r="B68" s="8" t="s">
        <v>21</v>
      </c>
      <c r="C68" s="4">
        <v>-1.5</v>
      </c>
      <c r="D68" s="13">
        <v>0.79652777777777772</v>
      </c>
      <c r="E68" s="76" t="s">
        <v>62</v>
      </c>
      <c r="F68" s="99">
        <v>5</v>
      </c>
      <c r="G68" s="9" t="s">
        <v>62</v>
      </c>
      <c r="H68" s="4">
        <v>5</v>
      </c>
      <c r="I68" s="9"/>
      <c r="J68" s="9" t="s">
        <v>10</v>
      </c>
      <c r="K68" s="9"/>
      <c r="L68" s="4">
        <f>+Harvest!L68/Effort!L68</f>
        <v>3.500000000000008</v>
      </c>
      <c r="M68" s="9"/>
      <c r="N68" s="9" t="s">
        <v>10</v>
      </c>
      <c r="O68" s="4">
        <f>+Harvest!O68/Effort!O68</f>
        <v>4.6060932053095893</v>
      </c>
    </row>
    <row r="69" spans="1:15" x14ac:dyDescent="0.25">
      <c r="A69" s="77">
        <v>46056</v>
      </c>
      <c r="B69" s="8" t="s">
        <v>60</v>
      </c>
      <c r="C69" s="4">
        <v>-1.1000000000000001</v>
      </c>
      <c r="D69" s="13">
        <v>0.82638888888888884</v>
      </c>
      <c r="E69" s="76"/>
      <c r="F69" s="4">
        <v>15</v>
      </c>
      <c r="G69" s="9"/>
      <c r="H69" s="4">
        <f>+Harvest!H69/Effort!H69</f>
        <v>13.266666666666648</v>
      </c>
      <c r="I69" s="9"/>
      <c r="J69" s="4">
        <f>+Harvest!J69/Effort!J69</f>
        <v>10.500000000000002</v>
      </c>
      <c r="K69" s="9"/>
      <c r="L69" s="9" t="s">
        <v>10</v>
      </c>
      <c r="M69" s="9"/>
      <c r="N69" s="9" t="s">
        <v>10</v>
      </c>
      <c r="O69" s="4">
        <f>+Harvest!O69/Effort!O69</f>
        <v>12.576528109065599</v>
      </c>
    </row>
    <row r="70" spans="1:15" x14ac:dyDescent="0.25">
      <c r="A70" s="77">
        <v>46057</v>
      </c>
      <c r="B70" s="8" t="s">
        <v>61</v>
      </c>
      <c r="C70" s="4">
        <v>-0.5</v>
      </c>
      <c r="D70" s="13">
        <v>0.85555555555555551</v>
      </c>
      <c r="E70" s="76" t="s">
        <v>62</v>
      </c>
      <c r="F70" s="99">
        <v>6</v>
      </c>
      <c r="G70" s="9" t="s">
        <v>62</v>
      </c>
      <c r="H70" s="4">
        <v>6</v>
      </c>
      <c r="I70" s="9"/>
      <c r="J70" s="4">
        <f>+Harvest!J70/Effort!J70</f>
        <v>6.2307692307692193</v>
      </c>
      <c r="K70" s="9"/>
      <c r="L70" s="9" t="s">
        <v>10</v>
      </c>
      <c r="M70" s="9"/>
      <c r="N70" s="9" t="s">
        <v>10</v>
      </c>
      <c r="O70" s="4">
        <f>+Harvest!O70/Effort!O70</f>
        <v>6.0911856524373684</v>
      </c>
    </row>
    <row r="71" spans="1:15" x14ac:dyDescent="0.25">
      <c r="A71" s="77"/>
      <c r="B71" s="8"/>
      <c r="C71" s="4"/>
      <c r="D71" s="13"/>
      <c r="E71" s="76"/>
      <c r="F71" s="9"/>
      <c r="G71" s="9"/>
      <c r="H71" s="9"/>
      <c r="I71" s="9"/>
      <c r="J71" s="9"/>
      <c r="K71" s="9"/>
      <c r="L71" s="9"/>
      <c r="M71" s="9"/>
      <c r="N71" s="9"/>
      <c r="O71" s="4"/>
    </row>
    <row r="72" spans="1:15" x14ac:dyDescent="0.25">
      <c r="A72" s="77">
        <v>46067</v>
      </c>
      <c r="B72" s="8" t="s">
        <v>19</v>
      </c>
      <c r="C72" s="4">
        <v>0.25</v>
      </c>
      <c r="D72" s="13">
        <v>0.7</v>
      </c>
      <c r="E72" s="76" t="s">
        <v>62</v>
      </c>
      <c r="F72" s="4">
        <v>8</v>
      </c>
      <c r="G72" s="9"/>
      <c r="H72" s="4">
        <f>+Harvest!H72/Effort!H72</f>
        <v>9.3902439024390318</v>
      </c>
      <c r="I72" s="9"/>
      <c r="J72" s="9" t="s">
        <v>10</v>
      </c>
      <c r="K72" s="9"/>
      <c r="L72" s="4">
        <f>+Harvest!L72/Effort!L72</f>
        <v>3.4918032786885247</v>
      </c>
      <c r="M72" s="9"/>
      <c r="N72" s="9" t="s">
        <v>10</v>
      </c>
      <c r="O72" s="4">
        <f>+Harvest!O72/Effort!O72</f>
        <v>7.0249211379187937</v>
      </c>
    </row>
    <row r="73" spans="1:15" x14ac:dyDescent="0.25">
      <c r="A73" s="77">
        <v>46068</v>
      </c>
      <c r="B73" s="8" t="s">
        <v>20</v>
      </c>
      <c r="C73" s="4">
        <v>-0.09</v>
      </c>
      <c r="D73" s="13">
        <v>0.72499999999999998</v>
      </c>
      <c r="E73" s="76"/>
      <c r="F73" s="4">
        <v>10.8</v>
      </c>
      <c r="G73" s="9"/>
      <c r="H73" s="4">
        <f>+Harvest!H73/Effort!H73</f>
        <v>9.3000000000000007</v>
      </c>
      <c r="I73" s="9"/>
      <c r="J73" s="4">
        <f>+Harvest!J73/Effort!J73</f>
        <v>4.5937499999999858</v>
      </c>
      <c r="K73" s="9"/>
      <c r="L73" s="9" t="s">
        <v>10</v>
      </c>
      <c r="M73" s="9"/>
      <c r="N73" s="9" t="s">
        <v>10</v>
      </c>
      <c r="O73" s="4">
        <f>+Harvest!O73/Effort!O73</f>
        <v>7.8296647467161211</v>
      </c>
    </row>
    <row r="74" spans="1:15" x14ac:dyDescent="0.25">
      <c r="A74" s="77">
        <v>46069</v>
      </c>
      <c r="B74" s="8" t="s">
        <v>21</v>
      </c>
      <c r="C74" s="4">
        <v>-0.28999999999999998</v>
      </c>
      <c r="D74" s="13">
        <v>0.74791666666666667</v>
      </c>
      <c r="E74" s="76" t="s">
        <v>62</v>
      </c>
      <c r="F74" s="4">
        <v>5</v>
      </c>
      <c r="G74" s="9" t="s">
        <v>62</v>
      </c>
      <c r="H74" s="4">
        <v>5</v>
      </c>
      <c r="I74" s="9"/>
      <c r="J74" s="4">
        <f>+Harvest!J74/Effort!J74</f>
        <v>3.0555555555555531</v>
      </c>
      <c r="K74" s="9"/>
      <c r="L74" s="9" t="s">
        <v>10</v>
      </c>
      <c r="M74" s="9"/>
      <c r="N74" s="9" t="s">
        <v>10</v>
      </c>
      <c r="O74" s="4">
        <f>+Harvest!O74/Effort!O74</f>
        <v>4.1901428982683324</v>
      </c>
    </row>
    <row r="75" spans="1:15" x14ac:dyDescent="0.25">
      <c r="A75" s="77">
        <v>46070</v>
      </c>
      <c r="B75" s="8" t="s">
        <v>60</v>
      </c>
      <c r="C75" s="4">
        <v>-0.3</v>
      </c>
      <c r="D75" s="13">
        <v>0.77013888888888893</v>
      </c>
      <c r="E75" s="76" t="s">
        <v>62</v>
      </c>
      <c r="F75" s="4">
        <v>2</v>
      </c>
      <c r="G75" s="9" t="s">
        <v>62</v>
      </c>
      <c r="H75" s="4">
        <v>2</v>
      </c>
      <c r="I75" s="9"/>
      <c r="J75" s="9" t="s">
        <v>10</v>
      </c>
      <c r="K75" s="9"/>
      <c r="L75" s="4">
        <f>+Harvest!L75/Effort!L75</f>
        <v>0.2</v>
      </c>
      <c r="M75" s="9"/>
      <c r="N75" s="9" t="s">
        <v>10</v>
      </c>
      <c r="O75" s="4">
        <f>+Harvest!O75/Effort!O75</f>
        <v>1.2020665245191313</v>
      </c>
    </row>
    <row r="76" spans="1:15" x14ac:dyDescent="0.25">
      <c r="A76" s="77">
        <v>46071</v>
      </c>
      <c r="B76" s="8" t="s">
        <v>61</v>
      </c>
      <c r="C76" s="4">
        <v>-0.11</v>
      </c>
      <c r="D76" s="13">
        <v>0.79166666666666663</v>
      </c>
      <c r="E76" s="76"/>
      <c r="F76" s="4">
        <v>0.8</v>
      </c>
      <c r="G76" s="9"/>
      <c r="H76" s="4">
        <f>+Harvest!H76/Effort!H76</f>
        <v>0.8571428571428612</v>
      </c>
      <c r="I76" s="9"/>
      <c r="J76" s="9" t="s">
        <v>10</v>
      </c>
      <c r="K76" s="9"/>
      <c r="L76" s="4">
        <f>+Harvest!L76/Effort!L76</f>
        <v>2.0000000000000049</v>
      </c>
      <c r="M76" s="9"/>
      <c r="N76" s="9" t="s">
        <v>10</v>
      </c>
      <c r="O76" s="4">
        <f>+Harvest!O76/Effort!O76</f>
        <v>1.3494044852093123</v>
      </c>
    </row>
    <row r="77" spans="1:15" x14ac:dyDescent="0.25">
      <c r="A77" s="77">
        <v>46072</v>
      </c>
      <c r="B77" s="8" t="s">
        <v>22</v>
      </c>
      <c r="C77" s="4">
        <v>0.28999999999999998</v>
      </c>
      <c r="D77" s="13">
        <v>0.81388888888888888</v>
      </c>
      <c r="E77" s="76" t="s">
        <v>62</v>
      </c>
      <c r="F77" s="4">
        <v>5</v>
      </c>
      <c r="G77" s="9" t="s">
        <v>62</v>
      </c>
      <c r="H77" s="4">
        <v>5</v>
      </c>
      <c r="I77" s="9"/>
      <c r="J77" s="4">
        <f>+Harvest!J77/Effort!J77</f>
        <v>3.4999999999999809</v>
      </c>
      <c r="K77" s="9"/>
      <c r="L77" s="9" t="s">
        <v>10</v>
      </c>
      <c r="M77" s="9"/>
      <c r="N77" s="9" t="s">
        <v>10</v>
      </c>
      <c r="O77" s="4">
        <f>+Harvest!O77/Effort!O77</f>
        <v>4.3752530929498503</v>
      </c>
    </row>
    <row r="78" spans="1:15" x14ac:dyDescent="0.25">
      <c r="A78" s="77"/>
      <c r="B78" s="8"/>
      <c r="C78" s="4"/>
      <c r="D78" s="13"/>
      <c r="E78" s="76"/>
      <c r="F78" s="9"/>
      <c r="G78" s="9"/>
      <c r="H78" s="9"/>
      <c r="I78" s="9"/>
      <c r="J78" s="9"/>
      <c r="K78" s="9"/>
      <c r="L78" s="9"/>
      <c r="M78" s="9"/>
      <c r="N78" s="9"/>
      <c r="O78" s="4"/>
    </row>
    <row r="79" spans="1:15" x14ac:dyDescent="0.25">
      <c r="A79" s="77">
        <v>46079</v>
      </c>
      <c r="B79" s="8" t="s">
        <v>22</v>
      </c>
      <c r="C79" s="4">
        <v>0.32</v>
      </c>
      <c r="D79" s="13">
        <v>0.60138888888888886</v>
      </c>
      <c r="E79" s="76" t="s">
        <v>62</v>
      </c>
      <c r="F79" s="4">
        <v>12.5</v>
      </c>
      <c r="G79" s="9"/>
      <c r="H79" s="4">
        <f>+Harvest!H79/Effort!H79</f>
        <v>13.025641025641026</v>
      </c>
      <c r="I79" s="9"/>
      <c r="J79" s="4">
        <f>+Harvest!J79/Effort!J79</f>
        <v>10.861111111111114</v>
      </c>
      <c r="K79" s="9"/>
      <c r="L79" s="9" t="s">
        <v>10</v>
      </c>
      <c r="M79" s="9"/>
      <c r="N79" s="9" t="s">
        <v>10</v>
      </c>
      <c r="O79" s="4">
        <f>+Harvest!O79/Effort!O79</f>
        <v>11.933609692836217</v>
      </c>
    </row>
    <row r="80" spans="1:15" x14ac:dyDescent="0.25">
      <c r="A80" s="77">
        <v>46080</v>
      </c>
      <c r="B80" s="8" t="s">
        <v>18</v>
      </c>
      <c r="C80" s="4">
        <v>-0.04</v>
      </c>
      <c r="D80" s="13">
        <v>0.64513888888888893</v>
      </c>
      <c r="E80" s="76"/>
      <c r="F80" s="4">
        <f>+Harvest!F80/Effort!F80</f>
        <v>14.620699810596596</v>
      </c>
      <c r="G80" s="9" t="s">
        <v>62</v>
      </c>
      <c r="H80" s="4">
        <v>12.5</v>
      </c>
      <c r="I80" s="9"/>
      <c r="J80" s="9" t="s">
        <v>10</v>
      </c>
      <c r="K80" s="9"/>
      <c r="L80" s="4">
        <f>+Harvest!L80/Effort!L80</f>
        <v>8.6346153846153726</v>
      </c>
      <c r="M80" s="9"/>
      <c r="N80" s="9" t="s">
        <v>10</v>
      </c>
      <c r="O80" s="4">
        <f>+Harvest!O80/Effort!O80</f>
        <v>12.013079161586345</v>
      </c>
    </row>
    <row r="81" spans="1:15" x14ac:dyDescent="0.25">
      <c r="A81" s="77">
        <v>46081</v>
      </c>
      <c r="B81" s="8" t="s">
        <v>19</v>
      </c>
      <c r="C81" s="4">
        <v>-0.34</v>
      </c>
      <c r="D81" s="13">
        <v>0.68194444444444446</v>
      </c>
      <c r="E81" s="76" t="s">
        <v>62</v>
      </c>
      <c r="F81" s="4">
        <v>12.5</v>
      </c>
      <c r="G81" s="9"/>
      <c r="H81" s="4">
        <f>+Harvest!H81/Effort!H81</f>
        <v>11.638888888888903</v>
      </c>
      <c r="I81" s="9"/>
      <c r="J81" s="9" t="s">
        <v>10</v>
      </c>
      <c r="K81" s="9"/>
      <c r="L81" s="4">
        <f>+Harvest!L81/Effort!L81</f>
        <v>13.109890109890106</v>
      </c>
      <c r="M81" s="9"/>
      <c r="N81" s="9" t="s">
        <v>10</v>
      </c>
      <c r="O81" s="4">
        <f>+Harvest!O81/Effort!O81</f>
        <v>12.298937927137757</v>
      </c>
    </row>
    <row r="82" spans="1:15" x14ac:dyDescent="0.25">
      <c r="A82" s="77">
        <v>46082</v>
      </c>
      <c r="B82" s="8" t="s">
        <v>20</v>
      </c>
      <c r="C82" s="4">
        <v>-0.48</v>
      </c>
      <c r="D82" s="13">
        <v>0.71319444444444446</v>
      </c>
      <c r="E82" s="76" t="s">
        <v>62</v>
      </c>
      <c r="F82" s="4">
        <v>12.5</v>
      </c>
      <c r="G82" s="9"/>
      <c r="H82" s="4">
        <f>+Harvest!H82/Effort!H82</f>
        <v>12.810344827586199</v>
      </c>
      <c r="I82" s="9"/>
      <c r="J82" s="4">
        <f>+Harvest!J82/Effort!J82</f>
        <v>13.184782608695651</v>
      </c>
      <c r="K82" s="9"/>
      <c r="L82" s="9" t="s">
        <v>10</v>
      </c>
      <c r="M82" s="9"/>
      <c r="N82" s="9" t="s">
        <v>10</v>
      </c>
      <c r="O82" s="4">
        <f>+Harvest!O82/Effort!O82</f>
        <v>12.89425869777852</v>
      </c>
    </row>
    <row r="83" spans="1:15" x14ac:dyDescent="0.25">
      <c r="A83" s="77">
        <v>46083</v>
      </c>
      <c r="B83" s="8" t="s">
        <v>21</v>
      </c>
      <c r="C83" s="4">
        <v>-0.42</v>
      </c>
      <c r="D83" s="13">
        <v>0.74027777777777781</v>
      </c>
      <c r="E83" s="76"/>
      <c r="F83" s="99">
        <v>14.4</v>
      </c>
      <c r="G83" s="9"/>
      <c r="H83" s="4">
        <f>+Harvest!H83/Effort!H83</f>
        <v>14.696428571428582</v>
      </c>
      <c r="I83" s="9"/>
      <c r="J83" s="4">
        <f>+Harvest!J83/Effort!J83</f>
        <v>10.190476190476193</v>
      </c>
      <c r="K83" s="9"/>
      <c r="L83" s="9" t="s">
        <v>10</v>
      </c>
      <c r="M83" s="9"/>
      <c r="N83" s="9" t="s">
        <v>10</v>
      </c>
      <c r="O83" s="4">
        <f>+Harvest!O83/Effort!O83</f>
        <v>12.754762155284293</v>
      </c>
    </row>
    <row r="84" spans="1:15" x14ac:dyDescent="0.25">
      <c r="A84" s="77">
        <v>46084</v>
      </c>
      <c r="B84" s="8" t="s">
        <v>60</v>
      </c>
      <c r="C84" s="4">
        <v>-0.15</v>
      </c>
      <c r="D84" s="13">
        <v>0.76527777777777772</v>
      </c>
      <c r="E84" s="76" t="s">
        <v>62</v>
      </c>
      <c r="F84" s="4">
        <v>5</v>
      </c>
      <c r="G84" s="9" t="s">
        <v>62</v>
      </c>
      <c r="H84" s="4">
        <v>5</v>
      </c>
      <c r="I84" s="9"/>
      <c r="J84" s="9" t="s">
        <v>10</v>
      </c>
      <c r="K84" s="9"/>
      <c r="L84" s="4">
        <f>+Harvest!L84/Effort!L84</f>
        <v>4.5333333333333314</v>
      </c>
      <c r="M84" s="9"/>
      <c r="N84" s="9" t="s">
        <v>10</v>
      </c>
      <c r="O84" s="4">
        <f>+Harvest!O84/Effort!O84</f>
        <v>4.8700840025119501</v>
      </c>
    </row>
    <row r="85" spans="1:15" x14ac:dyDescent="0.25">
      <c r="A85" s="77">
        <v>46085</v>
      </c>
      <c r="B85" s="8" t="s">
        <v>61</v>
      </c>
      <c r="C85" s="4">
        <v>0.3</v>
      </c>
      <c r="D85" s="13">
        <v>0.78819444444444442</v>
      </c>
      <c r="E85" s="76" t="s">
        <v>62</v>
      </c>
      <c r="F85" s="4">
        <v>7</v>
      </c>
      <c r="G85" s="9" t="s">
        <v>62</v>
      </c>
      <c r="H85" s="4">
        <v>7</v>
      </c>
      <c r="I85" s="9"/>
      <c r="J85" s="9" t="s">
        <v>10</v>
      </c>
      <c r="K85" s="9"/>
      <c r="L85" s="4">
        <f>+Harvest!L85/Effort!L85</f>
        <v>6.4444444444444482</v>
      </c>
      <c r="M85" s="9"/>
      <c r="N85" s="9" t="s">
        <v>10</v>
      </c>
      <c r="O85" s="4">
        <f>+Harvest!O85/Effort!O85</f>
        <v>6.845338098228515</v>
      </c>
    </row>
    <row r="86" spans="1:15" x14ac:dyDescent="0.25">
      <c r="A86" s="77"/>
      <c r="B86" s="8"/>
      <c r="C86" s="4"/>
      <c r="D86" s="13"/>
      <c r="E86" s="76"/>
      <c r="F86" s="9"/>
      <c r="G86" s="9"/>
      <c r="H86" s="9"/>
      <c r="I86" s="9"/>
      <c r="J86" s="9"/>
      <c r="K86" s="9"/>
      <c r="L86" s="9"/>
      <c r="M86" s="9"/>
      <c r="N86" s="9"/>
      <c r="O86" s="4"/>
    </row>
    <row r="87" spans="1:15" x14ac:dyDescent="0.25">
      <c r="A87" s="77">
        <v>46098</v>
      </c>
      <c r="B87" s="8" t="s">
        <v>60</v>
      </c>
      <c r="C87" s="4">
        <v>0.16</v>
      </c>
      <c r="D87" s="13">
        <v>0.76458333333333328</v>
      </c>
      <c r="E87" s="76" t="s">
        <v>62</v>
      </c>
      <c r="F87" s="4">
        <v>2</v>
      </c>
      <c r="G87" s="9"/>
      <c r="H87" s="4">
        <f>+Harvest!H87/Effort!H87</f>
        <v>1.1000000000000001</v>
      </c>
      <c r="I87" s="9"/>
      <c r="J87" s="4">
        <f>+Harvest!J87/Effort!J87</f>
        <v>2.3333333333333282</v>
      </c>
      <c r="K87" s="9"/>
      <c r="L87" s="9" t="s">
        <v>10</v>
      </c>
      <c r="M87" s="9"/>
      <c r="N87" s="9" t="s">
        <v>10</v>
      </c>
      <c r="O87" s="4">
        <f>+Harvest!O87/Effort!O87</f>
        <v>1.8359006199077195</v>
      </c>
    </row>
    <row r="88" spans="1:15" x14ac:dyDescent="0.25">
      <c r="A88" s="77">
        <v>46099</v>
      </c>
      <c r="B88" s="8" t="s">
        <v>61</v>
      </c>
      <c r="C88" s="4">
        <v>0.26</v>
      </c>
      <c r="D88" s="13">
        <v>0.78749999999999998</v>
      </c>
      <c r="E88" s="76"/>
      <c r="F88" s="4">
        <v>12.8</v>
      </c>
      <c r="G88" s="9"/>
      <c r="H88" s="4">
        <f>+Harvest!H88/Effort!H88</f>
        <v>7.6250000000000036</v>
      </c>
      <c r="I88" s="9"/>
      <c r="J88" s="4">
        <f>+Harvest!J88/Effort!J88</f>
        <v>6.5882352941176805</v>
      </c>
      <c r="K88" s="9"/>
      <c r="L88" s="9" t="s">
        <v>10</v>
      </c>
      <c r="M88" s="9"/>
      <c r="N88" s="9" t="s">
        <v>10</v>
      </c>
      <c r="O88" s="4">
        <f>+Harvest!O88/Effort!O88</f>
        <v>9.2353761109221804</v>
      </c>
    </row>
    <row r="89" spans="1:15" x14ac:dyDescent="0.25">
      <c r="A89" s="77">
        <v>46100</v>
      </c>
      <c r="B89" s="8" t="s">
        <v>22</v>
      </c>
      <c r="C89" s="4">
        <v>0.54</v>
      </c>
      <c r="D89" s="13">
        <v>0.81111111111111112</v>
      </c>
      <c r="E89" s="76"/>
      <c r="F89" s="4">
        <v>2</v>
      </c>
      <c r="G89" s="9" t="s">
        <v>62</v>
      </c>
      <c r="H89" s="4">
        <v>2</v>
      </c>
      <c r="I89" s="9"/>
      <c r="J89" s="9" t="s">
        <v>10</v>
      </c>
      <c r="K89" s="9"/>
      <c r="L89" s="4">
        <f>+Harvest!L89/Effort!L89</f>
        <v>2</v>
      </c>
      <c r="M89" s="9"/>
      <c r="N89" s="9" t="s">
        <v>10</v>
      </c>
      <c r="O89" s="4">
        <f>+Harvest!O89/Effort!O89</f>
        <v>2</v>
      </c>
    </row>
    <row r="90" spans="1:15" x14ac:dyDescent="0.25">
      <c r="A90" s="77">
        <v>46101</v>
      </c>
      <c r="B90" s="8" t="s">
        <v>18</v>
      </c>
      <c r="C90" s="4">
        <v>-0.09</v>
      </c>
      <c r="D90" s="13">
        <v>0.33333333333333331</v>
      </c>
      <c r="E90" s="76" t="s">
        <v>62</v>
      </c>
      <c r="F90" s="4">
        <v>5</v>
      </c>
      <c r="G90" s="9" t="s">
        <v>62</v>
      </c>
      <c r="H90" s="4">
        <v>5</v>
      </c>
      <c r="I90" s="9"/>
      <c r="J90" s="9" t="s">
        <v>10</v>
      </c>
      <c r="K90" s="9"/>
      <c r="L90" s="4">
        <f>+Harvest!L90/Effort!L90</f>
        <v>2.4615384615384586</v>
      </c>
      <c r="M90" s="9"/>
      <c r="N90" s="9" t="s">
        <v>10</v>
      </c>
      <c r="O90" s="4">
        <f>+Harvest!O90/Effort!O90</f>
        <v>4.4482368873743647</v>
      </c>
    </row>
    <row r="91" spans="1:15" x14ac:dyDescent="0.25">
      <c r="A91" s="77">
        <v>46102</v>
      </c>
      <c r="B91" s="8" t="s">
        <v>19</v>
      </c>
      <c r="C91" s="4">
        <v>-0.48</v>
      </c>
      <c r="D91" s="13">
        <v>0.36319444444444443</v>
      </c>
      <c r="E91" s="76" t="s">
        <v>62</v>
      </c>
      <c r="F91" s="4">
        <v>14.5</v>
      </c>
      <c r="G91" s="9" t="s">
        <v>62</v>
      </c>
      <c r="H91" s="4">
        <v>14.5</v>
      </c>
      <c r="I91" s="9"/>
      <c r="J91" s="4">
        <f>+Harvest!J91/Effort!J91</f>
        <v>14.30555555555555</v>
      </c>
      <c r="K91" s="9"/>
      <c r="L91" s="9" t="s">
        <v>10</v>
      </c>
      <c r="M91" s="9"/>
      <c r="N91" s="9" t="s">
        <v>10</v>
      </c>
      <c r="O91" s="4">
        <f>+Harvest!O91/Effort!O91</f>
        <v>14.402972718620555</v>
      </c>
    </row>
    <row r="92" spans="1:15" x14ac:dyDescent="0.25">
      <c r="A92" s="77">
        <v>46103</v>
      </c>
      <c r="B92" s="8" t="s">
        <v>20</v>
      </c>
      <c r="C92" s="4">
        <v>-0.6</v>
      </c>
      <c r="D92" s="13">
        <v>0.39513888888888887</v>
      </c>
      <c r="E92" s="76"/>
      <c r="F92" s="4">
        <f>+Harvest!F92/Effort!F92</f>
        <v>13.856836138783901</v>
      </c>
      <c r="G92" s="9"/>
      <c r="H92" s="4">
        <f>+Harvest!H92/Effort!H92</f>
        <v>13.67692307692306</v>
      </c>
      <c r="I92" s="9"/>
      <c r="J92" s="4">
        <f>+Harvest!J92/Effort!J92</f>
        <v>12.156862745098044</v>
      </c>
      <c r="K92" s="9"/>
      <c r="L92" s="9" t="s">
        <v>10</v>
      </c>
      <c r="M92" s="9"/>
      <c r="N92" s="9" t="s">
        <v>10</v>
      </c>
      <c r="O92" s="4">
        <f>+Harvest!O92/Effort!O92</f>
        <v>12.955202155960931</v>
      </c>
    </row>
    <row r="93" spans="1:15" x14ac:dyDescent="0.25">
      <c r="A93" s="77">
        <v>46104</v>
      </c>
      <c r="B93" s="8" t="s">
        <v>21</v>
      </c>
      <c r="C93" s="4">
        <v>-0.46</v>
      </c>
      <c r="D93" s="13">
        <v>0.43194444444444446</v>
      </c>
      <c r="E93" s="76" t="s">
        <v>62</v>
      </c>
      <c r="F93" s="4">
        <v>12.5</v>
      </c>
      <c r="G93" s="9" t="s">
        <v>62</v>
      </c>
      <c r="H93" s="4">
        <v>12.5</v>
      </c>
      <c r="I93" s="9"/>
      <c r="J93" s="9" t="s">
        <v>10</v>
      </c>
      <c r="K93" s="9"/>
      <c r="L93" s="4">
        <f>+Harvest!L93/Effort!L93</f>
        <v>11.586206896551747</v>
      </c>
      <c r="M93" s="9"/>
      <c r="N93" s="9" t="s">
        <v>10</v>
      </c>
      <c r="O93" s="4">
        <f>+Harvest!O93/Effort!O93</f>
        <v>12.301376810554309</v>
      </c>
    </row>
    <row r="94" spans="1:15" x14ac:dyDescent="0.25">
      <c r="A94" s="77">
        <v>46105</v>
      </c>
      <c r="B94" s="8" t="s">
        <v>60</v>
      </c>
      <c r="C94" s="4">
        <v>-0.14000000000000001</v>
      </c>
      <c r="D94" s="13">
        <v>0.47291666666666665</v>
      </c>
      <c r="E94" s="76" t="s">
        <v>62</v>
      </c>
      <c r="F94" s="4">
        <v>2</v>
      </c>
      <c r="G94" s="9"/>
      <c r="H94" s="4">
        <f>+Harvest!H94/Effort!H94</f>
        <v>1.6666666666666667</v>
      </c>
      <c r="I94" s="9"/>
      <c r="J94" s="9" t="s">
        <v>10</v>
      </c>
      <c r="K94" s="9"/>
      <c r="L94" s="4">
        <v>2</v>
      </c>
      <c r="M94" s="9"/>
      <c r="N94" s="9" t="s">
        <v>10</v>
      </c>
      <c r="O94" s="4">
        <f>+Harvest!O94/Effort!O94</f>
        <v>1.8632562724965345</v>
      </c>
    </row>
    <row r="95" spans="1:15" x14ac:dyDescent="0.25">
      <c r="A95" s="77"/>
      <c r="B95" s="8"/>
      <c r="C95" s="4"/>
      <c r="D95" s="13"/>
      <c r="E95" s="76"/>
      <c r="F95" s="9"/>
      <c r="G95" s="9"/>
      <c r="H95" s="9"/>
      <c r="I95" s="9"/>
      <c r="J95" s="9"/>
      <c r="K95" s="9"/>
      <c r="L95" s="9"/>
      <c r="M95" s="9"/>
      <c r="N95" s="9"/>
      <c r="O95" s="4"/>
    </row>
    <row r="96" spans="1:15" x14ac:dyDescent="0.25">
      <c r="A96" s="77">
        <v>46113</v>
      </c>
      <c r="B96" s="8" t="s">
        <v>61</v>
      </c>
      <c r="C96" s="4">
        <v>0.49</v>
      </c>
      <c r="D96" s="13">
        <v>0.28125</v>
      </c>
      <c r="E96" s="76" t="s">
        <v>62</v>
      </c>
      <c r="F96" s="4">
        <v>7</v>
      </c>
      <c r="G96" s="9"/>
      <c r="H96" s="4">
        <f>+Harvest!H96/Effort!H96</f>
        <v>6.3999999999999986</v>
      </c>
      <c r="I96" s="9"/>
      <c r="J96" s="9" t="s">
        <v>10</v>
      </c>
      <c r="K96" s="9"/>
      <c r="L96" s="4">
        <f>+Harvest!L96/Effort!L96</f>
        <v>2.2307692307692335</v>
      </c>
      <c r="M96" s="9"/>
      <c r="N96" s="9" t="s">
        <v>10</v>
      </c>
      <c r="O96" s="4">
        <f>+Harvest!O96/Effort!O96</f>
        <v>5.6115066327953365</v>
      </c>
    </row>
    <row r="97" spans="1:15" x14ac:dyDescent="0.25">
      <c r="A97" s="77">
        <v>46114</v>
      </c>
      <c r="B97" s="8" t="s">
        <v>22</v>
      </c>
      <c r="C97" s="4">
        <v>7.0000000000000007E-2</v>
      </c>
      <c r="D97" s="13">
        <v>0.30694444444444446</v>
      </c>
      <c r="E97" s="76" t="s">
        <v>62</v>
      </c>
      <c r="F97" s="4">
        <v>7</v>
      </c>
      <c r="G97" s="9" t="s">
        <v>62</v>
      </c>
      <c r="H97" s="4">
        <v>7</v>
      </c>
      <c r="I97" s="9"/>
      <c r="J97" s="9" t="s">
        <v>10</v>
      </c>
      <c r="K97" s="9"/>
      <c r="L97" s="4">
        <f>+Harvest!L97/Effort!L97</f>
        <v>5.9999999999999805</v>
      </c>
      <c r="M97" s="9"/>
      <c r="N97" s="9" t="s">
        <v>10</v>
      </c>
      <c r="O97" s="4">
        <f>+Harvest!O97/Effort!O97</f>
        <v>6.7458818452137237</v>
      </c>
    </row>
    <row r="98" spans="1:15" x14ac:dyDescent="0.25">
      <c r="A98" s="77">
        <v>46115</v>
      </c>
      <c r="B98" s="8" t="s">
        <v>18</v>
      </c>
      <c r="C98" s="4">
        <v>-0.17</v>
      </c>
      <c r="D98" s="13">
        <v>0.33124999999999999</v>
      </c>
      <c r="E98" s="76"/>
      <c r="F98" s="99">
        <v>14.5</v>
      </c>
      <c r="G98" s="9" t="s">
        <v>62</v>
      </c>
      <c r="H98" s="4">
        <v>12.5</v>
      </c>
      <c r="I98" s="9"/>
      <c r="J98" s="4">
        <f>+Harvest!J98/Effort!J98</f>
        <v>9.6304347826087042</v>
      </c>
      <c r="K98" s="9"/>
      <c r="L98" s="9" t="s">
        <v>10</v>
      </c>
      <c r="M98" s="9"/>
      <c r="N98" s="9" t="s">
        <v>10</v>
      </c>
      <c r="O98" s="4">
        <f>+Harvest!O98/Effort!O98</f>
        <v>12.142851012980767</v>
      </c>
    </row>
    <row r="99" spans="1:15" x14ac:dyDescent="0.25">
      <c r="A99" s="77">
        <v>46116</v>
      </c>
      <c r="B99" s="8" t="s">
        <v>19</v>
      </c>
      <c r="C99" s="4">
        <v>-0.22</v>
      </c>
      <c r="D99" s="13">
        <v>0.35555555555555557</v>
      </c>
      <c r="E99" s="76" t="s">
        <v>62</v>
      </c>
      <c r="F99" s="4">
        <v>14.5</v>
      </c>
      <c r="G99" s="9"/>
      <c r="H99" s="4">
        <f>+Harvest!H99/Effort!H99</f>
        <v>14.600000000000026</v>
      </c>
      <c r="I99" s="9"/>
      <c r="J99" s="4">
        <f>+Harvest!J99/Effort!J99</f>
        <v>13.936842105263171</v>
      </c>
      <c r="K99" s="9"/>
      <c r="L99" s="9" t="s">
        <v>10</v>
      </c>
      <c r="M99" s="9"/>
      <c r="N99" s="9" t="s">
        <v>10</v>
      </c>
      <c r="O99" s="4">
        <f>+Harvest!O99/Effort!O99</f>
        <v>14.278745279466547</v>
      </c>
    </row>
    <row r="100" spans="1:15" x14ac:dyDescent="0.25">
      <c r="A100" s="77">
        <v>46117</v>
      </c>
      <c r="B100" s="8" t="s">
        <v>20</v>
      </c>
      <c r="C100" s="4">
        <v>-0.1</v>
      </c>
      <c r="D100" s="13">
        <v>0.38055555555555554</v>
      </c>
      <c r="E100" s="76"/>
      <c r="F100" s="99">
        <v>14.1</v>
      </c>
      <c r="G100" s="9" t="s">
        <v>62</v>
      </c>
      <c r="H100" s="4">
        <v>14</v>
      </c>
      <c r="I100" s="9"/>
      <c r="J100" s="9" t="s">
        <v>10</v>
      </c>
      <c r="K100" s="9"/>
      <c r="L100" s="4">
        <f>+Harvest!L100/Effort!L100</f>
        <v>12.268656716417945</v>
      </c>
      <c r="M100" s="9"/>
      <c r="N100" s="9" t="s">
        <v>10</v>
      </c>
      <c r="O100" s="4">
        <f>+Harvest!O100/Effort!O100</f>
        <v>13.392044812642959</v>
      </c>
    </row>
    <row r="101" spans="1:15" x14ac:dyDescent="0.25">
      <c r="A101" s="77">
        <v>46118</v>
      </c>
      <c r="B101" s="8" t="s">
        <v>21</v>
      </c>
      <c r="C101" s="4">
        <v>0.15</v>
      </c>
      <c r="D101" s="13">
        <v>0.40694444444444444</v>
      </c>
      <c r="E101" s="76"/>
      <c r="F101" s="4">
        <f>+Harvest!F101/Effort!F101</f>
        <v>13.588574222570067</v>
      </c>
      <c r="G101" s="9"/>
      <c r="H101" s="4">
        <f>+Harvest!H101/Effort!H101</f>
        <v>12.530612244898022</v>
      </c>
      <c r="I101" s="9"/>
      <c r="J101" s="9" t="s">
        <v>10</v>
      </c>
      <c r="K101" s="9"/>
      <c r="L101" s="4">
        <f>+Harvest!L101/Effort!L101</f>
        <v>5.222222222222217</v>
      </c>
      <c r="M101" s="9"/>
      <c r="N101" s="9" t="s">
        <v>10</v>
      </c>
      <c r="O101" s="4">
        <f>+Harvest!O101/Effort!O101</f>
        <v>11.222686326441845</v>
      </c>
    </row>
    <row r="102" spans="1:15" x14ac:dyDescent="0.25">
      <c r="A102" s="77">
        <v>46119</v>
      </c>
      <c r="B102" s="8" t="s">
        <v>60</v>
      </c>
      <c r="C102" s="4">
        <v>0.51</v>
      </c>
      <c r="D102" s="13">
        <v>0.4375</v>
      </c>
      <c r="E102" s="76" t="s">
        <v>62</v>
      </c>
      <c r="F102" s="4">
        <v>12.5</v>
      </c>
      <c r="G102" s="9"/>
      <c r="H102" s="4">
        <f>+Harvest!H102/Effort!H102</f>
        <v>12.522727272727266</v>
      </c>
      <c r="I102" s="9"/>
      <c r="J102" s="4">
        <f>+Harvest!J102/Effort!J102</f>
        <v>9.5000000000000213</v>
      </c>
      <c r="K102" s="9"/>
      <c r="L102" s="9" t="s">
        <v>10</v>
      </c>
      <c r="M102" s="9"/>
      <c r="N102" s="9" t="s">
        <v>10</v>
      </c>
      <c r="O102" s="4">
        <f>+Harvest!O102/Effort!O102</f>
        <v>11.483370214539375</v>
      </c>
    </row>
    <row r="103" spans="1:15" x14ac:dyDescent="0.25">
      <c r="A103" s="77"/>
      <c r="B103" s="8"/>
      <c r="C103" s="4"/>
      <c r="D103" s="13"/>
      <c r="E103" s="76"/>
      <c r="F103" s="9"/>
      <c r="G103" s="9"/>
      <c r="H103" s="9"/>
      <c r="I103" s="9"/>
      <c r="J103" s="9"/>
      <c r="K103" s="9"/>
      <c r="L103" s="9"/>
      <c r="M103" s="9"/>
      <c r="N103" s="9"/>
      <c r="O103" s="4"/>
    </row>
    <row r="104" spans="1:15" x14ac:dyDescent="0.25">
      <c r="A104" s="77">
        <v>46129</v>
      </c>
      <c r="B104" s="8" t="s">
        <v>18</v>
      </c>
      <c r="C104" s="4">
        <v>-0.94</v>
      </c>
      <c r="D104" s="13">
        <v>0.2902777777777778</v>
      </c>
      <c r="E104" s="76" t="s">
        <v>62</v>
      </c>
      <c r="F104" s="4">
        <v>15</v>
      </c>
      <c r="G104" s="9"/>
      <c r="H104" s="4">
        <f>+Harvest!H104/Effort!H104</f>
        <v>14.756097560975617</v>
      </c>
      <c r="I104" s="9"/>
      <c r="J104" s="9" t="s">
        <v>10</v>
      </c>
      <c r="K104" s="9"/>
      <c r="L104" s="4">
        <f>+Harvest!L104/Effort!L104</f>
        <v>14.999999999999941</v>
      </c>
      <c r="M104" s="9"/>
      <c r="N104" s="9" t="s">
        <v>10</v>
      </c>
      <c r="O104" s="4">
        <f>+Harvest!O104/Effort!O104</f>
        <v>14.938380146114275</v>
      </c>
    </row>
    <row r="105" spans="1:15" x14ac:dyDescent="0.25">
      <c r="A105" s="77">
        <v>46130</v>
      </c>
      <c r="B105" s="8" t="s">
        <v>19</v>
      </c>
      <c r="C105" s="4">
        <v>-1.51</v>
      </c>
      <c r="D105" s="13">
        <v>0.32013888888888886</v>
      </c>
      <c r="E105" s="76"/>
      <c r="F105" s="4">
        <v>15</v>
      </c>
      <c r="G105" s="9"/>
      <c r="H105" s="4">
        <f>+Harvest!H105/Effort!H105</f>
        <v>14.752066115702489</v>
      </c>
      <c r="I105" s="9"/>
      <c r="J105" s="9" t="s">
        <v>10</v>
      </c>
      <c r="K105" s="9"/>
      <c r="L105" s="4">
        <f>+Harvest!L105/Effort!L105</f>
        <v>11.503311258278123</v>
      </c>
      <c r="M105" s="9"/>
      <c r="N105" s="9" t="s">
        <v>10</v>
      </c>
      <c r="O105" s="4">
        <f>+Harvest!O105/Effort!O105</f>
        <v>11.043711630322434</v>
      </c>
    </row>
    <row r="106" spans="1:15" x14ac:dyDescent="0.25">
      <c r="A106" s="77">
        <v>46131</v>
      </c>
      <c r="B106" s="8" t="s">
        <v>20</v>
      </c>
      <c r="C106" s="4">
        <v>-1.75</v>
      </c>
      <c r="D106" s="13">
        <v>0.35138888888888886</v>
      </c>
      <c r="E106" s="76"/>
      <c r="F106" s="4">
        <f>+Harvest!F106/Effort!F106</f>
        <v>14.602803738317753</v>
      </c>
      <c r="G106" s="9"/>
      <c r="H106" s="4">
        <f>+Harvest!H106/Effort!H106</f>
        <v>14.181818181818224</v>
      </c>
      <c r="I106" s="9"/>
      <c r="J106" s="4">
        <f>+Harvest!J106/Effort!J106</f>
        <v>12.916666666666641</v>
      </c>
      <c r="K106" s="9"/>
      <c r="L106" s="9" t="s">
        <v>10</v>
      </c>
      <c r="M106" s="9"/>
      <c r="N106" s="9" t="s">
        <v>10</v>
      </c>
      <c r="O106" s="4">
        <f>+Harvest!O106/Effort!O106</f>
        <v>13.827537335588218</v>
      </c>
    </row>
    <row r="107" spans="1:15" x14ac:dyDescent="0.25">
      <c r="A107" s="77">
        <v>46132</v>
      </c>
      <c r="B107" s="8" t="s">
        <v>21</v>
      </c>
      <c r="C107" s="4">
        <v>-1.67</v>
      </c>
      <c r="D107" s="13">
        <v>0.38472222222222224</v>
      </c>
      <c r="E107" s="76" t="s">
        <v>62</v>
      </c>
      <c r="F107" s="4">
        <v>15</v>
      </c>
      <c r="G107" s="9" t="s">
        <v>62</v>
      </c>
      <c r="H107" s="4">
        <v>15</v>
      </c>
      <c r="I107" s="9"/>
      <c r="J107" s="4">
        <f>+Harvest!J107/Effort!J107</f>
        <v>14.841584158415834</v>
      </c>
      <c r="K107" s="9"/>
      <c r="L107" s="9" t="s">
        <v>10</v>
      </c>
      <c r="M107" s="9"/>
      <c r="N107" s="9" t="s">
        <v>10</v>
      </c>
      <c r="O107" s="4">
        <f>+Harvest!O107/Effort!O107</f>
        <v>14.934985186749447</v>
      </c>
    </row>
    <row r="108" spans="1:15" x14ac:dyDescent="0.25">
      <c r="A108" s="77">
        <v>46133</v>
      </c>
      <c r="B108" s="8" t="s">
        <v>60</v>
      </c>
      <c r="C108" s="4">
        <v>-1.3</v>
      </c>
      <c r="D108" s="13">
        <v>0.42152777777777778</v>
      </c>
      <c r="E108" s="76" t="s">
        <v>62</v>
      </c>
      <c r="F108" s="4">
        <v>14.5</v>
      </c>
      <c r="G108" s="9" t="s">
        <v>62</v>
      </c>
      <c r="H108" s="4">
        <v>14.5</v>
      </c>
      <c r="I108" s="9"/>
      <c r="J108" s="9" t="s">
        <v>10</v>
      </c>
      <c r="K108" s="9"/>
      <c r="L108" s="4">
        <f>+Harvest!L108/Effort!L108</f>
        <v>14.031249999999931</v>
      </c>
      <c r="M108" s="9"/>
      <c r="N108" s="9" t="s">
        <v>10</v>
      </c>
      <c r="O108" s="4">
        <f>+Harvest!O108/Effort!O108</f>
        <v>14.378316884178137</v>
      </c>
    </row>
    <row r="109" spans="1:15" x14ac:dyDescent="0.25">
      <c r="A109" s="77">
        <v>46134</v>
      </c>
      <c r="B109" s="8" t="s">
        <v>61</v>
      </c>
      <c r="C109" s="4">
        <v>-0.78</v>
      </c>
      <c r="D109" s="13">
        <v>0.46250000000000002</v>
      </c>
      <c r="E109" s="76"/>
      <c r="F109" s="4">
        <v>15</v>
      </c>
      <c r="G109" s="9"/>
      <c r="H109" s="4">
        <f>+Harvest!H109/Effort!H109</f>
        <v>13.964705882352945</v>
      </c>
      <c r="I109" s="9"/>
      <c r="J109" s="9" t="s">
        <v>10</v>
      </c>
      <c r="K109" s="9"/>
      <c r="L109" s="4">
        <f>+Harvest!L109/Effort!L109</f>
        <v>11.125000000000002</v>
      </c>
      <c r="M109" s="9"/>
      <c r="N109" s="9" t="s">
        <v>10</v>
      </c>
      <c r="O109" s="4">
        <f>+Harvest!O109/Effort!O109</f>
        <v>11.019268956856136</v>
      </c>
    </row>
    <row r="110" spans="1:15" x14ac:dyDescent="0.25">
      <c r="A110" s="77">
        <v>46135</v>
      </c>
      <c r="B110" s="8" t="s">
        <v>22</v>
      </c>
      <c r="C110" s="4">
        <v>-0.22</v>
      </c>
      <c r="D110" s="13">
        <v>0.50763888888888886</v>
      </c>
      <c r="E110" s="76" t="s">
        <v>62</v>
      </c>
      <c r="F110" s="4">
        <v>12.5</v>
      </c>
      <c r="G110" s="9" t="s">
        <v>62</v>
      </c>
      <c r="H110" s="4">
        <v>12.5</v>
      </c>
      <c r="I110" s="9"/>
      <c r="J110" s="4">
        <f>+Harvest!J110/Effort!J110</f>
        <v>12.380000000000058</v>
      </c>
      <c r="K110" s="9"/>
      <c r="L110" s="9" t="s">
        <v>10</v>
      </c>
      <c r="M110" s="9"/>
      <c r="N110" s="9" t="s">
        <v>10</v>
      </c>
      <c r="O110" s="4">
        <f>+Harvest!O110/Effort!O110</f>
        <v>12.450751278962732</v>
      </c>
    </row>
    <row r="111" spans="1:15" x14ac:dyDescent="0.25">
      <c r="A111" s="77"/>
      <c r="B111" s="8"/>
      <c r="C111" s="4"/>
      <c r="D111" s="13"/>
      <c r="E111" s="76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5">
      <c r="A112" s="77">
        <v>46142</v>
      </c>
      <c r="B112" s="8" t="s">
        <v>22</v>
      </c>
      <c r="C112" s="4">
        <v>-0.32</v>
      </c>
      <c r="D112" s="13">
        <v>0.26805555555555555</v>
      </c>
      <c r="E112" s="76" t="s">
        <v>62</v>
      </c>
      <c r="F112" s="4">
        <v>15</v>
      </c>
      <c r="G112" s="9"/>
      <c r="H112" s="4">
        <f>+Harvest!H112/Effort!H112</f>
        <v>15.000000000000002</v>
      </c>
      <c r="I112" s="9"/>
      <c r="J112" s="9" t="s">
        <v>10</v>
      </c>
      <c r="K112" s="9"/>
      <c r="L112" s="4">
        <f>+Harvest!L112/Effort!L112</f>
        <v>15.000000000000002</v>
      </c>
      <c r="M112" s="9"/>
      <c r="N112" s="9" t="s">
        <v>10</v>
      </c>
      <c r="O112" s="4">
        <f>+Harvest!O112/Effort!O112</f>
        <v>15.000000000000002</v>
      </c>
    </row>
    <row r="113" spans="1:15" x14ac:dyDescent="0.25">
      <c r="A113" s="77">
        <v>46143</v>
      </c>
      <c r="B113" s="8" t="s">
        <v>18</v>
      </c>
      <c r="C113" s="4">
        <v>-0.66</v>
      </c>
      <c r="D113" s="13">
        <v>0.29236111111111113</v>
      </c>
      <c r="E113" s="76"/>
      <c r="F113" s="4">
        <f>+Harvest!F113/Effort!F113</f>
        <v>14.32203389830509</v>
      </c>
      <c r="G113" s="9"/>
      <c r="H113" s="4">
        <f>+Harvest!H113/Effort!H113</f>
        <v>14.69387755102041</v>
      </c>
      <c r="I113" s="9"/>
      <c r="J113" s="4">
        <f>+Harvest!J113/Effort!J113</f>
        <v>12.403225806451584</v>
      </c>
      <c r="K113" s="9"/>
      <c r="L113" s="9" t="s">
        <v>10</v>
      </c>
      <c r="M113" s="9"/>
      <c r="N113" s="9" t="s">
        <v>10</v>
      </c>
      <c r="O113" s="4">
        <f>+Harvest!O113/Effort!O113</f>
        <v>13.621047916759498</v>
      </c>
    </row>
    <row r="114" spans="1:15" x14ac:dyDescent="0.25">
      <c r="A114" s="77">
        <v>46144</v>
      </c>
      <c r="B114" s="8" t="s">
        <v>19</v>
      </c>
      <c r="C114" s="4">
        <v>-0.83</v>
      </c>
      <c r="D114" s="13">
        <v>0.31597222222222221</v>
      </c>
      <c r="E114" s="76" t="s">
        <v>62</v>
      </c>
      <c r="F114" s="4">
        <v>14.5</v>
      </c>
      <c r="G114" s="9"/>
      <c r="H114" s="4">
        <f>+Harvest!H114/Effort!H114</f>
        <v>14.838709677419322</v>
      </c>
      <c r="I114" s="9"/>
      <c r="J114" s="4">
        <f>+Harvest!J114/Effort!J114</f>
        <v>13.082644628099192</v>
      </c>
      <c r="K114" s="9"/>
      <c r="L114" s="9" t="s">
        <v>10</v>
      </c>
      <c r="M114" s="9"/>
      <c r="N114" s="9" t="s">
        <v>10</v>
      </c>
      <c r="O114" s="4">
        <f>+Harvest!O114/Effort!O114</f>
        <v>14.030840776750484</v>
      </c>
    </row>
    <row r="115" spans="1:15" x14ac:dyDescent="0.25">
      <c r="A115" s="77">
        <v>46145</v>
      </c>
      <c r="B115" s="8" t="s">
        <v>20</v>
      </c>
      <c r="C115" s="4">
        <v>-0.82</v>
      </c>
      <c r="D115" s="13">
        <v>0.33888888888888891</v>
      </c>
      <c r="E115" s="76"/>
      <c r="F115" s="4">
        <v>14.7</v>
      </c>
      <c r="G115" s="9" t="s">
        <v>62</v>
      </c>
      <c r="H115" s="4">
        <v>14.5</v>
      </c>
      <c r="I115" s="9"/>
      <c r="J115" s="9" t="s">
        <v>10</v>
      </c>
      <c r="K115" s="9"/>
      <c r="L115" s="4">
        <f>+Harvest!L115/Effort!L115</f>
        <v>10.206185567010309</v>
      </c>
      <c r="M115" s="9"/>
      <c r="N115" s="9" t="s">
        <v>10</v>
      </c>
      <c r="O115" s="4">
        <f>+Harvest!O115/Effort!O115</f>
        <v>11.146713075287721</v>
      </c>
    </row>
    <row r="116" spans="1:15" x14ac:dyDescent="0.25">
      <c r="A116" s="77">
        <v>46146</v>
      </c>
      <c r="B116" s="8" t="s">
        <v>21</v>
      </c>
      <c r="C116" s="4">
        <v>-0.68</v>
      </c>
      <c r="D116" s="13">
        <v>0.36319444444444443</v>
      </c>
      <c r="E116" s="76" t="s">
        <v>62</v>
      </c>
      <c r="F116" s="4">
        <v>12.5</v>
      </c>
      <c r="G116" s="9"/>
      <c r="H116" s="4">
        <f>+Harvest!H116/Effort!H116</f>
        <v>12.545454545454557</v>
      </c>
      <c r="I116" s="9"/>
      <c r="J116" s="9" t="s">
        <v>10</v>
      </c>
      <c r="K116" s="9"/>
      <c r="L116" s="4">
        <f>+Harvest!L116/Effort!L116</f>
        <v>9.8000000000000114</v>
      </c>
      <c r="M116" s="9"/>
      <c r="N116" s="9" t="s">
        <v>10</v>
      </c>
      <c r="O116" s="4">
        <f>+Harvest!O116/Effort!O116</f>
        <v>11.961831985369782</v>
      </c>
    </row>
    <row r="117" spans="1:15" x14ac:dyDescent="0.25">
      <c r="A117" s="77">
        <v>46147</v>
      </c>
      <c r="B117" s="8" t="s">
        <v>60</v>
      </c>
      <c r="C117" s="4">
        <v>-0.42</v>
      </c>
      <c r="D117" s="13">
        <v>0.38958333333333334</v>
      </c>
      <c r="E117" s="76" t="s">
        <v>62</v>
      </c>
      <c r="F117" s="4">
        <v>15</v>
      </c>
      <c r="G117" s="9"/>
      <c r="H117" s="4">
        <f>+Harvest!H117/Effort!H117</f>
        <v>15.000000000000046</v>
      </c>
      <c r="I117" s="9"/>
      <c r="J117" s="4">
        <f>+Harvest!J117/Effort!J117</f>
        <v>13.786666666666665</v>
      </c>
      <c r="K117" s="9"/>
      <c r="L117" s="9" t="s">
        <v>10</v>
      </c>
      <c r="M117" s="9"/>
      <c r="N117" s="9" t="s">
        <v>10</v>
      </c>
      <c r="O117" s="4">
        <f>+Harvest!O117/Effort!O117</f>
        <v>14.516651802307711</v>
      </c>
    </row>
    <row r="118" spans="1:15" x14ac:dyDescent="0.25">
      <c r="A118" s="77">
        <v>46148</v>
      </c>
      <c r="B118" s="8" t="s">
        <v>61</v>
      </c>
      <c r="C118" s="4">
        <v>-0.11</v>
      </c>
      <c r="D118" s="13">
        <v>0.41875000000000001</v>
      </c>
      <c r="E118" s="76"/>
      <c r="F118" s="4">
        <v>15</v>
      </c>
      <c r="G118" s="9"/>
      <c r="H118" s="4">
        <f>+Harvest!H118/Effort!H118</f>
        <v>14.999999999999968</v>
      </c>
      <c r="I118" s="9"/>
      <c r="J118" s="4">
        <f>+Harvest!J118/Effort!J118</f>
        <v>12.787878787878876</v>
      </c>
      <c r="K118" s="9"/>
      <c r="L118" s="9" t="s">
        <v>10</v>
      </c>
      <c r="M118" s="9"/>
      <c r="N118" s="9" t="s">
        <v>10</v>
      </c>
      <c r="O118" s="4">
        <f>+Harvest!O118/Effort!O118</f>
        <v>12.284489240751359</v>
      </c>
    </row>
    <row r="119" spans="1:15" x14ac:dyDescent="0.25">
      <c r="A119" s="77"/>
      <c r="B119" s="8"/>
      <c r="C119" s="4"/>
      <c r="D119" s="13"/>
      <c r="E119" s="76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ht="14.1" customHeight="1" x14ac:dyDescent="0.25">
      <c r="A120" s="18" t="s">
        <v>23</v>
      </c>
      <c r="C120" s="8"/>
      <c r="D120" s="8"/>
      <c r="E120" s="6"/>
      <c r="F120" s="4">
        <f>Harvest!F120/Effort!F120</f>
        <v>12.327457448300848</v>
      </c>
      <c r="G120" s="21"/>
      <c r="H120" s="4">
        <f>Harvest!H120/Effort!H120</f>
        <v>12.533502945700993</v>
      </c>
      <c r="I120" s="21"/>
      <c r="J120" s="4">
        <f>Harvest!J120/Effort!J120</f>
        <v>11.829545511021047</v>
      </c>
      <c r="K120" s="21"/>
      <c r="L120" s="4">
        <f>Harvest!L120/Effort!L120</f>
        <v>10.670227373566844</v>
      </c>
      <c r="N120" s="50">
        <v>0</v>
      </c>
      <c r="O120" s="4">
        <f>+Harvest!O120/Effort!O120</f>
        <v>12.065217758054677</v>
      </c>
    </row>
    <row r="121" spans="1:15" ht="14.1" customHeight="1" x14ac:dyDescent="0.25">
      <c r="A121" s="19" t="s">
        <v>16</v>
      </c>
      <c r="C121" s="8"/>
      <c r="D121" s="8"/>
      <c r="E121" s="6"/>
      <c r="F121" s="21"/>
    </row>
    <row r="122" spans="1:15" ht="14.1" customHeight="1" x14ac:dyDescent="0.25">
      <c r="A122" s="11" t="s">
        <v>17</v>
      </c>
      <c r="C122" s="8"/>
      <c r="D122" s="8"/>
      <c r="E122" s="6"/>
      <c r="F122" s="21"/>
    </row>
    <row r="123" spans="1:15" ht="14.1" customHeight="1" x14ac:dyDescent="0.25"/>
    <row r="124" spans="1:15" ht="14.1" customHeight="1" x14ac:dyDescent="0.25"/>
    <row r="125" spans="1:15" ht="14.1" customHeight="1" x14ac:dyDescent="0.25"/>
    <row r="126" spans="1:15" ht="14.1" customHeight="1" x14ac:dyDescent="0.25"/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26"/>
  <sheetViews>
    <sheetView zoomScale="90" zoomScaleNormal="90" workbookViewId="0">
      <selection activeCell="D9" sqref="D9"/>
    </sheetView>
  </sheetViews>
  <sheetFormatPr defaultRowHeight="15" x14ac:dyDescent="0.25"/>
  <cols>
    <col min="1" max="1" width="8.7109375" customWidth="1"/>
    <col min="20" max="20" width="10.85546875" style="20" customWidth="1"/>
    <col min="24" max="24" width="9.85546875" customWidth="1"/>
  </cols>
  <sheetData>
    <row r="1" spans="1:24" ht="15.75" thickBot="1" x14ac:dyDescent="0.3">
      <c r="A1" s="34" t="s">
        <v>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45"/>
      <c r="U1" s="34"/>
      <c r="V1" s="83"/>
    </row>
    <row r="2" spans="1:24" ht="15.75" thickTop="1" x14ac:dyDescent="0.25">
      <c r="A2" s="35"/>
      <c r="B2" s="35"/>
      <c r="C2" s="35"/>
      <c r="D2" s="35"/>
      <c r="E2" s="104" t="s">
        <v>38</v>
      </c>
      <c r="F2" s="105"/>
      <c r="G2" s="106"/>
      <c r="H2" s="104" t="s">
        <v>39</v>
      </c>
      <c r="I2" s="105"/>
      <c r="J2" s="106"/>
      <c r="K2" s="104" t="s">
        <v>40</v>
      </c>
      <c r="L2" s="105"/>
      <c r="M2" s="106"/>
      <c r="N2" s="104" t="s">
        <v>41</v>
      </c>
      <c r="O2" s="105"/>
      <c r="P2" s="106"/>
      <c r="Q2" s="107" t="s">
        <v>42</v>
      </c>
      <c r="R2" s="108"/>
      <c r="S2" s="109"/>
      <c r="T2" s="102" t="s">
        <v>45</v>
      </c>
      <c r="U2" s="103"/>
      <c r="V2" s="42"/>
      <c r="W2" s="8" t="s">
        <v>56</v>
      </c>
      <c r="X2" s="8" t="s">
        <v>57</v>
      </c>
    </row>
    <row r="3" spans="1:24" ht="15.75" thickBot="1" x14ac:dyDescent="0.3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25</v>
      </c>
      <c r="F3" s="36" t="s">
        <v>26</v>
      </c>
      <c r="G3" s="36" t="s">
        <v>27</v>
      </c>
      <c r="H3" s="37" t="s">
        <v>25</v>
      </c>
      <c r="I3" s="36" t="s">
        <v>26</v>
      </c>
      <c r="J3" s="36" t="s">
        <v>27</v>
      </c>
      <c r="K3" s="37" t="s">
        <v>25</v>
      </c>
      <c r="L3" s="36" t="s">
        <v>26</v>
      </c>
      <c r="M3" s="36" t="s">
        <v>27</v>
      </c>
      <c r="N3" s="37" t="s">
        <v>25</v>
      </c>
      <c r="O3" s="36" t="s">
        <v>26</v>
      </c>
      <c r="P3" s="36" t="s">
        <v>27</v>
      </c>
      <c r="Q3" s="37" t="s">
        <v>25</v>
      </c>
      <c r="R3" s="36" t="s">
        <v>26</v>
      </c>
      <c r="S3" s="36" t="s">
        <v>27</v>
      </c>
      <c r="T3" s="46" t="s">
        <v>25</v>
      </c>
      <c r="U3" s="38" t="s">
        <v>26</v>
      </c>
      <c r="V3" s="42"/>
    </row>
    <row r="4" spans="1:24" ht="15.75" thickTop="1" x14ac:dyDescent="0.25">
      <c r="A4" s="39">
        <v>45936</v>
      </c>
      <c r="B4" s="40" t="s">
        <v>21</v>
      </c>
      <c r="C4" s="4">
        <v>-0.21</v>
      </c>
      <c r="D4" s="13">
        <v>0.77430555555555558</v>
      </c>
      <c r="E4" s="41">
        <f>Effort!F2</f>
        <v>1683.2536010347678</v>
      </c>
      <c r="F4" s="42">
        <f>Harvest!F2</f>
        <v>25248.804015521517</v>
      </c>
      <c r="G4" s="43">
        <f>+CPUE!F2</f>
        <v>15</v>
      </c>
      <c r="H4" s="95">
        <f>Effort!H2</f>
        <v>1801.0382650035299</v>
      </c>
      <c r="I4" s="96">
        <f>Harvest!H2</f>
        <v>27015.573975053001</v>
      </c>
      <c r="J4" s="97">
        <f>CPUE!H2</f>
        <v>15.000000000000028</v>
      </c>
      <c r="K4" s="41" t="str">
        <f>Effort!J2</f>
        <v>CLOSED</v>
      </c>
      <c r="L4" s="42" t="str">
        <f>Harvest!J2</f>
        <v>CLOSED</v>
      </c>
      <c r="M4" s="43" t="str">
        <f>CPUE!J2</f>
        <v>CLOSED</v>
      </c>
      <c r="N4" s="95">
        <f>Effort!L2</f>
        <v>1507.9974592199001</v>
      </c>
      <c r="O4" s="96">
        <f>Harvest!L2</f>
        <v>22619.961888298501</v>
      </c>
      <c r="P4" s="97">
        <f>CPUE!L2</f>
        <v>15</v>
      </c>
      <c r="Q4" s="41" t="s">
        <v>10</v>
      </c>
      <c r="R4" s="42" t="s">
        <v>10</v>
      </c>
      <c r="S4" s="44" t="s">
        <v>10</v>
      </c>
      <c r="T4" s="41">
        <f>SUM(E4,H4,K4,N4)</f>
        <v>4992.289325258198</v>
      </c>
      <c r="U4" s="42">
        <f>SUM(F4,I4,L4,O4)</f>
        <v>74884.339878873026</v>
      </c>
      <c r="V4" s="42"/>
    </row>
    <row r="5" spans="1:24" x14ac:dyDescent="0.25">
      <c r="A5" s="39">
        <v>45937</v>
      </c>
      <c r="B5" s="40" t="s">
        <v>60</v>
      </c>
      <c r="C5" s="4">
        <v>-0.95</v>
      </c>
      <c r="D5" s="13">
        <v>0.8041666666666667</v>
      </c>
      <c r="E5" s="95">
        <f>Effort!F3</f>
        <v>1849.7455506168058</v>
      </c>
      <c r="F5" s="96">
        <f>Harvest!F3</f>
        <v>27076.540406787797</v>
      </c>
      <c r="G5" s="97">
        <f>+CPUE!F3</f>
        <v>14.637981098405133</v>
      </c>
      <c r="H5" s="41">
        <f>Effort!H3</f>
        <v>1556.9262350710778</v>
      </c>
      <c r="I5" s="42">
        <f>Harvest!H3</f>
        <v>21796.96729099509</v>
      </c>
      <c r="J5" s="43">
        <f>CPUE!H3</f>
        <v>14</v>
      </c>
      <c r="K5" s="41" t="str">
        <f>Effort!J3</f>
        <v>CLOSED</v>
      </c>
      <c r="L5" s="42" t="str">
        <f>Harvest!J3</f>
        <v>CLOSED</v>
      </c>
      <c r="M5" s="43" t="str">
        <f>CPUE!J3</f>
        <v>CLOSED</v>
      </c>
      <c r="N5" s="95">
        <f>Effort!L3</f>
        <v>1303.6040667772199</v>
      </c>
      <c r="O5" s="96">
        <f>Harvest!L3</f>
        <v>17526.232453338202</v>
      </c>
      <c r="P5" s="97">
        <f>CPUE!L3</f>
        <v>13.444444444444462</v>
      </c>
      <c r="Q5" s="41" t="s">
        <v>10</v>
      </c>
      <c r="R5" s="42" t="s">
        <v>10</v>
      </c>
      <c r="S5" s="44" t="s">
        <v>10</v>
      </c>
      <c r="T5" s="41">
        <f t="shared" ref="T5:T10" si="0">SUM(E5,H5,K5,N5)</f>
        <v>4710.2758524651035</v>
      </c>
      <c r="U5" s="42">
        <f t="shared" ref="U5:U10" si="1">SUM(F5,I5,L5,O5)</f>
        <v>66399.740151121092</v>
      </c>
      <c r="V5" s="42"/>
    </row>
    <row r="6" spans="1:24" x14ac:dyDescent="0.25">
      <c r="A6" s="39">
        <v>45938</v>
      </c>
      <c r="B6" s="40" t="s">
        <v>61</v>
      </c>
      <c r="C6" s="4">
        <v>-1.41</v>
      </c>
      <c r="D6" s="13">
        <v>0.83472222222222225</v>
      </c>
      <c r="E6" s="95">
        <f>Effort!F4</f>
        <v>951.02127816309167</v>
      </c>
      <c r="F6" s="96">
        <f>Harvest!F4</f>
        <v>11317.153210140792</v>
      </c>
      <c r="G6" s="97">
        <f>+CPUE!F4</f>
        <v>11.9</v>
      </c>
      <c r="H6" s="41">
        <f>Effort!H4</f>
        <v>1017.5684232912657</v>
      </c>
      <c r="I6" s="42">
        <f>Harvest!H4</f>
        <v>14245.957926077721</v>
      </c>
      <c r="J6" s="43">
        <f>CPUE!H4</f>
        <v>14</v>
      </c>
      <c r="K6" s="95">
        <f>Effort!J4</f>
        <v>1621.46651515131</v>
      </c>
      <c r="L6" s="96">
        <f>Harvest!J4</f>
        <v>24105.802191916198</v>
      </c>
      <c r="M6" s="97">
        <f>CPUE!J4</f>
        <v>14.866666666666701</v>
      </c>
      <c r="N6" s="41" t="str">
        <f>Effort!L4</f>
        <v>CLOSED</v>
      </c>
      <c r="O6" s="42" t="str">
        <f>Harvest!L4</f>
        <v>CLOSED</v>
      </c>
      <c r="P6" s="43" t="str">
        <f>CPUE!L4</f>
        <v>CLOSED</v>
      </c>
      <c r="Q6" s="41" t="s">
        <v>10</v>
      </c>
      <c r="R6" s="42" t="s">
        <v>10</v>
      </c>
      <c r="S6" s="44" t="s">
        <v>10</v>
      </c>
      <c r="T6" s="41">
        <f t="shared" si="0"/>
        <v>3590.0562166056675</v>
      </c>
      <c r="U6" s="42">
        <f t="shared" si="1"/>
        <v>49668.913328134709</v>
      </c>
      <c r="V6" s="42"/>
    </row>
    <row r="7" spans="1:24" x14ac:dyDescent="0.25">
      <c r="A7" s="39">
        <v>45939</v>
      </c>
      <c r="B7" s="40" t="s">
        <v>22</v>
      </c>
      <c r="C7" s="4">
        <v>-1.51</v>
      </c>
      <c r="D7" s="13">
        <v>0.86736111111111114</v>
      </c>
      <c r="E7" s="41">
        <f>Effort!F5</f>
        <v>723.39232756636329</v>
      </c>
      <c r="F7" s="42">
        <f>Harvest!F5</f>
        <v>8680.7079307963595</v>
      </c>
      <c r="G7" s="43">
        <f>+CPUE!F5</f>
        <v>12</v>
      </c>
      <c r="H7" s="95">
        <f>Effort!H5</f>
        <v>774.01127302271402</v>
      </c>
      <c r="I7" s="96">
        <f>Harvest!H5</f>
        <v>11610.1690953407</v>
      </c>
      <c r="J7" s="97">
        <f>CPUE!H5</f>
        <v>14.999999999999986</v>
      </c>
      <c r="K7" s="95">
        <f>Effort!J5</f>
        <v>800.95522649544898</v>
      </c>
      <c r="L7" s="96">
        <f>Harvest!J5</f>
        <v>8857.6225047732005</v>
      </c>
      <c r="M7" s="97">
        <f>CPUE!J5</f>
        <v>11.058823529411764</v>
      </c>
      <c r="N7" s="41" t="str">
        <f>Effort!L5</f>
        <v>CLOSED</v>
      </c>
      <c r="O7" s="42" t="str">
        <f>Harvest!L5</f>
        <v>CLOSED</v>
      </c>
      <c r="P7" s="43" t="str">
        <f>CPUE!L5</f>
        <v>CLOSED</v>
      </c>
      <c r="Q7" s="41" t="s">
        <v>10</v>
      </c>
      <c r="R7" s="42" t="s">
        <v>10</v>
      </c>
      <c r="S7" s="44" t="s">
        <v>10</v>
      </c>
      <c r="T7" s="41">
        <f t="shared" si="0"/>
        <v>2298.3588270845262</v>
      </c>
      <c r="U7" s="42">
        <f t="shared" si="1"/>
        <v>29148.49953091026</v>
      </c>
      <c r="V7" s="42"/>
    </row>
    <row r="8" spans="1:24" x14ac:dyDescent="0.25">
      <c r="A8" s="39">
        <v>45940</v>
      </c>
      <c r="B8" s="40" t="s">
        <v>18</v>
      </c>
      <c r="C8" s="4">
        <v>-1.28</v>
      </c>
      <c r="D8" s="13">
        <v>0.90277777777777779</v>
      </c>
      <c r="E8" s="95">
        <f>Effort!F6</f>
        <v>822.03384329196717</v>
      </c>
      <c r="F8" s="96">
        <f>Harvest!F6</f>
        <v>12330.507649379508</v>
      </c>
      <c r="G8" s="97">
        <f>+CPUE!F6</f>
        <v>15</v>
      </c>
      <c r="H8" s="95">
        <f>Effort!H6</f>
        <v>879.55516981315998</v>
      </c>
      <c r="I8" s="96">
        <f>Harvest!H6</f>
        <v>13193.327547197399</v>
      </c>
      <c r="J8" s="97">
        <f>CPUE!H6</f>
        <v>15</v>
      </c>
      <c r="K8" s="41" t="str">
        <f>Effort!J6</f>
        <v>CLOSED</v>
      </c>
      <c r="L8" s="42" t="str">
        <f>Harvest!J6</f>
        <v>CLOSED</v>
      </c>
      <c r="M8" s="43" t="str">
        <f>CPUE!J6</f>
        <v>CLOSED</v>
      </c>
      <c r="N8" s="95">
        <f>Effort!L6</f>
        <v>1246.5479847204101</v>
      </c>
      <c r="O8" s="96">
        <f>Harvest!L6</f>
        <v>18312.923120983502</v>
      </c>
      <c r="P8" s="97">
        <f>CPUE!L6</f>
        <v>14.690909090909109</v>
      </c>
      <c r="Q8" s="41" t="s">
        <v>10</v>
      </c>
      <c r="R8" s="42" t="s">
        <v>10</v>
      </c>
      <c r="S8" s="44" t="s">
        <v>10</v>
      </c>
      <c r="T8" s="41">
        <f t="shared" si="0"/>
        <v>2948.136997825537</v>
      </c>
      <c r="U8" s="42">
        <f t="shared" si="1"/>
        <v>43836.758317560409</v>
      </c>
      <c r="V8" s="42"/>
    </row>
    <row r="9" spans="1:24" x14ac:dyDescent="0.25">
      <c r="A9" s="39">
        <v>45941</v>
      </c>
      <c r="B9" s="40" t="s">
        <v>19</v>
      </c>
      <c r="C9" s="4">
        <v>-0.81</v>
      </c>
      <c r="D9" s="13">
        <v>0.94236111111111109</v>
      </c>
      <c r="E9" s="41">
        <f>Effort!F7</f>
        <v>850.46077719302514</v>
      </c>
      <c r="F9" s="42">
        <f>Harvest!F7</f>
        <v>10205.529326316302</v>
      </c>
      <c r="G9" s="43">
        <f>+CPUE!F7</f>
        <v>12</v>
      </c>
      <c r="H9" s="95">
        <f>Effort!H7</f>
        <v>909.97126141163199</v>
      </c>
      <c r="I9" s="96">
        <f>Harvest!H7</f>
        <v>9367.3512204138606</v>
      </c>
      <c r="J9" s="97">
        <f>CPUE!H7</f>
        <v>10.294117647058826</v>
      </c>
      <c r="K9" s="41" t="str">
        <f>Effort!J7</f>
        <v>CLOSED</v>
      </c>
      <c r="L9" s="42" t="str">
        <f>Harvest!J7</f>
        <v>CLOSED</v>
      </c>
      <c r="M9" s="43" t="str">
        <f>CPUE!J7</f>
        <v>CLOSED</v>
      </c>
      <c r="N9" s="95">
        <f>Effort!L7</f>
        <v>717.81200176294897</v>
      </c>
      <c r="O9" s="96">
        <f>Harvest!L7</f>
        <v>10681.042586232699</v>
      </c>
      <c r="P9" s="97">
        <f>CPUE!L7</f>
        <v>14.880000000000026</v>
      </c>
      <c r="Q9" s="41" t="s">
        <v>10</v>
      </c>
      <c r="R9" s="42" t="s">
        <v>10</v>
      </c>
      <c r="S9" s="44" t="s">
        <v>10</v>
      </c>
      <c r="T9" s="41">
        <f t="shared" si="0"/>
        <v>2478.244040367606</v>
      </c>
      <c r="U9" s="42">
        <f t="shared" si="1"/>
        <v>30253.923132962864</v>
      </c>
      <c r="V9" s="42"/>
    </row>
    <row r="10" spans="1:24" x14ac:dyDescent="0.25">
      <c r="A10" s="39">
        <v>45942</v>
      </c>
      <c r="B10" s="40" t="s">
        <v>20</v>
      </c>
      <c r="C10" s="4">
        <v>-0.23</v>
      </c>
      <c r="D10" s="13">
        <v>0.9868055555555556</v>
      </c>
      <c r="E10" s="41">
        <f>Effort!F8</f>
        <v>82.964963221671425</v>
      </c>
      <c r="F10" s="42">
        <f>Harvest!F8</f>
        <v>580.75474255170002</v>
      </c>
      <c r="G10" s="43">
        <f>+CPUE!F8</f>
        <v>7</v>
      </c>
      <c r="H10" s="41">
        <f>Effort!H8</f>
        <v>136.6946514283228</v>
      </c>
      <c r="I10" s="42">
        <f>Harvest!H8</f>
        <v>956.8625599982596</v>
      </c>
      <c r="J10" s="43">
        <f>CPUE!H8</f>
        <v>7</v>
      </c>
      <c r="K10" s="95">
        <f>Effort!J8</f>
        <v>141.45310192694799</v>
      </c>
      <c r="L10" s="96">
        <f>Harvest!J8</f>
        <v>977.31234058618998</v>
      </c>
      <c r="M10" s="97">
        <f>CPUE!J8</f>
        <v>6.9090909090909358</v>
      </c>
      <c r="N10" s="41" t="str">
        <f>Effort!L8</f>
        <v>CLOSED</v>
      </c>
      <c r="O10" s="42" t="str">
        <f>Harvest!L8</f>
        <v>CLOSED</v>
      </c>
      <c r="P10" s="43" t="str">
        <f>CPUE!L8</f>
        <v>CLOSED</v>
      </c>
      <c r="Q10" s="41" t="s">
        <v>10</v>
      </c>
      <c r="R10" s="42" t="s">
        <v>10</v>
      </c>
      <c r="S10" s="44" t="s">
        <v>10</v>
      </c>
      <c r="T10" s="41">
        <f t="shared" si="0"/>
        <v>361.11271657694226</v>
      </c>
      <c r="U10" s="42">
        <f t="shared" si="1"/>
        <v>2514.9296431361499</v>
      </c>
      <c r="V10" s="42"/>
    </row>
    <row r="11" spans="1:24" x14ac:dyDescent="0.25">
      <c r="A11" s="110" t="s">
        <v>50</v>
      </c>
      <c r="B11" s="110"/>
      <c r="C11" s="110"/>
      <c r="D11" s="111"/>
      <c r="E11" s="47">
        <f>SUM(E4:E10)</f>
        <v>6962.8723410876928</v>
      </c>
      <c r="F11" s="48">
        <f>SUM(F4:F10)</f>
        <v>95439.997281493968</v>
      </c>
      <c r="G11" s="49">
        <f>+F11/E11</f>
        <v>13.70698651450286</v>
      </c>
      <c r="H11" s="47">
        <f>SUM(H4:H10)</f>
        <v>7075.7652790417014</v>
      </c>
      <c r="I11" s="48">
        <f>SUM(I4:I10)</f>
        <v>98186.209615076048</v>
      </c>
      <c r="J11" s="49">
        <f>+I11/H11</f>
        <v>13.87640852161984</v>
      </c>
      <c r="K11" s="47">
        <f>SUM(K4:K10)</f>
        <v>2563.874843573707</v>
      </c>
      <c r="L11" s="48">
        <f>SUM(L4:L10)</f>
        <v>33940.73703727559</v>
      </c>
      <c r="M11" s="49">
        <f>+L11/K11</f>
        <v>13.238063130244935</v>
      </c>
      <c r="N11" s="47">
        <f>SUM(N4:N10)</f>
        <v>4775.9615124804786</v>
      </c>
      <c r="O11" s="48">
        <f>SUM(O4:O10)</f>
        <v>69140.160048852893</v>
      </c>
      <c r="P11" s="49">
        <f>+O11/N11</f>
        <v>14.476699585659716</v>
      </c>
      <c r="Q11" s="47"/>
      <c r="R11" s="48"/>
      <c r="S11" s="49"/>
      <c r="T11" s="47">
        <f>SUM(T4:T10)</f>
        <v>21378.473976183581</v>
      </c>
      <c r="U11" s="48">
        <f>SUM(U4:U10)</f>
        <v>296707.10398269852</v>
      </c>
      <c r="V11" s="62"/>
      <c r="W11" s="20">
        <f>SUM(H11,K11,N11,Q11,E11)</f>
        <v>21378.473976183581</v>
      </c>
      <c r="X11" s="20">
        <f>SUM(R11,O11,L11,I11,F11)</f>
        <v>296707.10398269852</v>
      </c>
    </row>
    <row r="12" spans="1:24" x14ac:dyDescent="0.25">
      <c r="A12" s="39">
        <v>45950</v>
      </c>
      <c r="B12" s="40" t="s">
        <v>21</v>
      </c>
      <c r="C12" s="4">
        <v>0.19</v>
      </c>
      <c r="D12" s="13">
        <v>0.77777777777777779</v>
      </c>
      <c r="E12" s="95">
        <f>Effort!F10</f>
        <v>1087.9317558245239</v>
      </c>
      <c r="F12" s="96">
        <f>Harvest!F10</f>
        <v>14795.871879213524</v>
      </c>
      <c r="G12" s="97">
        <f>+CPUE!F10</f>
        <v>13.6</v>
      </c>
      <c r="H12" s="95">
        <f>Effort!H10</f>
        <v>950.30765724230605</v>
      </c>
      <c r="I12" s="96">
        <f>Harvest!H10</f>
        <v>13766.6190346453</v>
      </c>
      <c r="J12" s="97">
        <f>CPUE!H10</f>
        <v>14.486486486486488</v>
      </c>
      <c r="K12" s="95">
        <f>Effort!J10</f>
        <v>858.62272485301901</v>
      </c>
      <c r="L12" s="96">
        <f>Harvest!J10</f>
        <v>11601.3907706885</v>
      </c>
      <c r="M12" s="97">
        <f>CPUE!J10</f>
        <v>13.511627906976784</v>
      </c>
      <c r="N12" s="41" t="str">
        <f>Effort!L10</f>
        <v>CLOSED</v>
      </c>
      <c r="O12" s="42" t="str">
        <f>Harvest!L10</f>
        <v>CLOSED</v>
      </c>
      <c r="P12" s="43" t="str">
        <f>CPUE!L10</f>
        <v>CLOSED</v>
      </c>
      <c r="Q12" s="41" t="s">
        <v>10</v>
      </c>
      <c r="R12" s="42" t="s">
        <v>10</v>
      </c>
      <c r="S12" s="44" t="s">
        <v>10</v>
      </c>
      <c r="T12" s="41">
        <f>SUM(E12,H12,K12,N12)</f>
        <v>2896.8621379198489</v>
      </c>
      <c r="U12" s="42">
        <f>SUM(F12,I12,L12,O12)</f>
        <v>40163.881684547327</v>
      </c>
      <c r="V12" s="42"/>
    </row>
    <row r="13" spans="1:24" x14ac:dyDescent="0.25">
      <c r="A13" s="39">
        <v>45951</v>
      </c>
      <c r="B13" s="40" t="s">
        <v>60</v>
      </c>
      <c r="C13" s="4">
        <v>-0.12</v>
      </c>
      <c r="D13" s="13">
        <v>0.80069444444444449</v>
      </c>
      <c r="E13" s="41">
        <f>Effort!F11</f>
        <v>951.09747591591622</v>
      </c>
      <c r="F13" s="42">
        <f>Harvest!F11</f>
        <v>7133.2310693693717</v>
      </c>
      <c r="G13" s="43">
        <f>+CPUE!F11</f>
        <v>7.5</v>
      </c>
      <c r="H13" s="41">
        <f>Effort!H11</f>
        <v>830.78300574260243</v>
      </c>
      <c r="I13" s="42">
        <f>Harvest!H11</f>
        <v>6230.8725430695185</v>
      </c>
      <c r="J13" s="43">
        <f>CPUE!H11</f>
        <v>7.5</v>
      </c>
      <c r="K13" s="95">
        <f>Effort!J11</f>
        <v>750.629717351012</v>
      </c>
      <c r="L13" s="96">
        <f>Harvest!J11</f>
        <v>5646.04091746631</v>
      </c>
      <c r="M13" s="97">
        <f>CPUE!J11</f>
        <v>7.5217391304347858</v>
      </c>
      <c r="N13" s="41" t="str">
        <f>Effort!L11</f>
        <v>CLOSED</v>
      </c>
      <c r="O13" s="42" t="str">
        <f>Harvest!L11</f>
        <v>CLOSED</v>
      </c>
      <c r="P13" s="43" t="str">
        <f>CPUE!L11</f>
        <v>CLOSED</v>
      </c>
      <c r="Q13" s="41" t="s">
        <v>10</v>
      </c>
      <c r="R13" s="42" t="s">
        <v>10</v>
      </c>
      <c r="S13" s="44" t="s">
        <v>10</v>
      </c>
      <c r="T13" s="41">
        <f t="shared" ref="T13:T18" si="2">SUM(E13,H13,K13,N13)</f>
        <v>2532.5101990095309</v>
      </c>
      <c r="U13" s="42">
        <f t="shared" ref="U13:U18" si="3">SUM(F13,I13,L13,O13)</f>
        <v>19010.144529905199</v>
      </c>
      <c r="V13" s="42"/>
    </row>
    <row r="14" spans="1:24" x14ac:dyDescent="0.25">
      <c r="A14" s="39">
        <v>45952</v>
      </c>
      <c r="B14" s="40" t="s">
        <v>61</v>
      </c>
      <c r="C14" s="4">
        <v>-0.28000000000000003</v>
      </c>
      <c r="D14" s="13">
        <v>0.82291666666666663</v>
      </c>
      <c r="E14" s="95">
        <f>Effort!F12</f>
        <v>334.9067463945413</v>
      </c>
      <c r="F14" s="96">
        <f>Harvest!F12</f>
        <v>4722.185124163032</v>
      </c>
      <c r="G14" s="97">
        <f>+CPUE!F12</f>
        <v>14.1</v>
      </c>
      <c r="H14" s="95">
        <f>Effort!H12</f>
        <v>292.54081780123499</v>
      </c>
      <c r="I14" s="96">
        <f>Harvest!H12</f>
        <v>2551.6060219329902</v>
      </c>
      <c r="J14" s="97">
        <f>CPUE!H12</f>
        <v>8.722222222222209</v>
      </c>
      <c r="K14" s="41" t="str">
        <f>Effort!J12</f>
        <v>CLOSED</v>
      </c>
      <c r="L14" s="42" t="str">
        <f>Harvest!J12</f>
        <v>CLOSED</v>
      </c>
      <c r="M14" s="43" t="str">
        <f>CPUE!J12</f>
        <v>CLOSED</v>
      </c>
      <c r="N14" s="95">
        <f>Effort!L12</f>
        <v>319.96953618491898</v>
      </c>
      <c r="O14" s="96">
        <f>Harvest!L12</f>
        <v>4770.4549031206097</v>
      </c>
      <c r="P14" s="97">
        <f>CPUE!L12</f>
        <v>14.909090909090908</v>
      </c>
      <c r="Q14" s="41" t="s">
        <v>10</v>
      </c>
      <c r="R14" s="42" t="s">
        <v>10</v>
      </c>
      <c r="S14" s="44" t="s">
        <v>10</v>
      </c>
      <c r="T14" s="41">
        <f t="shared" si="2"/>
        <v>947.41710038069527</v>
      </c>
      <c r="U14" s="42">
        <f t="shared" si="3"/>
        <v>12044.246049216632</v>
      </c>
      <c r="V14" s="42"/>
    </row>
    <row r="15" spans="1:24" x14ac:dyDescent="0.25">
      <c r="A15" s="39">
        <v>45953</v>
      </c>
      <c r="B15" s="40" t="s">
        <v>22</v>
      </c>
      <c r="C15" s="4">
        <v>-0.27</v>
      </c>
      <c r="D15" s="13">
        <v>0.84583333333333333</v>
      </c>
      <c r="E15" s="41">
        <f>Effort!F13</f>
        <v>90.202863553311872</v>
      </c>
      <c r="F15" s="42">
        <f>Harvest!F13</f>
        <v>180.40572710662374</v>
      </c>
      <c r="G15" s="43">
        <f>+CPUE!F13</f>
        <v>2</v>
      </c>
      <c r="H15" s="41">
        <f>Effort!H13</f>
        <v>78.792140665964126</v>
      </c>
      <c r="I15" s="42">
        <f>Harvest!H13</f>
        <v>157.58428133192825</v>
      </c>
      <c r="J15" s="43">
        <f>CPUE!H13</f>
        <v>2</v>
      </c>
      <c r="K15" s="41" t="str">
        <f>Effort!J13</f>
        <v>CLOSED</v>
      </c>
      <c r="L15" s="42" t="str">
        <f>Harvest!J13</f>
        <v>CLOSED</v>
      </c>
      <c r="M15" s="43" t="str">
        <f>CPUE!J13</f>
        <v>CLOSED</v>
      </c>
      <c r="N15" s="95">
        <f>Effort!L13</f>
        <v>86.179716367084694</v>
      </c>
      <c r="O15" s="96">
        <f>Harvest!L13</f>
        <v>172.35943273416939</v>
      </c>
      <c r="P15" s="97">
        <f>CPUE!L13</f>
        <v>2</v>
      </c>
      <c r="Q15" s="41" t="s">
        <v>10</v>
      </c>
      <c r="R15" s="42" t="s">
        <v>10</v>
      </c>
      <c r="S15" s="44" t="s">
        <v>10</v>
      </c>
      <c r="T15" s="41">
        <f t="shared" si="2"/>
        <v>255.17472058636068</v>
      </c>
      <c r="U15" s="42">
        <f t="shared" si="3"/>
        <v>510.34944117272136</v>
      </c>
      <c r="V15" s="42"/>
    </row>
    <row r="16" spans="1:24" x14ac:dyDescent="0.25">
      <c r="A16" s="39">
        <v>45954</v>
      </c>
      <c r="B16" s="40" t="s">
        <v>18</v>
      </c>
      <c r="C16" s="4">
        <v>-0.12</v>
      </c>
      <c r="D16" s="13">
        <v>0.87013888888888891</v>
      </c>
      <c r="E16" s="95">
        <f>Effort!F14</f>
        <v>145.83006884774727</v>
      </c>
      <c r="F16" s="96">
        <f>Harvest!F14</f>
        <v>583.32027539098908</v>
      </c>
      <c r="G16" s="97">
        <f>+CPUE!F14</f>
        <v>4</v>
      </c>
      <c r="H16" s="41">
        <f>Effort!H14</f>
        <v>127.38246708972756</v>
      </c>
      <c r="I16" s="42">
        <f>Harvest!H14</f>
        <v>509.52986835891022</v>
      </c>
      <c r="J16" s="43">
        <f>CPUE!H14</f>
        <v>4</v>
      </c>
      <c r="K16" s="95">
        <f>Effort!J14</f>
        <v>283.81866346080199</v>
      </c>
      <c r="L16" s="96">
        <f>Harvest!J14</f>
        <v>1135.27465384321</v>
      </c>
      <c r="M16" s="97">
        <f>CPUE!J14</f>
        <v>4.0000000000000071</v>
      </c>
      <c r="N16" s="41" t="str">
        <f>Effort!L14</f>
        <v>CLOSED</v>
      </c>
      <c r="O16" s="42" t="str">
        <f>Harvest!L14</f>
        <v>CLOSED</v>
      </c>
      <c r="P16" s="43" t="str">
        <f>CPUE!L14</f>
        <v>CLOSED</v>
      </c>
      <c r="Q16" s="41" t="s">
        <v>10</v>
      </c>
      <c r="R16" s="42" t="s">
        <v>10</v>
      </c>
      <c r="S16" s="44" t="s">
        <v>10</v>
      </c>
      <c r="T16" s="41">
        <f t="shared" si="2"/>
        <v>557.03119939827684</v>
      </c>
      <c r="U16" s="42">
        <f t="shared" si="3"/>
        <v>2228.1247975931092</v>
      </c>
      <c r="V16" s="42"/>
    </row>
    <row r="17" spans="1:24" x14ac:dyDescent="0.25">
      <c r="A17" s="39">
        <v>45955</v>
      </c>
      <c r="B17" s="40" t="s">
        <v>19</v>
      </c>
      <c r="C17" s="4">
        <v>0.14000000000000001</v>
      </c>
      <c r="D17" s="13">
        <v>0.89652777777777781</v>
      </c>
      <c r="E17" s="41">
        <f>Effort!F15</f>
        <v>19.186936945345195</v>
      </c>
      <c r="F17" s="42">
        <f>Harvest!F15</f>
        <v>19.186936945345195</v>
      </c>
      <c r="G17" s="43">
        <f>+CPUE!F15</f>
        <v>1</v>
      </c>
      <c r="H17" s="95">
        <f>Effort!H15</f>
        <v>16.759776521430801</v>
      </c>
      <c r="I17" s="96">
        <f>Harvest!H15</f>
        <v>16.759776521430801</v>
      </c>
      <c r="J17" s="97">
        <f>CPUE!H15</f>
        <v>1</v>
      </c>
      <c r="K17" s="95">
        <f>Effort!J15</f>
        <v>98.666182830420297</v>
      </c>
      <c r="L17" s="96">
        <f>Harvest!J15</f>
        <v>98.666182830420297</v>
      </c>
      <c r="M17" s="97">
        <f>CPUE!J15</f>
        <v>1</v>
      </c>
      <c r="N17" s="41" t="str">
        <f>Effort!L15</f>
        <v>CLOSED</v>
      </c>
      <c r="O17" s="42" t="str">
        <f>Harvest!L15</f>
        <v>CLOSED</v>
      </c>
      <c r="P17" s="43" t="str">
        <f>CPUE!L15</f>
        <v>CLOSED</v>
      </c>
      <c r="Q17" s="41" t="s">
        <v>10</v>
      </c>
      <c r="R17" s="42" t="s">
        <v>10</v>
      </c>
      <c r="S17" s="44" t="s">
        <v>10</v>
      </c>
      <c r="T17" s="41">
        <f t="shared" si="2"/>
        <v>134.6128962971963</v>
      </c>
      <c r="U17" s="42">
        <f t="shared" si="3"/>
        <v>134.6128962971963</v>
      </c>
      <c r="V17" s="42"/>
    </row>
    <row r="18" spans="1:24" x14ac:dyDescent="0.25">
      <c r="A18" s="39">
        <v>45956</v>
      </c>
      <c r="B18" s="40" t="s">
        <v>20</v>
      </c>
      <c r="C18" s="4">
        <v>0.47</v>
      </c>
      <c r="D18" s="13">
        <v>0.92708333333333337</v>
      </c>
      <c r="E18" s="41">
        <f>Effort!F16</f>
        <v>46.514825888130709</v>
      </c>
      <c r="F18" s="42">
        <f>Harvest!F16</f>
        <v>558.17791065756853</v>
      </c>
      <c r="G18" s="43">
        <f>+CPUE!F16</f>
        <v>12</v>
      </c>
      <c r="H18" s="41">
        <f>Effort!H16</f>
        <v>40.630669139060394</v>
      </c>
      <c r="I18" s="42">
        <f>Harvest!H16</f>
        <v>487.56802966872476</v>
      </c>
      <c r="J18" s="43">
        <f>CPUE!H16</f>
        <v>12</v>
      </c>
      <c r="K18" s="41" t="str">
        <f>Effort!J16</f>
        <v>CLOSED</v>
      </c>
      <c r="L18" s="42" t="str">
        <f>Harvest!J16</f>
        <v>CLOSED</v>
      </c>
      <c r="M18" s="43" t="str">
        <f>CPUE!J16</f>
        <v>CLOSED</v>
      </c>
      <c r="N18" s="95">
        <f>Effort!L16</f>
        <v>44.440213359016496</v>
      </c>
      <c r="O18" s="96">
        <f>Harvest!L16</f>
        <v>524.39451763639499</v>
      </c>
      <c r="P18" s="97">
        <f>CPUE!L16</f>
        <v>11.800000000000008</v>
      </c>
      <c r="Q18" s="41" t="s">
        <v>10</v>
      </c>
      <c r="R18" s="42" t="s">
        <v>10</v>
      </c>
      <c r="S18" s="44" t="s">
        <v>10</v>
      </c>
      <c r="T18" s="41">
        <f t="shared" si="2"/>
        <v>131.58570838620761</v>
      </c>
      <c r="U18" s="42">
        <f t="shared" si="3"/>
        <v>1570.1404579626883</v>
      </c>
      <c r="V18" s="42"/>
    </row>
    <row r="19" spans="1:24" x14ac:dyDescent="0.25">
      <c r="A19" s="110" t="s">
        <v>50</v>
      </c>
      <c r="B19" s="110"/>
      <c r="C19" s="110"/>
      <c r="D19" s="111"/>
      <c r="E19" s="47">
        <f>SUM(E12:E18)</f>
        <v>2675.6706733695164</v>
      </c>
      <c r="F19" s="48">
        <f>SUM(F12:F18)</f>
        <v>27992.378922846452</v>
      </c>
      <c r="G19" s="49">
        <f>+F19/E19</f>
        <v>10.461817742164504</v>
      </c>
      <c r="H19" s="47">
        <f>SUM(H12:H18)</f>
        <v>2337.1965342023268</v>
      </c>
      <c r="I19" s="48">
        <f>SUM(I12:I18)</f>
        <v>23720.539555528801</v>
      </c>
      <c r="J19" s="49">
        <f>+I19/H19</f>
        <v>10.149142020538081</v>
      </c>
      <c r="K19" s="47">
        <f>SUM(K12:K18)</f>
        <v>1991.7372884952531</v>
      </c>
      <c r="L19" s="48">
        <f>SUM(L12:L18)</f>
        <v>18481.372524828443</v>
      </c>
      <c r="M19" s="49">
        <f>+L19/K19</f>
        <v>9.2790212000253405</v>
      </c>
      <c r="N19" s="47">
        <f>SUM(N12:N18)</f>
        <v>450.58946591102017</v>
      </c>
      <c r="O19" s="48">
        <f>SUM(O12:O18)</f>
        <v>5467.2088534911745</v>
      </c>
      <c r="P19" s="49">
        <f>+O19/N19</f>
        <v>12.133459095492498</v>
      </c>
      <c r="Q19" s="47"/>
      <c r="R19" s="48"/>
      <c r="S19" s="49"/>
      <c r="T19" s="47">
        <f>SUM(T12:T18)</f>
        <v>7455.193961978116</v>
      </c>
      <c r="U19" s="48">
        <f>SUM(U12:U18)</f>
        <v>75661.499856694863</v>
      </c>
      <c r="V19" s="62"/>
      <c r="W19" s="20">
        <f>SUM(H19,K19,N19,Q19,E19)</f>
        <v>7455.193961978116</v>
      </c>
      <c r="X19" s="20">
        <f>SUM(R19,O19,L19,I19,F19)</f>
        <v>75661.499856694863</v>
      </c>
    </row>
    <row r="20" spans="1:24" x14ac:dyDescent="0.25">
      <c r="A20" s="39">
        <v>45964</v>
      </c>
      <c r="B20" s="40" t="s">
        <v>21</v>
      </c>
      <c r="C20" s="4">
        <v>-0.1</v>
      </c>
      <c r="D20" s="13">
        <v>0.6875</v>
      </c>
      <c r="E20" s="95">
        <f>Effort!F18</f>
        <v>887.2034264332965</v>
      </c>
      <c r="F20" s="96">
        <f>Harvest!F18</f>
        <v>12243.407284779492</v>
      </c>
      <c r="G20" s="97">
        <f>+CPUE!F18</f>
        <v>13.8</v>
      </c>
      <c r="H20" s="41">
        <f>Effort!H18</f>
        <v>645.1723603351777</v>
      </c>
      <c r="I20" s="42">
        <f>Harvest!H18</f>
        <v>8709.8268645248991</v>
      </c>
      <c r="J20" s="43">
        <f>CPUE!H18</f>
        <v>13.5</v>
      </c>
      <c r="K20" s="41" t="str">
        <f>Effort!J18</f>
        <v>CLOSED</v>
      </c>
      <c r="L20" s="42" t="str">
        <f>Harvest!J18</f>
        <v>CLOSED</v>
      </c>
      <c r="M20" s="43" t="str">
        <f>CPUE!J18</f>
        <v>CLOSED</v>
      </c>
      <c r="N20" s="95">
        <f>Effort!L18</f>
        <v>636.84455408952704</v>
      </c>
      <c r="O20" s="96">
        <f>Harvest!L18</f>
        <v>8445.1125651002494</v>
      </c>
      <c r="P20" s="97">
        <f>CPUE!L18</f>
        <v>13.260869565217391</v>
      </c>
      <c r="Q20" s="41" t="s">
        <v>10</v>
      </c>
      <c r="R20" s="42" t="s">
        <v>10</v>
      </c>
      <c r="S20" s="44" t="s">
        <v>10</v>
      </c>
      <c r="T20" s="41">
        <f>SUM(E20,H20,K20,N20)</f>
        <v>2169.2203408580012</v>
      </c>
      <c r="U20" s="42">
        <f>SUM(F20,I20,L20,O20)</f>
        <v>29398.346714404644</v>
      </c>
      <c r="V20" s="42"/>
    </row>
    <row r="21" spans="1:24" x14ac:dyDescent="0.25">
      <c r="A21" s="39">
        <v>45965</v>
      </c>
      <c r="B21" s="40" t="s">
        <v>60</v>
      </c>
      <c r="C21" s="4">
        <v>-1.1000000000000001</v>
      </c>
      <c r="D21" s="13">
        <v>0.71875</v>
      </c>
      <c r="E21" s="41">
        <f>Effort!F19</f>
        <v>556.33583994424794</v>
      </c>
      <c r="F21" s="42">
        <f>Harvest!F19</f>
        <v>6954.1979993030991</v>
      </c>
      <c r="G21" s="43">
        <f>+CPUE!F19</f>
        <v>12.5</v>
      </c>
      <c r="H21" s="95">
        <f>Effort!H19</f>
        <v>903.95477141338904</v>
      </c>
      <c r="I21" s="96">
        <f>Harvest!H19</f>
        <v>13075.8108795146</v>
      </c>
      <c r="J21" s="97">
        <f>CPUE!H19</f>
        <v>14.465116279069763</v>
      </c>
      <c r="K21" s="41" t="str">
        <f>Effort!J19</f>
        <v>CLOSED</v>
      </c>
      <c r="L21" s="42" t="str">
        <f>Harvest!J19</f>
        <v>CLOSED</v>
      </c>
      <c r="M21" s="43" t="str">
        <f>CPUE!J19</f>
        <v>CLOSED</v>
      </c>
      <c r="N21" s="95">
        <f>Effort!L19</f>
        <v>892.28663332506301</v>
      </c>
      <c r="O21" s="96">
        <f>Harvest!L19</f>
        <v>10552.2593158442</v>
      </c>
      <c r="P21" s="97">
        <f>CPUE!L19</f>
        <v>11.826086956521712</v>
      </c>
      <c r="Q21" s="41" t="s">
        <v>10</v>
      </c>
      <c r="R21" s="42" t="s">
        <v>10</v>
      </c>
      <c r="S21" s="44" t="s">
        <v>10</v>
      </c>
      <c r="T21" s="41">
        <f t="shared" ref="T21:U26" si="4">SUM(E21,H21,K21,N21)</f>
        <v>2352.5772446827</v>
      </c>
      <c r="U21" s="42">
        <f t="shared" si="4"/>
        <v>30582.268194661898</v>
      </c>
      <c r="V21" s="42"/>
    </row>
    <row r="22" spans="1:24" x14ac:dyDescent="0.25">
      <c r="A22" s="39">
        <v>45966</v>
      </c>
      <c r="B22" s="40" t="s">
        <v>61</v>
      </c>
      <c r="C22" s="4">
        <v>-1.7</v>
      </c>
      <c r="D22" s="13">
        <v>0.75069444444444444</v>
      </c>
      <c r="E22" s="95">
        <f>Effort!F20</f>
        <v>379.12087647210399</v>
      </c>
      <c r="F22" s="96">
        <f>Harvest!F20</f>
        <v>3032.9670117768319</v>
      </c>
      <c r="G22" s="97">
        <f>+CPUE!F20</f>
        <v>8</v>
      </c>
      <c r="H22" s="41">
        <f>Effort!H20</f>
        <v>234.7485608524016</v>
      </c>
      <c r="I22" s="42">
        <f>Harvest!H20</f>
        <v>1877.9884868192128</v>
      </c>
      <c r="J22" s="43">
        <f>CPUE!H20</f>
        <v>8</v>
      </c>
      <c r="K22" s="95">
        <f>Effort!J20</f>
        <v>522.09946401921002</v>
      </c>
      <c r="L22" s="96">
        <f>Harvest!J20</f>
        <v>4263.8122894902199</v>
      </c>
      <c r="M22" s="97">
        <f>CPUE!J20</f>
        <v>8.166666666666675</v>
      </c>
      <c r="N22" s="41" t="str">
        <f>Effort!L20</f>
        <v>CLOSED</v>
      </c>
      <c r="O22" s="42" t="str">
        <f>Harvest!L20</f>
        <v>CLOSED</v>
      </c>
      <c r="P22" s="43" t="str">
        <f>CPUE!L20</f>
        <v>CLOSED</v>
      </c>
      <c r="Q22" s="41" t="s">
        <v>10</v>
      </c>
      <c r="R22" s="42" t="s">
        <v>10</v>
      </c>
      <c r="S22" s="44" t="s">
        <v>10</v>
      </c>
      <c r="T22" s="41">
        <f t="shared" si="4"/>
        <v>1135.9689013437155</v>
      </c>
      <c r="U22" s="42">
        <f t="shared" si="4"/>
        <v>9174.7677880862648</v>
      </c>
      <c r="V22" s="42"/>
    </row>
    <row r="23" spans="1:24" x14ac:dyDescent="0.25">
      <c r="A23" s="39">
        <v>45967</v>
      </c>
      <c r="B23" s="40" t="s">
        <v>22</v>
      </c>
      <c r="C23" s="4">
        <v>-2</v>
      </c>
      <c r="D23" s="13">
        <v>0.78194444444444444</v>
      </c>
      <c r="E23" s="41">
        <f>Effort!F21</f>
        <v>403.8606867533527</v>
      </c>
      <c r="F23" s="42">
        <f>Harvest!F21</f>
        <v>807.72137350670539</v>
      </c>
      <c r="G23" s="43">
        <f>+CPUE!F21</f>
        <v>2</v>
      </c>
      <c r="H23" s="95">
        <f>Effort!H21</f>
        <v>250.06725000855499</v>
      </c>
      <c r="I23" s="96">
        <f>Harvest!H21</f>
        <v>538.60638463381099</v>
      </c>
      <c r="J23" s="97">
        <f>CPUE!H21</f>
        <v>2.1538461538461546</v>
      </c>
      <c r="K23" s="95">
        <f>Effort!J21</f>
        <v>556.16944668007602</v>
      </c>
      <c r="L23" s="96">
        <f>Harvest!J21</f>
        <v>787.90671613010795</v>
      </c>
      <c r="M23" s="97">
        <f>CPUE!J21</f>
        <v>1.4166666666666672</v>
      </c>
      <c r="N23" s="41" t="str">
        <f>Effort!L21</f>
        <v>CLOSED</v>
      </c>
      <c r="O23" s="42" t="str">
        <f>Harvest!L21</f>
        <v>CLOSED</v>
      </c>
      <c r="P23" s="43" t="str">
        <f>CPUE!L21</f>
        <v>CLOSED</v>
      </c>
      <c r="Q23" s="41" t="s">
        <v>10</v>
      </c>
      <c r="R23" s="42" t="s">
        <v>10</v>
      </c>
      <c r="S23" s="44" t="s">
        <v>10</v>
      </c>
      <c r="T23" s="41">
        <f t="shared" si="4"/>
        <v>1210.0973834419838</v>
      </c>
      <c r="U23" s="42">
        <f t="shared" si="4"/>
        <v>2134.2344742706246</v>
      </c>
      <c r="V23" s="42"/>
    </row>
    <row r="24" spans="1:24" x14ac:dyDescent="0.25">
      <c r="A24" s="39">
        <v>45968</v>
      </c>
      <c r="B24" s="40" t="s">
        <v>18</v>
      </c>
      <c r="C24" s="4">
        <v>-1.9</v>
      </c>
      <c r="D24" s="13">
        <v>0.81527777777777777</v>
      </c>
      <c r="E24" s="95">
        <f>Effort!F22</f>
        <v>1167.2550205306809</v>
      </c>
      <c r="F24" s="96">
        <f>Harvest!F22</f>
        <v>15757.942777164191</v>
      </c>
      <c r="G24" s="97">
        <f>+CPUE!F22</f>
        <v>13.5</v>
      </c>
      <c r="H24" s="41">
        <f>Effort!H22</f>
        <v>1896.5985462498368</v>
      </c>
      <c r="I24" s="42">
        <f>Harvest!H22</f>
        <v>25604.080374372796</v>
      </c>
      <c r="J24" s="43">
        <f>CPUE!H22</f>
        <v>13.5</v>
      </c>
      <c r="K24" s="41" t="str">
        <f>Effort!J22</f>
        <v>CLOSED</v>
      </c>
      <c r="L24" s="42" t="str">
        <f>Harvest!J22</f>
        <v>CLOSED</v>
      </c>
      <c r="M24" s="43" t="str">
        <f>CPUE!J22</f>
        <v>CLOSED</v>
      </c>
      <c r="N24" s="95">
        <f>Effort!L22</f>
        <v>1872.1174832192601</v>
      </c>
      <c r="O24" s="96">
        <f>Harvest!L22</f>
        <v>25541.0313782056</v>
      </c>
      <c r="P24" s="97">
        <f>CPUE!L22</f>
        <v>13.642857142857132</v>
      </c>
      <c r="Q24" s="41" t="s">
        <v>10</v>
      </c>
      <c r="R24" s="42" t="s">
        <v>10</v>
      </c>
      <c r="S24" s="44" t="s">
        <v>10</v>
      </c>
      <c r="T24" s="41">
        <f t="shared" si="4"/>
        <v>4935.9710499997782</v>
      </c>
      <c r="U24" s="42">
        <f t="shared" si="4"/>
        <v>66903.054529742585</v>
      </c>
      <c r="V24" s="42"/>
    </row>
    <row r="25" spans="1:24" x14ac:dyDescent="0.25">
      <c r="A25" s="39">
        <v>45969</v>
      </c>
      <c r="B25" s="40" t="s">
        <v>19</v>
      </c>
      <c r="C25" s="4">
        <v>-1.5</v>
      </c>
      <c r="D25" s="13">
        <v>0.85069444444444442</v>
      </c>
      <c r="E25" s="41">
        <f>Effort!F23</f>
        <v>1104.9002303669347</v>
      </c>
      <c r="F25" s="42">
        <f>Harvest!F23</f>
        <v>16021.053340320554</v>
      </c>
      <c r="G25" s="43">
        <f>+CPUE!F23</f>
        <v>14.5</v>
      </c>
      <c r="H25" s="95">
        <f>Effort!H23</f>
        <v>2324.03582526521</v>
      </c>
      <c r="I25" s="96">
        <f>Harvest!H23</f>
        <v>34860.537378978101</v>
      </c>
      <c r="J25" s="97">
        <f>CPUE!H23</f>
        <v>14.999999999999979</v>
      </c>
      <c r="K25" s="41" t="str">
        <f>Effort!J23</f>
        <v>CLOSED</v>
      </c>
      <c r="L25" s="42" t="str">
        <f>Harvest!J23</f>
        <v>CLOSED</v>
      </c>
      <c r="M25" s="43" t="str">
        <f>CPUE!J23</f>
        <v>CLOSED</v>
      </c>
      <c r="N25" s="95">
        <f>Effort!L23</f>
        <v>1772.1089240143101</v>
      </c>
      <c r="O25" s="96">
        <f>Harvest!L23</f>
        <v>25695.579398207501</v>
      </c>
      <c r="P25" s="97">
        <f>CPUE!L23</f>
        <v>14.500000000000002</v>
      </c>
      <c r="Q25" s="41" t="s">
        <v>10</v>
      </c>
      <c r="R25" s="42" t="s">
        <v>10</v>
      </c>
      <c r="S25" s="44" t="s">
        <v>10</v>
      </c>
      <c r="T25" s="41">
        <f t="shared" si="4"/>
        <v>5201.0449796464545</v>
      </c>
      <c r="U25" s="42">
        <f t="shared" si="4"/>
        <v>76577.170117506161</v>
      </c>
      <c r="V25" s="42"/>
    </row>
    <row r="26" spans="1:24" x14ac:dyDescent="0.25">
      <c r="A26" s="39">
        <v>45970</v>
      </c>
      <c r="B26" s="40" t="s">
        <v>20</v>
      </c>
      <c r="C26" s="4">
        <v>-0.9</v>
      </c>
      <c r="D26" s="13">
        <v>0.8881944444444444</v>
      </c>
      <c r="E26" s="41">
        <f>Effort!F24</f>
        <v>392.30132098788073</v>
      </c>
      <c r="F26" s="42">
        <f>Harvest!F24</f>
        <v>4119.1638703727476</v>
      </c>
      <c r="G26" s="43">
        <f>+CPUE!F24</f>
        <v>10.5</v>
      </c>
      <c r="H26" s="41">
        <f>Effort!H24</f>
        <v>242.90978481417724</v>
      </c>
      <c r="I26" s="42">
        <f>Harvest!H24</f>
        <v>2550.552740548861</v>
      </c>
      <c r="J26" s="43">
        <f>CPUE!H24</f>
        <v>10.5</v>
      </c>
      <c r="K26" s="95">
        <f>Effort!J24</f>
        <v>540.25067500304601</v>
      </c>
      <c r="L26" s="96">
        <f>Harvest!J24</f>
        <v>5778.3333065543202</v>
      </c>
      <c r="M26" s="97">
        <f>CPUE!J24</f>
        <v>10.695652173913047</v>
      </c>
      <c r="N26" s="41" t="str">
        <f>Effort!L24</f>
        <v>CLOSED</v>
      </c>
      <c r="O26" s="42" t="str">
        <f>Harvest!L24</f>
        <v>CLOSED</v>
      </c>
      <c r="P26" s="43" t="str">
        <f>CPUE!L24</f>
        <v>CLOSED</v>
      </c>
      <c r="Q26" s="41" t="s">
        <v>10</v>
      </c>
      <c r="R26" s="42" t="s">
        <v>10</v>
      </c>
      <c r="S26" s="44" t="s">
        <v>10</v>
      </c>
      <c r="T26" s="41">
        <f t="shared" si="4"/>
        <v>1175.4617808051039</v>
      </c>
      <c r="U26" s="42">
        <f t="shared" si="4"/>
        <v>12448.049917475928</v>
      </c>
      <c r="V26" s="42"/>
    </row>
    <row r="27" spans="1:24" x14ac:dyDescent="0.25">
      <c r="A27" s="110" t="s">
        <v>50</v>
      </c>
      <c r="B27" s="110"/>
      <c r="C27" s="110"/>
      <c r="D27" s="111"/>
      <c r="E27" s="47">
        <f>SUM(E20:E26)</f>
        <v>4890.9774014884979</v>
      </c>
      <c r="F27" s="48">
        <f>SUM(F20:F26)</f>
        <v>58936.453657223625</v>
      </c>
      <c r="G27" s="49">
        <f>+F27/E27</f>
        <v>12.050035978348044</v>
      </c>
      <c r="H27" s="47">
        <f>SUM(H20:H26)</f>
        <v>6497.4870989387473</v>
      </c>
      <c r="I27" s="48">
        <f>SUM(I20:I26)</f>
        <v>87217.403109392268</v>
      </c>
      <c r="J27" s="49">
        <f>+I27/H27</f>
        <v>13.423251448030998</v>
      </c>
      <c r="K27" s="47">
        <f>SUM(K20:K26)</f>
        <v>1618.5195857023323</v>
      </c>
      <c r="L27" s="48">
        <f>SUM(L20:L26)</f>
        <v>10830.052312174648</v>
      </c>
      <c r="M27" s="49">
        <f>+L27/K27</f>
        <v>6.691332256863058</v>
      </c>
      <c r="N27" s="47">
        <f>SUM(N20:N26)</f>
        <v>5173.3575946481596</v>
      </c>
      <c r="O27" s="48">
        <f>SUM(O20:O26)</f>
        <v>70233.982657357541</v>
      </c>
      <c r="P27" s="49">
        <f>+O27/N27</f>
        <v>13.576092773871773</v>
      </c>
      <c r="Q27" s="47"/>
      <c r="R27" s="48"/>
      <c r="S27" s="49"/>
      <c r="T27" s="47">
        <f>SUM(T20:T26)</f>
        <v>18180.341680777739</v>
      </c>
      <c r="U27" s="48">
        <f>SUM(U20:U26)</f>
        <v>227217.89173614813</v>
      </c>
      <c r="V27" s="62"/>
      <c r="W27" s="20">
        <f>SUM(H27,K27,N27,Q27,E27)</f>
        <v>18180.341680777736</v>
      </c>
      <c r="X27" s="20">
        <f>SUM(R27,O27,L27,I27,F27)</f>
        <v>227217.8917361481</v>
      </c>
    </row>
    <row r="28" spans="1:24" x14ac:dyDescent="0.25">
      <c r="A28" s="39">
        <v>45979</v>
      </c>
      <c r="B28" s="40" t="s">
        <v>60</v>
      </c>
      <c r="C28" s="4">
        <v>-0.02</v>
      </c>
      <c r="D28" s="13">
        <v>0.72083333333333333</v>
      </c>
      <c r="E28" s="41">
        <f>Effort!F26</f>
        <v>393.78812693180259</v>
      </c>
      <c r="F28" s="42">
        <f>Harvest!F26</f>
        <v>5906.8219039770393</v>
      </c>
      <c r="G28" s="43">
        <f>+CPUE!F26</f>
        <v>15</v>
      </c>
      <c r="H28" s="41">
        <f>Effort!H26</f>
        <v>721.06623934694335</v>
      </c>
      <c r="I28" s="42">
        <f>Harvest!H26</f>
        <v>10815.993590204151</v>
      </c>
      <c r="J28" s="43">
        <f>CPUE!H26</f>
        <v>15</v>
      </c>
      <c r="K28" s="95">
        <f>Effort!J26</f>
        <v>829.85819797143097</v>
      </c>
      <c r="L28" s="96">
        <f>Harvest!J26</f>
        <v>12349.0803269558</v>
      </c>
      <c r="M28" s="97">
        <f>CPUE!J26</f>
        <v>14.88095238095236</v>
      </c>
      <c r="N28" s="41" t="str">
        <f>Effort!L26</f>
        <v>CLOSED</v>
      </c>
      <c r="O28" s="42" t="str">
        <f>Harvest!L26</f>
        <v>CLOSED</v>
      </c>
      <c r="P28" s="43" t="str">
        <f>CPUE!L26</f>
        <v>CLOSED</v>
      </c>
      <c r="Q28" s="41" t="s">
        <v>10</v>
      </c>
      <c r="R28" s="42" t="s">
        <v>10</v>
      </c>
      <c r="S28" s="44" t="s">
        <v>10</v>
      </c>
      <c r="T28" s="41">
        <f t="shared" ref="T28:U33" si="5">SUM(E28,H28,K28,N28)</f>
        <v>1944.7125642501769</v>
      </c>
      <c r="U28" s="42">
        <f t="shared" si="5"/>
        <v>29071.89582113699</v>
      </c>
      <c r="V28" s="42"/>
    </row>
    <row r="29" spans="1:24" x14ac:dyDescent="0.25">
      <c r="A29" s="39">
        <v>45980</v>
      </c>
      <c r="B29" s="40" t="s">
        <v>61</v>
      </c>
      <c r="C29" s="4">
        <v>-0.3</v>
      </c>
      <c r="D29" s="13">
        <v>0.74444444444444446</v>
      </c>
      <c r="E29" s="95">
        <f>Effort!F27</f>
        <v>864.9053070645848</v>
      </c>
      <c r="F29" s="96">
        <f>Harvest!F27</f>
        <v>11935.69323749127</v>
      </c>
      <c r="G29" s="97">
        <f>+CPUE!F27</f>
        <v>13.8</v>
      </c>
      <c r="H29" s="95">
        <f>Effort!H27</f>
        <v>648.04469216198902</v>
      </c>
      <c r="I29" s="96">
        <f>Harvest!H27</f>
        <v>9720.6703824298402</v>
      </c>
      <c r="J29" s="97">
        <f>CPUE!H27</f>
        <v>15.000000000000007</v>
      </c>
      <c r="K29" s="41" t="str">
        <f>Effort!J27</f>
        <v>CLOSED</v>
      </c>
      <c r="L29" s="42" t="str">
        <f>Harvest!J27</f>
        <v>CLOSED</v>
      </c>
      <c r="M29" s="43" t="str">
        <f>CPUE!J27</f>
        <v>CLOSED</v>
      </c>
      <c r="N29" s="95">
        <f>Effort!L27</f>
        <v>319.48882011639103</v>
      </c>
      <c r="O29" s="96">
        <f>Harvest!L27</f>
        <v>3194.8882011639098</v>
      </c>
      <c r="P29" s="97">
        <f>CPUE!L27</f>
        <v>9.9999999999999982</v>
      </c>
      <c r="Q29" s="41" t="s">
        <v>10</v>
      </c>
      <c r="R29" s="42" t="s">
        <v>10</v>
      </c>
      <c r="S29" s="44" t="s">
        <v>10</v>
      </c>
      <c r="T29" s="41">
        <f t="shared" si="5"/>
        <v>1832.4388193429647</v>
      </c>
      <c r="U29" s="42">
        <f t="shared" si="5"/>
        <v>24851.251821085021</v>
      </c>
      <c r="V29" s="42"/>
    </row>
    <row r="30" spans="1:24" x14ac:dyDescent="0.25">
      <c r="A30" s="39">
        <v>45981</v>
      </c>
      <c r="B30" s="40" t="s">
        <v>22</v>
      </c>
      <c r="C30" s="4">
        <v>-0.43</v>
      </c>
      <c r="D30" s="13">
        <v>0.76736111111111116</v>
      </c>
      <c r="E30" s="41">
        <f>Effort!F28</f>
        <v>206.76544605159052</v>
      </c>
      <c r="F30" s="42">
        <f>Harvest!F28</f>
        <v>620.29633815477155</v>
      </c>
      <c r="G30" s="43">
        <f>+CPUE!F28</f>
        <v>3</v>
      </c>
      <c r="H30" s="95">
        <f>Effort!H28</f>
        <v>378.60862838338898</v>
      </c>
      <c r="I30" s="96">
        <f>Harvest!H28</f>
        <v>908.66070812013299</v>
      </c>
      <c r="J30" s="97">
        <f>CPUE!H28</f>
        <v>2.3999999999999986</v>
      </c>
      <c r="K30" s="41" t="str">
        <f>Effort!J28</f>
        <v>CLOSED</v>
      </c>
      <c r="L30" s="42" t="str">
        <f>Harvest!J28</f>
        <v>CLOSED</v>
      </c>
      <c r="M30" s="43" t="str">
        <f>CPUE!J28</f>
        <v>CLOSED</v>
      </c>
      <c r="N30" s="95">
        <f>Effort!L28</f>
        <v>203.64964318787401</v>
      </c>
      <c r="O30" s="96">
        <f>Harvest!L28</f>
        <v>633.57666769560797</v>
      </c>
      <c r="P30" s="97">
        <f>CPUE!L28</f>
        <v>3.1111111111111107</v>
      </c>
      <c r="Q30" s="41" t="s">
        <v>10</v>
      </c>
      <c r="R30" s="42" t="s">
        <v>10</v>
      </c>
      <c r="S30" s="44" t="s">
        <v>10</v>
      </c>
      <c r="T30" s="41">
        <f t="shared" si="5"/>
        <v>789.02371762285361</v>
      </c>
      <c r="U30" s="42">
        <f t="shared" si="5"/>
        <v>2162.5337139705125</v>
      </c>
      <c r="V30" s="42"/>
    </row>
    <row r="31" spans="1:24" x14ac:dyDescent="0.25">
      <c r="A31" s="39">
        <v>45982</v>
      </c>
      <c r="B31" s="40" t="s">
        <v>18</v>
      </c>
      <c r="C31" s="4">
        <v>-0.41</v>
      </c>
      <c r="D31" s="13">
        <v>0.79097222222222219</v>
      </c>
      <c r="E31" s="95">
        <f>Effort!F29</f>
        <v>276.88227674892397</v>
      </c>
      <c r="F31" s="96">
        <f>Harvest!F29</f>
        <v>4153.2341512338598</v>
      </c>
      <c r="G31" s="97">
        <f>+CPUE!F29</f>
        <v>15</v>
      </c>
      <c r="H31" s="95">
        <f>Effort!H29</f>
        <v>506.99969954082002</v>
      </c>
      <c r="I31" s="96">
        <f>Harvest!H29</f>
        <v>7435.9955932653602</v>
      </c>
      <c r="J31" s="97">
        <f>CPUE!H29</f>
        <v>14.666666666666666</v>
      </c>
      <c r="K31" s="95">
        <f>Effort!J29</f>
        <v>583.49404544866297</v>
      </c>
      <c r="L31" s="96">
        <f>Harvest!J29</f>
        <v>6100.1650205996502</v>
      </c>
      <c r="M31" s="97">
        <f>CPUE!J29</f>
        <v>10.454545454545441</v>
      </c>
      <c r="N31" s="41" t="str">
        <f>Effort!L29</f>
        <v>CLOSED</v>
      </c>
      <c r="O31" s="42" t="str">
        <f>Harvest!L29</f>
        <v>CLOSED</v>
      </c>
      <c r="P31" s="43" t="str">
        <f>CPUE!L29</f>
        <v>CLOSED</v>
      </c>
      <c r="Q31" s="41" t="s">
        <v>10</v>
      </c>
      <c r="R31" s="42" t="s">
        <v>10</v>
      </c>
      <c r="S31" s="44" t="s">
        <v>10</v>
      </c>
      <c r="T31" s="41">
        <f t="shared" si="5"/>
        <v>1367.376021738407</v>
      </c>
      <c r="U31" s="42">
        <f t="shared" si="5"/>
        <v>17689.39476509887</v>
      </c>
      <c r="V31" s="42"/>
    </row>
    <row r="32" spans="1:24" x14ac:dyDescent="0.25">
      <c r="A32" s="39">
        <v>45983</v>
      </c>
      <c r="B32" s="40" t="s">
        <v>19</v>
      </c>
      <c r="C32" s="4">
        <v>-0.28999999999999998</v>
      </c>
      <c r="D32" s="13">
        <v>0.81527777777777777</v>
      </c>
      <c r="E32" s="41">
        <f>Effort!F30</f>
        <v>581.23177559063333</v>
      </c>
      <c r="F32" s="42">
        <f>Harvest!F30</f>
        <v>4068.6224291344333</v>
      </c>
      <c r="G32" s="43">
        <f>+CPUE!F30</f>
        <v>7</v>
      </c>
      <c r="H32" s="41">
        <f>Effort!H30</f>
        <v>1064.2946852652735</v>
      </c>
      <c r="I32" s="42">
        <f>Harvest!H30</f>
        <v>7450.0627968569152</v>
      </c>
      <c r="J32" s="43">
        <f>CPUE!H30</f>
        <v>7</v>
      </c>
      <c r="K32" s="95">
        <f>Effort!J30</f>
        <v>1224.87175439627</v>
      </c>
      <c r="L32" s="96">
        <f>Harvest!J30</f>
        <v>8301.9085575747195</v>
      </c>
      <c r="M32" s="97">
        <f>CPUE!J30</f>
        <v>6.7777777777777777</v>
      </c>
      <c r="N32" s="41" t="str">
        <f>Effort!L30</f>
        <v>CLOSED</v>
      </c>
      <c r="O32" s="42" t="str">
        <f>Harvest!L30</f>
        <v>CLOSED</v>
      </c>
      <c r="P32" s="43" t="str">
        <f>CPUE!L30</f>
        <v>CLOSED</v>
      </c>
      <c r="Q32" s="41" t="s">
        <v>10</v>
      </c>
      <c r="R32" s="42" t="s">
        <v>10</v>
      </c>
      <c r="S32" s="44" t="s">
        <v>10</v>
      </c>
      <c r="T32" s="41">
        <f t="shared" si="5"/>
        <v>2870.3982152521767</v>
      </c>
      <c r="U32" s="42">
        <f t="shared" si="5"/>
        <v>19820.593783566066</v>
      </c>
      <c r="V32" s="42"/>
    </row>
    <row r="33" spans="1:24" x14ac:dyDescent="0.25">
      <c r="A33" s="39">
        <v>45984</v>
      </c>
      <c r="B33" s="40" t="s">
        <v>20</v>
      </c>
      <c r="C33" s="4">
        <v>-0.09</v>
      </c>
      <c r="D33" s="13">
        <v>0.84166666666666667</v>
      </c>
      <c r="E33" s="41">
        <f>Effort!F31</f>
        <v>576.0111706056349</v>
      </c>
      <c r="F33" s="42">
        <f>Harvest!F31</f>
        <v>3456.0670236338092</v>
      </c>
      <c r="G33" s="43">
        <f>+CPUE!F31</f>
        <v>6</v>
      </c>
      <c r="H33" s="41">
        <f>Effort!H31</f>
        <v>395.57138055110363</v>
      </c>
      <c r="I33" s="42">
        <f>Harvest!H31</f>
        <v>2373.4282833066218</v>
      </c>
      <c r="J33" s="43">
        <f>CPUE!H31</f>
        <v>6</v>
      </c>
      <c r="K33" s="41" t="str">
        <f>Effort!J31</f>
        <v>CLOSED</v>
      </c>
      <c r="L33" s="42" t="str">
        <f>Harvest!J31</f>
        <v>CLOSED</v>
      </c>
      <c r="M33" s="43" t="str">
        <f>CPUE!J31</f>
        <v>CLOSED</v>
      </c>
      <c r="N33" s="95">
        <f>Effort!L31</f>
        <v>212.77373114432001</v>
      </c>
      <c r="O33" s="96">
        <f>Harvest!L31</f>
        <v>1237.95625393059</v>
      </c>
      <c r="P33" s="97">
        <f>CPUE!L31</f>
        <v>5.8181818181818228</v>
      </c>
      <c r="Q33" s="41" t="s">
        <v>10</v>
      </c>
      <c r="R33" s="42" t="s">
        <v>10</v>
      </c>
      <c r="S33" s="44" t="s">
        <v>10</v>
      </c>
      <c r="T33" s="41">
        <f t="shared" si="5"/>
        <v>1184.3562823010586</v>
      </c>
      <c r="U33" s="42">
        <f t="shared" si="5"/>
        <v>7067.4515608710208</v>
      </c>
      <c r="V33" s="42"/>
    </row>
    <row r="34" spans="1:24" x14ac:dyDescent="0.25">
      <c r="A34" s="110" t="s">
        <v>50</v>
      </c>
      <c r="B34" s="110"/>
      <c r="C34" s="110"/>
      <c r="D34" s="111"/>
      <c r="E34" s="47">
        <f>SUM(E28:E33)</f>
        <v>2899.5841029931698</v>
      </c>
      <c r="F34" s="48">
        <f>SUM(F28:F33)</f>
        <v>30140.735083625183</v>
      </c>
      <c r="G34" s="49">
        <f>+F34/E34</f>
        <v>10.394847679193591</v>
      </c>
      <c r="H34" s="47">
        <f>SUM(H28:H33)</f>
        <v>3714.5853252495185</v>
      </c>
      <c r="I34" s="48">
        <f>SUM(I28:I33)</f>
        <v>38704.811354183024</v>
      </c>
      <c r="J34" s="49">
        <f>+I34/H34</f>
        <v>10.419685635188127</v>
      </c>
      <c r="K34" s="47">
        <f>SUM(K28:K33)</f>
        <v>2638.2239978163643</v>
      </c>
      <c r="L34" s="48">
        <f>SUM(L28:L33)</f>
        <v>26751.15390513017</v>
      </c>
      <c r="M34" s="49">
        <f>+L34/K34</f>
        <v>10.139834194242745</v>
      </c>
      <c r="N34" s="47">
        <f>SUM(N28:N33)</f>
        <v>735.91219444858507</v>
      </c>
      <c r="O34" s="48">
        <f>SUM(O28:O33)</f>
        <v>5066.4211227901078</v>
      </c>
      <c r="P34" s="49">
        <f>+O34/N34</f>
        <v>6.8845456849459454</v>
      </c>
      <c r="Q34" s="47"/>
      <c r="R34" s="48"/>
      <c r="S34" s="49"/>
      <c r="T34" s="47">
        <f>SUM(T28:T33)</f>
        <v>9988.3056205076373</v>
      </c>
      <c r="U34" s="48">
        <f>SUM(U28:U33)</f>
        <v>100663.12146572849</v>
      </c>
      <c r="V34" s="62"/>
      <c r="W34" s="20">
        <f>SUM(H34,K34,N34,Q34,E34)</f>
        <v>9988.3056205076391</v>
      </c>
      <c r="X34" s="20">
        <f>SUM(R34,O34,L34,I34,F34)</f>
        <v>100663.12146572849</v>
      </c>
    </row>
    <row r="35" spans="1:24" x14ac:dyDescent="0.25">
      <c r="A35" s="39">
        <v>45993</v>
      </c>
      <c r="B35" s="40" t="s">
        <v>60</v>
      </c>
      <c r="C35" s="4">
        <v>-0.59</v>
      </c>
      <c r="D35" s="13">
        <v>0.6743055555555556</v>
      </c>
      <c r="E35" s="41">
        <f>Effort!F33</f>
        <v>955.58028869301256</v>
      </c>
      <c r="F35" s="42">
        <f>Harvest!F33</f>
        <v>14333.704330395189</v>
      </c>
      <c r="G35" s="43">
        <f>+CPUE!F33</f>
        <v>15</v>
      </c>
      <c r="H35" s="41">
        <f>Effort!H33</f>
        <v>892.36414177356482</v>
      </c>
      <c r="I35" s="42">
        <f>Harvest!H33</f>
        <v>13385.462126603472</v>
      </c>
      <c r="J35" s="43">
        <f>CPUE!H33</f>
        <v>15</v>
      </c>
      <c r="K35" s="95">
        <f>Effort!J33</f>
        <v>1269.4787751788999</v>
      </c>
      <c r="L35" s="96">
        <f>Harvest!J33</f>
        <v>18749.224987257599</v>
      </c>
      <c r="M35" s="97">
        <f>CPUE!J33</f>
        <v>14.76923076923077</v>
      </c>
      <c r="N35" s="41" t="str">
        <f>Effort!L33</f>
        <v>CLOSED</v>
      </c>
      <c r="O35" s="42" t="str">
        <f>Harvest!L33</f>
        <v>CLOSED</v>
      </c>
      <c r="P35" s="43" t="str">
        <f>CPUE!L33</f>
        <v>CLOSED</v>
      </c>
      <c r="Q35" s="41" t="s">
        <v>10</v>
      </c>
      <c r="R35" s="42" t="s">
        <v>10</v>
      </c>
      <c r="S35" s="44" t="s">
        <v>10</v>
      </c>
      <c r="T35" s="41">
        <f>SUM(E35,H35,K35,N35)</f>
        <v>3117.4232056454775</v>
      </c>
      <c r="U35" s="42">
        <f>SUM(F35,I35,L35,O35)</f>
        <v>46468.39144425626</v>
      </c>
      <c r="V35" s="42"/>
    </row>
    <row r="36" spans="1:24" x14ac:dyDescent="0.25">
      <c r="A36" s="39">
        <v>45994</v>
      </c>
      <c r="B36" s="40" t="s">
        <v>61</v>
      </c>
      <c r="C36" s="4">
        <v>-1.4</v>
      </c>
      <c r="D36" s="13">
        <v>0.70763888888888893</v>
      </c>
      <c r="E36" s="95">
        <f>Effort!F34</f>
        <v>1304.4743316206791</v>
      </c>
      <c r="F36" s="96">
        <f>Harvest!F34</f>
        <v>19522.2410541305</v>
      </c>
      <c r="G36" s="97">
        <f>+CPUE!F34</f>
        <v>14.965599997568418</v>
      </c>
      <c r="H36" s="95">
        <f>Effort!H34</f>
        <v>1099.8525785335501</v>
      </c>
      <c r="I36" s="96">
        <f>Harvest!H34</f>
        <v>16497.788678003199</v>
      </c>
      <c r="J36" s="97">
        <f>CPUE!H34</f>
        <v>14.999999999999952</v>
      </c>
      <c r="K36" s="41" t="str">
        <f>Effort!J34</f>
        <v>CLOSED</v>
      </c>
      <c r="L36" s="42" t="str">
        <f>Harvest!J34</f>
        <v>CLOSED</v>
      </c>
      <c r="M36" s="43" t="str">
        <f>CPUE!J34</f>
        <v>CLOSED</v>
      </c>
      <c r="N36" s="95">
        <f>Effort!L34</f>
        <v>1233.8475667855</v>
      </c>
      <c r="O36" s="96">
        <f>Harvest!L34</f>
        <v>17248.160777355599</v>
      </c>
      <c r="P36" s="97">
        <f>CPUE!L34</f>
        <v>13.979166666666638</v>
      </c>
      <c r="Q36" s="41" t="s">
        <v>10</v>
      </c>
      <c r="R36" s="42" t="s">
        <v>10</v>
      </c>
      <c r="S36" s="44" t="s">
        <v>10</v>
      </c>
      <c r="T36" s="41">
        <f t="shared" ref="T36:U41" si="6">SUM(E36,H36,K36,N36)</f>
        <v>3638.1744769397292</v>
      </c>
      <c r="U36" s="42">
        <f t="shared" si="6"/>
        <v>53268.190509489301</v>
      </c>
      <c r="V36" s="42"/>
    </row>
    <row r="37" spans="1:24" x14ac:dyDescent="0.25">
      <c r="A37" s="39">
        <v>45995</v>
      </c>
      <c r="B37" s="40" t="s">
        <v>22</v>
      </c>
      <c r="C37" s="4">
        <v>-1.9</v>
      </c>
      <c r="D37" s="13">
        <v>0.74097222222222225</v>
      </c>
      <c r="E37" s="41">
        <f>Effort!F35</f>
        <v>542.92008946439137</v>
      </c>
      <c r="F37" s="42">
        <f>Harvest!F35</f>
        <v>6786.5011183048919</v>
      </c>
      <c r="G37" s="43">
        <f>+CPUE!F35</f>
        <v>12.5</v>
      </c>
      <c r="H37" s="41">
        <f>Effort!H35</f>
        <v>457.75684952972557</v>
      </c>
      <c r="I37" s="42">
        <f>Harvest!H35</f>
        <v>5721.9606191215698</v>
      </c>
      <c r="J37" s="43">
        <f>CPUE!H35</f>
        <v>12.5</v>
      </c>
      <c r="K37" s="41" t="str">
        <f>Effort!J35</f>
        <v>CLOSED</v>
      </c>
      <c r="L37" s="42" t="str">
        <f>Harvest!J35</f>
        <v>CLOSED</v>
      </c>
      <c r="M37" s="43" t="str">
        <f>CPUE!J35</f>
        <v>CLOSED</v>
      </c>
      <c r="N37" s="95">
        <f>Effort!L35</f>
        <v>513.52534511916804</v>
      </c>
      <c r="O37" s="96">
        <f>Harvest!L35</f>
        <v>6162.3041414300196</v>
      </c>
      <c r="P37" s="97">
        <f>CPUE!L35</f>
        <v>12.000000000000005</v>
      </c>
      <c r="Q37" s="41" t="s">
        <v>10</v>
      </c>
      <c r="R37" s="42" t="s">
        <v>10</v>
      </c>
      <c r="S37" s="44" t="s">
        <v>10</v>
      </c>
      <c r="T37" s="41">
        <f t="shared" si="6"/>
        <v>1514.2022841132848</v>
      </c>
      <c r="U37" s="42">
        <f t="shared" si="6"/>
        <v>18670.76587885648</v>
      </c>
      <c r="V37" s="42"/>
    </row>
    <row r="38" spans="1:24" x14ac:dyDescent="0.25">
      <c r="A38" s="39">
        <v>45996</v>
      </c>
      <c r="B38" s="40" t="s">
        <v>18</v>
      </c>
      <c r="C38" s="4">
        <v>-2.0499999999999998</v>
      </c>
      <c r="D38" s="13">
        <v>0.77361111111111114</v>
      </c>
      <c r="E38" s="95">
        <f>Effort!F36</f>
        <v>805.31502126567784</v>
      </c>
      <c r="F38" s="96">
        <f>Harvest!F36</f>
        <v>12079.725318985167</v>
      </c>
      <c r="G38" s="97">
        <f>+CPUE!F36</f>
        <v>15</v>
      </c>
      <c r="H38" s="95">
        <f>Effort!H36</f>
        <v>752.03963111463202</v>
      </c>
      <c r="I38" s="96">
        <f>Harvest!H36</f>
        <v>7364.8019047088101</v>
      </c>
      <c r="J38" s="97">
        <f>CPUE!H36</f>
        <v>9.7931034482758612</v>
      </c>
      <c r="K38" s="95">
        <f>Effort!J36</f>
        <v>1069.8528830348801</v>
      </c>
      <c r="L38" s="96">
        <f>Harvest!J36</f>
        <v>13765.4404283821</v>
      </c>
      <c r="M38" s="97">
        <f>CPUE!J36</f>
        <v>12.866666666666646</v>
      </c>
      <c r="N38" s="41" t="str">
        <f>Effort!L36</f>
        <v>CLOSED</v>
      </c>
      <c r="O38" s="42" t="str">
        <f>Harvest!L36</f>
        <v>CLOSED</v>
      </c>
      <c r="P38" s="43" t="str">
        <f>CPUE!L36</f>
        <v>CLOSED</v>
      </c>
      <c r="Q38" s="41" t="s">
        <v>10</v>
      </c>
      <c r="R38" s="42" t="s">
        <v>10</v>
      </c>
      <c r="S38" s="44" t="s">
        <v>10</v>
      </c>
      <c r="T38" s="41">
        <f t="shared" si="6"/>
        <v>2627.2075354151898</v>
      </c>
      <c r="U38" s="42">
        <f t="shared" si="6"/>
        <v>33209.967652076077</v>
      </c>
      <c r="V38" s="42"/>
    </row>
    <row r="39" spans="1:24" x14ac:dyDescent="0.25">
      <c r="A39" s="39">
        <v>45997</v>
      </c>
      <c r="B39" s="40" t="s">
        <v>19</v>
      </c>
      <c r="C39" s="4">
        <v>-1.86</v>
      </c>
      <c r="D39" s="13">
        <v>0.80694444444444446</v>
      </c>
      <c r="E39" s="41">
        <f>Effort!F37</f>
        <v>1127.0943437992657</v>
      </c>
      <c r="F39" s="42">
        <f>Harvest!F37</f>
        <v>14088.679297490822</v>
      </c>
      <c r="G39" s="43">
        <f>+CPUE!F37</f>
        <v>12.5</v>
      </c>
      <c r="H39" s="41">
        <f>Effort!H37</f>
        <v>1052.5317325014278</v>
      </c>
      <c r="I39" s="42">
        <f>Harvest!H37</f>
        <v>13156.646656267847</v>
      </c>
      <c r="J39" s="43">
        <f>CPUE!H37</f>
        <v>12.5</v>
      </c>
      <c r="K39" s="95">
        <f>Effort!J37</f>
        <v>1497.3334674309301</v>
      </c>
      <c r="L39" s="96">
        <f>Harvest!J37</f>
        <v>18799.853535521699</v>
      </c>
      <c r="M39" s="97">
        <f>CPUE!J37</f>
        <v>12.55555555555557</v>
      </c>
      <c r="N39" s="41" t="str">
        <f>Effort!L37</f>
        <v>CLOSED</v>
      </c>
      <c r="O39" s="42" t="str">
        <f>Harvest!L37</f>
        <v>CLOSED</v>
      </c>
      <c r="P39" s="43" t="str">
        <f>CPUE!L37</f>
        <v>CLOSED</v>
      </c>
      <c r="Q39" s="41" t="s">
        <v>10</v>
      </c>
      <c r="R39" s="42" t="s">
        <v>10</v>
      </c>
      <c r="S39" s="44" t="s">
        <v>10</v>
      </c>
      <c r="T39" s="41">
        <f t="shared" si="6"/>
        <v>3676.9595437316239</v>
      </c>
      <c r="U39" s="42">
        <f t="shared" si="6"/>
        <v>46045.179489280374</v>
      </c>
      <c r="V39" s="42"/>
    </row>
    <row r="40" spans="1:24" x14ac:dyDescent="0.25">
      <c r="A40" s="39">
        <v>45998</v>
      </c>
      <c r="B40" s="40" t="s">
        <v>20</v>
      </c>
      <c r="C40" s="4">
        <v>-1.41</v>
      </c>
      <c r="D40" s="13">
        <v>0.84027777777777779</v>
      </c>
      <c r="E40" s="41">
        <f>Effort!F38</f>
        <v>228.84007056982153</v>
      </c>
      <c r="F40" s="42">
        <f>Harvest!F38</f>
        <v>2402.8207409831261</v>
      </c>
      <c r="G40" s="43">
        <f>+CPUE!F38</f>
        <v>10.5</v>
      </c>
      <c r="H40" s="41">
        <f>Effort!H38</f>
        <v>192.94388213474286</v>
      </c>
      <c r="I40" s="42">
        <f>Harvest!H38</f>
        <v>2025.9107624148</v>
      </c>
      <c r="J40" s="43">
        <f>CPUE!H38</f>
        <v>10.5</v>
      </c>
      <c r="K40" s="41" t="str">
        <f>Effort!J38</f>
        <v>CLOSED</v>
      </c>
      <c r="L40" s="42" t="str">
        <f>Harvest!J38</f>
        <v>CLOSED</v>
      </c>
      <c r="M40" s="43" t="str">
        <f>CPUE!J38</f>
        <v>CLOSED</v>
      </c>
      <c r="N40" s="95">
        <f>Effort!L38</f>
        <v>216.45022627988399</v>
      </c>
      <c r="O40" s="96">
        <f>Harvest!L38</f>
        <v>2056.2771496588998</v>
      </c>
      <c r="P40" s="97">
        <f>CPUE!L38</f>
        <v>9.5000000000000089</v>
      </c>
      <c r="Q40" s="41" t="s">
        <v>10</v>
      </c>
      <c r="R40" s="42" t="s">
        <v>10</v>
      </c>
      <c r="S40" s="44" t="s">
        <v>10</v>
      </c>
      <c r="T40" s="41">
        <f t="shared" si="6"/>
        <v>638.23417898444836</v>
      </c>
      <c r="U40" s="42">
        <f t="shared" si="6"/>
        <v>6485.008653056826</v>
      </c>
      <c r="V40" s="42"/>
    </row>
    <row r="41" spans="1:24" x14ac:dyDescent="0.25">
      <c r="A41" s="39">
        <v>45999</v>
      </c>
      <c r="B41" s="40" t="s">
        <v>21</v>
      </c>
      <c r="C41" s="4">
        <v>-0.78</v>
      </c>
      <c r="D41" s="13">
        <v>0.87430555555555556</v>
      </c>
      <c r="E41" s="41">
        <f>Effort!F39</f>
        <v>12.082755726086605</v>
      </c>
      <c r="F41" s="42">
        <f>Harvest!F39</f>
        <v>84.579290082606235</v>
      </c>
      <c r="G41" s="43">
        <f>+CPUE!F39</f>
        <v>7</v>
      </c>
      <c r="H41" s="41">
        <f>Effort!H39</f>
        <v>10.187436976714446</v>
      </c>
      <c r="I41" s="42">
        <f>Harvest!H39</f>
        <v>71.312058837001118</v>
      </c>
      <c r="J41" s="43">
        <f>CPUE!H39</f>
        <v>7</v>
      </c>
      <c r="K41" s="41" t="str">
        <f>Effort!J39</f>
        <v>CLOSED</v>
      </c>
      <c r="L41" s="42" t="str">
        <f>Harvest!J39</f>
        <v>CLOSED</v>
      </c>
      <c r="M41" s="43" t="str">
        <f>CPUE!J39</f>
        <v>CLOSED</v>
      </c>
      <c r="N41" s="95">
        <f>Effort!L39</f>
        <v>11.4285719475779</v>
      </c>
      <c r="O41" s="96">
        <f>Harvest!L39</f>
        <v>57.142859737889403</v>
      </c>
      <c r="P41" s="97">
        <f>CPUE!L39</f>
        <v>4.9999999999999911</v>
      </c>
      <c r="Q41" s="41" t="s">
        <v>10</v>
      </c>
      <c r="R41" s="42" t="s">
        <v>10</v>
      </c>
      <c r="S41" s="44" t="s">
        <v>10</v>
      </c>
      <c r="T41" s="41">
        <f t="shared" si="6"/>
        <v>33.698764650378948</v>
      </c>
      <c r="U41" s="42">
        <f t="shared" si="6"/>
        <v>213.03420865749678</v>
      </c>
      <c r="V41" s="42"/>
    </row>
    <row r="42" spans="1:24" x14ac:dyDescent="0.25">
      <c r="A42" s="110" t="s">
        <v>50</v>
      </c>
      <c r="B42" s="110"/>
      <c r="C42" s="110"/>
      <c r="D42" s="111"/>
      <c r="E42" s="47">
        <f>SUM(E35:E41)</f>
        <v>4976.3069011389343</v>
      </c>
      <c r="F42" s="48">
        <f>SUM(F35:F41)</f>
        <v>69298.251150372293</v>
      </c>
      <c r="G42" s="49">
        <f>+F42/E42</f>
        <v>13.925638536182706</v>
      </c>
      <c r="H42" s="47">
        <f>SUM(H35:H41)</f>
        <v>4457.676252564358</v>
      </c>
      <c r="I42" s="48">
        <f>SUM(I35:I41)</f>
        <v>58223.882805956702</v>
      </c>
      <c r="J42" s="49">
        <f>+I42/H42</f>
        <v>13.061487534556232</v>
      </c>
      <c r="K42" s="47">
        <f>SUM(K35:K41)</f>
        <v>3836.6651256447103</v>
      </c>
      <c r="L42" s="48">
        <f>SUM(L35:L41)</f>
        <v>51314.518951161401</v>
      </c>
      <c r="M42" s="49">
        <f>+L42/K42</f>
        <v>13.374771388873443</v>
      </c>
      <c r="N42" s="47">
        <f>SUM(N35:N41)</f>
        <v>1975.2517101321298</v>
      </c>
      <c r="O42" s="48">
        <f>SUM(O35:O41)</f>
        <v>25523.884928182411</v>
      </c>
      <c r="P42" s="49">
        <f>+O42/N42</f>
        <v>12.921839174853847</v>
      </c>
      <c r="Q42" s="47"/>
      <c r="R42" s="48"/>
      <c r="S42" s="49"/>
      <c r="T42" s="47">
        <f>SUM(T35:T41)</f>
        <v>15245.899989480131</v>
      </c>
      <c r="U42" s="48">
        <f>SUM(U35:U41)</f>
        <v>204360.53783567282</v>
      </c>
      <c r="V42" s="62"/>
      <c r="W42" s="20">
        <f>SUM(H42,K42,N42,Q42,E42)</f>
        <v>15245.899989480133</v>
      </c>
      <c r="X42" s="20">
        <f>SUM(R42,O42,L42,I42,F42)</f>
        <v>204360.53783567282</v>
      </c>
    </row>
    <row r="43" spans="1:24" x14ac:dyDescent="0.25">
      <c r="A43" s="39">
        <v>46009</v>
      </c>
      <c r="B43" s="40" t="s">
        <v>22</v>
      </c>
      <c r="C43" s="4">
        <v>-0.2</v>
      </c>
      <c r="D43" s="13">
        <v>0.7319444444444444</v>
      </c>
      <c r="E43" s="41">
        <f>Effort!F41</f>
        <v>132.38196929810678</v>
      </c>
      <c r="F43" s="42">
        <f>Harvest!F41</f>
        <v>926.67378508674744</v>
      </c>
      <c r="G43" s="43">
        <f>+CPUE!F41</f>
        <v>7</v>
      </c>
      <c r="H43" s="95">
        <f>Effort!H41</f>
        <v>126.177020176452</v>
      </c>
      <c r="I43" s="96">
        <f>Harvest!H41</f>
        <v>851.69488619105198</v>
      </c>
      <c r="J43" s="97">
        <f>CPUE!H41</f>
        <v>6.7500000000000071</v>
      </c>
      <c r="K43" s="95">
        <f>Effort!J41</f>
        <v>147.32965474968901</v>
      </c>
      <c r="L43" s="96">
        <f>Harvest!J41</f>
        <v>654.79846555417305</v>
      </c>
      <c r="M43" s="97">
        <f>CPUE!J41</f>
        <v>4.444444444444442</v>
      </c>
      <c r="N43" s="41" t="str">
        <f>Effort!L41</f>
        <v>CLOSED</v>
      </c>
      <c r="O43" s="42" t="str">
        <f>Harvest!L41</f>
        <v>CLOSED</v>
      </c>
      <c r="P43" s="43" t="str">
        <f>CPUE!L41</f>
        <v>CLOSED</v>
      </c>
      <c r="Q43" s="41" t="s">
        <v>10</v>
      </c>
      <c r="R43" s="42" t="s">
        <v>10</v>
      </c>
      <c r="S43" s="44" t="s">
        <v>10</v>
      </c>
      <c r="T43" s="41">
        <f t="shared" ref="T43:U48" si="7">SUM(E43,H43,K43,N43)</f>
        <v>405.88864422424774</v>
      </c>
      <c r="U43" s="42">
        <f t="shared" si="7"/>
        <v>2433.1671368319726</v>
      </c>
      <c r="V43" s="42"/>
    </row>
    <row r="44" spans="1:24" x14ac:dyDescent="0.25">
      <c r="A44" s="39">
        <v>46010</v>
      </c>
      <c r="B44" s="40" t="s">
        <v>18</v>
      </c>
      <c r="C44" s="4">
        <v>-0.38</v>
      </c>
      <c r="D44" s="13">
        <v>0.75624999999999998</v>
      </c>
      <c r="E44" s="95">
        <f>Effort!F42</f>
        <v>248.38260234439446</v>
      </c>
      <c r="F44" s="96">
        <f>Harvest!F42</f>
        <v>1738.6782164107613</v>
      </c>
      <c r="G44" s="97">
        <f>+CPUE!F42</f>
        <v>7</v>
      </c>
      <c r="H44" s="41">
        <f>Effort!H42</f>
        <v>236.74052284956082</v>
      </c>
      <c r="I44" s="42">
        <f>Harvest!H42</f>
        <v>1657.1836599469257</v>
      </c>
      <c r="J44" s="43">
        <f>CPUE!H42</f>
        <v>7</v>
      </c>
      <c r="K44" s="41" t="str">
        <f>Effort!J42</f>
        <v>CLOSED</v>
      </c>
      <c r="L44" s="42" t="str">
        <f>Harvest!J42</f>
        <v>CLOSED</v>
      </c>
      <c r="M44" s="43" t="str">
        <f>CPUE!J42</f>
        <v>CLOSED</v>
      </c>
      <c r="N44" s="95">
        <f>Effort!L42</f>
        <v>155.556947609091</v>
      </c>
      <c r="O44" s="96">
        <f>Harvest!L42</f>
        <v>591.11640091454603</v>
      </c>
      <c r="P44" s="97">
        <f>CPUE!L42</f>
        <v>3.8000000000000016</v>
      </c>
      <c r="Q44" s="41" t="s">
        <v>10</v>
      </c>
      <c r="R44" s="42" t="s">
        <v>10</v>
      </c>
      <c r="S44" s="44" t="s">
        <v>10</v>
      </c>
      <c r="T44" s="41">
        <f t="shared" si="7"/>
        <v>640.6800728030463</v>
      </c>
      <c r="U44" s="42">
        <f t="shared" si="7"/>
        <v>3986.9782772722328</v>
      </c>
      <c r="V44" s="42"/>
    </row>
    <row r="45" spans="1:24" x14ac:dyDescent="0.25">
      <c r="A45" s="39">
        <v>46011</v>
      </c>
      <c r="B45" s="40" t="s">
        <v>19</v>
      </c>
      <c r="C45" s="4">
        <v>-0.45</v>
      </c>
      <c r="D45" s="13">
        <v>0.78055555555555556</v>
      </c>
      <c r="E45" s="41">
        <f>Effort!F43</f>
        <v>401.42557812462087</v>
      </c>
      <c r="F45" s="42">
        <f>Harvest!F43</f>
        <v>2809.9790468723459</v>
      </c>
      <c r="G45" s="43">
        <f>+CPUE!F43</f>
        <v>7</v>
      </c>
      <c r="H45" s="41">
        <f>Effort!H43</f>
        <v>382.61013594922059</v>
      </c>
      <c r="I45" s="42">
        <f>Harvest!H43</f>
        <v>2678.2709516445443</v>
      </c>
      <c r="J45" s="43">
        <f>CPUE!H43</f>
        <v>7</v>
      </c>
      <c r="K45" s="41" t="str">
        <f>Effort!J43</f>
        <v>CLOSED</v>
      </c>
      <c r="L45" s="42" t="str">
        <f>Harvest!J43</f>
        <v>CLOSED</v>
      </c>
      <c r="M45" s="43" t="str">
        <f>CPUE!J43</f>
        <v>CLOSED</v>
      </c>
      <c r="N45" s="95">
        <f>Effort!L43</f>
        <v>251.40463557386499</v>
      </c>
      <c r="O45" s="96">
        <f>Harvest!L43</f>
        <v>1177.63224031968</v>
      </c>
      <c r="P45" s="97">
        <f>CPUE!L43</f>
        <v>4.6842105263157761</v>
      </c>
      <c r="Q45" s="41" t="s">
        <v>10</v>
      </c>
      <c r="R45" s="42" t="s">
        <v>10</v>
      </c>
      <c r="S45" s="44" t="s">
        <v>10</v>
      </c>
      <c r="T45" s="41">
        <f t="shared" si="7"/>
        <v>1035.4403496477066</v>
      </c>
      <c r="U45" s="42">
        <f t="shared" si="7"/>
        <v>6665.8822388365707</v>
      </c>
      <c r="V45" s="42"/>
    </row>
    <row r="46" spans="1:24" x14ac:dyDescent="0.25">
      <c r="A46" s="39">
        <v>46012</v>
      </c>
      <c r="B46" s="40" t="s">
        <v>20</v>
      </c>
      <c r="C46" s="4">
        <v>-0.44</v>
      </c>
      <c r="D46" s="13">
        <v>0.80486111111111114</v>
      </c>
      <c r="E46" s="95">
        <f>Effort!F44</f>
        <v>88.496427490782636</v>
      </c>
      <c r="F46" s="96">
        <f>Harvest!F44</f>
        <v>1327.4464123617395</v>
      </c>
      <c r="G46" s="97">
        <f>+CPUE!F44</f>
        <v>15</v>
      </c>
      <c r="H46" s="95">
        <f>Effort!H44</f>
        <v>84.348462077215004</v>
      </c>
      <c r="I46" s="96">
        <f>Harvest!H44</f>
        <v>1128.16068028275</v>
      </c>
      <c r="J46" s="97">
        <f>CPUE!H44</f>
        <v>13.374999999999993</v>
      </c>
      <c r="K46" s="95">
        <f>Effort!J44</f>
        <v>196.56470008030499</v>
      </c>
      <c r="L46" s="96">
        <f>Harvest!J44</f>
        <v>2407.9175759837399</v>
      </c>
      <c r="M46" s="97">
        <f>CPUE!J44</f>
        <v>12.25000000000002</v>
      </c>
      <c r="N46" s="41" t="str">
        <f>Effort!L44</f>
        <v>CLOSED</v>
      </c>
      <c r="O46" s="42" t="str">
        <f>Harvest!L44</f>
        <v>CLOSED</v>
      </c>
      <c r="P46" s="43" t="str">
        <f>CPUE!L44</f>
        <v>CLOSED</v>
      </c>
      <c r="Q46" s="41" t="s">
        <v>10</v>
      </c>
      <c r="R46" s="42" t="s">
        <v>10</v>
      </c>
      <c r="S46" s="44" t="s">
        <v>10</v>
      </c>
      <c r="T46" s="41">
        <f t="shared" si="7"/>
        <v>369.40958964830264</v>
      </c>
      <c r="U46" s="42">
        <f t="shared" si="7"/>
        <v>4863.5246686282298</v>
      </c>
      <c r="V46" s="42"/>
    </row>
    <row r="47" spans="1:24" x14ac:dyDescent="0.25">
      <c r="A47" s="39">
        <v>46013</v>
      </c>
      <c r="B47" s="40" t="s">
        <v>21</v>
      </c>
      <c r="C47" s="4">
        <v>-0.33</v>
      </c>
      <c r="D47" s="13">
        <v>0.82916666666666672</v>
      </c>
      <c r="E47" s="41">
        <f>Effort!F45</f>
        <v>38.404968293354628</v>
      </c>
      <c r="F47" s="42">
        <f>Harvest!F45</f>
        <v>268.83477805348241</v>
      </c>
      <c r="G47" s="43">
        <f>+CPUE!F45</f>
        <v>7</v>
      </c>
      <c r="H47" s="41">
        <f>Effort!H45</f>
        <v>36.604867603339898</v>
      </c>
      <c r="I47" s="42">
        <f>Harvest!H45</f>
        <v>256.23407322337926</v>
      </c>
      <c r="J47" s="43">
        <f>CPUE!H45</f>
        <v>7</v>
      </c>
      <c r="K47" s="95">
        <f>Effort!J45</f>
        <v>85.303568609740196</v>
      </c>
      <c r="L47" s="96">
        <f>Harvest!J45</f>
        <v>497.604150223484</v>
      </c>
      <c r="M47" s="97">
        <f>CPUE!J45</f>
        <v>5.8333333333333277</v>
      </c>
      <c r="N47" s="41" t="str">
        <f>Effort!L45</f>
        <v>CLOSED</v>
      </c>
      <c r="O47" s="42" t="str">
        <f>Harvest!L45</f>
        <v>CLOSED</v>
      </c>
      <c r="P47" s="43" t="str">
        <f>CPUE!L45</f>
        <v>CLOSED</v>
      </c>
      <c r="Q47" s="41" t="s">
        <v>10</v>
      </c>
      <c r="R47" s="42" t="s">
        <v>10</v>
      </c>
      <c r="S47" s="44" t="s">
        <v>10</v>
      </c>
      <c r="T47" s="41">
        <f t="shared" si="7"/>
        <v>160.31340450643472</v>
      </c>
      <c r="U47" s="42">
        <f t="shared" si="7"/>
        <v>1022.6730015003457</v>
      </c>
      <c r="V47" s="42"/>
    </row>
    <row r="48" spans="1:24" x14ac:dyDescent="0.25">
      <c r="A48" s="39">
        <v>46014</v>
      </c>
      <c r="B48" s="40" t="s">
        <v>60</v>
      </c>
      <c r="C48" s="4">
        <v>-0.11</v>
      </c>
      <c r="D48" s="13">
        <v>0.85486111111111107</v>
      </c>
      <c r="E48" s="41">
        <f>Effort!F46</f>
        <v>94.817750709735023</v>
      </c>
      <c r="F48" s="42">
        <f>Harvest!F46</f>
        <v>663.72425496814515</v>
      </c>
      <c r="G48" s="43">
        <f>+CPUE!F46</f>
        <v>7</v>
      </c>
      <c r="H48" s="41">
        <f>Effort!H46</f>
        <v>90.373495029727778</v>
      </c>
      <c r="I48" s="42">
        <f>Harvest!H46</f>
        <v>632.61446520809443</v>
      </c>
      <c r="J48" s="43">
        <f>CPUE!H46</f>
        <v>7</v>
      </c>
      <c r="K48" s="41" t="str">
        <f>Effort!J46</f>
        <v>CLOSED</v>
      </c>
      <c r="L48" s="42" t="str">
        <f>Harvest!J46</f>
        <v>CLOSED</v>
      </c>
      <c r="M48" s="43" t="str">
        <f>CPUE!J46</f>
        <v>CLOSED</v>
      </c>
      <c r="N48" s="95">
        <f>Effort!L46</f>
        <v>59.382419462354797</v>
      </c>
      <c r="O48" s="96">
        <f>Harvest!L46</f>
        <v>415.67693623648398</v>
      </c>
      <c r="P48" s="97">
        <f>CPUE!L46</f>
        <v>7.0000000000000071</v>
      </c>
      <c r="Q48" s="41" t="s">
        <v>10</v>
      </c>
      <c r="R48" s="42" t="s">
        <v>10</v>
      </c>
      <c r="S48" s="44" t="s">
        <v>10</v>
      </c>
      <c r="T48" s="41">
        <f t="shared" si="7"/>
        <v>244.57366520181759</v>
      </c>
      <c r="U48" s="42">
        <f t="shared" si="7"/>
        <v>1712.0156564127235</v>
      </c>
      <c r="V48" s="42"/>
    </row>
    <row r="49" spans="1:24" x14ac:dyDescent="0.25">
      <c r="A49" s="110" t="s">
        <v>50</v>
      </c>
      <c r="B49" s="110"/>
      <c r="C49" s="110"/>
      <c r="D49" s="111"/>
      <c r="E49" s="47">
        <f>SUM(E43:E48)</f>
        <v>1003.9092962609943</v>
      </c>
      <c r="F49" s="48">
        <f>SUM(F43:F48)</f>
        <v>7735.3364937532224</v>
      </c>
      <c r="G49" s="49">
        <f>+F49/E49</f>
        <v>7.7052145274110551</v>
      </c>
      <c r="H49" s="47">
        <f>SUM(H43:H48)</f>
        <v>956.85450368551608</v>
      </c>
      <c r="I49" s="48">
        <f>SUM(I43:I48)</f>
        <v>7204.1587164967459</v>
      </c>
      <c r="J49" s="49">
        <f>+I49/H49</f>
        <v>7.5290012104750419</v>
      </c>
      <c r="K49" s="47">
        <f>SUM(K43:K48)</f>
        <v>429.19792343973415</v>
      </c>
      <c r="L49" s="48">
        <f>SUM(L43:L48)</f>
        <v>3560.3201917613969</v>
      </c>
      <c r="M49" s="49">
        <f>+L49/K49</f>
        <v>8.2952875522505174</v>
      </c>
      <c r="N49" s="47">
        <f>SUM(N43:N48)</f>
        <v>466.34400264531081</v>
      </c>
      <c r="O49" s="48">
        <f>SUM(O43:O48)</f>
        <v>2184.4255774707099</v>
      </c>
      <c r="P49" s="49">
        <f>+O49/N49</f>
        <v>4.6841506807843043</v>
      </c>
      <c r="Q49" s="47"/>
      <c r="R49" s="48"/>
      <c r="S49" s="49"/>
      <c r="T49" s="47">
        <f>SUM(T43:T48)</f>
        <v>2856.3057260315559</v>
      </c>
      <c r="U49" s="48">
        <f>SUM(U43:U48)</f>
        <v>20684.240979482074</v>
      </c>
      <c r="V49" s="62"/>
      <c r="W49" s="20">
        <f>SUM(H49,K49,N49,Q49,E49)</f>
        <v>2856.3057260315554</v>
      </c>
      <c r="X49" s="20">
        <f>SUM(R49,O49,L49,I49,F49)</f>
        <v>20684.240979482078</v>
      </c>
    </row>
    <row r="50" spans="1:24" x14ac:dyDescent="0.25">
      <c r="A50" s="39">
        <v>46022</v>
      </c>
      <c r="B50" s="40" t="s">
        <v>61</v>
      </c>
      <c r="C50" s="4">
        <v>-0.62</v>
      </c>
      <c r="D50" s="13">
        <v>0.66319444444444442</v>
      </c>
      <c r="E50" s="95">
        <f>Effort!F48</f>
        <v>3790.6396997438942</v>
      </c>
      <c r="F50" s="96">
        <f>Harvest!F48</f>
        <v>56101.467556209638</v>
      </c>
      <c r="G50" s="97">
        <f>+CPUE!F48</f>
        <v>14.8</v>
      </c>
      <c r="H50" s="95">
        <f>Effort!H48</f>
        <v>2135.30760745819</v>
      </c>
      <c r="I50" s="96">
        <f>Harvest!H48</f>
        <v>31580.0756681975</v>
      </c>
      <c r="J50" s="97">
        <f>CPUE!H48</f>
        <v>14.789473684210554</v>
      </c>
      <c r="K50" s="95">
        <f>Effort!J48</f>
        <v>3564.2962962963002</v>
      </c>
      <c r="L50" s="96">
        <f>Harvest!J48</f>
        <v>51573.185185185197</v>
      </c>
      <c r="M50" s="97">
        <f>CPUE!J48</f>
        <v>14.469387755102028</v>
      </c>
      <c r="N50" s="41" t="str">
        <f>Effort!L48</f>
        <v>CLOSED</v>
      </c>
      <c r="O50" s="42" t="str">
        <f>Harvest!L48</f>
        <v>CLOSED</v>
      </c>
      <c r="P50" s="43" t="str">
        <f>CPUE!L48</f>
        <v>CLOSED</v>
      </c>
      <c r="Q50" s="41" t="s">
        <v>10</v>
      </c>
      <c r="R50" s="42" t="s">
        <v>10</v>
      </c>
      <c r="S50" s="44" t="s">
        <v>10</v>
      </c>
      <c r="T50" s="41">
        <f>SUM(E50,H50,K50,N50)</f>
        <v>9490.2436034983839</v>
      </c>
      <c r="U50" s="42">
        <f>SUM(F50,I50,L50,O50)</f>
        <v>139254.72840959235</v>
      </c>
      <c r="V50" s="42"/>
    </row>
    <row r="51" spans="1:24" x14ac:dyDescent="0.25">
      <c r="A51" s="39">
        <v>46023</v>
      </c>
      <c r="B51" s="40" t="s">
        <v>22</v>
      </c>
      <c r="C51" s="4">
        <v>-1.24</v>
      </c>
      <c r="D51" s="13">
        <v>0.69930555555555551</v>
      </c>
      <c r="E51" s="41">
        <f>Effort!F49</f>
        <v>6107.8564133590044</v>
      </c>
      <c r="F51" s="42">
        <f>Harvest!F49</f>
        <v>64132.492340269542</v>
      </c>
      <c r="G51" s="43">
        <f>+CPUE!F49</f>
        <v>10.5</v>
      </c>
      <c r="H51" s="41">
        <f>Effort!H49</f>
        <v>3440.62039596877</v>
      </c>
      <c r="I51" s="42">
        <f>Harvest!H49</f>
        <v>36126.514157672085</v>
      </c>
      <c r="J51" s="43">
        <f>CPUE!H49</f>
        <v>10.5</v>
      </c>
      <c r="K51" s="95">
        <f>Effort!J49</f>
        <v>5743.1493670886102</v>
      </c>
      <c r="L51" s="96">
        <f>Harvest!J49</f>
        <v>61932.881012658203</v>
      </c>
      <c r="M51" s="97">
        <f>CPUE!J49</f>
        <v>10.783783783783775</v>
      </c>
      <c r="N51" s="41" t="str">
        <f>Effort!L49</f>
        <v>CLOSED</v>
      </c>
      <c r="O51" s="42" t="str">
        <f>Harvest!L49</f>
        <v>CLOSED</v>
      </c>
      <c r="P51" s="43" t="str">
        <f>CPUE!L49</f>
        <v>CLOSED</v>
      </c>
      <c r="Q51" s="41" t="s">
        <v>10</v>
      </c>
      <c r="R51" s="42" t="s">
        <v>10</v>
      </c>
      <c r="S51" s="44" t="s">
        <v>10</v>
      </c>
      <c r="T51" s="41">
        <f t="shared" ref="T51:U56" si="8">SUM(E51,H51,K51,N51)</f>
        <v>15291.626176416385</v>
      </c>
      <c r="U51" s="42">
        <f t="shared" si="8"/>
        <v>162191.88751059983</v>
      </c>
      <c r="V51" s="42"/>
    </row>
    <row r="52" spans="1:24" x14ac:dyDescent="0.25">
      <c r="A52" s="39">
        <v>46024</v>
      </c>
      <c r="B52" s="40" t="s">
        <v>18</v>
      </c>
      <c r="C52" s="4">
        <v>-1.61</v>
      </c>
      <c r="D52" s="13">
        <v>0.73402777777777772</v>
      </c>
      <c r="E52" s="95">
        <f>Effort!F50</f>
        <v>4307.2803163016251</v>
      </c>
      <c r="F52" s="96">
        <f>Harvest!F50</f>
        <v>64609.204744524381</v>
      </c>
      <c r="G52" s="97">
        <f>+CPUE!F50</f>
        <v>15</v>
      </c>
      <c r="H52" s="41">
        <f>Effort!H50</f>
        <v>2528.7058722805737</v>
      </c>
      <c r="I52" s="42">
        <f>Harvest!H50</f>
        <v>31608.823403507169</v>
      </c>
      <c r="J52" s="43">
        <f>CPUE!H50</f>
        <v>12.5</v>
      </c>
      <c r="K52" s="41" t="str">
        <f>Effort!J50</f>
        <v>CLOSED</v>
      </c>
      <c r="L52" s="42" t="str">
        <f>Harvest!J50</f>
        <v>CLOSED</v>
      </c>
      <c r="M52" s="43" t="str">
        <f>CPUE!J50</f>
        <v>CLOSED</v>
      </c>
      <c r="N52" s="95">
        <f>Effort!L50</f>
        <v>2048.82445925921</v>
      </c>
      <c r="O52" s="96">
        <f>Harvest!L50</f>
        <v>12628.819617728899</v>
      </c>
      <c r="P52" s="97">
        <f>CPUE!L50</f>
        <v>6.163934426229507</v>
      </c>
      <c r="Q52" s="41" t="s">
        <v>10</v>
      </c>
      <c r="R52" s="42" t="s">
        <v>10</v>
      </c>
      <c r="S52" s="44" t="s">
        <v>10</v>
      </c>
      <c r="T52" s="41">
        <f t="shared" si="8"/>
        <v>8884.8106478414084</v>
      </c>
      <c r="U52" s="42">
        <f t="shared" si="8"/>
        <v>108846.84776576044</v>
      </c>
      <c r="V52" s="42"/>
    </row>
    <row r="53" spans="1:24" x14ac:dyDescent="0.25">
      <c r="A53" s="39">
        <v>46025</v>
      </c>
      <c r="B53" s="40" t="s">
        <v>19</v>
      </c>
      <c r="C53" s="4">
        <v>-1.71</v>
      </c>
      <c r="D53" s="13">
        <v>0.76597222222222228</v>
      </c>
      <c r="E53" s="41">
        <f>Effort!F51</f>
        <v>2228.7895370780861</v>
      </c>
      <c r="F53" s="42">
        <f>Harvest!F51</f>
        <v>17830.316296624689</v>
      </c>
      <c r="G53" s="43">
        <f>+CPUE!F51</f>
        <v>8</v>
      </c>
      <c r="H53" s="95">
        <f>Effort!H51</f>
        <v>1308.4714196929899</v>
      </c>
      <c r="I53" s="96">
        <f>Harvest!H51</f>
        <v>10331.4722513259</v>
      </c>
      <c r="J53" s="97">
        <f>CPUE!H51</f>
        <v>7.8958333333333339</v>
      </c>
      <c r="K53" s="41" t="str">
        <f>Effort!J51</f>
        <v>CLOSED</v>
      </c>
      <c r="L53" s="42" t="str">
        <f>Harvest!J51</f>
        <v>CLOSED</v>
      </c>
      <c r="M53" s="43" t="str">
        <f>CPUE!J51</f>
        <v>CLOSED</v>
      </c>
      <c r="N53" s="95">
        <f>Effort!L51</f>
        <v>1060.1581932859799</v>
      </c>
      <c r="O53" s="96">
        <f>Harvest!L51</f>
        <v>1827.8589539413399</v>
      </c>
      <c r="P53" s="97">
        <f>CPUE!L51</f>
        <v>1.7241379310344782</v>
      </c>
      <c r="Q53" s="41" t="s">
        <v>10</v>
      </c>
      <c r="R53" s="42" t="s">
        <v>10</v>
      </c>
      <c r="S53" s="44" t="s">
        <v>10</v>
      </c>
      <c r="T53" s="41">
        <f t="shared" si="8"/>
        <v>4597.419150057056</v>
      </c>
      <c r="U53" s="42">
        <f t="shared" si="8"/>
        <v>29989.64750189193</v>
      </c>
      <c r="V53" s="42"/>
    </row>
    <row r="54" spans="1:24" x14ac:dyDescent="0.25">
      <c r="A54" s="39">
        <v>46026</v>
      </c>
      <c r="B54" s="40" t="s">
        <v>20</v>
      </c>
      <c r="C54" s="4">
        <v>-1.53</v>
      </c>
      <c r="D54" s="13">
        <v>0.79652777777777772</v>
      </c>
      <c r="E54" s="41">
        <f>Effort!F52</f>
        <v>388.31849782179091</v>
      </c>
      <c r="F54" s="42">
        <f>Harvest!F52</f>
        <v>4853.981222772386</v>
      </c>
      <c r="G54" s="43">
        <f>+CPUE!F52</f>
        <v>12.5</v>
      </c>
      <c r="H54" s="41">
        <f>Effort!H52</f>
        <v>218.74393458487449</v>
      </c>
      <c r="I54" s="42">
        <f>Harvest!H52</f>
        <v>2734.299182310931</v>
      </c>
      <c r="J54" s="43">
        <f>CPUE!H52</f>
        <v>12.5</v>
      </c>
      <c r="K54" s="95">
        <f>Effort!J52</f>
        <v>365.131559104144</v>
      </c>
      <c r="L54" s="96">
        <f>Harvest!J52</f>
        <v>4510.44867128648</v>
      </c>
      <c r="M54" s="97">
        <f>CPUE!J52</f>
        <v>12.352941176470575</v>
      </c>
      <c r="N54" s="41" t="str">
        <f>Effort!L52</f>
        <v>CLOSED</v>
      </c>
      <c r="O54" s="42" t="str">
        <f>Harvest!L52</f>
        <v>CLOSED</v>
      </c>
      <c r="P54" s="43" t="str">
        <f>CPUE!L52</f>
        <v>CLOSED</v>
      </c>
      <c r="Q54" s="41" t="s">
        <v>10</v>
      </c>
      <c r="R54" s="42" t="s">
        <v>10</v>
      </c>
      <c r="S54" s="44" t="s">
        <v>10</v>
      </c>
      <c r="T54" s="41">
        <f t="shared" si="8"/>
        <v>972.19399151080938</v>
      </c>
      <c r="U54" s="42">
        <f t="shared" si="8"/>
        <v>12098.729076369797</v>
      </c>
      <c r="V54" s="42"/>
    </row>
    <row r="55" spans="1:24" x14ac:dyDescent="0.25">
      <c r="A55" s="39">
        <v>46027</v>
      </c>
      <c r="B55" s="40" t="s">
        <v>21</v>
      </c>
      <c r="C55" s="4">
        <v>-1.1100000000000001</v>
      </c>
      <c r="D55" s="13">
        <v>0.82638888888888884</v>
      </c>
      <c r="E55" s="95">
        <f>Effort!F53</f>
        <v>93.579822721463671</v>
      </c>
      <c r="F55" s="96">
        <f>Harvest!F53</f>
        <v>1366.2654117333695</v>
      </c>
      <c r="G55" s="97">
        <f>+CPUE!F53</f>
        <v>14.6</v>
      </c>
      <c r="H55" s="95">
        <f>Effort!H53</f>
        <v>265.02603986837198</v>
      </c>
      <c r="I55" s="96">
        <f>Harvest!H53</f>
        <v>3909.1340880584899</v>
      </c>
      <c r="J55" s="97">
        <f>CPUE!H53</f>
        <v>14.750000000000012</v>
      </c>
      <c r="K55" s="95">
        <f>Effort!J53</f>
        <v>245.098025895733</v>
      </c>
      <c r="L55" s="96">
        <f>Harvest!J53</f>
        <v>3308.8233495924001</v>
      </c>
      <c r="M55" s="97">
        <f>CPUE!J53</f>
        <v>13.500000000000018</v>
      </c>
      <c r="N55" s="41" t="str">
        <f>Effort!L53</f>
        <v>CLOSED</v>
      </c>
      <c r="O55" s="42" t="str">
        <f>Harvest!L53</f>
        <v>CLOSED</v>
      </c>
      <c r="P55" s="43" t="str">
        <f>CPUE!L53</f>
        <v>CLOSED</v>
      </c>
      <c r="Q55" s="41" t="s">
        <v>10</v>
      </c>
      <c r="R55" s="42" t="s">
        <v>10</v>
      </c>
      <c r="S55" s="44" t="s">
        <v>10</v>
      </c>
      <c r="T55" s="41">
        <f t="shared" si="8"/>
        <v>603.70388848556865</v>
      </c>
      <c r="U55" s="42">
        <f t="shared" si="8"/>
        <v>8584.2228493842595</v>
      </c>
      <c r="V55" s="42"/>
    </row>
    <row r="56" spans="1:24" x14ac:dyDescent="0.25">
      <c r="A56" s="39">
        <v>46028</v>
      </c>
      <c r="B56" s="40" t="s">
        <v>60</v>
      </c>
      <c r="C56" s="4">
        <v>-0.49</v>
      </c>
      <c r="D56" s="13">
        <v>0.85555555555555551</v>
      </c>
      <c r="E56" s="41">
        <f>Effort!F54</f>
        <v>61.409560001650185</v>
      </c>
      <c r="F56" s="42">
        <f>Harvest!F54</f>
        <v>307.04780000825093</v>
      </c>
      <c r="G56" s="43">
        <f>+CPUE!F54</f>
        <v>5</v>
      </c>
      <c r="H56" s="41">
        <f>Effort!H54</f>
        <v>36.052149752740817</v>
      </c>
      <c r="I56" s="42">
        <f>Harvest!H54</f>
        <v>180.2607487637041</v>
      </c>
      <c r="J56" s="43">
        <f>CPUE!H54</f>
        <v>5</v>
      </c>
      <c r="K56" s="41" t="str">
        <f>Effort!J54</f>
        <v>CLOSED</v>
      </c>
      <c r="L56" s="42" t="str">
        <f>Harvest!J54</f>
        <v>CLOSED</v>
      </c>
      <c r="M56" s="43" t="str">
        <f>CPUE!J54</f>
        <v>CLOSED</v>
      </c>
      <c r="N56" s="95">
        <f>Effort!L54</f>
        <v>29.2104064106415</v>
      </c>
      <c r="O56" s="96">
        <f>Harvest!L54</f>
        <v>146.05203205320751</v>
      </c>
      <c r="P56" s="97">
        <f>CPUE!L54</f>
        <v>5</v>
      </c>
      <c r="Q56" s="41" t="s">
        <v>10</v>
      </c>
      <c r="R56" s="42" t="s">
        <v>10</v>
      </c>
      <c r="S56" s="44" t="s">
        <v>10</v>
      </c>
      <c r="T56" s="41">
        <f t="shared" si="8"/>
        <v>126.67211616503249</v>
      </c>
      <c r="U56" s="42">
        <f t="shared" si="8"/>
        <v>633.36058082516251</v>
      </c>
      <c r="V56" s="42"/>
    </row>
    <row r="57" spans="1:24" x14ac:dyDescent="0.25">
      <c r="A57" s="110" t="s">
        <v>50</v>
      </c>
      <c r="B57" s="110"/>
      <c r="C57" s="110"/>
      <c r="D57" s="111"/>
      <c r="E57" s="47">
        <f>SUM(E50:E56)</f>
        <v>16977.873847027517</v>
      </c>
      <c r="F57" s="48">
        <f>SUM(F50:F56)</f>
        <v>209200.77537214223</v>
      </c>
      <c r="G57" s="49">
        <f>+F57/E57</f>
        <v>12.321965474420642</v>
      </c>
      <c r="H57" s="47">
        <f>SUM(H50:H56)</f>
        <v>9932.9274196065107</v>
      </c>
      <c r="I57" s="48">
        <f>SUM(I50:I56)</f>
        <v>116470.57949983577</v>
      </c>
      <c r="J57" s="49">
        <f>+I57/H57</f>
        <v>11.725705280996578</v>
      </c>
      <c r="K57" s="47">
        <f>SUM(K50:K56)</f>
        <v>9917.6752483847886</v>
      </c>
      <c r="L57" s="48">
        <f>SUM(L50:L56)</f>
        <v>121325.33821872229</v>
      </c>
      <c r="M57" s="49">
        <f>+L57/K57</f>
        <v>12.233243696750563</v>
      </c>
      <c r="N57" s="47">
        <f>SUM(N50:N56)</f>
        <v>3138.1930589558315</v>
      </c>
      <c r="O57" s="48">
        <f>SUM(O50:O56)</f>
        <v>14602.730603723447</v>
      </c>
      <c r="P57" s="49">
        <f>+O57/N57</f>
        <v>4.6532288898064804</v>
      </c>
      <c r="Q57" s="47"/>
      <c r="R57" s="48"/>
      <c r="S57" s="49"/>
      <c r="T57" s="47">
        <f>SUM(T50:T56)</f>
        <v>39966.66957397465</v>
      </c>
      <c r="U57" s="48">
        <f>SUM(U50:U56)</f>
        <v>461599.42369442381</v>
      </c>
      <c r="V57" s="62"/>
      <c r="W57" s="20">
        <f>SUM(H57,K57,N57,Q57,E57)</f>
        <v>39966.66957397465</v>
      </c>
      <c r="X57" s="20">
        <f>SUM(R57,O57,L57,I57,F57)</f>
        <v>461599.42369442375</v>
      </c>
    </row>
    <row r="58" spans="1:24" x14ac:dyDescent="0.25">
      <c r="A58" s="39">
        <v>46037</v>
      </c>
      <c r="B58" s="40" t="s">
        <v>22</v>
      </c>
      <c r="C58" s="4">
        <v>0.37</v>
      </c>
      <c r="D58" s="13">
        <v>0.69097222222222221</v>
      </c>
      <c r="E58" s="95">
        <f>Effort!F56</f>
        <v>899.99988079657851</v>
      </c>
      <c r="F58" s="96">
        <f>Harvest!F56</f>
        <v>13499.998211948678</v>
      </c>
      <c r="G58" s="97">
        <f>+CPUE!F56</f>
        <v>15</v>
      </c>
      <c r="H58" s="41">
        <f>Effort!H56</f>
        <v>538.44434320867367</v>
      </c>
      <c r="I58" s="42">
        <f>Harvest!H56</f>
        <v>8076.6651481301051</v>
      </c>
      <c r="J58" s="43">
        <f>CPUE!H56</f>
        <v>15</v>
      </c>
      <c r="K58" s="41" t="str">
        <f>Effort!J56</f>
        <v>CLOSED</v>
      </c>
      <c r="L58" s="42" t="str">
        <f>Harvest!J56</f>
        <v>CLOSED</v>
      </c>
      <c r="M58" s="43" t="str">
        <f>CPUE!J56</f>
        <v>CLOSED</v>
      </c>
      <c r="N58" s="95">
        <f>Effort!L56</f>
        <v>417.26254157423301</v>
      </c>
      <c r="O58" s="96">
        <f>Harvest!L56</f>
        <v>6185.3035574533296</v>
      </c>
      <c r="P58" s="97">
        <f>CPUE!L56</f>
        <v>14.823529411764689</v>
      </c>
      <c r="Q58" s="41" t="s">
        <v>10</v>
      </c>
      <c r="R58" s="42" t="s">
        <v>10</v>
      </c>
      <c r="S58" s="44" t="s">
        <v>10</v>
      </c>
      <c r="T58" s="41">
        <f>SUM(E58,H58,K58,N58)</f>
        <v>1855.7067655794851</v>
      </c>
      <c r="U58" s="42">
        <f>SUM(F58,I58,L58,O58)</f>
        <v>27761.966917532111</v>
      </c>
      <c r="V58" s="42"/>
    </row>
    <row r="59" spans="1:24" x14ac:dyDescent="0.25">
      <c r="A59" s="39">
        <v>46038</v>
      </c>
      <c r="B59" s="40" t="s">
        <v>18</v>
      </c>
      <c r="C59" s="4">
        <v>0.01</v>
      </c>
      <c r="D59" s="13">
        <v>0.71805555555555556</v>
      </c>
      <c r="E59" s="95">
        <f>Effort!F57</f>
        <v>1624.4718333104779</v>
      </c>
      <c r="F59" s="96">
        <f>Harvest!F57</f>
        <v>23836.4652584664</v>
      </c>
      <c r="G59" s="97">
        <f>+CPUE!F57</f>
        <v>14.673363224704582</v>
      </c>
      <c r="H59" s="41">
        <f>Effort!H57</f>
        <v>1019.473288318888</v>
      </c>
      <c r="I59" s="42">
        <f>Harvest!H57</f>
        <v>14272.626036464431</v>
      </c>
      <c r="J59" s="43">
        <f>CPUE!H57</f>
        <v>14</v>
      </c>
      <c r="K59" s="95">
        <f>Effort!J57</f>
        <v>1739.0228374997801</v>
      </c>
      <c r="L59" s="96">
        <f>Harvest!J57</f>
        <v>24240.9244015121</v>
      </c>
      <c r="M59" s="97">
        <f>CPUE!J57</f>
        <v>13.939393939393948</v>
      </c>
      <c r="N59" s="41" t="str">
        <f>Effort!L57</f>
        <v>CLOSED</v>
      </c>
      <c r="O59" s="42" t="str">
        <f>Harvest!L57</f>
        <v>CLOSED</v>
      </c>
      <c r="P59" s="43" t="str">
        <f>CPUE!L57</f>
        <v>CLOSED</v>
      </c>
      <c r="Q59" s="41" t="s">
        <v>10</v>
      </c>
      <c r="R59" s="42" t="s">
        <v>10</v>
      </c>
      <c r="S59" s="44" t="s">
        <v>10</v>
      </c>
      <c r="T59" s="41">
        <f t="shared" ref="T59:U64" si="9">SUM(E59,H59,K59,N59)</f>
        <v>4382.967959129146</v>
      </c>
      <c r="U59" s="42">
        <f t="shared" si="9"/>
        <v>62350.015696442933</v>
      </c>
      <c r="V59" s="42"/>
    </row>
    <row r="60" spans="1:24" x14ac:dyDescent="0.25">
      <c r="A60" s="39">
        <v>46039</v>
      </c>
      <c r="B60" s="40" t="s">
        <v>19</v>
      </c>
      <c r="C60" s="4">
        <v>-0.27</v>
      </c>
      <c r="D60" s="13">
        <v>0.74305555555555558</v>
      </c>
      <c r="E60" s="41">
        <f>Effort!F58</f>
        <v>2033.8377969235275</v>
      </c>
      <c r="F60" s="42">
        <f>Harvest!F58</f>
        <v>25422.972461544094</v>
      </c>
      <c r="G60" s="43">
        <f>+CPUE!F58</f>
        <v>12.5</v>
      </c>
      <c r="H60" s="95">
        <f>Effort!H58</f>
        <v>1563.2395320360999</v>
      </c>
      <c r="I60" s="96">
        <f>Harvest!H58</f>
        <v>22135.471773631201</v>
      </c>
      <c r="J60" s="97">
        <f>CPUE!H58</f>
        <v>14.160000000000016</v>
      </c>
      <c r="K60" s="95">
        <f>Effort!J58</f>
        <v>2666.5821241634198</v>
      </c>
      <c r="L60" s="96">
        <f>Harvest!J58</f>
        <v>25861.613934346798</v>
      </c>
      <c r="M60" s="97">
        <f>CPUE!J58</f>
        <v>9.6984126984126906</v>
      </c>
      <c r="N60" s="41" t="str">
        <f>Effort!L58</f>
        <v>CLOSED</v>
      </c>
      <c r="O60" s="42" t="str">
        <f>Harvest!L58</f>
        <v>CLOSED</v>
      </c>
      <c r="P60" s="43" t="str">
        <f>CPUE!L58</f>
        <v>CLOSED</v>
      </c>
      <c r="Q60" s="41" t="s">
        <v>10</v>
      </c>
      <c r="R60" s="42" t="s">
        <v>10</v>
      </c>
      <c r="S60" s="44" t="s">
        <v>10</v>
      </c>
      <c r="T60" s="41">
        <f t="shared" si="9"/>
        <v>6263.6594531230476</v>
      </c>
      <c r="U60" s="42">
        <f t="shared" si="9"/>
        <v>73420.05816952209</v>
      </c>
      <c r="V60" s="42"/>
    </row>
    <row r="61" spans="1:24" x14ac:dyDescent="0.25">
      <c r="A61" s="39">
        <v>46040</v>
      </c>
      <c r="B61" s="40" t="s">
        <v>20</v>
      </c>
      <c r="C61" s="4">
        <v>-0.45</v>
      </c>
      <c r="D61" s="13">
        <v>0.76666666666666672</v>
      </c>
      <c r="E61" s="41">
        <f>Effort!F59</f>
        <v>2512.9560671834088</v>
      </c>
      <c r="F61" s="42">
        <f>Harvest!F59</f>
        <v>35181.384940567725</v>
      </c>
      <c r="G61" s="43">
        <f>+CPUE!F59</f>
        <v>14</v>
      </c>
      <c r="H61" s="95">
        <f>Effort!H59</f>
        <v>1931.4973261059799</v>
      </c>
      <c r="I61" s="96">
        <f>Harvest!H59</f>
        <v>28972.459891589799</v>
      </c>
      <c r="J61" s="97">
        <f>CPUE!H59</f>
        <v>15.000000000000052</v>
      </c>
      <c r="K61" s="41" t="str">
        <f>Effort!J59</f>
        <v>CLOSED</v>
      </c>
      <c r="L61" s="42" t="str">
        <f>Harvest!J59</f>
        <v>CLOSED</v>
      </c>
      <c r="M61" s="43" t="str">
        <f>CPUE!J59</f>
        <v>CLOSED</v>
      </c>
      <c r="N61" s="95">
        <f>Effort!L59</f>
        <v>1496.79626780381</v>
      </c>
      <c r="O61" s="96">
        <f>Harvest!L59</f>
        <v>19059.205810035201</v>
      </c>
      <c r="P61" s="97">
        <f>CPUE!L59</f>
        <v>12.733333333333347</v>
      </c>
      <c r="Q61" s="41" t="s">
        <v>10</v>
      </c>
      <c r="R61" s="42" t="s">
        <v>10</v>
      </c>
      <c r="S61" s="44" t="s">
        <v>10</v>
      </c>
      <c r="T61" s="41">
        <f t="shared" si="9"/>
        <v>5941.2496610931985</v>
      </c>
      <c r="U61" s="42">
        <f t="shared" si="9"/>
        <v>83213.050642192728</v>
      </c>
      <c r="V61" s="42"/>
    </row>
    <row r="62" spans="1:24" x14ac:dyDescent="0.25">
      <c r="A62" s="39">
        <v>46041</v>
      </c>
      <c r="B62" s="40" t="s">
        <v>21</v>
      </c>
      <c r="C62" s="4">
        <v>-0.5</v>
      </c>
      <c r="D62" s="13">
        <v>0.7895833333333333</v>
      </c>
      <c r="E62" s="41">
        <f>Effort!F60</f>
        <v>670.73398991791476</v>
      </c>
      <c r="F62" s="42">
        <f>Harvest!F60</f>
        <v>4695.1379294254029</v>
      </c>
      <c r="G62" s="43">
        <f>+CPUE!F60</f>
        <v>7</v>
      </c>
      <c r="H62" s="41">
        <f>Effort!H60</f>
        <v>401.28107833684697</v>
      </c>
      <c r="I62" s="42">
        <f>Harvest!H60</f>
        <v>2808.967548357929</v>
      </c>
      <c r="J62" s="43">
        <f>CPUE!H60</f>
        <v>7</v>
      </c>
      <c r="K62" s="41" t="str">
        <f>Effort!J60</f>
        <v>CLOSED</v>
      </c>
      <c r="L62" s="42" t="str">
        <f>Harvest!J60</f>
        <v>CLOSED</v>
      </c>
      <c r="M62" s="43" t="str">
        <f>CPUE!J60</f>
        <v>CLOSED</v>
      </c>
      <c r="N62" s="95">
        <f>Effort!L60</f>
        <v>310.96911824661998</v>
      </c>
      <c r="O62" s="96">
        <f>Harvest!L60</f>
        <v>1839.9006162925</v>
      </c>
      <c r="P62" s="97">
        <f>CPUE!L60</f>
        <v>5.9166666666666616</v>
      </c>
      <c r="Q62" s="41" t="s">
        <v>10</v>
      </c>
      <c r="R62" s="42" t="s">
        <v>10</v>
      </c>
      <c r="S62" s="44" t="s">
        <v>10</v>
      </c>
      <c r="T62" s="41">
        <f t="shared" si="9"/>
        <v>1382.9841865013816</v>
      </c>
      <c r="U62" s="42">
        <f t="shared" si="9"/>
        <v>9344.0060940758322</v>
      </c>
      <c r="V62" s="42"/>
    </row>
    <row r="63" spans="1:24" x14ac:dyDescent="0.25">
      <c r="A63" s="39">
        <v>46042</v>
      </c>
      <c r="B63" s="40" t="s">
        <v>60</v>
      </c>
      <c r="C63" s="4">
        <v>-0.39</v>
      </c>
      <c r="D63" s="13">
        <v>0.81180555555555556</v>
      </c>
      <c r="E63" s="95">
        <f>Effort!F61</f>
        <v>177.00956435013808</v>
      </c>
      <c r="F63" s="96">
        <f>Harvest!F61</f>
        <v>2655.1434652520711</v>
      </c>
      <c r="G63" s="97">
        <f>+CPUE!F61</f>
        <v>15</v>
      </c>
      <c r="H63" s="41">
        <f>Effort!H61</f>
        <v>99.111970224634177</v>
      </c>
      <c r="I63" s="42">
        <f>Harvest!H61</f>
        <v>1238.8996278079271</v>
      </c>
      <c r="J63" s="43">
        <f>CPUE!H61</f>
        <v>12.5</v>
      </c>
      <c r="K63" s="95">
        <f>Effort!J61</f>
        <v>232.07875319065101</v>
      </c>
      <c r="L63" s="96">
        <f>Harvest!J61</f>
        <v>1929.1546358972901</v>
      </c>
      <c r="M63" s="97">
        <f>CPUE!J61</f>
        <v>8.312500000000016</v>
      </c>
      <c r="N63" s="41" t="str">
        <f>Effort!L61</f>
        <v>CLOSED</v>
      </c>
      <c r="O63" s="42" t="str">
        <f>Harvest!L61</f>
        <v>CLOSED</v>
      </c>
      <c r="P63" s="43" t="str">
        <f>CPUE!L61</f>
        <v>CLOSED</v>
      </c>
      <c r="Q63" s="41" t="s">
        <v>10</v>
      </c>
      <c r="R63" s="42" t="s">
        <v>10</v>
      </c>
      <c r="S63" s="44" t="s">
        <v>10</v>
      </c>
      <c r="T63" s="41">
        <f t="shared" si="9"/>
        <v>508.20028776542324</v>
      </c>
      <c r="U63" s="42">
        <f t="shared" si="9"/>
        <v>5823.1977289572878</v>
      </c>
      <c r="V63" s="42"/>
    </row>
    <row r="64" spans="1:24" x14ac:dyDescent="0.25">
      <c r="A64" s="39">
        <v>46043</v>
      </c>
      <c r="B64" s="40" t="s">
        <v>61</v>
      </c>
      <c r="C64" s="4">
        <v>-0.09</v>
      </c>
      <c r="D64" s="13">
        <v>0.83402777777777781</v>
      </c>
      <c r="E64" s="41">
        <f>Effort!F62</f>
        <v>117.6961853156135</v>
      </c>
      <c r="F64" s="42">
        <f>Harvest!F62</f>
        <v>1471.2023164451689</v>
      </c>
      <c r="G64" s="43">
        <f>+CPUE!F62</f>
        <v>12.5</v>
      </c>
      <c r="H64" s="95">
        <f>Effort!H62</f>
        <v>65.900963359695496</v>
      </c>
      <c r="I64" s="96">
        <f>Harvest!H62</f>
        <v>828.46925366474295</v>
      </c>
      <c r="J64" s="97">
        <f>CPUE!H62</f>
        <v>12.571428571428566</v>
      </c>
      <c r="K64" s="95">
        <f>Effort!J62</f>
        <v>154.31247482939801</v>
      </c>
      <c r="L64" s="96">
        <f>Harvest!J62</f>
        <v>1620.28098570868</v>
      </c>
      <c r="M64" s="97">
        <f>CPUE!J62</f>
        <v>10.500000000000005</v>
      </c>
      <c r="N64" s="41" t="str">
        <f>Effort!L62</f>
        <v>CLOSED</v>
      </c>
      <c r="O64" s="42" t="str">
        <f>Harvest!L62</f>
        <v>CLOSED</v>
      </c>
      <c r="P64" s="43" t="str">
        <f>CPUE!L62</f>
        <v>CLOSED</v>
      </c>
      <c r="Q64" s="41" t="s">
        <v>10</v>
      </c>
      <c r="R64" s="42" t="s">
        <v>10</v>
      </c>
      <c r="S64" s="44" t="s">
        <v>10</v>
      </c>
      <c r="T64" s="41">
        <f t="shared" si="9"/>
        <v>337.90962350470704</v>
      </c>
      <c r="U64" s="42">
        <f t="shared" si="9"/>
        <v>3919.9525558185919</v>
      </c>
      <c r="V64" s="42"/>
    </row>
    <row r="65" spans="1:24" x14ac:dyDescent="0.25">
      <c r="A65" s="110" t="s">
        <v>50</v>
      </c>
      <c r="B65" s="110"/>
      <c r="C65" s="110"/>
      <c r="D65" s="111"/>
      <c r="E65" s="47">
        <f>SUM(E58:E64)</f>
        <v>8036.7053177976595</v>
      </c>
      <c r="F65" s="48">
        <f>SUM(F58:F64)</f>
        <v>106762.30458364954</v>
      </c>
      <c r="G65" s="49">
        <f>+F65/E65</f>
        <v>13.284337344958939</v>
      </c>
      <c r="H65" s="47">
        <f>SUM(H58:H64)</f>
        <v>5618.9485015908176</v>
      </c>
      <c r="I65" s="48">
        <f>SUM(I58:I64)</f>
        <v>78333.559279646142</v>
      </c>
      <c r="J65" s="49">
        <f>+I65/H65</f>
        <v>13.940964089182987</v>
      </c>
      <c r="K65" s="47">
        <f>SUM(K58:K64)</f>
        <v>4791.9961896832483</v>
      </c>
      <c r="L65" s="48">
        <f>SUM(L58:L64)</f>
        <v>53651.973957464877</v>
      </c>
      <c r="M65" s="49">
        <f>+L65/K65</f>
        <v>11.196163735057411</v>
      </c>
      <c r="N65" s="47">
        <f>SUM(N58:N64)</f>
        <v>2225.0279276246629</v>
      </c>
      <c r="O65" s="48">
        <f>SUM(O58:O64)</f>
        <v>27084.409983781028</v>
      </c>
      <c r="P65" s="49">
        <f>+O65/N65</f>
        <v>12.172615744511168</v>
      </c>
      <c r="Q65" s="47"/>
      <c r="R65" s="48"/>
      <c r="S65" s="49"/>
      <c r="T65" s="47">
        <f>SUM(T58:T64)</f>
        <v>20672.677936696389</v>
      </c>
      <c r="U65" s="48">
        <f>SUM(U58:U64)</f>
        <v>265832.24780454155</v>
      </c>
      <c r="V65" s="62"/>
      <c r="W65" s="20">
        <f>SUM(H65,K65,N65,Q65,E65)</f>
        <v>20672.677936696389</v>
      </c>
      <c r="X65" s="20">
        <f>SUM(R65,O65,L65,I65,F65)</f>
        <v>265832.24780454161</v>
      </c>
    </row>
    <row r="66" spans="1:24" x14ac:dyDescent="0.25">
      <c r="A66" s="39">
        <v>46051</v>
      </c>
      <c r="B66" s="40" t="s">
        <v>22</v>
      </c>
      <c r="C66" s="4">
        <v>-0.6</v>
      </c>
      <c r="D66" s="13">
        <v>0.66319444444444442</v>
      </c>
      <c r="E66" s="95">
        <f>Effort!F64</f>
        <v>400.77119064985948</v>
      </c>
      <c r="F66" s="96">
        <f>Harvest!F64</f>
        <v>1923.7017151193254</v>
      </c>
      <c r="G66" s="97">
        <f>+CPUE!F64</f>
        <v>4.8</v>
      </c>
      <c r="H66" s="95">
        <f>Effort!H64</f>
        <v>388.70055170775697</v>
      </c>
      <c r="I66" s="96">
        <f>Harvest!H64</f>
        <v>2364.5950228888601</v>
      </c>
      <c r="J66" s="97">
        <f>CPUE!H64</f>
        <v>6.0833333333333464</v>
      </c>
      <c r="K66" s="41" t="str">
        <f>Effort!J64</f>
        <v>CLOSED</v>
      </c>
      <c r="L66" s="42" t="str">
        <f>Harvest!J64</f>
        <v>CLOSED</v>
      </c>
      <c r="M66" s="43" t="str">
        <f>CPUE!J64</f>
        <v>CLOSED</v>
      </c>
      <c r="N66" s="95">
        <f>Effort!L64</f>
        <v>281.15016170242399</v>
      </c>
      <c r="O66" s="96">
        <f>Harvest!L64</f>
        <v>833.03751615532997</v>
      </c>
      <c r="P66" s="97">
        <f>CPUE!L64</f>
        <v>2.9629629629629615</v>
      </c>
      <c r="Q66" s="41" t="s">
        <v>10</v>
      </c>
      <c r="R66" s="42" t="s">
        <v>10</v>
      </c>
      <c r="S66" s="44" t="s">
        <v>10</v>
      </c>
      <c r="T66" s="41">
        <f>SUM(E66,H66,K66,N66)</f>
        <v>1070.6219040600404</v>
      </c>
      <c r="U66" s="42">
        <f>SUM(F66,I66,L66,O66)</f>
        <v>5121.3342541635157</v>
      </c>
      <c r="V66" s="42"/>
    </row>
    <row r="67" spans="1:24" x14ac:dyDescent="0.25">
      <c r="A67" s="39">
        <v>46052</v>
      </c>
      <c r="B67" s="40" t="s">
        <v>18</v>
      </c>
      <c r="C67" s="4">
        <v>-1.2</v>
      </c>
      <c r="D67" s="13">
        <v>0.69930555555555551</v>
      </c>
      <c r="E67" s="95">
        <f>Effort!F65</f>
        <v>1088.7292837622222</v>
      </c>
      <c r="F67" s="96">
        <f>Harvest!F65</f>
        <v>13935.734832156444</v>
      </c>
      <c r="G67" s="97">
        <f>+CPUE!F65</f>
        <v>12.8</v>
      </c>
      <c r="H67" s="95">
        <f>Effort!H65</f>
        <v>765.04183508670098</v>
      </c>
      <c r="I67" s="96">
        <f>Harvest!H65</f>
        <v>6666.7931343269702</v>
      </c>
      <c r="J67" s="97">
        <f>CPUE!H65</f>
        <v>8.7142857142857206</v>
      </c>
      <c r="K67" s="95">
        <f>Effort!J65</f>
        <v>1076.98956084772</v>
      </c>
      <c r="L67" s="96">
        <f>Harvest!J65</f>
        <v>12636.677513946601</v>
      </c>
      <c r="M67" s="97">
        <f>CPUE!J65</f>
        <v>11.733333333333352</v>
      </c>
      <c r="N67" s="41" t="str">
        <f>Effort!L65</f>
        <v>CLOSED</v>
      </c>
      <c r="O67" s="42" t="str">
        <f>Harvest!L65</f>
        <v>CLOSED</v>
      </c>
      <c r="P67" s="43" t="str">
        <f>CPUE!L65</f>
        <v>CLOSED</v>
      </c>
      <c r="Q67" s="41" t="s">
        <v>10</v>
      </c>
      <c r="R67" s="42" t="s">
        <v>10</v>
      </c>
      <c r="S67" s="44" t="s">
        <v>10</v>
      </c>
      <c r="T67" s="41">
        <f t="shared" ref="T67:U72" si="10">SUM(E67,H67,K67,N67)</f>
        <v>2930.7606796966429</v>
      </c>
      <c r="U67" s="42">
        <f t="shared" si="10"/>
        <v>33239.205480430013</v>
      </c>
      <c r="V67" s="42"/>
    </row>
    <row r="68" spans="1:24" x14ac:dyDescent="0.25">
      <c r="A68" s="39">
        <v>46053</v>
      </c>
      <c r="B68" s="40" t="s">
        <v>19</v>
      </c>
      <c r="C68" s="4">
        <v>-1.6</v>
      </c>
      <c r="D68" s="13">
        <v>0.73402777777777772</v>
      </c>
      <c r="E68" s="41">
        <f>Effort!F66</f>
        <v>2362.2290650878253</v>
      </c>
      <c r="F68" s="42">
        <f>Harvest!F66</f>
        <v>33071.206911229558</v>
      </c>
      <c r="G68" s="43">
        <f>+CPUE!F66</f>
        <v>14</v>
      </c>
      <c r="H68" s="41">
        <f>Effort!H66</f>
        <v>2851.2766039322664</v>
      </c>
      <c r="I68" s="42">
        <f>Harvest!H66</f>
        <v>39917.872455051729</v>
      </c>
      <c r="J68" s="43">
        <f>CPUE!H66</f>
        <v>14</v>
      </c>
      <c r="K68" s="95">
        <f>Effort!J66</f>
        <v>4013.8917856386001</v>
      </c>
      <c r="L68" s="96">
        <f>Harvest!J66</f>
        <v>56499.337539621803</v>
      </c>
      <c r="M68" s="97">
        <f>CPUE!J66</f>
        <v>14.075949367088604</v>
      </c>
      <c r="N68" s="41" t="str">
        <f>Effort!L66</f>
        <v>CLOSED</v>
      </c>
      <c r="O68" s="42" t="str">
        <f>Harvest!L66</f>
        <v>CLOSED</v>
      </c>
      <c r="P68" s="43" t="str">
        <f>CPUE!L66</f>
        <v>CLOSED</v>
      </c>
      <c r="Q68" s="41" t="s">
        <v>10</v>
      </c>
      <c r="R68" s="42" t="s">
        <v>10</v>
      </c>
      <c r="S68" s="44" t="s">
        <v>10</v>
      </c>
      <c r="T68" s="41">
        <f t="shared" si="10"/>
        <v>9227.3974546586924</v>
      </c>
      <c r="U68" s="42">
        <f t="shared" si="10"/>
        <v>129488.41690590308</v>
      </c>
      <c r="V68" s="42"/>
    </row>
    <row r="69" spans="1:24" x14ac:dyDescent="0.25">
      <c r="A69" s="39">
        <v>46054</v>
      </c>
      <c r="B69" s="40" t="s">
        <v>20</v>
      </c>
      <c r="C69" s="4">
        <v>-1.7</v>
      </c>
      <c r="D69" s="13">
        <v>0.76597222222222228</v>
      </c>
      <c r="E69" s="41">
        <f>Effort!F67</f>
        <v>597.71917997206435</v>
      </c>
      <c r="F69" s="42">
        <f>Harvest!F67</f>
        <v>6276.0513897066758</v>
      </c>
      <c r="G69" s="43">
        <f>+CPUE!F67</f>
        <v>10.5</v>
      </c>
      <c r="H69" s="95">
        <f>Effort!H67</f>
        <v>956.98820198965802</v>
      </c>
      <c r="I69" s="96">
        <f>Harvest!H67</f>
        <v>10414.2833745933</v>
      </c>
      <c r="J69" s="97">
        <f>CPUE!H67</f>
        <v>10.882352941176432</v>
      </c>
      <c r="K69" s="41" t="str">
        <f>Effort!J67</f>
        <v>CLOSED</v>
      </c>
      <c r="L69" s="42" t="str">
        <f>Harvest!J67</f>
        <v>CLOSED</v>
      </c>
      <c r="M69" s="43" t="str">
        <f>CPUE!J67</f>
        <v>CLOSED</v>
      </c>
      <c r="N69" s="95">
        <f>Effort!L67</f>
        <v>901.46519327200099</v>
      </c>
      <c r="O69" s="96">
        <f>Harvest!L67</f>
        <v>10243.9226508182</v>
      </c>
      <c r="P69" s="97">
        <f>CPUE!L67</f>
        <v>11.363636363636372</v>
      </c>
      <c r="Q69" s="41" t="s">
        <v>10</v>
      </c>
      <c r="R69" s="42" t="s">
        <v>10</v>
      </c>
      <c r="S69" s="44" t="s">
        <v>10</v>
      </c>
      <c r="T69" s="41">
        <f t="shared" si="10"/>
        <v>2456.1725752337234</v>
      </c>
      <c r="U69" s="42">
        <f t="shared" si="10"/>
        <v>26934.257415118176</v>
      </c>
      <c r="V69" s="42"/>
    </row>
    <row r="70" spans="1:24" x14ac:dyDescent="0.25">
      <c r="A70" s="39">
        <v>46055</v>
      </c>
      <c r="B70" s="40" t="s">
        <v>21</v>
      </c>
      <c r="C70" s="4">
        <v>-1.5</v>
      </c>
      <c r="D70" s="13">
        <v>0.79652777777777772</v>
      </c>
      <c r="E70" s="41">
        <f>Effort!F68</f>
        <v>266.06244817246943</v>
      </c>
      <c r="F70" s="42">
        <f>Harvest!F68</f>
        <v>1330.3122408623472</v>
      </c>
      <c r="G70" s="43">
        <f>+CPUE!F68</f>
        <v>5</v>
      </c>
      <c r="H70" s="41">
        <f>Effort!H68</f>
        <v>258.04903846920672</v>
      </c>
      <c r="I70" s="42">
        <f>Harvest!H68</f>
        <v>1290.2451923460335</v>
      </c>
      <c r="J70" s="43">
        <f>CPUE!H68</f>
        <v>5</v>
      </c>
      <c r="K70" s="41" t="str">
        <f>Effort!J68</f>
        <v>CLOSED</v>
      </c>
      <c r="L70" s="42" t="str">
        <f>Harvest!J68</f>
        <v>CLOSED</v>
      </c>
      <c r="M70" s="43" t="str">
        <f>CPUE!J68</f>
        <v>CLOSED</v>
      </c>
      <c r="N70" s="95">
        <f>Effort!L68</f>
        <v>186.64889610786901</v>
      </c>
      <c r="O70" s="96">
        <f>Harvest!L68</f>
        <v>653.27113637754303</v>
      </c>
      <c r="P70" s="97">
        <f>CPUE!L68</f>
        <v>3.500000000000008</v>
      </c>
      <c r="Q70" s="41" t="s">
        <v>10</v>
      </c>
      <c r="R70" s="42" t="s">
        <v>10</v>
      </c>
      <c r="S70" s="44" t="s">
        <v>10</v>
      </c>
      <c r="T70" s="41">
        <f t="shared" si="10"/>
        <v>710.76038274954522</v>
      </c>
      <c r="U70" s="42">
        <f t="shared" si="10"/>
        <v>3273.8285695859236</v>
      </c>
      <c r="V70" s="42"/>
    </row>
    <row r="71" spans="1:24" x14ac:dyDescent="0.25">
      <c r="A71" s="39">
        <v>46056</v>
      </c>
      <c r="B71" s="40" t="s">
        <v>60</v>
      </c>
      <c r="C71" s="4">
        <v>-1.1000000000000001</v>
      </c>
      <c r="D71" s="13">
        <v>0.82638888888888884</v>
      </c>
      <c r="E71" s="95">
        <f>Effort!F69</f>
        <v>225.60042515213621</v>
      </c>
      <c r="F71" s="96">
        <f>Harvest!F69</f>
        <v>3384.0063772820431</v>
      </c>
      <c r="G71" s="97">
        <f>+CPUE!F69</f>
        <v>15</v>
      </c>
      <c r="H71" s="95">
        <f>Effort!H69</f>
        <v>361.201300658506</v>
      </c>
      <c r="I71" s="96">
        <f>Harvest!H69</f>
        <v>4791.9372554028396</v>
      </c>
      <c r="J71" s="97">
        <f>CPUE!H69</f>
        <v>13.266666666666648</v>
      </c>
      <c r="K71" s="95">
        <f>Effort!J69</f>
        <v>383.33949350549898</v>
      </c>
      <c r="L71" s="96">
        <f>Harvest!J69</f>
        <v>4025.0646818077398</v>
      </c>
      <c r="M71" s="97">
        <f>CPUE!J69</f>
        <v>10.500000000000002</v>
      </c>
      <c r="N71" s="41" t="str">
        <f>Effort!L69</f>
        <v>CLOSED</v>
      </c>
      <c r="O71" s="42" t="str">
        <f>Harvest!L69</f>
        <v>CLOSED</v>
      </c>
      <c r="P71" s="43" t="str">
        <f>CPUE!L69</f>
        <v>CLOSED</v>
      </c>
      <c r="Q71" s="41" t="s">
        <v>10</v>
      </c>
      <c r="R71" s="42" t="s">
        <v>10</v>
      </c>
      <c r="S71" s="44" t="s">
        <v>10</v>
      </c>
      <c r="T71" s="41">
        <f t="shared" si="10"/>
        <v>970.14121931614113</v>
      </c>
      <c r="U71" s="42">
        <f t="shared" si="10"/>
        <v>12201.008314492623</v>
      </c>
      <c r="V71" s="42"/>
    </row>
    <row r="72" spans="1:24" x14ac:dyDescent="0.25">
      <c r="A72" s="39">
        <v>46057</v>
      </c>
      <c r="B72" s="40" t="s">
        <v>61</v>
      </c>
      <c r="C72" s="4">
        <v>-0.5</v>
      </c>
      <c r="D72" s="13">
        <v>0.85555555555555551</v>
      </c>
      <c r="E72" s="41">
        <f>Effort!F70</f>
        <v>136.85099244650439</v>
      </c>
      <c r="F72" s="42">
        <f>Harvest!F70</f>
        <v>821.10595467902635</v>
      </c>
      <c r="G72" s="43">
        <f>+CPUE!F70</f>
        <v>6</v>
      </c>
      <c r="H72" s="41">
        <f>Effort!H70</f>
        <v>219.1075501508943</v>
      </c>
      <c r="I72" s="42">
        <f>Harvest!H70</f>
        <v>1314.6453009053657</v>
      </c>
      <c r="J72" s="43">
        <f>CPUE!H70</f>
        <v>6</v>
      </c>
      <c r="K72" s="95">
        <f>Effort!J70</f>
        <v>232.53675206857699</v>
      </c>
      <c r="L72" s="96">
        <f>Harvest!J70</f>
        <v>1448.8828398119001</v>
      </c>
      <c r="M72" s="97">
        <f>CPUE!J70</f>
        <v>6.2307692307692193</v>
      </c>
      <c r="N72" s="41" t="str">
        <f>Effort!L70</f>
        <v>CLOSED</v>
      </c>
      <c r="O72" s="42" t="str">
        <f>Harvest!L70</f>
        <v>CLOSED</v>
      </c>
      <c r="P72" s="43" t="str">
        <f>CPUE!L70</f>
        <v>CLOSED</v>
      </c>
      <c r="Q72" s="41" t="s">
        <v>10</v>
      </c>
      <c r="R72" s="42" t="s">
        <v>10</v>
      </c>
      <c r="S72" s="44" t="s">
        <v>10</v>
      </c>
      <c r="T72" s="41">
        <f t="shared" si="10"/>
        <v>588.49529466597573</v>
      </c>
      <c r="U72" s="42">
        <f t="shared" si="10"/>
        <v>3584.6340953962927</v>
      </c>
      <c r="V72" s="42"/>
    </row>
    <row r="73" spans="1:24" x14ac:dyDescent="0.25">
      <c r="A73" s="110" t="s">
        <v>50</v>
      </c>
      <c r="B73" s="110"/>
      <c r="C73" s="110"/>
      <c r="D73" s="111"/>
      <c r="E73" s="47">
        <f>SUM(E66:E72)</f>
        <v>5077.9625852430818</v>
      </c>
      <c r="F73" s="48">
        <f>SUM(F66:F72)</f>
        <v>60742.119421035422</v>
      </c>
      <c r="G73" s="49">
        <f>+F73/E73</f>
        <v>11.961907635467091</v>
      </c>
      <c r="H73" s="47">
        <f>SUM(H66:H72)</f>
        <v>5800.3650819949889</v>
      </c>
      <c r="I73" s="48">
        <f>SUM(I66:I72)</f>
        <v>66760.371735515102</v>
      </c>
      <c r="J73" s="49">
        <f>+I73/H73</f>
        <v>11.509684440854784</v>
      </c>
      <c r="K73" s="47">
        <f>SUM(K66:K72)</f>
        <v>5706.7575920603958</v>
      </c>
      <c r="L73" s="48">
        <f>SUM(L66:L72)</f>
        <v>74609.962575188038</v>
      </c>
      <c r="M73" s="49">
        <f>+L73/K73</f>
        <v>13.073967374922349</v>
      </c>
      <c r="N73" s="47">
        <f>SUM(N66:N72)</f>
        <v>1369.2642510822939</v>
      </c>
      <c r="O73" s="48">
        <f>SUM(O66:O72)</f>
        <v>11730.231303351073</v>
      </c>
      <c r="P73" s="49">
        <f>+O73/N73</f>
        <v>8.566813377388085</v>
      </c>
      <c r="Q73" s="47"/>
      <c r="R73" s="48"/>
      <c r="S73" s="49"/>
      <c r="T73" s="47">
        <f>SUM(T66:T72)</f>
        <v>17954.349510380762</v>
      </c>
      <c r="U73" s="48">
        <f>SUM(U66:U72)</f>
        <v>213842.68503508961</v>
      </c>
      <c r="V73" s="62"/>
      <c r="W73" s="20">
        <f>SUM(H73,K73,N73,Q73,E73)</f>
        <v>17954.349510380758</v>
      </c>
      <c r="X73" s="20">
        <f>SUM(R73,O73,L73,I73,F73)</f>
        <v>213842.68503508964</v>
      </c>
    </row>
    <row r="74" spans="1:24" x14ac:dyDescent="0.25">
      <c r="A74" s="39">
        <v>46067</v>
      </c>
      <c r="B74" s="40" t="s">
        <v>19</v>
      </c>
      <c r="C74" s="4">
        <v>0.25</v>
      </c>
      <c r="D74" s="13">
        <v>0.7</v>
      </c>
      <c r="E74" s="41">
        <f>Effort!F72</f>
        <v>1822.8631245275362</v>
      </c>
      <c r="F74" s="42">
        <f>Harvest!F72</f>
        <v>14582.90499622029</v>
      </c>
      <c r="G74" s="43">
        <f>+CPUE!F72</f>
        <v>8</v>
      </c>
      <c r="H74" s="95">
        <f>Effort!H72</f>
        <v>2214.5289142941101</v>
      </c>
      <c r="I74" s="96">
        <f>Harvest!H72</f>
        <v>20794.966634225199</v>
      </c>
      <c r="J74" s="97">
        <f>CPUE!H72</f>
        <v>9.3902439024390318</v>
      </c>
      <c r="K74" s="41" t="str">
        <f>Effort!J72</f>
        <v>CLOSED</v>
      </c>
      <c r="L74" s="42" t="str">
        <f>Harvest!J72</f>
        <v>CLOSED</v>
      </c>
      <c r="M74" s="43" t="str">
        <f>CPUE!J72</f>
        <v>CLOSED</v>
      </c>
      <c r="N74" s="95">
        <f>Effort!L72</f>
        <v>1985.64305929796</v>
      </c>
      <c r="O74" s="96">
        <f>Harvest!L72</f>
        <v>6933.4749447617296</v>
      </c>
      <c r="P74" s="97">
        <f>CPUE!L72</f>
        <v>3.4918032786885247</v>
      </c>
      <c r="Q74" s="41" t="s">
        <v>10</v>
      </c>
      <c r="R74" s="42" t="s">
        <v>10</v>
      </c>
      <c r="S74" s="44" t="s">
        <v>10</v>
      </c>
      <c r="T74" s="41">
        <f t="shared" ref="T74:U79" si="11">SUM(E74,H74,K74,N74)</f>
        <v>6023.0350981196061</v>
      </c>
      <c r="U74" s="42">
        <f t="shared" si="11"/>
        <v>42311.346575207215</v>
      </c>
      <c r="V74" s="42"/>
    </row>
    <row r="75" spans="1:24" x14ac:dyDescent="0.25">
      <c r="A75" s="39">
        <v>46068</v>
      </c>
      <c r="B75" s="40" t="s">
        <v>20</v>
      </c>
      <c r="C75" s="4">
        <v>-0.09</v>
      </c>
      <c r="D75" s="13">
        <v>0.72499999999999998</v>
      </c>
      <c r="E75" s="95">
        <f>Effort!F73</f>
        <v>2469.6479801553651</v>
      </c>
      <c r="F75" s="96">
        <f>Harvest!F73</f>
        <v>26672.198185677946</v>
      </c>
      <c r="G75" s="97">
        <f>+CPUE!F73</f>
        <v>10.8</v>
      </c>
      <c r="H75" s="95">
        <f>Effort!H73</f>
        <v>1943.4410129942901</v>
      </c>
      <c r="I75" s="96">
        <f>Harvest!H73</f>
        <v>18074.0014208469</v>
      </c>
      <c r="J75" s="97">
        <f>CPUE!H73</f>
        <v>9.3000000000000007</v>
      </c>
      <c r="K75" s="95">
        <f>Effort!J73</f>
        <v>3150.0188016647498</v>
      </c>
      <c r="L75" s="96">
        <f>Harvest!J73</f>
        <v>14470.398870147401</v>
      </c>
      <c r="M75" s="97">
        <f>CPUE!J73</f>
        <v>4.5937499999999858</v>
      </c>
      <c r="N75" s="41" t="str">
        <f>Effort!L73</f>
        <v>CLOSED</v>
      </c>
      <c r="O75" s="42" t="str">
        <f>Harvest!L73</f>
        <v>CLOSED</v>
      </c>
      <c r="P75" s="43" t="str">
        <f>CPUE!L73</f>
        <v>CLOSED</v>
      </c>
      <c r="Q75" s="41" t="s">
        <v>10</v>
      </c>
      <c r="R75" s="42" t="s">
        <v>10</v>
      </c>
      <c r="S75" s="44" t="s">
        <v>10</v>
      </c>
      <c r="T75" s="41">
        <f t="shared" si="11"/>
        <v>7563.1077948144048</v>
      </c>
      <c r="U75" s="42">
        <f t="shared" si="11"/>
        <v>59216.598476672247</v>
      </c>
      <c r="V75" s="42"/>
    </row>
    <row r="76" spans="1:24" x14ac:dyDescent="0.25">
      <c r="A76" s="39">
        <v>46069</v>
      </c>
      <c r="B76" s="40" t="s">
        <v>21</v>
      </c>
      <c r="C76" s="4">
        <v>-0.28999999999999998</v>
      </c>
      <c r="D76" s="13">
        <v>0.74791666666666667</v>
      </c>
      <c r="E76" s="41">
        <f>Effort!F74</f>
        <v>680.24441274078424</v>
      </c>
      <c r="F76" s="42">
        <f>Harvest!F74</f>
        <v>3401.2220637039213</v>
      </c>
      <c r="G76" s="43">
        <f>+CPUE!F74</f>
        <v>5</v>
      </c>
      <c r="H76" s="41">
        <f>Effort!H74</f>
        <v>535.30499132005366</v>
      </c>
      <c r="I76" s="42">
        <f>Harvest!H74</f>
        <v>2676.5249566002685</v>
      </c>
      <c r="J76" s="43">
        <f>CPUE!H74</f>
        <v>5</v>
      </c>
      <c r="K76" s="95">
        <f>Effort!J74</f>
        <v>867.64701167089595</v>
      </c>
      <c r="L76" s="96">
        <f>Harvest!J74</f>
        <v>2651.1436467721801</v>
      </c>
      <c r="M76" s="97">
        <f>CPUE!J74</f>
        <v>3.0555555555555531</v>
      </c>
      <c r="N76" s="41" t="str">
        <f>Effort!L74</f>
        <v>CLOSED</v>
      </c>
      <c r="O76" s="42" t="str">
        <f>Harvest!L74</f>
        <v>CLOSED</v>
      </c>
      <c r="P76" s="43" t="str">
        <f>CPUE!L74</f>
        <v>CLOSED</v>
      </c>
      <c r="Q76" s="41" t="s">
        <v>10</v>
      </c>
      <c r="R76" s="42" t="s">
        <v>10</v>
      </c>
      <c r="S76" s="44" t="s">
        <v>10</v>
      </c>
      <c r="T76" s="41">
        <f t="shared" si="11"/>
        <v>2083.1964157317339</v>
      </c>
      <c r="U76" s="42">
        <f t="shared" si="11"/>
        <v>8728.8906670763699</v>
      </c>
      <c r="V76" s="42"/>
    </row>
    <row r="77" spans="1:24" x14ac:dyDescent="0.25">
      <c r="A77" s="39">
        <v>46070</v>
      </c>
      <c r="B77" s="40" t="s">
        <v>60</v>
      </c>
      <c r="C77" s="4">
        <v>-0.3</v>
      </c>
      <c r="D77" s="13">
        <v>0.77013888888888893</v>
      </c>
      <c r="E77" s="41">
        <f>Effort!F75</f>
        <v>208.42013126173694</v>
      </c>
      <c r="F77" s="42">
        <f>Harvest!F75</f>
        <v>416.84026252347388</v>
      </c>
      <c r="G77" s="43">
        <f>+CPUE!F75</f>
        <v>2</v>
      </c>
      <c r="H77" s="41">
        <f>Effort!H75</f>
        <v>253.2019002357728</v>
      </c>
      <c r="I77" s="42">
        <f>Harvest!H75</f>
        <v>506.40380047154559</v>
      </c>
      <c r="J77" s="43">
        <f>CPUE!H75</f>
        <v>2</v>
      </c>
      <c r="K77" s="41" t="str">
        <f>Effort!J75</f>
        <v>CLOSED</v>
      </c>
      <c r="L77" s="42" t="str">
        <f>Harvest!J75</f>
        <v>CLOSED</v>
      </c>
      <c r="M77" s="43" t="str">
        <f>CPUE!J75</f>
        <v>CLOSED</v>
      </c>
      <c r="N77" s="95">
        <f>Effort!L75</f>
        <v>367.58405049815099</v>
      </c>
      <c r="O77" s="96">
        <f>Harvest!L75</f>
        <v>73.516810099630206</v>
      </c>
      <c r="P77" s="97">
        <f>CPUE!L75</f>
        <v>0.2</v>
      </c>
      <c r="Q77" s="41" t="s">
        <v>10</v>
      </c>
      <c r="R77" s="42" t="s">
        <v>10</v>
      </c>
      <c r="S77" s="44" t="s">
        <v>10</v>
      </c>
      <c r="T77" s="41">
        <f t="shared" si="11"/>
        <v>829.20608199566072</v>
      </c>
      <c r="U77" s="42">
        <f t="shared" si="11"/>
        <v>996.7608730946497</v>
      </c>
      <c r="V77" s="42"/>
    </row>
    <row r="78" spans="1:24" x14ac:dyDescent="0.25">
      <c r="A78" s="39">
        <v>46071</v>
      </c>
      <c r="B78" s="40" t="s">
        <v>61</v>
      </c>
      <c r="C78" s="4">
        <v>-0.11</v>
      </c>
      <c r="D78" s="13">
        <v>0.79166666666666663</v>
      </c>
      <c r="E78" s="95">
        <f>Effort!F76</f>
        <v>118.00637623342546</v>
      </c>
      <c r="F78" s="96">
        <f>Harvest!F76</f>
        <v>94.405100986740365</v>
      </c>
      <c r="G78" s="97">
        <f>+CPUE!F76</f>
        <v>0.8</v>
      </c>
      <c r="H78" s="95">
        <f>Effort!H76</f>
        <v>143.36157702884199</v>
      </c>
      <c r="I78" s="96">
        <f>Harvest!H76</f>
        <v>122.881351739008</v>
      </c>
      <c r="J78" s="97">
        <f>CPUE!H76</f>
        <v>0.8571428571428612</v>
      </c>
      <c r="K78" s="41" t="str">
        <f>Effort!J76</f>
        <v>CLOSED</v>
      </c>
      <c r="L78" s="42" t="str">
        <f>Harvest!J76</f>
        <v>CLOSED</v>
      </c>
      <c r="M78" s="43" t="str">
        <f>CPUE!J76</f>
        <v>CLOSED</v>
      </c>
      <c r="N78" s="95">
        <f>Effort!L76</f>
        <v>208.12414567581999</v>
      </c>
      <c r="O78" s="96">
        <f>Harvest!L76</f>
        <v>416.248291351641</v>
      </c>
      <c r="P78" s="97">
        <f>CPUE!L76</f>
        <v>2.0000000000000049</v>
      </c>
      <c r="Q78" s="41" t="s">
        <v>10</v>
      </c>
      <c r="R78" s="42" t="s">
        <v>10</v>
      </c>
      <c r="S78" s="44" t="s">
        <v>10</v>
      </c>
      <c r="T78" s="41">
        <f t="shared" si="11"/>
        <v>469.49209893808745</v>
      </c>
      <c r="U78" s="42">
        <f t="shared" si="11"/>
        <v>633.5347440773894</v>
      </c>
      <c r="V78" s="42"/>
    </row>
    <row r="79" spans="1:24" x14ac:dyDescent="0.25">
      <c r="A79" s="39">
        <v>46072</v>
      </c>
      <c r="B79" s="40" t="s">
        <v>22</v>
      </c>
      <c r="C79" s="4">
        <v>0.28999999999999998</v>
      </c>
      <c r="D79" s="13">
        <v>0.81388888888888888</v>
      </c>
      <c r="E79" s="41">
        <f>Effort!F77</f>
        <v>226.1222565563798</v>
      </c>
      <c r="F79" s="42">
        <f>Harvest!F77</f>
        <v>1130.611282781899</v>
      </c>
      <c r="G79" s="43">
        <f>+CPUE!F77</f>
        <v>5</v>
      </c>
      <c r="H79" s="41">
        <f>Effort!H77</f>
        <v>177.94247231738649</v>
      </c>
      <c r="I79" s="42">
        <f>Harvest!H77</f>
        <v>889.7123615869325</v>
      </c>
      <c r="J79" s="43">
        <f>CPUE!H77</f>
        <v>5</v>
      </c>
      <c r="K79" s="95">
        <f>Effort!J77</f>
        <v>288.417363669233</v>
      </c>
      <c r="L79" s="96">
        <f>Harvest!J77</f>
        <v>1009.46077284231</v>
      </c>
      <c r="M79" s="97">
        <f>CPUE!J77</f>
        <v>3.4999999999999809</v>
      </c>
      <c r="N79" s="41" t="str">
        <f>Effort!L77</f>
        <v>CLOSED</v>
      </c>
      <c r="O79" s="42" t="str">
        <f>Harvest!L77</f>
        <v>CLOSED</v>
      </c>
      <c r="P79" s="43" t="str">
        <f>CPUE!L77</f>
        <v>CLOSED</v>
      </c>
      <c r="Q79" s="41" t="s">
        <v>10</v>
      </c>
      <c r="R79" s="42" t="s">
        <v>10</v>
      </c>
      <c r="S79" s="44" t="s">
        <v>10</v>
      </c>
      <c r="T79" s="41">
        <f t="shared" si="11"/>
        <v>692.48209254299923</v>
      </c>
      <c r="U79" s="42">
        <f t="shared" si="11"/>
        <v>3029.7844172111418</v>
      </c>
      <c r="V79" s="42"/>
    </row>
    <row r="80" spans="1:24" x14ac:dyDescent="0.25">
      <c r="A80" s="110" t="s">
        <v>50</v>
      </c>
      <c r="B80" s="110"/>
      <c r="C80" s="110"/>
      <c r="D80" s="111"/>
      <c r="E80" s="47">
        <f>SUM(E74:E79)</f>
        <v>5525.304281475228</v>
      </c>
      <c r="F80" s="48">
        <f>SUM(F74:F79)</f>
        <v>46298.181891894274</v>
      </c>
      <c r="G80" s="49">
        <f>+F80/E80</f>
        <v>8.3792999504332997</v>
      </c>
      <c r="H80" s="47">
        <f>SUM(H74:H79)</f>
        <v>5267.7808681904544</v>
      </c>
      <c r="I80" s="48">
        <f>SUM(I74:I79)</f>
        <v>43064.490525469853</v>
      </c>
      <c r="J80" s="49">
        <f>+I80/H80</f>
        <v>8.1750725026386721</v>
      </c>
      <c r="K80" s="47">
        <f>SUM(K74:K79)</f>
        <v>4306.083177004879</v>
      </c>
      <c r="L80" s="48">
        <f>SUM(L74:L79)</f>
        <v>18131.003289761891</v>
      </c>
      <c r="M80" s="49">
        <f>+L80/K80</f>
        <v>4.2105557520542405</v>
      </c>
      <c r="N80" s="47">
        <f>SUM(N74:N79)</f>
        <v>2561.3512554719309</v>
      </c>
      <c r="O80" s="48">
        <f>SUM(O74:O79)</f>
        <v>7423.2400462130008</v>
      </c>
      <c r="P80" s="49">
        <f>+O80/N80</f>
        <v>2.8981733881108247</v>
      </c>
      <c r="Q80" s="47"/>
      <c r="R80" s="48"/>
      <c r="S80" s="49"/>
      <c r="T80" s="47">
        <f>SUM(T74:T79)</f>
        <v>17660.519582142493</v>
      </c>
      <c r="U80" s="48">
        <f>SUM(U74:U79)</f>
        <v>114916.91575333901</v>
      </c>
      <c r="V80" s="62"/>
      <c r="W80" s="20">
        <f>SUM(H80,K80,N80,Q80,E80)</f>
        <v>17660.519582142493</v>
      </c>
      <c r="X80" s="20">
        <f>SUM(R80,O80,L80,I80,F80)</f>
        <v>114916.91575333902</v>
      </c>
    </row>
    <row r="81" spans="1:24" x14ac:dyDescent="0.25">
      <c r="A81" s="39">
        <v>46079</v>
      </c>
      <c r="B81" s="40" t="s">
        <v>22</v>
      </c>
      <c r="C81" s="4">
        <v>0.32</v>
      </c>
      <c r="D81" s="13">
        <v>0.60138888888888886</v>
      </c>
      <c r="E81" s="41">
        <f>Effort!F79</f>
        <v>508.90324302361722</v>
      </c>
      <c r="F81" s="42">
        <f>Harvest!F79</f>
        <v>6361.2905377952156</v>
      </c>
      <c r="G81" s="43">
        <f>+CPUE!F79</f>
        <v>12.5</v>
      </c>
      <c r="H81" s="95">
        <f>Effort!H79</f>
        <v>542.55496932521896</v>
      </c>
      <c r="I81" s="96">
        <f>Harvest!H79</f>
        <v>7067.1262671079803</v>
      </c>
      <c r="J81" s="97">
        <f>CPUE!H79</f>
        <v>13.025641025641026</v>
      </c>
      <c r="K81" s="95">
        <f>Effort!J79</f>
        <v>821.18979494429504</v>
      </c>
      <c r="L81" s="96">
        <f>Harvest!J79</f>
        <v>8919.0336062005408</v>
      </c>
      <c r="M81" s="97">
        <f>CPUE!J79</f>
        <v>10.861111111111114</v>
      </c>
      <c r="N81" s="41" t="str">
        <f>Effort!L79</f>
        <v>CLOSED</v>
      </c>
      <c r="O81" s="42" t="str">
        <f>Harvest!L79</f>
        <v>CLOSED</v>
      </c>
      <c r="P81" s="43" t="str">
        <f>CPUE!L79</f>
        <v>CLOSED</v>
      </c>
      <c r="Q81" s="41" t="s">
        <v>10</v>
      </c>
      <c r="R81" s="42" t="s">
        <v>10</v>
      </c>
      <c r="S81" s="44" t="s">
        <v>10</v>
      </c>
      <c r="T81" s="41">
        <f>SUM(E81,H81,K81,N81)</f>
        <v>1872.6480072931313</v>
      </c>
      <c r="U81" s="42">
        <f>SUM(F81,I81,L81,O81)</f>
        <v>22347.450411103739</v>
      </c>
      <c r="V81" s="42"/>
    </row>
    <row r="82" spans="1:24" x14ac:dyDescent="0.25">
      <c r="A82" s="39">
        <v>46080</v>
      </c>
      <c r="B82" s="40" t="s">
        <v>18</v>
      </c>
      <c r="C82" s="4">
        <v>-0.04</v>
      </c>
      <c r="D82" s="13">
        <v>0.64513888888888893</v>
      </c>
      <c r="E82" s="95">
        <f>Effort!F80</f>
        <v>1348.00434352143</v>
      </c>
      <c r="F82" s="96">
        <f>Harvest!F80</f>
        <v>19708.76685000716</v>
      </c>
      <c r="G82" s="97">
        <f>+CPUE!F80</f>
        <v>14.620699810596596</v>
      </c>
      <c r="H82" s="41">
        <f>Effort!H80</f>
        <v>1730.499361165178</v>
      </c>
      <c r="I82" s="42">
        <f>Harvest!H80</f>
        <v>21631.242014564727</v>
      </c>
      <c r="J82" s="43">
        <f>CPUE!H80</f>
        <v>12.5</v>
      </c>
      <c r="K82" s="41" t="str">
        <f>Effort!J80</f>
        <v>CLOSED</v>
      </c>
      <c r="L82" s="42" t="str">
        <f>Harvest!J80</f>
        <v>CLOSED</v>
      </c>
      <c r="M82" s="43" t="str">
        <f>CPUE!J80</f>
        <v>CLOSED</v>
      </c>
      <c r="N82" s="95">
        <f>Effort!L80</f>
        <v>1289.8466429146699</v>
      </c>
      <c r="O82" s="96">
        <f>Harvest!L80</f>
        <v>11137.3296667055</v>
      </c>
      <c r="P82" s="97">
        <f>CPUE!L80</f>
        <v>8.6346153846153726</v>
      </c>
      <c r="Q82" s="41" t="s">
        <v>10</v>
      </c>
      <c r="R82" s="42" t="s">
        <v>10</v>
      </c>
      <c r="S82" s="44" t="s">
        <v>10</v>
      </c>
      <c r="T82" s="41">
        <f t="shared" ref="T82:U87" si="12">SUM(E82,H82,K82,N82)</f>
        <v>4368.3503476012784</v>
      </c>
      <c r="U82" s="42">
        <f t="shared" si="12"/>
        <v>52477.33853127739</v>
      </c>
      <c r="V82" s="42"/>
    </row>
    <row r="83" spans="1:24" x14ac:dyDescent="0.25">
      <c r="A83" s="39">
        <v>46081</v>
      </c>
      <c r="B83" s="40" t="s">
        <v>19</v>
      </c>
      <c r="C83" s="4">
        <v>-0.34</v>
      </c>
      <c r="D83" s="13">
        <v>0.68194444444444446</v>
      </c>
      <c r="E83" s="41">
        <f>Effort!F81</f>
        <v>2869.2871351348986</v>
      </c>
      <c r="F83" s="42">
        <f>Harvest!F81</f>
        <v>35866.089189186234</v>
      </c>
      <c r="G83" s="43">
        <f>+CPUE!F81</f>
        <v>12.5</v>
      </c>
      <c r="H83" s="95">
        <f>Effort!H81</f>
        <v>4247.2157941040596</v>
      </c>
      <c r="I83" s="96">
        <f>Harvest!H81</f>
        <v>49432.8727147112</v>
      </c>
      <c r="J83" s="97">
        <f>CPUE!H81</f>
        <v>11.638888888888903</v>
      </c>
      <c r="K83" s="41" t="str">
        <f>Effort!J81</f>
        <v>CLOSED</v>
      </c>
      <c r="L83" s="42" t="str">
        <f>Harvest!J81</f>
        <v>CLOSED</v>
      </c>
      <c r="M83" s="43" t="str">
        <f>CPUE!J81</f>
        <v>CLOSED</v>
      </c>
      <c r="N83" s="95">
        <f>Effort!L81</f>
        <v>2745.4958855280302</v>
      </c>
      <c r="O83" s="96">
        <f>Harvest!L81</f>
        <v>35993.149356427901</v>
      </c>
      <c r="P83" s="97">
        <f>CPUE!L81</f>
        <v>13.109890109890106</v>
      </c>
      <c r="Q83" s="41" t="s">
        <v>10</v>
      </c>
      <c r="R83" s="42" t="s">
        <v>10</v>
      </c>
      <c r="S83" s="44" t="s">
        <v>10</v>
      </c>
      <c r="T83" s="41">
        <f t="shared" si="12"/>
        <v>9861.9988147669883</v>
      </c>
      <c r="U83" s="42">
        <f t="shared" si="12"/>
        <v>121292.11126032533</v>
      </c>
      <c r="V83" s="42"/>
    </row>
    <row r="84" spans="1:24" x14ac:dyDescent="0.25">
      <c r="A84" s="39">
        <v>46082</v>
      </c>
      <c r="B84" s="40" t="s">
        <v>20</v>
      </c>
      <c r="C84" s="4">
        <v>-0.48</v>
      </c>
      <c r="D84" s="13">
        <v>0.71319444444444446</v>
      </c>
      <c r="E84" s="41">
        <f>Effort!F82</f>
        <v>2512.5802696817832</v>
      </c>
      <c r="F84" s="42">
        <f>Harvest!F82</f>
        <v>31407.253371022289</v>
      </c>
      <c r="G84" s="43">
        <f>+CPUE!F82</f>
        <v>12.5</v>
      </c>
      <c r="H84" s="95">
        <f>Effort!H82</f>
        <v>2232.0275248092498</v>
      </c>
      <c r="I84" s="96">
        <f>Harvest!H82</f>
        <v>28593.042257470199</v>
      </c>
      <c r="J84" s="97">
        <f>CPUE!H82</f>
        <v>12.810344827586199</v>
      </c>
      <c r="K84" s="95">
        <f>Effort!J82</f>
        <v>4054.4156570550899</v>
      </c>
      <c r="L84" s="96">
        <f>Harvest!J82</f>
        <v>53456.589043563297</v>
      </c>
      <c r="M84" s="97">
        <f>CPUE!J82</f>
        <v>13.184782608695651</v>
      </c>
      <c r="N84" s="41" t="str">
        <f>Effort!L82</f>
        <v>CLOSED</v>
      </c>
      <c r="O84" s="42" t="str">
        <f>Harvest!L82</f>
        <v>CLOSED</v>
      </c>
      <c r="P84" s="43" t="str">
        <f>CPUE!L82</f>
        <v>CLOSED</v>
      </c>
      <c r="Q84" s="41" t="s">
        <v>10</v>
      </c>
      <c r="R84" s="42" t="s">
        <v>10</v>
      </c>
      <c r="S84" s="44" t="s">
        <v>10</v>
      </c>
      <c r="T84" s="41">
        <f t="shared" si="12"/>
        <v>8799.0234515461234</v>
      </c>
      <c r="U84" s="42">
        <f t="shared" si="12"/>
        <v>113456.88467205578</v>
      </c>
      <c r="V84" s="42"/>
    </row>
    <row r="85" spans="1:24" x14ac:dyDescent="0.25">
      <c r="A85" s="39">
        <v>46083</v>
      </c>
      <c r="B85" s="40" t="s">
        <v>21</v>
      </c>
      <c r="C85" s="4">
        <v>-0.42</v>
      </c>
      <c r="D85" s="13">
        <v>0.74027777777777781</v>
      </c>
      <c r="E85" s="95">
        <f>Effort!F83</f>
        <v>847.45336752048865</v>
      </c>
      <c r="F85" s="96">
        <f>Harvest!F83</f>
        <v>12203.328492295037</v>
      </c>
      <c r="G85" s="97">
        <f>+CPUE!F83</f>
        <v>14.4</v>
      </c>
      <c r="H85" s="95">
        <f>Effort!H83</f>
        <v>1087.9174968238301</v>
      </c>
      <c r="I85" s="96">
        <f>Harvest!H83</f>
        <v>15988.501783678799</v>
      </c>
      <c r="J85" s="97">
        <f>CPUE!H83</f>
        <v>14.696428571428582</v>
      </c>
      <c r="K85" s="95">
        <f>Effort!J83</f>
        <v>1367.4899239475001</v>
      </c>
      <c r="L85" s="96">
        <f>Harvest!J83</f>
        <v>13935.373510703101</v>
      </c>
      <c r="M85" s="97">
        <f>CPUE!J83</f>
        <v>10.190476190476193</v>
      </c>
      <c r="N85" s="41" t="str">
        <f>Effort!L83</f>
        <v>CLOSED</v>
      </c>
      <c r="O85" s="42" t="str">
        <f>Harvest!L83</f>
        <v>CLOSED</v>
      </c>
      <c r="P85" s="43" t="str">
        <f>CPUE!L83</f>
        <v>CLOSED</v>
      </c>
      <c r="Q85" s="41" t="s">
        <v>10</v>
      </c>
      <c r="R85" s="42" t="s">
        <v>10</v>
      </c>
      <c r="S85" s="44" t="s">
        <v>10</v>
      </c>
      <c r="T85" s="41">
        <f t="shared" si="12"/>
        <v>3302.8607882918186</v>
      </c>
      <c r="U85" s="42">
        <f t="shared" si="12"/>
        <v>42127.203786676939</v>
      </c>
      <c r="V85" s="42"/>
    </row>
    <row r="86" spans="1:24" x14ac:dyDescent="0.25">
      <c r="A86" s="39">
        <v>46084</v>
      </c>
      <c r="B86" s="40" t="s">
        <v>60</v>
      </c>
      <c r="C86" s="4">
        <v>-0.15</v>
      </c>
      <c r="D86" s="13">
        <v>0.76527777777777772</v>
      </c>
      <c r="E86" s="41">
        <f>Effort!F84</f>
        <v>187.81548935985163</v>
      </c>
      <c r="F86" s="42">
        <f>Harvest!F84</f>
        <v>939.07744679925815</v>
      </c>
      <c r="G86" s="43">
        <f>+CPUE!F84</f>
        <v>5</v>
      </c>
      <c r="H86" s="41">
        <f>Effort!H84</f>
        <v>278.0108351717966</v>
      </c>
      <c r="I86" s="42">
        <f>Harvest!H84</f>
        <v>1390.0541758589829</v>
      </c>
      <c r="J86" s="43">
        <f>CPUE!H84</f>
        <v>5</v>
      </c>
      <c r="K86" s="41" t="str">
        <f>Effort!J84</f>
        <v>CLOSED</v>
      </c>
      <c r="L86" s="42" t="str">
        <f>Harvest!J84</f>
        <v>CLOSED</v>
      </c>
      <c r="M86" s="43" t="str">
        <f>CPUE!J84</f>
        <v>CLOSED</v>
      </c>
      <c r="N86" s="95">
        <f>Effort!L84</f>
        <v>179.71246131546999</v>
      </c>
      <c r="O86" s="96">
        <f>Harvest!L84</f>
        <v>814.69649129679703</v>
      </c>
      <c r="P86" s="97">
        <f>CPUE!L84</f>
        <v>4.5333333333333314</v>
      </c>
      <c r="Q86" s="41" t="s">
        <v>10</v>
      </c>
      <c r="R86" s="42" t="s">
        <v>10</v>
      </c>
      <c r="S86" s="44" t="s">
        <v>10</v>
      </c>
      <c r="T86" s="41">
        <f t="shared" si="12"/>
        <v>645.53878584711822</v>
      </c>
      <c r="U86" s="42">
        <f t="shared" si="12"/>
        <v>3143.8281139550381</v>
      </c>
      <c r="V86" s="42"/>
    </row>
    <row r="87" spans="1:24" x14ac:dyDescent="0.25">
      <c r="A87" s="39">
        <v>46085</v>
      </c>
      <c r="B87" s="40" t="s">
        <v>61</v>
      </c>
      <c r="C87" s="4">
        <v>0.3</v>
      </c>
      <c r="D87" s="13">
        <v>0.78819444444444442</v>
      </c>
      <c r="E87" s="41">
        <f>Effort!F85</f>
        <v>103.03021130597568</v>
      </c>
      <c r="F87" s="42">
        <f>Harvest!F85</f>
        <v>721.21147914182984</v>
      </c>
      <c r="G87" s="43">
        <f>+CPUE!F85</f>
        <v>7</v>
      </c>
      <c r="H87" s="41">
        <f>Effort!H85</f>
        <v>152.50880100852834</v>
      </c>
      <c r="I87" s="42">
        <f>Harvest!H85</f>
        <v>1067.5616070596984</v>
      </c>
      <c r="J87" s="43">
        <f>CPUE!H85</f>
        <v>7</v>
      </c>
      <c r="K87" s="41" t="str">
        <f>Effort!J85</f>
        <v>CLOSED</v>
      </c>
      <c r="L87" s="42" t="str">
        <f>Harvest!J85</f>
        <v>CLOSED</v>
      </c>
      <c r="M87" s="43" t="str">
        <f>CPUE!J85</f>
        <v>CLOSED</v>
      </c>
      <c r="N87" s="95">
        <f>Effort!L85</f>
        <v>98.585121635914902</v>
      </c>
      <c r="O87" s="96">
        <f>Harvest!L85</f>
        <v>635.32633943145197</v>
      </c>
      <c r="P87" s="97">
        <f>CPUE!L85</f>
        <v>6.4444444444444482</v>
      </c>
      <c r="Q87" s="41" t="s">
        <v>10</v>
      </c>
      <c r="R87" s="42" t="s">
        <v>10</v>
      </c>
      <c r="S87" s="44" t="s">
        <v>10</v>
      </c>
      <c r="T87" s="41">
        <f t="shared" si="12"/>
        <v>354.12413395041892</v>
      </c>
      <c r="U87" s="42">
        <f t="shared" si="12"/>
        <v>2424.0994256329805</v>
      </c>
      <c r="V87" s="42"/>
    </row>
    <row r="88" spans="1:24" x14ac:dyDescent="0.25">
      <c r="A88" s="110" t="s">
        <v>50</v>
      </c>
      <c r="B88" s="110"/>
      <c r="C88" s="110"/>
      <c r="D88" s="111"/>
      <c r="E88" s="47">
        <f>SUM(E81:E87)</f>
        <v>8377.0740595480438</v>
      </c>
      <c r="F88" s="48">
        <f>SUM(F81:F87)</f>
        <v>107207.01736624703</v>
      </c>
      <c r="G88" s="49">
        <f>+F88/E88</f>
        <v>12.797668565918231</v>
      </c>
      <c r="H88" s="47">
        <f>SUM(H81:H87)</f>
        <v>10270.734782407862</v>
      </c>
      <c r="I88" s="48">
        <f>SUM(I81:I87)</f>
        <v>125170.4008204516</v>
      </c>
      <c r="J88" s="49">
        <f>+I88/H88</f>
        <v>12.187093082653504</v>
      </c>
      <c r="K88" s="47">
        <f>SUM(K81:K87)</f>
        <v>6243.0953759468848</v>
      </c>
      <c r="L88" s="48">
        <f>SUM(L81:L87)</f>
        <v>76310.996160466937</v>
      </c>
      <c r="M88" s="49">
        <f>+L88/K88</f>
        <v>12.223262911291487</v>
      </c>
      <c r="N88" s="47">
        <f>SUM(N81:N87)</f>
        <v>4313.6401113940856</v>
      </c>
      <c r="O88" s="48">
        <f>SUM(O81:O87)</f>
        <v>48580.50185386165</v>
      </c>
      <c r="P88" s="49">
        <f>+O88/N88</f>
        <v>11.262066514436542</v>
      </c>
      <c r="Q88" s="47"/>
      <c r="R88" s="48"/>
      <c r="S88" s="49"/>
      <c r="T88" s="47">
        <f>SUM(T81:T87)</f>
        <v>29204.544329296878</v>
      </c>
      <c r="U88" s="48">
        <f>SUM(U81:U87)</f>
        <v>357268.91620102717</v>
      </c>
      <c r="V88" s="62"/>
      <c r="W88" s="20">
        <f>SUM(H88,K88,N88,Q88,E88)</f>
        <v>29204.544329296878</v>
      </c>
      <c r="X88" s="20">
        <f>SUM(R88,O88,L88,I88,F88)</f>
        <v>357268.91620102723</v>
      </c>
    </row>
    <row r="89" spans="1:24" x14ac:dyDescent="0.25">
      <c r="A89" s="39">
        <v>46098</v>
      </c>
      <c r="B89" s="40" t="s">
        <v>60</v>
      </c>
      <c r="C89" s="4">
        <v>0.16</v>
      </c>
      <c r="D89" s="13">
        <v>0.76458333333333328</v>
      </c>
      <c r="E89" s="41">
        <f>Effort!F87</f>
        <v>205.30378182946248</v>
      </c>
      <c r="F89" s="42">
        <f>Harvest!F87</f>
        <v>410.60756365892496</v>
      </c>
      <c r="G89" s="43">
        <f>+CPUE!F87</f>
        <v>2</v>
      </c>
      <c r="H89" s="95">
        <f>Effort!H87</f>
        <v>174</v>
      </c>
      <c r="I89" s="96">
        <f>Harvest!H87</f>
        <v>191.4</v>
      </c>
      <c r="J89" s="97">
        <f>CPUE!H87</f>
        <v>1.1000000000000001</v>
      </c>
      <c r="K89" s="95">
        <f>Effort!J87</f>
        <v>189.686930490225</v>
      </c>
      <c r="L89" s="96">
        <f>Harvest!J87</f>
        <v>442.60283781052402</v>
      </c>
      <c r="M89" s="97">
        <f>CPUE!J87</f>
        <v>2.3333333333333282</v>
      </c>
      <c r="N89" s="41" t="str">
        <f>Effort!L87</f>
        <v>CLOSED</v>
      </c>
      <c r="O89" s="42" t="str">
        <f>Harvest!L87</f>
        <v>CLOSED</v>
      </c>
      <c r="P89" s="43" t="str">
        <f>CPUE!L87</f>
        <v>CLOSED</v>
      </c>
      <c r="Q89" s="41" t="s">
        <v>10</v>
      </c>
      <c r="R89" s="42" t="s">
        <v>10</v>
      </c>
      <c r="S89" s="44" t="s">
        <v>10</v>
      </c>
      <c r="T89" s="41">
        <f>SUM(E89,H89,K89,N89)</f>
        <v>568.99071231968742</v>
      </c>
      <c r="U89" s="42">
        <f>SUM(F89,I89,L89,O89)</f>
        <v>1044.610401469449</v>
      </c>
      <c r="V89" s="42"/>
    </row>
    <row r="90" spans="1:24" x14ac:dyDescent="0.25">
      <c r="A90" s="39">
        <v>46099</v>
      </c>
      <c r="B90" s="40" t="s">
        <v>61</v>
      </c>
      <c r="C90" s="4">
        <v>0.26</v>
      </c>
      <c r="D90" s="13">
        <v>0.78749999999999998</v>
      </c>
      <c r="E90" s="95">
        <f>Effort!F88</f>
        <v>197.33081942831774</v>
      </c>
      <c r="F90" s="96">
        <f>Harvest!F88</f>
        <v>2525.8344886824671</v>
      </c>
      <c r="G90" s="97">
        <f>+CPUE!F88</f>
        <v>12.8</v>
      </c>
      <c r="H90" s="95">
        <f>Effort!H88</f>
        <v>137.09980699769699</v>
      </c>
      <c r="I90" s="96">
        <f>Harvest!H88</f>
        <v>1045.38602835744</v>
      </c>
      <c r="J90" s="97">
        <f>CPUE!H88</f>
        <v>7.6250000000000036</v>
      </c>
      <c r="K90" s="95">
        <f>Effort!J88</f>
        <v>182.32044775273999</v>
      </c>
      <c r="L90" s="96">
        <f>Harvest!J88</f>
        <v>1201.1700087239401</v>
      </c>
      <c r="M90" s="97">
        <f>CPUE!J88</f>
        <v>6.5882352941176805</v>
      </c>
      <c r="N90" s="41" t="str">
        <f>Effort!L88</f>
        <v>CLOSED</v>
      </c>
      <c r="O90" s="42" t="str">
        <f>Harvest!L88</f>
        <v>CLOSED</v>
      </c>
      <c r="P90" s="43" t="str">
        <f>CPUE!L88</f>
        <v>CLOSED</v>
      </c>
      <c r="Q90" s="41" t="s">
        <v>10</v>
      </c>
      <c r="R90" s="42" t="s">
        <v>10</v>
      </c>
      <c r="S90" s="44" t="s">
        <v>10</v>
      </c>
      <c r="T90" s="41">
        <f t="shared" ref="T90:U96" si="13">SUM(E90,H90,K90,N90)</f>
        <v>516.75107417875472</v>
      </c>
      <c r="U90" s="42">
        <f t="shared" si="13"/>
        <v>4772.3905257638471</v>
      </c>
      <c r="V90" s="42"/>
    </row>
    <row r="91" spans="1:24" x14ac:dyDescent="0.25">
      <c r="A91" s="39">
        <v>46100</v>
      </c>
      <c r="B91" s="40" t="s">
        <v>22</v>
      </c>
      <c r="C91" s="4">
        <v>0.54</v>
      </c>
      <c r="D91" s="13">
        <v>0.81111111111111112</v>
      </c>
      <c r="E91" s="95">
        <f>Effort!F89</f>
        <v>306.53505162839144</v>
      </c>
      <c r="F91" s="96">
        <f>Harvest!F89</f>
        <v>613.07010325678289</v>
      </c>
      <c r="G91" s="97">
        <f>+CPUE!F89</f>
        <v>2</v>
      </c>
      <c r="H91" s="41">
        <f>Effort!H89</f>
        <v>337.66829583190406</v>
      </c>
      <c r="I91" s="42">
        <f>Harvest!H89</f>
        <v>675.33659166380812</v>
      </c>
      <c r="J91" s="43">
        <f>CPUE!H89</f>
        <v>2</v>
      </c>
      <c r="K91" s="41" t="str">
        <f>Effort!J89</f>
        <v>CLOSED</v>
      </c>
      <c r="L91" s="42" t="str">
        <f>Harvest!J89</f>
        <v>CLOSED</v>
      </c>
      <c r="M91" s="43" t="str">
        <f>CPUE!J89</f>
        <v>CLOSED</v>
      </c>
      <c r="N91" s="95">
        <f>Effort!L89</f>
        <v>178.913739265179</v>
      </c>
      <c r="O91" s="96">
        <f>Harvest!L89</f>
        <v>357.82747853035801</v>
      </c>
      <c r="P91" s="97">
        <f>CPUE!L89</f>
        <v>2</v>
      </c>
      <c r="Q91" s="41" t="s">
        <v>10</v>
      </c>
      <c r="R91" s="42" t="s">
        <v>10</v>
      </c>
      <c r="S91" s="44" t="s">
        <v>10</v>
      </c>
      <c r="T91" s="41">
        <f t="shared" si="13"/>
        <v>823.11708672547456</v>
      </c>
      <c r="U91" s="42">
        <f t="shared" si="13"/>
        <v>1646.2341734509491</v>
      </c>
      <c r="V91" s="42"/>
    </row>
    <row r="92" spans="1:24" x14ac:dyDescent="0.25">
      <c r="A92" s="39">
        <v>46101</v>
      </c>
      <c r="B92" s="40" t="s">
        <v>18</v>
      </c>
      <c r="C92" s="4">
        <v>-0.09</v>
      </c>
      <c r="D92" s="13">
        <v>0.33333333333333331</v>
      </c>
      <c r="E92" s="41">
        <f>Effort!F90</f>
        <v>504.21888084180341</v>
      </c>
      <c r="F92" s="42">
        <f>Harvest!F90</f>
        <v>2521.0944042090168</v>
      </c>
      <c r="G92" s="43">
        <f>+CPUE!F90</f>
        <v>5</v>
      </c>
      <c r="H92" s="41">
        <f>Effort!H90</f>
        <v>555.4298906949283</v>
      </c>
      <c r="I92" s="42">
        <f>Harvest!H90</f>
        <v>2777.1494534746416</v>
      </c>
      <c r="J92" s="43">
        <f>CPUE!H90</f>
        <v>5</v>
      </c>
      <c r="K92" s="41" t="str">
        <f>Effort!J90</f>
        <v>CLOSED</v>
      </c>
      <c r="L92" s="42" t="str">
        <f>Harvest!J90</f>
        <v>CLOSED</v>
      </c>
      <c r="M92" s="43" t="str">
        <f>CPUE!J90</f>
        <v>CLOSED</v>
      </c>
      <c r="N92" s="95">
        <f>Effort!L90</f>
        <v>294.29484458721299</v>
      </c>
      <c r="O92" s="96">
        <f>Harvest!L90</f>
        <v>724.418078983908</v>
      </c>
      <c r="P92" s="97">
        <f>CPUE!L90</f>
        <v>2.4615384615384586</v>
      </c>
      <c r="Q92" s="41" t="s">
        <v>10</v>
      </c>
      <c r="R92" s="42" t="s">
        <v>10</v>
      </c>
      <c r="S92" s="44" t="s">
        <v>10</v>
      </c>
      <c r="T92" s="41">
        <f t="shared" si="13"/>
        <v>1353.9436161239446</v>
      </c>
      <c r="U92" s="42">
        <f t="shared" si="13"/>
        <v>6022.6619366675668</v>
      </c>
      <c r="V92" s="42"/>
    </row>
    <row r="93" spans="1:24" x14ac:dyDescent="0.25">
      <c r="A93" s="39">
        <v>46102</v>
      </c>
      <c r="B93" s="40" t="s">
        <v>19</v>
      </c>
      <c r="C93" s="4">
        <v>-0.48</v>
      </c>
      <c r="D93" s="13">
        <v>0.36319444444444443</v>
      </c>
      <c r="E93" s="41">
        <f>Effort!F91</f>
        <v>1606.0508463516812</v>
      </c>
      <c r="F93" s="42">
        <f>Harvest!F91</f>
        <v>23287.737272099377</v>
      </c>
      <c r="G93" s="43">
        <f>+CPUE!F91</f>
        <v>14.5</v>
      </c>
      <c r="H93" s="41">
        <f>Effort!H91</f>
        <v>2329.3373084848076</v>
      </c>
      <c r="I93" s="42">
        <f>Harvest!H91</f>
        <v>33775.390973029709</v>
      </c>
      <c r="J93" s="43">
        <f>CPUE!H91</f>
        <v>14.5</v>
      </c>
      <c r="K93" s="95">
        <f>Effort!J91</f>
        <v>3919.6379962516698</v>
      </c>
      <c r="L93" s="96">
        <f>Harvest!J91</f>
        <v>56072.5991130447</v>
      </c>
      <c r="M93" s="97">
        <f>CPUE!J91</f>
        <v>14.30555555555555</v>
      </c>
      <c r="N93" s="41" t="str">
        <f>Effort!L91</f>
        <v>CLOSED</v>
      </c>
      <c r="O93" s="42" t="str">
        <f>Harvest!L91</f>
        <v>CLOSED</v>
      </c>
      <c r="P93" s="43" t="str">
        <f>CPUE!L91</f>
        <v>CLOSED</v>
      </c>
      <c r="Q93" s="41" t="s">
        <v>10</v>
      </c>
      <c r="R93" s="42" t="s">
        <v>10</v>
      </c>
      <c r="S93" s="44" t="s">
        <v>10</v>
      </c>
      <c r="T93" s="41">
        <f t="shared" si="13"/>
        <v>7855.0261510881592</v>
      </c>
      <c r="U93" s="42">
        <f t="shared" si="13"/>
        <v>113135.72735817378</v>
      </c>
      <c r="V93" s="42"/>
    </row>
    <row r="94" spans="1:24" x14ac:dyDescent="0.25">
      <c r="A94" s="39">
        <v>46103</v>
      </c>
      <c r="B94" s="40" t="s">
        <v>20</v>
      </c>
      <c r="C94" s="4">
        <v>-0.6</v>
      </c>
      <c r="D94" s="13">
        <v>0.39513888888888887</v>
      </c>
      <c r="E94" s="95">
        <f>Effort!F92</f>
        <v>1822.564497729501</v>
      </c>
      <c r="F94" s="96">
        <f>Harvest!F92</f>
        <v>25254.977597402678</v>
      </c>
      <c r="G94" s="97">
        <f>+CPUE!F92</f>
        <v>13.856836138783901</v>
      </c>
      <c r="H94" s="95">
        <f>Effort!H92</f>
        <v>2643.3580800539498</v>
      </c>
      <c r="I94" s="96">
        <f>Harvest!H92</f>
        <v>36153.0051256609</v>
      </c>
      <c r="J94" s="97">
        <f>CPUE!H92</f>
        <v>13.67692307692306</v>
      </c>
      <c r="K94" s="95">
        <f>Effort!J92</f>
        <v>4448.0491213262603</v>
      </c>
      <c r="L94" s="96">
        <f>Harvest!J92</f>
        <v>54074.3226514173</v>
      </c>
      <c r="M94" s="97">
        <f>CPUE!J92</f>
        <v>12.156862745098044</v>
      </c>
      <c r="N94" s="41" t="str">
        <f>Effort!L92</f>
        <v>CLOSED</v>
      </c>
      <c r="O94" s="42" t="str">
        <f>Harvest!L92</f>
        <v>CLOSED</v>
      </c>
      <c r="P94" s="43" t="str">
        <f>CPUE!L92</f>
        <v>CLOSED</v>
      </c>
      <c r="Q94" s="41" t="s">
        <v>10</v>
      </c>
      <c r="R94" s="42" t="s">
        <v>10</v>
      </c>
      <c r="S94" s="44" t="s">
        <v>10</v>
      </c>
      <c r="T94" s="41">
        <f t="shared" si="13"/>
        <v>8913.9716991097121</v>
      </c>
      <c r="U94" s="42">
        <f t="shared" si="13"/>
        <v>115482.30537448087</v>
      </c>
      <c r="V94" s="42"/>
    </row>
    <row r="95" spans="1:24" x14ac:dyDescent="0.25">
      <c r="A95" s="39">
        <v>46104</v>
      </c>
      <c r="B95" s="40" t="s">
        <v>21</v>
      </c>
      <c r="C95" s="4">
        <v>-0.46</v>
      </c>
      <c r="D95" s="13">
        <v>0.43194444444444446</v>
      </c>
      <c r="E95" s="41">
        <f>Effort!F93</f>
        <v>1590.1737202280767</v>
      </c>
      <c r="F95" s="42">
        <f>Harvest!F93</f>
        <v>19877.171502850961</v>
      </c>
      <c r="G95" s="43">
        <f>+CPUE!F93</f>
        <v>12.5</v>
      </c>
      <c r="H95" s="41">
        <f>Effort!H93</f>
        <v>1751.6797747392127</v>
      </c>
      <c r="I95" s="42">
        <f>Harvest!H93</f>
        <v>21895.997184240157</v>
      </c>
      <c r="J95" s="43">
        <f>CPUE!H93</f>
        <v>12.5</v>
      </c>
      <c r="K95" s="41" t="str">
        <f>Effort!J93</f>
        <v>CLOSED</v>
      </c>
      <c r="L95" s="42" t="str">
        <f>Harvest!J93</f>
        <v>CLOSED</v>
      </c>
      <c r="M95" s="43" t="str">
        <f>CPUE!J93</f>
        <v>CLOSED</v>
      </c>
      <c r="N95" s="95">
        <f>Effort!L93</f>
        <v>928.12852838808897</v>
      </c>
      <c r="O95" s="96">
        <f>Harvest!L93</f>
        <v>10753.4891564965</v>
      </c>
      <c r="P95" s="97">
        <f>CPUE!L93</f>
        <v>11.586206896551747</v>
      </c>
      <c r="Q95" s="41" t="s">
        <v>10</v>
      </c>
      <c r="R95" s="42" t="s">
        <v>10</v>
      </c>
      <c r="S95" s="44" t="s">
        <v>10</v>
      </c>
      <c r="T95" s="41">
        <f t="shared" si="13"/>
        <v>4269.9820233553783</v>
      </c>
      <c r="U95" s="42">
        <f t="shared" si="13"/>
        <v>52526.657843587622</v>
      </c>
      <c r="V95" s="42"/>
    </row>
    <row r="96" spans="1:24" x14ac:dyDescent="0.25">
      <c r="A96" s="39">
        <v>46105</v>
      </c>
      <c r="B96" s="40" t="s">
        <v>60</v>
      </c>
      <c r="C96" s="4">
        <v>-0.14000000000000001</v>
      </c>
      <c r="D96" s="13">
        <v>0.47291666666666665</v>
      </c>
      <c r="E96" s="41">
        <f>Effort!F94</f>
        <v>59.525699726326224</v>
      </c>
      <c r="F96" s="42">
        <f>Harvest!F94</f>
        <v>119.05139945265245</v>
      </c>
      <c r="G96" s="43">
        <f>+CPUE!F94</f>
        <v>2</v>
      </c>
      <c r="H96" s="95">
        <f>Effort!H94</f>
        <v>65.571429688103393</v>
      </c>
      <c r="I96" s="96">
        <f>Harvest!H94</f>
        <v>109.28571614683899</v>
      </c>
      <c r="J96" s="97">
        <f>CPUE!H94</f>
        <v>1.6666666666666667</v>
      </c>
      <c r="K96" s="41" t="str">
        <f>Effort!J94</f>
        <v>CLOSED</v>
      </c>
      <c r="L96" s="42" t="str">
        <f>Harvest!J94</f>
        <v>CLOSED</v>
      </c>
      <c r="M96" s="43" t="str">
        <f>CPUE!J94</f>
        <v>CLOSED</v>
      </c>
      <c r="N96" s="95">
        <f>Effort!L94</f>
        <v>34.743059444060201</v>
      </c>
      <c r="O96" s="96">
        <f>Harvest!L94</f>
        <v>69.486118888120401</v>
      </c>
      <c r="P96" s="97">
        <f>CPUE!L94</f>
        <v>2</v>
      </c>
      <c r="Q96" s="41" t="s">
        <v>10</v>
      </c>
      <c r="R96" s="42" t="s">
        <v>10</v>
      </c>
      <c r="S96" s="44" t="s">
        <v>10</v>
      </c>
      <c r="T96" s="41">
        <f>SUM(E96,H96,K96,N96)</f>
        <v>159.84018885848982</v>
      </c>
      <c r="U96" s="42">
        <f t="shared" si="13"/>
        <v>297.82323448761184</v>
      </c>
      <c r="V96" s="42"/>
    </row>
    <row r="97" spans="1:24" x14ac:dyDescent="0.25">
      <c r="A97" s="110" t="s">
        <v>50</v>
      </c>
      <c r="B97" s="110"/>
      <c r="C97" s="110"/>
      <c r="D97" s="111"/>
      <c r="E97" s="47">
        <f>SUM(E89:E96)</f>
        <v>6291.703297763559</v>
      </c>
      <c r="F97" s="48">
        <f>SUM(F89:F96)</f>
        <v>74609.544331612866</v>
      </c>
      <c r="G97" s="49">
        <f>+F97/E97</f>
        <v>11.858401580718766</v>
      </c>
      <c r="H97" s="47">
        <f>SUM(H89:H96)</f>
        <v>7994.1445864906027</v>
      </c>
      <c r="I97" s="48">
        <f>SUM(I89:I96)</f>
        <v>96622.951072573502</v>
      </c>
      <c r="J97" s="49">
        <f>+I97/H97</f>
        <v>12.08671547370531</v>
      </c>
      <c r="K97" s="47">
        <f>SUM(K89:K96)</f>
        <v>8739.6944958208951</v>
      </c>
      <c r="L97" s="48">
        <f>SUM(L89:L96)</f>
        <v>111790.69461099646</v>
      </c>
      <c r="M97" s="49">
        <f>+L97/K97</f>
        <v>12.791144434676978</v>
      </c>
      <c r="N97" s="47">
        <f>SUM(N89:N96)</f>
        <v>1436.0801716845413</v>
      </c>
      <c r="O97" s="48">
        <f>SUM(O89:O96)</f>
        <v>11905.220832898887</v>
      </c>
      <c r="P97" s="49">
        <f>+O97/N97</f>
        <v>8.2900809214111657</v>
      </c>
      <c r="Q97" s="47"/>
      <c r="R97" s="48"/>
      <c r="S97" s="49"/>
      <c r="T97" s="47">
        <f>SUM(T89:T96)</f>
        <v>24461.622551759599</v>
      </c>
      <c r="U97" s="48">
        <f>SUM(U89:U96)</f>
        <v>294928.41084808169</v>
      </c>
      <c r="V97" s="62"/>
      <c r="W97" s="20">
        <f>SUM(H97,K97,N97,Q97,E97)</f>
        <v>24461.622551759596</v>
      </c>
      <c r="X97" s="20">
        <f>SUM(R97,O97,L97,I97,F97)</f>
        <v>294928.41084808175</v>
      </c>
    </row>
    <row r="98" spans="1:24" x14ac:dyDescent="0.25">
      <c r="A98" s="39">
        <v>46113</v>
      </c>
      <c r="B98" s="40" t="s">
        <v>61</v>
      </c>
      <c r="C98" s="4">
        <v>0.49</v>
      </c>
      <c r="D98" s="13">
        <v>0.28125</v>
      </c>
      <c r="E98" s="41">
        <f>Effort!F96</f>
        <v>168.84183894684082</v>
      </c>
      <c r="F98" s="42">
        <f>Harvest!F96</f>
        <v>1181.8928726278857</v>
      </c>
      <c r="G98" s="43">
        <f>+CPUE!F96</f>
        <v>7</v>
      </c>
      <c r="H98" s="95">
        <f>Effort!H96</f>
        <v>109.99999562899301</v>
      </c>
      <c r="I98" s="96">
        <f>Harvest!H96</f>
        <v>703.99997202555505</v>
      </c>
      <c r="J98" s="97">
        <f>CPUE!H96</f>
        <v>6.3999999999999986</v>
      </c>
      <c r="K98" s="41" t="str">
        <f>Effort!J96</f>
        <v>CLOSED</v>
      </c>
      <c r="L98" s="42" t="str">
        <f>Harvest!J96</f>
        <v>CLOSED</v>
      </c>
      <c r="M98" s="43" t="str">
        <f>CPUE!J96</f>
        <v>CLOSED</v>
      </c>
      <c r="N98" s="95">
        <f>Effort!L96</f>
        <v>94.999996225039297</v>
      </c>
      <c r="O98" s="96">
        <f>Harvest!L96</f>
        <v>211.92306850201101</v>
      </c>
      <c r="P98" s="97">
        <f>CPUE!L96</f>
        <v>2.2307692307692335</v>
      </c>
      <c r="Q98" s="41" t="s">
        <v>10</v>
      </c>
      <c r="R98" s="42" t="s">
        <v>10</v>
      </c>
      <c r="S98" s="44" t="s">
        <v>10</v>
      </c>
      <c r="T98" s="41">
        <f>SUM(E98,H98,K98,N98)</f>
        <v>373.84183080087314</v>
      </c>
      <c r="U98" s="42">
        <f>SUM(F98,I98,L98,O98)</f>
        <v>2097.8159131554517</v>
      </c>
      <c r="V98" s="42"/>
    </row>
    <row r="99" spans="1:24" x14ac:dyDescent="0.25">
      <c r="A99" s="39">
        <v>46114</v>
      </c>
      <c r="B99" s="40" t="s">
        <v>22</v>
      </c>
      <c r="C99" s="4">
        <v>7.0000000000000007E-2</v>
      </c>
      <c r="D99" s="13">
        <v>0.30694444444444446</v>
      </c>
      <c r="E99" s="41">
        <f>Effort!F97</f>
        <v>385.94276675537265</v>
      </c>
      <c r="F99" s="42">
        <f>Harvest!F97</f>
        <v>2701.5993672876084</v>
      </c>
      <c r="G99" s="43">
        <f>+CPUE!F97</f>
        <v>7</v>
      </c>
      <c r="H99" s="41">
        <f>Effort!H97</f>
        <v>251.44065547342706</v>
      </c>
      <c r="I99" s="42">
        <f>Harvest!H97</f>
        <v>1760.0845883139893</v>
      </c>
      <c r="J99" s="43">
        <f>CPUE!H97</f>
        <v>7</v>
      </c>
      <c r="K99" s="41" t="str">
        <f>Effort!J97</f>
        <v>CLOSED</v>
      </c>
      <c r="L99" s="42" t="str">
        <f>Harvest!J97</f>
        <v>CLOSED</v>
      </c>
      <c r="M99" s="43" t="str">
        <f>CPUE!J97</f>
        <v>CLOSED</v>
      </c>
      <c r="N99" s="95">
        <f>Effort!L97</f>
        <v>217.15329336341401</v>
      </c>
      <c r="O99" s="96">
        <f>Harvest!L97</f>
        <v>1302.9197601804799</v>
      </c>
      <c r="P99" s="97">
        <f>CPUE!L97</f>
        <v>5.9999999999999805</v>
      </c>
      <c r="Q99" s="41" t="s">
        <v>10</v>
      </c>
      <c r="R99" s="42" t="s">
        <v>10</v>
      </c>
      <c r="S99" s="44" t="s">
        <v>10</v>
      </c>
      <c r="T99" s="41">
        <f t="shared" ref="T99:U104" si="14">SUM(E99,H99,K99,N99)</f>
        <v>854.53671559221368</v>
      </c>
      <c r="U99" s="42">
        <f t="shared" si="14"/>
        <v>5764.6037157820774</v>
      </c>
      <c r="V99" s="42"/>
    </row>
    <row r="100" spans="1:24" x14ac:dyDescent="0.25">
      <c r="A100" s="39">
        <v>46115</v>
      </c>
      <c r="B100" s="40" t="s">
        <v>18</v>
      </c>
      <c r="C100" s="4">
        <v>-0.17</v>
      </c>
      <c r="D100" s="13">
        <v>0.33124999999999999</v>
      </c>
      <c r="E100" s="95">
        <f>Effort!F98</f>
        <v>982.72029401203895</v>
      </c>
      <c r="F100" s="96">
        <f>Harvest!F98</f>
        <v>14249.444263174564</v>
      </c>
      <c r="G100" s="97">
        <f>+CPUE!F98</f>
        <v>14.5</v>
      </c>
      <c r="H100" s="41">
        <f>Effort!H98</f>
        <v>759.10695882350581</v>
      </c>
      <c r="I100" s="42">
        <f>Harvest!H98</f>
        <v>9488.8369852938231</v>
      </c>
      <c r="J100" s="43">
        <f>CPUE!H98</f>
        <v>12.5</v>
      </c>
      <c r="K100" s="95">
        <f>Effort!J98</f>
        <v>1029.8979904908499</v>
      </c>
      <c r="L100" s="96">
        <f>Harvest!J98</f>
        <v>9918.3654301618899</v>
      </c>
      <c r="M100" s="97">
        <f>CPUE!J98</f>
        <v>9.6304347826087042</v>
      </c>
      <c r="N100" s="41" t="str">
        <f>Effort!L98</f>
        <v>CLOSED</v>
      </c>
      <c r="O100" s="42" t="str">
        <f>Harvest!L98</f>
        <v>CLOSED</v>
      </c>
      <c r="P100" s="43" t="str">
        <f>CPUE!L98</f>
        <v>CLOSED</v>
      </c>
      <c r="Q100" s="41" t="s">
        <v>10</v>
      </c>
      <c r="R100" s="42" t="s">
        <v>10</v>
      </c>
      <c r="S100" s="44" t="s">
        <v>10</v>
      </c>
      <c r="T100" s="41">
        <f t="shared" si="14"/>
        <v>2771.7252433263948</v>
      </c>
      <c r="U100" s="42">
        <f t="shared" si="14"/>
        <v>33656.646678630277</v>
      </c>
      <c r="V100" s="42"/>
    </row>
    <row r="101" spans="1:24" x14ac:dyDescent="0.25">
      <c r="A101" s="39">
        <v>46116</v>
      </c>
      <c r="B101" s="40" t="s">
        <v>19</v>
      </c>
      <c r="C101" s="4">
        <v>-0.22</v>
      </c>
      <c r="D101" s="13">
        <v>0.35555555555555557</v>
      </c>
      <c r="E101" s="41">
        <f>Effort!F99</f>
        <v>2292.1371758610444</v>
      </c>
      <c r="F101" s="42">
        <f>Harvest!F99</f>
        <v>33235.989049985146</v>
      </c>
      <c r="G101" s="43">
        <f>+CPUE!F99</f>
        <v>14.5</v>
      </c>
      <c r="H101" s="95">
        <f>Effort!H99</f>
        <v>1770.57224866149</v>
      </c>
      <c r="I101" s="96">
        <f>Harvest!H99</f>
        <v>25850.3548304578</v>
      </c>
      <c r="J101" s="97">
        <f>CPUE!H99</f>
        <v>14.600000000000026</v>
      </c>
      <c r="K101" s="95">
        <f>Effort!J99</f>
        <v>3146.9461074893202</v>
      </c>
      <c r="L101" s="96">
        <f>Harvest!J99</f>
        <v>43858.491013851199</v>
      </c>
      <c r="M101" s="97">
        <f>CPUE!J99</f>
        <v>13.936842105263171</v>
      </c>
      <c r="N101" s="41" t="str">
        <f>Effort!L99</f>
        <v>CLOSED</v>
      </c>
      <c r="O101" s="42" t="str">
        <f>Harvest!L99</f>
        <v>CLOSED</v>
      </c>
      <c r="P101" s="43" t="str">
        <f>CPUE!L99</f>
        <v>CLOSED</v>
      </c>
      <c r="Q101" s="41" t="s">
        <v>10</v>
      </c>
      <c r="R101" s="42" t="s">
        <v>10</v>
      </c>
      <c r="S101" s="44" t="s">
        <v>10</v>
      </c>
      <c r="T101" s="41">
        <f t="shared" si="14"/>
        <v>7209.655532011855</v>
      </c>
      <c r="U101" s="42">
        <f t="shared" si="14"/>
        <v>102944.83489429415</v>
      </c>
      <c r="V101" s="42"/>
    </row>
    <row r="102" spans="1:24" x14ac:dyDescent="0.25">
      <c r="A102" s="39">
        <v>46117</v>
      </c>
      <c r="B102" s="40" t="s">
        <v>20</v>
      </c>
      <c r="C102" s="4">
        <v>-0.1</v>
      </c>
      <c r="D102" s="13">
        <v>0.38055555555555554</v>
      </c>
      <c r="E102" s="95">
        <f>Effort!F100</f>
        <v>647.75388622763512</v>
      </c>
      <c r="F102" s="96">
        <f>Harvest!F100</f>
        <v>9133.3297958096555</v>
      </c>
      <c r="G102" s="97">
        <f>+CPUE!F100</f>
        <v>14.1</v>
      </c>
      <c r="H102" s="41">
        <f>Effort!H100</f>
        <v>1265.9456088240227</v>
      </c>
      <c r="I102" s="42">
        <f>Harvest!H100</f>
        <v>17723.238523536318</v>
      </c>
      <c r="J102" s="43">
        <f>CPUE!H100</f>
        <v>14</v>
      </c>
      <c r="K102" s="41" t="str">
        <f>Effort!J100</f>
        <v>CLOSED</v>
      </c>
      <c r="L102" s="42" t="str">
        <f>Harvest!J100</f>
        <v>CLOSED</v>
      </c>
      <c r="M102" s="43" t="str">
        <f>CPUE!J100</f>
        <v>CLOSED</v>
      </c>
      <c r="N102" s="95">
        <f>Effort!L100</f>
        <v>1093.3166621662001</v>
      </c>
      <c r="O102" s="96">
        <f>Harvest!L100</f>
        <v>13413.526810457</v>
      </c>
      <c r="P102" s="97">
        <f>CPUE!L100</f>
        <v>12.268656716417945</v>
      </c>
      <c r="Q102" s="41" t="s">
        <v>10</v>
      </c>
      <c r="R102" s="42" t="s">
        <v>10</v>
      </c>
      <c r="S102" s="44" t="s">
        <v>10</v>
      </c>
      <c r="T102" s="41">
        <f t="shared" si="14"/>
        <v>3007.0161572178577</v>
      </c>
      <c r="U102" s="42">
        <f t="shared" si="14"/>
        <v>40270.095129802976</v>
      </c>
      <c r="V102" s="42"/>
    </row>
    <row r="103" spans="1:24" x14ac:dyDescent="0.25">
      <c r="A103" s="39">
        <v>46118</v>
      </c>
      <c r="B103" s="40" t="s">
        <v>21</v>
      </c>
      <c r="C103" s="4">
        <v>0.15</v>
      </c>
      <c r="D103" s="13">
        <v>0.40694444444444444</v>
      </c>
      <c r="E103" s="95">
        <f>Effort!F101</f>
        <v>1123.8126577900471</v>
      </c>
      <c r="F103" s="96">
        <f>Harvest!F101</f>
        <v>15271.011712643789</v>
      </c>
      <c r="G103" s="97">
        <f>+CPUE!F101</f>
        <v>13.588574222570067</v>
      </c>
      <c r="H103" s="95">
        <f>Effort!H101</f>
        <v>868.09442538276596</v>
      </c>
      <c r="I103" s="96">
        <f>Harvest!H101</f>
        <v>10877.754636428999</v>
      </c>
      <c r="J103" s="97">
        <f>CPUE!H101</f>
        <v>12.530612244898022</v>
      </c>
      <c r="K103" s="41" t="str">
        <f>Effort!J101</f>
        <v>CLOSED</v>
      </c>
      <c r="L103" s="42" t="str">
        <f>Harvest!J101</f>
        <v>CLOSED</v>
      </c>
      <c r="M103" s="43" t="str">
        <f>CPUE!J101</f>
        <v>CLOSED</v>
      </c>
      <c r="N103" s="95">
        <f>Effort!L101</f>
        <v>632.32075007972105</v>
      </c>
      <c r="O103" s="96">
        <f>Harvest!L101</f>
        <v>3302.1194726385402</v>
      </c>
      <c r="P103" s="97">
        <f>CPUE!L101</f>
        <v>5.222222222222217</v>
      </c>
      <c r="Q103" s="41" t="s">
        <v>10</v>
      </c>
      <c r="R103" s="42" t="s">
        <v>10</v>
      </c>
      <c r="S103" s="44" t="s">
        <v>10</v>
      </c>
      <c r="T103" s="41">
        <f t="shared" si="14"/>
        <v>2624.2278332525343</v>
      </c>
      <c r="U103" s="42">
        <f t="shared" si="14"/>
        <v>29450.885821711327</v>
      </c>
      <c r="V103" s="42"/>
    </row>
    <row r="104" spans="1:24" x14ac:dyDescent="0.25">
      <c r="A104" s="39">
        <v>46119</v>
      </c>
      <c r="B104" s="40" t="s">
        <v>60</v>
      </c>
      <c r="C104" s="4">
        <v>0.51</v>
      </c>
      <c r="D104" s="13">
        <v>0.4375</v>
      </c>
      <c r="E104" s="41">
        <f>Effort!F102</f>
        <v>1098.663577335655</v>
      </c>
      <c r="F104" s="42">
        <f>Harvest!F102</f>
        <v>13733.294716695687</v>
      </c>
      <c r="G104" s="43">
        <f>+CPUE!F102</f>
        <v>12.5</v>
      </c>
      <c r="H104" s="95">
        <f>Effort!H102</f>
        <v>1122.55263909166</v>
      </c>
      <c r="I104" s="96">
        <f>Harvest!H102</f>
        <v>14057.420548625099</v>
      </c>
      <c r="J104" s="97">
        <f>CPUE!H102</f>
        <v>12.522727272727266</v>
      </c>
      <c r="K104" s="95">
        <f>Effort!J102</f>
        <v>1151.40739172485</v>
      </c>
      <c r="L104" s="96">
        <f>Harvest!J102</f>
        <v>10938.3702213861</v>
      </c>
      <c r="M104" s="97">
        <f>CPUE!J102</f>
        <v>9.5000000000000213</v>
      </c>
      <c r="N104" s="41" t="str">
        <f>Effort!L102</f>
        <v>CLOSED</v>
      </c>
      <c r="O104" s="42" t="str">
        <f>Harvest!L102</f>
        <v>CLOSED</v>
      </c>
      <c r="P104" s="43" t="str">
        <f>CPUE!L102</f>
        <v>CLOSED</v>
      </c>
      <c r="Q104" s="41" t="s">
        <v>10</v>
      </c>
      <c r="R104" s="42" t="s">
        <v>10</v>
      </c>
      <c r="S104" s="44" t="s">
        <v>10</v>
      </c>
      <c r="T104" s="41">
        <f t="shared" si="14"/>
        <v>3372.6236081521647</v>
      </c>
      <c r="U104" s="42">
        <f t="shared" si="14"/>
        <v>38729.085486706885</v>
      </c>
      <c r="V104" s="42"/>
    </row>
    <row r="105" spans="1:24" x14ac:dyDescent="0.25">
      <c r="A105" s="110" t="s">
        <v>50</v>
      </c>
      <c r="B105" s="110"/>
      <c r="C105" s="110"/>
      <c r="D105" s="111"/>
      <c r="E105" s="47">
        <f>SUM(E98:E104)</f>
        <v>6699.8721969286335</v>
      </c>
      <c r="F105" s="48">
        <f>SUM(F98:F104)</f>
        <v>89506.561778224335</v>
      </c>
      <c r="G105" s="49">
        <f>+F105/E105</f>
        <v>13.359443157625616</v>
      </c>
      <c r="H105" s="47">
        <f>SUM(H98:H104)</f>
        <v>6147.7125318858643</v>
      </c>
      <c r="I105" s="48">
        <f>SUM(I98:I104)</f>
        <v>80461.690084681584</v>
      </c>
      <c r="J105" s="49">
        <f>+I105/H105</f>
        <v>13.088069695412264</v>
      </c>
      <c r="K105" s="47">
        <f>SUM(K98:K104)</f>
        <v>5328.2514897050196</v>
      </c>
      <c r="L105" s="48">
        <f>SUM(L98:L104)</f>
        <v>64715.226665399183</v>
      </c>
      <c r="M105" s="49">
        <f>+L105/K105</f>
        <v>12.145677956537655</v>
      </c>
      <c r="N105" s="47">
        <f>SUM(N98:N104)</f>
        <v>2037.7907018343744</v>
      </c>
      <c r="O105" s="48">
        <f>SUM(O98:O104)</f>
        <v>18230.489111778032</v>
      </c>
      <c r="P105" s="49">
        <f>+O105/N105</f>
        <v>8.9462029124813185</v>
      </c>
      <c r="Q105" s="47"/>
      <c r="R105" s="48"/>
      <c r="S105" s="49"/>
      <c r="T105" s="47">
        <f>SUM(T98:T104)</f>
        <v>20213.626920353894</v>
      </c>
      <c r="U105" s="48">
        <f>SUM(U98:U104)</f>
        <v>252913.96764008317</v>
      </c>
      <c r="V105" s="62"/>
      <c r="W105" s="20">
        <f>SUM(H105,K105,N105,Q105,E105)</f>
        <v>20213.62692035389</v>
      </c>
      <c r="X105" s="20">
        <f>SUM(R105,O105,L105,I105,F105)</f>
        <v>252913.96764008314</v>
      </c>
    </row>
    <row r="106" spans="1:24" x14ac:dyDescent="0.25">
      <c r="A106" s="39">
        <v>46129</v>
      </c>
      <c r="B106" s="40" t="s">
        <v>18</v>
      </c>
      <c r="C106" s="4">
        <v>-0.94</v>
      </c>
      <c r="D106" s="13">
        <v>0.2902777777777778</v>
      </c>
      <c r="E106" s="41">
        <f>Effort!F104</f>
        <v>1107.6680536412723</v>
      </c>
      <c r="F106" s="42">
        <f>Harvest!F104</f>
        <v>16615.020804619086</v>
      </c>
      <c r="G106" s="43">
        <f>+CPUE!F104</f>
        <v>15</v>
      </c>
      <c r="H106" s="95">
        <f>Effort!H104</f>
        <v>669.61109292003596</v>
      </c>
      <c r="I106" s="96">
        <f>Harvest!H104</f>
        <v>9880.8466150395598</v>
      </c>
      <c r="J106" s="97">
        <f>CPUE!H104</f>
        <v>14.756097560975617</v>
      </c>
      <c r="K106" s="41" t="str">
        <f>Effort!J104</f>
        <v>CLOSED</v>
      </c>
      <c r="L106" s="42" t="str">
        <f>Harvest!J104</f>
        <v>CLOSED</v>
      </c>
      <c r="M106" s="43" t="str">
        <f>CPUE!J104</f>
        <v>CLOSED</v>
      </c>
      <c r="N106" s="95">
        <f>Effort!L104</f>
        <v>873.16171725355002</v>
      </c>
      <c r="O106" s="96">
        <f>Harvest!L104</f>
        <v>13097.4257588032</v>
      </c>
      <c r="P106" s="97">
        <f>CPUE!L104</f>
        <v>14.999999999999941</v>
      </c>
      <c r="Q106" s="41" t="s">
        <v>10</v>
      </c>
      <c r="R106" s="42" t="s">
        <v>10</v>
      </c>
      <c r="S106" s="44" t="s">
        <v>10</v>
      </c>
      <c r="T106" s="41">
        <f>SUM(E106,H106,K106,N106)</f>
        <v>2650.4408638148579</v>
      </c>
      <c r="U106" s="42">
        <f>SUM(F106,I106,L106,O106)</f>
        <v>39593.293178461841</v>
      </c>
      <c r="V106" s="42"/>
    </row>
    <row r="107" spans="1:24" x14ac:dyDescent="0.25">
      <c r="A107" s="39">
        <v>46130</v>
      </c>
      <c r="B107" s="40" t="s">
        <v>19</v>
      </c>
      <c r="C107" s="4">
        <v>-1.51</v>
      </c>
      <c r="D107" s="13">
        <v>0.32013888888888886</v>
      </c>
      <c r="E107" s="95">
        <f>Effort!F105</f>
        <v>3384.771229493972</v>
      </c>
      <c r="F107" s="96">
        <f>Harvest!F105</f>
        <v>27731.780831992099</v>
      </c>
      <c r="G107" s="97">
        <f>+CPUE!F105</f>
        <v>15</v>
      </c>
      <c r="H107" s="95">
        <f>Effort!H105</f>
        <v>2271.1863631761398</v>
      </c>
      <c r="I107" s="96">
        <f>Harvest!H105</f>
        <v>33504.691390656299</v>
      </c>
      <c r="J107" s="97">
        <f>CPUE!H105</f>
        <v>14.752066115702489</v>
      </c>
      <c r="K107" s="41" t="str">
        <f>Effort!J105</f>
        <v>CLOSED</v>
      </c>
      <c r="L107" s="42" t="str">
        <f>Harvest!J105</f>
        <v>CLOSED</v>
      </c>
      <c r="M107" s="43" t="str">
        <f>CPUE!J105</f>
        <v>CLOSED</v>
      </c>
      <c r="N107" s="95">
        <f>Effort!L105</f>
        <v>2668.1754064675001</v>
      </c>
      <c r="O107" s="96">
        <f>Harvest!L105</f>
        <v>30692.852192278398</v>
      </c>
      <c r="P107" s="97">
        <f>CPUE!L105</f>
        <v>11.503311258278123</v>
      </c>
      <c r="Q107" s="41" t="s">
        <v>10</v>
      </c>
      <c r="R107" s="42" t="s">
        <v>10</v>
      </c>
      <c r="S107" s="44" t="s">
        <v>10</v>
      </c>
      <c r="T107" s="41">
        <f t="shared" ref="T107:T112" si="15">SUM(E107,H107,K107,N107)</f>
        <v>8324.1329991376115</v>
      </c>
      <c r="U107" s="42">
        <f t="shared" ref="U107:U112" si="16">SUM(F107,I107,L107,O107)</f>
        <v>91929.324414926799</v>
      </c>
      <c r="V107" s="42"/>
    </row>
    <row r="108" spans="1:24" x14ac:dyDescent="0.25">
      <c r="A108" s="39">
        <v>46131</v>
      </c>
      <c r="B108" s="40" t="s">
        <v>20</v>
      </c>
      <c r="C108" s="4">
        <v>-1.75</v>
      </c>
      <c r="D108" s="13">
        <v>0.35138888888888886</v>
      </c>
      <c r="E108" s="95">
        <f>Effort!F106</f>
        <v>3946.2729811558097</v>
      </c>
      <c r="F108" s="96">
        <f>Harvest!F106</f>
        <v>57626.649841644401</v>
      </c>
      <c r="G108" s="97">
        <f>+CPUE!F106</f>
        <v>14.602803738317753</v>
      </c>
      <c r="H108" s="95">
        <f>Effort!H106</f>
        <v>1992.1123996772601</v>
      </c>
      <c r="I108" s="96">
        <f>Harvest!H106</f>
        <v>28251.775849968501</v>
      </c>
      <c r="J108" s="97">
        <f>CPUE!H106</f>
        <v>14.181818181818224</v>
      </c>
      <c r="K108" s="95">
        <f>Effort!J106</f>
        <v>4133.6056297543901</v>
      </c>
      <c r="L108" s="96">
        <f>Harvest!J106</f>
        <v>53392.406050994097</v>
      </c>
      <c r="M108" s="97">
        <f>CPUE!J106</f>
        <v>12.916666666666641</v>
      </c>
      <c r="N108" s="41" t="str">
        <f>Effort!L106</f>
        <v>CLOSED</v>
      </c>
      <c r="O108" s="42" t="str">
        <f>Harvest!L106</f>
        <v>CLOSED</v>
      </c>
      <c r="P108" s="43" t="str">
        <f>CPUE!L106</f>
        <v>CLOSED</v>
      </c>
      <c r="Q108" s="41" t="s">
        <v>10</v>
      </c>
      <c r="R108" s="42" t="s">
        <v>10</v>
      </c>
      <c r="S108" s="44" t="s">
        <v>10</v>
      </c>
      <c r="T108" s="41">
        <f t="shared" si="15"/>
        <v>10071.991010587459</v>
      </c>
      <c r="U108" s="42">
        <f t="shared" si="16"/>
        <v>139270.831742607</v>
      </c>
      <c r="V108" s="42"/>
    </row>
    <row r="109" spans="1:24" x14ac:dyDescent="0.25">
      <c r="A109" s="39">
        <v>46132</v>
      </c>
      <c r="B109" s="40" t="s">
        <v>21</v>
      </c>
      <c r="C109" s="4">
        <v>-1.67</v>
      </c>
      <c r="D109" s="13">
        <v>0.38472222222222224</v>
      </c>
      <c r="E109" s="41">
        <f>Effort!F107</f>
        <v>2692.0586685256321</v>
      </c>
      <c r="F109" s="42">
        <f>Harvest!F107</f>
        <v>40380.880027884479</v>
      </c>
      <c r="G109" s="43">
        <f>+CPUE!F107</f>
        <v>15</v>
      </c>
      <c r="H109" s="41">
        <f>Effort!H107</f>
        <v>1358.9742726459465</v>
      </c>
      <c r="I109" s="42">
        <f>Harvest!H107</f>
        <v>20384.614089689196</v>
      </c>
      <c r="J109" s="43">
        <f>CPUE!H107</f>
        <v>15</v>
      </c>
      <c r="K109" s="95">
        <f>Effort!J107</f>
        <v>2819.8527879304102</v>
      </c>
      <c r="L109" s="96">
        <f>Harvest!J107</f>
        <v>41851.082466412699</v>
      </c>
      <c r="M109" s="97">
        <f>CPUE!J107</f>
        <v>14.841584158415834</v>
      </c>
      <c r="N109" s="41" t="str">
        <f>Effort!L107</f>
        <v>CLOSED</v>
      </c>
      <c r="O109" s="42" t="str">
        <f>Harvest!L107</f>
        <v>CLOSED</v>
      </c>
      <c r="P109" s="43" t="str">
        <f>CPUE!L107</f>
        <v>CLOSED</v>
      </c>
      <c r="Q109" s="41" t="s">
        <v>10</v>
      </c>
      <c r="R109" s="42" t="s">
        <v>10</v>
      </c>
      <c r="S109" s="44" t="s">
        <v>10</v>
      </c>
      <c r="T109" s="41">
        <f t="shared" si="15"/>
        <v>6870.8857291019885</v>
      </c>
      <c r="U109" s="42">
        <f t="shared" si="16"/>
        <v>102616.57658398637</v>
      </c>
      <c r="V109" s="42"/>
    </row>
    <row r="110" spans="1:24" x14ac:dyDescent="0.25">
      <c r="A110" s="39">
        <v>46133</v>
      </c>
      <c r="B110" s="40" t="s">
        <v>60</v>
      </c>
      <c r="C110" s="4">
        <v>-1.3</v>
      </c>
      <c r="D110" s="13">
        <v>0.42152777777777778</v>
      </c>
      <c r="E110" s="41">
        <f>Effort!F108</f>
        <v>1740.8120231546238</v>
      </c>
      <c r="F110" s="42">
        <f>Harvest!F108</f>
        <v>25241.774335742044</v>
      </c>
      <c r="G110" s="43">
        <f>+CPUE!F108</f>
        <v>14.5</v>
      </c>
      <c r="H110" s="41">
        <f>Effort!H108</f>
        <v>1627.923071825941</v>
      </c>
      <c r="I110" s="42">
        <f>Harvest!H108</f>
        <v>23604.884541476145</v>
      </c>
      <c r="J110" s="43">
        <f>CPUE!H108</f>
        <v>14.5</v>
      </c>
      <c r="K110" s="41" t="str">
        <f>Effort!J108</f>
        <v>CLOSED</v>
      </c>
      <c r="L110" s="42" t="str">
        <f>Harvest!J108</f>
        <v>CLOSED</v>
      </c>
      <c r="M110" s="43" t="str">
        <f>CPUE!J108</f>
        <v>CLOSED</v>
      </c>
      <c r="N110" s="95">
        <f>Effort!L108</f>
        <v>1181.0927559577001</v>
      </c>
      <c r="O110" s="96">
        <f>Harvest!L108</f>
        <v>16572.207732031398</v>
      </c>
      <c r="P110" s="97">
        <f>CPUE!L108</f>
        <v>14.031249999999931</v>
      </c>
      <c r="Q110" s="41" t="s">
        <v>10</v>
      </c>
      <c r="R110" s="42" t="s">
        <v>10</v>
      </c>
      <c r="S110" s="44" t="s">
        <v>10</v>
      </c>
      <c r="T110" s="41">
        <f t="shared" si="15"/>
        <v>4549.8278509382653</v>
      </c>
      <c r="U110" s="42">
        <f t="shared" si="16"/>
        <v>65418.866609249584</v>
      </c>
      <c r="V110" s="42"/>
    </row>
    <row r="111" spans="1:24" x14ac:dyDescent="0.25">
      <c r="A111" s="39">
        <v>46134</v>
      </c>
      <c r="B111" s="40" t="s">
        <v>61</v>
      </c>
      <c r="C111" s="4">
        <v>-0.78</v>
      </c>
      <c r="D111" s="13">
        <v>0.46250000000000002</v>
      </c>
      <c r="E111" s="95">
        <f>Effort!F109</f>
        <v>761.50353550236628</v>
      </c>
      <c r="F111" s="96">
        <f>Harvest!F109</f>
        <v>6239.0772425987197</v>
      </c>
      <c r="G111" s="97">
        <f>+CPUE!F109</f>
        <v>15</v>
      </c>
      <c r="H111" s="95">
        <f>Effort!H109</f>
        <v>712.12121597991495</v>
      </c>
      <c r="I111" s="96">
        <f>Harvest!H109</f>
        <v>9944.56333374305</v>
      </c>
      <c r="J111" s="97">
        <f>CPUE!H109</f>
        <v>13.964705882352945</v>
      </c>
      <c r="K111" s="41" t="str">
        <f>Effort!J109</f>
        <v>CLOSED</v>
      </c>
      <c r="L111" s="42" t="str">
        <f>Harvest!J109</f>
        <v>CLOSED</v>
      </c>
      <c r="M111" s="43" t="str">
        <f>CPUE!J109</f>
        <v>CLOSED</v>
      </c>
      <c r="N111" s="95">
        <f>Effort!L109</f>
        <v>516.65906338822106</v>
      </c>
      <c r="O111" s="96">
        <f>Harvest!L109</f>
        <v>5747.8320801939599</v>
      </c>
      <c r="P111" s="97">
        <f>CPUE!L109</f>
        <v>11.125000000000002</v>
      </c>
      <c r="Q111" s="41" t="s">
        <v>10</v>
      </c>
      <c r="R111" s="42" t="s">
        <v>10</v>
      </c>
      <c r="S111" s="44" t="s">
        <v>10</v>
      </c>
      <c r="T111" s="41">
        <f t="shared" si="15"/>
        <v>1990.2838148705023</v>
      </c>
      <c r="U111" s="42">
        <f t="shared" si="16"/>
        <v>21931.47265653573</v>
      </c>
      <c r="V111" s="42"/>
    </row>
    <row r="112" spans="1:24" x14ac:dyDescent="0.25">
      <c r="A112" s="39">
        <v>46135</v>
      </c>
      <c r="B112" s="40" t="s">
        <v>22</v>
      </c>
      <c r="C112" s="4">
        <v>-0.22</v>
      </c>
      <c r="D112" s="13">
        <v>0.50763888888888886</v>
      </c>
      <c r="E112" s="41">
        <f>Effort!F110</f>
        <v>938.37632406326998</v>
      </c>
      <c r="F112" s="42">
        <f>Harvest!F110</f>
        <v>11729.704050790875</v>
      </c>
      <c r="G112" s="43">
        <f>+CPUE!F110</f>
        <v>12.5</v>
      </c>
      <c r="H112" s="41">
        <f>Effort!H110</f>
        <v>473.70040533346463</v>
      </c>
      <c r="I112" s="42">
        <f>Harvest!H110</f>
        <v>5921.2550666683082</v>
      </c>
      <c r="J112" s="43">
        <f>CPUE!H110</f>
        <v>12.5</v>
      </c>
      <c r="K112" s="95">
        <f>Effort!J110</f>
        <v>982.92177821922803</v>
      </c>
      <c r="L112" s="96">
        <f>Harvest!J110</f>
        <v>12168.571614354099</v>
      </c>
      <c r="M112" s="97">
        <f>CPUE!J110</f>
        <v>12.380000000000058</v>
      </c>
      <c r="N112" s="41" t="str">
        <f>Effort!L110</f>
        <v>CLOSED</v>
      </c>
      <c r="O112" s="42" t="str">
        <f>Harvest!L110</f>
        <v>CLOSED</v>
      </c>
      <c r="P112" s="43" t="str">
        <f>CPUE!L110</f>
        <v>CLOSED</v>
      </c>
      <c r="Q112" s="41" t="s">
        <v>10</v>
      </c>
      <c r="R112" s="42" t="s">
        <v>10</v>
      </c>
      <c r="S112" s="44" t="s">
        <v>10</v>
      </c>
      <c r="T112" s="41">
        <f t="shared" si="15"/>
        <v>2394.9985076159628</v>
      </c>
      <c r="U112" s="42">
        <f t="shared" si="16"/>
        <v>29819.530731813284</v>
      </c>
      <c r="V112" s="42"/>
    </row>
    <row r="113" spans="1:24" x14ac:dyDescent="0.25">
      <c r="A113" s="110" t="s">
        <v>50</v>
      </c>
      <c r="B113" s="110"/>
      <c r="C113" s="110"/>
      <c r="D113" s="111"/>
      <c r="E113" s="47">
        <f>SUM(E106:E112)</f>
        <v>14571.462815536946</v>
      </c>
      <c r="F113" s="48">
        <f>SUM(F106:F112)</f>
        <v>185564.88713527171</v>
      </c>
      <c r="G113" s="49">
        <f>+F113/E113</f>
        <v>12.734815267648459</v>
      </c>
      <c r="H113" s="47">
        <f>SUM(H106:H112)</f>
        <v>9105.628821558701</v>
      </c>
      <c r="I113" s="48">
        <f>SUM(I106:I112)</f>
        <v>131492.63088724104</v>
      </c>
      <c r="J113" s="49">
        <f>+I113/H113</f>
        <v>14.440807270324482</v>
      </c>
      <c r="K113" s="47">
        <f>SUM(K106:K112)</f>
        <v>7936.3801959040284</v>
      </c>
      <c r="L113" s="48">
        <f>SUM(L106:L112)</f>
        <v>107412.0601317609</v>
      </c>
      <c r="M113" s="49">
        <f>+L113/K113</f>
        <v>13.53413741282157</v>
      </c>
      <c r="N113" s="47">
        <f>SUM(N106:N112)</f>
        <v>5239.0889430669722</v>
      </c>
      <c r="O113" s="48">
        <f>SUM(O106:O112)</f>
        <v>66110.317763306957</v>
      </c>
      <c r="P113" s="49">
        <f>+O113/N113</f>
        <v>12.618666810532492</v>
      </c>
      <c r="Q113" s="47"/>
      <c r="R113" s="48"/>
      <c r="S113" s="49"/>
      <c r="T113" s="47">
        <f>SUM(T106:T112)</f>
        <v>36852.560776066653</v>
      </c>
      <c r="U113" s="48">
        <f>SUM(U106:U112)</f>
        <v>490579.89591758064</v>
      </c>
      <c r="V113" s="62"/>
      <c r="W113" s="20">
        <f>SUM(H113,K113,N113,Q113,E113)</f>
        <v>36852.560776066646</v>
      </c>
      <c r="X113" s="20">
        <f>SUM(R113,O113,L113,I113,F113)</f>
        <v>490579.89591758058</v>
      </c>
    </row>
    <row r="114" spans="1:24" x14ac:dyDescent="0.25">
      <c r="A114" s="39">
        <v>46142</v>
      </c>
      <c r="B114" s="40" t="s">
        <v>22</v>
      </c>
      <c r="C114" s="4">
        <v>-0.32</v>
      </c>
      <c r="D114" s="13">
        <v>0.26805555555555555</v>
      </c>
      <c r="E114" s="41">
        <f>Effort!F112</f>
        <v>287.27515066621663</v>
      </c>
      <c r="F114" s="42">
        <f>Harvest!F112</f>
        <v>4309.127259993249</v>
      </c>
      <c r="G114" s="43">
        <f>+CPUE!F112</f>
        <v>15</v>
      </c>
      <c r="H114" s="95">
        <f>Effort!H112</f>
        <v>248.58756213868199</v>
      </c>
      <c r="I114" s="96">
        <f>Harvest!H112</f>
        <v>3728.8134320802301</v>
      </c>
      <c r="J114" s="97">
        <f>CPUE!H112</f>
        <v>15.000000000000002</v>
      </c>
      <c r="K114" s="41" t="str">
        <f>Effort!J112</f>
        <v>CLOSED</v>
      </c>
      <c r="L114" s="42" t="str">
        <f>Harvest!J112</f>
        <v>CLOSED</v>
      </c>
      <c r="M114" s="43" t="str">
        <f>CPUE!J112</f>
        <v>CLOSED</v>
      </c>
      <c r="N114" s="95">
        <f>Effort!L112</f>
        <v>253.30921614639399</v>
      </c>
      <c r="O114" s="96">
        <f>Harvest!L112</f>
        <v>3799.6382421959102</v>
      </c>
      <c r="P114" s="97">
        <f>CPUE!L112</f>
        <v>15.000000000000002</v>
      </c>
      <c r="Q114" s="41" t="s">
        <v>10</v>
      </c>
      <c r="R114" s="42" t="s">
        <v>10</v>
      </c>
      <c r="S114" s="44" t="s">
        <v>10</v>
      </c>
      <c r="T114" s="41">
        <f>SUM(E114,H114,K114,N114)</f>
        <v>789.17192895129256</v>
      </c>
      <c r="U114" s="42">
        <f>SUM(F114,I114,L114,O114)</f>
        <v>11837.57893426939</v>
      </c>
      <c r="V114" s="42"/>
    </row>
    <row r="115" spans="1:24" x14ac:dyDescent="0.25">
      <c r="A115" s="39">
        <v>46143</v>
      </c>
      <c r="B115" s="40" t="s">
        <v>18</v>
      </c>
      <c r="C115" s="4">
        <v>-0.66</v>
      </c>
      <c r="D115" s="13">
        <v>0.29236111111111113</v>
      </c>
      <c r="E115" s="95">
        <f>Effort!F113</f>
        <v>930.15605329750906</v>
      </c>
      <c r="F115" s="96">
        <f>Harvest!F113</f>
        <v>13321.7265260406</v>
      </c>
      <c r="G115" s="97">
        <f>+CPUE!F113</f>
        <v>14.32203389830509</v>
      </c>
      <c r="H115" s="95">
        <f>Effort!H113</f>
        <v>661.330799780559</v>
      </c>
      <c r="I115" s="96">
        <f>Harvest!H113</f>
        <v>9717.5137926939296</v>
      </c>
      <c r="J115" s="97">
        <f>CPUE!H113</f>
        <v>14.69387755102041</v>
      </c>
      <c r="K115" s="95">
        <f>Effort!J113</f>
        <v>1117.99713812154</v>
      </c>
      <c r="L115" s="96">
        <f>Harvest!J113</f>
        <v>13866.770955088101</v>
      </c>
      <c r="M115" s="97">
        <f>CPUE!J113</f>
        <v>12.403225806451584</v>
      </c>
      <c r="N115" s="41" t="str">
        <f>Effort!L113</f>
        <v>CLOSED</v>
      </c>
      <c r="O115" s="42" t="str">
        <f>Harvest!L113</f>
        <v>CLOSED</v>
      </c>
      <c r="P115" s="43" t="str">
        <f>CPUE!L113</f>
        <v>CLOSED</v>
      </c>
      <c r="Q115" s="41" t="s">
        <v>10</v>
      </c>
      <c r="R115" s="42" t="s">
        <v>10</v>
      </c>
      <c r="S115" s="44" t="s">
        <v>10</v>
      </c>
      <c r="T115" s="41">
        <f t="shared" ref="T115:U120" si="17">SUM(E115,H115,K115,N115)</f>
        <v>2709.4839911996082</v>
      </c>
      <c r="U115" s="42">
        <f t="shared" si="17"/>
        <v>36906.011273822631</v>
      </c>
      <c r="V115" s="42"/>
    </row>
    <row r="116" spans="1:24" x14ac:dyDescent="0.25">
      <c r="A116" s="39">
        <v>46144</v>
      </c>
      <c r="B116" s="40" t="s">
        <v>19</v>
      </c>
      <c r="C116" s="4">
        <v>-0.83</v>
      </c>
      <c r="D116" s="13">
        <v>0.31597222222222221</v>
      </c>
      <c r="E116" s="41">
        <f>Effort!F114</f>
        <v>2517.6548873231941</v>
      </c>
      <c r="F116" s="42">
        <f>Harvest!F114</f>
        <v>36505.995866186313</v>
      </c>
      <c r="G116" s="43">
        <f>+CPUE!F114</f>
        <v>14.5</v>
      </c>
      <c r="H116" s="95">
        <f>Effort!H114</f>
        <v>2321.1649569442602</v>
      </c>
      <c r="I116" s="96">
        <f>Harvest!H114</f>
        <v>34443.092909495397</v>
      </c>
      <c r="J116" s="97">
        <f>CPUE!H114</f>
        <v>14.838709677419322</v>
      </c>
      <c r="K116" s="95">
        <f>Effort!J114</f>
        <v>3223.3604805628502</v>
      </c>
      <c r="L116" s="96">
        <f>Harvest!J114</f>
        <v>42170.079675462803</v>
      </c>
      <c r="M116" s="97">
        <f>CPUE!J114</f>
        <v>13.082644628099192</v>
      </c>
      <c r="N116" s="41" t="str">
        <f>Effort!L114</f>
        <v>CLOSED</v>
      </c>
      <c r="O116" s="42" t="str">
        <f>Harvest!L114</f>
        <v>CLOSED</v>
      </c>
      <c r="P116" s="43" t="str">
        <f>CPUE!L114</f>
        <v>CLOSED</v>
      </c>
      <c r="Q116" s="41" t="s">
        <v>10</v>
      </c>
      <c r="R116" s="42" t="s">
        <v>10</v>
      </c>
      <c r="S116" s="44" t="s">
        <v>10</v>
      </c>
      <c r="T116" s="41">
        <f t="shared" si="17"/>
        <v>8062.1803248303049</v>
      </c>
      <c r="U116" s="42">
        <f t="shared" si="17"/>
        <v>113119.16845114451</v>
      </c>
      <c r="V116" s="42"/>
    </row>
    <row r="117" spans="1:24" x14ac:dyDescent="0.25">
      <c r="A117" s="39">
        <v>46145</v>
      </c>
      <c r="B117" s="40" t="s">
        <v>20</v>
      </c>
      <c r="C117" s="4">
        <v>-0.82</v>
      </c>
      <c r="D117" s="13">
        <v>0.33888888888888891</v>
      </c>
      <c r="E117" s="95">
        <f>Effort!F115</f>
        <v>2113.3152526397489</v>
      </c>
      <c r="F117" s="96">
        <f>Harvest!F115</f>
        <v>19176.9422445774</v>
      </c>
      <c r="G117" s="97">
        <f>+CPUE!F115</f>
        <v>14.7</v>
      </c>
      <c r="H117" s="41">
        <f>Effort!H115</f>
        <v>1828.7132926947868</v>
      </c>
      <c r="I117" s="42">
        <f>Harvest!H115</f>
        <v>26516.342744074409</v>
      </c>
      <c r="J117" s="43">
        <f>CPUE!H115</f>
        <v>14.5</v>
      </c>
      <c r="K117" s="41" t="str">
        <f>Effort!J115</f>
        <v>CLOSED</v>
      </c>
      <c r="L117" s="42" t="str">
        <f>Harvest!J115</f>
        <v>CLOSED</v>
      </c>
      <c r="M117" s="43" t="str">
        <f>CPUE!J115</f>
        <v>CLOSED</v>
      </c>
      <c r="N117" s="95">
        <f>Effort!L115</f>
        <v>1863.4477394753201</v>
      </c>
      <c r="O117" s="96">
        <f>Harvest!L115</f>
        <v>19018.693423510998</v>
      </c>
      <c r="P117" s="97">
        <f>CPUE!L115</f>
        <v>10.206185567010309</v>
      </c>
      <c r="Q117" s="41" t="s">
        <v>10</v>
      </c>
      <c r="R117" s="42" t="s">
        <v>10</v>
      </c>
      <c r="S117" s="44" t="s">
        <v>10</v>
      </c>
      <c r="T117" s="41">
        <f t="shared" si="17"/>
        <v>5805.4762848098562</v>
      </c>
      <c r="U117" s="42">
        <f t="shared" si="17"/>
        <v>64711.978412162804</v>
      </c>
      <c r="V117" s="42"/>
    </row>
    <row r="118" spans="1:24" x14ac:dyDescent="0.25">
      <c r="A118" s="39">
        <v>46146</v>
      </c>
      <c r="B118" s="40" t="s">
        <v>21</v>
      </c>
      <c r="C118" s="4">
        <v>-0.68</v>
      </c>
      <c r="D118" s="13">
        <v>0.36319444444444443</v>
      </c>
      <c r="E118" s="41">
        <f>Effort!F116</f>
        <v>1101.0855474521143</v>
      </c>
      <c r="F118" s="42">
        <f>Harvest!F116</f>
        <v>13763.569343151428</v>
      </c>
      <c r="G118" s="43">
        <f>+CPUE!F116</f>
        <v>12.5</v>
      </c>
      <c r="H118" s="95">
        <f>Effort!H116</f>
        <v>1015.15152065222</v>
      </c>
      <c r="I118" s="96">
        <f>Harvest!H116</f>
        <v>12735.537259091499</v>
      </c>
      <c r="J118" s="97">
        <f>CPUE!H116</f>
        <v>12.545454545454557</v>
      </c>
      <c r="K118" s="41" t="str">
        <f>Effort!J116</f>
        <v>CLOSED</v>
      </c>
      <c r="L118" s="42" t="str">
        <f>Harvest!J116</f>
        <v>CLOSED</v>
      </c>
      <c r="M118" s="43" t="str">
        <f>CPUE!J116</f>
        <v>CLOSED</v>
      </c>
      <c r="N118" s="95">
        <f>Effort!L116</f>
        <v>548.16209603108302</v>
      </c>
      <c r="O118" s="96">
        <f>Harvest!L116</f>
        <v>5371.9885411046198</v>
      </c>
      <c r="P118" s="97">
        <f>CPUE!L116</f>
        <v>9.8000000000000114</v>
      </c>
      <c r="Q118" s="41" t="s">
        <v>10</v>
      </c>
      <c r="R118" s="42" t="s">
        <v>10</v>
      </c>
      <c r="S118" s="44" t="s">
        <v>10</v>
      </c>
      <c r="T118" s="41">
        <f t="shared" si="17"/>
        <v>2664.3991641354173</v>
      </c>
      <c r="U118" s="42">
        <f t="shared" si="17"/>
        <v>31871.095143347549</v>
      </c>
      <c r="V118" s="42"/>
    </row>
    <row r="119" spans="1:24" x14ac:dyDescent="0.25">
      <c r="A119" s="39">
        <v>46147</v>
      </c>
      <c r="B119" s="40" t="s">
        <v>60</v>
      </c>
      <c r="C119" s="4">
        <v>-0.42</v>
      </c>
      <c r="D119" s="13">
        <v>0.38958333333333334</v>
      </c>
      <c r="E119" s="41">
        <f>Effort!F117</f>
        <v>1133.6751836386113</v>
      </c>
      <c r="F119" s="42">
        <f>Harvest!F117</f>
        <v>17005.127754579171</v>
      </c>
      <c r="G119" s="43">
        <f>+CPUE!F117</f>
        <v>15</v>
      </c>
      <c r="H119" s="95">
        <f>Effort!H117</f>
        <v>1045.1977044467301</v>
      </c>
      <c r="I119" s="96">
        <f>Harvest!H117</f>
        <v>15677.965566700999</v>
      </c>
      <c r="J119" s="97">
        <f>CPUE!H117</f>
        <v>15.000000000000046</v>
      </c>
      <c r="K119" s="95">
        <f>Effort!J117</f>
        <v>1442.70647721045</v>
      </c>
      <c r="L119" s="96">
        <f>Harvest!J117</f>
        <v>19890.113299141402</v>
      </c>
      <c r="M119" s="97">
        <f>CPUE!J117</f>
        <v>13.786666666666665</v>
      </c>
      <c r="N119" s="41" t="str">
        <f>Effort!L117</f>
        <v>CLOSED</v>
      </c>
      <c r="O119" s="42" t="str">
        <f>Harvest!L117</f>
        <v>CLOSED</v>
      </c>
      <c r="P119" s="43" t="str">
        <f>CPUE!L117</f>
        <v>CLOSED</v>
      </c>
      <c r="Q119" s="41" t="s">
        <v>10</v>
      </c>
      <c r="R119" s="42" t="s">
        <v>10</v>
      </c>
      <c r="S119" s="44" t="s">
        <v>10</v>
      </c>
      <c r="T119" s="41">
        <f t="shared" si="17"/>
        <v>3621.5793652957914</v>
      </c>
      <c r="U119" s="42">
        <f t="shared" si="17"/>
        <v>52573.206620421566</v>
      </c>
      <c r="V119" s="42"/>
    </row>
    <row r="120" spans="1:24" x14ac:dyDescent="0.25">
      <c r="A120" s="39">
        <v>46148</v>
      </c>
      <c r="B120" s="40" t="s">
        <v>61</v>
      </c>
      <c r="C120" s="4">
        <v>-0.11</v>
      </c>
      <c r="D120" s="13">
        <v>0.41875000000000001</v>
      </c>
      <c r="E120" s="95">
        <f>Effort!F118</f>
        <v>1039.4576250200921</v>
      </c>
      <c r="F120" s="96">
        <f>Harvest!F118</f>
        <v>9646.7650091792693</v>
      </c>
      <c r="G120" s="97">
        <f>+CPUE!F118</f>
        <v>15</v>
      </c>
      <c r="H120" s="95">
        <f>Effort!H118</f>
        <v>958.33333852616204</v>
      </c>
      <c r="I120" s="96">
        <f>Harvest!H118</f>
        <v>14375.0000778924</v>
      </c>
      <c r="J120" s="97">
        <f>CPUE!H118</f>
        <v>14.999999999999968</v>
      </c>
      <c r="K120" s="95">
        <f>Effort!J118</f>
        <v>1033.1492039321899</v>
      </c>
      <c r="L120" s="96">
        <f>Harvest!J118</f>
        <v>13211.786789678399</v>
      </c>
      <c r="M120" s="97">
        <f>CPUE!J118</f>
        <v>12.787878787878876</v>
      </c>
      <c r="N120" s="41" t="str">
        <f>Effort!L118</f>
        <v>CLOSED</v>
      </c>
      <c r="O120" s="42" t="str">
        <f>Harvest!L118</f>
        <v>CLOSED</v>
      </c>
      <c r="P120" s="43" t="str">
        <f>CPUE!L118</f>
        <v>CLOSED</v>
      </c>
      <c r="Q120" s="41" t="s">
        <v>10</v>
      </c>
      <c r="R120" s="42" t="s">
        <v>10</v>
      </c>
      <c r="S120" s="44" t="s">
        <v>10</v>
      </c>
      <c r="T120" s="41">
        <f t="shared" si="17"/>
        <v>3030.940167478444</v>
      </c>
      <c r="U120" s="42">
        <f t="shared" si="17"/>
        <v>37233.551876750069</v>
      </c>
      <c r="V120" s="42"/>
    </row>
    <row r="121" spans="1:24" x14ac:dyDescent="0.25">
      <c r="A121" s="110" t="s">
        <v>50</v>
      </c>
      <c r="B121" s="110"/>
      <c r="C121" s="110"/>
      <c r="D121" s="111"/>
      <c r="E121" s="47">
        <f>SUM(E114:E120)</f>
        <v>9122.6197000374868</v>
      </c>
      <c r="F121" s="48">
        <f>SUM(F114:F120)</f>
        <v>113729.25400370742</v>
      </c>
      <c r="G121" s="49">
        <f>+F121/E121</f>
        <v>12.466731897553515</v>
      </c>
      <c r="H121" s="47">
        <f>SUM(H114:H120)</f>
        <v>8078.4791751834</v>
      </c>
      <c r="I121" s="48">
        <f>SUM(I114:I120)</f>
        <v>117194.26578202886</v>
      </c>
      <c r="J121" s="49">
        <f>+I121/H121</f>
        <v>14.506971329708017</v>
      </c>
      <c r="K121" s="47">
        <f>SUM(K114:K120)</f>
        <v>6817.2132998270308</v>
      </c>
      <c r="L121" s="48">
        <f>SUM(L114:L120)</f>
        <v>89138.750719370713</v>
      </c>
      <c r="M121" s="49">
        <f>+L121/K121</f>
        <v>13.075540811027928</v>
      </c>
      <c r="N121" s="47">
        <f>SUM(N114:N120)</f>
        <v>2664.919051652797</v>
      </c>
      <c r="O121" s="48">
        <f>SUM(O114:O120)</f>
        <v>28190.320206811528</v>
      </c>
      <c r="P121" s="49">
        <f>+O121/N121</f>
        <v>10.578302627739383</v>
      </c>
      <c r="Q121" s="47"/>
      <c r="R121" s="48"/>
      <c r="S121" s="49"/>
      <c r="T121" s="47">
        <f>SUM(T114:T120)</f>
        <v>26683.231226700715</v>
      </c>
      <c r="U121" s="48">
        <f>SUM(U114:U120)</f>
        <v>348252.59071191854</v>
      </c>
      <c r="V121" s="62"/>
      <c r="W121" s="20">
        <f>SUM(H121,K121,N121,Q121,E121)</f>
        <v>26683.231226700715</v>
      </c>
      <c r="X121" s="20">
        <f>SUM(R121,O121,L121,I121,F121)</f>
        <v>348252.59071191854</v>
      </c>
    </row>
    <row r="122" spans="1:24" ht="15.75" thickBot="1" x14ac:dyDescent="0.3">
      <c r="A122" s="81"/>
      <c r="B122" s="81"/>
      <c r="C122" s="81"/>
      <c r="D122" s="81"/>
      <c r="E122" s="62"/>
      <c r="F122" s="62"/>
      <c r="G122" s="63"/>
      <c r="H122" s="62"/>
      <c r="I122" s="62"/>
      <c r="J122" s="63"/>
      <c r="K122" s="62"/>
      <c r="L122" s="62"/>
      <c r="M122" s="63"/>
      <c r="N122" s="62"/>
      <c r="O122" s="62"/>
      <c r="P122" s="63"/>
      <c r="Q122" s="62"/>
      <c r="R122" s="62"/>
      <c r="S122" s="63"/>
      <c r="T122" s="62"/>
      <c r="U122" s="62"/>
    </row>
    <row r="123" spans="1:24" ht="15.75" thickTop="1" x14ac:dyDescent="0.25">
      <c r="A123" s="56" t="s">
        <v>51</v>
      </c>
      <c r="B123" s="57"/>
      <c r="C123" s="57"/>
      <c r="D123" s="57"/>
      <c r="E123" s="58">
        <f>+SUM(E11,E19,E27,E34,E42,E49,E57,E65,E73,E80,E88,E97,E105,E113,E121)</f>
        <v>104089.89881769693</v>
      </c>
      <c r="F123" s="58">
        <f>+SUM(F11,F19,F27,F34,F42,F49,F57,F65,F73,F80,F88,F97,F105,F113,F121)</f>
        <v>1283163.7984730995</v>
      </c>
      <c r="G123" s="59">
        <f>+F123/E123</f>
        <v>12.327457448300846</v>
      </c>
      <c r="H123" s="58">
        <f>+SUM(H11,H19,H27,H34,H42,H49,H57,H65,H73,H80,H88,H97,H105,H113,H121)</f>
        <v>93256.286762591364</v>
      </c>
      <c r="I123" s="58">
        <f>+SUM(I11,I19,I27,I34,I42,I49,I57,I65,I73,I80,I88,I97,I105,I113,I121)</f>
        <v>1168827.9448440771</v>
      </c>
      <c r="J123" s="59">
        <f>+I123/H123</f>
        <v>12.533502945701011</v>
      </c>
      <c r="K123" s="58">
        <f>+SUM(K11,K19,K27,K34,K42,K49,K57,K65,K73,K80,K88,K97,K105,K113,K121)</f>
        <v>72865.365829009257</v>
      </c>
      <c r="L123" s="58">
        <f>+SUM(L11,L19,L27,L34,L42,L49,L57,L65,L73,L80,L88,L97,L105,L113,L121)</f>
        <v>861964.16125146288</v>
      </c>
      <c r="M123" s="59">
        <f>+L123/K123</f>
        <v>11.829545511021047</v>
      </c>
      <c r="N123" s="58">
        <f>+SUM(N11,N19,N27,N34,N42,N49,N57,N65,N73,N80,N88,N97,N105,N113,N121)</f>
        <v>38562.771953033174</v>
      </c>
      <c r="O123" s="58">
        <f>+SUM(O11,O19,O27,O34,O42,O49,O57,O65,O73,O80,O88,O97,O105,O113,O121)</f>
        <v>411473.54489387042</v>
      </c>
      <c r="P123" s="59">
        <f>+O123/N123</f>
        <v>10.670227373566847</v>
      </c>
      <c r="Q123" s="58">
        <f>+SUM(Q11,Q19,Q27,Q34,Q42,Q49,Q57,Q65,Q73,Q80,Q88,Q97,Q105,Q121)</f>
        <v>0</v>
      </c>
      <c r="R123" s="58">
        <f>+SUM(R11,R19,R27,R34,R42,R49,R57,R65,R73,R80,R88,R97,R105,R121)</f>
        <v>0</v>
      </c>
      <c r="S123" s="59">
        <v>0</v>
      </c>
      <c r="T123" s="58">
        <f>+SUM(T11,T19,T27,T34,T42,T49,T57,T65,T73,T80,T88,T97,T105,T113,T121)</f>
        <v>308774.32336233079</v>
      </c>
      <c r="U123" s="58">
        <f>+SUM(U11,U19,U27,U34,U42,U49,U57,U65,U73,U80,U88,U97,U105,U113,U121)</f>
        <v>3725429.4494625102</v>
      </c>
      <c r="V123" s="62"/>
      <c r="W123" s="20">
        <f>SUM(W4:W122)</f>
        <v>308774.32336233079</v>
      </c>
      <c r="X123" s="20">
        <f>SUM(X4:X122)</f>
        <v>3725429.4494625102</v>
      </c>
    </row>
    <row r="124" spans="1:24" x14ac:dyDescent="0.25">
      <c r="A124" s="60" t="s">
        <v>52</v>
      </c>
      <c r="B124" s="61"/>
      <c r="C124" s="61"/>
      <c r="D124" s="61"/>
      <c r="E124" s="62"/>
      <c r="F124" s="62">
        <f>Harvest!F122</f>
        <v>30795.931163354395</v>
      </c>
      <c r="G124" s="63"/>
      <c r="H124" s="62"/>
      <c r="I124" s="62">
        <f>Harvest!H122</f>
        <v>24044.460579649567</v>
      </c>
      <c r="J124" s="63"/>
      <c r="K124" s="62"/>
      <c r="L124" s="62">
        <f>Harvest!J122</f>
        <v>17631.085116507198</v>
      </c>
      <c r="M124" s="63"/>
      <c r="N124" s="62"/>
      <c r="O124" s="62">
        <f>Harvest!L122</f>
        <v>5908.3380805273682</v>
      </c>
      <c r="P124" s="63"/>
      <c r="Q124" s="62"/>
      <c r="R124" s="62">
        <f>Harvest!N122</f>
        <v>0</v>
      </c>
      <c r="S124" s="63"/>
      <c r="T124" s="62"/>
      <c r="U124" s="62">
        <f>F124+I124+L124+O124+R124</f>
        <v>78379.814940038515</v>
      </c>
      <c r="V124" s="62"/>
      <c r="W124" s="20">
        <f>SUM(H123,K123,N123,Q123,E123)</f>
        <v>308774.32336233067</v>
      </c>
      <c r="X124" s="20">
        <f>SUM(R123,O123,L123,I123,F123)</f>
        <v>3725429.4494625097</v>
      </c>
    </row>
    <row r="125" spans="1:24" x14ac:dyDescent="0.25">
      <c r="A125" s="64" t="s">
        <v>53</v>
      </c>
      <c r="B125" s="65"/>
      <c r="C125" s="65"/>
      <c r="D125" s="65"/>
      <c r="E125" s="66">
        <f>Effort!F120</f>
        <v>104089.89881769694</v>
      </c>
      <c r="F125" s="66">
        <f>F123+F124</f>
        <v>1313959.7296364538</v>
      </c>
      <c r="G125" s="67"/>
      <c r="H125" s="66">
        <f>Effort!H120</f>
        <v>93256.286762591422</v>
      </c>
      <c r="I125" s="66">
        <f>I123+I124</f>
        <v>1192872.4054237267</v>
      </c>
      <c r="J125" s="67"/>
      <c r="K125" s="66">
        <f>Effort!J120</f>
        <v>72865.365829009272</v>
      </c>
      <c r="L125" s="66">
        <f>L123+L124</f>
        <v>879595.24636797013</v>
      </c>
      <c r="M125" s="67"/>
      <c r="N125" s="66">
        <f>Effort!L120</f>
        <v>38562.771953033174</v>
      </c>
      <c r="O125" s="66">
        <f>O123+O124</f>
        <v>417381.8829743978</v>
      </c>
      <c r="P125" s="67"/>
      <c r="Q125" s="66">
        <f>Effort!N120</f>
        <v>0</v>
      </c>
      <c r="R125" s="66">
        <f>R123+R124</f>
        <v>0</v>
      </c>
      <c r="S125" s="67"/>
      <c r="T125" s="66">
        <f>SUM(T123:T124)</f>
        <v>308774.32336233079</v>
      </c>
      <c r="U125" s="68">
        <f>SUM(U123:U124)</f>
        <v>3803809.2644025488</v>
      </c>
      <c r="V125" s="62"/>
    </row>
    <row r="126" spans="1:24" x14ac:dyDescent="0.25">
      <c r="A126" s="69" t="s">
        <v>14</v>
      </c>
      <c r="B126" s="70"/>
      <c r="C126" s="70"/>
      <c r="D126" s="70"/>
      <c r="E126" s="70"/>
      <c r="F126" s="71">
        <f>Harvest!F125</f>
        <v>0.68845375183811242</v>
      </c>
      <c r="G126" s="70"/>
      <c r="H126" s="70"/>
      <c r="I126" s="71">
        <f>Harvest!H125</f>
        <v>0.58271583581077135</v>
      </c>
      <c r="J126" s="70"/>
      <c r="K126" s="70"/>
      <c r="L126" s="71">
        <f>Harvest!J125</f>
        <v>0.78418931782862056</v>
      </c>
      <c r="M126" s="70"/>
      <c r="N126" s="70"/>
      <c r="O126" s="71">
        <f>Harvest!L125</f>
        <v>0.33027648258928377</v>
      </c>
      <c r="P126" s="70"/>
      <c r="Q126" s="70"/>
      <c r="R126" s="71">
        <f>Harvest!N125</f>
        <v>0</v>
      </c>
      <c r="S126" s="70"/>
      <c r="T126" s="86"/>
      <c r="U126" s="87"/>
      <c r="V126" s="61"/>
      <c r="X126" s="20">
        <f>SUM(R125,O125,L125,I125,F125)</f>
        <v>3803809.2644025488</v>
      </c>
    </row>
  </sheetData>
  <mergeCells count="21">
    <mergeCell ref="A121:D121"/>
    <mergeCell ref="A11:D11"/>
    <mergeCell ref="A19:D19"/>
    <mergeCell ref="A42:D42"/>
    <mergeCell ref="A49:D49"/>
    <mergeCell ref="A105:D105"/>
    <mergeCell ref="A57:D57"/>
    <mergeCell ref="A97:D97"/>
    <mergeCell ref="A34:D34"/>
    <mergeCell ref="A27:D27"/>
    <mergeCell ref="A88:D88"/>
    <mergeCell ref="A80:D80"/>
    <mergeCell ref="A73:D73"/>
    <mergeCell ref="A65:D65"/>
    <mergeCell ref="A113:D113"/>
    <mergeCell ref="T2:U2"/>
    <mergeCell ref="E2:G2"/>
    <mergeCell ref="H2:J2"/>
    <mergeCell ref="K2:M2"/>
    <mergeCell ref="N2:P2"/>
    <mergeCell ref="Q2:S2"/>
  </mergeCells>
  <phoneticPr fontId="17" type="noConversion"/>
  <pageMargins left="0.7" right="0.7" top="0.75" bottom="0.75" header="0.3" footer="0.3"/>
  <pageSetup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FD5E-4554-456C-879B-68A9CCB6CA1E}">
  <sheetPr>
    <pageSetUpPr fitToPage="1"/>
  </sheetPr>
  <dimension ref="A1:X126"/>
  <sheetViews>
    <sheetView topLeftCell="A10" zoomScale="130" zoomScaleNormal="130" workbookViewId="0">
      <selection activeCell="A19" sqref="A19:D19"/>
    </sheetView>
  </sheetViews>
  <sheetFormatPr defaultRowHeight="15" x14ac:dyDescent="0.25"/>
  <cols>
    <col min="1" max="1" width="10" customWidth="1"/>
    <col min="20" max="20" width="10.85546875" style="20" customWidth="1"/>
    <col min="24" max="24" width="9.85546875" customWidth="1"/>
  </cols>
  <sheetData>
    <row r="1" spans="1:24" ht="15.75" thickBot="1" x14ac:dyDescent="0.3">
      <c r="A1" s="34" t="s">
        <v>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45"/>
      <c r="U1" s="34"/>
      <c r="V1" s="83"/>
    </row>
    <row r="2" spans="1:24" ht="15.75" thickTop="1" x14ac:dyDescent="0.25">
      <c r="A2" s="35"/>
      <c r="B2" s="35"/>
      <c r="C2" s="35"/>
      <c r="D2" s="35"/>
      <c r="E2" s="104" t="s">
        <v>38</v>
      </c>
      <c r="F2" s="105"/>
      <c r="G2" s="106"/>
      <c r="H2" s="104" t="s">
        <v>39</v>
      </c>
      <c r="I2" s="105"/>
      <c r="J2" s="106"/>
      <c r="K2" s="104" t="s">
        <v>40</v>
      </c>
      <c r="L2" s="105"/>
      <c r="M2" s="106"/>
      <c r="N2" s="104" t="s">
        <v>41</v>
      </c>
      <c r="O2" s="105"/>
      <c r="P2" s="106"/>
      <c r="Q2" s="107" t="s">
        <v>42</v>
      </c>
      <c r="R2" s="108"/>
      <c r="S2" s="109"/>
      <c r="T2" s="102" t="s">
        <v>45</v>
      </c>
      <c r="U2" s="103"/>
      <c r="V2" s="42"/>
      <c r="W2" s="8" t="s">
        <v>56</v>
      </c>
      <c r="X2" s="8" t="s">
        <v>57</v>
      </c>
    </row>
    <row r="3" spans="1:24" ht="15.75" thickBot="1" x14ac:dyDescent="0.3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25</v>
      </c>
      <c r="F3" s="36" t="s">
        <v>26</v>
      </c>
      <c r="G3" s="36" t="s">
        <v>27</v>
      </c>
      <c r="H3" s="37" t="s">
        <v>25</v>
      </c>
      <c r="I3" s="36" t="s">
        <v>26</v>
      </c>
      <c r="J3" s="36" t="s">
        <v>27</v>
      </c>
      <c r="K3" s="37" t="s">
        <v>25</v>
      </c>
      <c r="L3" s="36" t="s">
        <v>26</v>
      </c>
      <c r="M3" s="36" t="s">
        <v>27</v>
      </c>
      <c r="N3" s="37" t="s">
        <v>25</v>
      </c>
      <c r="O3" s="36" t="s">
        <v>26</v>
      </c>
      <c r="P3" s="36" t="s">
        <v>27</v>
      </c>
      <c r="Q3" s="37" t="s">
        <v>25</v>
      </c>
      <c r="R3" s="36" t="s">
        <v>26</v>
      </c>
      <c r="S3" s="36" t="s">
        <v>27</v>
      </c>
      <c r="T3" s="46" t="s">
        <v>25</v>
      </c>
      <c r="U3" s="38" t="s">
        <v>26</v>
      </c>
      <c r="V3" s="42"/>
    </row>
    <row r="4" spans="1:24" ht="15.75" thickTop="1" x14ac:dyDescent="0.25">
      <c r="A4" s="39">
        <v>45936</v>
      </c>
      <c r="B4" s="40" t="s">
        <v>21</v>
      </c>
      <c r="C4" s="4">
        <v>-0.21</v>
      </c>
      <c r="D4" s="13">
        <v>0.77430555555555558</v>
      </c>
      <c r="E4" s="41">
        <f>Effort!F2</f>
        <v>1683.2536010347678</v>
      </c>
      <c r="F4" s="42">
        <f>Harvest!F2</f>
        <v>25248.804015521517</v>
      </c>
      <c r="G4" s="43">
        <f>+CPUE!F2</f>
        <v>15</v>
      </c>
      <c r="H4" s="41">
        <f>Effort!H2</f>
        <v>1801.0382650035299</v>
      </c>
      <c r="I4" s="42">
        <f>Harvest!H2</f>
        <v>27015.573975053001</v>
      </c>
      <c r="J4" s="43">
        <f>CPUE!H2</f>
        <v>15.000000000000028</v>
      </c>
      <c r="K4" s="41" t="str">
        <f>Effort!J2</f>
        <v>CLOSED</v>
      </c>
      <c r="L4" s="42" t="str">
        <f>Harvest!J2</f>
        <v>CLOSED</v>
      </c>
      <c r="M4" s="43" t="str">
        <f>CPUE!J2</f>
        <v>CLOSED</v>
      </c>
      <c r="N4" s="41">
        <f>Effort!L2</f>
        <v>1507.9974592199001</v>
      </c>
      <c r="O4" s="42">
        <f>Harvest!L2</f>
        <v>22619.961888298501</v>
      </c>
      <c r="P4" s="43">
        <f>CPUE!L2</f>
        <v>15</v>
      </c>
      <c r="Q4" s="41" t="s">
        <v>10</v>
      </c>
      <c r="R4" s="42" t="s">
        <v>10</v>
      </c>
      <c r="S4" s="44" t="s">
        <v>10</v>
      </c>
      <c r="T4" s="41">
        <f>SUM(E4,H4,K4,N4)</f>
        <v>4992.289325258198</v>
      </c>
      <c r="U4" s="42">
        <f>SUM(F4,I4,L4,O4)</f>
        <v>74884.339878873026</v>
      </c>
      <c r="V4" s="42"/>
    </row>
    <row r="5" spans="1:24" x14ac:dyDescent="0.25">
      <c r="A5" s="39">
        <v>45937</v>
      </c>
      <c r="B5" s="40" t="s">
        <v>60</v>
      </c>
      <c r="C5" s="4">
        <v>-0.95</v>
      </c>
      <c r="D5" s="13">
        <v>0.8041666666666667</v>
      </c>
      <c r="E5" s="41">
        <f>Effort!F3</f>
        <v>1849.7455506168058</v>
      </c>
      <c r="F5" s="42">
        <f>Harvest!F3</f>
        <v>27076.540406787797</v>
      </c>
      <c r="G5" s="43">
        <f>+CPUE!F3</f>
        <v>14.637981098405133</v>
      </c>
      <c r="H5" s="41">
        <f>Effort!H3</f>
        <v>1556.9262350710778</v>
      </c>
      <c r="I5" s="42">
        <f>Harvest!H3</f>
        <v>21796.96729099509</v>
      </c>
      <c r="J5" s="43">
        <f>CPUE!H3</f>
        <v>14</v>
      </c>
      <c r="K5" s="41" t="str">
        <f>Effort!J3</f>
        <v>CLOSED</v>
      </c>
      <c r="L5" s="42" t="str">
        <f>Harvest!J3</f>
        <v>CLOSED</v>
      </c>
      <c r="M5" s="43" t="str">
        <f>CPUE!J3</f>
        <v>CLOSED</v>
      </c>
      <c r="N5" s="41">
        <f>Effort!L3</f>
        <v>1303.6040667772199</v>
      </c>
      <c r="O5" s="42">
        <f>Harvest!L3</f>
        <v>17526.232453338202</v>
      </c>
      <c r="P5" s="43">
        <f>CPUE!L3</f>
        <v>13.444444444444462</v>
      </c>
      <c r="Q5" s="41" t="s">
        <v>10</v>
      </c>
      <c r="R5" s="42" t="s">
        <v>10</v>
      </c>
      <c r="S5" s="44" t="s">
        <v>10</v>
      </c>
      <c r="T5" s="41">
        <f t="shared" ref="T5:U10" si="0">SUM(E5,H5,K5,N5)</f>
        <v>4710.2758524651035</v>
      </c>
      <c r="U5" s="42">
        <f t="shared" si="0"/>
        <v>66399.740151121092</v>
      </c>
      <c r="V5" s="42"/>
    </row>
    <row r="6" spans="1:24" x14ac:dyDescent="0.25">
      <c r="A6" s="39">
        <v>45938</v>
      </c>
      <c r="B6" s="40" t="s">
        <v>61</v>
      </c>
      <c r="C6" s="4">
        <v>-1.41</v>
      </c>
      <c r="D6" s="13">
        <v>0.83472222222222225</v>
      </c>
      <c r="E6" s="41">
        <f>Effort!F4</f>
        <v>951.02127816309167</v>
      </c>
      <c r="F6" s="42">
        <f>Harvest!F4</f>
        <v>11317.153210140792</v>
      </c>
      <c r="G6" s="43">
        <f>+CPUE!F4</f>
        <v>11.9</v>
      </c>
      <c r="H6" s="41">
        <f>Effort!H4</f>
        <v>1017.5684232912657</v>
      </c>
      <c r="I6" s="42">
        <f>Harvest!H4</f>
        <v>14245.957926077721</v>
      </c>
      <c r="J6" s="43">
        <f>CPUE!H4</f>
        <v>14</v>
      </c>
      <c r="K6" s="41">
        <f>Effort!J4</f>
        <v>1621.46651515131</v>
      </c>
      <c r="L6" s="42">
        <f>Harvest!J4</f>
        <v>24105.802191916198</v>
      </c>
      <c r="M6" s="43">
        <f>CPUE!J4</f>
        <v>14.866666666666701</v>
      </c>
      <c r="N6" s="41" t="str">
        <f>Effort!L4</f>
        <v>CLOSED</v>
      </c>
      <c r="O6" s="42" t="str">
        <f>Harvest!L4</f>
        <v>CLOSED</v>
      </c>
      <c r="P6" s="43" t="str">
        <f>CPUE!L4</f>
        <v>CLOSED</v>
      </c>
      <c r="Q6" s="41" t="s">
        <v>10</v>
      </c>
      <c r="R6" s="42" t="s">
        <v>10</v>
      </c>
      <c r="S6" s="44" t="s">
        <v>10</v>
      </c>
      <c r="T6" s="41">
        <f t="shared" si="0"/>
        <v>3590.0562166056675</v>
      </c>
      <c r="U6" s="42">
        <f t="shared" si="0"/>
        <v>49668.913328134709</v>
      </c>
      <c r="V6" s="42"/>
    </row>
    <row r="7" spans="1:24" x14ac:dyDescent="0.25">
      <c r="A7" s="39">
        <v>45939</v>
      </c>
      <c r="B7" s="40" t="s">
        <v>22</v>
      </c>
      <c r="C7" s="4">
        <v>-1.51</v>
      </c>
      <c r="D7" s="13">
        <v>0.86736111111111114</v>
      </c>
      <c r="E7" s="41">
        <f>Effort!F5</f>
        <v>723.39232756636329</v>
      </c>
      <c r="F7" s="42">
        <f>Harvest!F5</f>
        <v>8680.7079307963595</v>
      </c>
      <c r="G7" s="43">
        <f>+CPUE!F5</f>
        <v>12</v>
      </c>
      <c r="H7" s="41">
        <f>Effort!H5</f>
        <v>774.01127302271402</v>
      </c>
      <c r="I7" s="42">
        <f>Harvest!H5</f>
        <v>11610.1690953407</v>
      </c>
      <c r="J7" s="43">
        <f>CPUE!H5</f>
        <v>14.999999999999986</v>
      </c>
      <c r="K7" s="41">
        <f>Effort!J5</f>
        <v>800.95522649544898</v>
      </c>
      <c r="L7" s="42">
        <f>Harvest!J5</f>
        <v>8857.6225047732005</v>
      </c>
      <c r="M7" s="43">
        <f>CPUE!J5</f>
        <v>11.058823529411764</v>
      </c>
      <c r="N7" s="41" t="str">
        <f>Effort!L5</f>
        <v>CLOSED</v>
      </c>
      <c r="O7" s="42" t="str">
        <f>Harvest!L5</f>
        <v>CLOSED</v>
      </c>
      <c r="P7" s="43" t="str">
        <f>CPUE!L5</f>
        <v>CLOSED</v>
      </c>
      <c r="Q7" s="41" t="s">
        <v>10</v>
      </c>
      <c r="R7" s="42" t="s">
        <v>10</v>
      </c>
      <c r="S7" s="44" t="s">
        <v>10</v>
      </c>
      <c r="T7" s="41">
        <f t="shared" si="0"/>
        <v>2298.3588270845262</v>
      </c>
      <c r="U7" s="42">
        <f t="shared" si="0"/>
        <v>29148.49953091026</v>
      </c>
      <c r="V7" s="42"/>
    </row>
    <row r="8" spans="1:24" x14ac:dyDescent="0.25">
      <c r="A8" s="39">
        <v>45940</v>
      </c>
      <c r="B8" s="40" t="s">
        <v>18</v>
      </c>
      <c r="C8" s="4">
        <v>-1.28</v>
      </c>
      <c r="D8" s="13">
        <v>0.90277777777777779</v>
      </c>
      <c r="E8" s="41">
        <f>Effort!F6</f>
        <v>822.03384329196717</v>
      </c>
      <c r="F8" s="42">
        <f>Harvest!F6</f>
        <v>12330.507649379508</v>
      </c>
      <c r="G8" s="43">
        <f>+CPUE!F6</f>
        <v>15</v>
      </c>
      <c r="H8" s="41">
        <f>Effort!H6</f>
        <v>879.55516981315998</v>
      </c>
      <c r="I8" s="42">
        <f>Harvest!H6</f>
        <v>13193.327547197399</v>
      </c>
      <c r="J8" s="43">
        <f>CPUE!H6</f>
        <v>15</v>
      </c>
      <c r="K8" s="41" t="str">
        <f>Effort!J6</f>
        <v>CLOSED</v>
      </c>
      <c r="L8" s="42" t="str">
        <f>Harvest!J6</f>
        <v>CLOSED</v>
      </c>
      <c r="M8" s="43" t="str">
        <f>CPUE!J6</f>
        <v>CLOSED</v>
      </c>
      <c r="N8" s="41">
        <f>Effort!L6</f>
        <v>1246.5479847204101</v>
      </c>
      <c r="O8" s="42">
        <f>Harvest!L6</f>
        <v>18312.923120983502</v>
      </c>
      <c r="P8" s="43">
        <f>CPUE!L6</f>
        <v>14.690909090909109</v>
      </c>
      <c r="Q8" s="41" t="s">
        <v>10</v>
      </c>
      <c r="R8" s="42" t="s">
        <v>10</v>
      </c>
      <c r="S8" s="44" t="s">
        <v>10</v>
      </c>
      <c r="T8" s="41">
        <f t="shared" si="0"/>
        <v>2948.136997825537</v>
      </c>
      <c r="U8" s="42">
        <f t="shared" si="0"/>
        <v>43836.758317560409</v>
      </c>
      <c r="V8" s="42"/>
    </row>
    <row r="9" spans="1:24" x14ac:dyDescent="0.25">
      <c r="A9" s="39">
        <v>45941</v>
      </c>
      <c r="B9" s="40" t="s">
        <v>19</v>
      </c>
      <c r="C9" s="4">
        <v>-0.81</v>
      </c>
      <c r="D9" s="13">
        <v>0.94236111111111109</v>
      </c>
      <c r="E9" s="41">
        <f>Effort!F7</f>
        <v>850.46077719302514</v>
      </c>
      <c r="F9" s="42">
        <f>Harvest!F7</f>
        <v>10205.529326316302</v>
      </c>
      <c r="G9" s="43">
        <f>+CPUE!F7</f>
        <v>12</v>
      </c>
      <c r="H9" s="41">
        <f>Effort!H7</f>
        <v>909.97126141163199</v>
      </c>
      <c r="I9" s="42">
        <f>Harvest!H7</f>
        <v>9367.3512204138606</v>
      </c>
      <c r="J9" s="43">
        <f>CPUE!H7</f>
        <v>10.294117647058826</v>
      </c>
      <c r="K9" s="41" t="str">
        <f>Effort!J7</f>
        <v>CLOSED</v>
      </c>
      <c r="L9" s="42" t="str">
        <f>Harvest!J7</f>
        <v>CLOSED</v>
      </c>
      <c r="M9" s="43" t="str">
        <f>CPUE!J7</f>
        <v>CLOSED</v>
      </c>
      <c r="N9" s="41">
        <f>Effort!L7</f>
        <v>717.81200176294897</v>
      </c>
      <c r="O9" s="42">
        <f>Harvest!L7</f>
        <v>10681.042586232699</v>
      </c>
      <c r="P9" s="43">
        <f>CPUE!L7</f>
        <v>14.880000000000026</v>
      </c>
      <c r="Q9" s="41" t="s">
        <v>10</v>
      </c>
      <c r="R9" s="42" t="s">
        <v>10</v>
      </c>
      <c r="S9" s="44" t="s">
        <v>10</v>
      </c>
      <c r="T9" s="41">
        <f t="shared" si="0"/>
        <v>2478.244040367606</v>
      </c>
      <c r="U9" s="42">
        <f t="shared" si="0"/>
        <v>30253.923132962864</v>
      </c>
      <c r="V9" s="42"/>
    </row>
    <row r="10" spans="1:24" x14ac:dyDescent="0.25">
      <c r="A10" s="39">
        <v>45942</v>
      </c>
      <c r="B10" s="40" t="s">
        <v>20</v>
      </c>
      <c r="C10" s="4">
        <v>-0.23</v>
      </c>
      <c r="D10" s="13">
        <v>0.9868055555555556</v>
      </c>
      <c r="E10" s="41">
        <f>Effort!F8</f>
        <v>82.964963221671425</v>
      </c>
      <c r="F10" s="42">
        <f>Harvest!F8</f>
        <v>580.75474255170002</v>
      </c>
      <c r="G10" s="43">
        <f>+CPUE!F8</f>
        <v>7</v>
      </c>
      <c r="H10" s="41">
        <f>Effort!H8</f>
        <v>136.6946514283228</v>
      </c>
      <c r="I10" s="42">
        <f>Harvest!H8</f>
        <v>956.8625599982596</v>
      </c>
      <c r="J10" s="43">
        <f>CPUE!H8</f>
        <v>7</v>
      </c>
      <c r="K10" s="41">
        <f>Effort!J8</f>
        <v>141.45310192694799</v>
      </c>
      <c r="L10" s="42">
        <f>Harvest!J8</f>
        <v>977.31234058618998</v>
      </c>
      <c r="M10" s="43">
        <f>CPUE!J8</f>
        <v>6.9090909090909358</v>
      </c>
      <c r="N10" s="41" t="str">
        <f>Effort!L8</f>
        <v>CLOSED</v>
      </c>
      <c r="O10" s="42" t="str">
        <f>Harvest!L8</f>
        <v>CLOSED</v>
      </c>
      <c r="P10" s="43" t="str">
        <f>CPUE!L8</f>
        <v>CLOSED</v>
      </c>
      <c r="Q10" s="41" t="s">
        <v>10</v>
      </c>
      <c r="R10" s="42" t="s">
        <v>10</v>
      </c>
      <c r="S10" s="44" t="s">
        <v>10</v>
      </c>
      <c r="T10" s="41">
        <f t="shared" si="0"/>
        <v>361.11271657694226</v>
      </c>
      <c r="U10" s="42">
        <f t="shared" si="0"/>
        <v>2514.9296431361499</v>
      </c>
      <c r="V10" s="42"/>
    </row>
    <row r="11" spans="1:24" x14ac:dyDescent="0.25">
      <c r="A11" s="110" t="s">
        <v>50</v>
      </c>
      <c r="B11" s="110"/>
      <c r="C11" s="110"/>
      <c r="D11" s="111"/>
      <c r="E11" s="47">
        <f>SUM(E4:E10)</f>
        <v>6962.8723410876928</v>
      </c>
      <c r="F11" s="48">
        <f>SUM(F4:F10)</f>
        <v>95439.997281493968</v>
      </c>
      <c r="G11" s="49">
        <f>+F11/E11</f>
        <v>13.70698651450286</v>
      </c>
      <c r="H11" s="47">
        <f>SUM(H4:H10)</f>
        <v>7075.7652790417014</v>
      </c>
      <c r="I11" s="48">
        <f>SUM(I4:I10)</f>
        <v>98186.209615076048</v>
      </c>
      <c r="J11" s="49">
        <f>+I11/H11</f>
        <v>13.87640852161984</v>
      </c>
      <c r="K11" s="47">
        <f>SUM(K4:K10)</f>
        <v>2563.874843573707</v>
      </c>
      <c r="L11" s="48">
        <f>SUM(L4:L10)</f>
        <v>33940.73703727559</v>
      </c>
      <c r="M11" s="49">
        <f>+L11/K11</f>
        <v>13.238063130244935</v>
      </c>
      <c r="N11" s="47">
        <f>SUM(N4:N10)</f>
        <v>4775.9615124804786</v>
      </c>
      <c r="O11" s="48">
        <f>SUM(O4:O10)</f>
        <v>69140.160048852893</v>
      </c>
      <c r="P11" s="49">
        <v>0</v>
      </c>
      <c r="Q11" s="47"/>
      <c r="R11" s="48"/>
      <c r="S11" s="49"/>
      <c r="T11" s="47">
        <f>SUM(T4:T10)</f>
        <v>21378.473976183581</v>
      </c>
      <c r="U11" s="48">
        <f>SUM(U4:U10)</f>
        <v>296707.10398269852</v>
      </c>
      <c r="V11" s="62"/>
      <c r="W11" s="20">
        <f>SUM(H11,K11,N11,Q11,E11)</f>
        <v>21378.473976183581</v>
      </c>
      <c r="X11" s="20">
        <f>SUM(R11,O11,L11,I11,F11)</f>
        <v>296707.10398269852</v>
      </c>
    </row>
    <row r="12" spans="1:24" x14ac:dyDescent="0.25">
      <c r="A12" s="39">
        <v>45950</v>
      </c>
      <c r="B12" s="40" t="s">
        <v>21</v>
      </c>
      <c r="C12" s="4">
        <v>0.19</v>
      </c>
      <c r="D12" s="13">
        <v>0.77777777777777779</v>
      </c>
      <c r="E12" s="41">
        <f>Effort!F10</f>
        <v>1087.9317558245239</v>
      </c>
      <c r="F12" s="42">
        <f>Harvest!F10</f>
        <v>14795.871879213524</v>
      </c>
      <c r="G12" s="43">
        <f>+CPUE!F10</f>
        <v>13.6</v>
      </c>
      <c r="H12" s="41">
        <f>Effort!H10</f>
        <v>950.30765724230605</v>
      </c>
      <c r="I12" s="42">
        <f>Harvest!H10</f>
        <v>13766.6190346453</v>
      </c>
      <c r="J12" s="43">
        <f>CPUE!H10</f>
        <v>14.486486486486488</v>
      </c>
      <c r="K12" s="41">
        <f>Effort!J10</f>
        <v>858.62272485301901</v>
      </c>
      <c r="L12" s="42">
        <f>Harvest!J10</f>
        <v>11601.3907706885</v>
      </c>
      <c r="M12" s="43">
        <f>CPUE!J10</f>
        <v>13.511627906976784</v>
      </c>
      <c r="N12" s="41" t="str">
        <f>Effort!L10</f>
        <v>CLOSED</v>
      </c>
      <c r="O12" s="42" t="str">
        <f>Harvest!L10</f>
        <v>CLOSED</v>
      </c>
      <c r="P12" s="43" t="str">
        <f>CPUE!L10</f>
        <v>CLOSED</v>
      </c>
      <c r="Q12" s="41" t="s">
        <v>10</v>
      </c>
      <c r="R12" s="42" t="s">
        <v>10</v>
      </c>
      <c r="S12" s="44" t="s">
        <v>10</v>
      </c>
      <c r="T12" s="41">
        <f>SUM(E12,H12,K12,N12)</f>
        <v>2896.8621379198489</v>
      </c>
      <c r="U12" s="42">
        <f>SUM(F12,I12,L12,O12)</f>
        <v>40163.881684547327</v>
      </c>
      <c r="V12" s="42"/>
    </row>
    <row r="13" spans="1:24" x14ac:dyDescent="0.25">
      <c r="A13" s="39">
        <v>45951</v>
      </c>
      <c r="B13" s="40" t="s">
        <v>60</v>
      </c>
      <c r="C13" s="4">
        <v>-0.12</v>
      </c>
      <c r="D13" s="13">
        <v>0.80069444444444449</v>
      </c>
      <c r="E13" s="41">
        <f>Effort!F11</f>
        <v>951.09747591591622</v>
      </c>
      <c r="F13" s="42">
        <f>Harvest!F11</f>
        <v>7133.2310693693717</v>
      </c>
      <c r="G13" s="43">
        <f>+CPUE!F11</f>
        <v>7.5</v>
      </c>
      <c r="H13" s="41">
        <f>Effort!H11</f>
        <v>830.78300574260243</v>
      </c>
      <c r="I13" s="42">
        <f>Harvest!H11</f>
        <v>6230.8725430695185</v>
      </c>
      <c r="J13" s="43">
        <f>CPUE!H11</f>
        <v>7.5</v>
      </c>
      <c r="K13" s="41">
        <f>Effort!J11</f>
        <v>750.629717351012</v>
      </c>
      <c r="L13" s="42">
        <f>Harvest!J11</f>
        <v>5646.04091746631</v>
      </c>
      <c r="M13" s="43">
        <f>CPUE!J11</f>
        <v>7.5217391304347858</v>
      </c>
      <c r="N13" s="41" t="str">
        <f>Effort!L11</f>
        <v>CLOSED</v>
      </c>
      <c r="O13" s="42" t="str">
        <f>Harvest!L11</f>
        <v>CLOSED</v>
      </c>
      <c r="P13" s="43" t="str">
        <f>CPUE!L11</f>
        <v>CLOSED</v>
      </c>
      <c r="Q13" s="41" t="s">
        <v>10</v>
      </c>
      <c r="R13" s="42" t="s">
        <v>10</v>
      </c>
      <c r="S13" s="44" t="s">
        <v>10</v>
      </c>
      <c r="T13" s="41">
        <f t="shared" ref="T13:U18" si="1">SUM(E13,H13,K13,N13)</f>
        <v>2532.5101990095309</v>
      </c>
      <c r="U13" s="42">
        <f t="shared" si="1"/>
        <v>19010.144529905199</v>
      </c>
      <c r="V13" s="42"/>
    </row>
    <row r="14" spans="1:24" x14ac:dyDescent="0.25">
      <c r="A14" s="39">
        <v>45952</v>
      </c>
      <c r="B14" s="40" t="s">
        <v>61</v>
      </c>
      <c r="C14" s="4">
        <v>-0.28000000000000003</v>
      </c>
      <c r="D14" s="13">
        <v>0.82291666666666663</v>
      </c>
      <c r="E14" s="41">
        <f>Effort!F12</f>
        <v>334.9067463945413</v>
      </c>
      <c r="F14" s="42">
        <f>Harvest!F12</f>
        <v>4722.185124163032</v>
      </c>
      <c r="G14" s="43">
        <f>+CPUE!F12</f>
        <v>14.1</v>
      </c>
      <c r="H14" s="41">
        <f>Effort!H12</f>
        <v>292.54081780123499</v>
      </c>
      <c r="I14" s="42">
        <f>Harvest!H12</f>
        <v>2551.6060219329902</v>
      </c>
      <c r="J14" s="43">
        <f>CPUE!H12</f>
        <v>8.722222222222209</v>
      </c>
      <c r="K14" s="41" t="str">
        <f>Effort!J12</f>
        <v>CLOSED</v>
      </c>
      <c r="L14" s="42" t="str">
        <f>Harvest!J12</f>
        <v>CLOSED</v>
      </c>
      <c r="M14" s="43" t="str">
        <f>CPUE!J12</f>
        <v>CLOSED</v>
      </c>
      <c r="N14" s="41">
        <f>Effort!L12</f>
        <v>319.96953618491898</v>
      </c>
      <c r="O14" s="42">
        <f>Harvest!L12</f>
        <v>4770.4549031206097</v>
      </c>
      <c r="P14" s="43">
        <f>CPUE!L12</f>
        <v>14.909090909090908</v>
      </c>
      <c r="Q14" s="41" t="s">
        <v>10</v>
      </c>
      <c r="R14" s="42" t="s">
        <v>10</v>
      </c>
      <c r="S14" s="44" t="s">
        <v>10</v>
      </c>
      <c r="T14" s="41">
        <f t="shared" si="1"/>
        <v>947.41710038069527</v>
      </c>
      <c r="U14" s="42">
        <f t="shared" si="1"/>
        <v>12044.246049216632</v>
      </c>
      <c r="V14" s="42"/>
    </row>
    <row r="15" spans="1:24" x14ac:dyDescent="0.25">
      <c r="A15" s="39">
        <v>45953</v>
      </c>
      <c r="B15" s="40" t="s">
        <v>22</v>
      </c>
      <c r="C15" s="4">
        <v>-0.27</v>
      </c>
      <c r="D15" s="13">
        <v>0.84583333333333333</v>
      </c>
      <c r="E15" s="41">
        <f>Effort!F13</f>
        <v>90.202863553311872</v>
      </c>
      <c r="F15" s="42">
        <f>Harvest!F13</f>
        <v>180.40572710662374</v>
      </c>
      <c r="G15" s="43">
        <f>+CPUE!F13</f>
        <v>2</v>
      </c>
      <c r="H15" s="41">
        <f>Effort!H13</f>
        <v>78.792140665964126</v>
      </c>
      <c r="I15" s="42">
        <f>Harvest!H13</f>
        <v>157.58428133192825</v>
      </c>
      <c r="J15" s="43">
        <f>CPUE!H13</f>
        <v>2</v>
      </c>
      <c r="K15" s="41" t="str">
        <f>Effort!J13</f>
        <v>CLOSED</v>
      </c>
      <c r="L15" s="42" t="str">
        <f>Harvest!J13</f>
        <v>CLOSED</v>
      </c>
      <c r="M15" s="43" t="str">
        <f>CPUE!J13</f>
        <v>CLOSED</v>
      </c>
      <c r="N15" s="41">
        <f>Effort!L13</f>
        <v>86.179716367084694</v>
      </c>
      <c r="O15" s="42">
        <f>Harvest!L13</f>
        <v>172.35943273416939</v>
      </c>
      <c r="P15" s="43">
        <f>CPUE!L13</f>
        <v>2</v>
      </c>
      <c r="Q15" s="41" t="s">
        <v>10</v>
      </c>
      <c r="R15" s="42" t="s">
        <v>10</v>
      </c>
      <c r="S15" s="44" t="s">
        <v>10</v>
      </c>
      <c r="T15" s="41">
        <f t="shared" si="1"/>
        <v>255.17472058636068</v>
      </c>
      <c r="U15" s="42">
        <f t="shared" si="1"/>
        <v>510.34944117272136</v>
      </c>
      <c r="V15" s="42"/>
    </row>
    <row r="16" spans="1:24" x14ac:dyDescent="0.25">
      <c r="A16" s="39">
        <v>45954</v>
      </c>
      <c r="B16" s="40" t="s">
        <v>18</v>
      </c>
      <c r="C16" s="4">
        <v>-0.12</v>
      </c>
      <c r="D16" s="13">
        <v>0.87013888888888891</v>
      </c>
      <c r="E16" s="41">
        <f>Effort!F14</f>
        <v>145.83006884774727</v>
      </c>
      <c r="F16" s="42">
        <f>Harvest!F14</f>
        <v>583.32027539098908</v>
      </c>
      <c r="G16" s="43">
        <f>+CPUE!F14</f>
        <v>4</v>
      </c>
      <c r="H16" s="41">
        <f>Effort!H14</f>
        <v>127.38246708972756</v>
      </c>
      <c r="I16" s="42">
        <f>Harvest!H14</f>
        <v>509.52986835891022</v>
      </c>
      <c r="J16" s="43">
        <f>CPUE!H14</f>
        <v>4</v>
      </c>
      <c r="K16" s="41">
        <f>Effort!J14</f>
        <v>283.81866346080199</v>
      </c>
      <c r="L16" s="42">
        <f>Harvest!J14</f>
        <v>1135.27465384321</v>
      </c>
      <c r="M16" s="43">
        <f>CPUE!J14</f>
        <v>4.0000000000000071</v>
      </c>
      <c r="N16" s="41" t="str">
        <f>Effort!L14</f>
        <v>CLOSED</v>
      </c>
      <c r="O16" s="42" t="str">
        <f>Harvest!L14</f>
        <v>CLOSED</v>
      </c>
      <c r="P16" s="43" t="str">
        <f>CPUE!L14</f>
        <v>CLOSED</v>
      </c>
      <c r="Q16" s="41" t="s">
        <v>10</v>
      </c>
      <c r="R16" s="42" t="s">
        <v>10</v>
      </c>
      <c r="S16" s="44" t="s">
        <v>10</v>
      </c>
      <c r="T16" s="41">
        <f t="shared" si="1"/>
        <v>557.03119939827684</v>
      </c>
      <c r="U16" s="42">
        <f t="shared" si="1"/>
        <v>2228.1247975931092</v>
      </c>
      <c r="V16" s="42"/>
    </row>
    <row r="17" spans="1:24" x14ac:dyDescent="0.25">
      <c r="A17" s="39">
        <v>45955</v>
      </c>
      <c r="B17" s="40" t="s">
        <v>19</v>
      </c>
      <c r="C17" s="4">
        <v>0.14000000000000001</v>
      </c>
      <c r="D17" s="13">
        <v>0.89652777777777781</v>
      </c>
      <c r="E17" s="41">
        <f>Effort!F15</f>
        <v>19.186936945345195</v>
      </c>
      <c r="F17" s="42">
        <f>Harvest!F15</f>
        <v>19.186936945345195</v>
      </c>
      <c r="G17" s="43">
        <f>+CPUE!F15</f>
        <v>1</v>
      </c>
      <c r="H17" s="41">
        <f>Effort!H15</f>
        <v>16.759776521430801</v>
      </c>
      <c r="I17" s="42">
        <f>Harvest!H15</f>
        <v>16.759776521430801</v>
      </c>
      <c r="J17" s="43">
        <f>CPUE!H15</f>
        <v>1</v>
      </c>
      <c r="K17" s="41">
        <f>Effort!J15</f>
        <v>98.666182830420297</v>
      </c>
      <c r="L17" s="42">
        <f>Harvest!J15</f>
        <v>98.666182830420297</v>
      </c>
      <c r="M17" s="43">
        <f>CPUE!J15</f>
        <v>1</v>
      </c>
      <c r="N17" s="41" t="str">
        <f>Effort!L15</f>
        <v>CLOSED</v>
      </c>
      <c r="O17" s="42" t="str">
        <f>Harvest!L15</f>
        <v>CLOSED</v>
      </c>
      <c r="P17" s="43" t="str">
        <f>CPUE!L15</f>
        <v>CLOSED</v>
      </c>
      <c r="Q17" s="41" t="s">
        <v>10</v>
      </c>
      <c r="R17" s="42" t="s">
        <v>10</v>
      </c>
      <c r="S17" s="44" t="s">
        <v>10</v>
      </c>
      <c r="T17" s="41">
        <f t="shared" si="1"/>
        <v>134.6128962971963</v>
      </c>
      <c r="U17" s="42">
        <f t="shared" si="1"/>
        <v>134.6128962971963</v>
      </c>
      <c r="V17" s="42"/>
    </row>
    <row r="18" spans="1:24" x14ac:dyDescent="0.25">
      <c r="A18" s="39">
        <v>45956</v>
      </c>
      <c r="B18" s="40" t="s">
        <v>20</v>
      </c>
      <c r="C18" s="4">
        <v>0.47</v>
      </c>
      <c r="D18" s="13">
        <v>0.92708333333333337</v>
      </c>
      <c r="E18" s="41">
        <f>Effort!F16</f>
        <v>46.514825888130709</v>
      </c>
      <c r="F18" s="42">
        <f>Harvest!F16</f>
        <v>558.17791065756853</v>
      </c>
      <c r="G18" s="43">
        <f>+CPUE!F16</f>
        <v>12</v>
      </c>
      <c r="H18" s="41">
        <f>Effort!H16</f>
        <v>40.630669139060394</v>
      </c>
      <c r="I18" s="42">
        <f>Harvest!H16</f>
        <v>487.56802966872476</v>
      </c>
      <c r="J18" s="43">
        <f>CPUE!H16</f>
        <v>12</v>
      </c>
      <c r="K18" s="41" t="str">
        <f>Effort!J16</f>
        <v>CLOSED</v>
      </c>
      <c r="L18" s="42" t="str">
        <f>Harvest!J16</f>
        <v>CLOSED</v>
      </c>
      <c r="M18" s="43" t="str">
        <f>CPUE!J16</f>
        <v>CLOSED</v>
      </c>
      <c r="N18" s="41">
        <f>Effort!L16</f>
        <v>44.440213359016496</v>
      </c>
      <c r="O18" s="42">
        <f>Harvest!L16</f>
        <v>524.39451763639499</v>
      </c>
      <c r="P18" s="43">
        <f>CPUE!L16</f>
        <v>11.800000000000008</v>
      </c>
      <c r="Q18" s="41" t="s">
        <v>10</v>
      </c>
      <c r="R18" s="42" t="s">
        <v>10</v>
      </c>
      <c r="S18" s="44" t="s">
        <v>10</v>
      </c>
      <c r="T18" s="41">
        <f t="shared" si="1"/>
        <v>131.58570838620761</v>
      </c>
      <c r="U18" s="42">
        <f t="shared" si="1"/>
        <v>1570.1404579626883</v>
      </c>
      <c r="V18" s="42"/>
    </row>
    <row r="19" spans="1:24" x14ac:dyDescent="0.25">
      <c r="A19" s="110" t="s">
        <v>50</v>
      </c>
      <c r="B19" s="110"/>
      <c r="C19" s="110"/>
      <c r="D19" s="111"/>
      <c r="E19" s="47">
        <f>SUM(E12:E18)</f>
        <v>2675.6706733695164</v>
      </c>
      <c r="F19" s="48">
        <f>SUM(F12:F18)</f>
        <v>27992.378922846452</v>
      </c>
      <c r="G19" s="49">
        <f>+F19/E19</f>
        <v>10.461817742164504</v>
      </c>
      <c r="H19" s="47">
        <f>SUM(H12:H18)</f>
        <v>2337.1965342023268</v>
      </c>
      <c r="I19" s="48">
        <f>SUM(I12:I18)</f>
        <v>23720.539555528801</v>
      </c>
      <c r="J19" s="49">
        <f>+I19/H19</f>
        <v>10.149142020538081</v>
      </c>
      <c r="K19" s="47">
        <f>SUM(K12:K18)</f>
        <v>1991.7372884952531</v>
      </c>
      <c r="L19" s="48">
        <f>SUM(L12:L18)</f>
        <v>18481.372524828443</v>
      </c>
      <c r="M19" s="49">
        <f>+L19/K19</f>
        <v>9.2790212000253405</v>
      </c>
      <c r="N19" s="47">
        <f>SUM(N12:N18)</f>
        <v>450.58946591102017</v>
      </c>
      <c r="O19" s="48">
        <f>SUM(O12:O18)</f>
        <v>5467.2088534911745</v>
      </c>
      <c r="P19" s="49">
        <f>+O19/N19</f>
        <v>12.133459095492498</v>
      </c>
      <c r="Q19" s="47"/>
      <c r="R19" s="48"/>
      <c r="S19" s="49"/>
      <c r="T19" s="47">
        <f>SUM(T12:T18)</f>
        <v>7455.193961978116</v>
      </c>
      <c r="U19" s="48">
        <f>SUM(U12:U18)</f>
        <v>75661.499856694863</v>
      </c>
      <c r="V19" s="62"/>
      <c r="W19" s="20">
        <f>SUM(H19,K19,N19,Q19,E19)</f>
        <v>7455.193961978116</v>
      </c>
      <c r="X19" s="20">
        <f>SUM(R19,O19,L19,I19,F19)</f>
        <v>75661.499856694863</v>
      </c>
    </row>
    <row r="20" spans="1:24" x14ac:dyDescent="0.25">
      <c r="A20" s="39">
        <v>45964</v>
      </c>
      <c r="B20" s="40" t="s">
        <v>21</v>
      </c>
      <c r="C20" s="4">
        <v>-0.1</v>
      </c>
      <c r="D20" s="13">
        <v>0.6875</v>
      </c>
      <c r="E20" s="41">
        <f>Effort!F18</f>
        <v>887.2034264332965</v>
      </c>
      <c r="F20" s="42">
        <f>Harvest!F18</f>
        <v>12243.407284779492</v>
      </c>
      <c r="G20" s="43">
        <f>+CPUE!F18</f>
        <v>13.8</v>
      </c>
      <c r="H20" s="41">
        <f>Effort!H18</f>
        <v>645.1723603351777</v>
      </c>
      <c r="I20" s="42">
        <f>Harvest!H18</f>
        <v>8709.8268645248991</v>
      </c>
      <c r="J20" s="43">
        <f>CPUE!H18</f>
        <v>13.5</v>
      </c>
      <c r="K20" s="41" t="str">
        <f>Effort!J18</f>
        <v>CLOSED</v>
      </c>
      <c r="L20" s="42" t="str">
        <f>Harvest!J18</f>
        <v>CLOSED</v>
      </c>
      <c r="M20" s="43" t="str">
        <f>CPUE!J18</f>
        <v>CLOSED</v>
      </c>
      <c r="N20" s="41">
        <f>Effort!L18</f>
        <v>636.84455408952704</v>
      </c>
      <c r="O20" s="42">
        <f>Harvest!L18</f>
        <v>8445.1125651002494</v>
      </c>
      <c r="P20" s="43">
        <f>CPUE!L18</f>
        <v>13.260869565217391</v>
      </c>
      <c r="Q20" s="41" t="s">
        <v>10</v>
      </c>
      <c r="R20" s="42" t="s">
        <v>10</v>
      </c>
      <c r="S20" s="44" t="s">
        <v>10</v>
      </c>
      <c r="T20" s="41">
        <f>SUM(E20,H20,K20,N20)</f>
        <v>2169.2203408580012</v>
      </c>
      <c r="U20" s="42">
        <f>SUM(F20,I20,L20,O20)</f>
        <v>29398.346714404644</v>
      </c>
      <c r="V20" s="42"/>
    </row>
    <row r="21" spans="1:24" x14ac:dyDescent="0.25">
      <c r="A21" s="39">
        <v>45965</v>
      </c>
      <c r="B21" s="40" t="s">
        <v>60</v>
      </c>
      <c r="C21" s="4">
        <v>-1.1000000000000001</v>
      </c>
      <c r="D21" s="13">
        <v>0.71875</v>
      </c>
      <c r="E21" s="41">
        <f>Effort!F19</f>
        <v>556.33583994424794</v>
      </c>
      <c r="F21" s="42">
        <f>Harvest!F19</f>
        <v>6954.1979993030991</v>
      </c>
      <c r="G21" s="43">
        <f>+CPUE!F19</f>
        <v>12.5</v>
      </c>
      <c r="H21" s="41">
        <f>Effort!H19</f>
        <v>903.95477141338904</v>
      </c>
      <c r="I21" s="42">
        <f>Harvest!H19</f>
        <v>13075.8108795146</v>
      </c>
      <c r="J21" s="43">
        <f>CPUE!H19</f>
        <v>14.465116279069763</v>
      </c>
      <c r="K21" s="41" t="str">
        <f>Effort!J19</f>
        <v>CLOSED</v>
      </c>
      <c r="L21" s="42" t="str">
        <f>Harvest!J19</f>
        <v>CLOSED</v>
      </c>
      <c r="M21" s="43" t="str">
        <f>CPUE!J19</f>
        <v>CLOSED</v>
      </c>
      <c r="N21" s="41">
        <f>Effort!L19</f>
        <v>892.28663332506301</v>
      </c>
      <c r="O21" s="42">
        <f>Harvest!L19</f>
        <v>10552.2593158442</v>
      </c>
      <c r="P21" s="43">
        <f>CPUE!L19</f>
        <v>11.826086956521712</v>
      </c>
      <c r="Q21" s="41" t="s">
        <v>10</v>
      </c>
      <c r="R21" s="42" t="s">
        <v>10</v>
      </c>
      <c r="S21" s="44" t="s">
        <v>10</v>
      </c>
      <c r="T21" s="41">
        <f t="shared" ref="T21:T26" si="2">SUM(E21,H21,K21,N21)</f>
        <v>2352.5772446827</v>
      </c>
      <c r="U21" s="42">
        <f t="shared" ref="U21:U26" si="3">SUM(F21,I21,L21,O21)</f>
        <v>30582.268194661898</v>
      </c>
      <c r="V21" s="42"/>
    </row>
    <row r="22" spans="1:24" x14ac:dyDescent="0.25">
      <c r="A22" s="39">
        <v>45966</v>
      </c>
      <c r="B22" s="40" t="s">
        <v>61</v>
      </c>
      <c r="C22" s="4">
        <v>-1.7</v>
      </c>
      <c r="D22" s="13">
        <v>0.75069444444444444</v>
      </c>
      <c r="E22" s="41">
        <f>Effort!F20</f>
        <v>379.12087647210399</v>
      </c>
      <c r="F22" s="42">
        <f>Harvest!F20</f>
        <v>3032.9670117768319</v>
      </c>
      <c r="G22" s="43">
        <f>+CPUE!F20</f>
        <v>8</v>
      </c>
      <c r="H22" s="41">
        <f>Effort!H20</f>
        <v>234.7485608524016</v>
      </c>
      <c r="I22" s="42">
        <f>Harvest!H20</f>
        <v>1877.9884868192128</v>
      </c>
      <c r="J22" s="43">
        <f>CPUE!H20</f>
        <v>8</v>
      </c>
      <c r="K22" s="41">
        <f>Effort!J20</f>
        <v>522.09946401921002</v>
      </c>
      <c r="L22" s="42">
        <f>Harvest!J20</f>
        <v>4263.8122894902199</v>
      </c>
      <c r="M22" s="43">
        <f>CPUE!J20</f>
        <v>8.166666666666675</v>
      </c>
      <c r="N22" s="41" t="str">
        <f>Effort!L20</f>
        <v>CLOSED</v>
      </c>
      <c r="O22" s="42" t="str">
        <f>Harvest!L20</f>
        <v>CLOSED</v>
      </c>
      <c r="P22" s="43" t="str">
        <f>CPUE!L20</f>
        <v>CLOSED</v>
      </c>
      <c r="Q22" s="41" t="s">
        <v>10</v>
      </c>
      <c r="R22" s="42" t="s">
        <v>10</v>
      </c>
      <c r="S22" s="44" t="s">
        <v>10</v>
      </c>
      <c r="T22" s="41">
        <f t="shared" si="2"/>
        <v>1135.9689013437155</v>
      </c>
      <c r="U22" s="42">
        <f t="shared" si="3"/>
        <v>9174.7677880862648</v>
      </c>
      <c r="V22" s="42"/>
    </row>
    <row r="23" spans="1:24" x14ac:dyDescent="0.25">
      <c r="A23" s="39">
        <v>45967</v>
      </c>
      <c r="B23" s="40" t="s">
        <v>22</v>
      </c>
      <c r="C23" s="4">
        <v>-2</v>
      </c>
      <c r="D23" s="13">
        <v>0.78194444444444444</v>
      </c>
      <c r="E23" s="41">
        <f>Effort!F21</f>
        <v>403.8606867533527</v>
      </c>
      <c r="F23" s="42">
        <f>Harvest!F21</f>
        <v>807.72137350670539</v>
      </c>
      <c r="G23" s="43">
        <f>+CPUE!F21</f>
        <v>2</v>
      </c>
      <c r="H23" s="41">
        <f>Effort!H21</f>
        <v>250.06725000855499</v>
      </c>
      <c r="I23" s="42">
        <f>Harvest!H21</f>
        <v>538.60638463381099</v>
      </c>
      <c r="J23" s="43">
        <f>CPUE!H21</f>
        <v>2.1538461538461546</v>
      </c>
      <c r="K23" s="41">
        <f>Effort!J21</f>
        <v>556.16944668007602</v>
      </c>
      <c r="L23" s="42">
        <f>Harvest!J21</f>
        <v>787.90671613010795</v>
      </c>
      <c r="M23" s="43">
        <f>CPUE!J21</f>
        <v>1.4166666666666672</v>
      </c>
      <c r="N23" s="41" t="str">
        <f>Effort!L21</f>
        <v>CLOSED</v>
      </c>
      <c r="O23" s="42" t="str">
        <f>Harvest!L21</f>
        <v>CLOSED</v>
      </c>
      <c r="P23" s="43" t="str">
        <f>CPUE!L21</f>
        <v>CLOSED</v>
      </c>
      <c r="Q23" s="41" t="s">
        <v>10</v>
      </c>
      <c r="R23" s="42" t="s">
        <v>10</v>
      </c>
      <c r="S23" s="44" t="s">
        <v>10</v>
      </c>
      <c r="T23" s="41">
        <f t="shared" si="2"/>
        <v>1210.0973834419838</v>
      </c>
      <c r="U23" s="42">
        <f t="shared" si="3"/>
        <v>2134.2344742706246</v>
      </c>
      <c r="V23" s="42"/>
    </row>
    <row r="24" spans="1:24" x14ac:dyDescent="0.25">
      <c r="A24" s="39">
        <v>45968</v>
      </c>
      <c r="B24" s="40" t="s">
        <v>18</v>
      </c>
      <c r="C24" s="4">
        <v>-1.9</v>
      </c>
      <c r="D24" s="13">
        <v>0.81527777777777777</v>
      </c>
      <c r="E24" s="41">
        <f>Effort!F22</f>
        <v>1167.2550205306809</v>
      </c>
      <c r="F24" s="42">
        <f>Harvest!F22</f>
        <v>15757.942777164191</v>
      </c>
      <c r="G24" s="43">
        <f>+CPUE!F22</f>
        <v>13.5</v>
      </c>
      <c r="H24" s="41">
        <f>Effort!H22</f>
        <v>1896.5985462498368</v>
      </c>
      <c r="I24" s="42">
        <f>Harvest!H22</f>
        <v>25604.080374372796</v>
      </c>
      <c r="J24" s="43">
        <f>CPUE!H22</f>
        <v>13.5</v>
      </c>
      <c r="K24" s="41" t="str">
        <f>Effort!J22</f>
        <v>CLOSED</v>
      </c>
      <c r="L24" s="42" t="str">
        <f>Harvest!J22</f>
        <v>CLOSED</v>
      </c>
      <c r="M24" s="43" t="str">
        <f>CPUE!J22</f>
        <v>CLOSED</v>
      </c>
      <c r="N24" s="41">
        <f>Effort!L22</f>
        <v>1872.1174832192601</v>
      </c>
      <c r="O24" s="42">
        <f>Harvest!L22</f>
        <v>25541.0313782056</v>
      </c>
      <c r="P24" s="43">
        <f>CPUE!L22</f>
        <v>13.642857142857132</v>
      </c>
      <c r="Q24" s="41" t="s">
        <v>10</v>
      </c>
      <c r="R24" s="42" t="s">
        <v>10</v>
      </c>
      <c r="S24" s="44" t="s">
        <v>10</v>
      </c>
      <c r="T24" s="41">
        <f t="shared" si="2"/>
        <v>4935.9710499997782</v>
      </c>
      <c r="U24" s="42">
        <f t="shared" si="3"/>
        <v>66903.054529742585</v>
      </c>
      <c r="V24" s="42"/>
    </row>
    <row r="25" spans="1:24" x14ac:dyDescent="0.25">
      <c r="A25" s="39">
        <v>45969</v>
      </c>
      <c r="B25" s="40" t="s">
        <v>19</v>
      </c>
      <c r="C25" s="4">
        <v>-1.5</v>
      </c>
      <c r="D25" s="13">
        <v>0.85069444444444442</v>
      </c>
      <c r="E25" s="41">
        <f>Effort!F23</f>
        <v>1104.9002303669347</v>
      </c>
      <c r="F25" s="42">
        <f>Harvest!F23</f>
        <v>16021.053340320554</v>
      </c>
      <c r="G25" s="43">
        <f>+CPUE!F23</f>
        <v>14.5</v>
      </c>
      <c r="H25" s="41">
        <f>Effort!H23</f>
        <v>2324.03582526521</v>
      </c>
      <c r="I25" s="42">
        <f>Harvest!H23</f>
        <v>34860.537378978101</v>
      </c>
      <c r="J25" s="43">
        <f>CPUE!H23</f>
        <v>14.999999999999979</v>
      </c>
      <c r="K25" s="41" t="str">
        <f>Effort!J23</f>
        <v>CLOSED</v>
      </c>
      <c r="L25" s="42" t="str">
        <f>Harvest!J23</f>
        <v>CLOSED</v>
      </c>
      <c r="M25" s="43" t="str">
        <f>CPUE!J23</f>
        <v>CLOSED</v>
      </c>
      <c r="N25" s="41">
        <f>Effort!L23</f>
        <v>1772.1089240143101</v>
      </c>
      <c r="O25" s="42">
        <f>Harvest!L23</f>
        <v>25695.579398207501</v>
      </c>
      <c r="P25" s="43">
        <f>CPUE!L23</f>
        <v>14.500000000000002</v>
      </c>
      <c r="Q25" s="41" t="s">
        <v>10</v>
      </c>
      <c r="R25" s="42" t="s">
        <v>10</v>
      </c>
      <c r="S25" s="44" t="s">
        <v>10</v>
      </c>
      <c r="T25" s="41">
        <f t="shared" si="2"/>
        <v>5201.0449796464545</v>
      </c>
      <c r="U25" s="42">
        <f t="shared" si="3"/>
        <v>76577.170117506161</v>
      </c>
      <c r="V25" s="42"/>
    </row>
    <row r="26" spans="1:24" x14ac:dyDescent="0.25">
      <c r="A26" s="39">
        <v>45970</v>
      </c>
      <c r="B26" s="40" t="s">
        <v>20</v>
      </c>
      <c r="C26" s="4">
        <v>-0.9</v>
      </c>
      <c r="D26" s="13">
        <v>0.8881944444444444</v>
      </c>
      <c r="E26" s="41">
        <f>Effort!F24</f>
        <v>392.30132098788073</v>
      </c>
      <c r="F26" s="42">
        <f>Harvest!F24</f>
        <v>4119.1638703727476</v>
      </c>
      <c r="G26" s="43">
        <f>+CPUE!F24</f>
        <v>10.5</v>
      </c>
      <c r="H26" s="41">
        <f>Effort!H24</f>
        <v>242.90978481417724</v>
      </c>
      <c r="I26" s="42">
        <f>Harvest!H24</f>
        <v>2550.552740548861</v>
      </c>
      <c r="J26" s="43">
        <f>CPUE!H24</f>
        <v>10.5</v>
      </c>
      <c r="K26" s="41">
        <f>Effort!J24</f>
        <v>540.25067500304601</v>
      </c>
      <c r="L26" s="42">
        <f>Harvest!J24</f>
        <v>5778.3333065543202</v>
      </c>
      <c r="M26" s="43">
        <f>CPUE!J24</f>
        <v>10.695652173913047</v>
      </c>
      <c r="N26" s="41" t="str">
        <f>Effort!L24</f>
        <v>CLOSED</v>
      </c>
      <c r="O26" s="42" t="str">
        <f>Harvest!L24</f>
        <v>CLOSED</v>
      </c>
      <c r="P26" s="43" t="str">
        <f>CPUE!L24</f>
        <v>CLOSED</v>
      </c>
      <c r="Q26" s="41" t="s">
        <v>10</v>
      </c>
      <c r="R26" s="42" t="s">
        <v>10</v>
      </c>
      <c r="S26" s="44" t="s">
        <v>10</v>
      </c>
      <c r="T26" s="41">
        <f t="shared" si="2"/>
        <v>1175.4617808051039</v>
      </c>
      <c r="U26" s="42">
        <f t="shared" si="3"/>
        <v>12448.049917475928</v>
      </c>
      <c r="V26" s="42"/>
    </row>
    <row r="27" spans="1:24" x14ac:dyDescent="0.25">
      <c r="A27" s="110" t="s">
        <v>50</v>
      </c>
      <c r="B27" s="110"/>
      <c r="C27" s="110"/>
      <c r="D27" s="111"/>
      <c r="E27" s="47">
        <f>SUM(E20:E26)</f>
        <v>4890.9774014884979</v>
      </c>
      <c r="F27" s="48">
        <f>SUM(F20:F26)</f>
        <v>58936.453657223625</v>
      </c>
      <c r="G27" s="49">
        <f>+F27/E27</f>
        <v>12.050035978348044</v>
      </c>
      <c r="H27" s="47">
        <f>SUM(H20:H26)</f>
        <v>6497.4870989387473</v>
      </c>
      <c r="I27" s="48">
        <f>SUM(I20:I26)</f>
        <v>87217.403109392268</v>
      </c>
      <c r="J27" s="49">
        <f>+I27/H27</f>
        <v>13.423251448030998</v>
      </c>
      <c r="K27" s="47">
        <f>SUM(K20:K26)</f>
        <v>1618.5195857023323</v>
      </c>
      <c r="L27" s="48">
        <f>SUM(L20:L26)</f>
        <v>10830.052312174648</v>
      </c>
      <c r="M27" s="49">
        <f>+L27/K27</f>
        <v>6.691332256863058</v>
      </c>
      <c r="N27" s="47">
        <f>SUM(N20:N26)</f>
        <v>5173.3575946481596</v>
      </c>
      <c r="O27" s="48">
        <f>SUM(O20:O26)</f>
        <v>70233.982657357541</v>
      </c>
      <c r="P27" s="49">
        <f>+O27/N27</f>
        <v>13.576092773871773</v>
      </c>
      <c r="Q27" s="47"/>
      <c r="R27" s="48"/>
      <c r="S27" s="49"/>
      <c r="T27" s="47">
        <f>SUM(T20:T26)</f>
        <v>18180.341680777739</v>
      </c>
      <c r="U27" s="48">
        <f>SUM(U20:U26)</f>
        <v>227217.89173614813</v>
      </c>
      <c r="V27" s="62"/>
      <c r="W27" s="20">
        <f>SUM(H27,K27,N27,Q27,E27)</f>
        <v>18180.341680777736</v>
      </c>
      <c r="X27" s="20">
        <f>SUM(R27,O27,L27,I27,F27)</f>
        <v>227217.8917361481</v>
      </c>
    </row>
    <row r="28" spans="1:24" x14ac:dyDescent="0.25">
      <c r="A28" s="39">
        <v>45979</v>
      </c>
      <c r="B28" s="40" t="s">
        <v>60</v>
      </c>
      <c r="C28" s="4">
        <v>-0.02</v>
      </c>
      <c r="D28" s="13">
        <v>0.72083333333333333</v>
      </c>
      <c r="E28" s="41">
        <f>Effort!F26</f>
        <v>393.78812693180259</v>
      </c>
      <c r="F28" s="42">
        <f>Harvest!F26</f>
        <v>5906.8219039770393</v>
      </c>
      <c r="G28" s="43">
        <f>+CPUE!F26</f>
        <v>15</v>
      </c>
      <c r="H28" s="41">
        <f>Effort!H26</f>
        <v>721.06623934694335</v>
      </c>
      <c r="I28" s="42">
        <f>Harvest!H26</f>
        <v>10815.993590204151</v>
      </c>
      <c r="J28" s="43">
        <f>CPUE!H26</f>
        <v>15</v>
      </c>
      <c r="K28" s="41">
        <f>Effort!J26</f>
        <v>829.85819797143097</v>
      </c>
      <c r="L28" s="42">
        <f>Harvest!J26</f>
        <v>12349.0803269558</v>
      </c>
      <c r="M28" s="43">
        <f>CPUE!J26</f>
        <v>14.88095238095236</v>
      </c>
      <c r="N28" s="41" t="str">
        <f>Effort!L26</f>
        <v>CLOSED</v>
      </c>
      <c r="O28" s="42" t="str">
        <f>Harvest!L26</f>
        <v>CLOSED</v>
      </c>
      <c r="P28" s="43" t="str">
        <f>CPUE!L26</f>
        <v>CLOSED</v>
      </c>
      <c r="Q28" s="41" t="s">
        <v>10</v>
      </c>
      <c r="R28" s="42" t="s">
        <v>10</v>
      </c>
      <c r="S28" s="44" t="s">
        <v>10</v>
      </c>
      <c r="T28" s="41">
        <f t="shared" ref="T28:T33" si="4">SUM(E28,H28,K28,N28)</f>
        <v>1944.7125642501769</v>
      </c>
      <c r="U28" s="42">
        <f t="shared" ref="U28:U33" si="5">SUM(F28,I28,L28,O28)</f>
        <v>29071.89582113699</v>
      </c>
      <c r="V28" s="42"/>
    </row>
    <row r="29" spans="1:24" x14ac:dyDescent="0.25">
      <c r="A29" s="39">
        <v>45980</v>
      </c>
      <c r="B29" s="40" t="s">
        <v>61</v>
      </c>
      <c r="C29" s="4">
        <v>-0.3</v>
      </c>
      <c r="D29" s="13">
        <v>0.74444444444444446</v>
      </c>
      <c r="E29" s="41">
        <f>Effort!F27</f>
        <v>864.9053070645848</v>
      </c>
      <c r="F29" s="42">
        <f>Harvest!F27</f>
        <v>11935.69323749127</v>
      </c>
      <c r="G29" s="43">
        <f>+CPUE!F27</f>
        <v>13.8</v>
      </c>
      <c r="H29" s="41">
        <f>Effort!H27</f>
        <v>648.04469216198902</v>
      </c>
      <c r="I29" s="42">
        <f>Harvest!H27</f>
        <v>9720.6703824298402</v>
      </c>
      <c r="J29" s="43">
        <f>CPUE!H27</f>
        <v>15.000000000000007</v>
      </c>
      <c r="K29" s="41" t="str">
        <f>Effort!J27</f>
        <v>CLOSED</v>
      </c>
      <c r="L29" s="42" t="str">
        <f>Harvest!J27</f>
        <v>CLOSED</v>
      </c>
      <c r="M29" s="43" t="str">
        <f>CPUE!J27</f>
        <v>CLOSED</v>
      </c>
      <c r="N29" s="41">
        <f>Effort!L27</f>
        <v>319.48882011639103</v>
      </c>
      <c r="O29" s="42">
        <f>Harvest!L27</f>
        <v>3194.8882011639098</v>
      </c>
      <c r="P29" s="43">
        <f>CPUE!L27</f>
        <v>9.9999999999999982</v>
      </c>
      <c r="Q29" s="41" t="s">
        <v>10</v>
      </c>
      <c r="R29" s="42" t="s">
        <v>10</v>
      </c>
      <c r="S29" s="44" t="s">
        <v>10</v>
      </c>
      <c r="T29" s="41">
        <f t="shared" si="4"/>
        <v>1832.4388193429647</v>
      </c>
      <c r="U29" s="42">
        <f t="shared" si="5"/>
        <v>24851.251821085021</v>
      </c>
      <c r="V29" s="42"/>
    </row>
    <row r="30" spans="1:24" x14ac:dyDescent="0.25">
      <c r="A30" s="39">
        <v>45981</v>
      </c>
      <c r="B30" s="40" t="s">
        <v>22</v>
      </c>
      <c r="C30" s="4">
        <v>-0.43</v>
      </c>
      <c r="D30" s="13">
        <v>0.76736111111111116</v>
      </c>
      <c r="E30" s="41">
        <f>Effort!F28</f>
        <v>206.76544605159052</v>
      </c>
      <c r="F30" s="42">
        <f>Harvest!F28</f>
        <v>620.29633815477155</v>
      </c>
      <c r="G30" s="43">
        <f>+CPUE!F28</f>
        <v>3</v>
      </c>
      <c r="H30" s="41">
        <f>Effort!H28</f>
        <v>378.60862838338898</v>
      </c>
      <c r="I30" s="42">
        <f>Harvest!H28</f>
        <v>908.66070812013299</v>
      </c>
      <c r="J30" s="43">
        <f>CPUE!H28</f>
        <v>2.3999999999999986</v>
      </c>
      <c r="K30" s="41" t="str">
        <f>Effort!J28</f>
        <v>CLOSED</v>
      </c>
      <c r="L30" s="42" t="str">
        <f>Harvest!J28</f>
        <v>CLOSED</v>
      </c>
      <c r="M30" s="43" t="str">
        <f>CPUE!J28</f>
        <v>CLOSED</v>
      </c>
      <c r="N30" s="41">
        <f>Effort!L28</f>
        <v>203.64964318787401</v>
      </c>
      <c r="O30" s="42">
        <f>Harvest!L28</f>
        <v>633.57666769560797</v>
      </c>
      <c r="P30" s="43">
        <f>CPUE!L28</f>
        <v>3.1111111111111107</v>
      </c>
      <c r="Q30" s="41" t="s">
        <v>10</v>
      </c>
      <c r="R30" s="42" t="s">
        <v>10</v>
      </c>
      <c r="S30" s="44" t="s">
        <v>10</v>
      </c>
      <c r="T30" s="41">
        <f t="shared" si="4"/>
        <v>789.02371762285361</v>
      </c>
      <c r="U30" s="42">
        <f t="shared" si="5"/>
        <v>2162.5337139705125</v>
      </c>
      <c r="V30" s="42"/>
    </row>
    <row r="31" spans="1:24" x14ac:dyDescent="0.25">
      <c r="A31" s="39">
        <v>45982</v>
      </c>
      <c r="B31" s="40" t="s">
        <v>18</v>
      </c>
      <c r="C31" s="4">
        <v>-0.41</v>
      </c>
      <c r="D31" s="13">
        <v>0.79097222222222219</v>
      </c>
      <c r="E31" s="41">
        <f>Effort!F29</f>
        <v>276.88227674892397</v>
      </c>
      <c r="F31" s="42">
        <f>Harvest!F29</f>
        <v>4153.2341512338598</v>
      </c>
      <c r="G31" s="43">
        <f>+CPUE!F29</f>
        <v>15</v>
      </c>
      <c r="H31" s="41">
        <f>Effort!H29</f>
        <v>506.99969954082002</v>
      </c>
      <c r="I31" s="42">
        <f>Harvest!H29</f>
        <v>7435.9955932653602</v>
      </c>
      <c r="J31" s="43">
        <f>CPUE!H29</f>
        <v>14.666666666666666</v>
      </c>
      <c r="K31" s="41">
        <f>Effort!J29</f>
        <v>583.49404544866297</v>
      </c>
      <c r="L31" s="42">
        <f>Harvest!J29</f>
        <v>6100.1650205996502</v>
      </c>
      <c r="M31" s="43">
        <f>CPUE!J29</f>
        <v>10.454545454545441</v>
      </c>
      <c r="N31" s="41" t="str">
        <f>Effort!L29</f>
        <v>CLOSED</v>
      </c>
      <c r="O31" s="42" t="str">
        <f>Harvest!L29</f>
        <v>CLOSED</v>
      </c>
      <c r="P31" s="43" t="str">
        <f>CPUE!L29</f>
        <v>CLOSED</v>
      </c>
      <c r="Q31" s="41" t="s">
        <v>10</v>
      </c>
      <c r="R31" s="42" t="s">
        <v>10</v>
      </c>
      <c r="S31" s="44" t="s">
        <v>10</v>
      </c>
      <c r="T31" s="41">
        <f t="shared" si="4"/>
        <v>1367.376021738407</v>
      </c>
      <c r="U31" s="42">
        <f t="shared" si="5"/>
        <v>17689.39476509887</v>
      </c>
      <c r="V31" s="42"/>
    </row>
    <row r="32" spans="1:24" x14ac:dyDescent="0.25">
      <c r="A32" s="39">
        <v>45983</v>
      </c>
      <c r="B32" s="40" t="s">
        <v>19</v>
      </c>
      <c r="C32" s="4">
        <v>-0.28999999999999998</v>
      </c>
      <c r="D32" s="13">
        <v>0.81527777777777777</v>
      </c>
      <c r="E32" s="41">
        <f>Effort!F30</f>
        <v>581.23177559063333</v>
      </c>
      <c r="F32" s="42">
        <f>Harvest!F30</f>
        <v>4068.6224291344333</v>
      </c>
      <c r="G32" s="43">
        <f>+CPUE!F30</f>
        <v>7</v>
      </c>
      <c r="H32" s="41">
        <f>Effort!H30</f>
        <v>1064.2946852652735</v>
      </c>
      <c r="I32" s="42">
        <f>Harvest!H30</f>
        <v>7450.0627968569152</v>
      </c>
      <c r="J32" s="43">
        <f>CPUE!H30</f>
        <v>7</v>
      </c>
      <c r="K32" s="41">
        <f>Effort!J30</f>
        <v>1224.87175439627</v>
      </c>
      <c r="L32" s="42">
        <f>Harvest!J30</f>
        <v>8301.9085575747195</v>
      </c>
      <c r="M32" s="43">
        <f>CPUE!J30</f>
        <v>6.7777777777777777</v>
      </c>
      <c r="N32" s="41" t="str">
        <f>Effort!L30</f>
        <v>CLOSED</v>
      </c>
      <c r="O32" s="42" t="str">
        <f>Harvest!L30</f>
        <v>CLOSED</v>
      </c>
      <c r="P32" s="43" t="str">
        <f>CPUE!L30</f>
        <v>CLOSED</v>
      </c>
      <c r="Q32" s="41" t="s">
        <v>10</v>
      </c>
      <c r="R32" s="42" t="s">
        <v>10</v>
      </c>
      <c r="S32" s="44" t="s">
        <v>10</v>
      </c>
      <c r="T32" s="41">
        <f t="shared" si="4"/>
        <v>2870.3982152521767</v>
      </c>
      <c r="U32" s="42">
        <f t="shared" si="5"/>
        <v>19820.593783566066</v>
      </c>
      <c r="V32" s="42"/>
    </row>
    <row r="33" spans="1:24" x14ac:dyDescent="0.25">
      <c r="A33" s="39">
        <v>45984</v>
      </c>
      <c r="B33" s="40" t="s">
        <v>20</v>
      </c>
      <c r="C33" s="4">
        <v>-0.09</v>
      </c>
      <c r="D33" s="13">
        <v>0.84166666666666667</v>
      </c>
      <c r="E33" s="41">
        <f>Effort!F31</f>
        <v>576.0111706056349</v>
      </c>
      <c r="F33" s="42">
        <f>Harvest!F31</f>
        <v>3456.0670236338092</v>
      </c>
      <c r="G33" s="43">
        <f>+CPUE!F31</f>
        <v>6</v>
      </c>
      <c r="H33" s="41">
        <f>Effort!H31</f>
        <v>395.57138055110363</v>
      </c>
      <c r="I33" s="42">
        <f>Harvest!H31</f>
        <v>2373.4282833066218</v>
      </c>
      <c r="J33" s="43">
        <f>CPUE!H31</f>
        <v>6</v>
      </c>
      <c r="K33" s="41" t="str">
        <f>Effort!J31</f>
        <v>CLOSED</v>
      </c>
      <c r="L33" s="42" t="str">
        <f>Harvest!J31</f>
        <v>CLOSED</v>
      </c>
      <c r="M33" s="43" t="str">
        <f>CPUE!J31</f>
        <v>CLOSED</v>
      </c>
      <c r="N33" s="41">
        <f>Effort!L31</f>
        <v>212.77373114432001</v>
      </c>
      <c r="O33" s="42">
        <f>Harvest!L31</f>
        <v>1237.95625393059</v>
      </c>
      <c r="P33" s="43">
        <f>CPUE!L31</f>
        <v>5.8181818181818228</v>
      </c>
      <c r="Q33" s="41" t="s">
        <v>10</v>
      </c>
      <c r="R33" s="42" t="s">
        <v>10</v>
      </c>
      <c r="S33" s="44" t="s">
        <v>10</v>
      </c>
      <c r="T33" s="41">
        <f t="shared" si="4"/>
        <v>1184.3562823010586</v>
      </c>
      <c r="U33" s="42">
        <f t="shared" si="5"/>
        <v>7067.4515608710208</v>
      </c>
      <c r="V33" s="42"/>
    </row>
    <row r="34" spans="1:24" x14ac:dyDescent="0.25">
      <c r="A34" s="110" t="s">
        <v>50</v>
      </c>
      <c r="B34" s="110"/>
      <c r="C34" s="110"/>
      <c r="D34" s="111"/>
      <c r="E34" s="47">
        <f>SUM(E28:E33)</f>
        <v>2899.5841029931698</v>
      </c>
      <c r="F34" s="48">
        <f>SUM(F28:F33)</f>
        <v>30140.735083625183</v>
      </c>
      <c r="G34" s="49">
        <f>+F34/E34</f>
        <v>10.394847679193591</v>
      </c>
      <c r="H34" s="47">
        <f>SUM(H28:H33)</f>
        <v>3714.5853252495185</v>
      </c>
      <c r="I34" s="48">
        <f>SUM(I28:I33)</f>
        <v>38704.811354183024</v>
      </c>
      <c r="J34" s="49">
        <f>+I34/H34</f>
        <v>10.419685635188127</v>
      </c>
      <c r="K34" s="47">
        <f>SUM(K28:K33)</f>
        <v>2638.2239978163643</v>
      </c>
      <c r="L34" s="48">
        <f>SUM(L28:L33)</f>
        <v>26751.15390513017</v>
      </c>
      <c r="M34" s="49">
        <f>+L34/K34</f>
        <v>10.139834194242745</v>
      </c>
      <c r="N34" s="47">
        <f>SUM(N28:N33)</f>
        <v>735.91219444858507</v>
      </c>
      <c r="O34" s="48">
        <f>SUM(O28:O33)</f>
        <v>5066.4211227901078</v>
      </c>
      <c r="P34" s="49">
        <f>+O34/N34</f>
        <v>6.8845456849459454</v>
      </c>
      <c r="Q34" s="47"/>
      <c r="R34" s="48"/>
      <c r="S34" s="49"/>
      <c r="T34" s="47">
        <f>SUM(T28:T33)</f>
        <v>9988.3056205076373</v>
      </c>
      <c r="U34" s="48">
        <f>SUM(U28:U33)</f>
        <v>100663.12146572849</v>
      </c>
      <c r="V34" s="62"/>
      <c r="W34" s="20">
        <f>SUM(H34,K34,N34,Q34,E34)</f>
        <v>9988.3056205076391</v>
      </c>
      <c r="X34" s="20">
        <f>SUM(R34,O34,L34,I34,F34)</f>
        <v>100663.12146572849</v>
      </c>
    </row>
    <row r="35" spans="1:24" x14ac:dyDescent="0.25">
      <c r="A35" s="39">
        <v>45993</v>
      </c>
      <c r="B35" s="40" t="s">
        <v>60</v>
      </c>
      <c r="C35" s="4">
        <v>-0.59</v>
      </c>
      <c r="D35" s="13">
        <v>0.6743055555555556</v>
      </c>
      <c r="E35" s="41">
        <f>Effort!F33</f>
        <v>955.58028869301256</v>
      </c>
      <c r="F35" s="42">
        <f>Harvest!F33</f>
        <v>14333.704330395189</v>
      </c>
      <c r="G35" s="43">
        <f>+CPUE!F33</f>
        <v>15</v>
      </c>
      <c r="H35" s="41">
        <f>Effort!H33</f>
        <v>892.36414177356482</v>
      </c>
      <c r="I35" s="42">
        <f>Harvest!H33</f>
        <v>13385.462126603472</v>
      </c>
      <c r="J35" s="43">
        <f>CPUE!H33</f>
        <v>15</v>
      </c>
      <c r="K35" s="41">
        <f>Effort!J33</f>
        <v>1269.4787751788999</v>
      </c>
      <c r="L35" s="42">
        <f>Harvest!J33</f>
        <v>18749.224987257599</v>
      </c>
      <c r="M35" s="43">
        <f>CPUE!J33</f>
        <v>14.76923076923077</v>
      </c>
      <c r="N35" s="41" t="str">
        <f>Effort!L33</f>
        <v>CLOSED</v>
      </c>
      <c r="O35" s="42" t="str">
        <f>Harvest!L33</f>
        <v>CLOSED</v>
      </c>
      <c r="P35" s="43" t="str">
        <f>CPUE!L33</f>
        <v>CLOSED</v>
      </c>
      <c r="Q35" s="41" t="s">
        <v>10</v>
      </c>
      <c r="R35" s="42" t="s">
        <v>10</v>
      </c>
      <c r="S35" s="44" t="s">
        <v>10</v>
      </c>
      <c r="T35" s="41">
        <f>SUM(E35,H35,K35,N35)</f>
        <v>3117.4232056454775</v>
      </c>
      <c r="U35" s="42">
        <f>SUM(F35,I35,L35,O35)</f>
        <v>46468.39144425626</v>
      </c>
      <c r="V35" s="42"/>
    </row>
    <row r="36" spans="1:24" x14ac:dyDescent="0.25">
      <c r="A36" s="39">
        <v>45994</v>
      </c>
      <c r="B36" s="40" t="s">
        <v>61</v>
      </c>
      <c r="C36" s="4">
        <v>-1.4</v>
      </c>
      <c r="D36" s="13">
        <v>0.70763888888888893</v>
      </c>
      <c r="E36" s="41">
        <f>Effort!F34</f>
        <v>1304.4743316206791</v>
      </c>
      <c r="F36" s="42">
        <f>Harvest!F34</f>
        <v>19522.2410541305</v>
      </c>
      <c r="G36" s="43">
        <f>+CPUE!F34</f>
        <v>14.965599997568418</v>
      </c>
      <c r="H36" s="41">
        <f>Effort!H34</f>
        <v>1099.8525785335501</v>
      </c>
      <c r="I36" s="42">
        <f>Harvest!H34</f>
        <v>16497.788678003199</v>
      </c>
      <c r="J36" s="43">
        <f>CPUE!H34</f>
        <v>14.999999999999952</v>
      </c>
      <c r="K36" s="41" t="str">
        <f>Effort!J34</f>
        <v>CLOSED</v>
      </c>
      <c r="L36" s="42" t="str">
        <f>Harvest!J34</f>
        <v>CLOSED</v>
      </c>
      <c r="M36" s="43" t="str">
        <f>CPUE!J34</f>
        <v>CLOSED</v>
      </c>
      <c r="N36" s="41">
        <f>Effort!L34</f>
        <v>1233.8475667855</v>
      </c>
      <c r="O36" s="42">
        <f>Harvest!L34</f>
        <v>17248.160777355599</v>
      </c>
      <c r="P36" s="43">
        <f>CPUE!L34</f>
        <v>13.979166666666638</v>
      </c>
      <c r="Q36" s="41" t="s">
        <v>10</v>
      </c>
      <c r="R36" s="42" t="s">
        <v>10</v>
      </c>
      <c r="S36" s="44" t="s">
        <v>10</v>
      </c>
      <c r="T36" s="41">
        <f t="shared" ref="T36:T41" si="6">SUM(E36,H36,K36,N36)</f>
        <v>3638.1744769397292</v>
      </c>
      <c r="U36" s="42">
        <f t="shared" ref="U36:U41" si="7">SUM(F36,I36,L36,O36)</f>
        <v>53268.190509489301</v>
      </c>
      <c r="V36" s="42"/>
    </row>
    <row r="37" spans="1:24" x14ac:dyDescent="0.25">
      <c r="A37" s="39">
        <v>45995</v>
      </c>
      <c r="B37" s="40" t="s">
        <v>22</v>
      </c>
      <c r="C37" s="4">
        <v>-1.9</v>
      </c>
      <c r="D37" s="13">
        <v>0.74097222222222225</v>
      </c>
      <c r="E37" s="41">
        <f>Effort!F35</f>
        <v>542.92008946439137</v>
      </c>
      <c r="F37" s="42">
        <f>Harvest!F35</f>
        <v>6786.5011183048919</v>
      </c>
      <c r="G37" s="43">
        <f>+CPUE!F35</f>
        <v>12.5</v>
      </c>
      <c r="H37" s="41">
        <f>Effort!H35</f>
        <v>457.75684952972557</v>
      </c>
      <c r="I37" s="42">
        <f>Harvest!H35</f>
        <v>5721.9606191215698</v>
      </c>
      <c r="J37" s="43">
        <f>CPUE!H35</f>
        <v>12.5</v>
      </c>
      <c r="K37" s="41" t="str">
        <f>Effort!J35</f>
        <v>CLOSED</v>
      </c>
      <c r="L37" s="42" t="str">
        <f>Harvest!J35</f>
        <v>CLOSED</v>
      </c>
      <c r="M37" s="43" t="str">
        <f>CPUE!J35</f>
        <v>CLOSED</v>
      </c>
      <c r="N37" s="41">
        <f>Effort!L35</f>
        <v>513.52534511916804</v>
      </c>
      <c r="O37" s="42">
        <f>Harvest!L35</f>
        <v>6162.3041414300196</v>
      </c>
      <c r="P37" s="43">
        <f>CPUE!L35</f>
        <v>12.000000000000005</v>
      </c>
      <c r="Q37" s="41" t="s">
        <v>10</v>
      </c>
      <c r="R37" s="42" t="s">
        <v>10</v>
      </c>
      <c r="S37" s="44" t="s">
        <v>10</v>
      </c>
      <c r="T37" s="41">
        <f t="shared" si="6"/>
        <v>1514.2022841132848</v>
      </c>
      <c r="U37" s="42">
        <f t="shared" si="7"/>
        <v>18670.76587885648</v>
      </c>
      <c r="V37" s="42"/>
    </row>
    <row r="38" spans="1:24" x14ac:dyDescent="0.25">
      <c r="A38" s="39">
        <v>45996</v>
      </c>
      <c r="B38" s="40" t="s">
        <v>18</v>
      </c>
      <c r="C38" s="4">
        <v>-2.0499999999999998</v>
      </c>
      <c r="D38" s="13">
        <v>0.77361111111111114</v>
      </c>
      <c r="E38" s="41">
        <f>Effort!F36</f>
        <v>805.31502126567784</v>
      </c>
      <c r="F38" s="42">
        <f>Harvest!F36</f>
        <v>12079.725318985167</v>
      </c>
      <c r="G38" s="43">
        <f>+CPUE!F36</f>
        <v>15</v>
      </c>
      <c r="H38" s="41">
        <f>Effort!H36</f>
        <v>752.03963111463202</v>
      </c>
      <c r="I38" s="42">
        <f>Harvest!H36</f>
        <v>7364.8019047088101</v>
      </c>
      <c r="J38" s="43">
        <f>CPUE!H36</f>
        <v>9.7931034482758612</v>
      </c>
      <c r="K38" s="41">
        <f>Effort!J36</f>
        <v>1069.8528830348801</v>
      </c>
      <c r="L38" s="42">
        <f>Harvest!J36</f>
        <v>13765.4404283821</v>
      </c>
      <c r="M38" s="43">
        <f>CPUE!J36</f>
        <v>12.866666666666646</v>
      </c>
      <c r="N38" s="41" t="str">
        <f>Effort!L36</f>
        <v>CLOSED</v>
      </c>
      <c r="O38" s="42" t="str">
        <f>Harvest!L36</f>
        <v>CLOSED</v>
      </c>
      <c r="P38" s="43" t="str">
        <f>CPUE!L36</f>
        <v>CLOSED</v>
      </c>
      <c r="Q38" s="41" t="s">
        <v>10</v>
      </c>
      <c r="R38" s="42" t="s">
        <v>10</v>
      </c>
      <c r="S38" s="44" t="s">
        <v>10</v>
      </c>
      <c r="T38" s="41">
        <f t="shared" si="6"/>
        <v>2627.2075354151898</v>
      </c>
      <c r="U38" s="42">
        <f t="shared" si="7"/>
        <v>33209.967652076077</v>
      </c>
      <c r="V38" s="42"/>
    </row>
    <row r="39" spans="1:24" x14ac:dyDescent="0.25">
      <c r="A39" s="39">
        <v>45997</v>
      </c>
      <c r="B39" s="40" t="s">
        <v>19</v>
      </c>
      <c r="C39" s="4">
        <v>-1.86</v>
      </c>
      <c r="D39" s="13">
        <v>0.80694444444444446</v>
      </c>
      <c r="E39" s="41">
        <f>Effort!F37</f>
        <v>1127.0943437992657</v>
      </c>
      <c r="F39" s="42">
        <f>Harvest!F37</f>
        <v>14088.679297490822</v>
      </c>
      <c r="G39" s="43">
        <f>+CPUE!F37</f>
        <v>12.5</v>
      </c>
      <c r="H39" s="41">
        <f>Effort!H37</f>
        <v>1052.5317325014278</v>
      </c>
      <c r="I39" s="42">
        <f>Harvest!H37</f>
        <v>13156.646656267847</v>
      </c>
      <c r="J39" s="43">
        <f>CPUE!H37</f>
        <v>12.5</v>
      </c>
      <c r="K39" s="41">
        <f>Effort!J37</f>
        <v>1497.3334674309301</v>
      </c>
      <c r="L39" s="42">
        <f>Harvest!J37</f>
        <v>18799.853535521699</v>
      </c>
      <c r="M39" s="43">
        <f>CPUE!J37</f>
        <v>12.55555555555557</v>
      </c>
      <c r="N39" s="41" t="str">
        <f>Effort!L37</f>
        <v>CLOSED</v>
      </c>
      <c r="O39" s="42" t="str">
        <f>Harvest!L37</f>
        <v>CLOSED</v>
      </c>
      <c r="P39" s="43" t="str">
        <f>CPUE!L37</f>
        <v>CLOSED</v>
      </c>
      <c r="Q39" s="41" t="s">
        <v>10</v>
      </c>
      <c r="R39" s="42" t="s">
        <v>10</v>
      </c>
      <c r="S39" s="44" t="s">
        <v>10</v>
      </c>
      <c r="T39" s="41">
        <f t="shared" si="6"/>
        <v>3676.9595437316239</v>
      </c>
      <c r="U39" s="42">
        <f t="shared" si="7"/>
        <v>46045.179489280374</v>
      </c>
      <c r="V39" s="42"/>
    </row>
    <row r="40" spans="1:24" x14ac:dyDescent="0.25">
      <c r="A40" s="39">
        <v>45998</v>
      </c>
      <c r="B40" s="40" t="s">
        <v>20</v>
      </c>
      <c r="C40" s="4">
        <v>-1.41</v>
      </c>
      <c r="D40" s="13">
        <v>0.84027777777777779</v>
      </c>
      <c r="E40" s="41">
        <f>Effort!F38</f>
        <v>228.84007056982153</v>
      </c>
      <c r="F40" s="42">
        <f>Harvest!F38</f>
        <v>2402.8207409831261</v>
      </c>
      <c r="G40" s="43">
        <f>+CPUE!F38</f>
        <v>10.5</v>
      </c>
      <c r="H40" s="41">
        <f>Effort!H38</f>
        <v>192.94388213474286</v>
      </c>
      <c r="I40" s="42">
        <f>Harvest!H38</f>
        <v>2025.9107624148</v>
      </c>
      <c r="J40" s="43">
        <f>CPUE!H38</f>
        <v>10.5</v>
      </c>
      <c r="K40" s="41" t="str">
        <f>Effort!J38</f>
        <v>CLOSED</v>
      </c>
      <c r="L40" s="42" t="str">
        <f>Harvest!J38</f>
        <v>CLOSED</v>
      </c>
      <c r="M40" s="43" t="str">
        <f>CPUE!J38</f>
        <v>CLOSED</v>
      </c>
      <c r="N40" s="41">
        <f>Effort!L38</f>
        <v>216.45022627988399</v>
      </c>
      <c r="O40" s="42">
        <f>Harvest!L38</f>
        <v>2056.2771496588998</v>
      </c>
      <c r="P40" s="43">
        <f>CPUE!L38</f>
        <v>9.5000000000000089</v>
      </c>
      <c r="Q40" s="41" t="s">
        <v>10</v>
      </c>
      <c r="R40" s="42" t="s">
        <v>10</v>
      </c>
      <c r="S40" s="44" t="s">
        <v>10</v>
      </c>
      <c r="T40" s="41">
        <f t="shared" si="6"/>
        <v>638.23417898444836</v>
      </c>
      <c r="U40" s="42">
        <f t="shared" si="7"/>
        <v>6485.008653056826</v>
      </c>
      <c r="V40" s="42"/>
    </row>
    <row r="41" spans="1:24" x14ac:dyDescent="0.25">
      <c r="A41" s="39">
        <v>45999</v>
      </c>
      <c r="B41" s="40" t="s">
        <v>21</v>
      </c>
      <c r="C41" s="4">
        <v>-0.78</v>
      </c>
      <c r="D41" s="13">
        <v>0.87430555555555556</v>
      </c>
      <c r="E41" s="41">
        <f>Effort!F39</f>
        <v>12.082755726086605</v>
      </c>
      <c r="F41" s="42">
        <f>Harvest!F39</f>
        <v>84.579290082606235</v>
      </c>
      <c r="G41" s="43">
        <f>+CPUE!F39</f>
        <v>7</v>
      </c>
      <c r="H41" s="41">
        <f>Effort!H39</f>
        <v>10.187436976714446</v>
      </c>
      <c r="I41" s="42">
        <f>Harvest!H39</f>
        <v>71.312058837001118</v>
      </c>
      <c r="J41" s="43">
        <f>CPUE!H39</f>
        <v>7</v>
      </c>
      <c r="K41" s="41" t="str">
        <f>Effort!J39</f>
        <v>CLOSED</v>
      </c>
      <c r="L41" s="42" t="str">
        <f>Harvest!J39</f>
        <v>CLOSED</v>
      </c>
      <c r="M41" s="43" t="str">
        <f>CPUE!J39</f>
        <v>CLOSED</v>
      </c>
      <c r="N41" s="41">
        <f>Effort!L39</f>
        <v>11.4285719475779</v>
      </c>
      <c r="O41" s="42">
        <f>Harvest!L39</f>
        <v>57.142859737889403</v>
      </c>
      <c r="P41" s="43">
        <f>CPUE!L39</f>
        <v>4.9999999999999911</v>
      </c>
      <c r="Q41" s="41" t="s">
        <v>10</v>
      </c>
      <c r="R41" s="42" t="s">
        <v>10</v>
      </c>
      <c r="S41" s="44" t="s">
        <v>10</v>
      </c>
      <c r="T41" s="41">
        <f t="shared" si="6"/>
        <v>33.698764650378948</v>
      </c>
      <c r="U41" s="42">
        <f t="shared" si="7"/>
        <v>213.03420865749678</v>
      </c>
      <c r="V41" s="42"/>
    </row>
    <row r="42" spans="1:24" x14ac:dyDescent="0.25">
      <c r="A42" s="110" t="s">
        <v>50</v>
      </c>
      <c r="B42" s="110"/>
      <c r="C42" s="110"/>
      <c r="D42" s="111"/>
      <c r="E42" s="47">
        <f>SUM(E35:E41)</f>
        <v>4976.3069011389343</v>
      </c>
      <c r="F42" s="48">
        <f>SUM(F35:F41)</f>
        <v>69298.251150372293</v>
      </c>
      <c r="G42" s="49">
        <f>+F42/E42</f>
        <v>13.925638536182706</v>
      </c>
      <c r="H42" s="47">
        <f>SUM(H35:H41)</f>
        <v>4457.676252564358</v>
      </c>
      <c r="I42" s="48">
        <f>SUM(I35:I41)</f>
        <v>58223.882805956702</v>
      </c>
      <c r="J42" s="49">
        <f>+I42/H42</f>
        <v>13.061487534556232</v>
      </c>
      <c r="K42" s="47">
        <f>SUM(K35:K41)</f>
        <v>3836.6651256447103</v>
      </c>
      <c r="L42" s="48">
        <f>SUM(L35:L41)</f>
        <v>51314.518951161401</v>
      </c>
      <c r="M42" s="49">
        <f>+L42/K42</f>
        <v>13.374771388873443</v>
      </c>
      <c r="N42" s="47">
        <f>SUM(N35:N41)</f>
        <v>1975.2517101321298</v>
      </c>
      <c r="O42" s="48">
        <f>SUM(O35:O41)</f>
        <v>25523.884928182411</v>
      </c>
      <c r="P42" s="49">
        <f>+O42/N42</f>
        <v>12.921839174853847</v>
      </c>
      <c r="Q42" s="47"/>
      <c r="R42" s="48"/>
      <c r="S42" s="49"/>
      <c r="T42" s="47">
        <f>SUM(T35:T41)</f>
        <v>15245.899989480131</v>
      </c>
      <c r="U42" s="48">
        <f>SUM(U35:U41)</f>
        <v>204360.53783567282</v>
      </c>
      <c r="V42" s="62"/>
      <c r="W42" s="20">
        <f>SUM(H42,K42,N42,Q42,E42)</f>
        <v>15245.899989480133</v>
      </c>
      <c r="X42" s="20">
        <f>SUM(R42,O42,L42,I42,F42)</f>
        <v>204360.53783567282</v>
      </c>
    </row>
    <row r="43" spans="1:24" x14ac:dyDescent="0.25">
      <c r="A43" s="39">
        <v>46009</v>
      </c>
      <c r="B43" s="40" t="s">
        <v>22</v>
      </c>
      <c r="C43" s="4">
        <v>-0.2</v>
      </c>
      <c r="D43" s="13">
        <v>0.7319444444444444</v>
      </c>
      <c r="E43" s="41">
        <f>Effort!F41</f>
        <v>132.38196929810678</v>
      </c>
      <c r="F43" s="42">
        <f>Harvest!F41</f>
        <v>926.67378508674744</v>
      </c>
      <c r="G43" s="43">
        <f>+CPUE!F41</f>
        <v>7</v>
      </c>
      <c r="H43" s="41">
        <f>Effort!H41</f>
        <v>126.177020176452</v>
      </c>
      <c r="I43" s="42">
        <f>Harvest!H41</f>
        <v>851.69488619105198</v>
      </c>
      <c r="J43" s="43">
        <f>CPUE!H41</f>
        <v>6.7500000000000071</v>
      </c>
      <c r="K43" s="41">
        <f>Effort!J41</f>
        <v>147.32965474968901</v>
      </c>
      <c r="L43" s="42">
        <f>Harvest!J41</f>
        <v>654.79846555417305</v>
      </c>
      <c r="M43" s="43">
        <f>CPUE!J41</f>
        <v>4.444444444444442</v>
      </c>
      <c r="N43" s="41" t="str">
        <f>Effort!L41</f>
        <v>CLOSED</v>
      </c>
      <c r="O43" s="42" t="str">
        <f>Harvest!L41</f>
        <v>CLOSED</v>
      </c>
      <c r="P43" s="43" t="str">
        <f>CPUE!L41</f>
        <v>CLOSED</v>
      </c>
      <c r="Q43" s="41" t="s">
        <v>10</v>
      </c>
      <c r="R43" s="42" t="s">
        <v>10</v>
      </c>
      <c r="S43" s="44" t="s">
        <v>10</v>
      </c>
      <c r="T43" s="41">
        <f t="shared" ref="T43:T48" si="8">SUM(E43,H43,K43,N43)</f>
        <v>405.88864422424774</v>
      </c>
      <c r="U43" s="42">
        <f t="shared" ref="U43:U48" si="9">SUM(F43,I43,L43,O43)</f>
        <v>2433.1671368319726</v>
      </c>
      <c r="V43" s="42"/>
    </row>
    <row r="44" spans="1:24" x14ac:dyDescent="0.25">
      <c r="A44" s="39">
        <v>46010</v>
      </c>
      <c r="B44" s="40" t="s">
        <v>18</v>
      </c>
      <c r="C44" s="4">
        <v>-0.38</v>
      </c>
      <c r="D44" s="13">
        <v>0.75624999999999998</v>
      </c>
      <c r="E44" s="41">
        <f>Effort!F42</f>
        <v>248.38260234439446</v>
      </c>
      <c r="F44" s="42">
        <f>Harvest!F42</f>
        <v>1738.6782164107613</v>
      </c>
      <c r="G44" s="43">
        <f>+CPUE!F42</f>
        <v>7</v>
      </c>
      <c r="H44" s="41">
        <f>Effort!H42</f>
        <v>236.74052284956082</v>
      </c>
      <c r="I44" s="42">
        <f>Harvest!H42</f>
        <v>1657.1836599469257</v>
      </c>
      <c r="J44" s="43">
        <f>CPUE!H42</f>
        <v>7</v>
      </c>
      <c r="K44" s="41" t="str">
        <f>Effort!J42</f>
        <v>CLOSED</v>
      </c>
      <c r="L44" s="42" t="str">
        <f>Harvest!J42</f>
        <v>CLOSED</v>
      </c>
      <c r="M44" s="43" t="str">
        <f>CPUE!J42</f>
        <v>CLOSED</v>
      </c>
      <c r="N44" s="41">
        <f>Effort!L42</f>
        <v>155.556947609091</v>
      </c>
      <c r="O44" s="42">
        <f>Harvest!L42</f>
        <v>591.11640091454603</v>
      </c>
      <c r="P44" s="43">
        <f>CPUE!L42</f>
        <v>3.8000000000000016</v>
      </c>
      <c r="Q44" s="41" t="s">
        <v>10</v>
      </c>
      <c r="R44" s="42" t="s">
        <v>10</v>
      </c>
      <c r="S44" s="44" t="s">
        <v>10</v>
      </c>
      <c r="T44" s="41">
        <f t="shared" si="8"/>
        <v>640.6800728030463</v>
      </c>
      <c r="U44" s="42">
        <f t="shared" si="9"/>
        <v>3986.9782772722328</v>
      </c>
      <c r="V44" s="42"/>
    </row>
    <row r="45" spans="1:24" x14ac:dyDescent="0.25">
      <c r="A45" s="39">
        <v>46011</v>
      </c>
      <c r="B45" s="40" t="s">
        <v>19</v>
      </c>
      <c r="C45" s="4">
        <v>-0.45</v>
      </c>
      <c r="D45" s="13">
        <v>0.78055555555555556</v>
      </c>
      <c r="E45" s="41">
        <f>Effort!F43</f>
        <v>401.42557812462087</v>
      </c>
      <c r="F45" s="42">
        <f>Harvest!F43</f>
        <v>2809.9790468723459</v>
      </c>
      <c r="G45" s="43">
        <f>+CPUE!F43</f>
        <v>7</v>
      </c>
      <c r="H45" s="41">
        <f>Effort!H43</f>
        <v>382.61013594922059</v>
      </c>
      <c r="I45" s="42">
        <f>Harvest!H43</f>
        <v>2678.2709516445443</v>
      </c>
      <c r="J45" s="43">
        <f>CPUE!H43</f>
        <v>7</v>
      </c>
      <c r="K45" s="41" t="str">
        <f>Effort!J43</f>
        <v>CLOSED</v>
      </c>
      <c r="L45" s="42" t="str">
        <f>Harvest!J43</f>
        <v>CLOSED</v>
      </c>
      <c r="M45" s="43" t="str">
        <f>CPUE!J43</f>
        <v>CLOSED</v>
      </c>
      <c r="N45" s="41">
        <f>Effort!L43</f>
        <v>251.40463557386499</v>
      </c>
      <c r="O45" s="42">
        <f>Harvest!L43</f>
        <v>1177.63224031968</v>
      </c>
      <c r="P45" s="43">
        <f>CPUE!L43</f>
        <v>4.6842105263157761</v>
      </c>
      <c r="Q45" s="41" t="s">
        <v>10</v>
      </c>
      <c r="R45" s="42" t="s">
        <v>10</v>
      </c>
      <c r="S45" s="44" t="s">
        <v>10</v>
      </c>
      <c r="T45" s="41">
        <f t="shared" si="8"/>
        <v>1035.4403496477066</v>
      </c>
      <c r="U45" s="42">
        <f t="shared" si="9"/>
        <v>6665.8822388365707</v>
      </c>
      <c r="V45" s="42"/>
    </row>
    <row r="46" spans="1:24" x14ac:dyDescent="0.25">
      <c r="A46" s="39">
        <v>46012</v>
      </c>
      <c r="B46" s="40" t="s">
        <v>20</v>
      </c>
      <c r="C46" s="4">
        <v>-0.44</v>
      </c>
      <c r="D46" s="13">
        <v>0.80486111111111114</v>
      </c>
      <c r="E46" s="41">
        <f>Effort!F44</f>
        <v>88.496427490782636</v>
      </c>
      <c r="F46" s="42">
        <f>Harvest!F44</f>
        <v>1327.4464123617395</v>
      </c>
      <c r="G46" s="43">
        <f>+CPUE!F44</f>
        <v>15</v>
      </c>
      <c r="H46" s="41">
        <f>Effort!H44</f>
        <v>84.348462077215004</v>
      </c>
      <c r="I46" s="42">
        <f>Harvest!H44</f>
        <v>1128.16068028275</v>
      </c>
      <c r="J46" s="43">
        <f>CPUE!H44</f>
        <v>13.374999999999993</v>
      </c>
      <c r="K46" s="41">
        <f>Effort!J44</f>
        <v>196.56470008030499</v>
      </c>
      <c r="L46" s="42">
        <f>Harvest!J44</f>
        <v>2407.9175759837399</v>
      </c>
      <c r="M46" s="43">
        <f>CPUE!J44</f>
        <v>12.25000000000002</v>
      </c>
      <c r="N46" s="41" t="str">
        <f>Effort!L44</f>
        <v>CLOSED</v>
      </c>
      <c r="O46" s="42" t="str">
        <f>Harvest!L44</f>
        <v>CLOSED</v>
      </c>
      <c r="P46" s="43" t="str">
        <f>CPUE!L44</f>
        <v>CLOSED</v>
      </c>
      <c r="Q46" s="41" t="s">
        <v>10</v>
      </c>
      <c r="R46" s="42" t="s">
        <v>10</v>
      </c>
      <c r="S46" s="44" t="s">
        <v>10</v>
      </c>
      <c r="T46" s="41">
        <f t="shared" si="8"/>
        <v>369.40958964830264</v>
      </c>
      <c r="U46" s="42">
        <f t="shared" si="9"/>
        <v>4863.5246686282298</v>
      </c>
      <c r="V46" s="42"/>
    </row>
    <row r="47" spans="1:24" x14ac:dyDescent="0.25">
      <c r="A47" s="39">
        <v>46013</v>
      </c>
      <c r="B47" s="40" t="s">
        <v>21</v>
      </c>
      <c r="C47" s="4">
        <v>-0.33</v>
      </c>
      <c r="D47" s="13">
        <v>0.82916666666666672</v>
      </c>
      <c r="E47" s="41">
        <f>Effort!F45</f>
        <v>38.404968293354628</v>
      </c>
      <c r="F47" s="42">
        <f>Harvest!F45</f>
        <v>268.83477805348241</v>
      </c>
      <c r="G47" s="43">
        <f>+CPUE!F45</f>
        <v>7</v>
      </c>
      <c r="H47" s="41">
        <f>Effort!H45</f>
        <v>36.604867603339898</v>
      </c>
      <c r="I47" s="42">
        <f>Harvest!H45</f>
        <v>256.23407322337926</v>
      </c>
      <c r="J47" s="43">
        <f>CPUE!H45</f>
        <v>7</v>
      </c>
      <c r="K47" s="41">
        <f>Effort!J45</f>
        <v>85.303568609740196</v>
      </c>
      <c r="L47" s="42">
        <f>Harvest!J45</f>
        <v>497.604150223484</v>
      </c>
      <c r="M47" s="43">
        <f>CPUE!J45</f>
        <v>5.8333333333333277</v>
      </c>
      <c r="N47" s="41" t="str">
        <f>Effort!L45</f>
        <v>CLOSED</v>
      </c>
      <c r="O47" s="42" t="str">
        <f>Harvest!L45</f>
        <v>CLOSED</v>
      </c>
      <c r="P47" s="43" t="str">
        <f>CPUE!L45</f>
        <v>CLOSED</v>
      </c>
      <c r="Q47" s="41" t="s">
        <v>10</v>
      </c>
      <c r="R47" s="42" t="s">
        <v>10</v>
      </c>
      <c r="S47" s="44" t="s">
        <v>10</v>
      </c>
      <c r="T47" s="41">
        <f t="shared" si="8"/>
        <v>160.31340450643472</v>
      </c>
      <c r="U47" s="42">
        <f t="shared" si="9"/>
        <v>1022.6730015003457</v>
      </c>
      <c r="V47" s="42"/>
    </row>
    <row r="48" spans="1:24" x14ac:dyDescent="0.25">
      <c r="A48" s="39">
        <v>46014</v>
      </c>
      <c r="B48" s="40" t="s">
        <v>60</v>
      </c>
      <c r="C48" s="4">
        <v>-0.11</v>
      </c>
      <c r="D48" s="13">
        <v>0.85486111111111107</v>
      </c>
      <c r="E48" s="41">
        <f>Effort!F46</f>
        <v>94.817750709735023</v>
      </c>
      <c r="F48" s="42">
        <f>Harvest!F46</f>
        <v>663.72425496814515</v>
      </c>
      <c r="G48" s="43">
        <f>+CPUE!F46</f>
        <v>7</v>
      </c>
      <c r="H48" s="41">
        <f>Effort!H46</f>
        <v>90.373495029727778</v>
      </c>
      <c r="I48" s="42">
        <f>Harvest!H46</f>
        <v>632.61446520809443</v>
      </c>
      <c r="J48" s="43">
        <f>CPUE!H46</f>
        <v>7</v>
      </c>
      <c r="K48" s="41" t="str">
        <f>Effort!J46</f>
        <v>CLOSED</v>
      </c>
      <c r="L48" s="42" t="str">
        <f>Harvest!J46</f>
        <v>CLOSED</v>
      </c>
      <c r="M48" s="43" t="str">
        <f>CPUE!J46</f>
        <v>CLOSED</v>
      </c>
      <c r="N48" s="41">
        <f>Effort!L46</f>
        <v>59.382419462354797</v>
      </c>
      <c r="O48" s="42">
        <f>Harvest!L46</f>
        <v>415.67693623648398</v>
      </c>
      <c r="P48" s="43">
        <f>CPUE!L46</f>
        <v>7.0000000000000071</v>
      </c>
      <c r="Q48" s="41" t="s">
        <v>10</v>
      </c>
      <c r="R48" s="42" t="s">
        <v>10</v>
      </c>
      <c r="S48" s="44" t="s">
        <v>10</v>
      </c>
      <c r="T48" s="41">
        <f t="shared" si="8"/>
        <v>244.57366520181759</v>
      </c>
      <c r="U48" s="42">
        <f t="shared" si="9"/>
        <v>1712.0156564127235</v>
      </c>
      <c r="V48" s="42"/>
    </row>
    <row r="49" spans="1:24" x14ac:dyDescent="0.25">
      <c r="A49" s="110" t="s">
        <v>50</v>
      </c>
      <c r="B49" s="110"/>
      <c r="C49" s="110"/>
      <c r="D49" s="111"/>
      <c r="E49" s="47">
        <f>SUM(E43:E48)</f>
        <v>1003.9092962609943</v>
      </c>
      <c r="F49" s="48">
        <f>SUM(F43:F48)</f>
        <v>7735.3364937532224</v>
      </c>
      <c r="G49" s="49">
        <f>+F49/E49</f>
        <v>7.7052145274110551</v>
      </c>
      <c r="H49" s="47">
        <f>SUM(H43:H48)</f>
        <v>956.85450368551608</v>
      </c>
      <c r="I49" s="48">
        <f>SUM(I43:I48)</f>
        <v>7204.1587164967459</v>
      </c>
      <c r="J49" s="49">
        <f>+I49/H49</f>
        <v>7.5290012104750419</v>
      </c>
      <c r="K49" s="47">
        <f>SUM(K43:K48)</f>
        <v>429.19792343973415</v>
      </c>
      <c r="L49" s="48">
        <f>SUM(L43:L48)</f>
        <v>3560.3201917613969</v>
      </c>
      <c r="M49" s="49">
        <f>+L49/K49</f>
        <v>8.2952875522505174</v>
      </c>
      <c r="N49" s="47">
        <f>SUM(N43:N48)</f>
        <v>466.34400264531081</v>
      </c>
      <c r="O49" s="48">
        <f>SUM(O43:O48)</f>
        <v>2184.4255774707099</v>
      </c>
      <c r="P49" s="49">
        <f>+O49/N49</f>
        <v>4.6841506807843043</v>
      </c>
      <c r="Q49" s="47"/>
      <c r="R49" s="48"/>
      <c r="S49" s="49"/>
      <c r="T49" s="47">
        <f>SUM(T43:T48)</f>
        <v>2856.3057260315559</v>
      </c>
      <c r="U49" s="48">
        <f>SUM(U43:U48)</f>
        <v>20684.240979482074</v>
      </c>
      <c r="V49" s="62"/>
      <c r="W49" s="20">
        <f>SUM(H49,K49,N49,Q49,E49)</f>
        <v>2856.3057260315554</v>
      </c>
      <c r="X49" s="20">
        <f>SUM(R49,O49,L49,I49,F49)</f>
        <v>20684.240979482078</v>
      </c>
    </row>
    <row r="50" spans="1:24" x14ac:dyDescent="0.25">
      <c r="A50" s="39">
        <v>46022</v>
      </c>
      <c r="B50" s="40" t="s">
        <v>61</v>
      </c>
      <c r="C50" s="4">
        <v>-0.62</v>
      </c>
      <c r="D50" s="13">
        <v>0.66319444444444442</v>
      </c>
      <c r="E50" s="41">
        <f>Effort!F48</f>
        <v>3790.6396997438942</v>
      </c>
      <c r="F50" s="42">
        <f>Harvest!F48</f>
        <v>56101.467556209638</v>
      </c>
      <c r="G50" s="43">
        <f>+CPUE!F48</f>
        <v>14.8</v>
      </c>
      <c r="H50" s="41">
        <f>Effort!H48</f>
        <v>2135.30760745819</v>
      </c>
      <c r="I50" s="42">
        <f>Harvest!H48</f>
        <v>31580.0756681975</v>
      </c>
      <c r="J50" s="43">
        <f>CPUE!H48</f>
        <v>14.789473684210554</v>
      </c>
      <c r="K50" s="41">
        <f>Effort!J48</f>
        <v>3564.2962962963002</v>
      </c>
      <c r="L50" s="42">
        <f>Harvest!J48</f>
        <v>51573.185185185197</v>
      </c>
      <c r="M50" s="43">
        <f>CPUE!J48</f>
        <v>14.469387755102028</v>
      </c>
      <c r="N50" s="41" t="str">
        <f>Effort!L48</f>
        <v>CLOSED</v>
      </c>
      <c r="O50" s="42" t="str">
        <f>Harvest!L48</f>
        <v>CLOSED</v>
      </c>
      <c r="P50" s="43" t="str">
        <f>CPUE!L48</f>
        <v>CLOSED</v>
      </c>
      <c r="Q50" s="41" t="s">
        <v>10</v>
      </c>
      <c r="R50" s="42" t="s">
        <v>10</v>
      </c>
      <c r="S50" s="44" t="s">
        <v>10</v>
      </c>
      <c r="T50" s="41">
        <f>SUM(E50,H50,K50,N50)</f>
        <v>9490.2436034983839</v>
      </c>
      <c r="U50" s="42">
        <f>SUM(F50,I50,L50,O50)</f>
        <v>139254.72840959235</v>
      </c>
      <c r="V50" s="42"/>
    </row>
    <row r="51" spans="1:24" x14ac:dyDescent="0.25">
      <c r="A51" s="39">
        <v>46023</v>
      </c>
      <c r="B51" s="40" t="s">
        <v>22</v>
      </c>
      <c r="C51" s="4">
        <v>-1.24</v>
      </c>
      <c r="D51" s="13">
        <v>0.69930555555555551</v>
      </c>
      <c r="E51" s="41">
        <f>Effort!F49</f>
        <v>6107.8564133590044</v>
      </c>
      <c r="F51" s="42">
        <f>Harvest!F49</f>
        <v>64132.492340269542</v>
      </c>
      <c r="G51" s="43">
        <f>+CPUE!F49</f>
        <v>10.5</v>
      </c>
      <c r="H51" s="41">
        <f>Effort!H49</f>
        <v>3440.62039596877</v>
      </c>
      <c r="I51" s="42">
        <f>Harvest!H49</f>
        <v>36126.514157672085</v>
      </c>
      <c r="J51" s="43">
        <f>CPUE!H49</f>
        <v>10.5</v>
      </c>
      <c r="K51" s="41">
        <f>Effort!J49</f>
        <v>5743.1493670886102</v>
      </c>
      <c r="L51" s="42">
        <f>Harvest!J49</f>
        <v>61932.881012658203</v>
      </c>
      <c r="M51" s="43">
        <f>CPUE!J49</f>
        <v>10.783783783783775</v>
      </c>
      <c r="N51" s="41" t="str">
        <f>Effort!L49</f>
        <v>CLOSED</v>
      </c>
      <c r="O51" s="42" t="str">
        <f>Harvest!L49</f>
        <v>CLOSED</v>
      </c>
      <c r="P51" s="43" t="str">
        <f>CPUE!L49</f>
        <v>CLOSED</v>
      </c>
      <c r="Q51" s="41" t="s">
        <v>10</v>
      </c>
      <c r="R51" s="42" t="s">
        <v>10</v>
      </c>
      <c r="S51" s="44" t="s">
        <v>10</v>
      </c>
      <c r="T51" s="41">
        <f t="shared" ref="T51:T56" si="10">SUM(E51,H51,K51,N51)</f>
        <v>15291.626176416385</v>
      </c>
      <c r="U51" s="42">
        <f t="shared" ref="U51:U56" si="11">SUM(F51,I51,L51,O51)</f>
        <v>162191.88751059983</v>
      </c>
      <c r="V51" s="42"/>
    </row>
    <row r="52" spans="1:24" x14ac:dyDescent="0.25">
      <c r="A52" s="39">
        <v>46024</v>
      </c>
      <c r="B52" s="40" t="s">
        <v>18</v>
      </c>
      <c r="C52" s="4">
        <v>-1.61</v>
      </c>
      <c r="D52" s="13">
        <v>0.73402777777777772</v>
      </c>
      <c r="E52" s="41">
        <f>Effort!F50</f>
        <v>4307.2803163016251</v>
      </c>
      <c r="F52" s="42">
        <f>Harvest!F50</f>
        <v>64609.204744524381</v>
      </c>
      <c r="G52" s="43">
        <f>+CPUE!F50</f>
        <v>15</v>
      </c>
      <c r="H52" s="41">
        <f>Effort!H50</f>
        <v>2528.7058722805737</v>
      </c>
      <c r="I52" s="42">
        <f>Harvest!H50</f>
        <v>31608.823403507169</v>
      </c>
      <c r="J52" s="43">
        <f>CPUE!H50</f>
        <v>12.5</v>
      </c>
      <c r="K52" s="41" t="str">
        <f>Effort!J50</f>
        <v>CLOSED</v>
      </c>
      <c r="L52" s="42" t="str">
        <f>Harvest!J50</f>
        <v>CLOSED</v>
      </c>
      <c r="M52" s="43" t="str">
        <f>CPUE!J50</f>
        <v>CLOSED</v>
      </c>
      <c r="N52" s="41">
        <f>Effort!L50</f>
        <v>2048.82445925921</v>
      </c>
      <c r="O52" s="42">
        <f>Harvest!L50</f>
        <v>12628.819617728899</v>
      </c>
      <c r="P52" s="43">
        <f>CPUE!L50</f>
        <v>6.163934426229507</v>
      </c>
      <c r="Q52" s="41" t="s">
        <v>10</v>
      </c>
      <c r="R52" s="42" t="s">
        <v>10</v>
      </c>
      <c r="S52" s="44" t="s">
        <v>10</v>
      </c>
      <c r="T52" s="41">
        <f t="shared" si="10"/>
        <v>8884.8106478414084</v>
      </c>
      <c r="U52" s="42">
        <f t="shared" si="11"/>
        <v>108846.84776576044</v>
      </c>
      <c r="V52" s="42"/>
    </row>
    <row r="53" spans="1:24" x14ac:dyDescent="0.25">
      <c r="A53" s="39">
        <v>46025</v>
      </c>
      <c r="B53" s="40" t="s">
        <v>19</v>
      </c>
      <c r="C53" s="4">
        <v>-1.71</v>
      </c>
      <c r="D53" s="13">
        <v>0.76597222222222228</v>
      </c>
      <c r="E53" s="41">
        <f>Effort!F51</f>
        <v>2228.7895370780861</v>
      </c>
      <c r="F53" s="42">
        <f>Harvest!F51</f>
        <v>17830.316296624689</v>
      </c>
      <c r="G53" s="43">
        <f>+CPUE!F51</f>
        <v>8</v>
      </c>
      <c r="H53" s="41">
        <f>Effort!H51</f>
        <v>1308.4714196929899</v>
      </c>
      <c r="I53" s="42">
        <f>Harvest!H51</f>
        <v>10331.4722513259</v>
      </c>
      <c r="J53" s="43">
        <f>CPUE!H51</f>
        <v>7.8958333333333339</v>
      </c>
      <c r="K53" s="41" t="str">
        <f>Effort!J51</f>
        <v>CLOSED</v>
      </c>
      <c r="L53" s="42" t="str">
        <f>Harvest!J51</f>
        <v>CLOSED</v>
      </c>
      <c r="M53" s="43" t="str">
        <f>CPUE!J51</f>
        <v>CLOSED</v>
      </c>
      <c r="N53" s="41">
        <f>Effort!L51</f>
        <v>1060.1581932859799</v>
      </c>
      <c r="O53" s="42">
        <f>Harvest!L51</f>
        <v>1827.8589539413399</v>
      </c>
      <c r="P53" s="43">
        <f>CPUE!L51</f>
        <v>1.7241379310344782</v>
      </c>
      <c r="Q53" s="41" t="s">
        <v>10</v>
      </c>
      <c r="R53" s="42" t="s">
        <v>10</v>
      </c>
      <c r="S53" s="44" t="s">
        <v>10</v>
      </c>
      <c r="T53" s="41">
        <f t="shared" si="10"/>
        <v>4597.419150057056</v>
      </c>
      <c r="U53" s="42">
        <f t="shared" si="11"/>
        <v>29989.64750189193</v>
      </c>
      <c r="V53" s="42"/>
    </row>
    <row r="54" spans="1:24" x14ac:dyDescent="0.25">
      <c r="A54" s="39">
        <v>46026</v>
      </c>
      <c r="B54" s="40" t="s">
        <v>20</v>
      </c>
      <c r="C54" s="4">
        <v>-1.53</v>
      </c>
      <c r="D54" s="13">
        <v>0.79652777777777772</v>
      </c>
      <c r="E54" s="41">
        <f>Effort!F52</f>
        <v>388.31849782179091</v>
      </c>
      <c r="F54" s="42">
        <f>Harvest!F52</f>
        <v>4853.981222772386</v>
      </c>
      <c r="G54" s="43">
        <f>+CPUE!F52</f>
        <v>12.5</v>
      </c>
      <c r="H54" s="41">
        <f>Effort!H52</f>
        <v>218.74393458487449</v>
      </c>
      <c r="I54" s="42">
        <f>Harvest!H52</f>
        <v>2734.299182310931</v>
      </c>
      <c r="J54" s="43">
        <f>CPUE!H52</f>
        <v>12.5</v>
      </c>
      <c r="K54" s="41">
        <f>Effort!J52</f>
        <v>365.131559104144</v>
      </c>
      <c r="L54" s="42">
        <f>Harvest!J52</f>
        <v>4510.44867128648</v>
      </c>
      <c r="M54" s="43">
        <f>CPUE!J52</f>
        <v>12.352941176470575</v>
      </c>
      <c r="N54" s="41" t="str">
        <f>Effort!L52</f>
        <v>CLOSED</v>
      </c>
      <c r="O54" s="42" t="str">
        <f>Harvest!L52</f>
        <v>CLOSED</v>
      </c>
      <c r="P54" s="43" t="str">
        <f>CPUE!L52</f>
        <v>CLOSED</v>
      </c>
      <c r="Q54" s="41" t="s">
        <v>10</v>
      </c>
      <c r="R54" s="42" t="s">
        <v>10</v>
      </c>
      <c r="S54" s="44" t="s">
        <v>10</v>
      </c>
      <c r="T54" s="41">
        <f t="shared" si="10"/>
        <v>972.19399151080938</v>
      </c>
      <c r="U54" s="42">
        <f t="shared" si="11"/>
        <v>12098.729076369797</v>
      </c>
      <c r="V54" s="42"/>
    </row>
    <row r="55" spans="1:24" x14ac:dyDescent="0.25">
      <c r="A55" s="39">
        <v>46027</v>
      </c>
      <c r="B55" s="40" t="s">
        <v>21</v>
      </c>
      <c r="C55" s="4">
        <v>-1.1100000000000001</v>
      </c>
      <c r="D55" s="13">
        <v>0.82638888888888884</v>
      </c>
      <c r="E55" s="41">
        <f>Effort!F53</f>
        <v>93.579822721463671</v>
      </c>
      <c r="F55" s="42">
        <f>Harvest!F53</f>
        <v>1366.2654117333695</v>
      </c>
      <c r="G55" s="43">
        <f>+CPUE!F53</f>
        <v>14.6</v>
      </c>
      <c r="H55" s="41">
        <f>Effort!H53</f>
        <v>265.02603986837198</v>
      </c>
      <c r="I55" s="42">
        <f>Harvest!H53</f>
        <v>3909.1340880584899</v>
      </c>
      <c r="J55" s="43">
        <f>CPUE!H53</f>
        <v>14.750000000000012</v>
      </c>
      <c r="K55" s="41">
        <f>Effort!J53</f>
        <v>245.098025895733</v>
      </c>
      <c r="L55" s="42">
        <f>Harvest!J53</f>
        <v>3308.8233495924001</v>
      </c>
      <c r="M55" s="43">
        <f>CPUE!J53</f>
        <v>13.500000000000018</v>
      </c>
      <c r="N55" s="41" t="str">
        <f>Effort!L53</f>
        <v>CLOSED</v>
      </c>
      <c r="O55" s="42" t="str">
        <f>Harvest!L53</f>
        <v>CLOSED</v>
      </c>
      <c r="P55" s="43" t="str">
        <f>CPUE!L53</f>
        <v>CLOSED</v>
      </c>
      <c r="Q55" s="41" t="s">
        <v>10</v>
      </c>
      <c r="R55" s="42" t="s">
        <v>10</v>
      </c>
      <c r="S55" s="44" t="s">
        <v>10</v>
      </c>
      <c r="T55" s="41">
        <f t="shared" si="10"/>
        <v>603.70388848556865</v>
      </c>
      <c r="U55" s="42">
        <f t="shared" si="11"/>
        <v>8584.2228493842595</v>
      </c>
      <c r="V55" s="42"/>
    </row>
    <row r="56" spans="1:24" x14ac:dyDescent="0.25">
      <c r="A56" s="39">
        <v>46028</v>
      </c>
      <c r="B56" s="40" t="s">
        <v>60</v>
      </c>
      <c r="C56" s="4">
        <v>-0.49</v>
      </c>
      <c r="D56" s="13">
        <v>0.85555555555555551</v>
      </c>
      <c r="E56" s="41">
        <f>Effort!F54</f>
        <v>61.409560001650185</v>
      </c>
      <c r="F56" s="42">
        <f>Harvest!F54</f>
        <v>307.04780000825093</v>
      </c>
      <c r="G56" s="43">
        <f>+CPUE!F54</f>
        <v>5</v>
      </c>
      <c r="H56" s="41">
        <f>Effort!H54</f>
        <v>36.052149752740817</v>
      </c>
      <c r="I56" s="42">
        <f>Harvest!H54</f>
        <v>180.2607487637041</v>
      </c>
      <c r="J56" s="43">
        <f>CPUE!H54</f>
        <v>5</v>
      </c>
      <c r="K56" s="41" t="str">
        <f>Effort!J54</f>
        <v>CLOSED</v>
      </c>
      <c r="L56" s="42" t="str">
        <f>Harvest!J54</f>
        <v>CLOSED</v>
      </c>
      <c r="M56" s="43" t="str">
        <f>CPUE!J54</f>
        <v>CLOSED</v>
      </c>
      <c r="N56" s="41">
        <f>Effort!L54</f>
        <v>29.2104064106415</v>
      </c>
      <c r="O56" s="42">
        <f>Harvest!L54</f>
        <v>146.05203205320751</v>
      </c>
      <c r="P56" s="43">
        <f>CPUE!L54</f>
        <v>5</v>
      </c>
      <c r="Q56" s="41" t="s">
        <v>10</v>
      </c>
      <c r="R56" s="42" t="s">
        <v>10</v>
      </c>
      <c r="S56" s="44" t="s">
        <v>10</v>
      </c>
      <c r="T56" s="41">
        <f t="shared" si="10"/>
        <v>126.67211616503249</v>
      </c>
      <c r="U56" s="42">
        <f t="shared" si="11"/>
        <v>633.36058082516251</v>
      </c>
      <c r="V56" s="42"/>
    </row>
    <row r="57" spans="1:24" x14ac:dyDescent="0.25">
      <c r="A57" s="110" t="s">
        <v>50</v>
      </c>
      <c r="B57" s="110"/>
      <c r="C57" s="110"/>
      <c r="D57" s="111"/>
      <c r="E57" s="47">
        <f>SUM(E50:E56)</f>
        <v>16977.873847027517</v>
      </c>
      <c r="F57" s="48">
        <f>SUM(F50:F56)</f>
        <v>209200.77537214223</v>
      </c>
      <c r="G57" s="49">
        <f>+F57/E57</f>
        <v>12.321965474420642</v>
      </c>
      <c r="H57" s="47">
        <f>SUM(H50:H56)</f>
        <v>9932.9274196065107</v>
      </c>
      <c r="I57" s="48">
        <f>SUM(I50:I56)</f>
        <v>116470.57949983577</v>
      </c>
      <c r="J57" s="49">
        <f>+I57/H57</f>
        <v>11.725705280996578</v>
      </c>
      <c r="K57" s="47">
        <f>SUM(K50:K56)</f>
        <v>9917.6752483847886</v>
      </c>
      <c r="L57" s="48">
        <f>SUM(L50:L56)</f>
        <v>121325.33821872229</v>
      </c>
      <c r="M57" s="49">
        <f>+L57/K57</f>
        <v>12.233243696750563</v>
      </c>
      <c r="N57" s="47">
        <f>SUM(N50:N56)</f>
        <v>3138.1930589558315</v>
      </c>
      <c r="O57" s="48">
        <f>SUM(O50:O56)</f>
        <v>14602.730603723447</v>
      </c>
      <c r="P57" s="49">
        <f>+O57/N57</f>
        <v>4.6532288898064804</v>
      </c>
      <c r="Q57" s="47"/>
      <c r="R57" s="48"/>
      <c r="S57" s="49"/>
      <c r="T57" s="47">
        <f>SUM(T50:T56)</f>
        <v>39966.66957397465</v>
      </c>
      <c r="U57" s="48">
        <f>SUM(U50:U56)</f>
        <v>461599.42369442381</v>
      </c>
      <c r="V57" s="62"/>
      <c r="W57" s="20">
        <f>SUM(H57,K57,N57,Q57,E57)</f>
        <v>39966.66957397465</v>
      </c>
      <c r="X57" s="20">
        <f>SUM(R57,O57,L57,I57,F57)</f>
        <v>461599.42369442375</v>
      </c>
    </row>
    <row r="58" spans="1:24" x14ac:dyDescent="0.25">
      <c r="A58" s="39">
        <v>46037</v>
      </c>
      <c r="B58" s="40" t="s">
        <v>22</v>
      </c>
      <c r="C58" s="4">
        <v>0.37</v>
      </c>
      <c r="D58" s="13">
        <v>0.69097222222222221</v>
      </c>
      <c r="E58" s="41">
        <f>Effort!F56</f>
        <v>899.99988079657851</v>
      </c>
      <c r="F58" s="42">
        <f>Harvest!F56</f>
        <v>13499.998211948678</v>
      </c>
      <c r="G58" s="43">
        <f>+CPUE!F56</f>
        <v>15</v>
      </c>
      <c r="H58" s="41">
        <f>Effort!H56</f>
        <v>538.44434320867367</v>
      </c>
      <c r="I58" s="42">
        <f>Harvest!H56</f>
        <v>8076.6651481301051</v>
      </c>
      <c r="J58" s="43">
        <f>CPUE!H56</f>
        <v>15</v>
      </c>
      <c r="K58" s="41" t="str">
        <f>Effort!J56</f>
        <v>CLOSED</v>
      </c>
      <c r="L58" s="42" t="str">
        <f>Harvest!J56</f>
        <v>CLOSED</v>
      </c>
      <c r="M58" s="43" t="str">
        <f>CPUE!J56</f>
        <v>CLOSED</v>
      </c>
      <c r="N58" s="41">
        <f>Effort!L56</f>
        <v>417.26254157423301</v>
      </c>
      <c r="O58" s="42">
        <f>Harvest!L56</f>
        <v>6185.3035574533296</v>
      </c>
      <c r="P58" s="43">
        <f>CPUE!L56</f>
        <v>14.823529411764689</v>
      </c>
      <c r="Q58" s="41" t="s">
        <v>10</v>
      </c>
      <c r="R58" s="42" t="s">
        <v>10</v>
      </c>
      <c r="S58" s="44" t="s">
        <v>10</v>
      </c>
      <c r="T58" s="41">
        <f>SUM(E58,H58,K58,N58)</f>
        <v>1855.7067655794851</v>
      </c>
      <c r="U58" s="42">
        <f>SUM(F58,I58,L58,O58)</f>
        <v>27761.966917532111</v>
      </c>
      <c r="V58" s="42"/>
    </row>
    <row r="59" spans="1:24" x14ac:dyDescent="0.25">
      <c r="A59" s="39">
        <v>46038</v>
      </c>
      <c r="B59" s="40" t="s">
        <v>18</v>
      </c>
      <c r="C59" s="4">
        <v>0.01</v>
      </c>
      <c r="D59" s="13">
        <v>0.71805555555555556</v>
      </c>
      <c r="E59" s="41">
        <f>Effort!F57</f>
        <v>1624.4718333104779</v>
      </c>
      <c r="F59" s="42">
        <f>Harvest!F57</f>
        <v>23836.4652584664</v>
      </c>
      <c r="G59" s="43">
        <f>+CPUE!F57</f>
        <v>14.673363224704582</v>
      </c>
      <c r="H59" s="41">
        <f>Effort!H57</f>
        <v>1019.473288318888</v>
      </c>
      <c r="I59" s="42">
        <f>Harvest!H57</f>
        <v>14272.626036464431</v>
      </c>
      <c r="J59" s="43">
        <f>CPUE!H57</f>
        <v>14</v>
      </c>
      <c r="K59" s="41">
        <f>Effort!J57</f>
        <v>1739.0228374997801</v>
      </c>
      <c r="L59" s="42">
        <f>Harvest!J57</f>
        <v>24240.9244015121</v>
      </c>
      <c r="M59" s="43">
        <f>CPUE!J57</f>
        <v>13.939393939393948</v>
      </c>
      <c r="N59" s="41" t="str">
        <f>Effort!L57</f>
        <v>CLOSED</v>
      </c>
      <c r="O59" s="42" t="str">
        <f>Harvest!L57</f>
        <v>CLOSED</v>
      </c>
      <c r="P59" s="43" t="str">
        <f>CPUE!L57</f>
        <v>CLOSED</v>
      </c>
      <c r="Q59" s="41" t="s">
        <v>10</v>
      </c>
      <c r="R59" s="42" t="s">
        <v>10</v>
      </c>
      <c r="S59" s="44" t="s">
        <v>10</v>
      </c>
      <c r="T59" s="41">
        <f t="shared" ref="T59:T64" si="12">SUM(E59,H59,K59,N59)</f>
        <v>4382.967959129146</v>
      </c>
      <c r="U59" s="42">
        <f t="shared" ref="U59:U64" si="13">SUM(F59,I59,L59,O59)</f>
        <v>62350.015696442933</v>
      </c>
      <c r="V59" s="42"/>
    </row>
    <row r="60" spans="1:24" x14ac:dyDescent="0.25">
      <c r="A60" s="39">
        <v>46039</v>
      </c>
      <c r="B60" s="40" t="s">
        <v>19</v>
      </c>
      <c r="C60" s="4">
        <v>-0.27</v>
      </c>
      <c r="D60" s="13">
        <v>0.74305555555555558</v>
      </c>
      <c r="E60" s="41">
        <f>Effort!F58</f>
        <v>2033.8377969235275</v>
      </c>
      <c r="F60" s="42">
        <f>Harvest!F58</f>
        <v>25422.972461544094</v>
      </c>
      <c r="G60" s="43">
        <f>+CPUE!F58</f>
        <v>12.5</v>
      </c>
      <c r="H60" s="41">
        <f>Effort!H58</f>
        <v>1563.2395320360999</v>
      </c>
      <c r="I60" s="42">
        <f>Harvest!H58</f>
        <v>22135.471773631201</v>
      </c>
      <c r="J60" s="43">
        <f>CPUE!H58</f>
        <v>14.160000000000016</v>
      </c>
      <c r="K60" s="41">
        <f>Effort!J58</f>
        <v>2666.5821241634198</v>
      </c>
      <c r="L60" s="42">
        <f>Harvest!J58</f>
        <v>25861.613934346798</v>
      </c>
      <c r="M60" s="43">
        <f>CPUE!J58</f>
        <v>9.6984126984126906</v>
      </c>
      <c r="N60" s="41" t="str">
        <f>Effort!L58</f>
        <v>CLOSED</v>
      </c>
      <c r="O60" s="42" t="str">
        <f>Harvest!L58</f>
        <v>CLOSED</v>
      </c>
      <c r="P60" s="43" t="str">
        <f>CPUE!L58</f>
        <v>CLOSED</v>
      </c>
      <c r="Q60" s="41" t="s">
        <v>10</v>
      </c>
      <c r="R60" s="42" t="s">
        <v>10</v>
      </c>
      <c r="S60" s="44" t="s">
        <v>10</v>
      </c>
      <c r="T60" s="41">
        <f t="shared" si="12"/>
        <v>6263.6594531230476</v>
      </c>
      <c r="U60" s="42">
        <f t="shared" si="13"/>
        <v>73420.05816952209</v>
      </c>
      <c r="V60" s="42"/>
    </row>
    <row r="61" spans="1:24" x14ac:dyDescent="0.25">
      <c r="A61" s="39">
        <v>46040</v>
      </c>
      <c r="B61" s="40" t="s">
        <v>20</v>
      </c>
      <c r="C61" s="4">
        <v>-0.45</v>
      </c>
      <c r="D61" s="13">
        <v>0.76666666666666672</v>
      </c>
      <c r="E61" s="41">
        <f>Effort!F59</f>
        <v>2512.9560671834088</v>
      </c>
      <c r="F61" s="42">
        <f>Harvest!F59</f>
        <v>35181.384940567725</v>
      </c>
      <c r="G61" s="43">
        <f>+CPUE!F59</f>
        <v>14</v>
      </c>
      <c r="H61" s="41">
        <f>Effort!H59</f>
        <v>1931.4973261059799</v>
      </c>
      <c r="I61" s="42">
        <f>Harvest!H59</f>
        <v>28972.459891589799</v>
      </c>
      <c r="J61" s="43">
        <f>CPUE!H59</f>
        <v>15.000000000000052</v>
      </c>
      <c r="K61" s="41" t="str">
        <f>Effort!J59</f>
        <v>CLOSED</v>
      </c>
      <c r="L61" s="42" t="str">
        <f>Harvest!J59</f>
        <v>CLOSED</v>
      </c>
      <c r="M61" s="43" t="str">
        <f>CPUE!J59</f>
        <v>CLOSED</v>
      </c>
      <c r="N61" s="41">
        <f>Effort!L59</f>
        <v>1496.79626780381</v>
      </c>
      <c r="O61" s="42">
        <f>Harvest!L59</f>
        <v>19059.205810035201</v>
      </c>
      <c r="P61" s="43">
        <f>CPUE!L59</f>
        <v>12.733333333333347</v>
      </c>
      <c r="Q61" s="41" t="s">
        <v>10</v>
      </c>
      <c r="R61" s="42" t="s">
        <v>10</v>
      </c>
      <c r="S61" s="44" t="s">
        <v>10</v>
      </c>
      <c r="T61" s="41">
        <f t="shared" si="12"/>
        <v>5941.2496610931985</v>
      </c>
      <c r="U61" s="42">
        <f t="shared" si="13"/>
        <v>83213.050642192728</v>
      </c>
      <c r="V61" s="42"/>
    </row>
    <row r="62" spans="1:24" x14ac:dyDescent="0.25">
      <c r="A62" s="39">
        <v>46041</v>
      </c>
      <c r="B62" s="40" t="s">
        <v>21</v>
      </c>
      <c r="C62" s="4">
        <v>-0.5</v>
      </c>
      <c r="D62" s="13">
        <v>0.7895833333333333</v>
      </c>
      <c r="E62" s="41">
        <f>Effort!F60</f>
        <v>670.73398991791476</v>
      </c>
      <c r="F62" s="42">
        <f>Harvest!F60</f>
        <v>4695.1379294254029</v>
      </c>
      <c r="G62" s="43">
        <f>+CPUE!F60</f>
        <v>7</v>
      </c>
      <c r="H62" s="41">
        <f>Effort!H60</f>
        <v>401.28107833684697</v>
      </c>
      <c r="I62" s="42">
        <f>Harvest!H60</f>
        <v>2808.967548357929</v>
      </c>
      <c r="J62" s="43">
        <f>CPUE!H60</f>
        <v>7</v>
      </c>
      <c r="K62" s="41" t="str">
        <f>Effort!J60</f>
        <v>CLOSED</v>
      </c>
      <c r="L62" s="42" t="str">
        <f>Harvest!J60</f>
        <v>CLOSED</v>
      </c>
      <c r="M62" s="43" t="str">
        <f>CPUE!J60</f>
        <v>CLOSED</v>
      </c>
      <c r="N62" s="41">
        <f>Effort!L60</f>
        <v>310.96911824661998</v>
      </c>
      <c r="O62" s="42">
        <f>Harvest!L60</f>
        <v>1839.9006162925</v>
      </c>
      <c r="P62" s="43">
        <f>CPUE!L60</f>
        <v>5.9166666666666616</v>
      </c>
      <c r="Q62" s="41" t="s">
        <v>10</v>
      </c>
      <c r="R62" s="42" t="s">
        <v>10</v>
      </c>
      <c r="S62" s="44" t="s">
        <v>10</v>
      </c>
      <c r="T62" s="41">
        <f t="shared" si="12"/>
        <v>1382.9841865013816</v>
      </c>
      <c r="U62" s="42">
        <f t="shared" si="13"/>
        <v>9344.0060940758322</v>
      </c>
      <c r="V62" s="42"/>
    </row>
    <row r="63" spans="1:24" x14ac:dyDescent="0.25">
      <c r="A63" s="39">
        <v>46042</v>
      </c>
      <c r="B63" s="40" t="s">
        <v>60</v>
      </c>
      <c r="C63" s="4">
        <v>-0.39</v>
      </c>
      <c r="D63" s="13">
        <v>0.81180555555555556</v>
      </c>
      <c r="E63" s="41">
        <f>Effort!F61</f>
        <v>177.00956435013808</v>
      </c>
      <c r="F63" s="42">
        <f>Harvest!F61</f>
        <v>2655.1434652520711</v>
      </c>
      <c r="G63" s="43">
        <f>+CPUE!F61</f>
        <v>15</v>
      </c>
      <c r="H63" s="41">
        <f>Effort!H61</f>
        <v>99.111970224634177</v>
      </c>
      <c r="I63" s="42">
        <f>Harvest!H61</f>
        <v>1238.8996278079271</v>
      </c>
      <c r="J63" s="43">
        <f>CPUE!H61</f>
        <v>12.5</v>
      </c>
      <c r="K63" s="41">
        <f>Effort!J61</f>
        <v>232.07875319065101</v>
      </c>
      <c r="L63" s="42">
        <f>Harvest!J61</f>
        <v>1929.1546358972901</v>
      </c>
      <c r="M63" s="43">
        <f>CPUE!J61</f>
        <v>8.312500000000016</v>
      </c>
      <c r="N63" s="41" t="str">
        <f>Effort!L61</f>
        <v>CLOSED</v>
      </c>
      <c r="O63" s="42" t="str">
        <f>Harvest!L61</f>
        <v>CLOSED</v>
      </c>
      <c r="P63" s="43" t="str">
        <f>CPUE!L61</f>
        <v>CLOSED</v>
      </c>
      <c r="Q63" s="41" t="s">
        <v>10</v>
      </c>
      <c r="R63" s="42" t="s">
        <v>10</v>
      </c>
      <c r="S63" s="44" t="s">
        <v>10</v>
      </c>
      <c r="T63" s="41">
        <f t="shared" si="12"/>
        <v>508.20028776542324</v>
      </c>
      <c r="U63" s="42">
        <f t="shared" si="13"/>
        <v>5823.1977289572878</v>
      </c>
      <c r="V63" s="42"/>
    </row>
    <row r="64" spans="1:24" x14ac:dyDescent="0.25">
      <c r="A64" s="39">
        <v>46043</v>
      </c>
      <c r="B64" s="40" t="s">
        <v>61</v>
      </c>
      <c r="C64" s="4">
        <v>-0.09</v>
      </c>
      <c r="D64" s="13">
        <v>0.83402777777777781</v>
      </c>
      <c r="E64" s="41">
        <f>Effort!F62</f>
        <v>117.6961853156135</v>
      </c>
      <c r="F64" s="42">
        <f>Harvest!F62</f>
        <v>1471.2023164451689</v>
      </c>
      <c r="G64" s="43">
        <f>+CPUE!F62</f>
        <v>12.5</v>
      </c>
      <c r="H64" s="41">
        <f>Effort!H62</f>
        <v>65.900963359695496</v>
      </c>
      <c r="I64" s="42">
        <f>Harvest!H62</f>
        <v>828.46925366474295</v>
      </c>
      <c r="J64" s="43">
        <f>CPUE!H62</f>
        <v>12.571428571428566</v>
      </c>
      <c r="K64" s="41">
        <f>Effort!J62</f>
        <v>154.31247482939801</v>
      </c>
      <c r="L64" s="42">
        <f>Harvest!J62</f>
        <v>1620.28098570868</v>
      </c>
      <c r="M64" s="43">
        <f>CPUE!J62</f>
        <v>10.500000000000005</v>
      </c>
      <c r="N64" s="41" t="str">
        <f>Effort!L62</f>
        <v>CLOSED</v>
      </c>
      <c r="O64" s="42" t="str">
        <f>Harvest!L62</f>
        <v>CLOSED</v>
      </c>
      <c r="P64" s="43" t="str">
        <f>CPUE!L62</f>
        <v>CLOSED</v>
      </c>
      <c r="Q64" s="41" t="s">
        <v>10</v>
      </c>
      <c r="R64" s="42" t="s">
        <v>10</v>
      </c>
      <c r="S64" s="44" t="s">
        <v>10</v>
      </c>
      <c r="T64" s="41">
        <f t="shared" si="12"/>
        <v>337.90962350470704</v>
      </c>
      <c r="U64" s="42">
        <f t="shared" si="13"/>
        <v>3919.9525558185919</v>
      </c>
      <c r="V64" s="42"/>
    </row>
    <row r="65" spans="1:24" x14ac:dyDescent="0.25">
      <c r="A65" s="110" t="s">
        <v>50</v>
      </c>
      <c r="B65" s="110"/>
      <c r="C65" s="110"/>
      <c r="D65" s="111"/>
      <c r="E65" s="47">
        <f>SUM(E58:E64)</f>
        <v>8036.7053177976595</v>
      </c>
      <c r="F65" s="48">
        <f>SUM(F58:F64)</f>
        <v>106762.30458364954</v>
      </c>
      <c r="G65" s="49">
        <f>+F65/E65</f>
        <v>13.284337344958939</v>
      </c>
      <c r="H65" s="47">
        <f>SUM(H58:H64)</f>
        <v>5618.9485015908176</v>
      </c>
      <c r="I65" s="48">
        <f>SUM(I58:I64)</f>
        <v>78333.559279646142</v>
      </c>
      <c r="J65" s="49">
        <f>+I65/H65</f>
        <v>13.940964089182987</v>
      </c>
      <c r="K65" s="47">
        <f>SUM(K58:K64)</f>
        <v>4791.9961896832483</v>
      </c>
      <c r="L65" s="48">
        <f>SUM(L58:L64)</f>
        <v>53651.973957464877</v>
      </c>
      <c r="M65" s="49">
        <f>+L65/K65</f>
        <v>11.196163735057411</v>
      </c>
      <c r="N65" s="47">
        <f>SUM(N58:N64)</f>
        <v>2225.0279276246629</v>
      </c>
      <c r="O65" s="48">
        <f>SUM(O58:O64)</f>
        <v>27084.409983781028</v>
      </c>
      <c r="P65" s="49">
        <f>+O65/N65</f>
        <v>12.172615744511168</v>
      </c>
      <c r="Q65" s="47"/>
      <c r="R65" s="48"/>
      <c r="S65" s="49"/>
      <c r="T65" s="47">
        <f>SUM(T58:T64)</f>
        <v>20672.677936696389</v>
      </c>
      <c r="U65" s="48">
        <f>SUM(U58:U64)</f>
        <v>265832.24780454155</v>
      </c>
      <c r="V65" s="62"/>
      <c r="W65" s="20">
        <f>SUM(H65,K65,N65,Q65,E65)</f>
        <v>20672.677936696389</v>
      </c>
      <c r="X65" s="20">
        <f>SUM(R65,O65,L65,I65,F65)</f>
        <v>265832.24780454161</v>
      </c>
    </row>
    <row r="66" spans="1:24" x14ac:dyDescent="0.25">
      <c r="A66" s="39">
        <v>46051</v>
      </c>
      <c r="B66" s="40" t="s">
        <v>22</v>
      </c>
      <c r="C66" s="4">
        <v>-0.6</v>
      </c>
      <c r="D66" s="13">
        <v>0.66319444444444442</v>
      </c>
      <c r="E66" s="41">
        <f>Effort!F64</f>
        <v>400.77119064985948</v>
      </c>
      <c r="F66" s="42">
        <f>Harvest!F64</f>
        <v>1923.7017151193254</v>
      </c>
      <c r="G66" s="43">
        <f>+CPUE!F64</f>
        <v>4.8</v>
      </c>
      <c r="H66" s="41">
        <f>Effort!H64</f>
        <v>388.70055170775697</v>
      </c>
      <c r="I66" s="42">
        <f>Harvest!H64</f>
        <v>2364.5950228888601</v>
      </c>
      <c r="J66" s="43">
        <f>CPUE!H64</f>
        <v>6.0833333333333464</v>
      </c>
      <c r="K66" s="41" t="str">
        <f>Effort!J64</f>
        <v>CLOSED</v>
      </c>
      <c r="L66" s="42" t="str">
        <f>Harvest!J64</f>
        <v>CLOSED</v>
      </c>
      <c r="M66" s="43" t="str">
        <f>CPUE!J64</f>
        <v>CLOSED</v>
      </c>
      <c r="N66" s="41">
        <f>Effort!L64</f>
        <v>281.15016170242399</v>
      </c>
      <c r="O66" s="42">
        <f>Harvest!L64</f>
        <v>833.03751615532997</v>
      </c>
      <c r="P66" s="43">
        <f>CPUE!L64</f>
        <v>2.9629629629629615</v>
      </c>
      <c r="Q66" s="41" t="s">
        <v>10</v>
      </c>
      <c r="R66" s="42" t="s">
        <v>10</v>
      </c>
      <c r="S66" s="44" t="s">
        <v>10</v>
      </c>
      <c r="T66" s="41">
        <f>SUM(E66,H66,K66,N66)</f>
        <v>1070.6219040600404</v>
      </c>
      <c r="U66" s="42">
        <f>SUM(F66,I66,L66,O66)</f>
        <v>5121.3342541635157</v>
      </c>
      <c r="V66" s="42"/>
    </row>
    <row r="67" spans="1:24" x14ac:dyDescent="0.25">
      <c r="A67" s="39">
        <v>46052</v>
      </c>
      <c r="B67" s="40" t="s">
        <v>18</v>
      </c>
      <c r="C67" s="4">
        <v>-1.2</v>
      </c>
      <c r="D67" s="13">
        <v>0.69930555555555551</v>
      </c>
      <c r="E67" s="41">
        <f>Effort!F65</f>
        <v>1088.7292837622222</v>
      </c>
      <c r="F67" s="42">
        <f>Harvest!F65</f>
        <v>13935.734832156444</v>
      </c>
      <c r="G67" s="43">
        <f>+CPUE!F65</f>
        <v>12.8</v>
      </c>
      <c r="H67" s="41">
        <f>Effort!H65</f>
        <v>765.04183508670098</v>
      </c>
      <c r="I67" s="42">
        <f>Harvest!H65</f>
        <v>6666.7931343269702</v>
      </c>
      <c r="J67" s="43">
        <f>CPUE!H65</f>
        <v>8.7142857142857206</v>
      </c>
      <c r="K67" s="41">
        <f>Effort!J65</f>
        <v>1076.98956084772</v>
      </c>
      <c r="L67" s="42">
        <f>Harvest!J65</f>
        <v>12636.677513946601</v>
      </c>
      <c r="M67" s="43">
        <f>CPUE!J65</f>
        <v>11.733333333333352</v>
      </c>
      <c r="N67" s="41" t="str">
        <f>Effort!L65</f>
        <v>CLOSED</v>
      </c>
      <c r="O67" s="42" t="str">
        <f>Harvest!L65</f>
        <v>CLOSED</v>
      </c>
      <c r="P67" s="43" t="str">
        <f>CPUE!L65</f>
        <v>CLOSED</v>
      </c>
      <c r="Q67" s="41" t="s">
        <v>10</v>
      </c>
      <c r="R67" s="42" t="s">
        <v>10</v>
      </c>
      <c r="S67" s="44" t="s">
        <v>10</v>
      </c>
      <c r="T67" s="41">
        <f t="shared" ref="T67:T72" si="14">SUM(E67,H67,K67,N67)</f>
        <v>2930.7606796966429</v>
      </c>
      <c r="U67" s="42">
        <f t="shared" ref="U67:U72" si="15">SUM(F67,I67,L67,O67)</f>
        <v>33239.205480430013</v>
      </c>
      <c r="V67" s="42"/>
    </row>
    <row r="68" spans="1:24" x14ac:dyDescent="0.25">
      <c r="A68" s="39">
        <v>46053</v>
      </c>
      <c r="B68" s="40" t="s">
        <v>19</v>
      </c>
      <c r="C68" s="4">
        <v>-1.6</v>
      </c>
      <c r="D68" s="13">
        <v>0.73402777777777772</v>
      </c>
      <c r="E68" s="41">
        <f>Effort!F66</f>
        <v>2362.2290650878253</v>
      </c>
      <c r="F68" s="42">
        <f>Harvest!F66</f>
        <v>33071.206911229558</v>
      </c>
      <c r="G68" s="43">
        <f>+CPUE!F66</f>
        <v>14</v>
      </c>
      <c r="H68" s="41">
        <f>Effort!H66</f>
        <v>2851.2766039322664</v>
      </c>
      <c r="I68" s="42">
        <f>Harvest!H66</f>
        <v>39917.872455051729</v>
      </c>
      <c r="J68" s="43">
        <f>CPUE!H66</f>
        <v>14</v>
      </c>
      <c r="K68" s="41">
        <f>Effort!J66</f>
        <v>4013.8917856386001</v>
      </c>
      <c r="L68" s="42">
        <f>Harvest!J66</f>
        <v>56499.337539621803</v>
      </c>
      <c r="M68" s="43">
        <f>CPUE!J66</f>
        <v>14.075949367088604</v>
      </c>
      <c r="N68" s="41" t="str">
        <f>Effort!L66</f>
        <v>CLOSED</v>
      </c>
      <c r="O68" s="42" t="str">
        <f>Harvest!L66</f>
        <v>CLOSED</v>
      </c>
      <c r="P68" s="43" t="str">
        <f>CPUE!L66</f>
        <v>CLOSED</v>
      </c>
      <c r="Q68" s="41" t="s">
        <v>10</v>
      </c>
      <c r="R68" s="42" t="s">
        <v>10</v>
      </c>
      <c r="S68" s="44" t="s">
        <v>10</v>
      </c>
      <c r="T68" s="41">
        <f t="shared" si="14"/>
        <v>9227.3974546586924</v>
      </c>
      <c r="U68" s="42">
        <f t="shared" si="15"/>
        <v>129488.41690590308</v>
      </c>
      <c r="V68" s="42"/>
    </row>
    <row r="69" spans="1:24" x14ac:dyDescent="0.25">
      <c r="A69" s="39">
        <v>46054</v>
      </c>
      <c r="B69" s="40" t="s">
        <v>20</v>
      </c>
      <c r="C69" s="4">
        <v>-1.7</v>
      </c>
      <c r="D69" s="13">
        <v>0.76597222222222228</v>
      </c>
      <c r="E69" s="41">
        <f>Effort!F67</f>
        <v>597.71917997206435</v>
      </c>
      <c r="F69" s="42">
        <f>Harvest!F67</f>
        <v>6276.0513897066758</v>
      </c>
      <c r="G69" s="43">
        <f>+CPUE!F67</f>
        <v>10.5</v>
      </c>
      <c r="H69" s="41">
        <f>Effort!H67</f>
        <v>956.98820198965802</v>
      </c>
      <c r="I69" s="42">
        <f>Harvest!H67</f>
        <v>10414.2833745933</v>
      </c>
      <c r="J69" s="43">
        <f>CPUE!H67</f>
        <v>10.882352941176432</v>
      </c>
      <c r="K69" s="41" t="str">
        <f>Effort!J67</f>
        <v>CLOSED</v>
      </c>
      <c r="L69" s="42" t="str">
        <f>Harvest!J67</f>
        <v>CLOSED</v>
      </c>
      <c r="M69" s="43" t="str">
        <f>CPUE!J67</f>
        <v>CLOSED</v>
      </c>
      <c r="N69" s="41">
        <f>Effort!L67</f>
        <v>901.46519327200099</v>
      </c>
      <c r="O69" s="42">
        <f>Harvest!L67</f>
        <v>10243.9226508182</v>
      </c>
      <c r="P69" s="43">
        <f>CPUE!L67</f>
        <v>11.363636363636372</v>
      </c>
      <c r="Q69" s="41" t="s">
        <v>10</v>
      </c>
      <c r="R69" s="42" t="s">
        <v>10</v>
      </c>
      <c r="S69" s="44" t="s">
        <v>10</v>
      </c>
      <c r="T69" s="41">
        <f t="shared" si="14"/>
        <v>2456.1725752337234</v>
      </c>
      <c r="U69" s="42">
        <f t="shared" si="15"/>
        <v>26934.257415118176</v>
      </c>
      <c r="V69" s="42"/>
    </row>
    <row r="70" spans="1:24" x14ac:dyDescent="0.25">
      <c r="A70" s="39">
        <v>46055</v>
      </c>
      <c r="B70" s="40" t="s">
        <v>21</v>
      </c>
      <c r="C70" s="4">
        <v>-1.5</v>
      </c>
      <c r="D70" s="13">
        <v>0.79652777777777772</v>
      </c>
      <c r="E70" s="41">
        <f>Effort!F68</f>
        <v>266.06244817246943</v>
      </c>
      <c r="F70" s="42">
        <f>Harvest!F68</f>
        <v>1330.3122408623472</v>
      </c>
      <c r="G70" s="43">
        <f>+CPUE!F68</f>
        <v>5</v>
      </c>
      <c r="H70" s="41">
        <f>Effort!H68</f>
        <v>258.04903846920672</v>
      </c>
      <c r="I70" s="42">
        <f>Harvest!H68</f>
        <v>1290.2451923460335</v>
      </c>
      <c r="J70" s="43">
        <f>CPUE!H68</f>
        <v>5</v>
      </c>
      <c r="K70" s="41" t="str">
        <f>Effort!J68</f>
        <v>CLOSED</v>
      </c>
      <c r="L70" s="42" t="str">
        <f>Harvest!J68</f>
        <v>CLOSED</v>
      </c>
      <c r="M70" s="43" t="str">
        <f>CPUE!J68</f>
        <v>CLOSED</v>
      </c>
      <c r="N70" s="41">
        <f>Effort!L68</f>
        <v>186.64889610786901</v>
      </c>
      <c r="O70" s="42">
        <f>Harvest!L68</f>
        <v>653.27113637754303</v>
      </c>
      <c r="P70" s="43">
        <f>CPUE!L68</f>
        <v>3.500000000000008</v>
      </c>
      <c r="Q70" s="41" t="s">
        <v>10</v>
      </c>
      <c r="R70" s="42" t="s">
        <v>10</v>
      </c>
      <c r="S70" s="44" t="s">
        <v>10</v>
      </c>
      <c r="T70" s="41">
        <f t="shared" si="14"/>
        <v>710.76038274954522</v>
      </c>
      <c r="U70" s="42">
        <f t="shared" si="15"/>
        <v>3273.8285695859236</v>
      </c>
      <c r="V70" s="42"/>
    </row>
    <row r="71" spans="1:24" x14ac:dyDescent="0.25">
      <c r="A71" s="39">
        <v>46056</v>
      </c>
      <c r="B71" s="40" t="s">
        <v>60</v>
      </c>
      <c r="C71" s="4">
        <v>-1.1000000000000001</v>
      </c>
      <c r="D71" s="13">
        <v>0.82638888888888884</v>
      </c>
      <c r="E71" s="41">
        <f>Effort!F69</f>
        <v>225.60042515213621</v>
      </c>
      <c r="F71" s="42">
        <f>Harvest!F69</f>
        <v>3384.0063772820431</v>
      </c>
      <c r="G71" s="43">
        <f>+CPUE!F69</f>
        <v>15</v>
      </c>
      <c r="H71" s="41">
        <f>Effort!H69</f>
        <v>361.201300658506</v>
      </c>
      <c r="I71" s="42">
        <f>Harvest!H69</f>
        <v>4791.9372554028396</v>
      </c>
      <c r="J71" s="43">
        <f>CPUE!H69</f>
        <v>13.266666666666648</v>
      </c>
      <c r="K71" s="41">
        <f>Effort!J69</f>
        <v>383.33949350549898</v>
      </c>
      <c r="L71" s="42">
        <f>Harvest!J69</f>
        <v>4025.0646818077398</v>
      </c>
      <c r="M71" s="43">
        <f>CPUE!J69</f>
        <v>10.500000000000002</v>
      </c>
      <c r="N71" s="41" t="str">
        <f>Effort!L69</f>
        <v>CLOSED</v>
      </c>
      <c r="O71" s="42" t="str">
        <f>Harvest!L69</f>
        <v>CLOSED</v>
      </c>
      <c r="P71" s="43" t="str">
        <f>CPUE!L69</f>
        <v>CLOSED</v>
      </c>
      <c r="Q71" s="41" t="s">
        <v>10</v>
      </c>
      <c r="R71" s="42" t="s">
        <v>10</v>
      </c>
      <c r="S71" s="44" t="s">
        <v>10</v>
      </c>
      <c r="T71" s="41">
        <f t="shared" si="14"/>
        <v>970.14121931614113</v>
      </c>
      <c r="U71" s="42">
        <f t="shared" si="15"/>
        <v>12201.008314492623</v>
      </c>
      <c r="V71" s="42"/>
    </row>
    <row r="72" spans="1:24" x14ac:dyDescent="0.25">
      <c r="A72" s="39">
        <v>46057</v>
      </c>
      <c r="B72" s="40" t="s">
        <v>61</v>
      </c>
      <c r="C72" s="4">
        <v>-0.5</v>
      </c>
      <c r="D72" s="13">
        <v>0.85555555555555551</v>
      </c>
      <c r="E72" s="41">
        <f>Effort!F70</f>
        <v>136.85099244650439</v>
      </c>
      <c r="F72" s="42">
        <f>Harvest!F70</f>
        <v>821.10595467902635</v>
      </c>
      <c r="G72" s="43">
        <f>+CPUE!F70</f>
        <v>6</v>
      </c>
      <c r="H72" s="41">
        <f>Effort!H70</f>
        <v>219.1075501508943</v>
      </c>
      <c r="I72" s="42">
        <f>Harvest!H70</f>
        <v>1314.6453009053657</v>
      </c>
      <c r="J72" s="43">
        <f>CPUE!H70</f>
        <v>6</v>
      </c>
      <c r="K72" s="41">
        <f>Effort!J70</f>
        <v>232.53675206857699</v>
      </c>
      <c r="L72" s="42">
        <f>Harvest!J70</f>
        <v>1448.8828398119001</v>
      </c>
      <c r="M72" s="43">
        <f>CPUE!J70</f>
        <v>6.2307692307692193</v>
      </c>
      <c r="N72" s="41" t="str">
        <f>Effort!L70</f>
        <v>CLOSED</v>
      </c>
      <c r="O72" s="42" t="str">
        <f>Harvest!L70</f>
        <v>CLOSED</v>
      </c>
      <c r="P72" s="43" t="str">
        <f>CPUE!L70</f>
        <v>CLOSED</v>
      </c>
      <c r="Q72" s="41" t="s">
        <v>10</v>
      </c>
      <c r="R72" s="42" t="s">
        <v>10</v>
      </c>
      <c r="S72" s="44" t="s">
        <v>10</v>
      </c>
      <c r="T72" s="41">
        <f t="shared" si="14"/>
        <v>588.49529466597573</v>
      </c>
      <c r="U72" s="42">
        <f t="shared" si="15"/>
        <v>3584.6340953962927</v>
      </c>
      <c r="V72" s="42"/>
    </row>
    <row r="73" spans="1:24" x14ac:dyDescent="0.25">
      <c r="A73" s="110" t="s">
        <v>50</v>
      </c>
      <c r="B73" s="110"/>
      <c r="C73" s="110"/>
      <c r="D73" s="111"/>
      <c r="E73" s="47">
        <f>SUM(E66:E72)</f>
        <v>5077.9625852430818</v>
      </c>
      <c r="F73" s="48">
        <f>SUM(F66:F72)</f>
        <v>60742.119421035422</v>
      </c>
      <c r="G73" s="49">
        <f>+F73/E73</f>
        <v>11.961907635467091</v>
      </c>
      <c r="H73" s="47">
        <f>SUM(H66:H72)</f>
        <v>5800.3650819949889</v>
      </c>
      <c r="I73" s="48">
        <f>SUM(I66:I72)</f>
        <v>66760.371735515102</v>
      </c>
      <c r="J73" s="49">
        <f>+I73/H73</f>
        <v>11.509684440854784</v>
      </c>
      <c r="K73" s="47">
        <f>SUM(K66:K72)</f>
        <v>5706.7575920603958</v>
      </c>
      <c r="L73" s="48">
        <f>SUM(L66:L72)</f>
        <v>74609.962575188038</v>
      </c>
      <c r="M73" s="49">
        <f>+L73/K73</f>
        <v>13.073967374922349</v>
      </c>
      <c r="N73" s="47">
        <f>SUM(N66:N72)</f>
        <v>1369.2642510822939</v>
      </c>
      <c r="O73" s="48">
        <f>SUM(O66:O72)</f>
        <v>11730.231303351073</v>
      </c>
      <c r="P73" s="49">
        <f>+O73/N73</f>
        <v>8.566813377388085</v>
      </c>
      <c r="Q73" s="47"/>
      <c r="R73" s="48"/>
      <c r="S73" s="49"/>
      <c r="T73" s="47">
        <f>SUM(T66:T72)</f>
        <v>17954.349510380762</v>
      </c>
      <c r="U73" s="48">
        <f>SUM(U66:U72)</f>
        <v>213842.68503508961</v>
      </c>
      <c r="V73" s="62"/>
      <c r="W73" s="20">
        <f>SUM(H73,K73,N73,Q73,E73)</f>
        <v>17954.349510380758</v>
      </c>
      <c r="X73" s="20">
        <f>SUM(R73,O73,L73,I73,F73)</f>
        <v>213842.68503508964</v>
      </c>
    </row>
    <row r="74" spans="1:24" x14ac:dyDescent="0.25">
      <c r="A74" s="39">
        <v>46067</v>
      </c>
      <c r="B74" s="40" t="s">
        <v>19</v>
      </c>
      <c r="C74" s="4">
        <v>0.25</v>
      </c>
      <c r="D74" s="13">
        <v>0.7</v>
      </c>
      <c r="E74" s="41">
        <f>Effort!F72</f>
        <v>1822.8631245275362</v>
      </c>
      <c r="F74" s="42">
        <f>Harvest!F72</f>
        <v>14582.90499622029</v>
      </c>
      <c r="G74" s="43">
        <f>+CPUE!F72</f>
        <v>8</v>
      </c>
      <c r="H74" s="41">
        <f>Effort!H72</f>
        <v>2214.5289142941101</v>
      </c>
      <c r="I74" s="42">
        <f>Harvest!H72</f>
        <v>20794.966634225199</v>
      </c>
      <c r="J74" s="43">
        <f>CPUE!H72</f>
        <v>9.3902439024390318</v>
      </c>
      <c r="K74" s="41" t="str">
        <f>Effort!J72</f>
        <v>CLOSED</v>
      </c>
      <c r="L74" s="42" t="str">
        <f>Harvest!J72</f>
        <v>CLOSED</v>
      </c>
      <c r="M74" s="43" t="str">
        <f>CPUE!J72</f>
        <v>CLOSED</v>
      </c>
      <c r="N74" s="41">
        <f>Effort!L72</f>
        <v>1985.64305929796</v>
      </c>
      <c r="O74" s="42">
        <f>Harvest!L72</f>
        <v>6933.4749447617296</v>
      </c>
      <c r="P74" s="43">
        <f>CPUE!L72</f>
        <v>3.4918032786885247</v>
      </c>
      <c r="Q74" s="41" t="s">
        <v>10</v>
      </c>
      <c r="R74" s="42" t="s">
        <v>10</v>
      </c>
      <c r="S74" s="44" t="s">
        <v>10</v>
      </c>
      <c r="T74" s="41">
        <f t="shared" ref="T74:T79" si="16">SUM(E74,H74,K74,N74)</f>
        <v>6023.0350981196061</v>
      </c>
      <c r="U74" s="42">
        <f t="shared" ref="U74:U79" si="17">SUM(F74,I74,L74,O74)</f>
        <v>42311.346575207215</v>
      </c>
      <c r="V74" s="42"/>
    </row>
    <row r="75" spans="1:24" x14ac:dyDescent="0.25">
      <c r="A75" s="39">
        <v>46068</v>
      </c>
      <c r="B75" s="40" t="s">
        <v>20</v>
      </c>
      <c r="C75" s="4">
        <v>-0.09</v>
      </c>
      <c r="D75" s="13">
        <v>0.72499999999999998</v>
      </c>
      <c r="E75" s="41">
        <f>Effort!F73</f>
        <v>2469.6479801553651</v>
      </c>
      <c r="F75" s="42">
        <f>Harvest!F73</f>
        <v>26672.198185677946</v>
      </c>
      <c r="G75" s="43">
        <f>+CPUE!F73</f>
        <v>10.8</v>
      </c>
      <c r="H75" s="41">
        <f>Effort!H73</f>
        <v>1943.4410129942901</v>
      </c>
      <c r="I75" s="42">
        <f>Harvest!H73</f>
        <v>18074.0014208469</v>
      </c>
      <c r="J75" s="43">
        <f>CPUE!H73</f>
        <v>9.3000000000000007</v>
      </c>
      <c r="K75" s="41">
        <f>Effort!J73</f>
        <v>3150.0188016647498</v>
      </c>
      <c r="L75" s="42">
        <f>Harvest!J73</f>
        <v>14470.398870147401</v>
      </c>
      <c r="M75" s="43">
        <f>CPUE!J73</f>
        <v>4.5937499999999858</v>
      </c>
      <c r="N75" s="41" t="str">
        <f>Effort!L73</f>
        <v>CLOSED</v>
      </c>
      <c r="O75" s="42" t="str">
        <f>Harvest!L73</f>
        <v>CLOSED</v>
      </c>
      <c r="P75" s="43" t="str">
        <f>CPUE!L73</f>
        <v>CLOSED</v>
      </c>
      <c r="Q75" s="41" t="s">
        <v>10</v>
      </c>
      <c r="R75" s="42" t="s">
        <v>10</v>
      </c>
      <c r="S75" s="44" t="s">
        <v>10</v>
      </c>
      <c r="T75" s="41">
        <f t="shared" si="16"/>
        <v>7563.1077948144048</v>
      </c>
      <c r="U75" s="42">
        <f t="shared" si="17"/>
        <v>59216.598476672247</v>
      </c>
      <c r="V75" s="42"/>
    </row>
    <row r="76" spans="1:24" x14ac:dyDescent="0.25">
      <c r="A76" s="39">
        <v>46069</v>
      </c>
      <c r="B76" s="40" t="s">
        <v>21</v>
      </c>
      <c r="C76" s="4">
        <v>-0.28999999999999998</v>
      </c>
      <c r="D76" s="13">
        <v>0.74791666666666667</v>
      </c>
      <c r="E76" s="41">
        <f>Effort!F74</f>
        <v>680.24441274078424</v>
      </c>
      <c r="F76" s="42">
        <f>Harvest!F74</f>
        <v>3401.2220637039213</v>
      </c>
      <c r="G76" s="43">
        <f>+CPUE!F74</f>
        <v>5</v>
      </c>
      <c r="H76" s="41">
        <f>Effort!H74</f>
        <v>535.30499132005366</v>
      </c>
      <c r="I76" s="42">
        <f>Harvest!H74</f>
        <v>2676.5249566002685</v>
      </c>
      <c r="J76" s="43">
        <f>CPUE!H74</f>
        <v>5</v>
      </c>
      <c r="K76" s="41">
        <f>Effort!J74</f>
        <v>867.64701167089595</v>
      </c>
      <c r="L76" s="42">
        <f>Harvest!J74</f>
        <v>2651.1436467721801</v>
      </c>
      <c r="M76" s="43">
        <f>CPUE!J74</f>
        <v>3.0555555555555531</v>
      </c>
      <c r="N76" s="41" t="str">
        <f>Effort!L74</f>
        <v>CLOSED</v>
      </c>
      <c r="O76" s="42" t="str">
        <f>Harvest!L74</f>
        <v>CLOSED</v>
      </c>
      <c r="P76" s="43" t="str">
        <f>CPUE!L74</f>
        <v>CLOSED</v>
      </c>
      <c r="Q76" s="41" t="s">
        <v>10</v>
      </c>
      <c r="R76" s="42" t="s">
        <v>10</v>
      </c>
      <c r="S76" s="44" t="s">
        <v>10</v>
      </c>
      <c r="T76" s="41">
        <f t="shared" si="16"/>
        <v>2083.1964157317339</v>
      </c>
      <c r="U76" s="42">
        <f t="shared" si="17"/>
        <v>8728.8906670763699</v>
      </c>
      <c r="V76" s="42"/>
    </row>
    <row r="77" spans="1:24" x14ac:dyDescent="0.25">
      <c r="A77" s="39">
        <v>46070</v>
      </c>
      <c r="B77" s="40" t="s">
        <v>60</v>
      </c>
      <c r="C77" s="4">
        <v>-0.3</v>
      </c>
      <c r="D77" s="13">
        <v>0.77013888888888893</v>
      </c>
      <c r="E77" s="41">
        <f>Effort!F75</f>
        <v>208.42013126173694</v>
      </c>
      <c r="F77" s="42">
        <f>Harvest!F75</f>
        <v>416.84026252347388</v>
      </c>
      <c r="G77" s="43">
        <f>+CPUE!F75</f>
        <v>2</v>
      </c>
      <c r="H77" s="41">
        <f>Effort!H75</f>
        <v>253.2019002357728</v>
      </c>
      <c r="I77" s="42">
        <f>Harvest!H75</f>
        <v>506.40380047154559</v>
      </c>
      <c r="J77" s="43">
        <f>CPUE!H75</f>
        <v>2</v>
      </c>
      <c r="K77" s="41" t="str">
        <f>Effort!J75</f>
        <v>CLOSED</v>
      </c>
      <c r="L77" s="42" t="str">
        <f>Harvest!J75</f>
        <v>CLOSED</v>
      </c>
      <c r="M77" s="43" t="str">
        <f>CPUE!J75</f>
        <v>CLOSED</v>
      </c>
      <c r="N77" s="41">
        <f>Effort!L75</f>
        <v>367.58405049815099</v>
      </c>
      <c r="O77" s="42">
        <f>Harvest!L75</f>
        <v>73.516810099630206</v>
      </c>
      <c r="P77" s="43">
        <f>CPUE!L75</f>
        <v>0.2</v>
      </c>
      <c r="Q77" s="41" t="s">
        <v>10</v>
      </c>
      <c r="R77" s="42" t="s">
        <v>10</v>
      </c>
      <c r="S77" s="44" t="s">
        <v>10</v>
      </c>
      <c r="T77" s="41">
        <f t="shared" si="16"/>
        <v>829.20608199566072</v>
      </c>
      <c r="U77" s="42">
        <f t="shared" si="17"/>
        <v>996.7608730946497</v>
      </c>
      <c r="V77" s="42"/>
    </row>
    <row r="78" spans="1:24" x14ac:dyDescent="0.25">
      <c r="A78" s="39">
        <v>46071</v>
      </c>
      <c r="B78" s="40" t="s">
        <v>61</v>
      </c>
      <c r="C78" s="4">
        <v>-0.11</v>
      </c>
      <c r="D78" s="13">
        <v>0.79166666666666663</v>
      </c>
      <c r="E78" s="41">
        <f>Effort!F76</f>
        <v>118.00637623342546</v>
      </c>
      <c r="F78" s="42">
        <f>Harvest!F76</f>
        <v>94.405100986740365</v>
      </c>
      <c r="G78" s="43">
        <f>+CPUE!F76</f>
        <v>0.8</v>
      </c>
      <c r="H78" s="41">
        <f>Effort!H76</f>
        <v>143.36157702884199</v>
      </c>
      <c r="I78" s="42">
        <f>Harvest!H76</f>
        <v>122.881351739008</v>
      </c>
      <c r="J78" s="43">
        <f>CPUE!H76</f>
        <v>0.8571428571428612</v>
      </c>
      <c r="K78" s="41" t="str">
        <f>Effort!J76</f>
        <v>CLOSED</v>
      </c>
      <c r="L78" s="42" t="str">
        <f>Harvest!J76</f>
        <v>CLOSED</v>
      </c>
      <c r="M78" s="43" t="str">
        <f>CPUE!J76</f>
        <v>CLOSED</v>
      </c>
      <c r="N78" s="41">
        <f>Effort!L76</f>
        <v>208.12414567581999</v>
      </c>
      <c r="O78" s="42">
        <f>Harvest!L76</f>
        <v>416.248291351641</v>
      </c>
      <c r="P78" s="43">
        <f>CPUE!L76</f>
        <v>2.0000000000000049</v>
      </c>
      <c r="Q78" s="41" t="s">
        <v>10</v>
      </c>
      <c r="R78" s="42" t="s">
        <v>10</v>
      </c>
      <c r="S78" s="44" t="s">
        <v>10</v>
      </c>
      <c r="T78" s="41">
        <f t="shared" si="16"/>
        <v>469.49209893808745</v>
      </c>
      <c r="U78" s="42">
        <f t="shared" si="17"/>
        <v>633.5347440773894</v>
      </c>
      <c r="V78" s="42"/>
    </row>
    <row r="79" spans="1:24" x14ac:dyDescent="0.25">
      <c r="A79" s="39">
        <v>46072</v>
      </c>
      <c r="B79" s="40" t="s">
        <v>22</v>
      </c>
      <c r="C79" s="4">
        <v>0.28999999999999998</v>
      </c>
      <c r="D79" s="13">
        <v>0.81388888888888888</v>
      </c>
      <c r="E79" s="41">
        <f>Effort!F77</f>
        <v>226.1222565563798</v>
      </c>
      <c r="F79" s="42">
        <f>Harvest!F77</f>
        <v>1130.611282781899</v>
      </c>
      <c r="G79" s="43">
        <f>+CPUE!F77</f>
        <v>5</v>
      </c>
      <c r="H79" s="41">
        <f>Effort!H77</f>
        <v>177.94247231738649</v>
      </c>
      <c r="I79" s="42">
        <f>Harvest!H77</f>
        <v>889.7123615869325</v>
      </c>
      <c r="J79" s="43">
        <f>CPUE!H77</f>
        <v>5</v>
      </c>
      <c r="K79" s="41">
        <f>Effort!J77</f>
        <v>288.417363669233</v>
      </c>
      <c r="L79" s="42">
        <f>Harvest!J77</f>
        <v>1009.46077284231</v>
      </c>
      <c r="M79" s="43">
        <f>CPUE!J77</f>
        <v>3.4999999999999809</v>
      </c>
      <c r="N79" s="41" t="str">
        <f>Effort!L77</f>
        <v>CLOSED</v>
      </c>
      <c r="O79" s="42" t="str">
        <f>Harvest!L77</f>
        <v>CLOSED</v>
      </c>
      <c r="P79" s="43" t="str">
        <f>CPUE!L77</f>
        <v>CLOSED</v>
      </c>
      <c r="Q79" s="41" t="s">
        <v>10</v>
      </c>
      <c r="R79" s="42" t="s">
        <v>10</v>
      </c>
      <c r="S79" s="44" t="s">
        <v>10</v>
      </c>
      <c r="T79" s="41">
        <f t="shared" si="16"/>
        <v>692.48209254299923</v>
      </c>
      <c r="U79" s="42">
        <f t="shared" si="17"/>
        <v>3029.7844172111418</v>
      </c>
      <c r="V79" s="42"/>
    </row>
    <row r="80" spans="1:24" x14ac:dyDescent="0.25">
      <c r="A80" s="110" t="s">
        <v>50</v>
      </c>
      <c r="B80" s="110"/>
      <c r="C80" s="110"/>
      <c r="D80" s="111"/>
      <c r="E80" s="47">
        <f>SUM(E74:E79)</f>
        <v>5525.304281475228</v>
      </c>
      <c r="F80" s="48">
        <f>SUM(F74:F79)</f>
        <v>46298.181891894274</v>
      </c>
      <c r="G80" s="49">
        <f>+F80/E80</f>
        <v>8.3792999504332997</v>
      </c>
      <c r="H80" s="47">
        <f>SUM(H74:H79)</f>
        <v>5267.7808681904544</v>
      </c>
      <c r="I80" s="48">
        <f>SUM(I74:I79)</f>
        <v>43064.490525469853</v>
      </c>
      <c r="J80" s="49">
        <f>+I80/H80</f>
        <v>8.1750725026386721</v>
      </c>
      <c r="K80" s="47">
        <f>SUM(K74:K79)</f>
        <v>4306.083177004879</v>
      </c>
      <c r="L80" s="48">
        <f>SUM(L74:L79)</f>
        <v>18131.003289761891</v>
      </c>
      <c r="M80" s="49">
        <f>+L80/K80</f>
        <v>4.2105557520542405</v>
      </c>
      <c r="N80" s="47">
        <f>SUM(N74:N79)</f>
        <v>2561.3512554719309</v>
      </c>
      <c r="O80" s="48">
        <f>SUM(O74:O79)</f>
        <v>7423.2400462130008</v>
      </c>
      <c r="P80" s="49">
        <f>+O80/N80</f>
        <v>2.8981733881108247</v>
      </c>
      <c r="Q80" s="47"/>
      <c r="R80" s="48"/>
      <c r="S80" s="49"/>
      <c r="T80" s="47">
        <f>SUM(T74:T79)</f>
        <v>17660.519582142493</v>
      </c>
      <c r="U80" s="48">
        <f>SUM(U74:U79)</f>
        <v>114916.91575333901</v>
      </c>
      <c r="V80" s="62"/>
      <c r="W80" s="20">
        <f>SUM(H80,K80,N80,Q80,E80)</f>
        <v>17660.519582142493</v>
      </c>
      <c r="X80" s="20">
        <f>SUM(R80,O80,L80,I80,F80)</f>
        <v>114916.91575333902</v>
      </c>
    </row>
    <row r="81" spans="1:24" x14ac:dyDescent="0.25">
      <c r="A81" s="39">
        <v>46079</v>
      </c>
      <c r="B81" s="40" t="s">
        <v>22</v>
      </c>
      <c r="C81" s="4">
        <v>0.32</v>
      </c>
      <c r="D81" s="13">
        <v>0.60138888888888886</v>
      </c>
      <c r="E81" s="41">
        <f>Effort!F79</f>
        <v>508.90324302361722</v>
      </c>
      <c r="F81" s="42">
        <f>Harvest!F79</f>
        <v>6361.2905377952156</v>
      </c>
      <c r="G81" s="43">
        <f>+CPUE!F79</f>
        <v>12.5</v>
      </c>
      <c r="H81" s="41">
        <f>Effort!H79</f>
        <v>542.55496932521896</v>
      </c>
      <c r="I81" s="42">
        <f>Harvest!H79</f>
        <v>7067.1262671079803</v>
      </c>
      <c r="J81" s="43">
        <f>CPUE!H79</f>
        <v>13.025641025641026</v>
      </c>
      <c r="K81" s="41">
        <f>Effort!J79</f>
        <v>821.18979494429504</v>
      </c>
      <c r="L81" s="42">
        <f>Harvest!J79</f>
        <v>8919.0336062005408</v>
      </c>
      <c r="M81" s="43">
        <f>CPUE!J79</f>
        <v>10.861111111111114</v>
      </c>
      <c r="N81" s="41" t="str">
        <f>Effort!L79</f>
        <v>CLOSED</v>
      </c>
      <c r="O81" s="42" t="str">
        <f>Harvest!L79</f>
        <v>CLOSED</v>
      </c>
      <c r="P81" s="43" t="str">
        <f>CPUE!L79</f>
        <v>CLOSED</v>
      </c>
      <c r="Q81" s="41" t="s">
        <v>10</v>
      </c>
      <c r="R81" s="42" t="s">
        <v>10</v>
      </c>
      <c r="S81" s="44" t="s">
        <v>10</v>
      </c>
      <c r="T81" s="41">
        <f>SUM(E81,H81,K81,N81)</f>
        <v>1872.6480072931313</v>
      </c>
      <c r="U81" s="42">
        <f>SUM(F81,I81,L81,O81)</f>
        <v>22347.450411103739</v>
      </c>
      <c r="V81" s="42"/>
    </row>
    <row r="82" spans="1:24" x14ac:dyDescent="0.25">
      <c r="A82" s="39">
        <v>46080</v>
      </c>
      <c r="B82" s="40" t="s">
        <v>18</v>
      </c>
      <c r="C82" s="4">
        <v>-0.04</v>
      </c>
      <c r="D82" s="13">
        <v>0.64513888888888893</v>
      </c>
      <c r="E82" s="41">
        <f>Effort!F80</f>
        <v>1348.00434352143</v>
      </c>
      <c r="F82" s="42">
        <f>Harvest!F80</f>
        <v>19708.76685000716</v>
      </c>
      <c r="G82" s="43">
        <f>+CPUE!F80</f>
        <v>14.620699810596596</v>
      </c>
      <c r="H82" s="41">
        <f>Effort!H80</f>
        <v>1730.499361165178</v>
      </c>
      <c r="I82" s="42">
        <f>Harvest!H80</f>
        <v>21631.242014564727</v>
      </c>
      <c r="J82" s="43">
        <f>CPUE!H80</f>
        <v>12.5</v>
      </c>
      <c r="K82" s="41" t="str">
        <f>Effort!J80</f>
        <v>CLOSED</v>
      </c>
      <c r="L82" s="42" t="str">
        <f>Harvest!J80</f>
        <v>CLOSED</v>
      </c>
      <c r="M82" s="43" t="str">
        <f>CPUE!J80</f>
        <v>CLOSED</v>
      </c>
      <c r="N82" s="41">
        <f>Effort!L80</f>
        <v>1289.8466429146699</v>
      </c>
      <c r="O82" s="42">
        <f>Harvest!L80</f>
        <v>11137.3296667055</v>
      </c>
      <c r="P82" s="43">
        <f>CPUE!L80</f>
        <v>8.6346153846153726</v>
      </c>
      <c r="Q82" s="41" t="s">
        <v>10</v>
      </c>
      <c r="R82" s="42" t="s">
        <v>10</v>
      </c>
      <c r="S82" s="44" t="s">
        <v>10</v>
      </c>
      <c r="T82" s="41">
        <f t="shared" ref="T82:T87" si="18">SUM(E82,H82,K82,N82)</f>
        <v>4368.3503476012784</v>
      </c>
      <c r="U82" s="42">
        <f t="shared" ref="U82:U87" si="19">SUM(F82,I82,L82,O82)</f>
        <v>52477.33853127739</v>
      </c>
      <c r="V82" s="42"/>
    </row>
    <row r="83" spans="1:24" x14ac:dyDescent="0.25">
      <c r="A83" s="39">
        <v>46081</v>
      </c>
      <c r="B83" s="40" t="s">
        <v>19</v>
      </c>
      <c r="C83" s="4">
        <v>-0.34</v>
      </c>
      <c r="D83" s="13">
        <v>0.68194444444444446</v>
      </c>
      <c r="E83" s="41">
        <f>Effort!F81</f>
        <v>2869.2871351348986</v>
      </c>
      <c r="F83" s="42">
        <f>Harvest!F81</f>
        <v>35866.089189186234</v>
      </c>
      <c r="G83" s="43">
        <f>+CPUE!F81</f>
        <v>12.5</v>
      </c>
      <c r="H83" s="41">
        <f>Effort!H81</f>
        <v>4247.2157941040596</v>
      </c>
      <c r="I83" s="42">
        <f>Harvest!H81</f>
        <v>49432.8727147112</v>
      </c>
      <c r="J83" s="43">
        <f>CPUE!H81</f>
        <v>11.638888888888903</v>
      </c>
      <c r="K83" s="41" t="str">
        <f>Effort!J81</f>
        <v>CLOSED</v>
      </c>
      <c r="L83" s="42" t="str">
        <f>Harvest!J81</f>
        <v>CLOSED</v>
      </c>
      <c r="M83" s="43" t="str">
        <f>CPUE!J81</f>
        <v>CLOSED</v>
      </c>
      <c r="N83" s="41">
        <f>Effort!L81</f>
        <v>2745.4958855280302</v>
      </c>
      <c r="O83" s="42">
        <f>Harvest!L81</f>
        <v>35993.149356427901</v>
      </c>
      <c r="P83" s="43">
        <f>CPUE!L81</f>
        <v>13.109890109890106</v>
      </c>
      <c r="Q83" s="41" t="s">
        <v>10</v>
      </c>
      <c r="R83" s="42" t="s">
        <v>10</v>
      </c>
      <c r="S83" s="44" t="s">
        <v>10</v>
      </c>
      <c r="T83" s="41">
        <f t="shared" si="18"/>
        <v>9861.9988147669883</v>
      </c>
      <c r="U83" s="42">
        <f t="shared" si="19"/>
        <v>121292.11126032533</v>
      </c>
      <c r="V83" s="42"/>
    </row>
    <row r="84" spans="1:24" x14ac:dyDescent="0.25">
      <c r="A84" s="39">
        <v>46082</v>
      </c>
      <c r="B84" s="40" t="s">
        <v>20</v>
      </c>
      <c r="C84" s="4">
        <v>-0.48</v>
      </c>
      <c r="D84" s="13">
        <v>0.71319444444444446</v>
      </c>
      <c r="E84" s="41">
        <f>Effort!F82</f>
        <v>2512.5802696817832</v>
      </c>
      <c r="F84" s="42">
        <f>Harvest!F82</f>
        <v>31407.253371022289</v>
      </c>
      <c r="G84" s="43">
        <f>+CPUE!F82</f>
        <v>12.5</v>
      </c>
      <c r="H84" s="41">
        <f>Effort!H82</f>
        <v>2232.0275248092498</v>
      </c>
      <c r="I84" s="42">
        <f>Harvest!H82</f>
        <v>28593.042257470199</v>
      </c>
      <c r="J84" s="43">
        <f>CPUE!H82</f>
        <v>12.810344827586199</v>
      </c>
      <c r="K84" s="41">
        <f>Effort!J82</f>
        <v>4054.4156570550899</v>
      </c>
      <c r="L84" s="42">
        <f>Harvest!J82</f>
        <v>53456.589043563297</v>
      </c>
      <c r="M84" s="43">
        <f>CPUE!J82</f>
        <v>13.184782608695651</v>
      </c>
      <c r="N84" s="41" t="str">
        <f>Effort!L82</f>
        <v>CLOSED</v>
      </c>
      <c r="O84" s="42" t="str">
        <f>Harvest!L82</f>
        <v>CLOSED</v>
      </c>
      <c r="P84" s="43" t="str">
        <f>CPUE!L82</f>
        <v>CLOSED</v>
      </c>
      <c r="Q84" s="41" t="s">
        <v>10</v>
      </c>
      <c r="R84" s="42" t="s">
        <v>10</v>
      </c>
      <c r="S84" s="44" t="s">
        <v>10</v>
      </c>
      <c r="T84" s="41">
        <f t="shared" si="18"/>
        <v>8799.0234515461234</v>
      </c>
      <c r="U84" s="42">
        <f t="shared" si="19"/>
        <v>113456.88467205578</v>
      </c>
      <c r="V84" s="42"/>
    </row>
    <row r="85" spans="1:24" x14ac:dyDescent="0.25">
      <c r="A85" s="39">
        <v>46083</v>
      </c>
      <c r="B85" s="40" t="s">
        <v>21</v>
      </c>
      <c r="C85" s="4">
        <v>-0.42</v>
      </c>
      <c r="D85" s="13">
        <v>0.74027777777777781</v>
      </c>
      <c r="E85" s="41">
        <f>Effort!F83</f>
        <v>847.45336752048865</v>
      </c>
      <c r="F85" s="42">
        <f>Harvest!F83</f>
        <v>12203.328492295037</v>
      </c>
      <c r="G85" s="43">
        <f>+CPUE!F83</f>
        <v>14.4</v>
      </c>
      <c r="H85" s="41">
        <f>Effort!H83</f>
        <v>1087.9174968238301</v>
      </c>
      <c r="I85" s="42">
        <f>Harvest!H83</f>
        <v>15988.501783678799</v>
      </c>
      <c r="J85" s="43">
        <f>CPUE!H83</f>
        <v>14.696428571428582</v>
      </c>
      <c r="K85" s="41">
        <f>Effort!J83</f>
        <v>1367.4899239475001</v>
      </c>
      <c r="L85" s="42">
        <f>Harvest!J83</f>
        <v>13935.373510703101</v>
      </c>
      <c r="M85" s="43">
        <f>CPUE!J83</f>
        <v>10.190476190476193</v>
      </c>
      <c r="N85" s="41" t="str">
        <f>Effort!L83</f>
        <v>CLOSED</v>
      </c>
      <c r="O85" s="42" t="str">
        <f>Harvest!L83</f>
        <v>CLOSED</v>
      </c>
      <c r="P85" s="43" t="str">
        <f>CPUE!L83</f>
        <v>CLOSED</v>
      </c>
      <c r="Q85" s="41" t="s">
        <v>10</v>
      </c>
      <c r="R85" s="42" t="s">
        <v>10</v>
      </c>
      <c r="S85" s="44" t="s">
        <v>10</v>
      </c>
      <c r="T85" s="41">
        <f t="shared" si="18"/>
        <v>3302.8607882918186</v>
      </c>
      <c r="U85" s="42">
        <f t="shared" si="19"/>
        <v>42127.203786676939</v>
      </c>
      <c r="V85" s="42"/>
    </row>
    <row r="86" spans="1:24" x14ac:dyDescent="0.25">
      <c r="A86" s="39">
        <v>46084</v>
      </c>
      <c r="B86" s="40" t="s">
        <v>60</v>
      </c>
      <c r="C86" s="4">
        <v>-0.15</v>
      </c>
      <c r="D86" s="13">
        <v>0.76527777777777772</v>
      </c>
      <c r="E86" s="41">
        <f>Effort!F84</f>
        <v>187.81548935985163</v>
      </c>
      <c r="F86" s="42">
        <f>Harvest!F84</f>
        <v>939.07744679925815</v>
      </c>
      <c r="G86" s="43">
        <f>+CPUE!F84</f>
        <v>5</v>
      </c>
      <c r="H86" s="41">
        <f>Effort!H84</f>
        <v>278.0108351717966</v>
      </c>
      <c r="I86" s="42">
        <f>Harvest!H84</f>
        <v>1390.0541758589829</v>
      </c>
      <c r="J86" s="43">
        <f>CPUE!H84</f>
        <v>5</v>
      </c>
      <c r="K86" s="41" t="str">
        <f>Effort!J84</f>
        <v>CLOSED</v>
      </c>
      <c r="L86" s="42" t="str">
        <f>Harvest!J84</f>
        <v>CLOSED</v>
      </c>
      <c r="M86" s="43" t="str">
        <f>CPUE!J84</f>
        <v>CLOSED</v>
      </c>
      <c r="N86" s="41">
        <f>Effort!L84</f>
        <v>179.71246131546999</v>
      </c>
      <c r="O86" s="42">
        <f>Harvest!L84</f>
        <v>814.69649129679703</v>
      </c>
      <c r="P86" s="43">
        <f>CPUE!L84</f>
        <v>4.5333333333333314</v>
      </c>
      <c r="Q86" s="41" t="s">
        <v>10</v>
      </c>
      <c r="R86" s="42" t="s">
        <v>10</v>
      </c>
      <c r="S86" s="44" t="s">
        <v>10</v>
      </c>
      <c r="T86" s="41">
        <f t="shared" si="18"/>
        <v>645.53878584711822</v>
      </c>
      <c r="U86" s="42">
        <f t="shared" si="19"/>
        <v>3143.8281139550381</v>
      </c>
      <c r="V86" s="42"/>
    </row>
    <row r="87" spans="1:24" x14ac:dyDescent="0.25">
      <c r="A87" s="39">
        <v>46085</v>
      </c>
      <c r="B87" s="40" t="s">
        <v>61</v>
      </c>
      <c r="C87" s="4">
        <v>0.3</v>
      </c>
      <c r="D87" s="13">
        <v>0.78819444444444442</v>
      </c>
      <c r="E87" s="41">
        <f>Effort!F85</f>
        <v>103.03021130597568</v>
      </c>
      <c r="F87" s="42">
        <f>Harvest!F85</f>
        <v>721.21147914182984</v>
      </c>
      <c r="G87" s="43">
        <f>+CPUE!F85</f>
        <v>7</v>
      </c>
      <c r="H87" s="41">
        <f>Effort!H85</f>
        <v>152.50880100852834</v>
      </c>
      <c r="I87" s="42">
        <f>Harvest!H85</f>
        <v>1067.5616070596984</v>
      </c>
      <c r="J87" s="43">
        <f>CPUE!H85</f>
        <v>7</v>
      </c>
      <c r="K87" s="41" t="str">
        <f>Effort!J85</f>
        <v>CLOSED</v>
      </c>
      <c r="L87" s="42" t="str">
        <f>Harvest!J85</f>
        <v>CLOSED</v>
      </c>
      <c r="M87" s="43" t="str">
        <f>CPUE!J85</f>
        <v>CLOSED</v>
      </c>
      <c r="N87" s="41">
        <f>Effort!L85</f>
        <v>98.585121635914902</v>
      </c>
      <c r="O87" s="42">
        <f>Harvest!L85</f>
        <v>635.32633943145197</v>
      </c>
      <c r="P87" s="43">
        <f>CPUE!L85</f>
        <v>6.4444444444444482</v>
      </c>
      <c r="Q87" s="41" t="s">
        <v>10</v>
      </c>
      <c r="R87" s="42" t="s">
        <v>10</v>
      </c>
      <c r="S87" s="44" t="s">
        <v>10</v>
      </c>
      <c r="T87" s="41">
        <f t="shared" si="18"/>
        <v>354.12413395041892</v>
      </c>
      <c r="U87" s="42">
        <f t="shared" si="19"/>
        <v>2424.0994256329805</v>
      </c>
      <c r="V87" s="42"/>
    </row>
    <row r="88" spans="1:24" x14ac:dyDescent="0.25">
      <c r="A88" s="110" t="s">
        <v>50</v>
      </c>
      <c r="B88" s="110"/>
      <c r="C88" s="110"/>
      <c r="D88" s="111"/>
      <c r="E88" s="47">
        <f>SUM(E81:E87)</f>
        <v>8377.0740595480438</v>
      </c>
      <c r="F88" s="48">
        <f>SUM(F81:F87)</f>
        <v>107207.01736624703</v>
      </c>
      <c r="G88" s="49">
        <f>+F88/E88</f>
        <v>12.797668565918231</v>
      </c>
      <c r="H88" s="47">
        <f>SUM(H81:H87)</f>
        <v>10270.734782407862</v>
      </c>
      <c r="I88" s="48">
        <f>SUM(I81:I87)</f>
        <v>125170.4008204516</v>
      </c>
      <c r="J88" s="49">
        <f>+I88/H88</f>
        <v>12.187093082653504</v>
      </c>
      <c r="K88" s="47">
        <f>SUM(K81:K87)</f>
        <v>6243.0953759468848</v>
      </c>
      <c r="L88" s="48">
        <f>SUM(L81:L87)</f>
        <v>76310.996160466937</v>
      </c>
      <c r="M88" s="49">
        <f>+L88/K88</f>
        <v>12.223262911291487</v>
      </c>
      <c r="N88" s="47">
        <f>SUM(N81:N87)</f>
        <v>4313.6401113940856</v>
      </c>
      <c r="O88" s="48">
        <f>SUM(O81:O87)</f>
        <v>48580.50185386165</v>
      </c>
      <c r="P88" s="49">
        <f>+O88/N88</f>
        <v>11.262066514436542</v>
      </c>
      <c r="Q88" s="47"/>
      <c r="R88" s="48"/>
      <c r="S88" s="49"/>
      <c r="T88" s="47">
        <f>SUM(T81:T87)</f>
        <v>29204.544329296878</v>
      </c>
      <c r="U88" s="48">
        <f>SUM(U81:U87)</f>
        <v>357268.91620102717</v>
      </c>
      <c r="V88" s="62"/>
      <c r="W88" s="20">
        <f>SUM(H88,K88,N88,Q88,E88)</f>
        <v>29204.544329296878</v>
      </c>
      <c r="X88" s="20">
        <f>SUM(R88,O88,L88,I88,F88)</f>
        <v>357268.91620102723</v>
      </c>
    </row>
    <row r="89" spans="1:24" x14ac:dyDescent="0.25">
      <c r="A89" s="39">
        <v>46098</v>
      </c>
      <c r="B89" s="40" t="s">
        <v>60</v>
      </c>
      <c r="C89" s="4">
        <v>0.16</v>
      </c>
      <c r="D89" s="13">
        <v>0.76458333333333328</v>
      </c>
      <c r="E89" s="41">
        <f>Effort!F87</f>
        <v>205.30378182946248</v>
      </c>
      <c r="F89" s="42">
        <f>Harvest!F87</f>
        <v>410.60756365892496</v>
      </c>
      <c r="G89" s="43">
        <f>+CPUE!F87</f>
        <v>2</v>
      </c>
      <c r="H89" s="41">
        <f>Effort!H87</f>
        <v>174</v>
      </c>
      <c r="I89" s="42">
        <f>Harvest!H87</f>
        <v>191.4</v>
      </c>
      <c r="J89" s="43">
        <f>CPUE!H87</f>
        <v>1.1000000000000001</v>
      </c>
      <c r="K89" s="41">
        <f>Effort!J87</f>
        <v>189.686930490225</v>
      </c>
      <c r="L89" s="42">
        <f>Harvest!J87</f>
        <v>442.60283781052402</v>
      </c>
      <c r="M89" s="43">
        <f>CPUE!J87</f>
        <v>2.3333333333333282</v>
      </c>
      <c r="N89" s="41" t="str">
        <f>Effort!L87</f>
        <v>CLOSED</v>
      </c>
      <c r="O89" s="42" t="str">
        <f>Harvest!L87</f>
        <v>CLOSED</v>
      </c>
      <c r="P89" s="43" t="str">
        <f>CPUE!L87</f>
        <v>CLOSED</v>
      </c>
      <c r="Q89" s="41" t="s">
        <v>10</v>
      </c>
      <c r="R89" s="42" t="s">
        <v>10</v>
      </c>
      <c r="S89" s="44" t="s">
        <v>10</v>
      </c>
      <c r="T89" s="41">
        <f>SUM(E89,H89,K89,N89)</f>
        <v>568.99071231968742</v>
      </c>
      <c r="U89" s="42">
        <f>SUM(F89,I89,L89,O89)</f>
        <v>1044.610401469449</v>
      </c>
      <c r="V89" s="42"/>
    </row>
    <row r="90" spans="1:24" x14ac:dyDescent="0.25">
      <c r="A90" s="39">
        <v>46099</v>
      </c>
      <c r="B90" s="40" t="s">
        <v>61</v>
      </c>
      <c r="C90" s="4">
        <v>0.26</v>
      </c>
      <c r="D90" s="13">
        <v>0.78749999999999998</v>
      </c>
      <c r="E90" s="41">
        <f>Effort!F88</f>
        <v>197.33081942831774</v>
      </c>
      <c r="F90" s="42">
        <f>Harvest!F88</f>
        <v>2525.8344886824671</v>
      </c>
      <c r="G90" s="43">
        <f>+CPUE!F88</f>
        <v>12.8</v>
      </c>
      <c r="H90" s="41">
        <f>Effort!H88</f>
        <v>137.09980699769699</v>
      </c>
      <c r="I90" s="42">
        <f>Harvest!H88</f>
        <v>1045.38602835744</v>
      </c>
      <c r="J90" s="43">
        <f>CPUE!H88</f>
        <v>7.6250000000000036</v>
      </c>
      <c r="K90" s="41">
        <f>Effort!J88</f>
        <v>182.32044775273999</v>
      </c>
      <c r="L90" s="42">
        <f>Harvest!J88</f>
        <v>1201.1700087239401</v>
      </c>
      <c r="M90" s="43">
        <f>CPUE!J88</f>
        <v>6.5882352941176805</v>
      </c>
      <c r="N90" s="41" t="str">
        <f>Effort!L88</f>
        <v>CLOSED</v>
      </c>
      <c r="O90" s="42" t="str">
        <f>Harvest!L88</f>
        <v>CLOSED</v>
      </c>
      <c r="P90" s="43" t="str">
        <f>CPUE!L88</f>
        <v>CLOSED</v>
      </c>
      <c r="Q90" s="41" t="s">
        <v>10</v>
      </c>
      <c r="R90" s="42" t="s">
        <v>10</v>
      </c>
      <c r="S90" s="44" t="s">
        <v>10</v>
      </c>
      <c r="T90" s="41">
        <f t="shared" ref="T90:T94" si="20">SUM(E90,H90,K90,N90)</f>
        <v>516.75107417875472</v>
      </c>
      <c r="U90" s="42">
        <f t="shared" ref="U90:U94" si="21">SUM(F90,I90,L90,O90)</f>
        <v>4772.3905257638471</v>
      </c>
      <c r="V90" s="42"/>
    </row>
    <row r="91" spans="1:24" x14ac:dyDescent="0.25">
      <c r="A91" s="39">
        <v>46100</v>
      </c>
      <c r="B91" s="40" t="s">
        <v>22</v>
      </c>
      <c r="C91" s="4">
        <v>0.54</v>
      </c>
      <c r="D91" s="13">
        <v>0.81111111111111112</v>
      </c>
      <c r="E91" s="41">
        <f>Effort!F89</f>
        <v>306.53505162839144</v>
      </c>
      <c r="F91" s="42">
        <f>Harvest!F89</f>
        <v>613.07010325678289</v>
      </c>
      <c r="G91" s="43">
        <f>+CPUE!F89</f>
        <v>2</v>
      </c>
      <c r="H91" s="41">
        <f>Effort!H89</f>
        <v>337.66829583190406</v>
      </c>
      <c r="I91" s="42">
        <f>Harvest!H89</f>
        <v>675.33659166380812</v>
      </c>
      <c r="J91" s="43">
        <f>CPUE!H89</f>
        <v>2</v>
      </c>
      <c r="K91" s="41" t="str">
        <f>Effort!J89</f>
        <v>CLOSED</v>
      </c>
      <c r="L91" s="42" t="str">
        <f>Harvest!J89</f>
        <v>CLOSED</v>
      </c>
      <c r="M91" s="43" t="str">
        <f>CPUE!J89</f>
        <v>CLOSED</v>
      </c>
      <c r="N91" s="41">
        <f>Effort!L89</f>
        <v>178.913739265179</v>
      </c>
      <c r="O91" s="42">
        <f>Harvest!L89</f>
        <v>357.82747853035801</v>
      </c>
      <c r="P91" s="43">
        <f>CPUE!L89</f>
        <v>2</v>
      </c>
      <c r="Q91" s="41" t="s">
        <v>10</v>
      </c>
      <c r="R91" s="42" t="s">
        <v>10</v>
      </c>
      <c r="S91" s="44" t="s">
        <v>10</v>
      </c>
      <c r="T91" s="41">
        <f t="shared" si="20"/>
        <v>823.11708672547456</v>
      </c>
      <c r="U91" s="42">
        <f t="shared" si="21"/>
        <v>1646.2341734509491</v>
      </c>
      <c r="V91" s="42"/>
    </row>
    <row r="92" spans="1:24" x14ac:dyDescent="0.25">
      <c r="A92" s="39">
        <v>46101</v>
      </c>
      <c r="B92" s="40" t="s">
        <v>18</v>
      </c>
      <c r="C92" s="4">
        <v>-0.09</v>
      </c>
      <c r="D92" s="13">
        <v>0.33333333333333331</v>
      </c>
      <c r="E92" s="41">
        <f>Effort!F90</f>
        <v>504.21888084180341</v>
      </c>
      <c r="F92" s="42">
        <f>Harvest!F90</f>
        <v>2521.0944042090168</v>
      </c>
      <c r="G92" s="43">
        <f>+CPUE!F90</f>
        <v>5</v>
      </c>
      <c r="H92" s="41">
        <f>Effort!H90</f>
        <v>555.4298906949283</v>
      </c>
      <c r="I92" s="42">
        <f>Harvest!H90</f>
        <v>2777.1494534746416</v>
      </c>
      <c r="J92" s="43">
        <f>CPUE!H90</f>
        <v>5</v>
      </c>
      <c r="K92" s="41" t="str">
        <f>Effort!J90</f>
        <v>CLOSED</v>
      </c>
      <c r="L92" s="42" t="str">
        <f>Harvest!J90</f>
        <v>CLOSED</v>
      </c>
      <c r="M92" s="43" t="str">
        <f>CPUE!J90</f>
        <v>CLOSED</v>
      </c>
      <c r="N92" s="41">
        <f>Effort!L90</f>
        <v>294.29484458721299</v>
      </c>
      <c r="O92" s="42">
        <f>Harvest!L90</f>
        <v>724.418078983908</v>
      </c>
      <c r="P92" s="43">
        <f>CPUE!L90</f>
        <v>2.4615384615384586</v>
      </c>
      <c r="Q92" s="41" t="s">
        <v>10</v>
      </c>
      <c r="R92" s="42" t="s">
        <v>10</v>
      </c>
      <c r="S92" s="44" t="s">
        <v>10</v>
      </c>
      <c r="T92" s="41">
        <f t="shared" si="20"/>
        <v>1353.9436161239446</v>
      </c>
      <c r="U92" s="42">
        <f t="shared" si="21"/>
        <v>6022.6619366675668</v>
      </c>
      <c r="V92" s="42"/>
    </row>
    <row r="93" spans="1:24" x14ac:dyDescent="0.25">
      <c r="A93" s="39">
        <v>46102</v>
      </c>
      <c r="B93" s="40" t="s">
        <v>19</v>
      </c>
      <c r="C93" s="4">
        <v>-0.48</v>
      </c>
      <c r="D93" s="13">
        <v>0.36319444444444443</v>
      </c>
      <c r="E93" s="41">
        <f>Effort!F91</f>
        <v>1606.0508463516812</v>
      </c>
      <c r="F93" s="42">
        <f>Harvest!F91</f>
        <v>23287.737272099377</v>
      </c>
      <c r="G93" s="43">
        <f>+CPUE!F91</f>
        <v>14.5</v>
      </c>
      <c r="H93" s="41">
        <f>Effort!H91</f>
        <v>2329.3373084848076</v>
      </c>
      <c r="I93" s="42">
        <f>Harvest!H91</f>
        <v>33775.390973029709</v>
      </c>
      <c r="J93" s="43">
        <f>CPUE!H91</f>
        <v>14.5</v>
      </c>
      <c r="K93" s="41">
        <f>Effort!J91</f>
        <v>3919.6379962516698</v>
      </c>
      <c r="L93" s="42">
        <f>Harvest!J91</f>
        <v>56072.5991130447</v>
      </c>
      <c r="M93" s="43">
        <f>CPUE!J91</f>
        <v>14.30555555555555</v>
      </c>
      <c r="N93" s="41" t="str">
        <f>Effort!L91</f>
        <v>CLOSED</v>
      </c>
      <c r="O93" s="42" t="str">
        <f>Harvest!L91</f>
        <v>CLOSED</v>
      </c>
      <c r="P93" s="43" t="str">
        <f>CPUE!L91</f>
        <v>CLOSED</v>
      </c>
      <c r="Q93" s="41" t="s">
        <v>10</v>
      </c>
      <c r="R93" s="42" t="s">
        <v>10</v>
      </c>
      <c r="S93" s="44" t="s">
        <v>10</v>
      </c>
      <c r="T93" s="41">
        <f t="shared" si="20"/>
        <v>7855.0261510881592</v>
      </c>
      <c r="U93" s="42">
        <f t="shared" si="21"/>
        <v>113135.72735817378</v>
      </c>
      <c r="V93" s="42"/>
    </row>
    <row r="94" spans="1:24" x14ac:dyDescent="0.25">
      <c r="A94" s="39">
        <v>46103</v>
      </c>
      <c r="B94" s="40" t="s">
        <v>20</v>
      </c>
      <c r="C94" s="4">
        <v>-0.6</v>
      </c>
      <c r="D94" s="13">
        <v>0.39513888888888887</v>
      </c>
      <c r="E94" s="41">
        <f>Effort!F92</f>
        <v>1822.564497729501</v>
      </c>
      <c r="F94" s="42">
        <f>Harvest!F92</f>
        <v>25254.977597402678</v>
      </c>
      <c r="G94" s="43">
        <f>+CPUE!F92</f>
        <v>13.856836138783901</v>
      </c>
      <c r="H94" s="41">
        <f>Effort!H92</f>
        <v>2643.3580800539498</v>
      </c>
      <c r="I94" s="42">
        <f>Harvest!H92</f>
        <v>36153.0051256609</v>
      </c>
      <c r="J94" s="43">
        <f>CPUE!H92</f>
        <v>13.67692307692306</v>
      </c>
      <c r="K94" s="41">
        <f>Effort!J92</f>
        <v>4448.0491213262603</v>
      </c>
      <c r="L94" s="42">
        <f>Harvest!J92</f>
        <v>54074.3226514173</v>
      </c>
      <c r="M94" s="43">
        <f>CPUE!J92</f>
        <v>12.156862745098044</v>
      </c>
      <c r="N94" s="41" t="str">
        <f>Effort!L92</f>
        <v>CLOSED</v>
      </c>
      <c r="O94" s="42" t="str">
        <f>Harvest!L92</f>
        <v>CLOSED</v>
      </c>
      <c r="P94" s="43" t="str">
        <f>CPUE!L92</f>
        <v>CLOSED</v>
      </c>
      <c r="Q94" s="41" t="s">
        <v>10</v>
      </c>
      <c r="R94" s="42" t="s">
        <v>10</v>
      </c>
      <c r="S94" s="44" t="s">
        <v>10</v>
      </c>
      <c r="T94" s="41">
        <f t="shared" si="20"/>
        <v>8913.9716991097121</v>
      </c>
      <c r="U94" s="42">
        <f t="shared" si="21"/>
        <v>115482.30537448087</v>
      </c>
      <c r="V94" s="42"/>
    </row>
    <row r="95" spans="1:24" x14ac:dyDescent="0.25">
      <c r="A95" s="39">
        <v>46104</v>
      </c>
      <c r="B95" s="40" t="s">
        <v>21</v>
      </c>
      <c r="C95" s="4">
        <v>-0.46</v>
      </c>
      <c r="D95" s="13">
        <v>0.43194444444444446</v>
      </c>
      <c r="E95" s="41">
        <f>Effort!F93</f>
        <v>1590.1737202280767</v>
      </c>
      <c r="F95" s="42">
        <f>Harvest!F93</f>
        <v>19877.171502850961</v>
      </c>
      <c r="G95" s="43">
        <f>+CPUE!F93</f>
        <v>12.5</v>
      </c>
      <c r="H95" s="41">
        <f>Effort!H93</f>
        <v>1751.6797747392127</v>
      </c>
      <c r="I95" s="42">
        <f>Harvest!H93</f>
        <v>21895.997184240157</v>
      </c>
      <c r="J95" s="43">
        <f>CPUE!H93</f>
        <v>12.5</v>
      </c>
      <c r="K95" s="41" t="str">
        <f>Effort!J93</f>
        <v>CLOSED</v>
      </c>
      <c r="L95" s="42" t="str">
        <f>Harvest!J93</f>
        <v>CLOSED</v>
      </c>
      <c r="M95" s="43" t="str">
        <f>CPUE!J93</f>
        <v>CLOSED</v>
      </c>
      <c r="N95" s="41">
        <f>Effort!L93</f>
        <v>928.12852838808897</v>
      </c>
      <c r="O95" s="42">
        <f>Harvest!L93</f>
        <v>10753.4891564965</v>
      </c>
      <c r="P95" s="43">
        <f>CPUE!L93</f>
        <v>11.586206896551747</v>
      </c>
      <c r="Q95" s="41" t="s">
        <v>10</v>
      </c>
      <c r="R95" s="42" t="s">
        <v>10</v>
      </c>
      <c r="S95" s="44" t="s">
        <v>10</v>
      </c>
      <c r="T95" s="41">
        <f t="shared" ref="T95" si="22">SUM(E95,H95,K95,N95)</f>
        <v>4269.9820233553783</v>
      </c>
      <c r="U95" s="42">
        <f t="shared" ref="U95:U96" si="23">SUM(F95,I95,L95,O95)</f>
        <v>52526.657843587622</v>
      </c>
      <c r="V95" s="42"/>
    </row>
    <row r="96" spans="1:24" x14ac:dyDescent="0.25">
      <c r="A96" s="39">
        <v>46105</v>
      </c>
      <c r="B96" s="40" t="s">
        <v>60</v>
      </c>
      <c r="C96" s="4">
        <v>-0.14000000000000001</v>
      </c>
      <c r="D96" s="13">
        <v>0.47291666666666665</v>
      </c>
      <c r="E96" s="41">
        <f>Effort!F94</f>
        <v>59.525699726326224</v>
      </c>
      <c r="F96" s="42">
        <f>Harvest!F94</f>
        <v>119.05139945265245</v>
      </c>
      <c r="G96" s="43">
        <f>+CPUE!F94</f>
        <v>2</v>
      </c>
      <c r="H96" s="41">
        <f>Effort!H94</f>
        <v>65.571429688103393</v>
      </c>
      <c r="I96" s="42">
        <f>Harvest!H94</f>
        <v>109.28571614683899</v>
      </c>
      <c r="J96" s="43">
        <f>CPUE!H94</f>
        <v>1.6666666666666667</v>
      </c>
      <c r="K96" s="41" t="str">
        <f>Effort!J94</f>
        <v>CLOSED</v>
      </c>
      <c r="L96" s="42" t="str">
        <f>Harvest!J94</f>
        <v>CLOSED</v>
      </c>
      <c r="M96" s="43" t="str">
        <f>CPUE!J94</f>
        <v>CLOSED</v>
      </c>
      <c r="N96" s="41">
        <f>Effort!L94</f>
        <v>34.743059444060201</v>
      </c>
      <c r="O96" s="42">
        <f>Harvest!L94</f>
        <v>69.486118888120401</v>
      </c>
      <c r="P96" s="43">
        <f>CPUE!L94</f>
        <v>2</v>
      </c>
      <c r="Q96" s="41" t="s">
        <v>10</v>
      </c>
      <c r="R96" s="42" t="s">
        <v>10</v>
      </c>
      <c r="S96" s="44" t="s">
        <v>10</v>
      </c>
      <c r="T96" s="41">
        <f>SUM(E96,H96,K96,N96)</f>
        <v>159.84018885848982</v>
      </c>
      <c r="U96" s="42">
        <f t="shared" si="23"/>
        <v>297.82323448761184</v>
      </c>
      <c r="V96" s="42"/>
    </row>
    <row r="97" spans="1:24" x14ac:dyDescent="0.25">
      <c r="A97" s="110" t="s">
        <v>50</v>
      </c>
      <c r="B97" s="110"/>
      <c r="C97" s="110"/>
      <c r="D97" s="111"/>
      <c r="E97" s="47">
        <f>SUM(E89:E96)</f>
        <v>6291.703297763559</v>
      </c>
      <c r="F97" s="48">
        <f>SUM(F89:F96)</f>
        <v>74609.544331612866</v>
      </c>
      <c r="G97" s="49">
        <f>+F97/E97</f>
        <v>11.858401580718766</v>
      </c>
      <c r="H97" s="47">
        <f>SUM(H89:H96)</f>
        <v>7994.1445864906027</v>
      </c>
      <c r="I97" s="48">
        <f>SUM(I89:I96)</f>
        <v>96622.951072573502</v>
      </c>
      <c r="J97" s="49">
        <f>+I97/H97</f>
        <v>12.08671547370531</v>
      </c>
      <c r="K97" s="47">
        <f>SUM(K89:K96)</f>
        <v>8739.6944958208951</v>
      </c>
      <c r="L97" s="48">
        <f>SUM(L89:L96)</f>
        <v>111790.69461099646</v>
      </c>
      <c r="M97" s="49">
        <f>+L97/K97</f>
        <v>12.791144434676978</v>
      </c>
      <c r="N97" s="47">
        <f>SUM(N89:N96)</f>
        <v>1436.0801716845413</v>
      </c>
      <c r="O97" s="48">
        <f>SUM(O89:O96)</f>
        <v>11905.220832898887</v>
      </c>
      <c r="P97" s="49">
        <f>+O97/N97</f>
        <v>8.2900809214111657</v>
      </c>
      <c r="Q97" s="47"/>
      <c r="R97" s="48"/>
      <c r="S97" s="49"/>
      <c r="T97" s="47">
        <f>SUM(T89:T96)</f>
        <v>24461.622551759599</v>
      </c>
      <c r="U97" s="48">
        <f>SUM(U89:U96)</f>
        <v>294928.41084808169</v>
      </c>
      <c r="V97" s="62"/>
      <c r="W97" s="20">
        <f>SUM(H97,K97,N97,Q97,E97)</f>
        <v>24461.622551759596</v>
      </c>
      <c r="X97" s="20">
        <f>SUM(R97,O97,L97,I97,F97)</f>
        <v>294928.41084808175</v>
      </c>
    </row>
    <row r="98" spans="1:24" x14ac:dyDescent="0.25">
      <c r="A98" s="39">
        <v>46113</v>
      </c>
      <c r="B98" s="40" t="s">
        <v>61</v>
      </c>
      <c r="C98" s="4">
        <v>0.49</v>
      </c>
      <c r="D98" s="13">
        <v>0.28125</v>
      </c>
      <c r="E98" s="41">
        <f>Effort!F96</f>
        <v>168.84183894684082</v>
      </c>
      <c r="F98" s="42">
        <f>Harvest!F96</f>
        <v>1181.8928726278857</v>
      </c>
      <c r="G98" s="43">
        <f>+CPUE!F96</f>
        <v>7</v>
      </c>
      <c r="H98" s="41">
        <f>Effort!H96</f>
        <v>109.99999562899301</v>
      </c>
      <c r="I98" s="42">
        <f>Harvest!H96</f>
        <v>703.99997202555505</v>
      </c>
      <c r="J98" s="43">
        <f>CPUE!H96</f>
        <v>6.3999999999999986</v>
      </c>
      <c r="K98" s="41" t="str">
        <f>Effort!J96</f>
        <v>CLOSED</v>
      </c>
      <c r="L98" s="42" t="str">
        <f>Harvest!J96</f>
        <v>CLOSED</v>
      </c>
      <c r="M98" s="43" t="str">
        <f>CPUE!J96</f>
        <v>CLOSED</v>
      </c>
      <c r="N98" s="41">
        <f>Effort!L96</f>
        <v>94.999996225039297</v>
      </c>
      <c r="O98" s="42">
        <f>Harvest!L96</f>
        <v>211.92306850201101</v>
      </c>
      <c r="P98" s="43">
        <f>CPUE!L96</f>
        <v>2.2307692307692335</v>
      </c>
      <c r="Q98" s="41" t="s">
        <v>10</v>
      </c>
      <c r="R98" s="42" t="s">
        <v>10</v>
      </c>
      <c r="S98" s="44" t="s">
        <v>10</v>
      </c>
      <c r="T98" s="41">
        <f>SUM(E98,H98,K98,N98)</f>
        <v>373.84183080087314</v>
      </c>
      <c r="U98" s="42">
        <f>SUM(F98,I98,L98,O98)</f>
        <v>2097.8159131554517</v>
      </c>
      <c r="V98" s="42"/>
    </row>
    <row r="99" spans="1:24" x14ac:dyDescent="0.25">
      <c r="A99" s="39">
        <v>46114</v>
      </c>
      <c r="B99" s="40" t="s">
        <v>22</v>
      </c>
      <c r="C99" s="4">
        <v>7.0000000000000007E-2</v>
      </c>
      <c r="D99" s="13">
        <v>0.30694444444444446</v>
      </c>
      <c r="E99" s="41">
        <f>Effort!F97</f>
        <v>385.94276675537265</v>
      </c>
      <c r="F99" s="42">
        <f>Harvest!F97</f>
        <v>2701.5993672876084</v>
      </c>
      <c r="G99" s="43">
        <f>+CPUE!F97</f>
        <v>7</v>
      </c>
      <c r="H99" s="41">
        <f>Effort!H97</f>
        <v>251.44065547342706</v>
      </c>
      <c r="I99" s="42">
        <f>Harvest!H97</f>
        <v>1760.0845883139893</v>
      </c>
      <c r="J99" s="43">
        <f>CPUE!H97</f>
        <v>7</v>
      </c>
      <c r="K99" s="41" t="str">
        <f>Effort!J97</f>
        <v>CLOSED</v>
      </c>
      <c r="L99" s="42" t="str">
        <f>Harvest!J97</f>
        <v>CLOSED</v>
      </c>
      <c r="M99" s="43" t="str">
        <f>CPUE!J97</f>
        <v>CLOSED</v>
      </c>
      <c r="N99" s="41">
        <f>Effort!L97</f>
        <v>217.15329336341401</v>
      </c>
      <c r="O99" s="42">
        <f>Harvest!L97</f>
        <v>1302.9197601804799</v>
      </c>
      <c r="P99" s="43">
        <f>CPUE!L97</f>
        <v>5.9999999999999805</v>
      </c>
      <c r="Q99" s="41" t="s">
        <v>10</v>
      </c>
      <c r="R99" s="42" t="s">
        <v>10</v>
      </c>
      <c r="S99" s="44" t="s">
        <v>10</v>
      </c>
      <c r="T99" s="41">
        <f t="shared" ref="T99:T104" si="24">SUM(E99,H99,K99,N99)</f>
        <v>854.53671559221368</v>
      </c>
      <c r="U99" s="42">
        <f t="shared" ref="U99:U104" si="25">SUM(F99,I99,L99,O99)</f>
        <v>5764.6037157820774</v>
      </c>
      <c r="V99" s="42"/>
    </row>
    <row r="100" spans="1:24" x14ac:dyDescent="0.25">
      <c r="A100" s="39">
        <v>46115</v>
      </c>
      <c r="B100" s="40" t="s">
        <v>18</v>
      </c>
      <c r="C100" s="4">
        <v>-0.17</v>
      </c>
      <c r="D100" s="13">
        <v>0.33124999999999999</v>
      </c>
      <c r="E100" s="41">
        <f>Effort!F98</f>
        <v>982.72029401203895</v>
      </c>
      <c r="F100" s="42">
        <f>Harvest!F98</f>
        <v>14249.444263174564</v>
      </c>
      <c r="G100" s="43">
        <f>+CPUE!F98</f>
        <v>14.5</v>
      </c>
      <c r="H100" s="41">
        <f>Effort!H98</f>
        <v>759.10695882350581</v>
      </c>
      <c r="I100" s="42">
        <f>Harvest!H98</f>
        <v>9488.8369852938231</v>
      </c>
      <c r="J100" s="43">
        <f>CPUE!H98</f>
        <v>12.5</v>
      </c>
      <c r="K100" s="41">
        <f>Effort!J98</f>
        <v>1029.8979904908499</v>
      </c>
      <c r="L100" s="42">
        <f>Harvest!J98</f>
        <v>9918.3654301618899</v>
      </c>
      <c r="M100" s="43">
        <f>CPUE!J98</f>
        <v>9.6304347826087042</v>
      </c>
      <c r="N100" s="41" t="str">
        <f>Effort!L98</f>
        <v>CLOSED</v>
      </c>
      <c r="O100" s="42" t="str">
        <f>Harvest!L98</f>
        <v>CLOSED</v>
      </c>
      <c r="P100" s="43" t="str">
        <f>CPUE!L98</f>
        <v>CLOSED</v>
      </c>
      <c r="Q100" s="41" t="s">
        <v>10</v>
      </c>
      <c r="R100" s="42" t="s">
        <v>10</v>
      </c>
      <c r="S100" s="44" t="s">
        <v>10</v>
      </c>
      <c r="T100" s="41">
        <f t="shared" si="24"/>
        <v>2771.7252433263948</v>
      </c>
      <c r="U100" s="42">
        <f t="shared" si="25"/>
        <v>33656.646678630277</v>
      </c>
      <c r="V100" s="42"/>
    </row>
    <row r="101" spans="1:24" x14ac:dyDescent="0.25">
      <c r="A101" s="39">
        <v>46116</v>
      </c>
      <c r="B101" s="40" t="s">
        <v>19</v>
      </c>
      <c r="C101" s="4">
        <v>-0.22</v>
      </c>
      <c r="D101" s="13">
        <v>0.35555555555555557</v>
      </c>
      <c r="E101" s="41">
        <f>Effort!F99</f>
        <v>2292.1371758610444</v>
      </c>
      <c r="F101" s="42">
        <f>Harvest!F99</f>
        <v>33235.989049985146</v>
      </c>
      <c r="G101" s="43">
        <f>+CPUE!F99</f>
        <v>14.5</v>
      </c>
      <c r="H101" s="41">
        <f>Effort!H99</f>
        <v>1770.57224866149</v>
      </c>
      <c r="I101" s="42">
        <f>Harvest!H99</f>
        <v>25850.3548304578</v>
      </c>
      <c r="J101" s="43">
        <f>CPUE!H99</f>
        <v>14.600000000000026</v>
      </c>
      <c r="K101" s="41">
        <f>Effort!J99</f>
        <v>3146.9461074893202</v>
      </c>
      <c r="L101" s="42">
        <f>Harvest!J99</f>
        <v>43858.491013851199</v>
      </c>
      <c r="M101" s="43">
        <f>CPUE!J99</f>
        <v>13.936842105263171</v>
      </c>
      <c r="N101" s="41" t="str">
        <f>Effort!L99</f>
        <v>CLOSED</v>
      </c>
      <c r="O101" s="42" t="str">
        <f>Harvest!L99</f>
        <v>CLOSED</v>
      </c>
      <c r="P101" s="43" t="str">
        <f>CPUE!L99</f>
        <v>CLOSED</v>
      </c>
      <c r="Q101" s="41" t="s">
        <v>10</v>
      </c>
      <c r="R101" s="42" t="s">
        <v>10</v>
      </c>
      <c r="S101" s="44" t="s">
        <v>10</v>
      </c>
      <c r="T101" s="41">
        <f t="shared" si="24"/>
        <v>7209.655532011855</v>
      </c>
      <c r="U101" s="42">
        <f t="shared" si="25"/>
        <v>102944.83489429415</v>
      </c>
      <c r="V101" s="42"/>
    </row>
    <row r="102" spans="1:24" x14ac:dyDescent="0.25">
      <c r="A102" s="39">
        <v>46117</v>
      </c>
      <c r="B102" s="40" t="s">
        <v>20</v>
      </c>
      <c r="C102" s="4">
        <v>-0.1</v>
      </c>
      <c r="D102" s="13">
        <v>0.38055555555555554</v>
      </c>
      <c r="E102" s="41">
        <f>Effort!F100</f>
        <v>647.75388622763512</v>
      </c>
      <c r="F102" s="42">
        <f>Harvest!F100</f>
        <v>9133.3297958096555</v>
      </c>
      <c r="G102" s="43">
        <f>+CPUE!F100</f>
        <v>14.1</v>
      </c>
      <c r="H102" s="41">
        <f>Effort!H100</f>
        <v>1265.9456088240227</v>
      </c>
      <c r="I102" s="42">
        <f>Harvest!H100</f>
        <v>17723.238523536318</v>
      </c>
      <c r="J102" s="43">
        <f>CPUE!H100</f>
        <v>14</v>
      </c>
      <c r="K102" s="41" t="str">
        <f>Effort!J100</f>
        <v>CLOSED</v>
      </c>
      <c r="L102" s="42" t="str">
        <f>Harvest!J100</f>
        <v>CLOSED</v>
      </c>
      <c r="M102" s="43" t="str">
        <f>CPUE!J100</f>
        <v>CLOSED</v>
      </c>
      <c r="N102" s="41">
        <f>Effort!L100</f>
        <v>1093.3166621662001</v>
      </c>
      <c r="O102" s="42">
        <f>Harvest!L100</f>
        <v>13413.526810457</v>
      </c>
      <c r="P102" s="43">
        <f>CPUE!L100</f>
        <v>12.268656716417945</v>
      </c>
      <c r="Q102" s="41" t="s">
        <v>10</v>
      </c>
      <c r="R102" s="42" t="s">
        <v>10</v>
      </c>
      <c r="S102" s="44" t="s">
        <v>10</v>
      </c>
      <c r="T102" s="41">
        <f t="shared" si="24"/>
        <v>3007.0161572178577</v>
      </c>
      <c r="U102" s="42">
        <f t="shared" si="25"/>
        <v>40270.095129802976</v>
      </c>
      <c r="V102" s="42"/>
    </row>
    <row r="103" spans="1:24" x14ac:dyDescent="0.25">
      <c r="A103" s="39">
        <v>46118</v>
      </c>
      <c r="B103" s="40" t="s">
        <v>21</v>
      </c>
      <c r="C103" s="4">
        <v>0.15</v>
      </c>
      <c r="D103" s="13">
        <v>0.40694444444444444</v>
      </c>
      <c r="E103" s="41">
        <f>Effort!F101</f>
        <v>1123.8126577900471</v>
      </c>
      <c r="F103" s="42">
        <f>Harvest!F101</f>
        <v>15271.011712643789</v>
      </c>
      <c r="G103" s="43">
        <f>+CPUE!F101</f>
        <v>13.588574222570067</v>
      </c>
      <c r="H103" s="41">
        <f>Effort!H101</f>
        <v>868.09442538276596</v>
      </c>
      <c r="I103" s="42">
        <f>Harvest!H101</f>
        <v>10877.754636428999</v>
      </c>
      <c r="J103" s="43">
        <f>CPUE!H101</f>
        <v>12.530612244898022</v>
      </c>
      <c r="K103" s="41" t="str">
        <f>Effort!J101</f>
        <v>CLOSED</v>
      </c>
      <c r="L103" s="42" t="str">
        <f>Harvest!J101</f>
        <v>CLOSED</v>
      </c>
      <c r="M103" s="43" t="str">
        <f>CPUE!J101</f>
        <v>CLOSED</v>
      </c>
      <c r="N103" s="41">
        <f>Effort!L101</f>
        <v>632.32075007972105</v>
      </c>
      <c r="O103" s="42">
        <f>Harvest!L101</f>
        <v>3302.1194726385402</v>
      </c>
      <c r="P103" s="43">
        <f>CPUE!L101</f>
        <v>5.222222222222217</v>
      </c>
      <c r="Q103" s="41" t="s">
        <v>10</v>
      </c>
      <c r="R103" s="42" t="s">
        <v>10</v>
      </c>
      <c r="S103" s="44" t="s">
        <v>10</v>
      </c>
      <c r="T103" s="41">
        <f t="shared" si="24"/>
        <v>2624.2278332525343</v>
      </c>
      <c r="U103" s="42">
        <f t="shared" si="25"/>
        <v>29450.885821711327</v>
      </c>
      <c r="V103" s="42"/>
    </row>
    <row r="104" spans="1:24" x14ac:dyDescent="0.25">
      <c r="A104" s="39">
        <v>46119</v>
      </c>
      <c r="B104" s="40" t="s">
        <v>60</v>
      </c>
      <c r="C104" s="4">
        <v>0.51</v>
      </c>
      <c r="D104" s="13">
        <v>0.4375</v>
      </c>
      <c r="E104" s="41">
        <f>Effort!F102</f>
        <v>1098.663577335655</v>
      </c>
      <c r="F104" s="42">
        <f>Harvest!F102</f>
        <v>13733.294716695687</v>
      </c>
      <c r="G104" s="43">
        <f>+CPUE!F102</f>
        <v>12.5</v>
      </c>
      <c r="H104" s="41">
        <f>Effort!H102</f>
        <v>1122.55263909166</v>
      </c>
      <c r="I104" s="42">
        <f>Harvest!H102</f>
        <v>14057.420548625099</v>
      </c>
      <c r="J104" s="43">
        <f>CPUE!H102</f>
        <v>12.522727272727266</v>
      </c>
      <c r="K104" s="41">
        <f>Effort!J102</f>
        <v>1151.40739172485</v>
      </c>
      <c r="L104" s="42">
        <f>Harvest!J102</f>
        <v>10938.3702213861</v>
      </c>
      <c r="M104" s="43">
        <f>CPUE!J102</f>
        <v>9.5000000000000213</v>
      </c>
      <c r="N104" s="41" t="str">
        <f>Effort!L102</f>
        <v>CLOSED</v>
      </c>
      <c r="O104" s="42" t="str">
        <f>Harvest!L102</f>
        <v>CLOSED</v>
      </c>
      <c r="P104" s="43" t="str">
        <f>CPUE!L102</f>
        <v>CLOSED</v>
      </c>
      <c r="Q104" s="41" t="s">
        <v>10</v>
      </c>
      <c r="R104" s="42" t="s">
        <v>10</v>
      </c>
      <c r="S104" s="44" t="s">
        <v>10</v>
      </c>
      <c r="T104" s="41">
        <f t="shared" si="24"/>
        <v>3372.6236081521647</v>
      </c>
      <c r="U104" s="42">
        <f t="shared" si="25"/>
        <v>38729.085486706885</v>
      </c>
      <c r="V104" s="42"/>
    </row>
    <row r="105" spans="1:24" x14ac:dyDescent="0.25">
      <c r="A105" s="110" t="s">
        <v>50</v>
      </c>
      <c r="B105" s="110"/>
      <c r="C105" s="110"/>
      <c r="D105" s="111"/>
      <c r="E105" s="47">
        <f>SUM(E98:E104)</f>
        <v>6699.8721969286335</v>
      </c>
      <c r="F105" s="48">
        <f>SUM(F98:F104)</f>
        <v>89506.561778224335</v>
      </c>
      <c r="G105" s="49">
        <f>+F105/E105</f>
        <v>13.359443157625616</v>
      </c>
      <c r="H105" s="47">
        <f>SUM(H98:H104)</f>
        <v>6147.7125318858643</v>
      </c>
      <c r="I105" s="48">
        <f>SUM(I98:I104)</f>
        <v>80461.690084681584</v>
      </c>
      <c r="J105" s="49">
        <f>+I105/H105</f>
        <v>13.088069695412264</v>
      </c>
      <c r="K105" s="47">
        <f>SUM(K98:K104)</f>
        <v>5328.2514897050196</v>
      </c>
      <c r="L105" s="48">
        <f>SUM(L98:L104)</f>
        <v>64715.226665399183</v>
      </c>
      <c r="M105" s="49">
        <f>+L105/K105</f>
        <v>12.145677956537655</v>
      </c>
      <c r="N105" s="47">
        <f>SUM(N98:N104)</f>
        <v>2037.7907018343744</v>
      </c>
      <c r="O105" s="48">
        <f>SUM(O98:O104)</f>
        <v>18230.489111778032</v>
      </c>
      <c r="P105" s="49">
        <f>+O105/N105</f>
        <v>8.9462029124813185</v>
      </c>
      <c r="Q105" s="47"/>
      <c r="R105" s="48"/>
      <c r="S105" s="49"/>
      <c r="T105" s="47">
        <f>SUM(T98:T104)</f>
        <v>20213.626920353894</v>
      </c>
      <c r="U105" s="48">
        <f>SUM(U98:U104)</f>
        <v>252913.96764008317</v>
      </c>
      <c r="V105" s="62"/>
      <c r="W105" s="20">
        <f>SUM(H105,K105,N105,Q105,E105)</f>
        <v>20213.62692035389</v>
      </c>
      <c r="X105" s="20">
        <f>SUM(R105,O105,L105,I105,F105)</f>
        <v>252913.96764008314</v>
      </c>
    </row>
    <row r="106" spans="1:24" x14ac:dyDescent="0.25">
      <c r="A106" s="39">
        <v>46129</v>
      </c>
      <c r="B106" s="40" t="s">
        <v>18</v>
      </c>
      <c r="C106" s="4">
        <v>-0.94</v>
      </c>
      <c r="D106" s="13">
        <v>0.2902777777777778</v>
      </c>
      <c r="E106" s="41">
        <f>Effort!F104</f>
        <v>1107.6680536412723</v>
      </c>
      <c r="F106" s="42">
        <f>Harvest!F104</f>
        <v>16615.020804619086</v>
      </c>
      <c r="G106" s="43">
        <f>+CPUE!F104</f>
        <v>15</v>
      </c>
      <c r="H106" s="41">
        <f>Effort!H104</f>
        <v>669.61109292003596</v>
      </c>
      <c r="I106" s="42">
        <f>Harvest!H104</f>
        <v>9880.8466150395598</v>
      </c>
      <c r="J106" s="43">
        <f>CPUE!H104</f>
        <v>14.756097560975617</v>
      </c>
      <c r="K106" s="41" t="str">
        <f>Effort!J104</f>
        <v>CLOSED</v>
      </c>
      <c r="L106" s="42" t="str">
        <f>Harvest!J104</f>
        <v>CLOSED</v>
      </c>
      <c r="M106" s="43" t="str">
        <f>CPUE!J104</f>
        <v>CLOSED</v>
      </c>
      <c r="N106" s="41">
        <f>Effort!L104</f>
        <v>873.16171725355002</v>
      </c>
      <c r="O106" s="42">
        <f>Harvest!L104</f>
        <v>13097.4257588032</v>
      </c>
      <c r="P106" s="43">
        <f>CPUE!L104</f>
        <v>14.999999999999941</v>
      </c>
      <c r="Q106" s="41" t="s">
        <v>10</v>
      </c>
      <c r="R106" s="42" t="s">
        <v>10</v>
      </c>
      <c r="S106" s="44" t="s">
        <v>10</v>
      </c>
      <c r="T106" s="41">
        <f>SUM(E106,H106,K106,N106)</f>
        <v>2650.4408638148579</v>
      </c>
      <c r="U106" s="42">
        <f>SUM(F106,I106,L106,O106)</f>
        <v>39593.293178461841</v>
      </c>
      <c r="V106" s="42"/>
    </row>
    <row r="107" spans="1:24" x14ac:dyDescent="0.25">
      <c r="A107" s="39">
        <v>46130</v>
      </c>
      <c r="B107" s="40" t="s">
        <v>19</v>
      </c>
      <c r="C107" s="4">
        <v>-1.51</v>
      </c>
      <c r="D107" s="13">
        <v>0.32013888888888886</v>
      </c>
      <c r="E107" s="41">
        <f>Effort!F105</f>
        <v>3384.771229493972</v>
      </c>
      <c r="F107" s="42">
        <f>Harvest!F105</f>
        <v>27731.780831992099</v>
      </c>
      <c r="G107" s="43">
        <f>+CPUE!F105</f>
        <v>15</v>
      </c>
      <c r="H107" s="41">
        <f>Effort!H105</f>
        <v>2271.1863631761398</v>
      </c>
      <c r="I107" s="42">
        <f>Harvest!H105</f>
        <v>33504.691390656299</v>
      </c>
      <c r="J107" s="43">
        <f>CPUE!H105</f>
        <v>14.752066115702489</v>
      </c>
      <c r="K107" s="41" t="str">
        <f>Effort!J105</f>
        <v>CLOSED</v>
      </c>
      <c r="L107" s="42" t="str">
        <f>Harvest!J105</f>
        <v>CLOSED</v>
      </c>
      <c r="M107" s="43" t="str">
        <f>CPUE!J105</f>
        <v>CLOSED</v>
      </c>
      <c r="N107" s="41">
        <f>Effort!L105</f>
        <v>2668.1754064675001</v>
      </c>
      <c r="O107" s="42">
        <f>Harvest!L105</f>
        <v>30692.852192278398</v>
      </c>
      <c r="P107" s="43">
        <f>CPUE!L105</f>
        <v>11.503311258278123</v>
      </c>
      <c r="Q107" s="41" t="s">
        <v>10</v>
      </c>
      <c r="R107" s="42" t="s">
        <v>10</v>
      </c>
      <c r="S107" s="44" t="s">
        <v>10</v>
      </c>
      <c r="T107" s="41">
        <f t="shared" ref="T107:T112" si="26">SUM(E107,H107,K107,N107)</f>
        <v>8324.1329991376115</v>
      </c>
      <c r="U107" s="42">
        <f t="shared" ref="U107:U112" si="27">SUM(F107,I107,L107,O107)</f>
        <v>91929.324414926799</v>
      </c>
      <c r="V107" s="42"/>
    </row>
    <row r="108" spans="1:24" x14ac:dyDescent="0.25">
      <c r="A108" s="39">
        <v>46131</v>
      </c>
      <c r="B108" s="40" t="s">
        <v>20</v>
      </c>
      <c r="C108" s="4">
        <v>-1.75</v>
      </c>
      <c r="D108" s="13">
        <v>0.35138888888888886</v>
      </c>
      <c r="E108" s="41">
        <f>Effort!F106</f>
        <v>3946.2729811558097</v>
      </c>
      <c r="F108" s="42">
        <f>Harvest!F106</f>
        <v>57626.649841644401</v>
      </c>
      <c r="G108" s="43">
        <f>+CPUE!F106</f>
        <v>14.602803738317753</v>
      </c>
      <c r="H108" s="41">
        <f>Effort!H106</f>
        <v>1992.1123996772601</v>
      </c>
      <c r="I108" s="42">
        <f>Harvest!H106</f>
        <v>28251.775849968501</v>
      </c>
      <c r="J108" s="43">
        <f>CPUE!H106</f>
        <v>14.181818181818224</v>
      </c>
      <c r="K108" s="41">
        <f>Effort!J106</f>
        <v>4133.6056297543901</v>
      </c>
      <c r="L108" s="42">
        <f>Harvest!J106</f>
        <v>53392.406050994097</v>
      </c>
      <c r="M108" s="43">
        <f>CPUE!J106</f>
        <v>12.916666666666641</v>
      </c>
      <c r="N108" s="41" t="str">
        <f>Effort!L106</f>
        <v>CLOSED</v>
      </c>
      <c r="O108" s="42" t="str">
        <f>Harvest!L106</f>
        <v>CLOSED</v>
      </c>
      <c r="P108" s="43" t="str">
        <f>CPUE!L106</f>
        <v>CLOSED</v>
      </c>
      <c r="Q108" s="41" t="s">
        <v>10</v>
      </c>
      <c r="R108" s="42" t="s">
        <v>10</v>
      </c>
      <c r="S108" s="44" t="s">
        <v>10</v>
      </c>
      <c r="T108" s="41">
        <f t="shared" si="26"/>
        <v>10071.991010587459</v>
      </c>
      <c r="U108" s="42">
        <f t="shared" si="27"/>
        <v>139270.831742607</v>
      </c>
      <c r="V108" s="42"/>
    </row>
    <row r="109" spans="1:24" x14ac:dyDescent="0.25">
      <c r="A109" s="39">
        <v>46132</v>
      </c>
      <c r="B109" s="40" t="s">
        <v>21</v>
      </c>
      <c r="C109" s="4">
        <v>-1.67</v>
      </c>
      <c r="D109" s="13">
        <v>0.38472222222222224</v>
      </c>
      <c r="E109" s="41">
        <f>Effort!F107</f>
        <v>2692.0586685256321</v>
      </c>
      <c r="F109" s="42">
        <f>Harvest!F107</f>
        <v>40380.880027884479</v>
      </c>
      <c r="G109" s="43">
        <f>+CPUE!F107</f>
        <v>15</v>
      </c>
      <c r="H109" s="41">
        <f>Effort!H107</f>
        <v>1358.9742726459465</v>
      </c>
      <c r="I109" s="42">
        <f>Harvest!H107</f>
        <v>20384.614089689196</v>
      </c>
      <c r="J109" s="43">
        <f>CPUE!H107</f>
        <v>15</v>
      </c>
      <c r="K109" s="41">
        <f>Effort!J107</f>
        <v>2819.8527879304102</v>
      </c>
      <c r="L109" s="42">
        <f>Harvest!J107</f>
        <v>41851.082466412699</v>
      </c>
      <c r="M109" s="43">
        <f>CPUE!J107</f>
        <v>14.841584158415834</v>
      </c>
      <c r="N109" s="41" t="str">
        <f>Effort!L107</f>
        <v>CLOSED</v>
      </c>
      <c r="O109" s="42" t="str">
        <f>Harvest!L107</f>
        <v>CLOSED</v>
      </c>
      <c r="P109" s="43" t="str">
        <f>CPUE!L107</f>
        <v>CLOSED</v>
      </c>
      <c r="Q109" s="41" t="s">
        <v>10</v>
      </c>
      <c r="R109" s="42" t="s">
        <v>10</v>
      </c>
      <c r="S109" s="44" t="s">
        <v>10</v>
      </c>
      <c r="T109" s="41">
        <f t="shared" si="26"/>
        <v>6870.8857291019885</v>
      </c>
      <c r="U109" s="42">
        <f t="shared" si="27"/>
        <v>102616.57658398637</v>
      </c>
      <c r="V109" s="42"/>
    </row>
    <row r="110" spans="1:24" x14ac:dyDescent="0.25">
      <c r="A110" s="39">
        <v>46133</v>
      </c>
      <c r="B110" s="40" t="s">
        <v>60</v>
      </c>
      <c r="C110" s="4">
        <v>-1.3</v>
      </c>
      <c r="D110" s="13">
        <v>0.42152777777777778</v>
      </c>
      <c r="E110" s="41">
        <f>Effort!F108</f>
        <v>1740.8120231546238</v>
      </c>
      <c r="F110" s="42">
        <f>Harvest!F108</f>
        <v>25241.774335742044</v>
      </c>
      <c r="G110" s="43">
        <f>+CPUE!F108</f>
        <v>14.5</v>
      </c>
      <c r="H110" s="41">
        <f>Effort!H108</f>
        <v>1627.923071825941</v>
      </c>
      <c r="I110" s="42">
        <f>Harvest!H108</f>
        <v>23604.884541476145</v>
      </c>
      <c r="J110" s="43">
        <f>CPUE!H108</f>
        <v>14.5</v>
      </c>
      <c r="K110" s="41" t="str">
        <f>Effort!J108</f>
        <v>CLOSED</v>
      </c>
      <c r="L110" s="42" t="str">
        <f>Harvest!J108</f>
        <v>CLOSED</v>
      </c>
      <c r="M110" s="43" t="str">
        <f>CPUE!J108</f>
        <v>CLOSED</v>
      </c>
      <c r="N110" s="41">
        <f>Effort!L108</f>
        <v>1181.0927559577001</v>
      </c>
      <c r="O110" s="42">
        <f>Harvest!L108</f>
        <v>16572.207732031398</v>
      </c>
      <c r="P110" s="43">
        <f>CPUE!L108</f>
        <v>14.031249999999931</v>
      </c>
      <c r="Q110" s="41" t="s">
        <v>10</v>
      </c>
      <c r="R110" s="42" t="s">
        <v>10</v>
      </c>
      <c r="S110" s="44" t="s">
        <v>10</v>
      </c>
      <c r="T110" s="41">
        <f t="shared" si="26"/>
        <v>4549.8278509382653</v>
      </c>
      <c r="U110" s="42">
        <f t="shared" si="27"/>
        <v>65418.866609249584</v>
      </c>
      <c r="V110" s="42"/>
    </row>
    <row r="111" spans="1:24" x14ac:dyDescent="0.25">
      <c r="A111" s="39">
        <v>46134</v>
      </c>
      <c r="B111" s="40" t="s">
        <v>61</v>
      </c>
      <c r="C111" s="4">
        <v>-0.78</v>
      </c>
      <c r="D111" s="13">
        <v>0.46250000000000002</v>
      </c>
      <c r="E111" s="41">
        <f>Effort!F109</f>
        <v>761.50353550236628</v>
      </c>
      <c r="F111" s="42">
        <f>Harvest!F109</f>
        <v>6239.0772425987197</v>
      </c>
      <c r="G111" s="43">
        <f>+CPUE!F109</f>
        <v>15</v>
      </c>
      <c r="H111" s="41">
        <f>Effort!H109</f>
        <v>712.12121597991495</v>
      </c>
      <c r="I111" s="42">
        <f>Harvest!H109</f>
        <v>9944.56333374305</v>
      </c>
      <c r="J111" s="43">
        <f>CPUE!H109</f>
        <v>13.964705882352945</v>
      </c>
      <c r="K111" s="41" t="str">
        <f>Effort!J109</f>
        <v>CLOSED</v>
      </c>
      <c r="L111" s="42" t="str">
        <f>Harvest!J109</f>
        <v>CLOSED</v>
      </c>
      <c r="M111" s="43" t="str">
        <f>CPUE!J109</f>
        <v>CLOSED</v>
      </c>
      <c r="N111" s="41">
        <f>Effort!L109</f>
        <v>516.65906338822106</v>
      </c>
      <c r="O111" s="42">
        <f>Harvest!L109</f>
        <v>5747.8320801939599</v>
      </c>
      <c r="P111" s="43">
        <f>CPUE!L109</f>
        <v>11.125000000000002</v>
      </c>
      <c r="Q111" s="41" t="s">
        <v>10</v>
      </c>
      <c r="R111" s="42" t="s">
        <v>10</v>
      </c>
      <c r="S111" s="44" t="s">
        <v>10</v>
      </c>
      <c r="T111" s="41">
        <f t="shared" si="26"/>
        <v>1990.2838148705023</v>
      </c>
      <c r="U111" s="42">
        <f t="shared" si="27"/>
        <v>21931.47265653573</v>
      </c>
      <c r="V111" s="42"/>
    </row>
    <row r="112" spans="1:24" x14ac:dyDescent="0.25">
      <c r="A112" s="39">
        <v>46135</v>
      </c>
      <c r="B112" s="40" t="s">
        <v>22</v>
      </c>
      <c r="C112" s="4">
        <v>-0.22</v>
      </c>
      <c r="D112" s="13">
        <v>0.50763888888888886</v>
      </c>
      <c r="E112" s="41">
        <f>Effort!F110</f>
        <v>938.37632406326998</v>
      </c>
      <c r="F112" s="42">
        <f>Harvest!F110</f>
        <v>11729.704050790875</v>
      </c>
      <c r="G112" s="43">
        <f>+CPUE!F110</f>
        <v>12.5</v>
      </c>
      <c r="H112" s="41">
        <f>Effort!H110</f>
        <v>473.70040533346463</v>
      </c>
      <c r="I112" s="42">
        <f>Harvest!H110</f>
        <v>5921.2550666683082</v>
      </c>
      <c r="J112" s="43">
        <f>CPUE!H110</f>
        <v>12.5</v>
      </c>
      <c r="K112" s="41">
        <f>Effort!J110</f>
        <v>982.92177821922803</v>
      </c>
      <c r="L112" s="42">
        <f>Harvest!J110</f>
        <v>12168.571614354099</v>
      </c>
      <c r="M112" s="43">
        <f>CPUE!J110</f>
        <v>12.380000000000058</v>
      </c>
      <c r="N112" s="41" t="str">
        <f>Effort!L110</f>
        <v>CLOSED</v>
      </c>
      <c r="O112" s="42" t="str">
        <f>Harvest!L110</f>
        <v>CLOSED</v>
      </c>
      <c r="P112" s="43" t="str">
        <f>CPUE!L110</f>
        <v>CLOSED</v>
      </c>
      <c r="Q112" s="41" t="s">
        <v>10</v>
      </c>
      <c r="R112" s="42" t="s">
        <v>10</v>
      </c>
      <c r="S112" s="44" t="s">
        <v>10</v>
      </c>
      <c r="T112" s="41">
        <f t="shared" si="26"/>
        <v>2394.9985076159628</v>
      </c>
      <c r="U112" s="42">
        <f t="shared" si="27"/>
        <v>29819.530731813284</v>
      </c>
      <c r="V112" s="42"/>
    </row>
    <row r="113" spans="1:24" x14ac:dyDescent="0.25">
      <c r="A113" s="110" t="s">
        <v>50</v>
      </c>
      <c r="B113" s="110"/>
      <c r="C113" s="110"/>
      <c r="D113" s="111"/>
      <c r="E113" s="47">
        <f>SUM(E106:E112)</f>
        <v>14571.462815536946</v>
      </c>
      <c r="F113" s="48">
        <f>SUM(F106:F112)</f>
        <v>185564.88713527171</v>
      </c>
      <c r="G113" s="49">
        <f>+F113/E113</f>
        <v>12.734815267648459</v>
      </c>
      <c r="H113" s="47">
        <f>SUM(H106:H112)</f>
        <v>9105.628821558701</v>
      </c>
      <c r="I113" s="48">
        <f>SUM(I106:I112)</f>
        <v>131492.63088724104</v>
      </c>
      <c r="J113" s="49">
        <f>+I113/H113</f>
        <v>14.440807270324482</v>
      </c>
      <c r="K113" s="47">
        <f>SUM(K106:K112)</f>
        <v>7936.3801959040284</v>
      </c>
      <c r="L113" s="48">
        <f>SUM(L106:L112)</f>
        <v>107412.0601317609</v>
      </c>
      <c r="M113" s="49">
        <f>+L113/K113</f>
        <v>13.53413741282157</v>
      </c>
      <c r="N113" s="47">
        <f>SUM(N106:N112)</f>
        <v>5239.0889430669722</v>
      </c>
      <c r="O113" s="48">
        <f>SUM(O106:O112)</f>
        <v>66110.317763306957</v>
      </c>
      <c r="P113" s="49">
        <f>+O113/N113</f>
        <v>12.618666810532492</v>
      </c>
      <c r="Q113" s="47"/>
      <c r="R113" s="48"/>
      <c r="S113" s="49"/>
      <c r="T113" s="47">
        <f>SUM(T106:T112)</f>
        <v>36852.560776066653</v>
      </c>
      <c r="U113" s="48">
        <f>SUM(U106:U112)</f>
        <v>490579.89591758064</v>
      </c>
      <c r="V113" s="62"/>
      <c r="W113" s="20">
        <f>SUM(H113,K113,N113,Q113,E113)</f>
        <v>36852.560776066646</v>
      </c>
      <c r="X113" s="20">
        <f>SUM(R113,O113,L113,I113,F113)</f>
        <v>490579.89591758058</v>
      </c>
    </row>
    <row r="114" spans="1:24" x14ac:dyDescent="0.25">
      <c r="A114" s="39">
        <v>46142</v>
      </c>
      <c r="B114" s="40" t="s">
        <v>22</v>
      </c>
      <c r="C114" s="4">
        <v>-0.32</v>
      </c>
      <c r="D114" s="13">
        <v>0.26805555555555555</v>
      </c>
      <c r="E114" s="41">
        <f>Effort!F112</f>
        <v>287.27515066621663</v>
      </c>
      <c r="F114" s="42">
        <f>Harvest!F112</f>
        <v>4309.127259993249</v>
      </c>
      <c r="G114" s="43">
        <f>+CPUE!F112</f>
        <v>15</v>
      </c>
      <c r="H114" s="41">
        <f>Effort!H112</f>
        <v>248.58756213868199</v>
      </c>
      <c r="I114" s="42">
        <f>Harvest!H112</f>
        <v>3728.8134320802301</v>
      </c>
      <c r="J114" s="43">
        <f>CPUE!H112</f>
        <v>15.000000000000002</v>
      </c>
      <c r="K114" s="41" t="str">
        <f>Effort!J112</f>
        <v>CLOSED</v>
      </c>
      <c r="L114" s="42" t="str">
        <f>Harvest!J112</f>
        <v>CLOSED</v>
      </c>
      <c r="M114" s="43" t="str">
        <f>CPUE!J112</f>
        <v>CLOSED</v>
      </c>
      <c r="N114" s="41">
        <f>Effort!L112</f>
        <v>253.30921614639399</v>
      </c>
      <c r="O114" s="42">
        <f>Harvest!L112</f>
        <v>3799.6382421959102</v>
      </c>
      <c r="P114" s="43">
        <f>CPUE!L112</f>
        <v>15.000000000000002</v>
      </c>
      <c r="Q114" s="41" t="s">
        <v>10</v>
      </c>
      <c r="R114" s="42" t="s">
        <v>10</v>
      </c>
      <c r="S114" s="44" t="s">
        <v>10</v>
      </c>
      <c r="T114" s="41">
        <f>SUM(E114,H114,K114,N114)</f>
        <v>789.17192895129256</v>
      </c>
      <c r="U114" s="42">
        <f>SUM(F114,I114,L114,O114)</f>
        <v>11837.57893426939</v>
      </c>
      <c r="V114" s="42"/>
    </row>
    <row r="115" spans="1:24" x14ac:dyDescent="0.25">
      <c r="A115" s="39">
        <v>46143</v>
      </c>
      <c r="B115" s="40" t="s">
        <v>18</v>
      </c>
      <c r="C115" s="4">
        <v>-0.66</v>
      </c>
      <c r="D115" s="13">
        <v>0.29236111111111113</v>
      </c>
      <c r="E115" s="41">
        <f>Effort!F113</f>
        <v>930.15605329750906</v>
      </c>
      <c r="F115" s="42">
        <f>Harvest!F113</f>
        <v>13321.7265260406</v>
      </c>
      <c r="G115" s="43">
        <f>+CPUE!F113</f>
        <v>14.32203389830509</v>
      </c>
      <c r="H115" s="41">
        <f>Effort!H113</f>
        <v>661.330799780559</v>
      </c>
      <c r="I115" s="42">
        <f>Harvest!H113</f>
        <v>9717.5137926939296</v>
      </c>
      <c r="J115" s="43">
        <f>CPUE!H113</f>
        <v>14.69387755102041</v>
      </c>
      <c r="K115" s="41">
        <f>Effort!J113</f>
        <v>1117.99713812154</v>
      </c>
      <c r="L115" s="42">
        <f>Harvest!J113</f>
        <v>13866.770955088101</v>
      </c>
      <c r="M115" s="43">
        <f>CPUE!J113</f>
        <v>12.403225806451584</v>
      </c>
      <c r="N115" s="41" t="str">
        <f>Effort!L113</f>
        <v>CLOSED</v>
      </c>
      <c r="O115" s="42" t="str">
        <f>Harvest!L113</f>
        <v>CLOSED</v>
      </c>
      <c r="P115" s="43" t="str">
        <f>CPUE!L113</f>
        <v>CLOSED</v>
      </c>
      <c r="Q115" s="41" t="s">
        <v>10</v>
      </c>
      <c r="R115" s="42" t="s">
        <v>10</v>
      </c>
      <c r="S115" s="44" t="s">
        <v>10</v>
      </c>
      <c r="T115" s="41">
        <f t="shared" ref="T115:T120" si="28">SUM(E115,H115,K115,N115)</f>
        <v>2709.4839911996082</v>
      </c>
      <c r="U115" s="42">
        <f t="shared" ref="U115:U120" si="29">SUM(F115,I115,L115,O115)</f>
        <v>36906.011273822631</v>
      </c>
      <c r="V115" s="42"/>
    </row>
    <row r="116" spans="1:24" x14ac:dyDescent="0.25">
      <c r="A116" s="39">
        <v>46144</v>
      </c>
      <c r="B116" s="40" t="s">
        <v>19</v>
      </c>
      <c r="C116" s="4">
        <v>-0.83</v>
      </c>
      <c r="D116" s="13">
        <v>0.31597222222222221</v>
      </c>
      <c r="E116" s="41">
        <f>Effort!F114</f>
        <v>2517.6548873231941</v>
      </c>
      <c r="F116" s="42">
        <f>Harvest!F114</f>
        <v>36505.995866186313</v>
      </c>
      <c r="G116" s="43">
        <f>+CPUE!F114</f>
        <v>14.5</v>
      </c>
      <c r="H116" s="41">
        <f>Effort!H114</f>
        <v>2321.1649569442602</v>
      </c>
      <c r="I116" s="42">
        <f>Harvest!H114</f>
        <v>34443.092909495397</v>
      </c>
      <c r="J116" s="43">
        <f>CPUE!H114</f>
        <v>14.838709677419322</v>
      </c>
      <c r="K116" s="41">
        <f>Effort!J114</f>
        <v>3223.3604805628502</v>
      </c>
      <c r="L116" s="42">
        <f>Harvest!J114</f>
        <v>42170.079675462803</v>
      </c>
      <c r="M116" s="43">
        <f>CPUE!J114</f>
        <v>13.082644628099192</v>
      </c>
      <c r="N116" s="41" t="str">
        <f>Effort!L114</f>
        <v>CLOSED</v>
      </c>
      <c r="O116" s="42" t="str">
        <f>Harvest!L114</f>
        <v>CLOSED</v>
      </c>
      <c r="P116" s="43" t="str">
        <f>CPUE!L114</f>
        <v>CLOSED</v>
      </c>
      <c r="Q116" s="41" t="s">
        <v>10</v>
      </c>
      <c r="R116" s="42" t="s">
        <v>10</v>
      </c>
      <c r="S116" s="44" t="s">
        <v>10</v>
      </c>
      <c r="T116" s="41">
        <f t="shared" si="28"/>
        <v>8062.1803248303049</v>
      </c>
      <c r="U116" s="42">
        <f t="shared" si="29"/>
        <v>113119.16845114451</v>
      </c>
      <c r="V116" s="42"/>
    </row>
    <row r="117" spans="1:24" x14ac:dyDescent="0.25">
      <c r="A117" s="39">
        <v>46145</v>
      </c>
      <c r="B117" s="40" t="s">
        <v>20</v>
      </c>
      <c r="C117" s="4">
        <v>-0.82</v>
      </c>
      <c r="D117" s="13">
        <v>0.33888888888888891</v>
      </c>
      <c r="E117" s="41">
        <f>Effort!F115</f>
        <v>2113.3152526397489</v>
      </c>
      <c r="F117" s="42">
        <f>Harvest!F115</f>
        <v>19176.9422445774</v>
      </c>
      <c r="G117" s="43">
        <f>+CPUE!F115</f>
        <v>14.7</v>
      </c>
      <c r="H117" s="41">
        <f>Effort!H115</f>
        <v>1828.7132926947868</v>
      </c>
      <c r="I117" s="42">
        <f>Harvest!H115</f>
        <v>26516.342744074409</v>
      </c>
      <c r="J117" s="43">
        <f>CPUE!H115</f>
        <v>14.5</v>
      </c>
      <c r="K117" s="41" t="str">
        <f>Effort!J115</f>
        <v>CLOSED</v>
      </c>
      <c r="L117" s="42" t="str">
        <f>Harvest!J115</f>
        <v>CLOSED</v>
      </c>
      <c r="M117" s="43" t="str">
        <f>CPUE!J115</f>
        <v>CLOSED</v>
      </c>
      <c r="N117" s="41">
        <f>Effort!L115</f>
        <v>1863.4477394753201</v>
      </c>
      <c r="O117" s="42">
        <f>Harvest!L115</f>
        <v>19018.693423510998</v>
      </c>
      <c r="P117" s="43">
        <f>CPUE!L115</f>
        <v>10.206185567010309</v>
      </c>
      <c r="Q117" s="41" t="s">
        <v>10</v>
      </c>
      <c r="R117" s="42" t="s">
        <v>10</v>
      </c>
      <c r="S117" s="44" t="s">
        <v>10</v>
      </c>
      <c r="T117" s="41">
        <f t="shared" si="28"/>
        <v>5805.4762848098562</v>
      </c>
      <c r="U117" s="42">
        <f t="shared" si="29"/>
        <v>64711.978412162804</v>
      </c>
      <c r="V117" s="42"/>
    </row>
    <row r="118" spans="1:24" x14ac:dyDescent="0.25">
      <c r="A118" s="39">
        <v>46146</v>
      </c>
      <c r="B118" s="40" t="s">
        <v>21</v>
      </c>
      <c r="C118" s="4">
        <v>-0.68</v>
      </c>
      <c r="D118" s="13">
        <v>0.36319444444444443</v>
      </c>
      <c r="E118" s="41">
        <f>Effort!F116</f>
        <v>1101.0855474521143</v>
      </c>
      <c r="F118" s="42">
        <f>Harvest!F116</f>
        <v>13763.569343151428</v>
      </c>
      <c r="G118" s="43">
        <f>+CPUE!F116</f>
        <v>12.5</v>
      </c>
      <c r="H118" s="41">
        <f>Effort!H116</f>
        <v>1015.15152065222</v>
      </c>
      <c r="I118" s="42">
        <f>Harvest!H116</f>
        <v>12735.537259091499</v>
      </c>
      <c r="J118" s="43">
        <f>CPUE!H116</f>
        <v>12.545454545454557</v>
      </c>
      <c r="K118" s="41" t="str">
        <f>Effort!J116</f>
        <v>CLOSED</v>
      </c>
      <c r="L118" s="42" t="str">
        <f>Harvest!J116</f>
        <v>CLOSED</v>
      </c>
      <c r="M118" s="43" t="str">
        <f>CPUE!J116</f>
        <v>CLOSED</v>
      </c>
      <c r="N118" s="41">
        <f>Effort!L116</f>
        <v>548.16209603108302</v>
      </c>
      <c r="O118" s="42">
        <f>Harvest!L116</f>
        <v>5371.9885411046198</v>
      </c>
      <c r="P118" s="43">
        <f>CPUE!L116</f>
        <v>9.8000000000000114</v>
      </c>
      <c r="Q118" s="41" t="s">
        <v>10</v>
      </c>
      <c r="R118" s="42" t="s">
        <v>10</v>
      </c>
      <c r="S118" s="44" t="s">
        <v>10</v>
      </c>
      <c r="T118" s="41">
        <f t="shared" si="28"/>
        <v>2664.3991641354173</v>
      </c>
      <c r="U118" s="42">
        <f t="shared" si="29"/>
        <v>31871.095143347549</v>
      </c>
      <c r="V118" s="42"/>
    </row>
    <row r="119" spans="1:24" x14ac:dyDescent="0.25">
      <c r="A119" s="39">
        <v>46147</v>
      </c>
      <c r="B119" s="40" t="s">
        <v>60</v>
      </c>
      <c r="C119" s="4">
        <v>-0.42</v>
      </c>
      <c r="D119" s="13">
        <v>0.38958333333333334</v>
      </c>
      <c r="E119" s="41">
        <f>Effort!F117</f>
        <v>1133.6751836386113</v>
      </c>
      <c r="F119" s="42">
        <f>Harvest!F117</f>
        <v>17005.127754579171</v>
      </c>
      <c r="G119" s="43">
        <f>+CPUE!F117</f>
        <v>15</v>
      </c>
      <c r="H119" s="41">
        <f>Effort!H117</f>
        <v>1045.1977044467301</v>
      </c>
      <c r="I119" s="42">
        <f>Harvest!H117</f>
        <v>15677.965566700999</v>
      </c>
      <c r="J119" s="43">
        <f>CPUE!H117</f>
        <v>15.000000000000046</v>
      </c>
      <c r="K119" s="41">
        <f>Effort!J117</f>
        <v>1442.70647721045</v>
      </c>
      <c r="L119" s="42">
        <f>Harvest!J117</f>
        <v>19890.113299141402</v>
      </c>
      <c r="M119" s="43">
        <f>CPUE!J117</f>
        <v>13.786666666666665</v>
      </c>
      <c r="N119" s="41" t="str">
        <f>Effort!L117</f>
        <v>CLOSED</v>
      </c>
      <c r="O119" s="42" t="str">
        <f>Harvest!L117</f>
        <v>CLOSED</v>
      </c>
      <c r="P119" s="43" t="str">
        <f>CPUE!L117</f>
        <v>CLOSED</v>
      </c>
      <c r="Q119" s="41" t="s">
        <v>10</v>
      </c>
      <c r="R119" s="42" t="s">
        <v>10</v>
      </c>
      <c r="S119" s="44" t="s">
        <v>10</v>
      </c>
      <c r="T119" s="41">
        <f t="shared" si="28"/>
        <v>3621.5793652957914</v>
      </c>
      <c r="U119" s="42">
        <f t="shared" si="29"/>
        <v>52573.206620421566</v>
      </c>
      <c r="V119" s="42"/>
    </row>
    <row r="120" spans="1:24" x14ac:dyDescent="0.25">
      <c r="A120" s="39">
        <v>46148</v>
      </c>
      <c r="B120" s="40" t="s">
        <v>61</v>
      </c>
      <c r="C120" s="4">
        <v>-0.11</v>
      </c>
      <c r="D120" s="13">
        <v>0.41875000000000001</v>
      </c>
      <c r="E120" s="41">
        <f>Effort!F118</f>
        <v>1039.4576250200921</v>
      </c>
      <c r="F120" s="42">
        <f>Harvest!F118</f>
        <v>9646.7650091792693</v>
      </c>
      <c r="G120" s="43">
        <f>+CPUE!F118</f>
        <v>15</v>
      </c>
      <c r="H120" s="41">
        <f>Effort!H118</f>
        <v>958.33333852616204</v>
      </c>
      <c r="I120" s="42">
        <f>Harvest!H118</f>
        <v>14375.0000778924</v>
      </c>
      <c r="J120" s="43">
        <f>CPUE!H118</f>
        <v>14.999999999999968</v>
      </c>
      <c r="K120" s="41">
        <f>Effort!J118</f>
        <v>1033.1492039321899</v>
      </c>
      <c r="L120" s="42">
        <f>Harvest!J118</f>
        <v>13211.786789678399</v>
      </c>
      <c r="M120" s="43">
        <f>CPUE!J118</f>
        <v>12.787878787878876</v>
      </c>
      <c r="N120" s="41" t="str">
        <f>Effort!L118</f>
        <v>CLOSED</v>
      </c>
      <c r="O120" s="42" t="str">
        <f>Harvest!L118</f>
        <v>CLOSED</v>
      </c>
      <c r="P120" s="43" t="str">
        <f>CPUE!L118</f>
        <v>CLOSED</v>
      </c>
      <c r="Q120" s="41" t="s">
        <v>10</v>
      </c>
      <c r="R120" s="42" t="s">
        <v>10</v>
      </c>
      <c r="S120" s="44" t="s">
        <v>10</v>
      </c>
      <c r="T120" s="41">
        <f t="shared" si="28"/>
        <v>3030.940167478444</v>
      </c>
      <c r="U120" s="42">
        <f t="shared" si="29"/>
        <v>37233.551876750069</v>
      </c>
      <c r="V120" s="42"/>
    </row>
    <row r="121" spans="1:24" x14ac:dyDescent="0.25">
      <c r="A121" s="110" t="s">
        <v>50</v>
      </c>
      <c r="B121" s="110"/>
      <c r="C121" s="110"/>
      <c r="D121" s="111"/>
      <c r="E121" s="47">
        <f>SUM(E114:E120)</f>
        <v>9122.6197000374868</v>
      </c>
      <c r="F121" s="48">
        <f>SUM(F114:F120)</f>
        <v>113729.25400370742</v>
      </c>
      <c r="G121" s="49">
        <f>+F121/E121</f>
        <v>12.466731897553515</v>
      </c>
      <c r="H121" s="47">
        <f>SUM(H114:H120)</f>
        <v>8078.4791751834</v>
      </c>
      <c r="I121" s="48">
        <f>SUM(I114:I120)</f>
        <v>117194.26578202886</v>
      </c>
      <c r="J121" s="49">
        <f>+I121/H121</f>
        <v>14.506971329708017</v>
      </c>
      <c r="K121" s="47">
        <f>SUM(K114:K120)</f>
        <v>6817.2132998270308</v>
      </c>
      <c r="L121" s="48">
        <f>SUM(L114:L120)</f>
        <v>89138.750719370713</v>
      </c>
      <c r="M121" s="49">
        <f>+L121/K121</f>
        <v>13.075540811027928</v>
      </c>
      <c r="N121" s="47">
        <f>SUM(N114:N120)</f>
        <v>2664.919051652797</v>
      </c>
      <c r="O121" s="48">
        <f>SUM(O114:O120)</f>
        <v>28190.320206811528</v>
      </c>
      <c r="P121" s="49">
        <f>+O121/N121</f>
        <v>10.578302627739383</v>
      </c>
      <c r="Q121" s="47"/>
      <c r="R121" s="48"/>
      <c r="S121" s="49"/>
      <c r="T121" s="47">
        <f>SUM(T114:T120)</f>
        <v>26683.231226700715</v>
      </c>
      <c r="U121" s="48">
        <f>SUM(U114:U120)</f>
        <v>348252.59071191854</v>
      </c>
      <c r="V121" s="62"/>
      <c r="W121" s="20">
        <f>SUM(H121,K121,N121,Q121,E121)</f>
        <v>26683.231226700715</v>
      </c>
      <c r="X121" s="20">
        <f>SUM(R121,O121,L121,I121,F121)</f>
        <v>348252.59071191854</v>
      </c>
    </row>
    <row r="122" spans="1:24" ht="15.75" thickBot="1" x14ac:dyDescent="0.3">
      <c r="A122" s="81"/>
      <c r="B122" s="81"/>
      <c r="C122" s="81"/>
      <c r="D122" s="81"/>
      <c r="E122" s="62"/>
      <c r="F122" s="62"/>
      <c r="G122" s="63"/>
      <c r="H122" s="62"/>
      <c r="I122" s="62"/>
      <c r="J122" s="63"/>
      <c r="K122" s="62"/>
      <c r="L122" s="62"/>
      <c r="M122" s="63"/>
      <c r="N122" s="62"/>
      <c r="O122" s="62"/>
      <c r="P122" s="63"/>
      <c r="Q122" s="62"/>
      <c r="R122" s="62"/>
      <c r="S122" s="63"/>
      <c r="T122" s="62"/>
      <c r="U122" s="62"/>
    </row>
    <row r="123" spans="1:24" ht="15.75" thickTop="1" x14ac:dyDescent="0.25">
      <c r="A123" s="56" t="s">
        <v>51</v>
      </c>
      <c r="B123" s="57"/>
      <c r="C123" s="57"/>
      <c r="D123" s="57"/>
      <c r="E123" s="58">
        <f>+SUM(E11,E19,E27,E34,E42,E49,E57,E65,E73,E80,E88,E97,E105,E113,E121)</f>
        <v>104089.89881769693</v>
      </c>
      <c r="F123" s="58">
        <f>+SUM(F11,F19,F27,F34,F42,F49,F57,F65,F73,F80,F88,F97,F105,F113,F121)</f>
        <v>1283163.7984730995</v>
      </c>
      <c r="G123" s="59">
        <f>+F123/E123</f>
        <v>12.327457448300846</v>
      </c>
      <c r="H123" s="58">
        <f>+SUM(H11,H19,H27,H34,H42,H49,H57,H65,H73,H80,H88,H97,H105,H113,H121)</f>
        <v>93256.286762591364</v>
      </c>
      <c r="I123" s="58">
        <f>+SUM(I11,I19,I27,I34,I42,I49,I57,I65,I73,I80,I88,I97,I105,I113,I121)</f>
        <v>1168827.9448440771</v>
      </c>
      <c r="J123" s="59">
        <f>+I123/H123</f>
        <v>12.533502945701011</v>
      </c>
      <c r="K123" s="58">
        <f>+SUM(K11,K19,K27,K34,K42,K49,K57,K65,K73,K80,K88,K97,K105,K113,K121)</f>
        <v>72865.365829009257</v>
      </c>
      <c r="L123" s="58">
        <f>+SUM(L11,L19,L27,L34,L42,L49,L57,L65,L73,L80,L88,L97,L105,L113,L121)</f>
        <v>861964.16125146288</v>
      </c>
      <c r="M123" s="59">
        <f>+L123/K123</f>
        <v>11.829545511021047</v>
      </c>
      <c r="N123" s="58">
        <f>+SUM(N11,N19,N27,N34,N42,N49,N57,N65,N73,N80,N88,N97,N105,N113,N121)</f>
        <v>38562.771953033174</v>
      </c>
      <c r="O123" s="58">
        <f>+SUM(O11,O19,O27,O34,O42,O49,O57,O65,O73,O80,O88,O97,O105,O113,O121)</f>
        <v>411473.54489387042</v>
      </c>
      <c r="P123" s="59">
        <f>+O123/N123</f>
        <v>10.670227373566847</v>
      </c>
      <c r="Q123" s="58">
        <f>+SUM(Q11,Q19,Q27,Q34,Q42,Q49,Q57,Q65,Q73,Q80,Q88,Q97,Q105,Q113,Q121)</f>
        <v>0</v>
      </c>
      <c r="R123" s="58">
        <f>+SUM(R11,R19,R27,R34,R42,R49,R57,R65,R73,R80,R88,R97,R105,R113,R121)</f>
        <v>0</v>
      </c>
      <c r="S123" s="59">
        <v>0</v>
      </c>
      <c r="T123" s="58">
        <f>+SUM(T11,T19,T27,T34,T42,T49,T57,T65,T73,T80,T88,T97,T105,T113,T121)</f>
        <v>308774.32336233079</v>
      </c>
      <c r="U123" s="58">
        <f>+SUM(U11,U19,U27,U34,U42,U49,U57,U65,U73,U80,U88,U97,U105,U113,U121)</f>
        <v>3725429.4494625102</v>
      </c>
      <c r="V123" s="62"/>
      <c r="W123" s="20">
        <f>SUM(W4:W122)</f>
        <v>308774.32336233079</v>
      </c>
      <c r="X123" s="20">
        <f>SUM(X4:X122)</f>
        <v>3725429.4494625102</v>
      </c>
    </row>
    <row r="124" spans="1:24" x14ac:dyDescent="0.25">
      <c r="A124" s="60" t="s">
        <v>52</v>
      </c>
      <c r="B124" s="61"/>
      <c r="C124" s="61"/>
      <c r="D124" s="61"/>
      <c r="E124" s="62"/>
      <c r="F124" s="62">
        <f>Harvest!F122</f>
        <v>30795.931163354395</v>
      </c>
      <c r="G124" s="63"/>
      <c r="H124" s="62"/>
      <c r="I124" s="62">
        <f>Harvest!H122</f>
        <v>24044.460579649567</v>
      </c>
      <c r="J124" s="63"/>
      <c r="K124" s="62"/>
      <c r="L124" s="62">
        <f>Harvest!J122</f>
        <v>17631.085116507198</v>
      </c>
      <c r="M124" s="63"/>
      <c r="N124" s="62"/>
      <c r="O124" s="62">
        <f>Harvest!L122</f>
        <v>5908.3380805273682</v>
      </c>
      <c r="P124" s="63"/>
      <c r="Q124" s="62"/>
      <c r="R124" s="62">
        <f>Harvest!N122</f>
        <v>0</v>
      </c>
      <c r="S124" s="63"/>
      <c r="T124" s="62"/>
      <c r="U124" s="62">
        <f>F124+I124+L124+O124+R124</f>
        <v>78379.814940038515</v>
      </c>
      <c r="V124" s="62"/>
      <c r="W124" s="20">
        <f>SUM(H123,K123,N123,Q123,E123)</f>
        <v>308774.32336233067</v>
      </c>
      <c r="X124" s="20">
        <f>SUM(R123,O123,L123,I123,F123)</f>
        <v>3725429.4494625097</v>
      </c>
    </row>
    <row r="125" spans="1:24" x14ac:dyDescent="0.25">
      <c r="A125" s="64" t="s">
        <v>53</v>
      </c>
      <c r="B125" s="65"/>
      <c r="C125" s="65"/>
      <c r="D125" s="65"/>
      <c r="E125" s="66">
        <f>Effort!F120</f>
        <v>104089.89881769694</v>
      </c>
      <c r="F125" s="66">
        <f>F123+F124</f>
        <v>1313959.7296364538</v>
      </c>
      <c r="G125" s="67"/>
      <c r="H125" s="66">
        <f>Effort!H120</f>
        <v>93256.286762591422</v>
      </c>
      <c r="I125" s="66">
        <f>I123+I124</f>
        <v>1192872.4054237267</v>
      </c>
      <c r="J125" s="67"/>
      <c r="K125" s="66">
        <f>Effort!J120</f>
        <v>72865.365829009272</v>
      </c>
      <c r="L125" s="66">
        <f>L123+L124</f>
        <v>879595.24636797013</v>
      </c>
      <c r="M125" s="67"/>
      <c r="N125" s="66">
        <f>Effort!L120</f>
        <v>38562.771953033174</v>
      </c>
      <c r="O125" s="66">
        <f>O123+O124</f>
        <v>417381.8829743978</v>
      </c>
      <c r="P125" s="67"/>
      <c r="Q125" s="66">
        <f>Effort!N120</f>
        <v>0</v>
      </c>
      <c r="R125" s="66">
        <f>R123+R124</f>
        <v>0</v>
      </c>
      <c r="S125" s="67"/>
      <c r="T125" s="66">
        <f>SUM(T123:T124)</f>
        <v>308774.32336233079</v>
      </c>
      <c r="U125" s="68">
        <f>SUM(U123:U124)</f>
        <v>3803809.2644025488</v>
      </c>
      <c r="V125" s="62"/>
    </row>
    <row r="126" spans="1:24" x14ac:dyDescent="0.25">
      <c r="A126" s="69" t="s">
        <v>14</v>
      </c>
      <c r="B126" s="70"/>
      <c r="C126" s="70"/>
      <c r="D126" s="70"/>
      <c r="E126" s="70"/>
      <c r="F126" s="71">
        <f>Harvest!F125</f>
        <v>0.68845375183811242</v>
      </c>
      <c r="G126" s="70"/>
      <c r="H126" s="70"/>
      <c r="I126" s="71">
        <f>Harvest!H125</f>
        <v>0.58271583581077135</v>
      </c>
      <c r="J126" s="70"/>
      <c r="K126" s="70"/>
      <c r="L126" s="71">
        <f>Harvest!J125</f>
        <v>0.78418931782862056</v>
      </c>
      <c r="M126" s="70"/>
      <c r="N126" s="70"/>
      <c r="O126" s="71">
        <f>Harvest!L125</f>
        <v>0.33027648258928377</v>
      </c>
      <c r="P126" s="70"/>
      <c r="Q126" s="70"/>
      <c r="R126" s="71">
        <f>Harvest!N125</f>
        <v>0</v>
      </c>
      <c r="S126" s="70"/>
      <c r="T126" s="86"/>
      <c r="U126" s="87"/>
      <c r="V126" s="61"/>
      <c r="X126" s="20">
        <f>SUM(R125,O125,L125,I125,F125)</f>
        <v>3803809.2644025488</v>
      </c>
    </row>
  </sheetData>
  <mergeCells count="21">
    <mergeCell ref="A121:D121"/>
    <mergeCell ref="A11:D11"/>
    <mergeCell ref="A19:D19"/>
    <mergeCell ref="A42:D42"/>
    <mergeCell ref="A49:D49"/>
    <mergeCell ref="A105:D105"/>
    <mergeCell ref="A57:D57"/>
    <mergeCell ref="A97:D97"/>
    <mergeCell ref="A34:D34"/>
    <mergeCell ref="A27:D27"/>
    <mergeCell ref="A88:D88"/>
    <mergeCell ref="A80:D80"/>
    <mergeCell ref="A73:D73"/>
    <mergeCell ref="A65:D65"/>
    <mergeCell ref="A113:D113"/>
    <mergeCell ref="T2:U2"/>
    <mergeCell ref="E2:G2"/>
    <mergeCell ref="H2:J2"/>
    <mergeCell ref="N2:P2"/>
    <mergeCell ref="K2:M2"/>
    <mergeCell ref="Q2:S2"/>
  </mergeCells>
  <phoneticPr fontId="17" type="noConversion"/>
  <pageMargins left="0.7" right="0.7" top="0.75" bottom="0.75" header="0.3" footer="0.3"/>
  <pageSetup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28"/>
  <sheetViews>
    <sheetView topLeftCell="A90" zoomScale="90" zoomScaleNormal="90" workbookViewId="0">
      <selection activeCell="W109" sqref="W109"/>
    </sheetView>
  </sheetViews>
  <sheetFormatPr defaultRowHeight="15" x14ac:dyDescent="0.25"/>
  <cols>
    <col min="1" max="1" width="9.140625" customWidth="1"/>
    <col min="14" max="14" width="10.85546875" style="20" customWidth="1"/>
    <col min="18" max="18" width="10.140625" customWidth="1"/>
    <col min="19" max="19" width="12.42578125" customWidth="1"/>
  </cols>
  <sheetData>
    <row r="1" spans="1:18" ht="15.75" thickBot="1" x14ac:dyDescent="0.3">
      <c r="A1" s="34" t="s">
        <v>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45"/>
      <c r="O1" s="34"/>
    </row>
    <row r="2" spans="1:18" ht="15.75" thickTop="1" x14ac:dyDescent="0.25">
      <c r="A2" s="35"/>
      <c r="B2" s="35"/>
      <c r="C2" s="35"/>
      <c r="D2" s="35"/>
      <c r="E2" s="104" t="s">
        <v>40</v>
      </c>
      <c r="F2" s="105"/>
      <c r="G2" s="106"/>
      <c r="H2" s="104" t="s">
        <v>41</v>
      </c>
      <c r="I2" s="105"/>
      <c r="J2" s="106"/>
      <c r="K2" s="107" t="s">
        <v>42</v>
      </c>
      <c r="L2" s="108"/>
      <c r="M2" s="109"/>
      <c r="N2" s="102" t="s">
        <v>45</v>
      </c>
      <c r="O2" s="103"/>
    </row>
    <row r="3" spans="1:18" ht="15.75" thickBot="1" x14ac:dyDescent="0.3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25</v>
      </c>
      <c r="F3" s="36" t="s">
        <v>26</v>
      </c>
      <c r="G3" s="36" t="s">
        <v>27</v>
      </c>
      <c r="H3" s="37" t="s">
        <v>25</v>
      </c>
      <c r="I3" s="36" t="s">
        <v>26</v>
      </c>
      <c r="J3" s="36" t="s">
        <v>27</v>
      </c>
      <c r="K3" s="37" t="s">
        <v>25</v>
      </c>
      <c r="L3" s="36" t="s">
        <v>26</v>
      </c>
      <c r="M3" s="36" t="s">
        <v>27</v>
      </c>
      <c r="N3" s="46" t="s">
        <v>25</v>
      </c>
      <c r="O3" s="38" t="s">
        <v>26</v>
      </c>
      <c r="Q3" s="8" t="s">
        <v>56</v>
      </c>
      <c r="R3" s="8" t="s">
        <v>57</v>
      </c>
    </row>
    <row r="4" spans="1:18" ht="15.75" thickTop="1" x14ac:dyDescent="0.25">
      <c r="A4" s="39">
        <v>45936</v>
      </c>
      <c r="B4" s="40" t="s">
        <v>21</v>
      </c>
      <c r="C4" s="4">
        <v>-0.21</v>
      </c>
      <c r="D4" s="13">
        <v>0.77430555555555558</v>
      </c>
      <c r="E4" s="41" t="str">
        <f>Effort!J2</f>
        <v>CLOSED</v>
      </c>
      <c r="F4" s="42" t="str">
        <f>Harvest!J2</f>
        <v>CLOSED</v>
      </c>
      <c r="G4" s="43" t="str">
        <f>CPUE!J2</f>
        <v>CLOSED</v>
      </c>
      <c r="H4" s="41">
        <f>Effort!L2</f>
        <v>1507.9974592199001</v>
      </c>
      <c r="I4" s="42">
        <f>Harvest!L2</f>
        <v>22619.961888298501</v>
      </c>
      <c r="J4" s="43">
        <f>CPUE!L2</f>
        <v>15</v>
      </c>
      <c r="K4" s="41" t="s">
        <v>10</v>
      </c>
      <c r="L4" s="42" t="s">
        <v>10</v>
      </c>
      <c r="M4" s="75" t="s">
        <v>10</v>
      </c>
      <c r="N4" s="41">
        <f t="shared" ref="N4:O10" si="0">SUM(E4,H4)</f>
        <v>1507.9974592199001</v>
      </c>
      <c r="O4" s="42">
        <f t="shared" si="0"/>
        <v>22619.961888298501</v>
      </c>
    </row>
    <row r="5" spans="1:18" x14ac:dyDescent="0.25">
      <c r="A5" s="39">
        <v>45937</v>
      </c>
      <c r="B5" s="40" t="s">
        <v>60</v>
      </c>
      <c r="C5" s="4">
        <v>-0.95</v>
      </c>
      <c r="D5" s="13">
        <v>0.8041666666666667</v>
      </c>
      <c r="E5" s="41" t="str">
        <f>Effort!J3</f>
        <v>CLOSED</v>
      </c>
      <c r="F5" s="42" t="str">
        <f>Harvest!J3</f>
        <v>CLOSED</v>
      </c>
      <c r="G5" s="43" t="str">
        <f>CPUE!J3</f>
        <v>CLOSED</v>
      </c>
      <c r="H5" s="41">
        <f>Effort!L3</f>
        <v>1303.6040667772199</v>
      </c>
      <c r="I5" s="42">
        <f>Harvest!L3</f>
        <v>17526.232453338202</v>
      </c>
      <c r="J5" s="43">
        <f>CPUE!L3</f>
        <v>13.444444444444462</v>
      </c>
      <c r="K5" s="41" t="s">
        <v>10</v>
      </c>
      <c r="L5" s="42" t="s">
        <v>10</v>
      </c>
      <c r="M5" s="43" t="s">
        <v>10</v>
      </c>
      <c r="N5" s="41">
        <f t="shared" si="0"/>
        <v>1303.6040667772199</v>
      </c>
      <c r="O5" s="42">
        <f t="shared" si="0"/>
        <v>17526.232453338202</v>
      </c>
    </row>
    <row r="6" spans="1:18" x14ac:dyDescent="0.25">
      <c r="A6" s="39">
        <v>45938</v>
      </c>
      <c r="B6" s="40" t="s">
        <v>61</v>
      </c>
      <c r="C6" s="4">
        <v>-1.41</v>
      </c>
      <c r="D6" s="13">
        <v>0.83472222222222225</v>
      </c>
      <c r="E6" s="41">
        <f>Effort!J4</f>
        <v>1621.46651515131</v>
      </c>
      <c r="F6" s="42">
        <f>Harvest!J4</f>
        <v>24105.802191916198</v>
      </c>
      <c r="G6" s="43">
        <f>CPUE!J4</f>
        <v>14.866666666666701</v>
      </c>
      <c r="H6" s="41" t="str">
        <f>Effort!L4</f>
        <v>CLOSED</v>
      </c>
      <c r="I6" s="42" t="str">
        <f>Harvest!L4</f>
        <v>CLOSED</v>
      </c>
      <c r="J6" s="43" t="str">
        <f>CPUE!L4</f>
        <v>CLOSED</v>
      </c>
      <c r="K6" s="41" t="s">
        <v>10</v>
      </c>
      <c r="L6" s="42" t="s">
        <v>10</v>
      </c>
      <c r="M6" s="43" t="s">
        <v>10</v>
      </c>
      <c r="N6" s="41">
        <f t="shared" si="0"/>
        <v>1621.46651515131</v>
      </c>
      <c r="O6" s="42">
        <f t="shared" si="0"/>
        <v>24105.802191916198</v>
      </c>
    </row>
    <row r="7" spans="1:18" x14ac:dyDescent="0.25">
      <c r="A7" s="39">
        <v>45939</v>
      </c>
      <c r="B7" s="40" t="s">
        <v>22</v>
      </c>
      <c r="C7" s="4">
        <v>-1.51</v>
      </c>
      <c r="D7" s="13">
        <v>0.86736111111111114</v>
      </c>
      <c r="E7" s="41">
        <f>Effort!J5</f>
        <v>800.95522649544898</v>
      </c>
      <c r="F7" s="42">
        <f>Harvest!J5</f>
        <v>8857.6225047732005</v>
      </c>
      <c r="G7" s="43">
        <f>CPUE!J5</f>
        <v>11.058823529411764</v>
      </c>
      <c r="H7" s="41" t="str">
        <f>Effort!L5</f>
        <v>CLOSED</v>
      </c>
      <c r="I7" s="42" t="str">
        <f>Harvest!L5</f>
        <v>CLOSED</v>
      </c>
      <c r="J7" s="43" t="str">
        <f>CPUE!L5</f>
        <v>CLOSED</v>
      </c>
      <c r="K7" s="41" t="s">
        <v>10</v>
      </c>
      <c r="L7" s="42" t="s">
        <v>10</v>
      </c>
      <c r="M7" s="43" t="s">
        <v>10</v>
      </c>
      <c r="N7" s="41">
        <f t="shared" si="0"/>
        <v>800.95522649544898</v>
      </c>
      <c r="O7" s="42">
        <f t="shared" si="0"/>
        <v>8857.6225047732005</v>
      </c>
    </row>
    <row r="8" spans="1:18" x14ac:dyDescent="0.25">
      <c r="A8" s="39">
        <v>45940</v>
      </c>
      <c r="B8" s="40" t="s">
        <v>18</v>
      </c>
      <c r="C8" s="4">
        <v>-1.28</v>
      </c>
      <c r="D8" s="13">
        <v>0.90277777777777779</v>
      </c>
      <c r="E8" s="41" t="str">
        <f>Effort!J6</f>
        <v>CLOSED</v>
      </c>
      <c r="F8" s="42" t="str">
        <f>Harvest!J6</f>
        <v>CLOSED</v>
      </c>
      <c r="G8" s="43" t="str">
        <f>CPUE!J6</f>
        <v>CLOSED</v>
      </c>
      <c r="H8" s="41">
        <f>Effort!L6</f>
        <v>1246.5479847204101</v>
      </c>
      <c r="I8" s="42">
        <f>Harvest!L6</f>
        <v>18312.923120983502</v>
      </c>
      <c r="J8" s="43">
        <f>CPUE!L6</f>
        <v>14.690909090909109</v>
      </c>
      <c r="K8" s="41" t="s">
        <v>10</v>
      </c>
      <c r="L8" s="42" t="s">
        <v>10</v>
      </c>
      <c r="M8" s="43" t="s">
        <v>10</v>
      </c>
      <c r="N8" s="41">
        <f t="shared" si="0"/>
        <v>1246.5479847204101</v>
      </c>
      <c r="O8" s="42">
        <f t="shared" si="0"/>
        <v>18312.923120983502</v>
      </c>
    </row>
    <row r="9" spans="1:18" x14ac:dyDescent="0.25">
      <c r="A9" s="39">
        <v>45941</v>
      </c>
      <c r="B9" s="40" t="s">
        <v>19</v>
      </c>
      <c r="C9" s="4">
        <v>-0.81</v>
      </c>
      <c r="D9" s="13">
        <v>0.94236111111111109</v>
      </c>
      <c r="E9" s="41" t="str">
        <f>Effort!J7</f>
        <v>CLOSED</v>
      </c>
      <c r="F9" s="42" t="str">
        <f>Harvest!J7</f>
        <v>CLOSED</v>
      </c>
      <c r="G9" s="43" t="str">
        <f>CPUE!J7</f>
        <v>CLOSED</v>
      </c>
      <c r="H9" s="41">
        <f>Effort!L7</f>
        <v>717.81200176294897</v>
      </c>
      <c r="I9" s="42">
        <f>Harvest!L7</f>
        <v>10681.042586232699</v>
      </c>
      <c r="J9" s="43">
        <f>CPUE!L7</f>
        <v>14.880000000000026</v>
      </c>
      <c r="K9" s="41" t="s">
        <v>10</v>
      </c>
      <c r="L9" s="42" t="s">
        <v>10</v>
      </c>
      <c r="M9" s="43" t="s">
        <v>10</v>
      </c>
      <c r="N9" s="41">
        <f t="shared" si="0"/>
        <v>717.81200176294897</v>
      </c>
      <c r="O9" s="42">
        <f t="shared" si="0"/>
        <v>10681.042586232699</v>
      </c>
    </row>
    <row r="10" spans="1:18" x14ac:dyDescent="0.25">
      <c r="A10" s="39">
        <v>45942</v>
      </c>
      <c r="B10" s="40" t="s">
        <v>20</v>
      </c>
      <c r="C10" s="4">
        <v>-0.23</v>
      </c>
      <c r="D10" s="13">
        <v>0.9868055555555556</v>
      </c>
      <c r="E10" s="41">
        <f>Effort!J8</f>
        <v>141.45310192694799</v>
      </c>
      <c r="F10" s="42">
        <f>Harvest!J8</f>
        <v>977.31234058618998</v>
      </c>
      <c r="G10" s="43">
        <f>CPUE!J8</f>
        <v>6.9090909090909358</v>
      </c>
      <c r="H10" s="41" t="str">
        <f>Effort!L8</f>
        <v>CLOSED</v>
      </c>
      <c r="I10" s="42" t="str">
        <f>Harvest!L8</f>
        <v>CLOSED</v>
      </c>
      <c r="J10" s="43" t="str">
        <f>CPUE!L8</f>
        <v>CLOSED</v>
      </c>
      <c r="K10" s="41" t="s">
        <v>10</v>
      </c>
      <c r="L10" s="42" t="s">
        <v>10</v>
      </c>
      <c r="M10" s="43" t="s">
        <v>10</v>
      </c>
      <c r="N10" s="41">
        <f t="shared" si="0"/>
        <v>141.45310192694799</v>
      </c>
      <c r="O10" s="42">
        <f t="shared" si="0"/>
        <v>977.31234058618998</v>
      </c>
    </row>
    <row r="11" spans="1:18" x14ac:dyDescent="0.25">
      <c r="A11" s="110" t="s">
        <v>50</v>
      </c>
      <c r="B11" s="110"/>
      <c r="C11" s="110"/>
      <c r="D11" s="111"/>
      <c r="E11" s="47">
        <f>SUM(E4:E10)</f>
        <v>2563.874843573707</v>
      </c>
      <c r="F11" s="48">
        <f>SUM(F4:F10)</f>
        <v>33940.73703727559</v>
      </c>
      <c r="G11" s="49">
        <f>+F11/E11</f>
        <v>13.238063130244935</v>
      </c>
      <c r="H11" s="47">
        <f>SUM(H4:H10)</f>
        <v>4775.9615124804786</v>
      </c>
      <c r="I11" s="48">
        <f>SUM(I4:I10)</f>
        <v>69140.160048852893</v>
      </c>
      <c r="J11" s="49">
        <f>+I11/H11</f>
        <v>14.476699585659716</v>
      </c>
      <c r="K11" s="47"/>
      <c r="L11" s="48"/>
      <c r="M11" s="79"/>
      <c r="N11" s="47">
        <f>SUM(N4:N10)</f>
        <v>7339.8363560541857</v>
      </c>
      <c r="O11" s="48">
        <f>SUM(O4:O10)</f>
        <v>103080.89708612848</v>
      </c>
      <c r="Q11" s="20">
        <f>SUM(E11,H11)</f>
        <v>7339.8363560541857</v>
      </c>
      <c r="R11" s="20">
        <f>SUM(F11,I11)</f>
        <v>103080.89708612848</v>
      </c>
    </row>
    <row r="12" spans="1:18" x14ac:dyDescent="0.25">
      <c r="A12" s="39">
        <v>45950</v>
      </c>
      <c r="B12" s="40" t="s">
        <v>21</v>
      </c>
      <c r="C12" s="4">
        <v>0.19</v>
      </c>
      <c r="D12" s="13">
        <v>0.77777777777777779</v>
      </c>
      <c r="E12" s="41">
        <f>Effort!J10</f>
        <v>858.62272485301901</v>
      </c>
      <c r="F12" s="42">
        <f>Harvest!J10</f>
        <v>11601.3907706885</v>
      </c>
      <c r="G12" s="43">
        <f>CPUE!J10</f>
        <v>13.511627906976784</v>
      </c>
      <c r="H12" s="41" t="str">
        <f>Effort!L10</f>
        <v>CLOSED</v>
      </c>
      <c r="I12" s="42" t="str">
        <f>Harvest!L10</f>
        <v>CLOSED</v>
      </c>
      <c r="J12" s="43" t="str">
        <f>CPUE!L10</f>
        <v>CLOSED</v>
      </c>
      <c r="K12" s="41" t="s">
        <v>10</v>
      </c>
      <c r="L12" s="42" t="s">
        <v>10</v>
      </c>
      <c r="M12" s="43" t="s">
        <v>10</v>
      </c>
      <c r="N12" s="41">
        <f t="shared" ref="N12:O18" si="1">SUM(E12,H12)</f>
        <v>858.62272485301901</v>
      </c>
      <c r="O12" s="42">
        <f t="shared" si="1"/>
        <v>11601.3907706885</v>
      </c>
    </row>
    <row r="13" spans="1:18" x14ac:dyDescent="0.25">
      <c r="A13" s="39">
        <v>45951</v>
      </c>
      <c r="B13" s="40" t="s">
        <v>60</v>
      </c>
      <c r="C13" s="4">
        <v>-0.12</v>
      </c>
      <c r="D13" s="13">
        <v>0.80069444444444449</v>
      </c>
      <c r="E13" s="41">
        <f>Effort!J11</f>
        <v>750.629717351012</v>
      </c>
      <c r="F13" s="42">
        <f>Harvest!J11</f>
        <v>5646.04091746631</v>
      </c>
      <c r="G13" s="43">
        <f>CPUE!J11</f>
        <v>7.5217391304347858</v>
      </c>
      <c r="H13" s="41" t="str">
        <f>Effort!L11</f>
        <v>CLOSED</v>
      </c>
      <c r="I13" s="42" t="str">
        <f>Harvest!L11</f>
        <v>CLOSED</v>
      </c>
      <c r="J13" s="43" t="str">
        <f>CPUE!L11</f>
        <v>CLOSED</v>
      </c>
      <c r="K13" s="41" t="s">
        <v>10</v>
      </c>
      <c r="L13" s="42" t="s">
        <v>10</v>
      </c>
      <c r="M13" s="43" t="s">
        <v>10</v>
      </c>
      <c r="N13" s="41">
        <f t="shared" si="1"/>
        <v>750.629717351012</v>
      </c>
      <c r="O13" s="42">
        <f t="shared" si="1"/>
        <v>5646.04091746631</v>
      </c>
    </row>
    <row r="14" spans="1:18" x14ac:dyDescent="0.25">
      <c r="A14" s="39">
        <v>45952</v>
      </c>
      <c r="B14" s="40" t="s">
        <v>61</v>
      </c>
      <c r="C14" s="4">
        <v>-0.28000000000000003</v>
      </c>
      <c r="D14" s="13">
        <v>0.82291666666666663</v>
      </c>
      <c r="E14" s="41" t="str">
        <f>Effort!J12</f>
        <v>CLOSED</v>
      </c>
      <c r="F14" s="42" t="str">
        <f>Harvest!J12</f>
        <v>CLOSED</v>
      </c>
      <c r="G14" s="43" t="str">
        <f>CPUE!J12</f>
        <v>CLOSED</v>
      </c>
      <c r="H14" s="41">
        <f>Effort!L12</f>
        <v>319.96953618491898</v>
      </c>
      <c r="I14" s="42">
        <f>Harvest!L12</f>
        <v>4770.4549031206097</v>
      </c>
      <c r="J14" s="43">
        <f>CPUE!L12</f>
        <v>14.909090909090908</v>
      </c>
      <c r="K14" s="41" t="s">
        <v>10</v>
      </c>
      <c r="L14" s="42" t="s">
        <v>10</v>
      </c>
      <c r="M14" s="43" t="s">
        <v>10</v>
      </c>
      <c r="N14" s="41">
        <f t="shared" si="1"/>
        <v>319.96953618491898</v>
      </c>
      <c r="O14" s="42">
        <f t="shared" si="1"/>
        <v>4770.4549031206097</v>
      </c>
    </row>
    <row r="15" spans="1:18" x14ac:dyDescent="0.25">
      <c r="A15" s="39">
        <v>45953</v>
      </c>
      <c r="B15" s="40" t="s">
        <v>22</v>
      </c>
      <c r="C15" s="4">
        <v>-0.27</v>
      </c>
      <c r="D15" s="13">
        <v>0.84583333333333333</v>
      </c>
      <c r="E15" s="41" t="str">
        <f>Effort!J13</f>
        <v>CLOSED</v>
      </c>
      <c r="F15" s="42" t="str">
        <f>Harvest!J13</f>
        <v>CLOSED</v>
      </c>
      <c r="G15" s="43" t="str">
        <f>CPUE!J13</f>
        <v>CLOSED</v>
      </c>
      <c r="H15" s="41">
        <f>Effort!L13</f>
        <v>86.179716367084694</v>
      </c>
      <c r="I15" s="42">
        <f>Harvest!L13</f>
        <v>172.35943273416939</v>
      </c>
      <c r="J15" s="43">
        <f>CPUE!L13</f>
        <v>2</v>
      </c>
      <c r="K15" s="41" t="s">
        <v>10</v>
      </c>
      <c r="L15" s="42" t="s">
        <v>10</v>
      </c>
      <c r="M15" s="43" t="s">
        <v>10</v>
      </c>
      <c r="N15" s="41">
        <f t="shared" si="1"/>
        <v>86.179716367084694</v>
      </c>
      <c r="O15" s="42">
        <f t="shared" si="1"/>
        <v>172.35943273416939</v>
      </c>
    </row>
    <row r="16" spans="1:18" x14ac:dyDescent="0.25">
      <c r="A16" s="39">
        <v>45954</v>
      </c>
      <c r="B16" s="40" t="s">
        <v>18</v>
      </c>
      <c r="C16" s="4">
        <v>-0.12</v>
      </c>
      <c r="D16" s="13">
        <v>0.87013888888888891</v>
      </c>
      <c r="E16" s="41">
        <f>Effort!J14</f>
        <v>283.81866346080199</v>
      </c>
      <c r="F16" s="42">
        <f>Harvest!J14</f>
        <v>1135.27465384321</v>
      </c>
      <c r="G16" s="43">
        <f>CPUE!J14</f>
        <v>4.0000000000000071</v>
      </c>
      <c r="H16" s="41" t="str">
        <f>Effort!L14</f>
        <v>CLOSED</v>
      </c>
      <c r="I16" s="42" t="str">
        <f>Harvest!L14</f>
        <v>CLOSED</v>
      </c>
      <c r="J16" s="43" t="str">
        <f>CPUE!L14</f>
        <v>CLOSED</v>
      </c>
      <c r="K16" s="41" t="s">
        <v>10</v>
      </c>
      <c r="L16" s="42" t="s">
        <v>10</v>
      </c>
      <c r="M16" s="43" t="s">
        <v>10</v>
      </c>
      <c r="N16" s="41">
        <f t="shared" si="1"/>
        <v>283.81866346080199</v>
      </c>
      <c r="O16" s="42">
        <f t="shared" si="1"/>
        <v>1135.27465384321</v>
      </c>
    </row>
    <row r="17" spans="1:18" x14ac:dyDescent="0.25">
      <c r="A17" s="39">
        <v>45955</v>
      </c>
      <c r="B17" s="40" t="s">
        <v>19</v>
      </c>
      <c r="C17" s="4">
        <v>0.14000000000000001</v>
      </c>
      <c r="D17" s="13">
        <v>0.89652777777777781</v>
      </c>
      <c r="E17" s="41">
        <f>Effort!J15</f>
        <v>98.666182830420297</v>
      </c>
      <c r="F17" s="42">
        <f>Harvest!J15</f>
        <v>98.666182830420297</v>
      </c>
      <c r="G17" s="43">
        <f>CPUE!J15</f>
        <v>1</v>
      </c>
      <c r="H17" s="41" t="str">
        <f>Effort!L15</f>
        <v>CLOSED</v>
      </c>
      <c r="I17" s="42" t="str">
        <f>Harvest!L15</f>
        <v>CLOSED</v>
      </c>
      <c r="J17" s="43" t="str">
        <f>CPUE!L15</f>
        <v>CLOSED</v>
      </c>
      <c r="K17" s="41" t="s">
        <v>10</v>
      </c>
      <c r="L17" s="42" t="s">
        <v>10</v>
      </c>
      <c r="M17" s="43" t="s">
        <v>10</v>
      </c>
      <c r="N17" s="41">
        <f t="shared" si="1"/>
        <v>98.666182830420297</v>
      </c>
      <c r="O17" s="42">
        <f t="shared" si="1"/>
        <v>98.666182830420297</v>
      </c>
    </row>
    <row r="18" spans="1:18" x14ac:dyDescent="0.25">
      <c r="A18" s="39">
        <v>45956</v>
      </c>
      <c r="B18" s="40" t="s">
        <v>20</v>
      </c>
      <c r="C18" s="4">
        <v>0.47</v>
      </c>
      <c r="D18" s="13">
        <v>0.92708333333333337</v>
      </c>
      <c r="E18" s="41" t="str">
        <f>Effort!J16</f>
        <v>CLOSED</v>
      </c>
      <c r="F18" s="42" t="str">
        <f>Harvest!J16</f>
        <v>CLOSED</v>
      </c>
      <c r="G18" s="43" t="str">
        <f>CPUE!J16</f>
        <v>CLOSED</v>
      </c>
      <c r="H18" s="41">
        <f>Effort!L16</f>
        <v>44.440213359016496</v>
      </c>
      <c r="I18" s="42">
        <f>Harvest!L16</f>
        <v>524.39451763639499</v>
      </c>
      <c r="J18" s="43">
        <f>CPUE!L16</f>
        <v>11.800000000000008</v>
      </c>
      <c r="K18" s="41" t="s">
        <v>10</v>
      </c>
      <c r="L18" s="42" t="s">
        <v>10</v>
      </c>
      <c r="M18" s="43" t="s">
        <v>10</v>
      </c>
      <c r="N18" s="41">
        <f t="shared" si="1"/>
        <v>44.440213359016496</v>
      </c>
      <c r="O18" s="42">
        <f t="shared" si="1"/>
        <v>524.39451763639499</v>
      </c>
    </row>
    <row r="19" spans="1:18" x14ac:dyDescent="0.25">
      <c r="A19" s="110" t="s">
        <v>50</v>
      </c>
      <c r="B19" s="110"/>
      <c r="C19" s="110"/>
      <c r="D19" s="111"/>
      <c r="E19" s="47">
        <f>SUM(E12:E18)</f>
        <v>1991.7372884952531</v>
      </c>
      <c r="F19" s="48">
        <f>SUM(F12:F18)</f>
        <v>18481.372524828443</v>
      </c>
      <c r="G19" s="49">
        <f>+F19/E19</f>
        <v>9.2790212000253405</v>
      </c>
      <c r="H19" s="47">
        <f>SUM(H12:H18)</f>
        <v>450.58946591102017</v>
      </c>
      <c r="I19" s="48">
        <f>SUM(I12:I18)</f>
        <v>5467.2088534911745</v>
      </c>
      <c r="J19" s="49">
        <f>+I19/H19</f>
        <v>12.133459095492498</v>
      </c>
      <c r="K19" s="47"/>
      <c r="L19" s="48"/>
      <c r="M19" s="79"/>
      <c r="N19" s="47">
        <f>SUM(N12:N18)</f>
        <v>2442.3267544062737</v>
      </c>
      <c r="O19" s="48">
        <f>SUM(O12:O18)</f>
        <v>23948.581378319617</v>
      </c>
      <c r="Q19" s="20">
        <f>SUM(E19,H19)</f>
        <v>2442.3267544062733</v>
      </c>
      <c r="R19" s="20">
        <f>SUM(F19,I19)</f>
        <v>23948.581378319617</v>
      </c>
    </row>
    <row r="20" spans="1:18" x14ac:dyDescent="0.25">
      <c r="A20" s="39">
        <v>45964</v>
      </c>
      <c r="B20" s="40" t="s">
        <v>21</v>
      </c>
      <c r="C20" s="4">
        <v>-0.1</v>
      </c>
      <c r="D20" s="13">
        <v>0.6875</v>
      </c>
      <c r="E20" s="41" t="str">
        <f>Effort!J18</f>
        <v>CLOSED</v>
      </c>
      <c r="F20" s="42" t="str">
        <f>Harvest!J18</f>
        <v>CLOSED</v>
      </c>
      <c r="G20" s="43" t="str">
        <f>CPUE!J18</f>
        <v>CLOSED</v>
      </c>
      <c r="H20" s="41">
        <f>Effort!L18</f>
        <v>636.84455408952704</v>
      </c>
      <c r="I20" s="42">
        <f>Harvest!L18</f>
        <v>8445.1125651002494</v>
      </c>
      <c r="J20" s="43">
        <f>CPUE!L18</f>
        <v>13.260869565217391</v>
      </c>
      <c r="K20" s="41" t="s">
        <v>10</v>
      </c>
      <c r="L20" s="42" t="s">
        <v>10</v>
      </c>
      <c r="M20" s="43" t="s">
        <v>10</v>
      </c>
      <c r="N20" s="41">
        <f t="shared" ref="N20:N26" si="2">SUM(E20,H20)</f>
        <v>636.84455408952704</v>
      </c>
      <c r="O20" s="42">
        <f t="shared" ref="O20:O26" si="3">SUM(F20,I20)</f>
        <v>8445.1125651002494</v>
      </c>
    </row>
    <row r="21" spans="1:18" x14ac:dyDescent="0.25">
      <c r="A21" s="39">
        <v>45965</v>
      </c>
      <c r="B21" s="40" t="s">
        <v>60</v>
      </c>
      <c r="C21" s="4">
        <v>-1.1000000000000001</v>
      </c>
      <c r="D21" s="13">
        <v>0.71875</v>
      </c>
      <c r="E21" s="41" t="str">
        <f>Effort!J19</f>
        <v>CLOSED</v>
      </c>
      <c r="F21" s="42" t="str">
        <f>Harvest!J19</f>
        <v>CLOSED</v>
      </c>
      <c r="G21" s="43" t="str">
        <f>CPUE!J19</f>
        <v>CLOSED</v>
      </c>
      <c r="H21" s="41">
        <f>Effort!L19</f>
        <v>892.28663332506301</v>
      </c>
      <c r="I21" s="42">
        <f>Harvest!L19</f>
        <v>10552.2593158442</v>
      </c>
      <c r="J21" s="43">
        <f>CPUE!L19</f>
        <v>11.826086956521712</v>
      </c>
      <c r="K21" s="41" t="s">
        <v>10</v>
      </c>
      <c r="L21" s="42" t="s">
        <v>10</v>
      </c>
      <c r="M21" s="43" t="s">
        <v>10</v>
      </c>
      <c r="N21" s="41">
        <f t="shared" si="2"/>
        <v>892.28663332506301</v>
      </c>
      <c r="O21" s="42">
        <f t="shared" si="3"/>
        <v>10552.2593158442</v>
      </c>
    </row>
    <row r="22" spans="1:18" x14ac:dyDescent="0.25">
      <c r="A22" s="39">
        <v>45966</v>
      </c>
      <c r="B22" s="40" t="s">
        <v>61</v>
      </c>
      <c r="C22" s="4">
        <v>-1.7</v>
      </c>
      <c r="D22" s="13">
        <v>0.75069444444444444</v>
      </c>
      <c r="E22" s="41">
        <f>Effort!J20</f>
        <v>522.09946401921002</v>
      </c>
      <c r="F22" s="42">
        <f>Harvest!J20</f>
        <v>4263.8122894902199</v>
      </c>
      <c r="G22" s="43">
        <f>CPUE!J20</f>
        <v>8.166666666666675</v>
      </c>
      <c r="H22" s="41" t="str">
        <f>Effort!L20</f>
        <v>CLOSED</v>
      </c>
      <c r="I22" s="42" t="str">
        <f>Harvest!L20</f>
        <v>CLOSED</v>
      </c>
      <c r="J22" s="43" t="str">
        <f>CPUE!L20</f>
        <v>CLOSED</v>
      </c>
      <c r="K22" s="41" t="s">
        <v>10</v>
      </c>
      <c r="L22" s="42" t="s">
        <v>10</v>
      </c>
      <c r="M22" s="43" t="s">
        <v>10</v>
      </c>
      <c r="N22" s="41">
        <f t="shared" si="2"/>
        <v>522.09946401921002</v>
      </c>
      <c r="O22" s="42">
        <f t="shared" si="3"/>
        <v>4263.8122894902199</v>
      </c>
    </row>
    <row r="23" spans="1:18" x14ac:dyDescent="0.25">
      <c r="A23" s="39">
        <v>45967</v>
      </c>
      <c r="B23" s="40" t="s">
        <v>22</v>
      </c>
      <c r="C23" s="4">
        <v>-2</v>
      </c>
      <c r="D23" s="13">
        <v>0.78194444444444444</v>
      </c>
      <c r="E23" s="41">
        <f>Effort!J21</f>
        <v>556.16944668007602</v>
      </c>
      <c r="F23" s="42">
        <f>Harvest!J21</f>
        <v>787.90671613010795</v>
      </c>
      <c r="G23" s="43">
        <f>CPUE!J21</f>
        <v>1.4166666666666672</v>
      </c>
      <c r="H23" s="41" t="str">
        <f>Effort!L21</f>
        <v>CLOSED</v>
      </c>
      <c r="I23" s="42" t="str">
        <f>Harvest!L21</f>
        <v>CLOSED</v>
      </c>
      <c r="J23" s="43" t="str">
        <f>CPUE!L21</f>
        <v>CLOSED</v>
      </c>
      <c r="K23" s="41" t="s">
        <v>10</v>
      </c>
      <c r="L23" s="42" t="s">
        <v>10</v>
      </c>
      <c r="M23" s="43" t="s">
        <v>10</v>
      </c>
      <c r="N23" s="41">
        <f t="shared" si="2"/>
        <v>556.16944668007602</v>
      </c>
      <c r="O23" s="42">
        <f t="shared" si="3"/>
        <v>787.90671613010795</v>
      </c>
    </row>
    <row r="24" spans="1:18" x14ac:dyDescent="0.25">
      <c r="A24" s="39">
        <v>45968</v>
      </c>
      <c r="B24" s="40" t="s">
        <v>18</v>
      </c>
      <c r="C24" s="4">
        <v>-1.9</v>
      </c>
      <c r="D24" s="13">
        <v>0.81527777777777777</v>
      </c>
      <c r="E24" s="41" t="str">
        <f>Effort!J22</f>
        <v>CLOSED</v>
      </c>
      <c r="F24" s="42" t="str">
        <f>Harvest!J22</f>
        <v>CLOSED</v>
      </c>
      <c r="G24" s="43" t="str">
        <f>CPUE!J22</f>
        <v>CLOSED</v>
      </c>
      <c r="H24" s="41">
        <f>Effort!L22</f>
        <v>1872.1174832192601</v>
      </c>
      <c r="I24" s="42">
        <f>Harvest!L22</f>
        <v>25541.0313782056</v>
      </c>
      <c r="J24" s="43">
        <f>CPUE!L22</f>
        <v>13.642857142857132</v>
      </c>
      <c r="K24" s="41" t="s">
        <v>10</v>
      </c>
      <c r="L24" s="42" t="s">
        <v>10</v>
      </c>
      <c r="M24" s="43" t="s">
        <v>10</v>
      </c>
      <c r="N24" s="41">
        <f t="shared" si="2"/>
        <v>1872.1174832192601</v>
      </c>
      <c r="O24" s="42">
        <f t="shared" si="3"/>
        <v>25541.0313782056</v>
      </c>
    </row>
    <row r="25" spans="1:18" x14ac:dyDescent="0.25">
      <c r="A25" s="39">
        <v>45969</v>
      </c>
      <c r="B25" s="40" t="s">
        <v>19</v>
      </c>
      <c r="C25" s="4">
        <v>-1.5</v>
      </c>
      <c r="D25" s="13">
        <v>0.85069444444444442</v>
      </c>
      <c r="E25" s="41" t="str">
        <f>Effort!J23</f>
        <v>CLOSED</v>
      </c>
      <c r="F25" s="42" t="str">
        <f>Harvest!J23</f>
        <v>CLOSED</v>
      </c>
      <c r="G25" s="43" t="str">
        <f>CPUE!J23</f>
        <v>CLOSED</v>
      </c>
      <c r="H25" s="41">
        <f>Effort!L23</f>
        <v>1772.1089240143101</v>
      </c>
      <c r="I25" s="42">
        <f>Harvest!L23</f>
        <v>25695.579398207501</v>
      </c>
      <c r="J25" s="43">
        <f>CPUE!L23</f>
        <v>14.500000000000002</v>
      </c>
      <c r="K25" s="41" t="s">
        <v>10</v>
      </c>
      <c r="L25" s="42" t="s">
        <v>10</v>
      </c>
      <c r="M25" s="43" t="s">
        <v>10</v>
      </c>
      <c r="N25" s="41">
        <f t="shared" si="2"/>
        <v>1772.1089240143101</v>
      </c>
      <c r="O25" s="42">
        <f t="shared" si="3"/>
        <v>25695.579398207501</v>
      </c>
    </row>
    <row r="26" spans="1:18" x14ac:dyDescent="0.25">
      <c r="A26" s="39">
        <v>45970</v>
      </c>
      <c r="B26" s="40" t="s">
        <v>20</v>
      </c>
      <c r="C26" s="4">
        <v>-0.9</v>
      </c>
      <c r="D26" s="13">
        <v>0.8881944444444444</v>
      </c>
      <c r="E26" s="41">
        <f>Effort!J24</f>
        <v>540.25067500304601</v>
      </c>
      <c r="F26" s="42">
        <f>Harvest!J24</f>
        <v>5778.3333065543202</v>
      </c>
      <c r="G26" s="43">
        <f>CPUE!J24</f>
        <v>10.695652173913047</v>
      </c>
      <c r="H26" s="41" t="str">
        <f>Effort!L24</f>
        <v>CLOSED</v>
      </c>
      <c r="I26" s="42" t="str">
        <f>Harvest!L24</f>
        <v>CLOSED</v>
      </c>
      <c r="J26" s="43" t="str">
        <f>CPUE!L24</f>
        <v>CLOSED</v>
      </c>
      <c r="K26" s="41" t="s">
        <v>10</v>
      </c>
      <c r="L26" s="42" t="s">
        <v>10</v>
      </c>
      <c r="M26" s="43" t="s">
        <v>10</v>
      </c>
      <c r="N26" s="41">
        <f t="shared" si="2"/>
        <v>540.25067500304601</v>
      </c>
      <c r="O26" s="42">
        <f t="shared" si="3"/>
        <v>5778.3333065543202</v>
      </c>
    </row>
    <row r="27" spans="1:18" x14ac:dyDescent="0.25">
      <c r="A27" s="110" t="s">
        <v>50</v>
      </c>
      <c r="B27" s="110"/>
      <c r="C27" s="110"/>
      <c r="D27" s="111"/>
      <c r="E27" s="47">
        <f>SUM(E20:E26)</f>
        <v>1618.5195857023323</v>
      </c>
      <c r="F27" s="48">
        <f>SUM(F20:F26)</f>
        <v>10830.052312174648</v>
      </c>
      <c r="G27" s="49">
        <f>+F27/E27</f>
        <v>6.691332256863058</v>
      </c>
      <c r="H27" s="47">
        <f>SUM(H20:H26)</f>
        <v>5173.3575946481596</v>
      </c>
      <c r="I27" s="48">
        <f>SUM(I20:I26)</f>
        <v>70233.982657357541</v>
      </c>
      <c r="J27" s="49">
        <f>+I27/H27</f>
        <v>13.576092773871773</v>
      </c>
      <c r="K27" s="47"/>
      <c r="L27" s="48"/>
      <c r="M27" s="79"/>
      <c r="N27" s="47">
        <f>SUM(N20:N26)</f>
        <v>6791.8771803504915</v>
      </c>
      <c r="O27" s="48">
        <f>SUM(O20:O26)</f>
        <v>81064.034969532193</v>
      </c>
      <c r="Q27" s="20">
        <f>SUM(E27,H27)</f>
        <v>6791.8771803504915</v>
      </c>
      <c r="R27" s="20">
        <f>SUM(F27,I27)</f>
        <v>81064.034969532193</v>
      </c>
    </row>
    <row r="28" spans="1:18" x14ac:dyDescent="0.25">
      <c r="A28" s="39">
        <v>45979</v>
      </c>
      <c r="B28" s="40" t="s">
        <v>60</v>
      </c>
      <c r="C28" s="4">
        <v>-0.02</v>
      </c>
      <c r="D28" s="13">
        <v>0.72083333333333333</v>
      </c>
      <c r="E28" s="41">
        <f>Effort!J26</f>
        <v>829.85819797143097</v>
      </c>
      <c r="F28" s="42">
        <f>Harvest!J26</f>
        <v>12349.0803269558</v>
      </c>
      <c r="G28" s="43">
        <f>CPUE!J26</f>
        <v>14.88095238095236</v>
      </c>
      <c r="H28" s="41" t="str">
        <f>Effort!L26</f>
        <v>CLOSED</v>
      </c>
      <c r="I28" s="42" t="str">
        <f>Harvest!L26</f>
        <v>CLOSED</v>
      </c>
      <c r="J28" s="43" t="str">
        <f>CPUE!L26</f>
        <v>CLOSED</v>
      </c>
      <c r="K28" s="41" t="s">
        <v>10</v>
      </c>
      <c r="L28" s="42" t="s">
        <v>10</v>
      </c>
      <c r="M28" s="43" t="s">
        <v>10</v>
      </c>
      <c r="N28" s="41">
        <f t="shared" ref="N28:N33" si="4">SUM(E28,H28)</f>
        <v>829.85819797143097</v>
      </c>
      <c r="O28" s="42">
        <f t="shared" ref="O28:O33" si="5">SUM(F28,I28)</f>
        <v>12349.0803269558</v>
      </c>
    </row>
    <row r="29" spans="1:18" x14ac:dyDescent="0.25">
      <c r="A29" s="39">
        <v>45980</v>
      </c>
      <c r="B29" s="40" t="s">
        <v>61</v>
      </c>
      <c r="C29" s="4">
        <v>-0.3</v>
      </c>
      <c r="D29" s="13">
        <v>0.74444444444444446</v>
      </c>
      <c r="E29" s="41" t="str">
        <f>Effort!J27</f>
        <v>CLOSED</v>
      </c>
      <c r="F29" s="42" t="str">
        <f>Harvest!J27</f>
        <v>CLOSED</v>
      </c>
      <c r="G29" s="43" t="str">
        <f>CPUE!J27</f>
        <v>CLOSED</v>
      </c>
      <c r="H29" s="41">
        <f>Effort!L27</f>
        <v>319.48882011639103</v>
      </c>
      <c r="I29" s="42">
        <f>Harvest!L27</f>
        <v>3194.8882011639098</v>
      </c>
      <c r="J29" s="43">
        <f>CPUE!L27</f>
        <v>9.9999999999999982</v>
      </c>
      <c r="K29" s="41" t="s">
        <v>10</v>
      </c>
      <c r="L29" s="42" t="s">
        <v>10</v>
      </c>
      <c r="M29" s="43" t="s">
        <v>10</v>
      </c>
      <c r="N29" s="41">
        <f t="shared" si="4"/>
        <v>319.48882011639103</v>
      </c>
      <c r="O29" s="42">
        <f t="shared" si="5"/>
        <v>3194.8882011639098</v>
      </c>
    </row>
    <row r="30" spans="1:18" x14ac:dyDescent="0.25">
      <c r="A30" s="39">
        <v>45981</v>
      </c>
      <c r="B30" s="40" t="s">
        <v>22</v>
      </c>
      <c r="C30" s="4">
        <v>-0.43</v>
      </c>
      <c r="D30" s="13">
        <v>0.76736111111111116</v>
      </c>
      <c r="E30" s="41" t="str">
        <f>Effort!J28</f>
        <v>CLOSED</v>
      </c>
      <c r="F30" s="42" t="str">
        <f>Harvest!J28</f>
        <v>CLOSED</v>
      </c>
      <c r="G30" s="43" t="str">
        <f>CPUE!J28</f>
        <v>CLOSED</v>
      </c>
      <c r="H30" s="41">
        <f>Effort!L28</f>
        <v>203.64964318787401</v>
      </c>
      <c r="I30" s="42">
        <f>Harvest!L28</f>
        <v>633.57666769560797</v>
      </c>
      <c r="J30" s="43">
        <f>CPUE!L28</f>
        <v>3.1111111111111107</v>
      </c>
      <c r="K30" s="41" t="s">
        <v>10</v>
      </c>
      <c r="L30" s="42" t="s">
        <v>10</v>
      </c>
      <c r="M30" s="43" t="s">
        <v>10</v>
      </c>
      <c r="N30" s="41">
        <f t="shared" si="4"/>
        <v>203.64964318787401</v>
      </c>
      <c r="O30" s="42">
        <f t="shared" si="5"/>
        <v>633.57666769560797</v>
      </c>
    </row>
    <row r="31" spans="1:18" x14ac:dyDescent="0.25">
      <c r="A31" s="39">
        <v>45982</v>
      </c>
      <c r="B31" s="40" t="s">
        <v>18</v>
      </c>
      <c r="C31" s="4">
        <v>-0.41</v>
      </c>
      <c r="D31" s="13">
        <v>0.79097222222222219</v>
      </c>
      <c r="E31" s="41">
        <f>Effort!J29</f>
        <v>583.49404544866297</v>
      </c>
      <c r="F31" s="42">
        <f>Harvest!J29</f>
        <v>6100.1650205996502</v>
      </c>
      <c r="G31" s="43">
        <f>CPUE!J29</f>
        <v>10.454545454545441</v>
      </c>
      <c r="H31" s="41" t="str">
        <f>Effort!L29</f>
        <v>CLOSED</v>
      </c>
      <c r="I31" s="42" t="str">
        <f>Harvest!L29</f>
        <v>CLOSED</v>
      </c>
      <c r="J31" s="43" t="str">
        <f>CPUE!L29</f>
        <v>CLOSED</v>
      </c>
      <c r="K31" s="41" t="s">
        <v>10</v>
      </c>
      <c r="L31" s="42" t="s">
        <v>10</v>
      </c>
      <c r="M31" s="43" t="s">
        <v>10</v>
      </c>
      <c r="N31" s="41">
        <f t="shared" si="4"/>
        <v>583.49404544866297</v>
      </c>
      <c r="O31" s="42">
        <f t="shared" si="5"/>
        <v>6100.1650205996502</v>
      </c>
    </row>
    <row r="32" spans="1:18" x14ac:dyDescent="0.25">
      <c r="A32" s="39">
        <v>45983</v>
      </c>
      <c r="B32" s="40" t="s">
        <v>19</v>
      </c>
      <c r="C32" s="4">
        <v>-0.28999999999999998</v>
      </c>
      <c r="D32" s="13">
        <v>0.81527777777777777</v>
      </c>
      <c r="E32" s="41">
        <f>Effort!J30</f>
        <v>1224.87175439627</v>
      </c>
      <c r="F32" s="42">
        <f>Harvest!J30</f>
        <v>8301.9085575747195</v>
      </c>
      <c r="G32" s="43">
        <f>CPUE!J30</f>
        <v>6.7777777777777777</v>
      </c>
      <c r="H32" s="41" t="str">
        <f>Effort!L30</f>
        <v>CLOSED</v>
      </c>
      <c r="I32" s="42" t="str">
        <f>Harvest!L30</f>
        <v>CLOSED</v>
      </c>
      <c r="J32" s="43" t="str">
        <f>CPUE!L30</f>
        <v>CLOSED</v>
      </c>
      <c r="K32" s="41" t="s">
        <v>10</v>
      </c>
      <c r="L32" s="42" t="s">
        <v>10</v>
      </c>
      <c r="M32" s="43" t="s">
        <v>10</v>
      </c>
      <c r="N32" s="41">
        <f t="shared" si="4"/>
        <v>1224.87175439627</v>
      </c>
      <c r="O32" s="42">
        <f t="shared" si="5"/>
        <v>8301.9085575747195</v>
      </c>
    </row>
    <row r="33" spans="1:18" x14ac:dyDescent="0.25">
      <c r="A33" s="39">
        <v>45984</v>
      </c>
      <c r="B33" s="40" t="s">
        <v>20</v>
      </c>
      <c r="C33" s="4">
        <v>-0.09</v>
      </c>
      <c r="D33" s="13">
        <v>0.84166666666666667</v>
      </c>
      <c r="E33" s="41" t="str">
        <f>Effort!J31</f>
        <v>CLOSED</v>
      </c>
      <c r="F33" s="42" t="str">
        <f>Harvest!J31</f>
        <v>CLOSED</v>
      </c>
      <c r="G33" s="43" t="str">
        <f>CPUE!J31</f>
        <v>CLOSED</v>
      </c>
      <c r="H33" s="41">
        <f>Effort!L31</f>
        <v>212.77373114432001</v>
      </c>
      <c r="I33" s="42">
        <f>Harvest!L31</f>
        <v>1237.95625393059</v>
      </c>
      <c r="J33" s="43">
        <f>CPUE!L31</f>
        <v>5.8181818181818228</v>
      </c>
      <c r="K33" s="41" t="s">
        <v>10</v>
      </c>
      <c r="L33" s="42" t="s">
        <v>10</v>
      </c>
      <c r="M33" s="43" t="s">
        <v>10</v>
      </c>
      <c r="N33" s="41">
        <f t="shared" si="4"/>
        <v>212.77373114432001</v>
      </c>
      <c r="O33" s="42">
        <f t="shared" si="5"/>
        <v>1237.95625393059</v>
      </c>
    </row>
    <row r="34" spans="1:18" x14ac:dyDescent="0.25">
      <c r="A34" s="110" t="s">
        <v>50</v>
      </c>
      <c r="B34" s="110"/>
      <c r="C34" s="110"/>
      <c r="D34" s="111"/>
      <c r="E34" s="47">
        <f>SUM(E28:E33)</f>
        <v>2638.2239978163643</v>
      </c>
      <c r="F34" s="48">
        <f>SUM(F28:F33)</f>
        <v>26751.15390513017</v>
      </c>
      <c r="G34" s="49">
        <f>+F34/E34</f>
        <v>10.139834194242745</v>
      </c>
      <c r="H34" s="47">
        <f>SUM(H28:H33)</f>
        <v>735.91219444858507</v>
      </c>
      <c r="I34" s="48">
        <f>SUM(I28:I33)</f>
        <v>5066.4211227901078</v>
      </c>
      <c r="J34" s="49">
        <f>+I34/H34</f>
        <v>6.8845456849459454</v>
      </c>
      <c r="K34" s="47"/>
      <c r="L34" s="48"/>
      <c r="M34" s="79"/>
      <c r="N34" s="47">
        <f>SUM(N28:N33)</f>
        <v>3374.1361922649494</v>
      </c>
      <c r="O34" s="48">
        <f>SUM(O28:O33)</f>
        <v>31817.57502792028</v>
      </c>
      <c r="Q34" s="20">
        <f>SUM(E34,H34)</f>
        <v>3374.1361922649494</v>
      </c>
      <c r="R34" s="20">
        <f>SUM(F34,I34)</f>
        <v>31817.575027920277</v>
      </c>
    </row>
    <row r="35" spans="1:18" x14ac:dyDescent="0.25">
      <c r="A35" s="39">
        <v>45993</v>
      </c>
      <c r="B35" s="40" t="s">
        <v>60</v>
      </c>
      <c r="C35" s="4">
        <v>-0.59</v>
      </c>
      <c r="D35" s="13">
        <v>0.6743055555555556</v>
      </c>
      <c r="E35" s="41">
        <f>Effort!J33</f>
        <v>1269.4787751788999</v>
      </c>
      <c r="F35" s="42">
        <f>Harvest!J33</f>
        <v>18749.224987257599</v>
      </c>
      <c r="G35" s="43">
        <f>CPUE!J33</f>
        <v>14.76923076923077</v>
      </c>
      <c r="H35" s="41" t="str">
        <f>Effort!L33</f>
        <v>CLOSED</v>
      </c>
      <c r="I35" s="42" t="str">
        <f>Harvest!L33</f>
        <v>CLOSED</v>
      </c>
      <c r="J35" s="43" t="str">
        <f>CPUE!L33</f>
        <v>CLOSED</v>
      </c>
      <c r="K35" s="41" t="s">
        <v>10</v>
      </c>
      <c r="L35" s="42" t="s">
        <v>10</v>
      </c>
      <c r="M35" s="43" t="s">
        <v>10</v>
      </c>
      <c r="N35" s="41">
        <f t="shared" ref="N35:N41" si="6">SUM(E35,H35)</f>
        <v>1269.4787751788999</v>
      </c>
      <c r="O35" s="42">
        <f t="shared" ref="O35:O41" si="7">SUM(F35,I35)</f>
        <v>18749.224987257599</v>
      </c>
    </row>
    <row r="36" spans="1:18" x14ac:dyDescent="0.25">
      <c r="A36" s="39">
        <v>45994</v>
      </c>
      <c r="B36" s="40" t="s">
        <v>61</v>
      </c>
      <c r="C36" s="4">
        <v>-1.4</v>
      </c>
      <c r="D36" s="13">
        <v>0.70763888888888893</v>
      </c>
      <c r="E36" s="41" t="str">
        <f>Effort!J34</f>
        <v>CLOSED</v>
      </c>
      <c r="F36" s="42" t="str">
        <f>Harvest!J34</f>
        <v>CLOSED</v>
      </c>
      <c r="G36" s="43" t="str">
        <f>CPUE!J34</f>
        <v>CLOSED</v>
      </c>
      <c r="H36" s="41">
        <f>Effort!L34</f>
        <v>1233.8475667855</v>
      </c>
      <c r="I36" s="42">
        <f>Harvest!L34</f>
        <v>17248.160777355599</v>
      </c>
      <c r="J36" s="43">
        <f>CPUE!L34</f>
        <v>13.979166666666638</v>
      </c>
      <c r="K36" s="41" t="s">
        <v>10</v>
      </c>
      <c r="L36" s="42" t="s">
        <v>10</v>
      </c>
      <c r="M36" s="43" t="s">
        <v>10</v>
      </c>
      <c r="N36" s="41">
        <f t="shared" si="6"/>
        <v>1233.8475667855</v>
      </c>
      <c r="O36" s="42">
        <f t="shared" si="7"/>
        <v>17248.160777355599</v>
      </c>
    </row>
    <row r="37" spans="1:18" x14ac:dyDescent="0.25">
      <c r="A37" s="39">
        <v>45995</v>
      </c>
      <c r="B37" s="40" t="s">
        <v>22</v>
      </c>
      <c r="C37" s="4">
        <v>-1.9</v>
      </c>
      <c r="D37" s="13">
        <v>0.74097222222222225</v>
      </c>
      <c r="E37" s="41" t="str">
        <f>Effort!J35</f>
        <v>CLOSED</v>
      </c>
      <c r="F37" s="42" t="str">
        <f>Harvest!J35</f>
        <v>CLOSED</v>
      </c>
      <c r="G37" s="43" t="str">
        <f>CPUE!J35</f>
        <v>CLOSED</v>
      </c>
      <c r="H37" s="41">
        <f>Effort!L35</f>
        <v>513.52534511916804</v>
      </c>
      <c r="I37" s="42">
        <f>Harvest!L35</f>
        <v>6162.3041414300196</v>
      </c>
      <c r="J37" s="43">
        <f>CPUE!L35</f>
        <v>12.000000000000005</v>
      </c>
      <c r="K37" s="41" t="s">
        <v>10</v>
      </c>
      <c r="L37" s="42" t="s">
        <v>10</v>
      </c>
      <c r="M37" s="43" t="s">
        <v>10</v>
      </c>
      <c r="N37" s="41">
        <f t="shared" si="6"/>
        <v>513.52534511916804</v>
      </c>
      <c r="O37" s="42">
        <f t="shared" si="7"/>
        <v>6162.3041414300196</v>
      </c>
    </row>
    <row r="38" spans="1:18" x14ac:dyDescent="0.25">
      <c r="A38" s="39">
        <v>45996</v>
      </c>
      <c r="B38" s="40" t="s">
        <v>18</v>
      </c>
      <c r="C38" s="4">
        <v>-2.0499999999999998</v>
      </c>
      <c r="D38" s="13">
        <v>0.77361111111111114</v>
      </c>
      <c r="E38" s="41">
        <f>Effort!J36</f>
        <v>1069.8528830348801</v>
      </c>
      <c r="F38" s="42">
        <f>Harvest!J36</f>
        <v>13765.4404283821</v>
      </c>
      <c r="G38" s="43">
        <f>CPUE!J36</f>
        <v>12.866666666666646</v>
      </c>
      <c r="H38" s="41" t="str">
        <f>Effort!L36</f>
        <v>CLOSED</v>
      </c>
      <c r="I38" s="42" t="str">
        <f>Harvest!L36</f>
        <v>CLOSED</v>
      </c>
      <c r="J38" s="43" t="str">
        <f>CPUE!L36</f>
        <v>CLOSED</v>
      </c>
      <c r="K38" s="41" t="s">
        <v>10</v>
      </c>
      <c r="L38" s="42" t="s">
        <v>10</v>
      </c>
      <c r="M38" s="43" t="s">
        <v>10</v>
      </c>
      <c r="N38" s="41">
        <f t="shared" si="6"/>
        <v>1069.8528830348801</v>
      </c>
      <c r="O38" s="42">
        <f t="shared" si="7"/>
        <v>13765.4404283821</v>
      </c>
    </row>
    <row r="39" spans="1:18" x14ac:dyDescent="0.25">
      <c r="A39" s="39">
        <v>45997</v>
      </c>
      <c r="B39" s="40" t="s">
        <v>19</v>
      </c>
      <c r="C39" s="4">
        <v>-1.86</v>
      </c>
      <c r="D39" s="13">
        <v>0.80694444444444446</v>
      </c>
      <c r="E39" s="41">
        <f>Effort!J37</f>
        <v>1497.3334674309301</v>
      </c>
      <c r="F39" s="42">
        <f>Harvest!J37</f>
        <v>18799.853535521699</v>
      </c>
      <c r="G39" s="43">
        <f>CPUE!J37</f>
        <v>12.55555555555557</v>
      </c>
      <c r="H39" s="41" t="str">
        <f>Effort!L37</f>
        <v>CLOSED</v>
      </c>
      <c r="I39" s="42" t="str">
        <f>Harvest!L37</f>
        <v>CLOSED</v>
      </c>
      <c r="J39" s="43" t="str">
        <f>CPUE!L37</f>
        <v>CLOSED</v>
      </c>
      <c r="K39" s="41" t="s">
        <v>10</v>
      </c>
      <c r="L39" s="42" t="s">
        <v>10</v>
      </c>
      <c r="M39" s="43" t="s">
        <v>10</v>
      </c>
      <c r="N39" s="41">
        <f t="shared" si="6"/>
        <v>1497.3334674309301</v>
      </c>
      <c r="O39" s="42">
        <f t="shared" si="7"/>
        <v>18799.853535521699</v>
      </c>
    </row>
    <row r="40" spans="1:18" x14ac:dyDescent="0.25">
      <c r="A40" s="39">
        <v>45998</v>
      </c>
      <c r="B40" s="40" t="s">
        <v>20</v>
      </c>
      <c r="C40" s="4">
        <v>-1.41</v>
      </c>
      <c r="D40" s="13">
        <v>0.84027777777777779</v>
      </c>
      <c r="E40" s="41" t="str">
        <f>Effort!J38</f>
        <v>CLOSED</v>
      </c>
      <c r="F40" s="42" t="str">
        <f>Harvest!J38</f>
        <v>CLOSED</v>
      </c>
      <c r="G40" s="43" t="str">
        <f>CPUE!J38</f>
        <v>CLOSED</v>
      </c>
      <c r="H40" s="41">
        <f>Effort!L38</f>
        <v>216.45022627988399</v>
      </c>
      <c r="I40" s="42">
        <f>Harvest!L38</f>
        <v>2056.2771496588998</v>
      </c>
      <c r="J40" s="43">
        <f>CPUE!L38</f>
        <v>9.5000000000000089</v>
      </c>
      <c r="K40" s="41" t="s">
        <v>10</v>
      </c>
      <c r="L40" s="42" t="s">
        <v>10</v>
      </c>
      <c r="M40" s="43" t="s">
        <v>10</v>
      </c>
      <c r="N40" s="41">
        <f t="shared" si="6"/>
        <v>216.45022627988399</v>
      </c>
      <c r="O40" s="42">
        <f t="shared" si="7"/>
        <v>2056.2771496588998</v>
      </c>
    </row>
    <row r="41" spans="1:18" x14ac:dyDescent="0.25">
      <c r="A41" s="39">
        <v>45999</v>
      </c>
      <c r="B41" s="40" t="s">
        <v>21</v>
      </c>
      <c r="C41" s="4">
        <v>-0.78</v>
      </c>
      <c r="D41" s="13">
        <v>0.87430555555555556</v>
      </c>
      <c r="E41" s="41" t="str">
        <f>Effort!J39</f>
        <v>CLOSED</v>
      </c>
      <c r="F41" s="42" t="str">
        <f>Harvest!J39</f>
        <v>CLOSED</v>
      </c>
      <c r="G41" s="43" t="str">
        <f>CPUE!J39</f>
        <v>CLOSED</v>
      </c>
      <c r="H41" s="41">
        <f>Effort!L39</f>
        <v>11.4285719475779</v>
      </c>
      <c r="I41" s="42">
        <f>Harvest!L39</f>
        <v>57.142859737889403</v>
      </c>
      <c r="J41" s="43">
        <f>CPUE!L39</f>
        <v>4.9999999999999911</v>
      </c>
      <c r="K41" s="41" t="s">
        <v>10</v>
      </c>
      <c r="L41" s="42" t="s">
        <v>10</v>
      </c>
      <c r="M41" s="43" t="s">
        <v>10</v>
      </c>
      <c r="N41" s="41">
        <f t="shared" si="6"/>
        <v>11.4285719475779</v>
      </c>
      <c r="O41" s="42">
        <f t="shared" si="7"/>
        <v>57.142859737889403</v>
      </c>
    </row>
    <row r="42" spans="1:18" x14ac:dyDescent="0.25">
      <c r="A42" s="110" t="s">
        <v>50</v>
      </c>
      <c r="B42" s="110"/>
      <c r="C42" s="110"/>
      <c r="D42" s="111"/>
      <c r="E42" s="47">
        <f>SUM(E35:E41)</f>
        <v>3836.6651256447103</v>
      </c>
      <c r="F42" s="48">
        <f>SUM(F35:F41)</f>
        <v>51314.518951161401</v>
      </c>
      <c r="G42" s="49">
        <f>+F42/E42</f>
        <v>13.374771388873443</v>
      </c>
      <c r="H42" s="47">
        <f>SUM(H35:H41)</f>
        <v>1975.2517101321298</v>
      </c>
      <c r="I42" s="48">
        <f>SUM(I35:I41)</f>
        <v>25523.884928182411</v>
      </c>
      <c r="J42" s="49">
        <f>+I42/H42</f>
        <v>12.921839174853847</v>
      </c>
      <c r="K42" s="47"/>
      <c r="L42" s="48"/>
      <c r="M42" s="79"/>
      <c r="N42" s="47">
        <f>SUM(N35:N41)</f>
        <v>5811.9168357768403</v>
      </c>
      <c r="O42" s="48">
        <f>SUM(O35:O41)</f>
        <v>76838.403879343794</v>
      </c>
      <c r="Q42" s="20">
        <f>SUM(E42,H42)</f>
        <v>5811.9168357768403</v>
      </c>
      <c r="R42" s="20">
        <f>SUM(F42,I42)</f>
        <v>76838.403879343809</v>
      </c>
    </row>
    <row r="43" spans="1:18" x14ac:dyDescent="0.25">
      <c r="A43" s="39">
        <v>46009</v>
      </c>
      <c r="B43" s="40" t="s">
        <v>22</v>
      </c>
      <c r="C43" s="4">
        <v>-0.2</v>
      </c>
      <c r="D43" s="13">
        <v>0.7319444444444444</v>
      </c>
      <c r="E43" s="41">
        <f>Effort!J41</f>
        <v>147.32965474968901</v>
      </c>
      <c r="F43" s="42">
        <f>Harvest!J41</f>
        <v>654.79846555417305</v>
      </c>
      <c r="G43" s="43">
        <f>CPUE!J41</f>
        <v>4.444444444444442</v>
      </c>
      <c r="H43" s="41" t="str">
        <f>Effort!L41</f>
        <v>CLOSED</v>
      </c>
      <c r="I43" s="42" t="str">
        <f>Harvest!L41</f>
        <v>CLOSED</v>
      </c>
      <c r="J43" s="43" t="str">
        <f>CPUE!L41</f>
        <v>CLOSED</v>
      </c>
      <c r="K43" s="41" t="s">
        <v>10</v>
      </c>
      <c r="L43" s="42" t="s">
        <v>10</v>
      </c>
      <c r="M43" s="43" t="s">
        <v>10</v>
      </c>
      <c r="N43" s="41">
        <f t="shared" ref="N43:N48" si="8">SUM(E43,H43)</f>
        <v>147.32965474968901</v>
      </c>
      <c r="O43" s="42">
        <f t="shared" ref="O43:O48" si="9">SUM(F43,I43)</f>
        <v>654.79846555417305</v>
      </c>
    </row>
    <row r="44" spans="1:18" x14ac:dyDescent="0.25">
      <c r="A44" s="39">
        <v>46010</v>
      </c>
      <c r="B44" s="40" t="s">
        <v>18</v>
      </c>
      <c r="C44" s="4">
        <v>-0.38</v>
      </c>
      <c r="D44" s="13">
        <v>0.75624999999999998</v>
      </c>
      <c r="E44" s="41" t="str">
        <f>Effort!J42</f>
        <v>CLOSED</v>
      </c>
      <c r="F44" s="42" t="str">
        <f>Harvest!J42</f>
        <v>CLOSED</v>
      </c>
      <c r="G44" s="43" t="str">
        <f>CPUE!J42</f>
        <v>CLOSED</v>
      </c>
      <c r="H44" s="41">
        <f>Effort!L42</f>
        <v>155.556947609091</v>
      </c>
      <c r="I44" s="42">
        <f>Harvest!L42</f>
        <v>591.11640091454603</v>
      </c>
      <c r="J44" s="43">
        <f>CPUE!L42</f>
        <v>3.8000000000000016</v>
      </c>
      <c r="K44" s="41" t="s">
        <v>10</v>
      </c>
      <c r="L44" s="42" t="s">
        <v>10</v>
      </c>
      <c r="M44" s="43" t="s">
        <v>10</v>
      </c>
      <c r="N44" s="41">
        <f t="shared" si="8"/>
        <v>155.556947609091</v>
      </c>
      <c r="O44" s="42">
        <f t="shared" si="9"/>
        <v>591.11640091454603</v>
      </c>
    </row>
    <row r="45" spans="1:18" x14ac:dyDescent="0.25">
      <c r="A45" s="39">
        <v>46011</v>
      </c>
      <c r="B45" s="40" t="s">
        <v>19</v>
      </c>
      <c r="C45" s="4">
        <v>-0.45</v>
      </c>
      <c r="D45" s="13">
        <v>0.78055555555555556</v>
      </c>
      <c r="E45" s="41" t="str">
        <f>Effort!J43</f>
        <v>CLOSED</v>
      </c>
      <c r="F45" s="42" t="str">
        <f>Harvest!J43</f>
        <v>CLOSED</v>
      </c>
      <c r="G45" s="43" t="str">
        <f>CPUE!J43</f>
        <v>CLOSED</v>
      </c>
      <c r="H45" s="41">
        <f>Effort!L43</f>
        <v>251.40463557386499</v>
      </c>
      <c r="I45" s="42">
        <f>Harvest!L43</f>
        <v>1177.63224031968</v>
      </c>
      <c r="J45" s="43">
        <f>CPUE!L43</f>
        <v>4.6842105263157761</v>
      </c>
      <c r="K45" s="41" t="s">
        <v>10</v>
      </c>
      <c r="L45" s="42" t="s">
        <v>10</v>
      </c>
      <c r="M45" s="43" t="s">
        <v>10</v>
      </c>
      <c r="N45" s="41">
        <f t="shared" si="8"/>
        <v>251.40463557386499</v>
      </c>
      <c r="O45" s="42">
        <f t="shared" si="9"/>
        <v>1177.63224031968</v>
      </c>
    </row>
    <row r="46" spans="1:18" x14ac:dyDescent="0.25">
      <c r="A46" s="39">
        <v>46012</v>
      </c>
      <c r="B46" s="40" t="s">
        <v>20</v>
      </c>
      <c r="C46" s="4">
        <v>-0.44</v>
      </c>
      <c r="D46" s="13">
        <v>0.80486111111111114</v>
      </c>
      <c r="E46" s="41">
        <f>Effort!J44</f>
        <v>196.56470008030499</v>
      </c>
      <c r="F46" s="42">
        <f>Harvest!J44</f>
        <v>2407.9175759837399</v>
      </c>
      <c r="G46" s="43">
        <f>CPUE!J44</f>
        <v>12.25000000000002</v>
      </c>
      <c r="H46" s="41" t="str">
        <f>Effort!L44</f>
        <v>CLOSED</v>
      </c>
      <c r="I46" s="42" t="str">
        <f>Harvest!L44</f>
        <v>CLOSED</v>
      </c>
      <c r="J46" s="43" t="str">
        <f>CPUE!L44</f>
        <v>CLOSED</v>
      </c>
      <c r="K46" s="41" t="s">
        <v>10</v>
      </c>
      <c r="L46" s="42" t="s">
        <v>10</v>
      </c>
      <c r="M46" s="43" t="s">
        <v>10</v>
      </c>
      <c r="N46" s="41">
        <f t="shared" si="8"/>
        <v>196.56470008030499</v>
      </c>
      <c r="O46" s="42">
        <f t="shared" si="9"/>
        <v>2407.9175759837399</v>
      </c>
    </row>
    <row r="47" spans="1:18" x14ac:dyDescent="0.25">
      <c r="A47" s="39">
        <v>46013</v>
      </c>
      <c r="B47" s="40" t="s">
        <v>21</v>
      </c>
      <c r="C47" s="4">
        <v>-0.33</v>
      </c>
      <c r="D47" s="13">
        <v>0.82916666666666672</v>
      </c>
      <c r="E47" s="41">
        <f>Effort!J45</f>
        <v>85.303568609740196</v>
      </c>
      <c r="F47" s="42">
        <f>Harvest!J45</f>
        <v>497.604150223484</v>
      </c>
      <c r="G47" s="43">
        <f>CPUE!J45</f>
        <v>5.8333333333333277</v>
      </c>
      <c r="H47" s="41" t="str">
        <f>Effort!L45</f>
        <v>CLOSED</v>
      </c>
      <c r="I47" s="42" t="str">
        <f>Harvest!L45</f>
        <v>CLOSED</v>
      </c>
      <c r="J47" s="43" t="str">
        <f>CPUE!L45</f>
        <v>CLOSED</v>
      </c>
      <c r="K47" s="41" t="s">
        <v>10</v>
      </c>
      <c r="L47" s="42" t="s">
        <v>10</v>
      </c>
      <c r="M47" s="43" t="s">
        <v>10</v>
      </c>
      <c r="N47" s="41">
        <f t="shared" si="8"/>
        <v>85.303568609740196</v>
      </c>
      <c r="O47" s="42">
        <f t="shared" si="9"/>
        <v>497.604150223484</v>
      </c>
    </row>
    <row r="48" spans="1:18" x14ac:dyDescent="0.25">
      <c r="A48" s="39">
        <v>46014</v>
      </c>
      <c r="B48" s="40" t="s">
        <v>60</v>
      </c>
      <c r="C48" s="4">
        <v>-0.11</v>
      </c>
      <c r="D48" s="13">
        <v>0.85486111111111107</v>
      </c>
      <c r="E48" s="41" t="str">
        <f>Effort!J46</f>
        <v>CLOSED</v>
      </c>
      <c r="F48" s="42" t="str">
        <f>Harvest!J46</f>
        <v>CLOSED</v>
      </c>
      <c r="G48" s="43" t="str">
        <f>CPUE!J46</f>
        <v>CLOSED</v>
      </c>
      <c r="H48" s="41">
        <f>Effort!L46</f>
        <v>59.382419462354797</v>
      </c>
      <c r="I48" s="42">
        <f>Harvest!L46</f>
        <v>415.67693623648398</v>
      </c>
      <c r="J48" s="43">
        <f>CPUE!L46</f>
        <v>7.0000000000000071</v>
      </c>
      <c r="K48" s="41" t="s">
        <v>10</v>
      </c>
      <c r="L48" s="42" t="s">
        <v>10</v>
      </c>
      <c r="M48" s="43" t="s">
        <v>10</v>
      </c>
      <c r="N48" s="41">
        <f t="shared" si="8"/>
        <v>59.382419462354797</v>
      </c>
      <c r="O48" s="42">
        <f t="shared" si="9"/>
        <v>415.67693623648398</v>
      </c>
    </row>
    <row r="49" spans="1:18" x14ac:dyDescent="0.25">
      <c r="A49" s="110" t="s">
        <v>50</v>
      </c>
      <c r="B49" s="110"/>
      <c r="C49" s="110"/>
      <c r="D49" s="111"/>
      <c r="E49" s="47">
        <f>SUM(E43:E48)</f>
        <v>429.19792343973415</v>
      </c>
      <c r="F49" s="48">
        <f>SUM(F43:F48)</f>
        <v>3560.3201917613969</v>
      </c>
      <c r="G49" s="49">
        <f>+F49/E49</f>
        <v>8.2952875522505174</v>
      </c>
      <c r="H49" s="47">
        <f>SUM(H43:H48)</f>
        <v>466.34400264531081</v>
      </c>
      <c r="I49" s="48">
        <f>SUM(I43:I48)</f>
        <v>2184.4255774707099</v>
      </c>
      <c r="J49" s="49">
        <f>+I49/H49</f>
        <v>4.6841506807843043</v>
      </c>
      <c r="K49" s="47"/>
      <c r="L49" s="48"/>
      <c r="M49" s="79"/>
      <c r="N49" s="47">
        <f>SUM(N43:N48)</f>
        <v>895.54192608504502</v>
      </c>
      <c r="O49" s="48">
        <f>SUM(O43:O48)</f>
        <v>5744.7457692321068</v>
      </c>
      <c r="Q49" s="20">
        <f>SUM(E49,H49)</f>
        <v>895.54192608504491</v>
      </c>
      <c r="R49" s="20">
        <f>SUM(F49,I49)</f>
        <v>5744.7457692321068</v>
      </c>
    </row>
    <row r="50" spans="1:18" x14ac:dyDescent="0.25">
      <c r="A50" s="39">
        <v>46022</v>
      </c>
      <c r="B50" s="40" t="s">
        <v>61</v>
      </c>
      <c r="C50" s="4">
        <v>-0.62</v>
      </c>
      <c r="D50" s="13">
        <v>0.66319444444444442</v>
      </c>
      <c r="E50" s="41">
        <f>Effort!J48</f>
        <v>3564.2962962963002</v>
      </c>
      <c r="F50" s="42">
        <f>Harvest!J48</f>
        <v>51573.185185185197</v>
      </c>
      <c r="G50" s="43">
        <f>CPUE!J48</f>
        <v>14.469387755102028</v>
      </c>
      <c r="H50" s="41" t="str">
        <f>Effort!L48</f>
        <v>CLOSED</v>
      </c>
      <c r="I50" s="42" t="str">
        <f>Harvest!L48</f>
        <v>CLOSED</v>
      </c>
      <c r="J50" s="43" t="str">
        <f>CPUE!L48</f>
        <v>CLOSED</v>
      </c>
      <c r="K50" s="41" t="s">
        <v>10</v>
      </c>
      <c r="L50" s="42" t="s">
        <v>10</v>
      </c>
      <c r="M50" s="43" t="s">
        <v>10</v>
      </c>
      <c r="N50" s="41">
        <f t="shared" ref="N50:N56" si="10">SUM(E50,H50)</f>
        <v>3564.2962962963002</v>
      </c>
      <c r="O50" s="42">
        <f t="shared" ref="O50:O56" si="11">SUM(F50,I50)</f>
        <v>51573.185185185197</v>
      </c>
    </row>
    <row r="51" spans="1:18" x14ac:dyDescent="0.25">
      <c r="A51" s="39">
        <v>46023</v>
      </c>
      <c r="B51" s="40" t="s">
        <v>22</v>
      </c>
      <c r="C51" s="4">
        <v>-1.24</v>
      </c>
      <c r="D51" s="13">
        <v>0.69930555555555551</v>
      </c>
      <c r="E51" s="41">
        <f>Effort!J49</f>
        <v>5743.1493670886102</v>
      </c>
      <c r="F51" s="42">
        <f>Harvest!J49</f>
        <v>61932.881012658203</v>
      </c>
      <c r="G51" s="43">
        <f>CPUE!J49</f>
        <v>10.783783783783775</v>
      </c>
      <c r="H51" s="41" t="str">
        <f>Effort!L49</f>
        <v>CLOSED</v>
      </c>
      <c r="I51" s="42" t="str">
        <f>Harvest!L49</f>
        <v>CLOSED</v>
      </c>
      <c r="J51" s="43" t="str">
        <f>CPUE!L49</f>
        <v>CLOSED</v>
      </c>
      <c r="K51" s="41" t="s">
        <v>10</v>
      </c>
      <c r="L51" s="42" t="s">
        <v>10</v>
      </c>
      <c r="M51" s="43" t="s">
        <v>10</v>
      </c>
      <c r="N51" s="41">
        <f t="shared" si="10"/>
        <v>5743.1493670886102</v>
      </c>
      <c r="O51" s="42">
        <f t="shared" si="11"/>
        <v>61932.881012658203</v>
      </c>
    </row>
    <row r="52" spans="1:18" x14ac:dyDescent="0.25">
      <c r="A52" s="39">
        <v>46024</v>
      </c>
      <c r="B52" s="40" t="s">
        <v>18</v>
      </c>
      <c r="C52" s="4">
        <v>-1.61</v>
      </c>
      <c r="D52" s="13">
        <v>0.73402777777777772</v>
      </c>
      <c r="E52" s="41" t="str">
        <f>Effort!J50</f>
        <v>CLOSED</v>
      </c>
      <c r="F52" s="42" t="str">
        <f>Harvest!J50</f>
        <v>CLOSED</v>
      </c>
      <c r="G52" s="43" t="str">
        <f>CPUE!J50</f>
        <v>CLOSED</v>
      </c>
      <c r="H52" s="41">
        <f>Effort!L50</f>
        <v>2048.82445925921</v>
      </c>
      <c r="I52" s="42">
        <f>Harvest!L50</f>
        <v>12628.819617728899</v>
      </c>
      <c r="J52" s="43">
        <f>CPUE!L50</f>
        <v>6.163934426229507</v>
      </c>
      <c r="K52" s="41" t="s">
        <v>10</v>
      </c>
      <c r="L52" s="42" t="s">
        <v>10</v>
      </c>
      <c r="M52" s="43" t="s">
        <v>10</v>
      </c>
      <c r="N52" s="41">
        <f t="shared" si="10"/>
        <v>2048.82445925921</v>
      </c>
      <c r="O52" s="42">
        <f t="shared" si="11"/>
        <v>12628.819617728899</v>
      </c>
    </row>
    <row r="53" spans="1:18" x14ac:dyDescent="0.25">
      <c r="A53" s="39">
        <v>46025</v>
      </c>
      <c r="B53" s="40" t="s">
        <v>19</v>
      </c>
      <c r="C53" s="4">
        <v>-1.71</v>
      </c>
      <c r="D53" s="13">
        <v>0.76597222222222228</v>
      </c>
      <c r="E53" s="41" t="str">
        <f>Effort!J51</f>
        <v>CLOSED</v>
      </c>
      <c r="F53" s="42" t="str">
        <f>Harvest!J51</f>
        <v>CLOSED</v>
      </c>
      <c r="G53" s="43" t="str">
        <f>CPUE!J51</f>
        <v>CLOSED</v>
      </c>
      <c r="H53" s="41">
        <f>Effort!L51</f>
        <v>1060.1581932859799</v>
      </c>
      <c r="I53" s="42">
        <f>Harvest!L51</f>
        <v>1827.8589539413399</v>
      </c>
      <c r="J53" s="43">
        <f>CPUE!L51</f>
        <v>1.7241379310344782</v>
      </c>
      <c r="K53" s="41" t="s">
        <v>10</v>
      </c>
      <c r="L53" s="42" t="s">
        <v>10</v>
      </c>
      <c r="M53" s="43" t="s">
        <v>10</v>
      </c>
      <c r="N53" s="41">
        <f t="shared" si="10"/>
        <v>1060.1581932859799</v>
      </c>
      <c r="O53" s="42">
        <f t="shared" si="11"/>
        <v>1827.8589539413399</v>
      </c>
    </row>
    <row r="54" spans="1:18" x14ac:dyDescent="0.25">
      <c r="A54" s="39">
        <v>46026</v>
      </c>
      <c r="B54" s="40" t="s">
        <v>20</v>
      </c>
      <c r="C54" s="4">
        <v>-1.53</v>
      </c>
      <c r="D54" s="13">
        <v>0.79652777777777772</v>
      </c>
      <c r="E54" s="41">
        <f>Effort!J52</f>
        <v>365.131559104144</v>
      </c>
      <c r="F54" s="42">
        <f>Harvest!J52</f>
        <v>4510.44867128648</v>
      </c>
      <c r="G54" s="43">
        <f>CPUE!J52</f>
        <v>12.352941176470575</v>
      </c>
      <c r="H54" s="41" t="str">
        <f>Effort!L52</f>
        <v>CLOSED</v>
      </c>
      <c r="I54" s="42" t="str">
        <f>Harvest!L52</f>
        <v>CLOSED</v>
      </c>
      <c r="J54" s="43" t="str">
        <f>CPUE!L52</f>
        <v>CLOSED</v>
      </c>
      <c r="K54" s="41" t="s">
        <v>10</v>
      </c>
      <c r="L54" s="42" t="s">
        <v>10</v>
      </c>
      <c r="M54" s="43" t="s">
        <v>10</v>
      </c>
      <c r="N54" s="41">
        <f t="shared" si="10"/>
        <v>365.131559104144</v>
      </c>
      <c r="O54" s="42">
        <f t="shared" si="11"/>
        <v>4510.44867128648</v>
      </c>
    </row>
    <row r="55" spans="1:18" x14ac:dyDescent="0.25">
      <c r="A55" s="39">
        <v>46027</v>
      </c>
      <c r="B55" s="40" t="s">
        <v>21</v>
      </c>
      <c r="C55" s="4">
        <v>-1.1100000000000001</v>
      </c>
      <c r="D55" s="13">
        <v>0.82638888888888884</v>
      </c>
      <c r="E55" s="41">
        <f>Effort!J53</f>
        <v>245.098025895733</v>
      </c>
      <c r="F55" s="42">
        <f>Harvest!J53</f>
        <v>3308.8233495924001</v>
      </c>
      <c r="G55" s="43">
        <f>CPUE!J53</f>
        <v>13.500000000000018</v>
      </c>
      <c r="H55" s="41" t="str">
        <f>Effort!L53</f>
        <v>CLOSED</v>
      </c>
      <c r="I55" s="42" t="str">
        <f>Harvest!L53</f>
        <v>CLOSED</v>
      </c>
      <c r="J55" s="43" t="str">
        <f>CPUE!L53</f>
        <v>CLOSED</v>
      </c>
      <c r="K55" s="41" t="s">
        <v>10</v>
      </c>
      <c r="L55" s="42" t="s">
        <v>10</v>
      </c>
      <c r="M55" s="43" t="s">
        <v>10</v>
      </c>
      <c r="N55" s="41">
        <f t="shared" si="10"/>
        <v>245.098025895733</v>
      </c>
      <c r="O55" s="42">
        <f t="shared" si="11"/>
        <v>3308.8233495924001</v>
      </c>
    </row>
    <row r="56" spans="1:18" x14ac:dyDescent="0.25">
      <c r="A56" s="39">
        <v>46028</v>
      </c>
      <c r="B56" s="40" t="s">
        <v>60</v>
      </c>
      <c r="C56" s="4">
        <v>-0.49</v>
      </c>
      <c r="D56" s="13">
        <v>0.85555555555555551</v>
      </c>
      <c r="E56" s="41" t="str">
        <f>Effort!J54</f>
        <v>CLOSED</v>
      </c>
      <c r="F56" s="42" t="str">
        <f>Harvest!J54</f>
        <v>CLOSED</v>
      </c>
      <c r="G56" s="43" t="str">
        <f>CPUE!J54</f>
        <v>CLOSED</v>
      </c>
      <c r="H56" s="41">
        <f>Effort!L54</f>
        <v>29.2104064106415</v>
      </c>
      <c r="I56" s="42">
        <f>Harvest!L54</f>
        <v>146.05203205320751</v>
      </c>
      <c r="J56" s="43">
        <f>CPUE!L54</f>
        <v>5</v>
      </c>
      <c r="K56" s="41" t="s">
        <v>10</v>
      </c>
      <c r="L56" s="42" t="s">
        <v>10</v>
      </c>
      <c r="M56" s="43" t="s">
        <v>10</v>
      </c>
      <c r="N56" s="41">
        <f t="shared" si="10"/>
        <v>29.2104064106415</v>
      </c>
      <c r="O56" s="42">
        <f t="shared" si="11"/>
        <v>146.05203205320751</v>
      </c>
    </row>
    <row r="57" spans="1:18" x14ac:dyDescent="0.25">
      <c r="A57" s="110" t="s">
        <v>50</v>
      </c>
      <c r="B57" s="110"/>
      <c r="C57" s="110"/>
      <c r="D57" s="111"/>
      <c r="E57" s="47">
        <f>SUM(E50:E56)</f>
        <v>9917.6752483847886</v>
      </c>
      <c r="F57" s="48">
        <f>SUM(F50:F56)</f>
        <v>121325.33821872229</v>
      </c>
      <c r="G57" s="49">
        <f>+F57/E57</f>
        <v>12.233243696750563</v>
      </c>
      <c r="H57" s="47">
        <f>SUM(H50:H56)</f>
        <v>3138.1930589558315</v>
      </c>
      <c r="I57" s="48">
        <f>SUM(I50:I56)</f>
        <v>14602.730603723447</v>
      </c>
      <c r="J57" s="49">
        <f>+I57/H57</f>
        <v>4.6532288898064804</v>
      </c>
      <c r="K57" s="47"/>
      <c r="L57" s="48"/>
      <c r="M57" s="79"/>
      <c r="N57" s="47">
        <f>SUM(N50:N56)</f>
        <v>13055.868307340619</v>
      </c>
      <c r="O57" s="48">
        <f>SUM(O50:O56)</f>
        <v>135928.06882244573</v>
      </c>
      <c r="Q57" s="20">
        <f>SUM(E57,H57)</f>
        <v>13055.868307340621</v>
      </c>
      <c r="R57" s="20">
        <f>SUM(F57,I57)</f>
        <v>135928.06882244573</v>
      </c>
    </row>
    <row r="58" spans="1:18" x14ac:dyDescent="0.25">
      <c r="A58" s="39">
        <v>46037</v>
      </c>
      <c r="B58" s="40" t="s">
        <v>22</v>
      </c>
      <c r="C58" s="4">
        <v>0.37</v>
      </c>
      <c r="D58" s="13">
        <v>0.69097222222222221</v>
      </c>
      <c r="E58" s="41" t="str">
        <f>Effort!J56</f>
        <v>CLOSED</v>
      </c>
      <c r="F58" s="42" t="str">
        <f>Harvest!J56</f>
        <v>CLOSED</v>
      </c>
      <c r="G58" s="43" t="str">
        <f>CPUE!J56</f>
        <v>CLOSED</v>
      </c>
      <c r="H58" s="41">
        <f>Effort!L56</f>
        <v>417.26254157423301</v>
      </c>
      <c r="I58" s="42">
        <f>Harvest!L56</f>
        <v>6185.3035574533296</v>
      </c>
      <c r="J58" s="43">
        <f>CPUE!L56</f>
        <v>14.823529411764689</v>
      </c>
      <c r="K58" s="41" t="s">
        <v>10</v>
      </c>
      <c r="L58" s="42" t="s">
        <v>10</v>
      </c>
      <c r="M58" s="43" t="s">
        <v>10</v>
      </c>
      <c r="N58" s="41">
        <f t="shared" ref="N58:N64" si="12">SUM(E58,H58)</f>
        <v>417.26254157423301</v>
      </c>
      <c r="O58" s="42">
        <f t="shared" ref="O58:O64" si="13">SUM(F58,I58)</f>
        <v>6185.3035574533296</v>
      </c>
    </row>
    <row r="59" spans="1:18" x14ac:dyDescent="0.25">
      <c r="A59" s="39">
        <v>46038</v>
      </c>
      <c r="B59" s="40" t="s">
        <v>18</v>
      </c>
      <c r="C59" s="4">
        <v>0.01</v>
      </c>
      <c r="D59" s="13">
        <v>0.71805555555555556</v>
      </c>
      <c r="E59" s="41">
        <f>Effort!J57</f>
        <v>1739.0228374997801</v>
      </c>
      <c r="F59" s="42">
        <f>Harvest!J57</f>
        <v>24240.9244015121</v>
      </c>
      <c r="G59" s="43">
        <f>CPUE!J57</f>
        <v>13.939393939393948</v>
      </c>
      <c r="H59" s="41" t="str">
        <f>Effort!L57</f>
        <v>CLOSED</v>
      </c>
      <c r="I59" s="42" t="str">
        <f>Harvest!L57</f>
        <v>CLOSED</v>
      </c>
      <c r="J59" s="43" t="str">
        <f>CPUE!L57</f>
        <v>CLOSED</v>
      </c>
      <c r="K59" s="41" t="s">
        <v>10</v>
      </c>
      <c r="L59" s="42" t="s">
        <v>10</v>
      </c>
      <c r="M59" s="43" t="s">
        <v>10</v>
      </c>
      <c r="N59" s="41">
        <f t="shared" si="12"/>
        <v>1739.0228374997801</v>
      </c>
      <c r="O59" s="42">
        <f t="shared" si="13"/>
        <v>24240.9244015121</v>
      </c>
    </row>
    <row r="60" spans="1:18" x14ac:dyDescent="0.25">
      <c r="A60" s="39">
        <v>46039</v>
      </c>
      <c r="B60" s="40" t="s">
        <v>19</v>
      </c>
      <c r="C60" s="4">
        <v>-0.27</v>
      </c>
      <c r="D60" s="13">
        <v>0.74305555555555558</v>
      </c>
      <c r="E60" s="41">
        <f>Effort!J58</f>
        <v>2666.5821241634198</v>
      </c>
      <c r="F60" s="42">
        <f>Harvest!J58</f>
        <v>25861.613934346798</v>
      </c>
      <c r="G60" s="43">
        <f>CPUE!J58</f>
        <v>9.6984126984126906</v>
      </c>
      <c r="H60" s="41" t="str">
        <f>Effort!L58</f>
        <v>CLOSED</v>
      </c>
      <c r="I60" s="42" t="str">
        <f>Harvest!L58</f>
        <v>CLOSED</v>
      </c>
      <c r="J60" s="43" t="str">
        <f>CPUE!L58</f>
        <v>CLOSED</v>
      </c>
      <c r="K60" s="41" t="s">
        <v>10</v>
      </c>
      <c r="L60" s="42" t="s">
        <v>10</v>
      </c>
      <c r="M60" s="43" t="s">
        <v>10</v>
      </c>
      <c r="N60" s="41">
        <f t="shared" si="12"/>
        <v>2666.5821241634198</v>
      </c>
      <c r="O60" s="42">
        <f t="shared" si="13"/>
        <v>25861.613934346798</v>
      </c>
    </row>
    <row r="61" spans="1:18" x14ac:dyDescent="0.25">
      <c r="A61" s="39">
        <v>46040</v>
      </c>
      <c r="B61" s="40" t="s">
        <v>20</v>
      </c>
      <c r="C61" s="4">
        <v>-0.45</v>
      </c>
      <c r="D61" s="13">
        <v>0.76666666666666672</v>
      </c>
      <c r="E61" s="41" t="str">
        <f>Effort!J59</f>
        <v>CLOSED</v>
      </c>
      <c r="F61" s="42" t="str">
        <f>Harvest!J59</f>
        <v>CLOSED</v>
      </c>
      <c r="G61" s="43" t="str">
        <f>CPUE!J59</f>
        <v>CLOSED</v>
      </c>
      <c r="H61" s="41">
        <f>Effort!L59</f>
        <v>1496.79626780381</v>
      </c>
      <c r="I61" s="42">
        <f>Harvest!L59</f>
        <v>19059.205810035201</v>
      </c>
      <c r="J61" s="43">
        <f>CPUE!L59</f>
        <v>12.733333333333347</v>
      </c>
      <c r="K61" s="41" t="s">
        <v>10</v>
      </c>
      <c r="L61" s="42" t="s">
        <v>10</v>
      </c>
      <c r="M61" s="43" t="s">
        <v>10</v>
      </c>
      <c r="N61" s="41">
        <f t="shared" si="12"/>
        <v>1496.79626780381</v>
      </c>
      <c r="O61" s="42">
        <f t="shared" si="13"/>
        <v>19059.205810035201</v>
      </c>
    </row>
    <row r="62" spans="1:18" x14ac:dyDescent="0.25">
      <c r="A62" s="39">
        <v>46041</v>
      </c>
      <c r="B62" s="40" t="s">
        <v>21</v>
      </c>
      <c r="C62" s="4">
        <v>-0.5</v>
      </c>
      <c r="D62" s="13">
        <v>0.7895833333333333</v>
      </c>
      <c r="E62" s="41" t="str">
        <f>Effort!J60</f>
        <v>CLOSED</v>
      </c>
      <c r="F62" s="42" t="str">
        <f>Harvest!J60</f>
        <v>CLOSED</v>
      </c>
      <c r="G62" s="43" t="str">
        <f>CPUE!J60</f>
        <v>CLOSED</v>
      </c>
      <c r="H62" s="41">
        <f>Effort!L60</f>
        <v>310.96911824661998</v>
      </c>
      <c r="I62" s="42">
        <f>Harvest!L60</f>
        <v>1839.9006162925</v>
      </c>
      <c r="J62" s="43">
        <f>CPUE!L60</f>
        <v>5.9166666666666616</v>
      </c>
      <c r="K62" s="41" t="s">
        <v>10</v>
      </c>
      <c r="L62" s="42" t="s">
        <v>10</v>
      </c>
      <c r="M62" s="43" t="s">
        <v>10</v>
      </c>
      <c r="N62" s="41">
        <f t="shared" si="12"/>
        <v>310.96911824661998</v>
      </c>
      <c r="O62" s="42">
        <f t="shared" si="13"/>
        <v>1839.9006162925</v>
      </c>
    </row>
    <row r="63" spans="1:18" x14ac:dyDescent="0.25">
      <c r="A63" s="39">
        <v>46042</v>
      </c>
      <c r="B63" s="40" t="s">
        <v>60</v>
      </c>
      <c r="C63" s="4">
        <v>-0.39</v>
      </c>
      <c r="D63" s="13">
        <v>0.81180555555555556</v>
      </c>
      <c r="E63" s="41">
        <f>Effort!J61</f>
        <v>232.07875319065101</v>
      </c>
      <c r="F63" s="42">
        <f>Harvest!J61</f>
        <v>1929.1546358972901</v>
      </c>
      <c r="G63" s="43">
        <f>CPUE!J61</f>
        <v>8.312500000000016</v>
      </c>
      <c r="H63" s="41" t="str">
        <f>Effort!L61</f>
        <v>CLOSED</v>
      </c>
      <c r="I63" s="42" t="str">
        <f>Harvest!L61</f>
        <v>CLOSED</v>
      </c>
      <c r="J63" s="43" t="str">
        <f>CPUE!L61</f>
        <v>CLOSED</v>
      </c>
      <c r="K63" s="41" t="s">
        <v>10</v>
      </c>
      <c r="L63" s="42" t="s">
        <v>10</v>
      </c>
      <c r="M63" s="43" t="s">
        <v>10</v>
      </c>
      <c r="N63" s="41">
        <f t="shared" si="12"/>
        <v>232.07875319065101</v>
      </c>
      <c r="O63" s="42">
        <f t="shared" si="13"/>
        <v>1929.1546358972901</v>
      </c>
    </row>
    <row r="64" spans="1:18" x14ac:dyDescent="0.25">
      <c r="A64" s="39">
        <v>46043</v>
      </c>
      <c r="B64" s="40" t="s">
        <v>61</v>
      </c>
      <c r="C64" s="4">
        <v>-0.09</v>
      </c>
      <c r="D64" s="13">
        <v>0.83402777777777781</v>
      </c>
      <c r="E64" s="41">
        <f>Effort!J62</f>
        <v>154.31247482939801</v>
      </c>
      <c r="F64" s="42">
        <f>Harvest!J62</f>
        <v>1620.28098570868</v>
      </c>
      <c r="G64" s="43">
        <f>CPUE!J62</f>
        <v>10.500000000000005</v>
      </c>
      <c r="H64" s="41" t="str">
        <f>Effort!L62</f>
        <v>CLOSED</v>
      </c>
      <c r="I64" s="42" t="str">
        <f>Harvest!L62</f>
        <v>CLOSED</v>
      </c>
      <c r="J64" s="43" t="str">
        <f>CPUE!L62</f>
        <v>CLOSED</v>
      </c>
      <c r="K64" s="41" t="s">
        <v>10</v>
      </c>
      <c r="L64" s="42" t="s">
        <v>10</v>
      </c>
      <c r="M64" s="43" t="s">
        <v>10</v>
      </c>
      <c r="N64" s="41">
        <f t="shared" si="12"/>
        <v>154.31247482939801</v>
      </c>
      <c r="O64" s="42">
        <f t="shared" si="13"/>
        <v>1620.28098570868</v>
      </c>
    </row>
    <row r="65" spans="1:18" x14ac:dyDescent="0.25">
      <c r="A65" s="110" t="s">
        <v>50</v>
      </c>
      <c r="B65" s="110"/>
      <c r="C65" s="110"/>
      <c r="D65" s="111"/>
      <c r="E65" s="47">
        <f>SUM(E58:E64)</f>
        <v>4791.9961896832483</v>
      </c>
      <c r="F65" s="48">
        <f>SUM(F58:F64)</f>
        <v>53651.973957464877</v>
      </c>
      <c r="G65" s="49">
        <f>+F65/E65</f>
        <v>11.196163735057411</v>
      </c>
      <c r="H65" s="47">
        <f>SUM(H58:H64)</f>
        <v>2225.0279276246629</v>
      </c>
      <c r="I65" s="48">
        <f>SUM(I58:I64)</f>
        <v>27084.409983781028</v>
      </c>
      <c r="J65" s="49">
        <f>+I65/H65</f>
        <v>12.172615744511168</v>
      </c>
      <c r="K65" s="47"/>
      <c r="L65" s="48"/>
      <c r="M65" s="79"/>
      <c r="N65" s="47">
        <f>SUM(N58:N64)</f>
        <v>7017.0241173079121</v>
      </c>
      <c r="O65" s="48">
        <f>SUM(O58:O64)</f>
        <v>80736.383941245906</v>
      </c>
      <c r="Q65" s="20">
        <f>SUM(E65,H65)</f>
        <v>7017.0241173079112</v>
      </c>
      <c r="R65" s="20">
        <f>SUM(F65,I65)</f>
        <v>80736.383941245906</v>
      </c>
    </row>
    <row r="66" spans="1:18" x14ac:dyDescent="0.25">
      <c r="A66" s="39">
        <v>46051</v>
      </c>
      <c r="B66" s="40" t="s">
        <v>22</v>
      </c>
      <c r="C66" s="4">
        <v>-0.6</v>
      </c>
      <c r="D66" s="13">
        <v>0.66319444444444442</v>
      </c>
      <c r="E66" s="41" t="str">
        <f>Effort!J64</f>
        <v>CLOSED</v>
      </c>
      <c r="F66" s="42" t="str">
        <f>Harvest!J64</f>
        <v>CLOSED</v>
      </c>
      <c r="G66" s="43" t="str">
        <f>CPUE!J64</f>
        <v>CLOSED</v>
      </c>
      <c r="H66" s="41">
        <f>Effort!L64</f>
        <v>281.15016170242399</v>
      </c>
      <c r="I66" s="42">
        <f>Harvest!L64</f>
        <v>833.03751615532997</v>
      </c>
      <c r="J66" s="43">
        <f>CPUE!L64</f>
        <v>2.9629629629629615</v>
      </c>
      <c r="K66" s="41" t="s">
        <v>10</v>
      </c>
      <c r="L66" s="42" t="s">
        <v>10</v>
      </c>
      <c r="M66" s="43" t="s">
        <v>10</v>
      </c>
      <c r="N66" s="41">
        <f t="shared" ref="N66:N72" si="14">SUM(E66,H66)</f>
        <v>281.15016170242399</v>
      </c>
      <c r="O66" s="42">
        <f t="shared" ref="O66:O72" si="15">SUM(F66,I66)</f>
        <v>833.03751615532997</v>
      </c>
    </row>
    <row r="67" spans="1:18" x14ac:dyDescent="0.25">
      <c r="A67" s="39">
        <v>46052</v>
      </c>
      <c r="B67" s="40" t="s">
        <v>18</v>
      </c>
      <c r="C67" s="4">
        <v>-1.2</v>
      </c>
      <c r="D67" s="13">
        <v>0.69930555555555551</v>
      </c>
      <c r="E67" s="41">
        <f>Effort!J65</f>
        <v>1076.98956084772</v>
      </c>
      <c r="F67" s="42">
        <f>Harvest!J65</f>
        <v>12636.677513946601</v>
      </c>
      <c r="G67" s="43">
        <f>CPUE!J65</f>
        <v>11.733333333333352</v>
      </c>
      <c r="H67" s="41" t="str">
        <f>Effort!L65</f>
        <v>CLOSED</v>
      </c>
      <c r="I67" s="42" t="str">
        <f>Harvest!L65</f>
        <v>CLOSED</v>
      </c>
      <c r="J67" s="43" t="str">
        <f>CPUE!L65</f>
        <v>CLOSED</v>
      </c>
      <c r="K67" s="41" t="s">
        <v>10</v>
      </c>
      <c r="L67" s="42" t="s">
        <v>10</v>
      </c>
      <c r="M67" s="43" t="s">
        <v>10</v>
      </c>
      <c r="N67" s="41">
        <f t="shared" si="14"/>
        <v>1076.98956084772</v>
      </c>
      <c r="O67" s="42">
        <f t="shared" si="15"/>
        <v>12636.677513946601</v>
      </c>
    </row>
    <row r="68" spans="1:18" x14ac:dyDescent="0.25">
      <c r="A68" s="39">
        <v>46053</v>
      </c>
      <c r="B68" s="40" t="s">
        <v>19</v>
      </c>
      <c r="C68" s="4">
        <v>-1.6</v>
      </c>
      <c r="D68" s="13">
        <v>0.73402777777777772</v>
      </c>
      <c r="E68" s="41">
        <f>Effort!J66</f>
        <v>4013.8917856386001</v>
      </c>
      <c r="F68" s="42">
        <f>Harvest!J66</f>
        <v>56499.337539621803</v>
      </c>
      <c r="G68" s="43">
        <f>CPUE!J66</f>
        <v>14.075949367088604</v>
      </c>
      <c r="H68" s="41" t="str">
        <f>Effort!L66</f>
        <v>CLOSED</v>
      </c>
      <c r="I68" s="42" t="str">
        <f>Harvest!L66</f>
        <v>CLOSED</v>
      </c>
      <c r="J68" s="43" t="str">
        <f>CPUE!L66</f>
        <v>CLOSED</v>
      </c>
      <c r="K68" s="41" t="s">
        <v>10</v>
      </c>
      <c r="L68" s="42" t="s">
        <v>10</v>
      </c>
      <c r="M68" s="43" t="s">
        <v>10</v>
      </c>
      <c r="N68" s="41">
        <f t="shared" si="14"/>
        <v>4013.8917856386001</v>
      </c>
      <c r="O68" s="42">
        <f t="shared" si="15"/>
        <v>56499.337539621803</v>
      </c>
    </row>
    <row r="69" spans="1:18" x14ac:dyDescent="0.25">
      <c r="A69" s="39">
        <v>46054</v>
      </c>
      <c r="B69" s="40" t="s">
        <v>20</v>
      </c>
      <c r="C69" s="4">
        <v>-1.7</v>
      </c>
      <c r="D69" s="13">
        <v>0.76597222222222228</v>
      </c>
      <c r="E69" s="41" t="str">
        <f>Effort!J67</f>
        <v>CLOSED</v>
      </c>
      <c r="F69" s="42" t="str">
        <f>Harvest!J67</f>
        <v>CLOSED</v>
      </c>
      <c r="G69" s="43" t="str">
        <f>CPUE!J67</f>
        <v>CLOSED</v>
      </c>
      <c r="H69" s="41">
        <f>Effort!L67</f>
        <v>901.46519327200099</v>
      </c>
      <c r="I69" s="42">
        <f>Harvest!L67</f>
        <v>10243.9226508182</v>
      </c>
      <c r="J69" s="43">
        <f>CPUE!L67</f>
        <v>11.363636363636372</v>
      </c>
      <c r="K69" s="41" t="s">
        <v>10</v>
      </c>
      <c r="L69" s="42" t="s">
        <v>10</v>
      </c>
      <c r="M69" s="43" t="s">
        <v>10</v>
      </c>
      <c r="N69" s="41">
        <f t="shared" si="14"/>
        <v>901.46519327200099</v>
      </c>
      <c r="O69" s="42">
        <f t="shared" si="15"/>
        <v>10243.9226508182</v>
      </c>
    </row>
    <row r="70" spans="1:18" x14ac:dyDescent="0.25">
      <c r="A70" s="39">
        <v>46055</v>
      </c>
      <c r="B70" s="40" t="s">
        <v>21</v>
      </c>
      <c r="C70" s="4">
        <v>-1.5</v>
      </c>
      <c r="D70" s="13">
        <v>0.79652777777777772</v>
      </c>
      <c r="E70" s="41" t="str">
        <f>Effort!J68</f>
        <v>CLOSED</v>
      </c>
      <c r="F70" s="42" t="str">
        <f>Harvest!J68</f>
        <v>CLOSED</v>
      </c>
      <c r="G70" s="43" t="str">
        <f>CPUE!J68</f>
        <v>CLOSED</v>
      </c>
      <c r="H70" s="41">
        <f>Effort!L68</f>
        <v>186.64889610786901</v>
      </c>
      <c r="I70" s="42">
        <f>Harvest!L68</f>
        <v>653.27113637754303</v>
      </c>
      <c r="J70" s="43">
        <f>CPUE!L68</f>
        <v>3.500000000000008</v>
      </c>
      <c r="K70" s="41" t="s">
        <v>10</v>
      </c>
      <c r="L70" s="42" t="s">
        <v>10</v>
      </c>
      <c r="M70" s="43" t="s">
        <v>10</v>
      </c>
      <c r="N70" s="41">
        <f t="shared" si="14"/>
        <v>186.64889610786901</v>
      </c>
      <c r="O70" s="42">
        <f t="shared" si="15"/>
        <v>653.27113637754303</v>
      </c>
    </row>
    <row r="71" spans="1:18" x14ac:dyDescent="0.25">
      <c r="A71" s="39">
        <v>46056</v>
      </c>
      <c r="B71" s="40" t="s">
        <v>60</v>
      </c>
      <c r="C71" s="4">
        <v>-1.1000000000000001</v>
      </c>
      <c r="D71" s="13">
        <v>0.82638888888888884</v>
      </c>
      <c r="E71" s="41">
        <f>Effort!J69</f>
        <v>383.33949350549898</v>
      </c>
      <c r="F71" s="42">
        <f>Harvest!J69</f>
        <v>4025.0646818077398</v>
      </c>
      <c r="G71" s="43">
        <f>CPUE!J69</f>
        <v>10.500000000000002</v>
      </c>
      <c r="H71" s="41" t="str">
        <f>Effort!L69</f>
        <v>CLOSED</v>
      </c>
      <c r="I71" s="42" t="str">
        <f>Harvest!L69</f>
        <v>CLOSED</v>
      </c>
      <c r="J71" s="43" t="str">
        <f>CPUE!L69</f>
        <v>CLOSED</v>
      </c>
      <c r="K71" s="41" t="s">
        <v>10</v>
      </c>
      <c r="L71" s="42" t="s">
        <v>10</v>
      </c>
      <c r="M71" s="43" t="s">
        <v>10</v>
      </c>
      <c r="N71" s="41">
        <f t="shared" si="14"/>
        <v>383.33949350549898</v>
      </c>
      <c r="O71" s="42">
        <f t="shared" si="15"/>
        <v>4025.0646818077398</v>
      </c>
    </row>
    <row r="72" spans="1:18" x14ac:dyDescent="0.25">
      <c r="A72" s="39">
        <v>46057</v>
      </c>
      <c r="B72" s="40" t="s">
        <v>61</v>
      </c>
      <c r="C72" s="4">
        <v>-0.5</v>
      </c>
      <c r="D72" s="13">
        <v>0.85555555555555551</v>
      </c>
      <c r="E72" s="41">
        <f>Effort!J70</f>
        <v>232.53675206857699</v>
      </c>
      <c r="F72" s="42">
        <f>Harvest!J70</f>
        <v>1448.8828398119001</v>
      </c>
      <c r="G72" s="43">
        <f>CPUE!J70</f>
        <v>6.2307692307692193</v>
      </c>
      <c r="H72" s="41" t="str">
        <f>Effort!L70</f>
        <v>CLOSED</v>
      </c>
      <c r="I72" s="42" t="str">
        <f>Harvest!L70</f>
        <v>CLOSED</v>
      </c>
      <c r="J72" s="43" t="str">
        <f>CPUE!L70</f>
        <v>CLOSED</v>
      </c>
      <c r="K72" s="41" t="s">
        <v>10</v>
      </c>
      <c r="L72" s="42" t="s">
        <v>10</v>
      </c>
      <c r="M72" s="43" t="s">
        <v>10</v>
      </c>
      <c r="N72" s="41">
        <f t="shared" si="14"/>
        <v>232.53675206857699</v>
      </c>
      <c r="O72" s="42">
        <f t="shared" si="15"/>
        <v>1448.8828398119001</v>
      </c>
    </row>
    <row r="73" spans="1:18" x14ac:dyDescent="0.25">
      <c r="A73" s="110" t="s">
        <v>50</v>
      </c>
      <c r="B73" s="110"/>
      <c r="C73" s="110"/>
      <c r="D73" s="111"/>
      <c r="E73" s="47">
        <f>SUM(E66:E72)</f>
        <v>5706.7575920603958</v>
      </c>
      <c r="F73" s="48">
        <f>SUM(F66:F72)</f>
        <v>74609.962575188038</v>
      </c>
      <c r="G73" s="49">
        <f>+F73/E73</f>
        <v>13.073967374922349</v>
      </c>
      <c r="H73" s="47">
        <f>SUM(H66:H72)</f>
        <v>1369.2642510822939</v>
      </c>
      <c r="I73" s="48">
        <f>SUM(I66:I72)</f>
        <v>11730.231303351073</v>
      </c>
      <c r="J73" s="49">
        <f>+I73/H73</f>
        <v>8.566813377388085</v>
      </c>
      <c r="K73" s="47"/>
      <c r="L73" s="48"/>
      <c r="M73" s="79"/>
      <c r="N73" s="47">
        <f>SUM(N66:N72)</f>
        <v>7076.0218431426902</v>
      </c>
      <c r="O73" s="48">
        <f>SUM(O66:O72)</f>
        <v>86340.19387853911</v>
      </c>
      <c r="Q73" s="20">
        <f>SUM(E73,H73)</f>
        <v>7076.0218431426892</v>
      </c>
      <c r="R73" s="20">
        <f>SUM(F73,I73)</f>
        <v>86340.19387853911</v>
      </c>
    </row>
    <row r="74" spans="1:18" x14ac:dyDescent="0.25">
      <c r="A74" s="39">
        <v>46067</v>
      </c>
      <c r="B74" s="40" t="s">
        <v>19</v>
      </c>
      <c r="C74" s="4">
        <v>0.25</v>
      </c>
      <c r="D74" s="13">
        <v>0.7</v>
      </c>
      <c r="E74" s="41" t="str">
        <f>Effort!J72</f>
        <v>CLOSED</v>
      </c>
      <c r="F74" s="42" t="str">
        <f>Harvest!J72</f>
        <v>CLOSED</v>
      </c>
      <c r="G74" s="43" t="str">
        <f>CPUE!J72</f>
        <v>CLOSED</v>
      </c>
      <c r="H74" s="41">
        <f>Effort!L72</f>
        <v>1985.64305929796</v>
      </c>
      <c r="I74" s="42">
        <f>Harvest!L72</f>
        <v>6933.4749447617296</v>
      </c>
      <c r="J74" s="43">
        <f>CPUE!L72</f>
        <v>3.4918032786885247</v>
      </c>
      <c r="K74" s="41" t="s">
        <v>10</v>
      </c>
      <c r="L74" s="42" t="s">
        <v>10</v>
      </c>
      <c r="M74" s="43" t="s">
        <v>10</v>
      </c>
      <c r="N74" s="41">
        <f t="shared" ref="N74:N79" si="16">SUM(E74,H74)</f>
        <v>1985.64305929796</v>
      </c>
      <c r="O74" s="42">
        <f t="shared" ref="O74:O79" si="17">SUM(F74,I74)</f>
        <v>6933.4749447617296</v>
      </c>
    </row>
    <row r="75" spans="1:18" x14ac:dyDescent="0.25">
      <c r="A75" s="39">
        <v>46068</v>
      </c>
      <c r="B75" s="40" t="s">
        <v>20</v>
      </c>
      <c r="C75" s="4">
        <v>-0.09</v>
      </c>
      <c r="D75" s="13">
        <v>0.72499999999999998</v>
      </c>
      <c r="E75" s="41">
        <f>Effort!J73</f>
        <v>3150.0188016647498</v>
      </c>
      <c r="F75" s="42">
        <f>Harvest!J73</f>
        <v>14470.398870147401</v>
      </c>
      <c r="G75" s="43">
        <f>CPUE!J73</f>
        <v>4.5937499999999858</v>
      </c>
      <c r="H75" s="41" t="str">
        <f>Effort!L73</f>
        <v>CLOSED</v>
      </c>
      <c r="I75" s="42" t="str">
        <f>Harvest!L73</f>
        <v>CLOSED</v>
      </c>
      <c r="J75" s="43" t="str">
        <f>CPUE!L73</f>
        <v>CLOSED</v>
      </c>
      <c r="K75" s="41" t="s">
        <v>10</v>
      </c>
      <c r="L75" s="42" t="s">
        <v>10</v>
      </c>
      <c r="M75" s="43" t="s">
        <v>10</v>
      </c>
      <c r="N75" s="41">
        <f t="shared" si="16"/>
        <v>3150.0188016647498</v>
      </c>
      <c r="O75" s="42">
        <f t="shared" si="17"/>
        <v>14470.398870147401</v>
      </c>
    </row>
    <row r="76" spans="1:18" x14ac:dyDescent="0.25">
      <c r="A76" s="39">
        <v>46069</v>
      </c>
      <c r="B76" s="40" t="s">
        <v>21</v>
      </c>
      <c r="C76" s="4">
        <v>-0.28999999999999998</v>
      </c>
      <c r="D76" s="13">
        <v>0.74791666666666667</v>
      </c>
      <c r="E76" s="41">
        <f>Effort!J74</f>
        <v>867.64701167089595</v>
      </c>
      <c r="F76" s="42">
        <f>Harvest!J74</f>
        <v>2651.1436467721801</v>
      </c>
      <c r="G76" s="43">
        <f>CPUE!J74</f>
        <v>3.0555555555555531</v>
      </c>
      <c r="H76" s="41" t="str">
        <f>Effort!L74</f>
        <v>CLOSED</v>
      </c>
      <c r="I76" s="42" t="str">
        <f>Harvest!L74</f>
        <v>CLOSED</v>
      </c>
      <c r="J76" s="43" t="str">
        <f>CPUE!L74</f>
        <v>CLOSED</v>
      </c>
      <c r="K76" s="41" t="s">
        <v>10</v>
      </c>
      <c r="L76" s="42" t="s">
        <v>10</v>
      </c>
      <c r="M76" s="43" t="s">
        <v>10</v>
      </c>
      <c r="N76" s="41">
        <f t="shared" si="16"/>
        <v>867.64701167089595</v>
      </c>
      <c r="O76" s="42">
        <f t="shared" si="17"/>
        <v>2651.1436467721801</v>
      </c>
    </row>
    <row r="77" spans="1:18" x14ac:dyDescent="0.25">
      <c r="A77" s="39">
        <v>46070</v>
      </c>
      <c r="B77" s="40" t="s">
        <v>60</v>
      </c>
      <c r="C77" s="4">
        <v>-0.3</v>
      </c>
      <c r="D77" s="13">
        <v>0.77013888888888893</v>
      </c>
      <c r="E77" s="41" t="str">
        <f>Effort!J75</f>
        <v>CLOSED</v>
      </c>
      <c r="F77" s="42" t="str">
        <f>Harvest!J75</f>
        <v>CLOSED</v>
      </c>
      <c r="G77" s="43" t="str">
        <f>CPUE!J75</f>
        <v>CLOSED</v>
      </c>
      <c r="H77" s="41">
        <f>Effort!L75</f>
        <v>367.58405049815099</v>
      </c>
      <c r="I77" s="42">
        <f>Harvest!L75</f>
        <v>73.516810099630206</v>
      </c>
      <c r="J77" s="43">
        <f>CPUE!L75</f>
        <v>0.2</v>
      </c>
      <c r="K77" s="41" t="s">
        <v>10</v>
      </c>
      <c r="L77" s="42" t="s">
        <v>10</v>
      </c>
      <c r="M77" s="43" t="s">
        <v>10</v>
      </c>
      <c r="N77" s="41">
        <f t="shared" si="16"/>
        <v>367.58405049815099</v>
      </c>
      <c r="O77" s="42">
        <f t="shared" si="17"/>
        <v>73.516810099630206</v>
      </c>
    </row>
    <row r="78" spans="1:18" x14ac:dyDescent="0.25">
      <c r="A78" s="39">
        <v>46071</v>
      </c>
      <c r="B78" s="40" t="s">
        <v>61</v>
      </c>
      <c r="C78" s="4">
        <v>-0.11</v>
      </c>
      <c r="D78" s="13">
        <v>0.79166666666666663</v>
      </c>
      <c r="E78" s="41" t="str">
        <f>Effort!J76</f>
        <v>CLOSED</v>
      </c>
      <c r="F78" s="42" t="str">
        <f>Harvest!J76</f>
        <v>CLOSED</v>
      </c>
      <c r="G78" s="43" t="str">
        <f>CPUE!J76</f>
        <v>CLOSED</v>
      </c>
      <c r="H78" s="41">
        <f>Effort!L76</f>
        <v>208.12414567581999</v>
      </c>
      <c r="I78" s="42">
        <f>Harvest!L76</f>
        <v>416.248291351641</v>
      </c>
      <c r="J78" s="43">
        <f>CPUE!L76</f>
        <v>2.0000000000000049</v>
      </c>
      <c r="K78" s="41" t="s">
        <v>10</v>
      </c>
      <c r="L78" s="42" t="s">
        <v>10</v>
      </c>
      <c r="M78" s="43" t="s">
        <v>10</v>
      </c>
      <c r="N78" s="41">
        <f t="shared" si="16"/>
        <v>208.12414567581999</v>
      </c>
      <c r="O78" s="42">
        <f t="shared" si="17"/>
        <v>416.248291351641</v>
      </c>
    </row>
    <row r="79" spans="1:18" x14ac:dyDescent="0.25">
      <c r="A79" s="39">
        <v>46072</v>
      </c>
      <c r="B79" s="40" t="s">
        <v>22</v>
      </c>
      <c r="C79" s="4">
        <v>0.28999999999999998</v>
      </c>
      <c r="D79" s="13">
        <v>0.81388888888888888</v>
      </c>
      <c r="E79" s="41">
        <f>Effort!J77</f>
        <v>288.417363669233</v>
      </c>
      <c r="F79" s="42">
        <f>Harvest!J77</f>
        <v>1009.46077284231</v>
      </c>
      <c r="G79" s="43">
        <f>CPUE!J77</f>
        <v>3.4999999999999809</v>
      </c>
      <c r="H79" s="41" t="str">
        <f>Effort!L77</f>
        <v>CLOSED</v>
      </c>
      <c r="I79" s="42" t="str">
        <f>Harvest!L77</f>
        <v>CLOSED</v>
      </c>
      <c r="J79" s="43" t="str">
        <f>CPUE!L77</f>
        <v>CLOSED</v>
      </c>
      <c r="K79" s="41" t="s">
        <v>10</v>
      </c>
      <c r="L79" s="42" t="s">
        <v>10</v>
      </c>
      <c r="M79" s="43" t="s">
        <v>10</v>
      </c>
      <c r="N79" s="41">
        <f t="shared" si="16"/>
        <v>288.417363669233</v>
      </c>
      <c r="O79" s="42">
        <f t="shared" si="17"/>
        <v>1009.46077284231</v>
      </c>
    </row>
    <row r="80" spans="1:18" x14ac:dyDescent="0.25">
      <c r="A80" s="110" t="s">
        <v>50</v>
      </c>
      <c r="B80" s="110"/>
      <c r="C80" s="110"/>
      <c r="D80" s="111"/>
      <c r="E80" s="47">
        <f>SUM(E74:E79)</f>
        <v>4306.083177004879</v>
      </c>
      <c r="F80" s="48">
        <f>SUM(F74:F79)</f>
        <v>18131.003289761891</v>
      </c>
      <c r="G80" s="49">
        <f>+F80/E80</f>
        <v>4.2105557520542405</v>
      </c>
      <c r="H80" s="47">
        <f>SUM(H74:H79)</f>
        <v>2561.3512554719309</v>
      </c>
      <c r="I80" s="48">
        <f>SUM(I74:I79)</f>
        <v>7423.2400462130008</v>
      </c>
      <c r="J80" s="49">
        <f>+I80/H80</f>
        <v>2.8981733881108247</v>
      </c>
      <c r="K80" s="47"/>
      <c r="L80" s="48"/>
      <c r="M80" s="79"/>
      <c r="N80" s="47">
        <f>SUM(N74:N79)</f>
        <v>6867.434432476809</v>
      </c>
      <c r="O80" s="48">
        <f>SUM(O74:O79)</f>
        <v>25554.24333597489</v>
      </c>
      <c r="Q80" s="20">
        <f>SUM(E80,H80)</f>
        <v>6867.4344324768099</v>
      </c>
      <c r="R80" s="20">
        <f>SUM(F80,I80)</f>
        <v>25554.24333597489</v>
      </c>
    </row>
    <row r="81" spans="1:18" x14ac:dyDescent="0.25">
      <c r="A81" s="39">
        <v>46079</v>
      </c>
      <c r="B81" s="40" t="s">
        <v>22</v>
      </c>
      <c r="C81" s="4">
        <v>0.32</v>
      </c>
      <c r="D81" s="13">
        <v>0.60138888888888886</v>
      </c>
      <c r="E81" s="41">
        <f>Effort!J79</f>
        <v>821.18979494429504</v>
      </c>
      <c r="F81" s="42">
        <f>Harvest!J79</f>
        <v>8919.0336062005408</v>
      </c>
      <c r="G81" s="43">
        <f>CPUE!J79</f>
        <v>10.861111111111114</v>
      </c>
      <c r="H81" s="41" t="str">
        <f>Effort!L79</f>
        <v>CLOSED</v>
      </c>
      <c r="I81" s="42" t="str">
        <f>Harvest!L79</f>
        <v>CLOSED</v>
      </c>
      <c r="J81" s="43" t="str">
        <f>CPUE!L79</f>
        <v>CLOSED</v>
      </c>
      <c r="K81" s="41" t="s">
        <v>10</v>
      </c>
      <c r="L81" s="42" t="s">
        <v>10</v>
      </c>
      <c r="M81" s="43" t="s">
        <v>10</v>
      </c>
      <c r="N81" s="41">
        <f t="shared" ref="N81:N87" si="18">SUM(E81,H81)</f>
        <v>821.18979494429504</v>
      </c>
      <c r="O81" s="42">
        <f t="shared" ref="O81:O87" si="19">SUM(F81,I81)</f>
        <v>8919.0336062005408</v>
      </c>
    </row>
    <row r="82" spans="1:18" x14ac:dyDescent="0.25">
      <c r="A82" s="39">
        <v>46080</v>
      </c>
      <c r="B82" s="40" t="s">
        <v>18</v>
      </c>
      <c r="C82" s="4">
        <v>-0.04</v>
      </c>
      <c r="D82" s="13">
        <v>0.64513888888888893</v>
      </c>
      <c r="E82" s="41" t="str">
        <f>Effort!J80</f>
        <v>CLOSED</v>
      </c>
      <c r="F82" s="42" t="str">
        <f>Harvest!J80</f>
        <v>CLOSED</v>
      </c>
      <c r="G82" s="43" t="str">
        <f>CPUE!J80</f>
        <v>CLOSED</v>
      </c>
      <c r="H82" s="41">
        <f>Effort!L80</f>
        <v>1289.8466429146699</v>
      </c>
      <c r="I82" s="42">
        <f>Harvest!L80</f>
        <v>11137.3296667055</v>
      </c>
      <c r="J82" s="43">
        <f>CPUE!L80</f>
        <v>8.6346153846153726</v>
      </c>
      <c r="K82" s="41" t="s">
        <v>10</v>
      </c>
      <c r="L82" s="42" t="s">
        <v>10</v>
      </c>
      <c r="M82" s="43" t="s">
        <v>10</v>
      </c>
      <c r="N82" s="41">
        <f t="shared" si="18"/>
        <v>1289.8466429146699</v>
      </c>
      <c r="O82" s="42">
        <f t="shared" si="19"/>
        <v>11137.3296667055</v>
      </c>
    </row>
    <row r="83" spans="1:18" x14ac:dyDescent="0.25">
      <c r="A83" s="39">
        <v>46081</v>
      </c>
      <c r="B83" s="40" t="s">
        <v>19</v>
      </c>
      <c r="C83" s="4">
        <v>-0.34</v>
      </c>
      <c r="D83" s="13">
        <v>0.68194444444444446</v>
      </c>
      <c r="E83" s="41" t="str">
        <f>Effort!J81</f>
        <v>CLOSED</v>
      </c>
      <c r="F83" s="42" t="str">
        <f>Harvest!J81</f>
        <v>CLOSED</v>
      </c>
      <c r="G83" s="43" t="str">
        <f>CPUE!J81</f>
        <v>CLOSED</v>
      </c>
      <c r="H83" s="41">
        <f>Effort!L81</f>
        <v>2745.4958855280302</v>
      </c>
      <c r="I83" s="42">
        <f>Harvest!L81</f>
        <v>35993.149356427901</v>
      </c>
      <c r="J83" s="43">
        <f>CPUE!L81</f>
        <v>13.109890109890106</v>
      </c>
      <c r="K83" s="41" t="s">
        <v>10</v>
      </c>
      <c r="L83" s="42" t="s">
        <v>10</v>
      </c>
      <c r="M83" s="43" t="s">
        <v>10</v>
      </c>
      <c r="N83" s="41">
        <f t="shared" si="18"/>
        <v>2745.4958855280302</v>
      </c>
      <c r="O83" s="42">
        <f t="shared" si="19"/>
        <v>35993.149356427901</v>
      </c>
    </row>
    <row r="84" spans="1:18" x14ac:dyDescent="0.25">
      <c r="A84" s="39">
        <v>46082</v>
      </c>
      <c r="B84" s="40" t="s">
        <v>20</v>
      </c>
      <c r="C84" s="4">
        <v>-0.48</v>
      </c>
      <c r="D84" s="13">
        <v>0.71319444444444446</v>
      </c>
      <c r="E84" s="41">
        <f>Effort!J82</f>
        <v>4054.4156570550899</v>
      </c>
      <c r="F84" s="42">
        <f>Harvest!J82</f>
        <v>53456.589043563297</v>
      </c>
      <c r="G84" s="43">
        <f>CPUE!J82</f>
        <v>13.184782608695651</v>
      </c>
      <c r="H84" s="41" t="str">
        <f>Effort!L82</f>
        <v>CLOSED</v>
      </c>
      <c r="I84" s="42" t="str">
        <f>Harvest!L82</f>
        <v>CLOSED</v>
      </c>
      <c r="J84" s="43" t="str">
        <f>CPUE!L82</f>
        <v>CLOSED</v>
      </c>
      <c r="K84" s="41" t="s">
        <v>10</v>
      </c>
      <c r="L84" s="42" t="s">
        <v>10</v>
      </c>
      <c r="M84" s="43" t="s">
        <v>10</v>
      </c>
      <c r="N84" s="41">
        <f t="shared" si="18"/>
        <v>4054.4156570550899</v>
      </c>
      <c r="O84" s="42">
        <f t="shared" si="19"/>
        <v>53456.589043563297</v>
      </c>
    </row>
    <row r="85" spans="1:18" x14ac:dyDescent="0.25">
      <c r="A85" s="39">
        <v>46083</v>
      </c>
      <c r="B85" s="40" t="s">
        <v>21</v>
      </c>
      <c r="C85" s="4">
        <v>-0.42</v>
      </c>
      <c r="D85" s="13">
        <v>0.74027777777777781</v>
      </c>
      <c r="E85" s="41">
        <f>Effort!J83</f>
        <v>1367.4899239475001</v>
      </c>
      <c r="F85" s="42">
        <f>Harvest!J83</f>
        <v>13935.373510703101</v>
      </c>
      <c r="G85" s="43">
        <f>CPUE!J83</f>
        <v>10.190476190476193</v>
      </c>
      <c r="H85" s="41" t="str">
        <f>Effort!L83</f>
        <v>CLOSED</v>
      </c>
      <c r="I85" s="42" t="str">
        <f>Harvest!L83</f>
        <v>CLOSED</v>
      </c>
      <c r="J85" s="43" t="str">
        <f>CPUE!L83</f>
        <v>CLOSED</v>
      </c>
      <c r="K85" s="41" t="s">
        <v>10</v>
      </c>
      <c r="L85" s="42" t="s">
        <v>10</v>
      </c>
      <c r="M85" s="43" t="s">
        <v>10</v>
      </c>
      <c r="N85" s="41">
        <f t="shared" si="18"/>
        <v>1367.4899239475001</v>
      </c>
      <c r="O85" s="42">
        <f t="shared" si="19"/>
        <v>13935.373510703101</v>
      </c>
    </row>
    <row r="86" spans="1:18" x14ac:dyDescent="0.25">
      <c r="A86" s="39">
        <v>46084</v>
      </c>
      <c r="B86" s="40" t="s">
        <v>60</v>
      </c>
      <c r="C86" s="4">
        <v>-0.15</v>
      </c>
      <c r="D86" s="13">
        <v>0.76527777777777772</v>
      </c>
      <c r="E86" s="41" t="str">
        <f>Effort!J84</f>
        <v>CLOSED</v>
      </c>
      <c r="F86" s="42" t="str">
        <f>Harvest!J84</f>
        <v>CLOSED</v>
      </c>
      <c r="G86" s="43" t="str">
        <f>CPUE!J84</f>
        <v>CLOSED</v>
      </c>
      <c r="H86" s="41">
        <f>Effort!L84</f>
        <v>179.71246131546999</v>
      </c>
      <c r="I86" s="42">
        <f>Harvest!L84</f>
        <v>814.69649129679703</v>
      </c>
      <c r="J86" s="43">
        <f>CPUE!L84</f>
        <v>4.5333333333333314</v>
      </c>
      <c r="K86" s="41" t="s">
        <v>10</v>
      </c>
      <c r="L86" s="42" t="s">
        <v>10</v>
      </c>
      <c r="M86" s="43" t="s">
        <v>10</v>
      </c>
      <c r="N86" s="41">
        <f t="shared" si="18"/>
        <v>179.71246131546999</v>
      </c>
      <c r="O86" s="42">
        <f t="shared" si="19"/>
        <v>814.69649129679703</v>
      </c>
    </row>
    <row r="87" spans="1:18" x14ac:dyDescent="0.25">
      <c r="A87" s="39">
        <v>46085</v>
      </c>
      <c r="B87" s="40" t="s">
        <v>61</v>
      </c>
      <c r="C87" s="4">
        <v>0.3</v>
      </c>
      <c r="D87" s="13">
        <v>0.78819444444444442</v>
      </c>
      <c r="E87" s="41" t="str">
        <f>Effort!J85</f>
        <v>CLOSED</v>
      </c>
      <c r="F87" s="42" t="str">
        <f>Harvest!J85</f>
        <v>CLOSED</v>
      </c>
      <c r="G87" s="43" t="str">
        <f>CPUE!J85</f>
        <v>CLOSED</v>
      </c>
      <c r="H87" s="41">
        <f>Effort!L85</f>
        <v>98.585121635914902</v>
      </c>
      <c r="I87" s="42">
        <f>Harvest!L85</f>
        <v>635.32633943145197</v>
      </c>
      <c r="J87" s="43">
        <f>CPUE!L85</f>
        <v>6.4444444444444482</v>
      </c>
      <c r="K87" s="41" t="s">
        <v>10</v>
      </c>
      <c r="L87" s="42" t="s">
        <v>10</v>
      </c>
      <c r="M87" s="43" t="s">
        <v>10</v>
      </c>
      <c r="N87" s="41">
        <f t="shared" si="18"/>
        <v>98.585121635914902</v>
      </c>
      <c r="O87" s="42">
        <f t="shared" si="19"/>
        <v>635.32633943145197</v>
      </c>
    </row>
    <row r="88" spans="1:18" x14ac:dyDescent="0.25">
      <c r="A88" s="110" t="s">
        <v>50</v>
      </c>
      <c r="B88" s="110"/>
      <c r="C88" s="110"/>
      <c r="D88" s="111"/>
      <c r="E88" s="47">
        <f>SUM(E81:E87)</f>
        <v>6243.0953759468848</v>
      </c>
      <c r="F88" s="48">
        <f>SUM(F81:F87)</f>
        <v>76310.996160466937</v>
      </c>
      <c r="G88" s="49">
        <f>+F88/E88</f>
        <v>12.223262911291487</v>
      </c>
      <c r="H88" s="47">
        <f>SUM(H81:H87)</f>
        <v>4313.6401113940856</v>
      </c>
      <c r="I88" s="48">
        <f>SUM(I81:I87)</f>
        <v>48580.50185386165</v>
      </c>
      <c r="J88" s="49">
        <f>+I88/H88</f>
        <v>11.262066514436542</v>
      </c>
      <c r="K88" s="47"/>
      <c r="L88" s="48"/>
      <c r="M88" s="79"/>
      <c r="N88" s="47">
        <f>SUM(N81:N87)</f>
        <v>10556.735487340969</v>
      </c>
      <c r="O88" s="48">
        <f>SUM(O81:O87)</f>
        <v>124891.49801432858</v>
      </c>
      <c r="Q88" s="20">
        <f>SUM(E88,H88)</f>
        <v>10556.735487340971</v>
      </c>
      <c r="R88" s="20">
        <f>SUM(F88,I88)</f>
        <v>124891.49801432859</v>
      </c>
    </row>
    <row r="89" spans="1:18" x14ac:dyDescent="0.25">
      <c r="A89" s="39">
        <v>46098</v>
      </c>
      <c r="B89" s="40" t="s">
        <v>60</v>
      </c>
      <c r="C89" s="4">
        <v>0.16</v>
      </c>
      <c r="D89" s="13">
        <v>0.76458333333333328</v>
      </c>
      <c r="E89" s="41">
        <f>Effort!J87</f>
        <v>189.686930490225</v>
      </c>
      <c r="F89" s="42">
        <f>Harvest!J87</f>
        <v>442.60283781052402</v>
      </c>
      <c r="G89" s="43">
        <f>CPUE!J87</f>
        <v>2.3333333333333282</v>
      </c>
      <c r="H89" s="41" t="str">
        <f>Effort!L87</f>
        <v>CLOSED</v>
      </c>
      <c r="I89" s="42" t="str">
        <f>Harvest!L87</f>
        <v>CLOSED</v>
      </c>
      <c r="J89" s="43" t="str">
        <f>CPUE!L87</f>
        <v>CLOSED</v>
      </c>
      <c r="K89" s="41" t="s">
        <v>10</v>
      </c>
      <c r="L89" s="42" t="s">
        <v>10</v>
      </c>
      <c r="M89" s="43" t="s">
        <v>10</v>
      </c>
      <c r="N89" s="41">
        <f t="shared" ref="N89:N94" si="20">SUM(E89,H89)</f>
        <v>189.686930490225</v>
      </c>
      <c r="O89" s="42">
        <f t="shared" ref="O89:O94" si="21">SUM(F89,I89)</f>
        <v>442.60283781052402</v>
      </c>
    </row>
    <row r="90" spans="1:18" x14ac:dyDescent="0.25">
      <c r="A90" s="39">
        <v>46099</v>
      </c>
      <c r="B90" s="40" t="s">
        <v>61</v>
      </c>
      <c r="C90" s="4">
        <v>0.26</v>
      </c>
      <c r="D90" s="13">
        <v>0.78749999999999998</v>
      </c>
      <c r="E90" s="41">
        <f>Effort!J88</f>
        <v>182.32044775273999</v>
      </c>
      <c r="F90" s="42">
        <f>Harvest!J88</f>
        <v>1201.1700087239401</v>
      </c>
      <c r="G90" s="43">
        <f>CPUE!J88</f>
        <v>6.5882352941176805</v>
      </c>
      <c r="H90" s="41" t="str">
        <f>Effort!L88</f>
        <v>CLOSED</v>
      </c>
      <c r="I90" s="42" t="str">
        <f>Harvest!L88</f>
        <v>CLOSED</v>
      </c>
      <c r="J90" s="43" t="str">
        <f>CPUE!L88</f>
        <v>CLOSED</v>
      </c>
      <c r="K90" s="41" t="s">
        <v>10</v>
      </c>
      <c r="L90" s="42" t="s">
        <v>10</v>
      </c>
      <c r="M90" s="43" t="s">
        <v>10</v>
      </c>
      <c r="N90" s="41">
        <f t="shared" si="20"/>
        <v>182.32044775273999</v>
      </c>
      <c r="O90" s="42">
        <f t="shared" si="21"/>
        <v>1201.1700087239401</v>
      </c>
    </row>
    <row r="91" spans="1:18" x14ac:dyDescent="0.25">
      <c r="A91" s="39">
        <v>46100</v>
      </c>
      <c r="B91" s="40" t="s">
        <v>22</v>
      </c>
      <c r="C91" s="4">
        <v>0.54</v>
      </c>
      <c r="D91" s="13">
        <v>0.81111111111111112</v>
      </c>
      <c r="E91" s="41" t="str">
        <f>Effort!J89</f>
        <v>CLOSED</v>
      </c>
      <c r="F91" s="42" t="str">
        <f>Harvest!J89</f>
        <v>CLOSED</v>
      </c>
      <c r="G91" s="43" t="str">
        <f>CPUE!J89</f>
        <v>CLOSED</v>
      </c>
      <c r="H91" s="41">
        <f>Effort!L89</f>
        <v>178.913739265179</v>
      </c>
      <c r="I91" s="42">
        <f>Harvest!L89</f>
        <v>357.82747853035801</v>
      </c>
      <c r="J91" s="43">
        <f>CPUE!L89</f>
        <v>2</v>
      </c>
      <c r="K91" s="41" t="s">
        <v>10</v>
      </c>
      <c r="L91" s="42" t="s">
        <v>10</v>
      </c>
      <c r="M91" s="43" t="s">
        <v>10</v>
      </c>
      <c r="N91" s="41">
        <f t="shared" si="20"/>
        <v>178.913739265179</v>
      </c>
      <c r="O91" s="42">
        <f t="shared" si="21"/>
        <v>357.82747853035801</v>
      </c>
    </row>
    <row r="92" spans="1:18" x14ac:dyDescent="0.25">
      <c r="A92" s="39">
        <v>46101</v>
      </c>
      <c r="B92" s="40" t="s">
        <v>18</v>
      </c>
      <c r="C92" s="4">
        <v>-0.09</v>
      </c>
      <c r="D92" s="13">
        <v>0.33333333333333331</v>
      </c>
      <c r="E92" s="41" t="str">
        <f>Effort!J90</f>
        <v>CLOSED</v>
      </c>
      <c r="F92" s="42" t="str">
        <f>Harvest!J90</f>
        <v>CLOSED</v>
      </c>
      <c r="G92" s="43" t="str">
        <f>CPUE!J90</f>
        <v>CLOSED</v>
      </c>
      <c r="H92" s="41">
        <f>Effort!L90</f>
        <v>294.29484458721299</v>
      </c>
      <c r="I92" s="42">
        <f>Harvest!L90</f>
        <v>724.418078983908</v>
      </c>
      <c r="J92" s="43">
        <f>CPUE!L90</f>
        <v>2.4615384615384586</v>
      </c>
      <c r="K92" s="41" t="s">
        <v>10</v>
      </c>
      <c r="L92" s="42" t="s">
        <v>10</v>
      </c>
      <c r="M92" s="43" t="s">
        <v>10</v>
      </c>
      <c r="N92" s="41">
        <f t="shared" si="20"/>
        <v>294.29484458721299</v>
      </c>
      <c r="O92" s="42">
        <f t="shared" si="21"/>
        <v>724.418078983908</v>
      </c>
    </row>
    <row r="93" spans="1:18" x14ac:dyDescent="0.25">
      <c r="A93" s="39">
        <v>46102</v>
      </c>
      <c r="B93" s="40" t="s">
        <v>19</v>
      </c>
      <c r="C93" s="4">
        <v>-0.48</v>
      </c>
      <c r="D93" s="13">
        <v>0.36319444444444443</v>
      </c>
      <c r="E93" s="41">
        <f>Effort!J91</f>
        <v>3919.6379962516698</v>
      </c>
      <c r="F93" s="42">
        <f>Harvest!J91</f>
        <v>56072.5991130447</v>
      </c>
      <c r="G93" s="43">
        <f>CPUE!J91</f>
        <v>14.30555555555555</v>
      </c>
      <c r="H93" s="41" t="str">
        <f>Effort!L91</f>
        <v>CLOSED</v>
      </c>
      <c r="I93" s="42" t="str">
        <f>Harvest!L91</f>
        <v>CLOSED</v>
      </c>
      <c r="J93" s="43" t="str">
        <f>CPUE!L91</f>
        <v>CLOSED</v>
      </c>
      <c r="K93" s="41" t="s">
        <v>10</v>
      </c>
      <c r="L93" s="42" t="s">
        <v>10</v>
      </c>
      <c r="M93" s="43" t="s">
        <v>10</v>
      </c>
      <c r="N93" s="41">
        <f t="shared" si="20"/>
        <v>3919.6379962516698</v>
      </c>
      <c r="O93" s="42">
        <f t="shared" si="21"/>
        <v>56072.5991130447</v>
      </c>
    </row>
    <row r="94" spans="1:18" x14ac:dyDescent="0.25">
      <c r="A94" s="39">
        <v>46103</v>
      </c>
      <c r="B94" s="40" t="s">
        <v>20</v>
      </c>
      <c r="C94" s="4">
        <v>-0.6</v>
      </c>
      <c r="D94" s="13">
        <v>0.39513888888888887</v>
      </c>
      <c r="E94" s="41">
        <f>Effort!J92</f>
        <v>4448.0491213262603</v>
      </c>
      <c r="F94" s="42">
        <f>Harvest!J92</f>
        <v>54074.3226514173</v>
      </c>
      <c r="G94" s="43">
        <f>CPUE!J92</f>
        <v>12.156862745098044</v>
      </c>
      <c r="H94" s="41" t="str">
        <f>Effort!L92</f>
        <v>CLOSED</v>
      </c>
      <c r="I94" s="42" t="str">
        <f>Harvest!L92</f>
        <v>CLOSED</v>
      </c>
      <c r="J94" s="43" t="str">
        <f>CPUE!L92</f>
        <v>CLOSED</v>
      </c>
      <c r="K94" s="41" t="s">
        <v>10</v>
      </c>
      <c r="L94" s="42" t="s">
        <v>10</v>
      </c>
      <c r="M94" s="43" t="s">
        <v>10</v>
      </c>
      <c r="N94" s="41">
        <f t="shared" si="20"/>
        <v>4448.0491213262603</v>
      </c>
      <c r="O94" s="42">
        <f t="shared" si="21"/>
        <v>54074.3226514173</v>
      </c>
    </row>
    <row r="95" spans="1:18" x14ac:dyDescent="0.25">
      <c r="A95" s="39">
        <v>46104</v>
      </c>
      <c r="B95" s="40" t="s">
        <v>21</v>
      </c>
      <c r="C95" s="4">
        <v>-0.46</v>
      </c>
      <c r="D95" s="13">
        <v>0.43194444444444446</v>
      </c>
      <c r="E95" s="41" t="str">
        <f>Effort!J93</f>
        <v>CLOSED</v>
      </c>
      <c r="F95" s="42" t="str">
        <f>Harvest!J93</f>
        <v>CLOSED</v>
      </c>
      <c r="G95" s="43" t="str">
        <f>CPUE!J93</f>
        <v>CLOSED</v>
      </c>
      <c r="H95" s="41">
        <f>Effort!L93</f>
        <v>928.12852838808897</v>
      </c>
      <c r="I95" s="42">
        <f>Harvest!L93</f>
        <v>10753.4891564965</v>
      </c>
      <c r="J95" s="43">
        <f>CPUE!L93</f>
        <v>11.586206896551747</v>
      </c>
      <c r="K95" s="41" t="s">
        <v>10</v>
      </c>
      <c r="L95" s="42" t="s">
        <v>10</v>
      </c>
      <c r="M95" s="43" t="s">
        <v>10</v>
      </c>
      <c r="N95" s="41">
        <f t="shared" ref="N95:N96" si="22">SUM(E95,H95)</f>
        <v>928.12852838808897</v>
      </c>
      <c r="O95" s="42">
        <f t="shared" ref="O95:O96" si="23">SUM(F95,I95)</f>
        <v>10753.4891564965</v>
      </c>
    </row>
    <row r="96" spans="1:18" x14ac:dyDescent="0.25">
      <c r="A96" s="39">
        <v>46105</v>
      </c>
      <c r="B96" s="40" t="s">
        <v>60</v>
      </c>
      <c r="C96" s="4">
        <v>-0.14000000000000001</v>
      </c>
      <c r="D96" s="13">
        <v>0.47291666666666665</v>
      </c>
      <c r="E96" s="41" t="str">
        <f>Effort!J94</f>
        <v>CLOSED</v>
      </c>
      <c r="F96" s="42" t="str">
        <f>Harvest!J94</f>
        <v>CLOSED</v>
      </c>
      <c r="G96" s="43" t="str">
        <f>CPUE!J94</f>
        <v>CLOSED</v>
      </c>
      <c r="H96" s="41">
        <f>Effort!L94</f>
        <v>34.743059444060201</v>
      </c>
      <c r="I96" s="42">
        <f>Harvest!L94</f>
        <v>69.486118888120401</v>
      </c>
      <c r="J96" s="43">
        <f>CPUE!L94</f>
        <v>2</v>
      </c>
      <c r="K96" s="41" t="s">
        <v>10</v>
      </c>
      <c r="L96" s="42" t="s">
        <v>10</v>
      </c>
      <c r="M96" s="43" t="s">
        <v>10</v>
      </c>
      <c r="N96" s="41">
        <f t="shared" si="22"/>
        <v>34.743059444060201</v>
      </c>
      <c r="O96" s="42">
        <f t="shared" si="23"/>
        <v>69.486118888120401</v>
      </c>
    </row>
    <row r="97" spans="1:18" x14ac:dyDescent="0.25">
      <c r="A97" s="110" t="s">
        <v>50</v>
      </c>
      <c r="B97" s="110"/>
      <c r="C97" s="110"/>
      <c r="D97" s="111"/>
      <c r="E97" s="47">
        <f>SUM(E89:E96)</f>
        <v>8739.6944958208951</v>
      </c>
      <c r="F97" s="48">
        <f>SUM(F89:F96)</f>
        <v>111790.69461099646</v>
      </c>
      <c r="G97" s="49">
        <f>+F97/E97</f>
        <v>12.791144434676978</v>
      </c>
      <c r="H97" s="47">
        <f>SUM(H89:H96)</f>
        <v>1436.0801716845413</v>
      </c>
      <c r="I97" s="48">
        <f>SUM(I89:I96)</f>
        <v>11905.220832898887</v>
      </c>
      <c r="J97" s="49">
        <f>+I97/H97</f>
        <v>8.2900809214111657</v>
      </c>
      <c r="K97" s="47"/>
      <c r="L97" s="48"/>
      <c r="M97" s="79"/>
      <c r="N97" s="47">
        <f>SUM(N89:N96)</f>
        <v>10175.774667505437</v>
      </c>
      <c r="O97" s="48">
        <f>SUM(O89:O96)</f>
        <v>123695.91544389534</v>
      </c>
      <c r="Q97" s="20">
        <f>SUM(E97,H97)</f>
        <v>10175.774667505437</v>
      </c>
      <c r="R97" s="20">
        <f>SUM(F97,I97)</f>
        <v>123695.91544389536</v>
      </c>
    </row>
    <row r="98" spans="1:18" x14ac:dyDescent="0.25">
      <c r="A98" s="39">
        <v>46113</v>
      </c>
      <c r="B98" s="40" t="s">
        <v>61</v>
      </c>
      <c r="C98" s="4">
        <v>0.49</v>
      </c>
      <c r="D98" s="13">
        <v>0.28125</v>
      </c>
      <c r="E98" s="41" t="str">
        <f>Effort!J96</f>
        <v>CLOSED</v>
      </c>
      <c r="F98" s="42" t="str">
        <f>Harvest!J96</f>
        <v>CLOSED</v>
      </c>
      <c r="G98" s="43" t="str">
        <f>CPUE!J96</f>
        <v>CLOSED</v>
      </c>
      <c r="H98" s="41">
        <f>Effort!L96</f>
        <v>94.999996225039297</v>
      </c>
      <c r="I98" s="42">
        <f>Harvest!L96</f>
        <v>211.92306850201101</v>
      </c>
      <c r="J98" s="43">
        <f>CPUE!L96</f>
        <v>2.2307692307692335</v>
      </c>
      <c r="K98" s="41" t="s">
        <v>10</v>
      </c>
      <c r="L98" s="42" t="s">
        <v>10</v>
      </c>
      <c r="M98" s="43" t="s">
        <v>10</v>
      </c>
      <c r="N98" s="41">
        <f t="shared" ref="N98:N104" si="24">SUM(E98,H98)</f>
        <v>94.999996225039297</v>
      </c>
      <c r="O98" s="42">
        <f t="shared" ref="O98:O104" si="25">SUM(F98,I98)</f>
        <v>211.92306850201101</v>
      </c>
    </row>
    <row r="99" spans="1:18" x14ac:dyDescent="0.25">
      <c r="A99" s="39">
        <v>46114</v>
      </c>
      <c r="B99" s="40" t="s">
        <v>22</v>
      </c>
      <c r="C99" s="4">
        <v>7.0000000000000007E-2</v>
      </c>
      <c r="D99" s="13">
        <v>0.30694444444444446</v>
      </c>
      <c r="E99" s="41" t="str">
        <f>Effort!J97</f>
        <v>CLOSED</v>
      </c>
      <c r="F99" s="42" t="str">
        <f>Harvest!J97</f>
        <v>CLOSED</v>
      </c>
      <c r="G99" s="43" t="str">
        <f>CPUE!J97</f>
        <v>CLOSED</v>
      </c>
      <c r="H99" s="41">
        <f>Effort!L97</f>
        <v>217.15329336341401</v>
      </c>
      <c r="I99" s="42">
        <f>Harvest!L97</f>
        <v>1302.9197601804799</v>
      </c>
      <c r="J99" s="43">
        <f>CPUE!L97</f>
        <v>5.9999999999999805</v>
      </c>
      <c r="K99" s="41" t="s">
        <v>10</v>
      </c>
      <c r="L99" s="42" t="s">
        <v>10</v>
      </c>
      <c r="M99" s="43" t="s">
        <v>10</v>
      </c>
      <c r="N99" s="41">
        <f t="shared" si="24"/>
        <v>217.15329336341401</v>
      </c>
      <c r="O99" s="42">
        <f t="shared" si="25"/>
        <v>1302.9197601804799</v>
      </c>
    </row>
    <row r="100" spans="1:18" x14ac:dyDescent="0.25">
      <c r="A100" s="39">
        <v>46115</v>
      </c>
      <c r="B100" s="40" t="s">
        <v>18</v>
      </c>
      <c r="C100" s="4">
        <v>-0.17</v>
      </c>
      <c r="D100" s="13">
        <v>0.33124999999999999</v>
      </c>
      <c r="E100" s="41">
        <f>Effort!J98</f>
        <v>1029.8979904908499</v>
      </c>
      <c r="F100" s="42">
        <f>Harvest!J98</f>
        <v>9918.3654301618899</v>
      </c>
      <c r="G100" s="43">
        <f>CPUE!J98</f>
        <v>9.6304347826087042</v>
      </c>
      <c r="H100" s="41" t="str">
        <f>Effort!L98</f>
        <v>CLOSED</v>
      </c>
      <c r="I100" s="42" t="str">
        <f>Harvest!L98</f>
        <v>CLOSED</v>
      </c>
      <c r="J100" s="43" t="str">
        <f>CPUE!L98</f>
        <v>CLOSED</v>
      </c>
      <c r="K100" s="41" t="s">
        <v>10</v>
      </c>
      <c r="L100" s="42" t="s">
        <v>10</v>
      </c>
      <c r="M100" s="43" t="s">
        <v>10</v>
      </c>
      <c r="N100" s="41">
        <f t="shared" si="24"/>
        <v>1029.8979904908499</v>
      </c>
      <c r="O100" s="42">
        <f t="shared" si="25"/>
        <v>9918.3654301618899</v>
      </c>
    </row>
    <row r="101" spans="1:18" x14ac:dyDescent="0.25">
      <c r="A101" s="39">
        <v>46116</v>
      </c>
      <c r="B101" s="40" t="s">
        <v>19</v>
      </c>
      <c r="C101" s="4">
        <v>-0.22</v>
      </c>
      <c r="D101" s="13">
        <v>0.35555555555555557</v>
      </c>
      <c r="E101" s="41">
        <f>Effort!J99</f>
        <v>3146.9461074893202</v>
      </c>
      <c r="F101" s="42">
        <f>Harvest!J99</f>
        <v>43858.491013851199</v>
      </c>
      <c r="G101" s="43">
        <f>CPUE!J99</f>
        <v>13.936842105263171</v>
      </c>
      <c r="H101" s="41" t="str">
        <f>Effort!L99</f>
        <v>CLOSED</v>
      </c>
      <c r="I101" s="42" t="str">
        <f>Harvest!L99</f>
        <v>CLOSED</v>
      </c>
      <c r="J101" s="43" t="str">
        <f>CPUE!L99</f>
        <v>CLOSED</v>
      </c>
      <c r="K101" s="41" t="s">
        <v>10</v>
      </c>
      <c r="L101" s="42" t="s">
        <v>10</v>
      </c>
      <c r="M101" s="43" t="s">
        <v>10</v>
      </c>
      <c r="N101" s="41">
        <f t="shared" si="24"/>
        <v>3146.9461074893202</v>
      </c>
      <c r="O101" s="42">
        <f t="shared" si="25"/>
        <v>43858.491013851199</v>
      </c>
    </row>
    <row r="102" spans="1:18" x14ac:dyDescent="0.25">
      <c r="A102" s="39">
        <v>46117</v>
      </c>
      <c r="B102" s="40" t="s">
        <v>20</v>
      </c>
      <c r="C102" s="4">
        <v>-0.1</v>
      </c>
      <c r="D102" s="13">
        <v>0.38055555555555554</v>
      </c>
      <c r="E102" s="41" t="str">
        <f>Effort!J100</f>
        <v>CLOSED</v>
      </c>
      <c r="F102" s="42" t="str">
        <f>Harvest!J100</f>
        <v>CLOSED</v>
      </c>
      <c r="G102" s="43" t="str">
        <f>CPUE!J100</f>
        <v>CLOSED</v>
      </c>
      <c r="H102" s="41">
        <f>Effort!L100</f>
        <v>1093.3166621662001</v>
      </c>
      <c r="I102" s="42">
        <f>Harvest!L100</f>
        <v>13413.526810457</v>
      </c>
      <c r="J102" s="43">
        <f>CPUE!L100</f>
        <v>12.268656716417945</v>
      </c>
      <c r="K102" s="41" t="s">
        <v>10</v>
      </c>
      <c r="L102" s="42" t="s">
        <v>10</v>
      </c>
      <c r="M102" s="43" t="s">
        <v>10</v>
      </c>
      <c r="N102" s="41">
        <f t="shared" si="24"/>
        <v>1093.3166621662001</v>
      </c>
      <c r="O102" s="42">
        <f t="shared" si="25"/>
        <v>13413.526810457</v>
      </c>
    </row>
    <row r="103" spans="1:18" x14ac:dyDescent="0.25">
      <c r="A103" s="39">
        <v>46118</v>
      </c>
      <c r="B103" s="40" t="s">
        <v>21</v>
      </c>
      <c r="C103" s="4">
        <v>0.15</v>
      </c>
      <c r="D103" s="13">
        <v>0.40694444444444444</v>
      </c>
      <c r="E103" s="41" t="str">
        <f>Effort!J101</f>
        <v>CLOSED</v>
      </c>
      <c r="F103" s="42" t="str">
        <f>Harvest!J101</f>
        <v>CLOSED</v>
      </c>
      <c r="G103" s="43" t="str">
        <f>CPUE!J101</f>
        <v>CLOSED</v>
      </c>
      <c r="H103" s="41">
        <f>Effort!L101</f>
        <v>632.32075007972105</v>
      </c>
      <c r="I103" s="42">
        <f>Harvest!L101</f>
        <v>3302.1194726385402</v>
      </c>
      <c r="J103" s="43">
        <f>CPUE!L101</f>
        <v>5.222222222222217</v>
      </c>
      <c r="K103" s="41" t="s">
        <v>10</v>
      </c>
      <c r="L103" s="42" t="s">
        <v>10</v>
      </c>
      <c r="M103" s="43" t="s">
        <v>10</v>
      </c>
      <c r="N103" s="41">
        <f t="shared" si="24"/>
        <v>632.32075007972105</v>
      </c>
      <c r="O103" s="42">
        <f t="shared" si="25"/>
        <v>3302.1194726385402</v>
      </c>
    </row>
    <row r="104" spans="1:18" x14ac:dyDescent="0.25">
      <c r="A104" s="39">
        <v>46119</v>
      </c>
      <c r="B104" s="40" t="s">
        <v>60</v>
      </c>
      <c r="C104" s="4">
        <v>0.51</v>
      </c>
      <c r="D104" s="13">
        <v>0.4375</v>
      </c>
      <c r="E104" s="41">
        <f>Effort!J102</f>
        <v>1151.40739172485</v>
      </c>
      <c r="F104" s="42">
        <f>Harvest!J102</f>
        <v>10938.3702213861</v>
      </c>
      <c r="G104" s="43">
        <f>CPUE!J102</f>
        <v>9.5000000000000213</v>
      </c>
      <c r="H104" s="41" t="str">
        <f>Effort!L102</f>
        <v>CLOSED</v>
      </c>
      <c r="I104" s="42" t="str">
        <f>Harvest!L102</f>
        <v>CLOSED</v>
      </c>
      <c r="J104" s="43" t="str">
        <f>CPUE!L102</f>
        <v>CLOSED</v>
      </c>
      <c r="K104" s="41" t="s">
        <v>10</v>
      </c>
      <c r="L104" s="42" t="s">
        <v>10</v>
      </c>
      <c r="M104" s="43" t="s">
        <v>10</v>
      </c>
      <c r="N104" s="41">
        <f t="shared" si="24"/>
        <v>1151.40739172485</v>
      </c>
      <c r="O104" s="42">
        <f t="shared" si="25"/>
        <v>10938.3702213861</v>
      </c>
    </row>
    <row r="105" spans="1:18" x14ac:dyDescent="0.25">
      <c r="A105" s="110" t="s">
        <v>50</v>
      </c>
      <c r="B105" s="110"/>
      <c r="C105" s="110"/>
      <c r="D105" s="111"/>
      <c r="E105" s="47">
        <f>SUM(E98:E104)</f>
        <v>5328.2514897050196</v>
      </c>
      <c r="F105" s="48">
        <f>SUM(F98:F104)</f>
        <v>64715.226665399183</v>
      </c>
      <c r="G105" s="49">
        <f>+F105/E105</f>
        <v>12.145677956537655</v>
      </c>
      <c r="H105" s="47">
        <f>SUM(H98:H104)</f>
        <v>2037.7907018343744</v>
      </c>
      <c r="I105" s="48">
        <f>SUM(I98:I104)</f>
        <v>18230.489111778032</v>
      </c>
      <c r="J105" s="49">
        <f>+I105/H105</f>
        <v>8.9462029124813185</v>
      </c>
      <c r="K105" s="47"/>
      <c r="L105" s="48"/>
      <c r="M105" s="79"/>
      <c r="N105" s="47">
        <f>SUM(N98:N104)</f>
        <v>7366.0421915393936</v>
      </c>
      <c r="O105" s="48">
        <f>SUM(O98:O104)</f>
        <v>82945.715777177218</v>
      </c>
      <c r="Q105" s="20">
        <f>SUM(E105,H105)</f>
        <v>7366.0421915393945</v>
      </c>
      <c r="R105" s="20">
        <f>SUM(F105,I105)</f>
        <v>82945.715777177218</v>
      </c>
    </row>
    <row r="106" spans="1:18" x14ac:dyDescent="0.25">
      <c r="A106" s="39">
        <v>46129</v>
      </c>
      <c r="B106" s="40" t="s">
        <v>18</v>
      </c>
      <c r="C106" s="4">
        <v>-0.94</v>
      </c>
      <c r="D106" s="13">
        <v>0.2902777777777778</v>
      </c>
      <c r="E106" s="41" t="str">
        <f>Effort!J104</f>
        <v>CLOSED</v>
      </c>
      <c r="F106" s="42" t="str">
        <f>Harvest!J104</f>
        <v>CLOSED</v>
      </c>
      <c r="G106" s="43" t="str">
        <f>CPUE!J104</f>
        <v>CLOSED</v>
      </c>
      <c r="H106" s="41">
        <f>Effort!L104</f>
        <v>873.16171725355002</v>
      </c>
      <c r="I106" s="42">
        <f>Harvest!L104</f>
        <v>13097.4257588032</v>
      </c>
      <c r="J106" s="43">
        <f>CPUE!L104</f>
        <v>14.999999999999941</v>
      </c>
      <c r="K106" s="41" t="s">
        <v>10</v>
      </c>
      <c r="L106" s="42" t="s">
        <v>10</v>
      </c>
      <c r="M106" s="43" t="s">
        <v>10</v>
      </c>
      <c r="N106" s="41">
        <f t="shared" ref="N106:N112" si="26">SUM(E106,H106)</f>
        <v>873.16171725355002</v>
      </c>
      <c r="O106" s="42">
        <f t="shared" ref="O106:O112" si="27">SUM(F106,I106)</f>
        <v>13097.4257588032</v>
      </c>
    </row>
    <row r="107" spans="1:18" x14ac:dyDescent="0.25">
      <c r="A107" s="39">
        <v>46130</v>
      </c>
      <c r="B107" s="40" t="s">
        <v>19</v>
      </c>
      <c r="C107" s="4">
        <v>-1.51</v>
      </c>
      <c r="D107" s="13">
        <v>0.32013888888888886</v>
      </c>
      <c r="E107" s="41" t="str">
        <f>Effort!J105</f>
        <v>CLOSED</v>
      </c>
      <c r="F107" s="42" t="str">
        <f>Harvest!J105</f>
        <v>CLOSED</v>
      </c>
      <c r="G107" s="43" t="str">
        <f>CPUE!J105</f>
        <v>CLOSED</v>
      </c>
      <c r="H107" s="41">
        <f>Effort!L105</f>
        <v>2668.1754064675001</v>
      </c>
      <c r="I107" s="42">
        <f>Harvest!L105</f>
        <v>30692.852192278398</v>
      </c>
      <c r="J107" s="43">
        <f>CPUE!L105</f>
        <v>11.503311258278123</v>
      </c>
      <c r="K107" s="41" t="s">
        <v>10</v>
      </c>
      <c r="L107" s="42" t="s">
        <v>10</v>
      </c>
      <c r="M107" s="43" t="s">
        <v>10</v>
      </c>
      <c r="N107" s="41">
        <f t="shared" si="26"/>
        <v>2668.1754064675001</v>
      </c>
      <c r="O107" s="42">
        <f t="shared" si="27"/>
        <v>30692.852192278398</v>
      </c>
    </row>
    <row r="108" spans="1:18" x14ac:dyDescent="0.25">
      <c r="A108" s="39">
        <v>46131</v>
      </c>
      <c r="B108" s="40" t="s">
        <v>20</v>
      </c>
      <c r="C108" s="4">
        <v>-1.75</v>
      </c>
      <c r="D108" s="13">
        <v>0.35138888888888886</v>
      </c>
      <c r="E108" s="41">
        <f>Effort!J106</f>
        <v>4133.6056297543901</v>
      </c>
      <c r="F108" s="42">
        <f>Harvest!J106</f>
        <v>53392.406050994097</v>
      </c>
      <c r="G108" s="43">
        <f>CPUE!J106</f>
        <v>12.916666666666641</v>
      </c>
      <c r="H108" s="41" t="str">
        <f>Effort!L106</f>
        <v>CLOSED</v>
      </c>
      <c r="I108" s="42" t="str">
        <f>Harvest!L106</f>
        <v>CLOSED</v>
      </c>
      <c r="J108" s="43" t="str">
        <f>CPUE!L106</f>
        <v>CLOSED</v>
      </c>
      <c r="K108" s="41" t="s">
        <v>10</v>
      </c>
      <c r="L108" s="42" t="s">
        <v>10</v>
      </c>
      <c r="M108" s="43" t="s">
        <v>10</v>
      </c>
      <c r="N108" s="41">
        <f t="shared" si="26"/>
        <v>4133.6056297543901</v>
      </c>
      <c r="O108" s="42">
        <f t="shared" si="27"/>
        <v>53392.406050994097</v>
      </c>
    </row>
    <row r="109" spans="1:18" x14ac:dyDescent="0.25">
      <c r="A109" s="39">
        <v>46132</v>
      </c>
      <c r="B109" s="40" t="s">
        <v>21</v>
      </c>
      <c r="C109" s="4">
        <v>-1.67</v>
      </c>
      <c r="D109" s="13">
        <v>0.38472222222222224</v>
      </c>
      <c r="E109" s="41">
        <f>Effort!J107</f>
        <v>2819.8527879304102</v>
      </c>
      <c r="F109" s="42">
        <f>Harvest!J107</f>
        <v>41851.082466412699</v>
      </c>
      <c r="G109" s="43">
        <f>CPUE!J107</f>
        <v>14.841584158415834</v>
      </c>
      <c r="H109" s="41" t="str">
        <f>Effort!L107</f>
        <v>CLOSED</v>
      </c>
      <c r="I109" s="42" t="str">
        <f>Harvest!L107</f>
        <v>CLOSED</v>
      </c>
      <c r="J109" s="43" t="str">
        <f>CPUE!L107</f>
        <v>CLOSED</v>
      </c>
      <c r="K109" s="41" t="s">
        <v>10</v>
      </c>
      <c r="L109" s="42" t="s">
        <v>10</v>
      </c>
      <c r="M109" s="43" t="s">
        <v>10</v>
      </c>
      <c r="N109" s="41">
        <f t="shared" si="26"/>
        <v>2819.8527879304102</v>
      </c>
      <c r="O109" s="42">
        <f t="shared" si="27"/>
        <v>41851.082466412699</v>
      </c>
    </row>
    <row r="110" spans="1:18" x14ac:dyDescent="0.25">
      <c r="A110" s="39">
        <v>46133</v>
      </c>
      <c r="B110" s="40" t="s">
        <v>60</v>
      </c>
      <c r="C110" s="4">
        <v>-1.3</v>
      </c>
      <c r="D110" s="13">
        <v>0.42152777777777778</v>
      </c>
      <c r="E110" s="41" t="str">
        <f>Effort!J108</f>
        <v>CLOSED</v>
      </c>
      <c r="F110" s="42" t="str">
        <f>Harvest!J108</f>
        <v>CLOSED</v>
      </c>
      <c r="G110" s="43" t="str">
        <f>CPUE!J108</f>
        <v>CLOSED</v>
      </c>
      <c r="H110" s="41">
        <f>Effort!L108</f>
        <v>1181.0927559577001</v>
      </c>
      <c r="I110" s="42">
        <f>Harvest!L108</f>
        <v>16572.207732031398</v>
      </c>
      <c r="J110" s="43">
        <f>CPUE!L108</f>
        <v>14.031249999999931</v>
      </c>
      <c r="K110" s="41" t="s">
        <v>10</v>
      </c>
      <c r="L110" s="42" t="s">
        <v>10</v>
      </c>
      <c r="M110" s="43" t="s">
        <v>10</v>
      </c>
      <c r="N110" s="41">
        <f t="shared" si="26"/>
        <v>1181.0927559577001</v>
      </c>
      <c r="O110" s="42">
        <f t="shared" si="27"/>
        <v>16572.207732031398</v>
      </c>
    </row>
    <row r="111" spans="1:18" x14ac:dyDescent="0.25">
      <c r="A111" s="39">
        <v>46134</v>
      </c>
      <c r="B111" s="40" t="s">
        <v>61</v>
      </c>
      <c r="C111" s="4">
        <v>-0.78</v>
      </c>
      <c r="D111" s="13">
        <v>0.46250000000000002</v>
      </c>
      <c r="E111" s="41" t="str">
        <f>Effort!J109</f>
        <v>CLOSED</v>
      </c>
      <c r="F111" s="42" t="str">
        <f>Harvest!J109</f>
        <v>CLOSED</v>
      </c>
      <c r="G111" s="43" t="str">
        <f>CPUE!J109</f>
        <v>CLOSED</v>
      </c>
      <c r="H111" s="41">
        <f>Effort!L109</f>
        <v>516.65906338822106</v>
      </c>
      <c r="I111" s="42">
        <f>Harvest!L109</f>
        <v>5747.8320801939599</v>
      </c>
      <c r="J111" s="43">
        <f>CPUE!L109</f>
        <v>11.125000000000002</v>
      </c>
      <c r="K111" s="41" t="s">
        <v>10</v>
      </c>
      <c r="L111" s="42" t="s">
        <v>10</v>
      </c>
      <c r="M111" s="43" t="s">
        <v>10</v>
      </c>
      <c r="N111" s="41">
        <f t="shared" si="26"/>
        <v>516.65906338822106</v>
      </c>
      <c r="O111" s="42">
        <f t="shared" si="27"/>
        <v>5747.8320801939599</v>
      </c>
    </row>
    <row r="112" spans="1:18" x14ac:dyDescent="0.25">
      <c r="A112" s="39">
        <v>46135</v>
      </c>
      <c r="B112" s="40" t="s">
        <v>22</v>
      </c>
      <c r="C112" s="4">
        <v>-0.22</v>
      </c>
      <c r="D112" s="13">
        <v>0.50763888888888886</v>
      </c>
      <c r="E112" s="41">
        <f>Effort!J110</f>
        <v>982.92177821922803</v>
      </c>
      <c r="F112" s="42">
        <f>Harvest!J110</f>
        <v>12168.571614354099</v>
      </c>
      <c r="G112" s="43">
        <f>CPUE!J110</f>
        <v>12.380000000000058</v>
      </c>
      <c r="H112" s="41" t="str">
        <f>Effort!L110</f>
        <v>CLOSED</v>
      </c>
      <c r="I112" s="42" t="str">
        <f>Harvest!L110</f>
        <v>CLOSED</v>
      </c>
      <c r="J112" s="43" t="str">
        <f>CPUE!L110</f>
        <v>CLOSED</v>
      </c>
      <c r="K112" s="41" t="s">
        <v>10</v>
      </c>
      <c r="L112" s="42" t="s">
        <v>10</v>
      </c>
      <c r="M112" s="43" t="s">
        <v>10</v>
      </c>
      <c r="N112" s="41">
        <f t="shared" si="26"/>
        <v>982.92177821922803</v>
      </c>
      <c r="O112" s="42">
        <f t="shared" si="27"/>
        <v>12168.571614354099</v>
      </c>
    </row>
    <row r="113" spans="1:19" x14ac:dyDescent="0.25">
      <c r="A113" s="110" t="s">
        <v>50</v>
      </c>
      <c r="B113" s="110"/>
      <c r="C113" s="110"/>
      <c r="D113" s="111"/>
      <c r="E113" s="47">
        <f>SUM(E106:E112)</f>
        <v>7936.3801959040284</v>
      </c>
      <c r="F113" s="48">
        <f>SUM(F106:F112)</f>
        <v>107412.0601317609</v>
      </c>
      <c r="G113" s="49">
        <f>+F113/E113</f>
        <v>13.53413741282157</v>
      </c>
      <c r="H113" s="47">
        <f>SUM(H106:H112)</f>
        <v>5239.0889430669722</v>
      </c>
      <c r="I113" s="48">
        <f>SUM(I106:I112)</f>
        <v>66110.317763306957</v>
      </c>
      <c r="J113" s="49">
        <f>+I113/H113</f>
        <v>12.618666810532492</v>
      </c>
      <c r="K113" s="47"/>
      <c r="L113" s="48"/>
      <c r="M113" s="79"/>
      <c r="N113" s="47">
        <f>SUM(N106:N112)</f>
        <v>13175.469138970999</v>
      </c>
      <c r="O113" s="48">
        <f>SUM(O106:O112)</f>
        <v>173522.37789506785</v>
      </c>
      <c r="Q113" s="20">
        <f>SUM(E113,H113)</f>
        <v>13175.469138971001</v>
      </c>
      <c r="R113" s="20">
        <f>SUM(F113,I113)</f>
        <v>173522.37789506785</v>
      </c>
    </row>
    <row r="114" spans="1:19" x14ac:dyDescent="0.25">
      <c r="A114" s="39">
        <v>46142</v>
      </c>
      <c r="B114" s="40" t="s">
        <v>22</v>
      </c>
      <c r="C114" s="4">
        <v>-0.32</v>
      </c>
      <c r="D114" s="13">
        <v>0.26805555555555555</v>
      </c>
      <c r="E114" s="41" t="str">
        <f>Effort!J112</f>
        <v>CLOSED</v>
      </c>
      <c r="F114" s="42" t="str">
        <f>Harvest!J112</f>
        <v>CLOSED</v>
      </c>
      <c r="G114" s="43" t="str">
        <f>CPUE!J112</f>
        <v>CLOSED</v>
      </c>
      <c r="H114" s="41">
        <f>Effort!L112</f>
        <v>253.30921614639399</v>
      </c>
      <c r="I114" s="42">
        <f>Harvest!L112</f>
        <v>3799.6382421959102</v>
      </c>
      <c r="J114" s="43">
        <f>CPUE!L112</f>
        <v>15.000000000000002</v>
      </c>
      <c r="K114" s="41" t="s">
        <v>10</v>
      </c>
      <c r="L114" s="42" t="s">
        <v>10</v>
      </c>
      <c r="M114" s="43" t="s">
        <v>10</v>
      </c>
      <c r="N114" s="41">
        <f t="shared" ref="N114:N120" si="28">SUM(E114,H114)</f>
        <v>253.30921614639399</v>
      </c>
      <c r="O114" s="42">
        <f t="shared" ref="O114:O120" si="29">SUM(F114,I114)</f>
        <v>3799.6382421959102</v>
      </c>
    </row>
    <row r="115" spans="1:19" x14ac:dyDescent="0.25">
      <c r="A115" s="39">
        <v>46143</v>
      </c>
      <c r="B115" s="40" t="s">
        <v>18</v>
      </c>
      <c r="C115" s="4">
        <v>-0.66</v>
      </c>
      <c r="D115" s="13">
        <v>0.29236111111111113</v>
      </c>
      <c r="E115" s="41">
        <f>Effort!J113</f>
        <v>1117.99713812154</v>
      </c>
      <c r="F115" s="42">
        <f>Harvest!J113</f>
        <v>13866.770955088101</v>
      </c>
      <c r="G115" s="43">
        <f>CPUE!J113</f>
        <v>12.403225806451584</v>
      </c>
      <c r="H115" s="41" t="str">
        <f>Effort!L113</f>
        <v>CLOSED</v>
      </c>
      <c r="I115" s="42" t="str">
        <f>Harvest!L113</f>
        <v>CLOSED</v>
      </c>
      <c r="J115" s="43" t="str">
        <f>CPUE!L113</f>
        <v>CLOSED</v>
      </c>
      <c r="K115" s="41" t="s">
        <v>10</v>
      </c>
      <c r="L115" s="42" t="s">
        <v>10</v>
      </c>
      <c r="M115" s="43" t="s">
        <v>10</v>
      </c>
      <c r="N115" s="41">
        <f t="shared" si="28"/>
        <v>1117.99713812154</v>
      </c>
      <c r="O115" s="42">
        <f t="shared" si="29"/>
        <v>13866.770955088101</v>
      </c>
    </row>
    <row r="116" spans="1:19" x14ac:dyDescent="0.25">
      <c r="A116" s="39">
        <v>46144</v>
      </c>
      <c r="B116" s="40" t="s">
        <v>19</v>
      </c>
      <c r="C116" s="4">
        <v>-0.83</v>
      </c>
      <c r="D116" s="13">
        <v>0.31597222222222221</v>
      </c>
      <c r="E116" s="41">
        <f>Effort!J114</f>
        <v>3223.3604805628502</v>
      </c>
      <c r="F116" s="42">
        <f>Harvest!J114</f>
        <v>42170.079675462803</v>
      </c>
      <c r="G116" s="43">
        <f>CPUE!J114</f>
        <v>13.082644628099192</v>
      </c>
      <c r="H116" s="41" t="str">
        <f>Effort!L114</f>
        <v>CLOSED</v>
      </c>
      <c r="I116" s="42" t="str">
        <f>Harvest!L114</f>
        <v>CLOSED</v>
      </c>
      <c r="J116" s="43" t="str">
        <f>CPUE!L114</f>
        <v>CLOSED</v>
      </c>
      <c r="K116" s="41" t="s">
        <v>10</v>
      </c>
      <c r="L116" s="42" t="s">
        <v>10</v>
      </c>
      <c r="M116" s="43" t="s">
        <v>10</v>
      </c>
      <c r="N116" s="41">
        <f t="shared" si="28"/>
        <v>3223.3604805628502</v>
      </c>
      <c r="O116" s="42">
        <f t="shared" si="29"/>
        <v>42170.079675462803</v>
      </c>
    </row>
    <row r="117" spans="1:19" x14ac:dyDescent="0.25">
      <c r="A117" s="39">
        <v>46145</v>
      </c>
      <c r="B117" s="40" t="s">
        <v>20</v>
      </c>
      <c r="C117" s="4">
        <v>-0.82</v>
      </c>
      <c r="D117" s="13">
        <v>0.33888888888888891</v>
      </c>
      <c r="E117" s="41" t="str">
        <f>Effort!J115</f>
        <v>CLOSED</v>
      </c>
      <c r="F117" s="42" t="str">
        <f>Harvest!J115</f>
        <v>CLOSED</v>
      </c>
      <c r="G117" s="43" t="str">
        <f>CPUE!J115</f>
        <v>CLOSED</v>
      </c>
      <c r="H117" s="41">
        <f>Effort!L115</f>
        <v>1863.4477394753201</v>
      </c>
      <c r="I117" s="42">
        <f>Harvest!L115</f>
        <v>19018.693423510998</v>
      </c>
      <c r="J117" s="43">
        <f>CPUE!L115</f>
        <v>10.206185567010309</v>
      </c>
      <c r="K117" s="41" t="s">
        <v>10</v>
      </c>
      <c r="L117" s="42" t="s">
        <v>10</v>
      </c>
      <c r="M117" s="43" t="s">
        <v>10</v>
      </c>
      <c r="N117" s="41">
        <f t="shared" si="28"/>
        <v>1863.4477394753201</v>
      </c>
      <c r="O117" s="42">
        <f t="shared" si="29"/>
        <v>19018.693423510998</v>
      </c>
    </row>
    <row r="118" spans="1:19" x14ac:dyDescent="0.25">
      <c r="A118" s="39">
        <v>46146</v>
      </c>
      <c r="B118" s="40" t="s">
        <v>21</v>
      </c>
      <c r="C118" s="4">
        <v>-0.68</v>
      </c>
      <c r="D118" s="13">
        <v>0.36319444444444443</v>
      </c>
      <c r="E118" s="41" t="str">
        <f>Effort!J116</f>
        <v>CLOSED</v>
      </c>
      <c r="F118" s="42" t="str">
        <f>Harvest!J116</f>
        <v>CLOSED</v>
      </c>
      <c r="G118" s="43" t="str">
        <f>CPUE!J116</f>
        <v>CLOSED</v>
      </c>
      <c r="H118" s="41">
        <f>Effort!L116</f>
        <v>548.16209603108302</v>
      </c>
      <c r="I118" s="42">
        <f>Harvest!L116</f>
        <v>5371.9885411046198</v>
      </c>
      <c r="J118" s="43">
        <f>CPUE!L116</f>
        <v>9.8000000000000114</v>
      </c>
      <c r="K118" s="41" t="s">
        <v>10</v>
      </c>
      <c r="L118" s="42" t="s">
        <v>10</v>
      </c>
      <c r="M118" s="43" t="s">
        <v>10</v>
      </c>
      <c r="N118" s="41">
        <f t="shared" si="28"/>
        <v>548.16209603108302</v>
      </c>
      <c r="O118" s="42">
        <f t="shared" si="29"/>
        <v>5371.9885411046198</v>
      </c>
    </row>
    <row r="119" spans="1:19" x14ac:dyDescent="0.25">
      <c r="A119" s="39">
        <v>46147</v>
      </c>
      <c r="B119" s="40" t="s">
        <v>60</v>
      </c>
      <c r="C119" s="4">
        <v>-0.42</v>
      </c>
      <c r="D119" s="13">
        <v>0.38958333333333334</v>
      </c>
      <c r="E119" s="41">
        <f>Effort!J117</f>
        <v>1442.70647721045</v>
      </c>
      <c r="F119" s="42">
        <f>Harvest!J117</f>
        <v>19890.113299141402</v>
      </c>
      <c r="G119" s="43">
        <f>CPUE!J117</f>
        <v>13.786666666666665</v>
      </c>
      <c r="H119" s="41" t="str">
        <f>Effort!L117</f>
        <v>CLOSED</v>
      </c>
      <c r="I119" s="42" t="str">
        <f>Harvest!L117</f>
        <v>CLOSED</v>
      </c>
      <c r="J119" s="43" t="str">
        <f>CPUE!L117</f>
        <v>CLOSED</v>
      </c>
      <c r="K119" s="41" t="s">
        <v>10</v>
      </c>
      <c r="L119" s="42" t="s">
        <v>10</v>
      </c>
      <c r="M119" s="43" t="s">
        <v>10</v>
      </c>
      <c r="N119" s="41">
        <f t="shared" si="28"/>
        <v>1442.70647721045</v>
      </c>
      <c r="O119" s="42">
        <f t="shared" si="29"/>
        <v>19890.113299141402</v>
      </c>
    </row>
    <row r="120" spans="1:19" x14ac:dyDescent="0.25">
      <c r="A120" s="39">
        <v>46148</v>
      </c>
      <c r="B120" s="40" t="s">
        <v>61</v>
      </c>
      <c r="C120" s="4">
        <v>-0.11</v>
      </c>
      <c r="D120" s="13">
        <v>0.41875000000000001</v>
      </c>
      <c r="E120" s="41">
        <f>Effort!J118</f>
        <v>1033.1492039321899</v>
      </c>
      <c r="F120" s="42">
        <f>Harvest!J118</f>
        <v>13211.786789678399</v>
      </c>
      <c r="G120" s="43">
        <f>CPUE!J118</f>
        <v>12.787878787878876</v>
      </c>
      <c r="H120" s="41" t="str">
        <f>Effort!L118</f>
        <v>CLOSED</v>
      </c>
      <c r="I120" s="42" t="str">
        <f>Harvest!L118</f>
        <v>CLOSED</v>
      </c>
      <c r="J120" s="43" t="str">
        <f>CPUE!L118</f>
        <v>CLOSED</v>
      </c>
      <c r="K120" s="41" t="s">
        <v>10</v>
      </c>
      <c r="L120" s="42" t="s">
        <v>10</v>
      </c>
      <c r="M120" s="43" t="s">
        <v>10</v>
      </c>
      <c r="N120" s="41">
        <f t="shared" si="28"/>
        <v>1033.1492039321899</v>
      </c>
      <c r="O120" s="42">
        <f t="shared" si="29"/>
        <v>13211.786789678399</v>
      </c>
    </row>
    <row r="121" spans="1:19" x14ac:dyDescent="0.25">
      <c r="A121" s="110" t="s">
        <v>50</v>
      </c>
      <c r="B121" s="110"/>
      <c r="C121" s="110"/>
      <c r="D121" s="111"/>
      <c r="E121" s="47">
        <f>SUM(E114:E120)</f>
        <v>6817.2132998270308</v>
      </c>
      <c r="F121" s="48">
        <f>SUM(F114:F120)</f>
        <v>89138.750719370713</v>
      </c>
      <c r="G121" s="49">
        <f>+F121/E121</f>
        <v>13.075540811027928</v>
      </c>
      <c r="H121" s="47">
        <f>SUM(H114:H120)</f>
        <v>2664.919051652797</v>
      </c>
      <c r="I121" s="48">
        <f>SUM(I114:I120)</f>
        <v>28190.320206811528</v>
      </c>
      <c r="J121" s="49">
        <f>+I121/H121</f>
        <v>10.578302627739383</v>
      </c>
      <c r="K121" s="47"/>
      <c r="L121" s="48"/>
      <c r="M121" s="79"/>
      <c r="N121" s="47">
        <f>SUM(N114:N120)</f>
        <v>9482.132351479826</v>
      </c>
      <c r="O121" s="48">
        <f>SUM(O114:O120)</f>
        <v>117329.07092618225</v>
      </c>
      <c r="Q121" s="20">
        <f>SUM(E121,H121)</f>
        <v>9482.1323514798278</v>
      </c>
      <c r="R121" s="20">
        <f>SUM(F121,I121)</f>
        <v>117329.07092618223</v>
      </c>
    </row>
    <row r="122" spans="1:19" ht="15.75" thickBot="1" x14ac:dyDescent="0.3">
      <c r="A122" s="81"/>
      <c r="B122" s="81"/>
      <c r="C122" s="81"/>
      <c r="D122" s="81"/>
      <c r="E122" s="62"/>
      <c r="F122" s="62"/>
      <c r="G122" s="63"/>
      <c r="H122" s="62"/>
      <c r="I122" s="62"/>
      <c r="J122" s="63"/>
      <c r="K122" s="62"/>
      <c r="L122" s="62"/>
      <c r="M122" s="63"/>
      <c r="N122" s="62"/>
      <c r="O122" s="62"/>
      <c r="Q122" s="20"/>
      <c r="R122" s="20"/>
    </row>
    <row r="123" spans="1:19" ht="15.75" thickTop="1" x14ac:dyDescent="0.25">
      <c r="A123" s="56" t="s">
        <v>51</v>
      </c>
      <c r="B123" s="57"/>
      <c r="C123" s="57"/>
      <c r="D123" s="57"/>
      <c r="E123" s="58">
        <f>SUM(E11,E19,E27,E34,E42,E49,E57,E65,E73,E80,E88,E97,E105,E113,E121)</f>
        <v>72865.365829009257</v>
      </c>
      <c r="F123" s="58">
        <f>SUM(F11,F19,F27,F34,F42,F49,F57,F65,F73,F80,F88,F97,F105,F113,F121)</f>
        <v>861964.16125146288</v>
      </c>
      <c r="G123" s="59">
        <f>+F123/E123</f>
        <v>11.829545511021047</v>
      </c>
      <c r="H123" s="58">
        <f>SUM(H11,H19,H27,H34,H42,H49,H57,H65,H73,H80,H88,H97,H105,H113,H121)</f>
        <v>38562.771953033174</v>
      </c>
      <c r="I123" s="58">
        <f>SUM(I11,I19,I27,I34,I42,I49,I57,I65,I73,I80,I88,I97,I105,I113,I121)</f>
        <v>411473.54489387042</v>
      </c>
      <c r="J123" s="59">
        <f>+I123/H123</f>
        <v>10.670227373566847</v>
      </c>
      <c r="K123" s="58">
        <f>SUM(K11,K19,K27,K34,K42,K49,K57,K65,K73,K80,K88,K97,K105,K113,K121)</f>
        <v>0</v>
      </c>
      <c r="L123" s="58">
        <f>SUM(L11,L19,L27,L34,L42,L49,L57,L65,L73,L80,L88,L97,L105,L113,L121)</f>
        <v>0</v>
      </c>
      <c r="M123" s="59">
        <v>0</v>
      </c>
      <c r="N123" s="58">
        <f>SUM(N11,N19,N27,N34,N42,N49,N57,N65,N73,N80,N88,N97,N105,N113,N121)</f>
        <v>111428.13778204245</v>
      </c>
      <c r="O123" s="58">
        <f>SUM(O11,O19,O27,O34,O42,O49,O57,O65,O73,O80,O88,O97,O105,O113,O121)</f>
        <v>1273437.7061453334</v>
      </c>
      <c r="Q123" s="20">
        <f>SUM(Q4:Q122)</f>
        <v>111428.13778204245</v>
      </c>
      <c r="R123" s="20">
        <f>SUM(R4:R122)</f>
        <v>1273437.7061453334</v>
      </c>
      <c r="S123" s="20"/>
    </row>
    <row r="124" spans="1:19" x14ac:dyDescent="0.25">
      <c r="A124" s="60" t="s">
        <v>52</v>
      </c>
      <c r="B124" s="61"/>
      <c r="C124" s="61"/>
      <c r="D124" s="61"/>
      <c r="E124" s="62"/>
      <c r="F124" s="62">
        <f>Harvest!J122</f>
        <v>17631.085116507198</v>
      </c>
      <c r="G124" s="63"/>
      <c r="H124" s="62"/>
      <c r="I124" s="62">
        <f>Harvest!L122</f>
        <v>5908.3380805273682</v>
      </c>
      <c r="J124" s="63"/>
      <c r="K124" s="62"/>
      <c r="L124" s="62">
        <f>Harvest!N122</f>
        <v>0</v>
      </c>
      <c r="M124" s="63"/>
      <c r="N124" s="62"/>
      <c r="O124" s="62">
        <f>SUM(F124+I124)</f>
        <v>23539.423197034565</v>
      </c>
      <c r="Q124" s="20">
        <f>SUM(E123,H123)</f>
        <v>111428.13778204244</v>
      </c>
      <c r="R124" s="20">
        <f>SUM(F123,I123)</f>
        <v>1273437.7061453334</v>
      </c>
      <c r="S124" s="20"/>
    </row>
    <row r="125" spans="1:19" x14ac:dyDescent="0.25">
      <c r="A125" s="64" t="s">
        <v>53</v>
      </c>
      <c r="B125" s="65"/>
      <c r="C125" s="65"/>
      <c r="D125" s="65"/>
      <c r="E125" s="66">
        <f>Effort!J120</f>
        <v>72865.365829009272</v>
      </c>
      <c r="F125" s="66">
        <f>F123+F124</f>
        <v>879595.24636797013</v>
      </c>
      <c r="G125" s="67"/>
      <c r="H125" s="66">
        <f>Effort!L120</f>
        <v>38562.771953033174</v>
      </c>
      <c r="I125" s="66">
        <f>I123+I124</f>
        <v>417381.8829743978</v>
      </c>
      <c r="J125" s="67"/>
      <c r="K125" s="66">
        <f>Effort!N120</f>
        <v>0</v>
      </c>
      <c r="L125" s="66">
        <f>L123+L124</f>
        <v>0</v>
      </c>
      <c r="M125" s="67"/>
      <c r="N125" s="66">
        <f>SUM(N123:N124)</f>
        <v>111428.13778204245</v>
      </c>
      <c r="O125" s="66">
        <f>SUM(O123:O124)</f>
        <v>1296977.1293423679</v>
      </c>
      <c r="Q125" s="20"/>
      <c r="R125" s="20">
        <f>SUM(F125,I125,L125)</f>
        <v>1296977.1293423679</v>
      </c>
    </row>
    <row r="126" spans="1:19" x14ac:dyDescent="0.25">
      <c r="A126" s="69" t="s">
        <v>14</v>
      </c>
      <c r="B126" s="70"/>
      <c r="C126" s="70"/>
      <c r="D126" s="70"/>
      <c r="E126" s="70"/>
      <c r="F126" s="71">
        <f>Harvest!J125</f>
        <v>0.78418931782862056</v>
      </c>
      <c r="G126" s="70"/>
      <c r="H126" s="70"/>
      <c r="I126" s="71">
        <f>Harvest!L125</f>
        <v>0.33027648258928377</v>
      </c>
      <c r="J126" s="70"/>
      <c r="K126" s="70"/>
      <c r="L126" s="71">
        <f>Harvest!N125</f>
        <v>0</v>
      </c>
      <c r="M126" s="70"/>
      <c r="N126" s="70"/>
      <c r="O126" s="72"/>
      <c r="R126" s="20"/>
    </row>
    <row r="127" spans="1:19" x14ac:dyDescent="0.25">
      <c r="A127" s="60" t="s">
        <v>81</v>
      </c>
      <c r="G127" t="s">
        <v>88</v>
      </c>
      <c r="J127" t="s">
        <v>87</v>
      </c>
    </row>
    <row r="128" spans="1:19" x14ac:dyDescent="0.25">
      <c r="O128" s="20"/>
    </row>
  </sheetData>
  <mergeCells count="19">
    <mergeCell ref="A121:D121"/>
    <mergeCell ref="A34:D34"/>
    <mergeCell ref="A27:D27"/>
    <mergeCell ref="A105:D105"/>
    <mergeCell ref="A97:D97"/>
    <mergeCell ref="A88:D88"/>
    <mergeCell ref="A80:D80"/>
    <mergeCell ref="A73:D73"/>
    <mergeCell ref="A65:D65"/>
    <mergeCell ref="A19:D19"/>
    <mergeCell ref="A42:D42"/>
    <mergeCell ref="A49:D49"/>
    <mergeCell ref="A113:D113"/>
    <mergeCell ref="N2:O2"/>
    <mergeCell ref="E2:G2"/>
    <mergeCell ref="H2:J2"/>
    <mergeCell ref="K2:M2"/>
    <mergeCell ref="A11:D11"/>
    <mergeCell ref="A57:D57"/>
  </mergeCells>
  <pageMargins left="0.7" right="0.7" top="0.75" bottom="0.75" header="0.3" footer="0.3"/>
  <pageSetup scale="8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selection activeCell="G21" sqref="G21"/>
    </sheetView>
  </sheetViews>
  <sheetFormatPr defaultRowHeight="15" x14ac:dyDescent="0.25"/>
  <cols>
    <col min="1" max="1" width="25.140625" customWidth="1"/>
    <col min="2" max="2" width="13.7109375" customWidth="1"/>
    <col min="3" max="3" width="13.85546875" customWidth="1"/>
    <col min="4" max="4" width="14.5703125" customWidth="1"/>
    <col min="5" max="5" width="15" customWidth="1"/>
    <col min="6" max="6" width="14.5703125" customWidth="1"/>
    <col min="7" max="7" width="13.140625" style="20" customWidth="1"/>
    <col min="8" max="9" width="11.140625" customWidth="1"/>
    <col min="10" max="10" width="11.5703125" customWidth="1"/>
    <col min="11" max="12" width="12.28515625" customWidth="1"/>
    <col min="13" max="13" width="11.7109375" customWidth="1"/>
    <col min="14" max="14" width="11.85546875" customWidth="1"/>
    <col min="15" max="15" width="10.85546875" customWidth="1"/>
    <col min="16" max="16" width="11.42578125" customWidth="1"/>
  </cols>
  <sheetData>
    <row r="1" spans="1:17" x14ac:dyDescent="0.25">
      <c r="A1" t="s">
        <v>28</v>
      </c>
    </row>
    <row r="3" spans="1:17" ht="15.75" thickBot="1" x14ac:dyDescent="0.3">
      <c r="B3" t="s">
        <v>66</v>
      </c>
      <c r="C3" t="s">
        <v>65</v>
      </c>
      <c r="D3" t="s">
        <v>59</v>
      </c>
      <c r="E3" t="s">
        <v>58</v>
      </c>
      <c r="F3" t="s">
        <v>55</v>
      </c>
      <c r="G3" s="20" t="s">
        <v>54</v>
      </c>
      <c r="H3" s="20" t="s">
        <v>44</v>
      </c>
      <c r="I3" s="8" t="s">
        <v>29</v>
      </c>
      <c r="J3" s="8" t="s">
        <v>30</v>
      </c>
      <c r="K3" t="s">
        <v>31</v>
      </c>
      <c r="L3" s="8" t="s">
        <v>32</v>
      </c>
      <c r="M3" t="s">
        <v>33</v>
      </c>
      <c r="N3" s="8" t="s">
        <v>34</v>
      </c>
      <c r="O3" s="8" t="s">
        <v>35</v>
      </c>
      <c r="P3" s="8" t="s">
        <v>36</v>
      </c>
      <c r="Q3" s="8" t="s">
        <v>37</v>
      </c>
    </row>
    <row r="4" spans="1:17" x14ac:dyDescent="0.25">
      <c r="A4" s="23" t="s">
        <v>38</v>
      </c>
      <c r="B4" s="51">
        <v>1908566.4449184774</v>
      </c>
      <c r="C4" s="51">
        <v>2138591.1818298036</v>
      </c>
      <c r="D4" s="51">
        <v>2154184.0014554267</v>
      </c>
      <c r="E4" s="51">
        <v>5865490</v>
      </c>
      <c r="F4" s="51">
        <v>8659225.1363386046</v>
      </c>
      <c r="G4" s="51">
        <v>9916787</v>
      </c>
      <c r="H4" s="51">
        <v>5205466.8000000007</v>
      </c>
      <c r="I4" s="24">
        <v>333557</v>
      </c>
      <c r="J4" s="24">
        <v>872679.52221495111</v>
      </c>
      <c r="K4" s="24">
        <v>4895623.5998578668</v>
      </c>
      <c r="L4" s="24">
        <v>4768605</v>
      </c>
      <c r="M4" s="24">
        <v>3885491.5446236241</v>
      </c>
      <c r="N4" s="24">
        <v>2881223.2800000003</v>
      </c>
      <c r="O4" s="24">
        <v>1847952.1349999998</v>
      </c>
      <c r="P4" s="24">
        <v>1094641.4136540764</v>
      </c>
      <c r="Q4" s="24">
        <v>1276247.6927039789</v>
      </c>
    </row>
    <row r="5" spans="1:17" x14ac:dyDescent="0.25">
      <c r="A5" s="25" t="s">
        <v>39</v>
      </c>
      <c r="B5" s="52">
        <v>2047091.1070470617</v>
      </c>
      <c r="C5" s="52">
        <v>2343243.4806406097</v>
      </c>
      <c r="D5" s="52">
        <v>1281201.9228954725</v>
      </c>
      <c r="E5" s="52">
        <v>2258653</v>
      </c>
      <c r="F5" s="52">
        <v>3411777.8284151079</v>
      </c>
      <c r="G5" s="52">
        <v>2084291</v>
      </c>
      <c r="H5" s="52">
        <v>1843227.2000000002</v>
      </c>
      <c r="I5" s="26">
        <v>1377125</v>
      </c>
      <c r="J5" s="26">
        <v>506698.75607162755</v>
      </c>
      <c r="K5" s="26">
        <v>1896630.873404826</v>
      </c>
      <c r="L5" s="26">
        <v>1198600</v>
      </c>
      <c r="M5" s="26">
        <v>2662860.8000000003</v>
      </c>
      <c r="N5" s="26">
        <f>5744410.73323314*0.4</f>
        <v>2297764.2932932558</v>
      </c>
      <c r="O5" s="26">
        <v>1881783.2000000002</v>
      </c>
      <c r="P5" s="26">
        <v>616314.30636927264</v>
      </c>
      <c r="Q5" s="26">
        <v>845427.66684737173</v>
      </c>
    </row>
    <row r="6" spans="1:17" x14ac:dyDescent="0.25">
      <c r="A6" s="25" t="s">
        <v>40</v>
      </c>
      <c r="B6" s="52">
        <v>1121661.8568632428</v>
      </c>
      <c r="C6" s="52">
        <v>1106193.5655204568</v>
      </c>
      <c r="D6" s="52">
        <v>1367231.3035943382</v>
      </c>
      <c r="E6" s="52">
        <v>2873943</v>
      </c>
      <c r="F6" s="52">
        <v>3303822.0265784604</v>
      </c>
      <c r="G6" s="52">
        <v>2369701</v>
      </c>
      <c r="H6" s="52">
        <v>2036078.6</v>
      </c>
      <c r="I6" s="26">
        <v>860768</v>
      </c>
      <c r="J6" s="26">
        <v>591366.11976499634</v>
      </c>
      <c r="K6" s="26">
        <v>880571.44910342421</v>
      </c>
      <c r="L6" s="26">
        <v>1094781</v>
      </c>
      <c r="M6" s="27">
        <v>889827.43342746096</v>
      </c>
      <c r="N6" s="28">
        <f>(2615522*0.5)-(161153)+250000</f>
        <v>1396608</v>
      </c>
      <c r="O6" s="26">
        <v>1072689.5999999999</v>
      </c>
      <c r="P6" s="26">
        <v>371373.03795949166</v>
      </c>
      <c r="Q6" s="26">
        <v>683167.40704835602</v>
      </c>
    </row>
    <row r="7" spans="1:17" x14ac:dyDescent="0.25">
      <c r="A7" s="25" t="s">
        <v>41</v>
      </c>
      <c r="B7" s="52">
        <v>1263734.7948671055</v>
      </c>
      <c r="C7" s="52">
        <v>1840153.24673098</v>
      </c>
      <c r="D7" s="52">
        <v>1401983.0570795741</v>
      </c>
      <c r="E7" s="52">
        <v>1964732</v>
      </c>
      <c r="F7" s="52">
        <v>1968909.2826619395</v>
      </c>
      <c r="G7" s="52">
        <v>2330621</v>
      </c>
      <c r="H7" s="52">
        <v>1649890.4000000001</v>
      </c>
      <c r="I7" s="26">
        <v>1508774</v>
      </c>
      <c r="J7" s="26">
        <v>778354.53277878079</v>
      </c>
      <c r="K7" s="26">
        <v>941919.24030067341</v>
      </c>
      <c r="L7" s="26">
        <v>1695074</v>
      </c>
      <c r="M7" s="26">
        <v>2240308.7479108246</v>
      </c>
      <c r="N7" s="26">
        <v>2088668.5</v>
      </c>
      <c r="O7" s="26">
        <v>909667.35</v>
      </c>
      <c r="P7" s="26">
        <v>605830.70008886908</v>
      </c>
      <c r="Q7" s="26">
        <v>545586.68998891278</v>
      </c>
    </row>
    <row r="8" spans="1:17" ht="15.75" thickBot="1" x14ac:dyDescent="0.3">
      <c r="A8" s="29" t="s">
        <v>42</v>
      </c>
      <c r="B8" s="53">
        <v>25186.99130011299</v>
      </c>
      <c r="C8" s="53">
        <v>26039.720612477638</v>
      </c>
      <c r="D8" s="53">
        <v>67150.048758916702</v>
      </c>
      <c r="E8" s="53">
        <v>152683</v>
      </c>
      <c r="F8" s="53">
        <v>101655.06316024926</v>
      </c>
      <c r="G8" s="53">
        <v>362503</v>
      </c>
      <c r="H8" s="53">
        <v>219560.64800000002</v>
      </c>
      <c r="I8" s="30">
        <v>777386</v>
      </c>
      <c r="J8" s="30">
        <v>24444.430036493428</v>
      </c>
      <c r="K8" s="30">
        <v>725888.21174021007</v>
      </c>
      <c r="L8" s="30">
        <v>63740</v>
      </c>
      <c r="M8" s="30">
        <v>125735.12787535199</v>
      </c>
      <c r="N8" s="30">
        <f>1033285.9456848*0.254*0.5</f>
        <v>131227.31510196961</v>
      </c>
      <c r="O8" s="30">
        <v>113543.20699999999</v>
      </c>
      <c r="P8" s="30">
        <v>144560.51050788548</v>
      </c>
      <c r="Q8" s="30">
        <v>258924.12448845015</v>
      </c>
    </row>
    <row r="9" spans="1:17" ht="16.5" thickBot="1" x14ac:dyDescent="0.3">
      <c r="A9" s="31" t="s">
        <v>43</v>
      </c>
      <c r="B9" s="85">
        <f>SUM(B4:B8)</f>
        <v>6366241.1949960003</v>
      </c>
      <c r="C9" s="85">
        <f t="shared" ref="C9:K9" si="0">SUM(C4:C8)</f>
        <v>7454221.1953343283</v>
      </c>
      <c r="D9" s="85">
        <f t="shared" si="0"/>
        <v>6271750.3337837281</v>
      </c>
      <c r="E9" s="85">
        <v>13115501</v>
      </c>
      <c r="F9" s="54">
        <f t="shared" si="0"/>
        <v>17445389.337154362</v>
      </c>
      <c r="G9" s="54">
        <f t="shared" si="0"/>
        <v>17063903</v>
      </c>
      <c r="H9" s="54">
        <f t="shared" si="0"/>
        <v>10954223.648000002</v>
      </c>
      <c r="I9" s="32">
        <f t="shared" si="0"/>
        <v>4857610</v>
      </c>
      <c r="J9" s="32">
        <f t="shared" si="0"/>
        <v>2773543.3608668493</v>
      </c>
      <c r="K9" s="32">
        <f t="shared" si="0"/>
        <v>9340633.3744070008</v>
      </c>
      <c r="L9" s="32">
        <f t="shared" ref="L9:Q9" si="1">SUM(L4:L8)</f>
        <v>8820800</v>
      </c>
      <c r="M9" s="32">
        <f t="shared" si="1"/>
        <v>9804223.6538372617</v>
      </c>
      <c r="N9" s="32">
        <f t="shared" si="1"/>
        <v>8795491.3883952256</v>
      </c>
      <c r="O9" s="32">
        <f t="shared" si="1"/>
        <v>5825635.4919999996</v>
      </c>
      <c r="P9" s="32">
        <f t="shared" si="1"/>
        <v>2832719.968579595</v>
      </c>
      <c r="Q9" s="32">
        <f t="shared" si="1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topLeftCell="A70" workbookViewId="0">
      <selection activeCell="F100" sqref="F100"/>
    </sheetView>
  </sheetViews>
  <sheetFormatPr defaultRowHeight="15" x14ac:dyDescent="0.25"/>
  <sheetData>
    <row r="1" spans="1:6" x14ac:dyDescent="0.25">
      <c r="A1" s="89"/>
      <c r="B1" s="89"/>
      <c r="C1" s="89"/>
      <c r="D1" s="89"/>
      <c r="E1" s="89"/>
    </row>
    <row r="2" spans="1:6" x14ac:dyDescent="0.25">
      <c r="A2" s="91">
        <v>2574</v>
      </c>
      <c r="B2" s="91" t="s">
        <v>67</v>
      </c>
      <c r="C2" s="91">
        <v>50</v>
      </c>
      <c r="D2" s="91">
        <v>2</v>
      </c>
      <c r="E2" s="91">
        <v>2</v>
      </c>
      <c r="F2" s="91"/>
    </row>
    <row r="3" spans="1:6" x14ac:dyDescent="0.25">
      <c r="A3" s="91">
        <v>2577</v>
      </c>
      <c r="B3" s="91" t="s">
        <v>68</v>
      </c>
      <c r="C3" s="91">
        <v>100</v>
      </c>
      <c r="D3" s="91">
        <v>1</v>
      </c>
      <c r="E3" s="91">
        <v>1</v>
      </c>
      <c r="F3" s="91"/>
    </row>
    <row r="4" spans="1:6" x14ac:dyDescent="0.25">
      <c r="A4" s="91">
        <v>2575</v>
      </c>
      <c r="B4" s="91" t="s">
        <v>68</v>
      </c>
      <c r="C4" s="91">
        <v>100</v>
      </c>
      <c r="D4" s="91">
        <v>5</v>
      </c>
      <c r="E4" s="91">
        <v>5</v>
      </c>
      <c r="F4" s="91"/>
    </row>
    <row r="5" spans="1:6" x14ac:dyDescent="0.25">
      <c r="A5" s="93">
        <v>2654</v>
      </c>
      <c r="B5" s="93" t="s">
        <v>78</v>
      </c>
      <c r="C5" s="93">
        <v>100</v>
      </c>
      <c r="D5" s="93">
        <v>4</v>
      </c>
      <c r="E5" s="93">
        <v>4</v>
      </c>
    </row>
    <row r="6" spans="1:6" x14ac:dyDescent="0.25">
      <c r="A6" s="93">
        <v>2650</v>
      </c>
      <c r="B6" s="93" t="s">
        <v>78</v>
      </c>
      <c r="C6" s="93">
        <v>100</v>
      </c>
      <c r="D6" s="93">
        <v>1</v>
      </c>
      <c r="E6" s="93">
        <v>0</v>
      </c>
    </row>
    <row r="7" spans="1:6" x14ac:dyDescent="0.25">
      <c r="A7" s="93">
        <v>2638</v>
      </c>
      <c r="B7" s="93" t="s">
        <v>67</v>
      </c>
      <c r="C7" s="93">
        <v>50</v>
      </c>
      <c r="D7" s="93">
        <v>0</v>
      </c>
      <c r="E7" s="93">
        <v>0</v>
      </c>
    </row>
    <row r="8" spans="1:6" x14ac:dyDescent="0.25">
      <c r="A8" s="93">
        <v>2743</v>
      </c>
      <c r="B8" s="93" t="s">
        <v>68</v>
      </c>
      <c r="C8" s="93">
        <v>100</v>
      </c>
      <c r="D8" s="93">
        <v>0</v>
      </c>
      <c r="E8" s="93">
        <v>0</v>
      </c>
    </row>
    <row r="9" spans="1:6" x14ac:dyDescent="0.25">
      <c r="A9" s="93">
        <v>2735</v>
      </c>
      <c r="B9" s="93" t="s">
        <v>83</v>
      </c>
      <c r="C9" s="93">
        <v>50</v>
      </c>
      <c r="D9" s="93">
        <v>1</v>
      </c>
      <c r="E9" s="93">
        <v>1</v>
      </c>
    </row>
    <row r="10" spans="1:6" x14ac:dyDescent="0.25">
      <c r="A10" s="93">
        <v>2726</v>
      </c>
      <c r="B10" s="93" t="s">
        <v>84</v>
      </c>
      <c r="C10" s="93">
        <v>50</v>
      </c>
      <c r="D10" s="93">
        <v>2</v>
      </c>
      <c r="E10" s="93">
        <v>2</v>
      </c>
    </row>
    <row r="11" spans="1:6" x14ac:dyDescent="0.25">
      <c r="A11" s="93">
        <v>2768</v>
      </c>
      <c r="B11" s="93" t="s">
        <v>78</v>
      </c>
      <c r="C11" s="93">
        <v>100</v>
      </c>
      <c r="D11" s="93">
        <v>2</v>
      </c>
      <c r="E11" s="93">
        <v>2</v>
      </c>
    </row>
    <row r="12" spans="1:6" x14ac:dyDescent="0.25">
      <c r="A12" s="93">
        <v>2763</v>
      </c>
      <c r="B12" s="93" t="s">
        <v>85</v>
      </c>
      <c r="C12" s="93">
        <v>50</v>
      </c>
      <c r="D12" s="93">
        <v>2</v>
      </c>
      <c r="E12" s="93">
        <v>2</v>
      </c>
    </row>
    <row r="13" spans="1:6" x14ac:dyDescent="0.25">
      <c r="A13">
        <v>2757</v>
      </c>
      <c r="B13" t="s">
        <v>68</v>
      </c>
      <c r="C13">
        <v>100</v>
      </c>
      <c r="D13">
        <v>3</v>
      </c>
      <c r="E13">
        <v>3</v>
      </c>
    </row>
    <row r="14" spans="1:6" x14ac:dyDescent="0.25">
      <c r="A14">
        <v>2752</v>
      </c>
      <c r="B14" t="s">
        <v>78</v>
      </c>
      <c r="C14">
        <v>100</v>
      </c>
      <c r="D14">
        <v>3</v>
      </c>
      <c r="E14">
        <v>3</v>
      </c>
    </row>
    <row r="15" spans="1:6" x14ac:dyDescent="0.25">
      <c r="A15">
        <v>2752</v>
      </c>
      <c r="B15" t="s">
        <v>68</v>
      </c>
      <c r="C15">
        <v>100</v>
      </c>
      <c r="D15">
        <v>0</v>
      </c>
      <c r="E15">
        <v>0</v>
      </c>
    </row>
    <row r="16" spans="1:6" x14ac:dyDescent="0.25">
      <c r="A16">
        <v>2749</v>
      </c>
      <c r="B16" t="s">
        <v>78</v>
      </c>
      <c r="C16">
        <v>100</v>
      </c>
      <c r="D16">
        <v>0</v>
      </c>
      <c r="E16">
        <v>5</v>
      </c>
    </row>
    <row r="100" spans="3:6" x14ac:dyDescent="0.25">
      <c r="C100">
        <f>SUM(C2:C99)</f>
        <v>1250</v>
      </c>
      <c r="D100">
        <f>SUM(D2:D99)</f>
        <v>26</v>
      </c>
      <c r="E100">
        <f>SUM(E2:E99)</f>
        <v>30</v>
      </c>
      <c r="F100" s="22">
        <f>E100/C100</f>
        <v>2.4E-2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topLeftCell="A70" workbookViewId="0">
      <selection activeCell="F100" sqref="F100"/>
    </sheetView>
  </sheetViews>
  <sheetFormatPr defaultRowHeight="15" x14ac:dyDescent="0.25"/>
  <sheetData>
    <row r="1" spans="1:5" x14ac:dyDescent="0.25">
      <c r="A1" s="88"/>
      <c r="B1" s="88"/>
      <c r="C1" s="98"/>
      <c r="D1" s="98"/>
      <c r="E1" s="98"/>
    </row>
    <row r="2" spans="1:5" x14ac:dyDescent="0.25">
      <c r="A2" s="91">
        <v>2588</v>
      </c>
      <c r="B2" s="91" t="s">
        <v>69</v>
      </c>
      <c r="C2" s="91">
        <v>100</v>
      </c>
      <c r="D2" s="91">
        <v>4</v>
      </c>
      <c r="E2" s="91">
        <v>4</v>
      </c>
    </row>
    <row r="3" spans="1:5" x14ac:dyDescent="0.25">
      <c r="A3" s="91">
        <v>2572</v>
      </c>
      <c r="B3" s="91" t="s">
        <v>69</v>
      </c>
      <c r="C3" s="91">
        <v>100</v>
      </c>
      <c r="D3" s="91">
        <v>1</v>
      </c>
      <c r="E3" s="91">
        <v>1</v>
      </c>
    </row>
    <row r="4" spans="1:5" x14ac:dyDescent="0.25">
      <c r="A4" s="91">
        <v>2604</v>
      </c>
      <c r="B4" s="91">
        <v>22309</v>
      </c>
      <c r="C4" s="91">
        <v>100</v>
      </c>
      <c r="D4" s="91">
        <v>2</v>
      </c>
      <c r="E4" s="91">
        <v>2</v>
      </c>
    </row>
    <row r="5" spans="1:5" x14ac:dyDescent="0.25">
      <c r="A5" s="93">
        <v>2651</v>
      </c>
      <c r="B5" s="93" t="s">
        <v>69</v>
      </c>
      <c r="C5" s="93">
        <v>50</v>
      </c>
      <c r="D5" s="93">
        <v>1</v>
      </c>
      <c r="E5" s="93">
        <v>1</v>
      </c>
    </row>
    <row r="6" spans="1:5" x14ac:dyDescent="0.25">
      <c r="A6" s="93">
        <v>2629</v>
      </c>
      <c r="B6" s="93" t="s">
        <v>79</v>
      </c>
      <c r="C6" s="93">
        <v>50</v>
      </c>
      <c r="D6" s="93">
        <v>1</v>
      </c>
      <c r="E6" s="93">
        <v>1</v>
      </c>
    </row>
    <row r="7" spans="1:5" x14ac:dyDescent="0.25">
      <c r="A7" s="93">
        <v>2629</v>
      </c>
      <c r="B7" s="93" t="s">
        <v>69</v>
      </c>
      <c r="C7" s="93">
        <v>50</v>
      </c>
      <c r="D7" s="93">
        <v>0</v>
      </c>
      <c r="E7" s="93">
        <v>0</v>
      </c>
    </row>
    <row r="8" spans="1:5" x14ac:dyDescent="0.25">
      <c r="A8" s="93">
        <v>2629</v>
      </c>
      <c r="B8" s="93" t="s">
        <v>80</v>
      </c>
      <c r="C8" s="93">
        <v>50</v>
      </c>
      <c r="D8" s="93">
        <v>1</v>
      </c>
      <c r="E8" s="93">
        <v>1</v>
      </c>
    </row>
    <row r="9" spans="1:5" x14ac:dyDescent="0.25">
      <c r="A9" s="92">
        <v>2681</v>
      </c>
      <c r="B9" s="92">
        <v>21200</v>
      </c>
      <c r="C9" s="92">
        <v>100</v>
      </c>
      <c r="D9" s="92">
        <v>1</v>
      </c>
      <c r="E9" s="92">
        <v>1</v>
      </c>
    </row>
    <row r="10" spans="1:5" x14ac:dyDescent="0.25">
      <c r="A10" s="92">
        <v>2668</v>
      </c>
      <c r="B10" s="92">
        <v>22309</v>
      </c>
      <c r="C10" s="92">
        <v>50</v>
      </c>
      <c r="D10" s="92">
        <v>1</v>
      </c>
      <c r="E10" s="92">
        <v>1</v>
      </c>
    </row>
    <row r="11" spans="1:5" x14ac:dyDescent="0.25">
      <c r="A11" s="93">
        <v>2694</v>
      </c>
      <c r="B11" s="93" t="s">
        <v>79</v>
      </c>
      <c r="C11" s="93">
        <v>100</v>
      </c>
      <c r="D11" s="93">
        <v>2</v>
      </c>
      <c r="E11" s="93">
        <v>2</v>
      </c>
    </row>
    <row r="12" spans="1:5" x14ac:dyDescent="0.25">
      <c r="A12" s="93">
        <v>2691</v>
      </c>
      <c r="B12" s="93" t="s">
        <v>80</v>
      </c>
      <c r="C12" s="93">
        <v>50</v>
      </c>
      <c r="D12" s="93">
        <v>1</v>
      </c>
      <c r="E12" s="93">
        <v>1</v>
      </c>
    </row>
    <row r="13" spans="1:5" x14ac:dyDescent="0.25">
      <c r="A13" s="91">
        <v>2709</v>
      </c>
      <c r="B13" s="91" t="s">
        <v>82</v>
      </c>
      <c r="C13" s="91">
        <v>50</v>
      </c>
      <c r="D13" s="91">
        <v>1</v>
      </c>
      <c r="E13" s="91">
        <v>1</v>
      </c>
    </row>
    <row r="14" spans="1:5" x14ac:dyDescent="0.25">
      <c r="A14" s="91">
        <v>2707</v>
      </c>
      <c r="B14" s="91" t="s">
        <v>80</v>
      </c>
      <c r="C14" s="91">
        <v>100</v>
      </c>
      <c r="D14" s="91">
        <v>0</v>
      </c>
      <c r="E14" s="91">
        <v>0</v>
      </c>
    </row>
    <row r="15" spans="1:5" x14ac:dyDescent="0.25">
      <c r="A15" s="93">
        <v>2740</v>
      </c>
      <c r="B15" s="93" t="s">
        <v>79</v>
      </c>
      <c r="C15" s="93">
        <v>50</v>
      </c>
      <c r="D15" s="93">
        <v>1</v>
      </c>
      <c r="E15" s="93">
        <v>1</v>
      </c>
    </row>
    <row r="16" spans="1:5" x14ac:dyDescent="0.25">
      <c r="A16" s="93">
        <v>2727</v>
      </c>
      <c r="B16" s="93" t="s">
        <v>79</v>
      </c>
      <c r="C16" s="93">
        <v>50</v>
      </c>
      <c r="D16" s="93">
        <v>2</v>
      </c>
      <c r="E16" s="93">
        <v>2</v>
      </c>
    </row>
    <row r="17" spans="1:5" x14ac:dyDescent="0.25">
      <c r="A17" s="93">
        <v>2727</v>
      </c>
      <c r="B17" s="93" t="s">
        <v>82</v>
      </c>
      <c r="C17" s="93">
        <v>50</v>
      </c>
      <c r="D17" s="93">
        <v>1</v>
      </c>
      <c r="E17" s="93">
        <v>1</v>
      </c>
    </row>
    <row r="18" spans="1:5" x14ac:dyDescent="0.25">
      <c r="A18">
        <v>2774</v>
      </c>
      <c r="B18" t="s">
        <v>82</v>
      </c>
      <c r="C18">
        <v>100</v>
      </c>
      <c r="D18">
        <v>2</v>
      </c>
      <c r="E18">
        <v>2</v>
      </c>
    </row>
    <row r="19" spans="1:5" x14ac:dyDescent="0.25">
      <c r="A19">
        <v>2770</v>
      </c>
      <c r="B19" t="s">
        <v>80</v>
      </c>
      <c r="C19">
        <v>100</v>
      </c>
      <c r="D19">
        <v>0</v>
      </c>
      <c r="E19">
        <v>0</v>
      </c>
    </row>
    <row r="20" spans="1:5" x14ac:dyDescent="0.25">
      <c r="A20">
        <v>2766</v>
      </c>
      <c r="B20" t="s">
        <v>82</v>
      </c>
      <c r="C20">
        <v>100</v>
      </c>
      <c r="D20">
        <v>0</v>
      </c>
      <c r="E20">
        <v>0</v>
      </c>
    </row>
    <row r="21" spans="1:5" x14ac:dyDescent="0.25">
      <c r="A21">
        <v>2761</v>
      </c>
      <c r="B21" t="s">
        <v>82</v>
      </c>
      <c r="C21">
        <v>100</v>
      </c>
      <c r="D21">
        <v>8</v>
      </c>
      <c r="E21">
        <v>8</v>
      </c>
    </row>
    <row r="22" spans="1:5" x14ac:dyDescent="0.25">
      <c r="A22">
        <v>2761</v>
      </c>
      <c r="B22" t="s">
        <v>69</v>
      </c>
      <c r="C22">
        <v>100</v>
      </c>
      <c r="D22">
        <v>2</v>
      </c>
      <c r="E22">
        <v>2</v>
      </c>
    </row>
    <row r="23" spans="1:5" x14ac:dyDescent="0.25">
      <c r="A23">
        <v>2753</v>
      </c>
      <c r="B23" t="s">
        <v>69</v>
      </c>
      <c r="C23">
        <v>50</v>
      </c>
      <c r="D23">
        <v>2</v>
      </c>
      <c r="E23">
        <v>2</v>
      </c>
    </row>
    <row r="24" spans="1:5" x14ac:dyDescent="0.25">
      <c r="A24">
        <v>2753</v>
      </c>
      <c r="B24" t="s">
        <v>80</v>
      </c>
      <c r="C24">
        <v>50</v>
      </c>
      <c r="D24">
        <v>1</v>
      </c>
      <c r="E24">
        <v>1</v>
      </c>
    </row>
    <row r="25" spans="1:5" x14ac:dyDescent="0.25">
      <c r="A25">
        <v>2747</v>
      </c>
      <c r="B25" t="s">
        <v>80</v>
      </c>
      <c r="C25">
        <v>50</v>
      </c>
      <c r="D25">
        <v>1</v>
      </c>
      <c r="E25">
        <v>1</v>
      </c>
    </row>
    <row r="100" spans="3:6" x14ac:dyDescent="0.25">
      <c r="C100">
        <f>SUM(C2:C99)</f>
        <v>1750</v>
      </c>
      <c r="D100">
        <f>SUM(D2:D99)</f>
        <v>36</v>
      </c>
      <c r="E100">
        <f>SUM(E2:E99)</f>
        <v>36</v>
      </c>
      <c r="F100" s="22">
        <f>E100/C100</f>
        <v>2.057142857142857E-2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topLeftCell="A79" workbookViewId="0">
      <selection activeCell="F100" sqref="F100"/>
    </sheetView>
  </sheetViews>
  <sheetFormatPr defaultRowHeight="15" x14ac:dyDescent="0.25"/>
  <sheetData>
    <row r="1" spans="1:5" x14ac:dyDescent="0.25">
      <c r="A1" s="90"/>
      <c r="B1" s="90"/>
      <c r="C1" s="90"/>
      <c r="D1" s="90"/>
      <c r="E1" s="90"/>
    </row>
    <row r="2" spans="1:5" x14ac:dyDescent="0.25">
      <c r="A2" s="91">
        <v>2578</v>
      </c>
      <c r="B2" s="91" t="s">
        <v>70</v>
      </c>
      <c r="C2" s="91">
        <v>50</v>
      </c>
      <c r="D2" s="91">
        <v>1</v>
      </c>
      <c r="E2" s="91">
        <v>1</v>
      </c>
    </row>
    <row r="3" spans="1:5" x14ac:dyDescent="0.25">
      <c r="A3" s="91">
        <v>2589</v>
      </c>
      <c r="B3" s="91">
        <v>32012</v>
      </c>
      <c r="C3" s="91">
        <v>50</v>
      </c>
      <c r="D3" s="91">
        <v>1</v>
      </c>
      <c r="E3" s="91">
        <v>1</v>
      </c>
    </row>
    <row r="4" spans="1:5" x14ac:dyDescent="0.25">
      <c r="A4" s="91">
        <v>2616</v>
      </c>
      <c r="B4" s="91">
        <v>32009</v>
      </c>
      <c r="C4" s="91">
        <v>100</v>
      </c>
      <c r="D4" s="91">
        <v>3</v>
      </c>
      <c r="E4" s="91">
        <v>3</v>
      </c>
    </row>
    <row r="5" spans="1:5" x14ac:dyDescent="0.25">
      <c r="A5" s="93">
        <v>2653</v>
      </c>
      <c r="B5" s="93" t="s">
        <v>75</v>
      </c>
      <c r="C5" s="93">
        <v>100</v>
      </c>
      <c r="D5" s="93">
        <v>1</v>
      </c>
      <c r="E5" s="93">
        <v>1</v>
      </c>
    </row>
    <row r="6" spans="1:5" x14ac:dyDescent="0.25">
      <c r="A6" s="93">
        <v>2652</v>
      </c>
      <c r="B6" s="93" t="s">
        <v>70</v>
      </c>
      <c r="C6" s="93">
        <v>100</v>
      </c>
      <c r="D6" s="93">
        <v>1</v>
      </c>
      <c r="E6" s="93">
        <v>1</v>
      </c>
    </row>
    <row r="7" spans="1:5" x14ac:dyDescent="0.25">
      <c r="A7" s="93">
        <v>2633</v>
      </c>
      <c r="B7" s="93" t="s">
        <v>76</v>
      </c>
      <c r="C7" s="93">
        <v>50</v>
      </c>
      <c r="D7" s="93">
        <v>2</v>
      </c>
      <c r="E7" s="93">
        <v>2</v>
      </c>
    </row>
    <row r="8" spans="1:5" x14ac:dyDescent="0.25">
      <c r="A8" s="93">
        <v>2627</v>
      </c>
      <c r="B8" s="93" t="s">
        <v>77</v>
      </c>
      <c r="C8" s="93">
        <v>50</v>
      </c>
      <c r="D8" s="93">
        <v>2</v>
      </c>
      <c r="E8" s="93">
        <v>2</v>
      </c>
    </row>
    <row r="9" spans="1:5" x14ac:dyDescent="0.25">
      <c r="A9" s="84">
        <v>2682</v>
      </c>
      <c r="B9">
        <v>32009</v>
      </c>
      <c r="C9" s="84">
        <v>50</v>
      </c>
      <c r="D9" s="84">
        <v>2</v>
      </c>
      <c r="E9" s="84">
        <v>2</v>
      </c>
    </row>
    <row r="10" spans="1:5" x14ac:dyDescent="0.25">
      <c r="A10" s="84">
        <v>2683</v>
      </c>
      <c r="B10">
        <v>33012</v>
      </c>
      <c r="C10" s="84">
        <v>100</v>
      </c>
      <c r="D10" s="84">
        <v>1</v>
      </c>
      <c r="E10" s="84">
        <v>1</v>
      </c>
    </row>
    <row r="11" spans="1:5" x14ac:dyDescent="0.25">
      <c r="A11" s="84">
        <v>2667</v>
      </c>
      <c r="B11">
        <v>32007</v>
      </c>
      <c r="C11" s="84">
        <v>100</v>
      </c>
      <c r="D11" s="84">
        <v>2</v>
      </c>
      <c r="E11" s="84">
        <v>2</v>
      </c>
    </row>
    <row r="12" spans="1:5" x14ac:dyDescent="0.25">
      <c r="A12" s="93">
        <v>2696</v>
      </c>
      <c r="B12" s="93" t="s">
        <v>77</v>
      </c>
      <c r="C12" s="93">
        <v>100</v>
      </c>
      <c r="D12" s="93">
        <v>1</v>
      </c>
      <c r="E12" s="93">
        <v>1</v>
      </c>
    </row>
    <row r="13" spans="1:5" x14ac:dyDescent="0.25">
      <c r="A13" s="93">
        <v>2738</v>
      </c>
      <c r="B13" s="93" t="s">
        <v>75</v>
      </c>
      <c r="C13" s="93">
        <v>50</v>
      </c>
      <c r="D13" s="93">
        <v>0</v>
      </c>
      <c r="E13" s="93">
        <v>0</v>
      </c>
    </row>
    <row r="14" spans="1:5" x14ac:dyDescent="0.25">
      <c r="A14" s="93">
        <v>2736</v>
      </c>
      <c r="B14" s="93" t="s">
        <v>76</v>
      </c>
      <c r="C14" s="93">
        <v>50</v>
      </c>
      <c r="D14" s="93">
        <v>1</v>
      </c>
      <c r="E14" s="93">
        <v>1</v>
      </c>
    </row>
    <row r="15" spans="1:5" x14ac:dyDescent="0.25">
      <c r="A15" s="93">
        <v>2724</v>
      </c>
      <c r="B15" s="93" t="s">
        <v>77</v>
      </c>
      <c r="C15" s="93">
        <v>50</v>
      </c>
      <c r="D15" s="93">
        <v>1</v>
      </c>
      <c r="E15" s="93">
        <v>1</v>
      </c>
    </row>
    <row r="16" spans="1:5" x14ac:dyDescent="0.25">
      <c r="A16" s="93">
        <v>2724</v>
      </c>
      <c r="B16" s="93" t="s">
        <v>70</v>
      </c>
      <c r="C16" s="93">
        <v>50</v>
      </c>
      <c r="D16" s="93">
        <v>0</v>
      </c>
      <c r="E16" s="93">
        <v>0</v>
      </c>
    </row>
    <row r="17" spans="1:5" x14ac:dyDescent="0.25">
      <c r="A17" s="93">
        <v>2724</v>
      </c>
      <c r="B17" s="93" t="s">
        <v>75</v>
      </c>
      <c r="C17" s="93">
        <v>50</v>
      </c>
      <c r="D17" s="93">
        <v>0</v>
      </c>
      <c r="E17" s="93">
        <v>0</v>
      </c>
    </row>
    <row r="18" spans="1:5" x14ac:dyDescent="0.25">
      <c r="A18" s="93">
        <v>2775</v>
      </c>
      <c r="B18" s="93" t="s">
        <v>70</v>
      </c>
      <c r="C18" s="93">
        <v>50</v>
      </c>
      <c r="D18" s="93">
        <v>1</v>
      </c>
      <c r="E18" s="93">
        <v>1</v>
      </c>
    </row>
    <row r="19" spans="1:5" x14ac:dyDescent="0.25">
      <c r="A19" s="93">
        <v>2775</v>
      </c>
      <c r="B19" s="93" t="s">
        <v>76</v>
      </c>
      <c r="C19" s="93">
        <v>50</v>
      </c>
      <c r="D19" s="93">
        <v>2</v>
      </c>
      <c r="E19" s="93">
        <v>2</v>
      </c>
    </row>
    <row r="20" spans="1:5" x14ac:dyDescent="0.25">
      <c r="A20" s="93">
        <v>2775</v>
      </c>
      <c r="B20" s="93" t="s">
        <v>75</v>
      </c>
      <c r="C20" s="93">
        <v>50</v>
      </c>
      <c r="D20" s="93">
        <v>0</v>
      </c>
      <c r="E20" s="93">
        <v>0</v>
      </c>
    </row>
    <row r="21" spans="1:5" x14ac:dyDescent="0.25">
      <c r="A21">
        <v>2772</v>
      </c>
      <c r="B21" t="s">
        <v>77</v>
      </c>
      <c r="C21">
        <v>50</v>
      </c>
      <c r="D21">
        <v>1</v>
      </c>
      <c r="E21">
        <v>1</v>
      </c>
    </row>
    <row r="22" spans="1:5" x14ac:dyDescent="0.25">
      <c r="A22">
        <v>2772</v>
      </c>
      <c r="B22" t="s">
        <v>76</v>
      </c>
      <c r="C22">
        <v>50</v>
      </c>
      <c r="D22">
        <v>2</v>
      </c>
      <c r="E22">
        <v>2</v>
      </c>
    </row>
    <row r="23" spans="1:5" x14ac:dyDescent="0.25">
      <c r="A23">
        <v>2772</v>
      </c>
      <c r="B23" t="s">
        <v>75</v>
      </c>
      <c r="C23">
        <v>50</v>
      </c>
      <c r="D23">
        <v>1</v>
      </c>
      <c r="E23">
        <v>1</v>
      </c>
    </row>
    <row r="24" spans="1:5" x14ac:dyDescent="0.25">
      <c r="A24">
        <v>2767</v>
      </c>
      <c r="B24" t="s">
        <v>77</v>
      </c>
      <c r="C24">
        <v>100</v>
      </c>
      <c r="D24">
        <v>0</v>
      </c>
      <c r="E24">
        <v>0</v>
      </c>
    </row>
    <row r="25" spans="1:5" x14ac:dyDescent="0.25">
      <c r="A25">
        <v>2765</v>
      </c>
      <c r="B25" t="s">
        <v>70</v>
      </c>
      <c r="C25">
        <v>100</v>
      </c>
      <c r="D25">
        <v>1</v>
      </c>
      <c r="E25">
        <v>1</v>
      </c>
    </row>
    <row r="26" spans="1:5" x14ac:dyDescent="0.25">
      <c r="A26">
        <v>2765</v>
      </c>
      <c r="B26" t="s">
        <v>75</v>
      </c>
      <c r="C26">
        <v>100</v>
      </c>
      <c r="D26">
        <v>2</v>
      </c>
      <c r="E26">
        <v>2</v>
      </c>
    </row>
    <row r="27" spans="1:5" x14ac:dyDescent="0.25">
      <c r="A27">
        <v>2760</v>
      </c>
      <c r="B27" t="s">
        <v>76</v>
      </c>
      <c r="C27">
        <v>100</v>
      </c>
      <c r="D27">
        <v>1</v>
      </c>
      <c r="E27">
        <v>1</v>
      </c>
    </row>
    <row r="28" spans="1:5" x14ac:dyDescent="0.25">
      <c r="A28">
        <v>2755</v>
      </c>
      <c r="B28" t="s">
        <v>77</v>
      </c>
      <c r="C28">
        <v>100</v>
      </c>
      <c r="D28">
        <v>2</v>
      </c>
      <c r="E28">
        <v>2</v>
      </c>
    </row>
    <row r="29" spans="1:5" x14ac:dyDescent="0.25">
      <c r="A29">
        <v>2755</v>
      </c>
      <c r="B29" t="s">
        <v>77</v>
      </c>
      <c r="C29">
        <v>100</v>
      </c>
      <c r="D29">
        <v>3</v>
      </c>
      <c r="E29">
        <v>3</v>
      </c>
    </row>
    <row r="30" spans="1:5" x14ac:dyDescent="0.25">
      <c r="A30">
        <v>2754</v>
      </c>
      <c r="B30" t="s">
        <v>77</v>
      </c>
      <c r="C30">
        <v>100</v>
      </c>
      <c r="D30">
        <v>4</v>
      </c>
      <c r="E30">
        <v>4</v>
      </c>
    </row>
    <row r="31" spans="1:5" x14ac:dyDescent="0.25">
      <c r="A31">
        <v>2754</v>
      </c>
      <c r="B31" t="s">
        <v>70</v>
      </c>
      <c r="C31">
        <v>100</v>
      </c>
      <c r="D31">
        <v>6</v>
      </c>
      <c r="E31">
        <v>6</v>
      </c>
    </row>
    <row r="100" spans="3:6" x14ac:dyDescent="0.25">
      <c r="C100">
        <f>SUM(C2:C99)</f>
        <v>2200</v>
      </c>
      <c r="D100">
        <f>SUM(D2:D99)</f>
        <v>45</v>
      </c>
      <c r="E100">
        <f>SUM(E2:E99)</f>
        <v>45</v>
      </c>
      <c r="F100" s="22">
        <f>E100/C100</f>
        <v>2.0454545454545454E-2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topLeftCell="A70" workbookViewId="0">
      <selection activeCell="F100" sqref="F100"/>
    </sheetView>
  </sheetViews>
  <sheetFormatPr defaultRowHeight="15" x14ac:dyDescent="0.25"/>
  <sheetData>
    <row r="1" spans="1:5" x14ac:dyDescent="0.25">
      <c r="A1" s="82"/>
      <c r="B1" s="82"/>
      <c r="C1" s="82"/>
      <c r="D1" s="82"/>
      <c r="E1" s="82"/>
    </row>
    <row r="2" spans="1:5" x14ac:dyDescent="0.25">
      <c r="A2" s="100">
        <v>2573</v>
      </c>
      <c r="B2" s="100" t="s">
        <v>71</v>
      </c>
      <c r="C2" s="100">
        <v>100</v>
      </c>
      <c r="D2" s="100">
        <v>0</v>
      </c>
      <c r="E2" s="100">
        <v>0</v>
      </c>
    </row>
    <row r="3" spans="1:5" x14ac:dyDescent="0.25">
      <c r="A3" s="100">
        <v>2573</v>
      </c>
      <c r="B3" s="100" t="s">
        <v>72</v>
      </c>
      <c r="C3" s="100">
        <v>100</v>
      </c>
      <c r="D3" s="100">
        <v>1</v>
      </c>
      <c r="E3" s="100">
        <v>1</v>
      </c>
    </row>
    <row r="4" spans="1:5" x14ac:dyDescent="0.25">
      <c r="A4" s="100">
        <v>2603</v>
      </c>
      <c r="B4" s="100">
        <v>42500</v>
      </c>
      <c r="C4" s="100">
        <v>50</v>
      </c>
      <c r="D4" s="100">
        <v>2</v>
      </c>
      <c r="E4" s="100">
        <v>2</v>
      </c>
    </row>
    <row r="5" spans="1:5" x14ac:dyDescent="0.25">
      <c r="A5" s="100">
        <v>2576</v>
      </c>
      <c r="B5" s="100">
        <v>41200</v>
      </c>
      <c r="C5" s="100">
        <v>50</v>
      </c>
      <c r="D5" s="100">
        <v>2</v>
      </c>
      <c r="E5" s="100">
        <v>2</v>
      </c>
    </row>
    <row r="6" spans="1:5" x14ac:dyDescent="0.25">
      <c r="A6" s="100">
        <v>2605</v>
      </c>
      <c r="B6" s="100">
        <v>41400</v>
      </c>
      <c r="C6" s="100">
        <v>100</v>
      </c>
      <c r="D6" s="100">
        <v>0</v>
      </c>
      <c r="E6" s="100">
        <v>0</v>
      </c>
    </row>
    <row r="7" spans="1:5" x14ac:dyDescent="0.25">
      <c r="A7" s="78">
        <v>2618</v>
      </c>
      <c r="B7" s="78">
        <v>41300</v>
      </c>
      <c r="C7" s="78">
        <v>50</v>
      </c>
      <c r="D7" s="78">
        <v>1</v>
      </c>
      <c r="E7" s="78">
        <v>1</v>
      </c>
    </row>
    <row r="8" spans="1:5" x14ac:dyDescent="0.25">
      <c r="A8" s="101">
        <v>2655</v>
      </c>
      <c r="B8" s="101" t="s">
        <v>72</v>
      </c>
      <c r="C8" s="101">
        <v>50</v>
      </c>
      <c r="D8" s="101">
        <v>2</v>
      </c>
      <c r="E8" s="101">
        <v>2</v>
      </c>
    </row>
    <row r="9" spans="1:5" x14ac:dyDescent="0.25">
      <c r="A9" s="101">
        <v>2631</v>
      </c>
      <c r="B9" s="101" t="s">
        <v>72</v>
      </c>
      <c r="C9" s="101">
        <v>50</v>
      </c>
      <c r="D9" s="101">
        <v>3</v>
      </c>
      <c r="E9" s="101">
        <v>3</v>
      </c>
    </row>
    <row r="10" spans="1:5" x14ac:dyDescent="0.25">
      <c r="A10" s="101">
        <v>2630</v>
      </c>
      <c r="B10" s="101" t="s">
        <v>73</v>
      </c>
      <c r="C10" s="101">
        <v>100</v>
      </c>
      <c r="D10" s="101">
        <v>0</v>
      </c>
      <c r="E10" s="101">
        <v>0</v>
      </c>
    </row>
    <row r="11" spans="1:5" x14ac:dyDescent="0.25">
      <c r="A11" s="101">
        <v>2630</v>
      </c>
      <c r="B11" s="101" t="s">
        <v>74</v>
      </c>
      <c r="C11" s="101">
        <v>100</v>
      </c>
      <c r="D11" s="101">
        <v>0</v>
      </c>
      <c r="E11" s="101">
        <v>0</v>
      </c>
    </row>
    <row r="12" spans="1:5" x14ac:dyDescent="0.25">
      <c r="A12" s="78">
        <v>2664</v>
      </c>
      <c r="B12" s="78">
        <v>42600</v>
      </c>
      <c r="C12" s="78">
        <v>100</v>
      </c>
      <c r="D12" s="78">
        <v>2</v>
      </c>
      <c r="E12" s="78">
        <v>2</v>
      </c>
    </row>
    <row r="13" spans="1:5" x14ac:dyDescent="0.25">
      <c r="A13" s="101">
        <v>2671</v>
      </c>
      <c r="B13" s="101">
        <v>41300</v>
      </c>
      <c r="C13" s="101">
        <v>50</v>
      </c>
      <c r="D13" s="101">
        <v>2</v>
      </c>
      <c r="E13" s="101">
        <v>2</v>
      </c>
    </row>
    <row r="14" spans="1:5" x14ac:dyDescent="0.25">
      <c r="A14" s="101">
        <v>2671</v>
      </c>
      <c r="B14" s="101">
        <v>41400</v>
      </c>
      <c r="C14" s="101">
        <v>50</v>
      </c>
      <c r="D14" s="101">
        <v>3</v>
      </c>
      <c r="E14" s="101">
        <v>3</v>
      </c>
    </row>
    <row r="15" spans="1:5" x14ac:dyDescent="0.25">
      <c r="A15" s="101">
        <v>2685</v>
      </c>
      <c r="B15" s="101">
        <v>41300</v>
      </c>
      <c r="C15" s="101">
        <v>100</v>
      </c>
      <c r="D15" s="101">
        <v>0</v>
      </c>
      <c r="E15" s="101">
        <v>0</v>
      </c>
    </row>
    <row r="16" spans="1:5" x14ac:dyDescent="0.25">
      <c r="A16" s="93">
        <v>2708</v>
      </c>
      <c r="B16" s="93" t="s">
        <v>74</v>
      </c>
      <c r="C16" s="93">
        <v>100</v>
      </c>
      <c r="D16" s="93">
        <v>2</v>
      </c>
      <c r="E16" s="93">
        <v>2</v>
      </c>
    </row>
    <row r="17" spans="1:5" x14ac:dyDescent="0.25">
      <c r="A17" s="93">
        <v>2729</v>
      </c>
      <c r="B17" s="93" t="s">
        <v>73</v>
      </c>
      <c r="C17" s="93">
        <v>50</v>
      </c>
      <c r="D17" s="93">
        <v>1</v>
      </c>
      <c r="E17" s="93">
        <v>1</v>
      </c>
    </row>
    <row r="18" spans="1:5" x14ac:dyDescent="0.25">
      <c r="A18" s="93">
        <v>2729</v>
      </c>
      <c r="B18" s="93" t="s">
        <v>71</v>
      </c>
      <c r="C18" s="93">
        <v>50</v>
      </c>
      <c r="D18" s="93">
        <v>2</v>
      </c>
      <c r="E18" s="93">
        <v>2</v>
      </c>
    </row>
    <row r="19" spans="1:5" x14ac:dyDescent="0.25">
      <c r="A19">
        <v>2771</v>
      </c>
      <c r="B19" t="s">
        <v>74</v>
      </c>
      <c r="C19">
        <v>100</v>
      </c>
      <c r="D19">
        <v>0</v>
      </c>
      <c r="E19">
        <v>0</v>
      </c>
    </row>
    <row r="20" spans="1:5" x14ac:dyDescent="0.25">
      <c r="A20">
        <v>2769</v>
      </c>
      <c r="B20" t="s">
        <v>72</v>
      </c>
      <c r="C20">
        <v>100</v>
      </c>
      <c r="D20">
        <v>1</v>
      </c>
      <c r="E20">
        <v>0</v>
      </c>
    </row>
    <row r="21" spans="1:5" x14ac:dyDescent="0.25">
      <c r="A21">
        <v>2699</v>
      </c>
      <c r="B21" t="s">
        <v>74</v>
      </c>
      <c r="C21">
        <v>100</v>
      </c>
      <c r="D21">
        <v>0</v>
      </c>
      <c r="E21">
        <v>0</v>
      </c>
    </row>
    <row r="22" spans="1:5" x14ac:dyDescent="0.25">
      <c r="A22">
        <v>2756</v>
      </c>
      <c r="B22" t="s">
        <v>86</v>
      </c>
      <c r="C22">
        <v>100</v>
      </c>
      <c r="D22">
        <v>2</v>
      </c>
      <c r="E22">
        <v>2</v>
      </c>
    </row>
    <row r="23" spans="1:5" x14ac:dyDescent="0.25">
      <c r="A23">
        <v>2751</v>
      </c>
      <c r="B23" t="s">
        <v>86</v>
      </c>
      <c r="C23">
        <v>100</v>
      </c>
      <c r="D23">
        <v>1</v>
      </c>
      <c r="E23">
        <v>1</v>
      </c>
    </row>
    <row r="24" spans="1:5" x14ac:dyDescent="0.25">
      <c r="A24">
        <v>2748</v>
      </c>
      <c r="B24" t="s">
        <v>71</v>
      </c>
      <c r="C24">
        <v>100</v>
      </c>
      <c r="D24">
        <v>2</v>
      </c>
      <c r="E24">
        <v>2</v>
      </c>
    </row>
    <row r="25" spans="1:5" x14ac:dyDescent="0.25">
      <c r="A25">
        <v>2748</v>
      </c>
      <c r="B25" t="s">
        <v>72</v>
      </c>
      <c r="C25">
        <v>100</v>
      </c>
      <c r="D25">
        <v>0</v>
      </c>
      <c r="E25">
        <v>0</v>
      </c>
    </row>
    <row r="100" spans="3:6" x14ac:dyDescent="0.25">
      <c r="C100">
        <f>SUM(C2:C99)</f>
        <v>1950</v>
      </c>
      <c r="D100">
        <f>SUM(D2:D99)</f>
        <v>29</v>
      </c>
      <c r="E100">
        <f>SUM(E2:E99)</f>
        <v>28</v>
      </c>
      <c r="F100" s="22">
        <f>E100/C100</f>
        <v>1.4358974358974359E-2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62120a19-a38a-4c78-8e86-03b65bdcf4fa" xsi:nil="true"/>
    <lcf76f155ced4ddcb4097134ff3c332f xmlns="62120a19-a38a-4c78-8e86-03b65bdcf4fa">
      <Terms xmlns="http://schemas.microsoft.com/office/infopath/2007/PartnerControls"/>
    </lcf76f155ced4ddcb4097134ff3c332f>
    <TaxCatchAll xmlns="671c5c8a-d1dd-40a7-bcfd-3ed591bedb5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20" ma:contentTypeDescription="Create a new document." ma:contentTypeScope="" ma:versionID="7d0ac21dda21076bdb9f157ce12b488b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9f9b4e43a7fb3eab84609eac34813f4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8fdf6db-8985-453d-8dbc-2532d523432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8FC630-F7C4-4853-9148-CFF992D7DE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B27CA8-9E07-45F5-95DA-24117C0A56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2120a19-a38a-4c78-8e86-03b65bdcf4fa"/>
    <ds:schemaRef ds:uri="671c5c8a-d1dd-40a7-bcfd-3ed591bedb5d"/>
  </ds:schemaRefs>
</ds:datastoreItem>
</file>

<file path=customXml/itemProps3.xml><?xml version="1.0" encoding="utf-8"?>
<ds:datastoreItem xmlns:ds="http://schemas.openxmlformats.org/officeDocument/2006/customXml" ds:itemID="{37D851F2-044F-486C-AE8A-CC50FC24F3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Harvest</vt:lpstr>
      <vt:lpstr>Effort</vt:lpstr>
      <vt:lpstr>CPUE</vt:lpstr>
      <vt:lpstr>Summary Table</vt:lpstr>
      <vt:lpstr>Summary Table Public</vt:lpstr>
      <vt:lpstr>Tribal Update</vt:lpstr>
      <vt:lpstr>TAC</vt:lpstr>
      <vt:lpstr>LB Wastage</vt:lpstr>
      <vt:lpstr>TH Wastage</vt:lpstr>
      <vt:lpstr>Cop Wastage</vt:lpstr>
      <vt:lpstr>Moc Wastage</vt:lpstr>
      <vt:lpstr>Kal Wastage</vt:lpstr>
      <vt:lpstr>'Tribal Update'!Print_Area</vt:lpstr>
    </vt:vector>
  </TitlesOfParts>
  <Company>Washington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Blumenthal, Bryce W (DFW)</dc:creator>
  <cp:lastModifiedBy>George, Matthew (DFW)</cp:lastModifiedBy>
  <cp:lastPrinted>2026-01-12T20:07:00Z</cp:lastPrinted>
  <dcterms:created xsi:type="dcterms:W3CDTF">2019-10-01T18:03:52Z</dcterms:created>
  <dcterms:modified xsi:type="dcterms:W3CDTF">2026-06-29T18:42:32Z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2024-05-20T20:44:28Z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1da2ddb8-8f57-43fd-ab04-fabd66231eb5</vt:lpwstr>
  </property>
  <property fmtid="{D5CDD505-2E9C-101B-9397-08002B2CF9AE}" pid="8" name="MSIP_Label_45011977-b912-4387-97a4-f4c94a801377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0x010100DE9114A9D0DECB469CD3434F7556ACE4</vt:lpwstr>
  </property>
</Properties>
</file>