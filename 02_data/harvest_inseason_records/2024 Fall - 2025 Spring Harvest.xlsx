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tateofwa.sharepoint.com/sites/DFW-TeamR6CoastalShellfish/Shared Documents/Razor Clam/Harvest Monitoring/2024-2025 Season/"/>
    </mc:Choice>
  </mc:AlternateContent>
  <xr:revisionPtr revIDLastSave="1257" documentId="8_{F1DE65DF-3E22-4B57-BB34-66E422279868}" xr6:coauthVersionLast="47" xr6:coauthVersionMax="47" xr10:uidLastSave="{D08C3491-5F79-488C-B84B-6511C8BBA7F5}"/>
  <bookViews>
    <workbookView xWindow="-28920" yWindow="2355" windowWidth="29040" windowHeight="15720" tabRatio="657" activeTab="1" xr2:uid="{00000000-000D-0000-FFFF-FFFF00000000}"/>
  </bookViews>
  <sheets>
    <sheet name="Harvest" sheetId="2" r:id="rId1"/>
    <sheet name="Effort" sheetId="1" r:id="rId2"/>
    <sheet name="CPUE" sheetId="3" r:id="rId3"/>
    <sheet name="Summary Table" sheetId="4" r:id="rId4"/>
    <sheet name="Summary Table Public" sheetId="15" r:id="rId5"/>
    <sheet name="Tribal Update" sheetId="13" r:id="rId6"/>
    <sheet name="TAC" sheetId="5" r:id="rId7"/>
    <sheet name="LB Wastage" sheetId="7" r:id="rId8"/>
    <sheet name="TH Wastage" sheetId="6" r:id="rId9"/>
    <sheet name="Cop Wastage" sheetId="8" r:id="rId10"/>
    <sheet name="Moc Wastage" sheetId="9" r:id="rId11"/>
    <sheet name="Kal Wastage" sheetId="11" r:id="rId12"/>
  </sheets>
  <definedNames>
    <definedName name="_xlnm.Print_Area" localSheetId="5">'Tribal Update'!$A$1:$R$134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1" l="1"/>
  <c r="F124" i="1"/>
  <c r="U131" i="15"/>
  <c r="X133" i="15"/>
  <c r="W121" i="15"/>
  <c r="J121" i="13"/>
  <c r="I121" i="13"/>
  <c r="R121" i="13"/>
  <c r="Q121" i="13"/>
  <c r="R112" i="13"/>
  <c r="Q112" i="13"/>
  <c r="J112" i="13"/>
  <c r="I112" i="13"/>
  <c r="F112" i="13"/>
  <c r="E112" i="13"/>
  <c r="E130" i="13"/>
  <c r="H123" i="1" l="1"/>
  <c r="H122" i="1"/>
  <c r="H117" i="1"/>
  <c r="H115" i="1"/>
  <c r="H112" i="1"/>
  <c r="F122" i="1"/>
  <c r="F121" i="1"/>
  <c r="F113" i="1"/>
  <c r="F114" i="1"/>
  <c r="F115" i="1"/>
  <c r="F118" i="1"/>
  <c r="H109" i="1"/>
  <c r="H107" i="1"/>
  <c r="H106" i="1"/>
  <c r="H104" i="1"/>
  <c r="F107" i="1"/>
  <c r="F109" i="1"/>
  <c r="F105" i="1"/>
  <c r="F103" i="1"/>
  <c r="F108" i="1"/>
  <c r="F104" i="1"/>
  <c r="R130" i="13"/>
  <c r="Q130" i="13"/>
  <c r="N130" i="13"/>
  <c r="M130" i="13"/>
  <c r="J130" i="13"/>
  <c r="I130" i="13"/>
  <c r="F130" i="13"/>
  <c r="Q128" i="13"/>
  <c r="F121" i="13"/>
  <c r="E121" i="13"/>
  <c r="F128" i="13"/>
  <c r="R127" i="13"/>
  <c r="Q127" i="13"/>
  <c r="K127" i="13"/>
  <c r="J127" i="13"/>
  <c r="I127" i="13"/>
  <c r="G127" i="13"/>
  <c r="F127" i="13"/>
  <c r="E127" i="13"/>
  <c r="K126" i="13"/>
  <c r="J126" i="13"/>
  <c r="R126" i="13" s="1"/>
  <c r="I126" i="13"/>
  <c r="Q126" i="13" s="1"/>
  <c r="G126" i="13"/>
  <c r="F126" i="13"/>
  <c r="E126" i="13"/>
  <c r="K125" i="13"/>
  <c r="J125" i="13"/>
  <c r="I125" i="13"/>
  <c r="G125" i="13"/>
  <c r="F125" i="13"/>
  <c r="R125" i="13" s="1"/>
  <c r="E125" i="13"/>
  <c r="Q125" i="13" s="1"/>
  <c r="R124" i="13"/>
  <c r="Q124" i="13"/>
  <c r="K124" i="13"/>
  <c r="J124" i="13"/>
  <c r="I124" i="13"/>
  <c r="G124" i="13"/>
  <c r="F124" i="13"/>
  <c r="E124" i="13"/>
  <c r="K123" i="13"/>
  <c r="J123" i="13"/>
  <c r="R123" i="13" s="1"/>
  <c r="I123" i="13"/>
  <c r="Q123" i="13" s="1"/>
  <c r="G123" i="13"/>
  <c r="F123" i="13"/>
  <c r="E123" i="13"/>
  <c r="K122" i="13"/>
  <c r="J122" i="13"/>
  <c r="J128" i="13" s="1"/>
  <c r="K128" i="13" s="1"/>
  <c r="I122" i="13"/>
  <c r="I128" i="13" s="1"/>
  <c r="G122" i="13"/>
  <c r="F122" i="13"/>
  <c r="R122" i="13" s="1"/>
  <c r="E122" i="13"/>
  <c r="Q122" i="13" s="1"/>
  <c r="R120" i="13"/>
  <c r="Q120" i="13"/>
  <c r="K120" i="13"/>
  <c r="J120" i="13"/>
  <c r="I120" i="13"/>
  <c r="G120" i="13"/>
  <c r="F120" i="13"/>
  <c r="E120" i="13"/>
  <c r="K119" i="13"/>
  <c r="J119" i="13"/>
  <c r="I119" i="13"/>
  <c r="G119" i="13"/>
  <c r="F119" i="13"/>
  <c r="E119" i="13"/>
  <c r="K118" i="13"/>
  <c r="J118" i="13"/>
  <c r="I118" i="13"/>
  <c r="G118" i="13"/>
  <c r="F118" i="13"/>
  <c r="E118" i="13"/>
  <c r="Q118" i="13" s="1"/>
  <c r="K117" i="13"/>
  <c r="J117" i="13"/>
  <c r="R117" i="13" s="1"/>
  <c r="I117" i="13"/>
  <c r="Q117" i="13" s="1"/>
  <c r="G117" i="13"/>
  <c r="F117" i="13"/>
  <c r="E117" i="13"/>
  <c r="K116" i="13"/>
  <c r="J116" i="13"/>
  <c r="I116" i="13"/>
  <c r="G116" i="13"/>
  <c r="F116" i="13"/>
  <c r="E116" i="13"/>
  <c r="K115" i="13"/>
  <c r="J115" i="13"/>
  <c r="I115" i="13"/>
  <c r="G115" i="13"/>
  <c r="F115" i="13"/>
  <c r="E115" i="13"/>
  <c r="K114" i="13"/>
  <c r="J114" i="13"/>
  <c r="I114" i="13"/>
  <c r="G114" i="13"/>
  <c r="F114" i="13"/>
  <c r="R114" i="13" s="1"/>
  <c r="E114" i="13"/>
  <c r="Q114" i="13" s="1"/>
  <c r="K113" i="13"/>
  <c r="J113" i="13"/>
  <c r="R113" i="13" s="1"/>
  <c r="I113" i="13"/>
  <c r="Q113" i="13" s="1"/>
  <c r="G113" i="13"/>
  <c r="F113" i="13"/>
  <c r="E113" i="13"/>
  <c r="K111" i="13"/>
  <c r="J111" i="13"/>
  <c r="I111" i="13"/>
  <c r="G111" i="13"/>
  <c r="F111" i="13"/>
  <c r="E111" i="13"/>
  <c r="Q111" i="13" s="1"/>
  <c r="K110" i="13"/>
  <c r="J110" i="13"/>
  <c r="I110" i="13"/>
  <c r="G110" i="13"/>
  <c r="F110" i="13"/>
  <c r="E110" i="13"/>
  <c r="K109" i="13"/>
  <c r="J109" i="13"/>
  <c r="I109" i="13"/>
  <c r="G109" i="13"/>
  <c r="F109" i="13"/>
  <c r="R109" i="13" s="1"/>
  <c r="E109" i="13"/>
  <c r="Q109" i="13" s="1"/>
  <c r="K108" i="13"/>
  <c r="J108" i="13"/>
  <c r="I108" i="13"/>
  <c r="G108" i="13"/>
  <c r="F108" i="13"/>
  <c r="E108" i="13"/>
  <c r="K107" i="13"/>
  <c r="J107" i="13"/>
  <c r="I107" i="13"/>
  <c r="G107" i="13"/>
  <c r="F107" i="13"/>
  <c r="R107" i="13" s="1"/>
  <c r="E107" i="13"/>
  <c r="Q107" i="13" s="1"/>
  <c r="R106" i="13"/>
  <c r="K106" i="13"/>
  <c r="J106" i="13"/>
  <c r="I106" i="13"/>
  <c r="G106" i="13"/>
  <c r="F106" i="13"/>
  <c r="E106" i="13"/>
  <c r="K105" i="13"/>
  <c r="J105" i="13"/>
  <c r="I105" i="13"/>
  <c r="G105" i="13"/>
  <c r="F105" i="13"/>
  <c r="E105" i="13"/>
  <c r="F127" i="1"/>
  <c r="H123" i="2"/>
  <c r="H122" i="2"/>
  <c r="H117" i="2"/>
  <c r="H112" i="2"/>
  <c r="H115" i="2"/>
  <c r="H109" i="2"/>
  <c r="H107" i="2"/>
  <c r="H106" i="2"/>
  <c r="H104" i="2"/>
  <c r="F123" i="2"/>
  <c r="F121" i="2"/>
  <c r="F120" i="2"/>
  <c r="F117" i="2"/>
  <c r="F112" i="2"/>
  <c r="F111" i="2"/>
  <c r="F106" i="2"/>
  <c r="F104" i="2"/>
  <c r="F124" i="2"/>
  <c r="F122" i="2"/>
  <c r="F109" i="2"/>
  <c r="F107" i="2"/>
  <c r="F105" i="2"/>
  <c r="F103" i="2"/>
  <c r="F115" i="2"/>
  <c r="F114" i="2"/>
  <c r="F113" i="2"/>
  <c r="F118" i="2"/>
  <c r="H124" i="3"/>
  <c r="H121" i="3"/>
  <c r="H120" i="3"/>
  <c r="F108" i="3"/>
  <c r="F116" i="3"/>
  <c r="F125" i="3"/>
  <c r="F125" i="2"/>
  <c r="F116" i="2"/>
  <c r="F108" i="2"/>
  <c r="N127" i="2"/>
  <c r="L127" i="2"/>
  <c r="J127" i="2"/>
  <c r="N127" i="1"/>
  <c r="L127" i="1"/>
  <c r="J127" i="1"/>
  <c r="H127" i="1"/>
  <c r="F120" i="1"/>
  <c r="F117" i="1"/>
  <c r="F123" i="1"/>
  <c r="F125" i="1"/>
  <c r="F116" i="1"/>
  <c r="F112" i="1"/>
  <c r="F111" i="1"/>
  <c r="F106" i="1"/>
  <c r="H118" i="3"/>
  <c r="H116" i="3"/>
  <c r="H114" i="3"/>
  <c r="H113" i="3"/>
  <c r="H111" i="3"/>
  <c r="H108" i="3"/>
  <c r="H105" i="3"/>
  <c r="H103" i="3"/>
  <c r="L125" i="3"/>
  <c r="L122" i="3"/>
  <c r="L121" i="3"/>
  <c r="J124" i="3"/>
  <c r="J123" i="3"/>
  <c r="J120" i="3"/>
  <c r="J116" i="3"/>
  <c r="J115" i="3"/>
  <c r="J114" i="3"/>
  <c r="J111" i="3"/>
  <c r="J109" i="3"/>
  <c r="J108" i="3"/>
  <c r="J105" i="3"/>
  <c r="J104" i="3"/>
  <c r="L118" i="3"/>
  <c r="L117" i="3"/>
  <c r="L113" i="3"/>
  <c r="L112" i="3"/>
  <c r="L107" i="3"/>
  <c r="L106" i="3"/>
  <c r="L103" i="3"/>
  <c r="R128" i="13" l="1"/>
  <c r="U128" i="13"/>
  <c r="E128" i="13"/>
  <c r="T128" i="13" s="1"/>
  <c r="Q105" i="13"/>
  <c r="G128" i="13"/>
  <c r="Q106" i="13"/>
  <c r="Q116" i="13"/>
  <c r="R118" i="13"/>
  <c r="R116" i="13"/>
  <c r="Q119" i="13"/>
  <c r="R119" i="13"/>
  <c r="Q115" i="13"/>
  <c r="R115" i="13"/>
  <c r="R105" i="13"/>
  <c r="Q110" i="13"/>
  <c r="Q108" i="13"/>
  <c r="R110" i="13"/>
  <c r="R111" i="13"/>
  <c r="R108" i="13"/>
  <c r="G112" i="13"/>
  <c r="H127" i="2"/>
  <c r="F127" i="2"/>
  <c r="K112" i="13" l="1"/>
  <c r="U121" i="13"/>
  <c r="G121" i="13"/>
  <c r="T112" i="13"/>
  <c r="T121" i="13"/>
  <c r="U112" i="13"/>
  <c r="K121" i="13" l="1"/>
  <c r="O120" i="15" l="1"/>
  <c r="O119" i="4"/>
  <c r="O107" i="2"/>
  <c r="O105" i="4"/>
  <c r="L113" i="15"/>
  <c r="L110" i="4"/>
  <c r="L107" i="4"/>
  <c r="L106" i="15"/>
  <c r="I110" i="4"/>
  <c r="O111" i="2"/>
  <c r="O112" i="2"/>
  <c r="O113" i="2"/>
  <c r="I116" i="4"/>
  <c r="I105" i="4"/>
  <c r="O116" i="2"/>
  <c r="F119" i="4"/>
  <c r="F120" i="4"/>
  <c r="F106" i="4"/>
  <c r="F110" i="4"/>
  <c r="O109" i="2"/>
  <c r="H119" i="4"/>
  <c r="O118" i="1"/>
  <c r="O115" i="1"/>
  <c r="O114" i="1"/>
  <c r="E115" i="15"/>
  <c r="O112" i="1"/>
  <c r="H109" i="15"/>
  <c r="O106" i="1"/>
  <c r="O104" i="1"/>
  <c r="E111" i="15"/>
  <c r="E107" i="4"/>
  <c r="O103" i="1"/>
  <c r="E113" i="4"/>
  <c r="E114" i="4"/>
  <c r="O116" i="1"/>
  <c r="E110" i="15"/>
  <c r="O106" i="2"/>
  <c r="O120" i="2"/>
  <c r="O121" i="2"/>
  <c r="O122" i="2"/>
  <c r="O123" i="2"/>
  <c r="O124" i="2"/>
  <c r="O125" i="2"/>
  <c r="O111" i="1"/>
  <c r="O120" i="1"/>
  <c r="O121" i="1"/>
  <c r="O122" i="1"/>
  <c r="O123" i="1"/>
  <c r="O124" i="1"/>
  <c r="O124" i="3" s="1"/>
  <c r="O125" i="1"/>
  <c r="P127" i="4"/>
  <c r="O127" i="4"/>
  <c r="N127" i="4"/>
  <c r="M127" i="4"/>
  <c r="L127" i="4"/>
  <c r="K127" i="4"/>
  <c r="J127" i="4"/>
  <c r="I127" i="4"/>
  <c r="H127" i="4"/>
  <c r="G127" i="4"/>
  <c r="F127" i="4"/>
  <c r="E127" i="4"/>
  <c r="P126" i="4"/>
  <c r="O126" i="4"/>
  <c r="N126" i="4"/>
  <c r="M126" i="4"/>
  <c r="L126" i="4"/>
  <c r="K126" i="4"/>
  <c r="J126" i="4"/>
  <c r="I126" i="4"/>
  <c r="H126" i="4"/>
  <c r="G126" i="4"/>
  <c r="F126" i="4"/>
  <c r="U126" i="4" s="1"/>
  <c r="E126" i="4"/>
  <c r="P125" i="4"/>
  <c r="O125" i="4"/>
  <c r="U125" i="4" s="1"/>
  <c r="N125" i="4"/>
  <c r="M125" i="4"/>
  <c r="L125" i="4"/>
  <c r="K125" i="4"/>
  <c r="J125" i="4"/>
  <c r="I125" i="4"/>
  <c r="H125" i="4"/>
  <c r="G125" i="4"/>
  <c r="F125" i="4"/>
  <c r="E125" i="4"/>
  <c r="P124" i="4"/>
  <c r="O124" i="4"/>
  <c r="U124" i="4" s="1"/>
  <c r="N124" i="4"/>
  <c r="M124" i="4"/>
  <c r="L124" i="4"/>
  <c r="K124" i="4"/>
  <c r="J124" i="4"/>
  <c r="I124" i="4"/>
  <c r="H124" i="4"/>
  <c r="G124" i="4"/>
  <c r="F124" i="4"/>
  <c r="E124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P122" i="4"/>
  <c r="O122" i="4"/>
  <c r="N122" i="4"/>
  <c r="M122" i="4"/>
  <c r="L122" i="4"/>
  <c r="L128" i="4" s="1"/>
  <c r="K122" i="4"/>
  <c r="K128" i="4" s="1"/>
  <c r="J122" i="4"/>
  <c r="I122" i="4"/>
  <c r="I128" i="4" s="1"/>
  <c r="H122" i="4"/>
  <c r="G122" i="4"/>
  <c r="F122" i="4"/>
  <c r="E122" i="4"/>
  <c r="P120" i="4"/>
  <c r="O120" i="4"/>
  <c r="N120" i="4"/>
  <c r="M120" i="4"/>
  <c r="L120" i="4"/>
  <c r="K120" i="4"/>
  <c r="J120" i="4"/>
  <c r="I120" i="4"/>
  <c r="H120" i="4"/>
  <c r="G120" i="4"/>
  <c r="P119" i="4"/>
  <c r="N119" i="4"/>
  <c r="M119" i="4"/>
  <c r="L119" i="4"/>
  <c r="K119" i="4"/>
  <c r="J119" i="4"/>
  <c r="I119" i="4"/>
  <c r="G119" i="4"/>
  <c r="E119" i="4"/>
  <c r="P118" i="4"/>
  <c r="O118" i="4"/>
  <c r="N118" i="4"/>
  <c r="M118" i="4"/>
  <c r="L118" i="4"/>
  <c r="K118" i="4"/>
  <c r="J118" i="4"/>
  <c r="I118" i="4"/>
  <c r="H118" i="4"/>
  <c r="G118" i="4"/>
  <c r="P117" i="4"/>
  <c r="O117" i="4"/>
  <c r="N117" i="4"/>
  <c r="M117" i="4"/>
  <c r="L117" i="4"/>
  <c r="K117" i="4"/>
  <c r="J117" i="4"/>
  <c r="I117" i="4"/>
  <c r="H117" i="4"/>
  <c r="G117" i="4"/>
  <c r="P116" i="4"/>
  <c r="O116" i="4"/>
  <c r="N116" i="4"/>
  <c r="M116" i="4"/>
  <c r="L116" i="4"/>
  <c r="K116" i="4"/>
  <c r="J116" i="4"/>
  <c r="H116" i="4"/>
  <c r="G116" i="4"/>
  <c r="F116" i="4"/>
  <c r="P115" i="4"/>
  <c r="O115" i="4"/>
  <c r="N115" i="4"/>
  <c r="M115" i="4"/>
  <c r="L115" i="4"/>
  <c r="K115" i="4"/>
  <c r="J115" i="4"/>
  <c r="H115" i="4"/>
  <c r="G115" i="4"/>
  <c r="F115" i="4"/>
  <c r="P114" i="4"/>
  <c r="O114" i="4"/>
  <c r="N114" i="4"/>
  <c r="M114" i="4"/>
  <c r="L114" i="4"/>
  <c r="K114" i="4"/>
  <c r="J114" i="4"/>
  <c r="G114" i="4"/>
  <c r="F114" i="4"/>
  <c r="P113" i="4"/>
  <c r="O113" i="4"/>
  <c r="N113" i="4"/>
  <c r="M113" i="4"/>
  <c r="L113" i="4"/>
  <c r="K113" i="4"/>
  <c r="J113" i="4"/>
  <c r="H113" i="4"/>
  <c r="G113" i="4"/>
  <c r="F113" i="4"/>
  <c r="P111" i="4"/>
  <c r="O111" i="4"/>
  <c r="N111" i="4"/>
  <c r="M111" i="4"/>
  <c r="L111" i="4"/>
  <c r="K111" i="4"/>
  <c r="J111" i="4"/>
  <c r="I111" i="4"/>
  <c r="G111" i="4"/>
  <c r="P110" i="4"/>
  <c r="O110" i="4"/>
  <c r="N110" i="4"/>
  <c r="M110" i="4"/>
  <c r="K110" i="4"/>
  <c r="J110" i="4"/>
  <c r="H110" i="4"/>
  <c r="G110" i="4"/>
  <c r="P109" i="4"/>
  <c r="O109" i="4"/>
  <c r="N109" i="4"/>
  <c r="M109" i="4"/>
  <c r="L109" i="4"/>
  <c r="K109" i="4"/>
  <c r="J109" i="4"/>
  <c r="I109" i="4"/>
  <c r="G109" i="4"/>
  <c r="F109" i="4"/>
  <c r="P108" i="4"/>
  <c r="O108" i="4"/>
  <c r="N108" i="4"/>
  <c r="M108" i="4"/>
  <c r="L108" i="4"/>
  <c r="K108" i="4"/>
  <c r="J108" i="4"/>
  <c r="I108" i="4"/>
  <c r="G108" i="4"/>
  <c r="F108" i="4"/>
  <c r="E108" i="4"/>
  <c r="P107" i="4"/>
  <c r="O107" i="4"/>
  <c r="N107" i="4"/>
  <c r="M107" i="4"/>
  <c r="K107" i="4"/>
  <c r="J107" i="4"/>
  <c r="I107" i="4"/>
  <c r="H107" i="4"/>
  <c r="G107" i="4"/>
  <c r="F107" i="4"/>
  <c r="P106" i="4"/>
  <c r="O106" i="4"/>
  <c r="N106" i="4"/>
  <c r="M106" i="4"/>
  <c r="K106" i="4"/>
  <c r="J106" i="4"/>
  <c r="I106" i="4"/>
  <c r="G106" i="4"/>
  <c r="E106" i="4"/>
  <c r="P105" i="4"/>
  <c r="N105" i="4"/>
  <c r="M105" i="4"/>
  <c r="L105" i="4"/>
  <c r="K105" i="4"/>
  <c r="J105" i="4"/>
  <c r="H105" i="4"/>
  <c r="G105" i="4"/>
  <c r="F105" i="4"/>
  <c r="Q130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P126" i="15"/>
  <c r="O126" i="15"/>
  <c r="N126" i="15"/>
  <c r="M126" i="15"/>
  <c r="L126" i="15"/>
  <c r="K126" i="15"/>
  <c r="J126" i="15"/>
  <c r="I126" i="15"/>
  <c r="H126" i="15"/>
  <c r="G126" i="15"/>
  <c r="F126" i="15"/>
  <c r="U126" i="15" s="1"/>
  <c r="E126" i="15"/>
  <c r="P125" i="15"/>
  <c r="O125" i="15"/>
  <c r="N125" i="15"/>
  <c r="M125" i="15"/>
  <c r="L125" i="15"/>
  <c r="K125" i="15"/>
  <c r="J125" i="15"/>
  <c r="I125" i="15"/>
  <c r="H125" i="15"/>
  <c r="G125" i="15"/>
  <c r="F125" i="15"/>
  <c r="U125" i="15" s="1"/>
  <c r="E125" i="15"/>
  <c r="P124" i="15"/>
  <c r="O124" i="15"/>
  <c r="U124" i="15" s="1"/>
  <c r="N124" i="15"/>
  <c r="M124" i="15"/>
  <c r="L124" i="15"/>
  <c r="K124" i="15"/>
  <c r="J124" i="15"/>
  <c r="I124" i="15"/>
  <c r="H124" i="15"/>
  <c r="G124" i="15"/>
  <c r="F124" i="15"/>
  <c r="E124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P122" i="15"/>
  <c r="O122" i="15"/>
  <c r="O128" i="15" s="1"/>
  <c r="N122" i="15"/>
  <c r="N128" i="15" s="1"/>
  <c r="M122" i="15"/>
  <c r="L122" i="15"/>
  <c r="L128" i="15" s="1"/>
  <c r="K122" i="15"/>
  <c r="K128" i="15" s="1"/>
  <c r="J122" i="15"/>
  <c r="I122" i="15"/>
  <c r="I128" i="15" s="1"/>
  <c r="H122" i="15"/>
  <c r="G122" i="15"/>
  <c r="F122" i="15"/>
  <c r="E122" i="15"/>
  <c r="P120" i="15"/>
  <c r="N120" i="15"/>
  <c r="M120" i="15"/>
  <c r="L120" i="15"/>
  <c r="K120" i="15"/>
  <c r="J120" i="15"/>
  <c r="I120" i="15"/>
  <c r="H120" i="15"/>
  <c r="G120" i="15"/>
  <c r="F120" i="15"/>
  <c r="P119" i="15"/>
  <c r="N119" i="15"/>
  <c r="M119" i="15"/>
  <c r="L119" i="15"/>
  <c r="K119" i="15"/>
  <c r="J119" i="15"/>
  <c r="I119" i="15"/>
  <c r="G119" i="15"/>
  <c r="F119" i="15"/>
  <c r="E119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P117" i="15"/>
  <c r="O117" i="15"/>
  <c r="N117" i="15"/>
  <c r="M117" i="15"/>
  <c r="L117" i="15"/>
  <c r="K117" i="15"/>
  <c r="J117" i="15"/>
  <c r="I117" i="15"/>
  <c r="H117" i="15"/>
  <c r="G117" i="15"/>
  <c r="F117" i="15"/>
  <c r="P116" i="15"/>
  <c r="O116" i="15"/>
  <c r="N116" i="15"/>
  <c r="M116" i="15"/>
  <c r="L116" i="15"/>
  <c r="K116" i="15"/>
  <c r="J116" i="15"/>
  <c r="I116" i="15"/>
  <c r="H116" i="15"/>
  <c r="G116" i="15"/>
  <c r="F116" i="15"/>
  <c r="P115" i="15"/>
  <c r="O115" i="15"/>
  <c r="N115" i="15"/>
  <c r="M115" i="15"/>
  <c r="L115" i="15"/>
  <c r="K115" i="15"/>
  <c r="J115" i="15"/>
  <c r="H115" i="15"/>
  <c r="G115" i="15"/>
  <c r="F115" i="15"/>
  <c r="P114" i="15"/>
  <c r="O114" i="15"/>
  <c r="N114" i="15"/>
  <c r="M114" i="15"/>
  <c r="L114" i="15"/>
  <c r="K114" i="15"/>
  <c r="J114" i="15"/>
  <c r="I114" i="15"/>
  <c r="G114" i="15"/>
  <c r="F114" i="15"/>
  <c r="E114" i="15"/>
  <c r="P113" i="15"/>
  <c r="O113" i="15"/>
  <c r="N113" i="15"/>
  <c r="M113" i="15"/>
  <c r="K113" i="15"/>
  <c r="J113" i="15"/>
  <c r="I113" i="15"/>
  <c r="H113" i="15"/>
  <c r="G113" i="15"/>
  <c r="F113" i="15"/>
  <c r="E113" i="15"/>
  <c r="P111" i="15"/>
  <c r="O111" i="15"/>
  <c r="N111" i="15"/>
  <c r="M111" i="15"/>
  <c r="L111" i="15"/>
  <c r="K111" i="15"/>
  <c r="J111" i="15"/>
  <c r="I111" i="15"/>
  <c r="G111" i="15"/>
  <c r="P110" i="15"/>
  <c r="O110" i="15"/>
  <c r="N110" i="15"/>
  <c r="M110" i="15"/>
  <c r="K110" i="15"/>
  <c r="J110" i="15"/>
  <c r="I110" i="15"/>
  <c r="H110" i="15"/>
  <c r="G110" i="15"/>
  <c r="F110" i="15"/>
  <c r="P109" i="15"/>
  <c r="O109" i="15"/>
  <c r="N109" i="15"/>
  <c r="M109" i="15"/>
  <c r="L109" i="15"/>
  <c r="K109" i="15"/>
  <c r="J109" i="15"/>
  <c r="I109" i="15"/>
  <c r="G109" i="15"/>
  <c r="F109" i="15"/>
  <c r="P108" i="15"/>
  <c r="O108" i="15"/>
  <c r="N108" i="15"/>
  <c r="M108" i="15"/>
  <c r="L108" i="15"/>
  <c r="K108" i="15"/>
  <c r="J108" i="15"/>
  <c r="I108" i="15"/>
  <c r="G108" i="15"/>
  <c r="F108" i="15"/>
  <c r="E108" i="15"/>
  <c r="P107" i="15"/>
  <c r="O107" i="15"/>
  <c r="N107" i="15"/>
  <c r="M107" i="15"/>
  <c r="K107" i="15"/>
  <c r="J107" i="15"/>
  <c r="I107" i="15"/>
  <c r="H107" i="15"/>
  <c r="G107" i="15"/>
  <c r="F107" i="15"/>
  <c r="E107" i="15"/>
  <c r="P106" i="15"/>
  <c r="O106" i="15"/>
  <c r="N106" i="15"/>
  <c r="M106" i="15"/>
  <c r="K106" i="15"/>
  <c r="J106" i="15"/>
  <c r="I106" i="15"/>
  <c r="G106" i="15"/>
  <c r="E106" i="15"/>
  <c r="P105" i="15"/>
  <c r="N105" i="15"/>
  <c r="M105" i="15"/>
  <c r="L105" i="15"/>
  <c r="K105" i="15"/>
  <c r="J105" i="15"/>
  <c r="I105" i="15"/>
  <c r="H105" i="15"/>
  <c r="G105" i="15"/>
  <c r="F105" i="15"/>
  <c r="F128" i="15" l="1"/>
  <c r="F128" i="4"/>
  <c r="X128" i="4" s="1"/>
  <c r="O127" i="1"/>
  <c r="U127" i="15"/>
  <c r="O125" i="3"/>
  <c r="U127" i="4"/>
  <c r="O123" i="3"/>
  <c r="O122" i="3"/>
  <c r="U123" i="15"/>
  <c r="O128" i="4"/>
  <c r="U123" i="4"/>
  <c r="P125" i="2"/>
  <c r="O121" i="3"/>
  <c r="O120" i="3"/>
  <c r="H128" i="15"/>
  <c r="J128" i="15" s="1"/>
  <c r="E128" i="4"/>
  <c r="E128" i="15"/>
  <c r="G128" i="15" s="1"/>
  <c r="N128" i="4"/>
  <c r="T124" i="15"/>
  <c r="M128" i="4"/>
  <c r="P125" i="1"/>
  <c r="P127" i="1" s="1"/>
  <c r="O105" i="1"/>
  <c r="H109" i="4"/>
  <c r="H108" i="15"/>
  <c r="H108" i="4"/>
  <c r="O117" i="1"/>
  <c r="N121" i="15"/>
  <c r="H119" i="15"/>
  <c r="K121" i="4"/>
  <c r="E115" i="4"/>
  <c r="T115" i="4" s="1"/>
  <c r="E120" i="4"/>
  <c r="T120" i="4" s="1"/>
  <c r="E111" i="4"/>
  <c r="O109" i="1"/>
  <c r="O109" i="3" s="1"/>
  <c r="N112" i="4"/>
  <c r="H114" i="15"/>
  <c r="T114" i="15" s="1"/>
  <c r="H114" i="4"/>
  <c r="T114" i="4" s="1"/>
  <c r="E120" i="15"/>
  <c r="T120" i="15" s="1"/>
  <c r="O113" i="1"/>
  <c r="O113" i="3" s="1"/>
  <c r="E116" i="15"/>
  <c r="T116" i="15" s="1"/>
  <c r="E117" i="4"/>
  <c r="T117" i="4" s="1"/>
  <c r="E116" i="4"/>
  <c r="T116" i="4" s="1"/>
  <c r="E105" i="15"/>
  <c r="E112" i="15" s="1"/>
  <c r="U119" i="4"/>
  <c r="O119" i="15"/>
  <c r="O121" i="15"/>
  <c r="O121" i="4"/>
  <c r="O112" i="4"/>
  <c r="O105" i="15"/>
  <c r="O112" i="15" s="1"/>
  <c r="O130" i="15" s="1"/>
  <c r="O103" i="2"/>
  <c r="O115" i="2"/>
  <c r="O115" i="3" s="1"/>
  <c r="L121" i="15"/>
  <c r="L121" i="4"/>
  <c r="O108" i="2"/>
  <c r="L110" i="15"/>
  <c r="O105" i="2"/>
  <c r="O105" i="3" s="1"/>
  <c r="L107" i="15"/>
  <c r="L112" i="15" s="1"/>
  <c r="L106" i="4"/>
  <c r="U106" i="4" s="1"/>
  <c r="O104" i="2"/>
  <c r="O104" i="3" s="1"/>
  <c r="L112" i="4"/>
  <c r="I121" i="15"/>
  <c r="U113" i="15"/>
  <c r="U114" i="15"/>
  <c r="U116" i="15"/>
  <c r="U120" i="4"/>
  <c r="U116" i="4"/>
  <c r="I115" i="4"/>
  <c r="U115" i="4" s="1"/>
  <c r="I113" i="4"/>
  <c r="O114" i="2"/>
  <c r="O114" i="3" s="1"/>
  <c r="I115" i="15"/>
  <c r="U115" i="15" s="1"/>
  <c r="I114" i="4"/>
  <c r="U114" i="4" s="1"/>
  <c r="U110" i="4"/>
  <c r="U117" i="15"/>
  <c r="U118" i="15"/>
  <c r="U119" i="15"/>
  <c r="U120" i="15"/>
  <c r="U107" i="4"/>
  <c r="U108" i="4"/>
  <c r="U105" i="4"/>
  <c r="I112" i="4"/>
  <c r="O118" i="2"/>
  <c r="O118" i="3" s="1"/>
  <c r="O117" i="2"/>
  <c r="F118" i="4"/>
  <c r="U118" i="4" s="1"/>
  <c r="O112" i="3"/>
  <c r="F117" i="4"/>
  <c r="U117" i="4" s="1"/>
  <c r="O111" i="3"/>
  <c r="U109" i="4"/>
  <c r="O106" i="3"/>
  <c r="F111" i="15"/>
  <c r="F111" i="4"/>
  <c r="U111" i="4" s="1"/>
  <c r="F106" i="15"/>
  <c r="E117" i="15"/>
  <c r="T117" i="15" s="1"/>
  <c r="H111" i="15"/>
  <c r="H112" i="15" s="1"/>
  <c r="H111" i="4"/>
  <c r="O107" i="1"/>
  <c r="O107" i="3" s="1"/>
  <c r="H106" i="15"/>
  <c r="T106" i="15" s="1"/>
  <c r="H106" i="4"/>
  <c r="T106" i="4" s="1"/>
  <c r="E109" i="15"/>
  <c r="T109" i="15" s="1"/>
  <c r="E109" i="4"/>
  <c r="T109" i="4" s="1"/>
  <c r="E105" i="4"/>
  <c r="T105" i="4" s="1"/>
  <c r="T118" i="15"/>
  <c r="E118" i="4"/>
  <c r="K121" i="15"/>
  <c r="K112" i="4"/>
  <c r="K112" i="15"/>
  <c r="E110" i="4"/>
  <c r="O108" i="1"/>
  <c r="O116" i="3"/>
  <c r="T119" i="4"/>
  <c r="T123" i="4"/>
  <c r="T124" i="4"/>
  <c r="T125" i="4"/>
  <c r="T127" i="4"/>
  <c r="T123" i="15"/>
  <c r="T110" i="4"/>
  <c r="H128" i="4"/>
  <c r="T126" i="15"/>
  <c r="T107" i="4"/>
  <c r="T108" i="4"/>
  <c r="T125" i="15"/>
  <c r="T127" i="15"/>
  <c r="T126" i="4"/>
  <c r="P128" i="4"/>
  <c r="N121" i="4"/>
  <c r="T122" i="4"/>
  <c r="T113" i="4"/>
  <c r="U122" i="4"/>
  <c r="M128" i="15"/>
  <c r="X128" i="15"/>
  <c r="P128" i="15"/>
  <c r="T113" i="15"/>
  <c r="T119" i="15"/>
  <c r="F121" i="15"/>
  <c r="T122" i="15"/>
  <c r="I112" i="15"/>
  <c r="T115" i="15"/>
  <c r="U122" i="15"/>
  <c r="N112" i="15"/>
  <c r="T108" i="15"/>
  <c r="T110" i="15"/>
  <c r="U111" i="15"/>
  <c r="T107" i="15"/>
  <c r="U106" i="15"/>
  <c r="U110" i="15"/>
  <c r="U108" i="15"/>
  <c r="U109" i="15"/>
  <c r="C100" i="9"/>
  <c r="F95" i="1"/>
  <c r="E97" i="4" s="1"/>
  <c r="H98" i="1"/>
  <c r="H96" i="1"/>
  <c r="H94" i="1"/>
  <c r="H96" i="15"/>
  <c r="H89" i="1"/>
  <c r="H91" i="1"/>
  <c r="H93" i="4" s="1"/>
  <c r="H87" i="1"/>
  <c r="H89" i="4" s="1"/>
  <c r="F91" i="1"/>
  <c r="F91" i="2" s="1"/>
  <c r="F87" i="1"/>
  <c r="F87" i="2" s="1"/>
  <c r="F89" i="15" s="1"/>
  <c r="F85" i="1"/>
  <c r="O85" i="1" s="1"/>
  <c r="H79" i="1"/>
  <c r="H78" i="1"/>
  <c r="H81" i="15"/>
  <c r="H80" i="15"/>
  <c r="F100" i="1"/>
  <c r="O100" i="1" s="1"/>
  <c r="F97" i="1"/>
  <c r="F101" i="1" s="1"/>
  <c r="F93" i="1"/>
  <c r="F90" i="1"/>
  <c r="O90" i="1" s="1"/>
  <c r="F88" i="1"/>
  <c r="F89" i="1" s="1"/>
  <c r="F86" i="1"/>
  <c r="O86" i="1" s="1"/>
  <c r="F82" i="1"/>
  <c r="E84" i="15" s="1"/>
  <c r="F81" i="1"/>
  <c r="O81" i="1" s="1"/>
  <c r="F80" i="1"/>
  <c r="F79" i="1" s="1"/>
  <c r="H76" i="1"/>
  <c r="H76" i="2" s="1"/>
  <c r="H74" i="1"/>
  <c r="H74" i="2" s="1"/>
  <c r="H72" i="1"/>
  <c r="H71" i="1"/>
  <c r="F72" i="1"/>
  <c r="F75" i="1" s="1"/>
  <c r="H91" i="2"/>
  <c r="I93" i="15" s="1"/>
  <c r="H87" i="2"/>
  <c r="I89" i="15" s="1"/>
  <c r="H98" i="2"/>
  <c r="I100" i="4" s="1"/>
  <c r="H96" i="2"/>
  <c r="I98" i="4" s="1"/>
  <c r="H94" i="2"/>
  <c r="I96" i="15" s="1"/>
  <c r="F97" i="2"/>
  <c r="F99" i="15" s="1"/>
  <c r="F93" i="2"/>
  <c r="F95" i="4" s="1"/>
  <c r="F90" i="2"/>
  <c r="F92" i="15" s="1"/>
  <c r="F88" i="2"/>
  <c r="O88" i="2" s="1"/>
  <c r="L101" i="3"/>
  <c r="K103" i="13" s="1"/>
  <c r="F80" i="2"/>
  <c r="O80" i="2" s="1"/>
  <c r="H101" i="3"/>
  <c r="J103" i="4" s="1"/>
  <c r="H100" i="3"/>
  <c r="J102" i="4" s="1"/>
  <c r="H99" i="3"/>
  <c r="J101" i="15" s="1"/>
  <c r="H97" i="3"/>
  <c r="J99" i="4" s="1"/>
  <c r="H90" i="3"/>
  <c r="J92" i="4" s="1"/>
  <c r="H88" i="3"/>
  <c r="J90" i="4" s="1"/>
  <c r="H86" i="3"/>
  <c r="J88" i="15" s="1"/>
  <c r="H85" i="3"/>
  <c r="J87" i="4" s="1"/>
  <c r="H83" i="3"/>
  <c r="J85" i="15" s="1"/>
  <c r="H81" i="3"/>
  <c r="J83" i="4" s="1"/>
  <c r="H80" i="3"/>
  <c r="J82" i="15" s="1"/>
  <c r="J100" i="3"/>
  <c r="M102" i="4" s="1"/>
  <c r="J99" i="3"/>
  <c r="M101" i="4" s="1"/>
  <c r="J96" i="3"/>
  <c r="G98" i="13" s="1"/>
  <c r="J95" i="3"/>
  <c r="G97" i="13" s="1"/>
  <c r="J91" i="3"/>
  <c r="M93" i="4" s="1"/>
  <c r="J90" i="3"/>
  <c r="G92" i="13" s="1"/>
  <c r="J87" i="3"/>
  <c r="M89" i="4" s="1"/>
  <c r="J86" i="3"/>
  <c r="M88" i="15" s="1"/>
  <c r="J83" i="3"/>
  <c r="G85" i="13" s="1"/>
  <c r="J80" i="3"/>
  <c r="M82" i="4" s="1"/>
  <c r="J79" i="3"/>
  <c r="G81" i="13" s="1"/>
  <c r="L98" i="3"/>
  <c r="P100" i="4" s="1"/>
  <c r="L97" i="3"/>
  <c r="P99" i="4" s="1"/>
  <c r="L94" i="3"/>
  <c r="K96" i="13" s="1"/>
  <c r="L93" i="3"/>
  <c r="K95" i="13" s="1"/>
  <c r="L89" i="3"/>
  <c r="P91" i="4" s="1"/>
  <c r="L88" i="3"/>
  <c r="K90" i="13" s="1"/>
  <c r="L85" i="3"/>
  <c r="K87" i="13" s="1"/>
  <c r="L82" i="3"/>
  <c r="P84" i="15" s="1"/>
  <c r="L81" i="3"/>
  <c r="K83" i="13" s="1"/>
  <c r="L78" i="3"/>
  <c r="K80" i="13" s="1"/>
  <c r="O80" i="1"/>
  <c r="O88" i="1"/>
  <c r="O97" i="1"/>
  <c r="J103" i="13"/>
  <c r="I103" i="13"/>
  <c r="G103" i="13"/>
  <c r="F103" i="13"/>
  <c r="E103" i="13"/>
  <c r="K102" i="13"/>
  <c r="J102" i="13"/>
  <c r="I102" i="13"/>
  <c r="F102" i="13"/>
  <c r="E102" i="13"/>
  <c r="K101" i="13"/>
  <c r="J101" i="13"/>
  <c r="I101" i="13"/>
  <c r="F101" i="13"/>
  <c r="E101" i="13"/>
  <c r="J100" i="13"/>
  <c r="I100" i="13"/>
  <c r="Q100" i="13" s="1"/>
  <c r="G100" i="13"/>
  <c r="F100" i="13"/>
  <c r="E100" i="13"/>
  <c r="J99" i="13"/>
  <c r="I99" i="13"/>
  <c r="G99" i="13"/>
  <c r="F99" i="13"/>
  <c r="E99" i="13"/>
  <c r="K98" i="13"/>
  <c r="J98" i="13"/>
  <c r="I98" i="13"/>
  <c r="F98" i="13"/>
  <c r="E98" i="13"/>
  <c r="K97" i="13"/>
  <c r="J97" i="13"/>
  <c r="I97" i="13"/>
  <c r="F97" i="13"/>
  <c r="E97" i="13"/>
  <c r="Q97" i="13" s="1"/>
  <c r="J96" i="13"/>
  <c r="I96" i="13"/>
  <c r="G96" i="13"/>
  <c r="F96" i="13"/>
  <c r="E96" i="13"/>
  <c r="J95" i="13"/>
  <c r="I95" i="13"/>
  <c r="G95" i="13"/>
  <c r="F95" i="13"/>
  <c r="E95" i="13"/>
  <c r="K93" i="13"/>
  <c r="J93" i="13"/>
  <c r="I93" i="13"/>
  <c r="F93" i="13"/>
  <c r="E93" i="13"/>
  <c r="Q93" i="13" s="1"/>
  <c r="K92" i="13"/>
  <c r="J92" i="13"/>
  <c r="I92" i="13"/>
  <c r="F92" i="13"/>
  <c r="E92" i="13"/>
  <c r="J91" i="13"/>
  <c r="I91" i="13"/>
  <c r="G91" i="13"/>
  <c r="F91" i="13"/>
  <c r="E91" i="13"/>
  <c r="Q91" i="13" s="1"/>
  <c r="J90" i="13"/>
  <c r="I90" i="13"/>
  <c r="G90" i="13"/>
  <c r="F90" i="13"/>
  <c r="E90" i="13"/>
  <c r="K89" i="13"/>
  <c r="J89" i="13"/>
  <c r="I89" i="13"/>
  <c r="F89" i="13"/>
  <c r="E89" i="13"/>
  <c r="Q89" i="13" s="1"/>
  <c r="K88" i="13"/>
  <c r="J88" i="13"/>
  <c r="I88" i="13"/>
  <c r="F88" i="13"/>
  <c r="E88" i="13"/>
  <c r="J87" i="13"/>
  <c r="I87" i="13"/>
  <c r="G87" i="13"/>
  <c r="F87" i="13"/>
  <c r="E87" i="13"/>
  <c r="K85" i="13"/>
  <c r="J85" i="13"/>
  <c r="I85" i="13"/>
  <c r="F85" i="13"/>
  <c r="E85" i="13"/>
  <c r="Q85" i="13" s="1"/>
  <c r="J84" i="13"/>
  <c r="I84" i="13"/>
  <c r="G84" i="13"/>
  <c r="F84" i="13"/>
  <c r="E84" i="13"/>
  <c r="J83" i="13"/>
  <c r="I83" i="13"/>
  <c r="G83" i="13"/>
  <c r="F83" i="13"/>
  <c r="E83" i="13"/>
  <c r="K82" i="13"/>
  <c r="J82" i="13"/>
  <c r="I82" i="13"/>
  <c r="F82" i="13"/>
  <c r="E82" i="13"/>
  <c r="K81" i="13"/>
  <c r="J81" i="13"/>
  <c r="I81" i="13"/>
  <c r="F81" i="13"/>
  <c r="E81" i="13"/>
  <c r="J80" i="13"/>
  <c r="I80" i="13"/>
  <c r="G80" i="13"/>
  <c r="F80" i="13"/>
  <c r="E80" i="13"/>
  <c r="R130" i="4"/>
  <c r="Q130" i="4"/>
  <c r="O103" i="4"/>
  <c r="N103" i="4"/>
  <c r="M103" i="4"/>
  <c r="L103" i="4"/>
  <c r="K103" i="4"/>
  <c r="I103" i="4"/>
  <c r="H103" i="4"/>
  <c r="G103" i="4"/>
  <c r="P102" i="4"/>
  <c r="O102" i="4"/>
  <c r="N102" i="4"/>
  <c r="L102" i="4"/>
  <c r="K102" i="4"/>
  <c r="I102" i="4"/>
  <c r="H102" i="4"/>
  <c r="G102" i="4"/>
  <c r="P101" i="4"/>
  <c r="O101" i="4"/>
  <c r="N101" i="4"/>
  <c r="L101" i="4"/>
  <c r="K101" i="4"/>
  <c r="J101" i="4"/>
  <c r="I101" i="4"/>
  <c r="H101" i="4"/>
  <c r="G101" i="4"/>
  <c r="O100" i="4"/>
  <c r="N100" i="4"/>
  <c r="M100" i="4"/>
  <c r="L100" i="4"/>
  <c r="K100" i="4"/>
  <c r="J100" i="4"/>
  <c r="H100" i="4"/>
  <c r="G100" i="4"/>
  <c r="O99" i="4"/>
  <c r="N99" i="4"/>
  <c r="M99" i="4"/>
  <c r="L99" i="4"/>
  <c r="K99" i="4"/>
  <c r="I99" i="4"/>
  <c r="H99" i="4"/>
  <c r="G99" i="4"/>
  <c r="P98" i="4"/>
  <c r="O98" i="4"/>
  <c r="N98" i="4"/>
  <c r="L98" i="4"/>
  <c r="K98" i="4"/>
  <c r="J98" i="4"/>
  <c r="H98" i="4"/>
  <c r="G98" i="4"/>
  <c r="P97" i="4"/>
  <c r="O97" i="4"/>
  <c r="N97" i="4"/>
  <c r="L97" i="4"/>
  <c r="K97" i="4"/>
  <c r="J97" i="4"/>
  <c r="G97" i="4"/>
  <c r="O96" i="4"/>
  <c r="N96" i="4"/>
  <c r="M96" i="4"/>
  <c r="L96" i="4"/>
  <c r="K96" i="4"/>
  <c r="J96" i="4"/>
  <c r="H96" i="4"/>
  <c r="G96" i="4"/>
  <c r="O95" i="4"/>
  <c r="N95" i="4"/>
  <c r="M95" i="4"/>
  <c r="L95" i="4"/>
  <c r="K95" i="4"/>
  <c r="J95" i="4"/>
  <c r="G95" i="4"/>
  <c r="E95" i="4"/>
  <c r="P93" i="4"/>
  <c r="O93" i="4"/>
  <c r="N93" i="4"/>
  <c r="L93" i="4"/>
  <c r="K93" i="4"/>
  <c r="J93" i="4"/>
  <c r="G93" i="4"/>
  <c r="P92" i="4"/>
  <c r="O92" i="4"/>
  <c r="N92" i="4"/>
  <c r="M92" i="4"/>
  <c r="L92" i="4"/>
  <c r="K92" i="4"/>
  <c r="I92" i="4"/>
  <c r="H92" i="4"/>
  <c r="G92" i="4"/>
  <c r="O91" i="4"/>
  <c r="N91" i="4"/>
  <c r="M91" i="4"/>
  <c r="L91" i="4"/>
  <c r="K91" i="4"/>
  <c r="J91" i="4"/>
  <c r="G91" i="4"/>
  <c r="O90" i="4"/>
  <c r="N90" i="4"/>
  <c r="M90" i="4"/>
  <c r="L90" i="4"/>
  <c r="K90" i="4"/>
  <c r="I90" i="4"/>
  <c r="H90" i="4"/>
  <c r="G90" i="4"/>
  <c r="E90" i="4"/>
  <c r="P89" i="4"/>
  <c r="O89" i="4"/>
  <c r="N89" i="4"/>
  <c r="L89" i="4"/>
  <c r="K89" i="4"/>
  <c r="J89" i="4"/>
  <c r="G89" i="4"/>
  <c r="P88" i="4"/>
  <c r="O88" i="4"/>
  <c r="N88" i="4"/>
  <c r="L88" i="4"/>
  <c r="K88" i="4"/>
  <c r="I88" i="4"/>
  <c r="H88" i="4"/>
  <c r="G88" i="4"/>
  <c r="E88" i="4"/>
  <c r="O87" i="4"/>
  <c r="N87" i="4"/>
  <c r="M87" i="4"/>
  <c r="L87" i="4"/>
  <c r="K87" i="4"/>
  <c r="I87" i="4"/>
  <c r="H87" i="4"/>
  <c r="G87" i="4"/>
  <c r="P85" i="4"/>
  <c r="O85" i="4"/>
  <c r="N85" i="4"/>
  <c r="L85" i="4"/>
  <c r="K85" i="4"/>
  <c r="I85" i="4"/>
  <c r="H85" i="4"/>
  <c r="G85" i="4"/>
  <c r="O84" i="4"/>
  <c r="N84" i="4"/>
  <c r="M84" i="4"/>
  <c r="L84" i="4"/>
  <c r="K84" i="4"/>
  <c r="J84" i="4"/>
  <c r="G84" i="4"/>
  <c r="O83" i="4"/>
  <c r="N83" i="4"/>
  <c r="M83" i="4"/>
  <c r="L83" i="4"/>
  <c r="K83" i="4"/>
  <c r="I83" i="4"/>
  <c r="H83" i="4"/>
  <c r="G83" i="4"/>
  <c r="P82" i="4"/>
  <c r="O82" i="4"/>
  <c r="N82" i="4"/>
  <c r="L82" i="4"/>
  <c r="K82" i="4"/>
  <c r="I82" i="4"/>
  <c r="H82" i="4"/>
  <c r="E82" i="4"/>
  <c r="P81" i="4"/>
  <c r="O81" i="4"/>
  <c r="N81" i="4"/>
  <c r="L81" i="4"/>
  <c r="K81" i="4"/>
  <c r="J81" i="4"/>
  <c r="H81" i="4"/>
  <c r="G81" i="4"/>
  <c r="O80" i="4"/>
  <c r="N80" i="4"/>
  <c r="M80" i="4"/>
  <c r="L80" i="4"/>
  <c r="K80" i="4"/>
  <c r="J80" i="4"/>
  <c r="H80" i="4"/>
  <c r="G80" i="4"/>
  <c r="O103" i="15"/>
  <c r="N103" i="15"/>
  <c r="M103" i="15"/>
  <c r="L103" i="15"/>
  <c r="K103" i="15"/>
  <c r="I103" i="15"/>
  <c r="H103" i="15"/>
  <c r="G103" i="15"/>
  <c r="P102" i="15"/>
  <c r="O102" i="15"/>
  <c r="N102" i="15"/>
  <c r="L102" i="15"/>
  <c r="K102" i="15"/>
  <c r="I102" i="15"/>
  <c r="H102" i="15"/>
  <c r="G102" i="15"/>
  <c r="E102" i="15"/>
  <c r="P101" i="15"/>
  <c r="O101" i="15"/>
  <c r="N101" i="15"/>
  <c r="L101" i="15"/>
  <c r="K101" i="15"/>
  <c r="I101" i="15"/>
  <c r="H101" i="15"/>
  <c r="G101" i="15"/>
  <c r="O100" i="15"/>
  <c r="N100" i="15"/>
  <c r="M100" i="15"/>
  <c r="L100" i="15"/>
  <c r="K100" i="15"/>
  <c r="J100" i="15"/>
  <c r="H100" i="15"/>
  <c r="G100" i="15"/>
  <c r="O99" i="15"/>
  <c r="N99" i="15"/>
  <c r="M99" i="15"/>
  <c r="L99" i="15"/>
  <c r="K99" i="15"/>
  <c r="J99" i="15"/>
  <c r="I99" i="15"/>
  <c r="H99" i="15"/>
  <c r="G99" i="15"/>
  <c r="E99" i="15"/>
  <c r="P98" i="15"/>
  <c r="O98" i="15"/>
  <c r="N98" i="15"/>
  <c r="M98" i="15"/>
  <c r="L98" i="15"/>
  <c r="K98" i="15"/>
  <c r="J98" i="15"/>
  <c r="H98" i="15"/>
  <c r="G98" i="15"/>
  <c r="P97" i="15"/>
  <c r="O97" i="15"/>
  <c r="N97" i="15"/>
  <c r="L97" i="15"/>
  <c r="K97" i="15"/>
  <c r="J97" i="15"/>
  <c r="G97" i="15"/>
  <c r="O96" i="15"/>
  <c r="N96" i="15"/>
  <c r="M96" i="15"/>
  <c r="L96" i="15"/>
  <c r="K96" i="15"/>
  <c r="J96" i="15"/>
  <c r="G96" i="15"/>
  <c r="O95" i="15"/>
  <c r="N95" i="15"/>
  <c r="M95" i="15"/>
  <c r="L95" i="15"/>
  <c r="K95" i="15"/>
  <c r="J95" i="15"/>
  <c r="G95" i="15"/>
  <c r="E95" i="15"/>
  <c r="P93" i="15"/>
  <c r="O93" i="15"/>
  <c r="N93" i="15"/>
  <c r="L93" i="15"/>
  <c r="K93" i="15"/>
  <c r="J93" i="15"/>
  <c r="G93" i="15"/>
  <c r="P92" i="15"/>
  <c r="O92" i="15"/>
  <c r="N92" i="15"/>
  <c r="L92" i="15"/>
  <c r="K92" i="15"/>
  <c r="I92" i="15"/>
  <c r="H92" i="15"/>
  <c r="G92" i="15"/>
  <c r="E92" i="15"/>
  <c r="O91" i="15"/>
  <c r="N91" i="15"/>
  <c r="M91" i="15"/>
  <c r="L91" i="15"/>
  <c r="K91" i="15"/>
  <c r="J91" i="15"/>
  <c r="G91" i="15"/>
  <c r="P90" i="15"/>
  <c r="O90" i="15"/>
  <c r="N90" i="15"/>
  <c r="M90" i="15"/>
  <c r="L90" i="15"/>
  <c r="K90" i="15"/>
  <c r="I90" i="15"/>
  <c r="H90" i="15"/>
  <c r="G90" i="15"/>
  <c r="F90" i="15"/>
  <c r="E90" i="15"/>
  <c r="P89" i="15"/>
  <c r="O89" i="15"/>
  <c r="N89" i="15"/>
  <c r="L89" i="15"/>
  <c r="K89" i="15"/>
  <c r="J89" i="15"/>
  <c r="H89" i="15"/>
  <c r="G89" i="15"/>
  <c r="E89" i="15"/>
  <c r="P88" i="15"/>
  <c r="O88" i="15"/>
  <c r="N88" i="15"/>
  <c r="L88" i="15"/>
  <c r="K88" i="15"/>
  <c r="I88" i="15"/>
  <c r="H88" i="15"/>
  <c r="G88" i="15"/>
  <c r="E88" i="15"/>
  <c r="O87" i="15"/>
  <c r="N87" i="15"/>
  <c r="M87" i="15"/>
  <c r="L87" i="15"/>
  <c r="K87" i="15"/>
  <c r="I87" i="15"/>
  <c r="H87" i="15"/>
  <c r="G87" i="15"/>
  <c r="P85" i="15"/>
  <c r="O85" i="15"/>
  <c r="N85" i="15"/>
  <c r="L85" i="15"/>
  <c r="K85" i="15"/>
  <c r="I85" i="15"/>
  <c r="H85" i="15"/>
  <c r="G85" i="15"/>
  <c r="O84" i="15"/>
  <c r="N84" i="15"/>
  <c r="M84" i="15"/>
  <c r="L84" i="15"/>
  <c r="K84" i="15"/>
  <c r="J84" i="15"/>
  <c r="G84" i="15"/>
  <c r="O83" i="15"/>
  <c r="N83" i="15"/>
  <c r="M83" i="15"/>
  <c r="L83" i="15"/>
  <c r="K83" i="15"/>
  <c r="I83" i="15"/>
  <c r="H83" i="15"/>
  <c r="G83" i="15"/>
  <c r="E83" i="15"/>
  <c r="P82" i="15"/>
  <c r="O82" i="15"/>
  <c r="N82" i="15"/>
  <c r="L82" i="15"/>
  <c r="K82" i="15"/>
  <c r="I82" i="15"/>
  <c r="H82" i="15"/>
  <c r="P81" i="15"/>
  <c r="O81" i="15"/>
  <c r="N81" i="15"/>
  <c r="L81" i="15"/>
  <c r="K81" i="15"/>
  <c r="J81" i="15"/>
  <c r="G81" i="15"/>
  <c r="O80" i="15"/>
  <c r="N80" i="15"/>
  <c r="M80" i="15"/>
  <c r="L80" i="15"/>
  <c r="K80" i="15"/>
  <c r="J80" i="15"/>
  <c r="G80" i="15"/>
  <c r="K78" i="13"/>
  <c r="J78" i="13"/>
  <c r="I78" i="13"/>
  <c r="F78" i="13"/>
  <c r="E78" i="13"/>
  <c r="Q78" i="13" s="1"/>
  <c r="K77" i="13"/>
  <c r="J77" i="13"/>
  <c r="I77" i="13"/>
  <c r="F77" i="13"/>
  <c r="E77" i="13"/>
  <c r="J76" i="13"/>
  <c r="I76" i="13"/>
  <c r="G76" i="13"/>
  <c r="F76" i="13"/>
  <c r="E76" i="13"/>
  <c r="J75" i="13"/>
  <c r="I75" i="13"/>
  <c r="G75" i="13"/>
  <c r="F75" i="13"/>
  <c r="E75" i="13"/>
  <c r="Q75" i="13" s="1"/>
  <c r="K74" i="13"/>
  <c r="J74" i="13"/>
  <c r="I74" i="13"/>
  <c r="F74" i="13"/>
  <c r="E74" i="13"/>
  <c r="K73" i="13"/>
  <c r="J73" i="13"/>
  <c r="I73" i="13"/>
  <c r="F73" i="13"/>
  <c r="E73" i="13"/>
  <c r="J72" i="13"/>
  <c r="I72" i="13"/>
  <c r="G72" i="13"/>
  <c r="F72" i="13"/>
  <c r="E72" i="13"/>
  <c r="K70" i="13"/>
  <c r="J70" i="13"/>
  <c r="I70" i="13"/>
  <c r="F70" i="13"/>
  <c r="E70" i="13"/>
  <c r="J69" i="13"/>
  <c r="I69" i="13"/>
  <c r="G69" i="13"/>
  <c r="F69" i="13"/>
  <c r="E69" i="13"/>
  <c r="J68" i="13"/>
  <c r="I68" i="13"/>
  <c r="G68" i="13"/>
  <c r="F68" i="13"/>
  <c r="E68" i="13"/>
  <c r="K67" i="13"/>
  <c r="J67" i="13"/>
  <c r="I67" i="13"/>
  <c r="F67" i="13"/>
  <c r="E67" i="13"/>
  <c r="K66" i="13"/>
  <c r="J66" i="13"/>
  <c r="I66" i="13"/>
  <c r="F66" i="13"/>
  <c r="E66" i="13"/>
  <c r="J65" i="13"/>
  <c r="I65" i="13"/>
  <c r="G65" i="13"/>
  <c r="F65" i="13"/>
  <c r="E65" i="13"/>
  <c r="J64" i="13"/>
  <c r="I64" i="13"/>
  <c r="G64" i="13"/>
  <c r="F64" i="13"/>
  <c r="E64" i="13"/>
  <c r="L74" i="3"/>
  <c r="K76" i="13" s="1"/>
  <c r="L73" i="3"/>
  <c r="K75" i="13" s="1"/>
  <c r="J76" i="3"/>
  <c r="G78" i="13" s="1"/>
  <c r="J75" i="3"/>
  <c r="G77" i="13" s="1"/>
  <c r="J72" i="3"/>
  <c r="G74" i="13" s="1"/>
  <c r="J71" i="3"/>
  <c r="G73" i="13" s="1"/>
  <c r="L70" i="3"/>
  <c r="K72" i="13" s="1"/>
  <c r="H75" i="3"/>
  <c r="H73" i="3"/>
  <c r="H70" i="3"/>
  <c r="H72" i="2"/>
  <c r="H71" i="2"/>
  <c r="F73" i="1"/>
  <c r="F70" i="1" s="1"/>
  <c r="F67" i="1"/>
  <c r="Q87" i="13" l="1"/>
  <c r="Q103" i="13"/>
  <c r="Q69" i="13"/>
  <c r="U128" i="15"/>
  <c r="G128" i="4"/>
  <c r="U128" i="4"/>
  <c r="O130" i="4"/>
  <c r="I130" i="15"/>
  <c r="U107" i="15"/>
  <c r="O103" i="3"/>
  <c r="O127" i="2"/>
  <c r="W128" i="15"/>
  <c r="W128" i="4"/>
  <c r="J128" i="4"/>
  <c r="P118" i="1"/>
  <c r="M121" i="4"/>
  <c r="K130" i="4"/>
  <c r="E121" i="4"/>
  <c r="H121" i="4"/>
  <c r="T111" i="4"/>
  <c r="T112" i="4" s="1"/>
  <c r="M121" i="15"/>
  <c r="K130" i="15"/>
  <c r="T105" i="15"/>
  <c r="H121" i="15"/>
  <c r="J121" i="15" s="1"/>
  <c r="T111" i="15"/>
  <c r="H112" i="4"/>
  <c r="J112" i="4" s="1"/>
  <c r="U105" i="15"/>
  <c r="U112" i="15" s="1"/>
  <c r="I121" i="4"/>
  <c r="I130" i="4" s="1"/>
  <c r="P118" i="2"/>
  <c r="F112" i="4"/>
  <c r="O117" i="3"/>
  <c r="F112" i="15"/>
  <c r="F130" i="15" s="1"/>
  <c r="O108" i="3"/>
  <c r="F121" i="4"/>
  <c r="P112" i="4"/>
  <c r="L130" i="4"/>
  <c r="L130" i="15"/>
  <c r="U121" i="15"/>
  <c r="P109" i="2"/>
  <c r="M112" i="15"/>
  <c r="M112" i="4"/>
  <c r="U112" i="4"/>
  <c r="U113" i="4"/>
  <c r="U121" i="4" s="1"/>
  <c r="X112" i="15"/>
  <c r="E121" i="15"/>
  <c r="J112" i="15"/>
  <c r="E112" i="4"/>
  <c r="T118" i="4"/>
  <c r="T121" i="4" s="1"/>
  <c r="N130" i="4"/>
  <c r="P121" i="4"/>
  <c r="P109" i="1"/>
  <c r="N130" i="15"/>
  <c r="T128" i="15"/>
  <c r="T121" i="15"/>
  <c r="W112" i="15"/>
  <c r="T128" i="4"/>
  <c r="X121" i="15"/>
  <c r="P112" i="15"/>
  <c r="P121" i="15"/>
  <c r="P91" i="15"/>
  <c r="G89" i="13"/>
  <c r="P95" i="4"/>
  <c r="M89" i="15"/>
  <c r="E91" i="15"/>
  <c r="E91" i="4"/>
  <c r="F89" i="2"/>
  <c r="F91" i="15" s="1"/>
  <c r="F101" i="2"/>
  <c r="O101" i="2" s="1"/>
  <c r="E103" i="15"/>
  <c r="T103" i="15" s="1"/>
  <c r="E81" i="15"/>
  <c r="T81" i="15" s="1"/>
  <c r="F79" i="2"/>
  <c r="F81" i="15" s="1"/>
  <c r="E81" i="4"/>
  <c r="E87" i="4"/>
  <c r="T87" i="4" s="1"/>
  <c r="E97" i="15"/>
  <c r="F81" i="2"/>
  <c r="F83" i="4" s="1"/>
  <c r="U83" i="4" s="1"/>
  <c r="F78" i="1"/>
  <c r="E82" i="15"/>
  <c r="T82" i="15" s="1"/>
  <c r="E87" i="15"/>
  <c r="T87" i="15" s="1"/>
  <c r="H93" i="15"/>
  <c r="F82" i="2"/>
  <c r="F84" i="15" s="1"/>
  <c r="F71" i="1"/>
  <c r="F71" i="2" s="1"/>
  <c r="F73" i="4" s="1"/>
  <c r="F94" i="1"/>
  <c r="F95" i="2"/>
  <c r="F97" i="15" s="1"/>
  <c r="E93" i="15"/>
  <c r="F83" i="1"/>
  <c r="E84" i="4"/>
  <c r="E89" i="4"/>
  <c r="T89" i="4" s="1"/>
  <c r="F74" i="1"/>
  <c r="H93" i="1"/>
  <c r="F96" i="1"/>
  <c r="E98" i="15" s="1"/>
  <c r="Q99" i="13"/>
  <c r="Q98" i="13"/>
  <c r="F85" i="2"/>
  <c r="F76" i="1"/>
  <c r="E78" i="4" s="1"/>
  <c r="H82" i="1"/>
  <c r="F98" i="1"/>
  <c r="O80" i="3"/>
  <c r="Q65" i="13"/>
  <c r="E99" i="4"/>
  <c r="T99" i="4" s="1"/>
  <c r="H95" i="1"/>
  <c r="O95" i="1" s="1"/>
  <c r="F99" i="1"/>
  <c r="F74" i="2"/>
  <c r="F76" i="4" s="1"/>
  <c r="E83" i="4"/>
  <c r="Q88" i="13"/>
  <c r="O82" i="1"/>
  <c r="Q101" i="13"/>
  <c r="K91" i="13"/>
  <c r="J92" i="15"/>
  <c r="P95" i="15"/>
  <c r="R84" i="13"/>
  <c r="R100" i="13"/>
  <c r="P87" i="15"/>
  <c r="M92" i="15"/>
  <c r="P87" i="4"/>
  <c r="G101" i="13"/>
  <c r="M101" i="15"/>
  <c r="O86" i="15"/>
  <c r="M85" i="15"/>
  <c r="R98" i="13"/>
  <c r="P96" i="15"/>
  <c r="F90" i="4"/>
  <c r="U90" i="4" s="1"/>
  <c r="M97" i="4"/>
  <c r="P96" i="4"/>
  <c r="P103" i="15"/>
  <c r="M81" i="15"/>
  <c r="P83" i="15"/>
  <c r="F95" i="15"/>
  <c r="J88" i="4"/>
  <c r="R85" i="13"/>
  <c r="G88" i="13"/>
  <c r="U99" i="15"/>
  <c r="P83" i="4"/>
  <c r="M81" i="4"/>
  <c r="M88" i="4"/>
  <c r="P90" i="4"/>
  <c r="R103" i="13"/>
  <c r="F82" i="4"/>
  <c r="U82" i="4" s="1"/>
  <c r="R99" i="13"/>
  <c r="K86" i="4"/>
  <c r="F97" i="4"/>
  <c r="R101" i="13"/>
  <c r="F80" i="3"/>
  <c r="N86" i="15"/>
  <c r="F82" i="15"/>
  <c r="U82" i="15" s="1"/>
  <c r="T90" i="4"/>
  <c r="R93" i="13"/>
  <c r="N94" i="4"/>
  <c r="K104" i="4"/>
  <c r="K104" i="15"/>
  <c r="K94" i="4"/>
  <c r="K86" i="15"/>
  <c r="N104" i="4"/>
  <c r="R81" i="13"/>
  <c r="R82" i="13"/>
  <c r="R95" i="13"/>
  <c r="E103" i="4"/>
  <c r="O101" i="1"/>
  <c r="E96" i="15"/>
  <c r="T96" i="15" s="1"/>
  <c r="I100" i="15"/>
  <c r="I98" i="15"/>
  <c r="I96" i="4"/>
  <c r="I93" i="4"/>
  <c r="F93" i="15"/>
  <c r="U93" i="15" s="1"/>
  <c r="F93" i="4"/>
  <c r="O91" i="1"/>
  <c r="E93" i="4"/>
  <c r="T93" i="4" s="1"/>
  <c r="H89" i="2"/>
  <c r="I91" i="15" s="1"/>
  <c r="H91" i="4"/>
  <c r="T91" i="4" s="1"/>
  <c r="O89" i="1"/>
  <c r="H91" i="15"/>
  <c r="O87" i="2"/>
  <c r="O87" i="1"/>
  <c r="F89" i="4"/>
  <c r="O79" i="1"/>
  <c r="H79" i="2"/>
  <c r="O79" i="2" s="1"/>
  <c r="O79" i="3" s="1"/>
  <c r="H78" i="2"/>
  <c r="F100" i="2"/>
  <c r="F102" i="15" s="1"/>
  <c r="U102" i="15" s="1"/>
  <c r="E102" i="4"/>
  <c r="O97" i="2"/>
  <c r="O97" i="3" s="1"/>
  <c r="E92" i="4"/>
  <c r="T92" i="4" s="1"/>
  <c r="P91" i="1"/>
  <c r="F86" i="2"/>
  <c r="I89" i="4"/>
  <c r="F99" i="4"/>
  <c r="F92" i="4"/>
  <c r="U92" i="4" s="1"/>
  <c r="O90" i="2"/>
  <c r="O90" i="3" s="1"/>
  <c r="O91" i="2"/>
  <c r="O91" i="3" s="1"/>
  <c r="F81" i="4"/>
  <c r="P103" i="4"/>
  <c r="J82" i="4"/>
  <c r="J83" i="15"/>
  <c r="O86" i="4"/>
  <c r="M85" i="4"/>
  <c r="L86" i="15"/>
  <c r="L86" i="4"/>
  <c r="R87" i="13"/>
  <c r="O88" i="3"/>
  <c r="O94" i="4"/>
  <c r="O94" i="15"/>
  <c r="R91" i="13"/>
  <c r="G93" i="13"/>
  <c r="L94" i="15"/>
  <c r="M93" i="15"/>
  <c r="L94" i="4"/>
  <c r="O104" i="15"/>
  <c r="F104" i="13"/>
  <c r="M97" i="15"/>
  <c r="J104" i="13"/>
  <c r="P100" i="15"/>
  <c r="K100" i="13"/>
  <c r="R102" i="13"/>
  <c r="G102" i="13"/>
  <c r="L104" i="15"/>
  <c r="L104" i="4"/>
  <c r="J103" i="15"/>
  <c r="J102" i="15"/>
  <c r="J90" i="15"/>
  <c r="J87" i="15"/>
  <c r="J85" i="4"/>
  <c r="M102" i="15"/>
  <c r="M98" i="4"/>
  <c r="G82" i="13"/>
  <c r="M82" i="15"/>
  <c r="P99" i="15"/>
  <c r="K99" i="13"/>
  <c r="P84" i="4"/>
  <c r="K84" i="13"/>
  <c r="P80" i="4"/>
  <c r="P80" i="15"/>
  <c r="N104" i="15"/>
  <c r="Q102" i="13"/>
  <c r="T102" i="15"/>
  <c r="T102" i="4"/>
  <c r="I104" i="13"/>
  <c r="T99" i="15"/>
  <c r="E104" i="13"/>
  <c r="Q96" i="13"/>
  <c r="Q95" i="13"/>
  <c r="T81" i="4"/>
  <c r="T82" i="4"/>
  <c r="T83" i="4"/>
  <c r="E86" i="13"/>
  <c r="N86" i="4"/>
  <c r="Q81" i="13"/>
  <c r="R75" i="13"/>
  <c r="R96" i="13"/>
  <c r="Q73" i="13"/>
  <c r="R97" i="13"/>
  <c r="Q90" i="13"/>
  <c r="Q92" i="13"/>
  <c r="R92" i="13"/>
  <c r="R80" i="13"/>
  <c r="R89" i="13"/>
  <c r="Q76" i="13"/>
  <c r="R88" i="13"/>
  <c r="Q80" i="13"/>
  <c r="I79" i="13"/>
  <c r="J94" i="13"/>
  <c r="R90" i="13"/>
  <c r="Q74" i="13"/>
  <c r="I94" i="13"/>
  <c r="I86" i="13"/>
  <c r="E94" i="13"/>
  <c r="Q67" i="13"/>
  <c r="F86" i="13"/>
  <c r="F94" i="13"/>
  <c r="J86" i="13"/>
  <c r="Q83" i="13"/>
  <c r="R83" i="13"/>
  <c r="Q82" i="13"/>
  <c r="Q84" i="13"/>
  <c r="Q64" i="13"/>
  <c r="Q77" i="13"/>
  <c r="O104" i="4"/>
  <c r="T88" i="4"/>
  <c r="N94" i="15"/>
  <c r="T88" i="15"/>
  <c r="T90" i="15"/>
  <c r="U89" i="15"/>
  <c r="U90" i="15"/>
  <c r="T92" i="15"/>
  <c r="U92" i="15"/>
  <c r="T89" i="15"/>
  <c r="K94" i="15"/>
  <c r="T83" i="15"/>
  <c r="F75" i="2"/>
  <c r="F77" i="15" s="1"/>
  <c r="F76" i="2"/>
  <c r="O76" i="2" s="1"/>
  <c r="F70" i="2"/>
  <c r="F72" i="4" s="1"/>
  <c r="F72" i="2"/>
  <c r="O72" i="2" s="1"/>
  <c r="F73" i="2"/>
  <c r="F75" i="4" s="1"/>
  <c r="Q70" i="13"/>
  <c r="Q66" i="13"/>
  <c r="Q72" i="13"/>
  <c r="R73" i="13"/>
  <c r="R67" i="13"/>
  <c r="R76" i="13"/>
  <c r="R66" i="13"/>
  <c r="R68" i="13"/>
  <c r="R78" i="13"/>
  <c r="R70" i="13"/>
  <c r="F71" i="13"/>
  <c r="J79" i="13"/>
  <c r="R77" i="13"/>
  <c r="R72" i="13"/>
  <c r="J71" i="13"/>
  <c r="R64" i="13"/>
  <c r="R69" i="13"/>
  <c r="F79" i="13"/>
  <c r="R65" i="13"/>
  <c r="R74" i="13"/>
  <c r="E79" i="13"/>
  <c r="E71" i="13"/>
  <c r="Q68" i="13"/>
  <c r="I71" i="13"/>
  <c r="P70" i="4"/>
  <c r="O70" i="4"/>
  <c r="N70" i="4"/>
  <c r="L70" i="4"/>
  <c r="K70" i="4"/>
  <c r="I70" i="4"/>
  <c r="H70" i="4"/>
  <c r="G70" i="4"/>
  <c r="O69" i="4"/>
  <c r="N69" i="4"/>
  <c r="M69" i="4"/>
  <c r="L69" i="4"/>
  <c r="K69" i="4"/>
  <c r="J69" i="4"/>
  <c r="G69" i="4"/>
  <c r="E69" i="4"/>
  <c r="O68" i="4"/>
  <c r="N68" i="4"/>
  <c r="M68" i="4"/>
  <c r="L68" i="4"/>
  <c r="K68" i="4"/>
  <c r="J68" i="4"/>
  <c r="G68" i="4"/>
  <c r="P67" i="4"/>
  <c r="O67" i="4"/>
  <c r="N67" i="4"/>
  <c r="L67" i="4"/>
  <c r="K67" i="4"/>
  <c r="I67" i="4"/>
  <c r="H67" i="4"/>
  <c r="P66" i="4"/>
  <c r="O66" i="4"/>
  <c r="N66" i="4"/>
  <c r="L66" i="4"/>
  <c r="K66" i="4"/>
  <c r="J66" i="4"/>
  <c r="G66" i="4"/>
  <c r="O65" i="4"/>
  <c r="N65" i="4"/>
  <c r="M65" i="4"/>
  <c r="L65" i="4"/>
  <c r="K65" i="4"/>
  <c r="J65" i="4"/>
  <c r="H65" i="4"/>
  <c r="G65" i="4"/>
  <c r="O64" i="4"/>
  <c r="N64" i="4"/>
  <c r="M64" i="4"/>
  <c r="L64" i="4"/>
  <c r="K64" i="4"/>
  <c r="I64" i="4"/>
  <c r="H64" i="4"/>
  <c r="G64" i="4"/>
  <c r="P70" i="15"/>
  <c r="O70" i="15"/>
  <c r="N70" i="15"/>
  <c r="L70" i="15"/>
  <c r="K70" i="15"/>
  <c r="I70" i="15"/>
  <c r="H70" i="15"/>
  <c r="G70" i="15"/>
  <c r="O69" i="15"/>
  <c r="N69" i="15"/>
  <c r="M69" i="15"/>
  <c r="L69" i="15"/>
  <c r="K69" i="15"/>
  <c r="J69" i="15"/>
  <c r="G69" i="15"/>
  <c r="E69" i="15"/>
  <c r="O68" i="15"/>
  <c r="N68" i="15"/>
  <c r="M68" i="15"/>
  <c r="L68" i="15"/>
  <c r="K68" i="15"/>
  <c r="J68" i="15"/>
  <c r="G68" i="15"/>
  <c r="P67" i="15"/>
  <c r="O67" i="15"/>
  <c r="N67" i="15"/>
  <c r="L67" i="15"/>
  <c r="K67" i="15"/>
  <c r="I67" i="15"/>
  <c r="H67" i="15"/>
  <c r="P66" i="15"/>
  <c r="O66" i="15"/>
  <c r="N66" i="15"/>
  <c r="L66" i="15"/>
  <c r="K66" i="15"/>
  <c r="J66" i="15"/>
  <c r="G66" i="15"/>
  <c r="O65" i="15"/>
  <c r="N65" i="15"/>
  <c r="M65" i="15"/>
  <c r="L65" i="15"/>
  <c r="K65" i="15"/>
  <c r="J65" i="15"/>
  <c r="H65" i="15"/>
  <c r="G65" i="15"/>
  <c r="O64" i="15"/>
  <c r="N64" i="15"/>
  <c r="M64" i="15"/>
  <c r="L64" i="15"/>
  <c r="K64" i="15"/>
  <c r="I64" i="15"/>
  <c r="H64" i="15"/>
  <c r="G64" i="15"/>
  <c r="H64" i="1"/>
  <c r="H66" i="4" s="1"/>
  <c r="H63" i="1"/>
  <c r="H66" i="1"/>
  <c r="H68" i="4" s="1"/>
  <c r="H67" i="1"/>
  <c r="H69" i="15" s="1"/>
  <c r="F64" i="1"/>
  <c r="E66" i="4" s="1"/>
  <c r="F62" i="1"/>
  <c r="F62" i="2" s="1"/>
  <c r="O62" i="2" s="1"/>
  <c r="H63" i="2"/>
  <c r="I65" i="15" s="1"/>
  <c r="F67" i="2"/>
  <c r="F69" i="15" s="1"/>
  <c r="F63" i="1"/>
  <c r="E65" i="15" s="1"/>
  <c r="F65" i="1"/>
  <c r="F68" i="1" s="1"/>
  <c r="L67" i="3"/>
  <c r="K69" i="13" s="1"/>
  <c r="L66" i="3"/>
  <c r="K68" i="13" s="1"/>
  <c r="L63" i="3"/>
  <c r="K65" i="13" s="1"/>
  <c r="L62" i="3"/>
  <c r="K64" i="13" s="1"/>
  <c r="J68" i="3"/>
  <c r="G70" i="13" s="1"/>
  <c r="J65" i="3"/>
  <c r="G67" i="13" s="1"/>
  <c r="J64" i="3"/>
  <c r="G66" i="13" s="1"/>
  <c r="H68" i="3"/>
  <c r="J70" i="4" s="1"/>
  <c r="H65" i="3"/>
  <c r="J67" i="4" s="1"/>
  <c r="H62" i="3"/>
  <c r="J64" i="4" s="1"/>
  <c r="F65" i="2"/>
  <c r="F67" i="15" s="1"/>
  <c r="Q132" i="4"/>
  <c r="P78" i="4"/>
  <c r="O78" i="4"/>
  <c r="N78" i="4"/>
  <c r="M78" i="4"/>
  <c r="L78" i="4"/>
  <c r="K78" i="4"/>
  <c r="J78" i="4"/>
  <c r="I78" i="4"/>
  <c r="H78" i="4"/>
  <c r="G78" i="4"/>
  <c r="P77" i="4"/>
  <c r="O77" i="4"/>
  <c r="N77" i="4"/>
  <c r="M77" i="4"/>
  <c r="L77" i="4"/>
  <c r="K77" i="4"/>
  <c r="J77" i="4"/>
  <c r="I77" i="4"/>
  <c r="H77" i="4"/>
  <c r="G77" i="4"/>
  <c r="E77" i="4"/>
  <c r="P76" i="4"/>
  <c r="O76" i="4"/>
  <c r="N76" i="4"/>
  <c r="M76" i="4"/>
  <c r="L76" i="4"/>
  <c r="K76" i="4"/>
  <c r="J76" i="4"/>
  <c r="I76" i="4"/>
  <c r="H76" i="4"/>
  <c r="G76" i="4"/>
  <c r="E76" i="4"/>
  <c r="P75" i="4"/>
  <c r="O75" i="4"/>
  <c r="N75" i="4"/>
  <c r="M75" i="4"/>
  <c r="L75" i="4"/>
  <c r="K75" i="4"/>
  <c r="J75" i="4"/>
  <c r="I75" i="4"/>
  <c r="H75" i="4"/>
  <c r="G75" i="4"/>
  <c r="E75" i="4"/>
  <c r="P74" i="4"/>
  <c r="O74" i="4"/>
  <c r="N74" i="4"/>
  <c r="M74" i="4"/>
  <c r="L74" i="4"/>
  <c r="K74" i="4"/>
  <c r="J74" i="4"/>
  <c r="I74" i="4"/>
  <c r="H74" i="4"/>
  <c r="G74" i="4"/>
  <c r="E74" i="4"/>
  <c r="P73" i="4"/>
  <c r="O73" i="4"/>
  <c r="N73" i="4"/>
  <c r="M73" i="4"/>
  <c r="L73" i="4"/>
  <c r="K73" i="4"/>
  <c r="J73" i="4"/>
  <c r="I73" i="4"/>
  <c r="H73" i="4"/>
  <c r="G73" i="4"/>
  <c r="E73" i="4"/>
  <c r="P72" i="4"/>
  <c r="O72" i="4"/>
  <c r="N72" i="4"/>
  <c r="M72" i="4"/>
  <c r="L72" i="4"/>
  <c r="K72" i="4"/>
  <c r="J72" i="4"/>
  <c r="I72" i="4"/>
  <c r="H72" i="4"/>
  <c r="G72" i="4"/>
  <c r="E72" i="4"/>
  <c r="P78" i="15"/>
  <c r="O78" i="15"/>
  <c r="N78" i="15"/>
  <c r="M78" i="15"/>
  <c r="L78" i="15"/>
  <c r="K78" i="15"/>
  <c r="J78" i="15"/>
  <c r="I78" i="15"/>
  <c r="H78" i="15"/>
  <c r="G78" i="15"/>
  <c r="E78" i="15"/>
  <c r="P77" i="15"/>
  <c r="O77" i="15"/>
  <c r="N77" i="15"/>
  <c r="M77" i="15"/>
  <c r="L77" i="15"/>
  <c r="K77" i="15"/>
  <c r="J77" i="15"/>
  <c r="I77" i="15"/>
  <c r="H77" i="15"/>
  <c r="G77" i="15"/>
  <c r="E77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P75" i="15"/>
  <c r="O75" i="15"/>
  <c r="N75" i="15"/>
  <c r="M75" i="15"/>
  <c r="L75" i="15"/>
  <c r="K75" i="15"/>
  <c r="J75" i="15"/>
  <c r="I75" i="15"/>
  <c r="H75" i="15"/>
  <c r="G75" i="15"/>
  <c r="E75" i="15"/>
  <c r="P74" i="15"/>
  <c r="O74" i="15"/>
  <c r="N74" i="15"/>
  <c r="M74" i="15"/>
  <c r="L74" i="15"/>
  <c r="K74" i="15"/>
  <c r="J74" i="15"/>
  <c r="I74" i="15"/>
  <c r="H74" i="15"/>
  <c r="G74" i="15"/>
  <c r="E74" i="15"/>
  <c r="P73" i="15"/>
  <c r="O73" i="15"/>
  <c r="N73" i="15"/>
  <c r="M73" i="15"/>
  <c r="L73" i="15"/>
  <c r="K73" i="15"/>
  <c r="J73" i="15"/>
  <c r="I73" i="15"/>
  <c r="H73" i="15"/>
  <c r="G73" i="15"/>
  <c r="E73" i="15"/>
  <c r="P72" i="15"/>
  <c r="O72" i="15"/>
  <c r="N72" i="15"/>
  <c r="M72" i="15"/>
  <c r="L72" i="15"/>
  <c r="K72" i="15"/>
  <c r="J72" i="15"/>
  <c r="I72" i="15"/>
  <c r="H72" i="15"/>
  <c r="G72" i="15"/>
  <c r="E72" i="15"/>
  <c r="O65" i="1"/>
  <c r="O67" i="1"/>
  <c r="O70" i="1"/>
  <c r="O71" i="1"/>
  <c r="O72" i="1"/>
  <c r="O73" i="1"/>
  <c r="O74" i="1"/>
  <c r="O75" i="1"/>
  <c r="O74" i="2"/>
  <c r="O74" i="3" s="1"/>
  <c r="Q94" i="13" l="1"/>
  <c r="J121" i="4"/>
  <c r="F130" i="4"/>
  <c r="P127" i="2"/>
  <c r="X121" i="4"/>
  <c r="G112" i="4"/>
  <c r="X112" i="4"/>
  <c r="G112" i="15"/>
  <c r="W121" i="4"/>
  <c r="H130" i="15"/>
  <c r="G121" i="4"/>
  <c r="T112" i="15"/>
  <c r="T130" i="15" s="1"/>
  <c r="W130" i="15"/>
  <c r="H130" i="4"/>
  <c r="E130" i="4"/>
  <c r="W112" i="4"/>
  <c r="U130" i="15"/>
  <c r="U130" i="4"/>
  <c r="E130" i="15"/>
  <c r="G121" i="15"/>
  <c r="T130" i="4"/>
  <c r="T93" i="15"/>
  <c r="F73" i="15"/>
  <c r="U73" i="15" s="1"/>
  <c r="O71" i="2"/>
  <c r="F84" i="4"/>
  <c r="O101" i="3"/>
  <c r="F103" i="15"/>
  <c r="U103" i="15" s="1"/>
  <c r="F103" i="4"/>
  <c r="U103" i="4" s="1"/>
  <c r="T98" i="15"/>
  <c r="O75" i="2"/>
  <c r="O75" i="3" s="1"/>
  <c r="H68" i="15"/>
  <c r="E67" i="4"/>
  <c r="E94" i="4"/>
  <c r="U91" i="15"/>
  <c r="F83" i="2"/>
  <c r="O83" i="1"/>
  <c r="E85" i="15"/>
  <c r="T85" i="15" s="1"/>
  <c r="E85" i="4"/>
  <c r="T85" i="4" s="1"/>
  <c r="O76" i="1"/>
  <c r="O63" i="1"/>
  <c r="H84" i="4"/>
  <c r="H86" i="4" s="1"/>
  <c r="H82" i="2"/>
  <c r="H84" i="15"/>
  <c r="E94" i="15"/>
  <c r="E67" i="15"/>
  <c r="T67" i="15" s="1"/>
  <c r="E96" i="4"/>
  <c r="T96" i="4" s="1"/>
  <c r="F94" i="2"/>
  <c r="E100" i="4"/>
  <c r="T100" i="4" s="1"/>
  <c r="E100" i="15"/>
  <c r="T100" i="15" s="1"/>
  <c r="O98" i="1"/>
  <c r="F98" i="2"/>
  <c r="F87" i="4"/>
  <c r="U87" i="4" s="1"/>
  <c r="O85" i="2"/>
  <c r="O85" i="3" s="1"/>
  <c r="H69" i="4"/>
  <c r="T69" i="4" s="1"/>
  <c r="O87" i="3"/>
  <c r="F87" i="15"/>
  <c r="U87" i="15" s="1"/>
  <c r="E80" i="4"/>
  <c r="E80" i="15"/>
  <c r="F78" i="2"/>
  <c r="E64" i="4"/>
  <c r="H64" i="2"/>
  <c r="I66" i="15" s="1"/>
  <c r="E98" i="4"/>
  <c r="T98" i="4" s="1"/>
  <c r="F96" i="2"/>
  <c r="O96" i="1"/>
  <c r="P101" i="1" s="1"/>
  <c r="P76" i="1"/>
  <c r="H66" i="2"/>
  <c r="I68" i="4" s="1"/>
  <c r="E65" i="4"/>
  <c r="O78" i="1"/>
  <c r="P83" i="1" s="1"/>
  <c r="F91" i="4"/>
  <c r="O81" i="2"/>
  <c r="O81" i="3" s="1"/>
  <c r="O99" i="1"/>
  <c r="E101" i="4"/>
  <c r="T101" i="4" s="1"/>
  <c r="F99" i="2"/>
  <c r="E101" i="15"/>
  <c r="T101" i="15" s="1"/>
  <c r="H95" i="15"/>
  <c r="H93" i="2"/>
  <c r="O93" i="1"/>
  <c r="H95" i="4"/>
  <c r="H67" i="2"/>
  <c r="I69" i="4" s="1"/>
  <c r="H94" i="15"/>
  <c r="W94" i="15" s="1"/>
  <c r="O94" i="1"/>
  <c r="F83" i="15"/>
  <c r="U83" i="15" s="1"/>
  <c r="H95" i="2"/>
  <c r="H97" i="4"/>
  <c r="T97" i="4" s="1"/>
  <c r="H97" i="15"/>
  <c r="T97" i="15" s="1"/>
  <c r="P104" i="15"/>
  <c r="M104" i="15"/>
  <c r="F77" i="4"/>
  <c r="U77" i="4" s="1"/>
  <c r="O89" i="2"/>
  <c r="O89" i="3" s="1"/>
  <c r="F75" i="15"/>
  <c r="U75" i="15" s="1"/>
  <c r="M86" i="4"/>
  <c r="O73" i="2"/>
  <c r="O73" i="3" s="1"/>
  <c r="H94" i="4"/>
  <c r="W94" i="4" s="1"/>
  <c r="U89" i="4"/>
  <c r="P94" i="4"/>
  <c r="M94" i="4"/>
  <c r="M104" i="4"/>
  <c r="F78" i="4"/>
  <c r="U78" i="4" s="1"/>
  <c r="F78" i="15"/>
  <c r="U78" i="15" s="1"/>
  <c r="G82" i="4"/>
  <c r="G82" i="15"/>
  <c r="U93" i="4"/>
  <c r="P94" i="15"/>
  <c r="F72" i="15"/>
  <c r="F74" i="15"/>
  <c r="U74" i="15" s="1"/>
  <c r="F74" i="4"/>
  <c r="U74" i="4" s="1"/>
  <c r="T91" i="15"/>
  <c r="O70" i="2"/>
  <c r="O70" i="3" s="1"/>
  <c r="I94" i="15"/>
  <c r="I91" i="4"/>
  <c r="T103" i="4"/>
  <c r="I81" i="15"/>
  <c r="U81" i="15" s="1"/>
  <c r="I81" i="4"/>
  <c r="U81" i="4" s="1"/>
  <c r="I80" i="15"/>
  <c r="O78" i="2"/>
  <c r="I80" i="4"/>
  <c r="O100" i="2"/>
  <c r="O100" i="3" s="1"/>
  <c r="F102" i="4"/>
  <c r="U102" i="4" s="1"/>
  <c r="O86" i="2"/>
  <c r="F88" i="4"/>
  <c r="F88" i="15"/>
  <c r="U99" i="4"/>
  <c r="M94" i="15"/>
  <c r="K104" i="13"/>
  <c r="R104" i="13"/>
  <c r="T104" i="13"/>
  <c r="Q104" i="13"/>
  <c r="T94" i="4"/>
  <c r="P86" i="4"/>
  <c r="R86" i="13"/>
  <c r="U104" i="13"/>
  <c r="G104" i="13"/>
  <c r="R94" i="13"/>
  <c r="K94" i="13"/>
  <c r="T94" i="13"/>
  <c r="Q86" i="13"/>
  <c r="U94" i="13"/>
  <c r="G94" i="13"/>
  <c r="Q79" i="13"/>
  <c r="T79" i="13"/>
  <c r="T86" i="13"/>
  <c r="K79" i="13"/>
  <c r="K86" i="13"/>
  <c r="P104" i="4"/>
  <c r="O68" i="1"/>
  <c r="E70" i="15"/>
  <c r="T70" i="15" s="1"/>
  <c r="E70" i="4"/>
  <c r="T70" i="4" s="1"/>
  <c r="F68" i="2"/>
  <c r="O68" i="2" s="1"/>
  <c r="O68" i="3" s="1"/>
  <c r="E64" i="15"/>
  <c r="T64" i="15" s="1"/>
  <c r="O62" i="1"/>
  <c r="E66" i="15"/>
  <c r="F63" i="2"/>
  <c r="F65" i="4" s="1"/>
  <c r="Q71" i="13"/>
  <c r="F64" i="2"/>
  <c r="F66" i="4" s="1"/>
  <c r="H66" i="15"/>
  <c r="F66" i="1"/>
  <c r="O66" i="1" s="1"/>
  <c r="F67" i="4"/>
  <c r="U67" i="4" s="1"/>
  <c r="T66" i="4"/>
  <c r="U71" i="13"/>
  <c r="K79" i="15"/>
  <c r="G71" i="13"/>
  <c r="U67" i="15"/>
  <c r="U79" i="13"/>
  <c r="K79" i="4"/>
  <c r="T67" i="4"/>
  <c r="R71" i="13"/>
  <c r="L79" i="15"/>
  <c r="T64" i="4"/>
  <c r="I65" i="4"/>
  <c r="K71" i="13"/>
  <c r="N79" i="15"/>
  <c r="O79" i="15"/>
  <c r="U72" i="4"/>
  <c r="T65" i="4"/>
  <c r="F69" i="4"/>
  <c r="T69" i="15"/>
  <c r="T77" i="4"/>
  <c r="U77" i="15"/>
  <c r="R79" i="13"/>
  <c r="F64" i="4"/>
  <c r="U64" i="4" s="1"/>
  <c r="O65" i="2"/>
  <c r="O65" i="3" s="1"/>
  <c r="J64" i="15"/>
  <c r="J67" i="15"/>
  <c r="J70" i="15"/>
  <c r="M66" i="15"/>
  <c r="M67" i="15"/>
  <c r="M70" i="15"/>
  <c r="M66" i="4"/>
  <c r="M67" i="4"/>
  <c r="P64" i="15"/>
  <c r="P65" i="15"/>
  <c r="P68" i="15"/>
  <c r="M70" i="4"/>
  <c r="T74" i="4"/>
  <c r="T65" i="15"/>
  <c r="F64" i="15"/>
  <c r="U64" i="15" s="1"/>
  <c r="P69" i="15"/>
  <c r="P64" i="4"/>
  <c r="P65" i="4"/>
  <c r="P68" i="4"/>
  <c r="P69" i="4"/>
  <c r="T71" i="13"/>
  <c r="G79" i="13"/>
  <c r="U76" i="15"/>
  <c r="O71" i="3"/>
  <c r="O76" i="3"/>
  <c r="T78" i="4"/>
  <c r="T76" i="4"/>
  <c r="T75" i="4"/>
  <c r="E79" i="15"/>
  <c r="O72" i="3"/>
  <c r="I79" i="4"/>
  <c r="L79" i="4"/>
  <c r="O64" i="1"/>
  <c r="F65" i="3"/>
  <c r="O79" i="4"/>
  <c r="N79" i="4"/>
  <c r="H79" i="15"/>
  <c r="E79" i="4"/>
  <c r="U73" i="4"/>
  <c r="U75" i="4"/>
  <c r="U76" i="4"/>
  <c r="I79" i="15"/>
  <c r="T72" i="4"/>
  <c r="H79" i="4"/>
  <c r="T73" i="15"/>
  <c r="T74" i="15"/>
  <c r="T75" i="15"/>
  <c r="T76" i="15"/>
  <c r="T77" i="15"/>
  <c r="T78" i="15"/>
  <c r="K71" i="15"/>
  <c r="K71" i="4"/>
  <c r="N71" i="4"/>
  <c r="L71" i="15"/>
  <c r="L71" i="4"/>
  <c r="O71" i="4"/>
  <c r="T73" i="4"/>
  <c r="N71" i="15"/>
  <c r="O71" i="15"/>
  <c r="T72" i="15"/>
  <c r="K62" i="13"/>
  <c r="J62" i="13"/>
  <c r="I62" i="13"/>
  <c r="F62" i="13"/>
  <c r="E62" i="13"/>
  <c r="J61" i="13"/>
  <c r="I61" i="13"/>
  <c r="G61" i="13"/>
  <c r="F61" i="13"/>
  <c r="E61" i="13"/>
  <c r="J60" i="13"/>
  <c r="I60" i="13"/>
  <c r="G60" i="13"/>
  <c r="F60" i="13"/>
  <c r="E60" i="13"/>
  <c r="K59" i="13"/>
  <c r="J59" i="13"/>
  <c r="I59" i="13"/>
  <c r="F59" i="13"/>
  <c r="E59" i="13"/>
  <c r="K58" i="13"/>
  <c r="J58" i="13"/>
  <c r="I58" i="13"/>
  <c r="F58" i="13"/>
  <c r="E58" i="13"/>
  <c r="J57" i="13"/>
  <c r="I57" i="13"/>
  <c r="G57" i="13"/>
  <c r="F57" i="13"/>
  <c r="E57" i="13"/>
  <c r="J56" i="13"/>
  <c r="I56" i="13"/>
  <c r="G56" i="13"/>
  <c r="F56" i="13"/>
  <c r="E56" i="13"/>
  <c r="Q56" i="13" s="1"/>
  <c r="F59" i="1"/>
  <c r="E61" i="4" s="1"/>
  <c r="H60" i="1"/>
  <c r="H60" i="2" s="1"/>
  <c r="I62" i="4" s="1"/>
  <c r="H58" i="1"/>
  <c r="H60" i="4" s="1"/>
  <c r="H57" i="1"/>
  <c r="H57" i="2" s="1"/>
  <c r="I59" i="4" s="1"/>
  <c r="H54" i="1"/>
  <c r="H56" i="15" s="1"/>
  <c r="F55" i="1"/>
  <c r="E57" i="4" s="1"/>
  <c r="F54" i="1"/>
  <c r="F58" i="1" s="1"/>
  <c r="L59" i="3"/>
  <c r="P61" i="4" s="1"/>
  <c r="L58" i="3"/>
  <c r="P60" i="4" s="1"/>
  <c r="L55" i="3"/>
  <c r="P57" i="4" s="1"/>
  <c r="L54" i="3"/>
  <c r="P56" i="4" s="1"/>
  <c r="J60" i="3"/>
  <c r="M62" i="4" s="1"/>
  <c r="J57" i="3"/>
  <c r="M59" i="4" s="1"/>
  <c r="J56" i="3"/>
  <c r="M58" i="15" s="1"/>
  <c r="H59" i="3"/>
  <c r="J61" i="15" s="1"/>
  <c r="H56" i="3"/>
  <c r="J58" i="15" s="1"/>
  <c r="H55" i="3"/>
  <c r="J57" i="4" s="1"/>
  <c r="F54" i="2"/>
  <c r="F59" i="2"/>
  <c r="P62" i="4"/>
  <c r="O62" i="4"/>
  <c r="N62" i="4"/>
  <c r="L62" i="4"/>
  <c r="K62" i="4"/>
  <c r="J62" i="4"/>
  <c r="H62" i="4"/>
  <c r="G62" i="4"/>
  <c r="O61" i="4"/>
  <c r="N61" i="4"/>
  <c r="M61" i="4"/>
  <c r="L61" i="4"/>
  <c r="K61" i="4"/>
  <c r="I61" i="4"/>
  <c r="H61" i="4"/>
  <c r="O60" i="4"/>
  <c r="N60" i="4"/>
  <c r="M60" i="4"/>
  <c r="L60" i="4"/>
  <c r="K60" i="4"/>
  <c r="J60" i="4"/>
  <c r="G60" i="4"/>
  <c r="P59" i="4"/>
  <c r="O59" i="4"/>
  <c r="N59" i="4"/>
  <c r="L59" i="4"/>
  <c r="K59" i="4"/>
  <c r="J59" i="4"/>
  <c r="G59" i="4"/>
  <c r="P58" i="4"/>
  <c r="O58" i="4"/>
  <c r="N58" i="4"/>
  <c r="L58" i="4"/>
  <c r="K58" i="4"/>
  <c r="I58" i="4"/>
  <c r="H58" i="4"/>
  <c r="G58" i="4"/>
  <c r="O57" i="4"/>
  <c r="N57" i="4"/>
  <c r="M57" i="4"/>
  <c r="L57" i="4"/>
  <c r="K57" i="4"/>
  <c r="I57" i="4"/>
  <c r="H57" i="4"/>
  <c r="G57" i="4"/>
  <c r="O56" i="4"/>
  <c r="N56" i="4"/>
  <c r="M56" i="4"/>
  <c r="L56" i="4"/>
  <c r="K56" i="4"/>
  <c r="J56" i="4"/>
  <c r="P62" i="15"/>
  <c r="O62" i="15"/>
  <c r="N62" i="15"/>
  <c r="L62" i="15"/>
  <c r="K62" i="15"/>
  <c r="J62" i="15"/>
  <c r="G62" i="15"/>
  <c r="O61" i="15"/>
  <c r="N61" i="15"/>
  <c r="M61" i="15"/>
  <c r="L61" i="15"/>
  <c r="K61" i="15"/>
  <c r="I61" i="15"/>
  <c r="H61" i="15"/>
  <c r="O60" i="15"/>
  <c r="N60" i="15"/>
  <c r="M60" i="15"/>
  <c r="L60" i="15"/>
  <c r="K60" i="15"/>
  <c r="J60" i="15"/>
  <c r="G60" i="15"/>
  <c r="P59" i="15"/>
  <c r="O59" i="15"/>
  <c r="N59" i="15"/>
  <c r="L59" i="15"/>
  <c r="K59" i="15"/>
  <c r="J59" i="15"/>
  <c r="H59" i="15"/>
  <c r="G59" i="15"/>
  <c r="P58" i="15"/>
  <c r="O58" i="15"/>
  <c r="N58" i="15"/>
  <c r="L58" i="15"/>
  <c r="K58" i="15"/>
  <c r="I58" i="15"/>
  <c r="H58" i="15"/>
  <c r="G58" i="15"/>
  <c r="O57" i="15"/>
  <c r="N57" i="15"/>
  <c r="M57" i="15"/>
  <c r="L57" i="15"/>
  <c r="K57" i="15"/>
  <c r="I57" i="15"/>
  <c r="H57" i="15"/>
  <c r="G57" i="15"/>
  <c r="O56" i="15"/>
  <c r="N56" i="15"/>
  <c r="M56" i="15"/>
  <c r="L56" i="15"/>
  <c r="K56" i="15"/>
  <c r="J56" i="15"/>
  <c r="C100" i="7"/>
  <c r="D100" i="7"/>
  <c r="E100" i="7"/>
  <c r="F100" i="7" s="1"/>
  <c r="F128" i="2" s="1"/>
  <c r="L51" i="2"/>
  <c r="L52" i="2"/>
  <c r="H46" i="3"/>
  <c r="H47" i="3"/>
  <c r="H51" i="3"/>
  <c r="J50" i="3"/>
  <c r="J49" i="3"/>
  <c r="J46" i="3"/>
  <c r="L47" i="3"/>
  <c r="T94" i="15" l="1"/>
  <c r="I68" i="15"/>
  <c r="H71" i="4"/>
  <c r="O67" i="2"/>
  <c r="O67" i="3" s="1"/>
  <c r="I69" i="15"/>
  <c r="H71" i="15"/>
  <c r="U69" i="4"/>
  <c r="F80" i="15"/>
  <c r="U80" i="15" s="1"/>
  <c r="F80" i="4"/>
  <c r="U80" i="4" s="1"/>
  <c r="U86" i="4" s="1"/>
  <c r="F96" i="15"/>
  <c r="F96" i="4"/>
  <c r="U96" i="4" s="1"/>
  <c r="O94" i="2"/>
  <c r="O94" i="3" s="1"/>
  <c r="F85" i="15"/>
  <c r="U85" i="15" s="1"/>
  <c r="O83" i="2"/>
  <c r="O83" i="3" s="1"/>
  <c r="F85" i="4"/>
  <c r="U85" i="4" s="1"/>
  <c r="I97" i="15"/>
  <c r="U97" i="15" s="1"/>
  <c r="I97" i="4"/>
  <c r="U97" i="4" s="1"/>
  <c r="O95" i="2"/>
  <c r="O95" i="3" s="1"/>
  <c r="T80" i="4"/>
  <c r="E86" i="4"/>
  <c r="W86" i="4" s="1"/>
  <c r="T80" i="15"/>
  <c r="T86" i="15" s="1"/>
  <c r="E86" i="15"/>
  <c r="W86" i="15" s="1"/>
  <c r="H62" i="15"/>
  <c r="J94" i="15"/>
  <c r="H104" i="4"/>
  <c r="T95" i="4"/>
  <c r="T104" i="4"/>
  <c r="H86" i="15"/>
  <c r="T84" i="15"/>
  <c r="I95" i="4"/>
  <c r="O93" i="2"/>
  <c r="O93" i="3" s="1"/>
  <c r="I95" i="15"/>
  <c r="I84" i="4"/>
  <c r="U84" i="4" s="1"/>
  <c r="I84" i="15"/>
  <c r="U84" i="15" s="1"/>
  <c r="O82" i="2"/>
  <c r="O82" i="3" s="1"/>
  <c r="H104" i="15"/>
  <c r="T95" i="15"/>
  <c r="T104" i="15" s="1"/>
  <c r="F98" i="15"/>
  <c r="U98" i="15" s="1"/>
  <c r="O96" i="2"/>
  <c r="O96" i="3" s="1"/>
  <c r="F98" i="4"/>
  <c r="U98" i="4" s="1"/>
  <c r="E104" i="15"/>
  <c r="F101" i="4"/>
  <c r="U101" i="4" s="1"/>
  <c r="F101" i="15"/>
  <c r="U101" i="15" s="1"/>
  <c r="O99" i="2"/>
  <c r="O99" i="3" s="1"/>
  <c r="F100" i="4"/>
  <c r="U100" i="4" s="1"/>
  <c r="O98" i="2"/>
  <c r="O98" i="3" s="1"/>
  <c r="F100" i="15"/>
  <c r="U100" i="15" s="1"/>
  <c r="H54" i="2"/>
  <c r="O54" i="2" s="1"/>
  <c r="O54" i="3" s="1"/>
  <c r="I66" i="4"/>
  <c r="U66" i="4" s="1"/>
  <c r="E104" i="4"/>
  <c r="T84" i="4"/>
  <c r="F79" i="15"/>
  <c r="X79" i="15" s="1"/>
  <c r="U72" i="15"/>
  <c r="U79" i="15" s="1"/>
  <c r="F79" i="4"/>
  <c r="X79" i="4" s="1"/>
  <c r="F70" i="4"/>
  <c r="U70" i="4" s="1"/>
  <c r="F70" i="15"/>
  <c r="U70" i="15" s="1"/>
  <c r="U91" i="4"/>
  <c r="I94" i="4"/>
  <c r="J94" i="4" s="1"/>
  <c r="P76" i="2"/>
  <c r="O78" i="3"/>
  <c r="U88" i="15"/>
  <c r="U94" i="15" s="1"/>
  <c r="F94" i="15"/>
  <c r="F94" i="4"/>
  <c r="U88" i="4"/>
  <c r="P91" i="2"/>
  <c r="O86" i="3"/>
  <c r="Q61" i="13"/>
  <c r="U86" i="13"/>
  <c r="G86" i="13"/>
  <c r="M86" i="15"/>
  <c r="P86" i="15"/>
  <c r="T66" i="15"/>
  <c r="H56" i="4"/>
  <c r="H59" i="4"/>
  <c r="H58" i="2"/>
  <c r="I60" i="4" s="1"/>
  <c r="F66" i="2"/>
  <c r="E68" i="4"/>
  <c r="E68" i="15"/>
  <c r="T68" i="15" s="1"/>
  <c r="F66" i="15"/>
  <c r="U66" i="15" s="1"/>
  <c r="O63" i="2"/>
  <c r="O63" i="3" s="1"/>
  <c r="F65" i="15"/>
  <c r="U65" i="15" s="1"/>
  <c r="P68" i="1"/>
  <c r="O62" i="3"/>
  <c r="O64" i="2"/>
  <c r="O64" i="3" s="1"/>
  <c r="M79" i="15"/>
  <c r="P79" i="15"/>
  <c r="U65" i="4"/>
  <c r="M79" i="4"/>
  <c r="U69" i="15"/>
  <c r="G67" i="15"/>
  <c r="G67" i="4"/>
  <c r="Q58" i="13"/>
  <c r="Q60" i="13"/>
  <c r="W79" i="15"/>
  <c r="T79" i="4"/>
  <c r="J79" i="15"/>
  <c r="J79" i="4"/>
  <c r="P79" i="4"/>
  <c r="U79" i="4"/>
  <c r="I63" i="13"/>
  <c r="T79" i="15"/>
  <c r="W79" i="4"/>
  <c r="M71" i="4"/>
  <c r="P71" i="15"/>
  <c r="P71" i="4"/>
  <c r="M71" i="15"/>
  <c r="F58" i="2"/>
  <c r="F60" i="15" s="1"/>
  <c r="E60" i="15"/>
  <c r="E60" i="4"/>
  <c r="T60" i="4" s="1"/>
  <c r="O59" i="1"/>
  <c r="Q62" i="13"/>
  <c r="E61" i="15"/>
  <c r="T61" i="15" s="1"/>
  <c r="O54" i="1"/>
  <c r="E63" i="13"/>
  <c r="F56" i="1"/>
  <c r="F55" i="2"/>
  <c r="F57" i="15" s="1"/>
  <c r="U57" i="15" s="1"/>
  <c r="Q59" i="13"/>
  <c r="F59" i="3"/>
  <c r="G61" i="15" s="1"/>
  <c r="O55" i="1"/>
  <c r="F54" i="3"/>
  <c r="G56" i="15" s="1"/>
  <c r="P57" i="15"/>
  <c r="K57" i="13"/>
  <c r="M58" i="4"/>
  <c r="F61" i="15"/>
  <c r="U61" i="15" s="1"/>
  <c r="R57" i="13"/>
  <c r="I62" i="15"/>
  <c r="F63" i="13"/>
  <c r="G58" i="13"/>
  <c r="R58" i="13"/>
  <c r="J63" i="13"/>
  <c r="K60" i="13"/>
  <c r="G59" i="13"/>
  <c r="R61" i="13"/>
  <c r="F56" i="15"/>
  <c r="O59" i="2"/>
  <c r="K61" i="13"/>
  <c r="R56" i="13"/>
  <c r="R62" i="13"/>
  <c r="F61" i="4"/>
  <c r="U61" i="4" s="1"/>
  <c r="G62" i="13"/>
  <c r="N63" i="15"/>
  <c r="F56" i="4"/>
  <c r="K56" i="13"/>
  <c r="N63" i="4"/>
  <c r="K63" i="15"/>
  <c r="T61" i="4"/>
  <c r="O63" i="15"/>
  <c r="R59" i="13"/>
  <c r="Q57" i="13"/>
  <c r="R60" i="13"/>
  <c r="I56" i="15"/>
  <c r="I59" i="15"/>
  <c r="H60" i="15"/>
  <c r="O58" i="1"/>
  <c r="E57" i="15"/>
  <c r="T57" i="15" s="1"/>
  <c r="P61" i="15"/>
  <c r="P60" i="15"/>
  <c r="P56" i="15"/>
  <c r="M62" i="15"/>
  <c r="M59" i="15"/>
  <c r="J61" i="4"/>
  <c r="J58" i="4"/>
  <c r="J57" i="15"/>
  <c r="K63" i="4"/>
  <c r="E56" i="4"/>
  <c r="E56" i="15"/>
  <c r="T56" i="15" s="1"/>
  <c r="L63" i="15"/>
  <c r="O63" i="4"/>
  <c r="L63" i="4"/>
  <c r="T57" i="4"/>
  <c r="H48" i="1"/>
  <c r="H52" i="1"/>
  <c r="H52" i="2" s="1"/>
  <c r="I54" i="15" s="1"/>
  <c r="F52" i="1"/>
  <c r="E54" i="4" s="1"/>
  <c r="F47" i="1"/>
  <c r="E49" i="15" s="1"/>
  <c r="H50" i="1"/>
  <c r="H49" i="1"/>
  <c r="H49" i="2" s="1"/>
  <c r="I51" i="4" s="1"/>
  <c r="F51" i="1"/>
  <c r="E53" i="4" s="1"/>
  <c r="F46" i="1"/>
  <c r="F50" i="1" s="1"/>
  <c r="F48" i="1"/>
  <c r="F48" i="2" s="1"/>
  <c r="F50" i="4" s="1"/>
  <c r="P54" i="4"/>
  <c r="O54" i="4"/>
  <c r="N54" i="4"/>
  <c r="M54" i="4"/>
  <c r="L54" i="4"/>
  <c r="K54" i="4"/>
  <c r="J54" i="4"/>
  <c r="G54" i="4"/>
  <c r="P53" i="4"/>
  <c r="O53" i="4"/>
  <c r="N53" i="4"/>
  <c r="M53" i="4"/>
  <c r="L53" i="4"/>
  <c r="K53" i="4"/>
  <c r="J53" i="4"/>
  <c r="I53" i="4"/>
  <c r="H53" i="4"/>
  <c r="G53" i="4"/>
  <c r="P52" i="4"/>
  <c r="O52" i="4"/>
  <c r="N52" i="4"/>
  <c r="M52" i="4"/>
  <c r="L52" i="4"/>
  <c r="K52" i="4"/>
  <c r="J52" i="4"/>
  <c r="G52" i="4"/>
  <c r="P51" i="4"/>
  <c r="O51" i="4"/>
  <c r="N51" i="4"/>
  <c r="M51" i="4"/>
  <c r="L51" i="4"/>
  <c r="K51" i="4"/>
  <c r="J51" i="4"/>
  <c r="G51" i="4"/>
  <c r="N50" i="4"/>
  <c r="M50" i="4"/>
  <c r="L50" i="4"/>
  <c r="K50" i="4"/>
  <c r="J50" i="4"/>
  <c r="G50" i="4"/>
  <c r="P49" i="4"/>
  <c r="O49" i="4"/>
  <c r="N49" i="4"/>
  <c r="M49" i="4"/>
  <c r="L49" i="4"/>
  <c r="K49" i="4"/>
  <c r="J49" i="4"/>
  <c r="I49" i="4"/>
  <c r="H49" i="4"/>
  <c r="G49" i="4"/>
  <c r="P48" i="4"/>
  <c r="O48" i="4"/>
  <c r="N48" i="4"/>
  <c r="M48" i="4"/>
  <c r="L48" i="4"/>
  <c r="K48" i="4"/>
  <c r="J48" i="4"/>
  <c r="I48" i="4"/>
  <c r="H48" i="4"/>
  <c r="G48" i="4"/>
  <c r="K54" i="13"/>
  <c r="J54" i="13"/>
  <c r="I54" i="13"/>
  <c r="G54" i="13"/>
  <c r="F54" i="13"/>
  <c r="E54" i="13"/>
  <c r="K53" i="13"/>
  <c r="J53" i="13"/>
  <c r="I53" i="13"/>
  <c r="G53" i="13"/>
  <c r="F53" i="13"/>
  <c r="E53" i="13"/>
  <c r="K52" i="13"/>
  <c r="J52" i="13"/>
  <c r="I52" i="13"/>
  <c r="G52" i="13"/>
  <c r="F52" i="13"/>
  <c r="E52" i="13"/>
  <c r="K51" i="13"/>
  <c r="J51" i="13"/>
  <c r="I51" i="13"/>
  <c r="G51" i="13"/>
  <c r="F51" i="13"/>
  <c r="E51" i="13"/>
  <c r="I50" i="13"/>
  <c r="G50" i="13"/>
  <c r="F50" i="13"/>
  <c r="E50" i="13"/>
  <c r="K49" i="13"/>
  <c r="J49" i="13"/>
  <c r="I49" i="13"/>
  <c r="G49" i="13"/>
  <c r="F49" i="13"/>
  <c r="E49" i="13"/>
  <c r="K48" i="13"/>
  <c r="J48" i="13"/>
  <c r="I48" i="13"/>
  <c r="G48" i="13"/>
  <c r="F48" i="13"/>
  <c r="E48" i="13"/>
  <c r="K46" i="13"/>
  <c r="G46" i="13"/>
  <c r="F46" i="13"/>
  <c r="E46" i="13"/>
  <c r="K45" i="13"/>
  <c r="I45" i="13"/>
  <c r="G45" i="13"/>
  <c r="F45" i="13"/>
  <c r="E45" i="13"/>
  <c r="K44" i="13"/>
  <c r="J44" i="13"/>
  <c r="I44" i="13"/>
  <c r="F44" i="13"/>
  <c r="E44" i="13"/>
  <c r="K43" i="13"/>
  <c r="J43" i="13"/>
  <c r="I43" i="13"/>
  <c r="F43" i="13"/>
  <c r="E43" i="13"/>
  <c r="J42" i="13"/>
  <c r="I42" i="13"/>
  <c r="G42" i="13"/>
  <c r="F42" i="13"/>
  <c r="E42" i="13"/>
  <c r="J41" i="13"/>
  <c r="I41" i="13"/>
  <c r="G41" i="13"/>
  <c r="F41" i="13"/>
  <c r="E41" i="13"/>
  <c r="K40" i="13"/>
  <c r="J40" i="13"/>
  <c r="I40" i="13"/>
  <c r="F40" i="13"/>
  <c r="E40" i="13"/>
  <c r="P54" i="15"/>
  <c r="O54" i="15"/>
  <c r="N54" i="15"/>
  <c r="M54" i="15"/>
  <c r="L54" i="15"/>
  <c r="K54" i="15"/>
  <c r="J54" i="15"/>
  <c r="G54" i="15"/>
  <c r="P53" i="15"/>
  <c r="O53" i="15"/>
  <c r="N53" i="15"/>
  <c r="M53" i="15"/>
  <c r="L53" i="15"/>
  <c r="K53" i="15"/>
  <c r="J53" i="15"/>
  <c r="I53" i="15"/>
  <c r="H53" i="15"/>
  <c r="G53" i="15"/>
  <c r="P52" i="15"/>
  <c r="O52" i="15"/>
  <c r="N52" i="15"/>
  <c r="M52" i="15"/>
  <c r="L52" i="15"/>
  <c r="K52" i="15"/>
  <c r="J52" i="15"/>
  <c r="G52" i="15"/>
  <c r="P51" i="15"/>
  <c r="O51" i="15"/>
  <c r="N51" i="15"/>
  <c r="M51" i="15"/>
  <c r="L51" i="15"/>
  <c r="K51" i="15"/>
  <c r="J51" i="15"/>
  <c r="G51" i="15"/>
  <c r="N50" i="15"/>
  <c r="M50" i="15"/>
  <c r="L50" i="15"/>
  <c r="K50" i="15"/>
  <c r="J50" i="15"/>
  <c r="G50" i="15"/>
  <c r="P49" i="15"/>
  <c r="O49" i="15"/>
  <c r="N49" i="15"/>
  <c r="M49" i="15"/>
  <c r="L49" i="15"/>
  <c r="K49" i="15"/>
  <c r="J49" i="15"/>
  <c r="I49" i="15"/>
  <c r="H49" i="15"/>
  <c r="G49" i="15"/>
  <c r="P48" i="15"/>
  <c r="O48" i="15"/>
  <c r="N48" i="15"/>
  <c r="M48" i="15"/>
  <c r="L48" i="15"/>
  <c r="K48" i="15"/>
  <c r="J48" i="15"/>
  <c r="I48" i="15"/>
  <c r="H48" i="15"/>
  <c r="G48" i="15"/>
  <c r="L43" i="2"/>
  <c r="H43" i="2"/>
  <c r="H40" i="2"/>
  <c r="H39" i="2"/>
  <c r="H42" i="1"/>
  <c r="H42" i="2" s="1"/>
  <c r="H40" i="1"/>
  <c r="H39" i="1"/>
  <c r="L44" i="1"/>
  <c r="F42" i="1"/>
  <c r="F42" i="2" s="1"/>
  <c r="F39" i="1"/>
  <c r="F39" i="2" s="1"/>
  <c r="F38" i="1"/>
  <c r="F44" i="1" s="1"/>
  <c r="F44" i="2" s="1"/>
  <c r="W104" i="15" l="1"/>
  <c r="I71" i="15"/>
  <c r="J71" i="15" s="1"/>
  <c r="I56" i="4"/>
  <c r="I63" i="4" s="1"/>
  <c r="I71" i="4"/>
  <c r="J71" i="4" s="1"/>
  <c r="P83" i="2"/>
  <c r="U95" i="4"/>
  <c r="U104" i="4" s="1"/>
  <c r="I104" i="4"/>
  <c r="J104" i="4" s="1"/>
  <c r="I86" i="4"/>
  <c r="J86" i="4" s="1"/>
  <c r="P101" i="2"/>
  <c r="W104" i="4"/>
  <c r="U96" i="15"/>
  <c r="F104" i="15"/>
  <c r="G104" i="15" s="1"/>
  <c r="F104" i="4"/>
  <c r="G104" i="4" s="1"/>
  <c r="F86" i="4"/>
  <c r="G86" i="4" s="1"/>
  <c r="U86" i="15"/>
  <c r="I104" i="15"/>
  <c r="U95" i="15"/>
  <c r="F86" i="15"/>
  <c r="G86" i="15" s="1"/>
  <c r="N132" i="4"/>
  <c r="I86" i="15"/>
  <c r="X86" i="15" s="1"/>
  <c r="T86" i="4"/>
  <c r="G79" i="15"/>
  <c r="G79" i="4"/>
  <c r="H63" i="4"/>
  <c r="U94" i="4"/>
  <c r="X104" i="4"/>
  <c r="G94" i="4"/>
  <c r="X94" i="4"/>
  <c r="G94" i="15"/>
  <c r="X94" i="15"/>
  <c r="T56" i="4"/>
  <c r="T71" i="15"/>
  <c r="I60" i="15"/>
  <c r="U60" i="15" s="1"/>
  <c r="K63" i="13"/>
  <c r="E49" i="4"/>
  <c r="T49" i="4" s="1"/>
  <c r="F68" i="15"/>
  <c r="U68" i="15" s="1"/>
  <c r="U71" i="15" s="1"/>
  <c r="O66" i="2"/>
  <c r="O66" i="3" s="1"/>
  <c r="F68" i="4"/>
  <c r="F41" i="1"/>
  <c r="F41" i="2" s="1"/>
  <c r="G63" i="13"/>
  <c r="F51" i="2"/>
  <c r="F53" i="15" s="1"/>
  <c r="U53" i="15" s="1"/>
  <c r="E71" i="4"/>
  <c r="W71" i="4" s="1"/>
  <c r="T68" i="4"/>
  <c r="T71" i="4" s="1"/>
  <c r="O46" i="1"/>
  <c r="T63" i="13"/>
  <c r="O59" i="3"/>
  <c r="E48" i="4"/>
  <c r="E71" i="15"/>
  <c r="W71" i="15" s="1"/>
  <c r="F60" i="4"/>
  <c r="U60" i="4" s="1"/>
  <c r="Q45" i="13"/>
  <c r="Q48" i="13"/>
  <c r="T60" i="15"/>
  <c r="Q43" i="13"/>
  <c r="J45" i="13"/>
  <c r="R45" i="13" s="1"/>
  <c r="E58" i="15"/>
  <c r="T58" i="15" s="1"/>
  <c r="F56" i="2"/>
  <c r="F57" i="1"/>
  <c r="O56" i="1"/>
  <c r="F60" i="1"/>
  <c r="E58" i="4"/>
  <c r="T58" i="4" s="1"/>
  <c r="G56" i="4"/>
  <c r="L44" i="2"/>
  <c r="J46" i="13" s="1"/>
  <c r="R46" i="13" s="1"/>
  <c r="E48" i="15"/>
  <c r="T48" i="15" s="1"/>
  <c r="Q54" i="13"/>
  <c r="F49" i="1"/>
  <c r="E51" i="15" s="1"/>
  <c r="Q63" i="13"/>
  <c r="G61" i="4"/>
  <c r="F57" i="4"/>
  <c r="U57" i="4" s="1"/>
  <c r="O55" i="2"/>
  <c r="O55" i="3" s="1"/>
  <c r="Q51" i="13"/>
  <c r="O58" i="2"/>
  <c r="O58" i="3" s="1"/>
  <c r="P63" i="15"/>
  <c r="U63" i="13"/>
  <c r="U56" i="15"/>
  <c r="H63" i="15"/>
  <c r="R63" i="13"/>
  <c r="R54" i="13"/>
  <c r="Q40" i="13"/>
  <c r="M63" i="15"/>
  <c r="P63" i="4"/>
  <c r="M63" i="4"/>
  <c r="O50" i="1"/>
  <c r="F50" i="2"/>
  <c r="F52" i="15" s="1"/>
  <c r="E52" i="4"/>
  <c r="E52" i="15"/>
  <c r="Q49" i="13"/>
  <c r="I54" i="4"/>
  <c r="E54" i="15"/>
  <c r="Q41" i="13"/>
  <c r="F52" i="2"/>
  <c r="F54" i="4" s="1"/>
  <c r="O47" i="1"/>
  <c r="H54" i="15"/>
  <c r="Q52" i="13"/>
  <c r="H50" i="4"/>
  <c r="H48" i="2"/>
  <c r="E55" i="13"/>
  <c r="F46" i="2"/>
  <c r="O46" i="2" s="1"/>
  <c r="I51" i="15"/>
  <c r="F47" i="2"/>
  <c r="O47" i="2" s="1"/>
  <c r="I46" i="13"/>
  <c r="I47" i="13" s="1"/>
  <c r="F40" i="1"/>
  <c r="F40" i="2" s="1"/>
  <c r="H50" i="15"/>
  <c r="H52" i="15"/>
  <c r="H50" i="2"/>
  <c r="R48" i="13"/>
  <c r="R52" i="13"/>
  <c r="R49" i="13"/>
  <c r="F47" i="13"/>
  <c r="R43" i="13"/>
  <c r="R51" i="13"/>
  <c r="R53" i="13"/>
  <c r="L55" i="4"/>
  <c r="L55" i="15"/>
  <c r="F50" i="15"/>
  <c r="H54" i="4"/>
  <c r="T54" i="4" s="1"/>
  <c r="O52" i="1"/>
  <c r="H52" i="4"/>
  <c r="H51" i="4"/>
  <c r="H51" i="15"/>
  <c r="O51" i="1"/>
  <c r="E53" i="15"/>
  <c r="T53" i="15" s="1"/>
  <c r="E50" i="15"/>
  <c r="O48" i="1"/>
  <c r="E50" i="4"/>
  <c r="Q53" i="13"/>
  <c r="N55" i="4"/>
  <c r="T53" i="4"/>
  <c r="K55" i="15"/>
  <c r="Q50" i="13"/>
  <c r="I55" i="13"/>
  <c r="N55" i="15"/>
  <c r="T49" i="15"/>
  <c r="K55" i="4"/>
  <c r="T48" i="4"/>
  <c r="R41" i="13"/>
  <c r="F55" i="13"/>
  <c r="Q42" i="13"/>
  <c r="R42" i="13"/>
  <c r="Q44" i="13"/>
  <c r="R44" i="13"/>
  <c r="R40" i="13"/>
  <c r="E47" i="13"/>
  <c r="F43" i="1"/>
  <c r="F43" i="2" s="1"/>
  <c r="J63" i="4" l="1"/>
  <c r="U56" i="4"/>
  <c r="J86" i="15"/>
  <c r="X86" i="4"/>
  <c r="U104" i="15"/>
  <c r="J104" i="15"/>
  <c r="X104" i="15"/>
  <c r="T52" i="4"/>
  <c r="I63" i="15"/>
  <c r="J63" i="15" s="1"/>
  <c r="P68" i="2"/>
  <c r="U68" i="4"/>
  <c r="U71" i="4" s="1"/>
  <c r="F71" i="4"/>
  <c r="F71" i="15"/>
  <c r="O51" i="2"/>
  <c r="F53" i="4"/>
  <c r="U53" i="4" s="1"/>
  <c r="Q55" i="13"/>
  <c r="E62" i="4"/>
  <c r="T62" i="4" s="1"/>
  <c r="E62" i="15"/>
  <c r="T62" i="15" s="1"/>
  <c r="F60" i="2"/>
  <c r="O60" i="2" s="1"/>
  <c r="O60" i="1"/>
  <c r="F49" i="2"/>
  <c r="F51" i="15" s="1"/>
  <c r="U51" i="15" s="1"/>
  <c r="O49" i="1"/>
  <c r="P52" i="1" s="1"/>
  <c r="E51" i="4"/>
  <c r="T51" i="4" s="1"/>
  <c r="J47" i="13"/>
  <c r="K47" i="13" s="1"/>
  <c r="T50" i="15"/>
  <c r="E59" i="15"/>
  <c r="O57" i="1"/>
  <c r="F57" i="2"/>
  <c r="E59" i="4"/>
  <c r="T51" i="15"/>
  <c r="F58" i="4"/>
  <c r="O56" i="2"/>
  <c r="O56" i="3" s="1"/>
  <c r="F58" i="15"/>
  <c r="O52" i="2"/>
  <c r="O52" i="3" s="1"/>
  <c r="T54" i="15"/>
  <c r="U54" i="4"/>
  <c r="F48" i="15"/>
  <c r="U48" i="15" s="1"/>
  <c r="F48" i="4"/>
  <c r="U48" i="4" s="1"/>
  <c r="O50" i="2"/>
  <c r="O50" i="3" s="1"/>
  <c r="T52" i="15"/>
  <c r="Q46" i="13"/>
  <c r="Q47" i="13" s="1"/>
  <c r="F49" i="4"/>
  <c r="U49" i="4" s="1"/>
  <c r="F49" i="15"/>
  <c r="U49" i="15" s="1"/>
  <c r="F54" i="15"/>
  <c r="U54" i="15" s="1"/>
  <c r="F52" i="4"/>
  <c r="E55" i="15"/>
  <c r="I50" i="15"/>
  <c r="I50" i="4"/>
  <c r="I52" i="4"/>
  <c r="I52" i="15"/>
  <c r="U52" i="15" s="1"/>
  <c r="O47" i="3"/>
  <c r="O51" i="3"/>
  <c r="H55" i="15"/>
  <c r="O46" i="3"/>
  <c r="H55" i="4"/>
  <c r="T50" i="4"/>
  <c r="M55" i="15"/>
  <c r="T55" i="13"/>
  <c r="M55" i="4"/>
  <c r="G55" i="13"/>
  <c r="T47" i="13"/>
  <c r="R47" i="13"/>
  <c r="G47" i="13"/>
  <c r="H41" i="3"/>
  <c r="H44" i="3"/>
  <c r="J42" i="3"/>
  <c r="G44" i="13" s="1"/>
  <c r="J41" i="3"/>
  <c r="G43" i="13" s="1"/>
  <c r="L40" i="3"/>
  <c r="K42" i="13" s="1"/>
  <c r="L39" i="3"/>
  <c r="K41" i="13" s="1"/>
  <c r="J38" i="3"/>
  <c r="G40" i="13" s="1"/>
  <c r="H38" i="3"/>
  <c r="F38" i="2"/>
  <c r="F38" i="3" s="1"/>
  <c r="P60" i="1" l="1"/>
  <c r="X71" i="15"/>
  <c r="G71" i="15"/>
  <c r="G71" i="4"/>
  <c r="X71" i="4"/>
  <c r="E55" i="4"/>
  <c r="W55" i="4" s="1"/>
  <c r="F51" i="4"/>
  <c r="U51" i="4" s="1"/>
  <c r="U58" i="4"/>
  <c r="F62" i="15"/>
  <c r="U62" i="15" s="1"/>
  <c r="O60" i="3"/>
  <c r="F62" i="4"/>
  <c r="U62" i="4" s="1"/>
  <c r="U47" i="13"/>
  <c r="U58" i="15"/>
  <c r="O49" i="2"/>
  <c r="O49" i="3" s="1"/>
  <c r="T59" i="4"/>
  <c r="T63" i="4" s="1"/>
  <c r="E63" i="4"/>
  <c r="W63" i="4" s="1"/>
  <c r="F59" i="4"/>
  <c r="U59" i="4" s="1"/>
  <c r="O57" i="2"/>
  <c r="F59" i="15"/>
  <c r="U59" i="15" s="1"/>
  <c r="T59" i="15"/>
  <c r="T63" i="15" s="1"/>
  <c r="E63" i="15"/>
  <c r="T55" i="15"/>
  <c r="F55" i="15"/>
  <c r="G55" i="15" s="1"/>
  <c r="U52" i="4"/>
  <c r="I55" i="15"/>
  <c r="J55" i="15" s="1"/>
  <c r="I55" i="4"/>
  <c r="J55" i="4" s="1"/>
  <c r="W55" i="15"/>
  <c r="T55" i="4"/>
  <c r="F55" i="4" l="1"/>
  <c r="G55" i="4" s="1"/>
  <c r="F63" i="15"/>
  <c r="X63" i="15" s="1"/>
  <c r="U63" i="15"/>
  <c r="U63" i="4"/>
  <c r="O57" i="3"/>
  <c r="P60" i="2"/>
  <c r="W63" i="15"/>
  <c r="F63" i="4"/>
  <c r="K38" i="13"/>
  <c r="J38" i="13"/>
  <c r="I38" i="13"/>
  <c r="F38" i="13"/>
  <c r="E38" i="13"/>
  <c r="J37" i="13"/>
  <c r="I37" i="13"/>
  <c r="G37" i="13"/>
  <c r="F37" i="13"/>
  <c r="E37" i="13"/>
  <c r="J36" i="13"/>
  <c r="I36" i="13"/>
  <c r="G36" i="13"/>
  <c r="F36" i="13"/>
  <c r="E36" i="13"/>
  <c r="K35" i="13"/>
  <c r="J35" i="13"/>
  <c r="I35" i="13"/>
  <c r="F35" i="13"/>
  <c r="E35" i="13"/>
  <c r="K34" i="13"/>
  <c r="J34" i="13"/>
  <c r="I34" i="13"/>
  <c r="F34" i="13"/>
  <c r="E34" i="13"/>
  <c r="J33" i="13"/>
  <c r="I33" i="13"/>
  <c r="G33" i="13"/>
  <c r="F33" i="13"/>
  <c r="E33" i="13"/>
  <c r="J32" i="13"/>
  <c r="I32" i="13"/>
  <c r="G32" i="13"/>
  <c r="F32" i="13"/>
  <c r="E32" i="13"/>
  <c r="H36" i="1"/>
  <c r="H38" i="15" s="1"/>
  <c r="H34" i="1"/>
  <c r="H34" i="2" s="1"/>
  <c r="I36" i="15" s="1"/>
  <c r="H33" i="1"/>
  <c r="H35" i="4" s="1"/>
  <c r="H31" i="1"/>
  <c r="H31" i="2" s="1"/>
  <c r="I33" i="4" s="1"/>
  <c r="J28" i="1"/>
  <c r="H26" i="1"/>
  <c r="H26" i="2" s="1"/>
  <c r="H22" i="1"/>
  <c r="F34" i="1"/>
  <c r="E36" i="4" s="1"/>
  <c r="F33" i="1"/>
  <c r="E35" i="4" s="1"/>
  <c r="F31" i="1"/>
  <c r="E33" i="15" s="1"/>
  <c r="F24" i="1"/>
  <c r="F28" i="1" s="1"/>
  <c r="F28" i="2" s="1"/>
  <c r="H35" i="3"/>
  <c r="J37" i="4" s="1"/>
  <c r="H32" i="3"/>
  <c r="J34" i="4" s="1"/>
  <c r="H30" i="3"/>
  <c r="J32" i="15" s="1"/>
  <c r="J36" i="3"/>
  <c r="M38" i="15" s="1"/>
  <c r="J33" i="3"/>
  <c r="G35" i="13" s="1"/>
  <c r="J32" i="3"/>
  <c r="M34" i="15" s="1"/>
  <c r="L35" i="3"/>
  <c r="P37" i="4" s="1"/>
  <c r="L34" i="3"/>
  <c r="P36" i="15" s="1"/>
  <c r="L31" i="3"/>
  <c r="P33" i="4" s="1"/>
  <c r="L30" i="3"/>
  <c r="P32" i="4" s="1"/>
  <c r="O38" i="1"/>
  <c r="O39" i="1"/>
  <c r="O40" i="1"/>
  <c r="O41" i="1"/>
  <c r="O42" i="1"/>
  <c r="O43" i="1"/>
  <c r="O44" i="1"/>
  <c r="O38" i="2"/>
  <c r="O39" i="2"/>
  <c r="O40" i="2"/>
  <c r="O41" i="2"/>
  <c r="O42" i="2"/>
  <c r="O43" i="2"/>
  <c r="O44" i="2"/>
  <c r="P46" i="4"/>
  <c r="O46" i="4"/>
  <c r="N46" i="4"/>
  <c r="M46" i="4"/>
  <c r="L46" i="4"/>
  <c r="K46" i="4"/>
  <c r="J46" i="4"/>
  <c r="I46" i="4"/>
  <c r="H46" i="4"/>
  <c r="G46" i="4"/>
  <c r="F46" i="4"/>
  <c r="E46" i="4"/>
  <c r="P45" i="4"/>
  <c r="O45" i="4"/>
  <c r="N45" i="4"/>
  <c r="M45" i="4"/>
  <c r="L45" i="4"/>
  <c r="K45" i="4"/>
  <c r="J45" i="4"/>
  <c r="I45" i="4"/>
  <c r="H45" i="4"/>
  <c r="G45" i="4"/>
  <c r="F45" i="4"/>
  <c r="E45" i="4"/>
  <c r="P44" i="4"/>
  <c r="O44" i="4"/>
  <c r="N44" i="4"/>
  <c r="M44" i="4"/>
  <c r="L44" i="4"/>
  <c r="K44" i="4"/>
  <c r="J44" i="4"/>
  <c r="I44" i="4"/>
  <c r="H44" i="4"/>
  <c r="G44" i="4"/>
  <c r="F44" i="4"/>
  <c r="E44" i="4"/>
  <c r="P43" i="4"/>
  <c r="O43" i="4"/>
  <c r="N43" i="4"/>
  <c r="M43" i="4"/>
  <c r="L43" i="4"/>
  <c r="K43" i="4"/>
  <c r="J43" i="4"/>
  <c r="I43" i="4"/>
  <c r="H43" i="4"/>
  <c r="G43" i="4"/>
  <c r="F43" i="4"/>
  <c r="E43" i="4"/>
  <c r="P42" i="4"/>
  <c r="O42" i="4"/>
  <c r="N42" i="4"/>
  <c r="M42" i="4"/>
  <c r="L42" i="4"/>
  <c r="K42" i="4"/>
  <c r="J42" i="4"/>
  <c r="I42" i="4"/>
  <c r="H42" i="4"/>
  <c r="G42" i="4"/>
  <c r="F42" i="4"/>
  <c r="E42" i="4"/>
  <c r="P41" i="4"/>
  <c r="O41" i="4"/>
  <c r="N41" i="4"/>
  <c r="M41" i="4"/>
  <c r="L41" i="4"/>
  <c r="K41" i="4"/>
  <c r="J41" i="4"/>
  <c r="I41" i="4"/>
  <c r="H41" i="4"/>
  <c r="G41" i="4"/>
  <c r="F41" i="4"/>
  <c r="E41" i="4"/>
  <c r="P40" i="4"/>
  <c r="O40" i="4"/>
  <c r="N40" i="4"/>
  <c r="M40" i="4"/>
  <c r="L40" i="4"/>
  <c r="K40" i="4"/>
  <c r="J40" i="4"/>
  <c r="I40" i="4"/>
  <c r="H40" i="4"/>
  <c r="G40" i="4"/>
  <c r="F40" i="4"/>
  <c r="E40" i="4"/>
  <c r="P38" i="4"/>
  <c r="O38" i="4"/>
  <c r="N38" i="4"/>
  <c r="L38" i="4"/>
  <c r="K38" i="4"/>
  <c r="J38" i="4"/>
  <c r="G38" i="4"/>
  <c r="O37" i="4"/>
  <c r="N37" i="4"/>
  <c r="M37" i="4"/>
  <c r="L37" i="4"/>
  <c r="K37" i="4"/>
  <c r="I37" i="4"/>
  <c r="H37" i="4"/>
  <c r="G37" i="4"/>
  <c r="O36" i="4"/>
  <c r="N36" i="4"/>
  <c r="M36" i="4"/>
  <c r="L36" i="4"/>
  <c r="K36" i="4"/>
  <c r="J36" i="4"/>
  <c r="G36" i="4"/>
  <c r="P35" i="4"/>
  <c r="O35" i="4"/>
  <c r="N35" i="4"/>
  <c r="L35" i="4"/>
  <c r="K35" i="4"/>
  <c r="J35" i="4"/>
  <c r="G35" i="4"/>
  <c r="P34" i="4"/>
  <c r="O34" i="4"/>
  <c r="N34" i="4"/>
  <c r="L34" i="4"/>
  <c r="K34" i="4"/>
  <c r="I34" i="4"/>
  <c r="H34" i="4"/>
  <c r="G34" i="4"/>
  <c r="O33" i="4"/>
  <c r="N33" i="4"/>
  <c r="M33" i="4"/>
  <c r="L33" i="4"/>
  <c r="K33" i="4"/>
  <c r="J33" i="4"/>
  <c r="G33" i="4"/>
  <c r="O32" i="4"/>
  <c r="N32" i="4"/>
  <c r="M32" i="4"/>
  <c r="L32" i="4"/>
  <c r="K32" i="4"/>
  <c r="I32" i="4"/>
  <c r="H32" i="4"/>
  <c r="G32" i="4"/>
  <c r="P46" i="15"/>
  <c r="O46" i="15"/>
  <c r="N46" i="15"/>
  <c r="M46" i="15"/>
  <c r="L46" i="15"/>
  <c r="K46" i="15"/>
  <c r="J46" i="15"/>
  <c r="I46" i="15"/>
  <c r="H46" i="15"/>
  <c r="G46" i="15"/>
  <c r="F46" i="15"/>
  <c r="E46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P38" i="15"/>
  <c r="O38" i="15"/>
  <c r="N38" i="15"/>
  <c r="L38" i="15"/>
  <c r="K38" i="15"/>
  <c r="J38" i="15"/>
  <c r="G38" i="15"/>
  <c r="O37" i="15"/>
  <c r="N37" i="15"/>
  <c r="M37" i="15"/>
  <c r="L37" i="15"/>
  <c r="K37" i="15"/>
  <c r="I37" i="15"/>
  <c r="H37" i="15"/>
  <c r="G37" i="15"/>
  <c r="O36" i="15"/>
  <c r="N36" i="15"/>
  <c r="M36" i="15"/>
  <c r="L36" i="15"/>
  <c r="K36" i="15"/>
  <c r="J36" i="15"/>
  <c r="G36" i="15"/>
  <c r="E36" i="15"/>
  <c r="P35" i="15"/>
  <c r="O35" i="15"/>
  <c r="N35" i="15"/>
  <c r="L35" i="15"/>
  <c r="K35" i="15"/>
  <c r="J35" i="15"/>
  <c r="G35" i="15"/>
  <c r="P34" i="15"/>
  <c r="O34" i="15"/>
  <c r="N34" i="15"/>
  <c r="L34" i="15"/>
  <c r="K34" i="15"/>
  <c r="I34" i="15"/>
  <c r="H34" i="15"/>
  <c r="G34" i="15"/>
  <c r="O33" i="15"/>
  <c r="N33" i="15"/>
  <c r="M33" i="15"/>
  <c r="L33" i="15"/>
  <c r="K33" i="15"/>
  <c r="J33" i="15"/>
  <c r="G33" i="15"/>
  <c r="O32" i="15"/>
  <c r="N32" i="15"/>
  <c r="M32" i="15"/>
  <c r="L32" i="15"/>
  <c r="K32" i="15"/>
  <c r="I32" i="15"/>
  <c r="H32" i="15"/>
  <c r="G32" i="15"/>
  <c r="G27" i="4"/>
  <c r="G28" i="4"/>
  <c r="G29" i="4"/>
  <c r="G30" i="4"/>
  <c r="G25" i="4"/>
  <c r="G26" i="4"/>
  <c r="G24" i="4"/>
  <c r="G25" i="15"/>
  <c r="G26" i="15"/>
  <c r="G27" i="15"/>
  <c r="G28" i="15"/>
  <c r="G29" i="15"/>
  <c r="G30" i="15"/>
  <c r="G24" i="15"/>
  <c r="L27" i="3"/>
  <c r="L26" i="3"/>
  <c r="L23" i="3"/>
  <c r="L22" i="3"/>
  <c r="J25" i="3"/>
  <c r="J24" i="3"/>
  <c r="H28" i="3"/>
  <c r="H25" i="3"/>
  <c r="H24" i="3"/>
  <c r="H23" i="3"/>
  <c r="H22" i="2"/>
  <c r="F27" i="1"/>
  <c r="F27" i="2" s="1"/>
  <c r="F23" i="1"/>
  <c r="F26" i="1" s="1"/>
  <c r="F22" i="1"/>
  <c r="F22" i="2" s="1"/>
  <c r="F18" i="1"/>
  <c r="K132" i="4" l="1"/>
  <c r="Q35" i="13"/>
  <c r="Q37" i="13"/>
  <c r="H36" i="15"/>
  <c r="T36" i="15" s="1"/>
  <c r="E35" i="15"/>
  <c r="O44" i="3"/>
  <c r="G63" i="15"/>
  <c r="E47" i="15"/>
  <c r="G63" i="4"/>
  <c r="X63" i="4"/>
  <c r="F34" i="2"/>
  <c r="F36" i="15" s="1"/>
  <c r="U36" i="15" s="1"/>
  <c r="O38" i="3"/>
  <c r="O33" i="1"/>
  <c r="J28" i="2"/>
  <c r="F32" i="1"/>
  <c r="F32" i="2" s="1"/>
  <c r="F34" i="4" s="1"/>
  <c r="U34" i="4" s="1"/>
  <c r="O42" i="3"/>
  <c r="F35" i="1"/>
  <c r="E37" i="4" s="1"/>
  <c r="T37" i="4" s="1"/>
  <c r="O41" i="3"/>
  <c r="Q38" i="13"/>
  <c r="O40" i="3"/>
  <c r="O39" i="3"/>
  <c r="F47" i="15"/>
  <c r="G47" i="15" s="1"/>
  <c r="Q34" i="13"/>
  <c r="H33" i="4"/>
  <c r="H33" i="15"/>
  <c r="T33" i="15" s="1"/>
  <c r="O43" i="3"/>
  <c r="F30" i="1"/>
  <c r="O30" i="1" s="1"/>
  <c r="Q36" i="13"/>
  <c r="E34" i="4"/>
  <c r="T34" i="4" s="1"/>
  <c r="E34" i="15"/>
  <c r="T34" i="15" s="1"/>
  <c r="F31" i="2"/>
  <c r="F33" i="15" s="1"/>
  <c r="F25" i="1"/>
  <c r="F25" i="2" s="1"/>
  <c r="F27" i="4" s="1"/>
  <c r="F36" i="1"/>
  <c r="O36" i="1" s="1"/>
  <c r="F33" i="2"/>
  <c r="F35" i="15" s="1"/>
  <c r="I39" i="13"/>
  <c r="F26" i="2"/>
  <c r="O26" i="2" s="1"/>
  <c r="F23" i="2"/>
  <c r="F25" i="4" s="1"/>
  <c r="F24" i="2"/>
  <c r="O24" i="2" s="1"/>
  <c r="Q33" i="13"/>
  <c r="J37" i="15"/>
  <c r="P44" i="1"/>
  <c r="E47" i="4"/>
  <c r="K47" i="4"/>
  <c r="R36" i="13"/>
  <c r="K47" i="15"/>
  <c r="L47" i="4"/>
  <c r="P33" i="15"/>
  <c r="P36" i="4"/>
  <c r="U42" i="4"/>
  <c r="U45" i="4"/>
  <c r="U41" i="15"/>
  <c r="U45" i="15"/>
  <c r="U43" i="4"/>
  <c r="U41" i="4"/>
  <c r="U44" i="4"/>
  <c r="M35" i="15"/>
  <c r="R37" i="13"/>
  <c r="M35" i="4"/>
  <c r="R35" i="13"/>
  <c r="G38" i="13"/>
  <c r="R38" i="13"/>
  <c r="P44" i="2"/>
  <c r="K36" i="13"/>
  <c r="K32" i="13"/>
  <c r="R33" i="13"/>
  <c r="N39" i="15"/>
  <c r="P37" i="15"/>
  <c r="I47" i="15"/>
  <c r="T44" i="15"/>
  <c r="F47" i="4"/>
  <c r="H47" i="4"/>
  <c r="I47" i="4"/>
  <c r="L39" i="15"/>
  <c r="U46" i="15"/>
  <c r="K33" i="13"/>
  <c r="N47" i="4"/>
  <c r="U43" i="15"/>
  <c r="U40" i="4"/>
  <c r="U46" i="4"/>
  <c r="R34" i="13"/>
  <c r="F39" i="13"/>
  <c r="K39" i="15"/>
  <c r="T40" i="4"/>
  <c r="T42" i="4"/>
  <c r="T43" i="4"/>
  <c r="T44" i="4"/>
  <c r="T45" i="4"/>
  <c r="T46" i="4"/>
  <c r="J39" i="13"/>
  <c r="G34" i="13"/>
  <c r="K37" i="13"/>
  <c r="R32" i="13"/>
  <c r="H47" i="15"/>
  <c r="Q32" i="13"/>
  <c r="E39" i="13"/>
  <c r="E32" i="15"/>
  <c r="T32" i="15" s="1"/>
  <c r="E32" i="4"/>
  <c r="T32" i="4" s="1"/>
  <c r="H38" i="4"/>
  <c r="H36" i="2"/>
  <c r="H36" i="4"/>
  <c r="T36" i="4" s="1"/>
  <c r="O34" i="1"/>
  <c r="H33" i="2"/>
  <c r="H35" i="15"/>
  <c r="I36" i="4"/>
  <c r="I33" i="15"/>
  <c r="E33" i="4"/>
  <c r="O31" i="1"/>
  <c r="J34" i="15"/>
  <c r="J32" i="4"/>
  <c r="M38" i="4"/>
  <c r="M34" i="4"/>
  <c r="P32" i="15"/>
  <c r="K39" i="4"/>
  <c r="T35" i="4"/>
  <c r="N39" i="4"/>
  <c r="O39" i="15"/>
  <c r="O39" i="4"/>
  <c r="L39" i="4"/>
  <c r="O47" i="4"/>
  <c r="T41" i="4"/>
  <c r="N47" i="15"/>
  <c r="T41" i="15"/>
  <c r="T42" i="15"/>
  <c r="T43" i="15"/>
  <c r="T45" i="15"/>
  <c r="T46" i="15"/>
  <c r="L47" i="15"/>
  <c r="U42" i="15"/>
  <c r="U44" i="15"/>
  <c r="O47" i="15"/>
  <c r="U40" i="15"/>
  <c r="T40" i="15"/>
  <c r="E24" i="15"/>
  <c r="F24" i="15"/>
  <c r="H24" i="15"/>
  <c r="I24" i="15"/>
  <c r="J24" i="15"/>
  <c r="K24" i="15"/>
  <c r="L24" i="15"/>
  <c r="M24" i="15"/>
  <c r="N24" i="15"/>
  <c r="O24" i="15"/>
  <c r="P24" i="15"/>
  <c r="E25" i="15"/>
  <c r="H25" i="15"/>
  <c r="I25" i="15"/>
  <c r="J25" i="15"/>
  <c r="K25" i="15"/>
  <c r="L25" i="15"/>
  <c r="M25" i="15"/>
  <c r="N25" i="15"/>
  <c r="O25" i="15"/>
  <c r="P25" i="15"/>
  <c r="E26" i="15"/>
  <c r="H26" i="15"/>
  <c r="I26" i="15"/>
  <c r="J26" i="15"/>
  <c r="K26" i="15"/>
  <c r="L26" i="15"/>
  <c r="M26" i="15"/>
  <c r="N26" i="15"/>
  <c r="O26" i="15"/>
  <c r="P26" i="15"/>
  <c r="H27" i="15"/>
  <c r="I27" i="15"/>
  <c r="J27" i="15"/>
  <c r="K27" i="15"/>
  <c r="L27" i="15"/>
  <c r="M27" i="15"/>
  <c r="N27" i="15"/>
  <c r="O27" i="15"/>
  <c r="P27" i="15"/>
  <c r="E28" i="15"/>
  <c r="H28" i="15"/>
  <c r="I28" i="15"/>
  <c r="J28" i="15"/>
  <c r="K28" i="15"/>
  <c r="L28" i="15"/>
  <c r="M28" i="15"/>
  <c r="N28" i="15"/>
  <c r="O28" i="15"/>
  <c r="P28" i="15"/>
  <c r="E29" i="15"/>
  <c r="F29" i="15"/>
  <c r="H29" i="15"/>
  <c r="I29" i="15"/>
  <c r="J29" i="15"/>
  <c r="K29" i="15"/>
  <c r="L29" i="15"/>
  <c r="M29" i="15"/>
  <c r="N29" i="15"/>
  <c r="O29" i="15"/>
  <c r="P29" i="15"/>
  <c r="E30" i="15"/>
  <c r="F30" i="15"/>
  <c r="H30" i="15"/>
  <c r="I30" i="15"/>
  <c r="J30" i="15"/>
  <c r="K30" i="15"/>
  <c r="M30" i="15"/>
  <c r="N30" i="15"/>
  <c r="O30" i="15"/>
  <c r="P30" i="15"/>
  <c r="K30" i="13"/>
  <c r="J30" i="13"/>
  <c r="I30" i="13"/>
  <c r="G30" i="13"/>
  <c r="E30" i="13"/>
  <c r="K29" i="13"/>
  <c r="J29" i="13"/>
  <c r="I29" i="13"/>
  <c r="G29" i="13"/>
  <c r="F29" i="13"/>
  <c r="E29" i="13"/>
  <c r="K28" i="13"/>
  <c r="J28" i="13"/>
  <c r="I28" i="13"/>
  <c r="G28" i="13"/>
  <c r="F28" i="13"/>
  <c r="E28" i="13"/>
  <c r="K27" i="13"/>
  <c r="J27" i="13"/>
  <c r="I27" i="13"/>
  <c r="G27" i="13"/>
  <c r="F27" i="13"/>
  <c r="E27" i="13"/>
  <c r="K26" i="13"/>
  <c r="J26" i="13"/>
  <c r="I26" i="13"/>
  <c r="G26" i="13"/>
  <c r="F26" i="13"/>
  <c r="E26" i="13"/>
  <c r="K25" i="13"/>
  <c r="J25" i="13"/>
  <c r="I25" i="13"/>
  <c r="G25" i="13"/>
  <c r="F25" i="13"/>
  <c r="E25" i="13"/>
  <c r="K24" i="13"/>
  <c r="J24" i="13"/>
  <c r="I24" i="13"/>
  <c r="G24" i="13"/>
  <c r="F24" i="13"/>
  <c r="E24" i="13"/>
  <c r="P30" i="4"/>
  <c r="O30" i="4"/>
  <c r="N30" i="4"/>
  <c r="M30" i="4"/>
  <c r="K30" i="4"/>
  <c r="J30" i="4"/>
  <c r="I30" i="4"/>
  <c r="H30" i="4"/>
  <c r="F30" i="4"/>
  <c r="E30" i="4"/>
  <c r="P29" i="4"/>
  <c r="O29" i="4"/>
  <c r="N29" i="4"/>
  <c r="M29" i="4"/>
  <c r="L29" i="4"/>
  <c r="K29" i="4"/>
  <c r="J29" i="4"/>
  <c r="I29" i="4"/>
  <c r="H29" i="4"/>
  <c r="F29" i="4"/>
  <c r="E29" i="4"/>
  <c r="P28" i="4"/>
  <c r="O28" i="4"/>
  <c r="N28" i="4"/>
  <c r="M28" i="4"/>
  <c r="L28" i="4"/>
  <c r="K28" i="4"/>
  <c r="J28" i="4"/>
  <c r="I28" i="4"/>
  <c r="H28" i="4"/>
  <c r="E28" i="4"/>
  <c r="P27" i="4"/>
  <c r="O27" i="4"/>
  <c r="N27" i="4"/>
  <c r="M27" i="4"/>
  <c r="L27" i="4"/>
  <c r="K27" i="4"/>
  <c r="J27" i="4"/>
  <c r="I27" i="4"/>
  <c r="H27" i="4"/>
  <c r="P26" i="4"/>
  <c r="O26" i="4"/>
  <c r="N26" i="4"/>
  <c r="M26" i="4"/>
  <c r="L26" i="4"/>
  <c r="K26" i="4"/>
  <c r="J26" i="4"/>
  <c r="I26" i="4"/>
  <c r="H26" i="4"/>
  <c r="E26" i="4"/>
  <c r="P25" i="4"/>
  <c r="O25" i="4"/>
  <c r="N25" i="4"/>
  <c r="M25" i="4"/>
  <c r="L25" i="4"/>
  <c r="K25" i="4"/>
  <c r="J25" i="4"/>
  <c r="I25" i="4"/>
  <c r="H25" i="4"/>
  <c r="E25" i="4"/>
  <c r="P24" i="4"/>
  <c r="O24" i="4"/>
  <c r="N24" i="4"/>
  <c r="M24" i="4"/>
  <c r="L24" i="4"/>
  <c r="K24" i="4"/>
  <c r="J24" i="4"/>
  <c r="I24" i="4"/>
  <c r="H24" i="4"/>
  <c r="F24" i="4"/>
  <c r="E24" i="4"/>
  <c r="O22" i="2"/>
  <c r="O27" i="2"/>
  <c r="O22" i="1"/>
  <c r="O23" i="1"/>
  <c r="O24" i="1"/>
  <c r="O26" i="1"/>
  <c r="O27" i="1"/>
  <c r="O28" i="1"/>
  <c r="E27" i="4" l="1"/>
  <c r="T27" i="4" s="1"/>
  <c r="T35" i="15"/>
  <c r="T39" i="13"/>
  <c r="L30" i="15"/>
  <c r="U30" i="15" s="1"/>
  <c r="F36" i="4"/>
  <c r="U36" i="4" s="1"/>
  <c r="O34" i="2"/>
  <c r="O34" i="3" s="1"/>
  <c r="F30" i="13"/>
  <c r="F31" i="13" s="1"/>
  <c r="F28" i="15"/>
  <c r="U28" i="15" s="1"/>
  <c r="F30" i="2"/>
  <c r="O30" i="2" s="1"/>
  <c r="O30" i="3" s="1"/>
  <c r="O28" i="2"/>
  <c r="O28" i="3" s="1"/>
  <c r="F28" i="4"/>
  <c r="U28" i="4" s="1"/>
  <c r="O23" i="2"/>
  <c r="O23" i="3" s="1"/>
  <c r="L30" i="4"/>
  <c r="L31" i="4" s="1"/>
  <c r="F25" i="15"/>
  <c r="U25" i="15" s="1"/>
  <c r="F26" i="15"/>
  <c r="U26" i="15" s="1"/>
  <c r="K39" i="13"/>
  <c r="T33" i="4"/>
  <c r="O32" i="2"/>
  <c r="F26" i="4"/>
  <c r="F34" i="15"/>
  <c r="U34" i="15" s="1"/>
  <c r="E37" i="15"/>
  <c r="T37" i="15" s="1"/>
  <c r="O35" i="1"/>
  <c r="F35" i="2"/>
  <c r="O32" i="1"/>
  <c r="P36" i="1" s="1"/>
  <c r="Q39" i="13"/>
  <c r="F27" i="15"/>
  <c r="O25" i="2"/>
  <c r="E27" i="15"/>
  <c r="E31" i="15" s="1"/>
  <c r="O31" i="2"/>
  <c r="O31" i="3" s="1"/>
  <c r="F33" i="4"/>
  <c r="U33" i="4" s="1"/>
  <c r="O25" i="1"/>
  <c r="P28" i="1" s="1"/>
  <c r="F35" i="4"/>
  <c r="O33" i="2"/>
  <c r="O33" i="3" s="1"/>
  <c r="E38" i="4"/>
  <c r="T38" i="4" s="1"/>
  <c r="E38" i="15"/>
  <c r="T38" i="15" s="1"/>
  <c r="F36" i="2"/>
  <c r="O36" i="2" s="1"/>
  <c r="O36" i="3" s="1"/>
  <c r="T47" i="4"/>
  <c r="G47" i="4"/>
  <c r="M47" i="4"/>
  <c r="M47" i="15"/>
  <c r="U39" i="13"/>
  <c r="U47" i="4"/>
  <c r="H39" i="15"/>
  <c r="J47" i="15"/>
  <c r="R39" i="13"/>
  <c r="J47" i="4"/>
  <c r="W47" i="4"/>
  <c r="X47" i="15"/>
  <c r="W47" i="15"/>
  <c r="U47" i="15"/>
  <c r="U33" i="15"/>
  <c r="T47" i="15"/>
  <c r="G39" i="13"/>
  <c r="I38" i="15"/>
  <c r="I38" i="4"/>
  <c r="H39" i="4"/>
  <c r="I35" i="15"/>
  <c r="U35" i="15" s="1"/>
  <c r="I35" i="4"/>
  <c r="P39" i="4"/>
  <c r="P39" i="15"/>
  <c r="M39" i="4"/>
  <c r="X47" i="4"/>
  <c r="P47" i="4"/>
  <c r="P47" i="15"/>
  <c r="M39" i="15"/>
  <c r="Q25" i="13"/>
  <c r="Q27" i="13"/>
  <c r="Q26" i="13"/>
  <c r="Q30" i="13"/>
  <c r="Q24" i="13"/>
  <c r="Q28" i="13"/>
  <c r="R25" i="13"/>
  <c r="R26" i="13"/>
  <c r="R28" i="13"/>
  <c r="T26" i="4"/>
  <c r="U29" i="15"/>
  <c r="U24" i="4"/>
  <c r="K31" i="4"/>
  <c r="U27" i="4"/>
  <c r="R29" i="13"/>
  <c r="T28" i="4"/>
  <c r="T25" i="15"/>
  <c r="J31" i="13"/>
  <c r="T24" i="15"/>
  <c r="U25" i="4"/>
  <c r="O22" i="3"/>
  <c r="T30" i="15"/>
  <c r="O26" i="3"/>
  <c r="T30" i="4"/>
  <c r="T29" i="4"/>
  <c r="Q29" i="13"/>
  <c r="O27" i="3"/>
  <c r="N31" i="15"/>
  <c r="I31" i="13"/>
  <c r="H31" i="15"/>
  <c r="T26" i="15"/>
  <c r="O24" i="3"/>
  <c r="H31" i="4"/>
  <c r="T25" i="4"/>
  <c r="R27" i="13"/>
  <c r="U29" i="4"/>
  <c r="O31" i="15"/>
  <c r="I31" i="15"/>
  <c r="I31" i="4"/>
  <c r="T29" i="15"/>
  <c r="K31" i="15"/>
  <c r="T28" i="15"/>
  <c r="U24" i="15"/>
  <c r="R24" i="13"/>
  <c r="E31" i="13"/>
  <c r="T24" i="4"/>
  <c r="N31" i="4"/>
  <c r="O31" i="4"/>
  <c r="E31" i="4" l="1"/>
  <c r="W31" i="4" s="1"/>
  <c r="L31" i="15"/>
  <c r="M31" i="15" s="1"/>
  <c r="R30" i="13"/>
  <c r="R31" i="13" s="1"/>
  <c r="F32" i="4"/>
  <c r="U32" i="4" s="1"/>
  <c r="T27" i="15"/>
  <c r="T31" i="15" s="1"/>
  <c r="U30" i="4"/>
  <c r="F32" i="15"/>
  <c r="U32" i="15" s="1"/>
  <c r="F31" i="4"/>
  <c r="U26" i="4"/>
  <c r="P28" i="2"/>
  <c r="O32" i="3"/>
  <c r="F31" i="15"/>
  <c r="G31" i="15" s="1"/>
  <c r="T39" i="4"/>
  <c r="T39" i="15"/>
  <c r="O35" i="2"/>
  <c r="O35" i="3" s="1"/>
  <c r="F37" i="4"/>
  <c r="U37" i="4" s="1"/>
  <c r="F37" i="15"/>
  <c r="U37" i="15" s="1"/>
  <c r="O25" i="3"/>
  <c r="K31" i="13"/>
  <c r="Q31" i="13"/>
  <c r="U27" i="15"/>
  <c r="U31" i="15" s="1"/>
  <c r="E39" i="4"/>
  <c r="W39" i="4" s="1"/>
  <c r="F38" i="15"/>
  <c r="F38" i="4"/>
  <c r="U38" i="4" s="1"/>
  <c r="E39" i="15"/>
  <c r="I39" i="15"/>
  <c r="U35" i="4"/>
  <c r="I39" i="4"/>
  <c r="M31" i="4"/>
  <c r="W31" i="15"/>
  <c r="J31" i="15"/>
  <c r="P31" i="15"/>
  <c r="T31" i="13"/>
  <c r="T31" i="4"/>
  <c r="G31" i="13"/>
  <c r="U31" i="13"/>
  <c r="J31" i="4"/>
  <c r="P31" i="4"/>
  <c r="G31" i="4" l="1"/>
  <c r="U31" i="4"/>
  <c r="X31" i="4"/>
  <c r="X31" i="15"/>
  <c r="F39" i="15"/>
  <c r="X39" i="15" s="1"/>
  <c r="P36" i="2"/>
  <c r="U38" i="15"/>
  <c r="U39" i="15" s="1"/>
  <c r="F39" i="4"/>
  <c r="G39" i="4" s="1"/>
  <c r="U39" i="4"/>
  <c r="W39" i="15"/>
  <c r="J39" i="15"/>
  <c r="J39" i="4"/>
  <c r="H20" i="3"/>
  <c r="J22" i="4" s="1"/>
  <c r="H18" i="3"/>
  <c r="J20" i="4" s="1"/>
  <c r="H17" i="3"/>
  <c r="J19" i="4" s="1"/>
  <c r="J18" i="15"/>
  <c r="H19" i="1"/>
  <c r="H19" i="2" s="1"/>
  <c r="H16" i="1"/>
  <c r="H16" i="2" s="1"/>
  <c r="I18" i="4" s="1"/>
  <c r="F19" i="1"/>
  <c r="F16" i="1"/>
  <c r="F17" i="1" s="1"/>
  <c r="O18" i="1"/>
  <c r="E18" i="4"/>
  <c r="F16" i="2"/>
  <c r="F18" i="15" s="1"/>
  <c r="J19" i="3"/>
  <c r="M21" i="4" s="1"/>
  <c r="J18" i="3"/>
  <c r="M20" i="4" s="1"/>
  <c r="L20" i="3"/>
  <c r="P22" i="15" s="1"/>
  <c r="L17" i="3"/>
  <c r="P19" i="4" s="1"/>
  <c r="L16" i="3"/>
  <c r="P18" i="4" s="1"/>
  <c r="J22" i="13"/>
  <c r="I22" i="13"/>
  <c r="G22" i="13"/>
  <c r="F22" i="13"/>
  <c r="E22" i="13"/>
  <c r="K21" i="13"/>
  <c r="J21" i="13"/>
  <c r="I21" i="13"/>
  <c r="F21" i="13"/>
  <c r="E21" i="13"/>
  <c r="K20" i="13"/>
  <c r="J20" i="13"/>
  <c r="I20" i="13"/>
  <c r="F20" i="13"/>
  <c r="E20" i="13"/>
  <c r="J19" i="13"/>
  <c r="I19" i="13"/>
  <c r="G19" i="13"/>
  <c r="F19" i="13"/>
  <c r="E19" i="13"/>
  <c r="J18" i="13"/>
  <c r="I18" i="13"/>
  <c r="G18" i="13"/>
  <c r="F18" i="13"/>
  <c r="E18" i="13"/>
  <c r="O22" i="4"/>
  <c r="N22" i="4"/>
  <c r="M22" i="4"/>
  <c r="L22" i="4"/>
  <c r="K22" i="4"/>
  <c r="I22" i="4"/>
  <c r="H22" i="4"/>
  <c r="G22" i="4"/>
  <c r="P21" i="4"/>
  <c r="O21" i="4"/>
  <c r="N21" i="4"/>
  <c r="L21" i="4"/>
  <c r="K21" i="4"/>
  <c r="J21" i="4"/>
  <c r="G21" i="4"/>
  <c r="P20" i="4"/>
  <c r="O20" i="4"/>
  <c r="N20" i="4"/>
  <c r="L20" i="4"/>
  <c r="K20" i="4"/>
  <c r="I20" i="4"/>
  <c r="H20" i="4"/>
  <c r="G20" i="4"/>
  <c r="E20" i="4"/>
  <c r="O19" i="4"/>
  <c r="N19" i="4"/>
  <c r="M19" i="4"/>
  <c r="L19" i="4"/>
  <c r="K19" i="4"/>
  <c r="I19" i="4"/>
  <c r="H19" i="4"/>
  <c r="G19" i="4"/>
  <c r="O18" i="4"/>
  <c r="N18" i="4"/>
  <c r="M18" i="4"/>
  <c r="L18" i="4"/>
  <c r="K18" i="4"/>
  <c r="J11" i="15"/>
  <c r="J14" i="15"/>
  <c r="J15" i="15"/>
  <c r="J16" i="15"/>
  <c r="O22" i="15"/>
  <c r="N22" i="15"/>
  <c r="M22" i="15"/>
  <c r="L22" i="15"/>
  <c r="K22" i="15"/>
  <c r="I22" i="15"/>
  <c r="H22" i="15"/>
  <c r="G22" i="15"/>
  <c r="P21" i="15"/>
  <c r="O21" i="15"/>
  <c r="N21" i="15"/>
  <c r="L21" i="15"/>
  <c r="K21" i="15"/>
  <c r="J21" i="15"/>
  <c r="G21" i="15"/>
  <c r="P20" i="15"/>
  <c r="O20" i="15"/>
  <c r="N20" i="15"/>
  <c r="L20" i="15"/>
  <c r="K20" i="15"/>
  <c r="I20" i="15"/>
  <c r="H20" i="15"/>
  <c r="G20" i="15"/>
  <c r="E20" i="15"/>
  <c r="O19" i="15"/>
  <c r="N19" i="15"/>
  <c r="M19" i="15"/>
  <c r="L19" i="15"/>
  <c r="K19" i="15"/>
  <c r="I19" i="15"/>
  <c r="H19" i="15"/>
  <c r="G19" i="15"/>
  <c r="O18" i="15"/>
  <c r="N18" i="15"/>
  <c r="M18" i="15"/>
  <c r="L18" i="15"/>
  <c r="K18" i="15"/>
  <c r="J11" i="4"/>
  <c r="J14" i="4"/>
  <c r="J15" i="4"/>
  <c r="J16" i="4"/>
  <c r="G12" i="4"/>
  <c r="G13" i="4"/>
  <c r="G14" i="4"/>
  <c r="G15" i="4"/>
  <c r="G16" i="4"/>
  <c r="G10" i="4"/>
  <c r="K23" i="4" l="1"/>
  <c r="G39" i="15"/>
  <c r="X39" i="4"/>
  <c r="Q18" i="13"/>
  <c r="H21" i="15"/>
  <c r="Q19" i="13"/>
  <c r="H18" i="4"/>
  <c r="T18" i="4" s="1"/>
  <c r="Q20" i="13"/>
  <c r="Q21" i="13"/>
  <c r="Q22" i="13"/>
  <c r="J20" i="15"/>
  <c r="E21" i="15"/>
  <c r="F19" i="2"/>
  <c r="O19" i="2" s="1"/>
  <c r="E21" i="4"/>
  <c r="F17" i="2"/>
  <c r="O17" i="2" s="1"/>
  <c r="E19" i="4"/>
  <c r="T19" i="4" s="1"/>
  <c r="H21" i="4"/>
  <c r="F18" i="2"/>
  <c r="F20" i="15" s="1"/>
  <c r="U20" i="15" s="1"/>
  <c r="F20" i="1"/>
  <c r="E22" i="15" s="1"/>
  <c r="T22" i="15" s="1"/>
  <c r="E18" i="15"/>
  <c r="R19" i="13"/>
  <c r="R20" i="13"/>
  <c r="P18" i="15"/>
  <c r="R18" i="13"/>
  <c r="J22" i="15"/>
  <c r="K19" i="13"/>
  <c r="F16" i="3"/>
  <c r="I18" i="15"/>
  <c r="U18" i="15" s="1"/>
  <c r="L23" i="15"/>
  <c r="F18" i="4"/>
  <c r="U18" i="4" s="1"/>
  <c r="T20" i="15"/>
  <c r="R22" i="13"/>
  <c r="O16" i="2"/>
  <c r="R21" i="13"/>
  <c r="I21" i="15"/>
  <c r="I21" i="4"/>
  <c r="I23" i="4" s="1"/>
  <c r="J19" i="15"/>
  <c r="J18" i="4"/>
  <c r="O19" i="1"/>
  <c r="E19" i="15"/>
  <c r="T19" i="15" s="1"/>
  <c r="O17" i="1"/>
  <c r="H18" i="15"/>
  <c r="O16" i="1"/>
  <c r="N23" i="15"/>
  <c r="K23" i="15"/>
  <c r="E23" i="13"/>
  <c r="T20" i="4"/>
  <c r="I23" i="13"/>
  <c r="N23" i="4"/>
  <c r="P19" i="15"/>
  <c r="O23" i="4"/>
  <c r="J23" i="13"/>
  <c r="G20" i="13"/>
  <c r="L23" i="4"/>
  <c r="F23" i="13"/>
  <c r="O23" i="15"/>
  <c r="G21" i="13"/>
  <c r="M21" i="15"/>
  <c r="M20" i="15"/>
  <c r="K22" i="13"/>
  <c r="P22" i="4"/>
  <c r="K18" i="13"/>
  <c r="G13" i="13"/>
  <c r="G14" i="13"/>
  <c r="G10" i="13"/>
  <c r="K11" i="13"/>
  <c r="K12" i="13"/>
  <c r="K15" i="13"/>
  <c r="K16" i="13"/>
  <c r="M13" i="15"/>
  <c r="M14" i="15"/>
  <c r="M10" i="15"/>
  <c r="M13" i="4"/>
  <c r="M14" i="4"/>
  <c r="M10" i="4"/>
  <c r="H8" i="3"/>
  <c r="H12" i="1"/>
  <c r="H12" i="2" s="1"/>
  <c r="H14" i="1"/>
  <c r="H14" i="2" s="1"/>
  <c r="H13" i="1"/>
  <c r="H13" i="2" s="1"/>
  <c r="H9" i="1"/>
  <c r="H9" i="2" s="1"/>
  <c r="P23" i="4" l="1"/>
  <c r="M23" i="4"/>
  <c r="H23" i="15"/>
  <c r="Q23" i="13"/>
  <c r="T21" i="15"/>
  <c r="T21" i="4"/>
  <c r="O20" i="1"/>
  <c r="P20" i="1" s="1"/>
  <c r="F19" i="15"/>
  <c r="U19" i="15" s="1"/>
  <c r="F19" i="4"/>
  <c r="U19" i="4" s="1"/>
  <c r="H23" i="4"/>
  <c r="J23" i="4" s="1"/>
  <c r="O18" i="2"/>
  <c r="O18" i="3" s="1"/>
  <c r="M23" i="15"/>
  <c r="F20" i="2"/>
  <c r="E22" i="4"/>
  <c r="F20" i="4"/>
  <c r="U20" i="4" s="1"/>
  <c r="F21" i="4"/>
  <c r="U21" i="4" s="1"/>
  <c r="F21" i="15"/>
  <c r="U21" i="15" s="1"/>
  <c r="T18" i="15"/>
  <c r="R23" i="13"/>
  <c r="O16" i="3"/>
  <c r="G18" i="4"/>
  <c r="G18" i="15"/>
  <c r="J10" i="4"/>
  <c r="J10" i="15"/>
  <c r="I23" i="15"/>
  <c r="O19" i="3"/>
  <c r="O17" i="3"/>
  <c r="E23" i="15"/>
  <c r="T23" i="13"/>
  <c r="K23" i="13"/>
  <c r="U23" i="13"/>
  <c r="G23" i="13"/>
  <c r="P23" i="15"/>
  <c r="F12" i="1"/>
  <c r="F12" i="2" s="1"/>
  <c r="F11" i="1"/>
  <c r="F9" i="1"/>
  <c r="T23" i="15" l="1"/>
  <c r="T22" i="4"/>
  <c r="T23" i="4" s="1"/>
  <c r="E23" i="4"/>
  <c r="W23" i="4" s="1"/>
  <c r="F22" i="4"/>
  <c r="U22" i="4" s="1"/>
  <c r="U23" i="4" s="1"/>
  <c r="O20" i="2"/>
  <c r="P20" i="2" s="1"/>
  <c r="F22" i="15"/>
  <c r="U22" i="15" s="1"/>
  <c r="U23" i="15" s="1"/>
  <c r="J23" i="15"/>
  <c r="W23" i="15"/>
  <c r="F14" i="1"/>
  <c r="F14" i="2" s="1"/>
  <c r="O14" i="2" s="1"/>
  <c r="F10" i="1"/>
  <c r="F10" i="2" s="1"/>
  <c r="F12" i="15" s="1"/>
  <c r="F13" i="1"/>
  <c r="F13" i="2" s="1"/>
  <c r="F15" i="4" s="1"/>
  <c r="F8" i="1"/>
  <c r="F8" i="2" s="1"/>
  <c r="F10" i="4" s="1"/>
  <c r="F11" i="2"/>
  <c r="F13" i="4" s="1"/>
  <c r="H11" i="3"/>
  <c r="H10" i="3"/>
  <c r="J14" i="3"/>
  <c r="J13" i="3"/>
  <c r="J10" i="3"/>
  <c r="J9" i="3"/>
  <c r="L12" i="3"/>
  <c r="L11" i="3"/>
  <c r="K13" i="13" s="1"/>
  <c r="L8" i="3"/>
  <c r="K10" i="13" s="1"/>
  <c r="F9" i="2"/>
  <c r="F11" i="4" s="1"/>
  <c r="E11" i="15"/>
  <c r="J11" i="13"/>
  <c r="J12" i="13"/>
  <c r="J13" i="13"/>
  <c r="J14" i="13"/>
  <c r="J15" i="13"/>
  <c r="J16" i="13"/>
  <c r="I11" i="13"/>
  <c r="I12" i="13"/>
  <c r="I13" i="13"/>
  <c r="I14" i="13"/>
  <c r="I15" i="13"/>
  <c r="I16" i="13"/>
  <c r="F11" i="13"/>
  <c r="F12" i="13"/>
  <c r="F13" i="13"/>
  <c r="F14" i="13"/>
  <c r="F15" i="13"/>
  <c r="F16" i="13"/>
  <c r="E11" i="13"/>
  <c r="E12" i="13"/>
  <c r="E13" i="13"/>
  <c r="E14" i="13"/>
  <c r="E15" i="13"/>
  <c r="E16" i="13"/>
  <c r="K5" i="13"/>
  <c r="K6" i="13"/>
  <c r="J5" i="13"/>
  <c r="J6" i="13"/>
  <c r="J7" i="13"/>
  <c r="J8" i="13"/>
  <c r="I5" i="13"/>
  <c r="I6" i="13"/>
  <c r="I7" i="13"/>
  <c r="I8" i="13"/>
  <c r="G7" i="13"/>
  <c r="G8" i="13"/>
  <c r="F5" i="13"/>
  <c r="F6" i="13"/>
  <c r="F7" i="13"/>
  <c r="F8" i="13"/>
  <c r="E5" i="13"/>
  <c r="E6" i="13"/>
  <c r="E7" i="13"/>
  <c r="E8" i="13"/>
  <c r="P16" i="4"/>
  <c r="O16" i="4"/>
  <c r="N16" i="4"/>
  <c r="L16" i="4"/>
  <c r="K16" i="4"/>
  <c r="I16" i="4"/>
  <c r="H16" i="4"/>
  <c r="P15" i="4"/>
  <c r="O15" i="4"/>
  <c r="N15" i="4"/>
  <c r="L15" i="4"/>
  <c r="K15" i="4"/>
  <c r="I15" i="4"/>
  <c r="H15" i="4"/>
  <c r="O14" i="4"/>
  <c r="N14" i="4"/>
  <c r="L14" i="4"/>
  <c r="K14" i="4"/>
  <c r="I14" i="4"/>
  <c r="H14" i="4"/>
  <c r="F14" i="4"/>
  <c r="E14" i="4"/>
  <c r="O13" i="4"/>
  <c r="N13" i="4"/>
  <c r="L13" i="4"/>
  <c r="K13" i="4"/>
  <c r="I13" i="4"/>
  <c r="H13" i="4"/>
  <c r="E13" i="4"/>
  <c r="P12" i="4"/>
  <c r="O12" i="4"/>
  <c r="N12" i="4"/>
  <c r="L12" i="4"/>
  <c r="K12" i="4"/>
  <c r="I12" i="4"/>
  <c r="H12" i="4"/>
  <c r="P11" i="4"/>
  <c r="O11" i="4"/>
  <c r="N11" i="4"/>
  <c r="L11" i="4"/>
  <c r="K11" i="4"/>
  <c r="I11" i="4"/>
  <c r="H11" i="4"/>
  <c r="E11" i="4"/>
  <c r="O10" i="4"/>
  <c r="N10" i="4"/>
  <c r="L10" i="4"/>
  <c r="K10" i="4"/>
  <c r="I10" i="4"/>
  <c r="H10" i="4"/>
  <c r="O8" i="4"/>
  <c r="N8" i="4"/>
  <c r="M8" i="4"/>
  <c r="L8" i="4"/>
  <c r="K8" i="4"/>
  <c r="I8" i="4"/>
  <c r="H8" i="4"/>
  <c r="G8" i="4"/>
  <c r="O7" i="4"/>
  <c r="N7" i="4"/>
  <c r="M7" i="4"/>
  <c r="L7" i="4"/>
  <c r="K7" i="4"/>
  <c r="J7" i="4"/>
  <c r="G7" i="4"/>
  <c r="P6" i="4"/>
  <c r="O6" i="4"/>
  <c r="N6" i="4"/>
  <c r="L6" i="4"/>
  <c r="K6" i="4"/>
  <c r="I6" i="4"/>
  <c r="H6" i="4"/>
  <c r="G6" i="4"/>
  <c r="P5" i="4"/>
  <c r="O5" i="4"/>
  <c r="N5" i="4"/>
  <c r="L5" i="4"/>
  <c r="K5" i="4"/>
  <c r="J5" i="4"/>
  <c r="G5" i="4"/>
  <c r="O4" i="4"/>
  <c r="N4" i="4"/>
  <c r="M4" i="4"/>
  <c r="L4" i="4"/>
  <c r="K4" i="4"/>
  <c r="I4" i="4"/>
  <c r="H4" i="4"/>
  <c r="L6" i="3"/>
  <c r="P8" i="15" s="1"/>
  <c r="L5" i="3"/>
  <c r="P7" i="4" s="1"/>
  <c r="J4" i="3"/>
  <c r="M6" i="15" s="1"/>
  <c r="J3" i="3"/>
  <c r="M5" i="15" s="1"/>
  <c r="L2" i="3"/>
  <c r="P4" i="4" s="1"/>
  <c r="H6" i="3"/>
  <c r="J8" i="15" s="1"/>
  <c r="F2" i="2"/>
  <c r="H3" i="1"/>
  <c r="H5" i="1"/>
  <c r="H7" i="4" s="1"/>
  <c r="F6" i="1"/>
  <c r="E8" i="15" s="1"/>
  <c r="F2" i="1"/>
  <c r="F3" i="1"/>
  <c r="E5" i="15" s="1"/>
  <c r="P11" i="15"/>
  <c r="P12" i="15"/>
  <c r="P15" i="15"/>
  <c r="P16" i="15"/>
  <c r="O11" i="15"/>
  <c r="O12" i="15"/>
  <c r="O13" i="15"/>
  <c r="O14" i="15"/>
  <c r="O15" i="15"/>
  <c r="O16" i="15"/>
  <c r="N11" i="15"/>
  <c r="N12" i="15"/>
  <c r="N13" i="15"/>
  <c r="N14" i="15"/>
  <c r="N15" i="15"/>
  <c r="N16" i="15"/>
  <c r="L11" i="15"/>
  <c r="L12" i="15"/>
  <c r="L13" i="15"/>
  <c r="L14" i="15"/>
  <c r="L15" i="15"/>
  <c r="L16" i="15"/>
  <c r="K11" i="15"/>
  <c r="K12" i="15"/>
  <c r="K13" i="15"/>
  <c r="K14" i="15"/>
  <c r="K15" i="15"/>
  <c r="K16" i="15"/>
  <c r="I11" i="15"/>
  <c r="I12" i="15"/>
  <c r="I13" i="15"/>
  <c r="I14" i="15"/>
  <c r="I15" i="15"/>
  <c r="I16" i="15"/>
  <c r="H11" i="15"/>
  <c r="H12" i="15"/>
  <c r="H13" i="15"/>
  <c r="H14" i="15"/>
  <c r="H15" i="15"/>
  <c r="H16" i="15"/>
  <c r="G11" i="15"/>
  <c r="G13" i="15"/>
  <c r="G14" i="15"/>
  <c r="G15" i="15"/>
  <c r="G16" i="15"/>
  <c r="F14" i="15"/>
  <c r="E13" i="15"/>
  <c r="E14" i="15"/>
  <c r="P5" i="15"/>
  <c r="P6" i="15"/>
  <c r="O5" i="15"/>
  <c r="O6" i="15"/>
  <c r="O7" i="15"/>
  <c r="O8" i="15"/>
  <c r="N5" i="15"/>
  <c r="N6" i="15"/>
  <c r="N7" i="15"/>
  <c r="N8" i="15"/>
  <c r="M7" i="15"/>
  <c r="M8" i="15"/>
  <c r="L5" i="15"/>
  <c r="L6" i="15"/>
  <c r="L7" i="15"/>
  <c r="L8" i="15"/>
  <c r="K5" i="15"/>
  <c r="K6" i="15"/>
  <c r="K7" i="15"/>
  <c r="K8" i="15"/>
  <c r="J7" i="15"/>
  <c r="I6" i="15"/>
  <c r="I8" i="15"/>
  <c r="H6" i="15"/>
  <c r="H8" i="15"/>
  <c r="G5" i="15"/>
  <c r="G6" i="15"/>
  <c r="G7" i="15"/>
  <c r="G8" i="15"/>
  <c r="B9" i="5"/>
  <c r="H132" i="4" l="1"/>
  <c r="E12" i="4"/>
  <c r="T12" i="4" s="1"/>
  <c r="H7" i="15"/>
  <c r="O14" i="1"/>
  <c r="Q12" i="13"/>
  <c r="E15" i="4"/>
  <c r="T15" i="4" s="1"/>
  <c r="E16" i="15"/>
  <c r="T16" i="15" s="1"/>
  <c r="E12" i="15"/>
  <c r="T12" i="15" s="1"/>
  <c r="E4" i="4"/>
  <c r="T4" i="4" s="1"/>
  <c r="F16" i="4"/>
  <c r="U16" i="4" s="1"/>
  <c r="F6" i="2"/>
  <c r="O6" i="2" s="1"/>
  <c r="E8" i="4"/>
  <c r="T8" i="4" s="1"/>
  <c r="O20" i="3"/>
  <c r="F23" i="4"/>
  <c r="F23" i="15"/>
  <c r="R12" i="13"/>
  <c r="F12" i="4"/>
  <c r="U12" i="4" s="1"/>
  <c r="F2" i="3"/>
  <c r="G4" i="4" s="1"/>
  <c r="J12" i="4"/>
  <c r="J12" i="15"/>
  <c r="J13" i="4"/>
  <c r="J13" i="15"/>
  <c r="Q6" i="13"/>
  <c r="F16" i="15"/>
  <c r="U16" i="15" s="1"/>
  <c r="F5" i="1"/>
  <c r="E7" i="4" s="1"/>
  <c r="T7" i="4" s="1"/>
  <c r="E5" i="4"/>
  <c r="E10" i="4"/>
  <c r="F13" i="15"/>
  <c r="U13" i="15" s="1"/>
  <c r="F4" i="1"/>
  <c r="E6" i="4" s="1"/>
  <c r="T6" i="4" s="1"/>
  <c r="F15" i="15"/>
  <c r="U15" i="15" s="1"/>
  <c r="O13" i="2"/>
  <c r="O6" i="1"/>
  <c r="E15" i="15"/>
  <c r="T15" i="15" s="1"/>
  <c r="H5" i="15"/>
  <c r="T5" i="15" s="1"/>
  <c r="P13" i="15"/>
  <c r="H5" i="4"/>
  <c r="H9" i="4" s="1"/>
  <c r="E16" i="4"/>
  <c r="T16" i="4" s="1"/>
  <c r="Q13" i="13"/>
  <c r="O13" i="1"/>
  <c r="T13" i="15"/>
  <c r="R13" i="13"/>
  <c r="P13" i="4"/>
  <c r="R6" i="13"/>
  <c r="N9" i="4"/>
  <c r="L9" i="4"/>
  <c r="K8" i="13"/>
  <c r="K7" i="13"/>
  <c r="F4" i="4"/>
  <c r="U4" i="4" s="1"/>
  <c r="P8" i="4"/>
  <c r="K9" i="4"/>
  <c r="J8" i="4"/>
  <c r="L17" i="4"/>
  <c r="G5" i="13"/>
  <c r="G6" i="13"/>
  <c r="M5" i="4"/>
  <c r="M6" i="4"/>
  <c r="N17" i="4"/>
  <c r="P14" i="4"/>
  <c r="K14" i="13"/>
  <c r="O9" i="4"/>
  <c r="G11" i="13"/>
  <c r="M11" i="15"/>
  <c r="M11" i="4"/>
  <c r="G12" i="13"/>
  <c r="M12" i="15"/>
  <c r="M12" i="4"/>
  <c r="M15" i="4"/>
  <c r="G15" i="13"/>
  <c r="M15" i="15"/>
  <c r="M16" i="4"/>
  <c r="G16" i="13"/>
  <c r="M16" i="15"/>
  <c r="U12" i="15"/>
  <c r="F9" i="3"/>
  <c r="U11" i="4"/>
  <c r="U14" i="15"/>
  <c r="O14" i="3"/>
  <c r="T11" i="15"/>
  <c r="T14" i="15"/>
  <c r="T14" i="4"/>
  <c r="P10" i="4"/>
  <c r="P10" i="15"/>
  <c r="U15" i="4"/>
  <c r="U14" i="4"/>
  <c r="I17" i="4"/>
  <c r="O17" i="4"/>
  <c r="U13" i="4"/>
  <c r="F11" i="15"/>
  <c r="U10" i="4"/>
  <c r="K17" i="4"/>
  <c r="H17" i="4"/>
  <c r="T13" i="4"/>
  <c r="T11" i="4"/>
  <c r="P14" i="15"/>
  <c r="T8" i="15"/>
  <c r="P7" i="15"/>
  <c r="M130" i="4" l="1"/>
  <c r="E132" i="4"/>
  <c r="Q127" i="1"/>
  <c r="E7" i="15"/>
  <c r="T7" i="15" s="1"/>
  <c r="F17" i="4"/>
  <c r="X17" i="4" s="1"/>
  <c r="F8" i="15"/>
  <c r="U8" i="15" s="1"/>
  <c r="F8" i="4"/>
  <c r="U8" i="4" s="1"/>
  <c r="E6" i="15"/>
  <c r="T6" i="15" s="1"/>
  <c r="E17" i="4"/>
  <c r="W17" i="4" s="1"/>
  <c r="G23" i="15"/>
  <c r="X23" i="15"/>
  <c r="G23" i="4"/>
  <c r="X23" i="4"/>
  <c r="O6" i="3"/>
  <c r="O13" i="3"/>
  <c r="T10" i="4"/>
  <c r="T17" i="4" s="1"/>
  <c r="T5" i="4"/>
  <c r="T9" i="4" s="1"/>
  <c r="E9" i="4"/>
  <c r="M9" i="4"/>
  <c r="P9" i="4"/>
  <c r="G11" i="4"/>
  <c r="G12" i="15"/>
  <c r="P17" i="4"/>
  <c r="U17" i="4"/>
  <c r="U11" i="15"/>
  <c r="J17" i="4"/>
  <c r="M17" i="4"/>
  <c r="W131" i="4" l="1"/>
  <c r="T132" i="4"/>
  <c r="G17" i="4"/>
  <c r="W9" i="4"/>
  <c r="W130" i="4" s="1"/>
  <c r="K132" i="15"/>
  <c r="R130" i="15"/>
  <c r="E100" i="9"/>
  <c r="D100" i="9"/>
  <c r="N132" i="15"/>
  <c r="J127" i="3" l="1"/>
  <c r="Q132" i="15" l="1"/>
  <c r="E132" i="13" l="1"/>
  <c r="I132" i="13" l="1"/>
  <c r="M132" i="13" l="1"/>
  <c r="J10" i="13" l="1"/>
  <c r="I10" i="13"/>
  <c r="F10" i="13"/>
  <c r="E10" i="13"/>
  <c r="O10" i="15"/>
  <c r="O17" i="15" s="1"/>
  <c r="N10" i="15"/>
  <c r="N17" i="15" s="1"/>
  <c r="L10" i="15"/>
  <c r="L17" i="15" s="1"/>
  <c r="K10" i="15"/>
  <c r="K17" i="15" s="1"/>
  <c r="P4" i="15"/>
  <c r="O4" i="15"/>
  <c r="O9" i="15" s="1"/>
  <c r="N4" i="15"/>
  <c r="N9" i="15" s="1"/>
  <c r="M4" i="15"/>
  <c r="L4" i="15"/>
  <c r="L9" i="15" s="1"/>
  <c r="K4" i="15"/>
  <c r="K9" i="15" s="1"/>
  <c r="I4" i="15"/>
  <c r="H4" i="15"/>
  <c r="H9" i="15" s="1"/>
  <c r="G4" i="15"/>
  <c r="M9" i="15" l="1"/>
  <c r="P9" i="15"/>
  <c r="Q16" i="13"/>
  <c r="I17" i="13"/>
  <c r="Q15" i="13"/>
  <c r="Q10" i="13"/>
  <c r="Q11" i="13"/>
  <c r="E17" i="13"/>
  <c r="Q14" i="13"/>
  <c r="R14" i="13"/>
  <c r="R16" i="13"/>
  <c r="R15" i="13"/>
  <c r="J17" i="13"/>
  <c r="F17" i="13"/>
  <c r="R10" i="13"/>
  <c r="R11" i="13"/>
  <c r="T17" i="13" l="1"/>
  <c r="Q17" i="13"/>
  <c r="R17" i="13"/>
  <c r="U17" i="13"/>
  <c r="H10" i="15"/>
  <c r="H17" i="15" s="1"/>
  <c r="E10" i="15"/>
  <c r="E17" i="15" s="1"/>
  <c r="K17" i="13"/>
  <c r="P17" i="15"/>
  <c r="M17" i="15"/>
  <c r="G17" i="13"/>
  <c r="T10" i="15" l="1"/>
  <c r="T17" i="15" s="1"/>
  <c r="H132" i="15"/>
  <c r="M130" i="15"/>
  <c r="W17" i="15" l="1"/>
  <c r="I10" i="15"/>
  <c r="F10" i="15"/>
  <c r="F17" i="15" s="1"/>
  <c r="O8" i="1"/>
  <c r="O9" i="1"/>
  <c r="O10" i="1"/>
  <c r="O11" i="1"/>
  <c r="O12" i="1"/>
  <c r="O8" i="2"/>
  <c r="O9" i="2"/>
  <c r="O10" i="2"/>
  <c r="O11" i="2"/>
  <c r="O12" i="2"/>
  <c r="P14" i="1" l="1"/>
  <c r="P14" i="2"/>
  <c r="O9" i="3"/>
  <c r="O12" i="3"/>
  <c r="O10" i="3"/>
  <c r="O8" i="3"/>
  <c r="O11" i="3"/>
  <c r="I17" i="15"/>
  <c r="J17" i="15" s="1"/>
  <c r="U10" i="15"/>
  <c r="U17" i="15" s="1"/>
  <c r="G10" i="15"/>
  <c r="G17" i="15"/>
  <c r="X17" i="15" l="1"/>
  <c r="H5" i="2" l="1"/>
  <c r="H4" i="3"/>
  <c r="H2" i="3"/>
  <c r="J4" i="4" s="1"/>
  <c r="J6" i="15" l="1"/>
  <c r="J6" i="4"/>
  <c r="I7" i="15"/>
  <c r="I7" i="4"/>
  <c r="J4" i="15"/>
  <c r="E4" i="15"/>
  <c r="E9" i="15" s="1"/>
  <c r="F4" i="2"/>
  <c r="F5" i="2"/>
  <c r="F7" i="4" s="1"/>
  <c r="C100" i="6"/>
  <c r="C9" i="5"/>
  <c r="W131" i="15" l="1"/>
  <c r="U7" i="4"/>
  <c r="F6" i="15"/>
  <c r="U6" i="15" s="1"/>
  <c r="F6" i="4"/>
  <c r="U6" i="4" s="1"/>
  <c r="F7" i="15"/>
  <c r="U7" i="15" s="1"/>
  <c r="T4" i="15"/>
  <c r="E132" i="15"/>
  <c r="F3" i="2"/>
  <c r="F4" i="15"/>
  <c r="F127" i="3" l="1"/>
  <c r="F5" i="15"/>
  <c r="F9" i="15" s="1"/>
  <c r="F5" i="4"/>
  <c r="T9" i="15"/>
  <c r="U4" i="15"/>
  <c r="W9" i="15"/>
  <c r="G9" i="15" l="1"/>
  <c r="G130" i="15"/>
  <c r="F9" i="4"/>
  <c r="G130" i="4" s="1"/>
  <c r="T132" i="15"/>
  <c r="N128" i="2"/>
  <c r="G9" i="4" l="1"/>
  <c r="N129" i="2"/>
  <c r="R131" i="4" s="1"/>
  <c r="R132" i="4" s="1"/>
  <c r="R131" i="15" l="1"/>
  <c r="R132" i="15" s="1"/>
  <c r="N131" i="13"/>
  <c r="N132" i="13" s="1"/>
  <c r="N130" i="2"/>
  <c r="N133" i="2" l="1"/>
  <c r="N132" i="2"/>
  <c r="R133" i="4" s="1"/>
  <c r="N133" i="13" l="1"/>
  <c r="R133" i="15"/>
  <c r="E9" i="5"/>
  <c r="G4" i="13"/>
  <c r="F4" i="13"/>
  <c r="E4" i="13"/>
  <c r="J4" i="13"/>
  <c r="I4" i="13"/>
  <c r="E9" i="13" l="1"/>
  <c r="F9" i="13"/>
  <c r="J9" i="13"/>
  <c r="I9" i="13"/>
  <c r="K4" i="13"/>
  <c r="Q4" i="13"/>
  <c r="R4" i="13"/>
  <c r="G130" i="13" l="1"/>
  <c r="T131" i="13"/>
  <c r="T9" i="13"/>
  <c r="T130" i="13" s="1"/>
  <c r="K9" i="13"/>
  <c r="G9" i="13"/>
  <c r="U9" i="13"/>
  <c r="F9" i="5" l="1"/>
  <c r="E100" i="6" l="1"/>
  <c r="D100" i="6"/>
  <c r="O2" i="2"/>
  <c r="O4" i="2"/>
  <c r="O2" i="1"/>
  <c r="O4" i="1"/>
  <c r="O3" i="1"/>
  <c r="O4" i="3" l="1"/>
  <c r="O2" i="3"/>
  <c r="O5" i="1" l="1"/>
  <c r="O5" i="2" l="1"/>
  <c r="O5" i="3" l="1"/>
  <c r="R7" i="13"/>
  <c r="Q5" i="13"/>
  <c r="Q8" i="13"/>
  <c r="R8" i="13"/>
  <c r="R5" i="13"/>
  <c r="Q7" i="13"/>
  <c r="Q9" i="13" l="1"/>
  <c r="R9" i="13"/>
  <c r="E100" i="8"/>
  <c r="D100" i="8"/>
  <c r="C100" i="8"/>
  <c r="Q132" i="13" l="1"/>
  <c r="F100" i="9"/>
  <c r="L128" i="2" s="1"/>
  <c r="F100" i="8"/>
  <c r="J128" i="2" s="1"/>
  <c r="J129" i="2" s="1"/>
  <c r="L131" i="4" s="1"/>
  <c r="L132" i="4" s="1"/>
  <c r="F100" i="6"/>
  <c r="H128" i="2" s="1"/>
  <c r="L131" i="15" l="1"/>
  <c r="L132" i="15" s="1"/>
  <c r="F131" i="13"/>
  <c r="J130" i="2"/>
  <c r="G9" i="5"/>
  <c r="J132" i="2" l="1"/>
  <c r="L133" i="4" s="1"/>
  <c r="J133" i="2"/>
  <c r="F132" i="13"/>
  <c r="P9" i="5"/>
  <c r="O9" i="5"/>
  <c r="N9" i="5"/>
  <c r="L9" i="5"/>
  <c r="K9" i="5"/>
  <c r="J9" i="5"/>
  <c r="I9" i="5"/>
  <c r="H9" i="5"/>
  <c r="M8" i="5"/>
  <c r="M6" i="5"/>
  <c r="M5" i="5"/>
  <c r="L133" i="15" l="1"/>
  <c r="F133" i="13"/>
  <c r="M9" i="5"/>
  <c r="F129" i="2" l="1"/>
  <c r="F131" i="4" s="1"/>
  <c r="F132" i="4" s="1"/>
  <c r="F131" i="15" l="1"/>
  <c r="F130" i="2"/>
  <c r="F132" i="2" l="1"/>
  <c r="F133" i="4" s="1"/>
  <c r="F133" i="2"/>
  <c r="F132" i="15"/>
  <c r="F133" i="15" l="1"/>
  <c r="J5" i="15" l="1"/>
  <c r="H3" i="2"/>
  <c r="I5" i="4" l="1"/>
  <c r="I9" i="4" s="1"/>
  <c r="J130" i="4" s="1"/>
  <c r="I5" i="15"/>
  <c r="I9" i="15" s="1"/>
  <c r="O3" i="2"/>
  <c r="U5" i="4" l="1"/>
  <c r="U9" i="4" s="1"/>
  <c r="P6" i="2"/>
  <c r="J9" i="15"/>
  <c r="X9" i="4"/>
  <c r="J9" i="4"/>
  <c r="O3" i="3"/>
  <c r="H129" i="2"/>
  <c r="I131" i="4" s="1"/>
  <c r="H127" i="3"/>
  <c r="U5" i="15"/>
  <c r="I132" i="4" l="1"/>
  <c r="U9" i="15"/>
  <c r="X9" i="15"/>
  <c r="I131" i="15"/>
  <c r="H130" i="2"/>
  <c r="H132" i="2" l="1"/>
  <c r="I133" i="4" s="1"/>
  <c r="H133" i="2"/>
  <c r="J130" i="15"/>
  <c r="I132" i="15"/>
  <c r="I133" i="15" l="1"/>
  <c r="P50" i="15"/>
  <c r="P50" i="4"/>
  <c r="L48" i="2"/>
  <c r="Q127" i="2" s="1"/>
  <c r="K50" i="13"/>
  <c r="O50" i="15" l="1"/>
  <c r="O48" i="2"/>
  <c r="J50" i="13"/>
  <c r="O50" i="4"/>
  <c r="L129" i="2" l="1"/>
  <c r="O131" i="15" s="1"/>
  <c r="L127" i="3"/>
  <c r="P52" i="2"/>
  <c r="O127" i="3"/>
  <c r="O48" i="3"/>
  <c r="J55" i="13"/>
  <c r="R50" i="13"/>
  <c r="R55" i="13" s="1"/>
  <c r="U50" i="15"/>
  <c r="U55" i="15" s="1"/>
  <c r="O55" i="15"/>
  <c r="O55" i="4"/>
  <c r="P130" i="4" s="1"/>
  <c r="U50" i="4"/>
  <c r="U55" i="4" s="1"/>
  <c r="X131" i="15" l="1"/>
  <c r="J131" i="13"/>
  <c r="R131" i="13" s="1"/>
  <c r="R132" i="13" s="1"/>
  <c r="O131" i="4"/>
  <c r="O132" i="4" s="1"/>
  <c r="X133" i="4" s="1"/>
  <c r="O129" i="2"/>
  <c r="O130" i="2" s="1"/>
  <c r="O132" i="2" s="1"/>
  <c r="L130" i="2"/>
  <c r="K130" i="13"/>
  <c r="X131" i="4"/>
  <c r="U132" i="15"/>
  <c r="X55" i="15"/>
  <c r="X130" i="15" s="1"/>
  <c r="P55" i="15"/>
  <c r="U55" i="13"/>
  <c r="U130" i="13" s="1"/>
  <c r="K55" i="13"/>
  <c r="X55" i="4"/>
  <c r="X130" i="4" s="1"/>
  <c r="P55" i="4"/>
  <c r="U131" i="4" l="1"/>
  <c r="U132" i="4" s="1"/>
  <c r="P130" i="2"/>
  <c r="L132" i="2"/>
  <c r="L133" i="2"/>
  <c r="O133" i="2"/>
  <c r="J132" i="13"/>
  <c r="U132" i="13" s="1"/>
  <c r="U131" i="13"/>
  <c r="O132" i="15"/>
  <c r="P130" i="15"/>
  <c r="O133" i="4" l="1"/>
  <c r="O133" i="15"/>
  <c r="J13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30190FC0-4A9A-4EBA-BCE7-095B0DFE6AD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LB03s + LB03n</t>
        </r>
      </text>
    </comment>
    <comment ref="F3" authorId="0" shapeId="0" xr:uid="{9CFD59E7-3E64-4282-B889-218C03A857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H3" authorId="0" shapeId="0" xr:uid="{FFEB01D6-F9CB-4E88-AFC0-E6702CC4404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TH04Harvest = TH04Effort * TH04CPUE</t>
        </r>
      </text>
    </comment>
    <comment ref="F4" authorId="0" shapeId="0" xr:uid="{ECBCFABB-E85F-48DD-B49B-8210517A9B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F5" authorId="0" shapeId="0" xr:uid="{084ED6F7-8BC8-45E9-8A3F-03F284C73E7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LB06Harvest = LB06Effort * LB06CPUE</t>
        </r>
      </text>
    </comment>
    <comment ref="H5" authorId="0" shapeId="0" xr:uid="{2E74389E-0B54-4F65-BD4A-6996B56400C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TH06Harvest = TH06Effort * TH06CPUE</t>
        </r>
      </text>
    </comment>
    <comment ref="F6" authorId="0" shapeId="0" xr:uid="{24736B40-1509-4753-8FA6-87C33C7CA5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LB07Harvest = LB07Effort * LB07CPUE</t>
        </r>
      </text>
    </comment>
    <comment ref="F8" authorId="0" shapeId="0" xr:uid="{F9680B29-7417-4D2A-A091-C8A6D3D250F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F9" authorId="0" shapeId="0" xr:uid="{43CF3245-8DDB-42D2-9A43-5E3E9693FC5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LB16s + LB16n</t>
        </r>
      </text>
    </comment>
    <comment ref="H9" authorId="0" shapeId="0" xr:uid="{20B5EA00-6D97-4102-A168-EBBE95E7025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10" authorId="0" shapeId="0" xr:uid="{B059028D-8FA9-4CA5-B27F-603A07770B4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F11" authorId="0" shapeId="0" xr:uid="{75F193D3-DEE9-4E7D-A945-DFF066F8FD2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F12" authorId="0" shapeId="0" xr:uid="{41898597-E63D-44D3-AADA-7940EBF5EC0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H12" authorId="0" shapeId="0" xr:uid="{C3264469-D61F-4719-AFB7-AF5E518412B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TH19Harvest = TH19Effort * TH19CPUE</t>
        </r>
      </text>
    </comment>
    <comment ref="F13" authorId="0" shapeId="0" xr:uid="{9C66BB46-1648-4AD6-A00E-E5394DE58DE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H13" authorId="0" shapeId="0" xr:uid="{837BAB36-0240-40A4-A389-78E76F8CD9E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TH20Harvest = TH20Effort * TH20CPUE</t>
        </r>
      </text>
    </comment>
    <comment ref="F14" authorId="0" shapeId="0" xr:uid="{12E5BF8F-563F-43A7-B182-DC8AFF9048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H14" authorId="0" shapeId="0" xr:uid="{891DC60D-A1E3-4B5D-87E4-686F261C770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TH21Harvest = TH21Effort * TH21CPUE</t>
        </r>
      </text>
    </comment>
    <comment ref="F16" authorId="0" shapeId="0" xr:uid="{B1F406B1-96D0-407B-8210-F6E7F821E5E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LB01s + LB01n</t>
        </r>
      </text>
    </comment>
    <comment ref="H16" authorId="0" shapeId="0" xr:uid="{D5586749-D39A-4DAD-8580-0AACE22C201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TH01Harvest = TH01Effort * TH01CPUE</t>
        </r>
      </text>
    </comment>
    <comment ref="F17" authorId="0" shapeId="0" xr:uid="{B14AAD50-EA79-4F5F-BAFB-4FEB5699CE2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F18" authorId="0" shapeId="0" xr:uid="{B001FE22-F5E7-490B-BDAA-8BD3C63E440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F19" authorId="0" shapeId="0" xr:uid="{A3F30D77-9BEE-48C9-9298-1F62270673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H19" authorId="0" shapeId="0" xr:uid="{25E4DC8D-B9B7-4A52-9507-8E58EDDCB84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TH04Harvest = TH04Effort * TH04CPUE</t>
        </r>
      </text>
    </comment>
    <comment ref="F20" authorId="0" shapeId="0" xr:uid="{EA26C6CF-4CD0-4507-A24B-B4B4486F5BB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F22" authorId="0" shapeId="0" xr:uid="{FDCFF957-663E-456B-BB81-779B6DB4522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H22" authorId="0" shapeId="0" xr:uid="{C5F60B66-9DF3-4B5E-A7B8-A0673C37815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TH13Harvest = TH13Effort * TH13CPUE</t>
        </r>
      </text>
    </comment>
    <comment ref="F23" authorId="0" shapeId="0" xr:uid="{393C2671-B1AF-445F-8B84-408C645E3C8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F24" authorId="0" shapeId="0" xr:uid="{0AD0EDDE-5BCB-4DE3-84B1-548E18F207A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F25" authorId="0" shapeId="0" xr:uid="{BE8E7DA7-B202-4A37-8281-05922A3C20C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F26" authorId="0" shapeId="0" xr:uid="{8DDC5C3B-10AF-4783-8BFF-1CB8B83998B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H26" authorId="0" shapeId="0" xr:uid="{A6B5364F-564D-4407-A614-20814BE3EAE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27" authorId="0" shapeId="0" xr:uid="{CC8984D3-FA8D-4C70-AE1B-F7C2CC07FDF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F28" authorId="0" shapeId="0" xr:uid="{DEF8E60F-E943-46F2-B0A0-33DB746D618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J28" authorId="0" shapeId="0" xr:uid="{17851D07-DB86-4A14-A002-C0EADD754EA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C19Harvest = C19Effort * C19CPUE</t>
        </r>
      </text>
    </comment>
    <comment ref="F30" authorId="0" shapeId="0" xr:uid="{C1DA47E9-7B27-4A78-AE85-69CE22C3257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F31" authorId="0" shapeId="0" xr:uid="{4264BDC2-13F9-4F4B-A1F7-39B9AD558D6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H31" authorId="0" shapeId="0" xr:uid="{A0A6E658-5B29-4D54-ABC2-F3FA98493DC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TH30Harvest = TH30Effort * TH30CPUE</t>
        </r>
      </text>
    </comment>
    <comment ref="F32" authorId="0" shapeId="0" xr:uid="{2D7C0B8C-8849-4BC8-B0A2-85FC009160A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33" authorId="0" shapeId="0" xr:uid="{65D26A4F-F2C9-4C5F-AC73-BE0241C13F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H33" authorId="0" shapeId="0" xr:uid="{3664A142-E531-44DD-924D-D42FABC88E0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TH02Harvest = TH02Effort * TH02CPUE</t>
        </r>
      </text>
    </comment>
    <comment ref="F34" authorId="0" shapeId="0" xr:uid="{68D5DEB9-3FD9-4092-B8EB-585977A3B4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H34" authorId="0" shapeId="0" xr:uid="{E8FF1B20-857F-4AA9-A718-CDD65743536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TH03Harvest = TH03Effort * TH03CPUE</t>
        </r>
      </text>
    </comment>
    <comment ref="F35" authorId="0" shapeId="0" xr:uid="{2D07C260-1C59-43FC-B983-4551BC35FA3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LB04Harvest = LB04Effort * LB04CPUE</t>
        </r>
      </text>
    </comment>
    <comment ref="F36" authorId="0" shapeId="0" xr:uid="{54DE2499-934E-439D-8CF5-9B002F43C13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LB05Harvest = LB05Effort * LB05CPUE</t>
        </r>
      </text>
    </comment>
    <comment ref="H36" authorId="0" shapeId="0" xr:uid="{40817CEB-3E09-401C-BDC4-D9297BC971D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TH05Harvest = TH05Effort * TH05CPUE</t>
        </r>
      </text>
    </comment>
    <comment ref="F38" authorId="0" shapeId="0" xr:uid="{D2069752-EC07-40DB-9D49-84881EF58C5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LB12s + LB12n</t>
        </r>
      </text>
    </comment>
    <comment ref="F39" authorId="0" shapeId="0" xr:uid="{524C657D-AA38-45D8-86D7-FFBF21F31D6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H39" authorId="0" shapeId="0" xr:uid="{800FEA39-E67B-4F4F-9F98-5689FAF5141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TH13Harvest = TH13Effort * TH13CPUE</t>
        </r>
      </text>
    </comment>
    <comment ref="F40" authorId="0" shapeId="0" xr:uid="{953956E4-FB62-4148-9A0B-13B8DEAD0B2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H40" authorId="0" shapeId="0" xr:uid="{DB84E678-4239-4110-A971-E7EDE94C7A8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TH14Harvest = TH14Effort * TH14CPUE</t>
        </r>
      </text>
    </comment>
    <comment ref="F41" authorId="0" shapeId="0" xr:uid="{0A1E2882-3F2A-4BB7-B595-065A4BFAF2D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F42" authorId="0" shapeId="0" xr:uid="{F730B672-0AC7-49B8-BEC6-46730294741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H42" authorId="0" shapeId="0" xr:uid="{59F4E2F4-D94F-49C3-A3AE-83A2D86742F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43" authorId="0" shapeId="0" xr:uid="{8804FBEF-B94B-4D0B-B464-7BECC6EA747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LB17Harvest = LB17Effort * LB17CPUE</t>
        </r>
      </text>
    </comment>
    <comment ref="H43" authorId="0" shapeId="0" xr:uid="{93FA8955-732E-4A01-AB27-7C29BFD706F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L43" authorId="0" shapeId="0" xr:uid="{4B2B1320-BBCE-4D09-8665-3CCB4F830E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M17Harvest = M17Effort * M17CPUE</t>
        </r>
      </text>
    </comment>
    <comment ref="F44" authorId="0" shapeId="0" xr:uid="{0C3ECED3-A0B5-4EA7-AE5F-49022B9EE20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L44" authorId="0" shapeId="0" xr:uid="{0C0750F7-499F-4DC7-B91A-DAC78A39738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M18Harvest = M18Effort * M18CPUE</t>
        </r>
      </text>
    </comment>
    <comment ref="F46" authorId="0" shapeId="0" xr:uid="{E5F11DA7-F9C7-4C19-9E4B-187D2F013E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F47" authorId="0" shapeId="0" xr:uid="{832F079B-E84E-4492-9125-DDBB402A216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F48" authorId="0" shapeId="0" xr:uid="{D6F04433-3174-42E3-8D83-1D4CC94DEB7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H48" authorId="0" shapeId="0" xr:uid="{8EB3AA91-D9EC-4B0B-A86E-8005B00E130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TH30Harvest = TH30Effort * TH30CPUE</t>
        </r>
      </text>
    </comment>
    <comment ref="L48" authorId="0" shapeId="0" xr:uid="{4C119FF1-F14B-4167-9291-69A862F798A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M30Harvest = M30Effort * M30CPUE</t>
        </r>
      </text>
    </comment>
    <comment ref="F49" authorId="0" shapeId="0" xr:uid="{9B160F63-409F-4810-904A-1854E5EF902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LB31Harvest = LB31Effort * LB31CPUE</t>
        </r>
      </text>
    </comment>
    <comment ref="H49" authorId="0" shapeId="0" xr:uid="{2EFB02D1-C48D-4620-A04E-7105B655BE2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TH31Harvest = TH31Effort * TH31CPUE</t>
        </r>
      </text>
    </comment>
    <comment ref="F50" authorId="0" shapeId="0" xr:uid="{FA08547B-180D-432F-92C0-96E0BD557E4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H50" authorId="0" shapeId="0" xr:uid="{E9FB7E8B-D61F-4A7F-9D09-AFA80055EA5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TH01Harvest = TH01Effort * TH01CPUE</t>
        </r>
      </text>
    </comment>
    <comment ref="F51" authorId="0" shapeId="0" xr:uid="{B071F23A-2AEE-4578-B449-35686B05B33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L51" authorId="0" shapeId="0" xr:uid="{8D1C87A7-3B4D-40BD-BD70-55989CF7E8A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M02Harvest = M02Effort * M02CPUE</t>
        </r>
      </text>
    </comment>
    <comment ref="F52" authorId="0" shapeId="0" xr:uid="{A64D5C41-EDF1-461E-9E3D-2390A82AAFD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H52" authorId="0" shapeId="0" xr:uid="{A80AE89F-970E-4A40-8017-A4527FDE9CC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TH03Harvest = TH03Effort * TH03CPUE</t>
        </r>
      </text>
    </comment>
    <comment ref="L52" authorId="0" shapeId="0" xr:uid="{4ECCDC2A-AF10-4D5D-9AD7-FE7E1D12B0E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M18Harvest = M18Effort * M18CPUE</t>
        </r>
      </text>
    </comment>
    <comment ref="F54" authorId="0" shapeId="0" xr:uid="{D3667DCD-624C-4A6E-97A6-3ACEACEA7E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LB10s + LB10n</t>
        </r>
      </text>
    </comment>
    <comment ref="H54" authorId="0" shapeId="0" xr:uid="{A9E9A66B-EC34-4C9A-BFBA-173D01BABF2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TH10Harvest = TH10Effort * TH10CPUE</t>
        </r>
      </text>
    </comment>
    <comment ref="F55" authorId="0" shapeId="0" xr:uid="{342BEDFC-F8F6-4267-9F39-35EEEB31850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F56" authorId="0" shapeId="0" xr:uid="{E3FE66F9-A61E-448A-AAD6-2B6F23FF7FD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  <comment ref="F57" authorId="0" shapeId="0" xr:uid="{5760B808-47D6-4E36-902F-DC36E656C40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H57" authorId="0" shapeId="0" xr:uid="{86A13290-97C2-4403-B643-B7215E1B1E2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TH13Harvest = TH13Effort * TH13CPUE</t>
        </r>
      </text>
    </comment>
    <comment ref="F58" authorId="0" shapeId="0" xr:uid="{538CE7FC-71D1-48B8-B51C-81D7C112458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H58" authorId="0" shapeId="0" xr:uid="{159BD35F-3447-40E8-94E2-264060FE035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TH14Harvest = TH14Effort * TH14CPUE</t>
        </r>
      </text>
    </comment>
    <comment ref="F59" authorId="0" shapeId="0" xr:uid="{45118CB8-63B2-4F6D-BF31-BE780394C7C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LB15s + LB15n</t>
        </r>
      </text>
    </comment>
    <comment ref="F60" authorId="0" shapeId="0" xr:uid="{D21D5232-7439-4BDB-9F77-67C2C5E6547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H60" authorId="0" shapeId="0" xr:uid="{B3CEF943-B6A1-4C1C-AB77-5B6DEBDA3D2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62" authorId="0" shapeId="0" xr:uid="{4684AB95-5C10-4794-A46F-5AF2ADB1CA1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LB26Harvest = LB26Effort * LB26CPUE</t>
        </r>
      </text>
    </comment>
    <comment ref="F63" authorId="0" shapeId="0" xr:uid="{DEA0FF0F-34F6-4058-BE6F-5D4E8DD9728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H63" authorId="0" shapeId="0" xr:uid="{CC4A20FB-85EC-413D-BBB0-D20C2ABC647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64" authorId="0" shapeId="0" xr:uid="{5BCBC99B-D7B5-420E-8E30-17322E67A20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H64" authorId="0" shapeId="0" xr:uid="{5509B399-5F2B-4738-BF7B-FAC2FCDAE1D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65" authorId="0" shapeId="0" xr:uid="{61CFEF62-4283-47D1-A2A8-DFD071833E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LB29s + LB29n</t>
        </r>
      </text>
    </comment>
    <comment ref="F66" authorId="0" shapeId="0" xr:uid="{95899739-D206-41DE-825F-A70CA4ED105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H66" authorId="0" shapeId="0" xr:uid="{B498F292-C484-4E02-B916-9045BB9838B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67" authorId="0" shapeId="0" xr:uid="{F27AA032-AE82-48E9-801D-62CD26DB710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LB31Harvest = LB31Effort * LB31CPUE</t>
        </r>
      </text>
    </comment>
    <comment ref="H67" authorId="0" shapeId="0" xr:uid="{78E149FA-35A4-49D9-AF51-0FB8BA7C933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68" authorId="0" shapeId="0" xr:uid="{4545FEC6-440D-437C-B862-F86BAB6F3BE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70" authorId="0" shapeId="0" xr:uid="{2E7BC1BC-B194-42BC-A211-263B84C3C5D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F71" authorId="0" shapeId="0" xr:uid="{3E4C257E-DDF4-4BC8-A479-440CDD0A6B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H71" authorId="0" shapeId="0" xr:uid="{4D0BCF0F-09A9-421B-9A72-FC13D6E57A8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TH09Harvest = TH09Effort * TH09CPUE</t>
        </r>
      </text>
    </comment>
    <comment ref="F72" authorId="0" shapeId="0" xr:uid="{DE3E2AA6-1295-4840-B537-3D8F0A2838B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H72" authorId="0" shapeId="0" xr:uid="{04C6248C-746A-459C-A36E-3B411D73A4A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TH10Harvest = TH10Effort * TH10CPUE</t>
        </r>
      </text>
    </comment>
    <comment ref="F73" authorId="0" shapeId="0" xr:uid="{6D4B8AFD-D233-4D4C-A201-3FBE6AD3871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F74" authorId="0" shapeId="0" xr:uid="{E94A8717-511C-40F7-93F9-8D53BA4153A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  <comment ref="H74" authorId="0" shapeId="0" xr:uid="{F8034DF8-9EDC-485D-996F-8EA8AA4E81A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TH12Harvest = TH12Effort * TH12CPUE</t>
        </r>
      </text>
    </comment>
    <comment ref="F75" authorId="0" shapeId="0" xr:uid="{B618F590-7E2D-41AA-8A72-057F0A14C1F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F76" authorId="0" shapeId="0" xr:uid="{4523FF09-6309-4140-8221-5768F7B1C60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H76" authorId="0" shapeId="0" xr:uid="{76E00199-A3A9-45E9-9208-8FA345B9A7A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TH14Harvest = TH14Effort * TH14CPUE</t>
        </r>
      </text>
    </comment>
    <comment ref="F78" authorId="0" shapeId="0" xr:uid="{4A37CAA0-A5FD-4652-BEE5-AC8D4EBBCCF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LB24Harvest = LB24Effort * LB24CPUE</t>
        </r>
      </text>
    </comment>
    <comment ref="H78" authorId="0" shapeId="0" xr:uid="{5245DD8D-423E-4E73-BB41-19F40A06AFF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TH24Harvest = TH24Effort * TH24CPUE</t>
        </r>
      </text>
    </comment>
    <comment ref="F79" authorId="0" shapeId="0" xr:uid="{7F57E544-4BE1-420D-8A7B-06B49E27936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LB25Harvest = LB25Effort * LB25CPUE</t>
        </r>
      </text>
    </comment>
    <comment ref="H79" authorId="0" shapeId="0" xr:uid="{9B5B6F8C-240C-45AB-934A-F244EBB4407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TH25Harvest = TH25Effort * TH25CPUE</t>
        </r>
      </text>
    </comment>
    <comment ref="F80" authorId="0" shapeId="0" xr:uid="{B125E8B2-F2F2-4517-8A7D-B791960EB33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 = LB26s + LN26n</t>
        </r>
      </text>
    </comment>
    <comment ref="F81" authorId="0" shapeId="0" xr:uid="{424712A2-D8BA-49A3-8A0E-E1553E27009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F82" authorId="0" shapeId="0" xr:uid="{AF741BD6-7107-4D1B-AE99-7A47A056636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H82" authorId="0" shapeId="0" xr:uid="{ED634994-D911-4E57-9ECF-B8FACE4F957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TH28Harvest = TH28Effort * TH28CPUE</t>
        </r>
      </text>
    </comment>
    <comment ref="F83" authorId="0" shapeId="0" xr:uid="{EC1403AC-12E4-4340-814D-20A6EF73E5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85" authorId="0" shapeId="0" xr:uid="{4E5DD740-61F3-46CB-988A-9A43D5C39BC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LB08Harvest = LB08Effort * LB08CPUE</t>
        </r>
      </text>
    </comment>
    <comment ref="F86" authorId="0" shapeId="0" xr:uid="{929DFEF1-89DE-4F61-95B6-B01960D8075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LB09Harvest = LB09Effort * LB09CPUE</t>
        </r>
      </text>
    </comment>
    <comment ref="F87" authorId="0" shapeId="0" xr:uid="{3A9E60E9-1D02-4409-9AD4-A07A9735630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H87" authorId="0" shapeId="0" xr:uid="{81321BCC-8D52-4BBB-96DD-1F2F6967D28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TH10Harvest = TH10Effort * TH10CPUE</t>
        </r>
      </text>
    </comment>
    <comment ref="F88" authorId="0" shapeId="0" xr:uid="{E7025D99-74AD-461D-BC25-502C18240C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F89" authorId="0" shapeId="0" xr:uid="{77E19F00-E7AB-4645-A71B-13CBF12802E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  <comment ref="H89" authorId="0" shapeId="0" xr:uid="{3167E52D-94E5-430C-8D50-514E0979052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TH12Harvest = TH12Effort * TH12CPUE</t>
        </r>
      </text>
    </comment>
    <comment ref="F90" authorId="0" shapeId="0" xr:uid="{9FFEF794-032C-455F-8A69-402CFA1597C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F91" authorId="0" shapeId="0" xr:uid="{ABDC3274-2231-46B3-99AE-7F5F157341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H91" authorId="0" shapeId="0" xr:uid="{EEC2944F-E68E-416A-BD05-14273DBC807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TH14Harvest = TH14Effort * TH14CPUE</t>
        </r>
      </text>
    </comment>
    <comment ref="F93" authorId="0" shapeId="0" xr:uid="{A1186189-0352-4EEC-B22C-9A9CF3BCE3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LB26Harvest = LB26Effort * LB26CPUE</t>
        </r>
      </text>
    </comment>
    <comment ref="H93" authorId="0" shapeId="0" xr:uid="{785FE3EC-D0DA-4119-B268-AD3CAAC9D4A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TH26Harvest = TH26Effort * TH26CPUE</t>
        </r>
      </text>
    </comment>
    <comment ref="F94" authorId="0" shapeId="0" xr:uid="{2EAC2693-CD8C-4490-8E3C-392D5B22F47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H94" authorId="0" shapeId="0" xr:uid="{9143DF94-2113-409A-8600-CD484F25846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TH27Harvest = TH27Effort * TH27CPUE</t>
        </r>
      </text>
    </comment>
    <comment ref="F95" authorId="0" shapeId="0" xr:uid="{DFF1D608-1012-4607-AACD-9BDD58ADE3F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LB28Harvest = LB28Effort * LB28CPUE</t>
        </r>
      </text>
    </comment>
    <comment ref="H95" authorId="0" shapeId="0" xr:uid="{FF73D889-59CC-43A4-A874-33B3997BF12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TH28Harvest = TH28Effort * TH28CPUE</t>
        </r>
      </text>
    </comment>
    <comment ref="F96" authorId="0" shapeId="0" xr:uid="{926935C6-B0DC-4E91-8A0F-9051834C4F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H96" authorId="0" shapeId="0" xr:uid="{114BD58F-EB3B-42E7-9986-5DC5F7AF01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TH29Harvest = TH29Effort * TH29CPUE</t>
        </r>
      </text>
    </comment>
    <comment ref="F97" authorId="0" shapeId="0" xr:uid="{7B0D6F8B-D3B3-458B-9A89-0E7D30F91F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F98" authorId="0" shapeId="0" xr:uid="{A9FBDB88-E1F0-4F51-9BFE-049D5F4A94D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LB31Harvest = LB31Effort * LB31CPUE</t>
        </r>
      </text>
    </comment>
    <comment ref="H98" authorId="0" shapeId="0" xr:uid="{18608A68-1386-4C64-914F-F717FC5FFFA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TH31Harvest = TH31Effort * TH31CPUE</t>
        </r>
      </text>
    </comment>
    <comment ref="F99" authorId="0" shapeId="0" xr:uid="{EC96174F-5431-488B-BEA6-3BBC86A17FA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LB01Harvest = LB01Effort * LB01CPUE</t>
        </r>
      </text>
    </comment>
    <comment ref="F100" authorId="0" shapeId="0" xr:uid="{AE463C61-CF4E-4021-B9E6-E60D20D7CAB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F101" authorId="0" shapeId="0" xr:uid="{EABB3877-8366-4CB4-BAB9-CED66F5E93F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F103" authorId="0" shapeId="0" xr:uid="{2CE554FF-081A-4B12-975E-8A5AFE1CD37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  <comment ref="F104" authorId="0" shapeId="0" xr:uid="{DECB7D99-A48E-4023-A5FF-1C7D740FC03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H104" authorId="0" shapeId="0" xr:uid="{0B20DD5C-F158-4464-9601-7494A897F0C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TH13Harvest = TH13Effort * TH13CPUE</t>
        </r>
      </text>
    </comment>
    <comment ref="F105" authorId="0" shapeId="0" xr:uid="{49C4894A-A7F2-4FD3-A06E-67BFE5B8334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  <comment ref="F106" authorId="0" shapeId="0" xr:uid="{12BBBF71-3128-4799-ACAA-5E057E09836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LB15Harvest = LB15Effort * LB15CPUE</t>
        </r>
      </text>
    </comment>
    <comment ref="H106" authorId="0" shapeId="0" xr:uid="{09EA2C96-E908-43C9-AF7E-B8F997B5A7B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TH15Harvest = TH15Effort * TH15CPUE</t>
        </r>
      </text>
    </comment>
    <comment ref="F107" authorId="0" shapeId="0" xr:uid="{E32CC448-3132-419E-A6A7-1A5C3F3B798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H107" authorId="0" shapeId="0" xr:uid="{6E7704FE-85F5-4250-BE50-39621FA855E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109" authorId="0" shapeId="0" xr:uid="{78A8E809-7870-4C49-A4C7-EC40173E604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LB18Harvest = LB18Effort * LB18CPUE</t>
        </r>
      </text>
    </comment>
    <comment ref="H109" authorId="0" shapeId="0" xr:uid="{13C1A7FB-D1B2-45B5-AEEC-B31DDAFAA41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TH18Harvest = TH18Effort * TH18CPUE</t>
        </r>
      </text>
    </comment>
    <comment ref="F111" authorId="0" shapeId="0" xr:uid="{826326E8-12A0-4212-92E5-56F00CF77B2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LB26Harvest = LB26Effort * LB26CPUE</t>
        </r>
      </text>
    </comment>
    <comment ref="F112" authorId="0" shapeId="0" xr:uid="{F4C1D33C-EACE-4961-A8CB-E1239860F1A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LB27Harvest = LB27Effort * LB27CPUE</t>
        </r>
      </text>
    </comment>
    <comment ref="H112" authorId="0" shapeId="0" xr:uid="{1CFF329F-E058-48D0-9F26-08E59BF50D4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TH27Harvest = TH27Effort * TH27CPUE</t>
        </r>
      </text>
    </comment>
    <comment ref="F113" authorId="0" shapeId="0" xr:uid="{1B0679D8-2D37-426E-8699-F34CA4CE352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F114" authorId="0" shapeId="0" xr:uid="{889FE86A-1423-433B-BA83-E2DDD7014E9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LB29Harvest = LB29Effort * LB29CPUE</t>
        </r>
      </text>
    </comment>
    <comment ref="F115" authorId="0" shapeId="0" xr:uid="{455F0528-FDEE-4F3C-99A2-87BE183B1B0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LB30Harvest = LB30Effort * LB30CPUE</t>
        </r>
      </text>
    </comment>
    <comment ref="H115" authorId="0" shapeId="0" xr:uid="{85E8C9FC-820E-4A2F-BB83-E88250A199D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TH30Harvest = TH30Effort * TH30CPUE</t>
        </r>
      </text>
    </comment>
    <comment ref="F117" authorId="0" shapeId="0" xr:uid="{79394BC8-7E64-4D40-94E8-C0B9D70FA56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LB02Harvest = LB02Effort * LB02CPUE</t>
        </r>
      </text>
    </comment>
    <comment ref="H117" authorId="0" shapeId="0" xr:uid="{3A3C4030-7151-4FF8-9F87-075B69BD6DE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TH02Harvest = TH02Effort * TH02CPUE</t>
        </r>
      </text>
    </comment>
    <comment ref="F118" authorId="0" shapeId="0" xr:uid="{16BBDD1B-A0F5-4993-96F9-2D62786A0FE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LB03Harvest = LB03Effort * LB03CPUE</t>
        </r>
      </text>
    </comment>
    <comment ref="F120" authorId="0" shapeId="0" xr:uid="{01C62764-7BED-441E-A20E-72784D671A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LB10Harvest = LB10Effort * LB10CPUE</t>
        </r>
      </text>
    </comment>
    <comment ref="F121" authorId="0" shapeId="0" xr:uid="{86AA1792-F5A0-4B08-9F07-67FD06E4CC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LB11Harvest = LB11Effort * LB11CPUE</t>
        </r>
      </text>
    </comment>
    <comment ref="F122" authorId="0" shapeId="0" xr:uid="{BD74EB5B-CD15-472E-A64F-936476F4219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LB12Harvest = LB12Effort * LB12CPUE</t>
        </r>
      </text>
    </comment>
    <comment ref="H122" authorId="0" shapeId="0" xr:uid="{D9117CCA-4A88-4AC6-BD51-E9A990278F4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TH12Harvest = TH12Effort * TH12CPUE</t>
        </r>
      </text>
    </comment>
    <comment ref="F123" authorId="0" shapeId="0" xr:uid="{36C51474-7AB1-467E-B447-FDC9A3D8FD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LB13Harvest = LB13Effort * LB13CPUE</t>
        </r>
      </text>
    </comment>
    <comment ref="H123" authorId="0" shapeId="0" xr:uid="{B2457C60-D6F9-4F59-88D0-62B379B914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TH13Harvest = TH13Effort * TH13CPUE</t>
        </r>
      </text>
    </comment>
    <comment ref="F124" authorId="0" shapeId="0" xr:uid="{5658E36D-3977-419A-9D1A-B010D984866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LB14Harvest = LB14Effort * LB14CPUE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31171C5D-555E-4C28-BA75-EDD62FD9C1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LB03s + LB03n</t>
        </r>
      </text>
    </comment>
    <comment ref="F3" authorId="0" shapeId="0" xr:uid="{EAF286A8-2415-4477-A0B7-125C1253A0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 = (LB03s/LB03n * LB04n) + LB04n
Used 10/03 full count</t>
        </r>
      </text>
    </comment>
    <comment ref="H3" authorId="0" shapeId="0" xr:uid="{A47232C4-8CFB-4956-A211-5BF1C355B4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 = TH05/C05 * C04</t>
        </r>
      </text>
    </comment>
    <comment ref="F4" authorId="0" shapeId="0" xr:uid="{A46D2690-0E1E-46F1-8BEC-35CE1D7F38D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 = LB04/C04 * C05</t>
        </r>
      </text>
    </comment>
    <comment ref="F5" authorId="0" shapeId="0" xr:uid="{05FE0FC5-9B54-4291-A74E-8DB4BE342B9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LB06 = LB03/M03 * M06</t>
        </r>
      </text>
    </comment>
    <comment ref="H5" authorId="0" shapeId="0" xr:uid="{B47B05EB-68AD-47A2-ADF8-3858E98F7C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TH06 = TH03/M03 * M06</t>
        </r>
      </text>
    </comment>
    <comment ref="F6" authorId="0" shapeId="0" xr:uid="{96407D5A-86CA-46E8-9A8C-9D0275B4DF6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LB07 = (LB03s/LB03n * LB07n) + LB07n
Used 10/03 full count</t>
        </r>
      </text>
    </comment>
    <comment ref="F8" authorId="0" shapeId="0" xr:uid="{E85EE75C-A50C-48F9-BD5D-A70BDEB928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LB18/M18 * M15</t>
        </r>
      </text>
    </comment>
    <comment ref="F9" authorId="0" shapeId="0" xr:uid="{B74F9385-3EA1-44C9-8A04-F3D05DFAEA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LB16s + LB16n</t>
        </r>
      </text>
    </comment>
    <comment ref="H9" authorId="0" shapeId="0" xr:uid="{B051D34E-5E74-4C7F-BD0E-664B8ACE5F6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 = TH17/C17 * C16</t>
        </r>
      </text>
    </comment>
    <comment ref="F10" authorId="0" shapeId="0" xr:uid="{1117909B-A976-4F74-8D3A-822B6FF8975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LB16/C16 * C17</t>
        </r>
      </text>
    </comment>
    <comment ref="F11" authorId="0" shapeId="0" xr:uid="{F5FDC8C8-DC08-4EC5-8442-1E38B14B8B2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(LB16s/LB16n * LB18n) + LB18n
Used 10/16 full count</t>
        </r>
      </text>
    </comment>
    <comment ref="F12" authorId="0" shapeId="0" xr:uid="{2B0868CB-A792-4609-943E-7349B462ADB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(LB16s/LB16n * LB19n) + LB19n
Used 10/16 full count</t>
        </r>
      </text>
    </comment>
    <comment ref="H12" authorId="0" shapeId="0" xr:uid="{C364A42F-02E3-4170-879A-4A255D080AA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 = TH18/M18 * M19</t>
        </r>
      </text>
    </comment>
    <comment ref="F13" authorId="0" shapeId="0" xr:uid="{0EE590A3-CD35-4BB1-BFF1-5D4395E0734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LB16/C16 * C20</t>
        </r>
      </text>
    </comment>
    <comment ref="H13" authorId="0" shapeId="0" xr:uid="{06F46792-462A-417F-9850-2BBD9DC6E95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 = TH17/C17 * C20</t>
        </r>
      </text>
    </comment>
    <comment ref="F14" authorId="0" shapeId="0" xr:uid="{A2064001-C9C8-4750-BB7A-FA472D95636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LB16/C16 * C21</t>
        </r>
      </text>
    </comment>
    <comment ref="H14" authorId="0" shapeId="0" xr:uid="{3C30C0E7-9C71-446A-8804-C18159B8C1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TH21 = TH17/C17 * C21</t>
        </r>
      </text>
    </comment>
    <comment ref="F16" authorId="0" shapeId="0" xr:uid="{F767CA16-90BC-4614-8E8D-E3D2614FCD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LB01s + LB01n</t>
        </r>
      </text>
    </comment>
    <comment ref="H16" authorId="0" shapeId="0" xr:uid="{6D03A245-B464-4366-840F-DDDD1B8705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TH01 = TH02/M02*M01</t>
        </r>
      </text>
    </comment>
    <comment ref="F17" authorId="0" shapeId="0" xr:uid="{760EB53E-05D2-4D48-8B90-81712849C05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LB01/M01*M02</t>
        </r>
      </text>
    </comment>
    <comment ref="F18" authorId="0" shapeId="0" xr:uid="{ADAC41FB-D4AC-40AE-8212-3294793791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(LB01s/LB01n * LB03n) + LB03n
Used 11/01 full count</t>
        </r>
      </text>
    </comment>
    <comment ref="F19" authorId="0" shapeId="0" xr:uid="{DB7F328C-C928-4BBD-B5A1-7DF6A241BC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 = LB03/C03*C04</t>
        </r>
      </text>
    </comment>
    <comment ref="H19" authorId="0" shapeId="0" xr:uid="{D8DC96B3-CE31-4867-B20A-EA236B25831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TH04 = TH03/C03*C04</t>
        </r>
      </text>
    </comment>
    <comment ref="F20" authorId="0" shapeId="0" xr:uid="{5C0B92FA-9EC0-4A93-BC83-8E34E3E7860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 = LB01/M01*M05</t>
        </r>
      </text>
    </comment>
    <comment ref="F22" authorId="0" shapeId="0" xr:uid="{A3F4D5AD-3C64-4C79-9BDC-B9F6BAE16DF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(LB01s/LB01n * LB13n) + LB13n
Used 11/01 full count</t>
        </r>
      </text>
    </comment>
    <comment ref="H22" authorId="0" shapeId="0" xr:uid="{2CC54FF7-BE96-4F23-82BC-E4916149317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 = TH14/M14*M13</t>
        </r>
      </text>
    </comment>
    <comment ref="F23" authorId="0" shapeId="0" xr:uid="{A77706BA-BABD-4BD0-8AA5-BFC36D13238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(LB01s/LB01n * LB14n) + LB14n
Used 11/01 full count</t>
        </r>
      </text>
    </comment>
    <comment ref="F24" authorId="0" shapeId="0" xr:uid="{7007329B-D5E7-4203-883D-21D56039CF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(LB01s/LB01n * LB15n) + LB15n
Used 11/01 full count</t>
        </r>
      </text>
    </comment>
    <comment ref="F25" authorId="0" shapeId="0" xr:uid="{A1866493-F767-48BA-A998-E4C68249FBB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LB15/TH15*TH16</t>
        </r>
      </text>
    </comment>
    <comment ref="F26" authorId="0" shapeId="0" xr:uid="{19E530B9-6561-4BF4-81E3-E4D0C4B5834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LB14/M14*M17</t>
        </r>
      </text>
    </comment>
    <comment ref="H26" authorId="0" shapeId="0" xr:uid="{684E1570-937E-4B36-B553-DA770FEC025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 = TH14/M14*M17</t>
        </r>
      </text>
    </comment>
    <comment ref="F27" authorId="0" shapeId="0" xr:uid="{4BE694D4-6AFA-43FE-B2F1-CAD91AB0AA5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(LB01s/LB01n * LB18n) + LB18n
Used 11/01 full count</t>
        </r>
      </text>
    </comment>
    <comment ref="F28" authorId="0" shapeId="0" xr:uid="{C7B70077-3556-4161-9EE4-08AB55E747A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LB15/TH15*TH19</t>
        </r>
      </text>
    </comment>
    <comment ref="J28" authorId="0" shapeId="0" xr:uid="{2E741BCE-9D2A-427A-B51C-E1CCD4CA83E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C19 = C15/TH15 * TH19</t>
        </r>
      </text>
    </comment>
    <comment ref="F30" authorId="0" shapeId="0" xr:uid="{0A64C843-1E00-4F72-8588-F642234F0B0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LB30/M30*M29</t>
        </r>
      </text>
    </comment>
    <comment ref="F31" authorId="0" shapeId="0" xr:uid="{2AB872CE-D7E6-45D7-AAAB-700916BFD94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(LB01s/LB01n * LB30n) + LB30n
Used 11/01 full count</t>
        </r>
      </text>
    </comment>
    <comment ref="H31" authorId="0" shapeId="0" xr:uid="{476FBA73-EE3E-4E86-91D7-3F000CDF456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TH30 = TH29/M29 * M30</t>
        </r>
      </text>
    </comment>
    <comment ref="F32" authorId="0" shapeId="0" xr:uid="{BB9F4EE8-0040-4631-9A42-8494A3F351B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LB02/C02 * C01</t>
        </r>
      </text>
    </comment>
    <comment ref="F33" authorId="0" shapeId="0" xr:uid="{37786E58-1667-42E8-82A2-1A58E52D81F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(LB01s/LB01n * LB02n) + LB02n
Used 11/01 full count</t>
        </r>
      </text>
    </comment>
    <comment ref="H33" authorId="0" shapeId="0" xr:uid="{9947059B-4BB2-4DB9-B4D0-10B4128B5E3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TH02 = TH01/C01 * C02</t>
        </r>
      </text>
    </comment>
    <comment ref="F34" authorId="0" shapeId="0" xr:uid="{C67C40CF-E08D-4B2A-9615-EDB3E4FDFD5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 = (LB01s/LB01n * LB03n) + LB03n
Used 11/01 full count</t>
        </r>
      </text>
    </comment>
    <comment ref="H34" authorId="0" shapeId="0" xr:uid="{A8434A86-6F01-42C4-91FD-31BA133705A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 = TH29/M29 * M03</t>
        </r>
      </text>
    </comment>
    <comment ref="F35" authorId="0" shapeId="0" xr:uid="{02F22CD3-2742-4683-8AA8-9C31FE70AFC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LB04 = LB03/M03 * M04</t>
        </r>
      </text>
    </comment>
    <comment ref="F36" authorId="0" shapeId="0" xr:uid="{4F2DC952-E146-4DC1-A65A-E1DC3FE8917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LB05 = LB02/M02 * M05</t>
        </r>
      </text>
    </comment>
    <comment ref="H36" authorId="0" shapeId="0" xr:uid="{FAE6C066-F437-451F-8287-DCB254DEEB7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TH05 = TH01/C01 * C05</t>
        </r>
      </text>
    </comment>
    <comment ref="F38" authorId="0" shapeId="0" xr:uid="{B8F0C9FC-318D-4B71-A9E8-820C0C2A8A5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LB12s + LB12n</t>
        </r>
      </text>
    </comment>
    <comment ref="F39" authorId="0" shapeId="0" xr:uid="{9532EE21-0BDA-44D9-84CB-1FCE026C8BE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(LB12s/LB12n * LB13n) + LB13n
Used 12/12 full count</t>
        </r>
      </text>
    </comment>
    <comment ref="H39" authorId="0" shapeId="0" xr:uid="{247E149B-7998-4FA6-9EC8-A2C25DFFE66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 = TH17/M17 * M13</t>
        </r>
      </text>
    </comment>
    <comment ref="F40" authorId="0" shapeId="0" xr:uid="{5ABFB13B-148C-4098-8961-B3323E0BEBF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LB13/M13 * M14</t>
        </r>
      </text>
    </comment>
    <comment ref="H40" authorId="0" shapeId="0" xr:uid="{B70DFF3A-7C7E-42B2-9BE1-A8E936AAA58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TH17/M17 * M14</t>
        </r>
      </text>
    </comment>
    <comment ref="F41" authorId="0" shapeId="0" xr:uid="{43DBB2F8-BD83-42CF-B051-F210D7C1CF9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LB16/C16 * C15</t>
        </r>
      </text>
    </comment>
    <comment ref="F42" authorId="0" shapeId="0" xr:uid="{C9983067-35F6-40B0-8887-EC0EF5A789C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(LB12s/LB12n * LB13n) + LB13n
Used 12/12 full count</t>
        </r>
      </text>
    </comment>
    <comment ref="H42" authorId="0" shapeId="0" xr:uid="{3DFAF386-7EBD-49BE-9B1C-D926DA57C27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 = TH12/C12 * C16</t>
        </r>
      </text>
    </comment>
    <comment ref="F43" authorId="0" shapeId="0" xr:uid="{0666B0BF-E051-4A73-AADD-59F1E458BD3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LB13/M13 * M17</t>
        </r>
      </text>
    </comment>
    <comment ref="F44" authorId="0" shapeId="0" xr:uid="{DD32C85E-7B1C-4F93-A49C-495F19FED7A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LB12/TH12 * TH18</t>
        </r>
      </text>
    </comment>
    <comment ref="F46" authorId="0" shapeId="0" xr:uid="{4C2EB7FB-C03A-4F18-AF82-617360FCE38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(LB30s/LB30n * LB28n) + LB28n
Used 12/30 full count</t>
        </r>
      </text>
    </comment>
    <comment ref="F47" authorId="0" shapeId="0" xr:uid="{270E6C76-976A-4745-B4D4-9E401DC4E88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LB02/TH02 * TH29</t>
        </r>
      </text>
    </comment>
    <comment ref="F48" authorId="0" shapeId="0" xr:uid="{A8007D73-C409-4F52-9E84-B017CDCAF83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LB30s + LB30n</t>
        </r>
      </text>
    </comment>
    <comment ref="H48" authorId="0" shapeId="0" xr:uid="{D208BE51-7C33-43A6-9054-6F1A81013D2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TH30=TH02/M02 * M30</t>
        </r>
      </text>
    </comment>
    <comment ref="F49" authorId="0" shapeId="0" xr:uid="{D05F571B-83BB-443E-B4B9-0F0B40EFE02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 = LB28/C28 * C31</t>
        </r>
      </text>
    </comment>
    <comment ref="H49" authorId="0" shapeId="0" xr:uid="{F7D6881C-1306-4DBA-9B81-BD44C193DF7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TH31 = TH28/C28 * C31</t>
        </r>
      </text>
    </comment>
    <comment ref="F50" authorId="0" shapeId="0" xr:uid="{4DAC76AE-844F-4B70-A5BE-81FF9FF2416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LB28/C28 * C01</t>
        </r>
      </text>
    </comment>
    <comment ref="H50" authorId="0" shapeId="0" xr:uid="{C4E3A545-C29C-41E7-8BDA-74FA23E26C8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TH01 = TH28/C28 * C01</t>
        </r>
      </text>
    </comment>
    <comment ref="F51" authorId="0" shapeId="0" xr:uid="{5CCB630C-AEE7-4D8E-9957-28A79B251D2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LB02 = (LB30s/LB30n * LB02n) + LB02n
Used 12/30 full count</t>
        </r>
      </text>
    </comment>
    <comment ref="F52" authorId="0" shapeId="0" xr:uid="{AD1D0770-E58A-4052-B982-685346C110C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LB03=LB02/M02 * M03</t>
        </r>
      </text>
    </comment>
    <comment ref="H52" authorId="0" shapeId="0" xr:uid="{CA3ED29D-FA5C-4537-A3AA-F3D31AD989A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TH03=TH02/M02 * M03</t>
        </r>
      </text>
    </comment>
    <comment ref="F54" authorId="0" shapeId="0" xr:uid="{27BDC827-661D-43A4-A936-08DF3CCAA15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LB10s + LB10n</t>
        </r>
      </text>
    </comment>
    <comment ref="H54" authorId="0" shapeId="0" xr:uid="{2BCD4D26-452E-481E-907C-460BFB3132F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 TH11/M11 * M10</t>
        </r>
      </text>
    </comment>
    <comment ref="F55" authorId="0" shapeId="0" xr:uid="{23AE9765-DF6B-442C-9BD7-63662380F72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(LB10s/LB10n * LB11n) + LB10n
Used 1/10 full count</t>
        </r>
      </text>
    </comment>
    <comment ref="F56" authorId="0" shapeId="0" xr:uid="{4EF263FB-1478-437B-851D-02CE3052639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LB11/TH11 * TH12</t>
        </r>
      </text>
    </comment>
    <comment ref="F57" authorId="0" shapeId="0" xr:uid="{3DCCEE9A-ADD1-4A87-968B-9A4723922C5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LB12/C12 * C13</t>
        </r>
      </text>
    </comment>
    <comment ref="H57" authorId="0" shapeId="0" xr:uid="{F7DD15E0-4040-4580-8464-CD9386C90E2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TH13 = TH12/C12 * C13</t>
        </r>
      </text>
    </comment>
    <comment ref="F58" authorId="0" shapeId="0" xr:uid="{4B6CD63A-E0A4-4978-ACBB-3D438B9E1F5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LB10/M10 * M14</t>
        </r>
      </text>
    </comment>
    <comment ref="H58" authorId="0" shapeId="0" xr:uid="{D6B0EA7B-1799-4ACF-928B-4177A427916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TH11/M11 * M14</t>
        </r>
      </text>
    </comment>
    <comment ref="F59" authorId="0" shapeId="0" xr:uid="{840C4A89-8E14-4C0F-9CA1-FF0AEF88528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LB15 = LB15s + LB15n</t>
        </r>
      </text>
    </comment>
    <comment ref="F60" authorId="0" shapeId="0" xr:uid="{3F4B5F07-90DB-4394-AF9E-296DAA7BED9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LB12/C12 * C16</t>
        </r>
      </text>
    </comment>
    <comment ref="H60" authorId="0" shapeId="0" xr:uid="{E40EC79B-74D5-4B36-915C-478BA311F7A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 = TH12/C12 * C16</t>
        </r>
      </text>
    </comment>
    <comment ref="F62" authorId="0" shapeId="0" xr:uid="{0EDE24E0-7111-48B1-9209-E000121B7FA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 = LB27/M27 * M26</t>
        </r>
      </text>
    </comment>
    <comment ref="F63" authorId="0" shapeId="0" xr:uid="{8D7C0A99-228D-42DE-A11B-97BBD8EF260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(LB29s/LB29n * LB27n) + LB27n
Used 1/29 full count</t>
        </r>
      </text>
    </comment>
    <comment ref="H63" authorId="0" shapeId="0" xr:uid="{E58BA11B-6929-4D23-BE8D-B20ECCB2EA8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 = TH26/M26 * M27</t>
        </r>
      </text>
    </comment>
    <comment ref="F64" authorId="0" shapeId="0" xr:uid="{B2C28881-578C-48EF-920A-289C2A4B2C6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LB29/C29 * C28</t>
        </r>
      </text>
    </comment>
    <comment ref="H64" authorId="0" shapeId="0" xr:uid="{1315F4D6-1D93-47C9-AAA4-3457E57176B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 = TH29/C29 * C28</t>
        </r>
      </text>
    </comment>
    <comment ref="F65" authorId="0" shapeId="0" xr:uid="{E450F569-A8D7-4E3C-B444-B33D8882E0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LB29s + LB29n</t>
        </r>
      </text>
    </comment>
    <comment ref="F66" authorId="0" shapeId="0" xr:uid="{5C7BC112-74F3-4F74-BBE2-F052E869E55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LB27/M27 * M30</t>
        </r>
      </text>
    </comment>
    <comment ref="H66" authorId="0" shapeId="0" xr:uid="{10779469-7D7C-4522-9FD1-54C26C4A7AE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TH30 = TH26/M26 * M30</t>
        </r>
      </text>
    </comment>
    <comment ref="F67" authorId="0" shapeId="0" xr:uid="{B4A188E6-764D-43BA-9025-C250407AB36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 = (LB29s/LB29n * LB31n) + LB31n
Used 1/29 full count</t>
        </r>
      </text>
    </comment>
    <comment ref="H67" authorId="0" shapeId="0" xr:uid="{366EFF46-D64C-4EBC-B45A-228DFD46D4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TH31 = TH26/M26 * M31</t>
        </r>
      </text>
    </comment>
    <comment ref="F68" authorId="0" shapeId="0" xr:uid="{823551FC-9FD2-42EA-9A45-C123FEFA0EB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LB29/TH29 * TH01</t>
        </r>
      </text>
    </comment>
    <comment ref="F70" authorId="0" shapeId="0" xr:uid="{853405CE-D178-407A-8CF0-CC6A4B6E1B8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 LB11/TH11 * TH08</t>
        </r>
      </text>
    </comment>
    <comment ref="F71" authorId="0" shapeId="0" xr:uid="{F0125AA7-BD89-4B72-B537-226AEEF7093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 = LB10/C10 * C09</t>
        </r>
      </text>
    </comment>
    <comment ref="H71" authorId="0" shapeId="0" xr:uid="{37FF1E50-C20E-4411-BC47-9341F88DD79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TH09 = TH13/C13 * C09</t>
        </r>
      </text>
    </comment>
    <comment ref="F72" authorId="0" shapeId="0" xr:uid="{11CEC8AC-0AA8-4801-97CB-34DDAE0AD27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(LB29s/LB29n * LB10n) + LB10n
Used 1/29 full count</t>
        </r>
      </text>
    </comment>
    <comment ref="H72" authorId="0" shapeId="0" xr:uid="{E95C5F7E-7C58-4F8C-90CF-B76E226BBC9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 TH13/C13 * C10</t>
        </r>
      </text>
    </comment>
    <comment ref="F73" authorId="0" shapeId="0" xr:uid="{55E60834-3CEF-470F-9223-2413A53BC1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(LB29N/LB29S * LB11s) + LB11s
Used 1/29 full count</t>
        </r>
      </text>
    </comment>
    <comment ref="F74" authorId="0" shapeId="0" xr:uid="{430203BB-F383-40C6-B54F-B1832BD6BC3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LB11/M11 * M12</t>
        </r>
      </text>
    </comment>
    <comment ref="H74" authorId="0" shapeId="0" xr:uid="{6E453293-FFA6-4EE5-81D4-A8D46182198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 = TH08/M08 * M12</t>
        </r>
      </text>
    </comment>
    <comment ref="F75" authorId="0" shapeId="0" xr:uid="{31D8B2CD-AE4C-42D7-B3AA-282E353B70D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LB10/C10 * C13</t>
        </r>
      </text>
    </comment>
    <comment ref="F76" authorId="0" shapeId="0" xr:uid="{2568F2C5-3E54-4640-9416-865F8D061DD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LB10/C10 * C14</t>
        </r>
      </text>
    </comment>
    <comment ref="H76" authorId="0" shapeId="0" xr:uid="{1C210E31-3A0A-436D-B427-B78F41A3ADD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TH13/C13 * C14</t>
        </r>
      </text>
    </comment>
    <comment ref="F78" authorId="0" shapeId="0" xr:uid="{1893BCD0-3116-45C5-AAED-8DFCBBC59A0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LB24 = LB28/M28 * M24</t>
        </r>
      </text>
    </comment>
    <comment ref="H78" authorId="0" shapeId="0" xr:uid="{728E7517-10F5-45BD-9F2C-BC85ED59184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TH24 = TH27/M27 * M24</t>
        </r>
      </text>
    </comment>
    <comment ref="F79" authorId="0" shapeId="0" xr:uid="{659591BF-8BB3-40F6-B11D-7D0367B91D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LB25 = LB26/C26 * C25</t>
        </r>
      </text>
    </comment>
    <comment ref="H79" authorId="0" shapeId="0" xr:uid="{73700BB5-2B52-469F-98E0-6763646E461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TH25 = TH26/C26 * C25</t>
        </r>
      </text>
    </comment>
    <comment ref="F81" authorId="0" shapeId="0" xr:uid="{9E62DF71-1CA0-4368-96B3-9EF34636B2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 = (LB26S/LB26N * LB27n) + LB27n
Used 2/26 full count</t>
        </r>
      </text>
    </comment>
    <comment ref="F82" authorId="0" shapeId="0" xr:uid="{23D56C19-F629-49E3-AFE7-D97CE34477B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(LB26S/LB26N * LB28n) + LB28n
Used 2/26 full count</t>
        </r>
      </text>
    </comment>
    <comment ref="H82" authorId="0" shapeId="0" xr:uid="{16119E22-8D88-4B99-B405-20CE1A68FEF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 = TH26/LB26 * LB28</t>
        </r>
      </text>
    </comment>
    <comment ref="F83" authorId="0" shapeId="0" xr:uid="{31CDD891-0281-47E3-837C-A39F69426E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LB26/TH26 * TH01</t>
        </r>
      </text>
    </comment>
    <comment ref="F85" authorId="0" shapeId="0" xr:uid="{F7521C94-1BA5-43C3-91A5-4CBE7A95EEA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LB08 = LB11/M11 * M08</t>
        </r>
      </text>
    </comment>
    <comment ref="F86" authorId="0" shapeId="0" xr:uid="{597BBD45-C0F6-43A7-85F5-6504DD1F44D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LB09 = (LB26S/LB26N * LB09n) + LB28n
Used 2/26 full count</t>
        </r>
      </text>
    </comment>
    <comment ref="F87" authorId="0" shapeId="0" xr:uid="{3D863671-4340-4BBA-8DD7-2DFC90407FC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LB10 = LB09/C09 * C10</t>
        </r>
      </text>
    </comment>
    <comment ref="H87" authorId="0" shapeId="0" xr:uid="{9060CD25-E144-41CA-95F6-9DB06F1F481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TH10 = TH09/C09 * C10</t>
        </r>
      </text>
    </comment>
    <comment ref="F88" authorId="0" shapeId="0" xr:uid="{EC9C7F86-6B14-40E8-9654-86947756C7A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LB11 = (LB26S/LB26N * LB11n) + LB11n
Used 2/26 full count</t>
        </r>
      </text>
    </comment>
    <comment ref="F89" authorId="0" shapeId="0" xr:uid="{C9E5F6B2-D445-4398-8C7C-D2934EFB4D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LB12 = LB11/M11 * M12</t>
        </r>
      </text>
    </comment>
    <comment ref="H89" authorId="0" shapeId="0" xr:uid="{3BD86FC9-67C2-419F-B5B1-C1FB6A365B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TH12 = TH08/M08 * M12</t>
        </r>
      </text>
    </comment>
    <comment ref="F90" authorId="0" shapeId="0" xr:uid="{BE118818-9E04-4574-A789-7C4FD2B2EE1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LB13 = (LB26S/LB26N * LB13n) + LB13n
Used 2/26 full count</t>
        </r>
      </text>
    </comment>
    <comment ref="F91" authorId="0" shapeId="0" xr:uid="{6668EA15-8AE0-4703-97A4-1B5C3EF9BAD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LB14 = LB09/C09 * C14</t>
        </r>
      </text>
    </comment>
    <comment ref="H91" authorId="0" shapeId="0" xr:uid="{76794102-DC10-499B-9FC5-A6BD624A7B6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TH14 = TH09/C09 * C14</t>
        </r>
      </text>
    </comment>
    <comment ref="F93" authorId="0" shapeId="0" xr:uid="{61501675-E4F2-486C-8F74-BC9FFBD69F3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 = (LB26S/LB26N * LB26n) + LB26n
Used 2/26 full count</t>
        </r>
      </text>
    </comment>
    <comment ref="H93" authorId="0" shapeId="0" xr:uid="{02C4AD6C-69C9-444A-B416-5A9DC5731C9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TH26 = TH30/LB30 * LB26</t>
        </r>
      </text>
    </comment>
    <comment ref="F94" authorId="0" shapeId="0" xr:uid="{F4C952B1-0540-4FB5-8DCF-9386BDA421E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LB27=LB30/TH30 * TH27</t>
        </r>
      </text>
    </comment>
    <comment ref="H94" authorId="0" shapeId="0" xr:uid="{EDDFBDF6-E706-4383-912D-E826B30FC57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TH27 = TH03/M03 * M27</t>
        </r>
      </text>
    </comment>
    <comment ref="F95" authorId="0" shapeId="0" xr:uid="{4225A5FA-A916-4B5B-BD1C-C91B92ADBDB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LB28 = (LB26S/LB26N * LB28n) + LB28n
Used 2/26 full count</t>
        </r>
      </text>
    </comment>
    <comment ref="H95" authorId="0" shapeId="0" xr:uid="{CA885EE3-87E2-47E8-8008-39CD8E9D500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TH28 = TH02/LB02 * LB28</t>
        </r>
      </text>
    </comment>
    <comment ref="F96" authorId="0" shapeId="0" xr:uid="{8D44CFA9-D7C5-4DDB-8AE8-07BDCB9D0F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LB29 = LB28/C28 * C29</t>
        </r>
      </text>
    </comment>
    <comment ref="H96" authorId="0" shapeId="0" xr:uid="{1CA73228-32BE-493A-AE1E-8B494671E46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TH29 = TH02/C02 * C29</t>
        </r>
      </text>
    </comment>
    <comment ref="F97" authorId="0" shapeId="0" xr:uid="{A4409573-23F1-4BB0-B142-473D071D3A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LB30 = (LB26S/LB26N * LB30n) + LB30n
Used 2/26 full count</t>
        </r>
      </text>
    </comment>
    <comment ref="F98" authorId="0" shapeId="0" xr:uid="{03F34417-C606-4D82-ADD6-216B5C22CA4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LB31 = LB30/M30 * M31</t>
        </r>
      </text>
    </comment>
    <comment ref="H98" authorId="0" shapeId="0" xr:uid="{A84DF28D-6350-42E2-95CE-ABCE3DDBDA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TH31 = TH03/M03 * M31</t>
        </r>
      </text>
    </comment>
    <comment ref="F99" authorId="0" shapeId="0" xr:uid="{B19BAA8D-D1D4-46C1-A5AE-E7129589382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LB01 = LB02/C02 * C01</t>
        </r>
      </text>
    </comment>
    <comment ref="F100" authorId="0" shapeId="0" xr:uid="{0AD42AB7-4B35-4134-AEC7-FCF562A2858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LB26 = (LB26N/LB26S * LB26s) + LB26s
Used 2/26 full count</t>
        </r>
      </text>
    </comment>
    <comment ref="F101" authorId="0" shapeId="0" xr:uid="{FCC6B67F-89FD-4A80-AC17-53C47EDF772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LB03=LB30/TH30 * TH03</t>
        </r>
      </text>
    </comment>
    <comment ref="F103" authorId="0" shapeId="0" xr:uid="{654B6266-D7F4-4D78-9964-C6005080151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LB12 = LB15/M15 * M12</t>
        </r>
      </text>
    </comment>
    <comment ref="F104" authorId="0" shapeId="0" xr:uid="{329D186C-11EA-4345-A3D3-F70E6BDE725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LB13 = (LB17s/LB17n * LB13n) + LB13n
Used 4/17 full count</t>
        </r>
      </text>
    </comment>
    <comment ref="H104" authorId="0" shapeId="0" xr:uid="{1706499E-9D4A-47D8-8B81-4BE150236748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TH13 = TH17/LB17 * LB13</t>
        </r>
      </text>
    </comment>
    <comment ref="F105" authorId="0" shapeId="0" xr:uid="{0A713A62-BCB0-41E7-9E4A-9ED273F32EFC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LB14 = LB17/C17 * C14</t>
        </r>
      </text>
    </comment>
    <comment ref="F106" authorId="0" shapeId="0" xr:uid="{4425A7CA-3593-4BA4-A431-1BA503543684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LB15 = (LB17s/LB17n * LB15n) + LB15n
Used 4/17 full count</t>
        </r>
      </text>
    </comment>
    <comment ref="H106" authorId="0" shapeId="0" xr:uid="{A8C757D2-3408-4BBE-9107-8D056E5497CD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TH15 = TH12/M12 * M15</t>
        </r>
      </text>
    </comment>
    <comment ref="F107" authorId="0" shapeId="0" xr:uid="{F1108CDC-DEA5-42B9-BCE4-31438060F744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LB16 = LB15/M15 * M16</t>
        </r>
      </text>
    </comment>
    <comment ref="H107" authorId="0" shapeId="0" xr:uid="{1AF727F9-DF09-4555-939E-B145692A396F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TH16 = TH12/M12 * M16</t>
        </r>
      </text>
    </comment>
    <comment ref="F109" authorId="0" shapeId="0" xr:uid="{EA38C54B-3B52-4FEB-BD3F-4A1A6E280A6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LB18 = LB17/C17 * C18</t>
        </r>
      </text>
    </comment>
    <comment ref="H109" authorId="0" shapeId="0" xr:uid="{9ED20B63-2A01-4667-88D7-12574020329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TH18 = TH17/C17 * C18</t>
        </r>
      </text>
    </comment>
    <comment ref="F111" authorId="0" shapeId="0" xr:uid="{29B95E93-1207-40DF-BE75-087A14DE3F68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LB26 = (LB01s/LB01n * LB26n) + LB26n
Used 5/01 full count</t>
        </r>
      </text>
    </comment>
    <comment ref="F112" authorId="0" shapeId="0" xr:uid="{78F0F835-D3EC-4D09-8A40-C7FF58801D4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LB27 = (LB01s/LB01n * LB27n) + LB27n
Used 5/01 full count</t>
        </r>
      </text>
    </comment>
    <comment ref="H112" authorId="0" shapeId="0" xr:uid="{109F18E8-A196-45E4-98A8-ED928B15F339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TH27 = TH26/LB26 * LB27</t>
        </r>
      </text>
    </comment>
    <comment ref="F113" authorId="0" shapeId="0" xr:uid="{55D356EC-6384-4524-98AA-A1CD955312C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LB28 = LB27/M27 * M28</t>
        </r>
      </text>
    </comment>
    <comment ref="F114" authorId="0" shapeId="0" xr:uid="{B315C815-9320-401C-8A18-8CD8EA8CDA84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LB29 = LB26/C26 * C29</t>
        </r>
      </text>
    </comment>
    <comment ref="F115" authorId="0" shapeId="0" xr:uid="{CA9FA032-96BC-46C4-B1C6-2505CEE7CBB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LB30 = LB26/C26 * C30</t>
        </r>
      </text>
    </comment>
    <comment ref="H115" authorId="0" shapeId="0" xr:uid="{6A172CB0-BE88-4560-8A81-6A2949ABC460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TH30 = TH01/C01 * C30</t>
        </r>
      </text>
    </comment>
    <comment ref="F117" authorId="0" shapeId="0" xr:uid="{477FF25E-0344-4F4C-94D3-931520845D4F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LB02 = (LB01s/LB01n * LB02n) + LB02n
Used 5/01 full count</t>
        </r>
      </text>
    </comment>
    <comment ref="H117" authorId="0" shapeId="0" xr:uid="{E90951D3-5427-40E7-B454-B4F78F6124A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TH02 = TH03/M03 * M02</t>
        </r>
      </text>
    </comment>
    <comment ref="F118" authorId="0" shapeId="0" xr:uid="{FCE6100D-4D19-4A59-BA48-4D1E1C890FA6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LB03 = LB27/M27 * M03</t>
        </r>
      </text>
    </comment>
    <comment ref="F120" authorId="0" shapeId="0" xr:uid="{DBDEFB99-FBC8-4713-BFF9-3842EB67363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LB10 = (LB01s/LB01n * LB10n) + LB10n
Used 5/01 full count</t>
        </r>
      </text>
    </comment>
    <comment ref="F121" authorId="0" shapeId="0" xr:uid="{89B8650E-8F6E-4520-B89D-9A5B7C3D6338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LB11 = LB10/TH10 * TH11</t>
        </r>
      </text>
    </comment>
    <comment ref="F122" authorId="0" shapeId="0" xr:uid="{86FA1017-6302-4E3F-92BD-587285D004E7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LB12 = LB15/M15 * M12</t>
        </r>
      </text>
    </comment>
    <comment ref="H122" authorId="0" shapeId="0" xr:uid="{DB678526-35A1-42D7-A41D-0CCA4C37B535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TH12 = TH11/M11 * M12</t>
        </r>
      </text>
    </comment>
    <comment ref="F123" authorId="0" shapeId="0" xr:uid="{F1D7D170-0F5C-405D-AF89-A6938B5AFA2E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LB13 = (LB15s/LB15n * LB13n) + LB13n
Used 5/15 full count</t>
        </r>
      </text>
    </comment>
    <comment ref="H123" authorId="0" shapeId="0" xr:uid="{C5932219-1762-4788-A029-838A4A8558BB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TH13 = TH14/C14 * C13</t>
        </r>
      </text>
    </comment>
    <comment ref="F124" authorId="0" shapeId="0" xr:uid="{F5CC1152-9306-47CE-9C30-DE17DB9A3C2A}">
      <text>
        <r>
          <rPr>
            <b/>
            <sz val="9"/>
            <color indexed="81"/>
            <rFont val="Tahoma"/>
            <charset val="1"/>
          </rPr>
          <t>Blumenthal, Bryce W (DFW):</t>
        </r>
        <r>
          <rPr>
            <sz val="9"/>
            <color indexed="81"/>
            <rFont val="Tahoma"/>
            <charset val="1"/>
          </rPr>
          <t xml:space="preserve">
LB14 = LB10/C10 * C14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3" authorId="0" shapeId="0" xr:uid="{0BBB2BA1-0B30-4114-A2F3-470B7ABE382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3" authorId="0" shapeId="0" xr:uid="{E53C98C7-C530-4B23-8B81-3BA48DEB6E6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4" authorId="0" shapeId="0" xr:uid="{E1BC6866-6DD8-4ED6-AF57-CEDBDC07E96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5" authorId="0" shapeId="0" xr:uid="{0C5E0DA6-04AA-48A5-89F6-C360CA611D7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5" authorId="0" shapeId="0" xr:uid="{A2DA1294-C788-4FCE-8F9B-7E7AD1FF2F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6" authorId="0" shapeId="0" xr:uid="{C83913A7-623B-4F4C-BBDB-36F67DCC3A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8" authorId="0" shapeId="0" xr:uid="{BA09CA96-EA8F-40B3-95D7-CAEC031379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H9" authorId="0" shapeId="0" xr:uid="{B6A02F36-9A3F-46DC-8DBF-CB172A398A9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0" authorId="0" shapeId="0" xr:uid="{CCB0B610-1A38-4852-A60A-07188A9858F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1" authorId="0" shapeId="0" xr:uid="{897C6DE1-A0EE-4E87-9107-F66B927DA20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3.5 clams/digger from the north beach count assumed for all beach.</t>
        </r>
      </text>
    </comment>
    <comment ref="F12" authorId="0" shapeId="0" xr:uid="{A63EA4D5-1649-4EA8-AC4E-050D0FFC72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11.3 clams/digger from the north beach count assumed for all beach.</t>
        </r>
      </text>
    </comment>
    <comment ref="H12" authorId="0" shapeId="0" xr:uid="{05AC4690-7E93-4D89-92D7-1CCCB41A5E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9.0 clams/digger based on other beach success</t>
        </r>
      </text>
    </comment>
    <comment ref="F13" authorId="0" shapeId="0" xr:uid="{07F06F1E-CBFB-4ED4-B7A7-1BD888BD572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13" authorId="0" shapeId="0" xr:uid="{420EBA57-BEF7-4FF3-BE3E-D8315D4B694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4" authorId="0" shapeId="0" xr:uid="{C3F26325-9370-465F-83CC-F21A181BC11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14" authorId="0" shapeId="0" xr:uid="{3FC05F3C-DBDB-4841-88FC-BC307021E36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16" authorId="0" shapeId="0" xr:uid="{1C647650-BC82-4074-A46B-04C690BBC36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F17" authorId="0" shapeId="0" xr:uid="{858BC707-2897-4218-8A5B-2238FAE4CF0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F18" authorId="0" shapeId="0" xr:uid="{368730C8-5B71-428F-ABEA-462614D229B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5.2 clams/digger from the north beach count assumed for all beach.</t>
        </r>
      </text>
    </comment>
    <comment ref="F19" authorId="0" shapeId="0" xr:uid="{3DC5CEC5-0AF0-4B62-81D4-A4CA006E9B6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9.0 clams/digger based on other beach success</t>
        </r>
      </text>
    </comment>
    <comment ref="H19" authorId="0" shapeId="0" xr:uid="{A48BA249-F752-4681-921D-8A1ED5688E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9.0 clams/digger based on other beach success</t>
        </r>
      </text>
    </comment>
    <comment ref="F20" authorId="0" shapeId="0" xr:uid="{765C7807-B5CA-48B0-B264-94D4044F98A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H22" authorId="0" shapeId="0" xr:uid="{4B98FB90-DED6-4358-9904-F43C18C90AF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F25" authorId="0" shapeId="0" xr:uid="{88B8A87E-489E-4E15-AFD0-F3055E4D3AC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2.5 clams/digger based on other beach success</t>
        </r>
      </text>
    </comment>
    <comment ref="F26" authorId="0" shapeId="0" xr:uid="{30C88CF8-6F10-4076-8F31-A68D0CEECD8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H26" authorId="0" shapeId="0" xr:uid="{008DDB81-8E6F-463E-ADC9-1A1FA0CC167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10.5 clams/digger based on other beach success</t>
        </r>
      </text>
    </comment>
    <comment ref="H27" authorId="0" shapeId="0" xr:uid="{3AD66D83-95BC-4775-96A0-2D7037CABA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8.0 clams/digger based on other beach success</t>
        </r>
      </text>
    </comment>
    <comment ref="F28" authorId="0" shapeId="0" xr:uid="{194BFB0B-CED5-4EAA-943E-EE671E6D229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11.5 clams/digger based on other beach success</t>
        </r>
      </text>
    </comment>
    <comment ref="F30" authorId="0" shapeId="0" xr:uid="{1B835A91-9AB7-49CD-814A-B0A9B17D50B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31" authorId="0" shapeId="0" xr:uid="{E6BC2786-8A4C-496E-9452-BFFD7661233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32" authorId="0" shapeId="0" xr:uid="{530EB41A-D535-41C3-BFE8-59B7D172186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33" authorId="0" shapeId="0" xr:uid="{735C609D-3F5B-4F00-AF33-3F93C109C7A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34" authorId="0" shapeId="0" xr:uid="{FA908BEB-61FD-455D-9D9A-C1B97897E05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35" authorId="0" shapeId="0" xr:uid="{FBCAB81E-BC7C-4134-8900-374E86D9945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36" authorId="0" shapeId="0" xr:uid="{DC553299-5F29-4FCE-85FD-ADA56956579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H36" authorId="0" shapeId="0" xr:uid="{AB2F67F1-7A49-4431-A3CC-1E7E8D36BC2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F39" authorId="0" shapeId="0" xr:uid="{E30B0984-8651-40F5-A7D6-A9B325FEEB7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13.3 clams/digger from the north beach count assumed for all beach.</t>
        </r>
      </text>
    </comment>
    <comment ref="H39" authorId="0" shapeId="0" xr:uid="{8D26CF35-A3C8-488F-8EE4-FCF4302A277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40" authorId="0" shapeId="0" xr:uid="{221B865C-2803-4E2B-85B0-92FBE8C8DCB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6.0 clams/digger based on other beach success</t>
        </r>
      </text>
    </comment>
    <comment ref="H40" authorId="0" shapeId="0" xr:uid="{5FE18E97-2E17-4369-B5DB-9C24A7B9897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6.0 clams/digger based on other beach success</t>
        </r>
      </text>
    </comment>
    <comment ref="F41" authorId="0" shapeId="0" xr:uid="{55633079-BF32-486A-AA28-3884AB0C4C6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6.0 clams/digger based on other beach success</t>
        </r>
      </text>
    </comment>
    <comment ref="F42" authorId="0" shapeId="0" xr:uid="{45427621-6495-4AB0-82E0-8BFF5B6FC8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9.6 clams/digger from the north beach count assumed for all beach.</t>
        </r>
      </text>
    </comment>
    <comment ref="H42" authorId="0" shapeId="0" xr:uid="{A8003C53-BFF2-4C4E-92DB-11048DAD29C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F43" authorId="0" shapeId="0" xr:uid="{9A6C2CD9-3E3B-4C6F-A0D0-02C8BD01660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CPUE of 2.0 clams per person due to difficult digging conditions</t>
        </r>
      </text>
    </comment>
    <comment ref="H43" authorId="0" shapeId="0" xr:uid="{F206C0D6-2484-4C44-B367-05C46423D43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CPUE of 2.0 clams per person due to difficult digging conditions</t>
        </r>
      </text>
    </comment>
    <comment ref="L43" authorId="0" shapeId="0" xr:uid="{B2B61165-AF05-4E36-BEE8-4658A81E765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CPUE of 2.0 clams per person due to difficult digging conditions</t>
        </r>
      </text>
    </comment>
    <comment ref="F44" authorId="0" shapeId="0" xr:uid="{083ACEC6-0243-4083-823C-B1788DDA2B5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L44" authorId="0" shapeId="0" xr:uid="{95D30389-8063-4931-91D9-DCFE103AD06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F46" authorId="0" shapeId="0" xr:uid="{60940770-3EA0-4AA9-A76F-B556B30A6DE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2.8 clams/digger from the north beach count assumed for all beach.</t>
        </r>
      </text>
    </comment>
    <comment ref="F47" authorId="0" shapeId="0" xr:uid="{37E047A0-4618-453F-921C-0ABBB4793FF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48" authorId="0" shapeId="0" xr:uid="{112C85AD-D96E-4559-8C2D-C276C0FA81B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12.7 clams/digger from the north beach count assumed for all beach.</t>
        </r>
      </text>
    </comment>
    <comment ref="H48" authorId="0" shapeId="0" xr:uid="{66346E33-A894-41C2-A528-190DE0AAAD8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L48" authorId="0" shapeId="0" xr:uid="{5302305F-2025-4B5C-9E7A-81AC3C995C3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49" authorId="0" shapeId="0" xr:uid="{5CBEE85B-CB47-4DE8-9712-FADA9DE31C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H49" authorId="0" shapeId="0" xr:uid="{53982C74-80A5-4F16-AAC9-5A95FED9615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50" authorId="0" shapeId="0" xr:uid="{17667E31-A48E-4A85-AC72-89CE0B72F46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H50" authorId="0" shapeId="0" xr:uid="{6ADB5ECA-1148-4119-ABB7-C51DCAF778C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2.0 clams/digger based on other beach success</t>
        </r>
      </text>
    </comment>
    <comment ref="F51" authorId="0" shapeId="0" xr:uid="{733BB89A-8449-491C-9B06-9292A87ABD4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3.9 clams/digger from the north beach count assumed for all beach.</t>
        </r>
      </text>
    </comment>
    <comment ref="L51" authorId="0" shapeId="0" xr:uid="{A551867B-B15D-4A0A-9461-CE92D6F3D7E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7.5 clams/digger based on other beach success</t>
        </r>
      </text>
    </comment>
    <comment ref="F52" authorId="0" shapeId="0" xr:uid="{9C38D749-8E0B-445A-96F2-2D79CB0D9D3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CPUE of 2.5 clams per person due to difficult digging conditions</t>
        </r>
      </text>
    </comment>
    <comment ref="H52" authorId="0" shapeId="0" xr:uid="{E749D7D9-A5D5-400F-8D65-5BD2072BEF4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CPUE of 2.5 clams per person due to difficult digging conditions</t>
        </r>
      </text>
    </comment>
    <comment ref="L52" authorId="0" shapeId="0" xr:uid="{DECBC01C-A1DB-4E98-8702-B394452FDCD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CPUE of 2.5 clams per person due to difficult digging conditions</t>
        </r>
      </text>
    </comment>
    <comment ref="H54" authorId="0" shapeId="0" xr:uid="{C366E2BB-9A26-4AEF-AA15-4BC29B30DE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7.5 clams/digger based on other beach success</t>
        </r>
      </text>
    </comment>
    <comment ref="F55" authorId="0" shapeId="0" xr:uid="{7F609022-E0DE-4921-9962-CD9E5058D98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56" authorId="0" shapeId="0" xr:uid="{71DB8EAA-7821-4882-AB1D-ED6352E1975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13.5 clams/digger based on other beach success</t>
        </r>
      </text>
    </comment>
    <comment ref="F57" authorId="0" shapeId="0" xr:uid="{B426A793-9D7D-4D16-909C-4E7C05553F5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11.5 clams/digger based on other beach success</t>
        </r>
      </text>
    </comment>
    <comment ref="H57" authorId="0" shapeId="0" xr:uid="{BDDF8DCE-4AF7-4EA9-8A29-83250B6C0B0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11.5 clams/digger based on other beach success</t>
        </r>
      </text>
    </comment>
    <comment ref="F58" authorId="0" shapeId="0" xr:uid="{9387D6F2-3F29-4FD7-921F-2A62498ABAE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H58" authorId="0" shapeId="0" xr:uid="{E64EA60A-D20F-4C1B-BC60-FE2AFC8FFC9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F60" authorId="0" shapeId="0" xr:uid="{D42E99C0-093B-472B-8F82-4D68022D6EE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H60" authorId="0" shapeId="0" xr:uid="{5EBD486D-033E-4E08-A23B-2C2B86F3004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F62" authorId="0" shapeId="0" xr:uid="{8A086A35-3D59-480A-9916-1D8AF95E6EF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63" authorId="0" shapeId="0" xr:uid="{0728976D-72BD-4AF3-BB8D-4184CF8F90C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63" authorId="0" shapeId="0" xr:uid="{E772CDBC-F106-4834-91CB-5B5F6ECEDA6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64" authorId="0" shapeId="0" xr:uid="{8B1A4638-358E-41C1-A7FA-129C719D45A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64" authorId="0" shapeId="0" xr:uid="{A867D2F8-FD2B-4CE6-B0A4-762FEF6D1DE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66" authorId="0" shapeId="0" xr:uid="{E83C7A48-517B-452D-967D-456F9B1AF12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H66" authorId="0" shapeId="0" xr:uid="{028D0B48-6AA5-4587-802F-7697627B16D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67" authorId="0" shapeId="0" xr:uid="{FC48B95B-CCBE-4234-ACA3-FAE08ED11BB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14.5 clams/digger from the north beach count assumed for all beach.</t>
        </r>
      </text>
    </comment>
    <comment ref="H67" authorId="0" shapeId="0" xr:uid="{352144D9-375A-4DE1-962B-6E87AF17872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7.5 clams/digger based on other beach success</t>
        </r>
      </text>
    </comment>
    <comment ref="F68" authorId="0" shapeId="0" xr:uid="{051AF947-4718-4731-81D3-DA4811A7383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70" authorId="0" shapeId="0" xr:uid="{0ECB2100-C84B-4032-900D-9C1CCC30901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71" authorId="0" shapeId="0" xr:uid="{3BAB4007-5253-436C-B4EE-DDEEA231351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71" authorId="0" shapeId="0" xr:uid="{507A1138-0150-43AE-A87C-86604353D33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72" authorId="0" shapeId="0" xr:uid="{F357EB34-0A39-40E0-999C-414243ABB97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14.7 clams/digger from the north beach count assumed for all beach.</t>
        </r>
      </text>
    </comment>
    <comment ref="H72" authorId="0" shapeId="0" xr:uid="{5D77A392-CADF-4C74-ABA4-BFDB4258571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73" authorId="0" shapeId="0" xr:uid="{E2355BA9-D3A3-4483-B748-5D9A53382C4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south beach count assumed for all beach.</t>
        </r>
      </text>
    </comment>
    <comment ref="F74" authorId="0" shapeId="0" xr:uid="{8A51E86D-4154-4502-A034-81CEBC790FB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74" authorId="0" shapeId="0" xr:uid="{28D9779C-293C-404A-B52C-D33DB6AB08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75" authorId="0" shapeId="0" xr:uid="{10943E9D-B11D-47C3-8F1C-443869816A4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6.5 clams/digger based on other beach success</t>
        </r>
      </text>
    </comment>
    <comment ref="F76" authorId="0" shapeId="0" xr:uid="{DDC80C65-8D6D-41BD-9BF5-DD2C12BAD78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H76" authorId="0" shapeId="0" xr:uid="{0692F9E5-1A27-4A41-9E73-B410C2C05A3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F78" authorId="0" shapeId="0" xr:uid="{E30AD8FF-04E0-4A7F-A90B-B6784FCC6DC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H78" authorId="0" shapeId="0" xr:uid="{D3BDDFD2-A132-42D5-9034-3EF3F119963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5.0 clams/digger based on other beach success</t>
        </r>
      </text>
    </comment>
    <comment ref="F79" authorId="0" shapeId="0" xr:uid="{7513823C-253D-46D6-B801-028ED5AF12D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H79" authorId="0" shapeId="0" xr:uid="{C7F80484-E578-435F-8B46-8CABD8A563E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12.5 clams/digger based on other beach success</t>
        </r>
      </text>
    </comment>
    <comment ref="F81" authorId="0" shapeId="0" xr:uid="{C3188DEE-E3B6-4602-BC23-55194DE2BB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14.6 clams/digger from the north beach count assumed for all beach.</t>
        </r>
      </text>
    </comment>
    <comment ref="F82" authorId="0" shapeId="0" xr:uid="{9C054665-31DC-45E9-81FF-9A995562C2B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13.8 clams/digger from the north beach count assumed for all beach.</t>
        </r>
      </text>
    </comment>
    <comment ref="H82" authorId="0" shapeId="0" xr:uid="{BC14096C-67AB-4F0F-A577-FC9F0B35D33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83" authorId="0" shapeId="0" xr:uid="{B30EFA7D-1AD0-4136-9CC3-5F1AA0137DA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4.0 clams/digger based on other beach success</t>
        </r>
      </text>
    </comment>
    <comment ref="F85" authorId="0" shapeId="0" xr:uid="{DB5FA825-B42F-47DA-98C2-C6FF5ACEEFA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8.0 clams/digger based on other beach success</t>
        </r>
      </text>
    </comment>
    <comment ref="F86" authorId="0" shapeId="0" xr:uid="{2885723A-FF03-4B8D-AE30-D48065B335B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5.0 clams/digger from the north beach count assumed for all beach.</t>
        </r>
      </text>
    </comment>
    <comment ref="F87" authorId="0" shapeId="0" xr:uid="{C53FE8A0-64F7-4727-BD8E-79BD4D69623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H87" authorId="0" shapeId="0" xr:uid="{0AAC425F-263D-4B9C-B525-D7E7048B305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88" authorId="0" shapeId="0" xr:uid="{286AF212-25AB-418F-B218-55B6694B339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14.2 clams/digger from the north beach count assumed for all beach.</t>
        </r>
      </text>
    </comment>
    <comment ref="F89" authorId="0" shapeId="0" xr:uid="{503ADC38-B07C-45A5-86D5-D171FBE1B8E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H89" authorId="0" shapeId="0" xr:uid="{9DF9D46E-22DB-46BE-ADDC-EA7EA283087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F90" authorId="0" shapeId="0" xr:uid="{6FA9B86E-CD8F-4EA0-B211-C13F2855F3E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3.8 clams/digger from the north beach count assumed for all beach.</t>
        </r>
      </text>
    </comment>
    <comment ref="F91" authorId="0" shapeId="0" xr:uid="{02C0C292-0924-4E9A-8858-BAF7F942C5F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11.0 clams/digger based on other beach success</t>
        </r>
      </text>
    </comment>
    <comment ref="H91" authorId="0" shapeId="0" xr:uid="{88AC6300-66ED-4CCE-91D1-FF486D7698E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11.0 clams/digger based on other beach success</t>
        </r>
      </text>
    </comment>
    <comment ref="F93" authorId="0" shapeId="0" xr:uid="{83BD3DE7-E223-40A1-BC80-497FF28B010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9.8 clams/digger from the north beach count assumed for all beach.</t>
        </r>
      </text>
    </comment>
    <comment ref="H93" authorId="0" shapeId="0" xr:uid="{8B9926F1-4BE2-4734-A152-5C61D04CE1D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10.0 clams/digger based on other beach success</t>
        </r>
      </text>
    </comment>
    <comment ref="F94" authorId="0" shapeId="0" xr:uid="{9A038057-E33A-4B24-85A4-7B522761CD1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H94" authorId="0" shapeId="0" xr:uid="{3947904C-DFCD-4A2A-A2AB-FB9794F1E2E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12.0 clams/digger based on other beach success</t>
        </r>
      </text>
    </comment>
    <comment ref="F95" authorId="0" shapeId="0" xr:uid="{4914F3DC-88BA-45BC-8088-AD746F13C71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3.6 clams/digger from the north beach count assumed for all beach.</t>
        </r>
      </text>
    </comment>
    <comment ref="H95" authorId="0" shapeId="0" xr:uid="{E1C67C34-9AD9-49FB-8849-ACE979A587A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11.0 clams/digger based on other beach success</t>
        </r>
      </text>
    </comment>
    <comment ref="F96" authorId="0" shapeId="0" xr:uid="{69620DC2-5E3F-4C5C-A630-D4553EA319B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11.0 clams/digger based on other beach success</t>
        </r>
      </text>
    </comment>
    <comment ref="H96" authorId="0" shapeId="0" xr:uid="{746A496A-3860-4406-9050-F1106E879D1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11.0 clams/digger based on other beach success</t>
        </r>
      </text>
    </comment>
    <comment ref="F97" authorId="0" shapeId="0" xr:uid="{6386AE7B-9F88-4FAF-A0B7-90381DFA00F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14.7 clams/digger from the north beach count assumed for all beach.</t>
        </r>
      </text>
    </comment>
    <comment ref="F98" authorId="0" shapeId="0" xr:uid="{63DB518F-CF5B-455E-AB12-901ADA64713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H98" authorId="0" shapeId="0" xr:uid="{3AB597FA-86FF-4292-8471-8DAC57660C5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99" authorId="0" shapeId="0" xr:uid="{87A0B8BB-5909-47A8-B4E4-0E6016D83AD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00" authorId="0" shapeId="0" xr:uid="{BC0BBB73-81AC-439D-B247-A154DAE2CB1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south beach count assumed for all beach.</t>
        </r>
      </text>
    </comment>
    <comment ref="F101" authorId="0" shapeId="0" xr:uid="{4480350B-204E-4451-96BC-1D083BD98FB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03" authorId="0" shapeId="0" xr:uid="{15EE63B3-117D-470F-BDAC-56C0A945716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104" authorId="0" shapeId="0" xr:uid="{3F110B60-63E2-4F6F-836B-1FE770CC39B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104" authorId="0" shapeId="0" xr:uid="{124B8971-6D27-4A0E-902B-4D871F4DE0A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05" authorId="0" shapeId="0" xr:uid="{F23424D4-193C-4154-BA37-A25D6AF0D9F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06" authorId="0" shapeId="0" xr:uid="{7D985B08-A300-4AAD-B090-A077A67D08D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106" authorId="0" shapeId="0" xr:uid="{B60DF945-55CA-4025-AC5F-7738F6431CF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07" authorId="0" shapeId="0" xr:uid="{A2A5568D-D541-4132-8160-4B7045B627B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H107" authorId="0" shapeId="0" xr:uid="{31A7F8CC-03C2-4165-9A4B-12EAB9F2902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13.0 clams/digger based on other beach success</t>
        </r>
      </text>
    </comment>
    <comment ref="F109" authorId="0" shapeId="0" xr:uid="{5347BBC5-9304-4154-B217-E5494425B2D4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H109" authorId="0" shapeId="0" xr:uid="{2F1F2B85-79A2-4C21-A23C-C9DBA5F36B6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111" authorId="0" shapeId="0" xr:uid="{92397A05-A117-48E6-BF86-D1B09DBAB39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14.5 clams/digger from the north beach count assumed for all beach.</t>
        </r>
      </text>
    </comment>
    <comment ref="F112" authorId="0" shapeId="0" xr:uid="{4F064F64-1A44-4126-B239-89D379368B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14.3 clams/digger from the north beach count assumed for all beach.</t>
        </r>
      </text>
    </comment>
    <comment ref="H112" authorId="0" shapeId="0" xr:uid="{69B8601E-2675-4691-B57C-B9FC08ABD44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113" authorId="0" shapeId="0" xr:uid="{1C06A2C1-C84F-4186-8B89-2FAD4C447AF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114" authorId="0" shapeId="0" xr:uid="{0E9F735E-90E3-47D6-B733-D75A4E337E4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115" authorId="0" shapeId="0" xr:uid="{E7D4C9C3-073A-4F25-9014-A49DD46D884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115" authorId="0" shapeId="0" xr:uid="{5A40F50D-5C37-422B-A93F-E145F605653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17" authorId="0" shapeId="0" xr:uid="{B7847A2C-35E9-438F-AE84-90F076B0067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14.3 clams/digger from the north beach count assumed for all beach.</t>
        </r>
      </text>
    </comment>
    <comment ref="H117" authorId="0" shapeId="0" xr:uid="{463C1E5F-10CA-4C95-A378-AA4099B11E7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18" authorId="0" shapeId="0" xr:uid="{0D4A0DA6-7616-4A32-95BB-E0BF7A3978A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14.0 clams/digger based on other beach success</t>
        </r>
      </text>
    </comment>
    <comment ref="F120" authorId="0" shapeId="0" xr:uid="{18BE5304-1B55-4D8A-B854-C80FDE7A64B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F121" authorId="0" shapeId="0" xr:uid="{99EB9547-263E-4118-B6B0-B3C46813F22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22" authorId="0" shapeId="0" xr:uid="{DB46373E-575D-4416-8DF0-242687AAFCC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H122" authorId="0" shapeId="0" xr:uid="{7903BCD3-A392-4E3A-8A20-5D27D8E428A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15.0 clams/digger based on other beach success</t>
        </r>
      </text>
    </comment>
    <comment ref="F123" authorId="0" shapeId="0" xr:uid="{26F7AC7B-10A4-4760-91FB-1EC07E0E586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15.0 clams/digger from the north beach count assumed for all beach.</t>
        </r>
      </text>
    </comment>
    <comment ref="H123" authorId="0" shapeId="0" xr:uid="{D55BD27A-D250-4861-858C-A4DE45D8F13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F124" authorId="0" shapeId="0" xr:uid="{2E88FA77-9F44-48F4-8466-2A12D70AE5D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  <comment ref="H125" authorId="0" shapeId="0" xr:uid="{C3BD1BAA-3B09-4F3E-B27C-E806CCDA913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14.5 clams/digger based on other beach success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L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M4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L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M5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L6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M6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L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M7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L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M8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<sst xmlns="http://schemas.openxmlformats.org/spreadsheetml/2006/main" count="2941" uniqueCount="88">
  <si>
    <t>Date</t>
  </si>
  <si>
    <t>Day</t>
  </si>
  <si>
    <t>Tide</t>
  </si>
  <si>
    <t>Time</t>
  </si>
  <si>
    <t>Longbeach</t>
  </si>
  <si>
    <t>Twin Harbors</t>
  </si>
  <si>
    <t>Copalis</t>
  </si>
  <si>
    <t>Mocrocks</t>
  </si>
  <si>
    <t>Kalaloch</t>
  </si>
  <si>
    <t>Daily Totals</t>
  </si>
  <si>
    <t>CLOSED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</si>
  <si>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</si>
  <si>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</si>
  <si>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</si>
  <si>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</si>
  <si>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</si>
  <si>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</si>
  <si>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** - No beach count. Used data from another day with similar conditions to estimate count.</t>
  </si>
  <si>
    <t>Fri</t>
  </si>
  <si>
    <t>Sat</t>
  </si>
  <si>
    <t>Sun</t>
  </si>
  <si>
    <t>Mon</t>
  </si>
  <si>
    <t>Thu</t>
  </si>
  <si>
    <t>SEASON TOTALS :</t>
  </si>
  <si>
    <t># - Tide is not low enough for decent digging opportunity</t>
  </si>
  <si>
    <t>Effort</t>
  </si>
  <si>
    <t>Harvest</t>
  </si>
  <si>
    <t>CPUE</t>
  </si>
  <si>
    <t>NON-TRIBAL TOTAL ALLOWABLE CATCH (TAC)</t>
  </si>
  <si>
    <t>2018-2019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</si>
  <si>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</si>
  <si>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</si>
  <si>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</si>
  <si>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</si>
  <si>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</si>
  <si>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</si>
  <si>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</si>
  <si>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</si>
  <si>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LONG BEACH</t>
  </si>
  <si>
    <t>TWIN HARBORS</t>
  </si>
  <si>
    <t>COPALIS</t>
  </si>
  <si>
    <t>MOCROCKS</t>
  </si>
  <si>
    <t>KALALOCH</t>
  </si>
  <si>
    <t>COASTWIDE TAC</t>
  </si>
  <si>
    <t>2019-2020</t>
  </si>
  <si>
    <t>DAILY TOTALS</t>
  </si>
  <si>
    <t>DATE</t>
  </si>
  <si>
    <t>DAY</t>
  </si>
  <si>
    <t>TIDE</t>
  </si>
  <si>
    <t>TIME</t>
  </si>
  <si>
    <t>Tide Series Totals</t>
  </si>
  <si>
    <t>SEASON SUBTOTALS:</t>
  </si>
  <si>
    <t>WASTAGE</t>
  </si>
  <si>
    <t>SEASON TOTALS:</t>
  </si>
  <si>
    <t>Size (mm)</t>
  </si>
  <si>
    <t>2020-2021</t>
  </si>
  <si>
    <t>2021-2022</t>
  </si>
  <si>
    <t>CROSS</t>
  </si>
  <si>
    <t>CHECK</t>
  </si>
  <si>
    <t>2022-2023</t>
  </si>
  <si>
    <t>2023-2024</t>
  </si>
  <si>
    <t>Tue</t>
  </si>
  <si>
    <t>Wed</t>
  </si>
  <si>
    <t>*</t>
  </si>
  <si>
    <t xml:space="preserve">FALL 2024 - SPRING 2025 SEASON TOTALS: </t>
  </si>
  <si>
    <t>2024-2025 State (non-Tribal) Recreational Razor Clam Effort, Harvest and CPUE totals.</t>
  </si>
  <si>
    <t>2024-2025</t>
  </si>
  <si>
    <t>LocationID</t>
  </si>
  <si>
    <t>NHoles</t>
  </si>
  <si>
    <t>NClams</t>
  </si>
  <si>
    <t>NMorts</t>
  </si>
  <si>
    <t>32007</t>
  </si>
  <si>
    <t>31005</t>
  </si>
  <si>
    <t>EventID</t>
  </si>
  <si>
    <t>22309</t>
  </si>
  <si>
    <t>Cross Checks</t>
  </si>
  <si>
    <t>22307</t>
  </si>
  <si>
    <t>21100</t>
  </si>
  <si>
    <t>12400</t>
  </si>
  <si>
    <t>41300</t>
  </si>
  <si>
    <t>41400</t>
  </si>
  <si>
    <t>42600</t>
  </si>
  <si>
    <t>41200</t>
  </si>
  <si>
    <t>42500</t>
  </si>
  <si>
    <t>33012</t>
  </si>
  <si>
    <t>32009</t>
  </si>
  <si>
    <t>21200</t>
  </si>
  <si>
    <t>12500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</si>
</sst>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ddd"/>
    <numFmt numFmtId="166" formatCode="0.0"/>
    <numFmt numFmtId="167" formatCode="[$-409]h:mm\ AM/PM;@"/>
    <numFmt numFmtId="168" formatCode="0.0%"/>
    <numFmt numFmtId="169" formatCode="#,##0.0_);\(#,##0.0\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2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b/>
      <i/>
      <sz val="10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0"/>
      </top>
      <bottom/>
      <diagonal/>
    </border>
  </borders>
  <cellStyleXfs count="3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8" fillId="0" borderId="0"/>
    <xf numFmtId="0" fontId="19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5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" fontId="18" fillId="0" borderId="0" applyFont="0" applyFill="0" applyBorder="0" applyAlignment="0" applyProtection="0"/>
    <xf numFmtId="0" fontId="1" fillId="0" borderId="0"/>
    <xf numFmtId="0" fontId="18" fillId="0" borderId="0">
      <alignment vertical="top"/>
    </xf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0" fontId="22" fillId="0" borderId="0">
      <alignment vertical="top"/>
    </xf>
    <xf numFmtId="4" fontId="18" fillId="0" borderId="0" applyFont="0" applyFill="0" applyBorder="0" applyAlignment="0" applyProtection="0"/>
    <xf numFmtId="0" fontId="23" fillId="0" borderId="0" applyNumberFormat="0" applyFont="0" applyFill="0" applyAlignment="0" applyProtection="0"/>
    <xf numFmtId="0" fontId="24" fillId="0" borderId="0" applyNumberFormat="0" applyFont="0" applyFill="0" applyAlignment="0" applyProtection="0"/>
    <xf numFmtId="0" fontId="18" fillId="0" borderId="32" applyNumberFormat="0" applyFont="0" applyBorder="0" applyAlignment="0" applyProtection="0"/>
    <xf numFmtId="0" fontId="1" fillId="0" borderId="0"/>
    <xf numFmtId="0" fontId="22" fillId="0" borderId="0">
      <alignment vertical="top"/>
    </xf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30" fillId="0" borderId="0"/>
  </cellStyleXfs>
  <cellXfs count="146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0" xfId="0" applyNumberFormat="1"/>
    <xf numFmtId="37" fontId="0" fillId="0" borderId="0" xfId="1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167" fontId="2" fillId="0" borderId="1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3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5" xfId="0" applyBorder="1"/>
    <xf numFmtId="3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3" fontId="0" fillId="3" borderId="8" xfId="0" applyNumberFormat="1" applyFill="1" applyBorder="1"/>
    <xf numFmtId="3" fontId="10" fillId="3" borderId="0" xfId="0" applyNumberFormat="1" applyFont="1" applyFill="1" applyAlignment="1">
      <alignment horizontal="center"/>
    </xf>
    <xf numFmtId="0" fontId="0" fillId="0" borderId="9" xfId="0" applyBorder="1"/>
    <xf numFmtId="3" fontId="0" fillId="0" borderId="10" xfId="0" applyNumberFormat="1" applyBorder="1"/>
    <xf numFmtId="0" fontId="11" fillId="0" borderId="11" xfId="0" applyFont="1" applyBorder="1"/>
    <xf numFmtId="3" fontId="0" fillId="0" borderId="12" xfId="0" applyNumberFormat="1" applyBorder="1"/>
    <xf numFmtId="10" fontId="0" fillId="0" borderId="0" xfId="2" quotePrefix="1" applyNumberFormat="1" applyFont="1" applyAlignment="1">
      <alignment horizontal="center"/>
    </xf>
    <xf numFmtId="0" fontId="12" fillId="0" borderId="17" xfId="0" applyFont="1" applyBorder="1"/>
    <xf numFmtId="0" fontId="12" fillId="0" borderId="18" xfId="0" applyFont="1" applyBorder="1"/>
    <xf numFmtId="0" fontId="12" fillId="0" borderId="17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16" fontId="12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3" fontId="12" fillId="0" borderId="22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166" fontId="12" fillId="0" borderId="23" xfId="0" applyNumberFormat="1" applyFont="1" applyBorder="1" applyAlignment="1">
      <alignment horizontal="center"/>
    </xf>
    <xf numFmtId="3" fontId="12" fillId="0" borderId="17" xfId="0" applyNumberFormat="1" applyFont="1" applyBorder="1"/>
    <xf numFmtId="3" fontId="12" fillId="0" borderId="21" xfId="0" applyNumberFormat="1" applyFont="1" applyBorder="1" applyAlignment="1">
      <alignment horizontal="center"/>
    </xf>
    <xf numFmtId="3" fontId="14" fillId="0" borderId="26" xfId="0" applyNumberFormat="1" applyFont="1" applyBorder="1" applyAlignment="1">
      <alignment horizontal="center"/>
    </xf>
    <xf numFmtId="3" fontId="14" fillId="0" borderId="24" xfId="0" applyNumberFormat="1" applyFont="1" applyBorder="1" applyAlignment="1">
      <alignment horizontal="center"/>
    </xf>
    <xf numFmtId="166" fontId="14" fillId="0" borderId="24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15" fillId="0" borderId="16" xfId="0" applyNumberFormat="1" applyFont="1" applyBorder="1"/>
    <xf numFmtId="166" fontId="2" fillId="0" borderId="1" xfId="0" applyNumberFormat="1" applyFont="1" applyBorder="1" applyAlignment="1">
      <alignment horizontal="center"/>
    </xf>
    <xf numFmtId="16" fontId="14" fillId="0" borderId="18" xfId="0" applyNumberFormat="1" applyFont="1" applyBorder="1" applyAlignment="1">
      <alignment horizontal="left"/>
    </xf>
    <xf numFmtId="0" fontId="14" fillId="0" borderId="18" xfId="0" applyFont="1" applyBorder="1"/>
    <xf numFmtId="3" fontId="14" fillId="0" borderId="18" xfId="0" applyNumberFormat="1" applyFont="1" applyBorder="1" applyAlignment="1">
      <alignment horizontal="center"/>
    </xf>
    <xf numFmtId="166" fontId="14" fillId="0" borderId="18" xfId="0" applyNumberFormat="1" applyFont="1" applyBorder="1" applyAlignment="1">
      <alignment horizontal="center"/>
    </xf>
    <xf numFmtId="16" fontId="14" fillId="0" borderId="0" xfId="0" applyNumberFormat="1" applyFont="1" applyAlignment="1">
      <alignment horizontal="left"/>
    </xf>
    <xf numFmtId="0" fontId="14" fillId="0" borderId="0" xfId="0" applyFont="1"/>
    <xf numFmtId="3" fontId="14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" fontId="14" fillId="0" borderId="27" xfId="0" applyNumberFormat="1" applyFont="1" applyBorder="1" applyAlignment="1">
      <alignment horizontal="left"/>
    </xf>
    <xf numFmtId="0" fontId="14" fillId="0" borderId="28" xfId="0" applyFont="1" applyBorder="1"/>
    <xf numFmtId="3" fontId="14" fillId="0" borderId="28" xfId="0" applyNumberFormat="1" applyFont="1" applyBorder="1" applyAlignment="1">
      <alignment horizontal="center"/>
    </xf>
    <xf numFmtId="166" fontId="14" fillId="0" borderId="28" xfId="0" applyNumberFormat="1" applyFont="1" applyBorder="1" applyAlignment="1">
      <alignment horizontal="center"/>
    </xf>
    <xf numFmtId="3" fontId="14" fillId="0" borderId="29" xfId="0" applyNumberFormat="1" applyFont="1" applyBorder="1" applyAlignment="1">
      <alignment horizontal="center"/>
    </xf>
    <xf numFmtId="0" fontId="16" fillId="0" borderId="30" xfId="0" applyFont="1" applyBorder="1" applyAlignment="1">
      <alignment horizontal="left"/>
    </xf>
    <xf numFmtId="0" fontId="14" fillId="0" borderId="1" xfId="0" applyFont="1" applyBorder="1"/>
    <xf numFmtId="168" fontId="14" fillId="0" borderId="1" xfId="0" applyNumberFormat="1" applyFont="1" applyBorder="1" applyAlignment="1">
      <alignment horizontal="center"/>
    </xf>
    <xf numFmtId="0" fontId="14" fillId="0" borderId="31" xfId="0" applyFont="1" applyBorder="1"/>
    <xf numFmtId="3" fontId="2" fillId="0" borderId="1" xfId="0" applyNumberFormat="1" applyFont="1" applyBorder="1" applyAlignment="1">
      <alignment horizontal="center"/>
    </xf>
    <xf numFmtId="3" fontId="0" fillId="0" borderId="0" xfId="1" applyNumberFormat="1" applyFont="1" applyBorder="1" applyAlignment="1">
      <alignment horizontal="center"/>
    </xf>
    <xf numFmtId="166" fontId="12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6" fontId="14" fillId="0" borderId="14" xfId="0" applyNumberFormat="1" applyFont="1" applyBorder="1" applyAlignment="1">
      <alignment horizontal="center"/>
    </xf>
    <xf numFmtId="37" fontId="0" fillId="0" borderId="0" xfId="0" applyNumberFormat="1" applyAlignment="1">
      <alignment horizontal="center"/>
    </xf>
    <xf numFmtId="16" fontId="14" fillId="0" borderId="0" xfId="0" applyNumberFormat="1" applyFont="1" applyAlignment="1">
      <alignment horizontal="center"/>
    </xf>
    <xf numFmtId="0" fontId="12" fillId="0" borderId="0" xfId="0" applyFont="1"/>
    <xf numFmtId="3" fontId="14" fillId="0" borderId="1" xfId="0" applyNumberFormat="1" applyFont="1" applyBorder="1"/>
    <xf numFmtId="3" fontId="14" fillId="0" borderId="31" xfId="0" applyNumberFormat="1" applyFont="1" applyBorder="1"/>
    <xf numFmtId="0" fontId="20" fillId="0" borderId="3" xfId="6" applyFont="1" applyFill="1" applyBorder="1" applyAlignment="1">
      <alignment horizontal="right" wrapText="1"/>
    </xf>
    <xf numFmtId="0" fontId="20" fillId="0" borderId="3" xfId="6" applyFont="1" applyFill="1" applyBorder="1" applyAlignment="1">
      <alignment wrapText="1"/>
    </xf>
    <xf numFmtId="0" fontId="0" fillId="0" borderId="0" xfId="0" applyProtection="1">
      <protection locked="0"/>
    </xf>
    <xf numFmtId="0" fontId="18" fillId="0" borderId="0" xfId="4" applyProtection="1">
      <protection locked="0"/>
    </xf>
    <xf numFmtId="166" fontId="12" fillId="0" borderId="0" xfId="0" applyNumberFormat="1" applyFont="1" applyBorder="1" applyAlignment="1">
      <alignment horizontal="center"/>
    </xf>
    <xf numFmtId="3" fontId="12" fillId="0" borderId="22" xfId="0" applyNumberFormat="1" applyFont="1" applyFill="1" applyBorder="1" applyAlignment="1">
      <alignment horizontal="center"/>
    </xf>
    <xf numFmtId="3" fontId="12" fillId="0" borderId="0" xfId="0" applyNumberFormat="1" applyFont="1" applyFill="1" applyAlignment="1">
      <alignment horizontal="center"/>
    </xf>
    <xf numFmtId="166" fontId="12" fillId="0" borderId="0" xfId="0" applyNumberFormat="1" applyFont="1" applyFill="1" applyAlignment="1">
      <alignment horizontal="center"/>
    </xf>
    <xf numFmtId="0" fontId="7" fillId="0" borderId="3" xfId="3" applyFont="1" applyFill="1" applyBorder="1" applyAlignment="1">
      <alignment horizontal="right" wrapText="1"/>
    </xf>
    <xf numFmtId="0" fontId="7" fillId="0" borderId="3" xfId="3" applyFont="1" applyFill="1" applyBorder="1" applyAlignment="1">
      <alignment wrapText="1"/>
    </xf>
    <xf numFmtId="0" fontId="25" fillId="0" borderId="0" xfId="29" applyProtection="1">
      <protection locked="0"/>
    </xf>
    <xf numFmtId="167" fontId="0" fillId="0" borderId="0" xfId="0" applyNumberFormat="1"/>
    <xf numFmtId="167" fontId="12" fillId="0" borderId="17" xfId="0" applyNumberFormat="1" applyFont="1" applyBorder="1"/>
    <xf numFmtId="167" fontId="12" fillId="0" borderId="18" xfId="0" applyNumberFormat="1" applyFont="1" applyBorder="1"/>
    <xf numFmtId="167" fontId="12" fillId="0" borderId="17" xfId="0" applyNumberFormat="1" applyFont="1" applyBorder="1" applyAlignment="1">
      <alignment horizontal="center"/>
    </xf>
    <xf numFmtId="167" fontId="14" fillId="0" borderId="0" xfId="0" applyNumberFormat="1" applyFont="1" applyAlignment="1">
      <alignment horizontal="center"/>
    </xf>
    <xf numFmtId="167" fontId="14" fillId="0" borderId="18" xfId="0" applyNumberFormat="1" applyFont="1" applyBorder="1"/>
    <xf numFmtId="167" fontId="14" fillId="0" borderId="0" xfId="0" applyNumberFormat="1" applyFont="1"/>
    <xf numFmtId="167" fontId="14" fillId="0" borderId="28" xfId="0" applyNumberFormat="1" applyFont="1" applyBorder="1"/>
    <xf numFmtId="167" fontId="14" fillId="0" borderId="1" xfId="0" applyNumberFormat="1" applyFont="1" applyBorder="1"/>
    <xf numFmtId="166" fontId="12" fillId="0" borderId="17" xfId="0" applyNumberFormat="1" applyFont="1" applyBorder="1"/>
    <xf numFmtId="166" fontId="12" fillId="0" borderId="18" xfId="0" applyNumberFormat="1" applyFont="1" applyBorder="1"/>
    <xf numFmtId="166" fontId="12" fillId="0" borderId="17" xfId="0" applyNumberFormat="1" applyFont="1" applyBorder="1" applyAlignment="1">
      <alignment horizontal="center"/>
    </xf>
    <xf numFmtId="166" fontId="14" fillId="0" borderId="18" xfId="0" applyNumberFormat="1" applyFont="1" applyBorder="1"/>
    <xf numFmtId="166" fontId="14" fillId="0" borderId="0" xfId="0" applyNumberFormat="1" applyFont="1"/>
    <xf numFmtId="166" fontId="14" fillId="0" borderId="28" xfId="0" applyNumberFormat="1" applyFont="1" applyBorder="1"/>
    <xf numFmtId="166" fontId="14" fillId="0" borderId="1" xfId="0" applyNumberFormat="1" applyFont="1" applyBorder="1"/>
    <xf numFmtId="37" fontId="0" fillId="0" borderId="0" xfId="0" applyNumberFormat="1"/>
    <xf numFmtId="0" fontId="26" fillId="2" borderId="2" xfId="30" applyFont="1" applyFill="1" applyBorder="1" applyAlignment="1">
      <alignment horizontal="center"/>
    </xf>
    <xf numFmtId="0" fontId="26" fillId="0" borderId="3" xfId="30" applyFont="1" applyFill="1" applyBorder="1" applyAlignment="1">
      <alignment wrapText="1"/>
    </xf>
    <xf numFmtId="0" fontId="26" fillId="0" borderId="3" xfId="30" applyFont="1" applyFill="1" applyBorder="1" applyAlignment="1">
      <alignment horizontal="right" wrapText="1"/>
    </xf>
    <xf numFmtId="0" fontId="26" fillId="2" borderId="2" xfId="31" applyFont="1" applyFill="1" applyBorder="1" applyAlignment="1">
      <alignment horizontal="center"/>
    </xf>
    <xf numFmtId="0" fontId="26" fillId="0" borderId="3" xfId="31" applyFont="1" applyFill="1" applyBorder="1" applyAlignment="1">
      <alignment horizontal="right" wrapText="1"/>
    </xf>
    <xf numFmtId="0" fontId="26" fillId="0" borderId="3" xfId="31" applyFont="1" applyFill="1" applyBorder="1" applyAlignment="1">
      <alignment wrapText="1"/>
    </xf>
    <xf numFmtId="3" fontId="12" fillId="4" borderId="22" xfId="0" applyNumberFormat="1" applyFont="1" applyFill="1" applyBorder="1" applyAlignment="1">
      <alignment horizontal="center"/>
    </xf>
    <xf numFmtId="3" fontId="12" fillId="4" borderId="0" xfId="0" applyNumberFormat="1" applyFont="1" applyFill="1" applyAlignment="1">
      <alignment horizontal="center"/>
    </xf>
    <xf numFmtId="166" fontId="12" fillId="4" borderId="0" xfId="0" applyNumberFormat="1" applyFont="1" applyFill="1" applyAlignment="1">
      <alignment horizontal="center"/>
    </xf>
    <xf numFmtId="166" fontId="12" fillId="0" borderId="28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/>
    <xf numFmtId="0" fontId="18" fillId="0" borderId="0" xfId="4" applyProtection="1">
      <protection locked="0"/>
    </xf>
    <xf numFmtId="0" fontId="18" fillId="0" borderId="0" xfId="4" applyFill="1" applyProtection="1">
      <protection locked="0"/>
    </xf>
    <xf numFmtId="0" fontId="7" fillId="0" borderId="4" xfId="6" applyFont="1" applyFill="1" applyBorder="1" applyAlignment="1">
      <alignment horizontal="right" wrapText="1"/>
    </xf>
    <xf numFmtId="0" fontId="18" fillId="0" borderId="0" xfId="4" applyProtection="1">
      <protection locked="0"/>
    </xf>
    <xf numFmtId="0" fontId="18" fillId="0" borderId="0" xfId="4" applyProtection="1">
      <protection locked="0"/>
    </xf>
    <xf numFmtId="0" fontId="18" fillId="0" borderId="0" xfId="4" applyProtection="1">
      <protection locked="0"/>
    </xf>
    <xf numFmtId="0" fontId="18" fillId="0" borderId="0" xfId="4" applyFill="1" applyBorder="1" applyProtection="1">
      <protection locked="0"/>
    </xf>
    <xf numFmtId="0" fontId="30" fillId="0" borderId="0" xfId="32" applyProtection="1">
      <protection locked="0"/>
    </xf>
    <xf numFmtId="0" fontId="30" fillId="0" borderId="0" xfId="32" applyProtection="1">
      <protection locked="0"/>
    </xf>
    <xf numFmtId="0" fontId="30" fillId="0" borderId="0" xfId="32" applyProtection="1">
      <protection locked="0"/>
    </xf>
    <xf numFmtId="0" fontId="30" fillId="0" borderId="0" xfId="32" applyProtection="1">
      <protection locked="0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" fontId="14" fillId="0" borderId="24" xfId="0" applyNumberFormat="1" applyFont="1" applyBorder="1" applyAlignment="1">
      <alignment horizontal="center"/>
    </xf>
    <xf numFmtId="16" fontId="14" fillId="0" borderId="25" xfId="0" applyNumberFormat="1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3" fontId="12" fillId="0" borderId="18" xfId="0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16" fontId="12" fillId="0" borderId="19" xfId="0" applyNumberFormat="1" applyFont="1" applyBorder="1" applyAlignment="1">
      <alignment horizontal="center"/>
    </xf>
    <xf numFmtId="16" fontId="12" fillId="0" borderId="18" xfId="0" applyNumberFormat="1" applyFont="1" applyBorder="1" applyAlignment="1">
      <alignment horizontal="center"/>
    </xf>
    <xf numFmtId="16" fontId="12" fillId="0" borderId="20" xfId="0" applyNumberFormat="1" applyFont="1" applyBorder="1" applyAlignment="1">
      <alignment horizontal="center"/>
    </xf>
  </cellXfs>
  <cellStyles count="33">
    <cellStyle name="Comma" xfId="1" builtinId="3"/>
    <cellStyle name="Comma 2" xfId="8" xr:uid="{5A0480C8-43E6-4579-AA5F-71BFA63E8A6F}"/>
    <cellStyle name="Comma 3" xfId="21" xr:uid="{45815489-39BE-47AA-A8D7-27FDEC6B825E}"/>
    <cellStyle name="Comma0" xfId="9" xr:uid="{D992EF3C-7028-40D2-A147-4E6A3565172A}"/>
    <cellStyle name="Currency 2" xfId="10" xr:uid="{3D0E7746-3610-4B4C-92BC-16FE03BB483D}"/>
    <cellStyle name="Currency0" xfId="11" xr:uid="{1FD5A51E-D1AF-4BDE-81BB-1F4C1166E357}"/>
    <cellStyle name="Date" xfId="12" xr:uid="{A25C44B2-778B-4463-8748-DABD73AB0F27}"/>
    <cellStyle name="Fixed" xfId="13" xr:uid="{21588A2B-5C0C-4377-9A37-C419901FE503}"/>
    <cellStyle name="Heading 1 2" xfId="22" xr:uid="{3E255AC5-6346-4902-BB6A-A9B41F3FA737}"/>
    <cellStyle name="Heading 2 2" xfId="23" xr:uid="{64DF30F8-FE72-4413-B8EF-551D4CE238D6}"/>
    <cellStyle name="Normal" xfId="0" builtinId="0"/>
    <cellStyle name="Normal 10" xfId="29" xr:uid="{F23BB3CB-4027-4C5C-AD15-8E2CF2909B5F}"/>
    <cellStyle name="Normal 11" xfId="32" xr:uid="{95C52163-526A-456C-99C9-4C964D5EAD02}"/>
    <cellStyle name="Normal 2" xfId="4" xr:uid="{5F026BFF-F180-40A1-98B2-919AFB767081}"/>
    <cellStyle name="Normal 3" xfId="5" xr:uid="{FA6E2879-CF0C-4935-9AA1-6F3A1A0A2A09}"/>
    <cellStyle name="Normal 3 2" xfId="25" xr:uid="{38A15E38-20BD-4C4E-A4F6-3A3F52867024}"/>
    <cellStyle name="Normal 3_Harvest" xfId="14" xr:uid="{E234AF35-0065-46F6-9D22-8A2606341E41}"/>
    <cellStyle name="Normal 4" xfId="15" xr:uid="{368060C2-7E6F-4433-8630-62FB143BEC16}"/>
    <cellStyle name="Normal 5" xfId="16" xr:uid="{035C9A1B-B44C-409D-ACCD-A6BD73AFC18B}"/>
    <cellStyle name="Normal 5 2" xfId="17" xr:uid="{8F8DB13E-473B-482E-A074-D0D6943C7DC4}"/>
    <cellStyle name="Normal 5 2 2" xfId="7" xr:uid="{B2EFC308-24F1-4ADE-A23A-3777C18BBAF7}"/>
    <cellStyle name="Normal 5 2 2 2" xfId="18" xr:uid="{DF0C93C7-9DA5-42DB-973D-0D6DC8A920B1}"/>
    <cellStyle name="Normal 6" xfId="20" xr:uid="{BDDACFF0-5A47-42F6-A848-B09E950EC19E}"/>
    <cellStyle name="Normal 7" xfId="26" xr:uid="{3A2F85EF-BD8D-4B4C-A9F2-39593565240D}"/>
    <cellStyle name="Normal 8" xfId="27" xr:uid="{763F9B8A-1DCA-4B88-A3FB-01948E69277C}"/>
    <cellStyle name="Normal 9" xfId="28" xr:uid="{BAD39F89-9D64-4D10-96BD-821CB3EF05B5}"/>
    <cellStyle name="Normal_Cop Wastage" xfId="30" xr:uid="{3777583F-C80F-4348-9C3A-40B7151D5186}"/>
    <cellStyle name="Normal_LB Wastage_1" xfId="6" xr:uid="{FEEDB232-1B89-4072-A2EF-C67B734FB1DF}"/>
    <cellStyle name="Normal_Moc Wastage" xfId="3" xr:uid="{62C406E5-A92E-4E4C-BB7A-FDDD433B630E}"/>
    <cellStyle name="Normal_TH Wastage" xfId="31" xr:uid="{494150F1-F808-4B01-BE71-0A31330F51DF}"/>
    <cellStyle name="Percent" xfId="2" builtinId="5"/>
    <cellStyle name="Percent 2" xfId="19" xr:uid="{E5BA0AB6-0C8F-4FF7-9429-2967EB43FFDA}"/>
    <cellStyle name="Total 2" xfId="24" xr:uid="{72733C6B-FFF1-4D49-9835-DCDE6D4BE9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8"/>
  <sheetViews>
    <sheetView zoomScale="120" zoomScaleNormal="120" workbookViewId="0">
      <pane ySplit="1" topLeftCell="A104" activePane="bottomLeft" state="frozen"/>
      <selection pane="bottomLeft" activeCell="F111" sqref="F111"/>
    </sheetView>
  </sheetViews>
  <sheetFormatPr defaultRowHeight="15" x14ac:dyDescent="0.25"/>
  <cols>
    <col min="1" max="1" width="18.7109375" style="2" customWidth="1"/>
    <col min="2" max="2" width="7" style="7" customWidth="1"/>
    <col min="3" max="3" width="9.5703125" style="12" customWidth="1"/>
    <col min="4" max="4" width="8.140625" style="4" customWidth="1"/>
    <col min="5" max="5" width="3.7109375" style="5" customWidth="1"/>
    <col min="6" max="6" width="12.7109375" style="8" customWidth="1"/>
    <col min="7" max="7" width="3.7109375" customWidth="1"/>
    <col min="8" max="8" width="12.7109375" style="8" customWidth="1"/>
    <col min="9" max="9" width="3.7109375" customWidth="1"/>
    <col min="10" max="10" width="12.7109375" style="8" customWidth="1"/>
    <col min="11" max="11" width="3.7109375" customWidth="1"/>
    <col min="12" max="12" width="12.7109375" style="8" customWidth="1"/>
    <col min="13" max="13" width="3.7109375" customWidth="1"/>
    <col min="14" max="14" width="12.7109375" style="7" customWidth="1"/>
    <col min="15" max="15" width="18.140625" style="8" bestFit="1" customWidth="1"/>
    <col min="16" max="16" width="12" style="19" customWidth="1"/>
    <col min="17" max="17" width="10.5703125" customWidth="1"/>
  </cols>
  <sheetData>
    <row r="1" spans="1:17" x14ac:dyDescent="0.25">
      <c r="A1" s="13" t="s">
        <v>0</v>
      </c>
      <c r="B1" s="1" t="s">
        <v>1</v>
      </c>
      <c r="C1" s="11" t="s">
        <v>3</v>
      </c>
      <c r="D1" s="54" t="s">
        <v>2</v>
      </c>
      <c r="E1" s="134" t="s">
        <v>4</v>
      </c>
      <c r="F1" s="134"/>
      <c r="G1" s="134" t="s">
        <v>5</v>
      </c>
      <c r="H1" s="134"/>
      <c r="I1" s="134" t="s">
        <v>6</v>
      </c>
      <c r="J1" s="134"/>
      <c r="K1" s="134" t="s">
        <v>7</v>
      </c>
      <c r="L1" s="134"/>
      <c r="M1" s="134" t="s">
        <v>8</v>
      </c>
      <c r="N1" s="134"/>
      <c r="O1" s="72" t="s">
        <v>9</v>
      </c>
      <c r="P1" s="122" t="s">
        <v>75</v>
      </c>
      <c r="Q1" s="121"/>
    </row>
    <row r="2" spans="1:17" x14ac:dyDescent="0.25">
      <c r="A2" s="76">
        <v>45568</v>
      </c>
      <c r="B2" s="7" t="s">
        <v>22</v>
      </c>
      <c r="C2" s="12">
        <v>0.81805555555555554</v>
      </c>
      <c r="D2" s="4">
        <v>0.33</v>
      </c>
      <c r="E2" s="75"/>
      <c r="F2" s="8">
        <f>9458.6425924703+9383.4837248434</f>
        <v>18842.126317313698</v>
      </c>
      <c r="G2" s="7"/>
      <c r="H2" s="8">
        <v>23619.441916754</v>
      </c>
      <c r="I2" s="7"/>
      <c r="J2" s="8" t="s">
        <v>10</v>
      </c>
      <c r="K2" s="7"/>
      <c r="L2" s="8">
        <v>12300.137009440999</v>
      </c>
      <c r="M2" s="7"/>
      <c r="N2" s="8" t="s">
        <v>10</v>
      </c>
      <c r="O2" s="8">
        <f t="shared" ref="O2:O59" si="0">SUM(F2:N2)</f>
        <v>54761.705243508703</v>
      </c>
    </row>
    <row r="3" spans="1:17" x14ac:dyDescent="0.25">
      <c r="A3" s="76">
        <v>45569</v>
      </c>
      <c r="B3" s="7" t="s">
        <v>18</v>
      </c>
      <c r="C3" s="12">
        <v>0.84027777777777779</v>
      </c>
      <c r="D3" s="4">
        <v>0.13</v>
      </c>
      <c r="E3" s="75"/>
      <c r="F3" s="8">
        <f>CPUE!F3*Effort!F3</f>
        <v>14049.113711192791</v>
      </c>
      <c r="G3" s="7" t="s">
        <v>63</v>
      </c>
      <c r="H3" s="8">
        <f>CPUE!H3*Effort!H3</f>
        <v>13725.854188683074</v>
      </c>
      <c r="I3" s="7"/>
      <c r="J3" s="8">
        <v>25230.491490009801</v>
      </c>
      <c r="K3" s="7"/>
      <c r="L3" s="8" t="s">
        <v>10</v>
      </c>
      <c r="M3" s="7"/>
      <c r="N3" s="8" t="s">
        <v>10</v>
      </c>
      <c r="O3" s="8">
        <f t="shared" si="0"/>
        <v>53005.459389885669</v>
      </c>
    </row>
    <row r="4" spans="1:17" x14ac:dyDescent="0.25">
      <c r="A4" s="76">
        <v>45570</v>
      </c>
      <c r="B4" s="7" t="s">
        <v>19</v>
      </c>
      <c r="C4" s="12">
        <v>0.86388888888888893</v>
      </c>
      <c r="D4" s="4">
        <v>7.0000000000000007E-2</v>
      </c>
      <c r="E4" s="75" t="s">
        <v>63</v>
      </c>
      <c r="F4" s="8">
        <f>CPUE!F4*Effort!F4</f>
        <v>22703.455474215818</v>
      </c>
      <c r="G4" s="7"/>
      <c r="H4" s="8">
        <v>22242.003062230699</v>
      </c>
      <c r="I4" s="7"/>
      <c r="J4" s="8">
        <v>36243.879764506302</v>
      </c>
      <c r="K4" s="7"/>
      <c r="L4" s="8" t="s">
        <v>10</v>
      </c>
      <c r="M4" s="7"/>
      <c r="N4" s="8" t="s">
        <v>10</v>
      </c>
      <c r="O4" s="8">
        <f t="shared" si="0"/>
        <v>81189.338300952819</v>
      </c>
    </row>
    <row r="5" spans="1:17" x14ac:dyDescent="0.25">
      <c r="A5" s="76">
        <v>45571</v>
      </c>
      <c r="B5" s="7" t="s">
        <v>20</v>
      </c>
      <c r="C5" s="12">
        <v>0.88888888888888884</v>
      </c>
      <c r="D5" s="4">
        <v>0.13</v>
      </c>
      <c r="E5" s="75" t="s">
        <v>63</v>
      </c>
      <c r="F5" s="8">
        <f>CPUE!F5*Effort!F5</f>
        <v>7087.6566520261003</v>
      </c>
      <c r="G5" s="7" t="s">
        <v>63</v>
      </c>
      <c r="H5" s="8">
        <f>CPUE!H5*Effort!H5</f>
        <v>7860.0944768271365</v>
      </c>
      <c r="I5" s="7"/>
      <c r="J5" s="8" t="s">
        <v>10</v>
      </c>
      <c r="K5" s="7"/>
      <c r="L5" s="8">
        <v>4043.9007006227898</v>
      </c>
      <c r="M5" s="7"/>
      <c r="N5" s="8" t="s">
        <v>10</v>
      </c>
      <c r="O5" s="8">
        <f t="shared" si="0"/>
        <v>18991.651829476028</v>
      </c>
    </row>
    <row r="6" spans="1:17" x14ac:dyDescent="0.25">
      <c r="A6" s="76">
        <v>45572</v>
      </c>
      <c r="B6" s="7" t="s">
        <v>21</v>
      </c>
      <c r="C6" s="12">
        <v>0.91805555555555562</v>
      </c>
      <c r="D6" s="4">
        <v>0.3</v>
      </c>
      <c r="E6" s="75"/>
      <c r="F6" s="8">
        <f>CPUE!F6*Effort!F6</f>
        <v>1352.8776166333785</v>
      </c>
      <c r="G6" s="7"/>
      <c r="H6" s="8">
        <v>2381.8491042861401</v>
      </c>
      <c r="I6" s="7"/>
      <c r="J6" s="8" t="s">
        <v>10</v>
      </c>
      <c r="K6" s="7"/>
      <c r="L6" s="8">
        <v>2649.9589960927001</v>
      </c>
      <c r="M6" s="7"/>
      <c r="N6" s="8" t="s">
        <v>10</v>
      </c>
      <c r="O6" s="8">
        <f t="shared" si="0"/>
        <v>6384.6857170122184</v>
      </c>
      <c r="P6" s="19">
        <f>SUM(O2:O6)</f>
        <v>214332.84048083544</v>
      </c>
    </row>
    <row r="7" spans="1:17" x14ac:dyDescent="0.25">
      <c r="A7" s="76"/>
      <c r="E7" s="75"/>
      <c r="G7" s="7"/>
      <c r="I7" s="7"/>
      <c r="K7" s="7"/>
      <c r="M7" s="7"/>
      <c r="N7" s="8"/>
    </row>
    <row r="8" spans="1:17" x14ac:dyDescent="0.25">
      <c r="A8" s="76">
        <v>45580</v>
      </c>
      <c r="B8" s="7" t="s">
        <v>61</v>
      </c>
      <c r="C8" s="12">
        <v>0.72986111111111107</v>
      </c>
      <c r="D8" s="4">
        <v>0.53</v>
      </c>
      <c r="E8" s="75" t="s">
        <v>63</v>
      </c>
      <c r="F8" s="8">
        <f>CPUE!F8*Effort!F8</f>
        <v>20236.66446852608</v>
      </c>
      <c r="G8" s="7"/>
      <c r="H8" s="8">
        <v>15785.0391027642</v>
      </c>
      <c r="I8" s="7"/>
      <c r="J8" s="8" t="s">
        <v>10</v>
      </c>
      <c r="K8" s="7"/>
      <c r="L8" s="8">
        <v>15184.078218762301</v>
      </c>
      <c r="M8" s="7"/>
      <c r="N8" s="8" t="s">
        <v>10</v>
      </c>
      <c r="O8" s="8">
        <f t="shared" si="0"/>
        <v>51205.781790052584</v>
      </c>
    </row>
    <row r="9" spans="1:17" x14ac:dyDescent="0.25">
      <c r="A9" s="76">
        <v>45581</v>
      </c>
      <c r="B9" s="7" t="s">
        <v>62</v>
      </c>
      <c r="C9" s="12">
        <v>0.76250000000000007</v>
      </c>
      <c r="D9" s="4">
        <v>-0.48</v>
      </c>
      <c r="E9" s="75"/>
      <c r="F9" s="8">
        <f>5563.80840522268+9209.35689520854</f>
        <v>14773.165300431221</v>
      </c>
      <c r="G9" s="7" t="s">
        <v>63</v>
      </c>
      <c r="H9" s="8">
        <f>CPUE!H9*Effort!H9</f>
        <v>17850.371703165871</v>
      </c>
      <c r="I9" s="7"/>
      <c r="J9" s="8">
        <v>23405.394721201901</v>
      </c>
      <c r="K9" s="7"/>
      <c r="L9" s="8" t="s">
        <v>10</v>
      </c>
      <c r="M9" s="7"/>
      <c r="N9" s="8" t="s">
        <v>10</v>
      </c>
      <c r="O9" s="8">
        <f t="shared" si="0"/>
        <v>56028.931724798997</v>
      </c>
    </row>
    <row r="10" spans="1:17" x14ac:dyDescent="0.25">
      <c r="A10" s="76">
        <v>45582</v>
      </c>
      <c r="B10" s="7" t="s">
        <v>22</v>
      </c>
      <c r="C10" s="12">
        <v>0.79375000000000007</v>
      </c>
      <c r="D10" s="4">
        <v>-1.25</v>
      </c>
      <c r="E10" s="75" t="s">
        <v>63</v>
      </c>
      <c r="F10" s="8">
        <f>CPUE!F10*Effort!F10</f>
        <v>23661.084340031117</v>
      </c>
      <c r="G10" s="7"/>
      <c r="H10" s="8">
        <v>24968.3080370606</v>
      </c>
      <c r="I10" s="7"/>
      <c r="J10" s="8">
        <v>32203.362814291999</v>
      </c>
      <c r="K10" s="7"/>
      <c r="L10" s="8" t="s">
        <v>10</v>
      </c>
      <c r="M10" s="7"/>
      <c r="N10" s="8" t="s">
        <v>10</v>
      </c>
      <c r="O10" s="8">
        <f t="shared" si="0"/>
        <v>80832.755191383709</v>
      </c>
    </row>
    <row r="11" spans="1:17" x14ac:dyDescent="0.25">
      <c r="A11" s="76">
        <v>45583</v>
      </c>
      <c r="B11" s="7" t="s">
        <v>18</v>
      </c>
      <c r="C11" s="12">
        <v>0.8256944444444444</v>
      </c>
      <c r="D11" s="4">
        <v>-1.66</v>
      </c>
      <c r="E11" s="75"/>
      <c r="F11" s="8">
        <f>CPUE!F11*Effort!F11</f>
        <v>4340.9790637712013</v>
      </c>
      <c r="G11" s="7"/>
      <c r="H11" s="8">
        <v>4854.0695958440001</v>
      </c>
      <c r="I11" s="7"/>
      <c r="J11" s="8" t="s">
        <v>10</v>
      </c>
      <c r="K11" s="7"/>
      <c r="L11" s="8">
        <v>2593.8393794592298</v>
      </c>
      <c r="M11" s="7"/>
      <c r="N11" s="8" t="s">
        <v>10</v>
      </c>
      <c r="O11" s="8">
        <f t="shared" si="0"/>
        <v>11788.888039074431</v>
      </c>
    </row>
    <row r="12" spans="1:17" x14ac:dyDescent="0.25">
      <c r="A12" s="76">
        <v>45584</v>
      </c>
      <c r="B12" s="7" t="s">
        <v>19</v>
      </c>
      <c r="C12" s="12">
        <v>0.85763888888888884</v>
      </c>
      <c r="D12" s="4">
        <v>-1.69</v>
      </c>
      <c r="E12" s="75"/>
      <c r="F12" s="8">
        <f>CPUE!F12*Effort!F12</f>
        <v>26102.081203925882</v>
      </c>
      <c r="G12" s="7" t="s">
        <v>63</v>
      </c>
      <c r="H12" s="8">
        <f>CPUE!H12*Effort!H12</f>
        <v>15623.708201958816</v>
      </c>
      <c r="I12" s="7"/>
      <c r="J12" s="8" t="s">
        <v>10</v>
      </c>
      <c r="K12" s="7"/>
      <c r="L12" s="8">
        <v>13531.5802618992</v>
      </c>
      <c r="M12" s="7"/>
      <c r="N12" s="8" t="s">
        <v>10</v>
      </c>
      <c r="O12" s="8">
        <f t="shared" si="0"/>
        <v>55257.369667783903</v>
      </c>
    </row>
    <row r="13" spans="1:17" x14ac:dyDescent="0.25">
      <c r="A13" s="76">
        <v>45585</v>
      </c>
      <c r="B13" s="7" t="s">
        <v>20</v>
      </c>
      <c r="C13" s="12">
        <v>0.89166666666666661</v>
      </c>
      <c r="D13" s="4">
        <v>-1.36</v>
      </c>
      <c r="E13" s="75" t="s">
        <v>63</v>
      </c>
      <c r="F13" s="8">
        <f>CPUE!F13*Effort!F13</f>
        <v>5774.0503828503852</v>
      </c>
      <c r="G13" s="7" t="s">
        <v>63</v>
      </c>
      <c r="H13" s="8">
        <f>CPUE!H13*Effort!H13</f>
        <v>5961.6221376760514</v>
      </c>
      <c r="I13" s="7"/>
      <c r="J13" s="8">
        <v>7816.8747201054402</v>
      </c>
      <c r="K13" s="7"/>
      <c r="L13" s="8" t="s">
        <v>10</v>
      </c>
      <c r="M13" s="7"/>
      <c r="N13" s="8" t="s">
        <v>10</v>
      </c>
      <c r="O13" s="8">
        <f t="shared" si="0"/>
        <v>19552.547240631877</v>
      </c>
    </row>
    <row r="14" spans="1:17" x14ac:dyDescent="0.25">
      <c r="A14" s="76">
        <v>45586</v>
      </c>
      <c r="B14" s="7" t="s">
        <v>21</v>
      </c>
      <c r="C14" s="12">
        <v>0.9277777777777777</v>
      </c>
      <c r="D14" s="4">
        <v>-0.78</v>
      </c>
      <c r="E14" s="75" t="s">
        <v>63</v>
      </c>
      <c r="F14" s="8">
        <f>CPUE!F14*Effort!F14</f>
        <v>3103.8626448951482</v>
      </c>
      <c r="G14" s="7" t="s">
        <v>63</v>
      </c>
      <c r="H14" s="8">
        <f>CPUE!H14*Effort!H14</f>
        <v>3204.6925518821067</v>
      </c>
      <c r="I14" s="7"/>
      <c r="J14" s="8">
        <v>4201.9906018871998</v>
      </c>
      <c r="K14" s="7"/>
      <c r="L14" s="8" t="s">
        <v>10</v>
      </c>
      <c r="M14" s="7"/>
      <c r="N14" s="8" t="s">
        <v>10</v>
      </c>
      <c r="O14" s="8">
        <f t="shared" si="0"/>
        <v>10510.545798664454</v>
      </c>
      <c r="P14" s="19">
        <f>SUM(O8:O14)</f>
        <v>285176.81945238996</v>
      </c>
    </row>
    <row r="15" spans="1:17" x14ac:dyDescent="0.25">
      <c r="A15" s="76"/>
      <c r="E15" s="75"/>
      <c r="G15" s="7"/>
      <c r="I15" s="7"/>
      <c r="K15" s="7"/>
      <c r="M15" s="7"/>
      <c r="N15" s="8"/>
    </row>
    <row r="16" spans="1:17" x14ac:dyDescent="0.25">
      <c r="A16" s="76">
        <v>45597</v>
      </c>
      <c r="B16" s="7" t="s">
        <v>18</v>
      </c>
      <c r="C16" s="12">
        <v>0.80208333333333337</v>
      </c>
      <c r="D16" s="4">
        <v>-0.19</v>
      </c>
      <c r="E16" s="75"/>
      <c r="F16" s="8">
        <f>3682.56655017586+5740.6829602981</f>
        <v>9423.2495104739592</v>
      </c>
      <c r="G16" s="7" t="s">
        <v>63</v>
      </c>
      <c r="H16" s="8">
        <f>CPUE!H16*Effort!H16</f>
        <v>14022.17663914798</v>
      </c>
      <c r="I16" s="7"/>
      <c r="J16" s="8" t="s">
        <v>10</v>
      </c>
      <c r="K16" s="7"/>
      <c r="L16" s="8">
        <v>12543.9139380547</v>
      </c>
      <c r="M16" s="7"/>
      <c r="N16" s="8" t="s">
        <v>10</v>
      </c>
      <c r="O16" s="8">
        <f t="shared" si="0"/>
        <v>35989.340087676639</v>
      </c>
    </row>
    <row r="17" spans="1:16" x14ac:dyDescent="0.25">
      <c r="A17" s="76">
        <v>45598</v>
      </c>
      <c r="B17" s="7" t="s">
        <v>19</v>
      </c>
      <c r="C17" s="12">
        <v>0.82430555555555562</v>
      </c>
      <c r="D17" s="4">
        <v>-0.36</v>
      </c>
      <c r="E17" s="75" t="s">
        <v>63</v>
      </c>
      <c r="F17" s="8">
        <f>CPUE!F17*Effort!F17</f>
        <v>11016.060331223987</v>
      </c>
      <c r="G17" s="7"/>
      <c r="H17" s="8">
        <v>15635.398962867899</v>
      </c>
      <c r="I17" s="7"/>
      <c r="J17" s="8" t="s">
        <v>10</v>
      </c>
      <c r="K17" s="7"/>
      <c r="L17" s="8">
        <v>10012.840477461001</v>
      </c>
      <c r="M17" s="7"/>
      <c r="N17" s="8" t="s">
        <v>10</v>
      </c>
      <c r="O17" s="8">
        <f t="shared" si="0"/>
        <v>36664.299771552891</v>
      </c>
    </row>
    <row r="18" spans="1:16" x14ac:dyDescent="0.25">
      <c r="A18" s="76">
        <v>45599</v>
      </c>
      <c r="B18" s="7" t="s">
        <v>20</v>
      </c>
      <c r="C18" s="12">
        <v>0.80694444444444446</v>
      </c>
      <c r="D18" s="4">
        <v>-0.39</v>
      </c>
      <c r="E18" s="75"/>
      <c r="F18" s="8">
        <f>CPUE!F18*Effort!F18</f>
        <v>1353.9635029396397</v>
      </c>
      <c r="G18" s="7"/>
      <c r="H18" s="8">
        <v>829.48311463950802</v>
      </c>
      <c r="I18" s="7"/>
      <c r="J18" s="8">
        <v>2243.7703028979799</v>
      </c>
      <c r="K18" s="7"/>
      <c r="L18" s="8" t="s">
        <v>10</v>
      </c>
      <c r="M18" s="7"/>
      <c r="N18" s="8" t="s">
        <v>10</v>
      </c>
      <c r="O18" s="8">
        <f t="shared" si="0"/>
        <v>4427.2169204771271</v>
      </c>
    </row>
    <row r="19" spans="1:16" x14ac:dyDescent="0.25">
      <c r="A19" s="76">
        <v>45600</v>
      </c>
      <c r="B19" s="7" t="s">
        <v>21</v>
      </c>
      <c r="C19" s="12">
        <v>0.83333333333333337</v>
      </c>
      <c r="D19" s="4">
        <v>-0.28999999999999998</v>
      </c>
      <c r="E19" s="75" t="s">
        <v>63</v>
      </c>
      <c r="F19" s="8">
        <f>CPUE!F19*Effort!F19</f>
        <v>459.9882929846143</v>
      </c>
      <c r="G19" s="7" t="s">
        <v>63</v>
      </c>
      <c r="H19" s="8">
        <f>CPUE!H19*Effort!H19</f>
        <v>796.40300732280275</v>
      </c>
      <c r="I19" s="7"/>
      <c r="J19" s="8">
        <v>967.56362543455305</v>
      </c>
      <c r="K19" s="7"/>
      <c r="L19" s="8" t="s">
        <v>10</v>
      </c>
      <c r="M19" s="7"/>
      <c r="N19" s="8" t="s">
        <v>10</v>
      </c>
      <c r="O19" s="8">
        <f t="shared" si="0"/>
        <v>2223.9549257419703</v>
      </c>
    </row>
    <row r="20" spans="1:16" x14ac:dyDescent="0.25">
      <c r="A20" s="76">
        <v>45601</v>
      </c>
      <c r="B20" s="7" t="s">
        <v>61</v>
      </c>
      <c r="C20" s="12">
        <v>0.86249999999999993</v>
      </c>
      <c r="D20" s="4">
        <v>-0.09</v>
      </c>
      <c r="E20" s="75" t="s">
        <v>63</v>
      </c>
      <c r="F20" s="8">
        <f>CPUE!F20*Effort!F20</f>
        <v>1033.0321223427693</v>
      </c>
      <c r="G20" s="7"/>
      <c r="H20" s="8">
        <v>1531.2500082972399</v>
      </c>
      <c r="I20" s="7"/>
      <c r="J20" s="8" t="s">
        <v>10</v>
      </c>
      <c r="K20" s="7"/>
      <c r="L20" s="8">
        <v>1098.5194244009101</v>
      </c>
      <c r="M20" s="7"/>
      <c r="N20" s="8" t="s">
        <v>10</v>
      </c>
      <c r="O20" s="8">
        <f t="shared" si="0"/>
        <v>3662.8015550409191</v>
      </c>
      <c r="P20" s="19">
        <f>SUM(O16:O20)</f>
        <v>82967.613260489554</v>
      </c>
    </row>
    <row r="21" spans="1:16" x14ac:dyDescent="0.25">
      <c r="A21" s="76"/>
      <c r="E21" s="75"/>
      <c r="G21" s="7"/>
      <c r="I21" s="7"/>
      <c r="K21" s="7"/>
      <c r="M21" s="7"/>
      <c r="N21" s="8"/>
    </row>
    <row r="22" spans="1:16" x14ac:dyDescent="0.25">
      <c r="A22" s="76">
        <v>45609</v>
      </c>
      <c r="B22" s="7" t="s">
        <v>62</v>
      </c>
      <c r="C22" s="12">
        <v>0.67708333333333337</v>
      </c>
      <c r="D22" s="4">
        <v>-0.17</v>
      </c>
      <c r="E22" s="75"/>
      <c r="F22" s="8">
        <f>CPUE!F22*Effort!F22</f>
        <v>5464.6667998171242</v>
      </c>
      <c r="G22" s="7" t="s">
        <v>63</v>
      </c>
      <c r="H22" s="8">
        <f>CPUE!H22*Effort!H22</f>
        <v>7697.1769673171621</v>
      </c>
      <c r="I22" s="7"/>
      <c r="J22" s="8" t="s">
        <v>10</v>
      </c>
      <c r="K22" s="7"/>
      <c r="L22" s="8">
        <v>7022.8557874199896</v>
      </c>
      <c r="M22" s="7"/>
      <c r="N22" s="8" t="s">
        <v>10</v>
      </c>
      <c r="O22" s="8">
        <f t="shared" si="0"/>
        <v>20184.699554554278</v>
      </c>
    </row>
    <row r="23" spans="1:16" x14ac:dyDescent="0.25">
      <c r="A23" s="76">
        <v>45610</v>
      </c>
      <c r="B23" s="7" t="s">
        <v>22</v>
      </c>
      <c r="C23" s="12">
        <v>0.70972222222222225</v>
      </c>
      <c r="D23" s="4">
        <v>-1.0900000000000001</v>
      </c>
      <c r="E23" s="75"/>
      <c r="F23" s="8">
        <f>CPUE!F23*Effort!F23</f>
        <v>12973.17429062766</v>
      </c>
      <c r="G23" s="7"/>
      <c r="H23" s="8">
        <v>16148.673779798401</v>
      </c>
      <c r="I23" s="7"/>
      <c r="J23" s="8" t="s">
        <v>10</v>
      </c>
      <c r="K23" s="7"/>
      <c r="L23" s="8">
        <v>16343.925085276</v>
      </c>
      <c r="M23" s="7"/>
      <c r="N23" s="8" t="s">
        <v>10</v>
      </c>
      <c r="O23" s="8">
        <f t="shared" si="0"/>
        <v>45465.77315570206</v>
      </c>
    </row>
    <row r="24" spans="1:16" x14ac:dyDescent="0.25">
      <c r="A24" s="76">
        <v>45611</v>
      </c>
      <c r="B24" s="7" t="s">
        <v>18</v>
      </c>
      <c r="C24" s="12">
        <v>0.7416666666666667</v>
      </c>
      <c r="D24" s="4">
        <v>-1.68</v>
      </c>
      <c r="E24" s="75"/>
      <c r="F24" s="8">
        <f>CPUE!F24*Effort!F24</f>
        <v>31750.073543839811</v>
      </c>
      <c r="G24" s="7"/>
      <c r="H24" s="8">
        <v>31178.814429742601</v>
      </c>
      <c r="I24" s="7"/>
      <c r="J24" s="8">
        <v>55348.623317297701</v>
      </c>
      <c r="K24" s="7"/>
      <c r="L24" s="8" t="s">
        <v>10</v>
      </c>
      <c r="M24" s="7"/>
      <c r="N24" s="8" t="s">
        <v>10</v>
      </c>
      <c r="O24" s="8">
        <f t="shared" si="0"/>
        <v>118277.51129088012</v>
      </c>
    </row>
    <row r="25" spans="1:16" x14ac:dyDescent="0.25">
      <c r="A25" s="76">
        <v>45612</v>
      </c>
      <c r="B25" s="7" t="s">
        <v>19</v>
      </c>
      <c r="C25" s="12">
        <v>0.7729166666666667</v>
      </c>
      <c r="D25" s="4">
        <v>-1.9</v>
      </c>
      <c r="E25" s="75" t="s">
        <v>63</v>
      </c>
      <c r="F25" s="8">
        <f>CPUE!F25*Effort!F25</f>
        <v>1715.3359728101973</v>
      </c>
      <c r="G25" s="7"/>
      <c r="H25" s="8">
        <v>761.53849612225702</v>
      </c>
      <c r="I25" s="7"/>
      <c r="J25" s="8">
        <v>6275.2664098694404</v>
      </c>
      <c r="K25" s="7"/>
      <c r="L25" s="8" t="s">
        <v>10</v>
      </c>
      <c r="M25" s="7"/>
      <c r="N25" s="8" t="s">
        <v>10</v>
      </c>
      <c r="O25" s="8">
        <f t="shared" si="0"/>
        <v>8752.1408788018944</v>
      </c>
    </row>
    <row r="26" spans="1:16" x14ac:dyDescent="0.25">
      <c r="A26" s="76">
        <v>45613</v>
      </c>
      <c r="B26" s="7" t="s">
        <v>20</v>
      </c>
      <c r="C26" s="12">
        <v>0.80486111111111114</v>
      </c>
      <c r="D26" s="4">
        <v>-1.75</v>
      </c>
      <c r="E26" s="75" t="s">
        <v>63</v>
      </c>
      <c r="F26" s="8">
        <f>CPUE!F26*Effort!F26</f>
        <v>5284.5612654556235</v>
      </c>
      <c r="G26" s="7" t="s">
        <v>63</v>
      </c>
      <c r="H26" s="8">
        <f>CPUE!H26*Effort!H26</f>
        <v>6391.6624927799612</v>
      </c>
      <c r="I26" s="7"/>
      <c r="J26" s="8" t="s">
        <v>10</v>
      </c>
      <c r="K26" s="7"/>
      <c r="L26" s="8">
        <v>5487.0924222475196</v>
      </c>
      <c r="M26" s="7"/>
      <c r="N26" s="8" t="s">
        <v>10</v>
      </c>
      <c r="O26" s="8">
        <f t="shared" si="0"/>
        <v>17163.316180483103</v>
      </c>
    </row>
    <row r="27" spans="1:16" x14ac:dyDescent="0.25">
      <c r="A27" s="76">
        <v>45614</v>
      </c>
      <c r="B27" s="7" t="s">
        <v>21</v>
      </c>
      <c r="C27" s="12">
        <v>0.83680555555555547</v>
      </c>
      <c r="D27" s="4">
        <v>-1.31</v>
      </c>
      <c r="E27" s="75"/>
      <c r="F27" s="8">
        <f>CPUE!F27*Effort!F27</f>
        <v>738.5368077783321</v>
      </c>
      <c r="G27" s="7"/>
      <c r="H27" s="8">
        <v>101.675772040673</v>
      </c>
      <c r="I27" s="7"/>
      <c r="J27" s="8" t="s">
        <v>10</v>
      </c>
      <c r="K27" s="7"/>
      <c r="L27" s="8">
        <v>1301.68873567421</v>
      </c>
      <c r="M27" s="7"/>
      <c r="N27" s="8" t="s">
        <v>10</v>
      </c>
      <c r="O27" s="8">
        <f t="shared" si="0"/>
        <v>2141.901315493215</v>
      </c>
    </row>
    <row r="28" spans="1:16" x14ac:dyDescent="0.25">
      <c r="A28" s="76">
        <v>45615</v>
      </c>
      <c r="B28" s="7" t="s">
        <v>61</v>
      </c>
      <c r="C28" s="12">
        <v>0.87083333333333324</v>
      </c>
      <c r="D28" s="4">
        <v>-0.69</v>
      </c>
      <c r="E28" s="75" t="s">
        <v>63</v>
      </c>
      <c r="F28" s="8">
        <f>CPUE!F28*Effort!F28</f>
        <v>323.29238361537364</v>
      </c>
      <c r="G28" s="7"/>
      <c r="H28" s="8">
        <v>335.13095330345999</v>
      </c>
      <c r="I28" s="7" t="s">
        <v>63</v>
      </c>
      <c r="J28" s="8">
        <f>CPUE!J28*Effort!J28</f>
        <v>595.21221456028991</v>
      </c>
      <c r="K28" s="7"/>
      <c r="L28" s="8" t="s">
        <v>10</v>
      </c>
      <c r="M28" s="7"/>
      <c r="N28" s="8" t="s">
        <v>10</v>
      </c>
      <c r="O28" s="8">
        <f t="shared" si="0"/>
        <v>1253.6355514791235</v>
      </c>
      <c r="P28" s="19">
        <f>SUM(O22:O28)</f>
        <v>213238.9779273938</v>
      </c>
    </row>
    <row r="29" spans="1:16" x14ac:dyDescent="0.25">
      <c r="A29" s="76"/>
      <c r="E29" s="75"/>
      <c r="G29" s="7"/>
      <c r="I29" s="7"/>
      <c r="K29" s="7"/>
      <c r="M29" s="7"/>
      <c r="N29" s="8"/>
    </row>
    <row r="30" spans="1:16" x14ac:dyDescent="0.25">
      <c r="A30" s="76">
        <v>45625</v>
      </c>
      <c r="B30" s="7" t="s">
        <v>18</v>
      </c>
      <c r="C30" s="12">
        <v>0.72222222222222221</v>
      </c>
      <c r="D30" s="4">
        <v>-7.0000000000000007E-2</v>
      </c>
      <c r="E30" s="75" t="s">
        <v>63</v>
      </c>
      <c r="F30" s="8">
        <f>CPUE!F30*Effort!F30</f>
        <v>27885.266838000392</v>
      </c>
      <c r="G30" s="7"/>
      <c r="H30" s="8">
        <v>33406.057904812602</v>
      </c>
      <c r="I30" s="7"/>
      <c r="J30" s="8" t="s">
        <v>10</v>
      </c>
      <c r="K30" s="7"/>
      <c r="L30" s="8">
        <v>29980.2223295886</v>
      </c>
      <c r="M30" s="7"/>
      <c r="N30" s="8" t="s">
        <v>10</v>
      </c>
      <c r="O30" s="8">
        <f t="shared" si="0"/>
        <v>91271.54707240159</v>
      </c>
    </row>
    <row r="31" spans="1:16" x14ac:dyDescent="0.25">
      <c r="A31" s="76">
        <v>45626</v>
      </c>
      <c r="B31" s="7" t="s">
        <v>19</v>
      </c>
      <c r="C31" s="12">
        <v>0.74583333333333324</v>
      </c>
      <c r="D31" s="4">
        <v>-0.41</v>
      </c>
      <c r="E31" s="75"/>
      <c r="F31" s="8">
        <f>CPUE!F31*Effort!F31</f>
        <v>25123.385148373654</v>
      </c>
      <c r="G31" s="7" t="s">
        <v>63</v>
      </c>
      <c r="H31" s="8">
        <f>CPUE!H31*Effort!H31</f>
        <v>28540.890668161126</v>
      </c>
      <c r="I31" s="7"/>
      <c r="J31" s="8" t="s">
        <v>10</v>
      </c>
      <c r="K31" s="7"/>
      <c r="L31" s="8">
        <v>22228.296375970102</v>
      </c>
      <c r="M31" s="7"/>
      <c r="N31" s="8" t="s">
        <v>10</v>
      </c>
      <c r="O31" s="8">
        <f t="shared" si="0"/>
        <v>75892.572192504886</v>
      </c>
    </row>
    <row r="32" spans="1:16" x14ac:dyDescent="0.25">
      <c r="A32" s="76">
        <v>45627</v>
      </c>
      <c r="B32" s="7" t="s">
        <v>20</v>
      </c>
      <c r="C32" s="12">
        <v>0.77083333333333337</v>
      </c>
      <c r="D32" s="4">
        <v>-0.62</v>
      </c>
      <c r="E32" s="75" t="s">
        <v>63</v>
      </c>
      <c r="F32" s="8">
        <f>CPUE!F32*Effort!F32</f>
        <v>8503.1103084565384</v>
      </c>
      <c r="G32" s="7"/>
      <c r="H32" s="8">
        <v>10854.881470582801</v>
      </c>
      <c r="I32" s="7"/>
      <c r="J32" s="8">
        <v>12260.652272605301</v>
      </c>
      <c r="K32" s="7"/>
      <c r="L32" s="8" t="s">
        <v>10</v>
      </c>
      <c r="M32" s="7"/>
      <c r="N32" s="8" t="s">
        <v>10</v>
      </c>
      <c r="O32" s="8">
        <f t="shared" si="0"/>
        <v>31618.644051644638</v>
      </c>
    </row>
    <row r="33" spans="1:16" x14ac:dyDescent="0.25">
      <c r="A33" s="76">
        <v>45628</v>
      </c>
      <c r="B33" s="7" t="s">
        <v>21</v>
      </c>
      <c r="C33" s="12">
        <v>0.79583333333333339</v>
      </c>
      <c r="D33" s="4">
        <v>-0.69</v>
      </c>
      <c r="E33" s="75"/>
      <c r="F33" s="8">
        <f>CPUE!F33*Effort!F33</f>
        <v>4187.4098933574423</v>
      </c>
      <c r="G33" s="7" t="s">
        <v>63</v>
      </c>
      <c r="H33" s="8">
        <f>CPUE!H33*Effort!H33</f>
        <v>4977.7146454285385</v>
      </c>
      <c r="I33" s="7"/>
      <c r="J33" s="8">
        <v>5327.6278975490504</v>
      </c>
      <c r="K33" s="7"/>
      <c r="L33" s="8" t="s">
        <v>10</v>
      </c>
      <c r="M33" s="7"/>
      <c r="N33" s="8" t="s">
        <v>10</v>
      </c>
      <c r="O33" s="8">
        <f t="shared" si="0"/>
        <v>14492.752436335031</v>
      </c>
    </row>
    <row r="34" spans="1:16" x14ac:dyDescent="0.25">
      <c r="A34" s="76">
        <v>45629</v>
      </c>
      <c r="B34" s="7" t="s">
        <v>61</v>
      </c>
      <c r="C34" s="12">
        <v>0.82361111111111107</v>
      </c>
      <c r="D34" s="4">
        <v>-0.63</v>
      </c>
      <c r="E34" s="75"/>
      <c r="F34" s="8">
        <f>CPUE!F34*Effort!F34</f>
        <v>2138.974242823128</v>
      </c>
      <c r="G34" s="7" t="s">
        <v>63</v>
      </c>
      <c r="H34" s="8">
        <f>CPUE!H34*Effort!H34</f>
        <v>3273.1179861592495</v>
      </c>
      <c r="I34" s="7"/>
      <c r="J34" s="8" t="s">
        <v>10</v>
      </c>
      <c r="K34" s="7"/>
      <c r="L34" s="8">
        <v>2853.4391895764002</v>
      </c>
      <c r="M34" s="7"/>
      <c r="N34" s="8" t="s">
        <v>10</v>
      </c>
      <c r="O34" s="8">
        <f t="shared" si="0"/>
        <v>8265.5314185587777</v>
      </c>
    </row>
    <row r="35" spans="1:16" x14ac:dyDescent="0.25">
      <c r="A35" s="76">
        <v>45630</v>
      </c>
      <c r="B35" s="7" t="s">
        <v>62</v>
      </c>
      <c r="C35" s="12">
        <v>0.85277777777777775</v>
      </c>
      <c r="D35" s="4">
        <v>-0.46</v>
      </c>
      <c r="E35" s="75" t="s">
        <v>63</v>
      </c>
      <c r="F35" s="8">
        <f>CPUE!F35*Effort!F35</f>
        <v>589.15247418077638</v>
      </c>
      <c r="G35" s="7"/>
      <c r="H35" s="8">
        <v>1977.02890079086</v>
      </c>
      <c r="I35" s="7"/>
      <c r="J35" s="8" t="s">
        <v>10</v>
      </c>
      <c r="K35" s="7"/>
      <c r="L35" s="8">
        <v>673.66499784541895</v>
      </c>
      <c r="M35" s="7"/>
      <c r="N35" s="8" t="s">
        <v>10</v>
      </c>
      <c r="O35" s="8">
        <f t="shared" si="0"/>
        <v>3239.8463728170555</v>
      </c>
    </row>
    <row r="36" spans="1:16" x14ac:dyDescent="0.25">
      <c r="A36" s="76">
        <v>45631</v>
      </c>
      <c r="B36" s="7" t="s">
        <v>22</v>
      </c>
      <c r="C36" s="12">
        <v>0.88402777777777775</v>
      </c>
      <c r="D36" s="4">
        <v>-0.17</v>
      </c>
      <c r="E36" s="75" t="s">
        <v>63</v>
      </c>
      <c r="F36" s="8">
        <f>CPUE!F36*Effort!F36</f>
        <v>132.04350705067222</v>
      </c>
      <c r="G36" s="7" t="s">
        <v>63</v>
      </c>
      <c r="H36" s="8">
        <f>CPUE!H36*Effort!H36</f>
        <v>168.17630083451985</v>
      </c>
      <c r="I36" s="7"/>
      <c r="J36" s="8">
        <v>213.557442844257</v>
      </c>
      <c r="K36" s="7"/>
      <c r="L36" s="8" t="s">
        <v>10</v>
      </c>
      <c r="M36" s="7"/>
      <c r="N36" s="8" t="s">
        <v>10</v>
      </c>
      <c r="O36" s="8">
        <f t="shared" si="0"/>
        <v>513.77725072944907</v>
      </c>
      <c r="P36" s="19">
        <f>SUM(O30:O36)</f>
        <v>225294.67079499143</v>
      </c>
    </row>
    <row r="37" spans="1:16" x14ac:dyDescent="0.25">
      <c r="A37" s="76"/>
      <c r="E37" s="75"/>
      <c r="G37" s="7"/>
      <c r="I37" s="7"/>
      <c r="K37" s="7"/>
      <c r="M37" s="7"/>
      <c r="N37" s="8"/>
    </row>
    <row r="38" spans="1:16" x14ac:dyDescent="0.25">
      <c r="A38" s="76">
        <v>45638</v>
      </c>
      <c r="B38" s="7" t="s">
        <v>22</v>
      </c>
      <c r="C38" s="12">
        <v>0.66666666666666663</v>
      </c>
      <c r="D38" s="4">
        <v>-0.48</v>
      </c>
      <c r="E38" s="75"/>
      <c r="F38" s="8">
        <f>2392.46385294185+4677.68239522183</f>
        <v>7070.14624816368</v>
      </c>
      <c r="G38" s="7"/>
      <c r="H38" s="8">
        <v>11589.7089175774</v>
      </c>
      <c r="I38" s="7"/>
      <c r="J38" s="8">
        <v>13885.0467384698</v>
      </c>
      <c r="K38" s="7"/>
      <c r="L38" s="8" t="s">
        <v>10</v>
      </c>
      <c r="M38" s="7"/>
      <c r="N38" s="8" t="s">
        <v>10</v>
      </c>
      <c r="O38" s="8">
        <f t="shared" si="0"/>
        <v>32544.901904210878</v>
      </c>
    </row>
    <row r="39" spans="1:16" x14ac:dyDescent="0.25">
      <c r="A39" s="76">
        <v>45639</v>
      </c>
      <c r="B39" s="7" t="s">
        <v>18</v>
      </c>
      <c r="C39" s="12">
        <v>0.70138888888888884</v>
      </c>
      <c r="D39" s="4">
        <v>-1.17</v>
      </c>
      <c r="E39" s="75"/>
      <c r="F39" s="8">
        <f>CPUE!F39*Effort!F39</f>
        <v>8521.2578876108601</v>
      </c>
      <c r="G39" s="7" t="s">
        <v>63</v>
      </c>
      <c r="H39" s="8">
        <f>CPUE!H39*Effort!H39</f>
        <v>7864.673787667105</v>
      </c>
      <c r="I39" s="7"/>
      <c r="J39" s="8" t="s">
        <v>10</v>
      </c>
      <c r="K39" s="7"/>
      <c r="L39" s="8">
        <v>6384.2994511258203</v>
      </c>
      <c r="M39" s="7"/>
      <c r="N39" s="8" t="s">
        <v>10</v>
      </c>
      <c r="O39" s="8">
        <f t="shared" si="0"/>
        <v>22770.231126403785</v>
      </c>
    </row>
    <row r="40" spans="1:16" x14ac:dyDescent="0.25">
      <c r="A40" s="76">
        <v>45640</v>
      </c>
      <c r="B40" s="7" t="s">
        <v>19</v>
      </c>
      <c r="C40" s="12">
        <v>0.73333333333333339</v>
      </c>
      <c r="D40" s="4">
        <v>-1.55</v>
      </c>
      <c r="E40" s="75" t="s">
        <v>63</v>
      </c>
      <c r="F40" s="8">
        <f>CPUE!F40*Effort!F40</f>
        <v>8535.6756936883048</v>
      </c>
      <c r="G40" s="7" t="s">
        <v>63</v>
      </c>
      <c r="H40" s="8">
        <f>CPUE!H40*Effort!H40</f>
        <v>8382.1714285714661</v>
      </c>
      <c r="I40" s="7"/>
      <c r="J40" s="8" t="s">
        <v>10</v>
      </c>
      <c r="K40" s="7"/>
      <c r="L40" s="8">
        <v>7616.5327789890498</v>
      </c>
      <c r="M40" s="7"/>
      <c r="N40" s="8" t="s">
        <v>10</v>
      </c>
      <c r="O40" s="8">
        <f t="shared" si="0"/>
        <v>24534.379901248823</v>
      </c>
    </row>
    <row r="41" spans="1:16" x14ac:dyDescent="0.25">
      <c r="A41" s="76">
        <v>45641</v>
      </c>
      <c r="B41" s="7" t="s">
        <v>20</v>
      </c>
      <c r="C41" s="12">
        <v>0.76458333333333339</v>
      </c>
      <c r="D41" s="4">
        <v>-1.63</v>
      </c>
      <c r="E41" s="75" t="s">
        <v>63</v>
      </c>
      <c r="F41" s="8">
        <f>CPUE!F41*Effort!F41</f>
        <v>2220.4656744673307</v>
      </c>
      <c r="G41" s="7"/>
      <c r="H41" s="8">
        <v>2077.9985910812502</v>
      </c>
      <c r="I41" s="7"/>
      <c r="J41" s="8">
        <v>9629.5708144814907</v>
      </c>
      <c r="K41" s="7"/>
      <c r="L41" s="8" t="s">
        <v>10</v>
      </c>
      <c r="M41" s="7"/>
      <c r="N41" s="8" t="s">
        <v>10</v>
      </c>
      <c r="O41" s="8">
        <f t="shared" si="0"/>
        <v>13928.035080030071</v>
      </c>
    </row>
    <row r="42" spans="1:16" x14ac:dyDescent="0.25">
      <c r="A42" s="76">
        <v>45642</v>
      </c>
      <c r="B42" s="7" t="s">
        <v>21</v>
      </c>
      <c r="C42" s="12">
        <v>0.79513888888888884</v>
      </c>
      <c r="D42" s="4">
        <v>-1.45</v>
      </c>
      <c r="E42" s="75"/>
      <c r="F42" s="8">
        <f>CPUE!F42*Effort!F42</f>
        <v>1550.1137066200115</v>
      </c>
      <c r="G42" s="7" t="s">
        <v>63</v>
      </c>
      <c r="H42" s="8">
        <f>CPUE!H42*Effort!H42</f>
        <v>3365.6543736331896</v>
      </c>
      <c r="I42" s="7"/>
      <c r="J42" s="8">
        <v>3802.7002725816001</v>
      </c>
      <c r="K42" s="7"/>
      <c r="L42" s="8" t="s">
        <v>10</v>
      </c>
      <c r="M42" s="7"/>
      <c r="N42" s="8" t="s">
        <v>10</v>
      </c>
      <c r="O42" s="8">
        <f t="shared" si="0"/>
        <v>8718.4683528348014</v>
      </c>
    </row>
    <row r="43" spans="1:16" x14ac:dyDescent="0.25">
      <c r="A43" s="76">
        <v>45643</v>
      </c>
      <c r="B43" s="7" t="s">
        <v>61</v>
      </c>
      <c r="C43" s="12">
        <v>0.82500000000000007</v>
      </c>
      <c r="D43" s="4">
        <v>-1.05</v>
      </c>
      <c r="E43" s="75" t="s">
        <v>63</v>
      </c>
      <c r="F43" s="8">
        <f>CPUE!F43*Effort!F43</f>
        <v>61.098791164735211</v>
      </c>
      <c r="G43" s="7"/>
      <c r="H43" s="8">
        <f>CPUE!H43*Effort!H43</f>
        <v>60</v>
      </c>
      <c r="I43" s="7"/>
      <c r="J43" s="8" t="s">
        <v>10</v>
      </c>
      <c r="K43" s="7"/>
      <c r="L43" s="8">
        <f>CPUE!L43*Effort!L43</f>
        <v>56.582421239128998</v>
      </c>
      <c r="M43" s="7"/>
      <c r="N43" s="8" t="s">
        <v>10</v>
      </c>
      <c r="O43" s="8">
        <f t="shared" si="0"/>
        <v>177.68121240386421</v>
      </c>
    </row>
    <row r="44" spans="1:16" x14ac:dyDescent="0.25">
      <c r="A44" s="76">
        <v>45644</v>
      </c>
      <c r="B44" s="7" t="s">
        <v>62</v>
      </c>
      <c r="C44" s="12">
        <v>0.85486111111111107</v>
      </c>
      <c r="D44" s="4">
        <v>-0.51</v>
      </c>
      <c r="E44" s="75" t="s">
        <v>63</v>
      </c>
      <c r="F44" s="8">
        <f>CPUE!F44*Effort!F44</f>
        <v>875.94255899202903</v>
      </c>
      <c r="G44" s="7"/>
      <c r="H44" s="8">
        <v>1310.2119616991299</v>
      </c>
      <c r="I44" s="7"/>
      <c r="J44" s="8" t="s">
        <v>10</v>
      </c>
      <c r="K44" s="7" t="s">
        <v>63</v>
      </c>
      <c r="L44" s="8">
        <f>CPUE!L44*Effort!L44</f>
        <v>1271.9234213378459</v>
      </c>
      <c r="M44" s="7"/>
      <c r="N44" s="8" t="s">
        <v>10</v>
      </c>
      <c r="O44" s="8">
        <f t="shared" si="0"/>
        <v>3458.0779420290046</v>
      </c>
      <c r="P44" s="19">
        <f>SUM(O38:O44)</f>
        <v>106131.77551916122</v>
      </c>
    </row>
    <row r="45" spans="1:16" x14ac:dyDescent="0.25">
      <c r="A45" s="76"/>
      <c r="E45" s="75"/>
      <c r="G45" s="7"/>
      <c r="I45" s="7"/>
      <c r="K45" s="7"/>
      <c r="M45" s="7"/>
      <c r="N45" s="8"/>
    </row>
    <row r="46" spans="1:16" x14ac:dyDescent="0.25">
      <c r="A46" s="76">
        <v>45654</v>
      </c>
      <c r="B46" s="7" t="s">
        <v>19</v>
      </c>
      <c r="C46" s="12">
        <v>0.70694444444444438</v>
      </c>
      <c r="D46" s="4">
        <v>-0.03</v>
      </c>
      <c r="E46" s="75"/>
      <c r="F46" s="8">
        <f>CPUE!F46*Effort!F46</f>
        <v>3232.7006574176871</v>
      </c>
      <c r="G46" s="7"/>
      <c r="H46" s="8">
        <v>1903.4875178723501</v>
      </c>
      <c r="I46" s="7"/>
      <c r="J46" s="8">
        <v>5992.8916339772504</v>
      </c>
      <c r="K46" s="7"/>
      <c r="L46" s="8" t="s">
        <v>10</v>
      </c>
      <c r="M46" s="7"/>
      <c r="N46" s="8" t="s">
        <v>10</v>
      </c>
      <c r="O46" s="8">
        <f t="shared" si="0"/>
        <v>11129.079809267289</v>
      </c>
    </row>
    <row r="47" spans="1:16" x14ac:dyDescent="0.25">
      <c r="A47" s="76">
        <v>45655</v>
      </c>
      <c r="B47" s="7" t="s">
        <v>20</v>
      </c>
      <c r="C47" s="12">
        <v>0.73333333333333339</v>
      </c>
      <c r="D47" s="4">
        <v>-0.44</v>
      </c>
      <c r="E47" s="75" t="s">
        <v>63</v>
      </c>
      <c r="F47" s="8">
        <f>CPUE!F47*Effort!F47</f>
        <v>9881.3701792920292</v>
      </c>
      <c r="G47" s="7"/>
      <c r="H47" s="8">
        <v>11153.1328356996</v>
      </c>
      <c r="I47" s="7"/>
      <c r="J47" s="8" t="s">
        <v>10</v>
      </c>
      <c r="K47" s="7"/>
      <c r="L47" s="8">
        <v>10984.2305555445</v>
      </c>
      <c r="M47" s="7"/>
      <c r="N47" s="8" t="s">
        <v>10</v>
      </c>
      <c r="O47" s="8">
        <f t="shared" si="0"/>
        <v>32018.733570536126</v>
      </c>
    </row>
    <row r="48" spans="1:16" x14ac:dyDescent="0.25">
      <c r="A48" s="76">
        <v>45656</v>
      </c>
      <c r="B48" s="7" t="s">
        <v>21</v>
      </c>
      <c r="C48" s="12">
        <v>0.7597222222222223</v>
      </c>
      <c r="D48" s="4">
        <v>-0.74</v>
      </c>
      <c r="E48" s="75"/>
      <c r="F48" s="8">
        <f>CPUE!F48*Effort!F48</f>
        <v>13796.035996045644</v>
      </c>
      <c r="G48" s="7" t="s">
        <v>63</v>
      </c>
      <c r="H48" s="8">
        <f>CPUE!H48*Effort!H48</f>
        <v>14415.491509300191</v>
      </c>
      <c r="I48" s="7"/>
      <c r="J48" s="8" t="s">
        <v>10</v>
      </c>
      <c r="K48" s="7"/>
      <c r="L48" s="8">
        <f>CPUE!L48*Effort!L48</f>
        <v>11175.028194727987</v>
      </c>
      <c r="M48" s="7"/>
      <c r="N48" s="8" t="s">
        <v>10</v>
      </c>
      <c r="O48" s="8">
        <f t="shared" si="0"/>
        <v>39386.555700073819</v>
      </c>
    </row>
    <row r="49" spans="1:16" x14ac:dyDescent="0.25">
      <c r="A49" s="76">
        <v>45657</v>
      </c>
      <c r="B49" s="7" t="s">
        <v>61</v>
      </c>
      <c r="C49" s="12">
        <v>0.78541666666666676</v>
      </c>
      <c r="D49" s="4">
        <v>-0.95</v>
      </c>
      <c r="E49" s="75" t="s">
        <v>63</v>
      </c>
      <c r="F49" s="8">
        <f>CPUE!F49*Effort!F49</f>
        <v>9453.2567865312431</v>
      </c>
      <c r="G49" s="7" t="s">
        <v>63</v>
      </c>
      <c r="H49" s="8">
        <f>CPUE!H49*Effort!H49</f>
        <v>10130.651715094589</v>
      </c>
      <c r="I49" s="7"/>
      <c r="J49" s="8">
        <v>17513.8813761866</v>
      </c>
      <c r="K49" s="7"/>
      <c r="L49" s="8" t="s">
        <v>10</v>
      </c>
      <c r="M49" s="7"/>
      <c r="N49" s="8" t="s">
        <v>10</v>
      </c>
      <c r="O49" s="8">
        <f t="shared" si="0"/>
        <v>37097.789877812436</v>
      </c>
    </row>
    <row r="50" spans="1:16" x14ac:dyDescent="0.25">
      <c r="A50" s="76">
        <v>45658</v>
      </c>
      <c r="B50" s="7" t="s">
        <v>62</v>
      </c>
      <c r="C50" s="12">
        <v>0.81180555555555556</v>
      </c>
      <c r="D50" s="4">
        <v>-0.95</v>
      </c>
      <c r="E50" s="75" t="s">
        <v>63</v>
      </c>
      <c r="F50" s="8">
        <f>CPUE!F50*Effort!F50</f>
        <v>1393.8075990912437</v>
      </c>
      <c r="G50" s="7" t="s">
        <v>63</v>
      </c>
      <c r="H50" s="8">
        <f>CPUE!H50*Effort!H50</f>
        <v>1493.6840988349802</v>
      </c>
      <c r="I50" s="7"/>
      <c r="J50" s="8">
        <v>2125.9790131315899</v>
      </c>
      <c r="K50" s="7"/>
      <c r="L50" s="8" t="s">
        <v>10</v>
      </c>
      <c r="M50" s="7"/>
      <c r="N50" s="8" t="s">
        <v>10</v>
      </c>
      <c r="O50" s="8">
        <f t="shared" si="0"/>
        <v>5013.4707110578138</v>
      </c>
    </row>
    <row r="51" spans="1:16" x14ac:dyDescent="0.25">
      <c r="A51" s="76">
        <v>45659</v>
      </c>
      <c r="B51" s="7" t="s">
        <v>22</v>
      </c>
      <c r="C51" s="12">
        <v>0.83888888888888891</v>
      </c>
      <c r="D51" s="4">
        <v>-0.75</v>
      </c>
      <c r="E51" s="75"/>
      <c r="F51" s="8">
        <f>CPUE!F51*Effort!F51</f>
        <v>796.1354598996902</v>
      </c>
      <c r="G51" s="7"/>
      <c r="H51" s="8">
        <v>1716.71969498411</v>
      </c>
      <c r="I51" s="7"/>
      <c r="J51" s="8" t="s">
        <v>10</v>
      </c>
      <c r="K51" s="7"/>
      <c r="L51" s="8">
        <f>CPUE!L51*Effort!L51</f>
        <v>1301.8868627307224</v>
      </c>
      <c r="M51" s="7"/>
      <c r="N51" s="8" t="s">
        <v>10</v>
      </c>
      <c r="O51" s="8">
        <f t="shared" si="0"/>
        <v>3814.7420176145229</v>
      </c>
    </row>
    <row r="52" spans="1:16" x14ac:dyDescent="0.25">
      <c r="A52" s="76">
        <v>45660</v>
      </c>
      <c r="B52" s="7" t="s">
        <v>18</v>
      </c>
      <c r="C52" s="12">
        <v>0.8666666666666667</v>
      </c>
      <c r="D52" s="4">
        <v>-0.34</v>
      </c>
      <c r="E52" s="75" t="s">
        <v>63</v>
      </c>
      <c r="F52" s="8">
        <f>CPUE!F52*Effort!F52</f>
        <v>493.5153528972333</v>
      </c>
      <c r="G52" s="7" t="s">
        <v>63</v>
      </c>
      <c r="H52" s="8">
        <f>CPUE!H52*Effort!H52</f>
        <v>541.34124233236946</v>
      </c>
      <c r="I52" s="7"/>
      <c r="J52" s="8" t="s">
        <v>10</v>
      </c>
      <c r="K52" s="7"/>
      <c r="L52" s="8">
        <f>CPUE!L52*Effort!L52</f>
        <v>419.65295752354001</v>
      </c>
      <c r="M52" s="7"/>
      <c r="N52" s="8" t="s">
        <v>10</v>
      </c>
      <c r="O52" s="8">
        <f t="shared" si="0"/>
        <v>1454.5095527531428</v>
      </c>
      <c r="P52" s="19">
        <f>SUM(O46:O52)</f>
        <v>129914.88123911514</v>
      </c>
    </row>
    <row r="53" spans="1:16" x14ac:dyDescent="0.25">
      <c r="A53" s="76"/>
      <c r="E53" s="75"/>
      <c r="G53" s="7"/>
      <c r="I53" s="7"/>
      <c r="K53" s="7"/>
      <c r="M53" s="7"/>
      <c r="N53" s="8"/>
    </row>
    <row r="54" spans="1:16" x14ac:dyDescent="0.25">
      <c r="A54" s="76">
        <v>45667</v>
      </c>
      <c r="B54" s="7" t="s">
        <v>18</v>
      </c>
      <c r="C54" s="12">
        <v>0.65763888888888888</v>
      </c>
      <c r="D54" s="4">
        <v>-0.31</v>
      </c>
      <c r="E54" s="75"/>
      <c r="F54" s="8">
        <f>3302.46276568754+1302.75974731888</f>
        <v>4605.2225130064198</v>
      </c>
      <c r="G54" s="7" t="s">
        <v>63</v>
      </c>
      <c r="H54" s="8">
        <f>CPUE!H54*Effort!H54</f>
        <v>9055.4130995108553</v>
      </c>
      <c r="I54" s="7"/>
      <c r="J54" s="8" t="s">
        <v>10</v>
      </c>
      <c r="K54" s="7"/>
      <c r="L54" s="8">
        <v>10823.0970025273</v>
      </c>
      <c r="M54" s="7"/>
      <c r="N54" s="8" t="s">
        <v>10</v>
      </c>
      <c r="O54" s="8">
        <f t="shared" si="0"/>
        <v>24483.732615044573</v>
      </c>
    </row>
    <row r="55" spans="1:16" x14ac:dyDescent="0.25">
      <c r="A55" s="76">
        <v>45668</v>
      </c>
      <c r="B55" s="7" t="s">
        <v>19</v>
      </c>
      <c r="C55" s="12">
        <v>0.69374999999999998</v>
      </c>
      <c r="D55" s="4">
        <v>-0.76</v>
      </c>
      <c r="E55" s="75"/>
      <c r="F55" s="8">
        <f>CPUE!F55*Effort!F55</f>
        <v>54141.97753746737</v>
      </c>
      <c r="G55" s="7"/>
      <c r="H55" s="8">
        <v>45891.034485024298</v>
      </c>
      <c r="I55" s="7"/>
      <c r="J55" s="8" t="s">
        <v>10</v>
      </c>
      <c r="K55" s="7"/>
      <c r="L55" s="8">
        <v>41181.014282916498</v>
      </c>
      <c r="M55" s="7"/>
      <c r="N55" s="8" t="s">
        <v>10</v>
      </c>
      <c r="O55" s="8">
        <f t="shared" si="0"/>
        <v>141214.02630540816</v>
      </c>
    </row>
    <row r="56" spans="1:16" x14ac:dyDescent="0.25">
      <c r="A56" s="76">
        <v>45669</v>
      </c>
      <c r="B56" s="7" t="s">
        <v>20</v>
      </c>
      <c r="C56" s="12">
        <v>0.7270833333333333</v>
      </c>
      <c r="D56" s="4">
        <v>-1.02</v>
      </c>
      <c r="E56" s="75" t="s">
        <v>63</v>
      </c>
      <c r="F56" s="8">
        <f>CPUE!F56*Effort!F56</f>
        <v>30610.472517580482</v>
      </c>
      <c r="G56" s="7"/>
      <c r="H56" s="8">
        <v>27092.455989882401</v>
      </c>
      <c r="I56" s="7"/>
      <c r="J56" s="8">
        <v>39693.131453874397</v>
      </c>
      <c r="K56" s="7"/>
      <c r="L56" s="8" t="s">
        <v>10</v>
      </c>
      <c r="M56" s="7"/>
      <c r="N56" s="8" t="s">
        <v>10</v>
      </c>
      <c r="O56" s="8">
        <f t="shared" si="0"/>
        <v>97396.059961337276</v>
      </c>
    </row>
    <row r="57" spans="1:16" x14ac:dyDescent="0.25">
      <c r="A57" s="76">
        <v>45670</v>
      </c>
      <c r="B57" s="7" t="s">
        <v>21</v>
      </c>
      <c r="C57" s="12">
        <v>0.75694444444444453</v>
      </c>
      <c r="D57" s="4">
        <v>-1.07</v>
      </c>
      <c r="E57" s="75" t="s">
        <v>63</v>
      </c>
      <c r="F57" s="8">
        <f>CPUE!F57*Effort!F57</f>
        <v>10909.690818581572</v>
      </c>
      <c r="G57" s="7" t="s">
        <v>63</v>
      </c>
      <c r="H57" s="8">
        <f>CPUE!H57*Effort!H57</f>
        <v>9678.9839181295101</v>
      </c>
      <c r="I57" s="7"/>
      <c r="J57" s="8">
        <v>13709.1014885601</v>
      </c>
      <c r="K57" s="7"/>
      <c r="L57" s="8" t="s">
        <v>10</v>
      </c>
      <c r="M57" s="7"/>
      <c r="N57" s="8" t="s">
        <v>10</v>
      </c>
      <c r="O57" s="8">
        <f t="shared" si="0"/>
        <v>34297.776225271184</v>
      </c>
    </row>
    <row r="58" spans="1:16" x14ac:dyDescent="0.25">
      <c r="A58" s="76">
        <v>45671</v>
      </c>
      <c r="B58" s="7" t="s">
        <v>61</v>
      </c>
      <c r="C58" s="12">
        <v>0.78472222222222221</v>
      </c>
      <c r="D58" s="4">
        <v>-0.93</v>
      </c>
      <c r="E58" s="75" t="s">
        <v>63</v>
      </c>
      <c r="F58" s="8">
        <f>CPUE!F58*Effort!F58</f>
        <v>932.72460439688166</v>
      </c>
      <c r="G58" s="7" t="s">
        <v>63</v>
      </c>
      <c r="H58" s="8">
        <f>CPUE!H58*Effort!H58</f>
        <v>1379.5751120903296</v>
      </c>
      <c r="I58" s="7"/>
      <c r="J58" s="8" t="s">
        <v>10</v>
      </c>
      <c r="K58" s="7"/>
      <c r="L58" s="8">
        <v>1145.19708996796</v>
      </c>
      <c r="M58" s="7"/>
      <c r="N58" s="8" t="s">
        <v>10</v>
      </c>
      <c r="O58" s="8">
        <f t="shared" si="0"/>
        <v>3457.4968064551713</v>
      </c>
    </row>
    <row r="59" spans="1:16" x14ac:dyDescent="0.25">
      <c r="A59" s="76">
        <v>45672</v>
      </c>
      <c r="B59" s="7" t="s">
        <v>62</v>
      </c>
      <c r="C59" s="12">
        <v>0.81111111111111101</v>
      </c>
      <c r="D59" s="4">
        <v>-0.62</v>
      </c>
      <c r="E59" s="75"/>
      <c r="F59" s="8">
        <f>628.272236146731+222.642616087509</f>
        <v>850.91485223424002</v>
      </c>
      <c r="G59" s="7"/>
      <c r="H59" s="8">
        <v>2452.4824628091601</v>
      </c>
      <c r="I59" s="7"/>
      <c r="J59" s="8" t="s">
        <v>10</v>
      </c>
      <c r="K59" s="7"/>
      <c r="L59" s="8">
        <v>658.91935999389295</v>
      </c>
      <c r="M59" s="7"/>
      <c r="N59" s="8" t="s">
        <v>10</v>
      </c>
      <c r="O59" s="8">
        <f t="shared" si="0"/>
        <v>3962.3166750372934</v>
      </c>
    </row>
    <row r="60" spans="1:16" x14ac:dyDescent="0.25">
      <c r="A60" s="76">
        <v>45673</v>
      </c>
      <c r="B60" s="7" t="s">
        <v>22</v>
      </c>
      <c r="C60" s="12">
        <v>0.8354166666666667</v>
      </c>
      <c r="D60" s="4">
        <v>-0.16</v>
      </c>
      <c r="E60" s="75" t="s">
        <v>63</v>
      </c>
      <c r="F60" s="8">
        <f>CPUE!F60*Effort!F60</f>
        <v>484.32894176416414</v>
      </c>
      <c r="G60" s="7" t="s">
        <v>63</v>
      </c>
      <c r="H60" s="8">
        <f>CPUE!H60*Effort!H60</f>
        <v>429.69247400079087</v>
      </c>
      <c r="I60" s="7"/>
      <c r="J60" s="8">
        <v>638.844647981766</v>
      </c>
      <c r="K60" s="7"/>
      <c r="L60" s="8" t="s">
        <v>10</v>
      </c>
      <c r="M60" s="7"/>
      <c r="N60" s="8" t="s">
        <v>10</v>
      </c>
      <c r="O60" s="8">
        <f>SUM(F60:N60)</f>
        <v>1552.866063746721</v>
      </c>
      <c r="P60" s="19">
        <f>SUM(O54:O60)</f>
        <v>306364.27465230046</v>
      </c>
    </row>
    <row r="61" spans="1:16" x14ac:dyDescent="0.25">
      <c r="A61" s="76"/>
      <c r="E61" s="75"/>
      <c r="G61" s="7"/>
      <c r="I61" s="7"/>
      <c r="K61" s="7"/>
      <c r="M61" s="7"/>
      <c r="N61" s="8"/>
    </row>
    <row r="62" spans="1:16" x14ac:dyDescent="0.25">
      <c r="A62" s="76">
        <v>45683</v>
      </c>
      <c r="B62" s="7" t="s">
        <v>20</v>
      </c>
      <c r="C62" s="12">
        <v>0.69027777777777777</v>
      </c>
      <c r="D62" s="4">
        <v>7.0000000000000007E-2</v>
      </c>
      <c r="E62" s="75" t="s">
        <v>63</v>
      </c>
      <c r="F62" s="8">
        <f>CPUE!F62*Effort!F62</f>
        <v>24395.886955707974</v>
      </c>
      <c r="G62" s="7"/>
      <c r="H62" s="8">
        <v>31396.1384928849</v>
      </c>
      <c r="I62" s="7"/>
      <c r="J62" s="8" t="s">
        <v>10</v>
      </c>
      <c r="K62" s="7"/>
      <c r="L62" s="8">
        <v>21468.616822464599</v>
      </c>
      <c r="M62" s="7"/>
      <c r="N62" s="8" t="s">
        <v>10</v>
      </c>
      <c r="O62" s="8">
        <f>SUM(F62:N62)</f>
        <v>77260.64227105747</v>
      </c>
    </row>
    <row r="63" spans="1:16" x14ac:dyDescent="0.25">
      <c r="A63" s="76">
        <v>45684</v>
      </c>
      <c r="B63" s="7" t="s">
        <v>21</v>
      </c>
      <c r="C63" s="12">
        <v>0.71875</v>
      </c>
      <c r="D63" s="4">
        <v>-0.44</v>
      </c>
      <c r="E63" s="75"/>
      <c r="F63" s="8">
        <f>CPUE!F63*Effort!F63</f>
        <v>15983.528330335095</v>
      </c>
      <c r="G63" s="7" t="s">
        <v>63</v>
      </c>
      <c r="H63" s="8">
        <f>CPUE!H63*Effort!H63</f>
        <v>17948.586825521066</v>
      </c>
      <c r="I63" s="7"/>
      <c r="J63" s="8" t="s">
        <v>10</v>
      </c>
      <c r="K63" s="7"/>
      <c r="L63" s="8">
        <v>11702.102021664599</v>
      </c>
      <c r="M63" s="7"/>
      <c r="N63" s="8" t="s">
        <v>10</v>
      </c>
      <c r="O63" s="8">
        <f t="shared" ref="O63:O68" si="1">SUM(F63:N63)</f>
        <v>45634.217177520761</v>
      </c>
    </row>
    <row r="64" spans="1:16" x14ac:dyDescent="0.25">
      <c r="A64" s="76">
        <v>45685</v>
      </c>
      <c r="B64" s="7" t="s">
        <v>61</v>
      </c>
      <c r="C64" s="12">
        <v>0.74583333333333324</v>
      </c>
      <c r="D64" s="4">
        <v>-0.82</v>
      </c>
      <c r="E64" s="75" t="s">
        <v>63</v>
      </c>
      <c r="F64" s="8">
        <f>CPUE!F64*Effort!F64</f>
        <v>24903.394779602073</v>
      </c>
      <c r="G64" s="7" t="s">
        <v>63</v>
      </c>
      <c r="H64" s="8">
        <f>CPUE!H64*Effort!H64</f>
        <v>12296.969353180471</v>
      </c>
      <c r="I64" s="7"/>
      <c r="J64" s="8">
        <v>17091.043879675901</v>
      </c>
      <c r="K64" s="7"/>
      <c r="L64" s="8" t="s">
        <v>10</v>
      </c>
      <c r="M64" s="7"/>
      <c r="N64" s="8" t="s">
        <v>10</v>
      </c>
      <c r="O64" s="8">
        <f t="shared" si="1"/>
        <v>54291.408012458443</v>
      </c>
    </row>
    <row r="65" spans="1:16" x14ac:dyDescent="0.25">
      <c r="A65" s="76">
        <v>45686</v>
      </c>
      <c r="B65" s="7" t="s">
        <v>62</v>
      </c>
      <c r="C65" s="12">
        <v>0.7715277777777777</v>
      </c>
      <c r="D65" s="4">
        <v>-1.01</v>
      </c>
      <c r="E65" s="75"/>
      <c r="F65" s="8">
        <f>10874.9999537+10574.6922696083</f>
        <v>21449.692223308302</v>
      </c>
      <c r="G65" s="7"/>
      <c r="H65" s="8">
        <v>10419.355624894801</v>
      </c>
      <c r="I65" s="7"/>
      <c r="J65" s="8">
        <v>11805.7096578948</v>
      </c>
      <c r="K65" s="7"/>
      <c r="L65" s="8" t="s">
        <v>10</v>
      </c>
      <c r="M65" s="7"/>
      <c r="N65" s="8" t="s">
        <v>10</v>
      </c>
      <c r="O65" s="8">
        <f t="shared" si="1"/>
        <v>43674.7575060979</v>
      </c>
    </row>
    <row r="66" spans="1:16" x14ac:dyDescent="0.25">
      <c r="A66" s="76">
        <v>45687</v>
      </c>
      <c r="B66" s="7" t="s">
        <v>22</v>
      </c>
      <c r="C66" s="12">
        <v>0.79652777777777783</v>
      </c>
      <c r="D66" s="4">
        <v>-0.97</v>
      </c>
      <c r="E66" s="75" t="s">
        <v>63</v>
      </c>
      <c r="F66" s="8">
        <f>CPUE!F66*Effort!F66</f>
        <v>2719.8755770887096</v>
      </c>
      <c r="G66" s="7" t="s">
        <v>63</v>
      </c>
      <c r="H66" s="8">
        <f>CPUE!H66*Effort!H66</f>
        <v>2821.0570996969404</v>
      </c>
      <c r="I66" s="7"/>
      <c r="J66" s="8" t="s">
        <v>10</v>
      </c>
      <c r="K66" s="7"/>
      <c r="L66" s="8">
        <v>829.92098447963303</v>
      </c>
      <c r="M66" s="7"/>
      <c r="N66" s="8" t="s">
        <v>10</v>
      </c>
      <c r="O66" s="8">
        <f t="shared" si="1"/>
        <v>6370.8536612652833</v>
      </c>
    </row>
    <row r="67" spans="1:16" x14ac:dyDescent="0.25">
      <c r="A67" s="76">
        <v>45688</v>
      </c>
      <c r="B67" s="7" t="s">
        <v>18</v>
      </c>
      <c r="C67" s="12">
        <v>0.8222222222222223</v>
      </c>
      <c r="D67" s="4">
        <v>-0.66</v>
      </c>
      <c r="E67" s="75"/>
      <c r="F67" s="8">
        <f>CPUE!F67*Effort!F67</f>
        <v>2657.2227065100992</v>
      </c>
      <c r="G67" s="7" t="s">
        <v>63</v>
      </c>
      <c r="H67" s="8">
        <f>CPUE!H67*Effort!H67</f>
        <v>4403.8949890865742</v>
      </c>
      <c r="I67" s="7"/>
      <c r="J67" s="8" t="s">
        <v>10</v>
      </c>
      <c r="K67" s="7"/>
      <c r="L67" s="8">
        <v>974.11489235487397</v>
      </c>
      <c r="M67" s="7"/>
      <c r="N67" s="8" t="s">
        <v>10</v>
      </c>
      <c r="O67" s="8">
        <f t="shared" si="1"/>
        <v>8035.2325879515465</v>
      </c>
    </row>
    <row r="68" spans="1:16" x14ac:dyDescent="0.25">
      <c r="A68" s="76">
        <v>45689</v>
      </c>
      <c r="B68" s="7" t="s">
        <v>19</v>
      </c>
      <c r="C68" s="12">
        <v>0.84791666666666676</v>
      </c>
      <c r="D68" s="4">
        <v>-0.09</v>
      </c>
      <c r="E68" s="75" t="s">
        <v>63</v>
      </c>
      <c r="F68" s="8">
        <f>CPUE!F68*Effort!F68</f>
        <v>5399.4240281721404</v>
      </c>
      <c r="G68" s="7"/>
      <c r="H68" s="8">
        <v>1599.6988134399201</v>
      </c>
      <c r="I68" s="7"/>
      <c r="J68" s="8">
        <v>382.56634384788299</v>
      </c>
      <c r="K68" s="7"/>
      <c r="L68" s="8" t="s">
        <v>10</v>
      </c>
      <c r="M68" s="7"/>
      <c r="N68" s="8" t="s">
        <v>10</v>
      </c>
      <c r="O68" s="8">
        <f t="shared" si="1"/>
        <v>7381.6891854599435</v>
      </c>
      <c r="P68" s="19">
        <f>SUM(O62:O68)</f>
        <v>242648.80040181137</v>
      </c>
    </row>
    <row r="69" spans="1:16" x14ac:dyDescent="0.25">
      <c r="A69" s="76"/>
      <c r="E69" s="75"/>
      <c r="G69" s="7"/>
      <c r="I69" s="7"/>
      <c r="K69" s="7"/>
      <c r="M69" s="7"/>
      <c r="N69" s="8"/>
    </row>
    <row r="70" spans="1:16" x14ac:dyDescent="0.25">
      <c r="A70" s="76">
        <v>45696</v>
      </c>
      <c r="B70" s="7" t="s">
        <v>19</v>
      </c>
      <c r="C70" s="12">
        <v>0.65</v>
      </c>
      <c r="D70" s="4">
        <v>0.05</v>
      </c>
      <c r="E70" s="75" t="s">
        <v>63</v>
      </c>
      <c r="F70" s="8">
        <f>CPUE!F70*Effort!F70</f>
        <v>21121.282142158416</v>
      </c>
      <c r="G70" s="7"/>
      <c r="H70" s="8">
        <v>26088.5007995429</v>
      </c>
      <c r="I70" s="7"/>
      <c r="J70" s="8" t="s">
        <v>10</v>
      </c>
      <c r="K70" s="7"/>
      <c r="L70" s="8">
        <v>21956.313691021202</v>
      </c>
      <c r="M70" s="7"/>
      <c r="N70" s="8" t="s">
        <v>10</v>
      </c>
      <c r="O70" s="8">
        <f>SUM(F70:N70)</f>
        <v>69166.096632722518</v>
      </c>
    </row>
    <row r="71" spans="1:16" x14ac:dyDescent="0.25">
      <c r="A71" s="76">
        <v>45697</v>
      </c>
      <c r="B71" s="7" t="s">
        <v>20</v>
      </c>
      <c r="C71" s="12">
        <v>0.68680555555555556</v>
      </c>
      <c r="D71" s="4">
        <v>-0.27</v>
      </c>
      <c r="E71" s="75" t="s">
        <v>63</v>
      </c>
      <c r="F71" s="8">
        <f>CPUE!F71*Effort!F71</f>
        <v>15197.049394773867</v>
      </c>
      <c r="G71" s="7" t="s">
        <v>63</v>
      </c>
      <c r="H71" s="8">
        <f>CPUE!H71*Effort!H71</f>
        <v>17834.086787507847</v>
      </c>
      <c r="I71" s="7"/>
      <c r="J71" s="8">
        <v>18182.890847882401</v>
      </c>
      <c r="K71" s="7"/>
      <c r="L71" s="8" t="s">
        <v>10</v>
      </c>
      <c r="M71" s="7"/>
      <c r="N71" s="8" t="s">
        <v>10</v>
      </c>
      <c r="O71" s="8">
        <f>SUM(F71:N71)</f>
        <v>51214.027030164114</v>
      </c>
    </row>
    <row r="72" spans="1:16" x14ac:dyDescent="0.25">
      <c r="A72" s="76">
        <v>45698</v>
      </c>
      <c r="B72" s="7" t="s">
        <v>21</v>
      </c>
      <c r="C72" s="12">
        <v>0.71875</v>
      </c>
      <c r="D72" s="4">
        <v>-0.46</v>
      </c>
      <c r="E72" s="75"/>
      <c r="F72" s="8">
        <f>CPUE!F72*Effort!F72</f>
        <v>11446.626527071701</v>
      </c>
      <c r="G72" s="7" t="s">
        <v>63</v>
      </c>
      <c r="H72" s="8">
        <f>CPUE!H72*Effort!H72</f>
        <v>13707.01973898908</v>
      </c>
      <c r="I72" s="7"/>
      <c r="J72" s="8">
        <v>14068.8981211835</v>
      </c>
      <c r="K72" s="7"/>
      <c r="L72" s="8" t="s">
        <v>10</v>
      </c>
      <c r="M72" s="7"/>
      <c r="N72" s="8" t="s">
        <v>10</v>
      </c>
      <c r="O72" s="8">
        <f t="shared" ref="O72:O125" si="2">SUM(F72:N72)</f>
        <v>39222.544387244277</v>
      </c>
    </row>
    <row r="73" spans="1:16" x14ac:dyDescent="0.25">
      <c r="A73" s="76">
        <v>45699</v>
      </c>
      <c r="B73" s="7" t="s">
        <v>61</v>
      </c>
      <c r="C73" s="12">
        <v>0.74583333333333324</v>
      </c>
      <c r="D73" s="4">
        <v>-0.5</v>
      </c>
      <c r="E73" s="75"/>
      <c r="F73" s="8">
        <f>CPUE!F73*Effort!F73</f>
        <v>6901.3841749029707</v>
      </c>
      <c r="G73" s="7"/>
      <c r="H73" s="8">
        <v>8524.4241023385694</v>
      </c>
      <c r="I73" s="7"/>
      <c r="J73" s="8" t="s">
        <v>10</v>
      </c>
      <c r="K73" s="7"/>
      <c r="L73" s="8">
        <v>4322.5636275957804</v>
      </c>
      <c r="M73" s="7"/>
      <c r="N73" s="8" t="s">
        <v>10</v>
      </c>
      <c r="O73" s="8">
        <f>SUM(F73:N73)</f>
        <v>19748.37190483732</v>
      </c>
    </row>
    <row r="74" spans="1:16" x14ac:dyDescent="0.25">
      <c r="A74" s="76">
        <v>45700</v>
      </c>
      <c r="B74" s="7" t="s">
        <v>62</v>
      </c>
      <c r="C74" s="12">
        <v>0.77013888888888893</v>
      </c>
      <c r="D74" s="4">
        <v>-0.37</v>
      </c>
      <c r="E74" s="75" t="s">
        <v>63</v>
      </c>
      <c r="F74" s="8">
        <f>CPUE!F74*Effort!F74</f>
        <v>5790.2644023438452</v>
      </c>
      <c r="G74" s="7" t="s">
        <v>63</v>
      </c>
      <c r="H74" s="8">
        <f>CPUE!H74*Effort!H74</f>
        <v>4271.6225839054823</v>
      </c>
      <c r="I74" s="7"/>
      <c r="J74" s="8" t="s">
        <v>10</v>
      </c>
      <c r="K74" s="7"/>
      <c r="L74" s="8">
        <v>3846.0368440677898</v>
      </c>
      <c r="M74" s="7"/>
      <c r="N74" s="8" t="s">
        <v>10</v>
      </c>
      <c r="O74" s="8">
        <f t="shared" si="2"/>
        <v>13907.923830317117</v>
      </c>
    </row>
    <row r="75" spans="1:16" x14ac:dyDescent="0.25">
      <c r="A75" s="76">
        <v>45701</v>
      </c>
      <c r="B75" s="7" t="s">
        <v>22</v>
      </c>
      <c r="C75" s="12">
        <v>0.79236111111111107</v>
      </c>
      <c r="D75" s="4">
        <v>-0.08</v>
      </c>
      <c r="E75" s="75" t="s">
        <v>63</v>
      </c>
      <c r="F75" s="8">
        <f>CPUE!F75*Effort!F75</f>
        <v>448.44989891370204</v>
      </c>
      <c r="G75" s="7"/>
      <c r="H75" s="8">
        <v>520.48311877963602</v>
      </c>
      <c r="I75" s="7"/>
      <c r="J75" s="8">
        <v>488.22171506775499</v>
      </c>
      <c r="K75" s="7"/>
      <c r="L75" s="8" t="s">
        <v>10</v>
      </c>
      <c r="M75" s="7"/>
      <c r="N75" s="8" t="s">
        <v>10</v>
      </c>
      <c r="O75" s="8">
        <f t="shared" si="2"/>
        <v>1457.1547327610931</v>
      </c>
    </row>
    <row r="76" spans="1:16" x14ac:dyDescent="0.25">
      <c r="A76" s="76">
        <v>45702</v>
      </c>
      <c r="B76" s="7" t="s">
        <v>18</v>
      </c>
      <c r="C76" s="12">
        <v>0.81388888888888899</v>
      </c>
      <c r="D76" s="4">
        <v>0.36</v>
      </c>
      <c r="E76" s="75" t="s">
        <v>63</v>
      </c>
      <c r="F76" s="8">
        <f>CPUE!F76*Effort!F76</f>
        <v>1242.4176479829991</v>
      </c>
      <c r="G76" s="7" t="s">
        <v>63</v>
      </c>
      <c r="H76" s="8">
        <f>CPUE!H76*Effort!H76</f>
        <v>1458.0056683950711</v>
      </c>
      <c r="I76" s="7"/>
      <c r="J76" s="8">
        <v>1402.9672568801</v>
      </c>
      <c r="K76" s="7"/>
      <c r="L76" s="8" t="s">
        <v>10</v>
      </c>
      <c r="M76" s="7"/>
      <c r="N76" s="8" t="s">
        <v>10</v>
      </c>
      <c r="O76" s="8">
        <f t="shared" si="2"/>
        <v>4103.3905732581698</v>
      </c>
      <c r="P76" s="19">
        <f>SUM(O70:O76)</f>
        <v>198819.50909130462</v>
      </c>
    </row>
    <row r="77" spans="1:16" x14ac:dyDescent="0.25">
      <c r="A77" s="76"/>
      <c r="E77" s="75"/>
      <c r="G77" s="7"/>
      <c r="I77" s="7"/>
      <c r="K77" s="7"/>
      <c r="M77" s="7"/>
      <c r="N77" s="8"/>
    </row>
    <row r="78" spans="1:16" x14ac:dyDescent="0.25">
      <c r="A78" s="76">
        <v>45712</v>
      </c>
      <c r="B78" s="7" t="s">
        <v>21</v>
      </c>
      <c r="C78" s="12">
        <v>0.6694444444444444</v>
      </c>
      <c r="D78" s="4">
        <v>0.21</v>
      </c>
      <c r="E78" s="75" t="s">
        <v>63</v>
      </c>
      <c r="F78" s="8">
        <f>CPUE!F78*Effort!F78</f>
        <v>747.15809326719022</v>
      </c>
      <c r="G78" s="7" t="s">
        <v>63</v>
      </c>
      <c r="H78" s="8">
        <f>CPUE!H78*Effort!H78</f>
        <v>1362.2247002001855</v>
      </c>
      <c r="I78" s="7"/>
      <c r="J78" s="8" t="s">
        <v>10</v>
      </c>
      <c r="K78" s="7"/>
      <c r="L78" s="8">
        <v>764.27490983632299</v>
      </c>
      <c r="M78" s="7"/>
      <c r="N78" s="8" t="s">
        <v>10</v>
      </c>
      <c r="O78" s="8">
        <f t="shared" si="2"/>
        <v>2873.6577033036983</v>
      </c>
    </row>
    <row r="79" spans="1:16" x14ac:dyDescent="0.25">
      <c r="A79" s="76">
        <v>45713</v>
      </c>
      <c r="B79" s="7" t="s">
        <v>61</v>
      </c>
      <c r="C79" s="12">
        <v>0.69861111111111107</v>
      </c>
      <c r="D79" s="4">
        <v>-0.3</v>
      </c>
      <c r="E79" s="75" t="s">
        <v>63</v>
      </c>
      <c r="F79" s="8">
        <f>CPUE!F79*Effort!F79</f>
        <v>4695.1479927708097</v>
      </c>
      <c r="G79" s="7" t="s">
        <v>63</v>
      </c>
      <c r="H79" s="8">
        <f>CPUE!H79*Effort!H79</f>
        <v>3864.3370500878655</v>
      </c>
      <c r="I79" s="7"/>
      <c r="J79" s="8">
        <v>6105.8640118394896</v>
      </c>
      <c r="K79" s="7"/>
      <c r="L79" s="8" t="s">
        <v>10</v>
      </c>
      <c r="M79" s="7"/>
      <c r="N79" s="8" t="s">
        <v>10</v>
      </c>
      <c r="O79" s="8">
        <f t="shared" si="2"/>
        <v>14665.349054698167</v>
      </c>
    </row>
    <row r="80" spans="1:16" x14ac:dyDescent="0.25">
      <c r="A80" s="76">
        <v>45714</v>
      </c>
      <c r="B80" s="7" t="s">
        <v>62</v>
      </c>
      <c r="C80" s="12">
        <v>0.72569444444444453</v>
      </c>
      <c r="D80" s="4">
        <v>-0.63</v>
      </c>
      <c r="E80" s="75"/>
      <c r="F80" s="8">
        <f>5686.29233793524+9889.20406597433</f>
        <v>15575.49640390957</v>
      </c>
      <c r="G80" s="7"/>
      <c r="H80" s="8">
        <v>12586.3174171597</v>
      </c>
      <c r="I80" s="7"/>
      <c r="J80" s="8">
        <v>20529.070312125299</v>
      </c>
      <c r="K80" s="7"/>
      <c r="L80" s="8" t="s">
        <v>10</v>
      </c>
      <c r="M80" s="7"/>
      <c r="N80" s="8" t="s">
        <v>10</v>
      </c>
      <c r="O80" s="8">
        <f t="shared" si="2"/>
        <v>48690.884133194573</v>
      </c>
    </row>
    <row r="81" spans="1:16" x14ac:dyDescent="0.25">
      <c r="A81" s="76">
        <v>45715</v>
      </c>
      <c r="B81" s="7" t="s">
        <v>22</v>
      </c>
      <c r="C81" s="12">
        <v>0.75208333333333333</v>
      </c>
      <c r="D81" s="4">
        <v>-0.73</v>
      </c>
      <c r="E81" s="75"/>
      <c r="F81" s="8">
        <f>CPUE!F81*Effort!F81</f>
        <v>13188.033023814865</v>
      </c>
      <c r="G81" s="7"/>
      <c r="H81" s="8">
        <v>23204.0164869863</v>
      </c>
      <c r="I81" s="7"/>
      <c r="J81" s="8" t="s">
        <v>10</v>
      </c>
      <c r="K81" s="7"/>
      <c r="L81" s="8">
        <v>8897.6267164614401</v>
      </c>
      <c r="M81" s="7"/>
      <c r="N81" s="8" t="s">
        <v>10</v>
      </c>
      <c r="O81" s="8">
        <f t="shared" si="2"/>
        <v>45289.676227262607</v>
      </c>
    </row>
    <row r="82" spans="1:16" x14ac:dyDescent="0.25">
      <c r="A82" s="76">
        <v>45716</v>
      </c>
      <c r="B82" s="7" t="s">
        <v>18</v>
      </c>
      <c r="C82" s="12">
        <v>0.77708333333333324</v>
      </c>
      <c r="D82" s="4">
        <v>-0.55000000000000004</v>
      </c>
      <c r="E82" s="75"/>
      <c r="F82" s="8">
        <f>CPUE!F82*Effort!F82</f>
        <v>18650.620403117809</v>
      </c>
      <c r="G82" s="7" t="s">
        <v>63</v>
      </c>
      <c r="H82" s="8">
        <f>CPUE!H82*Effort!H82</f>
        <v>15572.844432230124</v>
      </c>
      <c r="I82" s="7"/>
      <c r="J82" s="8" t="s">
        <v>10</v>
      </c>
      <c r="K82" s="7"/>
      <c r="L82" s="8">
        <v>17157.1064246145</v>
      </c>
      <c r="M82" s="7"/>
      <c r="N82" s="8" t="s">
        <v>10</v>
      </c>
      <c r="O82" s="8">
        <f t="shared" si="2"/>
        <v>51380.571259962438</v>
      </c>
    </row>
    <row r="83" spans="1:16" x14ac:dyDescent="0.25">
      <c r="A83" s="76">
        <v>45717</v>
      </c>
      <c r="B83" s="7" t="s">
        <v>19</v>
      </c>
      <c r="C83" s="12">
        <v>0.80208333333333337</v>
      </c>
      <c r="D83" s="4">
        <v>-0.1</v>
      </c>
      <c r="E83" s="75" t="s">
        <v>63</v>
      </c>
      <c r="F83" s="8">
        <f>CPUE!F83*Effort!F83</f>
        <v>5827.3482175802701</v>
      </c>
      <c r="G83" s="7"/>
      <c r="H83" s="8">
        <v>5739.7068062921799</v>
      </c>
      <c r="I83" s="7"/>
      <c r="J83" s="8">
        <v>3420.9514960292299</v>
      </c>
      <c r="K83" s="7"/>
      <c r="L83" s="8" t="s">
        <v>10</v>
      </c>
      <c r="M83" s="7"/>
      <c r="N83" s="8" t="s">
        <v>10</v>
      </c>
      <c r="O83" s="8">
        <f t="shared" si="2"/>
        <v>14988.006519901679</v>
      </c>
      <c r="P83" s="19">
        <f>SUM(O78:O83)</f>
        <v>177888.14489832317</v>
      </c>
    </row>
    <row r="84" spans="1:16" x14ac:dyDescent="0.25">
      <c r="A84" s="76"/>
      <c r="E84" s="75"/>
      <c r="G84" s="7"/>
      <c r="I84" s="7"/>
      <c r="K84" s="7"/>
      <c r="M84" s="7"/>
      <c r="N84" s="8"/>
    </row>
    <row r="85" spans="1:16" x14ac:dyDescent="0.25">
      <c r="A85" s="76">
        <v>45724</v>
      </c>
      <c r="B85" s="7" t="s">
        <v>19</v>
      </c>
      <c r="C85" s="12">
        <v>0.59236111111111112</v>
      </c>
      <c r="D85" s="4">
        <v>0.59</v>
      </c>
      <c r="E85" s="75" t="s">
        <v>63</v>
      </c>
      <c r="F85" s="8">
        <f>CPUE!F85*Effort!F85</f>
        <v>10059.175108567024</v>
      </c>
      <c r="G85" s="7"/>
      <c r="H85" s="8">
        <v>13095.950041854099</v>
      </c>
      <c r="I85" s="7"/>
      <c r="J85" s="8" t="s">
        <v>10</v>
      </c>
      <c r="K85" s="7"/>
      <c r="L85" s="8">
        <v>4360.8880369300196</v>
      </c>
      <c r="M85" s="7"/>
      <c r="N85" s="8" t="s">
        <v>10</v>
      </c>
      <c r="O85" s="8">
        <f t="shared" si="2"/>
        <v>27516.013187351145</v>
      </c>
    </row>
    <row r="86" spans="1:16" x14ac:dyDescent="0.25">
      <c r="A86" s="76">
        <v>45725</v>
      </c>
      <c r="B86" s="7" t="s">
        <v>20</v>
      </c>
      <c r="C86" s="12">
        <v>0.6791666666666667</v>
      </c>
      <c r="D86" s="4">
        <v>0.41</v>
      </c>
      <c r="E86" s="75"/>
      <c r="F86" s="8">
        <f>CPUE!F86*Effort!F86</f>
        <v>2197.1830742319135</v>
      </c>
      <c r="G86" s="7"/>
      <c r="H86" s="8">
        <v>8437.47370986645</v>
      </c>
      <c r="I86" s="7"/>
      <c r="J86" s="8">
        <v>7105.65146678779</v>
      </c>
      <c r="K86" s="7"/>
      <c r="L86" s="8" t="s">
        <v>10</v>
      </c>
      <c r="M86" s="7"/>
      <c r="N86" s="8" t="s">
        <v>10</v>
      </c>
      <c r="O86" s="8">
        <f t="shared" si="2"/>
        <v>17740.308250886152</v>
      </c>
    </row>
    <row r="87" spans="1:16" x14ac:dyDescent="0.25">
      <c r="A87" s="76">
        <v>45726</v>
      </c>
      <c r="B87" s="7" t="s">
        <v>21</v>
      </c>
      <c r="C87" s="12">
        <v>0.71527777777777779</v>
      </c>
      <c r="D87" s="4">
        <v>0.22</v>
      </c>
      <c r="E87" s="75" t="s">
        <v>63</v>
      </c>
      <c r="F87" s="8">
        <f>CPUE!F87*Effort!F87</f>
        <v>6081.7836807418489</v>
      </c>
      <c r="G87" s="7" t="s">
        <v>63</v>
      </c>
      <c r="H87" s="8">
        <f>CPUE!H87*Effort!H87</f>
        <v>8949.85281116021</v>
      </c>
      <c r="I87" s="7"/>
      <c r="J87" s="8">
        <v>10792.119916247</v>
      </c>
      <c r="K87" s="7"/>
      <c r="L87" s="8" t="s">
        <v>10</v>
      </c>
      <c r="M87" s="7"/>
      <c r="N87" s="8" t="s">
        <v>10</v>
      </c>
      <c r="O87" s="8">
        <f t="shared" si="2"/>
        <v>25823.75640814906</v>
      </c>
    </row>
    <row r="88" spans="1:16" x14ac:dyDescent="0.25">
      <c r="A88" s="76">
        <v>45727</v>
      </c>
      <c r="B88" s="7" t="s">
        <v>61</v>
      </c>
      <c r="C88" s="12">
        <v>0.74444444444444446</v>
      </c>
      <c r="D88" s="4">
        <v>0.14000000000000001</v>
      </c>
      <c r="E88" s="75"/>
      <c r="F88" s="8">
        <f>CPUE!F88*Effort!F88</f>
        <v>3482.5611656826873</v>
      </c>
      <c r="G88" s="7"/>
      <c r="H88" s="8">
        <v>6102.8370231034196</v>
      </c>
      <c r="I88" s="7"/>
      <c r="J88" s="8" t="s">
        <v>10</v>
      </c>
      <c r="K88" s="7"/>
      <c r="L88" s="8">
        <v>4061.92297312969</v>
      </c>
      <c r="M88" s="7"/>
      <c r="N88" s="8" t="s">
        <v>10</v>
      </c>
      <c r="O88" s="8">
        <f t="shared" si="2"/>
        <v>13647.321161915796</v>
      </c>
    </row>
    <row r="89" spans="1:16" x14ac:dyDescent="0.25">
      <c r="A89" s="76">
        <v>45728</v>
      </c>
      <c r="B89" s="7" t="s">
        <v>62</v>
      </c>
      <c r="C89" s="12">
        <v>0.76944444444444438</v>
      </c>
      <c r="D89" s="4">
        <v>0.18</v>
      </c>
      <c r="E89" s="75" t="s">
        <v>63</v>
      </c>
      <c r="F89" s="8">
        <f>CPUE!F89*Effort!F89</f>
        <v>1538.279451889606</v>
      </c>
      <c r="G89" s="7" t="s">
        <v>63</v>
      </c>
      <c r="H89" s="8">
        <f>CPUE!H89*Effort!H89</f>
        <v>1942.5680412540178</v>
      </c>
      <c r="I89" s="7"/>
      <c r="J89" s="8" t="s">
        <v>10</v>
      </c>
      <c r="K89" s="7"/>
      <c r="L89" s="8">
        <v>1720.8928419602601</v>
      </c>
      <c r="M89" s="7"/>
      <c r="N89" s="8" t="s">
        <v>10</v>
      </c>
      <c r="O89" s="8">
        <f t="shared" si="2"/>
        <v>5201.7403351038838</v>
      </c>
    </row>
    <row r="90" spans="1:16" x14ac:dyDescent="0.25">
      <c r="A90" s="76">
        <v>45729</v>
      </c>
      <c r="B90" s="7" t="s">
        <v>22</v>
      </c>
      <c r="C90" s="12">
        <v>0.79166666666666663</v>
      </c>
      <c r="D90" s="4">
        <v>0.37</v>
      </c>
      <c r="E90" s="75"/>
      <c r="F90" s="8">
        <f>CPUE!F90*Effort!F90</f>
        <v>1103.0564002400274</v>
      </c>
      <c r="G90" s="7"/>
      <c r="H90" s="8">
        <v>2777.2608378532</v>
      </c>
      <c r="I90" s="7"/>
      <c r="J90" s="8">
        <v>3166.5892923022898</v>
      </c>
      <c r="K90" s="7"/>
      <c r="L90" s="8" t="s">
        <v>10</v>
      </c>
      <c r="M90" s="7"/>
      <c r="N90" s="8" t="s">
        <v>10</v>
      </c>
      <c r="O90" s="8">
        <f t="shared" si="2"/>
        <v>7046.9065303955176</v>
      </c>
    </row>
    <row r="91" spans="1:16" x14ac:dyDescent="0.25">
      <c r="A91" s="76">
        <v>45730</v>
      </c>
      <c r="B91" s="7" t="s">
        <v>18</v>
      </c>
      <c r="C91" s="12">
        <v>0.8125</v>
      </c>
      <c r="D91" s="4">
        <v>0.69</v>
      </c>
      <c r="E91" s="75" t="s">
        <v>63</v>
      </c>
      <c r="F91" s="8">
        <f>CPUE!F91*Effort!F91</f>
        <v>3102.7398333787719</v>
      </c>
      <c r="G91" s="7" t="s">
        <v>63</v>
      </c>
      <c r="H91" s="8">
        <f>CPUE!H91*Effort!H91</f>
        <v>4565.9408946088206</v>
      </c>
      <c r="I91" s="7"/>
      <c r="J91" s="8">
        <v>5387.2714011973103</v>
      </c>
      <c r="K91" s="7"/>
      <c r="L91" s="8" t="s">
        <v>10</v>
      </c>
      <c r="M91" s="7"/>
      <c r="N91" s="8" t="s">
        <v>10</v>
      </c>
      <c r="O91" s="8">
        <f t="shared" si="2"/>
        <v>13055.952129184901</v>
      </c>
      <c r="P91" s="19">
        <f>SUM(O85:O91)</f>
        <v>110031.99800298645</v>
      </c>
    </row>
    <row r="92" spans="1:16" x14ac:dyDescent="0.25">
      <c r="A92" s="76"/>
      <c r="E92" s="75"/>
      <c r="G92" s="7"/>
      <c r="I92" s="7"/>
      <c r="K92" s="7"/>
      <c r="M92" s="7"/>
      <c r="N92" s="8"/>
    </row>
    <row r="93" spans="1:16" x14ac:dyDescent="0.25">
      <c r="A93" s="76">
        <v>45742</v>
      </c>
      <c r="B93" s="7" t="s">
        <v>62</v>
      </c>
      <c r="C93" s="12">
        <v>0.71388888888888891</v>
      </c>
      <c r="D93" s="4">
        <v>0.03</v>
      </c>
      <c r="E93" s="75"/>
      <c r="F93" s="8">
        <f>CPUE!F93*Effort!F93</f>
        <v>4485.273370922816</v>
      </c>
      <c r="G93" s="7" t="s">
        <v>63</v>
      </c>
      <c r="H93" s="8">
        <f>CPUE!H93*Effort!H93</f>
        <v>4376.3692840642234</v>
      </c>
      <c r="I93" s="7"/>
      <c r="J93" s="8" t="s">
        <v>10</v>
      </c>
      <c r="K93" s="7"/>
      <c r="L93" s="8">
        <v>2990.92882046461</v>
      </c>
      <c r="M93" s="7"/>
      <c r="N93" s="8" t="s">
        <v>10</v>
      </c>
      <c r="O93" s="8">
        <f t="shared" si="2"/>
        <v>11852.571475451648</v>
      </c>
    </row>
    <row r="94" spans="1:16" x14ac:dyDescent="0.25">
      <c r="A94" s="76">
        <v>45743</v>
      </c>
      <c r="B94" s="7" t="s">
        <v>22</v>
      </c>
      <c r="C94" s="12">
        <v>0.74305555555555547</v>
      </c>
      <c r="D94" s="4">
        <v>-0.11</v>
      </c>
      <c r="E94" s="75" t="s">
        <v>63</v>
      </c>
      <c r="F94" s="8">
        <f>CPUE!F94*Effort!F94</f>
        <v>4086.8283600440682</v>
      </c>
      <c r="G94" s="7" t="s">
        <v>63</v>
      </c>
      <c r="H94" s="8">
        <f>CPUE!H94*Effort!H94</f>
        <v>3907.8466912821441</v>
      </c>
      <c r="I94" s="7"/>
      <c r="J94" s="8" t="s">
        <v>10</v>
      </c>
      <c r="K94" s="7"/>
      <c r="L94" s="8">
        <v>4135.1942443696198</v>
      </c>
      <c r="M94" s="7"/>
      <c r="N94" s="8" t="s">
        <v>10</v>
      </c>
      <c r="O94" s="8">
        <f t="shared" si="2"/>
        <v>12129.869295695833</v>
      </c>
    </row>
    <row r="95" spans="1:16" x14ac:dyDescent="0.25">
      <c r="A95" s="76">
        <v>45744</v>
      </c>
      <c r="B95" s="7" t="s">
        <v>18</v>
      </c>
      <c r="C95" s="12">
        <v>0.77013888888888893</v>
      </c>
      <c r="D95" s="4">
        <v>-0.02</v>
      </c>
      <c r="E95" s="75"/>
      <c r="F95" s="8">
        <f>CPUE!F95*Effort!F95</f>
        <v>2513.5628679412657</v>
      </c>
      <c r="G95" s="7" t="s">
        <v>63</v>
      </c>
      <c r="H95" s="8">
        <f>CPUE!H95*Effort!H95</f>
        <v>8689.4353821719051</v>
      </c>
      <c r="I95" s="7"/>
      <c r="J95" s="8">
        <v>10736.3516713644</v>
      </c>
      <c r="K95" s="7"/>
      <c r="L95" s="8" t="s">
        <v>10</v>
      </c>
      <c r="M95" s="7"/>
      <c r="N95" s="8" t="s">
        <v>10</v>
      </c>
      <c r="O95" s="8">
        <f t="shared" si="2"/>
        <v>21939.349921477573</v>
      </c>
    </row>
    <row r="96" spans="1:16" x14ac:dyDescent="0.25">
      <c r="A96" s="76">
        <v>45745</v>
      </c>
      <c r="B96" s="7" t="s">
        <v>19</v>
      </c>
      <c r="C96" s="12">
        <v>0.2902777777777778</v>
      </c>
      <c r="D96" s="4">
        <v>-0.14000000000000001</v>
      </c>
      <c r="E96" s="75" t="s">
        <v>63</v>
      </c>
      <c r="F96" s="8">
        <f>CPUE!F96*Effort!F96</f>
        <v>20990.632475058643</v>
      </c>
      <c r="G96" s="7" t="s">
        <v>63</v>
      </c>
      <c r="H96" s="8">
        <f>CPUE!H96*Effort!H96</f>
        <v>18644.75000741702</v>
      </c>
      <c r="I96" s="7"/>
      <c r="J96" s="8">
        <v>28321.8774013033</v>
      </c>
      <c r="K96" s="7"/>
      <c r="L96" s="8" t="s">
        <v>10</v>
      </c>
      <c r="M96" s="7"/>
      <c r="N96" s="8" t="s">
        <v>10</v>
      </c>
      <c r="O96" s="8">
        <f t="shared" si="2"/>
        <v>67957.259883778956</v>
      </c>
    </row>
    <row r="97" spans="1:16" x14ac:dyDescent="0.25">
      <c r="A97" s="76">
        <v>45746</v>
      </c>
      <c r="B97" s="7" t="s">
        <v>20</v>
      </c>
      <c r="C97" s="12">
        <v>0.3215277777777778</v>
      </c>
      <c r="D97" s="4">
        <v>-0.84</v>
      </c>
      <c r="E97" s="75"/>
      <c r="F97" s="8">
        <f>CPUE!F97*Effort!F97</f>
        <v>33320.753559590019</v>
      </c>
      <c r="G97" s="7"/>
      <c r="H97" s="8">
        <v>32199.1007808625</v>
      </c>
      <c r="I97" s="7"/>
      <c r="J97" s="8" t="s">
        <v>10</v>
      </c>
      <c r="K97" s="7"/>
      <c r="L97" s="8">
        <v>38388.727891312803</v>
      </c>
      <c r="M97" s="7"/>
      <c r="N97" s="8" t="s">
        <v>10</v>
      </c>
      <c r="O97" s="8">
        <f t="shared" si="2"/>
        <v>103908.58223176532</v>
      </c>
    </row>
    <row r="98" spans="1:16" x14ac:dyDescent="0.25">
      <c r="A98" s="76">
        <v>45747</v>
      </c>
      <c r="B98" s="7" t="s">
        <v>21</v>
      </c>
      <c r="C98" s="12">
        <v>0.3527777777777778</v>
      </c>
      <c r="D98" s="4">
        <v>-1.23</v>
      </c>
      <c r="E98" s="75" t="s">
        <v>63</v>
      </c>
      <c r="F98" s="8">
        <f>CPUE!F98*Effort!F98</f>
        <v>17392.288257686901</v>
      </c>
      <c r="G98" s="7" t="s">
        <v>63</v>
      </c>
      <c r="H98" s="8">
        <f>CPUE!H98*Effort!H98</f>
        <v>19733.085309050271</v>
      </c>
      <c r="I98" s="7"/>
      <c r="J98" s="8" t="s">
        <v>10</v>
      </c>
      <c r="K98" s="7"/>
      <c r="L98" s="8">
        <v>20750.944516394899</v>
      </c>
      <c r="M98" s="7"/>
      <c r="N98" s="8" t="s">
        <v>10</v>
      </c>
      <c r="O98" s="8">
        <f t="shared" si="2"/>
        <v>57876.318083132071</v>
      </c>
    </row>
    <row r="99" spans="1:16" x14ac:dyDescent="0.25">
      <c r="A99" s="76">
        <v>45748</v>
      </c>
      <c r="B99" s="7" t="s">
        <v>61</v>
      </c>
      <c r="C99" s="12">
        <v>0.38680555555555557</v>
      </c>
      <c r="D99" s="4">
        <v>-1.27</v>
      </c>
      <c r="E99" s="75" t="s">
        <v>63</v>
      </c>
      <c r="F99" s="8">
        <f>CPUE!F99*Effort!F99</f>
        <v>24167.243747430679</v>
      </c>
      <c r="G99" s="7"/>
      <c r="H99" s="8">
        <v>16102.3459920117</v>
      </c>
      <c r="I99" s="7"/>
      <c r="J99" s="8">
        <v>40840.599434534997</v>
      </c>
      <c r="K99" s="7"/>
      <c r="L99" s="8" t="s">
        <v>10</v>
      </c>
      <c r="M99" s="7"/>
      <c r="N99" s="8" t="s">
        <v>10</v>
      </c>
      <c r="O99" s="8">
        <f t="shared" si="2"/>
        <v>81110.189173977386</v>
      </c>
    </row>
    <row r="100" spans="1:16" x14ac:dyDescent="0.25">
      <c r="A100" s="76">
        <v>45749</v>
      </c>
      <c r="B100" s="7" t="s">
        <v>62</v>
      </c>
      <c r="C100" s="12">
        <v>0.42291666666666666</v>
      </c>
      <c r="D100" s="4">
        <v>-0.98</v>
      </c>
      <c r="E100" s="75"/>
      <c r="F100" s="8">
        <f>CPUE!F100*Effort!F100</f>
        <v>19073.237456102535</v>
      </c>
      <c r="G100" s="7"/>
      <c r="H100" s="8">
        <v>21579.234634444299</v>
      </c>
      <c r="I100" s="7"/>
      <c r="J100" s="8">
        <v>32573.106241018198</v>
      </c>
      <c r="K100" s="7"/>
      <c r="L100" s="8" t="s">
        <v>10</v>
      </c>
      <c r="M100" s="7"/>
      <c r="N100" s="8" t="s">
        <v>10</v>
      </c>
      <c r="O100" s="8">
        <f t="shared" si="2"/>
        <v>73225.578331565033</v>
      </c>
    </row>
    <row r="101" spans="1:16" x14ac:dyDescent="0.25">
      <c r="A101" s="76">
        <v>45750</v>
      </c>
      <c r="B101" s="7" t="s">
        <v>22</v>
      </c>
      <c r="C101" s="12">
        <v>0.46319444444444446</v>
      </c>
      <c r="D101" s="4">
        <v>-0.47</v>
      </c>
      <c r="E101" s="75" t="s">
        <v>63</v>
      </c>
      <c r="F101" s="8">
        <f>CPUE!F101*Effort!F101</f>
        <v>17026.272800626426</v>
      </c>
      <c r="G101" s="7"/>
      <c r="H101" s="8">
        <v>16280.6112630769</v>
      </c>
      <c r="I101" s="7"/>
      <c r="J101" s="8" t="s">
        <v>10</v>
      </c>
      <c r="K101" s="7"/>
      <c r="L101" s="8">
        <v>17312.637404291101</v>
      </c>
      <c r="M101" s="7"/>
      <c r="N101" s="8" t="s">
        <v>10</v>
      </c>
      <c r="O101" s="8">
        <f t="shared" si="2"/>
        <v>50619.521467994433</v>
      </c>
      <c r="P101" s="19">
        <f>SUM(O93:O101)</f>
        <v>480619.23986483831</v>
      </c>
    </row>
    <row r="102" spans="1:16" x14ac:dyDescent="0.25">
      <c r="A102" s="76"/>
      <c r="E102" s="75"/>
      <c r="G102" s="7"/>
      <c r="I102" s="7"/>
      <c r="K102" s="7"/>
      <c r="M102" s="7"/>
      <c r="N102" s="8"/>
    </row>
    <row r="103" spans="1:16" x14ac:dyDescent="0.25">
      <c r="A103" s="76">
        <v>45759</v>
      </c>
      <c r="B103" s="7" t="s">
        <v>19</v>
      </c>
      <c r="C103" s="12">
        <v>0.28958333333333336</v>
      </c>
      <c r="D103" s="4">
        <v>0.35</v>
      </c>
      <c r="E103" s="75" t="s">
        <v>63</v>
      </c>
      <c r="F103" s="8">
        <f>CPUE!F103*Effort!F103</f>
        <v>16172.252673505918</v>
      </c>
      <c r="G103" s="7"/>
      <c r="H103" s="8">
        <v>17584.4858551943</v>
      </c>
      <c r="I103" s="7"/>
      <c r="J103" s="8" t="s">
        <v>10</v>
      </c>
      <c r="K103" s="7"/>
      <c r="L103" s="8">
        <v>15662.863337439399</v>
      </c>
      <c r="M103" s="7"/>
      <c r="N103" s="8" t="s">
        <v>10</v>
      </c>
      <c r="O103" s="8">
        <f t="shared" si="2"/>
        <v>49419.601866139616</v>
      </c>
    </row>
    <row r="104" spans="1:16" x14ac:dyDescent="0.25">
      <c r="A104" s="76">
        <v>45760</v>
      </c>
      <c r="B104" s="7" t="s">
        <v>20</v>
      </c>
      <c r="C104" s="12">
        <v>0.31180555555555556</v>
      </c>
      <c r="D104" s="4">
        <v>0</v>
      </c>
      <c r="E104" s="75"/>
      <c r="F104" s="8">
        <f>CPUE!F104*Effort!F104</f>
        <v>10100.518959847615</v>
      </c>
      <c r="G104" s="7" t="s">
        <v>63</v>
      </c>
      <c r="H104" s="8">
        <f>CPUE!H104*Effort!H104</f>
        <v>11324.484586292883</v>
      </c>
      <c r="I104" s="7"/>
      <c r="J104" s="8">
        <v>30338.442715582099</v>
      </c>
      <c r="K104" s="7"/>
      <c r="L104" s="8" t="s">
        <v>10</v>
      </c>
      <c r="M104" s="7"/>
      <c r="N104" s="8" t="s">
        <v>10</v>
      </c>
      <c r="O104" s="8">
        <f t="shared" si="2"/>
        <v>51763.446261722594</v>
      </c>
    </row>
    <row r="105" spans="1:16" x14ac:dyDescent="0.25">
      <c r="A105" s="76">
        <v>45761</v>
      </c>
      <c r="B105" s="7" t="s">
        <v>21</v>
      </c>
      <c r="C105" s="12">
        <v>0.33333333333333331</v>
      </c>
      <c r="D105" s="4">
        <v>-0.21</v>
      </c>
      <c r="E105" s="75" t="s">
        <v>63</v>
      </c>
      <c r="F105" s="8">
        <f>CPUE!F105*Effort!F105</f>
        <v>7279.7326915855765</v>
      </c>
      <c r="G105" s="7"/>
      <c r="H105" s="8">
        <v>8374.0463023709399</v>
      </c>
      <c r="I105" s="7"/>
      <c r="J105" s="8">
        <v>9729.7255254550892</v>
      </c>
      <c r="K105" s="7"/>
      <c r="L105" s="8" t="s">
        <v>10</v>
      </c>
      <c r="M105" s="7"/>
      <c r="N105" s="8" t="s">
        <v>10</v>
      </c>
      <c r="O105" s="8">
        <f t="shared" si="2"/>
        <v>25383.504519411603</v>
      </c>
    </row>
    <row r="106" spans="1:16" x14ac:dyDescent="0.25">
      <c r="A106" s="76">
        <v>45762</v>
      </c>
      <c r="B106" s="7" t="s">
        <v>61</v>
      </c>
      <c r="C106" s="12">
        <v>0.35625000000000001</v>
      </c>
      <c r="D106" s="4">
        <v>-0.27</v>
      </c>
      <c r="E106" s="75"/>
      <c r="F106" s="8">
        <f>CPUE!F106*Effort!F106</f>
        <v>9564.6143700973353</v>
      </c>
      <c r="G106" s="7" t="s">
        <v>63</v>
      </c>
      <c r="H106" s="8">
        <f>CPUE!H106*Effort!H106</f>
        <v>10389.237862372986</v>
      </c>
      <c r="I106" s="7"/>
      <c r="J106" s="8" t="s">
        <v>10</v>
      </c>
      <c r="K106" s="7"/>
      <c r="L106" s="8">
        <v>9412.7595590383407</v>
      </c>
      <c r="M106" s="7"/>
      <c r="N106" s="8" t="s">
        <v>10</v>
      </c>
      <c r="O106" s="8">
        <f t="shared" si="2"/>
        <v>29366.611791508665</v>
      </c>
    </row>
    <row r="107" spans="1:16" x14ac:dyDescent="0.25">
      <c r="A107" s="76">
        <v>45763</v>
      </c>
      <c r="B107" s="7" t="s">
        <v>62</v>
      </c>
      <c r="C107" s="12">
        <v>0.38055555555555554</v>
      </c>
      <c r="D107" s="4">
        <v>-0.19</v>
      </c>
      <c r="E107" s="75" t="s">
        <v>63</v>
      </c>
      <c r="F107" s="8">
        <f>CPUE!F107*Effort!F107</f>
        <v>8514.3253575639083</v>
      </c>
      <c r="G107" s="7" t="s">
        <v>63</v>
      </c>
      <c r="H107" s="8">
        <f>CPUE!H107*Effort!H107</f>
        <v>9248.3970554962543</v>
      </c>
      <c r="I107" s="7"/>
      <c r="J107" s="8" t="s">
        <v>10</v>
      </c>
      <c r="K107" s="7"/>
      <c r="L107" s="8">
        <v>8690.1664956790792</v>
      </c>
      <c r="M107" s="7"/>
      <c r="N107" s="8" t="s">
        <v>10</v>
      </c>
      <c r="O107" s="8">
        <f t="shared" si="2"/>
        <v>26452.888908739238</v>
      </c>
    </row>
    <row r="108" spans="1:16" x14ac:dyDescent="0.25">
      <c r="A108" s="76">
        <v>45764</v>
      </c>
      <c r="B108" s="7" t="s">
        <v>22</v>
      </c>
      <c r="C108" s="12">
        <v>0.40833333333333338</v>
      </c>
      <c r="D108" s="4">
        <v>0</v>
      </c>
      <c r="E108" s="75"/>
      <c r="F108" s="8">
        <f>3294.39967120751+5318.18170291333</f>
        <v>8612.5813741208403</v>
      </c>
      <c r="G108" s="7"/>
      <c r="H108" s="8">
        <v>9448.5798759133304</v>
      </c>
      <c r="I108" s="7"/>
      <c r="J108" s="8">
        <v>13161.5623473745</v>
      </c>
      <c r="K108" s="7"/>
      <c r="L108" s="8" t="s">
        <v>10</v>
      </c>
      <c r="M108" s="7"/>
      <c r="N108" s="8" t="s">
        <v>10</v>
      </c>
      <c r="O108" s="8">
        <f t="shared" si="2"/>
        <v>31222.723597408673</v>
      </c>
    </row>
    <row r="109" spans="1:16" x14ac:dyDescent="0.25">
      <c r="A109" s="76">
        <v>45765</v>
      </c>
      <c r="B109" s="7" t="s">
        <v>18</v>
      </c>
      <c r="C109" s="12">
        <v>0.43958333333333338</v>
      </c>
      <c r="D109" s="4">
        <v>0.26</v>
      </c>
      <c r="E109" s="75" t="s">
        <v>63</v>
      </c>
      <c r="F109" s="8">
        <f>CPUE!F109*Effort!F109</f>
        <v>13733.890519904377</v>
      </c>
      <c r="G109" s="7" t="s">
        <v>63</v>
      </c>
      <c r="H109" s="8">
        <f>CPUE!H109*Effort!H109</f>
        <v>15398.142622251711</v>
      </c>
      <c r="I109" s="7"/>
      <c r="J109" s="8">
        <v>20901.3489290301</v>
      </c>
      <c r="K109" s="7"/>
      <c r="L109" s="8" t="s">
        <v>10</v>
      </c>
      <c r="M109" s="7"/>
      <c r="N109" s="8" t="s">
        <v>10</v>
      </c>
      <c r="O109" s="8">
        <f t="shared" si="2"/>
        <v>50033.382071186192</v>
      </c>
      <c r="P109" s="19">
        <f>SUM(O103:O109)</f>
        <v>263642.15901611658</v>
      </c>
    </row>
    <row r="110" spans="1:16" x14ac:dyDescent="0.25">
      <c r="A110" s="76"/>
      <c r="E110" s="75"/>
      <c r="G110" s="7"/>
      <c r="I110" s="7"/>
      <c r="K110" s="7"/>
      <c r="M110" s="7"/>
      <c r="N110" s="8"/>
    </row>
    <row r="111" spans="1:16" x14ac:dyDescent="0.25">
      <c r="A111" s="76">
        <v>45773</v>
      </c>
      <c r="B111" s="7" t="s">
        <v>19</v>
      </c>
      <c r="C111" s="12">
        <v>0.24513888888888888</v>
      </c>
      <c r="D111" s="4">
        <v>-0.55000000000000004</v>
      </c>
      <c r="E111" s="75"/>
      <c r="F111" s="8">
        <f>CPUE!F111*Effort!F111</f>
        <v>23585.69390305243</v>
      </c>
      <c r="G111" s="7"/>
      <c r="H111" s="8">
        <v>19343.5632851874</v>
      </c>
      <c r="I111" s="7"/>
      <c r="J111" s="8">
        <v>20867.229720567801</v>
      </c>
      <c r="K111" s="7"/>
      <c r="L111" s="8" t="s">
        <v>10</v>
      </c>
      <c r="M111" s="7"/>
      <c r="N111" s="8" t="s">
        <v>10</v>
      </c>
      <c r="O111" s="8">
        <f t="shared" si="2"/>
        <v>63796.486908807638</v>
      </c>
    </row>
    <row r="112" spans="1:16" x14ac:dyDescent="0.25">
      <c r="A112" s="76">
        <v>45774</v>
      </c>
      <c r="B112" s="7" t="s">
        <v>20</v>
      </c>
      <c r="C112" s="12">
        <v>0.27777777777777779</v>
      </c>
      <c r="D112" s="4">
        <v>-1.45</v>
      </c>
      <c r="E112" s="75"/>
      <c r="F112" s="8">
        <f>CPUE!F112*Effort!F112</f>
        <v>30150.80884239115</v>
      </c>
      <c r="G112" s="7" t="s">
        <v>63</v>
      </c>
      <c r="H112" s="8">
        <f>CPUE!H112*Effort!H112</f>
        <v>23402.137643200142</v>
      </c>
      <c r="I112" s="7"/>
      <c r="J112" s="8" t="s">
        <v>10</v>
      </c>
      <c r="K112" s="7"/>
      <c r="L112" s="8">
        <v>39124.814346284802</v>
      </c>
      <c r="M112" s="7"/>
      <c r="N112" s="8" t="s">
        <v>10</v>
      </c>
      <c r="O112" s="8">
        <f t="shared" si="2"/>
        <v>92677.760831876105</v>
      </c>
    </row>
    <row r="113" spans="1:17" x14ac:dyDescent="0.25">
      <c r="A113" s="76">
        <v>45775</v>
      </c>
      <c r="B113" s="7" t="s">
        <v>21</v>
      </c>
      <c r="C113" s="12">
        <v>0.30902777777777779</v>
      </c>
      <c r="D113" s="4">
        <v>-2.0299999999999998</v>
      </c>
      <c r="E113" s="75" t="s">
        <v>63</v>
      </c>
      <c r="F113" s="8">
        <f>CPUE!F113*Effort!F113</f>
        <v>21690.217300458218</v>
      </c>
      <c r="G113" s="7"/>
      <c r="H113" s="8">
        <v>14029.724691031601</v>
      </c>
      <c r="I113" s="7"/>
      <c r="J113" s="8" t="s">
        <v>10</v>
      </c>
      <c r="K113" s="7"/>
      <c r="L113" s="8">
        <v>31144.213820647001</v>
      </c>
      <c r="M113" s="7"/>
      <c r="N113" s="8" t="s">
        <v>10</v>
      </c>
      <c r="O113" s="8">
        <f t="shared" si="2"/>
        <v>66864.155812136814</v>
      </c>
    </row>
    <row r="114" spans="1:17" x14ac:dyDescent="0.25">
      <c r="A114" s="76">
        <v>45776</v>
      </c>
      <c r="B114" s="7" t="s">
        <v>61</v>
      </c>
      <c r="C114" s="12">
        <v>0.34166666666666662</v>
      </c>
      <c r="D114" s="4">
        <v>-2.2200000000000002</v>
      </c>
      <c r="E114" s="75" t="s">
        <v>63</v>
      </c>
      <c r="F114" s="8">
        <f>CPUE!F114*Effort!F114</f>
        <v>27178.204465734041</v>
      </c>
      <c r="G114" s="7"/>
      <c r="H114" s="8">
        <v>13919.3358843884</v>
      </c>
      <c r="I114" s="7"/>
      <c r="J114" s="8">
        <v>34389.711913989602</v>
      </c>
      <c r="K114" s="7"/>
      <c r="L114" s="8" t="s">
        <v>10</v>
      </c>
      <c r="M114" s="7"/>
      <c r="N114" s="8" t="s">
        <v>10</v>
      </c>
      <c r="O114" s="8">
        <f t="shared" si="2"/>
        <v>75487.252264112045</v>
      </c>
    </row>
    <row r="115" spans="1:17" x14ac:dyDescent="0.25">
      <c r="A115" s="76">
        <v>45777</v>
      </c>
      <c r="B115" s="7" t="s">
        <v>62</v>
      </c>
      <c r="C115" s="12">
        <v>0.375</v>
      </c>
      <c r="D115" s="4">
        <v>-2.0299999999999998</v>
      </c>
      <c r="E115" s="75" t="s">
        <v>63</v>
      </c>
      <c r="F115" s="8">
        <f>CPUE!F115*Effort!F115</f>
        <v>29250.654547096456</v>
      </c>
      <c r="G115" s="7" t="s">
        <v>63</v>
      </c>
      <c r="H115" s="8">
        <f>CPUE!H115*Effort!H115</f>
        <v>19297.543571908154</v>
      </c>
      <c r="I115" s="7"/>
      <c r="J115" s="8">
        <v>34349.430657523801</v>
      </c>
      <c r="K115" s="7"/>
      <c r="L115" s="8" t="s">
        <v>10</v>
      </c>
      <c r="M115" s="7"/>
      <c r="N115" s="8" t="s">
        <v>10</v>
      </c>
      <c r="O115" s="8">
        <f t="shared" si="2"/>
        <v>82897.628776528407</v>
      </c>
    </row>
    <row r="116" spans="1:17" x14ac:dyDescent="0.25">
      <c r="A116" s="76">
        <v>45778</v>
      </c>
      <c r="B116" s="7" t="s">
        <v>22</v>
      </c>
      <c r="C116" s="12">
        <v>0.41111111111111115</v>
      </c>
      <c r="D116" s="4">
        <v>-1.55</v>
      </c>
      <c r="E116" s="75"/>
      <c r="F116" s="8">
        <f>10900.8955391483+21249.847000365</f>
        <v>32150.7425395133</v>
      </c>
      <c r="G116" s="7"/>
      <c r="H116" s="8">
        <v>17903.455514679499</v>
      </c>
      <c r="I116" s="7"/>
      <c r="J116" s="8">
        <v>29981.356389859899</v>
      </c>
      <c r="K116" s="7"/>
      <c r="L116" s="8" t="s">
        <v>10</v>
      </c>
      <c r="M116" s="7"/>
      <c r="N116" s="8" t="s">
        <v>10</v>
      </c>
      <c r="O116" s="8">
        <f t="shared" si="2"/>
        <v>80035.554444052701</v>
      </c>
    </row>
    <row r="117" spans="1:17" x14ac:dyDescent="0.25">
      <c r="A117" s="76">
        <v>45779</v>
      </c>
      <c r="B117" s="7" t="s">
        <v>18</v>
      </c>
      <c r="C117" s="12">
        <v>0.44930555555555557</v>
      </c>
      <c r="D117" s="4">
        <v>-0.91</v>
      </c>
      <c r="E117" s="75"/>
      <c r="F117" s="8">
        <f>CPUE!F117*Effort!F117</f>
        <v>20191.316712328979</v>
      </c>
      <c r="G117" s="7" t="s">
        <v>63</v>
      </c>
      <c r="H117" s="8">
        <f>CPUE!H117*Effort!H117</f>
        <v>29049.039958532983</v>
      </c>
      <c r="I117" s="7"/>
      <c r="J117" s="8" t="s">
        <v>10</v>
      </c>
      <c r="K117" s="7"/>
      <c r="L117" s="8">
        <v>20149.542774416401</v>
      </c>
      <c r="M117" s="7"/>
      <c r="N117" s="8" t="s">
        <v>10</v>
      </c>
      <c r="O117" s="8">
        <f t="shared" si="2"/>
        <v>69389.899445278366</v>
      </c>
    </row>
    <row r="118" spans="1:17" x14ac:dyDescent="0.25">
      <c r="A118" s="76">
        <v>45780</v>
      </c>
      <c r="B118" s="7" t="s">
        <v>19</v>
      </c>
      <c r="C118" s="12">
        <v>0.4916666666666667</v>
      </c>
      <c r="D118" s="4">
        <v>-0.24</v>
      </c>
      <c r="E118" s="75" t="s">
        <v>63</v>
      </c>
      <c r="F118" s="8">
        <f>CPUE!F118*Effort!F118</f>
        <v>25184.645250586698</v>
      </c>
      <c r="G118" s="7"/>
      <c r="H118" s="8">
        <v>47499.0804796507</v>
      </c>
      <c r="I118" s="7"/>
      <c r="J118" s="8" t="s">
        <v>10</v>
      </c>
      <c r="K118" s="7"/>
      <c r="L118" s="8">
        <v>35584.457018966998</v>
      </c>
      <c r="M118" s="7"/>
      <c r="N118" s="8" t="s">
        <v>10</v>
      </c>
      <c r="O118" s="8">
        <f t="shared" si="2"/>
        <v>108268.1827492044</v>
      </c>
      <c r="P118" s="19">
        <f>SUM(O111:O118)</f>
        <v>639416.9212319965</v>
      </c>
    </row>
    <row r="119" spans="1:17" x14ac:dyDescent="0.25">
      <c r="A119" s="76"/>
      <c r="E119" s="75"/>
      <c r="G119" s="7"/>
      <c r="I119" s="7"/>
      <c r="K119" s="7"/>
      <c r="M119" s="7"/>
      <c r="N119" s="8"/>
    </row>
    <row r="120" spans="1:17" x14ac:dyDescent="0.25">
      <c r="A120" s="76">
        <v>45787</v>
      </c>
      <c r="B120" s="7" t="s">
        <v>19</v>
      </c>
      <c r="C120" s="12">
        <v>0.24861111111111112</v>
      </c>
      <c r="D120" s="4">
        <v>7.0000000000000007E-2</v>
      </c>
      <c r="E120" s="75"/>
      <c r="F120" s="8">
        <f>CPUE!F120*Effort!F120</f>
        <v>11382.714061441786</v>
      </c>
      <c r="G120" s="7"/>
      <c r="H120" s="8">
        <v>12517.3087564205</v>
      </c>
      <c r="I120" s="7"/>
      <c r="J120" s="8">
        <v>13497.2419135457</v>
      </c>
      <c r="K120" s="7"/>
      <c r="L120" s="8" t="s">
        <v>10</v>
      </c>
      <c r="M120" s="7"/>
      <c r="N120" s="8" t="s">
        <v>10</v>
      </c>
      <c r="O120" s="8">
        <f t="shared" si="2"/>
        <v>37397.264731407988</v>
      </c>
    </row>
    <row r="121" spans="1:17" x14ac:dyDescent="0.25">
      <c r="A121" s="76">
        <v>45788</v>
      </c>
      <c r="B121" s="7" t="s">
        <v>20</v>
      </c>
      <c r="C121" s="12">
        <v>0.2722222222222222</v>
      </c>
      <c r="D121" s="4">
        <v>-0.4</v>
      </c>
      <c r="E121" s="75" t="s">
        <v>63</v>
      </c>
      <c r="F121" s="8">
        <f>CPUE!F121*Effort!F121</f>
        <v>10571.462864931125</v>
      </c>
      <c r="G121" s="7"/>
      <c r="H121" s="8">
        <v>12084.6345427946</v>
      </c>
      <c r="I121" s="7"/>
      <c r="J121" s="8" t="s">
        <v>10</v>
      </c>
      <c r="K121" s="7"/>
      <c r="L121" s="8">
        <v>8705.1742898803805</v>
      </c>
      <c r="M121" s="7"/>
      <c r="N121" s="8" t="s">
        <v>10</v>
      </c>
      <c r="O121" s="8">
        <f t="shared" si="2"/>
        <v>31361.271697606106</v>
      </c>
    </row>
    <row r="122" spans="1:17" x14ac:dyDescent="0.25">
      <c r="A122" s="76">
        <v>45789</v>
      </c>
      <c r="B122" s="7" t="s">
        <v>21</v>
      </c>
      <c r="C122" s="12">
        <v>0.2951388888888889</v>
      </c>
      <c r="D122" s="4">
        <v>-0.71</v>
      </c>
      <c r="E122" s="75" t="s">
        <v>63</v>
      </c>
      <c r="F122" s="8">
        <f>CPUE!F122*Effort!F122</f>
        <v>5712.2430923216634</v>
      </c>
      <c r="G122" s="7" t="s">
        <v>63</v>
      </c>
      <c r="H122" s="8">
        <f>CPUE!H122*Effort!H122</f>
        <v>5913.6731758683654</v>
      </c>
      <c r="I122" s="7"/>
      <c r="J122" s="8" t="s">
        <v>10</v>
      </c>
      <c r="K122" s="7"/>
      <c r="L122" s="8">
        <v>4187.0991716955496</v>
      </c>
      <c r="M122" s="7"/>
      <c r="N122" s="8" t="s">
        <v>10</v>
      </c>
      <c r="O122" s="8">
        <f t="shared" si="2"/>
        <v>15813.015439885578</v>
      </c>
    </row>
    <row r="123" spans="1:17" x14ac:dyDescent="0.25">
      <c r="A123" s="76">
        <v>45790</v>
      </c>
      <c r="B123" s="7" t="s">
        <v>61</v>
      </c>
      <c r="C123" s="12">
        <v>0.31805555555555554</v>
      </c>
      <c r="D123" s="4">
        <v>-0.89</v>
      </c>
      <c r="E123" s="75"/>
      <c r="F123" s="8">
        <f>CPUE!F123*Effort!F123</f>
        <v>18102.364149610523</v>
      </c>
      <c r="G123" s="7" t="s">
        <v>63</v>
      </c>
      <c r="H123" s="8">
        <f>CPUE!H123*Effort!H123</f>
        <v>17070.395716968324</v>
      </c>
      <c r="I123" s="7"/>
      <c r="J123" s="8">
        <v>18089.8993372474</v>
      </c>
      <c r="K123" s="7"/>
      <c r="L123" s="8" t="s">
        <v>10</v>
      </c>
      <c r="M123" s="7"/>
      <c r="N123" s="8" t="s">
        <v>10</v>
      </c>
      <c r="O123" s="8">
        <f t="shared" si="2"/>
        <v>53262.659203826246</v>
      </c>
    </row>
    <row r="124" spans="1:17" x14ac:dyDescent="0.25">
      <c r="A124" s="76">
        <v>45791</v>
      </c>
      <c r="B124" s="7" t="s">
        <v>62</v>
      </c>
      <c r="C124" s="12">
        <v>0.34236111111111112</v>
      </c>
      <c r="D124" s="4">
        <v>-0.92</v>
      </c>
      <c r="E124" s="75" t="s">
        <v>63</v>
      </c>
      <c r="F124" s="8">
        <f>CPUE!F124*Effort!F124</f>
        <v>10519.847572409633</v>
      </c>
      <c r="G124" s="7"/>
      <c r="H124" s="8">
        <v>12164.2097301227</v>
      </c>
      <c r="I124" s="7"/>
      <c r="J124" s="8">
        <v>14026.1454895753</v>
      </c>
      <c r="K124" s="7"/>
      <c r="L124" s="8" t="s">
        <v>10</v>
      </c>
      <c r="M124" s="7"/>
      <c r="N124" s="8" t="s">
        <v>10</v>
      </c>
      <c r="O124" s="8">
        <f t="shared" si="2"/>
        <v>36710.20279210763</v>
      </c>
    </row>
    <row r="125" spans="1:17" x14ac:dyDescent="0.25">
      <c r="A125" s="76">
        <v>45792</v>
      </c>
      <c r="B125" s="7" t="s">
        <v>22</v>
      </c>
      <c r="C125" s="12">
        <v>0.36736111111111108</v>
      </c>
      <c r="D125" s="4">
        <v>-0.84</v>
      </c>
      <c r="E125" s="75"/>
      <c r="F125" s="8">
        <f>6146.8326871397+8203.78699231664</f>
        <v>14350.61967945634</v>
      </c>
      <c r="G125" s="7"/>
      <c r="H125" s="8">
        <v>10676.763320411599</v>
      </c>
      <c r="I125" s="7"/>
      <c r="J125" s="8" t="s">
        <v>10</v>
      </c>
      <c r="K125" s="7"/>
      <c r="L125" s="8">
        <v>10686.1403452263</v>
      </c>
      <c r="M125" s="7"/>
      <c r="N125" s="8" t="s">
        <v>10</v>
      </c>
      <c r="O125" s="8">
        <f t="shared" si="2"/>
        <v>35713.52334509424</v>
      </c>
      <c r="P125" s="19">
        <f>SUM(O120:O125)</f>
        <v>210257.93720992777</v>
      </c>
    </row>
    <row r="126" spans="1:17" x14ac:dyDescent="0.25">
      <c r="A126" s="76"/>
      <c r="E126" s="75"/>
      <c r="G126" s="7"/>
      <c r="I126" s="7"/>
      <c r="K126" s="7"/>
      <c r="M126" s="7"/>
      <c r="N126" s="8"/>
    </row>
    <row r="127" spans="1:17" x14ac:dyDescent="0.25">
      <c r="A127" s="14" t="s">
        <v>64</v>
      </c>
      <c r="F127" s="8">
        <f>SUM(F2:F126)</f>
        <v>1225499.8742503026</v>
      </c>
      <c r="G127" s="7"/>
      <c r="H127" s="8">
        <f>SUM(H2:H126)</f>
        <v>1248331.0658213352</v>
      </c>
      <c r="I127" s="7"/>
      <c r="J127" s="8">
        <f>SUM(J2:J126)</f>
        <v>791059.26044123876</v>
      </c>
      <c r="K127" s="7"/>
      <c r="L127" s="8">
        <f>SUM(L2:L126)</f>
        <v>621856.36253110413</v>
      </c>
      <c r="M127" s="7"/>
      <c r="N127" s="8">
        <f>SUM(N2:N126)</f>
        <v>0</v>
      </c>
      <c r="O127" s="8">
        <f>SUM(O2:O126)</f>
        <v>3886746.5630439823</v>
      </c>
      <c r="P127" s="8">
        <f>SUM(P2:P126)</f>
        <v>3886746.5630439823</v>
      </c>
      <c r="Q127" s="19">
        <f>SUM(F127,H127,J127,L127,N127)</f>
        <v>3886746.5630439809</v>
      </c>
    </row>
    <row r="128" spans="1:17" x14ac:dyDescent="0.25">
      <c r="A128" s="15" t="s">
        <v>11</v>
      </c>
      <c r="F128" s="32">
        <f>+'LB Wastage'!F100</f>
        <v>2.2608695652173914E-2</v>
      </c>
      <c r="H128" s="32">
        <f>+'TH Wastage'!F100</f>
        <v>1.7333333333333333E-2</v>
      </c>
      <c r="J128" s="32">
        <f>+'Cop Wastage'!F100</f>
        <v>1.7500000000000002E-2</v>
      </c>
      <c r="L128" s="32">
        <f>+'Moc Wastage'!F100</f>
        <v>1.2743362831858408E-2</v>
      </c>
      <c r="N128" s="32">
        <f>+'Kal Wastage'!F100</f>
        <v>0</v>
      </c>
    </row>
    <row r="129" spans="1:16" x14ac:dyDescent="0.25">
      <c r="A129" s="14" t="s">
        <v>12</v>
      </c>
      <c r="F129" s="8">
        <f>+F127*F128</f>
        <v>27706.953678702492</v>
      </c>
      <c r="H129" s="8">
        <f>+H127*H128</f>
        <v>21637.738474236474</v>
      </c>
      <c r="J129" s="8">
        <f>+J127*J128</f>
        <v>13843.53705772168</v>
      </c>
      <c r="L129" s="8">
        <f>+L127*L128</f>
        <v>7924.5412570335402</v>
      </c>
      <c r="N129" s="8">
        <f>+N127*N128</f>
        <v>0</v>
      </c>
      <c r="O129" s="8">
        <f>F129+H129+J129+L129+N129</f>
        <v>71112.770467694194</v>
      </c>
    </row>
    <row r="130" spans="1:16" x14ac:dyDescent="0.25">
      <c r="A130" s="15" t="s">
        <v>13</v>
      </c>
      <c r="F130" s="8">
        <f>F127+F129</f>
        <v>1253206.827929005</v>
      </c>
      <c r="H130" s="8">
        <f>H127+H129</f>
        <v>1269968.8042955718</v>
      </c>
      <c r="J130" s="8">
        <f>J127+J129</f>
        <v>804902.7974989604</v>
      </c>
      <c r="L130" s="8">
        <f>L127+L129</f>
        <v>629780.90378813772</v>
      </c>
      <c r="N130" s="8">
        <f>N127+N129</f>
        <v>0</v>
      </c>
      <c r="O130" s="8">
        <f>O127+O129</f>
        <v>3957859.3335116766</v>
      </c>
      <c r="P130" s="19">
        <f>SUM(F130:L130)</f>
        <v>3957859.3335116748</v>
      </c>
    </row>
    <row r="131" spans="1:16" x14ac:dyDescent="0.25">
      <c r="A131" s="16"/>
      <c r="N131" s="8"/>
    </row>
    <row r="132" spans="1:16" x14ac:dyDescent="0.25">
      <c r="A132" s="16" t="s">
        <v>14</v>
      </c>
      <c r="F132" s="9">
        <f>F130/TAC!B4</f>
        <v>0.58599644409678464</v>
      </c>
      <c r="H132" s="9">
        <f>H130/TAC!B5</f>
        <v>0.54197048441094142</v>
      </c>
      <c r="J132" s="9">
        <f>+J130/TAC!B6</f>
        <v>0.72763286877397348</v>
      </c>
      <c r="L132" s="9">
        <f>L130/TAC!B7</f>
        <v>0.34224372611734338</v>
      </c>
      <c r="N132" s="9">
        <f>N130/TAC!B8</f>
        <v>0</v>
      </c>
      <c r="O132" s="9">
        <f>O130/TAC!B9</f>
        <v>0.53095544521658955</v>
      </c>
    </row>
    <row r="133" spans="1:16" x14ac:dyDescent="0.25">
      <c r="A133" s="16" t="s">
        <v>15</v>
      </c>
      <c r="F133" s="8">
        <f>+TAC!B4-Harvest!F130</f>
        <v>885384.3539007986</v>
      </c>
      <c r="H133" s="8">
        <f>TAC!B5-Harvest!H130</f>
        <v>1073274.676345038</v>
      </c>
      <c r="J133" s="8">
        <f>+TAC!B6-Harvest!J130</f>
        <v>301290.76802149636</v>
      </c>
      <c r="L133" s="8">
        <f>TAC!B7-L130</f>
        <v>1210372.3429428423</v>
      </c>
      <c r="N133" s="8">
        <f>TAC!B8-N130</f>
        <v>26039.720612477638</v>
      </c>
      <c r="O133" s="8">
        <f>TAC!B9-Harvest!O130</f>
        <v>3496361.8618226517</v>
      </c>
    </row>
    <row r="134" spans="1:16" x14ac:dyDescent="0.25">
      <c r="A134" s="16"/>
    </row>
    <row r="135" spans="1:16" x14ac:dyDescent="0.25">
      <c r="A135" s="14" t="s">
        <v>16</v>
      </c>
    </row>
    <row r="136" spans="1:16" x14ac:dyDescent="0.25">
      <c r="A136" s="16" t="s">
        <v>17</v>
      </c>
    </row>
    <row r="137" spans="1:16" x14ac:dyDescent="0.25">
      <c r="E137"/>
    </row>
    <row r="138" spans="1:16" x14ac:dyDescent="0.25">
      <c r="E138"/>
    </row>
    <row r="139" spans="1:16" x14ac:dyDescent="0.25">
      <c r="E139"/>
    </row>
    <row r="140" spans="1:16" x14ac:dyDescent="0.25">
      <c r="E140"/>
    </row>
    <row r="141" spans="1:16" x14ac:dyDescent="0.25">
      <c r="E141"/>
    </row>
    <row r="142" spans="1:16" x14ac:dyDescent="0.25">
      <c r="E142"/>
    </row>
    <row r="143" spans="1:16" x14ac:dyDescent="0.25">
      <c r="E143"/>
    </row>
    <row r="144" spans="1:16" x14ac:dyDescent="0.25">
      <c r="E144"/>
    </row>
    <row r="145" spans="2:11" x14ac:dyDescent="0.25">
      <c r="E145"/>
    </row>
    <row r="146" spans="2:11" x14ac:dyDescent="0.25">
      <c r="E146"/>
    </row>
    <row r="147" spans="2:11" x14ac:dyDescent="0.25">
      <c r="E147"/>
    </row>
    <row r="148" spans="2:11" x14ac:dyDescent="0.25">
      <c r="E148"/>
    </row>
    <row r="149" spans="2:11" x14ac:dyDescent="0.25">
      <c r="E149"/>
    </row>
    <row r="150" spans="2:11" x14ac:dyDescent="0.25">
      <c r="E150"/>
    </row>
    <row r="151" spans="2:11" x14ac:dyDescent="0.25">
      <c r="E151"/>
    </row>
    <row r="152" spans="2:11" x14ac:dyDescent="0.25">
      <c r="E152"/>
    </row>
    <row r="153" spans="2:11" x14ac:dyDescent="0.25">
      <c r="E153"/>
    </row>
    <row r="154" spans="2:11" x14ac:dyDescent="0.25">
      <c r="E154"/>
    </row>
    <row r="155" spans="2:11" x14ac:dyDescent="0.25">
      <c r="E155"/>
    </row>
    <row r="156" spans="2:11" x14ac:dyDescent="0.25">
      <c r="E156"/>
    </row>
    <row r="157" spans="2:11" x14ac:dyDescent="0.25">
      <c r="B157" s="6"/>
      <c r="K157" s="5"/>
    </row>
    <row r="158" spans="2:11" x14ac:dyDescent="0.25">
      <c r="B158" s="6"/>
    </row>
  </sheetData>
  <mergeCells count="5">
    <mergeCell ref="E1:F1"/>
    <mergeCell ref="G1:H1"/>
    <mergeCell ref="I1:J1"/>
    <mergeCell ref="K1:L1"/>
    <mergeCell ref="M1:N1"/>
  </mergeCells>
  <phoneticPr fontId="17" type="noConversion"/>
  <pageMargins left="0.28999999999999998" right="0.36" top="0.66" bottom="0.5" header="0.2" footer="0.25"/>
  <pageSetup paperSize="3" scale="5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57"/>
  <sheetViews>
    <sheetView tabSelected="1" zoomScale="120" zoomScaleNormal="120" workbookViewId="0">
      <pane ySplit="1" topLeftCell="A14" activePane="bottomLeft" state="frozen"/>
      <selection pane="bottomLeft" activeCell="S29" sqref="S29"/>
    </sheetView>
  </sheetViews>
  <sheetFormatPr defaultRowHeight="15" x14ac:dyDescent="0.25"/>
  <cols>
    <col min="1" max="1" width="21.140625" customWidth="1"/>
    <col min="3" max="3" width="9.140625" style="94"/>
    <col min="4" max="4" width="9.140625" style="20" customWidth="1"/>
    <col min="5" max="5" width="3.85546875" customWidth="1"/>
    <col min="6" max="6" width="14.42578125" style="8" customWidth="1"/>
    <col min="7" max="7" width="3.5703125" customWidth="1"/>
    <col min="8" max="8" width="15.28515625" style="8" customWidth="1"/>
    <col min="9" max="9" width="3.85546875" customWidth="1"/>
    <col min="10" max="10" width="16.28515625" style="8" customWidth="1"/>
    <col min="11" max="11" width="3" style="19" customWidth="1"/>
    <col min="12" max="12" width="15.42578125" style="8" customWidth="1"/>
    <col min="13" max="13" width="3" customWidth="1"/>
    <col min="14" max="14" width="16.42578125" customWidth="1"/>
    <col min="15" max="15" width="13.42578125" style="8" customWidth="1"/>
  </cols>
  <sheetData>
    <row r="1" spans="1:17" x14ac:dyDescent="0.25">
      <c r="A1" s="13" t="s">
        <v>0</v>
      </c>
      <c r="B1" s="1" t="s">
        <v>1</v>
      </c>
      <c r="C1" s="11" t="s">
        <v>3</v>
      </c>
      <c r="D1" s="54" t="s">
        <v>2</v>
      </c>
      <c r="E1" s="134" t="s">
        <v>4</v>
      </c>
      <c r="F1" s="134"/>
      <c r="G1" s="134" t="s">
        <v>5</v>
      </c>
      <c r="H1" s="134"/>
      <c r="I1" s="134" t="s">
        <v>6</v>
      </c>
      <c r="J1" s="134"/>
      <c r="K1" s="135" t="s">
        <v>7</v>
      </c>
      <c r="L1" s="135"/>
      <c r="M1" s="134" t="s">
        <v>8</v>
      </c>
      <c r="N1" s="134"/>
      <c r="O1" s="72" t="s">
        <v>9</v>
      </c>
      <c r="P1" s="122" t="s">
        <v>75</v>
      </c>
      <c r="Q1" s="122"/>
    </row>
    <row r="2" spans="1:17" x14ac:dyDescent="0.25">
      <c r="A2" s="76">
        <v>45568</v>
      </c>
      <c r="B2" s="7" t="s">
        <v>22</v>
      </c>
      <c r="C2" s="12">
        <v>0.81805555555555554</v>
      </c>
      <c r="D2" s="4">
        <v>0.33</v>
      </c>
      <c r="E2" s="75"/>
      <c r="F2" s="8">
        <f>697.411435389515+779.925919986984</f>
        <v>1477.3373553764991</v>
      </c>
      <c r="G2" s="7"/>
      <c r="H2" s="8">
        <v>1638.34279191357</v>
      </c>
      <c r="I2" s="7"/>
      <c r="J2" s="8" t="s">
        <v>10</v>
      </c>
      <c r="K2" s="8"/>
      <c r="L2" s="8">
        <v>842.90278998707299</v>
      </c>
      <c r="M2" s="7"/>
      <c r="N2" s="8" t="s">
        <v>10</v>
      </c>
      <c r="O2" s="78">
        <f t="shared" ref="O2:O65" si="0">SUM(F2:N2)</f>
        <v>3958.5829372771418</v>
      </c>
    </row>
    <row r="3" spans="1:17" x14ac:dyDescent="0.25">
      <c r="A3" s="76">
        <v>45569</v>
      </c>
      <c r="B3" s="7" t="s">
        <v>18</v>
      </c>
      <c r="C3" s="12">
        <v>0.84027777777777779</v>
      </c>
      <c r="D3" s="4">
        <v>0.13</v>
      </c>
      <c r="E3" s="75"/>
      <c r="F3" s="8">
        <f>(697.411435389515/779.925919986984*494.460203298717)+494.460203298717</f>
        <v>936.60758074618604</v>
      </c>
      <c r="G3" s="7" t="s">
        <v>63</v>
      </c>
      <c r="H3" s="8">
        <f>H4/J4*J3</f>
        <v>915.05694591220492</v>
      </c>
      <c r="I3" s="7"/>
      <c r="J3" s="8">
        <v>1689.8019704625499</v>
      </c>
      <c r="K3" s="8"/>
      <c r="L3" s="8" t="s">
        <v>10</v>
      </c>
      <c r="M3" s="7"/>
      <c r="N3" s="8" t="s">
        <v>10</v>
      </c>
      <c r="O3" s="78">
        <f t="shared" si="0"/>
        <v>3541.4664971209409</v>
      </c>
    </row>
    <row r="4" spans="1:17" x14ac:dyDescent="0.25">
      <c r="A4" s="76">
        <v>45570</v>
      </c>
      <c r="B4" s="7" t="s">
        <v>19</v>
      </c>
      <c r="C4" s="12">
        <v>0.86388888888888893</v>
      </c>
      <c r="D4" s="4">
        <v>7.0000000000000007E-2</v>
      </c>
      <c r="E4" s="75" t="s">
        <v>63</v>
      </c>
      <c r="F4" s="8">
        <f>F3/J3*J4</f>
        <v>1621.6753910154155</v>
      </c>
      <c r="G4" s="7"/>
      <c r="H4" s="8">
        <v>1584.3618619671199</v>
      </c>
      <c r="I4" s="7"/>
      <c r="J4" s="8">
        <v>2925.78271575092</v>
      </c>
      <c r="K4" s="8"/>
      <c r="L4" s="8" t="s">
        <v>10</v>
      </c>
      <c r="M4" s="7"/>
      <c r="N4" s="8" t="s">
        <v>10</v>
      </c>
      <c r="O4" s="78">
        <f t="shared" si="0"/>
        <v>6131.8199687334554</v>
      </c>
    </row>
    <row r="5" spans="1:17" x14ac:dyDescent="0.25">
      <c r="A5" s="76">
        <v>45571</v>
      </c>
      <c r="B5" s="7" t="s">
        <v>20</v>
      </c>
      <c r="C5" s="12">
        <v>0.88888888888888884</v>
      </c>
      <c r="D5" s="4">
        <v>0.13</v>
      </c>
      <c r="E5" s="75" t="s">
        <v>63</v>
      </c>
      <c r="F5" s="8">
        <f>F2/L2*L5</f>
        <v>472.51044346840672</v>
      </c>
      <c r="G5" s="7" t="s">
        <v>63</v>
      </c>
      <c r="H5" s="8">
        <f>H2/L2*L5</f>
        <v>524.00629845514243</v>
      </c>
      <c r="I5" s="7"/>
      <c r="J5" s="8" t="s">
        <v>10</v>
      </c>
      <c r="K5" s="8"/>
      <c r="L5" s="8">
        <v>269.59338004151903</v>
      </c>
      <c r="M5" s="7"/>
      <c r="N5" s="8" t="s">
        <v>10</v>
      </c>
      <c r="O5" s="78">
        <f t="shared" si="0"/>
        <v>1266.1101219650682</v>
      </c>
    </row>
    <row r="6" spans="1:17" x14ac:dyDescent="0.25">
      <c r="A6" s="76">
        <v>45572</v>
      </c>
      <c r="B6" s="7" t="s">
        <v>21</v>
      </c>
      <c r="C6" s="12">
        <v>0.91805555555555562</v>
      </c>
      <c r="D6" s="4">
        <v>0.3</v>
      </c>
      <c r="E6" s="75"/>
      <c r="F6" s="8">
        <f>(697.411435389515/779.925919986984*47.6146862435801)+47.6146862435801</f>
        <v>90.191841108891893</v>
      </c>
      <c r="G6" s="7"/>
      <c r="H6" s="8">
        <v>158.78994028574201</v>
      </c>
      <c r="I6" s="7"/>
      <c r="J6" s="8" t="s">
        <v>10</v>
      </c>
      <c r="K6" s="8"/>
      <c r="L6" s="8">
        <v>176.66393307284699</v>
      </c>
      <c r="M6" s="7"/>
      <c r="N6" s="8" t="s">
        <v>10</v>
      </c>
      <c r="O6" s="78">
        <f t="shared" si="0"/>
        <v>425.6457144674809</v>
      </c>
      <c r="P6" s="110">
        <f>SUM(O2:O6)</f>
        <v>15323.625239564088</v>
      </c>
    </row>
    <row r="7" spans="1:17" x14ac:dyDescent="0.25">
      <c r="A7" s="76"/>
      <c r="B7" s="7"/>
      <c r="C7" s="12"/>
      <c r="D7" s="4"/>
      <c r="E7" s="75"/>
      <c r="G7" s="7"/>
      <c r="I7" s="7"/>
      <c r="K7" s="8"/>
      <c r="M7" s="7"/>
      <c r="N7" s="8"/>
      <c r="O7" s="78"/>
    </row>
    <row r="8" spans="1:17" x14ac:dyDescent="0.25">
      <c r="A8" s="76">
        <v>45580</v>
      </c>
      <c r="B8" s="7" t="s">
        <v>61</v>
      </c>
      <c r="C8" s="12">
        <v>0.72986111111111107</v>
      </c>
      <c r="D8" s="4">
        <v>0.53</v>
      </c>
      <c r="E8" s="75" t="s">
        <v>63</v>
      </c>
      <c r="F8" s="8">
        <f>F11/L11*L8</f>
        <v>1395.6320323121433</v>
      </c>
      <c r="G8" s="7"/>
      <c r="H8" s="8">
        <v>1116.86597425219</v>
      </c>
      <c r="I8" s="7"/>
      <c r="J8" s="8" t="s">
        <v>10</v>
      </c>
      <c r="K8" s="8"/>
      <c r="L8" s="8">
        <v>1020.37005630083</v>
      </c>
      <c r="M8" s="7"/>
      <c r="N8" s="8" t="s">
        <v>10</v>
      </c>
      <c r="O8" s="78">
        <f t="shared" si="0"/>
        <v>3532.8680628651632</v>
      </c>
    </row>
    <row r="9" spans="1:17" x14ac:dyDescent="0.25">
      <c r="A9" s="76">
        <v>45581</v>
      </c>
      <c r="B9" s="7" t="s">
        <v>62</v>
      </c>
      <c r="C9" s="12">
        <v>0.76250000000000007</v>
      </c>
      <c r="D9" s="4">
        <v>-0.48</v>
      </c>
      <c r="E9" s="75"/>
      <c r="F9" s="8">
        <f>492.628869212425+659.953914314618</f>
        <v>1152.5827835270429</v>
      </c>
      <c r="G9" s="7" t="s">
        <v>63</v>
      </c>
      <c r="H9" s="8">
        <f>H10/J10*J9</f>
        <v>1190.024780211058</v>
      </c>
      <c r="I9" s="7"/>
      <c r="J9" s="8">
        <v>1560.35964808012</v>
      </c>
      <c r="K9" s="8"/>
      <c r="L9" s="8" t="s">
        <v>10</v>
      </c>
      <c r="M9" s="7"/>
      <c r="N9" s="8" t="s">
        <v>10</v>
      </c>
      <c r="O9" s="78">
        <f t="shared" si="0"/>
        <v>3902.9672118182207</v>
      </c>
    </row>
    <row r="10" spans="1:17" x14ac:dyDescent="0.25">
      <c r="A10" s="76">
        <v>45582</v>
      </c>
      <c r="B10" s="7" t="s">
        <v>22</v>
      </c>
      <c r="C10" s="12">
        <v>0.79375000000000007</v>
      </c>
      <c r="D10" s="4">
        <v>-1.25</v>
      </c>
      <c r="E10" s="75" t="s">
        <v>63</v>
      </c>
      <c r="F10" s="8">
        <f>F9/J9*J10</f>
        <v>1631.7989200021459</v>
      </c>
      <c r="G10" s="7"/>
      <c r="H10" s="8">
        <v>1684.8083963060801</v>
      </c>
      <c r="I10" s="7"/>
      <c r="J10" s="8">
        <v>2209.1195747002298</v>
      </c>
      <c r="K10" s="8"/>
      <c r="L10" s="8" t="s">
        <v>10</v>
      </c>
      <c r="M10" s="7"/>
      <c r="N10" s="8" t="s">
        <v>10</v>
      </c>
      <c r="O10" s="78">
        <f t="shared" si="0"/>
        <v>5525.7268910084558</v>
      </c>
    </row>
    <row r="11" spans="1:17" x14ac:dyDescent="0.25">
      <c r="A11" s="76">
        <v>45583</v>
      </c>
      <c r="B11" s="7" t="s">
        <v>18</v>
      </c>
      <c r="C11" s="12">
        <v>0.8256944444444444</v>
      </c>
      <c r="D11" s="4">
        <v>-1.66</v>
      </c>
      <c r="E11" s="75"/>
      <c r="F11" s="8">
        <f>(492.628869212425/659.953914314618*710.168046938604)+710.168046938604</f>
        <v>1240.2797325060574</v>
      </c>
      <c r="G11" s="7"/>
      <c r="H11" s="8">
        <v>954.45188682325897</v>
      </c>
      <c r="I11" s="7"/>
      <c r="J11" s="8" t="s">
        <v>10</v>
      </c>
      <c r="K11" s="8"/>
      <c r="L11" s="8">
        <v>906.78937655891798</v>
      </c>
      <c r="M11" s="7"/>
      <c r="N11" s="8" t="s">
        <v>10</v>
      </c>
      <c r="O11" s="78">
        <f t="shared" si="0"/>
        <v>3101.5209958882342</v>
      </c>
    </row>
    <row r="12" spans="1:17" x14ac:dyDescent="0.25">
      <c r="A12" s="76">
        <v>45584</v>
      </c>
      <c r="B12" s="7" t="s">
        <v>19</v>
      </c>
      <c r="C12" s="12">
        <v>0.85763888888888884</v>
      </c>
      <c r="D12" s="4">
        <v>-1.69</v>
      </c>
      <c r="E12" s="75"/>
      <c r="F12" s="8">
        <f>(492.628869212425/659.953914314618+1154.58611555622)+1154.58611555622</f>
        <v>2309.9186906129098</v>
      </c>
      <c r="G12" s="7" t="s">
        <v>63</v>
      </c>
      <c r="H12" s="8">
        <f>H11/L11*L12</f>
        <v>1735.9675779954241</v>
      </c>
      <c r="I12" s="7"/>
      <c r="J12" s="8" t="s">
        <v>10</v>
      </c>
      <c r="K12" s="8"/>
      <c r="L12" s="8">
        <v>1649.2784806746999</v>
      </c>
      <c r="M12" s="7"/>
      <c r="N12" s="8" t="s">
        <v>10</v>
      </c>
      <c r="O12" s="78">
        <f t="shared" si="0"/>
        <v>5695.1647492830343</v>
      </c>
    </row>
    <row r="13" spans="1:17" x14ac:dyDescent="0.25">
      <c r="A13" s="76">
        <v>45585</v>
      </c>
      <c r="B13" s="7" t="s">
        <v>20</v>
      </c>
      <c r="C13" s="12">
        <v>0.89166666666666661</v>
      </c>
      <c r="D13" s="4">
        <v>-1.36</v>
      </c>
      <c r="E13" s="75" t="s">
        <v>63</v>
      </c>
      <c r="F13" s="8">
        <f>F9/J9*J13</f>
        <v>384.93669219002567</v>
      </c>
      <c r="G13" s="7" t="s">
        <v>63</v>
      </c>
      <c r="H13" s="8">
        <f>H10/J10*J13</f>
        <v>397.4414758450701</v>
      </c>
      <c r="I13" s="7"/>
      <c r="J13" s="8">
        <v>521.12498134036298</v>
      </c>
      <c r="K13" s="8"/>
      <c r="L13" s="8" t="s">
        <v>10</v>
      </c>
      <c r="M13" s="7"/>
      <c r="N13" s="8" t="s">
        <v>10</v>
      </c>
      <c r="O13" s="78">
        <f t="shared" si="0"/>
        <v>1303.5031493754586</v>
      </c>
    </row>
    <row r="14" spans="1:17" x14ac:dyDescent="0.25">
      <c r="A14" s="76">
        <v>45586</v>
      </c>
      <c r="B14" s="7" t="s">
        <v>21</v>
      </c>
      <c r="C14" s="12">
        <v>0.9277777777777777</v>
      </c>
      <c r="D14" s="4">
        <v>-0.78</v>
      </c>
      <c r="E14" s="75" t="s">
        <v>63</v>
      </c>
      <c r="F14" s="8">
        <f>F9/J9*J14</f>
        <v>206.9241763263432</v>
      </c>
      <c r="G14" s="7" t="s">
        <v>63</v>
      </c>
      <c r="H14" s="8">
        <f>H10/J10*J14</f>
        <v>213.64617012547379</v>
      </c>
      <c r="I14" s="7"/>
      <c r="J14" s="8">
        <v>280.13270679248001</v>
      </c>
      <c r="K14" s="8"/>
      <c r="L14" s="8" t="s">
        <v>10</v>
      </c>
      <c r="M14" s="7"/>
      <c r="N14" s="8" t="s">
        <v>10</v>
      </c>
      <c r="O14" s="78">
        <f t="shared" si="0"/>
        <v>700.70305324429705</v>
      </c>
      <c r="P14" s="110">
        <f>SUM(O8:O14)</f>
        <v>23762.454113482865</v>
      </c>
    </row>
    <row r="15" spans="1:17" x14ac:dyDescent="0.25">
      <c r="A15" s="76"/>
      <c r="B15" s="7"/>
      <c r="C15" s="12"/>
      <c r="D15" s="4"/>
      <c r="E15" s="75"/>
      <c r="G15" s="7"/>
      <c r="I15" s="7"/>
      <c r="K15" s="8"/>
      <c r="M15" s="7"/>
      <c r="N15" s="8"/>
      <c r="O15" s="78"/>
    </row>
    <row r="16" spans="1:17" x14ac:dyDescent="0.25">
      <c r="A16" s="76">
        <v>45597</v>
      </c>
      <c r="B16" s="7" t="s">
        <v>18</v>
      </c>
      <c r="C16" s="12">
        <v>0.80208333333333337</v>
      </c>
      <c r="D16" s="4">
        <v>-0.19</v>
      </c>
      <c r="E16" s="75"/>
      <c r="F16" s="8">
        <f>323.468683461393+445.014182968845</f>
        <v>768.482866430238</v>
      </c>
      <c r="G16" s="7" t="s">
        <v>63</v>
      </c>
      <c r="H16" s="8">
        <f>H17/L17*L16</f>
        <v>1078.6289722421523</v>
      </c>
      <c r="I16" s="7"/>
      <c r="J16" s="8" t="s">
        <v>10</v>
      </c>
      <c r="K16" s="7"/>
      <c r="L16" s="8">
        <v>947.326833863503</v>
      </c>
      <c r="M16" s="7"/>
      <c r="N16" s="8" t="s">
        <v>10</v>
      </c>
      <c r="O16" s="78">
        <f t="shared" si="0"/>
        <v>2794.4386725358931</v>
      </c>
      <c r="P16" s="19"/>
    </row>
    <row r="17" spans="1:16" x14ac:dyDescent="0.25">
      <c r="A17" s="76">
        <v>45598</v>
      </c>
      <c r="B17" s="7" t="s">
        <v>19</v>
      </c>
      <c r="C17" s="12">
        <v>0.82430555555555562</v>
      </c>
      <c r="D17" s="4">
        <v>-0.36</v>
      </c>
      <c r="E17" s="75" t="s">
        <v>63</v>
      </c>
      <c r="F17" s="8">
        <f>F16/L16*L17</f>
        <v>847.38925624799901</v>
      </c>
      <c r="G17" s="7"/>
      <c r="H17" s="8">
        <v>1189.3805867157801</v>
      </c>
      <c r="I17" s="7"/>
      <c r="J17" s="8" t="s">
        <v>10</v>
      </c>
      <c r="K17" s="7"/>
      <c r="L17" s="8">
        <v>1044.5965892516599</v>
      </c>
      <c r="M17" s="7"/>
      <c r="N17" s="8" t="s">
        <v>10</v>
      </c>
      <c r="O17" s="78">
        <f t="shared" si="0"/>
        <v>3081.3664322154391</v>
      </c>
      <c r="P17" s="19"/>
    </row>
    <row r="18" spans="1:16" x14ac:dyDescent="0.25">
      <c r="A18" s="76">
        <v>45599</v>
      </c>
      <c r="B18" s="7" t="s">
        <v>20</v>
      </c>
      <c r="C18" s="12">
        <v>0.80694444444444446</v>
      </c>
      <c r="D18" s="4">
        <v>-0.39</v>
      </c>
      <c r="E18" s="75"/>
      <c r="F18" s="8">
        <f>(323.468683461393/445.014182968845*150.779839771337)+150.779839771337</f>
        <v>260.37759671916149</v>
      </c>
      <c r="G18" s="7"/>
      <c r="H18" s="8">
        <v>450.80604056495002</v>
      </c>
      <c r="I18" s="7"/>
      <c r="J18" s="8">
        <v>547.69196369950703</v>
      </c>
      <c r="K18" s="7"/>
      <c r="L18" s="8" t="s">
        <v>10</v>
      </c>
      <c r="M18" s="7"/>
      <c r="N18" s="8" t="s">
        <v>10</v>
      </c>
      <c r="O18" s="78">
        <f t="shared" si="0"/>
        <v>1258.8756009836184</v>
      </c>
      <c r="P18" s="19"/>
    </row>
    <row r="19" spans="1:16" x14ac:dyDescent="0.25">
      <c r="A19" s="76">
        <v>45600</v>
      </c>
      <c r="B19" s="7" t="s">
        <v>21</v>
      </c>
      <c r="C19" s="12">
        <v>0.83333333333333337</v>
      </c>
      <c r="D19" s="4">
        <v>-0.28999999999999998</v>
      </c>
      <c r="E19" s="75" t="s">
        <v>63</v>
      </c>
      <c r="F19" s="8">
        <f>F18/J18*J19</f>
        <v>51.109810331623812</v>
      </c>
      <c r="G19" s="7" t="s">
        <v>63</v>
      </c>
      <c r="H19" s="8">
        <f>H18/J18*J19</f>
        <v>88.489223035866971</v>
      </c>
      <c r="I19" s="7"/>
      <c r="J19" s="8">
        <v>107.50706949272799</v>
      </c>
      <c r="K19" s="7"/>
      <c r="L19" s="8" t="s">
        <v>10</v>
      </c>
      <c r="M19" s="7"/>
      <c r="N19" s="8" t="s">
        <v>10</v>
      </c>
      <c r="O19" s="78">
        <f t="shared" si="0"/>
        <v>247.10610286021878</v>
      </c>
      <c r="P19" s="19"/>
    </row>
    <row r="20" spans="1:16" x14ac:dyDescent="0.25">
      <c r="A20" s="76">
        <v>45601</v>
      </c>
      <c r="B20" s="7" t="s">
        <v>61</v>
      </c>
      <c r="C20" s="12">
        <v>0.86249999999999993</v>
      </c>
      <c r="D20" s="4">
        <v>-0.09</v>
      </c>
      <c r="E20" s="75" t="s">
        <v>63</v>
      </c>
      <c r="F20" s="8">
        <f>F16/L16*L20</f>
        <v>79.464009410982257</v>
      </c>
      <c r="G20" s="7"/>
      <c r="H20" s="8">
        <v>109.37500059266</v>
      </c>
      <c r="I20" s="7"/>
      <c r="J20" s="8" t="s">
        <v>10</v>
      </c>
      <c r="K20" s="7"/>
      <c r="L20" s="8">
        <v>97.957146124921593</v>
      </c>
      <c r="M20" s="7"/>
      <c r="N20" s="8" t="s">
        <v>10</v>
      </c>
      <c r="O20" s="78">
        <f t="shared" si="0"/>
        <v>286.79615612856389</v>
      </c>
      <c r="P20" s="110">
        <f>SUM(O16:O20)</f>
        <v>7668.5829647237333</v>
      </c>
    </row>
    <row r="21" spans="1:16" x14ac:dyDescent="0.25">
      <c r="A21" s="76"/>
      <c r="B21" s="7"/>
      <c r="C21" s="12"/>
      <c r="D21" s="4"/>
      <c r="E21" s="75"/>
      <c r="G21" s="7"/>
      <c r="I21" s="7"/>
      <c r="K21" s="7"/>
      <c r="M21" s="7"/>
      <c r="N21" s="8"/>
      <c r="O21" s="78"/>
      <c r="P21" s="19"/>
    </row>
    <row r="22" spans="1:16" x14ac:dyDescent="0.25">
      <c r="A22" s="76">
        <v>45609</v>
      </c>
      <c r="B22" s="7" t="s">
        <v>62</v>
      </c>
      <c r="C22" s="12">
        <v>0.67708333333333337</v>
      </c>
      <c r="D22" s="4">
        <v>-0.17</v>
      </c>
      <c r="E22" s="75"/>
      <c r="F22" s="8">
        <f>(323.468683461393/445.014182968845*261.527871734743)+261.527871734743</f>
        <v>451.62535535678711</v>
      </c>
      <c r="G22" s="7" t="s">
        <v>63</v>
      </c>
      <c r="H22" s="8">
        <f>H23/L23*L22</f>
        <v>592.090535947474</v>
      </c>
      <c r="I22" s="7"/>
      <c r="J22" s="8" t="s">
        <v>10</v>
      </c>
      <c r="K22" s="7"/>
      <c r="L22" s="8">
        <v>514.83341298755602</v>
      </c>
      <c r="M22" s="7"/>
      <c r="N22" s="8" t="s">
        <v>10</v>
      </c>
      <c r="O22" s="78">
        <f t="shared" si="0"/>
        <v>1558.549304291817</v>
      </c>
      <c r="P22" s="19"/>
    </row>
    <row r="23" spans="1:16" x14ac:dyDescent="0.25">
      <c r="A23" s="76">
        <v>45610</v>
      </c>
      <c r="B23" s="7" t="s">
        <v>22</v>
      </c>
      <c r="C23" s="12">
        <v>0.70972222222222225</v>
      </c>
      <c r="D23" s="4">
        <v>-1.0900000000000001</v>
      </c>
      <c r="E23" s="75"/>
      <c r="F23" s="8">
        <f>(323.468683461393/445.014182968845*626.043729540562)+626.043729540562</f>
        <v>1081.097857552305</v>
      </c>
      <c r="G23" s="7"/>
      <c r="H23" s="8">
        <v>1307.5849214411701</v>
      </c>
      <c r="I23" s="7"/>
      <c r="J23" s="8" t="s">
        <v>10</v>
      </c>
      <c r="K23" s="7"/>
      <c r="L23" s="8">
        <v>1136.9687015844199</v>
      </c>
      <c r="M23" s="7"/>
      <c r="N23" s="8" t="s">
        <v>10</v>
      </c>
      <c r="O23" s="78">
        <f t="shared" si="0"/>
        <v>3525.6514805778952</v>
      </c>
      <c r="P23" s="19"/>
    </row>
    <row r="24" spans="1:16" x14ac:dyDescent="0.25">
      <c r="A24" s="76">
        <v>45611</v>
      </c>
      <c r="B24" s="7" t="s">
        <v>18</v>
      </c>
      <c r="C24" s="12">
        <v>0.7416666666666667</v>
      </c>
      <c r="D24" s="4">
        <v>-1.68</v>
      </c>
      <c r="E24" s="75"/>
      <c r="F24" s="8">
        <f>(323.468683461393/445.014182968845*1225.72527027144)+1225.72527027144</f>
        <v>2116.6715695893208</v>
      </c>
      <c r="G24" s="7"/>
      <c r="H24" s="8">
        <v>2175.2661230053</v>
      </c>
      <c r="I24" s="7"/>
      <c r="J24" s="8">
        <v>3896.99490703422</v>
      </c>
      <c r="K24" s="7"/>
      <c r="L24" s="8" t="s">
        <v>10</v>
      </c>
      <c r="M24" s="7"/>
      <c r="N24" s="8" t="s">
        <v>10</v>
      </c>
      <c r="O24" s="78">
        <f t="shared" si="0"/>
        <v>8188.9325996288408</v>
      </c>
      <c r="P24" s="19"/>
    </row>
    <row r="25" spans="1:16" x14ac:dyDescent="0.25">
      <c r="A25" s="76">
        <v>45612</v>
      </c>
      <c r="B25" s="7" t="s">
        <v>19</v>
      </c>
      <c r="C25" s="12">
        <v>0.7729166666666667</v>
      </c>
      <c r="D25" s="4">
        <v>-1.9</v>
      </c>
      <c r="E25" s="75" t="s">
        <v>63</v>
      </c>
      <c r="F25" s="8">
        <f>F24/H24*H25</f>
        <v>686.13438912407889</v>
      </c>
      <c r="G25" s="7"/>
      <c r="H25" s="8">
        <v>705.12823715023796</v>
      </c>
      <c r="I25" s="7"/>
      <c r="J25" s="8">
        <v>2469.6209742066799</v>
      </c>
      <c r="K25" s="7"/>
      <c r="L25" s="8" t="s">
        <v>10</v>
      </c>
      <c r="M25" s="7"/>
      <c r="N25" s="8" t="s">
        <v>10</v>
      </c>
      <c r="O25" s="78">
        <f t="shared" si="0"/>
        <v>3860.8836004809968</v>
      </c>
      <c r="P25" s="19"/>
    </row>
    <row r="26" spans="1:16" x14ac:dyDescent="0.25">
      <c r="A26" s="76">
        <v>45613</v>
      </c>
      <c r="B26" s="7" t="s">
        <v>20</v>
      </c>
      <c r="C26" s="12">
        <v>0.80486111111111114</v>
      </c>
      <c r="D26" s="4">
        <v>-1.75</v>
      </c>
      <c r="E26" s="75" t="s">
        <v>63</v>
      </c>
      <c r="F26" s="8">
        <f>F23/L23*L26</f>
        <v>503.29154909101175</v>
      </c>
      <c r="G26" s="7" t="s">
        <v>63</v>
      </c>
      <c r="H26" s="8">
        <f>H23/L23*L26</f>
        <v>608.72976121713918</v>
      </c>
      <c r="I26" s="7"/>
      <c r="J26" s="8" t="s">
        <v>10</v>
      </c>
      <c r="K26" s="7"/>
      <c r="L26" s="8">
        <v>529.30151983095004</v>
      </c>
      <c r="M26" s="7"/>
      <c r="N26" s="8" t="s">
        <v>10</v>
      </c>
      <c r="O26" s="78">
        <f t="shared" si="0"/>
        <v>1641.3228301391009</v>
      </c>
      <c r="P26" s="19"/>
    </row>
    <row r="27" spans="1:16" x14ac:dyDescent="0.25">
      <c r="A27" s="76">
        <v>45614</v>
      </c>
      <c r="B27" s="7" t="s">
        <v>21</v>
      </c>
      <c r="C27" s="12">
        <v>0.83680555555555547</v>
      </c>
      <c r="D27" s="4">
        <v>-1.31</v>
      </c>
      <c r="E27" s="75"/>
      <c r="F27" s="8">
        <f>(323.468683461393/445.014182968845*44.5492682811015)+44.5492682811015</f>
        <v>76.930917476909599</v>
      </c>
      <c r="G27" s="7"/>
      <c r="H27" s="8">
        <v>135.56769605423099</v>
      </c>
      <c r="I27" s="7"/>
      <c r="J27" s="8" t="s">
        <v>10</v>
      </c>
      <c r="K27" s="7"/>
      <c r="L27" s="8">
        <v>167.95983686118799</v>
      </c>
      <c r="M27" s="7"/>
      <c r="N27" s="8" t="s">
        <v>10</v>
      </c>
      <c r="O27" s="78">
        <f t="shared" si="0"/>
        <v>380.45845039232859</v>
      </c>
      <c r="P27" s="19"/>
    </row>
    <row r="28" spans="1:16" x14ac:dyDescent="0.25">
      <c r="A28" s="76">
        <v>45615</v>
      </c>
      <c r="B28" s="7" t="s">
        <v>61</v>
      </c>
      <c r="C28" s="12">
        <v>0.87083333333333324</v>
      </c>
      <c r="D28" s="4">
        <v>-0.69</v>
      </c>
      <c r="E28" s="75" t="s">
        <v>63</v>
      </c>
      <c r="F28" s="8">
        <f>F24/H24*H28</f>
        <v>28.112381183945534</v>
      </c>
      <c r="G28" s="7"/>
      <c r="H28" s="8">
        <v>28.8905994227121</v>
      </c>
      <c r="I28" s="7" t="s">
        <v>63</v>
      </c>
      <c r="J28" s="8">
        <f>J24/H24*H28</f>
        <v>51.757583874807814</v>
      </c>
      <c r="K28" s="7"/>
      <c r="L28" s="8" t="s">
        <v>10</v>
      </c>
      <c r="M28" s="7"/>
      <c r="N28" s="8" t="s">
        <v>10</v>
      </c>
      <c r="O28" s="78">
        <f t="shared" si="0"/>
        <v>108.76056448146545</v>
      </c>
      <c r="P28" s="110">
        <f>SUM(O22:O28)</f>
        <v>19264.558829992442</v>
      </c>
    </row>
    <row r="29" spans="1:16" x14ac:dyDescent="0.25">
      <c r="A29" s="76"/>
      <c r="B29" s="7"/>
      <c r="C29" s="12"/>
      <c r="D29" s="4"/>
      <c r="E29" s="75"/>
      <c r="G29" s="7"/>
      <c r="I29" s="7"/>
      <c r="K29" s="7"/>
      <c r="M29" s="7"/>
      <c r="N29" s="8"/>
      <c r="O29" s="78"/>
      <c r="P29" s="19"/>
    </row>
    <row r="30" spans="1:16" x14ac:dyDescent="0.25">
      <c r="A30" s="76">
        <v>45625</v>
      </c>
      <c r="B30" s="7" t="s">
        <v>18</v>
      </c>
      <c r="C30" s="12">
        <v>0.72222222222222221</v>
      </c>
      <c r="D30" s="4">
        <v>-7.0000000000000007E-2</v>
      </c>
      <c r="E30" s="75" t="s">
        <v>63</v>
      </c>
      <c r="F30" s="8">
        <f>F31/L31*L30</f>
        <v>1991.8047741428852</v>
      </c>
      <c r="G30" s="7"/>
      <c r="H30" s="8">
        <v>2295.0726804833098</v>
      </c>
      <c r="I30" s="7"/>
      <c r="J30" s="8" t="s">
        <v>10</v>
      </c>
      <c r="K30" s="7"/>
      <c r="L30" s="8">
        <v>2134.1853183774901</v>
      </c>
      <c r="M30" s="7"/>
      <c r="N30" s="8" t="s">
        <v>10</v>
      </c>
      <c r="O30" s="78">
        <f t="shared" si="0"/>
        <v>6421.0627730036849</v>
      </c>
      <c r="P30" s="19"/>
    </row>
    <row r="31" spans="1:16" x14ac:dyDescent="0.25">
      <c r="A31" s="76">
        <v>45626</v>
      </c>
      <c r="B31" s="7" t="s">
        <v>19</v>
      </c>
      <c r="C31" s="12">
        <v>0.74583333333333324</v>
      </c>
      <c r="D31" s="4">
        <v>-0.41</v>
      </c>
      <c r="E31" s="75"/>
      <c r="F31" s="8">
        <f>(323.468683461393/445.014182968845*1024.5413126656)+1024.5413126656</f>
        <v>1769.2524752375814</v>
      </c>
      <c r="G31" s="7" t="s">
        <v>63</v>
      </c>
      <c r="H31" s="8">
        <f>H30/L30*L31</f>
        <v>2038.6350477257947</v>
      </c>
      <c r="I31" s="7"/>
      <c r="J31" s="8" t="s">
        <v>10</v>
      </c>
      <c r="K31" s="7"/>
      <c r="L31" s="8">
        <v>1895.7242728670201</v>
      </c>
      <c r="M31" s="7"/>
      <c r="N31" s="8" t="s">
        <v>10</v>
      </c>
      <c r="O31" s="78">
        <f t="shared" si="0"/>
        <v>5703.6117958303957</v>
      </c>
      <c r="P31" s="19"/>
    </row>
    <row r="32" spans="1:16" x14ac:dyDescent="0.25">
      <c r="A32" s="76">
        <v>45627</v>
      </c>
      <c r="B32" s="7" t="s">
        <v>20</v>
      </c>
      <c r="C32" s="12">
        <v>0.77083333333333337</v>
      </c>
      <c r="D32" s="4">
        <v>-0.62</v>
      </c>
      <c r="E32" s="75" t="s">
        <v>63</v>
      </c>
      <c r="F32" s="8">
        <f>F33/J33*J32</f>
        <v>607.36502203260989</v>
      </c>
      <c r="G32" s="7"/>
      <c r="H32" s="8">
        <v>773.56626571969696</v>
      </c>
      <c r="I32" s="7"/>
      <c r="J32" s="8">
        <v>982.30745210784198</v>
      </c>
      <c r="K32" s="7"/>
      <c r="L32" s="8" t="s">
        <v>10</v>
      </c>
      <c r="M32" s="7"/>
      <c r="N32" s="8" t="s">
        <v>10</v>
      </c>
      <c r="O32" s="78">
        <f t="shared" si="0"/>
        <v>2363.2387398601486</v>
      </c>
      <c r="P32" s="19"/>
    </row>
    <row r="33" spans="1:16" x14ac:dyDescent="0.25">
      <c r="A33" s="76">
        <v>45628</v>
      </c>
      <c r="B33" s="7" t="s">
        <v>21</v>
      </c>
      <c r="C33" s="12">
        <v>0.79583333333333339</v>
      </c>
      <c r="D33" s="4">
        <v>-0.69</v>
      </c>
      <c r="E33" s="75"/>
      <c r="F33" s="8">
        <f>(323.468683461393/445.014182968845*161.656763288622)+161.656763288622</f>
        <v>279.16065955716283</v>
      </c>
      <c r="G33" s="7" t="s">
        <v>63</v>
      </c>
      <c r="H33" s="8">
        <f>H32/J32*J33</f>
        <v>355.55104610203847</v>
      </c>
      <c r="I33" s="7"/>
      <c r="J33" s="8">
        <v>451.49388962280102</v>
      </c>
      <c r="K33" s="7"/>
      <c r="L33" s="8" t="s">
        <v>10</v>
      </c>
      <c r="M33" s="7"/>
      <c r="N33" s="8" t="s">
        <v>10</v>
      </c>
      <c r="O33" s="78">
        <f t="shared" si="0"/>
        <v>1086.2055952820024</v>
      </c>
      <c r="P33" s="19"/>
    </row>
    <row r="34" spans="1:16" x14ac:dyDescent="0.25">
      <c r="A34" s="76">
        <v>45629</v>
      </c>
      <c r="B34" s="7" t="s">
        <v>61</v>
      </c>
      <c r="C34" s="12">
        <v>0.82361111111111107</v>
      </c>
      <c r="D34" s="4">
        <v>-0.63</v>
      </c>
      <c r="E34" s="75"/>
      <c r="F34" s="8">
        <f>(323.468683461393/445.014182968845*82.5760223285124)+82.5760223285124</f>
        <v>142.59828285487521</v>
      </c>
      <c r="G34" s="7" t="s">
        <v>63</v>
      </c>
      <c r="H34" s="8">
        <f>H30/L30*L34</f>
        <v>233.79414186851781</v>
      </c>
      <c r="I34" s="7"/>
      <c r="J34" s="8" t="s">
        <v>10</v>
      </c>
      <c r="K34" s="7"/>
      <c r="L34" s="8">
        <v>217.40489063439199</v>
      </c>
      <c r="M34" s="7"/>
      <c r="N34" s="8" t="s">
        <v>10</v>
      </c>
      <c r="O34" s="78">
        <f t="shared" si="0"/>
        <v>593.79731535778501</v>
      </c>
      <c r="P34" s="19"/>
    </row>
    <row r="35" spans="1:16" x14ac:dyDescent="0.25">
      <c r="A35" s="76">
        <v>45630</v>
      </c>
      <c r="B35" s="7" t="s">
        <v>62</v>
      </c>
      <c r="C35" s="12">
        <v>0.85277777777777775</v>
      </c>
      <c r="D35" s="4">
        <v>-0.46</v>
      </c>
      <c r="E35" s="75" t="s">
        <v>63</v>
      </c>
      <c r="F35" s="8">
        <f>F34/L34*L35</f>
        <v>49.096039515064696</v>
      </c>
      <c r="G35" s="7"/>
      <c r="H35" s="8">
        <v>153.76891450595599</v>
      </c>
      <c r="I35" s="7"/>
      <c r="J35" s="8" t="s">
        <v>10</v>
      </c>
      <c r="K35" s="7"/>
      <c r="L35" s="8">
        <v>74.851666427268697</v>
      </c>
      <c r="M35" s="7"/>
      <c r="N35" s="8" t="s">
        <v>10</v>
      </c>
      <c r="O35" s="78">
        <f t="shared" si="0"/>
        <v>277.7166204482894</v>
      </c>
      <c r="P35" s="19"/>
    </row>
    <row r="36" spans="1:16" x14ac:dyDescent="0.25">
      <c r="A36" s="76">
        <v>45631</v>
      </c>
      <c r="B36" s="7" t="s">
        <v>22</v>
      </c>
      <c r="C36" s="12">
        <v>0.88402777777777775</v>
      </c>
      <c r="D36" s="4">
        <v>-0.17</v>
      </c>
      <c r="E36" s="75" t="s">
        <v>63</v>
      </c>
      <c r="F36" s="8">
        <f>F33/J33*J36</f>
        <v>26.408701410134444</v>
      </c>
      <c r="G36" s="7" t="s">
        <v>63</v>
      </c>
      <c r="H36" s="8">
        <f>H32/J32*J36</f>
        <v>33.635260166903969</v>
      </c>
      <c r="I36" s="7"/>
      <c r="J36" s="8">
        <v>42.711488568851301</v>
      </c>
      <c r="K36" s="7"/>
      <c r="L36" s="8" t="s">
        <v>10</v>
      </c>
      <c r="M36" s="7"/>
      <c r="N36" s="8" t="s">
        <v>10</v>
      </c>
      <c r="O36" s="78">
        <f t="shared" si="0"/>
        <v>102.75545014588971</v>
      </c>
      <c r="P36" s="110">
        <f>SUM(O30:O36)</f>
        <v>16548.3882899282</v>
      </c>
    </row>
    <row r="37" spans="1:16" x14ac:dyDescent="0.25">
      <c r="A37" s="76"/>
      <c r="B37" s="7"/>
      <c r="C37" s="12"/>
      <c r="D37" s="4"/>
      <c r="E37" s="75"/>
      <c r="G37" s="7"/>
      <c r="I37" s="7"/>
      <c r="K37" s="7"/>
      <c r="M37" s="7"/>
      <c r="N37" s="8"/>
      <c r="O37" s="78"/>
      <c r="P37" s="19"/>
    </row>
    <row r="38" spans="1:16" x14ac:dyDescent="0.25">
      <c r="A38" s="76">
        <v>45638</v>
      </c>
      <c r="B38" s="7" t="s">
        <v>22</v>
      </c>
      <c r="C38" s="12">
        <v>0.66666666666666663</v>
      </c>
      <c r="D38" s="4">
        <v>-0.48</v>
      </c>
      <c r="E38" s="75"/>
      <c r="F38" s="8">
        <f>177.219544662359+375.215165392126</f>
        <v>552.43471005448498</v>
      </c>
      <c r="G38" s="7"/>
      <c r="H38" s="8">
        <v>850.62083798732999</v>
      </c>
      <c r="I38" s="7"/>
      <c r="J38" s="8">
        <v>961.07791632396004</v>
      </c>
      <c r="K38" s="7"/>
      <c r="L38" s="8" t="s">
        <v>10</v>
      </c>
      <c r="M38" s="7"/>
      <c r="N38" s="8" t="s">
        <v>10</v>
      </c>
      <c r="O38" s="78">
        <f t="shared" si="0"/>
        <v>2364.1334643657751</v>
      </c>
      <c r="P38" s="19"/>
    </row>
    <row r="39" spans="1:16" x14ac:dyDescent="0.25">
      <c r="A39" s="76">
        <v>45639</v>
      </c>
      <c r="B39" s="7" t="s">
        <v>18</v>
      </c>
      <c r="C39" s="12">
        <v>0.70138888888888884</v>
      </c>
      <c r="D39" s="4">
        <v>-1.17</v>
      </c>
      <c r="E39" s="75"/>
      <c r="F39" s="8">
        <f>(177.219544662359/375.215165392126*435.162530366129)+435.162530366129</f>
        <v>640.69608177525265</v>
      </c>
      <c r="G39" s="7" t="s">
        <v>63</v>
      </c>
      <c r="H39" s="8">
        <f>H43/L43*L39</f>
        <v>629.17390301336843</v>
      </c>
      <c r="I39" s="7"/>
      <c r="J39" s="8" t="s">
        <v>10</v>
      </c>
      <c r="K39" s="7"/>
      <c r="L39" s="8">
        <v>593.33638021615502</v>
      </c>
      <c r="M39" s="7"/>
      <c r="N39" s="8" t="s">
        <v>10</v>
      </c>
      <c r="O39" s="78">
        <f t="shared" si="0"/>
        <v>1863.206365004776</v>
      </c>
      <c r="P39" s="19"/>
    </row>
    <row r="40" spans="1:16" x14ac:dyDescent="0.25">
      <c r="A40" s="76">
        <v>45640</v>
      </c>
      <c r="B40" s="7" t="s">
        <v>19</v>
      </c>
      <c r="C40" s="12">
        <v>0.73333333333333339</v>
      </c>
      <c r="D40" s="4">
        <v>-1.55</v>
      </c>
      <c r="E40" s="75" t="s">
        <v>63</v>
      </c>
      <c r="F40" s="8">
        <f>F39/L39*L40</f>
        <v>1422.6126156147175</v>
      </c>
      <c r="G40" s="7" t="s">
        <v>63</v>
      </c>
      <c r="H40" s="8">
        <f>H43/L43*L40</f>
        <v>1397.0285714285778</v>
      </c>
      <c r="I40" s="7"/>
      <c r="J40" s="8" t="s">
        <v>10</v>
      </c>
      <c r="K40" s="7"/>
      <c r="L40" s="8">
        <v>1317.4543185278401</v>
      </c>
      <c r="M40" s="7"/>
      <c r="N40" s="8" t="s">
        <v>10</v>
      </c>
      <c r="O40" s="78">
        <f t="shared" si="0"/>
        <v>4137.0955055711356</v>
      </c>
      <c r="P40" s="19"/>
    </row>
    <row r="41" spans="1:16" x14ac:dyDescent="0.25">
      <c r="A41" s="76">
        <v>45641</v>
      </c>
      <c r="B41" s="7" t="s">
        <v>20</v>
      </c>
      <c r="C41" s="12">
        <v>0.76458333333333339</v>
      </c>
      <c r="D41" s="4">
        <v>-1.63</v>
      </c>
      <c r="E41" s="75" t="s">
        <v>63</v>
      </c>
      <c r="F41" s="8">
        <f>F42/J42*J41</f>
        <v>370.07761241122176</v>
      </c>
      <c r="G41" s="7"/>
      <c r="H41" s="8">
        <v>438.47676692540199</v>
      </c>
      <c r="I41" s="7"/>
      <c r="J41" s="8">
        <v>871.55055936808105</v>
      </c>
      <c r="K41" s="7"/>
      <c r="L41" s="8" t="s">
        <v>10</v>
      </c>
      <c r="M41" s="7"/>
      <c r="N41" s="8" t="s">
        <v>10</v>
      </c>
      <c r="O41" s="78">
        <f t="shared" si="0"/>
        <v>1680.1049387047046</v>
      </c>
      <c r="P41" s="19"/>
    </row>
    <row r="42" spans="1:16" x14ac:dyDescent="0.25">
      <c r="A42" s="76">
        <v>45642</v>
      </c>
      <c r="B42" s="7" t="s">
        <v>21</v>
      </c>
      <c r="C42" s="12">
        <v>0.79513888888888884</v>
      </c>
      <c r="D42" s="4">
        <v>-1.45</v>
      </c>
      <c r="E42" s="75"/>
      <c r="F42" s="8">
        <f>(177.219544662359/375.215165392126*109.670986193076)+109.670986193076</f>
        <v>161.47017777291788</v>
      </c>
      <c r="G42" s="7" t="s">
        <v>63</v>
      </c>
      <c r="H42" s="8">
        <f>H38/J38*J42</f>
        <v>336.56543736331895</v>
      </c>
      <c r="I42" s="7"/>
      <c r="J42" s="8">
        <v>380.27002725815998</v>
      </c>
      <c r="K42" s="7"/>
      <c r="L42" s="8" t="s">
        <v>10</v>
      </c>
      <c r="M42" s="7"/>
      <c r="N42" s="8" t="s">
        <v>10</v>
      </c>
      <c r="O42" s="78">
        <f t="shared" si="0"/>
        <v>878.30564239439684</v>
      </c>
      <c r="P42" s="19"/>
    </row>
    <row r="43" spans="1:16" x14ac:dyDescent="0.25">
      <c r="A43" s="76">
        <v>45643</v>
      </c>
      <c r="B43" s="7" t="s">
        <v>61</v>
      </c>
      <c r="C43" s="12">
        <v>0.82500000000000007</v>
      </c>
      <c r="D43" s="4">
        <v>-1.05</v>
      </c>
      <c r="E43" s="75" t="s">
        <v>63</v>
      </c>
      <c r="F43" s="8">
        <f>F39/L39*L43</f>
        <v>30.549395582367605</v>
      </c>
      <c r="G43" s="7"/>
      <c r="H43" s="8">
        <v>30</v>
      </c>
      <c r="I43" s="7"/>
      <c r="J43" s="8" t="s">
        <v>10</v>
      </c>
      <c r="K43" s="7"/>
      <c r="L43" s="8">
        <v>28.291210619564499</v>
      </c>
      <c r="M43" s="7"/>
      <c r="N43" s="8" t="s">
        <v>10</v>
      </c>
      <c r="O43" s="78">
        <f t="shared" si="0"/>
        <v>88.840606201932104</v>
      </c>
      <c r="P43" s="19"/>
    </row>
    <row r="44" spans="1:16" x14ac:dyDescent="0.25">
      <c r="A44" s="76">
        <v>45644</v>
      </c>
      <c r="B44" s="7" t="s">
        <v>62</v>
      </c>
      <c r="C44" s="12">
        <v>0.85486111111111107</v>
      </c>
      <c r="D44" s="4">
        <v>-0.51</v>
      </c>
      <c r="E44" s="75" t="s">
        <v>63</v>
      </c>
      <c r="F44" s="8">
        <f>F38/H38*H44</f>
        <v>87.594255899202906</v>
      </c>
      <c r="G44" s="7"/>
      <c r="H44" s="8">
        <v>134.87476076314601</v>
      </c>
      <c r="I44" s="7"/>
      <c r="J44" s="8" t="s">
        <v>10</v>
      </c>
      <c r="K44" s="7" t="s">
        <v>63</v>
      </c>
      <c r="L44" s="8">
        <f>L43/H43*H44</f>
        <v>127.19234213378458</v>
      </c>
      <c r="M44" s="7"/>
      <c r="N44" s="8" t="s">
        <v>10</v>
      </c>
      <c r="O44" s="78">
        <f t="shared" si="0"/>
        <v>349.66135879613347</v>
      </c>
      <c r="P44" s="110">
        <f>SUM(O38:O44)</f>
        <v>11361.347881038851</v>
      </c>
    </row>
    <row r="45" spans="1:16" x14ac:dyDescent="0.25">
      <c r="A45" s="76"/>
      <c r="B45" s="7"/>
      <c r="C45" s="12"/>
      <c r="D45" s="4"/>
      <c r="E45" s="75"/>
      <c r="G45" s="7"/>
      <c r="I45" s="7"/>
      <c r="K45" s="7"/>
      <c r="M45" s="7"/>
      <c r="N45" s="8"/>
      <c r="O45" s="78"/>
      <c r="P45" s="19"/>
    </row>
    <row r="46" spans="1:16" x14ac:dyDescent="0.25">
      <c r="A46" s="76">
        <v>45654</v>
      </c>
      <c r="B46" s="7" t="s">
        <v>19</v>
      </c>
      <c r="C46" s="12">
        <v>0.70694444444444438</v>
      </c>
      <c r="D46" s="4">
        <v>-0.03</v>
      </c>
      <c r="E46" s="75"/>
      <c r="F46" s="8">
        <f>(574.673086575028/511.6289603577*543.765915741497)+543.765915741497</f>
        <v>1154.5359490777455</v>
      </c>
      <c r="G46" s="7"/>
      <c r="H46" s="8">
        <v>1237.26688661703</v>
      </c>
      <c r="I46" s="7"/>
      <c r="J46" s="8">
        <v>2133.0631239579998</v>
      </c>
      <c r="K46" s="7"/>
      <c r="L46" s="8" t="s">
        <v>10</v>
      </c>
      <c r="M46" s="7"/>
      <c r="N46" s="8" t="s">
        <v>10</v>
      </c>
      <c r="O46" s="78">
        <f t="shared" si="0"/>
        <v>4524.865959652775</v>
      </c>
      <c r="P46" s="19"/>
    </row>
    <row r="47" spans="1:16" x14ac:dyDescent="0.25">
      <c r="A47" s="76">
        <v>45655</v>
      </c>
      <c r="B47" s="7" t="s">
        <v>20</v>
      </c>
      <c r="C47" s="12">
        <v>0.73333333333333339</v>
      </c>
      <c r="D47" s="4">
        <v>-0.44</v>
      </c>
      <c r="E47" s="75" t="s">
        <v>63</v>
      </c>
      <c r="F47" s="8">
        <f>F51/H51*H47</f>
        <v>823.4475149410024</v>
      </c>
      <c r="G47" s="7"/>
      <c r="H47" s="8">
        <v>903.24667331370404</v>
      </c>
      <c r="I47" s="7"/>
      <c r="J47" s="8" t="s">
        <v>10</v>
      </c>
      <c r="K47" s="7"/>
      <c r="L47" s="8">
        <v>1369.3868331845899</v>
      </c>
      <c r="M47" s="7"/>
      <c r="N47" s="8" t="s">
        <v>10</v>
      </c>
      <c r="O47" s="78">
        <f t="shared" si="0"/>
        <v>3096.0810214392964</v>
      </c>
      <c r="P47" s="19"/>
    </row>
    <row r="48" spans="1:16" x14ac:dyDescent="0.25">
      <c r="A48" s="76">
        <v>45656</v>
      </c>
      <c r="B48" s="7" t="s">
        <v>21</v>
      </c>
      <c r="C48" s="12">
        <v>0.7597222222222223</v>
      </c>
      <c r="D48" s="4">
        <v>-0.74</v>
      </c>
      <c r="E48" s="75"/>
      <c r="F48" s="8">
        <f>574.673086575028+511.6289603577</f>
        <v>1086.302046932728</v>
      </c>
      <c r="G48" s="7" t="s">
        <v>63</v>
      </c>
      <c r="H48" s="8">
        <f>H51/L51*L48</f>
        <v>1153.2393207440152</v>
      </c>
      <c r="I48" s="7"/>
      <c r="J48" s="8" t="s">
        <v>10</v>
      </c>
      <c r="K48" s="7"/>
      <c r="L48" s="8">
        <v>894.00225557823899</v>
      </c>
      <c r="M48" s="7"/>
      <c r="N48" s="8" t="s">
        <v>10</v>
      </c>
      <c r="O48" s="78">
        <f t="shared" si="0"/>
        <v>3133.5436232549819</v>
      </c>
      <c r="P48" s="19"/>
    </row>
    <row r="49" spans="1:16" x14ac:dyDescent="0.25">
      <c r="A49" s="76">
        <v>45657</v>
      </c>
      <c r="B49" s="7" t="s">
        <v>61</v>
      </c>
      <c r="C49" s="12">
        <v>0.78541666666666676</v>
      </c>
      <c r="D49" s="4">
        <v>-0.95</v>
      </c>
      <c r="E49" s="75" t="s">
        <v>63</v>
      </c>
      <c r="F49" s="8">
        <f>F46/J46*J49</f>
        <v>787.77139887760359</v>
      </c>
      <c r="G49" s="7" t="s">
        <v>63</v>
      </c>
      <c r="H49" s="8">
        <f>H46/J46*J49</f>
        <v>844.2209762578824</v>
      </c>
      <c r="I49" s="7"/>
      <c r="J49" s="8">
        <v>1455.44720577728</v>
      </c>
      <c r="K49" s="7"/>
      <c r="L49" s="8" t="s">
        <v>10</v>
      </c>
      <c r="M49" s="7"/>
      <c r="N49" s="8" t="s">
        <v>10</v>
      </c>
      <c r="O49" s="78">
        <f t="shared" si="0"/>
        <v>3087.4395809127659</v>
      </c>
      <c r="P49" s="19"/>
    </row>
    <row r="50" spans="1:16" x14ac:dyDescent="0.25">
      <c r="A50" s="76">
        <v>45658</v>
      </c>
      <c r="B50" s="7" t="s">
        <v>62</v>
      </c>
      <c r="C50" s="12">
        <v>0.81180555555555556</v>
      </c>
      <c r="D50" s="4">
        <v>-0.95</v>
      </c>
      <c r="E50" s="75" t="s">
        <v>63</v>
      </c>
      <c r="F50" s="8">
        <f>F46/J46*J50</f>
        <v>696.90379954562184</v>
      </c>
      <c r="G50" s="7" t="s">
        <v>63</v>
      </c>
      <c r="H50" s="8">
        <f>H46/J46*J50</f>
        <v>746.8420494174901</v>
      </c>
      <c r="I50" s="7"/>
      <c r="J50" s="8">
        <v>1287.5647544318099</v>
      </c>
      <c r="K50" s="7"/>
      <c r="L50" s="8" t="s">
        <v>10</v>
      </c>
      <c r="M50" s="7"/>
      <c r="N50" s="8" t="s">
        <v>10</v>
      </c>
      <c r="O50" s="78">
        <f t="shared" si="0"/>
        <v>2731.3106033949216</v>
      </c>
      <c r="P50" s="19"/>
    </row>
    <row r="51" spans="1:16" x14ac:dyDescent="0.25">
      <c r="A51" s="76">
        <v>45659</v>
      </c>
      <c r="B51" s="7" t="s">
        <v>22</v>
      </c>
      <c r="C51" s="12">
        <v>0.83888888888888891</v>
      </c>
      <c r="D51" s="4">
        <v>-0.75</v>
      </c>
      <c r="E51" s="75"/>
      <c r="F51" s="8">
        <f>(574.673086575028/511.6289603577*96.145039530306)+96.145039530306</f>
        <v>204.13729741017698</v>
      </c>
      <c r="G51" s="7"/>
      <c r="H51" s="8">
        <v>223.91996021531901</v>
      </c>
      <c r="I51" s="7"/>
      <c r="J51" s="8" t="s">
        <v>10</v>
      </c>
      <c r="K51" s="7"/>
      <c r="L51" s="8">
        <v>173.584915030763</v>
      </c>
      <c r="M51" s="7"/>
      <c r="N51" s="8" t="s">
        <v>10</v>
      </c>
      <c r="O51" s="78">
        <f t="shared" si="0"/>
        <v>601.64217265625894</v>
      </c>
      <c r="P51" s="19"/>
    </row>
    <row r="52" spans="1:16" x14ac:dyDescent="0.25">
      <c r="A52" s="76">
        <v>45660</v>
      </c>
      <c r="B52" s="7" t="s">
        <v>18</v>
      </c>
      <c r="C52" s="12">
        <v>0.8666666666666667</v>
      </c>
      <c r="D52" s="4">
        <v>-0.34</v>
      </c>
      <c r="E52" s="75" t="s">
        <v>63</v>
      </c>
      <c r="F52" s="8">
        <f>F51/L51*L52</f>
        <v>197.40614115889332</v>
      </c>
      <c r="G52" s="7" t="s">
        <v>63</v>
      </c>
      <c r="H52" s="8">
        <f>H51/L51*L52</f>
        <v>216.53649693294778</v>
      </c>
      <c r="I52" s="7"/>
      <c r="J52" s="8" t="s">
        <v>10</v>
      </c>
      <c r="K52" s="7"/>
      <c r="L52" s="8">
        <v>167.86118300941601</v>
      </c>
      <c r="M52" s="7"/>
      <c r="N52" s="8" t="s">
        <v>10</v>
      </c>
      <c r="O52" s="78">
        <f t="shared" si="0"/>
        <v>581.80382110125709</v>
      </c>
      <c r="P52" s="110">
        <f>SUM(O46:O52)</f>
        <v>17756.686782412256</v>
      </c>
    </row>
    <row r="53" spans="1:16" x14ac:dyDescent="0.25">
      <c r="A53" s="76"/>
      <c r="B53" s="7"/>
      <c r="C53" s="12"/>
      <c r="D53" s="4"/>
      <c r="E53" s="75"/>
      <c r="G53" s="7"/>
      <c r="I53" s="7"/>
      <c r="K53" s="7"/>
      <c r="M53" s="7"/>
      <c r="N53" s="8"/>
      <c r="O53" s="78"/>
      <c r="P53" s="19"/>
    </row>
    <row r="54" spans="1:16" x14ac:dyDescent="0.25">
      <c r="A54" s="76">
        <v>45667</v>
      </c>
      <c r="B54" s="7" t="s">
        <v>18</v>
      </c>
      <c r="C54" s="12">
        <v>0.65763888888888888</v>
      </c>
      <c r="D54" s="4">
        <v>-0.31</v>
      </c>
      <c r="E54" s="75"/>
      <c r="F54" s="8">
        <f>342.579125071322+473.730817206865</f>
        <v>816.30994227818701</v>
      </c>
      <c r="G54" s="7" t="s">
        <v>63</v>
      </c>
      <c r="H54" s="8">
        <f>H55/L55*L54</f>
        <v>1207.3884132681139</v>
      </c>
      <c r="I54" s="7"/>
      <c r="J54" s="8" t="s">
        <v>10</v>
      </c>
      <c r="K54" s="7"/>
      <c r="L54" s="8">
        <v>1150.13837356557</v>
      </c>
      <c r="M54" s="7"/>
      <c r="N54" s="8" t="s">
        <v>10</v>
      </c>
      <c r="O54" s="78">
        <f t="shared" si="0"/>
        <v>3173.8367291118711</v>
      </c>
      <c r="P54" s="19"/>
    </row>
    <row r="55" spans="1:16" x14ac:dyDescent="0.25">
      <c r="A55" s="76">
        <v>45668</v>
      </c>
      <c r="B55" s="7" t="s">
        <v>19</v>
      </c>
      <c r="C55" s="12">
        <v>0.69374999999999998</v>
      </c>
      <c r="D55" s="4">
        <v>-0.76</v>
      </c>
      <c r="E55" s="75"/>
      <c r="F55" s="8">
        <f>(342.579125071322/473.730817206865*2094.68829878014)+2094.68829878014</f>
        <v>3609.4651691644913</v>
      </c>
      <c r="G55" s="7"/>
      <c r="H55" s="8">
        <v>3202.28647230664</v>
      </c>
      <c r="I55" s="7"/>
      <c r="J55" s="8" t="s">
        <v>10</v>
      </c>
      <c r="K55" s="7"/>
      <c r="L55" s="8">
        <v>3050.4455024382601</v>
      </c>
      <c r="M55" s="7"/>
      <c r="N55" s="8" t="s">
        <v>10</v>
      </c>
      <c r="O55" s="78">
        <f t="shared" si="0"/>
        <v>9862.1971439093923</v>
      </c>
      <c r="P55" s="19"/>
    </row>
    <row r="56" spans="1:16" x14ac:dyDescent="0.25">
      <c r="A56" s="76">
        <v>45669</v>
      </c>
      <c r="B56" s="7" t="s">
        <v>20</v>
      </c>
      <c r="C56" s="12">
        <v>0.7270833333333333</v>
      </c>
      <c r="D56" s="4">
        <v>-1.02</v>
      </c>
      <c r="E56" s="75" t="s">
        <v>63</v>
      </c>
      <c r="F56" s="8">
        <f>F55/H55*H56</f>
        <v>2267.4424087096654</v>
      </c>
      <c r="G56" s="7"/>
      <c r="H56" s="8">
        <v>2011.6554148176201</v>
      </c>
      <c r="I56" s="7"/>
      <c r="J56" s="8">
        <v>2864.4527853311401</v>
      </c>
      <c r="K56" s="7"/>
      <c r="L56" s="8" t="s">
        <v>10</v>
      </c>
      <c r="M56" s="7"/>
      <c r="N56" s="8" t="s">
        <v>10</v>
      </c>
      <c r="O56" s="78">
        <f t="shared" si="0"/>
        <v>7143.5506088584252</v>
      </c>
      <c r="P56" s="19"/>
    </row>
    <row r="57" spans="1:16" x14ac:dyDescent="0.25">
      <c r="A57" s="76">
        <v>45670</v>
      </c>
      <c r="B57" s="7" t="s">
        <v>21</v>
      </c>
      <c r="C57" s="12">
        <v>0.75694444444444453</v>
      </c>
      <c r="D57" s="4">
        <v>-1.07</v>
      </c>
      <c r="E57" s="75" t="s">
        <v>63</v>
      </c>
      <c r="F57" s="8">
        <f>F56/J56*J57</f>
        <v>948.66876683318014</v>
      </c>
      <c r="G57" s="7" t="s">
        <v>63</v>
      </c>
      <c r="H57" s="8">
        <f>H56/J56*J57</f>
        <v>841.65077548952263</v>
      </c>
      <c r="I57" s="7"/>
      <c r="J57" s="8">
        <v>1198.4502367397999</v>
      </c>
      <c r="K57" s="7"/>
      <c r="L57" s="8" t="s">
        <v>10</v>
      </c>
      <c r="M57" s="7"/>
      <c r="N57" s="8" t="s">
        <v>10</v>
      </c>
      <c r="O57" s="78">
        <f t="shared" si="0"/>
        <v>2988.7697790625025</v>
      </c>
      <c r="P57" s="19"/>
    </row>
    <row r="58" spans="1:16" x14ac:dyDescent="0.25">
      <c r="A58" s="76">
        <v>45671</v>
      </c>
      <c r="B58" s="7" t="s">
        <v>61</v>
      </c>
      <c r="C58" s="12">
        <v>0.78472222222222221</v>
      </c>
      <c r="D58" s="4">
        <v>-0.93</v>
      </c>
      <c r="E58" s="75" t="s">
        <v>63</v>
      </c>
      <c r="F58" s="8">
        <f>F54/L54*L58</f>
        <v>186.54492087937632</v>
      </c>
      <c r="G58" s="7" t="s">
        <v>63</v>
      </c>
      <c r="H58" s="8">
        <f>H55/L55*L58</f>
        <v>275.91502241806592</v>
      </c>
      <c r="I58" s="7"/>
      <c r="J58" s="8" t="s">
        <v>10</v>
      </c>
      <c r="K58" s="7"/>
      <c r="L58" s="8">
        <v>262.83211900904098</v>
      </c>
      <c r="M58" s="7"/>
      <c r="N58" s="8" t="s">
        <v>10</v>
      </c>
      <c r="O58" s="78">
        <f t="shared" si="0"/>
        <v>725.29206230648322</v>
      </c>
      <c r="P58" s="19"/>
    </row>
    <row r="59" spans="1:16" x14ac:dyDescent="0.25">
      <c r="A59" s="76">
        <v>45672</v>
      </c>
      <c r="B59" s="7" t="s">
        <v>62</v>
      </c>
      <c r="C59" s="12">
        <v>0.81111111111111101</v>
      </c>
      <c r="D59" s="4">
        <v>-0.62</v>
      </c>
      <c r="E59" s="75"/>
      <c r="F59" s="8">
        <f>62.8272236146731+29.6856821450012</f>
        <v>92.512905759674297</v>
      </c>
      <c r="G59" s="7"/>
      <c r="H59" s="8">
        <v>219.953584108445</v>
      </c>
      <c r="I59" s="7"/>
      <c r="J59" s="8" t="s">
        <v>10</v>
      </c>
      <c r="K59" s="7"/>
      <c r="L59" s="8">
        <v>186.21634086783899</v>
      </c>
      <c r="M59" s="7"/>
      <c r="N59" s="8" t="s">
        <v>10</v>
      </c>
      <c r="O59" s="78">
        <f t="shared" si="0"/>
        <v>498.68283073595831</v>
      </c>
      <c r="P59" s="19"/>
    </row>
    <row r="60" spans="1:16" x14ac:dyDescent="0.25">
      <c r="A60" s="76">
        <v>45673</v>
      </c>
      <c r="B60" s="7" t="s">
        <v>22</v>
      </c>
      <c r="C60" s="12">
        <v>0.8354166666666667</v>
      </c>
      <c r="D60" s="4">
        <v>-0.16</v>
      </c>
      <c r="E60" s="75" t="s">
        <v>63</v>
      </c>
      <c r="F60" s="8">
        <f>F56/J56*J60</f>
        <v>121.08223544104104</v>
      </c>
      <c r="G60" s="7" t="s">
        <v>63</v>
      </c>
      <c r="H60" s="8">
        <f>H56/J56*J60</f>
        <v>107.42311850019772</v>
      </c>
      <c r="I60" s="7"/>
      <c r="J60" s="8">
        <v>152.96280303788799</v>
      </c>
      <c r="K60" s="7"/>
      <c r="L60" s="8" t="s">
        <v>10</v>
      </c>
      <c r="M60" s="7"/>
      <c r="N60" s="8" t="s">
        <v>10</v>
      </c>
      <c r="O60" s="78">
        <f t="shared" si="0"/>
        <v>381.46815697912677</v>
      </c>
      <c r="P60" s="110">
        <f>SUM(O54:O60)</f>
        <v>24773.797310963761</v>
      </c>
    </row>
    <row r="61" spans="1:16" x14ac:dyDescent="0.25">
      <c r="A61" s="76"/>
      <c r="B61" s="7"/>
      <c r="C61" s="12"/>
      <c r="D61" s="4"/>
      <c r="E61" s="75"/>
      <c r="G61" s="7"/>
      <c r="I61" s="7"/>
      <c r="K61" s="7"/>
      <c r="M61" s="7"/>
      <c r="N61" s="8"/>
      <c r="O61" s="78"/>
      <c r="P61" s="19"/>
    </row>
    <row r="62" spans="1:16" x14ac:dyDescent="0.25">
      <c r="A62" s="76">
        <v>45683</v>
      </c>
      <c r="B62" s="7" t="s">
        <v>20</v>
      </c>
      <c r="C62" s="12">
        <v>0.69027777777777777</v>
      </c>
      <c r="D62" s="4">
        <v>7.0000000000000007E-2</v>
      </c>
      <c r="E62" s="75" t="s">
        <v>63</v>
      </c>
      <c r="F62" s="8">
        <f>F63/L63*L62</f>
        <v>1742.5633539791411</v>
      </c>
      <c r="G62" s="7"/>
      <c r="H62" s="8">
        <v>2096.57018316427</v>
      </c>
      <c r="I62" s="7"/>
      <c r="J62" s="8" t="s">
        <v>10</v>
      </c>
      <c r="K62" s="7"/>
      <c r="L62" s="8">
        <v>1468.53730707412</v>
      </c>
      <c r="M62" s="7"/>
      <c r="N62" s="8" t="s">
        <v>10</v>
      </c>
      <c r="O62" s="78">
        <f t="shared" si="0"/>
        <v>5307.6708442175313</v>
      </c>
      <c r="P62" s="19"/>
    </row>
    <row r="63" spans="1:16" x14ac:dyDescent="0.25">
      <c r="A63" s="76">
        <v>45684</v>
      </c>
      <c r="B63" s="7" t="s">
        <v>21</v>
      </c>
      <c r="C63" s="12">
        <v>0.71875</v>
      </c>
      <c r="D63" s="4">
        <v>-0.44</v>
      </c>
      <c r="E63" s="75"/>
      <c r="F63" s="8">
        <f>(704.979484640554/724.999996913331*540.243555456005)+540.243555456005</f>
        <v>1065.568555355673</v>
      </c>
      <c r="G63" s="7" t="s">
        <v>63</v>
      </c>
      <c r="H63" s="8">
        <f>H62/L62*L63</f>
        <v>1282.0419161086477</v>
      </c>
      <c r="I63" s="7"/>
      <c r="J63" s="8" t="s">
        <v>10</v>
      </c>
      <c r="K63" s="7"/>
      <c r="L63" s="8">
        <v>898.00303283757205</v>
      </c>
      <c r="M63" s="7"/>
      <c r="N63" s="8" t="s">
        <v>10</v>
      </c>
      <c r="O63" s="78">
        <f t="shared" si="0"/>
        <v>3245.6135043018926</v>
      </c>
      <c r="P63" s="19"/>
    </row>
    <row r="64" spans="1:16" x14ac:dyDescent="0.25">
      <c r="A64" s="76">
        <v>45685</v>
      </c>
      <c r="B64" s="7" t="s">
        <v>61</v>
      </c>
      <c r="C64" s="12">
        <v>0.74583333333333324</v>
      </c>
      <c r="D64" s="4">
        <v>-0.82</v>
      </c>
      <c r="E64" s="75" t="s">
        <v>63</v>
      </c>
      <c r="F64" s="8">
        <f>F65/J65*J64</f>
        <v>1778.8139128287196</v>
      </c>
      <c r="G64" s="7" t="s">
        <v>63</v>
      </c>
      <c r="H64" s="8">
        <f>H65/J65*J64</f>
        <v>878.35495379860515</v>
      </c>
      <c r="I64" s="7"/>
      <c r="J64" s="8">
        <v>1139.4029253117301</v>
      </c>
      <c r="K64" s="7"/>
      <c r="L64" s="8" t="s">
        <v>10</v>
      </c>
      <c r="M64" s="7"/>
      <c r="N64" s="8" t="s">
        <v>10</v>
      </c>
      <c r="O64" s="78">
        <f t="shared" si="0"/>
        <v>3796.5717919390549</v>
      </c>
      <c r="P64" s="19"/>
    </row>
    <row r="65" spans="1:16" x14ac:dyDescent="0.25">
      <c r="A65" s="76">
        <v>45686</v>
      </c>
      <c r="B65" s="7" t="s">
        <v>62</v>
      </c>
      <c r="C65" s="12">
        <v>0.7715277777777777</v>
      </c>
      <c r="D65" s="4">
        <v>-1.01</v>
      </c>
      <c r="E65" s="75"/>
      <c r="F65" s="8">
        <f>704.979484640554+724.999996913331</f>
        <v>1429.9794815538849</v>
      </c>
      <c r="G65" s="7"/>
      <c r="H65" s="8">
        <v>706.10509193502003</v>
      </c>
      <c r="I65" s="7"/>
      <c r="J65" s="8">
        <v>915.96023207804399</v>
      </c>
      <c r="K65" s="7"/>
      <c r="L65" s="8" t="s">
        <v>10</v>
      </c>
      <c r="M65" s="7"/>
      <c r="N65" s="8" t="s">
        <v>10</v>
      </c>
      <c r="O65" s="78">
        <f t="shared" si="0"/>
        <v>3052.044805566949</v>
      </c>
      <c r="P65" s="19"/>
    </row>
    <row r="66" spans="1:16" x14ac:dyDescent="0.25">
      <c r="A66" s="76">
        <v>45687</v>
      </c>
      <c r="B66" s="7" t="s">
        <v>22</v>
      </c>
      <c r="C66" s="12">
        <v>0.79652777777777783</v>
      </c>
      <c r="D66" s="4">
        <v>-0.97</v>
      </c>
      <c r="E66" s="75" t="s">
        <v>63</v>
      </c>
      <c r="F66" s="8">
        <f>F63/L63*L66</f>
        <v>187.5776260061179</v>
      </c>
      <c r="G66" s="7" t="s">
        <v>63</v>
      </c>
      <c r="H66" s="8">
        <f>H62/L62*L66</f>
        <v>225.68456797575524</v>
      </c>
      <c r="I66" s="7"/>
      <c r="J66" s="8" t="s">
        <v>10</v>
      </c>
      <c r="K66" s="7"/>
      <c r="L66" s="8">
        <v>158.08018751993001</v>
      </c>
      <c r="M66" s="7"/>
      <c r="N66" s="8" t="s">
        <v>10</v>
      </c>
      <c r="O66" s="78">
        <f t="shared" ref="O66:O125" si="1">SUM(F66:N66)</f>
        <v>571.34238150180317</v>
      </c>
      <c r="P66" s="19"/>
    </row>
    <row r="67" spans="1:16" x14ac:dyDescent="0.25">
      <c r="A67" s="76">
        <v>45688</v>
      </c>
      <c r="B67" s="7" t="s">
        <v>18</v>
      </c>
      <c r="C67" s="12">
        <v>0.8222222222222223</v>
      </c>
      <c r="D67" s="4">
        <v>-0.66</v>
      </c>
      <c r="E67" s="75"/>
      <c r="F67" s="8">
        <f>(704.979484640554/724.999996913331*92.9112175899746)+92.9112175899746</f>
        <v>183.25673838000685</v>
      </c>
      <c r="G67" s="7" t="s">
        <v>63</v>
      </c>
      <c r="H67" s="8">
        <f>H62/L62*L67</f>
        <v>587.18599854487661</v>
      </c>
      <c r="I67" s="7"/>
      <c r="J67" s="8" t="s">
        <v>10</v>
      </c>
      <c r="K67" s="7"/>
      <c r="L67" s="8">
        <v>411.29295454983497</v>
      </c>
      <c r="M67" s="7"/>
      <c r="N67" s="8" t="s">
        <v>10</v>
      </c>
      <c r="O67" s="78">
        <f t="shared" si="1"/>
        <v>1181.7356914747184</v>
      </c>
      <c r="P67" s="19"/>
    </row>
    <row r="68" spans="1:16" x14ac:dyDescent="0.25">
      <c r="A68" s="76">
        <v>45689</v>
      </c>
      <c r="B68" s="7" t="s">
        <v>19</v>
      </c>
      <c r="C68" s="12">
        <v>0.84791666666666676</v>
      </c>
      <c r="D68" s="4">
        <v>-0.09</v>
      </c>
      <c r="E68" s="75" t="s">
        <v>63</v>
      </c>
      <c r="F68" s="8">
        <f>F65/H65*H68</f>
        <v>449.95200234767839</v>
      </c>
      <c r="G68" s="7"/>
      <c r="H68" s="8">
        <v>222.18039075554501</v>
      </c>
      <c r="I68" s="7"/>
      <c r="J68" s="8">
        <v>472.58195416503202</v>
      </c>
      <c r="K68" s="7"/>
      <c r="L68" s="8" t="s">
        <v>10</v>
      </c>
      <c r="M68" s="7"/>
      <c r="N68" s="8" t="s">
        <v>10</v>
      </c>
      <c r="O68" s="78">
        <f t="shared" si="1"/>
        <v>1144.7143472682556</v>
      </c>
      <c r="P68" s="110">
        <f>SUM(O62:O68)</f>
        <v>18299.693366270207</v>
      </c>
    </row>
    <row r="69" spans="1:16" x14ac:dyDescent="0.25">
      <c r="A69" s="76"/>
      <c r="B69" s="7"/>
      <c r="C69" s="12"/>
      <c r="D69" s="4"/>
      <c r="E69" s="75"/>
      <c r="G69" s="7"/>
      <c r="I69" s="7"/>
      <c r="K69" s="7"/>
      <c r="M69" s="7"/>
      <c r="N69" s="8"/>
      <c r="O69" s="78"/>
      <c r="P69" s="19"/>
    </row>
    <row r="70" spans="1:16" x14ac:dyDescent="0.25">
      <c r="A70" s="76">
        <v>45696</v>
      </c>
      <c r="B70" s="7" t="s">
        <v>19</v>
      </c>
      <c r="C70" s="12">
        <v>0.65</v>
      </c>
      <c r="D70" s="4">
        <v>0.05</v>
      </c>
      <c r="E70" s="75" t="s">
        <v>63</v>
      </c>
      <c r="F70" s="8">
        <f>F73/H73*H70</f>
        <v>1408.0854761438943</v>
      </c>
      <c r="G70" s="7"/>
      <c r="H70" s="8">
        <v>1739.2333866361901</v>
      </c>
      <c r="I70" s="7"/>
      <c r="J70" s="8" t="s">
        <v>10</v>
      </c>
      <c r="K70" s="7"/>
      <c r="L70" s="8">
        <v>1552.90234356928</v>
      </c>
      <c r="M70" s="7"/>
      <c r="N70" s="8" t="s">
        <v>10</v>
      </c>
      <c r="O70" s="78">
        <f t="shared" si="1"/>
        <v>4700.2212063493644</v>
      </c>
      <c r="P70" s="19"/>
    </row>
    <row r="71" spans="1:16" x14ac:dyDescent="0.25">
      <c r="A71" s="76">
        <v>45697</v>
      </c>
      <c r="B71" s="7" t="s">
        <v>20</v>
      </c>
      <c r="C71" s="12">
        <v>0.68680555555555556</v>
      </c>
      <c r="D71" s="4">
        <v>-0.27</v>
      </c>
      <c r="E71" s="75" t="s">
        <v>63</v>
      </c>
      <c r="F71" s="8">
        <f>F72/J72*J71</f>
        <v>1013.1366263182578</v>
      </c>
      <c r="G71" s="7" t="s">
        <v>63</v>
      </c>
      <c r="H71" s="8">
        <f>H75/J75*J71</f>
        <v>1188.9391191671898</v>
      </c>
      <c r="I71" s="7"/>
      <c r="J71" s="8">
        <v>1220.3282448243201</v>
      </c>
      <c r="K71" s="7"/>
      <c r="L71" s="8" t="s">
        <v>10</v>
      </c>
      <c r="M71" s="7"/>
      <c r="N71" s="8" t="s">
        <v>10</v>
      </c>
      <c r="O71" s="78">
        <f t="shared" si="1"/>
        <v>3422.4039903097673</v>
      </c>
      <c r="P71" s="19"/>
    </row>
    <row r="72" spans="1:16" x14ac:dyDescent="0.25">
      <c r="A72" s="76">
        <v>45698</v>
      </c>
      <c r="B72" s="7" t="s">
        <v>21</v>
      </c>
      <c r="C72" s="12">
        <v>0.71875</v>
      </c>
      <c r="D72" s="4">
        <v>-0.46</v>
      </c>
      <c r="E72" s="75"/>
      <c r="F72" s="8">
        <f>(704.979484640554/724.999996913331*394.792030561078)+394.792030561078</f>
        <v>778.68207667154434</v>
      </c>
      <c r="G72" s="7" t="s">
        <v>63</v>
      </c>
      <c r="H72" s="8">
        <f>H75/J75*J72</f>
        <v>913.80131593260535</v>
      </c>
      <c r="I72" s="7"/>
      <c r="J72" s="8">
        <v>937.92654141223397</v>
      </c>
      <c r="K72" s="7"/>
      <c r="L72" s="8" t="s">
        <v>10</v>
      </c>
      <c r="M72" s="7"/>
      <c r="N72" s="8" t="s">
        <v>10</v>
      </c>
      <c r="O72" s="78">
        <f t="shared" si="1"/>
        <v>2630.4099340163839</v>
      </c>
      <c r="P72" s="19"/>
    </row>
    <row r="73" spans="1:16" x14ac:dyDescent="0.25">
      <c r="A73" s="76">
        <v>45699</v>
      </c>
      <c r="B73" s="7" t="s">
        <v>61</v>
      </c>
      <c r="C73" s="12">
        <v>0.74583333333333324</v>
      </c>
      <c r="D73" s="4">
        <v>-0.5</v>
      </c>
      <c r="E73" s="75"/>
      <c r="F73" s="8">
        <f>(724.999996913331/704.979484640554*226.825364591603)+226.825364591603</f>
        <v>460.09227832686469</v>
      </c>
      <c r="G73" s="7"/>
      <c r="H73" s="8">
        <v>568.29494015590501</v>
      </c>
      <c r="I73" s="7"/>
      <c r="J73" s="8" t="s">
        <v>10</v>
      </c>
      <c r="K73" s="7"/>
      <c r="L73" s="8">
        <v>303.05796651040498</v>
      </c>
      <c r="M73" s="7"/>
      <c r="N73" s="8" t="s">
        <v>10</v>
      </c>
      <c r="O73" s="78">
        <f t="shared" si="1"/>
        <v>1331.4451849931747</v>
      </c>
      <c r="P73" s="19"/>
    </row>
    <row r="74" spans="1:16" x14ac:dyDescent="0.25">
      <c r="A74" s="76">
        <v>45700</v>
      </c>
      <c r="B74" s="7" t="s">
        <v>62</v>
      </c>
      <c r="C74" s="12">
        <v>0.77013888888888893</v>
      </c>
      <c r="D74" s="4">
        <v>-0.37</v>
      </c>
      <c r="E74" s="75" t="s">
        <v>63</v>
      </c>
      <c r="F74" s="8">
        <f>F73/L73*L74</f>
        <v>413.59031445313178</v>
      </c>
      <c r="G74" s="7" t="s">
        <v>63</v>
      </c>
      <c r="H74" s="8">
        <f>H70/L70*L74</f>
        <v>305.1158988503916</v>
      </c>
      <c r="I74" s="7"/>
      <c r="J74" s="8" t="s">
        <v>10</v>
      </c>
      <c r="K74" s="7"/>
      <c r="L74" s="8">
        <v>272.42760978813499</v>
      </c>
      <c r="M74" s="7"/>
      <c r="N74" s="8" t="s">
        <v>10</v>
      </c>
      <c r="O74" s="78">
        <f t="shared" si="1"/>
        <v>991.13382309165831</v>
      </c>
      <c r="P74" s="19"/>
    </row>
    <row r="75" spans="1:16" x14ac:dyDescent="0.25">
      <c r="A75" s="76">
        <v>45701</v>
      </c>
      <c r="B75" s="7" t="s">
        <v>22</v>
      </c>
      <c r="C75" s="12">
        <v>0.79236111111111107</v>
      </c>
      <c r="D75" s="4">
        <v>-0.08</v>
      </c>
      <c r="E75" s="75" t="s">
        <v>63</v>
      </c>
      <c r="F75" s="8">
        <f>F72/J72*J75</f>
        <v>68.992292140569546</v>
      </c>
      <c r="G75" s="7"/>
      <c r="H75" s="8">
        <v>80.964040699054493</v>
      </c>
      <c r="I75" s="7"/>
      <c r="J75" s="8">
        <v>83.101568522171107</v>
      </c>
      <c r="K75" s="7"/>
      <c r="L75" s="8" t="s">
        <v>10</v>
      </c>
      <c r="M75" s="7"/>
      <c r="N75" s="8" t="s">
        <v>10</v>
      </c>
      <c r="O75" s="78">
        <f t="shared" si="1"/>
        <v>233.05790136179516</v>
      </c>
      <c r="P75" s="19"/>
    </row>
    <row r="76" spans="1:16" x14ac:dyDescent="0.25">
      <c r="A76" s="76">
        <v>45702</v>
      </c>
      <c r="B76" s="7" t="s">
        <v>18</v>
      </c>
      <c r="C76" s="12">
        <v>0.81388888888888899</v>
      </c>
      <c r="D76" s="4">
        <v>0.36</v>
      </c>
      <c r="E76" s="75" t="s">
        <v>63</v>
      </c>
      <c r="F76" s="8">
        <f>F72/J72*J76</f>
        <v>310.60441199574979</v>
      </c>
      <c r="G76" s="7" t="s">
        <v>63</v>
      </c>
      <c r="H76" s="8">
        <f>H75/J75*J76</f>
        <v>364.50141709876777</v>
      </c>
      <c r="I76" s="7"/>
      <c r="J76" s="8">
        <v>374.12460183469398</v>
      </c>
      <c r="K76" s="7"/>
      <c r="L76" s="8" t="s">
        <v>10</v>
      </c>
      <c r="M76" s="7"/>
      <c r="N76" s="8" t="s">
        <v>10</v>
      </c>
      <c r="O76" s="78">
        <f t="shared" si="1"/>
        <v>1049.2304309292115</v>
      </c>
      <c r="P76" s="110">
        <f>SUM(O70:O76)</f>
        <v>14357.902471051357</v>
      </c>
    </row>
    <row r="77" spans="1:16" x14ac:dyDescent="0.25">
      <c r="A77" s="76"/>
      <c r="B77" s="7"/>
      <c r="C77" s="12"/>
      <c r="D77" s="4"/>
      <c r="E77" s="75"/>
      <c r="G77" s="7"/>
      <c r="I77" s="7"/>
      <c r="K77" s="7"/>
      <c r="M77" s="7"/>
      <c r="N77" s="8"/>
      <c r="O77" s="78"/>
      <c r="P77" s="19"/>
    </row>
    <row r="78" spans="1:16" x14ac:dyDescent="0.25">
      <c r="A78" s="76">
        <v>45712</v>
      </c>
      <c r="B78" s="7" t="s">
        <v>21</v>
      </c>
      <c r="C78" s="12">
        <v>0.6694444444444444</v>
      </c>
      <c r="D78" s="4">
        <v>0.21</v>
      </c>
      <c r="E78" s="75" t="s">
        <v>63</v>
      </c>
      <c r="F78" s="8">
        <f>F82/L82*L78</f>
        <v>149.43161865343805</v>
      </c>
      <c r="G78" s="7" t="s">
        <v>63</v>
      </c>
      <c r="H78" s="8">
        <f>H81/L81*L78</f>
        <v>272.44494004003707</v>
      </c>
      <c r="I78" s="7"/>
      <c r="J78" s="8" t="s">
        <v>10</v>
      </c>
      <c r="K78" s="7"/>
      <c r="L78" s="8">
        <v>149.703332854537</v>
      </c>
      <c r="M78" s="7"/>
      <c r="N78" s="8" t="s">
        <v>10</v>
      </c>
      <c r="O78" s="78">
        <f t="shared" si="1"/>
        <v>571.57989154801203</v>
      </c>
      <c r="P78" s="19"/>
    </row>
    <row r="79" spans="1:16" x14ac:dyDescent="0.25">
      <c r="A79" s="76">
        <v>45713</v>
      </c>
      <c r="B79" s="7" t="s">
        <v>61</v>
      </c>
      <c r="C79" s="12">
        <v>0.69861111111111107</v>
      </c>
      <c r="D79" s="4">
        <v>-0.3</v>
      </c>
      <c r="E79" s="75" t="s">
        <v>63</v>
      </c>
      <c r="F79" s="8">
        <f>F80/J80*J79</f>
        <v>375.6118394216648</v>
      </c>
      <c r="G79" s="7" t="s">
        <v>63</v>
      </c>
      <c r="H79" s="8">
        <f>H80/J80*J79</f>
        <v>309.14696400702923</v>
      </c>
      <c r="I79" s="7"/>
      <c r="J79" s="8">
        <v>495.07005501401301</v>
      </c>
      <c r="K79" s="7"/>
      <c r="L79" s="8" t="s">
        <v>10</v>
      </c>
      <c r="M79" s="7"/>
      <c r="N79" s="8" t="s">
        <v>10</v>
      </c>
      <c r="O79" s="78">
        <f t="shared" si="1"/>
        <v>1179.8288584427071</v>
      </c>
      <c r="P79" s="19"/>
    </row>
    <row r="80" spans="1:16" x14ac:dyDescent="0.25">
      <c r="A80" s="76">
        <v>45714</v>
      </c>
      <c r="B80" s="7" t="s">
        <v>62</v>
      </c>
      <c r="C80" s="12">
        <v>0.72569444444444453</v>
      </c>
      <c r="D80" s="4">
        <v>-0.63</v>
      </c>
      <c r="E80" s="75"/>
      <c r="F80" s="8">
        <f>379.086155862349+659.280271064956</f>
        <v>1038.3664269273049</v>
      </c>
      <c r="G80" s="7"/>
      <c r="H80" s="8">
        <v>854.62649128862301</v>
      </c>
      <c r="I80" s="7"/>
      <c r="J80" s="8">
        <v>1368.60468747502</v>
      </c>
      <c r="K80" s="7"/>
      <c r="L80" s="8" t="s">
        <v>10</v>
      </c>
      <c r="M80" s="7"/>
      <c r="N80" s="8" t="s">
        <v>10</v>
      </c>
      <c r="O80" s="78">
        <f t="shared" si="1"/>
        <v>3261.5976056909481</v>
      </c>
      <c r="P80" s="19"/>
    </row>
    <row r="81" spans="1:16" x14ac:dyDescent="0.25">
      <c r="A81" s="76">
        <v>45715</v>
      </c>
      <c r="B81" s="7" t="s">
        <v>22</v>
      </c>
      <c r="C81" s="12">
        <v>0.75208333333333333</v>
      </c>
      <c r="D81" s="4">
        <v>-0.73</v>
      </c>
      <c r="E81" s="75"/>
      <c r="F81" s="8">
        <f>(379.086155862349/659.280271064956*573.5174178654)+573.5174178654</f>
        <v>903.28993313800447</v>
      </c>
      <c r="G81" s="7"/>
      <c r="H81" s="8">
        <v>1564.3157182237901</v>
      </c>
      <c r="I81" s="7"/>
      <c r="J81" s="8" t="s">
        <v>10</v>
      </c>
      <c r="K81" s="7"/>
      <c r="L81" s="8">
        <v>859.56184989314102</v>
      </c>
      <c r="M81" s="7"/>
      <c r="N81" s="8" t="s">
        <v>10</v>
      </c>
      <c r="O81" s="78">
        <f t="shared" si="1"/>
        <v>3327.1675012549358</v>
      </c>
      <c r="P81" s="19"/>
    </row>
    <row r="82" spans="1:16" x14ac:dyDescent="0.25">
      <c r="A82" s="76">
        <v>45716</v>
      </c>
      <c r="B82" s="7" t="s">
        <v>18</v>
      </c>
      <c r="C82" s="12">
        <v>0.77708333333333324</v>
      </c>
      <c r="D82" s="4">
        <v>-0.55000000000000004</v>
      </c>
      <c r="E82" s="75"/>
      <c r="F82" s="8">
        <f>(379.086155862349/659.280271064956*858.091575942849)+858.091575942849</f>
        <v>1351.4942321099861</v>
      </c>
      <c r="G82" s="7" t="s">
        <v>63</v>
      </c>
      <c r="H82" s="8">
        <f>H80/F80*F82</f>
        <v>1112.3460308735803</v>
      </c>
      <c r="I82" s="7"/>
      <c r="J82" s="8" t="s">
        <v>10</v>
      </c>
      <c r="K82" s="7"/>
      <c r="L82" s="8">
        <v>1353.95167839128</v>
      </c>
      <c r="M82" s="7"/>
      <c r="N82" s="8" t="s">
        <v>10</v>
      </c>
      <c r="O82" s="78">
        <f t="shared" si="1"/>
        <v>3817.7919413748464</v>
      </c>
      <c r="P82" s="19"/>
    </row>
    <row r="83" spans="1:16" x14ac:dyDescent="0.25">
      <c r="A83" s="76">
        <v>45717</v>
      </c>
      <c r="B83" s="7" t="s">
        <v>19</v>
      </c>
      <c r="C83" s="12">
        <v>0.80208333333333337</v>
      </c>
      <c r="D83" s="4">
        <v>-0.1</v>
      </c>
      <c r="E83" s="75" t="s">
        <v>63</v>
      </c>
      <c r="F83" s="8">
        <f>F80/H80*H83</f>
        <v>1456.8370543950675</v>
      </c>
      <c r="G83" s="7"/>
      <c r="H83" s="8">
        <v>1199.04833967063</v>
      </c>
      <c r="I83" s="7"/>
      <c r="J83" s="8">
        <v>2149.0592731465699</v>
      </c>
      <c r="K83" s="7"/>
      <c r="L83" s="8" t="s">
        <v>10</v>
      </c>
      <c r="M83" s="7"/>
      <c r="N83" s="8" t="s">
        <v>10</v>
      </c>
      <c r="O83" s="78">
        <f t="shared" si="1"/>
        <v>4804.9446672122667</v>
      </c>
      <c r="P83" s="110">
        <f>SUM(O78:O83)</f>
        <v>16962.910465523717</v>
      </c>
    </row>
    <row r="84" spans="1:16" x14ac:dyDescent="0.25">
      <c r="A84" s="76"/>
      <c r="B84" s="7"/>
      <c r="C84" s="12"/>
      <c r="D84" s="4"/>
      <c r="E84" s="75"/>
      <c r="G84" s="7"/>
      <c r="I84" s="7"/>
      <c r="K84" s="7"/>
      <c r="M84" s="7"/>
      <c r="N84" s="8"/>
      <c r="O84" s="78"/>
      <c r="P84" s="19"/>
    </row>
    <row r="85" spans="1:16" x14ac:dyDescent="0.25">
      <c r="A85" s="76">
        <v>45724</v>
      </c>
      <c r="B85" s="7" t="s">
        <v>19</v>
      </c>
      <c r="C85" s="12">
        <v>0.59236111111111112</v>
      </c>
      <c r="D85" s="4">
        <v>0.59</v>
      </c>
      <c r="E85" s="75" t="s">
        <v>63</v>
      </c>
      <c r="F85" s="8">
        <f>F88/L88*L85</f>
        <v>1257.396888570878</v>
      </c>
      <c r="G85" s="7"/>
      <c r="H85" s="8">
        <v>1587.8642907890301</v>
      </c>
      <c r="I85" s="7"/>
      <c r="J85" s="8" t="s">
        <v>10</v>
      </c>
      <c r="K85" s="7"/>
      <c r="L85" s="8">
        <v>1520.71993082688</v>
      </c>
      <c r="M85" s="7"/>
      <c r="N85" s="8" t="s">
        <v>10</v>
      </c>
      <c r="O85" s="78">
        <f t="shared" si="1"/>
        <v>4365.9811101867881</v>
      </c>
      <c r="P85" s="19"/>
    </row>
    <row r="86" spans="1:16" x14ac:dyDescent="0.25">
      <c r="A86" s="76">
        <v>45725</v>
      </c>
      <c r="B86" s="7" t="s">
        <v>20</v>
      </c>
      <c r="C86" s="12">
        <v>0.6791666666666667</v>
      </c>
      <c r="D86" s="4">
        <v>0.41</v>
      </c>
      <c r="E86" s="75"/>
      <c r="F86" s="8">
        <f>(379.086155862349/659.280271064956*279.00737450564)+279.00737450564</f>
        <v>439.43661484638267</v>
      </c>
      <c r="G86" s="7"/>
      <c r="H86" s="8">
        <v>646.66769309195399</v>
      </c>
      <c r="I86" s="7"/>
      <c r="J86" s="8">
        <v>772.35342030302002</v>
      </c>
      <c r="K86" s="7"/>
      <c r="L86" s="8" t="s">
        <v>10</v>
      </c>
      <c r="M86" s="7"/>
      <c r="N86" s="8" t="s">
        <v>10</v>
      </c>
      <c r="O86" s="78">
        <f t="shared" si="1"/>
        <v>1858.4577282413566</v>
      </c>
      <c r="P86" s="19"/>
    </row>
    <row r="87" spans="1:16" x14ac:dyDescent="0.25">
      <c r="A87" s="76">
        <v>45726</v>
      </c>
      <c r="B87" s="7" t="s">
        <v>21</v>
      </c>
      <c r="C87" s="12">
        <v>0.71527777777777779</v>
      </c>
      <c r="D87" s="4">
        <v>0.22</v>
      </c>
      <c r="E87" s="75" t="s">
        <v>63</v>
      </c>
      <c r="F87" s="8">
        <f>F86/J86*J87</f>
        <v>506.81530672848743</v>
      </c>
      <c r="G87" s="7" t="s">
        <v>63</v>
      </c>
      <c r="H87" s="8">
        <f>H86/J86*J87</f>
        <v>745.8210675966842</v>
      </c>
      <c r="I87" s="7"/>
      <c r="J87" s="8">
        <v>890.77815181720905</v>
      </c>
      <c r="K87" s="7"/>
      <c r="L87" s="8" t="s">
        <v>10</v>
      </c>
      <c r="M87" s="7"/>
      <c r="N87" s="8" t="s">
        <v>10</v>
      </c>
      <c r="O87" s="78">
        <f t="shared" si="1"/>
        <v>2143.4145261423805</v>
      </c>
      <c r="P87" s="19"/>
    </row>
    <row r="88" spans="1:16" x14ac:dyDescent="0.25">
      <c r="A88" s="76">
        <v>45727</v>
      </c>
      <c r="B88" s="7" t="s">
        <v>61</v>
      </c>
      <c r="C88" s="12">
        <v>0.74444444444444446</v>
      </c>
      <c r="D88" s="4">
        <v>0.14000000000000001</v>
      </c>
      <c r="E88" s="75"/>
      <c r="F88" s="8">
        <f>(379.086155862349/659.280271064956*155.714784962338)+155.714784962338</f>
        <v>245.25078631568221</v>
      </c>
      <c r="G88" s="7"/>
      <c r="H88" s="8">
        <v>415.24458095342902</v>
      </c>
      <c r="I88" s="7"/>
      <c r="J88" s="8" t="s">
        <v>10</v>
      </c>
      <c r="K88" s="7"/>
      <c r="L88" s="8">
        <v>296.61100817985601</v>
      </c>
      <c r="M88" s="7"/>
      <c r="N88" s="8" t="s">
        <v>10</v>
      </c>
      <c r="O88" s="78">
        <f t="shared" si="1"/>
        <v>957.10637544896736</v>
      </c>
      <c r="P88" s="19"/>
    </row>
    <row r="89" spans="1:16" x14ac:dyDescent="0.25">
      <c r="A89" s="76">
        <v>45728</v>
      </c>
      <c r="B89" s="7" t="s">
        <v>62</v>
      </c>
      <c r="C89" s="12">
        <v>0.76944444444444438</v>
      </c>
      <c r="D89" s="4">
        <v>0.18</v>
      </c>
      <c r="E89" s="75" t="s">
        <v>63</v>
      </c>
      <c r="F89" s="8">
        <f>F88/L88*L89</f>
        <v>153.8279451889606</v>
      </c>
      <c r="G89" s="7" t="s">
        <v>63</v>
      </c>
      <c r="H89" s="8">
        <f>H85/L85*L89</f>
        <v>194.25680412540177</v>
      </c>
      <c r="I89" s="7"/>
      <c r="J89" s="8" t="s">
        <v>10</v>
      </c>
      <c r="K89" s="7"/>
      <c r="L89" s="8">
        <v>186.042469401109</v>
      </c>
      <c r="M89" s="7"/>
      <c r="N89" s="8" t="s">
        <v>10</v>
      </c>
      <c r="O89" s="78">
        <f t="shared" si="1"/>
        <v>534.12721871547137</v>
      </c>
      <c r="P89" s="19"/>
    </row>
    <row r="90" spans="1:16" x14ac:dyDescent="0.25">
      <c r="A90" s="76">
        <v>45729</v>
      </c>
      <c r="B90" s="7" t="s">
        <v>22</v>
      </c>
      <c r="C90" s="12">
        <v>0.79166666666666663</v>
      </c>
      <c r="D90" s="4">
        <v>0.37</v>
      </c>
      <c r="E90" s="75"/>
      <c r="F90" s="8">
        <f>(379.086155862349/659.280271064956*184.303492103597)+184.303492103597</f>
        <v>290.27800006316511</v>
      </c>
      <c r="G90" s="7"/>
      <c r="H90" s="8">
        <v>294.06291224327998</v>
      </c>
      <c r="I90" s="7"/>
      <c r="J90" s="8">
        <v>287.87175384566302</v>
      </c>
      <c r="K90" s="7"/>
      <c r="L90" s="8" t="s">
        <v>10</v>
      </c>
      <c r="M90" s="7"/>
      <c r="N90" s="8" t="s">
        <v>10</v>
      </c>
      <c r="O90" s="78">
        <f t="shared" si="1"/>
        <v>872.21266615210811</v>
      </c>
      <c r="P90" s="19"/>
    </row>
    <row r="91" spans="1:16" x14ac:dyDescent="0.25">
      <c r="A91" s="76">
        <v>45730</v>
      </c>
      <c r="B91" s="7" t="s">
        <v>18</v>
      </c>
      <c r="C91" s="12">
        <v>0.8125</v>
      </c>
      <c r="D91" s="4">
        <v>0.69</v>
      </c>
      <c r="E91" s="75" t="s">
        <v>63</v>
      </c>
      <c r="F91" s="8">
        <f>F86/J86*J91</f>
        <v>282.06725757988835</v>
      </c>
      <c r="G91" s="7" t="s">
        <v>63</v>
      </c>
      <c r="H91" s="8">
        <f>H86/J86*J91</f>
        <v>415.08553587352918</v>
      </c>
      <c r="I91" s="7"/>
      <c r="J91" s="8">
        <v>495.76117188932301</v>
      </c>
      <c r="K91" s="7"/>
      <c r="L91" s="8" t="s">
        <v>10</v>
      </c>
      <c r="M91" s="7"/>
      <c r="N91" s="8" t="s">
        <v>10</v>
      </c>
      <c r="O91" s="78">
        <f t="shared" si="1"/>
        <v>1192.9139653427405</v>
      </c>
      <c r="P91" s="110">
        <f>SUM(O85:O91)</f>
        <v>11924.213590229814</v>
      </c>
    </row>
    <row r="92" spans="1:16" x14ac:dyDescent="0.25">
      <c r="A92" s="76"/>
      <c r="B92" s="7"/>
      <c r="C92" s="12"/>
      <c r="D92" s="4"/>
      <c r="E92" s="75"/>
      <c r="G92" s="7"/>
      <c r="I92" s="7"/>
      <c r="K92" s="7"/>
      <c r="M92" s="7"/>
      <c r="N92" s="8"/>
      <c r="O92" s="78"/>
      <c r="P92" s="19"/>
    </row>
    <row r="93" spans="1:16" x14ac:dyDescent="0.25">
      <c r="A93" s="76">
        <v>45742</v>
      </c>
      <c r="B93" s="7" t="s">
        <v>62</v>
      </c>
      <c r="C93" s="12">
        <v>0.71388888888888891</v>
      </c>
      <c r="D93" s="4">
        <v>0.03</v>
      </c>
      <c r="E93" s="75"/>
      <c r="F93" s="8">
        <f>(379.086155862349/659.280271064956*290.591083312136)+290.591083312136</f>
        <v>457.68095621661388</v>
      </c>
      <c r="G93" s="7" t="s">
        <v>63</v>
      </c>
      <c r="H93" s="8">
        <f>H97/F97*F93</f>
        <v>437.63692840642233</v>
      </c>
      <c r="I93" s="7"/>
      <c r="J93" s="8" t="s">
        <v>10</v>
      </c>
      <c r="K93" s="7"/>
      <c r="L93" s="8">
        <v>410.77134014964503</v>
      </c>
      <c r="M93" s="7"/>
      <c r="N93" s="8" t="s">
        <v>10</v>
      </c>
      <c r="O93" s="78">
        <f t="shared" si="1"/>
        <v>1306.0892247726813</v>
      </c>
      <c r="P93" s="19"/>
    </row>
    <row r="94" spans="1:16" x14ac:dyDescent="0.25">
      <c r="A94" s="76">
        <v>45743</v>
      </c>
      <c r="B94" s="7" t="s">
        <v>22</v>
      </c>
      <c r="C94" s="12">
        <v>0.74305555555555547</v>
      </c>
      <c r="D94" s="4">
        <v>-0.11</v>
      </c>
      <c r="E94" s="75" t="s">
        <v>63</v>
      </c>
      <c r="F94" s="8">
        <f>F97/H97*H94</f>
        <v>340.56903000367237</v>
      </c>
      <c r="G94" s="7" t="s">
        <v>63</v>
      </c>
      <c r="H94" s="8">
        <f>H101/L101*L94</f>
        <v>325.65389094017866</v>
      </c>
      <c r="I94" s="7"/>
      <c r="J94" s="8" t="s">
        <v>10</v>
      </c>
      <c r="K94" s="7"/>
      <c r="L94" s="8">
        <v>346.29705494720997</v>
      </c>
      <c r="M94" s="7"/>
      <c r="N94" s="8" t="s">
        <v>10</v>
      </c>
      <c r="O94" s="78">
        <f t="shared" si="1"/>
        <v>1012.519975891061</v>
      </c>
      <c r="P94" s="19"/>
    </row>
    <row r="95" spans="1:16" x14ac:dyDescent="0.25">
      <c r="A95" s="76">
        <v>45744</v>
      </c>
      <c r="B95" s="7" t="s">
        <v>18</v>
      </c>
      <c r="C95" s="12">
        <v>0.77013888888888893</v>
      </c>
      <c r="D95" s="4">
        <v>-0.02</v>
      </c>
      <c r="E95" s="75"/>
      <c r="F95" s="8">
        <f>(379.086155862349/659.280271064956*443.309147785056)+443.309147785056</f>
        <v>698.21190776146273</v>
      </c>
      <c r="G95" s="7" t="s">
        <v>63</v>
      </c>
      <c r="H95" s="8">
        <f>H100/F100*F95</f>
        <v>789.94867110653684</v>
      </c>
      <c r="I95" s="7"/>
      <c r="J95" s="8">
        <v>980.98644712974703</v>
      </c>
      <c r="K95" s="7"/>
      <c r="L95" s="8" t="s">
        <v>10</v>
      </c>
      <c r="M95" s="7"/>
      <c r="N95" s="8" t="s">
        <v>10</v>
      </c>
      <c r="O95" s="78">
        <f t="shared" si="1"/>
        <v>2469.1470259977464</v>
      </c>
      <c r="P95" s="19"/>
    </row>
    <row r="96" spans="1:16" x14ac:dyDescent="0.25">
      <c r="A96" s="76">
        <v>45745</v>
      </c>
      <c r="B96" s="7" t="s">
        <v>19</v>
      </c>
      <c r="C96" s="12">
        <v>0.2902777777777778</v>
      </c>
      <c r="D96" s="4">
        <v>-0.14000000000000001</v>
      </c>
      <c r="E96" s="75" t="s">
        <v>63</v>
      </c>
      <c r="F96" s="8">
        <f>F95/J95*J96</f>
        <v>1908.2393159144221</v>
      </c>
      <c r="G96" s="7" t="s">
        <v>63</v>
      </c>
      <c r="H96" s="8">
        <f>H100/J100*J96</f>
        <v>1694.9772734015473</v>
      </c>
      <c r="I96" s="7"/>
      <c r="J96" s="8">
        <v>2681.0727316207899</v>
      </c>
      <c r="K96" s="7"/>
      <c r="L96" s="8" t="s">
        <v>10</v>
      </c>
      <c r="M96" s="7"/>
      <c r="N96" s="8" t="s">
        <v>10</v>
      </c>
      <c r="O96" s="78">
        <f t="shared" si="1"/>
        <v>6284.2893209367594</v>
      </c>
      <c r="P96" s="19"/>
    </row>
    <row r="97" spans="1:16" x14ac:dyDescent="0.25">
      <c r="A97" s="76">
        <v>45746</v>
      </c>
      <c r="B97" s="7" t="s">
        <v>20</v>
      </c>
      <c r="C97" s="12">
        <v>0.3215277777777778</v>
      </c>
      <c r="D97" s="4">
        <v>-0.84</v>
      </c>
      <c r="E97" s="75"/>
      <c r="F97" s="8">
        <f>(379.086155862349/659.280271064956*1439.18598680877)+1439.18598680877</f>
        <v>2266.7179292238111</v>
      </c>
      <c r="G97" s="7"/>
      <c r="H97" s="8">
        <v>2167.4475606535302</v>
      </c>
      <c r="I97" s="7"/>
      <c r="J97" s="8" t="s">
        <v>10</v>
      </c>
      <c r="K97" s="7"/>
      <c r="L97" s="8">
        <v>2734.8170265579001</v>
      </c>
      <c r="M97" s="7"/>
      <c r="N97" s="8" t="s">
        <v>10</v>
      </c>
      <c r="O97" s="78">
        <f t="shared" si="1"/>
        <v>7168.9825164352415</v>
      </c>
      <c r="P97" s="19"/>
    </row>
    <row r="98" spans="1:16" x14ac:dyDescent="0.25">
      <c r="A98" s="76">
        <v>45747</v>
      </c>
      <c r="B98" s="7" t="s">
        <v>21</v>
      </c>
      <c r="C98" s="12">
        <v>0.3527777777777778</v>
      </c>
      <c r="D98" s="4">
        <v>-1.23</v>
      </c>
      <c r="E98" s="75" t="s">
        <v>63</v>
      </c>
      <c r="F98" s="8">
        <f>F97/L97*L98</f>
        <v>1199.4681557025449</v>
      </c>
      <c r="G98" s="7" t="s">
        <v>63</v>
      </c>
      <c r="H98" s="8">
        <f>H101/L101*L98</f>
        <v>1360.9024351069152</v>
      </c>
      <c r="I98" s="7"/>
      <c r="J98" s="8" t="s">
        <v>10</v>
      </c>
      <c r="K98" s="7"/>
      <c r="L98" s="8">
        <v>1447.16988944125</v>
      </c>
      <c r="M98" s="7"/>
      <c r="N98" s="8" t="s">
        <v>10</v>
      </c>
      <c r="O98" s="78">
        <f t="shared" si="1"/>
        <v>4007.5404802507101</v>
      </c>
      <c r="P98" s="19"/>
    </row>
    <row r="99" spans="1:16" x14ac:dyDescent="0.25">
      <c r="A99" s="76">
        <v>45748</v>
      </c>
      <c r="B99" s="7" t="s">
        <v>61</v>
      </c>
      <c r="C99" s="12">
        <v>0.38680555555555557</v>
      </c>
      <c r="D99" s="4">
        <v>-1.27</v>
      </c>
      <c r="E99" s="75" t="s">
        <v>63</v>
      </c>
      <c r="F99" s="8">
        <f>F100/J100*J99</f>
        <v>1666.7064653400469</v>
      </c>
      <c r="G99" s="7"/>
      <c r="H99" s="8">
        <v>1117.51297105444</v>
      </c>
      <c r="I99" s="7"/>
      <c r="J99" s="8">
        <v>2982.7404081402001</v>
      </c>
      <c r="K99" s="7"/>
      <c r="L99" s="8" t="s">
        <v>10</v>
      </c>
      <c r="M99" s="7"/>
      <c r="N99" s="8" t="s">
        <v>10</v>
      </c>
      <c r="O99" s="78">
        <f t="shared" si="1"/>
        <v>5766.9598445346874</v>
      </c>
      <c r="P99" s="19"/>
    </row>
    <row r="100" spans="1:16" x14ac:dyDescent="0.25">
      <c r="A100" s="76">
        <v>45749</v>
      </c>
      <c r="B100" s="7" t="s">
        <v>62</v>
      </c>
      <c r="C100" s="12">
        <v>0.42291666666666666</v>
      </c>
      <c r="D100" s="4">
        <v>-0.98</v>
      </c>
      <c r="E100" s="75"/>
      <c r="F100" s="8">
        <f>(659.280271064956/379.086155862349*464.216361365458)+464.216361365458</f>
        <v>1271.549163740169</v>
      </c>
      <c r="G100" s="7"/>
      <c r="H100" s="8">
        <v>1438.6156422962899</v>
      </c>
      <c r="I100" s="7"/>
      <c r="J100" s="8">
        <v>2275.5663042627498</v>
      </c>
      <c r="K100" s="7"/>
      <c r="L100" s="8" t="s">
        <v>10</v>
      </c>
      <c r="M100" s="7"/>
      <c r="N100" s="8" t="s">
        <v>10</v>
      </c>
      <c r="O100" s="78">
        <f t="shared" si="1"/>
        <v>4985.731110299208</v>
      </c>
      <c r="P100" s="19"/>
    </row>
    <row r="101" spans="1:16" x14ac:dyDescent="0.25">
      <c r="A101" s="76">
        <v>45750</v>
      </c>
      <c r="B101" s="7" t="s">
        <v>22</v>
      </c>
      <c r="C101" s="12">
        <v>0.46319444444444446</v>
      </c>
      <c r="D101" s="4">
        <v>-0.47</v>
      </c>
      <c r="E101" s="75" t="s">
        <v>63</v>
      </c>
      <c r="F101" s="8">
        <f>F97/H97*H101</f>
        <v>1135.084853375095</v>
      </c>
      <c r="G101" s="7"/>
      <c r="H101" s="8">
        <v>1085.37408420512</v>
      </c>
      <c r="I101" s="7"/>
      <c r="J101" s="8" t="s">
        <v>10</v>
      </c>
      <c r="K101" s="7"/>
      <c r="L101" s="8">
        <v>1154.17582695274</v>
      </c>
      <c r="M101" s="7"/>
      <c r="N101" s="8" t="s">
        <v>10</v>
      </c>
      <c r="O101" s="78">
        <f t="shared" si="1"/>
        <v>3374.6347645329552</v>
      </c>
      <c r="P101" s="110">
        <f>SUM(O93:O101)</f>
        <v>36375.894263651047</v>
      </c>
    </row>
    <row r="102" spans="1:16" x14ac:dyDescent="0.25">
      <c r="A102" s="76"/>
      <c r="B102" s="7"/>
      <c r="C102" s="12"/>
      <c r="D102" s="4"/>
      <c r="E102" s="75"/>
      <c r="G102" s="7"/>
      <c r="I102" s="7"/>
      <c r="K102" s="7"/>
      <c r="M102" s="7"/>
      <c r="N102" s="8"/>
      <c r="O102" s="78"/>
      <c r="P102" s="19"/>
    </row>
    <row r="103" spans="1:16" x14ac:dyDescent="0.25">
      <c r="A103" s="76">
        <v>45759</v>
      </c>
      <c r="B103" s="7" t="s">
        <v>19</v>
      </c>
      <c r="C103" s="12">
        <v>0.28958333333333336</v>
      </c>
      <c r="D103" s="4">
        <v>0.35</v>
      </c>
      <c r="E103" s="75" t="s">
        <v>63</v>
      </c>
      <c r="F103" s="8">
        <f>F106/L106*L103</f>
        <v>1155.1609052504227</v>
      </c>
      <c r="G103" s="7"/>
      <c r="H103" s="8">
        <v>1254.7543423686</v>
      </c>
      <c r="I103" s="7"/>
      <c r="J103" s="8" t="s">
        <v>10</v>
      </c>
      <c r="K103" s="7"/>
      <c r="L103" s="8">
        <v>1305.2386114532801</v>
      </c>
      <c r="M103" s="7"/>
      <c r="N103" s="8" t="s">
        <v>10</v>
      </c>
      <c r="O103" s="78">
        <f t="shared" si="1"/>
        <v>3715.153859072303</v>
      </c>
      <c r="P103" s="19"/>
    </row>
    <row r="104" spans="1:16" x14ac:dyDescent="0.25">
      <c r="A104" s="76">
        <v>45760</v>
      </c>
      <c r="B104" s="7" t="s">
        <v>20</v>
      </c>
      <c r="C104" s="12">
        <v>0.31180555555555556</v>
      </c>
      <c r="D104" s="4">
        <v>0</v>
      </c>
      <c r="E104" s="75"/>
      <c r="F104" s="8">
        <f>(219.626644747167/354.545446860889*415.797872041773)+415.797872041773</f>
        <v>673.36793065650772</v>
      </c>
      <c r="G104" s="7" t="s">
        <v>63</v>
      </c>
      <c r="H104" s="8">
        <f>H108/F108*F104</f>
        <v>754.96563908619225</v>
      </c>
      <c r="I104" s="7"/>
      <c r="J104" s="8">
        <v>2022.56284770548</v>
      </c>
      <c r="K104" s="7"/>
      <c r="L104" s="8" t="s">
        <v>10</v>
      </c>
      <c r="M104" s="7"/>
      <c r="N104" s="8" t="s">
        <v>10</v>
      </c>
      <c r="O104" s="78">
        <f t="shared" si="1"/>
        <v>3450.8964174481798</v>
      </c>
      <c r="P104" s="19"/>
    </row>
    <row r="105" spans="1:16" x14ac:dyDescent="0.25">
      <c r="A105" s="76">
        <v>45761</v>
      </c>
      <c r="B105" s="7" t="s">
        <v>21</v>
      </c>
      <c r="C105" s="12">
        <v>0.33333333333333331</v>
      </c>
      <c r="D105" s="4">
        <v>-0.21</v>
      </c>
      <c r="E105" s="75" t="s">
        <v>63</v>
      </c>
      <c r="F105" s="8">
        <f>F108/J108*J105</f>
        <v>485.31551277237179</v>
      </c>
      <c r="G105" s="7"/>
      <c r="H105" s="8">
        <v>558.26975349139605</v>
      </c>
      <c r="I105" s="7"/>
      <c r="J105" s="8">
        <v>741.64876963541599</v>
      </c>
      <c r="K105" s="7"/>
      <c r="L105" s="8" t="s">
        <v>10</v>
      </c>
      <c r="M105" s="7"/>
      <c r="N105" s="8" t="s">
        <v>10</v>
      </c>
      <c r="O105" s="78">
        <f t="shared" si="1"/>
        <v>1785.2340358991837</v>
      </c>
      <c r="P105" s="19"/>
    </row>
    <row r="106" spans="1:16" x14ac:dyDescent="0.25">
      <c r="A106" s="76">
        <v>45762</v>
      </c>
      <c r="B106" s="7" t="s">
        <v>61</v>
      </c>
      <c r="C106" s="12">
        <v>0.35625000000000001</v>
      </c>
      <c r="D106" s="4">
        <v>-0.27</v>
      </c>
      <c r="E106" s="75"/>
      <c r="F106" s="8">
        <f>(219.626644747167/354.545446860889*393.736828552682)+393.736828552682</f>
        <v>637.64095800648897</v>
      </c>
      <c r="G106" s="7" t="s">
        <v>63</v>
      </c>
      <c r="H106" s="8">
        <f>H103/L103*L106</f>
        <v>692.61585749153232</v>
      </c>
      <c r="I106" s="7"/>
      <c r="J106" s="8" t="s">
        <v>10</v>
      </c>
      <c r="K106" s="7"/>
      <c r="L106" s="8">
        <v>720.48283044490995</v>
      </c>
      <c r="M106" s="7"/>
      <c r="N106" s="8" t="s">
        <v>10</v>
      </c>
      <c r="O106" s="78">
        <f t="shared" si="1"/>
        <v>2050.739645942931</v>
      </c>
      <c r="P106" s="19"/>
    </row>
    <row r="107" spans="1:16" x14ac:dyDescent="0.25">
      <c r="A107" s="76">
        <v>45763</v>
      </c>
      <c r="B107" s="7" t="s">
        <v>62</v>
      </c>
      <c r="C107" s="12">
        <v>0.38055555555555554</v>
      </c>
      <c r="D107" s="4">
        <v>-0.19</v>
      </c>
      <c r="E107" s="75" t="s">
        <v>63</v>
      </c>
      <c r="F107" s="8">
        <f>F106/L106*L107</f>
        <v>654.94810442799292</v>
      </c>
      <c r="G107" s="7" t="s">
        <v>63</v>
      </c>
      <c r="H107" s="8">
        <f>H103/L103*L107</f>
        <v>711.41515811509646</v>
      </c>
      <c r="I107" s="7"/>
      <c r="J107" s="8" t="s">
        <v>10</v>
      </c>
      <c r="K107" s="7"/>
      <c r="L107" s="8">
        <v>740.03850936439801</v>
      </c>
      <c r="M107" s="7"/>
      <c r="N107" s="8" t="s">
        <v>10</v>
      </c>
      <c r="O107" s="78">
        <f t="shared" si="1"/>
        <v>2106.4017719074873</v>
      </c>
      <c r="P107" s="19"/>
    </row>
    <row r="108" spans="1:16" x14ac:dyDescent="0.25">
      <c r="A108" s="76">
        <v>45764</v>
      </c>
      <c r="B108" s="7" t="s">
        <v>22</v>
      </c>
      <c r="C108" s="12">
        <v>0.40833333333333338</v>
      </c>
      <c r="D108" s="4">
        <v>0</v>
      </c>
      <c r="E108" s="75"/>
      <c r="F108" s="8">
        <f>219.626644747167+354.545446860889</f>
        <v>574.17209160805601</v>
      </c>
      <c r="G108" s="7"/>
      <c r="H108" s="8">
        <v>643.74939813915</v>
      </c>
      <c r="I108" s="7"/>
      <c r="J108" s="8">
        <v>877.43748982497004</v>
      </c>
      <c r="K108" s="7"/>
      <c r="L108" s="8" t="s">
        <v>10</v>
      </c>
      <c r="M108" s="7"/>
      <c r="N108" s="8" t="s">
        <v>10</v>
      </c>
      <c r="O108" s="78">
        <f t="shared" si="1"/>
        <v>2095.3589795721764</v>
      </c>
      <c r="P108" s="19"/>
    </row>
    <row r="109" spans="1:16" x14ac:dyDescent="0.25">
      <c r="A109" s="76">
        <v>45765</v>
      </c>
      <c r="B109" s="7" t="s">
        <v>18</v>
      </c>
      <c r="C109" s="12">
        <v>0.43958333333333338</v>
      </c>
      <c r="D109" s="4">
        <v>0.26</v>
      </c>
      <c r="E109" s="75" t="s">
        <v>63</v>
      </c>
      <c r="F109" s="8">
        <f>F108/J108*J109</f>
        <v>980.99217999316977</v>
      </c>
      <c r="G109" s="7" t="s">
        <v>63</v>
      </c>
      <c r="H109" s="8">
        <f>H108/J108*J109</f>
        <v>1099.8673301608364</v>
      </c>
      <c r="I109" s="7"/>
      <c r="J109" s="8">
        <v>1499.1312335304301</v>
      </c>
      <c r="K109" s="7"/>
      <c r="L109" s="8" t="s">
        <v>10</v>
      </c>
      <c r="M109" s="7"/>
      <c r="N109" s="8" t="s">
        <v>10</v>
      </c>
      <c r="O109" s="78">
        <f t="shared" si="1"/>
        <v>3579.9907436844364</v>
      </c>
      <c r="P109" s="110">
        <f>SUM(O103:O109)</f>
        <v>18783.775453526698</v>
      </c>
    </row>
    <row r="110" spans="1:16" x14ac:dyDescent="0.25">
      <c r="A110" s="76"/>
      <c r="B110" s="7"/>
      <c r="C110" s="12"/>
      <c r="D110" s="4"/>
      <c r="E110" s="75"/>
      <c r="G110" s="7"/>
      <c r="I110" s="7"/>
      <c r="K110" s="7"/>
      <c r="M110" s="7"/>
      <c r="N110" s="8"/>
      <c r="O110" s="78"/>
      <c r="P110" s="19"/>
    </row>
    <row r="111" spans="1:16" x14ac:dyDescent="0.25">
      <c r="A111" s="76">
        <v>45773</v>
      </c>
      <c r="B111" s="7" t="s">
        <v>19</v>
      </c>
      <c r="C111" s="12">
        <v>0.24513888888888888</v>
      </c>
      <c r="D111" s="4">
        <v>-0.55000000000000004</v>
      </c>
      <c r="E111" s="75"/>
      <c r="F111" s="8">
        <f>(726.72636927655/1416.656466691*1075.09156758031)+1075.09156758031</f>
        <v>1626.5995795208573</v>
      </c>
      <c r="G111" s="7"/>
      <c r="H111" s="8">
        <v>1289.57088567916</v>
      </c>
      <c r="I111" s="7"/>
      <c r="J111" s="8">
        <v>1920.99046164072</v>
      </c>
      <c r="K111" s="7"/>
      <c r="L111" s="8" t="s">
        <v>10</v>
      </c>
      <c r="M111" s="7"/>
      <c r="N111" s="8" t="s">
        <v>10</v>
      </c>
      <c r="O111" s="78">
        <f t="shared" si="1"/>
        <v>4837.1609268407374</v>
      </c>
      <c r="P111" s="19"/>
    </row>
    <row r="112" spans="1:16" x14ac:dyDescent="0.25">
      <c r="A112" s="76">
        <v>45774</v>
      </c>
      <c r="B112" s="7" t="s">
        <v>20</v>
      </c>
      <c r="C112" s="12">
        <v>0.27777777777777779</v>
      </c>
      <c r="D112" s="4">
        <v>-1.45</v>
      </c>
      <c r="E112" s="75"/>
      <c r="F112" s="8">
        <f>(726.72636927655/1416.656466691*1393.5666021574)+1393.5666021574</f>
        <v>2108.4481707965838</v>
      </c>
      <c r="G112" s="7" t="s">
        <v>63</v>
      </c>
      <c r="H112" s="8">
        <f>H111/F111*F112</f>
        <v>1671.5812602285814</v>
      </c>
      <c r="I112" s="7"/>
      <c r="J112" s="8" t="s">
        <v>10</v>
      </c>
      <c r="K112" s="7"/>
      <c r="L112" s="8">
        <v>2965.4504761242802</v>
      </c>
      <c r="M112" s="7"/>
      <c r="N112" s="8" t="s">
        <v>10</v>
      </c>
      <c r="O112" s="78">
        <f t="shared" si="1"/>
        <v>6745.4799071494454</v>
      </c>
      <c r="P112" s="19"/>
    </row>
    <row r="113" spans="1:17" x14ac:dyDescent="0.25">
      <c r="A113" s="76">
        <v>45775</v>
      </c>
      <c r="B113" s="7" t="s">
        <v>21</v>
      </c>
      <c r="C113" s="12">
        <v>0.30902777777777779</v>
      </c>
      <c r="D113" s="4">
        <v>-2.0299999999999998</v>
      </c>
      <c r="E113" s="75" t="s">
        <v>63</v>
      </c>
      <c r="F113" s="8">
        <f>F112/L112*L113</f>
        <v>1549.3012357470157</v>
      </c>
      <c r="G113" s="7"/>
      <c r="H113" s="8">
        <v>935.31497940210397</v>
      </c>
      <c r="I113" s="7"/>
      <c r="J113" s="8" t="s">
        <v>10</v>
      </c>
      <c r="K113" s="7"/>
      <c r="L113" s="8">
        <v>2179.0320249940701</v>
      </c>
      <c r="M113" s="7"/>
      <c r="N113" s="8" t="s">
        <v>10</v>
      </c>
      <c r="O113" s="78">
        <f t="shared" si="1"/>
        <v>4663.6482401431895</v>
      </c>
      <c r="P113" s="19"/>
    </row>
    <row r="114" spans="1:17" x14ac:dyDescent="0.25">
      <c r="A114" s="76">
        <v>45776</v>
      </c>
      <c r="B114" s="7" t="s">
        <v>61</v>
      </c>
      <c r="C114" s="12">
        <v>0.34166666666666662</v>
      </c>
      <c r="D114" s="4">
        <v>-2.2200000000000002</v>
      </c>
      <c r="E114" s="75" t="s">
        <v>63</v>
      </c>
      <c r="F114" s="8">
        <f>F111/J111*J114</f>
        <v>1941.3003189810029</v>
      </c>
      <c r="G114" s="7"/>
      <c r="H114" s="8">
        <v>999.52677893214604</v>
      </c>
      <c r="I114" s="7"/>
      <c r="J114" s="8">
        <v>2292.6474609326401</v>
      </c>
      <c r="K114" s="7"/>
      <c r="L114" s="8" t="s">
        <v>10</v>
      </c>
      <c r="M114" s="7"/>
      <c r="N114" s="8" t="s">
        <v>10</v>
      </c>
      <c r="O114" s="78">
        <f t="shared" si="1"/>
        <v>5233.474558845789</v>
      </c>
      <c r="P114" s="19"/>
    </row>
    <row r="115" spans="1:17" x14ac:dyDescent="0.25">
      <c r="A115" s="76">
        <v>45777</v>
      </c>
      <c r="B115" s="7" t="s">
        <v>62</v>
      </c>
      <c r="C115" s="12">
        <v>0.375</v>
      </c>
      <c r="D115" s="4">
        <v>-2.0299999999999998</v>
      </c>
      <c r="E115" s="75" t="s">
        <v>63</v>
      </c>
      <c r="F115" s="8">
        <f>F111/J111*J115</f>
        <v>1950.043636473097</v>
      </c>
      <c r="G115" s="7" t="s">
        <v>63</v>
      </c>
      <c r="H115" s="8">
        <f>H116/J116*J115</f>
        <v>1286.502904793877</v>
      </c>
      <c r="I115" s="7"/>
      <c r="J115" s="8">
        <v>2302.9731918112602</v>
      </c>
      <c r="K115" s="7"/>
      <c r="L115" s="8" t="s">
        <v>10</v>
      </c>
      <c r="M115" s="7"/>
      <c r="N115" s="8" t="s">
        <v>10</v>
      </c>
      <c r="O115" s="78">
        <f t="shared" si="1"/>
        <v>5539.5197330782339</v>
      </c>
      <c r="P115" s="19"/>
    </row>
    <row r="116" spans="1:17" x14ac:dyDescent="0.25">
      <c r="A116" s="76">
        <v>45778</v>
      </c>
      <c r="B116" s="7" t="s">
        <v>22</v>
      </c>
      <c r="C116" s="12">
        <v>0.41111111111111115</v>
      </c>
      <c r="D116" s="4">
        <v>-1.55</v>
      </c>
      <c r="E116" s="75"/>
      <c r="F116" s="8">
        <f>726.72636927655+1416.656466691</f>
        <v>2143.3828359675499</v>
      </c>
      <c r="G116" s="7"/>
      <c r="H116" s="8">
        <v>1193.5637009786301</v>
      </c>
      <c r="I116" s="7"/>
      <c r="J116" s="8">
        <v>2136.6024093923202</v>
      </c>
      <c r="K116" s="7"/>
      <c r="L116" s="8" t="s">
        <v>10</v>
      </c>
      <c r="M116" s="7"/>
      <c r="N116" s="8" t="s">
        <v>10</v>
      </c>
      <c r="O116" s="78">
        <f t="shared" si="1"/>
        <v>5473.5489463385002</v>
      </c>
      <c r="P116" s="19"/>
    </row>
    <row r="117" spans="1:17" x14ac:dyDescent="0.25">
      <c r="A117" s="76">
        <v>45779</v>
      </c>
      <c r="B117" s="7" t="s">
        <v>18</v>
      </c>
      <c r="C117" s="12">
        <v>0.44930555555555557</v>
      </c>
      <c r="D117" s="4">
        <v>-0.91</v>
      </c>
      <c r="E117" s="75"/>
      <c r="F117" s="8">
        <f>(726.72636927655/1416.656466691*933.240125363506)+933.240125363506</f>
        <v>1411.9801896733552</v>
      </c>
      <c r="G117" s="7" t="s">
        <v>63</v>
      </c>
      <c r="H117" s="8">
        <f>H118/L118*L117</f>
        <v>1936.6026639021989</v>
      </c>
      <c r="I117" s="7"/>
      <c r="J117" s="8" t="s">
        <v>10</v>
      </c>
      <c r="K117" s="7"/>
      <c r="L117" s="8">
        <v>1350.2270931309999</v>
      </c>
      <c r="M117" s="7"/>
      <c r="N117" s="8" t="s">
        <v>10</v>
      </c>
      <c r="O117" s="78">
        <f t="shared" si="1"/>
        <v>4698.809946706554</v>
      </c>
      <c r="P117" s="19"/>
    </row>
    <row r="118" spans="1:17" x14ac:dyDescent="0.25">
      <c r="A118" s="76">
        <v>45780</v>
      </c>
      <c r="B118" s="7" t="s">
        <v>19</v>
      </c>
      <c r="C118" s="12">
        <v>0.4916666666666667</v>
      </c>
      <c r="D118" s="4">
        <v>-0.24</v>
      </c>
      <c r="E118" s="75" t="s">
        <v>63</v>
      </c>
      <c r="F118" s="8">
        <f>F112/L112*L118</f>
        <v>1798.9032321847642</v>
      </c>
      <c r="G118" s="7"/>
      <c r="H118" s="8">
        <v>3628.85198753129</v>
      </c>
      <c r="I118" s="7"/>
      <c r="J118" s="8" t="s">
        <v>10</v>
      </c>
      <c r="K118" s="7"/>
      <c r="L118" s="8">
        <v>2530.0875403393902</v>
      </c>
      <c r="M118" s="7"/>
      <c r="N118" s="8" t="s">
        <v>10</v>
      </c>
      <c r="O118" s="78">
        <f t="shared" si="1"/>
        <v>7957.8427600554442</v>
      </c>
      <c r="P118" s="110">
        <f>SUM(O111:O118)</f>
        <v>45149.485019157895</v>
      </c>
    </row>
    <row r="119" spans="1:17" x14ac:dyDescent="0.25">
      <c r="A119" s="76"/>
      <c r="B119" s="7"/>
      <c r="C119" s="12"/>
      <c r="D119" s="4"/>
      <c r="E119" s="75"/>
      <c r="G119" s="7"/>
      <c r="I119" s="7"/>
      <c r="K119" s="7"/>
      <c r="M119" s="7"/>
      <c r="N119" s="8"/>
      <c r="O119" s="78"/>
      <c r="P119" s="19"/>
    </row>
    <row r="120" spans="1:17" x14ac:dyDescent="0.25">
      <c r="A120" s="76">
        <v>45787</v>
      </c>
      <c r="B120" s="7" t="s">
        <v>19</v>
      </c>
      <c r="C120" s="12">
        <v>0.24861111111111112</v>
      </c>
      <c r="D120" s="4">
        <v>7.0000000000000007E-2</v>
      </c>
      <c r="E120" s="75"/>
      <c r="F120" s="8">
        <f>(726.72636927655/1416.656466691*501.555927170826)+501.555927170826</f>
        <v>758.84760409611908</v>
      </c>
      <c r="G120" s="7"/>
      <c r="H120" s="8">
        <v>853.13501021413697</v>
      </c>
      <c r="I120" s="7"/>
      <c r="J120" s="8">
        <v>981.61759371241101</v>
      </c>
      <c r="K120" s="7"/>
      <c r="L120" s="8" t="s">
        <v>10</v>
      </c>
      <c r="M120" s="7"/>
      <c r="N120" s="8" t="s">
        <v>10</v>
      </c>
      <c r="O120" s="78">
        <f t="shared" si="1"/>
        <v>2593.6002080226672</v>
      </c>
      <c r="P120" s="19"/>
    </row>
    <row r="121" spans="1:17" x14ac:dyDescent="0.25">
      <c r="A121" s="76">
        <v>45788</v>
      </c>
      <c r="B121" s="7" t="s">
        <v>20</v>
      </c>
      <c r="C121" s="12">
        <v>0.2722222222222222</v>
      </c>
      <c r="D121" s="4">
        <v>-0.4</v>
      </c>
      <c r="E121" s="75" t="s">
        <v>63</v>
      </c>
      <c r="F121" s="8">
        <f>F120/H120*H121</f>
        <v>729.06640447800862</v>
      </c>
      <c r="G121" s="7"/>
      <c r="H121" s="8">
        <v>819.653473337376</v>
      </c>
      <c r="I121" s="7"/>
      <c r="J121" s="8" t="s">
        <v>10</v>
      </c>
      <c r="K121" s="7"/>
      <c r="L121" s="8">
        <v>580.34495265869202</v>
      </c>
      <c r="M121" s="7"/>
      <c r="N121" s="8" t="s">
        <v>10</v>
      </c>
      <c r="O121" s="78">
        <f t="shared" si="1"/>
        <v>2129.0648304740766</v>
      </c>
      <c r="P121" s="19"/>
    </row>
    <row r="122" spans="1:17" x14ac:dyDescent="0.25">
      <c r="A122" s="76">
        <v>45789</v>
      </c>
      <c r="B122" s="7" t="s">
        <v>21</v>
      </c>
      <c r="C122" s="12">
        <v>0.2951388888888889</v>
      </c>
      <c r="D122" s="4">
        <v>-0.71</v>
      </c>
      <c r="E122" s="75" t="s">
        <v>63</v>
      </c>
      <c r="F122" s="8">
        <f>F125/L125*L122</f>
        <v>380.81620615477755</v>
      </c>
      <c r="G122" s="7" t="s">
        <v>63</v>
      </c>
      <c r="H122" s="8">
        <f>H121/L121*L122</f>
        <v>394.24487839122435</v>
      </c>
      <c r="I122" s="7"/>
      <c r="J122" s="8" t="s">
        <v>10</v>
      </c>
      <c r="K122" s="7"/>
      <c r="L122" s="8">
        <v>279.139944779703</v>
      </c>
      <c r="M122" s="7"/>
      <c r="N122" s="8" t="s">
        <v>10</v>
      </c>
      <c r="O122" s="78">
        <f t="shared" si="1"/>
        <v>1054.2010293257049</v>
      </c>
      <c r="P122" s="19"/>
    </row>
    <row r="123" spans="1:17" x14ac:dyDescent="0.25">
      <c r="A123" s="76">
        <v>45790</v>
      </c>
      <c r="B123" s="7" t="s">
        <v>61</v>
      </c>
      <c r="C123" s="12">
        <v>0.31805555555555554</v>
      </c>
      <c r="D123" s="4">
        <v>-0.89</v>
      </c>
      <c r="E123" s="75"/>
      <c r="F123" s="8">
        <f>(569.707430021989/409.788845809313*504.895362669482)+504.895362669482</f>
        <v>1206.8242766407016</v>
      </c>
      <c r="G123" s="7" t="s">
        <v>63</v>
      </c>
      <c r="H123" s="8">
        <f>H124/J124*J123</f>
        <v>1177.2686701357463</v>
      </c>
      <c r="I123" s="7"/>
      <c r="J123" s="8">
        <v>1349.44813604466</v>
      </c>
      <c r="K123" s="7"/>
      <c r="L123" s="8" t="s">
        <v>10</v>
      </c>
      <c r="M123" s="7"/>
      <c r="N123" s="8" t="s">
        <v>10</v>
      </c>
      <c r="O123" s="78">
        <f t="shared" si="1"/>
        <v>3733.5410828211079</v>
      </c>
      <c r="P123" s="19"/>
    </row>
    <row r="124" spans="1:17" x14ac:dyDescent="0.25">
      <c r="A124" s="76">
        <v>45791</v>
      </c>
      <c r="B124" s="7" t="s">
        <v>62</v>
      </c>
      <c r="C124" s="12">
        <v>0.34236111111111112</v>
      </c>
      <c r="D124" s="4">
        <v>-0.92</v>
      </c>
      <c r="E124" s="75" t="s">
        <v>63</v>
      </c>
      <c r="F124" s="8">
        <f>F120/J120*J124</f>
        <v>725.50672913169888</v>
      </c>
      <c r="G124" s="7"/>
      <c r="H124" s="8">
        <v>818.74488568133597</v>
      </c>
      <c r="I124" s="7"/>
      <c r="J124" s="8">
        <v>938.48905343873696</v>
      </c>
      <c r="K124" s="7"/>
      <c r="L124" s="8" t="s">
        <v>10</v>
      </c>
      <c r="M124" s="7"/>
      <c r="N124" s="8" t="s">
        <v>10</v>
      </c>
      <c r="O124" s="78">
        <f t="shared" si="1"/>
        <v>2482.7406682517717</v>
      </c>
      <c r="P124" s="19"/>
    </row>
    <row r="125" spans="1:17" x14ac:dyDescent="0.25">
      <c r="A125" s="76">
        <v>45792</v>
      </c>
      <c r="B125" s="7" t="s">
        <v>22</v>
      </c>
      <c r="C125" s="12">
        <v>0.36736111111111108</v>
      </c>
      <c r="D125" s="4">
        <v>-0.84</v>
      </c>
      <c r="E125" s="75"/>
      <c r="F125" s="8">
        <f>569.707430021989+409.788845809313</f>
        <v>979.496275831302</v>
      </c>
      <c r="G125" s="7"/>
      <c r="H125" s="8">
        <v>711.78422136077097</v>
      </c>
      <c r="I125" s="7"/>
      <c r="J125" s="8" t="s">
        <v>10</v>
      </c>
      <c r="K125" s="7"/>
      <c r="L125" s="8">
        <v>717.975054444894</v>
      </c>
      <c r="M125" s="7"/>
      <c r="N125" s="8" t="s">
        <v>10</v>
      </c>
      <c r="O125" s="78">
        <f t="shared" si="1"/>
        <v>2409.2555516369671</v>
      </c>
      <c r="P125" s="110">
        <f>SUM(O120:O125)</f>
        <v>14402.403370532295</v>
      </c>
    </row>
    <row r="126" spans="1:17" x14ac:dyDescent="0.25">
      <c r="A126" s="76"/>
      <c r="B126" s="7"/>
      <c r="C126" s="12"/>
      <c r="D126" s="4"/>
      <c r="E126" s="75"/>
      <c r="G126" s="7"/>
      <c r="I126" s="7"/>
      <c r="K126" s="7"/>
      <c r="M126" s="7"/>
      <c r="N126" s="8"/>
      <c r="P126" s="19"/>
    </row>
    <row r="127" spans="1:17" x14ac:dyDescent="0.25">
      <c r="A127" s="17" t="s">
        <v>23</v>
      </c>
      <c r="C127" s="12"/>
      <c r="D127" s="4"/>
      <c r="E127" s="5"/>
      <c r="F127" s="8">
        <f>SUM(F2:F126)</f>
        <v>96152.075704686154</v>
      </c>
      <c r="H127" s="8">
        <f>SUM(H2:H126)</f>
        <v>98095.968422134538</v>
      </c>
      <c r="J127" s="8">
        <f>SUM(J2:J126)</f>
        <v>66628.085458421803</v>
      </c>
      <c r="L127" s="8">
        <f>SUM(L2:L126)</f>
        <v>51839.589826806739</v>
      </c>
      <c r="N127" s="8">
        <f>SUM(N2:N126)</f>
        <v>0</v>
      </c>
      <c r="O127" s="8">
        <f>SUM(O2:O126)</f>
        <v>312715.71941204934</v>
      </c>
      <c r="P127" s="8">
        <f>SUM(P2:P126)</f>
        <v>312715.71941204928</v>
      </c>
      <c r="Q127" s="19">
        <f>SUM(F127,H127,J127,L127,N127)</f>
        <v>312715.71941204922</v>
      </c>
    </row>
    <row r="128" spans="1:17" x14ac:dyDescent="0.25">
      <c r="A128" s="18" t="s">
        <v>16</v>
      </c>
      <c r="C128" s="12"/>
      <c r="D128" s="4"/>
      <c r="E128" s="5"/>
    </row>
    <row r="129" spans="1:5" x14ac:dyDescent="0.25">
      <c r="A129" s="10" t="s">
        <v>17</v>
      </c>
      <c r="C129" s="12"/>
      <c r="D129" s="4"/>
      <c r="E129" s="5"/>
    </row>
    <row r="130" spans="1:5" x14ac:dyDescent="0.25">
      <c r="A130" t="s">
        <v>24</v>
      </c>
      <c r="C130" s="12"/>
      <c r="D130" s="4"/>
      <c r="E130" s="5"/>
    </row>
    <row r="157" spans="1:14" x14ac:dyDescent="0.25">
      <c r="A157" s="2"/>
      <c r="B157" s="6"/>
      <c r="C157" s="12"/>
      <c r="E157" s="5"/>
      <c r="F157" s="73"/>
      <c r="G157" s="5"/>
      <c r="H157" s="73"/>
      <c r="J157" s="73"/>
      <c r="L157" s="73"/>
      <c r="N157" s="3"/>
    </row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33"/>
  <sheetViews>
    <sheetView topLeftCell="A113" zoomScale="120" zoomScaleNormal="120" workbookViewId="0">
      <selection activeCell="H112" sqref="H112"/>
    </sheetView>
  </sheetViews>
  <sheetFormatPr defaultRowHeight="15" x14ac:dyDescent="0.25"/>
  <cols>
    <col min="1" max="1" width="20.7109375" customWidth="1"/>
    <col min="3" max="3" width="9.140625" style="94"/>
    <col min="4" max="4" width="9.140625" style="20"/>
    <col min="5" max="5" width="3.5703125" customWidth="1"/>
    <col min="6" max="6" width="15" style="4" customWidth="1"/>
    <col min="7" max="7" width="4" customWidth="1"/>
    <col min="8" max="8" width="13.85546875" style="20" customWidth="1"/>
    <col min="9" max="9" width="3.28515625" customWidth="1"/>
    <col min="10" max="10" width="14.28515625" style="20" customWidth="1"/>
    <col min="11" max="11" width="3.28515625" customWidth="1"/>
    <col min="12" max="12" width="15.42578125" style="20" customWidth="1"/>
    <col min="13" max="13" width="3.42578125" customWidth="1"/>
    <col min="14" max="14" width="16" customWidth="1"/>
    <col min="15" max="15" width="13.85546875" style="20" customWidth="1"/>
  </cols>
  <sheetData>
    <row r="1" spans="1:16" x14ac:dyDescent="0.25">
      <c r="A1" s="13" t="s">
        <v>0</v>
      </c>
      <c r="B1" s="1" t="s">
        <v>1</v>
      </c>
      <c r="C1" s="11" t="s">
        <v>3</v>
      </c>
      <c r="D1" s="54" t="s">
        <v>2</v>
      </c>
      <c r="E1" s="134" t="s">
        <v>4</v>
      </c>
      <c r="F1" s="134"/>
      <c r="G1" s="134" t="s">
        <v>5</v>
      </c>
      <c r="H1" s="134"/>
      <c r="I1" s="134" t="s">
        <v>6</v>
      </c>
      <c r="J1" s="134"/>
      <c r="K1" s="134" t="s">
        <v>7</v>
      </c>
      <c r="L1" s="134"/>
      <c r="M1" s="134" t="s">
        <v>8</v>
      </c>
      <c r="N1" s="134"/>
      <c r="O1" s="54" t="s">
        <v>9</v>
      </c>
    </row>
    <row r="2" spans="1:16" x14ac:dyDescent="0.25">
      <c r="A2" s="76">
        <v>45568</v>
      </c>
      <c r="B2" s="7" t="s">
        <v>22</v>
      </c>
      <c r="C2" s="12">
        <v>0.81805555555555554</v>
      </c>
      <c r="D2" s="4">
        <v>0.33</v>
      </c>
      <c r="E2" s="75"/>
      <c r="F2" s="4">
        <f>+Harvest!F2/Effort!F2</f>
        <v>12.754112152340307</v>
      </c>
      <c r="G2" s="4"/>
      <c r="H2" s="4">
        <f>+Harvest!H2/Effort!H2</f>
        <v>14.416666666666687</v>
      </c>
      <c r="I2" s="4"/>
      <c r="J2" s="8" t="s">
        <v>10</v>
      </c>
      <c r="K2" s="7"/>
      <c r="L2" s="4">
        <f>+Harvest!L2/Effort!L2</f>
        <v>14.592592592592602</v>
      </c>
      <c r="M2" s="7"/>
      <c r="N2" s="8" t="s">
        <v>10</v>
      </c>
      <c r="O2" s="4">
        <f>+Harvest!O2/Effort!O2</f>
        <v>13.833663740584859</v>
      </c>
    </row>
    <row r="3" spans="1:16" x14ac:dyDescent="0.25">
      <c r="A3" s="76">
        <v>45569</v>
      </c>
      <c r="B3" s="7" t="s">
        <v>18</v>
      </c>
      <c r="C3" s="12">
        <v>0.84027777777777779</v>
      </c>
      <c r="D3" s="4">
        <v>0.13</v>
      </c>
      <c r="E3" s="75"/>
      <c r="F3" s="4">
        <v>15</v>
      </c>
      <c r="G3" s="4" t="s">
        <v>63</v>
      </c>
      <c r="H3" s="4">
        <v>15</v>
      </c>
      <c r="I3" s="4"/>
      <c r="J3" s="4">
        <f>+Harvest!J3/Effort!J3</f>
        <v>14.931034482758623</v>
      </c>
      <c r="K3" s="7"/>
      <c r="L3" s="8" t="s">
        <v>10</v>
      </c>
      <c r="M3" s="7"/>
      <c r="N3" s="8" t="s">
        <v>10</v>
      </c>
      <c r="O3" s="4">
        <f>+Harvest!O3/Effort!O3</f>
        <v>14.967093274206269</v>
      </c>
    </row>
    <row r="4" spans="1:16" x14ac:dyDescent="0.25">
      <c r="A4" s="76">
        <v>45570</v>
      </c>
      <c r="B4" s="7" t="s">
        <v>19</v>
      </c>
      <c r="C4" s="12">
        <v>0.86388888888888893</v>
      </c>
      <c r="D4" s="4">
        <v>7.0000000000000007E-2</v>
      </c>
      <c r="E4" s="75" t="s">
        <v>63</v>
      </c>
      <c r="F4" s="4">
        <v>14</v>
      </c>
      <c r="G4" s="4"/>
      <c r="H4" s="4">
        <f>+Harvest!H4/Effort!H4</f>
        <v>14.038461538461524</v>
      </c>
      <c r="I4" s="4"/>
      <c r="J4" s="4">
        <f>+Harvest!J4/Effort!J4</f>
        <v>12.387755102040819</v>
      </c>
      <c r="K4" s="7"/>
      <c r="L4" s="8" t="s">
        <v>10</v>
      </c>
      <c r="M4" s="7"/>
      <c r="N4" s="8" t="s">
        <v>10</v>
      </c>
      <c r="O4" s="4">
        <f>+Harvest!O4/Effort!O4</f>
        <v>13.240659170514215</v>
      </c>
    </row>
    <row r="5" spans="1:16" x14ac:dyDescent="0.25">
      <c r="A5" s="76">
        <v>45571</v>
      </c>
      <c r="B5" s="7" t="s">
        <v>20</v>
      </c>
      <c r="C5" s="12">
        <v>0.88888888888888884</v>
      </c>
      <c r="D5" s="4">
        <v>0.13</v>
      </c>
      <c r="E5" s="75" t="s">
        <v>63</v>
      </c>
      <c r="F5" s="4">
        <v>15</v>
      </c>
      <c r="G5" s="4" t="s">
        <v>63</v>
      </c>
      <c r="H5" s="4">
        <v>15</v>
      </c>
      <c r="I5" s="4"/>
      <c r="J5" s="8" t="s">
        <v>10</v>
      </c>
      <c r="K5" s="7"/>
      <c r="L5" s="4">
        <f>+Harvest!L5/Effort!L5</f>
        <v>15.000000000000016</v>
      </c>
      <c r="M5" s="7"/>
      <c r="N5" s="8" t="s">
        <v>10</v>
      </c>
      <c r="O5" s="4">
        <f>+Harvest!O5/Effort!O5</f>
        <v>15.000000000000004</v>
      </c>
    </row>
    <row r="6" spans="1:16" x14ac:dyDescent="0.25">
      <c r="A6" s="76">
        <v>45572</v>
      </c>
      <c r="B6" s="7" t="s">
        <v>21</v>
      </c>
      <c r="C6" s="12">
        <v>0.91805555555555562</v>
      </c>
      <c r="D6" s="4">
        <v>0.3</v>
      </c>
      <c r="E6" s="75"/>
      <c r="F6" s="8">
        <v>15</v>
      </c>
      <c r="G6" s="7"/>
      <c r="H6" s="4">
        <f>+Harvest!H6/Effort!H6</f>
        <v>15.000000000000064</v>
      </c>
      <c r="I6" s="7"/>
      <c r="J6" s="8" t="s">
        <v>10</v>
      </c>
      <c r="K6" s="7"/>
      <c r="L6" s="4">
        <f>+Harvest!L6/Effort!L6</f>
        <v>14.999999999999973</v>
      </c>
      <c r="M6" s="7"/>
      <c r="N6" s="8" t="s">
        <v>10</v>
      </c>
      <c r="O6" s="4">
        <f>+Harvest!O6/Effort!O6</f>
        <v>15.000000000000012</v>
      </c>
    </row>
    <row r="7" spans="1:16" x14ac:dyDescent="0.25">
      <c r="A7" s="76"/>
      <c r="B7" s="7"/>
      <c r="C7" s="12"/>
      <c r="D7" s="4"/>
      <c r="E7" s="75"/>
      <c r="G7" s="4"/>
      <c r="H7" s="4"/>
      <c r="I7" s="7"/>
      <c r="J7" s="8"/>
      <c r="K7" s="7"/>
      <c r="L7" s="8"/>
      <c r="M7" s="7"/>
      <c r="N7" s="8"/>
      <c r="O7" s="4"/>
    </row>
    <row r="8" spans="1:16" x14ac:dyDescent="0.25">
      <c r="A8" s="76">
        <v>45580</v>
      </c>
      <c r="B8" s="7" t="s">
        <v>61</v>
      </c>
      <c r="C8" s="12">
        <v>0.72986111111111107</v>
      </c>
      <c r="D8" s="4">
        <v>0.53</v>
      </c>
      <c r="E8" s="75" t="s">
        <v>63</v>
      </c>
      <c r="F8" s="4">
        <v>14.5</v>
      </c>
      <c r="G8" s="7"/>
      <c r="H8" s="4">
        <f>+Harvest!H8/Effort!H8</f>
        <v>14.133333333333256</v>
      </c>
      <c r="I8" s="7"/>
      <c r="J8" s="8" t="s">
        <v>10</v>
      </c>
      <c r="K8" s="7"/>
      <c r="L8" s="4">
        <f>+Harvest!L8/Effort!L8</f>
        <v>14.880952380952332</v>
      </c>
      <c r="M8" s="7"/>
      <c r="N8" s="8" t="s">
        <v>10</v>
      </c>
      <c r="O8" s="4">
        <f>+Harvest!O8/Effort!O8</f>
        <v>14.494110982600519</v>
      </c>
    </row>
    <row r="9" spans="1:16" x14ac:dyDescent="0.25">
      <c r="A9" s="76">
        <v>45581</v>
      </c>
      <c r="B9" s="7" t="s">
        <v>62</v>
      </c>
      <c r="C9" s="12">
        <v>0.76250000000000007</v>
      </c>
      <c r="D9" s="4">
        <v>-0.48</v>
      </c>
      <c r="E9" s="75"/>
      <c r="F9" s="4">
        <f>+Harvest!F9/Effort!F9</f>
        <v>12.817444014931011</v>
      </c>
      <c r="G9" s="7" t="s">
        <v>63</v>
      </c>
      <c r="H9" s="4">
        <v>15</v>
      </c>
      <c r="I9" s="7"/>
      <c r="J9" s="4">
        <f>+Harvest!J9/Effort!J9</f>
        <v>15.000000000000066</v>
      </c>
      <c r="K9" s="7"/>
      <c r="L9" s="8" t="s">
        <v>10</v>
      </c>
      <c r="M9" s="7"/>
      <c r="N9" s="8" t="s">
        <v>10</v>
      </c>
      <c r="O9" s="4">
        <f>+Harvest!O9/Effort!O9</f>
        <v>14.355470769814021</v>
      </c>
    </row>
    <row r="10" spans="1:16" x14ac:dyDescent="0.25">
      <c r="A10" s="76">
        <v>45582</v>
      </c>
      <c r="B10" s="7" t="s">
        <v>22</v>
      </c>
      <c r="C10" s="12">
        <v>0.79375000000000007</v>
      </c>
      <c r="D10" s="4">
        <v>-1.25</v>
      </c>
      <c r="E10" s="75" t="s">
        <v>63</v>
      </c>
      <c r="F10" s="4">
        <v>14.5</v>
      </c>
      <c r="G10" s="7"/>
      <c r="H10" s="4">
        <f>+Harvest!H10/Effort!H10</f>
        <v>14.819672131147543</v>
      </c>
      <c r="I10" s="7"/>
      <c r="J10" s="4">
        <f>+Harvest!J10/Effort!J10</f>
        <v>14.577464788732357</v>
      </c>
      <c r="K10" s="7"/>
      <c r="L10" s="8" t="s">
        <v>10</v>
      </c>
      <c r="M10" s="7"/>
      <c r="N10" s="8" t="s">
        <v>10</v>
      </c>
      <c r="O10" s="4">
        <f>+Harvest!O10/Effort!O10</f>
        <v>14.628438354945837</v>
      </c>
    </row>
    <row r="11" spans="1:16" x14ac:dyDescent="0.25">
      <c r="A11" s="76">
        <v>45583</v>
      </c>
      <c r="B11" s="7" t="s">
        <v>18</v>
      </c>
      <c r="C11" s="12">
        <v>0.8256944444444444</v>
      </c>
      <c r="D11" s="4">
        <v>-1.66</v>
      </c>
      <c r="E11" s="75"/>
      <c r="F11" s="4">
        <v>3.5</v>
      </c>
      <c r="G11" s="7"/>
      <c r="H11" s="4">
        <f>+Harvest!H11/Effort!H11</f>
        <v>5.0857142857142827</v>
      </c>
      <c r="I11" s="7"/>
      <c r="J11" s="8" t="s">
        <v>10</v>
      </c>
      <c r="K11" s="7"/>
      <c r="L11" s="4">
        <f>+Harvest!L11/Effort!L11</f>
        <v>2.8604651162790691</v>
      </c>
      <c r="M11" s="7"/>
      <c r="N11" s="8" t="s">
        <v>10</v>
      </c>
      <c r="O11" s="4">
        <f>+Harvest!O11/Effort!O11</f>
        <v>3.801002171097104</v>
      </c>
    </row>
    <row r="12" spans="1:16" x14ac:dyDescent="0.25">
      <c r="A12" s="76">
        <v>45584</v>
      </c>
      <c r="B12" s="7" t="s">
        <v>19</v>
      </c>
      <c r="C12" s="12">
        <v>0.85763888888888884</v>
      </c>
      <c r="D12" s="4">
        <v>-1.69</v>
      </c>
      <c r="E12" s="75"/>
      <c r="F12" s="4">
        <v>11.3</v>
      </c>
      <c r="G12" s="7" t="s">
        <v>63</v>
      </c>
      <c r="H12" s="4">
        <v>9</v>
      </c>
      <c r="I12" s="7"/>
      <c r="J12" s="8" t="s">
        <v>10</v>
      </c>
      <c r="K12" s="7"/>
      <c r="L12" s="4">
        <f>+Harvest!L12/Effort!L12</f>
        <v>8.2045454545454284</v>
      </c>
      <c r="M12" s="7"/>
      <c r="N12" s="8" t="s">
        <v>10</v>
      </c>
      <c r="O12" s="4">
        <f>+Harvest!O12/Effort!O12</f>
        <v>9.7025059151695778</v>
      </c>
    </row>
    <row r="13" spans="1:16" x14ac:dyDescent="0.25">
      <c r="A13" s="76">
        <v>45585</v>
      </c>
      <c r="B13" s="7" t="s">
        <v>20</v>
      </c>
      <c r="C13" s="12">
        <v>0.89166666666666661</v>
      </c>
      <c r="D13" s="4">
        <v>-1.36</v>
      </c>
      <c r="E13" s="75" t="s">
        <v>63</v>
      </c>
      <c r="F13" s="4">
        <v>15</v>
      </c>
      <c r="G13" s="7" t="s">
        <v>63</v>
      </c>
      <c r="H13" s="4">
        <v>15</v>
      </c>
      <c r="I13" s="7"/>
      <c r="J13" s="4">
        <f>+Harvest!J13/Effort!J13</f>
        <v>14.999999999999991</v>
      </c>
      <c r="K13" s="7"/>
      <c r="L13" s="8" t="s">
        <v>10</v>
      </c>
      <c r="M13" s="7"/>
      <c r="N13" s="8" t="s">
        <v>10</v>
      </c>
      <c r="O13" s="4">
        <f>+Harvest!O13/Effort!O13</f>
        <v>14.999999999999998</v>
      </c>
    </row>
    <row r="14" spans="1:16" x14ac:dyDescent="0.25">
      <c r="A14" s="76">
        <v>45586</v>
      </c>
      <c r="B14" s="7" t="s">
        <v>21</v>
      </c>
      <c r="C14" s="12">
        <v>0.9277777777777777</v>
      </c>
      <c r="D14" s="4">
        <v>-0.78</v>
      </c>
      <c r="E14" s="75" t="s">
        <v>63</v>
      </c>
      <c r="F14" s="4">
        <v>15</v>
      </c>
      <c r="G14" s="7" t="s">
        <v>63</v>
      </c>
      <c r="H14" s="4">
        <v>15</v>
      </c>
      <c r="I14" s="7"/>
      <c r="J14" s="4">
        <f>+Harvest!J14/Effort!J14</f>
        <v>14.999999999999998</v>
      </c>
      <c r="K14" s="7"/>
      <c r="L14" s="8" t="s">
        <v>10</v>
      </c>
      <c r="M14" s="7"/>
      <c r="N14" s="8" t="s">
        <v>10</v>
      </c>
      <c r="O14" s="4">
        <f>+Harvest!O14/Effort!O14</f>
        <v>14.999999999999998</v>
      </c>
    </row>
    <row r="15" spans="1:16" x14ac:dyDescent="0.25">
      <c r="A15" s="76"/>
      <c r="B15" s="7"/>
      <c r="C15" s="12"/>
      <c r="D15" s="4"/>
      <c r="E15" s="75"/>
      <c r="F15" s="8"/>
      <c r="G15" s="7"/>
      <c r="H15" s="8"/>
      <c r="I15" s="7"/>
      <c r="J15" s="8"/>
      <c r="K15" s="7"/>
      <c r="L15" s="8"/>
      <c r="M15" s="7"/>
      <c r="N15" s="8"/>
      <c r="O15" s="4"/>
    </row>
    <row r="16" spans="1:16" x14ac:dyDescent="0.25">
      <c r="A16" s="76">
        <v>45597</v>
      </c>
      <c r="B16" s="7" t="s">
        <v>18</v>
      </c>
      <c r="C16" s="12">
        <v>0.80208333333333337</v>
      </c>
      <c r="D16" s="4">
        <v>-0.19</v>
      </c>
      <c r="E16" s="75"/>
      <c r="F16" s="4">
        <f>+Harvest!F16/Effort!F16</f>
        <v>12.262146525461139</v>
      </c>
      <c r="G16" s="7" t="s">
        <v>63</v>
      </c>
      <c r="H16" s="4">
        <v>13</v>
      </c>
      <c r="I16" s="7"/>
      <c r="J16" s="8" t="s">
        <v>10</v>
      </c>
      <c r="K16" s="7"/>
      <c r="L16" s="4">
        <f>+Harvest!L16/Effort!L16</f>
        <v>13.24137931034487</v>
      </c>
      <c r="M16" s="7"/>
      <c r="N16" s="8" t="s">
        <v>10</v>
      </c>
      <c r="O16" s="4">
        <f>+Harvest!O16/Effort!O16</f>
        <v>12.878915698306267</v>
      </c>
      <c r="P16" s="19"/>
    </row>
    <row r="17" spans="1:16" x14ac:dyDescent="0.25">
      <c r="A17" s="76">
        <v>45598</v>
      </c>
      <c r="B17" s="7" t="s">
        <v>19</v>
      </c>
      <c r="C17" s="12">
        <v>0.82430555555555562</v>
      </c>
      <c r="D17" s="4">
        <v>-0.36</v>
      </c>
      <c r="E17" s="75" t="s">
        <v>63</v>
      </c>
      <c r="F17" s="4">
        <v>13</v>
      </c>
      <c r="G17" s="7"/>
      <c r="H17" s="4">
        <f>+Harvest!H17/Effort!H17</f>
        <v>13.145833333333368</v>
      </c>
      <c r="I17" s="7"/>
      <c r="J17" s="8" t="s">
        <v>10</v>
      </c>
      <c r="K17" s="7"/>
      <c r="L17" s="4">
        <f>+Harvest!L17/Effort!L17</f>
        <v>9.5853658536585051</v>
      </c>
      <c r="M17" s="7"/>
      <c r="N17" s="8" t="s">
        <v>10</v>
      </c>
      <c r="O17" s="4">
        <f>+Harvest!O17/Effort!O17</f>
        <v>11.898714605387589</v>
      </c>
      <c r="P17" s="19"/>
    </row>
    <row r="18" spans="1:16" x14ac:dyDescent="0.25">
      <c r="A18" s="76">
        <v>45599</v>
      </c>
      <c r="B18" s="7" t="s">
        <v>20</v>
      </c>
      <c r="C18" s="12">
        <v>0.80694444444444446</v>
      </c>
      <c r="D18" s="4">
        <v>-0.39</v>
      </c>
      <c r="E18" s="75"/>
      <c r="F18" s="4">
        <v>5.2</v>
      </c>
      <c r="G18" s="7"/>
      <c r="H18" s="4">
        <f>+Harvest!H18/Effort!H18</f>
        <v>1.8399999999999999</v>
      </c>
      <c r="I18" s="7"/>
      <c r="J18" s="4">
        <f>+Harvest!J18/Effort!J18</f>
        <v>4.0967741935483861</v>
      </c>
      <c r="K18" s="7"/>
      <c r="L18" s="8" t="s">
        <v>10</v>
      </c>
      <c r="M18" s="7"/>
      <c r="N18" s="8" t="s">
        <v>10</v>
      </c>
      <c r="O18" s="4">
        <f>+Harvest!O18/Effort!O18</f>
        <v>3.5168025474621443</v>
      </c>
      <c r="P18" s="19"/>
    </row>
    <row r="19" spans="1:16" x14ac:dyDescent="0.25">
      <c r="A19" s="76">
        <v>45600</v>
      </c>
      <c r="B19" s="7" t="s">
        <v>21</v>
      </c>
      <c r="C19" s="12">
        <v>0.83333333333333337</v>
      </c>
      <c r="D19" s="4">
        <v>-0.28999999999999998</v>
      </c>
      <c r="E19" s="75" t="s">
        <v>63</v>
      </c>
      <c r="F19" s="4">
        <v>9</v>
      </c>
      <c r="G19" s="7" t="s">
        <v>63</v>
      </c>
      <c r="H19" s="4">
        <v>9</v>
      </c>
      <c r="I19" s="7"/>
      <c r="J19" s="4">
        <f>+Harvest!J19/Effort!J19</f>
        <v>9.0000000000000107</v>
      </c>
      <c r="K19" s="7"/>
      <c r="L19" s="8" t="s">
        <v>10</v>
      </c>
      <c r="M19" s="7"/>
      <c r="N19" s="8" t="s">
        <v>10</v>
      </c>
      <c r="O19" s="4">
        <f>+Harvest!O19/Effort!O19</f>
        <v>9.0000000000000053</v>
      </c>
      <c r="P19" s="19"/>
    </row>
    <row r="20" spans="1:16" x14ac:dyDescent="0.25">
      <c r="A20" s="76">
        <v>45601</v>
      </c>
      <c r="B20" s="7" t="s">
        <v>61</v>
      </c>
      <c r="C20" s="12">
        <v>0.86249999999999993</v>
      </c>
      <c r="D20" s="4">
        <v>-0.09</v>
      </c>
      <c r="E20" s="75" t="s">
        <v>63</v>
      </c>
      <c r="F20" s="4">
        <v>13</v>
      </c>
      <c r="G20" s="7"/>
      <c r="H20" s="4">
        <f>+Harvest!H20/Effort!H20</f>
        <v>13.999999999999998</v>
      </c>
      <c r="I20" s="7"/>
      <c r="J20" s="8" t="s">
        <v>10</v>
      </c>
      <c r="K20" s="7"/>
      <c r="L20" s="4">
        <f>+Harvest!L20/Effort!L20</f>
        <v>11.214285714285753</v>
      </c>
      <c r="M20" s="7"/>
      <c r="N20" s="8" t="s">
        <v>10</v>
      </c>
      <c r="O20" s="4">
        <f>+Harvest!O20/Effort!O20</f>
        <v>12.771445770001787</v>
      </c>
      <c r="P20" s="19"/>
    </row>
    <row r="21" spans="1:16" x14ac:dyDescent="0.25">
      <c r="A21" s="76"/>
      <c r="B21" s="7"/>
      <c r="C21" s="12"/>
      <c r="D21" s="4"/>
      <c r="E21" s="75"/>
      <c r="F21" s="8"/>
      <c r="G21" s="7"/>
      <c r="H21" s="8"/>
      <c r="I21" s="7"/>
      <c r="J21" s="8"/>
      <c r="K21" s="7"/>
      <c r="L21" s="8"/>
      <c r="M21" s="7"/>
      <c r="N21" s="8"/>
      <c r="O21" s="4"/>
      <c r="P21" s="19"/>
    </row>
    <row r="22" spans="1:16" x14ac:dyDescent="0.25">
      <c r="A22" s="76">
        <v>45609</v>
      </c>
      <c r="B22" s="7" t="s">
        <v>62</v>
      </c>
      <c r="C22" s="12">
        <v>0.67708333333333337</v>
      </c>
      <c r="D22" s="4">
        <v>-0.17</v>
      </c>
      <c r="E22" s="75"/>
      <c r="F22" s="4">
        <v>12.1</v>
      </c>
      <c r="G22" s="4" t="s">
        <v>63</v>
      </c>
      <c r="H22" s="4">
        <v>13</v>
      </c>
      <c r="I22" s="4"/>
      <c r="J22" s="4" t="s">
        <v>10</v>
      </c>
      <c r="K22" s="7"/>
      <c r="L22" s="4">
        <f>+Harvest!L22/Effort!L22</f>
        <v>13.641025641025632</v>
      </c>
      <c r="M22" s="7"/>
      <c r="N22" s="8" t="s">
        <v>10</v>
      </c>
      <c r="O22" s="4">
        <f>+Harvest!O22/Effort!O22</f>
        <v>12.950953491795964</v>
      </c>
      <c r="P22" s="19"/>
    </row>
    <row r="23" spans="1:16" x14ac:dyDescent="0.25">
      <c r="A23" s="76">
        <v>45610</v>
      </c>
      <c r="B23" s="7" t="s">
        <v>22</v>
      </c>
      <c r="C23" s="12">
        <v>0.70972222222222225</v>
      </c>
      <c r="D23" s="4">
        <v>-1.0900000000000001</v>
      </c>
      <c r="E23" s="75"/>
      <c r="F23" s="4">
        <v>12</v>
      </c>
      <c r="G23" s="4"/>
      <c r="H23" s="4">
        <f>+Harvest!H23/Effort!H23</f>
        <v>12.349999999999962</v>
      </c>
      <c r="I23" s="4"/>
      <c r="J23" s="4" t="s">
        <v>10</v>
      </c>
      <c r="K23" s="7"/>
      <c r="L23" s="4">
        <f>+Harvest!L23/Effort!L23</f>
        <v>14.374999999999968</v>
      </c>
      <c r="M23" s="7"/>
      <c r="N23" s="8" t="s">
        <v>10</v>
      </c>
      <c r="O23" s="4">
        <f>+Harvest!O23/Effort!O23</f>
        <v>12.895708326862101</v>
      </c>
      <c r="P23" s="19"/>
    </row>
    <row r="24" spans="1:16" x14ac:dyDescent="0.25">
      <c r="A24" s="76">
        <v>45611</v>
      </c>
      <c r="B24" s="7" t="s">
        <v>18</v>
      </c>
      <c r="C24" s="12">
        <v>0.7416666666666667</v>
      </c>
      <c r="D24" s="4">
        <v>-1.68</v>
      </c>
      <c r="E24" s="75"/>
      <c r="F24" s="4">
        <v>15</v>
      </c>
      <c r="G24" s="4"/>
      <c r="H24" s="4">
        <f>+Harvest!H24/Effort!H24</f>
        <v>14.333333333333318</v>
      </c>
      <c r="I24" s="4"/>
      <c r="J24" s="4">
        <f>+Harvest!J24/Effort!J24</f>
        <v>14.20289855072466</v>
      </c>
      <c r="K24" s="7"/>
      <c r="L24" s="8" t="s">
        <v>10</v>
      </c>
      <c r="M24" s="7"/>
      <c r="N24" s="8" t="s">
        <v>10</v>
      </c>
      <c r="O24" s="4">
        <f>+Harvest!O24/Effort!O24</f>
        <v>14.443580998119462</v>
      </c>
      <c r="P24" s="19"/>
    </row>
    <row r="25" spans="1:16" x14ac:dyDescent="0.25">
      <c r="A25" s="76">
        <v>45612</v>
      </c>
      <c r="B25" s="7" t="s">
        <v>19</v>
      </c>
      <c r="C25" s="12">
        <v>0.7729166666666667</v>
      </c>
      <c r="D25" s="4">
        <v>-1.9</v>
      </c>
      <c r="E25" s="75" t="s">
        <v>63</v>
      </c>
      <c r="F25" s="4">
        <v>2.5</v>
      </c>
      <c r="G25" s="4"/>
      <c r="H25" s="4">
        <f>+Harvest!H25/Effort!H25</f>
        <v>1.08</v>
      </c>
      <c r="I25" s="4"/>
      <c r="J25" s="4">
        <f>+Harvest!J25/Effort!J25</f>
        <v>2.5409836065573801</v>
      </c>
      <c r="K25" s="7"/>
      <c r="L25" s="8" t="s">
        <v>10</v>
      </c>
      <c r="M25" s="7"/>
      <c r="N25" s="8" t="s">
        <v>10</v>
      </c>
      <c r="O25" s="4">
        <f>+Harvest!O25/Effort!O25</f>
        <v>2.2668750950459979</v>
      </c>
      <c r="P25" s="19"/>
    </row>
    <row r="26" spans="1:16" x14ac:dyDescent="0.25">
      <c r="A26" s="76">
        <v>45613</v>
      </c>
      <c r="B26" s="7" t="s">
        <v>20</v>
      </c>
      <c r="C26" s="12">
        <v>0.80486111111111114</v>
      </c>
      <c r="D26" s="4">
        <v>-1.75</v>
      </c>
      <c r="E26" s="75" t="s">
        <v>63</v>
      </c>
      <c r="F26" s="4">
        <v>10.5</v>
      </c>
      <c r="G26" s="4" t="s">
        <v>63</v>
      </c>
      <c r="H26" s="4">
        <v>10.5</v>
      </c>
      <c r="I26" s="4"/>
      <c r="J26" s="4" t="s">
        <v>10</v>
      </c>
      <c r="K26" s="7"/>
      <c r="L26" s="4">
        <f>+Harvest!L26/Effort!L26</f>
        <v>10.366666666666674</v>
      </c>
      <c r="M26" s="7"/>
      <c r="N26" s="8" t="s">
        <v>10</v>
      </c>
      <c r="O26" s="4">
        <f>+Harvest!O26/Effort!O26</f>
        <v>10.457002038428067</v>
      </c>
      <c r="P26" s="19"/>
    </row>
    <row r="27" spans="1:16" x14ac:dyDescent="0.25">
      <c r="A27" s="76">
        <v>45614</v>
      </c>
      <c r="B27" s="7" t="s">
        <v>21</v>
      </c>
      <c r="C27" s="12">
        <v>0.83680555555555547</v>
      </c>
      <c r="D27" s="4">
        <v>-1.31</v>
      </c>
      <c r="E27" s="75"/>
      <c r="F27" s="4">
        <v>9.6</v>
      </c>
      <c r="G27" s="4"/>
      <c r="H27" s="4">
        <v>8</v>
      </c>
      <c r="I27" s="4"/>
      <c r="J27" s="4" t="s">
        <v>10</v>
      </c>
      <c r="K27" s="7"/>
      <c r="L27" s="4">
        <f>+Harvest!L27/Effort!L27</f>
        <v>7.7500000000000178</v>
      </c>
      <c r="M27" s="7"/>
      <c r="N27" s="8" t="s">
        <v>10</v>
      </c>
      <c r="O27" s="4">
        <f>+Harvest!O27/Effort!O27</f>
        <v>5.6297903576185186</v>
      </c>
      <c r="P27" s="19"/>
    </row>
    <row r="28" spans="1:16" x14ac:dyDescent="0.25">
      <c r="A28" s="76">
        <v>45615</v>
      </c>
      <c r="B28" s="7" t="s">
        <v>61</v>
      </c>
      <c r="C28" s="12">
        <v>0.87083333333333324</v>
      </c>
      <c r="D28" s="4">
        <v>-0.69</v>
      </c>
      <c r="E28" s="75" t="s">
        <v>63</v>
      </c>
      <c r="F28" s="4">
        <v>11.5</v>
      </c>
      <c r="G28" s="4"/>
      <c r="H28" s="4">
        <f>+Harvest!H28/Effort!H28</f>
        <v>11.599999999999987</v>
      </c>
      <c r="I28" s="4" t="s">
        <v>63</v>
      </c>
      <c r="J28" s="4">
        <v>11.5</v>
      </c>
      <c r="K28" s="7"/>
      <c r="L28" s="8" t="s">
        <v>10</v>
      </c>
      <c r="M28" s="7"/>
      <c r="N28" s="8" t="s">
        <v>10</v>
      </c>
      <c r="O28" s="4">
        <f>+Harvest!O28/Effort!O28</f>
        <v>11.526563487933746</v>
      </c>
      <c r="P28" s="19"/>
    </row>
    <row r="29" spans="1:16" x14ac:dyDescent="0.25">
      <c r="A29" s="76"/>
      <c r="B29" s="7"/>
      <c r="C29" s="12"/>
      <c r="D29" s="4"/>
      <c r="E29" s="75"/>
      <c r="F29" s="8"/>
      <c r="G29" s="7"/>
      <c r="H29" s="8"/>
      <c r="I29" s="7"/>
      <c r="J29" s="8"/>
      <c r="K29" s="7"/>
      <c r="L29" s="8"/>
      <c r="M29" s="7"/>
      <c r="N29" s="8"/>
      <c r="O29" s="4"/>
      <c r="P29" s="19"/>
    </row>
    <row r="30" spans="1:16" x14ac:dyDescent="0.25">
      <c r="A30" s="76">
        <v>45625</v>
      </c>
      <c r="B30" s="7" t="s">
        <v>18</v>
      </c>
      <c r="C30" s="12">
        <v>0.72222222222222221</v>
      </c>
      <c r="D30" s="4">
        <v>-7.0000000000000007E-2</v>
      </c>
      <c r="E30" s="75" t="s">
        <v>63</v>
      </c>
      <c r="F30" s="4">
        <v>14</v>
      </c>
      <c r="G30" s="4"/>
      <c r="H30" s="4">
        <f>+Harvest!H30/Effort!H30</f>
        <v>14.555555555555548</v>
      </c>
      <c r="I30" s="7"/>
      <c r="J30" s="8" t="s">
        <v>10</v>
      </c>
      <c r="K30" s="7"/>
      <c r="L30" s="4">
        <f>+Harvest!L30/Effort!L30</f>
        <v>14.047619047619071</v>
      </c>
      <c r="M30" s="7"/>
      <c r="N30" s="8" t="s">
        <v>10</v>
      </c>
      <c r="O30" s="4">
        <f>+Harvest!O30/Effort!O30</f>
        <v>14.21439881512107</v>
      </c>
      <c r="P30" s="19"/>
    </row>
    <row r="31" spans="1:16" x14ac:dyDescent="0.25">
      <c r="A31" s="76">
        <v>45626</v>
      </c>
      <c r="B31" s="7" t="s">
        <v>19</v>
      </c>
      <c r="C31" s="12">
        <v>0.74583333333333324</v>
      </c>
      <c r="D31" s="4">
        <v>-0.41</v>
      </c>
      <c r="E31" s="75"/>
      <c r="F31" s="4">
        <v>14.2</v>
      </c>
      <c r="G31" s="4" t="s">
        <v>63</v>
      </c>
      <c r="H31" s="4">
        <v>14</v>
      </c>
      <c r="I31" s="7"/>
      <c r="J31" s="8" t="s">
        <v>10</v>
      </c>
      <c r="K31" s="7"/>
      <c r="L31" s="4">
        <f>+Harvest!L31/Effort!L31</f>
        <v>11.725490196078402</v>
      </c>
      <c r="M31" s="7"/>
      <c r="N31" s="8" t="s">
        <v>10</v>
      </c>
      <c r="O31" s="4">
        <f>+Harvest!O31/Effort!O31</f>
        <v>13.306054989223822</v>
      </c>
      <c r="P31" s="19"/>
    </row>
    <row r="32" spans="1:16" x14ac:dyDescent="0.25">
      <c r="A32" s="76">
        <v>45627</v>
      </c>
      <c r="B32" s="7" t="s">
        <v>20</v>
      </c>
      <c r="C32" s="12">
        <v>0.77083333333333337</v>
      </c>
      <c r="D32" s="4">
        <v>-0.62</v>
      </c>
      <c r="E32" s="75" t="s">
        <v>63</v>
      </c>
      <c r="F32" s="4">
        <v>14</v>
      </c>
      <c r="G32" s="4"/>
      <c r="H32" s="4">
        <f>+Harvest!H32/Effort!H32</f>
        <v>14.032258064516073</v>
      </c>
      <c r="I32" s="7"/>
      <c r="J32" s="4">
        <f>+Harvest!J32/Effort!J32</f>
        <v>12.481481481481495</v>
      </c>
      <c r="K32" s="7"/>
      <c r="L32" s="8" t="s">
        <v>10</v>
      </c>
      <c r="M32" s="7"/>
      <c r="N32" s="8" t="s">
        <v>10</v>
      </c>
      <c r="O32" s="4">
        <f>+Harvest!O32/Effort!O32</f>
        <v>13.379369387587037</v>
      </c>
      <c r="P32" s="19"/>
    </row>
    <row r="33" spans="1:16" x14ac:dyDescent="0.25">
      <c r="A33" s="76">
        <v>45628</v>
      </c>
      <c r="B33" s="7" t="s">
        <v>21</v>
      </c>
      <c r="C33" s="12">
        <v>0.79583333333333339</v>
      </c>
      <c r="D33" s="4">
        <v>-0.69</v>
      </c>
      <c r="E33" s="75"/>
      <c r="F33" s="4">
        <v>15</v>
      </c>
      <c r="G33" s="4" t="s">
        <v>63</v>
      </c>
      <c r="H33" s="4">
        <v>14</v>
      </c>
      <c r="I33" s="7"/>
      <c r="J33" s="4">
        <f>+Harvest!J33/Effort!J33</f>
        <v>11.799999999999997</v>
      </c>
      <c r="K33" s="7"/>
      <c r="L33" s="8" t="s">
        <v>10</v>
      </c>
      <c r="M33" s="7"/>
      <c r="N33" s="8" t="s">
        <v>10</v>
      </c>
      <c r="O33" s="4">
        <f>+Harvest!O33/Effort!O33</f>
        <v>13.342549973306298</v>
      </c>
      <c r="P33" s="19"/>
    </row>
    <row r="34" spans="1:16" x14ac:dyDescent="0.25">
      <c r="A34" s="76">
        <v>45629</v>
      </c>
      <c r="B34" s="7" t="s">
        <v>61</v>
      </c>
      <c r="C34" s="12">
        <v>0.82361111111111107</v>
      </c>
      <c r="D34" s="4">
        <v>-0.63</v>
      </c>
      <c r="E34" s="75"/>
      <c r="F34" s="4">
        <v>15</v>
      </c>
      <c r="G34" s="4" t="s">
        <v>63</v>
      </c>
      <c r="H34" s="4">
        <v>14</v>
      </c>
      <c r="I34" s="7"/>
      <c r="J34" s="8" t="s">
        <v>10</v>
      </c>
      <c r="K34" s="7"/>
      <c r="L34" s="4">
        <f>+Harvest!L34/Effort!L34</f>
        <v>13.125000000000025</v>
      </c>
      <c r="M34" s="7"/>
      <c r="N34" s="8" t="s">
        <v>10</v>
      </c>
      <c r="O34" s="4">
        <f>+Harvest!O34/Effort!O34</f>
        <v>13.919785766593584</v>
      </c>
      <c r="P34" s="19"/>
    </row>
    <row r="35" spans="1:16" x14ac:dyDescent="0.25">
      <c r="A35" s="76">
        <v>45630</v>
      </c>
      <c r="B35" s="7" t="s">
        <v>62</v>
      </c>
      <c r="C35" s="12">
        <v>0.85277777777777775</v>
      </c>
      <c r="D35" s="4">
        <v>-0.46</v>
      </c>
      <c r="E35" s="75" t="s">
        <v>63</v>
      </c>
      <c r="F35" s="4">
        <v>12</v>
      </c>
      <c r="G35" s="4"/>
      <c r="H35" s="4">
        <f>+Harvest!H35/Effort!H35</f>
        <v>12.85714285714284</v>
      </c>
      <c r="I35" s="7"/>
      <c r="J35" s="8" t="s">
        <v>10</v>
      </c>
      <c r="K35" s="7"/>
      <c r="L35" s="4">
        <f>+Harvest!L35/Effort!L35</f>
        <v>9.0000000000000089</v>
      </c>
      <c r="M35" s="7"/>
      <c r="N35" s="8" t="s">
        <v>10</v>
      </c>
      <c r="O35" s="4">
        <f>+Harvest!O35/Effort!O35</f>
        <v>11.666015406594335</v>
      </c>
      <c r="P35" s="19"/>
    </row>
    <row r="36" spans="1:16" x14ac:dyDescent="0.25">
      <c r="A36" s="76">
        <v>45631</v>
      </c>
      <c r="B36" s="7" t="s">
        <v>22</v>
      </c>
      <c r="C36" s="12">
        <v>0.88402777777777775</v>
      </c>
      <c r="D36" s="4">
        <v>-0.17</v>
      </c>
      <c r="E36" s="75" t="s">
        <v>63</v>
      </c>
      <c r="F36" s="4">
        <v>5</v>
      </c>
      <c r="G36" s="4" t="s">
        <v>63</v>
      </c>
      <c r="H36" s="4">
        <v>5</v>
      </c>
      <c r="I36" s="7"/>
      <c r="J36" s="4">
        <f>+Harvest!J36/Effort!J36</f>
        <v>5.0000000000000115</v>
      </c>
      <c r="K36" s="7"/>
      <c r="L36" s="8" t="s">
        <v>10</v>
      </c>
      <c r="M36" s="7"/>
      <c r="N36" s="8" t="s">
        <v>10</v>
      </c>
      <c r="O36" s="4">
        <f>+Harvest!O36/Effort!O36</f>
        <v>5.0000000000000053</v>
      </c>
      <c r="P36" s="19"/>
    </row>
    <row r="37" spans="1:16" x14ac:dyDescent="0.25">
      <c r="A37" s="76"/>
      <c r="B37" s="7"/>
      <c r="C37" s="12"/>
      <c r="D37" s="4"/>
      <c r="E37" s="75"/>
      <c r="F37" s="8"/>
      <c r="G37" s="7"/>
      <c r="H37" s="8"/>
      <c r="I37" s="7"/>
      <c r="J37" s="8"/>
      <c r="K37" s="7"/>
      <c r="L37" s="8"/>
      <c r="M37" s="7"/>
      <c r="N37" s="8"/>
      <c r="O37" s="4"/>
      <c r="P37" s="19"/>
    </row>
    <row r="38" spans="1:16" x14ac:dyDescent="0.25">
      <c r="A38" s="76">
        <v>45638</v>
      </c>
      <c r="B38" s="7" t="s">
        <v>22</v>
      </c>
      <c r="C38" s="12">
        <v>0.66666666666666663</v>
      </c>
      <c r="D38" s="4">
        <v>-0.48</v>
      </c>
      <c r="E38" s="75"/>
      <c r="F38" s="4">
        <f>+Harvest!F38/Effort!F38</f>
        <v>12.798157174929093</v>
      </c>
      <c r="G38" s="4"/>
      <c r="H38" s="4">
        <f>+Harvest!H38/Effort!H38</f>
        <v>13.625000000000034</v>
      </c>
      <c r="I38" s="4"/>
      <c r="J38" s="4">
        <f>+Harvest!J38/Effort!J38</f>
        <v>14.447368421052586</v>
      </c>
      <c r="K38" s="4"/>
      <c r="L38" s="4" t="s">
        <v>10</v>
      </c>
      <c r="M38" s="7"/>
      <c r="N38" s="8" t="s">
        <v>10</v>
      </c>
      <c r="O38" s="4">
        <f>+Harvest!O38/Effort!O38</f>
        <v>13.766101785180593</v>
      </c>
      <c r="P38" s="19"/>
    </row>
    <row r="39" spans="1:16" x14ac:dyDescent="0.25">
      <c r="A39" s="76">
        <v>45639</v>
      </c>
      <c r="B39" s="7" t="s">
        <v>18</v>
      </c>
      <c r="C39" s="12">
        <v>0.70138888888888884</v>
      </c>
      <c r="D39" s="4">
        <v>-1.17</v>
      </c>
      <c r="E39" s="75"/>
      <c r="F39" s="4">
        <v>13.3</v>
      </c>
      <c r="G39" s="4" t="s">
        <v>63</v>
      </c>
      <c r="H39" s="4">
        <v>12.5</v>
      </c>
      <c r="I39" s="4"/>
      <c r="J39" s="4" t="s">
        <v>10</v>
      </c>
      <c r="K39" s="4"/>
      <c r="L39" s="4">
        <f>+Harvest!L39/Effort!L39</f>
        <v>10.759999999999987</v>
      </c>
      <c r="M39" s="7"/>
      <c r="N39" s="8" t="s">
        <v>10</v>
      </c>
      <c r="O39" s="4">
        <f>+Harvest!O39/Effort!O39</f>
        <v>12.220992561038948</v>
      </c>
      <c r="P39" s="19"/>
    </row>
    <row r="40" spans="1:16" x14ac:dyDescent="0.25">
      <c r="A40" s="76">
        <v>45640</v>
      </c>
      <c r="B40" s="7" t="s">
        <v>19</v>
      </c>
      <c r="C40" s="12">
        <v>0.73333333333333339</v>
      </c>
      <c r="D40" s="4">
        <v>-1.55</v>
      </c>
      <c r="E40" s="75" t="s">
        <v>63</v>
      </c>
      <c r="F40" s="4">
        <v>6</v>
      </c>
      <c r="G40" s="4" t="s">
        <v>63</v>
      </c>
      <c r="H40" s="4">
        <v>6</v>
      </c>
      <c r="I40" s="4"/>
      <c r="J40" s="4" t="s">
        <v>10</v>
      </c>
      <c r="K40" s="4"/>
      <c r="L40" s="4">
        <f>+Harvest!L40/Effort!L40</f>
        <v>5.7812499999999805</v>
      </c>
      <c r="M40" s="7"/>
      <c r="N40" s="8" t="s">
        <v>10</v>
      </c>
      <c r="O40" s="4">
        <f>+Harvest!O40/Effort!O40</f>
        <v>5.9303392605295429</v>
      </c>
      <c r="P40" s="19"/>
    </row>
    <row r="41" spans="1:16" x14ac:dyDescent="0.25">
      <c r="A41" s="76">
        <v>45641</v>
      </c>
      <c r="B41" s="7" t="s">
        <v>20</v>
      </c>
      <c r="C41" s="12">
        <v>0.76458333333333339</v>
      </c>
      <c r="D41" s="4">
        <v>-1.63</v>
      </c>
      <c r="E41" s="75" t="s">
        <v>63</v>
      </c>
      <c r="F41" s="4">
        <v>6</v>
      </c>
      <c r="G41" s="4"/>
      <c r="H41" s="4">
        <f>+Harvest!H41/Effort!H41</f>
        <v>4.7391304347826022</v>
      </c>
      <c r="I41" s="4"/>
      <c r="J41" s="4">
        <f>+Harvest!J41/Effort!J41</f>
        <v>11.048780487804889</v>
      </c>
      <c r="K41" s="4"/>
      <c r="L41" s="4" t="s">
        <v>10</v>
      </c>
      <c r="M41" s="7"/>
      <c r="N41" s="8" t="s">
        <v>10</v>
      </c>
      <c r="O41" s="4">
        <f>+Harvest!O41/Effort!O41</f>
        <v>8.2899792502056702</v>
      </c>
      <c r="P41" s="19"/>
    </row>
    <row r="42" spans="1:16" x14ac:dyDescent="0.25">
      <c r="A42" s="76">
        <v>45642</v>
      </c>
      <c r="B42" s="7" t="s">
        <v>21</v>
      </c>
      <c r="C42" s="12">
        <v>0.79513888888888884</v>
      </c>
      <c r="D42" s="4">
        <v>-1.45</v>
      </c>
      <c r="E42" s="75"/>
      <c r="F42" s="4">
        <v>9.6</v>
      </c>
      <c r="G42" s="4" t="s">
        <v>63</v>
      </c>
      <c r="H42" s="4">
        <v>10</v>
      </c>
      <c r="I42" s="4"/>
      <c r="J42" s="4">
        <f>+Harvest!J42/Effort!J42</f>
        <v>10</v>
      </c>
      <c r="K42" s="4"/>
      <c r="L42" s="4" t="s">
        <v>10</v>
      </c>
      <c r="M42" s="7"/>
      <c r="N42" s="8" t="s">
        <v>10</v>
      </c>
      <c r="O42" s="4">
        <f>+Harvest!O42/Effort!O42</f>
        <v>9.9264628758013096</v>
      </c>
      <c r="P42" s="19"/>
    </row>
    <row r="43" spans="1:16" x14ac:dyDescent="0.25">
      <c r="A43" s="76">
        <v>45643</v>
      </c>
      <c r="B43" s="7" t="s">
        <v>61</v>
      </c>
      <c r="C43" s="12">
        <v>0.82500000000000007</v>
      </c>
      <c r="D43" s="4">
        <v>-1.05</v>
      </c>
      <c r="E43" s="75" t="s">
        <v>63</v>
      </c>
      <c r="F43" s="4">
        <v>2</v>
      </c>
      <c r="G43" s="4"/>
      <c r="H43" s="4">
        <v>2</v>
      </c>
      <c r="I43" s="4"/>
      <c r="J43" s="4" t="s">
        <v>10</v>
      </c>
      <c r="K43" s="4"/>
      <c r="L43" s="4">
        <v>2</v>
      </c>
      <c r="M43" s="7"/>
      <c r="N43" s="8" t="s">
        <v>10</v>
      </c>
      <c r="O43" s="4">
        <f>+Harvest!O43/Effort!O43</f>
        <v>2</v>
      </c>
      <c r="P43" s="19"/>
    </row>
    <row r="44" spans="1:16" x14ac:dyDescent="0.25">
      <c r="A44" s="76">
        <v>45644</v>
      </c>
      <c r="B44" s="7" t="s">
        <v>62</v>
      </c>
      <c r="C44" s="12">
        <v>0.85486111111111107</v>
      </c>
      <c r="D44" s="4">
        <v>-0.51</v>
      </c>
      <c r="E44" s="75" t="s">
        <v>63</v>
      </c>
      <c r="F44" s="4">
        <v>10</v>
      </c>
      <c r="G44" s="4"/>
      <c r="H44" s="4">
        <f>+Harvest!H44/Effort!H44</f>
        <v>9.714285714285694</v>
      </c>
      <c r="I44" s="4"/>
      <c r="J44" s="4" t="s">
        <v>10</v>
      </c>
      <c r="K44" s="4" t="s">
        <v>63</v>
      </c>
      <c r="L44" s="4">
        <v>10</v>
      </c>
      <c r="M44" s="7"/>
      <c r="N44" s="8" t="s">
        <v>10</v>
      </c>
      <c r="O44" s="4">
        <f>+Harvest!O44/Effort!O44</f>
        <v>9.8897915226749493</v>
      </c>
      <c r="P44" s="19"/>
    </row>
    <row r="45" spans="1:16" x14ac:dyDescent="0.25">
      <c r="A45" s="76"/>
      <c r="B45" s="7"/>
      <c r="C45" s="12"/>
      <c r="D45" s="4"/>
      <c r="E45" s="75"/>
      <c r="F45" s="8"/>
      <c r="G45" s="7"/>
      <c r="H45" s="8"/>
      <c r="I45" s="7"/>
      <c r="J45" s="8"/>
      <c r="K45" s="7"/>
      <c r="L45" s="8"/>
      <c r="M45" s="7"/>
      <c r="N45" s="8"/>
      <c r="O45" s="4"/>
      <c r="P45" s="19"/>
    </row>
    <row r="46" spans="1:16" x14ac:dyDescent="0.25">
      <c r="A46" s="76">
        <v>45654</v>
      </c>
      <c r="B46" s="7" t="s">
        <v>19</v>
      </c>
      <c r="C46" s="12">
        <v>0.70694444444444438</v>
      </c>
      <c r="D46" s="4">
        <v>-0.03</v>
      </c>
      <c r="E46" s="75"/>
      <c r="F46" s="4">
        <v>2.8</v>
      </c>
      <c r="G46" s="7"/>
      <c r="H46" s="4">
        <f>+Harvest!H46/Effort!H46</f>
        <v>1.5384615384615354</v>
      </c>
      <c r="I46" s="7"/>
      <c r="J46" s="4">
        <f>+Harvest!J46/Effort!J46</f>
        <v>2.8095238095238155</v>
      </c>
      <c r="K46" s="7"/>
      <c r="L46" s="8" t="s">
        <v>10</v>
      </c>
      <c r="M46" s="7"/>
      <c r="N46" s="8" t="s">
        <v>10</v>
      </c>
      <c r="O46" s="4">
        <f>+Harvest!O46/Effort!O46</f>
        <v>2.4595380080874931</v>
      </c>
      <c r="P46" s="19"/>
    </row>
    <row r="47" spans="1:16" x14ac:dyDescent="0.25">
      <c r="A47" s="76">
        <v>45655</v>
      </c>
      <c r="B47" s="7" t="s">
        <v>20</v>
      </c>
      <c r="C47" s="12">
        <v>0.73333333333333339</v>
      </c>
      <c r="D47" s="4">
        <v>-0.44</v>
      </c>
      <c r="E47" s="75" t="s">
        <v>63</v>
      </c>
      <c r="F47" s="4">
        <v>12</v>
      </c>
      <c r="G47" s="7"/>
      <c r="H47" s="4">
        <f>+Harvest!H47/Effort!H47</f>
        <v>12.347826086956466</v>
      </c>
      <c r="I47" s="7"/>
      <c r="J47" s="8" t="s">
        <v>10</v>
      </c>
      <c r="K47" s="7"/>
      <c r="L47" s="4">
        <f>+Harvest!L47/Effort!L47</f>
        <v>8.0212765957446983</v>
      </c>
      <c r="M47" s="7"/>
      <c r="N47" s="8" t="s">
        <v>10</v>
      </c>
      <c r="O47" s="4">
        <f>+Harvest!O47/Effort!O47</f>
        <v>10.341697568253998</v>
      </c>
      <c r="P47" s="19"/>
    </row>
    <row r="48" spans="1:16" x14ac:dyDescent="0.25">
      <c r="A48" s="76">
        <v>45656</v>
      </c>
      <c r="B48" s="7" t="s">
        <v>21</v>
      </c>
      <c r="C48" s="12">
        <v>0.7597222222222223</v>
      </c>
      <c r="D48" s="4">
        <v>-0.74</v>
      </c>
      <c r="E48" s="75"/>
      <c r="F48" s="4">
        <v>12.7</v>
      </c>
      <c r="G48" s="7" t="s">
        <v>63</v>
      </c>
      <c r="H48" s="4">
        <v>12.5</v>
      </c>
      <c r="I48" s="7"/>
      <c r="J48" s="8" t="s">
        <v>10</v>
      </c>
      <c r="K48" s="7"/>
      <c r="L48" s="4">
        <v>12.5</v>
      </c>
      <c r="M48" s="7"/>
      <c r="N48" s="8" t="s">
        <v>10</v>
      </c>
      <c r="O48" s="4">
        <f>+Harvest!O48/Effort!O48</f>
        <v>12.569333775274162</v>
      </c>
      <c r="P48" s="19"/>
    </row>
    <row r="49" spans="1:16" x14ac:dyDescent="0.25">
      <c r="A49" s="76">
        <v>45657</v>
      </c>
      <c r="B49" s="7" t="s">
        <v>61</v>
      </c>
      <c r="C49" s="12">
        <v>0.78541666666666676</v>
      </c>
      <c r="D49" s="4">
        <v>-0.95</v>
      </c>
      <c r="E49" s="75" t="s">
        <v>63</v>
      </c>
      <c r="F49" s="4">
        <v>12</v>
      </c>
      <c r="G49" s="7" t="s">
        <v>63</v>
      </c>
      <c r="H49" s="4">
        <v>12</v>
      </c>
      <c r="I49" s="7"/>
      <c r="J49" s="4">
        <f>+Harvest!J49/Effort!J49</f>
        <v>12.033333333333331</v>
      </c>
      <c r="K49" s="7"/>
      <c r="L49" s="8" t="s">
        <v>10</v>
      </c>
      <c r="M49" s="7"/>
      <c r="N49" s="8" t="s">
        <v>10</v>
      </c>
      <c r="O49" s="4">
        <f>+Harvest!O49/Effort!O49</f>
        <v>12.015713637655997</v>
      </c>
      <c r="P49" s="19"/>
    </row>
    <row r="50" spans="1:16" x14ac:dyDescent="0.25">
      <c r="A50" s="76">
        <v>45658</v>
      </c>
      <c r="B50" s="7" t="s">
        <v>62</v>
      </c>
      <c r="C50" s="12">
        <v>0.81180555555555556</v>
      </c>
      <c r="D50" s="4">
        <v>-0.95</v>
      </c>
      <c r="E50" s="75" t="s">
        <v>63</v>
      </c>
      <c r="F50" s="4">
        <v>2</v>
      </c>
      <c r="G50" s="7" t="s">
        <v>63</v>
      </c>
      <c r="H50" s="4">
        <v>2</v>
      </c>
      <c r="I50" s="7"/>
      <c r="J50" s="4">
        <f>+Harvest!J50/Effort!J50</f>
        <v>1.651162790697672</v>
      </c>
      <c r="K50" s="7"/>
      <c r="L50" s="8" t="s">
        <v>10</v>
      </c>
      <c r="M50" s="7"/>
      <c r="N50" s="8" t="s">
        <v>10</v>
      </c>
      <c r="O50" s="4">
        <f>+Harvest!O50/Effort!O50</f>
        <v>1.8355549547628338</v>
      </c>
      <c r="P50" s="19"/>
    </row>
    <row r="51" spans="1:16" x14ac:dyDescent="0.25">
      <c r="A51" s="76">
        <v>45659</v>
      </c>
      <c r="B51" s="7" t="s">
        <v>22</v>
      </c>
      <c r="C51" s="12">
        <v>0.83888888888888891</v>
      </c>
      <c r="D51" s="4">
        <v>-0.75</v>
      </c>
      <c r="E51" s="75"/>
      <c r="F51" s="4">
        <v>3.9</v>
      </c>
      <c r="G51" s="7"/>
      <c r="H51" s="4">
        <f>+Harvest!H51/Effort!H51</f>
        <v>7.6666666666666563</v>
      </c>
      <c r="I51" s="7"/>
      <c r="J51" s="8" t="s">
        <v>10</v>
      </c>
      <c r="K51" s="7"/>
      <c r="L51" s="4">
        <v>7.5</v>
      </c>
      <c r="M51" s="7"/>
      <c r="N51" s="8" t="s">
        <v>10</v>
      </c>
      <c r="O51" s="4">
        <f>+Harvest!O51/Effort!O51</f>
        <v>6.3405495674819159</v>
      </c>
      <c r="P51" s="19"/>
    </row>
    <row r="52" spans="1:16" x14ac:dyDescent="0.25">
      <c r="A52" s="76">
        <v>45660</v>
      </c>
      <c r="B52" s="7" t="s">
        <v>18</v>
      </c>
      <c r="C52" s="12">
        <v>0.8666666666666667</v>
      </c>
      <c r="D52" s="4">
        <v>-0.34</v>
      </c>
      <c r="E52" s="75" t="s">
        <v>63</v>
      </c>
      <c r="F52" s="4">
        <v>2.5</v>
      </c>
      <c r="G52" s="7" t="s">
        <v>63</v>
      </c>
      <c r="H52" s="4">
        <v>2.5</v>
      </c>
      <c r="I52" s="7"/>
      <c r="J52" s="8" t="s">
        <v>10</v>
      </c>
      <c r="K52" s="7"/>
      <c r="L52" s="4">
        <v>2.5</v>
      </c>
      <c r="M52" s="7"/>
      <c r="N52" s="8" t="s">
        <v>10</v>
      </c>
      <c r="O52" s="4">
        <f>+Harvest!O52/Effort!O52</f>
        <v>2.5</v>
      </c>
      <c r="P52" s="19"/>
    </row>
    <row r="53" spans="1:16" x14ac:dyDescent="0.25">
      <c r="A53" s="76"/>
      <c r="B53" s="7"/>
      <c r="C53" s="12"/>
      <c r="D53" s="4"/>
      <c r="E53" s="75"/>
      <c r="F53" s="8"/>
      <c r="G53" s="7"/>
      <c r="H53" s="8"/>
      <c r="I53" s="7"/>
      <c r="J53" s="8"/>
      <c r="K53" s="7"/>
      <c r="L53" s="8"/>
      <c r="M53" s="7"/>
      <c r="N53" s="8"/>
      <c r="O53" s="4"/>
      <c r="P53" s="19"/>
    </row>
    <row r="54" spans="1:16" x14ac:dyDescent="0.25">
      <c r="A54" s="76">
        <v>45667</v>
      </c>
      <c r="B54" s="7" t="s">
        <v>18</v>
      </c>
      <c r="C54" s="12">
        <v>0.65763888888888888</v>
      </c>
      <c r="D54" s="4">
        <v>-0.31</v>
      </c>
      <c r="E54" s="75"/>
      <c r="F54" s="4">
        <f>+Harvest!F54/Effort!F54</f>
        <v>5.6415122179622115</v>
      </c>
      <c r="G54" s="7" t="s">
        <v>63</v>
      </c>
      <c r="H54" s="4">
        <v>7.5</v>
      </c>
      <c r="I54" s="7"/>
      <c r="J54" s="8" t="s">
        <v>10</v>
      </c>
      <c r="K54" s="7"/>
      <c r="L54" s="4">
        <f>+Harvest!L54/Effort!L54</f>
        <v>9.4102564102564212</v>
      </c>
      <c r="M54" s="7"/>
      <c r="N54" s="8" t="s">
        <v>10</v>
      </c>
      <c r="O54" s="4">
        <f>+Harvest!O54/Effort!O54</f>
        <v>7.7142382248175103</v>
      </c>
      <c r="P54" s="19"/>
    </row>
    <row r="55" spans="1:16" x14ac:dyDescent="0.25">
      <c r="A55" s="76">
        <v>45668</v>
      </c>
      <c r="B55" s="7" t="s">
        <v>19</v>
      </c>
      <c r="C55" s="12">
        <v>0.69374999999999998</v>
      </c>
      <c r="D55" s="4">
        <v>-0.76</v>
      </c>
      <c r="E55" s="75"/>
      <c r="F55" s="4">
        <v>15</v>
      </c>
      <c r="G55" s="7"/>
      <c r="H55" s="4">
        <f>+Harvest!H55/Effort!H55</f>
        <v>14.330708661417326</v>
      </c>
      <c r="I55" s="7"/>
      <c r="J55" s="8" t="s">
        <v>10</v>
      </c>
      <c r="K55" s="7"/>
      <c r="L55" s="4">
        <f>+Harvest!L55/Effort!L55</f>
        <v>13.499999999999996</v>
      </c>
      <c r="M55" s="7"/>
      <c r="N55" s="8" t="s">
        <v>10</v>
      </c>
      <c r="O55" s="4">
        <f>+Harvest!O55/Effort!O55</f>
        <v>14.318718663276556</v>
      </c>
      <c r="P55" s="19"/>
    </row>
    <row r="56" spans="1:16" x14ac:dyDescent="0.25">
      <c r="A56" s="76">
        <v>45669</v>
      </c>
      <c r="B56" s="7" t="s">
        <v>20</v>
      </c>
      <c r="C56" s="12">
        <v>0.7270833333333333</v>
      </c>
      <c r="D56" s="4">
        <v>-1.02</v>
      </c>
      <c r="E56" s="75" t="s">
        <v>63</v>
      </c>
      <c r="F56" s="4">
        <v>13.5</v>
      </c>
      <c r="G56" s="7"/>
      <c r="H56" s="4">
        <f>+Harvest!H56/Effort!H56</f>
        <v>13.46774193548384</v>
      </c>
      <c r="I56" s="7"/>
      <c r="J56" s="4">
        <f>+Harvest!J56/Effort!J56</f>
        <v>13.857142857142867</v>
      </c>
      <c r="K56" s="7"/>
      <c r="L56" s="8" t="s">
        <v>10</v>
      </c>
      <c r="M56" s="7"/>
      <c r="N56" s="8" t="s">
        <v>10</v>
      </c>
      <c r="O56" s="4">
        <f>+Harvest!O56/Effort!O56</f>
        <v>13.634124722313915</v>
      </c>
      <c r="P56" s="19"/>
    </row>
    <row r="57" spans="1:16" x14ac:dyDescent="0.25">
      <c r="A57" s="76">
        <v>45670</v>
      </c>
      <c r="B57" s="7" t="s">
        <v>21</v>
      </c>
      <c r="C57" s="12">
        <v>0.75694444444444453</v>
      </c>
      <c r="D57" s="4">
        <v>-1.07</v>
      </c>
      <c r="E57" s="75" t="s">
        <v>63</v>
      </c>
      <c r="F57" s="4">
        <v>11.5</v>
      </c>
      <c r="G57" s="7" t="s">
        <v>63</v>
      </c>
      <c r="H57" s="4">
        <v>11.5</v>
      </c>
      <c r="I57" s="7"/>
      <c r="J57" s="4">
        <f>+Harvest!J57/Effort!J57</f>
        <v>11.43902439024386</v>
      </c>
      <c r="K57" s="7"/>
      <c r="L57" s="8" t="s">
        <v>10</v>
      </c>
      <c r="M57" s="7"/>
      <c r="N57" s="8" t="s">
        <v>10</v>
      </c>
      <c r="O57" s="4">
        <f>+Harvest!O57/Effort!O57</f>
        <v>11.475549728032075</v>
      </c>
      <c r="P57" s="19"/>
    </row>
    <row r="58" spans="1:16" x14ac:dyDescent="0.25">
      <c r="A58" s="76">
        <v>45671</v>
      </c>
      <c r="B58" s="7" t="s">
        <v>61</v>
      </c>
      <c r="C58" s="12">
        <v>0.78472222222222221</v>
      </c>
      <c r="D58" s="4">
        <v>-0.93</v>
      </c>
      <c r="E58" s="75" t="s">
        <v>63</v>
      </c>
      <c r="F58" s="4">
        <v>5</v>
      </c>
      <c r="G58" s="7" t="s">
        <v>63</v>
      </c>
      <c r="H58" s="4">
        <v>5</v>
      </c>
      <c r="I58" s="7"/>
      <c r="J58" s="8" t="s">
        <v>10</v>
      </c>
      <c r="K58" s="7"/>
      <c r="L58" s="4">
        <f>+Harvest!L58/Effort!L58</f>
        <v>4.3571428571428408</v>
      </c>
      <c r="M58" s="7"/>
      <c r="N58" s="8" t="s">
        <v>10</v>
      </c>
      <c r="O58" s="4">
        <f>+Harvest!O58/Effort!O58</f>
        <v>4.767040735921019</v>
      </c>
      <c r="P58" s="19"/>
    </row>
    <row r="59" spans="1:16" x14ac:dyDescent="0.25">
      <c r="A59" s="76">
        <v>45672</v>
      </c>
      <c r="B59" s="7" t="s">
        <v>62</v>
      </c>
      <c r="C59" s="12">
        <v>0.81111111111111101</v>
      </c>
      <c r="D59" s="4">
        <v>-0.62</v>
      </c>
      <c r="E59" s="75"/>
      <c r="F59" s="4">
        <f>+Harvest!F59/Effort!F59</f>
        <v>9.1977961912114932</v>
      </c>
      <c r="G59" s="7"/>
      <c r="H59" s="4">
        <f>+Harvest!H59/Effort!H59</f>
        <v>11.149999999999993</v>
      </c>
      <c r="I59" s="7"/>
      <c r="J59" s="8" t="s">
        <v>10</v>
      </c>
      <c r="K59" s="7"/>
      <c r="L59" s="4">
        <f>+Harvest!L59/Effort!L59</f>
        <v>3.5384615384615445</v>
      </c>
      <c r="M59" s="7"/>
      <c r="N59" s="8" t="s">
        <v>10</v>
      </c>
      <c r="O59" s="4">
        <f>+Harvest!O59/Effort!O59</f>
        <v>7.9455646571783696</v>
      </c>
      <c r="P59" s="19"/>
    </row>
    <row r="60" spans="1:16" x14ac:dyDescent="0.25">
      <c r="A60" s="76">
        <v>45673</v>
      </c>
      <c r="B60" s="7" t="s">
        <v>22</v>
      </c>
      <c r="C60" s="12">
        <v>0.8354166666666667</v>
      </c>
      <c r="D60" s="4">
        <v>-0.16</v>
      </c>
      <c r="E60" s="75" t="s">
        <v>63</v>
      </c>
      <c r="F60" s="4">
        <v>4</v>
      </c>
      <c r="G60" s="7" t="s">
        <v>63</v>
      </c>
      <c r="H60" s="4">
        <v>4</v>
      </c>
      <c r="I60" s="7"/>
      <c r="J60" s="4">
        <f>+Harvest!J60/Effort!J60</f>
        <v>4.1764705882352846</v>
      </c>
      <c r="K60" s="7"/>
      <c r="L60" s="8" t="s">
        <v>10</v>
      </c>
      <c r="M60" s="7"/>
      <c r="N60" s="8" t="s">
        <v>10</v>
      </c>
      <c r="O60" s="4">
        <f>+Harvest!O60/Effort!O60</f>
        <v>4.0707619635777119</v>
      </c>
      <c r="P60" s="19"/>
    </row>
    <row r="61" spans="1:16" x14ac:dyDescent="0.25">
      <c r="A61" s="76"/>
      <c r="B61" s="7"/>
      <c r="C61" s="12"/>
      <c r="D61" s="4"/>
      <c r="E61" s="75"/>
      <c r="F61" s="8"/>
      <c r="G61" s="7"/>
      <c r="H61" s="8"/>
      <c r="I61" s="7"/>
      <c r="J61" s="8"/>
      <c r="K61" s="7"/>
      <c r="L61" s="8"/>
      <c r="M61" s="7"/>
      <c r="N61" s="8"/>
      <c r="O61" s="4"/>
      <c r="P61" s="19"/>
    </row>
    <row r="62" spans="1:16" x14ac:dyDescent="0.25">
      <c r="A62" s="76">
        <v>45683</v>
      </c>
      <c r="B62" s="7" t="s">
        <v>20</v>
      </c>
      <c r="C62" s="12">
        <v>0.69027777777777777</v>
      </c>
      <c r="D62" s="4">
        <v>7.0000000000000007E-2</v>
      </c>
      <c r="E62" s="75" t="s">
        <v>63</v>
      </c>
      <c r="F62" s="4">
        <v>14</v>
      </c>
      <c r="G62" s="4"/>
      <c r="H62" s="4">
        <f>+Harvest!H62/Effort!H62</f>
        <v>14.97499999999998</v>
      </c>
      <c r="I62" s="4"/>
      <c r="J62" s="4" t="s">
        <v>10</v>
      </c>
      <c r="K62" s="4"/>
      <c r="L62" s="4">
        <f>+Harvest!L62/Effort!L62</f>
        <v>14.619047619047675</v>
      </c>
      <c r="M62" s="4"/>
      <c r="N62" s="4" t="s">
        <v>10</v>
      </c>
      <c r="O62" s="4">
        <f>+Harvest!O62/Effort!O62</f>
        <v>14.556411755493366</v>
      </c>
      <c r="P62" s="19"/>
    </row>
    <row r="63" spans="1:16" x14ac:dyDescent="0.25">
      <c r="A63" s="76">
        <v>45684</v>
      </c>
      <c r="B63" s="7" t="s">
        <v>21</v>
      </c>
      <c r="C63" s="12">
        <v>0.71875</v>
      </c>
      <c r="D63" s="4">
        <v>-0.44</v>
      </c>
      <c r="E63" s="75"/>
      <c r="F63" s="4">
        <v>15</v>
      </c>
      <c r="G63" s="4" t="s">
        <v>63</v>
      </c>
      <c r="H63" s="4">
        <v>14</v>
      </c>
      <c r="I63" s="4"/>
      <c r="J63" s="4" t="s">
        <v>10</v>
      </c>
      <c r="K63" s="4"/>
      <c r="L63" s="4">
        <f>+Harvest!L63/Effort!L63</f>
        <v>13.031249999999988</v>
      </c>
      <c r="M63" s="4"/>
      <c r="N63" s="4" t="s">
        <v>10</v>
      </c>
      <c r="O63" s="4">
        <f>+Harvest!O63/Effort!O63</f>
        <v>14.060274618969563</v>
      </c>
      <c r="P63" s="19"/>
    </row>
    <row r="64" spans="1:16" x14ac:dyDescent="0.25">
      <c r="A64" s="76">
        <v>45685</v>
      </c>
      <c r="B64" s="7" t="s">
        <v>61</v>
      </c>
      <c r="C64" s="12">
        <v>0.74583333333333324</v>
      </c>
      <c r="D64" s="4">
        <v>-0.82</v>
      </c>
      <c r="E64" s="75" t="s">
        <v>63</v>
      </c>
      <c r="F64" s="4">
        <v>14</v>
      </c>
      <c r="G64" s="4" t="s">
        <v>63</v>
      </c>
      <c r="H64" s="4">
        <v>14</v>
      </c>
      <c r="I64" s="4"/>
      <c r="J64" s="4">
        <f>+Harvest!J64/Effort!J64</f>
        <v>14.999999999999956</v>
      </c>
      <c r="K64" s="4"/>
      <c r="L64" s="4" t="s">
        <v>10</v>
      </c>
      <c r="M64" s="4"/>
      <c r="N64" s="4" t="s">
        <v>10</v>
      </c>
      <c r="O64" s="4">
        <f>+Harvest!O64/Effort!O64</f>
        <v>14.3001136255953</v>
      </c>
      <c r="P64" s="19"/>
    </row>
    <row r="65" spans="1:16" x14ac:dyDescent="0.25">
      <c r="A65" s="76">
        <v>45686</v>
      </c>
      <c r="B65" s="7" t="s">
        <v>62</v>
      </c>
      <c r="C65" s="12">
        <v>0.7715277777777777</v>
      </c>
      <c r="D65" s="4">
        <v>-1.01</v>
      </c>
      <c r="E65" s="75"/>
      <c r="F65" s="4">
        <f>+Harvest!F65/Effort!F65</f>
        <v>15.000000000000021</v>
      </c>
      <c r="G65" s="4"/>
      <c r="H65" s="4">
        <f>+Harvest!H65/Effort!H65</f>
        <v>14.756097560975601</v>
      </c>
      <c r="I65" s="4"/>
      <c r="J65" s="4">
        <f>+Harvest!J65/Effort!J65</f>
        <v>12.888888888888902</v>
      </c>
      <c r="K65" s="4"/>
      <c r="L65" s="4" t="s">
        <v>10</v>
      </c>
      <c r="M65" s="4"/>
      <c r="N65" s="4" t="s">
        <v>10</v>
      </c>
      <c r="O65" s="4">
        <f>+Harvest!O65/Effort!O65</f>
        <v>14.309998800291158</v>
      </c>
      <c r="P65" s="19"/>
    </row>
    <row r="66" spans="1:16" x14ac:dyDescent="0.25">
      <c r="A66" s="76">
        <v>45687</v>
      </c>
      <c r="B66" s="7" t="s">
        <v>22</v>
      </c>
      <c r="C66" s="12">
        <v>0.79652777777777783</v>
      </c>
      <c r="D66" s="4">
        <v>-0.97</v>
      </c>
      <c r="E66" s="75" t="s">
        <v>63</v>
      </c>
      <c r="F66" s="4">
        <v>14.5</v>
      </c>
      <c r="G66" s="4" t="s">
        <v>63</v>
      </c>
      <c r="H66" s="4">
        <v>12.5</v>
      </c>
      <c r="I66" s="4"/>
      <c r="J66" s="4" t="s">
        <v>10</v>
      </c>
      <c r="K66" s="4"/>
      <c r="L66" s="4">
        <f>+Harvest!L66/Effort!L66</f>
        <v>5.2500000000000036</v>
      </c>
      <c r="M66" s="4"/>
      <c r="N66" s="4" t="s">
        <v>10</v>
      </c>
      <c r="O66" s="4">
        <f>+Harvest!O66/Effort!O66</f>
        <v>11.150675790091334</v>
      </c>
      <c r="P66" s="19"/>
    </row>
    <row r="67" spans="1:16" x14ac:dyDescent="0.25">
      <c r="A67" s="76">
        <v>45688</v>
      </c>
      <c r="B67" s="7" t="s">
        <v>18</v>
      </c>
      <c r="C67" s="12">
        <v>0.8222222222222223</v>
      </c>
      <c r="D67" s="4">
        <v>-0.66</v>
      </c>
      <c r="E67" s="75"/>
      <c r="F67" s="4">
        <v>14.5</v>
      </c>
      <c r="G67" s="4" t="s">
        <v>63</v>
      </c>
      <c r="H67" s="4">
        <v>7.5</v>
      </c>
      <c r="I67" s="4"/>
      <c r="J67" s="4" t="s">
        <v>10</v>
      </c>
      <c r="K67" s="4"/>
      <c r="L67" s="4">
        <f>+Harvest!L67/Effort!L67</f>
        <v>2.3684210526315832</v>
      </c>
      <c r="M67" s="4"/>
      <c r="N67" s="4" t="s">
        <v>10</v>
      </c>
      <c r="O67" s="4">
        <f>+Harvest!O67/Effort!O67</f>
        <v>6.7995175621074564</v>
      </c>
      <c r="P67" s="19"/>
    </row>
    <row r="68" spans="1:16" x14ac:dyDescent="0.25">
      <c r="A68" s="76">
        <v>45689</v>
      </c>
      <c r="B68" s="7" t="s">
        <v>19</v>
      </c>
      <c r="C68" s="12">
        <v>0.84791666666666676</v>
      </c>
      <c r="D68" s="4">
        <v>-0.09</v>
      </c>
      <c r="E68" s="75" t="s">
        <v>63</v>
      </c>
      <c r="F68" s="4">
        <v>12</v>
      </c>
      <c r="G68" s="4"/>
      <c r="H68" s="4">
        <f>+Harvest!H68/Effort!H68</f>
        <v>7.1999999999999824</v>
      </c>
      <c r="I68" s="4"/>
      <c r="J68" s="4">
        <f>+Harvest!J68/Effort!J68</f>
        <v>0.80952380952380942</v>
      </c>
      <c r="K68" s="4"/>
      <c r="L68" s="4" t="s">
        <v>10</v>
      </c>
      <c r="M68" s="4"/>
      <c r="N68" s="4" t="s">
        <v>10</v>
      </c>
      <c r="O68" s="4">
        <f>+Harvest!O68/Effort!O68</f>
        <v>6.4484988792842461</v>
      </c>
      <c r="P68" s="19"/>
    </row>
    <row r="69" spans="1:16" x14ac:dyDescent="0.25">
      <c r="A69" s="76"/>
      <c r="B69" s="7"/>
      <c r="C69" s="12"/>
      <c r="D69" s="4"/>
      <c r="E69" s="75"/>
      <c r="F69" s="8"/>
      <c r="G69" s="7"/>
      <c r="H69" s="8"/>
      <c r="I69" s="7"/>
      <c r="J69" s="8"/>
      <c r="K69" s="7"/>
      <c r="L69" s="8"/>
      <c r="M69" s="7"/>
      <c r="N69" s="8"/>
      <c r="O69" s="4"/>
      <c r="P69" s="19"/>
    </row>
    <row r="70" spans="1:16" x14ac:dyDescent="0.25">
      <c r="A70" s="76">
        <v>45696</v>
      </c>
      <c r="B70" s="7" t="s">
        <v>19</v>
      </c>
      <c r="C70" s="12">
        <v>0.65</v>
      </c>
      <c r="D70" s="4">
        <v>0.05</v>
      </c>
      <c r="E70" s="75" t="s">
        <v>63</v>
      </c>
      <c r="F70" s="4">
        <v>15</v>
      </c>
      <c r="G70" s="4"/>
      <c r="H70" s="4">
        <f>+Harvest!H70/Effort!H70</f>
        <v>15.000000000000028</v>
      </c>
      <c r="I70" s="7"/>
      <c r="J70" s="8" t="s">
        <v>10</v>
      </c>
      <c r="K70" s="7"/>
      <c r="L70" s="4">
        <f>+Harvest!L70/Effort!L70</f>
        <v>14.138888888888884</v>
      </c>
      <c r="M70" s="7"/>
      <c r="N70" s="8" t="s">
        <v>10</v>
      </c>
      <c r="O70" s="4">
        <f>+Harvest!O70/Effort!O70</f>
        <v>14.715498185338268</v>
      </c>
      <c r="P70" s="19"/>
    </row>
    <row r="71" spans="1:16" x14ac:dyDescent="0.25">
      <c r="A71" s="76">
        <v>45697</v>
      </c>
      <c r="B71" s="7" t="s">
        <v>20</v>
      </c>
      <c r="C71" s="12">
        <v>0.68680555555555556</v>
      </c>
      <c r="D71" s="4">
        <v>-0.27</v>
      </c>
      <c r="E71" s="75" t="s">
        <v>63</v>
      </c>
      <c r="F71" s="4">
        <v>15</v>
      </c>
      <c r="G71" s="4" t="s">
        <v>63</v>
      </c>
      <c r="H71" s="4">
        <v>15</v>
      </c>
      <c r="I71" s="7"/>
      <c r="J71" s="4">
        <f>+Harvest!J71/Effort!J71</f>
        <v>14.900000000000025</v>
      </c>
      <c r="K71" s="7"/>
      <c r="L71" s="8" t="s">
        <v>10</v>
      </c>
      <c r="M71" s="7"/>
      <c r="N71" s="8" t="s">
        <v>10</v>
      </c>
      <c r="O71" s="4">
        <f>+Harvest!O71/Effort!O71</f>
        <v>14.964342951671421</v>
      </c>
      <c r="P71" s="19"/>
    </row>
    <row r="72" spans="1:16" x14ac:dyDescent="0.25">
      <c r="A72" s="76">
        <v>45698</v>
      </c>
      <c r="B72" s="7" t="s">
        <v>21</v>
      </c>
      <c r="C72" s="12">
        <v>0.71875</v>
      </c>
      <c r="D72" s="4">
        <v>-0.46</v>
      </c>
      <c r="E72" s="75"/>
      <c r="F72" s="4">
        <v>14.7</v>
      </c>
      <c r="G72" s="4" t="s">
        <v>63</v>
      </c>
      <c r="H72" s="4">
        <v>15</v>
      </c>
      <c r="I72" s="7"/>
      <c r="J72" s="4">
        <f>+Harvest!J72/Effort!J72</f>
        <v>14.999999999999989</v>
      </c>
      <c r="K72" s="7"/>
      <c r="L72" s="8" t="s">
        <v>10</v>
      </c>
      <c r="M72" s="7"/>
      <c r="N72" s="8" t="s">
        <v>10</v>
      </c>
      <c r="O72" s="4">
        <f>+Harvest!O72/Effort!O72</f>
        <v>14.911190791982454</v>
      </c>
      <c r="P72" s="19"/>
    </row>
    <row r="73" spans="1:16" x14ac:dyDescent="0.25">
      <c r="A73" s="76">
        <v>45699</v>
      </c>
      <c r="B73" s="7" t="s">
        <v>61</v>
      </c>
      <c r="C73" s="12">
        <v>0.74583333333333324</v>
      </c>
      <c r="D73" s="4">
        <v>-0.5</v>
      </c>
      <c r="E73" s="75"/>
      <c r="F73" s="4">
        <v>15</v>
      </c>
      <c r="G73" s="4"/>
      <c r="H73" s="4">
        <f>+Harvest!H73/Effort!H73</f>
        <v>14.999999999999989</v>
      </c>
      <c r="I73" s="7"/>
      <c r="J73" s="8" t="s">
        <v>10</v>
      </c>
      <c r="K73" s="7"/>
      <c r="L73" s="4">
        <f>+Harvest!L73/Effort!L73</f>
        <v>14.263157894736855</v>
      </c>
      <c r="M73" s="7"/>
      <c r="N73" s="8" t="s">
        <v>10</v>
      </c>
      <c r="O73" s="4">
        <f>+Harvest!O73/Effort!O73</f>
        <v>14.83228309165319</v>
      </c>
      <c r="P73" s="19"/>
    </row>
    <row r="74" spans="1:16" x14ac:dyDescent="0.25">
      <c r="A74" s="76">
        <v>45700</v>
      </c>
      <c r="B74" s="7" t="s">
        <v>62</v>
      </c>
      <c r="C74" s="12">
        <v>0.77013888888888893</v>
      </c>
      <c r="D74" s="4">
        <v>-0.37</v>
      </c>
      <c r="E74" s="75" t="s">
        <v>63</v>
      </c>
      <c r="F74" s="4">
        <v>14</v>
      </c>
      <c r="G74" s="4" t="s">
        <v>63</v>
      </c>
      <c r="H74" s="4">
        <v>14</v>
      </c>
      <c r="I74" s="7"/>
      <c r="J74" s="8" t="s">
        <v>10</v>
      </c>
      <c r="K74" s="7"/>
      <c r="L74" s="4">
        <f>+Harvest!L74/Effort!L74</f>
        <v>14.117647058823536</v>
      </c>
      <c r="M74" s="7"/>
      <c r="N74" s="8" t="s">
        <v>10</v>
      </c>
      <c r="O74" s="4">
        <f>+Harvest!O74/Effort!O74</f>
        <v>14.032337012709268</v>
      </c>
      <c r="P74" s="19"/>
    </row>
    <row r="75" spans="1:16" x14ac:dyDescent="0.25">
      <c r="A75" s="76">
        <v>45701</v>
      </c>
      <c r="B75" s="7" t="s">
        <v>22</v>
      </c>
      <c r="C75" s="12">
        <v>0.79236111111111107</v>
      </c>
      <c r="D75" s="4">
        <v>-0.08</v>
      </c>
      <c r="E75" s="75" t="s">
        <v>63</v>
      </c>
      <c r="F75" s="4">
        <v>6.5</v>
      </c>
      <c r="G75" s="4"/>
      <c r="H75" s="4">
        <f>+Harvest!H75/Effort!H75</f>
        <v>6.4285714285714288</v>
      </c>
      <c r="I75" s="7"/>
      <c r="J75" s="4">
        <f>+Harvest!J75/Effort!J75</f>
        <v>5.8749999999999964</v>
      </c>
      <c r="K75" s="7"/>
      <c r="L75" s="8" t="s">
        <v>10</v>
      </c>
      <c r="M75" s="7"/>
      <c r="N75" s="8" t="s">
        <v>10</v>
      </c>
      <c r="O75" s="4">
        <f>+Harvest!O75/Effort!O75</f>
        <v>6.2523292462804365</v>
      </c>
      <c r="P75" s="19"/>
    </row>
    <row r="76" spans="1:16" x14ac:dyDescent="0.25">
      <c r="A76" s="76">
        <v>45702</v>
      </c>
      <c r="B76" s="7" t="s">
        <v>18</v>
      </c>
      <c r="C76" s="12">
        <v>0.81388888888888899</v>
      </c>
      <c r="D76" s="4">
        <v>0.36</v>
      </c>
      <c r="E76" s="75" t="s">
        <v>63</v>
      </c>
      <c r="F76" s="4">
        <v>4</v>
      </c>
      <c r="G76" s="4" t="s">
        <v>63</v>
      </c>
      <c r="H76" s="4">
        <v>4</v>
      </c>
      <c r="I76" s="7"/>
      <c r="J76" s="4">
        <f>+Harvest!J76/Effort!J76</f>
        <v>3.7499999999999933</v>
      </c>
      <c r="K76" s="7"/>
      <c r="L76" s="8" t="s">
        <v>10</v>
      </c>
      <c r="M76" s="7"/>
      <c r="N76" s="8" t="s">
        <v>10</v>
      </c>
      <c r="O76" s="4">
        <f>+Harvest!O76/Effort!O76</f>
        <v>3.9108573791785242</v>
      </c>
      <c r="P76" s="19"/>
    </row>
    <row r="77" spans="1:16" x14ac:dyDescent="0.25">
      <c r="A77" s="76"/>
      <c r="B77" s="7"/>
      <c r="C77" s="12"/>
      <c r="D77" s="4"/>
      <c r="E77" s="75"/>
      <c r="F77" s="8"/>
      <c r="G77" s="7"/>
      <c r="H77" s="8"/>
      <c r="I77" s="7"/>
      <c r="J77" s="8"/>
      <c r="K77" s="7"/>
      <c r="L77" s="8"/>
      <c r="M77" s="7"/>
      <c r="N77" s="8"/>
      <c r="O77" s="4"/>
      <c r="P77" s="19"/>
    </row>
    <row r="78" spans="1:16" x14ac:dyDescent="0.25">
      <c r="A78" s="76">
        <v>45712</v>
      </c>
      <c r="B78" s="7" t="s">
        <v>21</v>
      </c>
      <c r="C78" s="12">
        <v>0.6694444444444444</v>
      </c>
      <c r="D78" s="4">
        <v>0.21</v>
      </c>
      <c r="E78" s="75" t="s">
        <v>63</v>
      </c>
      <c r="F78" s="4">
        <v>5</v>
      </c>
      <c r="G78" s="7" t="s">
        <v>63</v>
      </c>
      <c r="H78" s="4">
        <v>5</v>
      </c>
      <c r="I78" s="7"/>
      <c r="J78" s="8" t="s">
        <v>10</v>
      </c>
      <c r="K78" s="7"/>
      <c r="L78" s="4">
        <f>+Harvest!L78/Effort!L78</f>
        <v>5.105263157894754</v>
      </c>
      <c r="M78" s="7"/>
      <c r="N78" s="8" t="s">
        <v>10</v>
      </c>
      <c r="O78" s="4">
        <f>+Harvest!O78/Effort!O78</f>
        <v>5.0275696290171439</v>
      </c>
      <c r="P78" s="19"/>
    </row>
    <row r="79" spans="1:16" x14ac:dyDescent="0.25">
      <c r="A79" s="76">
        <v>45713</v>
      </c>
      <c r="B79" s="7" t="s">
        <v>61</v>
      </c>
      <c r="C79" s="12">
        <v>0.69861111111111107</v>
      </c>
      <c r="D79" s="4">
        <v>-0.3</v>
      </c>
      <c r="E79" s="75" t="s">
        <v>63</v>
      </c>
      <c r="F79" s="4">
        <v>12.5</v>
      </c>
      <c r="G79" s="7" t="s">
        <v>63</v>
      </c>
      <c r="H79" s="4">
        <v>12.5</v>
      </c>
      <c r="I79" s="7"/>
      <c r="J79" s="4">
        <f>+Harvest!J79/Effort!J79</f>
        <v>12.333333333333325</v>
      </c>
      <c r="K79" s="7"/>
      <c r="L79" s="8" t="s">
        <v>10</v>
      </c>
      <c r="M79" s="7"/>
      <c r="N79" s="8" t="s">
        <v>10</v>
      </c>
      <c r="O79" s="4">
        <f>+Harvest!O79/Effort!O79</f>
        <v>12.43006470790638</v>
      </c>
      <c r="P79" s="19"/>
    </row>
    <row r="80" spans="1:16" x14ac:dyDescent="0.25">
      <c r="A80" s="76">
        <v>45714</v>
      </c>
      <c r="B80" s="7" t="s">
        <v>62</v>
      </c>
      <c r="C80" s="12">
        <v>0.72569444444444453</v>
      </c>
      <c r="D80" s="4">
        <v>-0.63</v>
      </c>
      <c r="E80" s="75"/>
      <c r="F80" s="4">
        <f>+Harvest!F80/Effort!F80</f>
        <v>14.999999999999996</v>
      </c>
      <c r="G80" s="7"/>
      <c r="H80" s="4">
        <f>+Harvest!H80/Effort!H80</f>
        <v>14.727272727272704</v>
      </c>
      <c r="I80" s="7"/>
      <c r="J80" s="4">
        <f>+Harvest!J80/Effort!J80</f>
        <v>15</v>
      </c>
      <c r="K80" s="7"/>
      <c r="L80" s="8" t="s">
        <v>10</v>
      </c>
      <c r="M80" s="7"/>
      <c r="N80" s="8" t="s">
        <v>10</v>
      </c>
      <c r="O80" s="4">
        <f>+Harvest!O80/Effort!O80</f>
        <v>14.928538102994999</v>
      </c>
      <c r="P80" s="19"/>
    </row>
    <row r="81" spans="1:16" x14ac:dyDescent="0.25">
      <c r="A81" s="76">
        <v>45715</v>
      </c>
      <c r="B81" s="7" t="s">
        <v>22</v>
      </c>
      <c r="C81" s="12">
        <v>0.75208333333333333</v>
      </c>
      <c r="D81" s="4">
        <v>-0.73</v>
      </c>
      <c r="E81" s="75"/>
      <c r="F81" s="4">
        <v>14.6</v>
      </c>
      <c r="G81" s="7"/>
      <c r="H81" s="4">
        <f>+Harvest!H81/Effort!H81</f>
        <v>14.833333333333385</v>
      </c>
      <c r="I81" s="7"/>
      <c r="J81" s="8" t="s">
        <v>10</v>
      </c>
      <c r="K81" s="7"/>
      <c r="L81" s="4">
        <f>+Harvest!L81/Effort!L81</f>
        <v>10.35135135135136</v>
      </c>
      <c r="M81" s="7"/>
      <c r="N81" s="8" t="s">
        <v>10</v>
      </c>
      <c r="O81" s="4">
        <f>+Harvest!O81/Effort!O81</f>
        <v>13.612081811384705</v>
      </c>
      <c r="P81" s="19"/>
    </row>
    <row r="82" spans="1:16" x14ac:dyDescent="0.25">
      <c r="A82" s="76">
        <v>45716</v>
      </c>
      <c r="B82" s="7" t="s">
        <v>18</v>
      </c>
      <c r="C82" s="12">
        <v>0.77708333333333324</v>
      </c>
      <c r="D82" s="4">
        <v>-0.55000000000000004</v>
      </c>
      <c r="E82" s="75"/>
      <c r="F82" s="4">
        <v>13.8</v>
      </c>
      <c r="G82" s="7" t="s">
        <v>63</v>
      </c>
      <c r="H82" s="4">
        <v>14</v>
      </c>
      <c r="I82" s="7"/>
      <c r="J82" s="8" t="s">
        <v>10</v>
      </c>
      <c r="K82" s="7"/>
      <c r="L82" s="4">
        <f>+Harvest!L82/Effort!L82</f>
        <v>12.671874999999998</v>
      </c>
      <c r="M82" s="7"/>
      <c r="N82" s="8" t="s">
        <v>10</v>
      </c>
      <c r="O82" s="4">
        <f>+Harvest!O82/Effort!O82</f>
        <v>13.458190506175015</v>
      </c>
      <c r="P82" s="19"/>
    </row>
    <row r="83" spans="1:16" x14ac:dyDescent="0.25">
      <c r="A83" s="76">
        <v>45717</v>
      </c>
      <c r="B83" s="7" t="s">
        <v>19</v>
      </c>
      <c r="C83" s="12">
        <v>0.80208333333333337</v>
      </c>
      <c r="D83" s="4">
        <v>-0.1</v>
      </c>
      <c r="E83" s="75" t="s">
        <v>63</v>
      </c>
      <c r="F83" s="4">
        <v>4</v>
      </c>
      <c r="G83" s="7"/>
      <c r="H83" s="4">
        <f>+Harvest!H83/Effort!H83</f>
        <v>4.786885245901626</v>
      </c>
      <c r="I83" s="7"/>
      <c r="J83" s="4">
        <f>+Harvest!J83/Effort!J83</f>
        <v>1.5918367346938758</v>
      </c>
      <c r="K83" s="7"/>
      <c r="L83" s="8" t="s">
        <v>10</v>
      </c>
      <c r="M83" s="7"/>
      <c r="N83" s="8" t="s">
        <v>10</v>
      </c>
      <c r="O83" s="4">
        <f>+Harvest!O83/Effort!O83</f>
        <v>3.1192880580240732</v>
      </c>
      <c r="P83" s="19"/>
    </row>
    <row r="84" spans="1:16" x14ac:dyDescent="0.25">
      <c r="A84" s="76"/>
      <c r="B84" s="7"/>
      <c r="C84" s="12"/>
      <c r="D84" s="4"/>
      <c r="E84" s="75"/>
      <c r="F84" s="8"/>
      <c r="G84" s="7"/>
      <c r="H84" s="8"/>
      <c r="I84" s="7"/>
      <c r="J84" s="8"/>
      <c r="K84" s="7"/>
      <c r="L84" s="8"/>
      <c r="M84" s="7"/>
      <c r="N84" s="8"/>
      <c r="O84" s="4"/>
      <c r="P84" s="19"/>
    </row>
    <row r="85" spans="1:16" x14ac:dyDescent="0.25">
      <c r="A85" s="76">
        <v>45724</v>
      </c>
      <c r="B85" s="7" t="s">
        <v>19</v>
      </c>
      <c r="C85" s="12">
        <v>0.59236111111111112</v>
      </c>
      <c r="D85" s="4">
        <v>0.59</v>
      </c>
      <c r="E85" s="75" t="s">
        <v>63</v>
      </c>
      <c r="F85" s="4">
        <v>8</v>
      </c>
      <c r="G85" s="7"/>
      <c r="H85" s="4">
        <f>+Harvest!H85/Effort!H85</f>
        <v>8.2475247524752593</v>
      </c>
      <c r="I85" s="7"/>
      <c r="J85" s="8" t="s">
        <v>10</v>
      </c>
      <c r="K85" s="7"/>
      <c r="L85" s="4">
        <f>+Harvest!L85/Effort!L85</f>
        <v>2.8676470588235268</v>
      </c>
      <c r="M85" s="7"/>
      <c r="N85" s="8" t="s">
        <v>10</v>
      </c>
      <c r="O85" s="4">
        <f>+Harvest!O85/Effort!O85</f>
        <v>6.3023665226471719</v>
      </c>
      <c r="P85" s="19"/>
    </row>
    <row r="86" spans="1:16" x14ac:dyDescent="0.25">
      <c r="A86" s="76">
        <v>45725</v>
      </c>
      <c r="B86" s="7" t="s">
        <v>20</v>
      </c>
      <c r="C86" s="12">
        <v>0.6791666666666667</v>
      </c>
      <c r="D86" s="4">
        <v>0.41</v>
      </c>
      <c r="E86" s="75"/>
      <c r="F86" s="4">
        <v>5</v>
      </c>
      <c r="G86" s="7"/>
      <c r="H86" s="4">
        <f>+Harvest!H86/Effort!H86</f>
        <v>13.047619047619051</v>
      </c>
      <c r="I86" s="7"/>
      <c r="J86" s="4">
        <f>+Harvest!J86/Effort!J86</f>
        <v>9.2000000000000082</v>
      </c>
      <c r="K86" s="7"/>
      <c r="L86" s="8" t="s">
        <v>10</v>
      </c>
      <c r="M86" s="7"/>
      <c r="N86" s="8" t="s">
        <v>10</v>
      </c>
      <c r="O86" s="4">
        <f>+Harvest!O86/Effort!O86</f>
        <v>9.5457152354353845</v>
      </c>
      <c r="P86" s="19"/>
    </row>
    <row r="87" spans="1:16" x14ac:dyDescent="0.25">
      <c r="A87" s="76">
        <v>45726</v>
      </c>
      <c r="B87" s="7" t="s">
        <v>21</v>
      </c>
      <c r="C87" s="12">
        <v>0.71527777777777779</v>
      </c>
      <c r="D87" s="4">
        <v>0.22</v>
      </c>
      <c r="E87" s="75" t="s">
        <v>63</v>
      </c>
      <c r="F87" s="4">
        <v>12</v>
      </c>
      <c r="G87" s="7" t="s">
        <v>63</v>
      </c>
      <c r="H87" s="4">
        <v>12</v>
      </c>
      <c r="I87" s="7"/>
      <c r="J87" s="4">
        <f>+Harvest!J87/Effort!J87</f>
        <v>12.115384615384665</v>
      </c>
      <c r="K87" s="7"/>
      <c r="L87" s="8" t="s">
        <v>10</v>
      </c>
      <c r="M87" s="7"/>
      <c r="N87" s="8" t="s">
        <v>10</v>
      </c>
      <c r="O87" s="4">
        <f>+Harvest!O87/Effort!O87</f>
        <v>12.047952504374166</v>
      </c>
      <c r="P87" s="19"/>
    </row>
    <row r="88" spans="1:16" x14ac:dyDescent="0.25">
      <c r="A88" s="76">
        <v>45727</v>
      </c>
      <c r="B88" s="7" t="s">
        <v>61</v>
      </c>
      <c r="C88" s="12">
        <v>0.74444444444444446</v>
      </c>
      <c r="D88" s="4">
        <v>0.14000000000000001</v>
      </c>
      <c r="E88" s="75"/>
      <c r="F88" s="4">
        <v>14.2</v>
      </c>
      <c r="G88" s="7"/>
      <c r="H88" s="4">
        <f>+Harvest!H88/Effort!H88</f>
        <v>14.696969696969679</v>
      </c>
      <c r="I88" s="7"/>
      <c r="J88" s="8" t="s">
        <v>10</v>
      </c>
      <c r="K88" s="7"/>
      <c r="L88" s="4">
        <f>+Harvest!L88/Effort!L88</f>
        <v>13.694444444444429</v>
      </c>
      <c r="M88" s="7"/>
      <c r="N88" s="8" t="s">
        <v>10</v>
      </c>
      <c r="O88" s="4">
        <f>+Harvest!O88/Effort!O88</f>
        <v>14.258938726130623</v>
      </c>
      <c r="P88" s="19"/>
    </row>
    <row r="89" spans="1:16" x14ac:dyDescent="0.25">
      <c r="A89" s="76">
        <v>45728</v>
      </c>
      <c r="B89" s="7" t="s">
        <v>62</v>
      </c>
      <c r="C89" s="12">
        <v>0.76944444444444438</v>
      </c>
      <c r="D89" s="4">
        <v>0.18</v>
      </c>
      <c r="E89" s="75" t="s">
        <v>63</v>
      </c>
      <c r="F89" s="4">
        <v>10</v>
      </c>
      <c r="G89" s="7" t="s">
        <v>63</v>
      </c>
      <c r="H89" s="4">
        <v>10</v>
      </c>
      <c r="I89" s="7"/>
      <c r="J89" s="8" t="s">
        <v>10</v>
      </c>
      <c r="K89" s="7"/>
      <c r="L89" s="4">
        <f>+Harvest!L89/Effort!L89</f>
        <v>9.2500000000000089</v>
      </c>
      <c r="M89" s="7"/>
      <c r="N89" s="8" t="s">
        <v>10</v>
      </c>
      <c r="O89" s="4">
        <f>+Harvest!O89/Effort!O89</f>
        <v>9.7387666324393809</v>
      </c>
      <c r="P89" s="19"/>
    </row>
    <row r="90" spans="1:16" x14ac:dyDescent="0.25">
      <c r="A90" s="76">
        <v>45729</v>
      </c>
      <c r="B90" s="7" t="s">
        <v>22</v>
      </c>
      <c r="C90" s="12">
        <v>0.79166666666666663</v>
      </c>
      <c r="D90" s="4">
        <v>0.37</v>
      </c>
      <c r="E90" s="75"/>
      <c r="F90" s="4">
        <v>3.8</v>
      </c>
      <c r="G90" s="7"/>
      <c r="H90" s="4">
        <f>+Harvest!H90/Effort!H90</f>
        <v>9.4444444444444446</v>
      </c>
      <c r="I90" s="7"/>
      <c r="J90" s="4">
        <f>+Harvest!J90/Effort!J90</f>
        <v>10.999999999999988</v>
      </c>
      <c r="K90" s="7"/>
      <c r="L90" s="8" t="s">
        <v>10</v>
      </c>
      <c r="M90" s="7"/>
      <c r="N90" s="8" t="s">
        <v>10</v>
      </c>
      <c r="O90" s="4">
        <f>+Harvest!O90/Effort!O90</f>
        <v>8.079344412050288</v>
      </c>
      <c r="P90" s="19"/>
    </row>
    <row r="91" spans="1:16" x14ac:dyDescent="0.25">
      <c r="A91" s="76">
        <v>45730</v>
      </c>
      <c r="B91" s="7" t="s">
        <v>18</v>
      </c>
      <c r="C91" s="12">
        <v>0.8125</v>
      </c>
      <c r="D91" s="4">
        <v>0.69</v>
      </c>
      <c r="E91" s="75" t="s">
        <v>63</v>
      </c>
      <c r="F91" s="4">
        <v>11</v>
      </c>
      <c r="G91" s="7" t="s">
        <v>63</v>
      </c>
      <c r="H91" s="4">
        <v>11</v>
      </c>
      <c r="I91" s="7"/>
      <c r="J91" s="4">
        <f>+Harvest!J91/Effort!J91</f>
        <v>10.866666666666667</v>
      </c>
      <c r="K91" s="7"/>
      <c r="L91" s="8" t="s">
        <v>10</v>
      </c>
      <c r="M91" s="7"/>
      <c r="N91" s="8" t="s">
        <v>10</v>
      </c>
      <c r="O91" s="4">
        <f>+Harvest!O91/Effort!O91</f>
        <v>10.944588217167654</v>
      </c>
      <c r="P91" s="19"/>
    </row>
    <row r="92" spans="1:16" x14ac:dyDescent="0.25">
      <c r="A92" s="76"/>
      <c r="B92" s="7"/>
      <c r="C92" s="12"/>
      <c r="D92" s="4"/>
      <c r="E92" s="75"/>
      <c r="F92" s="8"/>
      <c r="G92" s="7"/>
      <c r="H92" s="8"/>
      <c r="I92" s="7"/>
      <c r="J92" s="8"/>
      <c r="K92" s="7"/>
      <c r="L92" s="8"/>
      <c r="M92" s="7"/>
      <c r="N92" s="8"/>
      <c r="O92" s="4"/>
      <c r="P92" s="19"/>
    </row>
    <row r="93" spans="1:16" x14ac:dyDescent="0.25">
      <c r="A93" s="76">
        <v>45742</v>
      </c>
      <c r="B93" s="7" t="s">
        <v>62</v>
      </c>
      <c r="C93" s="12">
        <v>0.71388888888888891</v>
      </c>
      <c r="D93" s="4">
        <v>0.03</v>
      </c>
      <c r="E93" s="75"/>
      <c r="F93" s="4">
        <v>9.8000000000000007</v>
      </c>
      <c r="G93" s="7" t="s">
        <v>63</v>
      </c>
      <c r="H93" s="4">
        <v>10</v>
      </c>
      <c r="I93" s="7"/>
      <c r="J93" s="8" t="s">
        <v>10</v>
      </c>
      <c r="K93" s="7"/>
      <c r="L93" s="4">
        <f>+Harvest!L93/Effort!L93</f>
        <v>7.2812500000000178</v>
      </c>
      <c r="M93" s="7"/>
      <c r="N93" s="8" t="s">
        <v>10</v>
      </c>
      <c r="O93" s="4">
        <f>+Harvest!O93/Effort!O93</f>
        <v>9.0748558755735331</v>
      </c>
      <c r="P93" s="19"/>
    </row>
    <row r="94" spans="1:16" x14ac:dyDescent="0.25">
      <c r="A94" s="76">
        <v>45743</v>
      </c>
      <c r="B94" s="7" t="s">
        <v>22</v>
      </c>
      <c r="C94" s="12">
        <v>0.74305555555555547</v>
      </c>
      <c r="D94" s="4">
        <v>-0.11</v>
      </c>
      <c r="E94" s="75" t="s">
        <v>63</v>
      </c>
      <c r="F94" s="4">
        <v>12</v>
      </c>
      <c r="G94" s="7" t="s">
        <v>63</v>
      </c>
      <c r="H94" s="4">
        <v>12</v>
      </c>
      <c r="I94" s="7"/>
      <c r="J94" s="8" t="s">
        <v>10</v>
      </c>
      <c r="K94" s="7"/>
      <c r="L94" s="4">
        <f>+Harvest!L94/Effort!L94</f>
        <v>11.941176470588221</v>
      </c>
      <c r="M94" s="7"/>
      <c r="N94" s="8" t="s">
        <v>10</v>
      </c>
      <c r="O94" s="4">
        <f>+Harvest!O94/Effort!O94</f>
        <v>11.979881468532044</v>
      </c>
      <c r="P94" s="19"/>
    </row>
    <row r="95" spans="1:16" x14ac:dyDescent="0.25">
      <c r="A95" s="76">
        <v>45744</v>
      </c>
      <c r="B95" s="7" t="s">
        <v>18</v>
      </c>
      <c r="C95" s="12">
        <v>0.77013888888888893</v>
      </c>
      <c r="D95" s="4">
        <v>-0.02</v>
      </c>
      <c r="E95" s="75"/>
      <c r="F95" s="4">
        <v>3.6</v>
      </c>
      <c r="G95" s="7" t="s">
        <v>63</v>
      </c>
      <c r="H95" s="4">
        <v>11</v>
      </c>
      <c r="I95" s="7"/>
      <c r="J95" s="4">
        <f>+Harvest!J95/Effort!J95</f>
        <v>10.94444444444439</v>
      </c>
      <c r="K95" s="7"/>
      <c r="L95" s="8" t="s">
        <v>10</v>
      </c>
      <c r="M95" s="7"/>
      <c r="N95" s="8" t="s">
        <v>10</v>
      </c>
      <c r="O95" s="4">
        <f>+Harvest!O95/Effort!O95</f>
        <v>8.8853963293709501</v>
      </c>
      <c r="P95" s="19"/>
    </row>
    <row r="96" spans="1:16" x14ac:dyDescent="0.25">
      <c r="A96" s="76">
        <v>45745</v>
      </c>
      <c r="B96" s="7" t="s">
        <v>19</v>
      </c>
      <c r="C96" s="12">
        <v>0.2902777777777778</v>
      </c>
      <c r="D96" s="4">
        <v>-0.14000000000000001</v>
      </c>
      <c r="E96" s="75" t="s">
        <v>63</v>
      </c>
      <c r="F96" s="4">
        <v>11</v>
      </c>
      <c r="G96" s="7" t="s">
        <v>63</v>
      </c>
      <c r="H96" s="4">
        <v>11</v>
      </c>
      <c r="I96" s="7"/>
      <c r="J96" s="4">
        <f>+Harvest!J96/Effort!J96</f>
        <v>10.56363636363638</v>
      </c>
      <c r="K96" s="7"/>
      <c r="L96" s="8" t="s">
        <v>10</v>
      </c>
      <c r="M96" s="7"/>
      <c r="N96" s="8" t="s">
        <v>10</v>
      </c>
      <c r="O96" s="4">
        <f>+Harvest!O96/Effort!O96</f>
        <v>10.813833738903828</v>
      </c>
      <c r="P96" s="19"/>
    </row>
    <row r="97" spans="1:16" x14ac:dyDescent="0.25">
      <c r="A97" s="76">
        <v>45746</v>
      </c>
      <c r="B97" s="7" t="s">
        <v>20</v>
      </c>
      <c r="C97" s="12">
        <v>0.3215277777777778</v>
      </c>
      <c r="D97" s="4">
        <v>-0.84</v>
      </c>
      <c r="E97" s="75"/>
      <c r="F97" s="4">
        <v>14.7</v>
      </c>
      <c r="G97" s="7"/>
      <c r="H97" s="4">
        <f>+Harvest!H97/Effort!H97</f>
        <v>14.855769230769212</v>
      </c>
      <c r="I97" s="7"/>
      <c r="J97" s="8" t="s">
        <v>10</v>
      </c>
      <c r="K97" s="7"/>
      <c r="L97" s="4">
        <f>+Harvest!L97/Effort!L97</f>
        <v>14.037037037037058</v>
      </c>
      <c r="M97" s="7"/>
      <c r="N97" s="8" t="s">
        <v>10</v>
      </c>
      <c r="O97" s="4">
        <f>+Harvest!O97/Effort!O97</f>
        <v>14.494188260823602</v>
      </c>
      <c r="P97" s="19"/>
    </row>
    <row r="98" spans="1:16" x14ac:dyDescent="0.25">
      <c r="A98" s="76">
        <v>45747</v>
      </c>
      <c r="B98" s="7" t="s">
        <v>21</v>
      </c>
      <c r="C98" s="12">
        <v>0.3527777777777778</v>
      </c>
      <c r="D98" s="4">
        <v>-1.23</v>
      </c>
      <c r="E98" s="75" t="s">
        <v>63</v>
      </c>
      <c r="F98" s="4">
        <v>14.5</v>
      </c>
      <c r="G98" s="7" t="s">
        <v>63</v>
      </c>
      <c r="H98" s="4">
        <v>14.5</v>
      </c>
      <c r="I98" s="7"/>
      <c r="J98" s="8" t="s">
        <v>10</v>
      </c>
      <c r="K98" s="7"/>
      <c r="L98" s="4">
        <f>+Harvest!L98/Effort!L98</f>
        <v>14.338983050847474</v>
      </c>
      <c r="M98" s="7"/>
      <c r="N98" s="8" t="s">
        <v>10</v>
      </c>
      <c r="O98" s="4">
        <f>+Harvest!O98/Effort!O98</f>
        <v>14.441854890386873</v>
      </c>
      <c r="P98" s="19"/>
    </row>
    <row r="99" spans="1:16" x14ac:dyDescent="0.25">
      <c r="A99" s="76">
        <v>45748</v>
      </c>
      <c r="B99" s="7" t="s">
        <v>61</v>
      </c>
      <c r="C99" s="12">
        <v>0.38680555555555557</v>
      </c>
      <c r="D99" s="4">
        <v>-1.27</v>
      </c>
      <c r="E99" s="75" t="s">
        <v>63</v>
      </c>
      <c r="F99" s="4">
        <v>14.5</v>
      </c>
      <c r="G99" s="7"/>
      <c r="H99" s="4">
        <f>+Harvest!H99/Effort!H99</f>
        <v>14.409090909090907</v>
      </c>
      <c r="I99" s="7"/>
      <c r="J99" s="4">
        <f>+Harvest!J99/Effort!J99</f>
        <v>13.692307692307676</v>
      </c>
      <c r="K99" s="7"/>
      <c r="L99" s="8" t="s">
        <v>10</v>
      </c>
      <c r="M99" s="7"/>
      <c r="N99" s="8" t="s">
        <v>10</v>
      </c>
      <c r="O99" s="4">
        <f>+Harvest!O99/Effort!O99</f>
        <v>14.064635676429239</v>
      </c>
      <c r="P99" s="19"/>
    </row>
    <row r="100" spans="1:16" x14ac:dyDescent="0.25">
      <c r="A100" s="76">
        <v>45749</v>
      </c>
      <c r="B100" s="7" t="s">
        <v>62</v>
      </c>
      <c r="C100" s="12">
        <v>0.42291666666666666</v>
      </c>
      <c r="D100" s="4">
        <v>-0.98</v>
      </c>
      <c r="E100" s="75"/>
      <c r="F100" s="4">
        <v>15</v>
      </c>
      <c r="G100" s="7"/>
      <c r="H100" s="4">
        <f>+Harvest!H100/Effort!H100</f>
        <v>14.999999999999966</v>
      </c>
      <c r="I100" s="7"/>
      <c r="J100" s="4">
        <f>+Harvest!J100/Effort!J100</f>
        <v>14.314285714285706</v>
      </c>
      <c r="K100" s="7"/>
      <c r="L100" s="8" t="s">
        <v>10</v>
      </c>
      <c r="M100" s="7"/>
      <c r="N100" s="8" t="s">
        <v>10</v>
      </c>
      <c r="O100" s="4">
        <f>+Harvest!O100/Effort!O100</f>
        <v>14.687029186211078</v>
      </c>
      <c r="P100" s="19"/>
    </row>
    <row r="101" spans="1:16" x14ac:dyDescent="0.25">
      <c r="A101" s="76">
        <v>45750</v>
      </c>
      <c r="B101" s="7" t="s">
        <v>22</v>
      </c>
      <c r="C101" s="12">
        <v>0.46319444444444446</v>
      </c>
      <c r="D101" s="4">
        <v>-0.47</v>
      </c>
      <c r="E101" s="75" t="s">
        <v>63</v>
      </c>
      <c r="F101" s="4">
        <v>15</v>
      </c>
      <c r="G101" s="7"/>
      <c r="H101" s="4">
        <f>+Harvest!H101/Effort!H101</f>
        <v>15.000000000000092</v>
      </c>
      <c r="I101" s="7"/>
      <c r="J101" s="8" t="s">
        <v>10</v>
      </c>
      <c r="K101" s="7"/>
      <c r="L101" s="4">
        <f>+Harvest!L101/Effort!L101</f>
        <v>15.000000000000002</v>
      </c>
      <c r="M101" s="7"/>
      <c r="N101" s="8" t="s">
        <v>10</v>
      </c>
      <c r="O101" s="4">
        <f>+Harvest!O101/Effort!O101</f>
        <v>15.000000000000032</v>
      </c>
      <c r="P101" s="19"/>
    </row>
    <row r="102" spans="1:16" x14ac:dyDescent="0.25">
      <c r="A102" s="76"/>
      <c r="B102" s="7"/>
      <c r="C102" s="12"/>
      <c r="D102" s="4"/>
      <c r="E102" s="75"/>
      <c r="F102" s="8"/>
      <c r="G102" s="7"/>
      <c r="H102" s="8"/>
      <c r="I102" s="7"/>
      <c r="J102" s="8"/>
      <c r="K102" s="7"/>
      <c r="L102" s="8"/>
      <c r="M102" s="7"/>
      <c r="N102" s="8"/>
      <c r="O102" s="4"/>
      <c r="P102" s="19"/>
    </row>
    <row r="103" spans="1:16" x14ac:dyDescent="0.25">
      <c r="A103" s="76">
        <v>45759</v>
      </c>
      <c r="B103" s="7" t="s">
        <v>19</v>
      </c>
      <c r="C103" s="12">
        <v>0.28958333333333336</v>
      </c>
      <c r="D103" s="4">
        <v>0.35</v>
      </c>
      <c r="E103" s="75" t="s">
        <v>63</v>
      </c>
      <c r="F103" s="4">
        <v>14</v>
      </c>
      <c r="G103" s="7"/>
      <c r="H103" s="4">
        <f>+Harvest!H103/Effort!H103</f>
        <v>14.014285714285764</v>
      </c>
      <c r="I103" s="7"/>
      <c r="J103" s="8" t="s">
        <v>10</v>
      </c>
      <c r="K103" s="7"/>
      <c r="L103" s="4">
        <f>+Harvest!L103/Effort!L103</f>
        <v>12.000000000000028</v>
      </c>
      <c r="M103" s="7"/>
      <c r="N103" s="8" t="s">
        <v>10</v>
      </c>
      <c r="O103" s="4">
        <f>+Harvest!O103/Effort!O103</f>
        <v>13.302168292561642</v>
      </c>
      <c r="P103" s="19"/>
    </row>
    <row r="104" spans="1:16" x14ac:dyDescent="0.25">
      <c r="A104" s="76">
        <v>45760</v>
      </c>
      <c r="B104" s="7" t="s">
        <v>20</v>
      </c>
      <c r="C104" s="12">
        <v>0.31180555555555556</v>
      </c>
      <c r="D104" s="4">
        <v>0</v>
      </c>
      <c r="E104" s="75"/>
      <c r="F104" s="4">
        <v>15</v>
      </c>
      <c r="G104" s="7" t="s">
        <v>63</v>
      </c>
      <c r="H104" s="4">
        <v>15</v>
      </c>
      <c r="I104" s="7"/>
      <c r="J104" s="4">
        <f>+Harvest!J104/Effort!J104</f>
        <v>14.99999999999995</v>
      </c>
      <c r="K104" s="7"/>
      <c r="L104" s="8" t="s">
        <v>10</v>
      </c>
      <c r="M104" s="7"/>
      <c r="N104" s="8" t="s">
        <v>10</v>
      </c>
      <c r="O104" s="4">
        <f>+Harvest!O104/Effort!O104</f>
        <v>14.99999999999997</v>
      </c>
      <c r="P104" s="19"/>
    </row>
    <row r="105" spans="1:16" x14ac:dyDescent="0.25">
      <c r="A105" s="76">
        <v>45761</v>
      </c>
      <c r="B105" s="7" t="s">
        <v>21</v>
      </c>
      <c r="C105" s="12">
        <v>0.33333333333333331</v>
      </c>
      <c r="D105" s="4">
        <v>-0.21</v>
      </c>
      <c r="E105" s="75" t="s">
        <v>63</v>
      </c>
      <c r="F105" s="4">
        <v>15</v>
      </c>
      <c r="G105" s="7"/>
      <c r="H105" s="4">
        <f>+Harvest!H105/Effort!H105</f>
        <v>14.999999999999998</v>
      </c>
      <c r="I105" s="7"/>
      <c r="J105" s="4">
        <f>+Harvest!J105/Effort!J105</f>
        <v>13.119047619047604</v>
      </c>
      <c r="K105" s="7"/>
      <c r="L105" s="8" t="s">
        <v>10</v>
      </c>
      <c r="M105" s="7"/>
      <c r="N105" s="8" t="s">
        <v>10</v>
      </c>
      <c r="O105" s="4">
        <f>+Harvest!O105/Effort!O105</f>
        <v>14.218586476045132</v>
      </c>
      <c r="P105" s="19"/>
    </row>
    <row r="106" spans="1:16" x14ac:dyDescent="0.25">
      <c r="A106" s="76">
        <v>45762</v>
      </c>
      <c r="B106" s="7" t="s">
        <v>61</v>
      </c>
      <c r="C106" s="12">
        <v>0.35625000000000001</v>
      </c>
      <c r="D106" s="4">
        <v>-0.27</v>
      </c>
      <c r="E106" s="75"/>
      <c r="F106" s="4">
        <v>15</v>
      </c>
      <c r="G106" s="7" t="s">
        <v>63</v>
      </c>
      <c r="H106" s="4">
        <v>15</v>
      </c>
      <c r="I106" s="7"/>
      <c r="J106" s="8" t="s">
        <v>10</v>
      </c>
      <c r="K106" s="7"/>
      <c r="L106" s="4">
        <f>+Harvest!L106/Effort!L106</f>
        <v>13.06451612903226</v>
      </c>
      <c r="M106" s="7"/>
      <c r="N106" s="8" t="s">
        <v>10</v>
      </c>
      <c r="O106" s="4">
        <f>+Harvest!O106/Effort!O106</f>
        <v>14.320009782619618</v>
      </c>
      <c r="P106" s="19"/>
    </row>
    <row r="107" spans="1:16" x14ac:dyDescent="0.25">
      <c r="A107" s="76">
        <v>45763</v>
      </c>
      <c r="B107" s="7" t="s">
        <v>62</v>
      </c>
      <c r="C107" s="12">
        <v>0.38055555555555554</v>
      </c>
      <c r="D107" s="4">
        <v>-0.19</v>
      </c>
      <c r="E107" s="75" t="s">
        <v>63</v>
      </c>
      <c r="F107" s="4">
        <v>13</v>
      </c>
      <c r="G107" s="7" t="s">
        <v>63</v>
      </c>
      <c r="H107" s="4">
        <v>13</v>
      </c>
      <c r="I107" s="7"/>
      <c r="J107" s="8" t="s">
        <v>10</v>
      </c>
      <c r="K107" s="7"/>
      <c r="L107" s="4">
        <f>+Harvest!L107/Effort!L107</f>
        <v>11.742857142857151</v>
      </c>
      <c r="M107" s="7"/>
      <c r="N107" s="8" t="s">
        <v>10</v>
      </c>
      <c r="O107" s="4">
        <f>+Harvest!O107/Effort!O107</f>
        <v>12.55833016356817</v>
      </c>
      <c r="P107" s="19"/>
    </row>
    <row r="108" spans="1:16" x14ac:dyDescent="0.25">
      <c r="A108" s="76">
        <v>45764</v>
      </c>
      <c r="B108" s="7" t="s">
        <v>22</v>
      </c>
      <c r="C108" s="12">
        <v>0.40833333333333338</v>
      </c>
      <c r="D108" s="4">
        <v>0</v>
      </c>
      <c r="E108" s="75"/>
      <c r="F108" s="4">
        <f>+Harvest!F108/Effort!F108</f>
        <v>15</v>
      </c>
      <c r="G108" s="7"/>
      <c r="H108" s="4">
        <f>+Harvest!H108/Effort!H108</f>
        <v>14.67741935483871</v>
      </c>
      <c r="I108" s="7"/>
      <c r="J108" s="4">
        <f>+Harvest!J108/Effort!J108</f>
        <v>14.999999999999941</v>
      </c>
      <c r="K108" s="7"/>
      <c r="L108" s="8" t="s">
        <v>10</v>
      </c>
      <c r="M108" s="7"/>
      <c r="N108" s="8" t="s">
        <v>10</v>
      </c>
      <c r="O108" s="4">
        <f>+Harvest!O108/Effort!O108</f>
        <v>14.900894740138336</v>
      </c>
      <c r="P108" s="19"/>
    </row>
    <row r="109" spans="1:16" x14ac:dyDescent="0.25">
      <c r="A109" s="76">
        <v>45765</v>
      </c>
      <c r="B109" s="7" t="s">
        <v>18</v>
      </c>
      <c r="C109" s="12">
        <v>0.43958333333333338</v>
      </c>
      <c r="D109" s="4">
        <v>0.26</v>
      </c>
      <c r="E109" s="75" t="s">
        <v>63</v>
      </c>
      <c r="F109" s="4">
        <v>14</v>
      </c>
      <c r="G109" s="7" t="s">
        <v>63</v>
      </c>
      <c r="H109" s="4">
        <v>14</v>
      </c>
      <c r="I109" s="7"/>
      <c r="J109" s="4">
        <f>+Harvest!J109/Effort!J109</f>
        <v>13.942307692307736</v>
      </c>
      <c r="K109" s="7"/>
      <c r="L109" s="8" t="s">
        <v>10</v>
      </c>
      <c r="M109" s="7"/>
      <c r="N109" s="8" t="s">
        <v>10</v>
      </c>
      <c r="O109" s="4">
        <f>+Harvest!O109/Effort!O109</f>
        <v>13.975841183235321</v>
      </c>
      <c r="P109" s="19"/>
    </row>
    <row r="110" spans="1:16" x14ac:dyDescent="0.25">
      <c r="A110" s="76"/>
      <c r="B110" s="7"/>
      <c r="C110" s="12"/>
      <c r="D110" s="4"/>
      <c r="E110" s="75"/>
      <c r="G110" s="7"/>
      <c r="H110" s="4"/>
      <c r="I110" s="7"/>
      <c r="J110" s="8"/>
      <c r="K110" s="7"/>
      <c r="L110" s="8"/>
      <c r="M110" s="7"/>
      <c r="N110" s="8"/>
      <c r="O110" s="4"/>
      <c r="P110" s="19"/>
    </row>
    <row r="111" spans="1:16" x14ac:dyDescent="0.25">
      <c r="A111" s="76">
        <v>45773</v>
      </c>
      <c r="B111" s="7" t="s">
        <v>19</v>
      </c>
      <c r="C111" s="12">
        <v>0.24513888888888888</v>
      </c>
      <c r="D111" s="4">
        <v>-0.55000000000000004</v>
      </c>
      <c r="E111" s="75"/>
      <c r="F111" s="4">
        <v>14.5</v>
      </c>
      <c r="G111" s="7"/>
      <c r="H111" s="4">
        <f>+Harvest!H111/Effort!H111</f>
        <v>15</v>
      </c>
      <c r="I111" s="7"/>
      <c r="J111" s="4">
        <f>+Harvest!J111/Effort!J111</f>
        <v>10.862745098039206</v>
      </c>
      <c r="K111" s="7"/>
      <c r="L111" s="8" t="s">
        <v>10</v>
      </c>
      <c r="M111" s="7"/>
      <c r="N111" s="8" t="s">
        <v>10</v>
      </c>
      <c r="O111" s="4">
        <f>+Harvest!O111/Effort!O111</f>
        <v>13.18882871041353</v>
      </c>
      <c r="P111" s="19"/>
    </row>
    <row r="112" spans="1:16" x14ac:dyDescent="0.25">
      <c r="A112" s="76">
        <v>45774</v>
      </c>
      <c r="B112" s="7" t="s">
        <v>20</v>
      </c>
      <c r="C112" s="12">
        <v>0.27777777777777779</v>
      </c>
      <c r="D112" s="4">
        <v>-1.45</v>
      </c>
      <c r="E112" s="75"/>
      <c r="F112" s="4">
        <v>14.3</v>
      </c>
      <c r="G112" s="7" t="s">
        <v>63</v>
      </c>
      <c r="H112" s="4">
        <v>14</v>
      </c>
      <c r="I112" s="7"/>
      <c r="J112" s="8" t="s">
        <v>10</v>
      </c>
      <c r="K112" s="7"/>
      <c r="L112" s="4">
        <f>+Harvest!L112/Effort!L112</f>
        <v>13.193548387096756</v>
      </c>
      <c r="M112" s="7"/>
      <c r="N112" s="8" t="s">
        <v>10</v>
      </c>
      <c r="O112" s="4">
        <f>+Harvest!O112/Effort!O112</f>
        <v>13.739239032296007</v>
      </c>
      <c r="P112" s="19"/>
    </row>
    <row r="113" spans="1:16" x14ac:dyDescent="0.25">
      <c r="A113" s="76">
        <v>45775</v>
      </c>
      <c r="B113" s="7" t="s">
        <v>21</v>
      </c>
      <c r="C113" s="12">
        <v>0.30902777777777779</v>
      </c>
      <c r="D113" s="4">
        <v>-2.0299999999999998</v>
      </c>
      <c r="E113" s="75" t="s">
        <v>63</v>
      </c>
      <c r="F113" s="4">
        <v>14</v>
      </c>
      <c r="G113" s="7"/>
      <c r="H113" s="4">
        <f>+Harvest!H113/Effort!H113</f>
        <v>15.000000000000044</v>
      </c>
      <c r="I113" s="7"/>
      <c r="J113" s="8" t="s">
        <v>10</v>
      </c>
      <c r="K113" s="7"/>
      <c r="L113" s="4">
        <f>+Harvest!L113/Effort!L113</f>
        <v>14.29268292682929</v>
      </c>
      <c r="M113" s="7"/>
      <c r="N113" s="8" t="s">
        <v>10</v>
      </c>
      <c r="O113" s="4">
        <f>+Harvest!O113/Effort!O113</f>
        <v>14.337306839866606</v>
      </c>
      <c r="P113" s="19"/>
    </row>
    <row r="114" spans="1:16" x14ac:dyDescent="0.25">
      <c r="A114" s="76">
        <v>45776</v>
      </c>
      <c r="B114" s="7" t="s">
        <v>61</v>
      </c>
      <c r="C114" s="12">
        <v>0.34166666666666662</v>
      </c>
      <c r="D114" s="4">
        <v>-2.2200000000000002</v>
      </c>
      <c r="E114" s="75" t="s">
        <v>63</v>
      </c>
      <c r="F114" s="4">
        <v>14</v>
      </c>
      <c r="G114" s="7"/>
      <c r="H114" s="4">
        <f>+Harvest!H114/Effort!H114</f>
        <v>13.925925925925922</v>
      </c>
      <c r="I114" s="7"/>
      <c r="J114" s="4">
        <f>+Harvest!J114/Effort!J114</f>
        <v>15</v>
      </c>
      <c r="K114" s="7"/>
      <c r="L114" s="8" t="s">
        <v>10</v>
      </c>
      <c r="M114" s="7"/>
      <c r="N114" s="8" t="s">
        <v>10</v>
      </c>
      <c r="O114" s="4">
        <f>+Harvest!O114/Effort!O114</f>
        <v>14.423926478542068</v>
      </c>
      <c r="P114" s="19"/>
    </row>
    <row r="115" spans="1:16" x14ac:dyDescent="0.25">
      <c r="A115" s="76">
        <v>45777</v>
      </c>
      <c r="B115" s="7" t="s">
        <v>62</v>
      </c>
      <c r="C115" s="12">
        <v>0.375</v>
      </c>
      <c r="D115" s="4">
        <v>-2.0299999999999998</v>
      </c>
      <c r="E115" s="75" t="s">
        <v>63</v>
      </c>
      <c r="F115" s="4">
        <v>15</v>
      </c>
      <c r="G115" s="7" t="s">
        <v>63</v>
      </c>
      <c r="H115" s="4">
        <v>15</v>
      </c>
      <c r="I115" s="7"/>
      <c r="J115" s="4">
        <f>+Harvest!J115/Effort!J115</f>
        <v>14.915254237288101</v>
      </c>
      <c r="K115" s="7"/>
      <c r="L115" s="8" t="s">
        <v>10</v>
      </c>
      <c r="M115" s="7"/>
      <c r="N115" s="8" t="s">
        <v>10</v>
      </c>
      <c r="O115" s="4">
        <f>+Harvest!O115/Effort!O115</f>
        <v>14.964768205720128</v>
      </c>
      <c r="P115" s="19"/>
    </row>
    <row r="116" spans="1:16" x14ac:dyDescent="0.25">
      <c r="A116" s="76">
        <v>45778</v>
      </c>
      <c r="B116" s="7" t="s">
        <v>22</v>
      </c>
      <c r="C116" s="12">
        <v>0.41111111111111115</v>
      </c>
      <c r="D116" s="4">
        <v>-1.55</v>
      </c>
      <c r="E116" s="75"/>
      <c r="F116" s="4">
        <f>+Harvest!F116/Effort!F116</f>
        <v>15.000000000000023</v>
      </c>
      <c r="G116" s="7"/>
      <c r="H116" s="4">
        <f>+Harvest!H116/Effort!H116</f>
        <v>15.000000000000041</v>
      </c>
      <c r="I116" s="7"/>
      <c r="J116" s="4">
        <f>+Harvest!J116/Effort!J116</f>
        <v>14.032258064516093</v>
      </c>
      <c r="K116" s="7"/>
      <c r="L116" s="8" t="s">
        <v>10</v>
      </c>
      <c r="M116" s="7"/>
      <c r="N116" s="8" t="s">
        <v>10</v>
      </c>
      <c r="O116" s="4">
        <f>+Harvest!O116/Effort!O116</f>
        <v>14.62224147965134</v>
      </c>
      <c r="P116" s="19"/>
    </row>
    <row r="117" spans="1:16" x14ac:dyDescent="0.25">
      <c r="A117" s="76">
        <v>45779</v>
      </c>
      <c r="B117" s="7" t="s">
        <v>18</v>
      </c>
      <c r="C117" s="12">
        <v>0.44930555555555557</v>
      </c>
      <c r="D117" s="4">
        <v>-0.91</v>
      </c>
      <c r="E117" s="75"/>
      <c r="F117" s="4">
        <v>14.3</v>
      </c>
      <c r="G117" s="7" t="s">
        <v>63</v>
      </c>
      <c r="H117" s="4">
        <v>15</v>
      </c>
      <c r="I117" s="7"/>
      <c r="J117" s="8" t="s">
        <v>10</v>
      </c>
      <c r="K117" s="7"/>
      <c r="L117" s="4">
        <f>+Harvest!L117/Effort!L117</f>
        <v>14.923076923076879</v>
      </c>
      <c r="M117" s="7"/>
      <c r="N117" s="8" t="s">
        <v>10</v>
      </c>
      <c r="O117" s="4">
        <f>+Harvest!O117/Effort!O117</f>
        <v>14.767547577427449</v>
      </c>
      <c r="P117" s="19"/>
    </row>
    <row r="118" spans="1:16" x14ac:dyDescent="0.25">
      <c r="A118" s="76">
        <v>45780</v>
      </c>
      <c r="B118" s="7" t="s">
        <v>19</v>
      </c>
      <c r="C118" s="12">
        <v>0.4916666666666667</v>
      </c>
      <c r="D118" s="4">
        <v>-0.24</v>
      </c>
      <c r="E118" s="75" t="s">
        <v>63</v>
      </c>
      <c r="F118" s="4">
        <v>14</v>
      </c>
      <c r="G118" s="7"/>
      <c r="H118" s="4">
        <f>+Harvest!H118/Effort!H118</f>
        <v>13.089285714285733</v>
      </c>
      <c r="I118" s="7"/>
      <c r="J118" s="8" t="s">
        <v>10</v>
      </c>
      <c r="K118" s="7"/>
      <c r="L118" s="4">
        <f>+Harvest!L118/Effort!L118</f>
        <v>14.064516129032294</v>
      </c>
      <c r="M118" s="7"/>
      <c r="N118" s="8" t="s">
        <v>10</v>
      </c>
      <c r="O118" s="4">
        <f>+Harvest!O118/Effort!O118</f>
        <v>13.605217646754566</v>
      </c>
      <c r="P118" s="19"/>
    </row>
    <row r="119" spans="1:16" x14ac:dyDescent="0.25">
      <c r="A119" s="76"/>
      <c r="B119" s="7"/>
      <c r="C119" s="12"/>
      <c r="D119" s="4"/>
      <c r="E119" s="75"/>
      <c r="G119" s="7"/>
      <c r="H119" s="4"/>
      <c r="I119" s="7"/>
      <c r="J119" s="8"/>
      <c r="K119" s="7"/>
      <c r="L119" s="8"/>
      <c r="M119" s="7"/>
      <c r="N119" s="8"/>
      <c r="O119" s="4"/>
      <c r="P119" s="19"/>
    </row>
    <row r="120" spans="1:16" x14ac:dyDescent="0.25">
      <c r="A120" s="76">
        <v>45787</v>
      </c>
      <c r="B120" s="7" t="s">
        <v>19</v>
      </c>
      <c r="C120" s="12">
        <v>0.24861111111111112</v>
      </c>
      <c r="D120" s="4">
        <v>7.0000000000000007E-2</v>
      </c>
      <c r="E120" s="75"/>
      <c r="F120" s="4">
        <v>15</v>
      </c>
      <c r="G120" s="7"/>
      <c r="H120" s="4">
        <f>+Harvest!H120/Effort!H120</f>
        <v>14.672131147540943</v>
      </c>
      <c r="I120" s="7"/>
      <c r="J120" s="4">
        <f>+Harvest!J120/Effort!J120</f>
        <v>13.75000000000005</v>
      </c>
      <c r="K120" s="7"/>
      <c r="L120" s="8" t="s">
        <v>10</v>
      </c>
      <c r="M120" s="7"/>
      <c r="N120" s="8" t="s">
        <v>10</v>
      </c>
      <c r="O120" s="4">
        <f>+Harvest!O120/Effort!O120</f>
        <v>14.419055263694345</v>
      </c>
      <c r="P120" s="19"/>
    </row>
    <row r="121" spans="1:16" x14ac:dyDescent="0.25">
      <c r="A121" s="76">
        <v>45788</v>
      </c>
      <c r="B121" s="7" t="s">
        <v>20</v>
      </c>
      <c r="C121" s="12">
        <v>0.2722222222222222</v>
      </c>
      <c r="D121" s="4">
        <v>-0.4</v>
      </c>
      <c r="E121" s="75" t="s">
        <v>63</v>
      </c>
      <c r="F121" s="4">
        <v>14.5</v>
      </c>
      <c r="G121" s="7"/>
      <c r="H121" s="4">
        <f>+Harvest!H121/Effort!H121</f>
        <v>14.743589743589688</v>
      </c>
      <c r="I121" s="7"/>
      <c r="J121" s="8" t="s">
        <v>10</v>
      </c>
      <c r="K121" s="7"/>
      <c r="L121" s="4">
        <f>+Harvest!L121/Effort!L121</f>
        <v>15</v>
      </c>
      <c r="M121" s="7"/>
      <c r="N121" s="8" t="s">
        <v>10</v>
      </c>
      <c r="O121" s="4">
        <f>+Harvest!O121/Effort!O121</f>
        <v>14.730068924497205</v>
      </c>
      <c r="P121" s="19"/>
    </row>
    <row r="122" spans="1:16" x14ac:dyDescent="0.25">
      <c r="A122" s="76">
        <v>45789</v>
      </c>
      <c r="B122" s="7" t="s">
        <v>21</v>
      </c>
      <c r="C122" s="12">
        <v>0.2951388888888889</v>
      </c>
      <c r="D122" s="4">
        <v>-0.71</v>
      </c>
      <c r="E122" s="75" t="s">
        <v>63</v>
      </c>
      <c r="F122" s="4">
        <v>15</v>
      </c>
      <c r="G122" s="7" t="s">
        <v>63</v>
      </c>
      <c r="H122" s="4">
        <v>15</v>
      </c>
      <c r="I122" s="7"/>
      <c r="J122" s="8" t="s">
        <v>10</v>
      </c>
      <c r="K122" s="7"/>
      <c r="L122" s="4">
        <f>+Harvest!L122/Effort!L122</f>
        <v>15.000000000000016</v>
      </c>
      <c r="M122" s="7"/>
      <c r="N122" s="8" t="s">
        <v>10</v>
      </c>
      <c r="O122" s="4">
        <f>+Harvest!O122/Effort!O122</f>
        <v>15.000000000000004</v>
      </c>
      <c r="P122" s="19"/>
    </row>
    <row r="123" spans="1:16" x14ac:dyDescent="0.25">
      <c r="A123" s="76">
        <v>45790</v>
      </c>
      <c r="B123" s="7" t="s">
        <v>61</v>
      </c>
      <c r="C123" s="12">
        <v>0.31805555555555554</v>
      </c>
      <c r="D123" s="4">
        <v>-0.89</v>
      </c>
      <c r="E123" s="75"/>
      <c r="F123" s="4">
        <v>15</v>
      </c>
      <c r="G123" s="7" t="s">
        <v>63</v>
      </c>
      <c r="H123" s="4">
        <v>14.5</v>
      </c>
      <c r="I123" s="7"/>
      <c r="J123" s="4">
        <f>+Harvest!J123/Effort!J123</f>
        <v>13.405405405405453</v>
      </c>
      <c r="K123" s="7"/>
      <c r="L123" s="8" t="s">
        <v>10</v>
      </c>
      <c r="M123" s="7"/>
      <c r="N123" s="8" t="s">
        <v>10</v>
      </c>
      <c r="O123" s="4">
        <f>+Harvest!O123/Effort!O123</f>
        <v>14.265989853145086</v>
      </c>
      <c r="P123" s="19"/>
    </row>
    <row r="124" spans="1:16" x14ac:dyDescent="0.25">
      <c r="A124" s="76">
        <v>45791</v>
      </c>
      <c r="B124" s="7" t="s">
        <v>62</v>
      </c>
      <c r="C124" s="12">
        <v>0.34236111111111112</v>
      </c>
      <c r="D124" s="4">
        <v>-0.92</v>
      </c>
      <c r="E124" s="75" t="s">
        <v>63</v>
      </c>
      <c r="F124" s="4">
        <v>14.5</v>
      </c>
      <c r="G124" s="7"/>
      <c r="H124" s="4">
        <f>+Harvest!H124/Effort!H124</f>
        <v>14.857142857142851</v>
      </c>
      <c r="I124" s="7"/>
      <c r="J124" s="4">
        <f>+Harvest!J124/Effort!J124</f>
        <v>14.94545454545454</v>
      </c>
      <c r="K124" s="7"/>
      <c r="L124" s="8" t="s">
        <v>10</v>
      </c>
      <c r="M124" s="7"/>
      <c r="N124" s="8" t="s">
        <v>10</v>
      </c>
      <c r="O124" s="4">
        <f>+Harvest!O124/Effort!O124</f>
        <v>14.786160818784676</v>
      </c>
      <c r="P124" s="19"/>
    </row>
    <row r="125" spans="1:16" x14ac:dyDescent="0.25">
      <c r="A125" s="76">
        <v>45792</v>
      </c>
      <c r="B125" s="7" t="s">
        <v>22</v>
      </c>
      <c r="C125" s="12">
        <v>0.36736111111111108</v>
      </c>
      <c r="D125" s="4">
        <v>-0.84</v>
      </c>
      <c r="E125" s="75"/>
      <c r="F125" s="4">
        <f>+Harvest!F125/Effort!F125</f>
        <v>14.651020155515056</v>
      </c>
      <c r="G125" s="7" t="s">
        <v>63</v>
      </c>
      <c r="H125" s="4">
        <v>14.5</v>
      </c>
      <c r="I125" s="7"/>
      <c r="J125" s="8" t="s">
        <v>10</v>
      </c>
      <c r="K125" s="7"/>
      <c r="L125" s="4">
        <f>+Harvest!L125/Effort!L125</f>
        <v>14.883720930232517</v>
      </c>
      <c r="M125" s="7"/>
      <c r="N125" s="8" t="s">
        <v>10</v>
      </c>
      <c r="O125" s="4">
        <f>+Harvest!O125/Effort!O125</f>
        <v>14.823468320257147</v>
      </c>
      <c r="P125" s="19"/>
    </row>
    <row r="126" spans="1:16" x14ac:dyDescent="0.25">
      <c r="A126" s="76"/>
      <c r="B126" s="7"/>
      <c r="C126" s="12"/>
      <c r="D126" s="4"/>
      <c r="E126" s="75"/>
      <c r="F126" s="8"/>
      <c r="G126" s="7"/>
      <c r="H126" s="8"/>
      <c r="I126" s="7"/>
      <c r="J126" s="8"/>
      <c r="K126" s="7"/>
      <c r="L126" s="8"/>
      <c r="M126" s="7"/>
      <c r="N126" s="8"/>
      <c r="O126" s="8"/>
      <c r="P126" s="19"/>
    </row>
    <row r="127" spans="1:16" ht="14.1" customHeight="1" x14ac:dyDescent="0.25">
      <c r="A127" s="17" t="s">
        <v>23</v>
      </c>
      <c r="C127" s="12"/>
      <c r="D127" s="4"/>
      <c r="E127" s="5"/>
      <c r="F127" s="4">
        <f>Harvest!F127/Effort!F127</f>
        <v>12.745433369677899</v>
      </c>
      <c r="G127" s="20"/>
      <c r="H127" s="4">
        <f>Harvest!H127/Effort!H127</f>
        <v>12.725610296739369</v>
      </c>
      <c r="I127" s="20"/>
      <c r="J127" s="4">
        <f>Harvest!J127/Effort!J127</f>
        <v>11.872759887943751</v>
      </c>
      <c r="K127" s="20"/>
      <c r="L127" s="4">
        <f>Harvest!L127/Effort!L127</f>
        <v>11.995780919731281</v>
      </c>
      <c r="N127" s="49">
        <v>0</v>
      </c>
      <c r="O127" s="4">
        <f>+Harvest!O127/Effort!O127</f>
        <v>12.429009230337465</v>
      </c>
    </row>
    <row r="128" spans="1:16" ht="14.1" customHeight="1" x14ac:dyDescent="0.25">
      <c r="A128" s="18" t="s">
        <v>16</v>
      </c>
      <c r="C128" s="12"/>
      <c r="D128" s="4"/>
      <c r="E128" s="5"/>
      <c r="F128" s="20"/>
    </row>
    <row r="129" spans="1:6" ht="14.1" customHeight="1" x14ac:dyDescent="0.25">
      <c r="A129" s="10" t="s">
        <v>17</v>
      </c>
      <c r="C129" s="12"/>
      <c r="D129" s="4"/>
      <c r="E129" s="5"/>
      <c r="F129" s="20"/>
    </row>
    <row r="130" spans="1:6" ht="14.1" customHeight="1" x14ac:dyDescent="0.25"/>
    <row r="131" spans="1:6" ht="14.1" customHeight="1" x14ac:dyDescent="0.25"/>
    <row r="132" spans="1:6" ht="14.1" customHeight="1" x14ac:dyDescent="0.25"/>
    <row r="133" spans="1:6" ht="14.1" customHeight="1" x14ac:dyDescent="0.25"/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3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133"/>
  <sheetViews>
    <sheetView zoomScale="110" zoomScaleNormal="110" workbookViewId="0">
      <selection activeCell="X134" sqref="X134"/>
    </sheetView>
  </sheetViews>
  <sheetFormatPr defaultRowHeight="15" x14ac:dyDescent="0.25"/>
  <cols>
    <col min="1" max="1" width="8.7109375" customWidth="1"/>
    <col min="3" max="3" width="9.140625" style="94"/>
    <col min="4" max="4" width="9.140625" style="20"/>
    <col min="20" max="20" width="10.85546875" style="19" customWidth="1"/>
    <col min="24" max="24" width="9.85546875" customWidth="1"/>
  </cols>
  <sheetData>
    <row r="1" spans="1:24" ht="15.75" thickBot="1" x14ac:dyDescent="0.3">
      <c r="A1" s="33" t="s">
        <v>65</v>
      </c>
      <c r="B1" s="33"/>
      <c r="C1" s="95"/>
      <c r="D1" s="10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44"/>
      <c r="U1" s="33"/>
      <c r="V1" s="80"/>
    </row>
    <row r="2" spans="1:24" ht="15.75" thickTop="1" x14ac:dyDescent="0.25">
      <c r="A2" s="34"/>
      <c r="B2" s="34"/>
      <c r="C2" s="96"/>
      <c r="D2" s="104"/>
      <c r="E2" s="140" t="s">
        <v>38</v>
      </c>
      <c r="F2" s="141"/>
      <c r="G2" s="142"/>
      <c r="H2" s="140" t="s">
        <v>39</v>
      </c>
      <c r="I2" s="141"/>
      <c r="J2" s="142"/>
      <c r="K2" s="140" t="s">
        <v>40</v>
      </c>
      <c r="L2" s="141"/>
      <c r="M2" s="142"/>
      <c r="N2" s="140" t="s">
        <v>41</v>
      </c>
      <c r="O2" s="141"/>
      <c r="P2" s="142"/>
      <c r="Q2" s="143" t="s">
        <v>42</v>
      </c>
      <c r="R2" s="144"/>
      <c r="S2" s="145"/>
      <c r="T2" s="138" t="s">
        <v>45</v>
      </c>
      <c r="U2" s="139"/>
      <c r="V2" s="41"/>
      <c r="W2" s="7" t="s">
        <v>57</v>
      </c>
      <c r="X2" s="7" t="s">
        <v>58</v>
      </c>
    </row>
    <row r="3" spans="1:24" ht="15.75" thickBot="1" x14ac:dyDescent="0.3">
      <c r="A3" s="35" t="s">
        <v>46</v>
      </c>
      <c r="B3" s="35" t="s">
        <v>47</v>
      </c>
      <c r="C3" s="97" t="s">
        <v>49</v>
      </c>
      <c r="D3" s="105" t="s">
        <v>48</v>
      </c>
      <c r="E3" s="36" t="s">
        <v>25</v>
      </c>
      <c r="F3" s="35" t="s">
        <v>26</v>
      </c>
      <c r="G3" s="35" t="s">
        <v>27</v>
      </c>
      <c r="H3" s="36" t="s">
        <v>25</v>
      </c>
      <c r="I3" s="35" t="s">
        <v>26</v>
      </c>
      <c r="J3" s="35" t="s">
        <v>27</v>
      </c>
      <c r="K3" s="36" t="s">
        <v>25</v>
      </c>
      <c r="L3" s="35" t="s">
        <v>26</v>
      </c>
      <c r="M3" s="35" t="s">
        <v>27</v>
      </c>
      <c r="N3" s="36" t="s">
        <v>25</v>
      </c>
      <c r="O3" s="35" t="s">
        <v>26</v>
      </c>
      <c r="P3" s="35" t="s">
        <v>27</v>
      </c>
      <c r="Q3" s="36" t="s">
        <v>25</v>
      </c>
      <c r="R3" s="35" t="s">
        <v>26</v>
      </c>
      <c r="S3" s="35" t="s">
        <v>27</v>
      </c>
      <c r="T3" s="45" t="s">
        <v>25</v>
      </c>
      <c r="U3" s="37" t="s">
        <v>26</v>
      </c>
      <c r="V3" s="41"/>
    </row>
    <row r="4" spans="1:24" ht="15.75" thickTop="1" x14ac:dyDescent="0.25">
      <c r="A4" s="38">
        <v>45568</v>
      </c>
      <c r="B4" s="39" t="s">
        <v>22</v>
      </c>
      <c r="C4" s="12">
        <v>0.81805555555555554</v>
      </c>
      <c r="D4" s="4">
        <v>0.33</v>
      </c>
      <c r="E4" s="117">
        <f>Effort!F2</f>
        <v>1477.3373553764991</v>
      </c>
      <c r="F4" s="118">
        <f>Harvest!F2</f>
        <v>18842.126317313698</v>
      </c>
      <c r="G4" s="119">
        <f>+CPUE!F2</f>
        <v>12.754112152340307</v>
      </c>
      <c r="H4" s="117">
        <f>Effort!H2</f>
        <v>1638.34279191357</v>
      </c>
      <c r="I4" s="118">
        <f>Harvest!H2</f>
        <v>23619.441916754</v>
      </c>
      <c r="J4" s="119">
        <f>CPUE!H2</f>
        <v>14.416666666666687</v>
      </c>
      <c r="K4" s="40" t="str">
        <f>Effort!J2</f>
        <v>CLOSED</v>
      </c>
      <c r="L4" s="41" t="str">
        <f>Harvest!J2</f>
        <v>CLOSED</v>
      </c>
      <c r="M4" s="42" t="str">
        <f>CPUE!J2</f>
        <v>CLOSED</v>
      </c>
      <c r="N4" s="117">
        <f>Effort!L2</f>
        <v>842.90278998707299</v>
      </c>
      <c r="O4" s="118">
        <f>Harvest!L2</f>
        <v>12300.137009440999</v>
      </c>
      <c r="P4" s="119">
        <f>CPUE!L2</f>
        <v>14.592592592592602</v>
      </c>
      <c r="Q4" s="40" t="s">
        <v>10</v>
      </c>
      <c r="R4" s="41" t="s">
        <v>10</v>
      </c>
      <c r="S4" s="43" t="s">
        <v>10</v>
      </c>
      <c r="T4" s="40">
        <f>SUM(E4,H4,K4,N4)</f>
        <v>3958.5829372771418</v>
      </c>
      <c r="U4" s="41">
        <f>SUM(F4,I4,L4,O4)</f>
        <v>54761.705243508703</v>
      </c>
      <c r="V4" s="41"/>
    </row>
    <row r="5" spans="1:24" x14ac:dyDescent="0.25">
      <c r="A5" s="38">
        <v>45569</v>
      </c>
      <c r="B5" s="39" t="s">
        <v>18</v>
      </c>
      <c r="C5" s="12">
        <v>0.84027777777777779</v>
      </c>
      <c r="D5" s="4">
        <v>0.13</v>
      </c>
      <c r="E5" s="117">
        <f>Effort!F3</f>
        <v>936.60758074618604</v>
      </c>
      <c r="F5" s="118">
        <f>Harvest!F3</f>
        <v>14049.113711192791</v>
      </c>
      <c r="G5" s="119">
        <f>+CPUE!F3</f>
        <v>15</v>
      </c>
      <c r="H5" s="40">
        <f>Effort!H3</f>
        <v>915.05694591220492</v>
      </c>
      <c r="I5" s="41">
        <f>Harvest!H3</f>
        <v>13725.854188683074</v>
      </c>
      <c r="J5" s="42">
        <f>CPUE!H3</f>
        <v>15</v>
      </c>
      <c r="K5" s="117">
        <f>Effort!J3</f>
        <v>1689.8019704625499</v>
      </c>
      <c r="L5" s="118">
        <f>Harvest!J3</f>
        <v>25230.491490009801</v>
      </c>
      <c r="M5" s="119">
        <f>CPUE!J3</f>
        <v>14.931034482758623</v>
      </c>
      <c r="N5" s="40" t="str">
        <f>Effort!L3</f>
        <v>CLOSED</v>
      </c>
      <c r="O5" s="41" t="str">
        <f>Harvest!L3</f>
        <v>CLOSED</v>
      </c>
      <c r="P5" s="42" t="str">
        <f>CPUE!L3</f>
        <v>CLOSED</v>
      </c>
      <c r="Q5" s="40" t="s">
        <v>10</v>
      </c>
      <c r="R5" s="41" t="s">
        <v>10</v>
      </c>
      <c r="S5" s="43" t="s">
        <v>10</v>
      </c>
      <c r="T5" s="40">
        <f t="shared" ref="T5:U8" si="0">SUM(E5,H5,K5,N5)</f>
        <v>3541.4664971209409</v>
      </c>
      <c r="U5" s="41">
        <f t="shared" si="0"/>
        <v>53005.459389885669</v>
      </c>
      <c r="V5" s="41"/>
    </row>
    <row r="6" spans="1:24" x14ac:dyDescent="0.25">
      <c r="A6" s="38">
        <v>45570</v>
      </c>
      <c r="B6" s="39" t="s">
        <v>19</v>
      </c>
      <c r="C6" s="12">
        <v>0.86388888888888893</v>
      </c>
      <c r="D6" s="4">
        <v>7.0000000000000007E-2</v>
      </c>
      <c r="E6" s="40">
        <f>Effort!F4</f>
        <v>1621.6753910154155</v>
      </c>
      <c r="F6" s="41">
        <f>Harvest!F4</f>
        <v>22703.455474215818</v>
      </c>
      <c r="G6" s="42">
        <f>+CPUE!F4</f>
        <v>14</v>
      </c>
      <c r="H6" s="117">
        <f>Effort!H4</f>
        <v>1584.3618619671199</v>
      </c>
      <c r="I6" s="118">
        <f>Harvest!H4</f>
        <v>22242.003062230699</v>
      </c>
      <c r="J6" s="119">
        <f>CPUE!H4</f>
        <v>14.038461538461524</v>
      </c>
      <c r="K6" s="117">
        <f>Effort!J4</f>
        <v>2925.78271575092</v>
      </c>
      <c r="L6" s="118">
        <f>Harvest!J4</f>
        <v>36243.879764506302</v>
      </c>
      <c r="M6" s="119">
        <f>CPUE!J4</f>
        <v>12.387755102040819</v>
      </c>
      <c r="N6" s="40" t="str">
        <f>Effort!L4</f>
        <v>CLOSED</v>
      </c>
      <c r="O6" s="41" t="str">
        <f>Harvest!L4</f>
        <v>CLOSED</v>
      </c>
      <c r="P6" s="42" t="str">
        <f>CPUE!L4</f>
        <v>CLOSED</v>
      </c>
      <c r="Q6" s="40" t="s">
        <v>10</v>
      </c>
      <c r="R6" s="41" t="s">
        <v>10</v>
      </c>
      <c r="S6" s="43" t="s">
        <v>10</v>
      </c>
      <c r="T6" s="40">
        <f t="shared" si="0"/>
        <v>6131.8199687334554</v>
      </c>
      <c r="U6" s="41">
        <f t="shared" si="0"/>
        <v>81189.338300952819</v>
      </c>
      <c r="V6" s="41"/>
    </row>
    <row r="7" spans="1:24" x14ac:dyDescent="0.25">
      <c r="A7" s="38">
        <v>45571</v>
      </c>
      <c r="B7" s="39" t="s">
        <v>20</v>
      </c>
      <c r="C7" s="12">
        <v>0.88888888888888884</v>
      </c>
      <c r="D7" s="4">
        <v>0.13</v>
      </c>
      <c r="E7" s="40">
        <f>Effort!F5</f>
        <v>472.51044346840672</v>
      </c>
      <c r="F7" s="41">
        <f>Harvest!F5</f>
        <v>7087.6566520261003</v>
      </c>
      <c r="G7" s="42">
        <f>+CPUE!F5</f>
        <v>15</v>
      </c>
      <c r="H7" s="40">
        <f>Effort!H5</f>
        <v>524.00629845514243</v>
      </c>
      <c r="I7" s="41">
        <f>Harvest!H5</f>
        <v>7860.0944768271365</v>
      </c>
      <c r="J7" s="42">
        <f>CPUE!H5</f>
        <v>15</v>
      </c>
      <c r="K7" s="40" t="str">
        <f>Effort!J5</f>
        <v>CLOSED</v>
      </c>
      <c r="L7" s="41" t="str">
        <f>Harvest!J5</f>
        <v>CLOSED</v>
      </c>
      <c r="M7" s="42" t="str">
        <f>CPUE!J5</f>
        <v>CLOSED</v>
      </c>
      <c r="N7" s="117">
        <f>Effort!L5</f>
        <v>269.59338004151903</v>
      </c>
      <c r="O7" s="118">
        <f>Harvest!L5</f>
        <v>4043.9007006227898</v>
      </c>
      <c r="P7" s="119">
        <f>CPUE!L5</f>
        <v>15.000000000000016</v>
      </c>
      <c r="Q7" s="40" t="s">
        <v>10</v>
      </c>
      <c r="R7" s="41" t="s">
        <v>10</v>
      </c>
      <c r="S7" s="43" t="s">
        <v>10</v>
      </c>
      <c r="T7" s="40">
        <f t="shared" si="0"/>
        <v>1266.1101219650682</v>
      </c>
      <c r="U7" s="41">
        <f t="shared" si="0"/>
        <v>18991.651829476028</v>
      </c>
      <c r="V7" s="41"/>
    </row>
    <row r="8" spans="1:24" x14ac:dyDescent="0.25">
      <c r="A8" s="38">
        <v>45572</v>
      </c>
      <c r="B8" s="39" t="s">
        <v>21</v>
      </c>
      <c r="C8" s="12">
        <v>0.91805555555555562</v>
      </c>
      <c r="D8" s="4">
        <v>0.3</v>
      </c>
      <c r="E8" s="117">
        <f>Effort!F6</f>
        <v>90.191841108891893</v>
      </c>
      <c r="F8" s="118">
        <f>Harvest!F6</f>
        <v>1352.8776166333785</v>
      </c>
      <c r="G8" s="119">
        <f>+CPUE!F6</f>
        <v>15</v>
      </c>
      <c r="H8" s="117">
        <f>Effort!H6</f>
        <v>158.78994028574201</v>
      </c>
      <c r="I8" s="118">
        <f>Harvest!H6</f>
        <v>2381.8491042861401</v>
      </c>
      <c r="J8" s="119">
        <f>CPUE!H6</f>
        <v>15.000000000000064</v>
      </c>
      <c r="K8" s="40" t="str">
        <f>Effort!J6</f>
        <v>CLOSED</v>
      </c>
      <c r="L8" s="41" t="str">
        <f>Harvest!J6</f>
        <v>CLOSED</v>
      </c>
      <c r="M8" s="42" t="str">
        <f>CPUE!J6</f>
        <v>CLOSED</v>
      </c>
      <c r="N8" s="117">
        <f>Effort!L6</f>
        <v>176.66393307284699</v>
      </c>
      <c r="O8" s="118">
        <f>Harvest!L6</f>
        <v>2649.9589960927001</v>
      </c>
      <c r="P8" s="119">
        <f>CPUE!L6</f>
        <v>14.999999999999973</v>
      </c>
      <c r="Q8" s="40" t="s">
        <v>10</v>
      </c>
      <c r="R8" s="41" t="s">
        <v>10</v>
      </c>
      <c r="S8" s="43" t="s">
        <v>10</v>
      </c>
      <c r="T8" s="40">
        <f t="shared" si="0"/>
        <v>425.6457144674809</v>
      </c>
      <c r="U8" s="41">
        <f t="shared" si="0"/>
        <v>6384.6857170122184</v>
      </c>
      <c r="V8" s="41"/>
    </row>
    <row r="9" spans="1:24" x14ac:dyDescent="0.25">
      <c r="A9" s="136" t="s">
        <v>50</v>
      </c>
      <c r="B9" s="136"/>
      <c r="C9" s="136"/>
      <c r="D9" s="137"/>
      <c r="E9" s="46">
        <f>SUM(E4:E8)</f>
        <v>4598.322611715399</v>
      </c>
      <c r="F9" s="47">
        <f>SUM(F4:F8)</f>
        <v>64035.229771381775</v>
      </c>
      <c r="G9" s="48">
        <f>+F9/E9</f>
        <v>13.925780154753758</v>
      </c>
      <c r="H9" s="46">
        <f>SUM(H4:H8)</f>
        <v>4820.5578385337794</v>
      </c>
      <c r="I9" s="47">
        <f>SUM(I4:I8)</f>
        <v>69829.242748781049</v>
      </c>
      <c r="J9" s="48">
        <f>+I9/H9</f>
        <v>14.485718269074914</v>
      </c>
      <c r="K9" s="46">
        <f>SUM(K4:K8)</f>
        <v>4615.5846862134695</v>
      </c>
      <c r="L9" s="47">
        <f>SUM(L4:L8)</f>
        <v>61474.371254516103</v>
      </c>
      <c r="M9" s="48">
        <f>+L9/K9</f>
        <v>13.31886974972794</v>
      </c>
      <c r="N9" s="46">
        <f>SUM(N4:N8)</f>
        <v>1289.1601031014391</v>
      </c>
      <c r="O9" s="47">
        <f>SUM(O4:O8)</f>
        <v>18993.996706156489</v>
      </c>
      <c r="P9" s="48">
        <f>+O9/N9</f>
        <v>14.733621262759421</v>
      </c>
      <c r="Q9" s="46"/>
      <c r="R9" s="47"/>
      <c r="S9" s="48"/>
      <c r="T9" s="46">
        <f>SUM(T4:T8)</f>
        <v>15323.625239564088</v>
      </c>
      <c r="U9" s="47">
        <f>SUM(U4:U8)</f>
        <v>214332.84048083544</v>
      </c>
      <c r="V9" s="61"/>
      <c r="W9" s="19">
        <f>SUM(H9,K9,N9,Q9,E9)</f>
        <v>15323.625239564088</v>
      </c>
      <c r="X9" s="19">
        <f>SUM(R9,O9,L9,I9,F9)</f>
        <v>214332.84048083541</v>
      </c>
    </row>
    <row r="10" spans="1:24" x14ac:dyDescent="0.25">
      <c r="A10" s="38">
        <v>45580</v>
      </c>
      <c r="B10" s="39" t="s">
        <v>61</v>
      </c>
      <c r="C10" s="12">
        <v>0.72986111111111107</v>
      </c>
      <c r="D10" s="4">
        <v>0.53</v>
      </c>
      <c r="E10" s="88">
        <f>Effort!F8</f>
        <v>1395.6320323121433</v>
      </c>
      <c r="F10" s="89">
        <f>Harvest!F8</f>
        <v>20236.66446852608</v>
      </c>
      <c r="G10" s="90">
        <f>+CPUE!F8</f>
        <v>14.5</v>
      </c>
      <c r="H10" s="117">
        <f>Effort!H8</f>
        <v>1116.86597425219</v>
      </c>
      <c r="I10" s="118">
        <f>Harvest!H8</f>
        <v>15785.0391027642</v>
      </c>
      <c r="J10" s="119">
        <f>CPUE!H8</f>
        <v>14.133333333333256</v>
      </c>
      <c r="K10" s="88" t="str">
        <f>Effort!J8</f>
        <v>CLOSED</v>
      </c>
      <c r="L10" s="89" t="str">
        <f>Harvest!J8</f>
        <v>CLOSED</v>
      </c>
      <c r="M10" s="90" t="str">
        <f>CPUE!J8</f>
        <v>CLOSED</v>
      </c>
      <c r="N10" s="117">
        <f>Effort!L8</f>
        <v>1020.37005630083</v>
      </c>
      <c r="O10" s="118">
        <f>Harvest!L8</f>
        <v>15184.078218762301</v>
      </c>
      <c r="P10" s="119">
        <f>CPUE!L8</f>
        <v>14.880952380952332</v>
      </c>
      <c r="Q10" s="40" t="s">
        <v>10</v>
      </c>
      <c r="R10" s="41" t="s">
        <v>10</v>
      </c>
      <c r="S10" s="43" t="s">
        <v>10</v>
      </c>
      <c r="T10" s="40">
        <f>SUM(E10,H10,K10,N10)</f>
        <v>3532.8680628651632</v>
      </c>
      <c r="U10" s="41">
        <f>SUM(F10,I10,L10,O10)</f>
        <v>51205.781790052584</v>
      </c>
      <c r="V10" s="41"/>
    </row>
    <row r="11" spans="1:24" x14ac:dyDescent="0.25">
      <c r="A11" s="38">
        <v>45581</v>
      </c>
      <c r="B11" s="39" t="s">
        <v>62</v>
      </c>
      <c r="C11" s="12">
        <v>0.76250000000000007</v>
      </c>
      <c r="D11" s="4">
        <v>-0.48</v>
      </c>
      <c r="E11" s="117">
        <f>Effort!F9</f>
        <v>1152.5827835270429</v>
      </c>
      <c r="F11" s="118">
        <f>Harvest!F9</f>
        <v>14773.165300431221</v>
      </c>
      <c r="G11" s="119">
        <f>+CPUE!F9</f>
        <v>12.817444014931011</v>
      </c>
      <c r="H11" s="88">
        <f>Effort!H9</f>
        <v>1190.024780211058</v>
      </c>
      <c r="I11" s="89">
        <f>Harvest!H9</f>
        <v>17850.371703165871</v>
      </c>
      <c r="J11" s="90">
        <f>CPUE!H9</f>
        <v>15</v>
      </c>
      <c r="K11" s="117">
        <f>Effort!J9</f>
        <v>1560.35964808012</v>
      </c>
      <c r="L11" s="118">
        <f>Harvest!J9</f>
        <v>23405.394721201901</v>
      </c>
      <c r="M11" s="119">
        <f>CPUE!J9</f>
        <v>15.000000000000066</v>
      </c>
      <c r="N11" s="88" t="str">
        <f>Effort!L9</f>
        <v>CLOSED</v>
      </c>
      <c r="O11" s="89" t="str">
        <f>Harvest!L9</f>
        <v>CLOSED</v>
      </c>
      <c r="P11" s="90" t="str">
        <f>CPUE!L9</f>
        <v>CLOSED</v>
      </c>
      <c r="Q11" s="40" t="s">
        <v>10</v>
      </c>
      <c r="R11" s="41" t="s">
        <v>10</v>
      </c>
      <c r="S11" s="43" t="s">
        <v>10</v>
      </c>
      <c r="T11" s="40">
        <f t="shared" ref="T11:U16" si="1">SUM(E11,H11,K11,N11)</f>
        <v>3902.9672118182207</v>
      </c>
      <c r="U11" s="41">
        <f t="shared" si="1"/>
        <v>56028.931724798997</v>
      </c>
      <c r="V11" s="41"/>
    </row>
    <row r="12" spans="1:24" x14ac:dyDescent="0.25">
      <c r="A12" s="38">
        <v>45582</v>
      </c>
      <c r="B12" s="39" t="s">
        <v>22</v>
      </c>
      <c r="C12" s="12">
        <v>0.79375000000000007</v>
      </c>
      <c r="D12" s="4">
        <v>-1.25</v>
      </c>
      <c r="E12" s="88">
        <f>Effort!F10</f>
        <v>1631.7989200021459</v>
      </c>
      <c r="F12" s="89">
        <f>Harvest!F10</f>
        <v>23661.084340031117</v>
      </c>
      <c r="G12" s="90">
        <f>+CPUE!F10</f>
        <v>14.5</v>
      </c>
      <c r="H12" s="117">
        <f>Effort!H10</f>
        <v>1684.8083963060801</v>
      </c>
      <c r="I12" s="118">
        <f>Harvest!H10</f>
        <v>24968.3080370606</v>
      </c>
      <c r="J12" s="119">
        <f>CPUE!H10</f>
        <v>14.819672131147543</v>
      </c>
      <c r="K12" s="117">
        <f>Effort!J10</f>
        <v>2209.1195747002298</v>
      </c>
      <c r="L12" s="118">
        <f>Harvest!J10</f>
        <v>32203.362814291999</v>
      </c>
      <c r="M12" s="119">
        <f>CPUE!J10</f>
        <v>14.577464788732357</v>
      </c>
      <c r="N12" s="88" t="str">
        <f>Effort!L10</f>
        <v>CLOSED</v>
      </c>
      <c r="O12" s="89" t="str">
        <f>Harvest!L10</f>
        <v>CLOSED</v>
      </c>
      <c r="P12" s="90" t="str">
        <f>CPUE!L10</f>
        <v>CLOSED</v>
      </c>
      <c r="Q12" s="40" t="s">
        <v>10</v>
      </c>
      <c r="R12" s="41" t="s">
        <v>10</v>
      </c>
      <c r="S12" s="43" t="s">
        <v>10</v>
      </c>
      <c r="T12" s="40">
        <f t="shared" si="1"/>
        <v>5525.7268910084558</v>
      </c>
      <c r="U12" s="41">
        <f t="shared" si="1"/>
        <v>80832.755191383709</v>
      </c>
      <c r="V12" s="41"/>
    </row>
    <row r="13" spans="1:24" x14ac:dyDescent="0.25">
      <c r="A13" s="38">
        <v>45583</v>
      </c>
      <c r="B13" s="39" t="s">
        <v>18</v>
      </c>
      <c r="C13" s="12">
        <v>0.8256944444444444</v>
      </c>
      <c r="D13" s="4">
        <v>-1.66</v>
      </c>
      <c r="E13" s="117">
        <f>Effort!F11</f>
        <v>1240.2797325060574</v>
      </c>
      <c r="F13" s="118">
        <f>Harvest!F11</f>
        <v>4340.9790637712013</v>
      </c>
      <c r="G13" s="119">
        <f>+CPUE!F11</f>
        <v>3.5</v>
      </c>
      <c r="H13" s="117">
        <f>Effort!H11</f>
        <v>954.45188682325897</v>
      </c>
      <c r="I13" s="118">
        <f>Harvest!H11</f>
        <v>4854.0695958440001</v>
      </c>
      <c r="J13" s="119">
        <f>CPUE!H11</f>
        <v>5.0857142857142827</v>
      </c>
      <c r="K13" s="88" t="str">
        <f>Effort!J11</f>
        <v>CLOSED</v>
      </c>
      <c r="L13" s="89" t="str">
        <f>Harvest!J11</f>
        <v>CLOSED</v>
      </c>
      <c r="M13" s="90" t="str">
        <f>CPUE!J11</f>
        <v>CLOSED</v>
      </c>
      <c r="N13" s="117">
        <f>Effort!L11</f>
        <v>906.78937655891798</v>
      </c>
      <c r="O13" s="118">
        <f>Harvest!L11</f>
        <v>2593.8393794592298</v>
      </c>
      <c r="P13" s="119">
        <f>CPUE!L11</f>
        <v>2.8604651162790691</v>
      </c>
      <c r="Q13" s="40" t="s">
        <v>10</v>
      </c>
      <c r="R13" s="41" t="s">
        <v>10</v>
      </c>
      <c r="S13" s="43" t="s">
        <v>10</v>
      </c>
      <c r="T13" s="40">
        <f t="shared" si="1"/>
        <v>3101.5209958882342</v>
      </c>
      <c r="U13" s="41">
        <f t="shared" si="1"/>
        <v>11788.888039074431</v>
      </c>
      <c r="V13" s="41"/>
    </row>
    <row r="14" spans="1:24" x14ac:dyDescent="0.25">
      <c r="A14" s="38">
        <v>45584</v>
      </c>
      <c r="B14" s="39" t="s">
        <v>19</v>
      </c>
      <c r="C14" s="12">
        <v>0.85763888888888884</v>
      </c>
      <c r="D14" s="4">
        <v>-1.69</v>
      </c>
      <c r="E14" s="117">
        <f>Effort!F12</f>
        <v>2309.9186906129098</v>
      </c>
      <c r="F14" s="118">
        <f>Harvest!F12</f>
        <v>26102.081203925882</v>
      </c>
      <c r="G14" s="119">
        <f>+CPUE!F12</f>
        <v>11.3</v>
      </c>
      <c r="H14" s="88">
        <f>Effort!H12</f>
        <v>1735.9675779954241</v>
      </c>
      <c r="I14" s="89">
        <f>Harvest!H12</f>
        <v>15623.708201958816</v>
      </c>
      <c r="J14" s="90">
        <f>CPUE!H12</f>
        <v>9</v>
      </c>
      <c r="K14" s="88" t="str">
        <f>Effort!J12</f>
        <v>CLOSED</v>
      </c>
      <c r="L14" s="89" t="str">
        <f>Harvest!J12</f>
        <v>CLOSED</v>
      </c>
      <c r="M14" s="90" t="str">
        <f>CPUE!J12</f>
        <v>CLOSED</v>
      </c>
      <c r="N14" s="117">
        <f>Effort!L12</f>
        <v>1649.2784806746999</v>
      </c>
      <c r="O14" s="118">
        <f>Harvest!L12</f>
        <v>13531.5802618992</v>
      </c>
      <c r="P14" s="119">
        <f>CPUE!L12</f>
        <v>8.2045454545454284</v>
      </c>
      <c r="Q14" s="40" t="s">
        <v>10</v>
      </c>
      <c r="R14" s="41" t="s">
        <v>10</v>
      </c>
      <c r="S14" s="43" t="s">
        <v>10</v>
      </c>
      <c r="T14" s="40">
        <f t="shared" si="1"/>
        <v>5695.1647492830343</v>
      </c>
      <c r="U14" s="41">
        <f t="shared" si="1"/>
        <v>55257.369667783903</v>
      </c>
      <c r="V14" s="41"/>
    </row>
    <row r="15" spans="1:24" x14ac:dyDescent="0.25">
      <c r="A15" s="38">
        <v>45585</v>
      </c>
      <c r="B15" s="39" t="s">
        <v>20</v>
      </c>
      <c r="C15" s="12">
        <v>0.89166666666666661</v>
      </c>
      <c r="D15" s="4">
        <v>-1.36</v>
      </c>
      <c r="E15" s="88">
        <f>Effort!F13</f>
        <v>384.93669219002567</v>
      </c>
      <c r="F15" s="89">
        <f>Harvest!F13</f>
        <v>5774.0503828503852</v>
      </c>
      <c r="G15" s="90">
        <f>+CPUE!F13</f>
        <v>15</v>
      </c>
      <c r="H15" s="88">
        <f>Effort!H13</f>
        <v>397.4414758450701</v>
      </c>
      <c r="I15" s="89">
        <f>Harvest!H13</f>
        <v>5961.6221376760514</v>
      </c>
      <c r="J15" s="90">
        <f>CPUE!H13</f>
        <v>15</v>
      </c>
      <c r="K15" s="117">
        <f>Effort!J13</f>
        <v>521.12498134036298</v>
      </c>
      <c r="L15" s="118">
        <f>Harvest!J13</f>
        <v>7816.8747201054402</v>
      </c>
      <c r="M15" s="119">
        <f>CPUE!J13</f>
        <v>14.999999999999991</v>
      </c>
      <c r="N15" s="88" t="str">
        <f>Effort!L13</f>
        <v>CLOSED</v>
      </c>
      <c r="O15" s="89" t="str">
        <f>Harvest!L13</f>
        <v>CLOSED</v>
      </c>
      <c r="P15" s="90" t="str">
        <f>CPUE!L13</f>
        <v>CLOSED</v>
      </c>
      <c r="Q15" s="40" t="s">
        <v>10</v>
      </c>
      <c r="R15" s="41" t="s">
        <v>10</v>
      </c>
      <c r="S15" s="43" t="s">
        <v>10</v>
      </c>
      <c r="T15" s="40">
        <f t="shared" si="1"/>
        <v>1303.5031493754586</v>
      </c>
      <c r="U15" s="41">
        <f t="shared" si="1"/>
        <v>19552.547240631877</v>
      </c>
      <c r="V15" s="41"/>
    </row>
    <row r="16" spans="1:24" x14ac:dyDescent="0.25">
      <c r="A16" s="38">
        <v>45586</v>
      </c>
      <c r="B16" s="39" t="s">
        <v>21</v>
      </c>
      <c r="C16" s="12">
        <v>0.9277777777777777</v>
      </c>
      <c r="D16" s="4">
        <v>-0.78</v>
      </c>
      <c r="E16" s="88">
        <f>Effort!F14</f>
        <v>206.9241763263432</v>
      </c>
      <c r="F16" s="89">
        <f>Harvest!F14</f>
        <v>3103.8626448951482</v>
      </c>
      <c r="G16" s="90">
        <f>+CPUE!F14</f>
        <v>15</v>
      </c>
      <c r="H16" s="88">
        <f>Effort!H14</f>
        <v>213.64617012547379</v>
      </c>
      <c r="I16" s="89">
        <f>Harvest!H14</f>
        <v>3204.6925518821067</v>
      </c>
      <c r="J16" s="90">
        <f>CPUE!H14</f>
        <v>15</v>
      </c>
      <c r="K16" s="117">
        <f>Effort!J14</f>
        <v>280.13270679248001</v>
      </c>
      <c r="L16" s="118">
        <f>Harvest!J14</f>
        <v>4201.9906018871998</v>
      </c>
      <c r="M16" s="119">
        <f>CPUE!J14</f>
        <v>14.999999999999998</v>
      </c>
      <c r="N16" s="88" t="str">
        <f>Effort!L14</f>
        <v>CLOSED</v>
      </c>
      <c r="O16" s="89" t="str">
        <f>Harvest!L14</f>
        <v>CLOSED</v>
      </c>
      <c r="P16" s="90" t="str">
        <f>CPUE!L14</f>
        <v>CLOSED</v>
      </c>
      <c r="Q16" s="40" t="s">
        <v>10</v>
      </c>
      <c r="R16" s="41" t="s">
        <v>10</v>
      </c>
      <c r="S16" s="43" t="s">
        <v>10</v>
      </c>
      <c r="T16" s="40">
        <f t="shared" si="1"/>
        <v>700.70305324429705</v>
      </c>
      <c r="U16" s="41">
        <f t="shared" si="1"/>
        <v>10510.545798664454</v>
      </c>
      <c r="V16" s="41"/>
    </row>
    <row r="17" spans="1:24" x14ac:dyDescent="0.25">
      <c r="A17" s="136" t="s">
        <v>50</v>
      </c>
      <c r="B17" s="136"/>
      <c r="C17" s="136"/>
      <c r="D17" s="137"/>
      <c r="E17" s="46">
        <f>SUM(E10:E16)</f>
        <v>8322.0730274766684</v>
      </c>
      <c r="F17" s="47">
        <f>SUM(F10:F16)</f>
        <v>97991.887404431051</v>
      </c>
      <c r="G17" s="48">
        <f>+F17/E17</f>
        <v>11.774937215870974</v>
      </c>
      <c r="H17" s="46">
        <f>SUM(H10:H16)</f>
        <v>7293.2062615585555</v>
      </c>
      <c r="I17" s="47">
        <f>SUM(I10:I16)</f>
        <v>88247.811330351644</v>
      </c>
      <c r="J17" s="48">
        <f>+I17/H17</f>
        <v>12.100002134245566</v>
      </c>
      <c r="K17" s="46">
        <f>SUM(K10:K16)</f>
        <v>4570.7369109131932</v>
      </c>
      <c r="L17" s="47">
        <f>SUM(L10:L16)</f>
        <v>67627.622857486553</v>
      </c>
      <c r="M17" s="48">
        <f>+L17/K17</f>
        <v>14.795781112672955</v>
      </c>
      <c r="N17" s="46">
        <f>SUM(N10:N16)</f>
        <v>3576.4379135344479</v>
      </c>
      <c r="O17" s="47">
        <f>SUM(O10:O16)</f>
        <v>31309.497860120733</v>
      </c>
      <c r="P17" s="48">
        <f>+O17/N17</f>
        <v>8.7543803687001045</v>
      </c>
      <c r="Q17" s="46"/>
      <c r="R17" s="47"/>
      <c r="S17" s="48"/>
      <c r="T17" s="46">
        <f>SUM(T10:T16)</f>
        <v>23762.454113482865</v>
      </c>
      <c r="U17" s="47">
        <f>SUM(U10:U16)</f>
        <v>285176.81945238996</v>
      </c>
      <c r="V17" s="61"/>
      <c r="W17" s="19">
        <f>SUM(H17,K17,N17,Q17,E17)</f>
        <v>23762.454113482865</v>
      </c>
      <c r="X17" s="19">
        <f>SUM(R17,O17,L17,I17,F17)</f>
        <v>285176.81945239002</v>
      </c>
    </row>
    <row r="18" spans="1:24" x14ac:dyDescent="0.25">
      <c r="A18" s="38">
        <v>45597</v>
      </c>
      <c r="B18" s="39" t="s">
        <v>18</v>
      </c>
      <c r="C18" s="12">
        <v>0.80208333333333337</v>
      </c>
      <c r="D18" s="4">
        <v>-0.19</v>
      </c>
      <c r="E18" s="117">
        <f>Effort!F16</f>
        <v>768.482866430238</v>
      </c>
      <c r="F18" s="118">
        <f>Harvest!F16</f>
        <v>9423.2495104739592</v>
      </c>
      <c r="G18" s="119">
        <f>+CPUE!F16</f>
        <v>12.262146525461139</v>
      </c>
      <c r="H18" s="40">
        <f>Effort!H16</f>
        <v>1078.6289722421523</v>
      </c>
      <c r="I18" s="41">
        <f>Harvest!H16</f>
        <v>14022.17663914798</v>
      </c>
      <c r="J18" s="42">
        <f>CPUE!H16</f>
        <v>13</v>
      </c>
      <c r="K18" s="40" t="str">
        <f>Effort!J16</f>
        <v>CLOSED</v>
      </c>
      <c r="L18" s="41" t="str">
        <f>Harvest!J16</f>
        <v>CLOSED</v>
      </c>
      <c r="M18" s="42" t="str">
        <f>CPUE!J16</f>
        <v>CLOSED</v>
      </c>
      <c r="N18" s="117">
        <f>Effort!L16</f>
        <v>947.326833863503</v>
      </c>
      <c r="O18" s="118">
        <f>Harvest!L16</f>
        <v>12543.9139380547</v>
      </c>
      <c r="P18" s="119">
        <f>CPUE!L16</f>
        <v>13.24137931034487</v>
      </c>
      <c r="Q18" s="40" t="s">
        <v>10</v>
      </c>
      <c r="R18" s="41" t="s">
        <v>10</v>
      </c>
      <c r="S18" s="43" t="s">
        <v>10</v>
      </c>
      <c r="T18" s="40">
        <f>SUM(E18,H18,K18,N18)</f>
        <v>2794.4386725358931</v>
      </c>
      <c r="U18" s="41">
        <f>SUM(F18,I18,L18,O18)</f>
        <v>35989.340087676639</v>
      </c>
      <c r="V18" s="41"/>
    </row>
    <row r="19" spans="1:24" x14ac:dyDescent="0.25">
      <c r="A19" s="38">
        <v>45598</v>
      </c>
      <c r="B19" s="39" t="s">
        <v>19</v>
      </c>
      <c r="C19" s="12">
        <v>0.82430555555555562</v>
      </c>
      <c r="D19" s="4">
        <v>-0.36</v>
      </c>
      <c r="E19" s="40">
        <f>Effort!F17</f>
        <v>847.38925624799901</v>
      </c>
      <c r="F19" s="41">
        <f>Harvest!F17</f>
        <v>11016.060331223987</v>
      </c>
      <c r="G19" s="42">
        <f>+CPUE!F17</f>
        <v>13</v>
      </c>
      <c r="H19" s="117">
        <f>Effort!H17</f>
        <v>1189.3805867157801</v>
      </c>
      <c r="I19" s="118">
        <f>Harvest!H17</f>
        <v>15635.398962867899</v>
      </c>
      <c r="J19" s="119">
        <f>CPUE!H17</f>
        <v>13.145833333333368</v>
      </c>
      <c r="K19" s="40" t="str">
        <f>Effort!J17</f>
        <v>CLOSED</v>
      </c>
      <c r="L19" s="41" t="str">
        <f>Harvest!J17</f>
        <v>CLOSED</v>
      </c>
      <c r="M19" s="42" t="str">
        <f>CPUE!J17</f>
        <v>CLOSED</v>
      </c>
      <c r="N19" s="117">
        <f>Effort!L17</f>
        <v>1044.5965892516599</v>
      </c>
      <c r="O19" s="118">
        <f>Harvest!L17</f>
        <v>10012.840477461001</v>
      </c>
      <c r="P19" s="119">
        <f>CPUE!L17</f>
        <v>9.5853658536585051</v>
      </c>
      <c r="Q19" s="40" t="s">
        <v>10</v>
      </c>
      <c r="R19" s="41" t="s">
        <v>10</v>
      </c>
      <c r="S19" s="43" t="s">
        <v>10</v>
      </c>
      <c r="T19" s="40">
        <f t="shared" ref="T19:U22" si="2">SUM(E19,H19,K19,N19)</f>
        <v>3081.3664322154391</v>
      </c>
      <c r="U19" s="41">
        <f t="shared" si="2"/>
        <v>36664.299771552891</v>
      </c>
      <c r="V19" s="41"/>
    </row>
    <row r="20" spans="1:24" x14ac:dyDescent="0.25">
      <c r="A20" s="38">
        <v>45599</v>
      </c>
      <c r="B20" s="39" t="s">
        <v>20</v>
      </c>
      <c r="C20" s="12">
        <v>0.80694444444444446</v>
      </c>
      <c r="D20" s="4">
        <v>-0.39</v>
      </c>
      <c r="E20" s="117">
        <f>Effort!F18</f>
        <v>260.37759671916149</v>
      </c>
      <c r="F20" s="118">
        <f>Harvest!F18</f>
        <v>1353.9635029396397</v>
      </c>
      <c r="G20" s="119">
        <f>+CPUE!F18</f>
        <v>5.2</v>
      </c>
      <c r="H20" s="117">
        <f>Effort!H18</f>
        <v>450.80604056495002</v>
      </c>
      <c r="I20" s="118">
        <f>Harvest!H18</f>
        <v>829.48311463950802</v>
      </c>
      <c r="J20" s="119">
        <f>CPUE!H18</f>
        <v>1.8399999999999999</v>
      </c>
      <c r="K20" s="117">
        <f>Effort!J18</f>
        <v>547.69196369950703</v>
      </c>
      <c r="L20" s="118">
        <f>Harvest!J18</f>
        <v>2243.7703028979799</v>
      </c>
      <c r="M20" s="119">
        <f>CPUE!J18</f>
        <v>4.0967741935483861</v>
      </c>
      <c r="N20" s="40" t="str">
        <f>Effort!L18</f>
        <v>CLOSED</v>
      </c>
      <c r="O20" s="41" t="str">
        <f>Harvest!L18</f>
        <v>CLOSED</v>
      </c>
      <c r="P20" s="42" t="str">
        <f>CPUE!L18</f>
        <v>CLOSED</v>
      </c>
      <c r="Q20" s="40" t="s">
        <v>10</v>
      </c>
      <c r="R20" s="41" t="s">
        <v>10</v>
      </c>
      <c r="S20" s="43" t="s">
        <v>10</v>
      </c>
      <c r="T20" s="40">
        <f t="shared" si="2"/>
        <v>1258.8756009836184</v>
      </c>
      <c r="U20" s="41">
        <f t="shared" si="2"/>
        <v>4427.2169204771271</v>
      </c>
      <c r="V20" s="41"/>
    </row>
    <row r="21" spans="1:24" x14ac:dyDescent="0.25">
      <c r="A21" s="38">
        <v>45600</v>
      </c>
      <c r="B21" s="39" t="s">
        <v>21</v>
      </c>
      <c r="C21" s="12">
        <v>0.83333333333333337</v>
      </c>
      <c r="D21" s="4">
        <v>-0.28999999999999998</v>
      </c>
      <c r="E21" s="40">
        <f>Effort!F19</f>
        <v>51.109810331623812</v>
      </c>
      <c r="F21" s="41">
        <f>Harvest!F19</f>
        <v>459.9882929846143</v>
      </c>
      <c r="G21" s="42">
        <f>+CPUE!F19</f>
        <v>9</v>
      </c>
      <c r="H21" s="88">
        <f>Effort!H19</f>
        <v>88.489223035866971</v>
      </c>
      <c r="I21" s="89">
        <f>Harvest!H19</f>
        <v>796.40300732280275</v>
      </c>
      <c r="J21" s="90">
        <f>CPUE!H19</f>
        <v>9</v>
      </c>
      <c r="K21" s="117">
        <f>Effort!J19</f>
        <v>107.50706949272799</v>
      </c>
      <c r="L21" s="118">
        <f>Harvest!J19</f>
        <v>967.56362543455305</v>
      </c>
      <c r="M21" s="119">
        <f>CPUE!J19</f>
        <v>9.0000000000000107</v>
      </c>
      <c r="N21" s="40" t="str">
        <f>Effort!L19</f>
        <v>CLOSED</v>
      </c>
      <c r="O21" s="41" t="str">
        <f>Harvest!L19</f>
        <v>CLOSED</v>
      </c>
      <c r="P21" s="42" t="str">
        <f>CPUE!L19</f>
        <v>CLOSED</v>
      </c>
      <c r="Q21" s="40" t="s">
        <v>10</v>
      </c>
      <c r="R21" s="41" t="s">
        <v>10</v>
      </c>
      <c r="S21" s="43" t="s">
        <v>10</v>
      </c>
      <c r="T21" s="40">
        <f t="shared" si="2"/>
        <v>247.10610286021878</v>
      </c>
      <c r="U21" s="41">
        <f t="shared" si="2"/>
        <v>2223.9549257419703</v>
      </c>
      <c r="V21" s="41"/>
    </row>
    <row r="22" spans="1:24" x14ac:dyDescent="0.25">
      <c r="A22" s="38">
        <v>45601</v>
      </c>
      <c r="B22" s="39" t="s">
        <v>61</v>
      </c>
      <c r="C22" s="12">
        <v>0.86249999999999993</v>
      </c>
      <c r="D22" s="4">
        <v>-0.09</v>
      </c>
      <c r="E22" s="40">
        <f>Effort!F20</f>
        <v>79.464009410982257</v>
      </c>
      <c r="F22" s="41">
        <f>Harvest!F20</f>
        <v>1033.0321223427693</v>
      </c>
      <c r="G22" s="42">
        <f>+CPUE!F20</f>
        <v>13</v>
      </c>
      <c r="H22" s="117">
        <f>Effort!H20</f>
        <v>109.37500059266</v>
      </c>
      <c r="I22" s="118">
        <f>Harvest!H20</f>
        <v>1531.2500082972399</v>
      </c>
      <c r="J22" s="119">
        <f>CPUE!H20</f>
        <v>13.999999999999998</v>
      </c>
      <c r="K22" s="40" t="str">
        <f>Effort!J20</f>
        <v>CLOSED</v>
      </c>
      <c r="L22" s="41" t="str">
        <f>Harvest!J20</f>
        <v>CLOSED</v>
      </c>
      <c r="M22" s="42" t="str">
        <f>CPUE!J20</f>
        <v>CLOSED</v>
      </c>
      <c r="N22" s="117">
        <f>Effort!L20</f>
        <v>97.957146124921593</v>
      </c>
      <c r="O22" s="118">
        <f>Harvest!L20</f>
        <v>1098.5194244009101</v>
      </c>
      <c r="P22" s="119">
        <f>CPUE!L20</f>
        <v>11.214285714285753</v>
      </c>
      <c r="Q22" s="40" t="s">
        <v>10</v>
      </c>
      <c r="R22" s="41" t="s">
        <v>10</v>
      </c>
      <c r="S22" s="43" t="s">
        <v>10</v>
      </c>
      <c r="T22" s="40">
        <f t="shared" si="2"/>
        <v>286.79615612856389</v>
      </c>
      <c r="U22" s="41">
        <f t="shared" si="2"/>
        <v>3662.8015550409191</v>
      </c>
      <c r="V22" s="41"/>
    </row>
    <row r="23" spans="1:24" x14ac:dyDescent="0.25">
      <c r="A23" s="136" t="s">
        <v>50</v>
      </c>
      <c r="B23" s="136"/>
      <c r="C23" s="136"/>
      <c r="D23" s="137"/>
      <c r="E23" s="46">
        <f>SUM(E18:E22)</f>
        <v>2006.8235391400046</v>
      </c>
      <c r="F23" s="47">
        <f>SUM(F18:F22)</f>
        <v>23286.293759964974</v>
      </c>
      <c r="G23" s="48">
        <f>+F23/E23</f>
        <v>11.603558213167053</v>
      </c>
      <c r="H23" s="46">
        <f>SUM(H18:H22)</f>
        <v>2916.679823151409</v>
      </c>
      <c r="I23" s="47">
        <f>SUM(I18:I22)</f>
        <v>32814.711732275427</v>
      </c>
      <c r="J23" s="48">
        <f>+I23/H23</f>
        <v>11.250707558575918</v>
      </c>
      <c r="K23" s="46">
        <f>SUM(K18:K22)</f>
        <v>655.19903319223499</v>
      </c>
      <c r="L23" s="47">
        <f>SUM(L18:L22)</f>
        <v>3211.3339283325331</v>
      </c>
      <c r="M23" s="48">
        <f>+L23/K23</f>
        <v>4.901310541754615</v>
      </c>
      <c r="N23" s="46">
        <f>SUM(N18:N22)</f>
        <v>2089.8805692400847</v>
      </c>
      <c r="O23" s="47">
        <f>SUM(O18:O22)</f>
        <v>23655.273839916612</v>
      </c>
      <c r="P23" s="48">
        <f>+O23/N23</f>
        <v>11.318959651612083</v>
      </c>
      <c r="Q23" s="46"/>
      <c r="R23" s="47"/>
      <c r="S23" s="48"/>
      <c r="T23" s="46">
        <f>SUM(T18:T22)</f>
        <v>7668.5829647237333</v>
      </c>
      <c r="U23" s="47">
        <f>SUM(U18:U22)</f>
        <v>82967.613260489554</v>
      </c>
      <c r="V23" s="61"/>
      <c r="W23" s="19">
        <f>SUM(H23,K23,N23,Q23,E23)</f>
        <v>7668.5829647237333</v>
      </c>
      <c r="X23" s="19">
        <f>SUM(R23,O23,L23,I23,F23)</f>
        <v>82967.613260489539</v>
      </c>
    </row>
    <row r="24" spans="1:24" x14ac:dyDescent="0.25">
      <c r="A24" s="38">
        <v>45609</v>
      </c>
      <c r="B24" s="39" t="s">
        <v>62</v>
      </c>
      <c r="C24" s="12">
        <v>0.67708333333333337</v>
      </c>
      <c r="D24" s="4">
        <v>-0.17</v>
      </c>
      <c r="E24" s="117">
        <f>Effort!F22</f>
        <v>451.62535535678711</v>
      </c>
      <c r="F24" s="118">
        <f>Harvest!F22</f>
        <v>5464.6667998171242</v>
      </c>
      <c r="G24" s="119">
        <f>+CPUE!F22</f>
        <v>12.1</v>
      </c>
      <c r="H24" s="88">
        <f>Effort!H22</f>
        <v>592.090535947474</v>
      </c>
      <c r="I24" s="89">
        <f>Harvest!H22</f>
        <v>7697.1769673171621</v>
      </c>
      <c r="J24" s="90">
        <f>CPUE!H22</f>
        <v>13</v>
      </c>
      <c r="K24" s="88" t="str">
        <f>Effort!J22</f>
        <v>CLOSED</v>
      </c>
      <c r="L24" s="89" t="str">
        <f>Harvest!J22</f>
        <v>CLOSED</v>
      </c>
      <c r="M24" s="90" t="str">
        <f>CPUE!J22</f>
        <v>CLOSED</v>
      </c>
      <c r="N24" s="117">
        <f>Effort!L22</f>
        <v>514.83341298755602</v>
      </c>
      <c r="O24" s="118">
        <f>Harvest!L22</f>
        <v>7022.8557874199896</v>
      </c>
      <c r="P24" s="119">
        <f>CPUE!L22</f>
        <v>13.641025641025632</v>
      </c>
      <c r="Q24" s="40" t="s">
        <v>10</v>
      </c>
      <c r="R24" s="41" t="s">
        <v>10</v>
      </c>
      <c r="S24" s="43" t="s">
        <v>10</v>
      </c>
      <c r="T24" s="40">
        <f>SUM(E24,H24,K24,N24)</f>
        <v>1558.549304291817</v>
      </c>
      <c r="U24" s="41">
        <f>SUM(F24,I24,L24,O24)</f>
        <v>20184.699554554278</v>
      </c>
      <c r="V24" s="41"/>
    </row>
    <row r="25" spans="1:24" x14ac:dyDescent="0.25">
      <c r="A25" s="38">
        <v>45610</v>
      </c>
      <c r="B25" s="39" t="s">
        <v>22</v>
      </c>
      <c r="C25" s="12">
        <v>0.70972222222222225</v>
      </c>
      <c r="D25" s="4">
        <v>-1.0900000000000001</v>
      </c>
      <c r="E25" s="117">
        <f>Effort!F23</f>
        <v>1081.097857552305</v>
      </c>
      <c r="F25" s="118">
        <f>Harvest!F23</f>
        <v>12973.17429062766</v>
      </c>
      <c r="G25" s="119">
        <f>+CPUE!F23</f>
        <v>12</v>
      </c>
      <c r="H25" s="117">
        <f>Effort!H23</f>
        <v>1307.5849214411701</v>
      </c>
      <c r="I25" s="118">
        <f>Harvest!H23</f>
        <v>16148.673779798401</v>
      </c>
      <c r="J25" s="119">
        <f>CPUE!H23</f>
        <v>12.349999999999962</v>
      </c>
      <c r="K25" s="88" t="str">
        <f>Effort!J23</f>
        <v>CLOSED</v>
      </c>
      <c r="L25" s="89" t="str">
        <f>Harvest!J23</f>
        <v>CLOSED</v>
      </c>
      <c r="M25" s="90" t="str">
        <f>CPUE!J23</f>
        <v>CLOSED</v>
      </c>
      <c r="N25" s="117">
        <f>Effort!L23</f>
        <v>1136.9687015844199</v>
      </c>
      <c r="O25" s="118">
        <f>Harvest!L23</f>
        <v>16343.925085276</v>
      </c>
      <c r="P25" s="119">
        <f>CPUE!L23</f>
        <v>14.374999999999968</v>
      </c>
      <c r="Q25" s="40" t="s">
        <v>10</v>
      </c>
      <c r="R25" s="41" t="s">
        <v>10</v>
      </c>
      <c r="S25" s="43" t="s">
        <v>10</v>
      </c>
      <c r="T25" s="40">
        <f t="shared" ref="T25:U30" si="3">SUM(E25,H25,K25,N25)</f>
        <v>3525.6514805778952</v>
      </c>
      <c r="U25" s="41">
        <f t="shared" si="3"/>
        <v>45465.77315570206</v>
      </c>
      <c r="V25" s="41"/>
    </row>
    <row r="26" spans="1:24" x14ac:dyDescent="0.25">
      <c r="A26" s="38">
        <v>45611</v>
      </c>
      <c r="B26" s="39" t="s">
        <v>18</v>
      </c>
      <c r="C26" s="12">
        <v>0.7416666666666667</v>
      </c>
      <c r="D26" s="4">
        <v>-1.68</v>
      </c>
      <c r="E26" s="117">
        <f>Effort!F24</f>
        <v>2116.6715695893208</v>
      </c>
      <c r="F26" s="118">
        <f>Harvest!F24</f>
        <v>31750.073543839811</v>
      </c>
      <c r="G26" s="119">
        <f>+CPUE!F24</f>
        <v>15</v>
      </c>
      <c r="H26" s="117">
        <f>Effort!H24</f>
        <v>2175.2661230053</v>
      </c>
      <c r="I26" s="118">
        <f>Harvest!H24</f>
        <v>31178.814429742601</v>
      </c>
      <c r="J26" s="119">
        <f>CPUE!H24</f>
        <v>14.333333333333318</v>
      </c>
      <c r="K26" s="117">
        <f>Effort!J24</f>
        <v>3896.99490703422</v>
      </c>
      <c r="L26" s="118">
        <f>Harvest!J24</f>
        <v>55348.623317297701</v>
      </c>
      <c r="M26" s="119">
        <f>CPUE!J24</f>
        <v>14.20289855072466</v>
      </c>
      <c r="N26" s="88" t="str">
        <f>Effort!L24</f>
        <v>CLOSED</v>
      </c>
      <c r="O26" s="89" t="str">
        <f>Harvest!L24</f>
        <v>CLOSED</v>
      </c>
      <c r="P26" s="90" t="str">
        <f>CPUE!L24</f>
        <v>CLOSED</v>
      </c>
      <c r="Q26" s="40" t="s">
        <v>10</v>
      </c>
      <c r="R26" s="41" t="s">
        <v>10</v>
      </c>
      <c r="S26" s="43" t="s">
        <v>10</v>
      </c>
      <c r="T26" s="40">
        <f t="shared" si="3"/>
        <v>8188.9325996288408</v>
      </c>
      <c r="U26" s="41">
        <f t="shared" si="3"/>
        <v>118277.51129088012</v>
      </c>
      <c r="V26" s="41"/>
    </row>
    <row r="27" spans="1:24" x14ac:dyDescent="0.25">
      <c r="A27" s="38">
        <v>45612</v>
      </c>
      <c r="B27" s="39" t="s">
        <v>19</v>
      </c>
      <c r="C27" s="12">
        <v>0.7729166666666667</v>
      </c>
      <c r="D27" s="4">
        <v>-1.9</v>
      </c>
      <c r="E27" s="88">
        <f>Effort!F25</f>
        <v>686.13438912407889</v>
      </c>
      <c r="F27" s="89">
        <f>Harvest!F25</f>
        <v>1715.3359728101973</v>
      </c>
      <c r="G27" s="90">
        <f>+CPUE!F25</f>
        <v>2.5</v>
      </c>
      <c r="H27" s="117">
        <f>Effort!H25</f>
        <v>705.12823715023796</v>
      </c>
      <c r="I27" s="118">
        <f>Harvest!H25</f>
        <v>761.53849612225702</v>
      </c>
      <c r="J27" s="119">
        <f>CPUE!H25</f>
        <v>1.08</v>
      </c>
      <c r="K27" s="117">
        <f>Effort!J25</f>
        <v>2469.6209742066799</v>
      </c>
      <c r="L27" s="118">
        <f>Harvest!J25</f>
        <v>6275.2664098694404</v>
      </c>
      <c r="M27" s="119">
        <f>CPUE!J25</f>
        <v>2.5409836065573801</v>
      </c>
      <c r="N27" s="88" t="str">
        <f>Effort!L25</f>
        <v>CLOSED</v>
      </c>
      <c r="O27" s="89" t="str">
        <f>Harvest!L25</f>
        <v>CLOSED</v>
      </c>
      <c r="P27" s="90" t="str">
        <f>CPUE!L25</f>
        <v>CLOSED</v>
      </c>
      <c r="Q27" s="40" t="s">
        <v>10</v>
      </c>
      <c r="R27" s="41" t="s">
        <v>10</v>
      </c>
      <c r="S27" s="43" t="s">
        <v>10</v>
      </c>
      <c r="T27" s="40">
        <f t="shared" si="3"/>
        <v>3860.8836004809968</v>
      </c>
      <c r="U27" s="41">
        <f t="shared" si="3"/>
        <v>8752.1408788018944</v>
      </c>
      <c r="V27" s="41"/>
    </row>
    <row r="28" spans="1:24" x14ac:dyDescent="0.25">
      <c r="A28" s="38">
        <v>45613</v>
      </c>
      <c r="B28" s="39" t="s">
        <v>20</v>
      </c>
      <c r="C28" s="12">
        <v>0.80486111111111114</v>
      </c>
      <c r="D28" s="4">
        <v>-1.75</v>
      </c>
      <c r="E28" s="88">
        <f>Effort!F26</f>
        <v>503.29154909101175</v>
      </c>
      <c r="F28" s="89">
        <f>Harvest!F26</f>
        <v>5284.5612654556235</v>
      </c>
      <c r="G28" s="90">
        <f>+CPUE!F26</f>
        <v>10.5</v>
      </c>
      <c r="H28" s="88">
        <f>Effort!H26</f>
        <v>608.72976121713918</v>
      </c>
      <c r="I28" s="89">
        <f>Harvest!H26</f>
        <v>6391.6624927799612</v>
      </c>
      <c r="J28" s="90">
        <f>CPUE!H26</f>
        <v>10.5</v>
      </c>
      <c r="K28" s="88" t="str">
        <f>Effort!J26</f>
        <v>CLOSED</v>
      </c>
      <c r="L28" s="89" t="str">
        <f>Harvest!J26</f>
        <v>CLOSED</v>
      </c>
      <c r="M28" s="90" t="str">
        <f>CPUE!J26</f>
        <v>CLOSED</v>
      </c>
      <c r="N28" s="117">
        <f>Effort!L26</f>
        <v>529.30151983095004</v>
      </c>
      <c r="O28" s="118">
        <f>Harvest!L26</f>
        <v>5487.0924222475196</v>
      </c>
      <c r="P28" s="119">
        <f>CPUE!L26</f>
        <v>10.366666666666674</v>
      </c>
      <c r="Q28" s="40" t="s">
        <v>10</v>
      </c>
      <c r="R28" s="41" t="s">
        <v>10</v>
      </c>
      <c r="S28" s="43" t="s">
        <v>10</v>
      </c>
      <c r="T28" s="40">
        <f t="shared" si="3"/>
        <v>1641.3228301391009</v>
      </c>
      <c r="U28" s="41">
        <f t="shared" si="3"/>
        <v>17163.316180483103</v>
      </c>
      <c r="V28" s="41"/>
    </row>
    <row r="29" spans="1:24" x14ac:dyDescent="0.25">
      <c r="A29" s="38">
        <v>45614</v>
      </c>
      <c r="B29" s="39" t="s">
        <v>21</v>
      </c>
      <c r="C29" s="12">
        <v>0.83680555555555547</v>
      </c>
      <c r="D29" s="4">
        <v>-1.31</v>
      </c>
      <c r="E29" s="117">
        <f>Effort!F27</f>
        <v>76.930917476909599</v>
      </c>
      <c r="F29" s="118">
        <f>Harvest!F27</f>
        <v>738.5368077783321</v>
      </c>
      <c r="G29" s="119">
        <f>+CPUE!F27</f>
        <v>9.6</v>
      </c>
      <c r="H29" s="117">
        <f>Effort!H27</f>
        <v>135.56769605423099</v>
      </c>
      <c r="I29" s="118">
        <f>Harvest!H27</f>
        <v>101.675772040673</v>
      </c>
      <c r="J29" s="119">
        <f>CPUE!H27</f>
        <v>8</v>
      </c>
      <c r="K29" s="88" t="str">
        <f>Effort!J27</f>
        <v>CLOSED</v>
      </c>
      <c r="L29" s="89" t="str">
        <f>Harvest!J27</f>
        <v>CLOSED</v>
      </c>
      <c r="M29" s="90" t="str">
        <f>CPUE!J27</f>
        <v>CLOSED</v>
      </c>
      <c r="N29" s="117">
        <f>Effort!L27</f>
        <v>167.95983686118799</v>
      </c>
      <c r="O29" s="118">
        <f>Harvest!L27</f>
        <v>1301.68873567421</v>
      </c>
      <c r="P29" s="119">
        <f>CPUE!L27</f>
        <v>7.7500000000000178</v>
      </c>
      <c r="Q29" s="40" t="s">
        <v>10</v>
      </c>
      <c r="R29" s="41" t="s">
        <v>10</v>
      </c>
      <c r="S29" s="43" t="s">
        <v>10</v>
      </c>
      <c r="T29" s="40">
        <f t="shared" si="3"/>
        <v>380.45845039232859</v>
      </c>
      <c r="U29" s="41">
        <f t="shared" si="3"/>
        <v>2141.901315493215</v>
      </c>
      <c r="V29" s="41"/>
    </row>
    <row r="30" spans="1:24" x14ac:dyDescent="0.25">
      <c r="A30" s="38">
        <v>45615</v>
      </c>
      <c r="B30" s="39" t="s">
        <v>61</v>
      </c>
      <c r="C30" s="12">
        <v>0.87083333333333324</v>
      </c>
      <c r="D30" s="4">
        <v>-0.69</v>
      </c>
      <c r="E30" s="88">
        <f>Effort!F28</f>
        <v>28.112381183945534</v>
      </c>
      <c r="F30" s="89">
        <f>Harvest!F28</f>
        <v>323.29238361537364</v>
      </c>
      <c r="G30" s="90">
        <f>+CPUE!F28</f>
        <v>11.5</v>
      </c>
      <c r="H30" s="117">
        <f>Effort!H28</f>
        <v>28.8905994227121</v>
      </c>
      <c r="I30" s="118">
        <f>Harvest!H28</f>
        <v>335.13095330345999</v>
      </c>
      <c r="J30" s="119">
        <f>CPUE!H28</f>
        <v>11.599999999999987</v>
      </c>
      <c r="K30" s="88">
        <f>Effort!J28</f>
        <v>51.757583874807814</v>
      </c>
      <c r="L30" s="89">
        <f>Harvest!J28</f>
        <v>595.21221456028991</v>
      </c>
      <c r="M30" s="90">
        <f>CPUE!J28</f>
        <v>11.5</v>
      </c>
      <c r="N30" s="88" t="str">
        <f>Effort!L28</f>
        <v>CLOSED</v>
      </c>
      <c r="O30" s="89" t="str">
        <f>Harvest!L28</f>
        <v>CLOSED</v>
      </c>
      <c r="P30" s="90" t="str">
        <f>CPUE!L28</f>
        <v>CLOSED</v>
      </c>
      <c r="Q30" s="40" t="s">
        <v>10</v>
      </c>
      <c r="R30" s="41" t="s">
        <v>10</v>
      </c>
      <c r="S30" s="43" t="s">
        <v>10</v>
      </c>
      <c r="T30" s="40">
        <f>SUM(E30,H30,K30,N30)</f>
        <v>108.76056448146545</v>
      </c>
      <c r="U30" s="41">
        <f t="shared" si="3"/>
        <v>1253.6355514791235</v>
      </c>
      <c r="V30" s="41"/>
    </row>
    <row r="31" spans="1:24" x14ac:dyDescent="0.25">
      <c r="A31" s="136" t="s">
        <v>50</v>
      </c>
      <c r="B31" s="136"/>
      <c r="C31" s="136"/>
      <c r="D31" s="137"/>
      <c r="E31" s="46">
        <f>SUM(E24:E30)</f>
        <v>4943.8640193743586</v>
      </c>
      <c r="F31" s="47">
        <f>SUM(F24:F30)</f>
        <v>58249.641063944124</v>
      </c>
      <c r="G31" s="48">
        <f>+F31/E31</f>
        <v>11.782209388379489</v>
      </c>
      <c r="H31" s="46">
        <f>SUM(H24:H30)</f>
        <v>5553.2578742382657</v>
      </c>
      <c r="I31" s="47">
        <f>SUM(I24:I30)</f>
        <v>62614.672891104521</v>
      </c>
      <c r="J31" s="48">
        <f>+I31/H31</f>
        <v>11.275304390522889</v>
      </c>
      <c r="K31" s="46">
        <f>SUM(K24:K30)</f>
        <v>6418.3734651157074</v>
      </c>
      <c r="L31" s="47">
        <f>SUM(L24:L30)</f>
        <v>62219.101941727436</v>
      </c>
      <c r="M31" s="48">
        <f>+L31/K31</f>
        <v>9.6939048934893624</v>
      </c>
      <c r="N31" s="46">
        <f>SUM(N24:N30)</f>
        <v>2349.0634712641136</v>
      </c>
      <c r="O31" s="47">
        <f>SUM(O24:O30)</f>
        <v>30155.562030617715</v>
      </c>
      <c r="P31" s="48">
        <f>+O31/N31</f>
        <v>12.837270001218805</v>
      </c>
      <c r="Q31" s="46"/>
      <c r="R31" s="47"/>
      <c r="S31" s="48"/>
      <c r="T31" s="46">
        <f>SUM(T24:T30)</f>
        <v>19264.558829992442</v>
      </c>
      <c r="U31" s="47">
        <f>SUM(U24:U30)</f>
        <v>213238.9779273938</v>
      </c>
      <c r="V31" s="61"/>
      <c r="W31" s="19">
        <f>SUM(H31,K31,N31,Q31,E31)</f>
        <v>19264.558829992446</v>
      </c>
      <c r="X31" s="19">
        <f>SUM(R31,O31,L31,I31,F31)</f>
        <v>213238.97792739377</v>
      </c>
    </row>
    <row r="32" spans="1:24" x14ac:dyDescent="0.25">
      <c r="A32" s="38">
        <v>45625</v>
      </c>
      <c r="B32" s="39" t="s">
        <v>18</v>
      </c>
      <c r="C32" s="12">
        <v>0.72222222222222221</v>
      </c>
      <c r="D32" s="4">
        <v>-7.0000000000000007E-2</v>
      </c>
      <c r="E32" s="88">
        <f>Effort!F30</f>
        <v>1991.8047741428852</v>
      </c>
      <c r="F32" s="89">
        <f>Harvest!F30</f>
        <v>27885.266838000392</v>
      </c>
      <c r="G32" s="90">
        <f>+CPUE!F30</f>
        <v>14</v>
      </c>
      <c r="H32" s="117">
        <f>Effort!H30</f>
        <v>2295.0726804833098</v>
      </c>
      <c r="I32" s="118">
        <f>Harvest!H30</f>
        <v>33406.057904812602</v>
      </c>
      <c r="J32" s="119">
        <f>CPUE!H30</f>
        <v>14.555555555555548</v>
      </c>
      <c r="K32" s="88" t="str">
        <f>Effort!J30</f>
        <v>CLOSED</v>
      </c>
      <c r="L32" s="89" t="str">
        <f>Harvest!J30</f>
        <v>CLOSED</v>
      </c>
      <c r="M32" s="90" t="str">
        <f>CPUE!J30</f>
        <v>CLOSED</v>
      </c>
      <c r="N32" s="117">
        <f>Effort!L30</f>
        <v>2134.1853183774901</v>
      </c>
      <c r="O32" s="118">
        <f>Harvest!L30</f>
        <v>29980.2223295886</v>
      </c>
      <c r="P32" s="119">
        <f>CPUE!L30</f>
        <v>14.047619047619071</v>
      </c>
      <c r="Q32" s="40" t="s">
        <v>10</v>
      </c>
      <c r="R32" s="41" t="s">
        <v>10</v>
      </c>
      <c r="S32" s="43" t="s">
        <v>10</v>
      </c>
      <c r="T32" s="40">
        <f>SUM(E32,H32,K32,N32)</f>
        <v>6421.0627730036849</v>
      </c>
      <c r="U32" s="41">
        <f>SUM(F32,I32,L32,O32)</f>
        <v>91271.54707240159</v>
      </c>
      <c r="V32" s="41"/>
    </row>
    <row r="33" spans="1:24" x14ac:dyDescent="0.25">
      <c r="A33" s="38">
        <v>45626</v>
      </c>
      <c r="B33" s="39" t="s">
        <v>19</v>
      </c>
      <c r="C33" s="12">
        <v>0.74583333333333324</v>
      </c>
      <c r="D33" s="4">
        <v>-0.41</v>
      </c>
      <c r="E33" s="117">
        <f>Effort!F31</f>
        <v>1769.2524752375814</v>
      </c>
      <c r="F33" s="118">
        <f>Harvest!F31</f>
        <v>25123.385148373654</v>
      </c>
      <c r="G33" s="119">
        <f>+CPUE!F31</f>
        <v>14.2</v>
      </c>
      <c r="H33" s="88">
        <f>Effort!H31</f>
        <v>2038.6350477257947</v>
      </c>
      <c r="I33" s="89">
        <f>Harvest!H31</f>
        <v>28540.890668161126</v>
      </c>
      <c r="J33" s="90">
        <f>CPUE!H31</f>
        <v>14</v>
      </c>
      <c r="K33" s="88" t="str">
        <f>Effort!J31</f>
        <v>CLOSED</v>
      </c>
      <c r="L33" s="89" t="str">
        <f>Harvest!J31</f>
        <v>CLOSED</v>
      </c>
      <c r="M33" s="90" t="str">
        <f>CPUE!J31</f>
        <v>CLOSED</v>
      </c>
      <c r="N33" s="117">
        <f>Effort!L31</f>
        <v>1895.7242728670201</v>
      </c>
      <c r="O33" s="118">
        <f>Harvest!L31</f>
        <v>22228.296375970102</v>
      </c>
      <c r="P33" s="119">
        <f>CPUE!L31</f>
        <v>11.725490196078402</v>
      </c>
      <c r="Q33" s="40" t="s">
        <v>10</v>
      </c>
      <c r="R33" s="41" t="s">
        <v>10</v>
      </c>
      <c r="S33" s="43" t="s">
        <v>10</v>
      </c>
      <c r="T33" s="40">
        <f t="shared" ref="T33:U38" si="4">SUM(E33,H33,K33,N33)</f>
        <v>5703.6117958303957</v>
      </c>
      <c r="U33" s="41">
        <f t="shared" si="4"/>
        <v>75892.572192504886</v>
      </c>
      <c r="V33" s="41"/>
    </row>
    <row r="34" spans="1:24" x14ac:dyDescent="0.25">
      <c r="A34" s="38">
        <v>45627</v>
      </c>
      <c r="B34" s="39" t="s">
        <v>20</v>
      </c>
      <c r="C34" s="12">
        <v>0.77083333333333337</v>
      </c>
      <c r="D34" s="4">
        <v>-0.62</v>
      </c>
      <c r="E34" s="88">
        <f>Effort!F32</f>
        <v>607.36502203260989</v>
      </c>
      <c r="F34" s="89">
        <f>Harvest!F32</f>
        <v>8503.1103084565384</v>
      </c>
      <c r="G34" s="90">
        <f>+CPUE!F32</f>
        <v>14</v>
      </c>
      <c r="H34" s="117">
        <f>Effort!H32</f>
        <v>773.56626571969696</v>
      </c>
      <c r="I34" s="118">
        <f>Harvest!H32</f>
        <v>10854.881470582801</v>
      </c>
      <c r="J34" s="119">
        <f>CPUE!H32</f>
        <v>14.032258064516073</v>
      </c>
      <c r="K34" s="117">
        <f>Effort!J32</f>
        <v>982.30745210784198</v>
      </c>
      <c r="L34" s="118">
        <f>Harvest!J32</f>
        <v>12260.652272605301</v>
      </c>
      <c r="M34" s="119">
        <f>CPUE!J32</f>
        <v>12.481481481481495</v>
      </c>
      <c r="N34" s="88" t="str">
        <f>Effort!L32</f>
        <v>CLOSED</v>
      </c>
      <c r="O34" s="89" t="str">
        <f>Harvest!L32</f>
        <v>CLOSED</v>
      </c>
      <c r="P34" s="90" t="str">
        <f>CPUE!L32</f>
        <v>CLOSED</v>
      </c>
      <c r="Q34" s="40" t="s">
        <v>10</v>
      </c>
      <c r="R34" s="41" t="s">
        <v>10</v>
      </c>
      <c r="S34" s="43" t="s">
        <v>10</v>
      </c>
      <c r="T34" s="40">
        <f t="shared" si="4"/>
        <v>2363.2387398601486</v>
      </c>
      <c r="U34" s="41">
        <f t="shared" si="4"/>
        <v>31618.644051644638</v>
      </c>
      <c r="V34" s="41"/>
    </row>
    <row r="35" spans="1:24" x14ac:dyDescent="0.25">
      <c r="A35" s="38">
        <v>45628</v>
      </c>
      <c r="B35" s="39" t="s">
        <v>21</v>
      </c>
      <c r="C35" s="12">
        <v>0.79583333333333339</v>
      </c>
      <c r="D35" s="4">
        <v>-0.69</v>
      </c>
      <c r="E35" s="117">
        <f>Effort!F33</f>
        <v>279.16065955716283</v>
      </c>
      <c r="F35" s="118">
        <f>Harvest!F33</f>
        <v>4187.4098933574423</v>
      </c>
      <c r="G35" s="119">
        <f>+CPUE!F33</f>
        <v>15</v>
      </c>
      <c r="H35" s="88">
        <f>Effort!H33</f>
        <v>355.55104610203847</v>
      </c>
      <c r="I35" s="89">
        <f>Harvest!H33</f>
        <v>4977.7146454285385</v>
      </c>
      <c r="J35" s="90">
        <f>CPUE!H33</f>
        <v>14</v>
      </c>
      <c r="K35" s="117">
        <f>Effort!J33</f>
        <v>451.49388962280102</v>
      </c>
      <c r="L35" s="118">
        <f>Harvest!J33</f>
        <v>5327.6278975490504</v>
      </c>
      <c r="M35" s="119">
        <f>CPUE!J33</f>
        <v>11.799999999999997</v>
      </c>
      <c r="N35" s="88" t="str">
        <f>Effort!L33</f>
        <v>CLOSED</v>
      </c>
      <c r="O35" s="89" t="str">
        <f>Harvest!L33</f>
        <v>CLOSED</v>
      </c>
      <c r="P35" s="90" t="str">
        <f>CPUE!L33</f>
        <v>CLOSED</v>
      </c>
      <c r="Q35" s="40" t="s">
        <v>10</v>
      </c>
      <c r="R35" s="41" t="s">
        <v>10</v>
      </c>
      <c r="S35" s="43" t="s">
        <v>10</v>
      </c>
      <c r="T35" s="40">
        <f t="shared" si="4"/>
        <v>1086.2055952820024</v>
      </c>
      <c r="U35" s="41">
        <f t="shared" si="4"/>
        <v>14492.752436335031</v>
      </c>
      <c r="V35" s="41"/>
    </row>
    <row r="36" spans="1:24" x14ac:dyDescent="0.25">
      <c r="A36" s="38">
        <v>45629</v>
      </c>
      <c r="B36" s="39" t="s">
        <v>61</v>
      </c>
      <c r="C36" s="12">
        <v>0.82361111111111107</v>
      </c>
      <c r="D36" s="4">
        <v>-0.63</v>
      </c>
      <c r="E36" s="117">
        <f>Effort!F34</f>
        <v>142.59828285487521</v>
      </c>
      <c r="F36" s="118">
        <f>Harvest!F34</f>
        <v>2138.974242823128</v>
      </c>
      <c r="G36" s="119">
        <f>+CPUE!F34</f>
        <v>15</v>
      </c>
      <c r="H36" s="88">
        <f>Effort!H34</f>
        <v>233.79414186851781</v>
      </c>
      <c r="I36" s="89">
        <f>Harvest!H34</f>
        <v>3273.1179861592495</v>
      </c>
      <c r="J36" s="90">
        <f>CPUE!H34</f>
        <v>14</v>
      </c>
      <c r="K36" s="88" t="str">
        <f>Effort!J34</f>
        <v>CLOSED</v>
      </c>
      <c r="L36" s="89" t="str">
        <f>Harvest!J34</f>
        <v>CLOSED</v>
      </c>
      <c r="M36" s="90" t="str">
        <f>CPUE!J34</f>
        <v>CLOSED</v>
      </c>
      <c r="N36" s="117">
        <f>Effort!L34</f>
        <v>217.40489063439199</v>
      </c>
      <c r="O36" s="118">
        <f>Harvest!L34</f>
        <v>2853.4391895764002</v>
      </c>
      <c r="P36" s="119">
        <f>CPUE!L34</f>
        <v>13.125000000000025</v>
      </c>
      <c r="Q36" s="40" t="s">
        <v>10</v>
      </c>
      <c r="R36" s="41" t="s">
        <v>10</v>
      </c>
      <c r="S36" s="43" t="s">
        <v>10</v>
      </c>
      <c r="T36" s="40">
        <f t="shared" si="4"/>
        <v>593.79731535778501</v>
      </c>
      <c r="U36" s="41">
        <f t="shared" si="4"/>
        <v>8265.5314185587777</v>
      </c>
      <c r="V36" s="41"/>
    </row>
    <row r="37" spans="1:24" x14ac:dyDescent="0.25">
      <c r="A37" s="38">
        <v>45630</v>
      </c>
      <c r="B37" s="39" t="s">
        <v>62</v>
      </c>
      <c r="C37" s="12">
        <v>0.85277777777777775</v>
      </c>
      <c r="D37" s="4">
        <v>-0.46</v>
      </c>
      <c r="E37" s="88">
        <f>Effort!F35</f>
        <v>49.096039515064696</v>
      </c>
      <c r="F37" s="89">
        <f>Harvest!F35</f>
        <v>589.15247418077638</v>
      </c>
      <c r="G37" s="90">
        <f>+CPUE!F35</f>
        <v>12</v>
      </c>
      <c r="H37" s="117">
        <f>Effort!H35</f>
        <v>153.76891450595599</v>
      </c>
      <c r="I37" s="118">
        <f>Harvest!H35</f>
        <v>1977.02890079086</v>
      </c>
      <c r="J37" s="119">
        <f>CPUE!H35</f>
        <v>12.85714285714284</v>
      </c>
      <c r="K37" s="88" t="str">
        <f>Effort!J35</f>
        <v>CLOSED</v>
      </c>
      <c r="L37" s="89" t="str">
        <f>Harvest!J35</f>
        <v>CLOSED</v>
      </c>
      <c r="M37" s="90" t="str">
        <f>CPUE!J35</f>
        <v>CLOSED</v>
      </c>
      <c r="N37" s="117">
        <f>Effort!L35</f>
        <v>74.851666427268697</v>
      </c>
      <c r="O37" s="118">
        <f>Harvest!L35</f>
        <v>673.66499784541895</v>
      </c>
      <c r="P37" s="119">
        <f>CPUE!L35</f>
        <v>9.0000000000000089</v>
      </c>
      <c r="Q37" s="40" t="s">
        <v>10</v>
      </c>
      <c r="R37" s="41" t="s">
        <v>10</v>
      </c>
      <c r="S37" s="43" t="s">
        <v>10</v>
      </c>
      <c r="T37" s="40">
        <f t="shared" si="4"/>
        <v>277.7166204482894</v>
      </c>
      <c r="U37" s="41">
        <f t="shared" si="4"/>
        <v>3239.8463728170555</v>
      </c>
      <c r="V37" s="41"/>
    </row>
    <row r="38" spans="1:24" x14ac:dyDescent="0.25">
      <c r="A38" s="38">
        <v>45631</v>
      </c>
      <c r="B38" s="39" t="s">
        <v>22</v>
      </c>
      <c r="C38" s="12">
        <v>0.88402777777777775</v>
      </c>
      <c r="D38" s="4">
        <v>-0.17</v>
      </c>
      <c r="E38" s="88">
        <f>Effort!F36</f>
        <v>26.408701410134444</v>
      </c>
      <c r="F38" s="89">
        <f>Harvest!F36</f>
        <v>132.04350705067222</v>
      </c>
      <c r="G38" s="90">
        <f>+CPUE!F36</f>
        <v>5</v>
      </c>
      <c r="H38" s="88">
        <f>Effort!H36</f>
        <v>33.635260166903969</v>
      </c>
      <c r="I38" s="89">
        <f>Harvest!H36</f>
        <v>168.17630083451985</v>
      </c>
      <c r="J38" s="90">
        <f>CPUE!H36</f>
        <v>5</v>
      </c>
      <c r="K38" s="117">
        <f>Effort!J36</f>
        <v>42.711488568851301</v>
      </c>
      <c r="L38" s="118">
        <f>Harvest!J36</f>
        <v>213.557442844257</v>
      </c>
      <c r="M38" s="119">
        <f>CPUE!J36</f>
        <v>5.0000000000000115</v>
      </c>
      <c r="N38" s="88" t="str">
        <f>Effort!L36</f>
        <v>CLOSED</v>
      </c>
      <c r="O38" s="89" t="str">
        <f>Harvest!L36</f>
        <v>CLOSED</v>
      </c>
      <c r="P38" s="90" t="str">
        <f>CPUE!L36</f>
        <v>CLOSED</v>
      </c>
      <c r="Q38" s="40" t="s">
        <v>10</v>
      </c>
      <c r="R38" s="41" t="s">
        <v>10</v>
      </c>
      <c r="S38" s="43" t="s">
        <v>10</v>
      </c>
      <c r="T38" s="40">
        <f>SUM(E38,H38,K38,N38)</f>
        <v>102.75545014588971</v>
      </c>
      <c r="U38" s="41">
        <f t="shared" si="4"/>
        <v>513.77725072944907</v>
      </c>
      <c r="V38" s="41"/>
    </row>
    <row r="39" spans="1:24" x14ac:dyDescent="0.25">
      <c r="A39" s="136" t="s">
        <v>50</v>
      </c>
      <c r="B39" s="136"/>
      <c r="C39" s="136"/>
      <c r="D39" s="137"/>
      <c r="E39" s="46">
        <f>SUM(E32:E38)</f>
        <v>4865.6859547503136</v>
      </c>
      <c r="F39" s="47">
        <f>SUM(F32:F38)</f>
        <v>68559.342412242622</v>
      </c>
      <c r="G39" s="48">
        <f>+F39/E39</f>
        <v>14.090375550298086</v>
      </c>
      <c r="H39" s="46">
        <f>SUM(H32:H38)</f>
        <v>5884.0233565722183</v>
      </c>
      <c r="I39" s="47">
        <f>SUM(I32:I38)</f>
        <v>83197.867876769698</v>
      </c>
      <c r="J39" s="48">
        <f>+I39/H39</f>
        <v>14.139622301777747</v>
      </c>
      <c r="K39" s="46">
        <f>SUM(K32:K38)</f>
        <v>1476.5128302994942</v>
      </c>
      <c r="L39" s="47">
        <f>SUM(L32:L38)</f>
        <v>17801.837612998606</v>
      </c>
      <c r="M39" s="48">
        <f>+L39/K39</f>
        <v>12.056676547394241</v>
      </c>
      <c r="N39" s="46">
        <f>SUM(N32:N38)</f>
        <v>4322.1661483061707</v>
      </c>
      <c r="O39" s="47">
        <f>SUM(O32:O38)</f>
        <v>55735.622892980522</v>
      </c>
      <c r="P39" s="48">
        <f>+O39/N39</f>
        <v>12.895298556447894</v>
      </c>
      <c r="Q39" s="46"/>
      <c r="R39" s="47"/>
      <c r="S39" s="48"/>
      <c r="T39" s="46">
        <f>SUM(T32:T38)</f>
        <v>16548.3882899282</v>
      </c>
      <c r="U39" s="47">
        <f>SUM(U32:U38)</f>
        <v>225294.67079499143</v>
      </c>
      <c r="V39" s="61"/>
      <c r="W39" s="19">
        <f>SUM(H39,K39,N39,Q39,E39)</f>
        <v>16548.388289928196</v>
      </c>
      <c r="X39" s="19">
        <f>SUM(R39,O39,L39,I39,F39)</f>
        <v>225294.67079499143</v>
      </c>
    </row>
    <row r="40" spans="1:24" x14ac:dyDescent="0.25">
      <c r="A40" s="38">
        <v>45638</v>
      </c>
      <c r="B40" s="39" t="s">
        <v>22</v>
      </c>
      <c r="C40" s="12">
        <v>0.66666666666666663</v>
      </c>
      <c r="D40" s="4">
        <v>-0.48</v>
      </c>
      <c r="E40" s="117">
        <f>Effort!F38</f>
        <v>552.43471005448498</v>
      </c>
      <c r="F40" s="118">
        <f>Harvest!F38</f>
        <v>7070.14624816368</v>
      </c>
      <c r="G40" s="119">
        <f>+CPUE!F38</f>
        <v>12.798157174929093</v>
      </c>
      <c r="H40" s="117">
        <f>Effort!H38</f>
        <v>850.62083798732999</v>
      </c>
      <c r="I40" s="118">
        <f>Harvest!H38</f>
        <v>11589.7089175774</v>
      </c>
      <c r="J40" s="119">
        <f>CPUE!H38</f>
        <v>13.625000000000034</v>
      </c>
      <c r="K40" s="117">
        <f>Effort!J38</f>
        <v>961.07791632396004</v>
      </c>
      <c r="L40" s="118">
        <f>Harvest!J38</f>
        <v>13885.0467384698</v>
      </c>
      <c r="M40" s="119">
        <f>CPUE!J38</f>
        <v>14.447368421052586</v>
      </c>
      <c r="N40" s="88" t="str">
        <f>Effort!L38</f>
        <v>CLOSED</v>
      </c>
      <c r="O40" s="89" t="str">
        <f>Harvest!L38</f>
        <v>CLOSED</v>
      </c>
      <c r="P40" s="90" t="str">
        <f>CPUE!L38</f>
        <v>CLOSED</v>
      </c>
      <c r="Q40" s="40" t="s">
        <v>10</v>
      </c>
      <c r="R40" s="41" t="s">
        <v>10</v>
      </c>
      <c r="S40" s="43" t="s">
        <v>10</v>
      </c>
      <c r="T40" s="40">
        <f>SUM(E40,H40,K40,N40)</f>
        <v>2364.1334643657751</v>
      </c>
      <c r="U40" s="41">
        <f>SUM(F40,I40,L40,O40)</f>
        <v>32544.901904210878</v>
      </c>
      <c r="V40" s="41"/>
    </row>
    <row r="41" spans="1:24" x14ac:dyDescent="0.25">
      <c r="A41" s="38">
        <v>45639</v>
      </c>
      <c r="B41" s="39" t="s">
        <v>18</v>
      </c>
      <c r="C41" s="12">
        <v>0.70138888888888884</v>
      </c>
      <c r="D41" s="4">
        <v>-1.17</v>
      </c>
      <c r="E41" s="117">
        <f>Effort!F39</f>
        <v>640.69608177525265</v>
      </c>
      <c r="F41" s="118">
        <f>Harvest!F39</f>
        <v>8521.2578876108601</v>
      </c>
      <c r="G41" s="119">
        <f>+CPUE!F39</f>
        <v>13.3</v>
      </c>
      <c r="H41" s="88">
        <f>Effort!H39</f>
        <v>629.17390301336843</v>
      </c>
      <c r="I41" s="89">
        <f>Harvest!H39</f>
        <v>7864.673787667105</v>
      </c>
      <c r="J41" s="90">
        <f>CPUE!H39</f>
        <v>12.5</v>
      </c>
      <c r="K41" s="88" t="str">
        <f>Effort!J39</f>
        <v>CLOSED</v>
      </c>
      <c r="L41" s="89" t="str">
        <f>Harvest!J39</f>
        <v>CLOSED</v>
      </c>
      <c r="M41" s="90" t="str">
        <f>CPUE!J39</f>
        <v>CLOSED</v>
      </c>
      <c r="N41" s="117">
        <f>Effort!L39</f>
        <v>593.33638021615502</v>
      </c>
      <c r="O41" s="118">
        <f>Harvest!L39</f>
        <v>6384.2994511258203</v>
      </c>
      <c r="P41" s="119">
        <f>CPUE!L39</f>
        <v>10.759999999999987</v>
      </c>
      <c r="Q41" s="40" t="s">
        <v>10</v>
      </c>
      <c r="R41" s="41" t="s">
        <v>10</v>
      </c>
      <c r="S41" s="43" t="s">
        <v>10</v>
      </c>
      <c r="T41" s="40">
        <f t="shared" ref="T41:U46" si="5">SUM(E41,H41,K41,N41)</f>
        <v>1863.206365004776</v>
      </c>
      <c r="U41" s="41">
        <f t="shared" si="5"/>
        <v>22770.231126403785</v>
      </c>
      <c r="V41" s="41"/>
    </row>
    <row r="42" spans="1:24" x14ac:dyDescent="0.25">
      <c r="A42" s="38">
        <v>45640</v>
      </c>
      <c r="B42" s="39" t="s">
        <v>19</v>
      </c>
      <c r="C42" s="12">
        <v>0.73333333333333339</v>
      </c>
      <c r="D42" s="4">
        <v>-1.55</v>
      </c>
      <c r="E42" s="88">
        <f>Effort!F40</f>
        <v>1422.6126156147175</v>
      </c>
      <c r="F42" s="89">
        <f>Harvest!F40</f>
        <v>8535.6756936883048</v>
      </c>
      <c r="G42" s="90">
        <f>+CPUE!F40</f>
        <v>6</v>
      </c>
      <c r="H42" s="88">
        <f>Effort!H40</f>
        <v>1397.0285714285778</v>
      </c>
      <c r="I42" s="89">
        <f>Harvest!H40</f>
        <v>8382.1714285714661</v>
      </c>
      <c r="J42" s="90">
        <f>CPUE!H40</f>
        <v>6</v>
      </c>
      <c r="K42" s="88" t="str">
        <f>Effort!J40</f>
        <v>CLOSED</v>
      </c>
      <c r="L42" s="89" t="str">
        <f>Harvest!J40</f>
        <v>CLOSED</v>
      </c>
      <c r="M42" s="90" t="str">
        <f>CPUE!J40</f>
        <v>CLOSED</v>
      </c>
      <c r="N42" s="117">
        <f>Effort!L40</f>
        <v>1317.4543185278401</v>
      </c>
      <c r="O42" s="118">
        <f>Harvest!L40</f>
        <v>7616.5327789890498</v>
      </c>
      <c r="P42" s="119">
        <f>CPUE!L40</f>
        <v>5.7812499999999805</v>
      </c>
      <c r="Q42" s="40" t="s">
        <v>10</v>
      </c>
      <c r="R42" s="41" t="s">
        <v>10</v>
      </c>
      <c r="S42" s="43" t="s">
        <v>10</v>
      </c>
      <c r="T42" s="40">
        <f t="shared" si="5"/>
        <v>4137.0955055711356</v>
      </c>
      <c r="U42" s="41">
        <f t="shared" si="5"/>
        <v>24534.379901248823</v>
      </c>
      <c r="V42" s="41"/>
    </row>
    <row r="43" spans="1:24" x14ac:dyDescent="0.25">
      <c r="A43" s="38">
        <v>45641</v>
      </c>
      <c r="B43" s="39" t="s">
        <v>20</v>
      </c>
      <c r="C43" s="12">
        <v>0.76458333333333339</v>
      </c>
      <c r="D43" s="4">
        <v>-1.63</v>
      </c>
      <c r="E43" s="88">
        <f>Effort!F41</f>
        <v>370.07761241122176</v>
      </c>
      <c r="F43" s="89">
        <f>Harvest!F41</f>
        <v>2220.4656744673307</v>
      </c>
      <c r="G43" s="90">
        <f>+CPUE!F41</f>
        <v>6</v>
      </c>
      <c r="H43" s="117">
        <f>Effort!H41</f>
        <v>438.47676692540199</v>
      </c>
      <c r="I43" s="118">
        <f>Harvest!H41</f>
        <v>2077.9985910812502</v>
      </c>
      <c r="J43" s="119">
        <f>CPUE!H41</f>
        <v>4.7391304347826022</v>
      </c>
      <c r="K43" s="117">
        <f>Effort!J41</f>
        <v>871.55055936808105</v>
      </c>
      <c r="L43" s="118">
        <f>Harvest!J41</f>
        <v>9629.5708144814907</v>
      </c>
      <c r="M43" s="119">
        <f>CPUE!J41</f>
        <v>11.048780487804889</v>
      </c>
      <c r="N43" s="88" t="str">
        <f>Effort!L41</f>
        <v>CLOSED</v>
      </c>
      <c r="O43" s="89" t="str">
        <f>Harvest!L41</f>
        <v>CLOSED</v>
      </c>
      <c r="P43" s="90" t="str">
        <f>CPUE!L41</f>
        <v>CLOSED</v>
      </c>
      <c r="Q43" s="40" t="s">
        <v>10</v>
      </c>
      <c r="R43" s="41" t="s">
        <v>10</v>
      </c>
      <c r="S43" s="43" t="s">
        <v>10</v>
      </c>
      <c r="T43" s="40">
        <f t="shared" si="5"/>
        <v>1680.1049387047046</v>
      </c>
      <c r="U43" s="41">
        <f t="shared" si="5"/>
        <v>13928.035080030071</v>
      </c>
      <c r="V43" s="41"/>
    </row>
    <row r="44" spans="1:24" x14ac:dyDescent="0.25">
      <c r="A44" s="38">
        <v>45642</v>
      </c>
      <c r="B44" s="39" t="s">
        <v>21</v>
      </c>
      <c r="C44" s="12">
        <v>0.79513888888888884</v>
      </c>
      <c r="D44" s="4">
        <v>-1.45</v>
      </c>
      <c r="E44" s="117">
        <f>Effort!F42</f>
        <v>161.47017777291788</v>
      </c>
      <c r="F44" s="118">
        <f>Harvest!F42</f>
        <v>1550.1137066200115</v>
      </c>
      <c r="G44" s="119">
        <f>+CPUE!F42</f>
        <v>9.6</v>
      </c>
      <c r="H44" s="88">
        <f>Effort!H42</f>
        <v>336.56543736331895</v>
      </c>
      <c r="I44" s="89">
        <f>Harvest!H42</f>
        <v>3365.6543736331896</v>
      </c>
      <c r="J44" s="90">
        <f>CPUE!H42</f>
        <v>10</v>
      </c>
      <c r="K44" s="117">
        <f>Effort!J42</f>
        <v>380.27002725815998</v>
      </c>
      <c r="L44" s="118">
        <f>Harvest!J42</f>
        <v>3802.7002725816001</v>
      </c>
      <c r="M44" s="119">
        <f>CPUE!J42</f>
        <v>10</v>
      </c>
      <c r="N44" s="88" t="str">
        <f>Effort!L42</f>
        <v>CLOSED</v>
      </c>
      <c r="O44" s="89" t="str">
        <f>Harvest!L42</f>
        <v>CLOSED</v>
      </c>
      <c r="P44" s="90" t="str">
        <f>CPUE!L42</f>
        <v>CLOSED</v>
      </c>
      <c r="Q44" s="40" t="s">
        <v>10</v>
      </c>
      <c r="R44" s="41" t="s">
        <v>10</v>
      </c>
      <c r="S44" s="43" t="s">
        <v>10</v>
      </c>
      <c r="T44" s="40">
        <f t="shared" si="5"/>
        <v>878.30564239439684</v>
      </c>
      <c r="U44" s="41">
        <f t="shared" si="5"/>
        <v>8718.4683528348014</v>
      </c>
      <c r="V44" s="41"/>
    </row>
    <row r="45" spans="1:24" x14ac:dyDescent="0.25">
      <c r="A45" s="38">
        <v>45643</v>
      </c>
      <c r="B45" s="39" t="s">
        <v>61</v>
      </c>
      <c r="C45" s="12">
        <v>0.82500000000000007</v>
      </c>
      <c r="D45" s="4">
        <v>-1.05</v>
      </c>
      <c r="E45" s="88">
        <f>Effort!F43</f>
        <v>30.549395582367605</v>
      </c>
      <c r="F45" s="89">
        <f>Harvest!F43</f>
        <v>61.098791164735211</v>
      </c>
      <c r="G45" s="90">
        <f>+CPUE!F43</f>
        <v>2</v>
      </c>
      <c r="H45" s="117">
        <f>Effort!H43</f>
        <v>30</v>
      </c>
      <c r="I45" s="118">
        <f>Harvest!H43</f>
        <v>60</v>
      </c>
      <c r="J45" s="119">
        <f>CPUE!H43</f>
        <v>2</v>
      </c>
      <c r="K45" s="88" t="str">
        <f>Effort!J43</f>
        <v>CLOSED</v>
      </c>
      <c r="L45" s="89" t="str">
        <f>Harvest!J43</f>
        <v>CLOSED</v>
      </c>
      <c r="M45" s="90" t="str">
        <f>CPUE!J43</f>
        <v>CLOSED</v>
      </c>
      <c r="N45" s="117">
        <f>Effort!L43</f>
        <v>28.291210619564499</v>
      </c>
      <c r="O45" s="118">
        <f>Harvest!L43</f>
        <v>56.582421239128998</v>
      </c>
      <c r="P45" s="119">
        <f>CPUE!L43</f>
        <v>2</v>
      </c>
      <c r="Q45" s="40" t="s">
        <v>10</v>
      </c>
      <c r="R45" s="41" t="s">
        <v>10</v>
      </c>
      <c r="S45" s="43" t="s">
        <v>10</v>
      </c>
      <c r="T45" s="40">
        <f t="shared" si="5"/>
        <v>88.840606201932104</v>
      </c>
      <c r="U45" s="41">
        <f t="shared" si="5"/>
        <v>177.68121240386421</v>
      </c>
      <c r="V45" s="41"/>
    </row>
    <row r="46" spans="1:24" x14ac:dyDescent="0.25">
      <c r="A46" s="38">
        <v>45644</v>
      </c>
      <c r="B46" s="39" t="s">
        <v>62</v>
      </c>
      <c r="C46" s="12">
        <v>0.85486111111111107</v>
      </c>
      <c r="D46" s="4">
        <v>-0.51</v>
      </c>
      <c r="E46" s="88">
        <f>Effort!F44</f>
        <v>87.594255899202906</v>
      </c>
      <c r="F46" s="89">
        <f>Harvest!F44</f>
        <v>875.94255899202903</v>
      </c>
      <c r="G46" s="90">
        <f>+CPUE!F44</f>
        <v>10</v>
      </c>
      <c r="H46" s="117">
        <f>Effort!H44</f>
        <v>134.87476076314601</v>
      </c>
      <c r="I46" s="118">
        <f>Harvest!H44</f>
        <v>1310.2119616991299</v>
      </c>
      <c r="J46" s="119">
        <f>CPUE!H44</f>
        <v>9.714285714285694</v>
      </c>
      <c r="K46" s="88" t="str">
        <f>Effort!J44</f>
        <v>CLOSED</v>
      </c>
      <c r="L46" s="89" t="str">
        <f>Harvest!J44</f>
        <v>CLOSED</v>
      </c>
      <c r="M46" s="90" t="str">
        <f>CPUE!J44</f>
        <v>CLOSED</v>
      </c>
      <c r="N46" s="88">
        <f>Effort!L44</f>
        <v>127.19234213378458</v>
      </c>
      <c r="O46" s="89">
        <f>Harvest!L44</f>
        <v>1271.9234213378459</v>
      </c>
      <c r="P46" s="90">
        <f>CPUE!L44</f>
        <v>10</v>
      </c>
      <c r="Q46" s="40" t="s">
        <v>10</v>
      </c>
      <c r="R46" s="41" t="s">
        <v>10</v>
      </c>
      <c r="S46" s="43" t="s">
        <v>10</v>
      </c>
      <c r="T46" s="40">
        <f>SUM(E46,H46,K46,N46)</f>
        <v>349.66135879613347</v>
      </c>
      <c r="U46" s="41">
        <f t="shared" si="5"/>
        <v>3458.0779420290046</v>
      </c>
      <c r="V46" s="41"/>
    </row>
    <row r="47" spans="1:24" x14ac:dyDescent="0.25">
      <c r="A47" s="136" t="s">
        <v>50</v>
      </c>
      <c r="B47" s="136"/>
      <c r="C47" s="136"/>
      <c r="D47" s="137"/>
      <c r="E47" s="46">
        <f>SUM(E40:E46)</f>
        <v>3265.434849110165</v>
      </c>
      <c r="F47" s="47">
        <f>SUM(F40:F46)</f>
        <v>28834.700560706951</v>
      </c>
      <c r="G47" s="48">
        <f>+F47/E47</f>
        <v>8.830278934692096</v>
      </c>
      <c r="H47" s="46">
        <f>SUM(H40:H46)</f>
        <v>3816.7402774811435</v>
      </c>
      <c r="I47" s="47">
        <f>SUM(I40:I46)</f>
        <v>34650.419060229542</v>
      </c>
      <c r="J47" s="48">
        <f>+I47/H47</f>
        <v>9.078537322716933</v>
      </c>
      <c r="K47" s="46">
        <f>SUM(K40:K46)</f>
        <v>2212.898502950201</v>
      </c>
      <c r="L47" s="47">
        <f>SUM(L40:L46)</f>
        <v>27317.317825532889</v>
      </c>
      <c r="M47" s="48">
        <f>+L47/K47</f>
        <v>12.344586879657552</v>
      </c>
      <c r="N47" s="46">
        <f>SUM(N40:N46)</f>
        <v>2066.2742514973443</v>
      </c>
      <c r="O47" s="47">
        <f>SUM(O40:O46)</f>
        <v>15329.338072691844</v>
      </c>
      <c r="P47" s="48">
        <f>+O47/N47</f>
        <v>7.41883032302382</v>
      </c>
      <c r="Q47" s="46"/>
      <c r="R47" s="47"/>
      <c r="S47" s="48"/>
      <c r="T47" s="46">
        <f>SUM(T40:T46)</f>
        <v>11361.347881038851</v>
      </c>
      <c r="U47" s="47">
        <f>SUM(U40:U46)</f>
        <v>106131.77551916122</v>
      </c>
      <c r="V47" s="61"/>
      <c r="W47" s="19">
        <f>SUM(H47,K47,N47,Q47,E47)</f>
        <v>11361.347881038853</v>
      </c>
      <c r="X47" s="19">
        <f>SUM(R47,O47,L47,I47,F47)</f>
        <v>106131.77551916122</v>
      </c>
    </row>
    <row r="48" spans="1:24" x14ac:dyDescent="0.25">
      <c r="A48" s="38">
        <v>45654</v>
      </c>
      <c r="B48" s="39" t="s">
        <v>19</v>
      </c>
      <c r="C48" s="12">
        <v>0.70694444444444438</v>
      </c>
      <c r="D48" s="4">
        <v>-0.03</v>
      </c>
      <c r="E48" s="117">
        <f>Effort!F46</f>
        <v>1154.5359490777455</v>
      </c>
      <c r="F48" s="118">
        <f>Harvest!F46</f>
        <v>3232.7006574176871</v>
      </c>
      <c r="G48" s="119">
        <f>+CPUE!F46</f>
        <v>2.8</v>
      </c>
      <c r="H48" s="117">
        <f>Effort!H46</f>
        <v>1237.26688661703</v>
      </c>
      <c r="I48" s="118">
        <f>Harvest!H46</f>
        <v>1903.4875178723501</v>
      </c>
      <c r="J48" s="119">
        <f>CPUE!H46</f>
        <v>1.5384615384615354</v>
      </c>
      <c r="K48" s="117">
        <f>Effort!J46</f>
        <v>2133.0631239579998</v>
      </c>
      <c r="L48" s="118">
        <f>Harvest!J46</f>
        <v>5992.8916339772504</v>
      </c>
      <c r="M48" s="119">
        <f>CPUE!J46</f>
        <v>2.8095238095238155</v>
      </c>
      <c r="N48" s="88" t="str">
        <f>Effort!L46</f>
        <v>CLOSED</v>
      </c>
      <c r="O48" s="89" t="str">
        <f>Harvest!L46</f>
        <v>CLOSED</v>
      </c>
      <c r="P48" s="90" t="str">
        <f>CPUE!L46</f>
        <v>CLOSED</v>
      </c>
      <c r="Q48" s="40" t="s">
        <v>10</v>
      </c>
      <c r="R48" s="41" t="s">
        <v>10</v>
      </c>
      <c r="S48" s="43" t="s">
        <v>10</v>
      </c>
      <c r="T48" s="40">
        <f>SUM(E48,H48,K48,N48)</f>
        <v>4524.865959652775</v>
      </c>
      <c r="U48" s="41">
        <f>SUM(F48,I48,L48,O48)</f>
        <v>11129.079809267289</v>
      </c>
      <c r="V48" s="41"/>
    </row>
    <row r="49" spans="1:24" x14ac:dyDescent="0.25">
      <c r="A49" s="38">
        <v>45655</v>
      </c>
      <c r="B49" s="39" t="s">
        <v>20</v>
      </c>
      <c r="C49" s="12">
        <v>0.73333333333333339</v>
      </c>
      <c r="D49" s="4">
        <v>-0.44</v>
      </c>
      <c r="E49" s="88">
        <f>Effort!F47</f>
        <v>823.4475149410024</v>
      </c>
      <c r="F49" s="89">
        <f>Harvest!F47</f>
        <v>9881.3701792920292</v>
      </c>
      <c r="G49" s="90">
        <f>+CPUE!F47</f>
        <v>12</v>
      </c>
      <c r="H49" s="117">
        <f>Effort!H47</f>
        <v>903.24667331370404</v>
      </c>
      <c r="I49" s="118">
        <f>Harvest!H47</f>
        <v>11153.1328356996</v>
      </c>
      <c r="J49" s="119">
        <f>CPUE!H47</f>
        <v>12.347826086956466</v>
      </c>
      <c r="K49" s="88" t="str">
        <f>Effort!J47</f>
        <v>CLOSED</v>
      </c>
      <c r="L49" s="89" t="str">
        <f>Harvest!J47</f>
        <v>CLOSED</v>
      </c>
      <c r="M49" s="90" t="str">
        <f>CPUE!J47</f>
        <v>CLOSED</v>
      </c>
      <c r="N49" s="117">
        <f>Effort!L47</f>
        <v>1369.3868331845899</v>
      </c>
      <c r="O49" s="118">
        <f>Harvest!L47</f>
        <v>10984.2305555445</v>
      </c>
      <c r="P49" s="119">
        <f>CPUE!L47</f>
        <v>8.0212765957446983</v>
      </c>
      <c r="Q49" s="40" t="s">
        <v>10</v>
      </c>
      <c r="R49" s="41" t="s">
        <v>10</v>
      </c>
      <c r="S49" s="43" t="s">
        <v>10</v>
      </c>
      <c r="T49" s="40">
        <f t="shared" ref="T49:U54" si="6">SUM(E49,H49,K49,N49)</f>
        <v>3096.0810214392964</v>
      </c>
      <c r="U49" s="41">
        <f t="shared" si="6"/>
        <v>32018.733570536126</v>
      </c>
      <c r="V49" s="41"/>
    </row>
    <row r="50" spans="1:24" x14ac:dyDescent="0.25">
      <c r="A50" s="38">
        <v>45656</v>
      </c>
      <c r="B50" s="39" t="s">
        <v>21</v>
      </c>
      <c r="C50" s="12">
        <v>0.7597222222222223</v>
      </c>
      <c r="D50" s="4">
        <v>-0.74</v>
      </c>
      <c r="E50" s="117">
        <f>Effort!F48</f>
        <v>1086.302046932728</v>
      </c>
      <c r="F50" s="118">
        <f>Harvest!F48</f>
        <v>13796.035996045644</v>
      </c>
      <c r="G50" s="119">
        <f>+CPUE!F48</f>
        <v>12.7</v>
      </c>
      <c r="H50" s="88">
        <f>Effort!H48</f>
        <v>1153.2393207440152</v>
      </c>
      <c r="I50" s="89">
        <f>Harvest!H48</f>
        <v>14415.491509300191</v>
      </c>
      <c r="J50" s="90">
        <f>CPUE!H48</f>
        <v>12.5</v>
      </c>
      <c r="K50" s="88" t="str">
        <f>Effort!J48</f>
        <v>CLOSED</v>
      </c>
      <c r="L50" s="89" t="str">
        <f>Harvest!J48</f>
        <v>CLOSED</v>
      </c>
      <c r="M50" s="90" t="str">
        <f>CPUE!J48</f>
        <v>CLOSED</v>
      </c>
      <c r="N50" s="117">
        <f>Effort!L48</f>
        <v>894.00225557823899</v>
      </c>
      <c r="O50" s="118">
        <f>Harvest!L48</f>
        <v>11175.028194727987</v>
      </c>
      <c r="P50" s="119">
        <f>CPUE!L48</f>
        <v>12.5</v>
      </c>
      <c r="Q50" s="40" t="s">
        <v>10</v>
      </c>
      <c r="R50" s="41" t="s">
        <v>10</v>
      </c>
      <c r="S50" s="43" t="s">
        <v>10</v>
      </c>
      <c r="T50" s="40">
        <f t="shared" si="6"/>
        <v>3133.5436232549819</v>
      </c>
      <c r="U50" s="41">
        <f t="shared" si="6"/>
        <v>39386.555700073819</v>
      </c>
      <c r="V50" s="41"/>
    </row>
    <row r="51" spans="1:24" x14ac:dyDescent="0.25">
      <c r="A51" s="38">
        <v>45657</v>
      </c>
      <c r="B51" s="39" t="s">
        <v>61</v>
      </c>
      <c r="C51" s="12">
        <v>0.78541666666666676</v>
      </c>
      <c r="D51" s="4">
        <v>-0.95</v>
      </c>
      <c r="E51" s="88">
        <f>Effort!F49</f>
        <v>787.77139887760359</v>
      </c>
      <c r="F51" s="89">
        <f>Harvest!F49</f>
        <v>9453.2567865312431</v>
      </c>
      <c r="G51" s="90">
        <f>+CPUE!F49</f>
        <v>12</v>
      </c>
      <c r="H51" s="88">
        <f>Effort!H49</f>
        <v>844.2209762578824</v>
      </c>
      <c r="I51" s="89">
        <f>Harvest!H49</f>
        <v>10130.651715094589</v>
      </c>
      <c r="J51" s="90">
        <f>CPUE!H49</f>
        <v>12</v>
      </c>
      <c r="K51" s="117">
        <f>Effort!J49</f>
        <v>1455.44720577728</v>
      </c>
      <c r="L51" s="118">
        <f>Harvest!J49</f>
        <v>17513.8813761866</v>
      </c>
      <c r="M51" s="119">
        <f>CPUE!J49</f>
        <v>12.033333333333331</v>
      </c>
      <c r="N51" s="88" t="str">
        <f>Effort!L49</f>
        <v>CLOSED</v>
      </c>
      <c r="O51" s="89" t="str">
        <f>Harvest!L49</f>
        <v>CLOSED</v>
      </c>
      <c r="P51" s="90" t="str">
        <f>CPUE!L49</f>
        <v>CLOSED</v>
      </c>
      <c r="Q51" s="40" t="s">
        <v>10</v>
      </c>
      <c r="R51" s="41" t="s">
        <v>10</v>
      </c>
      <c r="S51" s="43" t="s">
        <v>10</v>
      </c>
      <c r="T51" s="40">
        <f t="shared" si="6"/>
        <v>3087.4395809127659</v>
      </c>
      <c r="U51" s="41">
        <f t="shared" si="6"/>
        <v>37097.789877812436</v>
      </c>
      <c r="V51" s="41"/>
    </row>
    <row r="52" spans="1:24" x14ac:dyDescent="0.25">
      <c r="A52" s="38">
        <v>45658</v>
      </c>
      <c r="B52" s="39" t="s">
        <v>62</v>
      </c>
      <c r="C52" s="12">
        <v>0.81180555555555556</v>
      </c>
      <c r="D52" s="4">
        <v>-0.95</v>
      </c>
      <c r="E52" s="88">
        <f>Effort!F50</f>
        <v>696.90379954562184</v>
      </c>
      <c r="F52" s="89">
        <f>Harvest!F50</f>
        <v>1393.8075990912437</v>
      </c>
      <c r="G52" s="90">
        <f>+CPUE!F50</f>
        <v>2</v>
      </c>
      <c r="H52" s="88">
        <f>Effort!H50</f>
        <v>746.8420494174901</v>
      </c>
      <c r="I52" s="89">
        <f>Harvest!H50</f>
        <v>1493.6840988349802</v>
      </c>
      <c r="J52" s="90">
        <f>CPUE!H50</f>
        <v>2</v>
      </c>
      <c r="K52" s="117">
        <f>Effort!J50</f>
        <v>1287.5647544318099</v>
      </c>
      <c r="L52" s="118">
        <f>Harvest!J50</f>
        <v>2125.9790131315899</v>
      </c>
      <c r="M52" s="119">
        <f>CPUE!J50</f>
        <v>1.651162790697672</v>
      </c>
      <c r="N52" s="88" t="str">
        <f>Effort!L50</f>
        <v>CLOSED</v>
      </c>
      <c r="O52" s="89" t="str">
        <f>Harvest!L50</f>
        <v>CLOSED</v>
      </c>
      <c r="P52" s="90" t="str">
        <f>CPUE!L50</f>
        <v>CLOSED</v>
      </c>
      <c r="Q52" s="40" t="s">
        <v>10</v>
      </c>
      <c r="R52" s="41" t="s">
        <v>10</v>
      </c>
      <c r="S52" s="43" t="s">
        <v>10</v>
      </c>
      <c r="T52" s="40">
        <f t="shared" si="6"/>
        <v>2731.3106033949216</v>
      </c>
      <c r="U52" s="41">
        <f t="shared" si="6"/>
        <v>5013.4707110578138</v>
      </c>
      <c r="V52" s="41"/>
    </row>
    <row r="53" spans="1:24" x14ac:dyDescent="0.25">
      <c r="A53" s="38">
        <v>45659</v>
      </c>
      <c r="B53" s="39" t="s">
        <v>22</v>
      </c>
      <c r="C53" s="12">
        <v>0.83888888888888891</v>
      </c>
      <c r="D53" s="4">
        <v>-0.75</v>
      </c>
      <c r="E53" s="117">
        <f>Effort!F51</f>
        <v>204.13729741017698</v>
      </c>
      <c r="F53" s="118">
        <f>Harvest!F51</f>
        <v>796.1354598996902</v>
      </c>
      <c r="G53" s="119">
        <f>+CPUE!F51</f>
        <v>3.9</v>
      </c>
      <c r="H53" s="117">
        <f>Effort!H51</f>
        <v>223.91996021531901</v>
      </c>
      <c r="I53" s="118">
        <f>Harvest!H51</f>
        <v>1716.71969498411</v>
      </c>
      <c r="J53" s="119">
        <f>CPUE!H51</f>
        <v>7.6666666666666563</v>
      </c>
      <c r="K53" s="88" t="str">
        <f>Effort!J51</f>
        <v>CLOSED</v>
      </c>
      <c r="L53" s="89" t="str">
        <f>Harvest!J51</f>
        <v>CLOSED</v>
      </c>
      <c r="M53" s="90" t="str">
        <f>CPUE!J51</f>
        <v>CLOSED</v>
      </c>
      <c r="N53" s="117">
        <f>Effort!L51</f>
        <v>173.584915030763</v>
      </c>
      <c r="O53" s="118">
        <f>Harvest!L51</f>
        <v>1301.8868627307224</v>
      </c>
      <c r="P53" s="119">
        <f>CPUE!L51</f>
        <v>7.5</v>
      </c>
      <c r="Q53" s="40" t="s">
        <v>10</v>
      </c>
      <c r="R53" s="41" t="s">
        <v>10</v>
      </c>
      <c r="S53" s="43" t="s">
        <v>10</v>
      </c>
      <c r="T53" s="40">
        <f t="shared" si="6"/>
        <v>601.64217265625894</v>
      </c>
      <c r="U53" s="41">
        <f t="shared" si="6"/>
        <v>3814.7420176145229</v>
      </c>
      <c r="V53" s="41"/>
    </row>
    <row r="54" spans="1:24" x14ac:dyDescent="0.25">
      <c r="A54" s="38">
        <v>45660</v>
      </c>
      <c r="B54" s="39" t="s">
        <v>18</v>
      </c>
      <c r="C54" s="12">
        <v>0.8666666666666667</v>
      </c>
      <c r="D54" s="4">
        <v>-0.34</v>
      </c>
      <c r="E54" s="88">
        <f>Effort!F52</f>
        <v>197.40614115889332</v>
      </c>
      <c r="F54" s="89">
        <f>Harvest!F52</f>
        <v>493.5153528972333</v>
      </c>
      <c r="G54" s="90">
        <f>+CPUE!F52</f>
        <v>2.5</v>
      </c>
      <c r="H54" s="88">
        <f>Effort!H52</f>
        <v>216.53649693294778</v>
      </c>
      <c r="I54" s="89">
        <f>Harvest!H52</f>
        <v>541.34124233236946</v>
      </c>
      <c r="J54" s="90">
        <f>CPUE!H52</f>
        <v>2.5</v>
      </c>
      <c r="K54" s="88" t="str">
        <f>Effort!J52</f>
        <v>CLOSED</v>
      </c>
      <c r="L54" s="89" t="str">
        <f>Harvest!J52</f>
        <v>CLOSED</v>
      </c>
      <c r="M54" s="90" t="str">
        <f>CPUE!J52</f>
        <v>CLOSED</v>
      </c>
      <c r="N54" s="117">
        <f>Effort!L52</f>
        <v>167.86118300941601</v>
      </c>
      <c r="O54" s="118">
        <f>Harvest!L52</f>
        <v>419.65295752354001</v>
      </c>
      <c r="P54" s="119">
        <f>CPUE!L52</f>
        <v>2.5</v>
      </c>
      <c r="Q54" s="40" t="s">
        <v>10</v>
      </c>
      <c r="R54" s="41" t="s">
        <v>10</v>
      </c>
      <c r="S54" s="43" t="s">
        <v>10</v>
      </c>
      <c r="T54" s="40">
        <f>SUM(E54,H54,K54,N54)</f>
        <v>581.80382110125709</v>
      </c>
      <c r="U54" s="41">
        <f t="shared" si="6"/>
        <v>1454.5095527531428</v>
      </c>
      <c r="V54" s="41"/>
    </row>
    <row r="55" spans="1:24" x14ac:dyDescent="0.25">
      <c r="A55" s="136" t="s">
        <v>50</v>
      </c>
      <c r="B55" s="136"/>
      <c r="C55" s="136"/>
      <c r="D55" s="137"/>
      <c r="E55" s="46">
        <f>SUM(E48:E54)</f>
        <v>4950.5041479437714</v>
      </c>
      <c r="F55" s="47">
        <f>SUM(F48:F54)</f>
        <v>39046.822031174772</v>
      </c>
      <c r="G55" s="48">
        <f>+F55/E55</f>
        <v>7.8874435540859329</v>
      </c>
      <c r="H55" s="46">
        <f>SUM(H48:H54)</f>
        <v>5325.2723634983886</v>
      </c>
      <c r="I55" s="47">
        <f>SUM(I48:I54)</f>
        <v>41354.508614118189</v>
      </c>
      <c r="J55" s="48">
        <f>+I55/H55</f>
        <v>7.7657077030611683</v>
      </c>
      <c r="K55" s="46">
        <f>SUM(K48:K54)</f>
        <v>4876.0750841670897</v>
      </c>
      <c r="L55" s="47">
        <f>SUM(L48:L54)</f>
        <v>25632.752023295441</v>
      </c>
      <c r="M55" s="48">
        <f>+L55/K55</f>
        <v>5.256841123412257</v>
      </c>
      <c r="N55" s="46">
        <f>SUM(N48:N54)</f>
        <v>2604.8351868030081</v>
      </c>
      <c r="O55" s="47">
        <f>SUM(O48:O54)</f>
        <v>23880.798570526749</v>
      </c>
      <c r="P55" s="48">
        <f>+O55/N55</f>
        <v>9.1678731504837998</v>
      </c>
      <c r="Q55" s="46"/>
      <c r="R55" s="47"/>
      <c r="S55" s="48"/>
      <c r="T55" s="46">
        <f>SUM(T48:T54)</f>
        <v>17756.686782412256</v>
      </c>
      <c r="U55" s="47">
        <f>SUM(U48:U54)</f>
        <v>129914.88123911514</v>
      </c>
      <c r="V55" s="61"/>
      <c r="W55" s="19">
        <f>SUM(H55,K55,N55,Q55,E55)</f>
        <v>17756.686782412256</v>
      </c>
      <c r="X55" s="19">
        <f>SUM(R55,O55,L55,I55,F55)</f>
        <v>129914.88123911516</v>
      </c>
    </row>
    <row r="56" spans="1:24" x14ac:dyDescent="0.25">
      <c r="A56" s="38">
        <v>45667</v>
      </c>
      <c r="B56" s="39" t="s">
        <v>18</v>
      </c>
      <c r="C56" s="12">
        <v>0.65763888888888888</v>
      </c>
      <c r="D56" s="4">
        <v>-0.31</v>
      </c>
      <c r="E56" s="117">
        <f>Effort!F54</f>
        <v>816.30994227818701</v>
      </c>
      <c r="F56" s="118">
        <f>Harvest!F54</f>
        <v>4605.2225130064198</v>
      </c>
      <c r="G56" s="119">
        <f>+CPUE!F54</f>
        <v>5.6415122179622115</v>
      </c>
      <c r="H56" s="88">
        <f>Effort!H54</f>
        <v>1207.3884132681139</v>
      </c>
      <c r="I56" s="89">
        <f>Harvest!H54</f>
        <v>9055.4130995108553</v>
      </c>
      <c r="J56" s="90">
        <f>CPUE!H54</f>
        <v>7.5</v>
      </c>
      <c r="K56" s="88" t="str">
        <f>Effort!J54</f>
        <v>CLOSED</v>
      </c>
      <c r="L56" s="89" t="str">
        <f>Harvest!J54</f>
        <v>CLOSED</v>
      </c>
      <c r="M56" s="90" t="str">
        <f>CPUE!J54</f>
        <v>CLOSED</v>
      </c>
      <c r="N56" s="117">
        <f>Effort!L54</f>
        <v>1150.13837356557</v>
      </c>
      <c r="O56" s="118">
        <f>Harvest!L54</f>
        <v>10823.0970025273</v>
      </c>
      <c r="P56" s="119">
        <f>CPUE!L54</f>
        <v>9.4102564102564212</v>
      </c>
      <c r="Q56" s="40" t="s">
        <v>10</v>
      </c>
      <c r="R56" s="41" t="s">
        <v>10</v>
      </c>
      <c r="S56" s="43" t="s">
        <v>10</v>
      </c>
      <c r="T56" s="40">
        <f>SUM(E56,H56,K56,N56)</f>
        <v>3173.8367291118711</v>
      </c>
      <c r="U56" s="41">
        <f>SUM(F56,I56,L56,O56)</f>
        <v>24483.732615044573</v>
      </c>
      <c r="V56" s="41"/>
    </row>
    <row r="57" spans="1:24" x14ac:dyDescent="0.25">
      <c r="A57" s="38">
        <v>45668</v>
      </c>
      <c r="B57" s="39" t="s">
        <v>19</v>
      </c>
      <c r="C57" s="12">
        <v>0.69374999999999998</v>
      </c>
      <c r="D57" s="4">
        <v>-0.76</v>
      </c>
      <c r="E57" s="117">
        <f>Effort!F55</f>
        <v>3609.4651691644913</v>
      </c>
      <c r="F57" s="118">
        <f>Harvest!F55</f>
        <v>54141.97753746737</v>
      </c>
      <c r="G57" s="119">
        <f>+CPUE!F55</f>
        <v>15</v>
      </c>
      <c r="H57" s="117">
        <f>Effort!H55</f>
        <v>3202.28647230664</v>
      </c>
      <c r="I57" s="118">
        <f>Harvest!H55</f>
        <v>45891.034485024298</v>
      </c>
      <c r="J57" s="119">
        <f>CPUE!H55</f>
        <v>14.330708661417326</v>
      </c>
      <c r="K57" s="88" t="str">
        <f>Effort!J55</f>
        <v>CLOSED</v>
      </c>
      <c r="L57" s="89" t="str">
        <f>Harvest!J55</f>
        <v>CLOSED</v>
      </c>
      <c r="M57" s="90" t="str">
        <f>CPUE!J55</f>
        <v>CLOSED</v>
      </c>
      <c r="N57" s="117">
        <f>Effort!L55</f>
        <v>3050.4455024382601</v>
      </c>
      <c r="O57" s="118">
        <f>Harvest!L55</f>
        <v>41181.014282916498</v>
      </c>
      <c r="P57" s="119">
        <f>CPUE!L55</f>
        <v>13.499999999999996</v>
      </c>
      <c r="Q57" s="40" t="s">
        <v>10</v>
      </c>
      <c r="R57" s="41" t="s">
        <v>10</v>
      </c>
      <c r="S57" s="43" t="s">
        <v>10</v>
      </c>
      <c r="T57" s="40">
        <f t="shared" ref="T57:U62" si="7">SUM(E57,H57,K57,N57)</f>
        <v>9862.1971439093923</v>
      </c>
      <c r="U57" s="41">
        <f t="shared" si="7"/>
        <v>141214.02630540816</v>
      </c>
      <c r="V57" s="41"/>
    </row>
    <row r="58" spans="1:24" x14ac:dyDescent="0.25">
      <c r="A58" s="38">
        <v>45669</v>
      </c>
      <c r="B58" s="39" t="s">
        <v>20</v>
      </c>
      <c r="C58" s="12">
        <v>0.7270833333333333</v>
      </c>
      <c r="D58" s="4">
        <v>-1.02</v>
      </c>
      <c r="E58" s="88">
        <f>Effort!F56</f>
        <v>2267.4424087096654</v>
      </c>
      <c r="F58" s="89">
        <f>Harvest!F56</f>
        <v>30610.472517580482</v>
      </c>
      <c r="G58" s="90">
        <f>+CPUE!F56</f>
        <v>13.5</v>
      </c>
      <c r="H58" s="117">
        <f>Effort!H56</f>
        <v>2011.6554148176201</v>
      </c>
      <c r="I58" s="118">
        <f>Harvest!H56</f>
        <v>27092.455989882401</v>
      </c>
      <c r="J58" s="119">
        <f>CPUE!H56</f>
        <v>13.46774193548384</v>
      </c>
      <c r="K58" s="117">
        <f>Effort!J56</f>
        <v>2864.4527853311401</v>
      </c>
      <c r="L58" s="118">
        <f>Harvest!J56</f>
        <v>39693.131453874397</v>
      </c>
      <c r="M58" s="119">
        <f>CPUE!J56</f>
        <v>13.857142857142867</v>
      </c>
      <c r="N58" s="88" t="str">
        <f>Effort!L56</f>
        <v>CLOSED</v>
      </c>
      <c r="O58" s="89" t="str">
        <f>Harvest!L56</f>
        <v>CLOSED</v>
      </c>
      <c r="P58" s="90" t="str">
        <f>CPUE!L56</f>
        <v>CLOSED</v>
      </c>
      <c r="Q58" s="40" t="s">
        <v>10</v>
      </c>
      <c r="R58" s="41" t="s">
        <v>10</v>
      </c>
      <c r="S58" s="43" t="s">
        <v>10</v>
      </c>
      <c r="T58" s="40">
        <f t="shared" si="7"/>
        <v>7143.5506088584252</v>
      </c>
      <c r="U58" s="41">
        <f t="shared" si="7"/>
        <v>97396.059961337276</v>
      </c>
      <c r="V58" s="41"/>
    </row>
    <row r="59" spans="1:24" x14ac:dyDescent="0.25">
      <c r="A59" s="38">
        <v>45670</v>
      </c>
      <c r="B59" s="39" t="s">
        <v>21</v>
      </c>
      <c r="C59" s="12">
        <v>0.75694444444444453</v>
      </c>
      <c r="D59" s="4">
        <v>-1.07</v>
      </c>
      <c r="E59" s="88">
        <f>Effort!F57</f>
        <v>948.66876683318014</v>
      </c>
      <c r="F59" s="89">
        <f>Harvest!F57</f>
        <v>10909.690818581572</v>
      </c>
      <c r="G59" s="90">
        <f>+CPUE!F57</f>
        <v>11.5</v>
      </c>
      <c r="H59" s="88">
        <f>Effort!H57</f>
        <v>841.65077548952263</v>
      </c>
      <c r="I59" s="89">
        <f>Harvest!H57</f>
        <v>9678.9839181295101</v>
      </c>
      <c r="J59" s="90">
        <f>CPUE!H57</f>
        <v>11.5</v>
      </c>
      <c r="K59" s="117">
        <f>Effort!J57</f>
        <v>1198.4502367397999</v>
      </c>
      <c r="L59" s="118">
        <f>Harvest!J57</f>
        <v>13709.1014885601</v>
      </c>
      <c r="M59" s="119">
        <f>CPUE!J57</f>
        <v>11.43902439024386</v>
      </c>
      <c r="N59" s="88" t="str">
        <f>Effort!L57</f>
        <v>CLOSED</v>
      </c>
      <c r="O59" s="89" t="str">
        <f>Harvest!L57</f>
        <v>CLOSED</v>
      </c>
      <c r="P59" s="90" t="str">
        <f>CPUE!L57</f>
        <v>CLOSED</v>
      </c>
      <c r="Q59" s="40" t="s">
        <v>10</v>
      </c>
      <c r="R59" s="41" t="s">
        <v>10</v>
      </c>
      <c r="S59" s="43" t="s">
        <v>10</v>
      </c>
      <c r="T59" s="40">
        <f t="shared" si="7"/>
        <v>2988.7697790625025</v>
      </c>
      <c r="U59" s="41">
        <f t="shared" si="7"/>
        <v>34297.776225271184</v>
      </c>
      <c r="V59" s="41"/>
    </row>
    <row r="60" spans="1:24" x14ac:dyDescent="0.25">
      <c r="A60" s="38">
        <v>45671</v>
      </c>
      <c r="B60" s="39" t="s">
        <v>61</v>
      </c>
      <c r="C60" s="12">
        <v>0.78472222222222221</v>
      </c>
      <c r="D60" s="4">
        <v>-0.93</v>
      </c>
      <c r="E60" s="88">
        <f>Effort!F58</f>
        <v>186.54492087937632</v>
      </c>
      <c r="F60" s="89">
        <f>Harvest!F58</f>
        <v>932.72460439688166</v>
      </c>
      <c r="G60" s="90">
        <f>+CPUE!F58</f>
        <v>5</v>
      </c>
      <c r="H60" s="88">
        <f>Effort!H58</f>
        <v>275.91502241806592</v>
      </c>
      <c r="I60" s="89">
        <f>Harvest!H58</f>
        <v>1379.5751120903296</v>
      </c>
      <c r="J60" s="90">
        <f>CPUE!H58</f>
        <v>5</v>
      </c>
      <c r="K60" s="88" t="str">
        <f>Effort!J58</f>
        <v>CLOSED</v>
      </c>
      <c r="L60" s="89" t="str">
        <f>Harvest!J58</f>
        <v>CLOSED</v>
      </c>
      <c r="M60" s="90" t="str">
        <f>CPUE!J58</f>
        <v>CLOSED</v>
      </c>
      <c r="N60" s="117">
        <f>Effort!L58</f>
        <v>262.83211900904098</v>
      </c>
      <c r="O60" s="118">
        <f>Harvest!L58</f>
        <v>1145.19708996796</v>
      </c>
      <c r="P60" s="119">
        <f>CPUE!L58</f>
        <v>4.3571428571428408</v>
      </c>
      <c r="Q60" s="40" t="s">
        <v>10</v>
      </c>
      <c r="R60" s="41" t="s">
        <v>10</v>
      </c>
      <c r="S60" s="43" t="s">
        <v>10</v>
      </c>
      <c r="T60" s="40">
        <f t="shared" si="7"/>
        <v>725.29206230648322</v>
      </c>
      <c r="U60" s="41">
        <f t="shared" si="7"/>
        <v>3457.4968064551713</v>
      </c>
      <c r="V60" s="41"/>
    </row>
    <row r="61" spans="1:24" x14ac:dyDescent="0.25">
      <c r="A61" s="38">
        <v>45672</v>
      </c>
      <c r="B61" s="39" t="s">
        <v>62</v>
      </c>
      <c r="C61" s="12">
        <v>0.81111111111111101</v>
      </c>
      <c r="D61" s="4">
        <v>-0.62</v>
      </c>
      <c r="E61" s="117">
        <f>Effort!F59</f>
        <v>92.512905759674297</v>
      </c>
      <c r="F61" s="118">
        <f>Harvest!F59</f>
        <v>850.91485223424002</v>
      </c>
      <c r="G61" s="119">
        <f>+CPUE!F59</f>
        <v>9.1977961912114932</v>
      </c>
      <c r="H61" s="117">
        <f>Effort!H59</f>
        <v>219.953584108445</v>
      </c>
      <c r="I61" s="118">
        <f>Harvest!H59</f>
        <v>2452.4824628091601</v>
      </c>
      <c r="J61" s="119">
        <f>CPUE!H59</f>
        <v>11.149999999999993</v>
      </c>
      <c r="K61" s="88" t="str">
        <f>Effort!J59</f>
        <v>CLOSED</v>
      </c>
      <c r="L61" s="89" t="str">
        <f>Harvest!J59</f>
        <v>CLOSED</v>
      </c>
      <c r="M61" s="90" t="str">
        <f>CPUE!J59</f>
        <v>CLOSED</v>
      </c>
      <c r="N61" s="117">
        <f>Effort!L59</f>
        <v>186.21634086783899</v>
      </c>
      <c r="O61" s="118">
        <f>Harvest!L59</f>
        <v>658.91935999389295</v>
      </c>
      <c r="P61" s="119">
        <f>CPUE!L59</f>
        <v>3.5384615384615445</v>
      </c>
      <c r="Q61" s="40" t="s">
        <v>10</v>
      </c>
      <c r="R61" s="41" t="s">
        <v>10</v>
      </c>
      <c r="S61" s="43" t="s">
        <v>10</v>
      </c>
      <c r="T61" s="40">
        <f t="shared" si="7"/>
        <v>498.68283073595831</v>
      </c>
      <c r="U61" s="41">
        <f t="shared" si="7"/>
        <v>3962.3166750372934</v>
      </c>
      <c r="V61" s="41"/>
    </row>
    <row r="62" spans="1:24" x14ac:dyDescent="0.25">
      <c r="A62" s="38">
        <v>45673</v>
      </c>
      <c r="B62" s="39" t="s">
        <v>22</v>
      </c>
      <c r="C62" s="12">
        <v>0.8354166666666667</v>
      </c>
      <c r="D62" s="4">
        <v>-0.16</v>
      </c>
      <c r="E62" s="88">
        <f>Effort!F60</f>
        <v>121.08223544104104</v>
      </c>
      <c r="F62" s="89">
        <f>Harvest!F60</f>
        <v>484.32894176416414</v>
      </c>
      <c r="G62" s="90">
        <f>+CPUE!F60</f>
        <v>4</v>
      </c>
      <c r="H62" s="88">
        <f>Effort!H60</f>
        <v>107.42311850019772</v>
      </c>
      <c r="I62" s="89">
        <f>Harvest!H60</f>
        <v>429.69247400079087</v>
      </c>
      <c r="J62" s="90">
        <f>CPUE!H60</f>
        <v>4</v>
      </c>
      <c r="K62" s="117">
        <f>Effort!J60</f>
        <v>152.96280303788799</v>
      </c>
      <c r="L62" s="118">
        <f>Harvest!J60</f>
        <v>638.844647981766</v>
      </c>
      <c r="M62" s="119">
        <f>CPUE!J60</f>
        <v>4.1764705882352846</v>
      </c>
      <c r="N62" s="88" t="str">
        <f>Effort!L60</f>
        <v>CLOSED</v>
      </c>
      <c r="O62" s="89" t="str">
        <f>Harvest!L60</f>
        <v>CLOSED</v>
      </c>
      <c r="P62" s="90" t="str">
        <f>CPUE!L60</f>
        <v>CLOSED</v>
      </c>
      <c r="Q62" s="40" t="s">
        <v>10</v>
      </c>
      <c r="R62" s="41" t="s">
        <v>10</v>
      </c>
      <c r="S62" s="43" t="s">
        <v>10</v>
      </c>
      <c r="T62" s="40">
        <f>SUM(E62,H62,K62,N62)</f>
        <v>381.46815697912677</v>
      </c>
      <c r="U62" s="41">
        <f t="shared" si="7"/>
        <v>1552.866063746721</v>
      </c>
      <c r="V62" s="41"/>
    </row>
    <row r="63" spans="1:24" x14ac:dyDescent="0.25">
      <c r="A63" s="136" t="s">
        <v>50</v>
      </c>
      <c r="B63" s="136"/>
      <c r="C63" s="136"/>
      <c r="D63" s="137"/>
      <c r="E63" s="46">
        <f>SUM(E56:E62)</f>
        <v>8042.0263490656152</v>
      </c>
      <c r="F63" s="47">
        <f>SUM(F56:F62)</f>
        <v>102535.33178503113</v>
      </c>
      <c r="G63" s="48">
        <f>+F63/E63</f>
        <v>12.74993730864168</v>
      </c>
      <c r="H63" s="46">
        <f>SUM(H56:H62)</f>
        <v>7866.2728009086059</v>
      </c>
      <c r="I63" s="47">
        <f>SUM(I56:I62)</f>
        <v>95979.637541447344</v>
      </c>
      <c r="J63" s="48">
        <f>+I63/H63</f>
        <v>12.201412278806433</v>
      </c>
      <c r="K63" s="46">
        <f>SUM(K56:K62)</f>
        <v>4215.8658251088282</v>
      </c>
      <c r="L63" s="47">
        <f>SUM(L56:L62)</f>
        <v>54041.077590416258</v>
      </c>
      <c r="M63" s="48">
        <f>+L63/K63</f>
        <v>12.818500358469365</v>
      </c>
      <c r="N63" s="46">
        <f>SUM(N56:N62)</f>
        <v>4649.6323358807094</v>
      </c>
      <c r="O63" s="47">
        <f>SUM(O56:O62)</f>
        <v>53808.22773540565</v>
      </c>
      <c r="P63" s="48">
        <f>+O63/N63</f>
        <v>11.572576893913393</v>
      </c>
      <c r="Q63" s="46"/>
      <c r="R63" s="47"/>
      <c r="S63" s="48"/>
      <c r="T63" s="46">
        <f>SUM(T56:T62)</f>
        <v>24773.797310963761</v>
      </c>
      <c r="U63" s="47">
        <f>SUM(U56:U62)</f>
        <v>306364.27465230046</v>
      </c>
      <c r="V63" s="61"/>
      <c r="W63" s="19">
        <f>SUM(H63,K63,N63,Q63,E63)</f>
        <v>24773.797310963757</v>
      </c>
      <c r="X63" s="19">
        <f>SUM(R63,O63,L63,I63,F63)</f>
        <v>306364.2746523004</v>
      </c>
    </row>
    <row r="64" spans="1:24" x14ac:dyDescent="0.25">
      <c r="A64" s="38">
        <v>45683</v>
      </c>
      <c r="B64" s="39" t="s">
        <v>20</v>
      </c>
      <c r="C64" s="12">
        <v>0.69027777777777777</v>
      </c>
      <c r="D64" s="4">
        <v>7.0000000000000007E-2</v>
      </c>
      <c r="E64" s="88">
        <f>Effort!F62</f>
        <v>1742.5633539791411</v>
      </c>
      <c r="F64" s="89">
        <f>Harvest!F62</f>
        <v>24395.886955707974</v>
      </c>
      <c r="G64" s="90">
        <f>+CPUE!F62</f>
        <v>14</v>
      </c>
      <c r="H64" s="117">
        <f>Effort!H62</f>
        <v>2096.57018316427</v>
      </c>
      <c r="I64" s="118">
        <f>Harvest!H62</f>
        <v>31396.1384928849</v>
      </c>
      <c r="J64" s="119">
        <f>CPUE!H62</f>
        <v>14.97499999999998</v>
      </c>
      <c r="K64" s="88" t="str">
        <f>Effort!J62</f>
        <v>CLOSED</v>
      </c>
      <c r="L64" s="89" t="str">
        <f>Harvest!J62</f>
        <v>CLOSED</v>
      </c>
      <c r="M64" s="90" t="str">
        <f>CPUE!J62</f>
        <v>CLOSED</v>
      </c>
      <c r="N64" s="117">
        <f>Effort!L62</f>
        <v>1468.53730707412</v>
      </c>
      <c r="O64" s="118">
        <f>Harvest!L62</f>
        <v>21468.616822464599</v>
      </c>
      <c r="P64" s="119">
        <f>CPUE!L62</f>
        <v>14.619047619047675</v>
      </c>
      <c r="Q64" s="40" t="s">
        <v>10</v>
      </c>
      <c r="R64" s="41" t="s">
        <v>10</v>
      </c>
      <c r="S64" s="43" t="s">
        <v>10</v>
      </c>
      <c r="T64" s="40">
        <f>SUM(E64,H64,K64,N64)</f>
        <v>5307.6708442175313</v>
      </c>
      <c r="U64" s="41">
        <f>SUM(F64,I64,L64,O64)</f>
        <v>77260.64227105747</v>
      </c>
      <c r="V64" s="41"/>
    </row>
    <row r="65" spans="1:24" x14ac:dyDescent="0.25">
      <c r="A65" s="38">
        <v>45684</v>
      </c>
      <c r="B65" s="39" t="s">
        <v>21</v>
      </c>
      <c r="C65" s="12">
        <v>0.71875</v>
      </c>
      <c r="D65" s="4">
        <v>-0.44</v>
      </c>
      <c r="E65" s="117">
        <f>Effort!F63</f>
        <v>1065.568555355673</v>
      </c>
      <c r="F65" s="118">
        <f>Harvest!F63</f>
        <v>15983.528330335095</v>
      </c>
      <c r="G65" s="119">
        <f>+CPUE!F63</f>
        <v>15</v>
      </c>
      <c r="H65" s="88">
        <f>Effort!H63</f>
        <v>1282.0419161086477</v>
      </c>
      <c r="I65" s="89">
        <f>Harvest!H63</f>
        <v>17948.586825521066</v>
      </c>
      <c r="J65" s="90">
        <f>CPUE!H63</f>
        <v>14</v>
      </c>
      <c r="K65" s="88" t="str">
        <f>Effort!J63</f>
        <v>CLOSED</v>
      </c>
      <c r="L65" s="89" t="str">
        <f>Harvest!J63</f>
        <v>CLOSED</v>
      </c>
      <c r="M65" s="90" t="str">
        <f>CPUE!J63</f>
        <v>CLOSED</v>
      </c>
      <c r="N65" s="117">
        <f>Effort!L63</f>
        <v>898.00303283757205</v>
      </c>
      <c r="O65" s="118">
        <f>Harvest!L63</f>
        <v>11702.102021664599</v>
      </c>
      <c r="P65" s="119">
        <f>CPUE!L63</f>
        <v>13.031249999999988</v>
      </c>
      <c r="Q65" s="40" t="s">
        <v>10</v>
      </c>
      <c r="R65" s="41" t="s">
        <v>10</v>
      </c>
      <c r="S65" s="43" t="s">
        <v>10</v>
      </c>
      <c r="T65" s="40">
        <f t="shared" ref="T65:U70" si="8">SUM(E65,H65,K65,N65)</f>
        <v>3245.6135043018926</v>
      </c>
      <c r="U65" s="41">
        <f t="shared" si="8"/>
        <v>45634.217177520761</v>
      </c>
      <c r="V65" s="41"/>
    </row>
    <row r="66" spans="1:24" x14ac:dyDescent="0.25">
      <c r="A66" s="38">
        <v>45685</v>
      </c>
      <c r="B66" s="39" t="s">
        <v>61</v>
      </c>
      <c r="C66" s="12">
        <v>0.74583333333333324</v>
      </c>
      <c r="D66" s="4">
        <v>-0.82</v>
      </c>
      <c r="E66" s="88">
        <f>Effort!F64</f>
        <v>1778.8139128287196</v>
      </c>
      <c r="F66" s="89">
        <f>Harvest!F64</f>
        <v>24903.394779602073</v>
      </c>
      <c r="G66" s="90">
        <f>+CPUE!F64</f>
        <v>14</v>
      </c>
      <c r="H66" s="88">
        <f>Effort!H64</f>
        <v>878.35495379860515</v>
      </c>
      <c r="I66" s="89">
        <f>Harvest!H64</f>
        <v>12296.969353180471</v>
      </c>
      <c r="J66" s="90">
        <f>CPUE!H64</f>
        <v>14</v>
      </c>
      <c r="K66" s="117">
        <f>Effort!J64</f>
        <v>1139.4029253117301</v>
      </c>
      <c r="L66" s="118">
        <f>Harvest!J64</f>
        <v>17091.043879675901</v>
      </c>
      <c r="M66" s="119">
        <f>CPUE!J64</f>
        <v>14.999999999999956</v>
      </c>
      <c r="N66" s="88" t="str">
        <f>Effort!L64</f>
        <v>CLOSED</v>
      </c>
      <c r="O66" s="89" t="str">
        <f>Harvest!L64</f>
        <v>CLOSED</v>
      </c>
      <c r="P66" s="90" t="str">
        <f>CPUE!L64</f>
        <v>CLOSED</v>
      </c>
      <c r="Q66" s="40" t="s">
        <v>10</v>
      </c>
      <c r="R66" s="41" t="s">
        <v>10</v>
      </c>
      <c r="S66" s="43" t="s">
        <v>10</v>
      </c>
      <c r="T66" s="40">
        <f t="shared" si="8"/>
        <v>3796.5717919390549</v>
      </c>
      <c r="U66" s="41">
        <f t="shared" si="8"/>
        <v>54291.408012458443</v>
      </c>
      <c r="V66" s="41"/>
    </row>
    <row r="67" spans="1:24" x14ac:dyDescent="0.25">
      <c r="A67" s="38">
        <v>45686</v>
      </c>
      <c r="B67" s="39" t="s">
        <v>62</v>
      </c>
      <c r="C67" s="12">
        <v>0.7715277777777777</v>
      </c>
      <c r="D67" s="4">
        <v>-1.01</v>
      </c>
      <c r="E67" s="117">
        <f>Effort!F65</f>
        <v>1429.9794815538849</v>
      </c>
      <c r="F67" s="118">
        <f>Harvest!F65</f>
        <v>21449.692223308302</v>
      </c>
      <c r="G67" s="119">
        <f>+CPUE!F65</f>
        <v>15.000000000000021</v>
      </c>
      <c r="H67" s="117">
        <f>Effort!H65</f>
        <v>706.10509193502003</v>
      </c>
      <c r="I67" s="118">
        <f>Harvest!H65</f>
        <v>10419.355624894801</v>
      </c>
      <c r="J67" s="119">
        <f>CPUE!H65</f>
        <v>14.756097560975601</v>
      </c>
      <c r="K67" s="117">
        <f>Effort!J65</f>
        <v>915.96023207804399</v>
      </c>
      <c r="L67" s="118">
        <f>Harvest!J65</f>
        <v>11805.7096578948</v>
      </c>
      <c r="M67" s="119">
        <f>CPUE!J65</f>
        <v>12.888888888888902</v>
      </c>
      <c r="N67" s="88" t="str">
        <f>Effort!L65</f>
        <v>CLOSED</v>
      </c>
      <c r="O67" s="89" t="str">
        <f>Harvest!L65</f>
        <v>CLOSED</v>
      </c>
      <c r="P67" s="90" t="str">
        <f>CPUE!L65</f>
        <v>CLOSED</v>
      </c>
      <c r="Q67" s="40" t="s">
        <v>10</v>
      </c>
      <c r="R67" s="41" t="s">
        <v>10</v>
      </c>
      <c r="S67" s="43" t="s">
        <v>10</v>
      </c>
      <c r="T67" s="40">
        <f t="shared" si="8"/>
        <v>3052.044805566949</v>
      </c>
      <c r="U67" s="41">
        <f t="shared" si="8"/>
        <v>43674.7575060979</v>
      </c>
      <c r="V67" s="41"/>
    </row>
    <row r="68" spans="1:24" x14ac:dyDescent="0.25">
      <c r="A68" s="38">
        <v>45687</v>
      </c>
      <c r="B68" s="39" t="s">
        <v>22</v>
      </c>
      <c r="C68" s="12">
        <v>0.79652777777777783</v>
      </c>
      <c r="D68" s="4">
        <v>-0.97</v>
      </c>
      <c r="E68" s="88">
        <f>Effort!F66</f>
        <v>187.5776260061179</v>
      </c>
      <c r="F68" s="89">
        <f>Harvest!F66</f>
        <v>2719.8755770887096</v>
      </c>
      <c r="G68" s="90">
        <f>+CPUE!F66</f>
        <v>14.5</v>
      </c>
      <c r="H68" s="88">
        <f>Effort!H66</f>
        <v>225.68456797575524</v>
      </c>
      <c r="I68" s="89">
        <f>Harvest!H66</f>
        <v>2821.0570996969404</v>
      </c>
      <c r="J68" s="90">
        <f>CPUE!H66</f>
        <v>12.5</v>
      </c>
      <c r="K68" s="88" t="str">
        <f>Effort!J66</f>
        <v>CLOSED</v>
      </c>
      <c r="L68" s="89" t="str">
        <f>Harvest!J66</f>
        <v>CLOSED</v>
      </c>
      <c r="M68" s="90" t="str">
        <f>CPUE!J66</f>
        <v>CLOSED</v>
      </c>
      <c r="N68" s="117">
        <f>Effort!L66</f>
        <v>158.08018751993001</v>
      </c>
      <c r="O68" s="118">
        <f>Harvest!L66</f>
        <v>829.92098447963303</v>
      </c>
      <c r="P68" s="119">
        <f>CPUE!L66</f>
        <v>5.2500000000000036</v>
      </c>
      <c r="Q68" s="40" t="s">
        <v>10</v>
      </c>
      <c r="R68" s="41" t="s">
        <v>10</v>
      </c>
      <c r="S68" s="43" t="s">
        <v>10</v>
      </c>
      <c r="T68" s="40">
        <f t="shared" si="8"/>
        <v>571.34238150180317</v>
      </c>
      <c r="U68" s="41">
        <f t="shared" si="8"/>
        <v>6370.8536612652833</v>
      </c>
      <c r="V68" s="41"/>
    </row>
    <row r="69" spans="1:24" x14ac:dyDescent="0.25">
      <c r="A69" s="38">
        <v>45688</v>
      </c>
      <c r="B69" s="39" t="s">
        <v>18</v>
      </c>
      <c r="C69" s="12">
        <v>0.8222222222222223</v>
      </c>
      <c r="D69" s="4">
        <v>-0.66</v>
      </c>
      <c r="E69" s="117">
        <f>Effort!F67</f>
        <v>183.25673838000685</v>
      </c>
      <c r="F69" s="118">
        <f>Harvest!F67</f>
        <v>2657.2227065100992</v>
      </c>
      <c r="G69" s="119">
        <f>+CPUE!F67</f>
        <v>14.5</v>
      </c>
      <c r="H69" s="88">
        <f>Effort!H67</f>
        <v>587.18599854487661</v>
      </c>
      <c r="I69" s="89">
        <f>Harvest!H67</f>
        <v>4403.8949890865742</v>
      </c>
      <c r="J69" s="90">
        <f>CPUE!H67</f>
        <v>7.5</v>
      </c>
      <c r="K69" s="88" t="str">
        <f>Effort!J67</f>
        <v>CLOSED</v>
      </c>
      <c r="L69" s="89" t="str">
        <f>Harvest!J67</f>
        <v>CLOSED</v>
      </c>
      <c r="M69" s="90" t="str">
        <f>CPUE!J67</f>
        <v>CLOSED</v>
      </c>
      <c r="N69" s="117">
        <f>Effort!L67</f>
        <v>411.29295454983497</v>
      </c>
      <c r="O69" s="118">
        <f>Harvest!L67</f>
        <v>974.11489235487397</v>
      </c>
      <c r="P69" s="119">
        <f>CPUE!L67</f>
        <v>2.3684210526315832</v>
      </c>
      <c r="Q69" s="40" t="s">
        <v>10</v>
      </c>
      <c r="R69" s="41" t="s">
        <v>10</v>
      </c>
      <c r="S69" s="43" t="s">
        <v>10</v>
      </c>
      <c r="T69" s="40">
        <f t="shared" si="8"/>
        <v>1181.7356914747184</v>
      </c>
      <c r="U69" s="41">
        <f t="shared" si="8"/>
        <v>8035.2325879515465</v>
      </c>
      <c r="V69" s="41"/>
    </row>
    <row r="70" spans="1:24" x14ac:dyDescent="0.25">
      <c r="A70" s="38">
        <v>45689</v>
      </c>
      <c r="B70" s="39" t="s">
        <v>19</v>
      </c>
      <c r="C70" s="12">
        <v>0.84791666666666676</v>
      </c>
      <c r="D70" s="4">
        <v>-0.09</v>
      </c>
      <c r="E70" s="88">
        <f>Effort!F68</f>
        <v>449.95200234767839</v>
      </c>
      <c r="F70" s="89">
        <f>Harvest!F68</f>
        <v>5399.4240281721404</v>
      </c>
      <c r="G70" s="90">
        <f>+CPUE!F68</f>
        <v>12</v>
      </c>
      <c r="H70" s="117">
        <f>Effort!H68</f>
        <v>222.18039075554501</v>
      </c>
      <c r="I70" s="118">
        <f>Harvest!H68</f>
        <v>1599.6988134399201</v>
      </c>
      <c r="J70" s="119">
        <f>CPUE!H68</f>
        <v>7.1999999999999824</v>
      </c>
      <c r="K70" s="117">
        <f>Effort!J68</f>
        <v>472.58195416503202</v>
      </c>
      <c r="L70" s="118">
        <f>Harvest!J68</f>
        <v>382.56634384788299</v>
      </c>
      <c r="M70" s="119">
        <f>CPUE!J68</f>
        <v>0.80952380952380942</v>
      </c>
      <c r="N70" s="88" t="str">
        <f>Effort!L68</f>
        <v>CLOSED</v>
      </c>
      <c r="O70" s="89" t="str">
        <f>Harvest!L68</f>
        <v>CLOSED</v>
      </c>
      <c r="P70" s="90" t="str">
        <f>CPUE!L68</f>
        <v>CLOSED</v>
      </c>
      <c r="Q70" s="40" t="s">
        <v>10</v>
      </c>
      <c r="R70" s="41" t="s">
        <v>10</v>
      </c>
      <c r="S70" s="43" t="s">
        <v>10</v>
      </c>
      <c r="T70" s="40">
        <f>SUM(E70,H70,K70,N70)</f>
        <v>1144.7143472682556</v>
      </c>
      <c r="U70" s="41">
        <f t="shared" si="8"/>
        <v>7381.6891854599435</v>
      </c>
      <c r="V70" s="41"/>
    </row>
    <row r="71" spans="1:24" x14ac:dyDescent="0.25">
      <c r="A71" s="136" t="s">
        <v>50</v>
      </c>
      <c r="B71" s="136"/>
      <c r="C71" s="136"/>
      <c r="D71" s="137"/>
      <c r="E71" s="46">
        <f>SUM(E64:E70)</f>
        <v>6837.7116704512209</v>
      </c>
      <c r="F71" s="47">
        <f>SUM(F64:F70)</f>
        <v>97509.024600724399</v>
      </c>
      <c r="G71" s="48">
        <f>+F71/E71</f>
        <v>14.260476209037018</v>
      </c>
      <c r="H71" s="46">
        <f>SUM(H64:H70)</f>
        <v>5998.1231022827196</v>
      </c>
      <c r="I71" s="47">
        <f>SUM(I64:I70)</f>
        <v>80885.701198704672</v>
      </c>
      <c r="J71" s="48">
        <f>+I71/H71</f>
        <v>13.485168580138312</v>
      </c>
      <c r="K71" s="46">
        <f>SUM(K64:K70)</f>
        <v>2527.9451115548063</v>
      </c>
      <c r="L71" s="47">
        <f>SUM(L64:L70)</f>
        <v>29279.319881418585</v>
      </c>
      <c r="M71" s="48">
        <f>+L71/K71</f>
        <v>11.582260923145761</v>
      </c>
      <c r="N71" s="46">
        <f>SUM(N64:N70)</f>
        <v>2935.9134819814572</v>
      </c>
      <c r="O71" s="47">
        <f>SUM(O64:O70)</f>
        <v>34974.754720963705</v>
      </c>
      <c r="P71" s="48">
        <f>+O71/N71</f>
        <v>11.912733442457961</v>
      </c>
      <c r="Q71" s="46"/>
      <c r="R71" s="47"/>
      <c r="S71" s="48"/>
      <c r="T71" s="46">
        <f>SUM(T64:T70)</f>
        <v>18299.693366270207</v>
      </c>
      <c r="U71" s="47">
        <f>SUM(U64:U70)</f>
        <v>242648.80040181137</v>
      </c>
      <c r="V71" s="61"/>
      <c r="W71" s="19">
        <f>SUM(H71,K71,N71,Q71,E71)</f>
        <v>18299.693366270207</v>
      </c>
      <c r="X71" s="19">
        <f>SUM(R71,O71,L71,I71,F71)</f>
        <v>242648.80040181137</v>
      </c>
    </row>
    <row r="72" spans="1:24" x14ac:dyDescent="0.25">
      <c r="A72" s="38">
        <v>45696</v>
      </c>
      <c r="B72" s="39" t="s">
        <v>19</v>
      </c>
      <c r="C72" s="12">
        <v>0.65</v>
      </c>
      <c r="D72" s="4">
        <v>0.05</v>
      </c>
      <c r="E72" s="88">
        <f>Effort!F70</f>
        <v>1408.0854761438943</v>
      </c>
      <c r="F72" s="89">
        <f>Harvest!F70</f>
        <v>21121.282142158416</v>
      </c>
      <c r="G72" s="90">
        <f>+CPUE!F70</f>
        <v>15</v>
      </c>
      <c r="H72" s="117">
        <f>Effort!H70</f>
        <v>1739.2333866361901</v>
      </c>
      <c r="I72" s="118">
        <f>Harvest!H70</f>
        <v>26088.5007995429</v>
      </c>
      <c r="J72" s="119">
        <f>CPUE!H70</f>
        <v>15.000000000000028</v>
      </c>
      <c r="K72" s="88" t="str">
        <f>Effort!J70</f>
        <v>CLOSED</v>
      </c>
      <c r="L72" s="89" t="str">
        <f>Harvest!J70</f>
        <v>CLOSED</v>
      </c>
      <c r="M72" s="90" t="str">
        <f>CPUE!J70</f>
        <v>CLOSED</v>
      </c>
      <c r="N72" s="117">
        <f>Effort!L70</f>
        <v>1552.90234356928</v>
      </c>
      <c r="O72" s="118">
        <f>Harvest!L70</f>
        <v>21956.313691021202</v>
      </c>
      <c r="P72" s="119">
        <f>CPUE!L70</f>
        <v>14.138888888888884</v>
      </c>
      <c r="Q72" s="40" t="s">
        <v>10</v>
      </c>
      <c r="R72" s="41" t="s">
        <v>10</v>
      </c>
      <c r="S72" s="43" t="s">
        <v>10</v>
      </c>
      <c r="T72" s="40">
        <f>SUM(E72,H72,K72,N72)</f>
        <v>4700.2212063493644</v>
      </c>
      <c r="U72" s="41">
        <f>SUM(F72,I72,L72,O72)</f>
        <v>69166.096632722518</v>
      </c>
      <c r="V72" s="41"/>
    </row>
    <row r="73" spans="1:24" x14ac:dyDescent="0.25">
      <c r="A73" s="38">
        <v>45697</v>
      </c>
      <c r="B73" s="39" t="s">
        <v>20</v>
      </c>
      <c r="C73" s="12">
        <v>0.68680555555555556</v>
      </c>
      <c r="D73" s="4">
        <v>-0.27</v>
      </c>
      <c r="E73" s="88">
        <f>Effort!F71</f>
        <v>1013.1366263182578</v>
      </c>
      <c r="F73" s="89">
        <f>Harvest!F71</f>
        <v>15197.049394773867</v>
      </c>
      <c r="G73" s="90">
        <f>+CPUE!F71</f>
        <v>15</v>
      </c>
      <c r="H73" s="88">
        <f>Effort!H71</f>
        <v>1188.9391191671898</v>
      </c>
      <c r="I73" s="89">
        <f>Harvest!H71</f>
        <v>17834.086787507847</v>
      </c>
      <c r="J73" s="90">
        <f>CPUE!H71</f>
        <v>15</v>
      </c>
      <c r="K73" s="117">
        <f>Effort!J71</f>
        <v>1220.3282448243201</v>
      </c>
      <c r="L73" s="118">
        <f>Harvest!J71</f>
        <v>18182.890847882401</v>
      </c>
      <c r="M73" s="119">
        <f>CPUE!J71</f>
        <v>14.900000000000025</v>
      </c>
      <c r="N73" s="88" t="str">
        <f>Effort!L71</f>
        <v>CLOSED</v>
      </c>
      <c r="O73" s="89" t="str">
        <f>Harvest!L71</f>
        <v>CLOSED</v>
      </c>
      <c r="P73" s="90" t="str">
        <f>CPUE!L71</f>
        <v>CLOSED</v>
      </c>
      <c r="Q73" s="40" t="s">
        <v>10</v>
      </c>
      <c r="R73" s="41" t="s">
        <v>10</v>
      </c>
      <c r="S73" s="43" t="s">
        <v>10</v>
      </c>
      <c r="T73" s="40">
        <f t="shared" ref="T73:U78" si="9">SUM(E73,H73,K73,N73)</f>
        <v>3422.4039903097673</v>
      </c>
      <c r="U73" s="41">
        <f t="shared" si="9"/>
        <v>51214.027030164114</v>
      </c>
      <c r="V73" s="41"/>
    </row>
    <row r="74" spans="1:24" x14ac:dyDescent="0.25">
      <c r="A74" s="38">
        <v>45698</v>
      </c>
      <c r="B74" s="39" t="s">
        <v>21</v>
      </c>
      <c r="C74" s="12">
        <v>0.71875</v>
      </c>
      <c r="D74" s="4">
        <v>-0.46</v>
      </c>
      <c r="E74" s="117">
        <f>Effort!F72</f>
        <v>778.68207667154434</v>
      </c>
      <c r="F74" s="118">
        <f>Harvest!F72</f>
        <v>11446.626527071701</v>
      </c>
      <c r="G74" s="119">
        <f>+CPUE!F72</f>
        <v>14.7</v>
      </c>
      <c r="H74" s="88">
        <f>Effort!H72</f>
        <v>913.80131593260535</v>
      </c>
      <c r="I74" s="89">
        <f>Harvest!H72</f>
        <v>13707.01973898908</v>
      </c>
      <c r="J74" s="90">
        <f>CPUE!H72</f>
        <v>15</v>
      </c>
      <c r="K74" s="117">
        <f>Effort!J72</f>
        <v>937.92654141223397</v>
      </c>
      <c r="L74" s="118">
        <f>Harvest!J72</f>
        <v>14068.8981211835</v>
      </c>
      <c r="M74" s="119">
        <f>CPUE!J72</f>
        <v>14.999999999999989</v>
      </c>
      <c r="N74" s="88" t="str">
        <f>Effort!L72</f>
        <v>CLOSED</v>
      </c>
      <c r="O74" s="89" t="str">
        <f>Harvest!L72</f>
        <v>CLOSED</v>
      </c>
      <c r="P74" s="90" t="str">
        <f>CPUE!L72</f>
        <v>CLOSED</v>
      </c>
      <c r="Q74" s="40" t="s">
        <v>10</v>
      </c>
      <c r="R74" s="41" t="s">
        <v>10</v>
      </c>
      <c r="S74" s="43" t="s">
        <v>10</v>
      </c>
      <c r="T74" s="40">
        <f t="shared" si="9"/>
        <v>2630.4099340163839</v>
      </c>
      <c r="U74" s="41">
        <f t="shared" si="9"/>
        <v>39222.544387244277</v>
      </c>
      <c r="V74" s="41"/>
    </row>
    <row r="75" spans="1:24" x14ac:dyDescent="0.25">
      <c r="A75" s="38">
        <v>45699</v>
      </c>
      <c r="B75" s="39" t="s">
        <v>61</v>
      </c>
      <c r="C75" s="12">
        <v>0.74583333333333324</v>
      </c>
      <c r="D75" s="4">
        <v>-0.5</v>
      </c>
      <c r="E75" s="117">
        <f>Effort!F73</f>
        <v>460.09227832686469</v>
      </c>
      <c r="F75" s="118">
        <f>Harvest!F73</f>
        <v>6901.3841749029707</v>
      </c>
      <c r="G75" s="119">
        <f>+CPUE!F73</f>
        <v>15</v>
      </c>
      <c r="H75" s="117">
        <f>Effort!H73</f>
        <v>568.29494015590501</v>
      </c>
      <c r="I75" s="118">
        <f>Harvest!H73</f>
        <v>8524.4241023385694</v>
      </c>
      <c r="J75" s="119">
        <f>CPUE!H73</f>
        <v>14.999999999999989</v>
      </c>
      <c r="K75" s="88" t="str">
        <f>Effort!J73</f>
        <v>CLOSED</v>
      </c>
      <c r="L75" s="89" t="str">
        <f>Harvest!J73</f>
        <v>CLOSED</v>
      </c>
      <c r="M75" s="90" t="str">
        <f>CPUE!J73</f>
        <v>CLOSED</v>
      </c>
      <c r="N75" s="117">
        <f>Effort!L73</f>
        <v>303.05796651040498</v>
      </c>
      <c r="O75" s="118">
        <f>Harvest!L73</f>
        <v>4322.5636275957804</v>
      </c>
      <c r="P75" s="119">
        <f>CPUE!L73</f>
        <v>14.263157894736855</v>
      </c>
      <c r="Q75" s="40" t="s">
        <v>10</v>
      </c>
      <c r="R75" s="41" t="s">
        <v>10</v>
      </c>
      <c r="S75" s="43" t="s">
        <v>10</v>
      </c>
      <c r="T75" s="40">
        <f t="shared" si="9"/>
        <v>1331.4451849931747</v>
      </c>
      <c r="U75" s="41">
        <f t="shared" si="9"/>
        <v>19748.37190483732</v>
      </c>
      <c r="V75" s="41"/>
    </row>
    <row r="76" spans="1:24" x14ac:dyDescent="0.25">
      <c r="A76" s="38">
        <v>45700</v>
      </c>
      <c r="B76" s="39" t="s">
        <v>62</v>
      </c>
      <c r="C76" s="12">
        <v>0.77013888888888893</v>
      </c>
      <c r="D76" s="4">
        <v>-0.37</v>
      </c>
      <c r="E76" s="88">
        <f>Effort!F74</f>
        <v>413.59031445313178</v>
      </c>
      <c r="F76" s="89">
        <f>Harvest!F74</f>
        <v>5790.2644023438452</v>
      </c>
      <c r="G76" s="90">
        <f>+CPUE!F74</f>
        <v>14</v>
      </c>
      <c r="H76" s="88">
        <f>Effort!H74</f>
        <v>305.1158988503916</v>
      </c>
      <c r="I76" s="89">
        <f>Harvest!H74</f>
        <v>4271.6225839054823</v>
      </c>
      <c r="J76" s="90">
        <f>CPUE!H74</f>
        <v>14</v>
      </c>
      <c r="K76" s="88" t="str">
        <f>Effort!J74</f>
        <v>CLOSED</v>
      </c>
      <c r="L76" s="89" t="str">
        <f>Harvest!J74</f>
        <v>CLOSED</v>
      </c>
      <c r="M76" s="90" t="str">
        <f>CPUE!J74</f>
        <v>CLOSED</v>
      </c>
      <c r="N76" s="117">
        <f>Effort!L74</f>
        <v>272.42760978813499</v>
      </c>
      <c r="O76" s="118">
        <f>Harvest!L74</f>
        <v>3846.0368440677898</v>
      </c>
      <c r="P76" s="119">
        <f>CPUE!L74</f>
        <v>14.117647058823536</v>
      </c>
      <c r="Q76" s="40" t="s">
        <v>10</v>
      </c>
      <c r="R76" s="41" t="s">
        <v>10</v>
      </c>
      <c r="S76" s="43" t="s">
        <v>10</v>
      </c>
      <c r="T76" s="40">
        <f t="shared" si="9"/>
        <v>991.13382309165831</v>
      </c>
      <c r="U76" s="41">
        <f t="shared" si="9"/>
        <v>13907.923830317117</v>
      </c>
      <c r="V76" s="41"/>
    </row>
    <row r="77" spans="1:24" x14ac:dyDescent="0.25">
      <c r="A77" s="38">
        <v>45701</v>
      </c>
      <c r="B77" s="39" t="s">
        <v>22</v>
      </c>
      <c r="C77" s="12">
        <v>0.79236111111111107</v>
      </c>
      <c r="D77" s="4">
        <v>-0.08</v>
      </c>
      <c r="E77" s="88">
        <f>Effort!F75</f>
        <v>68.992292140569546</v>
      </c>
      <c r="F77" s="89">
        <f>Harvest!F75</f>
        <v>448.44989891370204</v>
      </c>
      <c r="G77" s="90">
        <f>+CPUE!F75</f>
        <v>6.5</v>
      </c>
      <c r="H77" s="117">
        <f>Effort!H75</f>
        <v>80.964040699054493</v>
      </c>
      <c r="I77" s="118">
        <f>Harvest!H75</f>
        <v>520.48311877963602</v>
      </c>
      <c r="J77" s="119">
        <f>CPUE!H75</f>
        <v>6.4285714285714288</v>
      </c>
      <c r="K77" s="117">
        <f>Effort!J75</f>
        <v>83.101568522171107</v>
      </c>
      <c r="L77" s="118">
        <f>Harvest!J75</f>
        <v>488.22171506775499</v>
      </c>
      <c r="M77" s="119">
        <f>CPUE!J75</f>
        <v>5.8749999999999964</v>
      </c>
      <c r="N77" s="88" t="str">
        <f>Effort!L75</f>
        <v>CLOSED</v>
      </c>
      <c r="O77" s="89" t="str">
        <f>Harvest!L75</f>
        <v>CLOSED</v>
      </c>
      <c r="P77" s="90" t="str">
        <f>CPUE!L75</f>
        <v>CLOSED</v>
      </c>
      <c r="Q77" s="40" t="s">
        <v>10</v>
      </c>
      <c r="R77" s="41" t="s">
        <v>10</v>
      </c>
      <c r="S77" s="43" t="s">
        <v>10</v>
      </c>
      <c r="T77" s="40">
        <f t="shared" si="9"/>
        <v>233.05790136179516</v>
      </c>
      <c r="U77" s="41">
        <f t="shared" si="9"/>
        <v>1457.1547327610931</v>
      </c>
      <c r="V77" s="41"/>
    </row>
    <row r="78" spans="1:24" x14ac:dyDescent="0.25">
      <c r="A78" s="38">
        <v>45702</v>
      </c>
      <c r="B78" s="39" t="s">
        <v>18</v>
      </c>
      <c r="C78" s="12">
        <v>0.81388888888888899</v>
      </c>
      <c r="D78" s="4">
        <v>0.36</v>
      </c>
      <c r="E78" s="88">
        <f>Effort!F76</f>
        <v>310.60441199574979</v>
      </c>
      <c r="F78" s="89">
        <f>Harvest!F76</f>
        <v>1242.4176479829991</v>
      </c>
      <c r="G78" s="90">
        <f>+CPUE!F76</f>
        <v>4</v>
      </c>
      <c r="H78" s="88">
        <f>Effort!H76</f>
        <v>364.50141709876777</v>
      </c>
      <c r="I78" s="89">
        <f>Harvest!H76</f>
        <v>1458.0056683950711</v>
      </c>
      <c r="J78" s="90">
        <f>CPUE!H76</f>
        <v>4</v>
      </c>
      <c r="K78" s="117">
        <f>Effort!J76</f>
        <v>374.12460183469398</v>
      </c>
      <c r="L78" s="118">
        <f>Harvest!J76</f>
        <v>1402.9672568801</v>
      </c>
      <c r="M78" s="119">
        <f>CPUE!J76</f>
        <v>3.7499999999999933</v>
      </c>
      <c r="N78" s="88" t="str">
        <f>Effort!L76</f>
        <v>CLOSED</v>
      </c>
      <c r="O78" s="89" t="str">
        <f>Harvest!L76</f>
        <v>CLOSED</v>
      </c>
      <c r="P78" s="90" t="str">
        <f>CPUE!L76</f>
        <v>CLOSED</v>
      </c>
      <c r="Q78" s="40" t="s">
        <v>10</v>
      </c>
      <c r="R78" s="41" t="s">
        <v>10</v>
      </c>
      <c r="S78" s="43" t="s">
        <v>10</v>
      </c>
      <c r="T78" s="40">
        <f>SUM(E78,H78,K78,N78)</f>
        <v>1049.2304309292115</v>
      </c>
      <c r="U78" s="41">
        <f t="shared" si="9"/>
        <v>4103.3905732581698</v>
      </c>
      <c r="V78" s="41"/>
    </row>
    <row r="79" spans="1:24" x14ac:dyDescent="0.25">
      <c r="A79" s="136" t="s">
        <v>50</v>
      </c>
      <c r="B79" s="136"/>
      <c r="C79" s="136"/>
      <c r="D79" s="137"/>
      <c r="E79" s="46">
        <f>SUM(E72:E78)</f>
        <v>4453.1834760500124</v>
      </c>
      <c r="F79" s="47">
        <f>SUM(F72:F78)</f>
        <v>62147.474188147491</v>
      </c>
      <c r="G79" s="48">
        <f>+F79/E79</f>
        <v>13.955740768909997</v>
      </c>
      <c r="H79" s="46">
        <f>SUM(H72:H78)</f>
        <v>5160.8501185401046</v>
      </c>
      <c r="I79" s="47">
        <f>SUM(I72:I78)</f>
        <v>72404.142799458583</v>
      </c>
      <c r="J79" s="48">
        <f>+I79/H79</f>
        <v>14.029499236831196</v>
      </c>
      <c r="K79" s="46">
        <f>SUM(K72:K78)</f>
        <v>2615.4809565934193</v>
      </c>
      <c r="L79" s="47">
        <f>SUM(L72:L78)</f>
        <v>34142.977941013756</v>
      </c>
      <c r="M79" s="48">
        <f>+L79/K79</f>
        <v>13.054187167733732</v>
      </c>
      <c r="N79" s="46">
        <f>SUM(N72:N78)</f>
        <v>2128.3879198678196</v>
      </c>
      <c r="O79" s="47">
        <f>SUM(O72:O78)</f>
        <v>30124.91416268477</v>
      </c>
      <c r="P79" s="48">
        <f>+O79/N79</f>
        <v>14.153864472485651</v>
      </c>
      <c r="Q79" s="46"/>
      <c r="R79" s="47"/>
      <c r="S79" s="48"/>
      <c r="T79" s="46">
        <f>SUM(T72:T78)</f>
        <v>14357.902471051357</v>
      </c>
      <c r="U79" s="47">
        <f>SUM(U72:U78)</f>
        <v>198819.50909130462</v>
      </c>
      <c r="V79" s="61"/>
      <c r="W79" s="19">
        <f>SUM(H79,K79,N79,Q79,E79)</f>
        <v>14357.902471051355</v>
      </c>
      <c r="X79" s="19">
        <f>SUM(R79,O79,L79,I79,F79)</f>
        <v>198819.50909130459</v>
      </c>
    </row>
    <row r="80" spans="1:24" x14ac:dyDescent="0.25">
      <c r="A80" s="38">
        <v>45712</v>
      </c>
      <c r="B80" s="39" t="s">
        <v>21</v>
      </c>
      <c r="C80" s="12">
        <v>0.6694444444444444</v>
      </c>
      <c r="D80" s="4">
        <v>0.21</v>
      </c>
      <c r="E80" s="88">
        <f>Effort!F78</f>
        <v>149.43161865343805</v>
      </c>
      <c r="F80" s="89">
        <f>Harvest!F78</f>
        <v>747.15809326719022</v>
      </c>
      <c r="G80" s="90">
        <f>+CPUE!F78</f>
        <v>5</v>
      </c>
      <c r="H80" s="88">
        <f>Effort!H78</f>
        <v>272.44494004003707</v>
      </c>
      <c r="I80" s="89">
        <f>Harvest!H78</f>
        <v>1362.2247002001855</v>
      </c>
      <c r="J80" s="90">
        <f>CPUE!H78</f>
        <v>5</v>
      </c>
      <c r="K80" s="88" t="str">
        <f>Effort!J78</f>
        <v>CLOSED</v>
      </c>
      <c r="L80" s="89" t="str">
        <f>Harvest!J78</f>
        <v>CLOSED</v>
      </c>
      <c r="M80" s="90" t="str">
        <f>CPUE!J78</f>
        <v>CLOSED</v>
      </c>
      <c r="N80" s="117">
        <f>Effort!L78</f>
        <v>149.703332854537</v>
      </c>
      <c r="O80" s="118">
        <f>Harvest!L78</f>
        <v>764.27490983632299</v>
      </c>
      <c r="P80" s="119">
        <f>CPUE!L78</f>
        <v>5.105263157894754</v>
      </c>
      <c r="Q80" s="40" t="s">
        <v>10</v>
      </c>
      <c r="R80" s="41" t="s">
        <v>10</v>
      </c>
      <c r="S80" s="43" t="s">
        <v>10</v>
      </c>
      <c r="T80" s="40">
        <f t="shared" ref="T80:U85" si="10">SUM(E80,H80,K80,N80)</f>
        <v>571.57989154801203</v>
      </c>
      <c r="U80" s="41">
        <f t="shared" si="10"/>
        <v>2873.6577033036983</v>
      </c>
      <c r="V80" s="41"/>
    </row>
    <row r="81" spans="1:24" x14ac:dyDescent="0.25">
      <c r="A81" s="38">
        <v>45713</v>
      </c>
      <c r="B81" s="39" t="s">
        <v>61</v>
      </c>
      <c r="C81" s="12">
        <v>0.69861111111111107</v>
      </c>
      <c r="D81" s="4">
        <v>-0.3</v>
      </c>
      <c r="E81" s="88">
        <f>Effort!F79</f>
        <v>375.6118394216648</v>
      </c>
      <c r="F81" s="89">
        <f>Harvest!F79</f>
        <v>4695.1479927708097</v>
      </c>
      <c r="G81" s="90">
        <f>+CPUE!F79</f>
        <v>12.5</v>
      </c>
      <c r="H81" s="88">
        <f>Effort!H79</f>
        <v>309.14696400702923</v>
      </c>
      <c r="I81" s="89">
        <f>Harvest!H79</f>
        <v>3864.3370500878655</v>
      </c>
      <c r="J81" s="90">
        <f>CPUE!H79</f>
        <v>12.5</v>
      </c>
      <c r="K81" s="117">
        <f>Effort!J79</f>
        <v>495.07005501401301</v>
      </c>
      <c r="L81" s="118">
        <f>Harvest!J79</f>
        <v>6105.8640118394896</v>
      </c>
      <c r="M81" s="119">
        <f>CPUE!J79</f>
        <v>12.333333333333325</v>
      </c>
      <c r="N81" s="88" t="str">
        <f>Effort!L79</f>
        <v>CLOSED</v>
      </c>
      <c r="O81" s="89" t="str">
        <f>Harvest!L79</f>
        <v>CLOSED</v>
      </c>
      <c r="P81" s="90" t="str">
        <f>CPUE!L79</f>
        <v>CLOSED</v>
      </c>
      <c r="Q81" s="40" t="s">
        <v>10</v>
      </c>
      <c r="R81" s="41" t="s">
        <v>10</v>
      </c>
      <c r="S81" s="43" t="s">
        <v>10</v>
      </c>
      <c r="T81" s="40">
        <f t="shared" si="10"/>
        <v>1179.8288584427071</v>
      </c>
      <c r="U81" s="41">
        <f t="shared" si="10"/>
        <v>14665.349054698167</v>
      </c>
      <c r="V81" s="41"/>
    </row>
    <row r="82" spans="1:24" x14ac:dyDescent="0.25">
      <c r="A82" s="38">
        <v>45714</v>
      </c>
      <c r="B82" s="39" t="s">
        <v>62</v>
      </c>
      <c r="C82" s="12">
        <v>0.72569444444444453</v>
      </c>
      <c r="D82" s="4">
        <v>-0.63</v>
      </c>
      <c r="E82" s="117">
        <f>Effort!F80</f>
        <v>1038.3664269273049</v>
      </c>
      <c r="F82" s="118">
        <f>Harvest!F80</f>
        <v>15575.49640390957</v>
      </c>
      <c r="G82" s="119">
        <f>+CPUE!F80</f>
        <v>14.999999999999996</v>
      </c>
      <c r="H82" s="117">
        <f>Effort!H80</f>
        <v>854.62649128862301</v>
      </c>
      <c r="I82" s="118">
        <f>Harvest!H80</f>
        <v>12586.3174171597</v>
      </c>
      <c r="J82" s="119">
        <f>CPUE!H80</f>
        <v>14.727272727272704</v>
      </c>
      <c r="K82" s="117">
        <f>Effort!J80</f>
        <v>1368.60468747502</v>
      </c>
      <c r="L82" s="118">
        <f>Harvest!J80</f>
        <v>20529.070312125299</v>
      </c>
      <c r="M82" s="119">
        <f>CPUE!J80</f>
        <v>15</v>
      </c>
      <c r="N82" s="88" t="str">
        <f>Effort!L80</f>
        <v>CLOSED</v>
      </c>
      <c r="O82" s="89" t="str">
        <f>Harvest!L80</f>
        <v>CLOSED</v>
      </c>
      <c r="P82" s="90" t="str">
        <f>CPUE!L80</f>
        <v>CLOSED</v>
      </c>
      <c r="Q82" s="40" t="s">
        <v>10</v>
      </c>
      <c r="R82" s="41" t="s">
        <v>10</v>
      </c>
      <c r="S82" s="43" t="s">
        <v>10</v>
      </c>
      <c r="T82" s="40">
        <f t="shared" si="10"/>
        <v>3261.5976056909481</v>
      </c>
      <c r="U82" s="41">
        <f t="shared" si="10"/>
        <v>48690.884133194573</v>
      </c>
      <c r="V82" s="41"/>
    </row>
    <row r="83" spans="1:24" x14ac:dyDescent="0.25">
      <c r="A83" s="38">
        <v>45715</v>
      </c>
      <c r="B83" s="39" t="s">
        <v>22</v>
      </c>
      <c r="C83" s="12">
        <v>0.75208333333333333</v>
      </c>
      <c r="D83" s="4">
        <v>-0.73</v>
      </c>
      <c r="E83" s="117">
        <f>Effort!F81</f>
        <v>903.28993313800447</v>
      </c>
      <c r="F83" s="118">
        <f>Harvest!F81</f>
        <v>13188.033023814865</v>
      </c>
      <c r="G83" s="119">
        <f>+CPUE!F81</f>
        <v>14.6</v>
      </c>
      <c r="H83" s="117">
        <f>Effort!H81</f>
        <v>1564.3157182237901</v>
      </c>
      <c r="I83" s="118">
        <f>Harvest!H81</f>
        <v>23204.0164869863</v>
      </c>
      <c r="J83" s="119">
        <f>CPUE!H81</f>
        <v>14.833333333333385</v>
      </c>
      <c r="K83" s="88" t="str">
        <f>Effort!J81</f>
        <v>CLOSED</v>
      </c>
      <c r="L83" s="89" t="str">
        <f>Harvest!J81</f>
        <v>CLOSED</v>
      </c>
      <c r="M83" s="90" t="str">
        <f>CPUE!J81</f>
        <v>CLOSED</v>
      </c>
      <c r="N83" s="117">
        <f>Effort!L81</f>
        <v>859.56184989314102</v>
      </c>
      <c r="O83" s="118">
        <f>Harvest!L81</f>
        <v>8897.6267164614401</v>
      </c>
      <c r="P83" s="119">
        <f>CPUE!L81</f>
        <v>10.35135135135136</v>
      </c>
      <c r="Q83" s="40" t="s">
        <v>10</v>
      </c>
      <c r="R83" s="41" t="s">
        <v>10</v>
      </c>
      <c r="S83" s="43" t="s">
        <v>10</v>
      </c>
      <c r="T83" s="40">
        <f t="shared" si="10"/>
        <v>3327.1675012549358</v>
      </c>
      <c r="U83" s="41">
        <f t="shared" si="10"/>
        <v>45289.676227262607</v>
      </c>
      <c r="V83" s="41"/>
    </row>
    <row r="84" spans="1:24" x14ac:dyDescent="0.25">
      <c r="A84" s="38">
        <v>45716</v>
      </c>
      <c r="B84" s="39" t="s">
        <v>18</v>
      </c>
      <c r="C84" s="12">
        <v>0.77708333333333324</v>
      </c>
      <c r="D84" s="4">
        <v>-0.55000000000000004</v>
      </c>
      <c r="E84" s="117">
        <f>Effort!F82</f>
        <v>1351.4942321099861</v>
      </c>
      <c r="F84" s="118">
        <f>Harvest!F82</f>
        <v>18650.620403117809</v>
      </c>
      <c r="G84" s="119">
        <f>+CPUE!F82</f>
        <v>13.8</v>
      </c>
      <c r="H84" s="88">
        <f>Effort!H82</f>
        <v>1112.3460308735803</v>
      </c>
      <c r="I84" s="89">
        <f>Harvest!H82</f>
        <v>15572.844432230124</v>
      </c>
      <c r="J84" s="90">
        <f>CPUE!H82</f>
        <v>14</v>
      </c>
      <c r="K84" s="88" t="str">
        <f>Effort!J82</f>
        <v>CLOSED</v>
      </c>
      <c r="L84" s="89" t="str">
        <f>Harvest!J82</f>
        <v>CLOSED</v>
      </c>
      <c r="M84" s="90" t="str">
        <f>CPUE!J82</f>
        <v>CLOSED</v>
      </c>
      <c r="N84" s="117">
        <f>Effort!L82</f>
        <v>1353.95167839128</v>
      </c>
      <c r="O84" s="118">
        <f>Harvest!L82</f>
        <v>17157.1064246145</v>
      </c>
      <c r="P84" s="119">
        <f>CPUE!L82</f>
        <v>12.671874999999998</v>
      </c>
      <c r="Q84" s="40" t="s">
        <v>10</v>
      </c>
      <c r="R84" s="41" t="s">
        <v>10</v>
      </c>
      <c r="S84" s="43" t="s">
        <v>10</v>
      </c>
      <c r="T84" s="40">
        <f t="shared" si="10"/>
        <v>3817.7919413748464</v>
      </c>
      <c r="U84" s="41">
        <f t="shared" si="10"/>
        <v>51380.571259962438</v>
      </c>
      <c r="V84" s="41"/>
    </row>
    <row r="85" spans="1:24" x14ac:dyDescent="0.25">
      <c r="A85" s="38">
        <v>45717</v>
      </c>
      <c r="B85" s="39" t="s">
        <v>19</v>
      </c>
      <c r="C85" s="12">
        <v>0.80208333333333337</v>
      </c>
      <c r="D85" s="4">
        <v>-0.1</v>
      </c>
      <c r="E85" s="88">
        <f>Effort!F83</f>
        <v>1456.8370543950675</v>
      </c>
      <c r="F85" s="89">
        <f>Harvest!F83</f>
        <v>5827.3482175802701</v>
      </c>
      <c r="G85" s="90">
        <f>+CPUE!F83</f>
        <v>4</v>
      </c>
      <c r="H85" s="117">
        <f>Effort!H83</f>
        <v>1199.04833967063</v>
      </c>
      <c r="I85" s="118">
        <f>Harvest!H83</f>
        <v>5739.7068062921799</v>
      </c>
      <c r="J85" s="119">
        <f>CPUE!H83</f>
        <v>4.786885245901626</v>
      </c>
      <c r="K85" s="117">
        <f>Effort!J83</f>
        <v>2149.0592731465699</v>
      </c>
      <c r="L85" s="118">
        <f>Harvest!J83</f>
        <v>3420.9514960292299</v>
      </c>
      <c r="M85" s="119">
        <f>CPUE!J83</f>
        <v>1.5918367346938758</v>
      </c>
      <c r="N85" s="88" t="str">
        <f>Effort!L83</f>
        <v>CLOSED</v>
      </c>
      <c r="O85" s="89" t="str">
        <f>Harvest!L83</f>
        <v>CLOSED</v>
      </c>
      <c r="P85" s="90" t="str">
        <f>CPUE!L83</f>
        <v>CLOSED</v>
      </c>
      <c r="Q85" s="40" t="s">
        <v>10</v>
      </c>
      <c r="R85" s="41" t="s">
        <v>10</v>
      </c>
      <c r="S85" s="43" t="s">
        <v>10</v>
      </c>
      <c r="T85" s="40">
        <f>SUM(E85,H85,K85,N85)</f>
        <v>4804.9446672122667</v>
      </c>
      <c r="U85" s="41">
        <f t="shared" si="10"/>
        <v>14988.006519901679</v>
      </c>
      <c r="V85" s="41"/>
    </row>
    <row r="86" spans="1:24" x14ac:dyDescent="0.25">
      <c r="A86" s="136" t="s">
        <v>50</v>
      </c>
      <c r="B86" s="136"/>
      <c r="C86" s="136"/>
      <c r="D86" s="137"/>
      <c r="E86" s="46">
        <f>SUM(E80:E85)</f>
        <v>5275.0311046454663</v>
      </c>
      <c r="F86" s="47">
        <f>SUM(F80:F85)</f>
        <v>58683.804134460523</v>
      </c>
      <c r="G86" s="48">
        <f>+F86/E86</f>
        <v>11.124826180224893</v>
      </c>
      <c r="H86" s="46">
        <f>SUM(H80:H85)</f>
        <v>5311.9284841036897</v>
      </c>
      <c r="I86" s="47">
        <f>SUM(I80:I85)</f>
        <v>62329.446892956352</v>
      </c>
      <c r="J86" s="48">
        <f>+I86/H86</f>
        <v>11.733864090881776</v>
      </c>
      <c r="K86" s="46">
        <f>SUM(K80:K85)</f>
        <v>4012.7340156356031</v>
      </c>
      <c r="L86" s="47">
        <f>SUM(L80:L85)</f>
        <v>30055.885819994019</v>
      </c>
      <c r="M86" s="48">
        <f>+L86/K86</f>
        <v>7.4901266076648421</v>
      </c>
      <c r="N86" s="46">
        <f>SUM(N80:N85)</f>
        <v>2363.2168611389579</v>
      </c>
      <c r="O86" s="47">
        <f>SUM(O80:O85)</f>
        <v>26819.008050912264</v>
      </c>
      <c r="P86" s="48">
        <f>+O86/N86</f>
        <v>11.348517561772464</v>
      </c>
      <c r="Q86" s="46"/>
      <c r="R86" s="47"/>
      <c r="S86" s="48"/>
      <c r="T86" s="46">
        <f>SUM(T80:T85)</f>
        <v>16962.910465523717</v>
      </c>
      <c r="U86" s="47">
        <f>SUM(U80:U85)</f>
        <v>177888.14489832317</v>
      </c>
      <c r="V86" s="61"/>
      <c r="W86" s="19">
        <f>SUM(H86,K86,N86,Q86,E86)</f>
        <v>16962.910465523717</v>
      </c>
      <c r="X86" s="19">
        <f>SUM(R86,O86,L86,I86,F86)</f>
        <v>177888.14489832314</v>
      </c>
    </row>
    <row r="87" spans="1:24" x14ac:dyDescent="0.25">
      <c r="A87" s="38">
        <v>45724</v>
      </c>
      <c r="B87" s="39" t="s">
        <v>19</v>
      </c>
      <c r="C87" s="12">
        <v>0.59236111111111112</v>
      </c>
      <c r="D87" s="4">
        <v>0.59</v>
      </c>
      <c r="E87" s="88">
        <f>Effort!F85</f>
        <v>1257.396888570878</v>
      </c>
      <c r="F87" s="89">
        <f>Harvest!F85</f>
        <v>10059.175108567024</v>
      </c>
      <c r="G87" s="90">
        <f>+CPUE!F85</f>
        <v>8</v>
      </c>
      <c r="H87" s="117">
        <f>Effort!H85</f>
        <v>1587.8642907890301</v>
      </c>
      <c r="I87" s="118">
        <f>Harvest!H85</f>
        <v>13095.950041854099</v>
      </c>
      <c r="J87" s="119">
        <f>CPUE!H85</f>
        <v>8.2475247524752593</v>
      </c>
      <c r="K87" s="88" t="str">
        <f>Effort!J85</f>
        <v>CLOSED</v>
      </c>
      <c r="L87" s="89" t="str">
        <f>Harvest!J85</f>
        <v>CLOSED</v>
      </c>
      <c r="M87" s="90" t="str">
        <f>CPUE!J85</f>
        <v>CLOSED</v>
      </c>
      <c r="N87" s="117">
        <f>Effort!L85</f>
        <v>1520.71993082688</v>
      </c>
      <c r="O87" s="118">
        <f>Harvest!L85</f>
        <v>4360.8880369300196</v>
      </c>
      <c r="P87" s="119">
        <f>CPUE!L85</f>
        <v>2.8676470588235268</v>
      </c>
      <c r="Q87" s="40" t="s">
        <v>10</v>
      </c>
      <c r="R87" s="41" t="s">
        <v>10</v>
      </c>
      <c r="S87" s="43" t="s">
        <v>10</v>
      </c>
      <c r="T87" s="40">
        <f>SUM(E87,H87,K87,N87)</f>
        <v>4365.9811101867881</v>
      </c>
      <c r="U87" s="41">
        <f>SUM(F87,I87,L87,O87)</f>
        <v>27516.013187351145</v>
      </c>
      <c r="V87" s="41"/>
    </row>
    <row r="88" spans="1:24" x14ac:dyDescent="0.25">
      <c r="A88" s="38">
        <v>45725</v>
      </c>
      <c r="B88" s="39" t="s">
        <v>20</v>
      </c>
      <c r="C88" s="12">
        <v>0.6791666666666667</v>
      </c>
      <c r="D88" s="4">
        <v>0.41</v>
      </c>
      <c r="E88" s="117">
        <f>Effort!F86</f>
        <v>439.43661484638267</v>
      </c>
      <c r="F88" s="118">
        <f>Harvest!F86</f>
        <v>2197.1830742319135</v>
      </c>
      <c r="G88" s="119">
        <f>+CPUE!F86</f>
        <v>5</v>
      </c>
      <c r="H88" s="117">
        <f>Effort!H86</f>
        <v>646.66769309195399</v>
      </c>
      <c r="I88" s="118">
        <f>Harvest!H86</f>
        <v>8437.47370986645</v>
      </c>
      <c r="J88" s="119">
        <f>CPUE!H86</f>
        <v>13.047619047619051</v>
      </c>
      <c r="K88" s="117">
        <f>Effort!J86</f>
        <v>772.35342030302002</v>
      </c>
      <c r="L88" s="118">
        <f>Harvest!J86</f>
        <v>7105.65146678779</v>
      </c>
      <c r="M88" s="119">
        <f>CPUE!J86</f>
        <v>9.2000000000000082</v>
      </c>
      <c r="N88" s="88" t="str">
        <f>Effort!L86</f>
        <v>CLOSED</v>
      </c>
      <c r="O88" s="89" t="str">
        <f>Harvest!L86</f>
        <v>CLOSED</v>
      </c>
      <c r="P88" s="90" t="str">
        <f>CPUE!L86</f>
        <v>CLOSED</v>
      </c>
      <c r="Q88" s="40" t="s">
        <v>10</v>
      </c>
      <c r="R88" s="41" t="s">
        <v>10</v>
      </c>
      <c r="S88" s="43" t="s">
        <v>10</v>
      </c>
      <c r="T88" s="40">
        <f t="shared" ref="T88:U93" si="11">SUM(E88,H88,K88,N88)</f>
        <v>1858.4577282413566</v>
      </c>
      <c r="U88" s="41">
        <f t="shared" si="11"/>
        <v>17740.308250886152</v>
      </c>
      <c r="V88" s="41"/>
    </row>
    <row r="89" spans="1:24" x14ac:dyDescent="0.25">
      <c r="A89" s="38">
        <v>45726</v>
      </c>
      <c r="B89" s="39" t="s">
        <v>21</v>
      </c>
      <c r="C89" s="12">
        <v>0.71527777777777779</v>
      </c>
      <c r="D89" s="4">
        <v>0.22</v>
      </c>
      <c r="E89" s="88">
        <f>Effort!F87</f>
        <v>506.81530672848743</v>
      </c>
      <c r="F89" s="89">
        <f>Harvest!F87</f>
        <v>6081.7836807418489</v>
      </c>
      <c r="G89" s="90">
        <f>+CPUE!F87</f>
        <v>12</v>
      </c>
      <c r="H89" s="88">
        <f>Effort!H87</f>
        <v>745.8210675966842</v>
      </c>
      <c r="I89" s="89">
        <f>Harvest!H87</f>
        <v>8949.85281116021</v>
      </c>
      <c r="J89" s="90">
        <f>CPUE!H87</f>
        <v>12</v>
      </c>
      <c r="K89" s="117">
        <f>Effort!J87</f>
        <v>890.77815181720905</v>
      </c>
      <c r="L89" s="118">
        <f>Harvest!J87</f>
        <v>10792.119916247</v>
      </c>
      <c r="M89" s="119">
        <f>CPUE!J87</f>
        <v>12.115384615384665</v>
      </c>
      <c r="N89" s="88" t="str">
        <f>Effort!L87</f>
        <v>CLOSED</v>
      </c>
      <c r="O89" s="89" t="str">
        <f>Harvest!L87</f>
        <v>CLOSED</v>
      </c>
      <c r="P89" s="90" t="str">
        <f>CPUE!L87</f>
        <v>CLOSED</v>
      </c>
      <c r="Q89" s="40" t="s">
        <v>10</v>
      </c>
      <c r="R89" s="41" t="s">
        <v>10</v>
      </c>
      <c r="S89" s="43" t="s">
        <v>10</v>
      </c>
      <c r="T89" s="40">
        <f t="shared" si="11"/>
        <v>2143.4145261423805</v>
      </c>
      <c r="U89" s="41">
        <f t="shared" si="11"/>
        <v>25823.75640814906</v>
      </c>
      <c r="V89" s="41"/>
    </row>
    <row r="90" spans="1:24" x14ac:dyDescent="0.25">
      <c r="A90" s="38">
        <v>45727</v>
      </c>
      <c r="B90" s="39" t="s">
        <v>61</v>
      </c>
      <c r="C90" s="12">
        <v>0.74444444444444446</v>
      </c>
      <c r="D90" s="4">
        <v>0.14000000000000001</v>
      </c>
      <c r="E90" s="117">
        <f>Effort!F88</f>
        <v>245.25078631568221</v>
      </c>
      <c r="F90" s="118">
        <f>Harvest!F88</f>
        <v>3482.5611656826873</v>
      </c>
      <c r="G90" s="119">
        <f>+CPUE!F88</f>
        <v>14.2</v>
      </c>
      <c r="H90" s="117">
        <f>Effort!H88</f>
        <v>415.24458095342902</v>
      </c>
      <c r="I90" s="118">
        <f>Harvest!H88</f>
        <v>6102.8370231034196</v>
      </c>
      <c r="J90" s="119">
        <f>CPUE!H88</f>
        <v>14.696969696969679</v>
      </c>
      <c r="K90" s="88" t="str">
        <f>Effort!J88</f>
        <v>CLOSED</v>
      </c>
      <c r="L90" s="89" t="str">
        <f>Harvest!J88</f>
        <v>CLOSED</v>
      </c>
      <c r="M90" s="90" t="str">
        <f>CPUE!J88</f>
        <v>CLOSED</v>
      </c>
      <c r="N90" s="117">
        <f>Effort!L88</f>
        <v>296.61100817985601</v>
      </c>
      <c r="O90" s="118">
        <f>Harvest!L88</f>
        <v>4061.92297312969</v>
      </c>
      <c r="P90" s="119">
        <f>CPUE!L88</f>
        <v>13.694444444444429</v>
      </c>
      <c r="Q90" s="40" t="s">
        <v>10</v>
      </c>
      <c r="R90" s="41" t="s">
        <v>10</v>
      </c>
      <c r="S90" s="43" t="s">
        <v>10</v>
      </c>
      <c r="T90" s="40">
        <f t="shared" si="11"/>
        <v>957.10637544896736</v>
      </c>
      <c r="U90" s="41">
        <f t="shared" si="11"/>
        <v>13647.321161915796</v>
      </c>
      <c r="V90" s="41"/>
    </row>
    <row r="91" spans="1:24" x14ac:dyDescent="0.25">
      <c r="A91" s="38">
        <v>45728</v>
      </c>
      <c r="B91" s="39" t="s">
        <v>62</v>
      </c>
      <c r="C91" s="12">
        <v>0.76944444444444438</v>
      </c>
      <c r="D91" s="4">
        <v>0.18</v>
      </c>
      <c r="E91" s="88">
        <f>Effort!F89</f>
        <v>153.8279451889606</v>
      </c>
      <c r="F91" s="89">
        <f>Harvest!F89</f>
        <v>1538.279451889606</v>
      </c>
      <c r="G91" s="90">
        <f>+CPUE!F89</f>
        <v>10</v>
      </c>
      <c r="H91" s="88">
        <f>Effort!H89</f>
        <v>194.25680412540177</v>
      </c>
      <c r="I91" s="89">
        <f>Harvest!H89</f>
        <v>1942.5680412540178</v>
      </c>
      <c r="J91" s="90">
        <f>CPUE!H89</f>
        <v>10</v>
      </c>
      <c r="K91" s="88" t="str">
        <f>Effort!J89</f>
        <v>CLOSED</v>
      </c>
      <c r="L91" s="89" t="str">
        <f>Harvest!J89</f>
        <v>CLOSED</v>
      </c>
      <c r="M91" s="90" t="str">
        <f>CPUE!J89</f>
        <v>CLOSED</v>
      </c>
      <c r="N91" s="117">
        <f>Effort!L89</f>
        <v>186.042469401109</v>
      </c>
      <c r="O91" s="118">
        <f>Harvest!L89</f>
        <v>1720.8928419602601</v>
      </c>
      <c r="P91" s="119">
        <f>CPUE!L89</f>
        <v>9.2500000000000089</v>
      </c>
      <c r="Q91" s="40" t="s">
        <v>10</v>
      </c>
      <c r="R91" s="41" t="s">
        <v>10</v>
      </c>
      <c r="S91" s="43" t="s">
        <v>10</v>
      </c>
      <c r="T91" s="40">
        <f t="shared" si="11"/>
        <v>534.12721871547137</v>
      </c>
      <c r="U91" s="41">
        <f t="shared" si="11"/>
        <v>5201.7403351038838</v>
      </c>
      <c r="V91" s="41"/>
    </row>
    <row r="92" spans="1:24" x14ac:dyDescent="0.25">
      <c r="A92" s="38">
        <v>45729</v>
      </c>
      <c r="B92" s="39" t="s">
        <v>22</v>
      </c>
      <c r="C92" s="12">
        <v>0.79166666666666663</v>
      </c>
      <c r="D92" s="4">
        <v>0.37</v>
      </c>
      <c r="E92" s="117">
        <f>Effort!F90</f>
        <v>290.27800006316511</v>
      </c>
      <c r="F92" s="118">
        <f>Harvest!F90</f>
        <v>1103.0564002400274</v>
      </c>
      <c r="G92" s="119">
        <f>+CPUE!F90</f>
        <v>3.8</v>
      </c>
      <c r="H92" s="117">
        <f>Effort!H90</f>
        <v>294.06291224327998</v>
      </c>
      <c r="I92" s="118">
        <f>Harvest!H90</f>
        <v>2777.2608378532</v>
      </c>
      <c r="J92" s="119">
        <f>CPUE!H90</f>
        <v>9.4444444444444446</v>
      </c>
      <c r="K92" s="117">
        <f>Effort!J90</f>
        <v>287.87175384566302</v>
      </c>
      <c r="L92" s="118">
        <f>Harvest!J90</f>
        <v>3166.5892923022898</v>
      </c>
      <c r="M92" s="119">
        <f>CPUE!J90</f>
        <v>10.999999999999988</v>
      </c>
      <c r="N92" s="88" t="str">
        <f>Effort!L90</f>
        <v>CLOSED</v>
      </c>
      <c r="O92" s="89" t="str">
        <f>Harvest!L90</f>
        <v>CLOSED</v>
      </c>
      <c r="P92" s="90" t="str">
        <f>CPUE!L90</f>
        <v>CLOSED</v>
      </c>
      <c r="Q92" s="40" t="s">
        <v>10</v>
      </c>
      <c r="R92" s="41" t="s">
        <v>10</v>
      </c>
      <c r="S92" s="43" t="s">
        <v>10</v>
      </c>
      <c r="T92" s="40">
        <f t="shared" si="11"/>
        <v>872.21266615210811</v>
      </c>
      <c r="U92" s="41">
        <f t="shared" si="11"/>
        <v>7046.9065303955176</v>
      </c>
      <c r="V92" s="41"/>
    </row>
    <row r="93" spans="1:24" x14ac:dyDescent="0.25">
      <c r="A93" s="38">
        <v>45730</v>
      </c>
      <c r="B93" s="39" t="s">
        <v>18</v>
      </c>
      <c r="C93" s="12">
        <v>0.8125</v>
      </c>
      <c r="D93" s="4">
        <v>0.69</v>
      </c>
      <c r="E93" s="88">
        <f>Effort!F91</f>
        <v>282.06725757988835</v>
      </c>
      <c r="F93" s="89">
        <f>Harvest!F91</f>
        <v>3102.7398333787719</v>
      </c>
      <c r="G93" s="90">
        <f>+CPUE!F91</f>
        <v>11</v>
      </c>
      <c r="H93" s="88">
        <f>Effort!H91</f>
        <v>415.08553587352918</v>
      </c>
      <c r="I93" s="89">
        <f>Harvest!H91</f>
        <v>4565.9408946088206</v>
      </c>
      <c r="J93" s="90">
        <f>CPUE!H91</f>
        <v>11</v>
      </c>
      <c r="K93" s="117">
        <f>Effort!J91</f>
        <v>495.76117188932301</v>
      </c>
      <c r="L93" s="118">
        <f>Harvest!J91</f>
        <v>5387.2714011973103</v>
      </c>
      <c r="M93" s="119">
        <f>CPUE!J91</f>
        <v>10.866666666666667</v>
      </c>
      <c r="N93" s="88" t="str">
        <f>Effort!L91</f>
        <v>CLOSED</v>
      </c>
      <c r="O93" s="89" t="str">
        <f>Harvest!L91</f>
        <v>CLOSED</v>
      </c>
      <c r="P93" s="90" t="str">
        <f>CPUE!L91</f>
        <v>CLOSED</v>
      </c>
      <c r="Q93" s="40" t="s">
        <v>10</v>
      </c>
      <c r="R93" s="41" t="s">
        <v>10</v>
      </c>
      <c r="S93" s="43" t="s">
        <v>10</v>
      </c>
      <c r="T93" s="40">
        <f>SUM(E93,H93,K93,N93)</f>
        <v>1192.9139653427405</v>
      </c>
      <c r="U93" s="41">
        <f t="shared" si="11"/>
        <v>13055.952129184901</v>
      </c>
      <c r="V93" s="41"/>
    </row>
    <row r="94" spans="1:24" x14ac:dyDescent="0.25">
      <c r="A94" s="136" t="s">
        <v>50</v>
      </c>
      <c r="B94" s="136"/>
      <c r="C94" s="136"/>
      <c r="D94" s="137"/>
      <c r="E94" s="46">
        <f>SUM(E87:E93)</f>
        <v>3175.0727992934444</v>
      </c>
      <c r="F94" s="47">
        <f>SUM(F87:F93)</f>
        <v>27564.778714731878</v>
      </c>
      <c r="G94" s="48">
        <f>+F94/E94</f>
        <v>8.6816210075138827</v>
      </c>
      <c r="H94" s="46">
        <f>SUM(H87:H93)</f>
        <v>4299.0028846733085</v>
      </c>
      <c r="I94" s="47">
        <f>SUM(I87:I93)</f>
        <v>45871.883359700216</v>
      </c>
      <c r="J94" s="48">
        <f>+I94/H94</f>
        <v>10.670354170554628</v>
      </c>
      <c r="K94" s="46">
        <f>SUM(K87:K93)</f>
        <v>2446.7644978552153</v>
      </c>
      <c r="L94" s="47">
        <f>SUM(L87:L93)</f>
        <v>26451.632076534392</v>
      </c>
      <c r="M94" s="48">
        <f>+L94/K94</f>
        <v>10.810861486555556</v>
      </c>
      <c r="N94" s="46">
        <f>SUM(N87:N93)</f>
        <v>2003.3734084078451</v>
      </c>
      <c r="O94" s="47">
        <f>SUM(O87:O93)</f>
        <v>10143.703852019969</v>
      </c>
      <c r="P94" s="48">
        <f>+O94/N94</f>
        <v>5.0633116170197878</v>
      </c>
      <c r="Q94" s="46"/>
      <c r="R94" s="47"/>
      <c r="S94" s="48"/>
      <c r="T94" s="46">
        <f>SUM(T87:T93)</f>
        <v>11924.213590229814</v>
      </c>
      <c r="U94" s="47">
        <f>SUM(U87:U93)</f>
        <v>110031.99800298645</v>
      </c>
      <c r="V94" s="61"/>
      <c r="W94" s="19">
        <f>SUM(H94,K94,N94,Q94,E94)</f>
        <v>11924.213590229814</v>
      </c>
      <c r="X94" s="19">
        <f>SUM(R94,O94,L94,I94,F94)</f>
        <v>110031.99800298645</v>
      </c>
    </row>
    <row r="95" spans="1:24" x14ac:dyDescent="0.25">
      <c r="A95" s="38">
        <v>45742</v>
      </c>
      <c r="B95" s="39" t="s">
        <v>62</v>
      </c>
      <c r="C95" s="12">
        <v>0.71388888888888891</v>
      </c>
      <c r="D95" s="4">
        <v>0.03</v>
      </c>
      <c r="E95" s="117">
        <f>Effort!F93</f>
        <v>457.68095621661388</v>
      </c>
      <c r="F95" s="118">
        <f>Harvest!F93</f>
        <v>4485.273370922816</v>
      </c>
      <c r="G95" s="119">
        <f>+CPUE!F93</f>
        <v>9.8000000000000007</v>
      </c>
      <c r="H95" s="88">
        <f>Effort!H93</f>
        <v>437.63692840642233</v>
      </c>
      <c r="I95" s="89">
        <f>Harvest!H93</f>
        <v>4376.3692840642234</v>
      </c>
      <c r="J95" s="90">
        <f>CPUE!H93</f>
        <v>10</v>
      </c>
      <c r="K95" s="88" t="str">
        <f>Effort!J93</f>
        <v>CLOSED</v>
      </c>
      <c r="L95" s="89" t="str">
        <f>Harvest!J93</f>
        <v>CLOSED</v>
      </c>
      <c r="M95" s="90" t="str">
        <f>CPUE!J93</f>
        <v>CLOSED</v>
      </c>
      <c r="N95" s="117">
        <f>Effort!L93</f>
        <v>410.77134014964503</v>
      </c>
      <c r="O95" s="118">
        <f>Harvest!L93</f>
        <v>2990.92882046461</v>
      </c>
      <c r="P95" s="119">
        <f>CPUE!L93</f>
        <v>7.2812500000000178</v>
      </c>
      <c r="Q95" s="40" t="s">
        <v>10</v>
      </c>
      <c r="R95" s="41" t="s">
        <v>10</v>
      </c>
      <c r="S95" s="43" t="s">
        <v>10</v>
      </c>
      <c r="T95" s="40">
        <f>SUM(E95,H95,K95,N95)</f>
        <v>1306.0892247726813</v>
      </c>
      <c r="U95" s="41">
        <f>SUM(F95,I95,L95,O95)</f>
        <v>11852.571475451648</v>
      </c>
      <c r="V95" s="41"/>
    </row>
    <row r="96" spans="1:24" x14ac:dyDescent="0.25">
      <c r="A96" s="38">
        <v>45743</v>
      </c>
      <c r="B96" s="39" t="s">
        <v>22</v>
      </c>
      <c r="C96" s="12">
        <v>0.74305555555555547</v>
      </c>
      <c r="D96" s="4">
        <v>-0.11</v>
      </c>
      <c r="E96" s="88">
        <f>Effort!F94</f>
        <v>340.56903000367237</v>
      </c>
      <c r="F96" s="89">
        <f>Harvest!F94</f>
        <v>4086.8283600440682</v>
      </c>
      <c r="G96" s="90">
        <f>+CPUE!F94</f>
        <v>12</v>
      </c>
      <c r="H96" s="88">
        <f>Effort!H94</f>
        <v>325.65389094017866</v>
      </c>
      <c r="I96" s="89">
        <f>Harvest!H94</f>
        <v>3907.8466912821441</v>
      </c>
      <c r="J96" s="90">
        <f>CPUE!H94</f>
        <v>12</v>
      </c>
      <c r="K96" s="88" t="str">
        <f>Effort!J94</f>
        <v>CLOSED</v>
      </c>
      <c r="L96" s="89" t="str">
        <f>Harvest!J94</f>
        <v>CLOSED</v>
      </c>
      <c r="M96" s="90" t="str">
        <f>CPUE!J94</f>
        <v>CLOSED</v>
      </c>
      <c r="N96" s="117">
        <f>Effort!L94</f>
        <v>346.29705494720997</v>
      </c>
      <c r="O96" s="118">
        <f>Harvest!L94</f>
        <v>4135.1942443696198</v>
      </c>
      <c r="P96" s="119">
        <f>CPUE!L94</f>
        <v>11.941176470588221</v>
      </c>
      <c r="Q96" s="40" t="s">
        <v>10</v>
      </c>
      <c r="R96" s="41" t="s">
        <v>10</v>
      </c>
      <c r="S96" s="43" t="s">
        <v>10</v>
      </c>
      <c r="T96" s="40">
        <f t="shared" ref="T96:U103" si="12">SUM(E96,H96,K96,N96)</f>
        <v>1012.519975891061</v>
      </c>
      <c r="U96" s="41">
        <f t="shared" si="12"/>
        <v>12129.869295695833</v>
      </c>
      <c r="V96" s="41"/>
    </row>
    <row r="97" spans="1:24" x14ac:dyDescent="0.25">
      <c r="A97" s="38">
        <v>45744</v>
      </c>
      <c r="B97" s="39" t="s">
        <v>18</v>
      </c>
      <c r="C97" s="12">
        <v>0.77013888888888893</v>
      </c>
      <c r="D97" s="4">
        <v>-0.02</v>
      </c>
      <c r="E97" s="117">
        <f>Effort!F95</f>
        <v>698.21190776146273</v>
      </c>
      <c r="F97" s="118">
        <f>Harvest!F95</f>
        <v>2513.5628679412657</v>
      </c>
      <c r="G97" s="119">
        <f>+CPUE!F95</f>
        <v>3.6</v>
      </c>
      <c r="H97" s="88">
        <f>Effort!H95</f>
        <v>789.94867110653684</v>
      </c>
      <c r="I97" s="89">
        <f>Harvest!H95</f>
        <v>8689.4353821719051</v>
      </c>
      <c r="J97" s="90">
        <f>CPUE!H95</f>
        <v>11</v>
      </c>
      <c r="K97" s="117">
        <f>Effort!J95</f>
        <v>980.98644712974703</v>
      </c>
      <c r="L97" s="118">
        <f>Harvest!J95</f>
        <v>10736.3516713644</v>
      </c>
      <c r="M97" s="119">
        <f>CPUE!J95</f>
        <v>10.94444444444439</v>
      </c>
      <c r="N97" s="88" t="str">
        <f>Effort!L95</f>
        <v>CLOSED</v>
      </c>
      <c r="O97" s="89" t="str">
        <f>Harvest!L95</f>
        <v>CLOSED</v>
      </c>
      <c r="P97" s="90" t="str">
        <f>CPUE!L95</f>
        <v>CLOSED</v>
      </c>
      <c r="Q97" s="40" t="s">
        <v>10</v>
      </c>
      <c r="R97" s="41" t="s">
        <v>10</v>
      </c>
      <c r="S97" s="43" t="s">
        <v>10</v>
      </c>
      <c r="T97" s="40">
        <f t="shared" si="12"/>
        <v>2469.1470259977464</v>
      </c>
      <c r="U97" s="41">
        <f t="shared" si="12"/>
        <v>21939.349921477573</v>
      </c>
      <c r="V97" s="41"/>
    </row>
    <row r="98" spans="1:24" x14ac:dyDescent="0.25">
      <c r="A98" s="38">
        <v>45745</v>
      </c>
      <c r="B98" s="39" t="s">
        <v>19</v>
      </c>
      <c r="C98" s="12">
        <v>0.2902777777777778</v>
      </c>
      <c r="D98" s="4">
        <v>-0.14000000000000001</v>
      </c>
      <c r="E98" s="88">
        <f>Effort!F96</f>
        <v>1908.2393159144221</v>
      </c>
      <c r="F98" s="89">
        <f>Harvest!F96</f>
        <v>20990.632475058643</v>
      </c>
      <c r="G98" s="90">
        <f>+CPUE!F96</f>
        <v>11</v>
      </c>
      <c r="H98" s="88">
        <f>Effort!H96</f>
        <v>1694.9772734015473</v>
      </c>
      <c r="I98" s="89">
        <f>Harvest!H96</f>
        <v>18644.75000741702</v>
      </c>
      <c r="J98" s="90">
        <f>CPUE!H96</f>
        <v>11</v>
      </c>
      <c r="K98" s="117">
        <f>Effort!J96</f>
        <v>2681.0727316207899</v>
      </c>
      <c r="L98" s="118">
        <f>Harvest!J96</f>
        <v>28321.8774013033</v>
      </c>
      <c r="M98" s="119">
        <f>CPUE!J96</f>
        <v>10.56363636363638</v>
      </c>
      <c r="N98" s="88" t="str">
        <f>Effort!L96</f>
        <v>CLOSED</v>
      </c>
      <c r="O98" s="89" t="str">
        <f>Harvest!L96</f>
        <v>CLOSED</v>
      </c>
      <c r="P98" s="90" t="str">
        <f>CPUE!L96</f>
        <v>CLOSED</v>
      </c>
      <c r="Q98" s="40" t="s">
        <v>10</v>
      </c>
      <c r="R98" s="41" t="s">
        <v>10</v>
      </c>
      <c r="S98" s="43" t="s">
        <v>10</v>
      </c>
      <c r="T98" s="40">
        <f t="shared" si="12"/>
        <v>6284.2893209367594</v>
      </c>
      <c r="U98" s="41">
        <f t="shared" si="12"/>
        <v>67957.259883778956</v>
      </c>
      <c r="V98" s="41"/>
    </row>
    <row r="99" spans="1:24" x14ac:dyDescent="0.25">
      <c r="A99" s="38">
        <v>45746</v>
      </c>
      <c r="B99" s="39" t="s">
        <v>20</v>
      </c>
      <c r="C99" s="12">
        <v>0.3215277777777778</v>
      </c>
      <c r="D99" s="4">
        <v>-0.84</v>
      </c>
      <c r="E99" s="117">
        <f>Effort!F97</f>
        <v>2266.7179292238111</v>
      </c>
      <c r="F99" s="118">
        <f>Harvest!F97</f>
        <v>33320.753559590019</v>
      </c>
      <c r="G99" s="119">
        <f>+CPUE!F97</f>
        <v>14.7</v>
      </c>
      <c r="H99" s="117">
        <f>Effort!H97</f>
        <v>2167.4475606535302</v>
      </c>
      <c r="I99" s="118">
        <f>Harvest!H97</f>
        <v>32199.1007808625</v>
      </c>
      <c r="J99" s="119">
        <f>CPUE!H97</f>
        <v>14.855769230769212</v>
      </c>
      <c r="K99" s="88" t="str">
        <f>Effort!J97</f>
        <v>CLOSED</v>
      </c>
      <c r="L99" s="89" t="str">
        <f>Harvest!J97</f>
        <v>CLOSED</v>
      </c>
      <c r="M99" s="90" t="str">
        <f>CPUE!J97</f>
        <v>CLOSED</v>
      </c>
      <c r="N99" s="117">
        <f>Effort!L97</f>
        <v>2734.8170265579001</v>
      </c>
      <c r="O99" s="118">
        <f>Harvest!L97</f>
        <v>38388.727891312803</v>
      </c>
      <c r="P99" s="119">
        <f>CPUE!L97</f>
        <v>14.037037037037058</v>
      </c>
      <c r="Q99" s="40" t="s">
        <v>10</v>
      </c>
      <c r="R99" s="41" t="s">
        <v>10</v>
      </c>
      <c r="S99" s="43" t="s">
        <v>10</v>
      </c>
      <c r="T99" s="40">
        <f t="shared" si="12"/>
        <v>7168.9825164352415</v>
      </c>
      <c r="U99" s="41">
        <f t="shared" si="12"/>
        <v>103908.58223176532</v>
      </c>
      <c r="V99" s="41"/>
    </row>
    <row r="100" spans="1:24" x14ac:dyDescent="0.25">
      <c r="A100" s="38">
        <v>45747</v>
      </c>
      <c r="B100" s="39" t="s">
        <v>21</v>
      </c>
      <c r="C100" s="12">
        <v>0.3527777777777778</v>
      </c>
      <c r="D100" s="4">
        <v>-1.23</v>
      </c>
      <c r="E100" s="88">
        <f>Effort!F98</f>
        <v>1199.4681557025449</v>
      </c>
      <c r="F100" s="89">
        <f>Harvest!F98</f>
        <v>17392.288257686901</v>
      </c>
      <c r="G100" s="90">
        <f>+CPUE!F98</f>
        <v>14.5</v>
      </c>
      <c r="H100" s="88">
        <f>Effort!H98</f>
        <v>1360.9024351069152</v>
      </c>
      <c r="I100" s="89">
        <f>Harvest!H98</f>
        <v>19733.085309050271</v>
      </c>
      <c r="J100" s="90">
        <f>CPUE!H98</f>
        <v>14.5</v>
      </c>
      <c r="K100" s="88" t="str">
        <f>Effort!J98</f>
        <v>CLOSED</v>
      </c>
      <c r="L100" s="89" t="str">
        <f>Harvest!J98</f>
        <v>CLOSED</v>
      </c>
      <c r="M100" s="90" t="str">
        <f>CPUE!J98</f>
        <v>CLOSED</v>
      </c>
      <c r="N100" s="117">
        <f>Effort!L98</f>
        <v>1447.16988944125</v>
      </c>
      <c r="O100" s="118">
        <f>Harvest!L98</f>
        <v>20750.944516394899</v>
      </c>
      <c r="P100" s="119">
        <f>CPUE!L98</f>
        <v>14.338983050847474</v>
      </c>
      <c r="Q100" s="40" t="s">
        <v>10</v>
      </c>
      <c r="R100" s="41" t="s">
        <v>10</v>
      </c>
      <c r="S100" s="43" t="s">
        <v>10</v>
      </c>
      <c r="T100" s="40">
        <f t="shared" si="12"/>
        <v>4007.5404802507101</v>
      </c>
      <c r="U100" s="41">
        <f t="shared" si="12"/>
        <v>57876.318083132071</v>
      </c>
      <c r="V100" s="41"/>
    </row>
    <row r="101" spans="1:24" x14ac:dyDescent="0.25">
      <c r="A101" s="38">
        <v>45748</v>
      </c>
      <c r="B101" s="39" t="s">
        <v>61</v>
      </c>
      <c r="C101" s="12">
        <v>0.38680555555555557</v>
      </c>
      <c r="D101" s="4">
        <v>-1.27</v>
      </c>
      <c r="E101" s="88">
        <f>Effort!F99</f>
        <v>1666.7064653400469</v>
      </c>
      <c r="F101" s="89">
        <f>Harvest!F99</f>
        <v>24167.243747430679</v>
      </c>
      <c r="G101" s="90">
        <f>+CPUE!F99</f>
        <v>14.5</v>
      </c>
      <c r="H101" s="117">
        <f>Effort!H99</f>
        <v>1117.51297105444</v>
      </c>
      <c r="I101" s="118">
        <f>Harvest!H99</f>
        <v>16102.3459920117</v>
      </c>
      <c r="J101" s="119">
        <f>CPUE!H99</f>
        <v>14.409090909090907</v>
      </c>
      <c r="K101" s="117">
        <f>Effort!J99</f>
        <v>2982.7404081402001</v>
      </c>
      <c r="L101" s="118">
        <f>Harvest!J99</f>
        <v>40840.599434534997</v>
      </c>
      <c r="M101" s="119">
        <f>CPUE!J99</f>
        <v>13.692307692307676</v>
      </c>
      <c r="N101" s="88" t="str">
        <f>Effort!L99</f>
        <v>CLOSED</v>
      </c>
      <c r="O101" s="89" t="str">
        <f>Harvest!L99</f>
        <v>CLOSED</v>
      </c>
      <c r="P101" s="90" t="str">
        <f>CPUE!L99</f>
        <v>CLOSED</v>
      </c>
      <c r="Q101" s="40" t="s">
        <v>10</v>
      </c>
      <c r="R101" s="41" t="s">
        <v>10</v>
      </c>
      <c r="S101" s="43" t="s">
        <v>10</v>
      </c>
      <c r="T101" s="40">
        <f t="shared" si="12"/>
        <v>5766.9598445346874</v>
      </c>
      <c r="U101" s="41">
        <f t="shared" si="12"/>
        <v>81110.189173977386</v>
      </c>
      <c r="V101" s="41"/>
    </row>
    <row r="102" spans="1:24" x14ac:dyDescent="0.25">
      <c r="A102" s="38">
        <v>45749</v>
      </c>
      <c r="B102" s="39" t="s">
        <v>62</v>
      </c>
      <c r="C102" s="12">
        <v>0.42291666666666666</v>
      </c>
      <c r="D102" s="4">
        <v>-0.98</v>
      </c>
      <c r="E102" s="117">
        <f>Effort!F100</f>
        <v>1271.549163740169</v>
      </c>
      <c r="F102" s="118">
        <f>Harvest!F100</f>
        <v>19073.237456102535</v>
      </c>
      <c r="G102" s="119">
        <f>+CPUE!F100</f>
        <v>15</v>
      </c>
      <c r="H102" s="117">
        <f>Effort!H100</f>
        <v>1438.6156422962899</v>
      </c>
      <c r="I102" s="118">
        <f>Harvest!H100</f>
        <v>21579.234634444299</v>
      </c>
      <c r="J102" s="119">
        <f>CPUE!H100</f>
        <v>14.999999999999966</v>
      </c>
      <c r="K102" s="117">
        <f>Effort!J100</f>
        <v>2275.5663042627498</v>
      </c>
      <c r="L102" s="118">
        <f>Harvest!J100</f>
        <v>32573.106241018198</v>
      </c>
      <c r="M102" s="119">
        <f>CPUE!J100</f>
        <v>14.314285714285706</v>
      </c>
      <c r="N102" s="88" t="str">
        <f>Effort!L100</f>
        <v>CLOSED</v>
      </c>
      <c r="O102" s="89" t="str">
        <f>Harvest!L100</f>
        <v>CLOSED</v>
      </c>
      <c r="P102" s="90" t="str">
        <f>CPUE!L100</f>
        <v>CLOSED</v>
      </c>
      <c r="Q102" s="40" t="s">
        <v>10</v>
      </c>
      <c r="R102" s="41" t="s">
        <v>10</v>
      </c>
      <c r="S102" s="43" t="s">
        <v>10</v>
      </c>
      <c r="T102" s="40">
        <f t="shared" si="12"/>
        <v>4985.731110299208</v>
      </c>
      <c r="U102" s="41">
        <f t="shared" si="12"/>
        <v>73225.578331565033</v>
      </c>
      <c r="V102" s="41"/>
    </row>
    <row r="103" spans="1:24" x14ac:dyDescent="0.25">
      <c r="A103" s="38">
        <v>45750</v>
      </c>
      <c r="B103" s="39" t="s">
        <v>22</v>
      </c>
      <c r="C103" s="12">
        <v>0.46319444444444446</v>
      </c>
      <c r="D103" s="4">
        <v>-0.47</v>
      </c>
      <c r="E103" s="88">
        <f>Effort!F101</f>
        <v>1135.084853375095</v>
      </c>
      <c r="F103" s="89">
        <f>Harvest!F101</f>
        <v>17026.272800626426</v>
      </c>
      <c r="G103" s="90">
        <f>+CPUE!F101</f>
        <v>15</v>
      </c>
      <c r="H103" s="117">
        <f>Effort!H101</f>
        <v>1085.37408420512</v>
      </c>
      <c r="I103" s="118">
        <f>Harvest!H101</f>
        <v>16280.6112630769</v>
      </c>
      <c r="J103" s="119">
        <f>CPUE!H101</f>
        <v>15.000000000000092</v>
      </c>
      <c r="K103" s="88" t="str">
        <f>Effort!J101</f>
        <v>CLOSED</v>
      </c>
      <c r="L103" s="89" t="str">
        <f>Harvest!J101</f>
        <v>CLOSED</v>
      </c>
      <c r="M103" s="90" t="str">
        <f>CPUE!J101</f>
        <v>CLOSED</v>
      </c>
      <c r="N103" s="117">
        <f>Effort!L101</f>
        <v>1154.17582695274</v>
      </c>
      <c r="O103" s="118">
        <f>Harvest!L101</f>
        <v>17312.637404291101</v>
      </c>
      <c r="P103" s="119">
        <f>CPUE!L101</f>
        <v>15.000000000000002</v>
      </c>
      <c r="Q103" s="40" t="s">
        <v>10</v>
      </c>
      <c r="R103" s="41" t="s">
        <v>10</v>
      </c>
      <c r="S103" s="43" t="s">
        <v>10</v>
      </c>
      <c r="T103" s="40">
        <f>SUM(E103,H103,K103,N103)</f>
        <v>3374.6347645329552</v>
      </c>
      <c r="U103" s="41">
        <f t="shared" si="12"/>
        <v>50619.521467994433</v>
      </c>
      <c r="V103" s="41"/>
    </row>
    <row r="104" spans="1:24" x14ac:dyDescent="0.25">
      <c r="A104" s="136" t="s">
        <v>50</v>
      </c>
      <c r="B104" s="136"/>
      <c r="C104" s="136"/>
      <c r="D104" s="137"/>
      <c r="E104" s="46">
        <f>SUM(E95:E103)</f>
        <v>10944.227777277836</v>
      </c>
      <c r="F104" s="47">
        <f>SUM(F95:F103)</f>
        <v>143056.09289540336</v>
      </c>
      <c r="G104" s="48">
        <f>+F104/E104</f>
        <v>13.071373860877902</v>
      </c>
      <c r="H104" s="46">
        <f>SUM(H95:H103)</f>
        <v>10418.069457170979</v>
      </c>
      <c r="I104" s="47">
        <f>SUM(I95:I103)</f>
        <v>141512.77934438098</v>
      </c>
      <c r="J104" s="48">
        <f>+I104/H104</f>
        <v>13.583397569592389</v>
      </c>
      <c r="K104" s="46">
        <f>SUM(K95:K103)</f>
        <v>8920.3658911534858</v>
      </c>
      <c r="L104" s="47">
        <f>SUM(L95:L103)</f>
        <v>112471.9347482209</v>
      </c>
      <c r="M104" s="48">
        <f>+L104/K104</f>
        <v>12.608444106509317</v>
      </c>
      <c r="N104" s="46">
        <f>SUM(N95:N103)</f>
        <v>6093.2311380487454</v>
      </c>
      <c r="O104" s="47">
        <f>SUM(O95:O103)</f>
        <v>83578.432876833045</v>
      </c>
      <c r="P104" s="48">
        <f>+O104/N104</f>
        <v>13.716603060555755</v>
      </c>
      <c r="Q104" s="46"/>
      <c r="R104" s="47"/>
      <c r="S104" s="48"/>
      <c r="T104" s="46">
        <f>SUM(T95:T103)</f>
        <v>36375.894263651047</v>
      </c>
      <c r="U104" s="47">
        <f>SUM(U95:U103)</f>
        <v>480619.23986483831</v>
      </c>
      <c r="V104" s="61"/>
      <c r="W104" s="19">
        <f>SUM(H104,K104,N104,Q104,E104)</f>
        <v>36375.894263651047</v>
      </c>
      <c r="X104" s="19">
        <f>SUM(R104,O104,L104,I104,F104)</f>
        <v>480619.23986483831</v>
      </c>
    </row>
    <row r="105" spans="1:24" x14ac:dyDescent="0.25">
      <c r="A105" s="38">
        <v>45759</v>
      </c>
      <c r="B105" s="39" t="s">
        <v>19</v>
      </c>
      <c r="C105" s="12">
        <v>0.28958333333333336</v>
      </c>
      <c r="D105" s="4">
        <v>0.35</v>
      </c>
      <c r="E105" s="88">
        <f>Effort!F103</f>
        <v>1155.1609052504227</v>
      </c>
      <c r="F105" s="89">
        <f>Harvest!F103</f>
        <v>16172.252673505918</v>
      </c>
      <c r="G105" s="90">
        <f>+CPUE!F103</f>
        <v>14</v>
      </c>
      <c r="H105" s="117">
        <f>Effort!H103</f>
        <v>1254.7543423686</v>
      </c>
      <c r="I105" s="118">
        <f>Harvest!H103</f>
        <v>17584.4858551943</v>
      </c>
      <c r="J105" s="119">
        <f>CPUE!H103</f>
        <v>14.014285714285764</v>
      </c>
      <c r="K105" s="88" t="str">
        <f>Effort!J103</f>
        <v>CLOSED</v>
      </c>
      <c r="L105" s="89" t="str">
        <f>Harvest!J103</f>
        <v>CLOSED</v>
      </c>
      <c r="M105" s="90" t="str">
        <f>CPUE!J103</f>
        <v>CLOSED</v>
      </c>
      <c r="N105" s="117">
        <f>Effort!L103</f>
        <v>1305.2386114532801</v>
      </c>
      <c r="O105" s="118">
        <f>Harvest!L103</f>
        <v>15662.863337439399</v>
      </c>
      <c r="P105" s="119">
        <f>CPUE!L103</f>
        <v>12.000000000000028</v>
      </c>
      <c r="Q105" s="40" t="s">
        <v>10</v>
      </c>
      <c r="R105" s="41" t="s">
        <v>10</v>
      </c>
      <c r="S105" s="43" t="s">
        <v>10</v>
      </c>
      <c r="T105" s="40">
        <f>SUM(E105,H105,K105,N105)</f>
        <v>3715.153859072303</v>
      </c>
      <c r="U105" s="41">
        <f>SUM(F105,I105,L105,O105)</f>
        <v>49419.601866139616</v>
      </c>
      <c r="V105" s="41"/>
    </row>
    <row r="106" spans="1:24" x14ac:dyDescent="0.25">
      <c r="A106" s="38">
        <v>45760</v>
      </c>
      <c r="B106" s="39" t="s">
        <v>20</v>
      </c>
      <c r="C106" s="12">
        <v>0.31180555555555556</v>
      </c>
      <c r="D106" s="4">
        <v>0</v>
      </c>
      <c r="E106" s="117">
        <f>Effort!F104</f>
        <v>673.36793065650772</v>
      </c>
      <c r="F106" s="118">
        <f>Harvest!F104</f>
        <v>10100.518959847615</v>
      </c>
      <c r="G106" s="119">
        <f>+CPUE!F104</f>
        <v>15</v>
      </c>
      <c r="H106" s="88">
        <f>Effort!H104</f>
        <v>754.96563908619225</v>
      </c>
      <c r="I106" s="89">
        <f>Harvest!H104</f>
        <v>11324.484586292883</v>
      </c>
      <c r="J106" s="90">
        <f>CPUE!H104</f>
        <v>15</v>
      </c>
      <c r="K106" s="117">
        <f>Effort!J104</f>
        <v>2022.56284770548</v>
      </c>
      <c r="L106" s="118">
        <f>Harvest!J104</f>
        <v>30338.442715582099</v>
      </c>
      <c r="M106" s="119">
        <f>CPUE!J104</f>
        <v>14.99999999999995</v>
      </c>
      <c r="N106" s="88" t="str">
        <f>Effort!L104</f>
        <v>CLOSED</v>
      </c>
      <c r="O106" s="89" t="str">
        <f>Harvest!L104</f>
        <v>CLOSED</v>
      </c>
      <c r="P106" s="90" t="str">
        <f>CPUE!L104</f>
        <v>CLOSED</v>
      </c>
      <c r="Q106" s="40" t="s">
        <v>10</v>
      </c>
      <c r="R106" s="41" t="s">
        <v>10</v>
      </c>
      <c r="S106" s="43" t="s">
        <v>10</v>
      </c>
      <c r="T106" s="40">
        <f t="shared" ref="T106:U111" si="13">SUM(E106,H106,K106,N106)</f>
        <v>3450.8964174481798</v>
      </c>
      <c r="U106" s="41">
        <f t="shared" si="13"/>
        <v>51763.446261722594</v>
      </c>
      <c r="V106" s="41"/>
    </row>
    <row r="107" spans="1:24" x14ac:dyDescent="0.25">
      <c r="A107" s="38">
        <v>45761</v>
      </c>
      <c r="B107" s="39" t="s">
        <v>21</v>
      </c>
      <c r="C107" s="12">
        <v>0.33333333333333331</v>
      </c>
      <c r="D107" s="4">
        <v>-0.21</v>
      </c>
      <c r="E107" s="88">
        <f>Effort!F105</f>
        <v>485.31551277237179</v>
      </c>
      <c r="F107" s="89">
        <f>Harvest!F105</f>
        <v>7279.7326915855765</v>
      </c>
      <c r="G107" s="90">
        <f>+CPUE!F105</f>
        <v>15</v>
      </c>
      <c r="H107" s="117">
        <f>Effort!H105</f>
        <v>558.26975349139605</v>
      </c>
      <c r="I107" s="118">
        <f>Harvest!H105</f>
        <v>8374.0463023709399</v>
      </c>
      <c r="J107" s="119">
        <f>CPUE!H105</f>
        <v>14.999999999999998</v>
      </c>
      <c r="K107" s="117">
        <f>Effort!J105</f>
        <v>741.64876963541599</v>
      </c>
      <c r="L107" s="118">
        <f>Harvest!J105</f>
        <v>9729.7255254550892</v>
      </c>
      <c r="M107" s="119">
        <f>CPUE!J105</f>
        <v>13.119047619047604</v>
      </c>
      <c r="N107" s="88" t="str">
        <f>Effort!L105</f>
        <v>CLOSED</v>
      </c>
      <c r="O107" s="89" t="str">
        <f>Harvest!L105</f>
        <v>CLOSED</v>
      </c>
      <c r="P107" s="90" t="str">
        <f>CPUE!L105</f>
        <v>CLOSED</v>
      </c>
      <c r="Q107" s="40" t="s">
        <v>10</v>
      </c>
      <c r="R107" s="41" t="s">
        <v>10</v>
      </c>
      <c r="S107" s="43" t="s">
        <v>10</v>
      </c>
      <c r="T107" s="40">
        <f t="shared" si="13"/>
        <v>1785.2340358991837</v>
      </c>
      <c r="U107" s="41">
        <f t="shared" si="13"/>
        <v>25383.504519411603</v>
      </c>
      <c r="V107" s="41"/>
    </row>
    <row r="108" spans="1:24" x14ac:dyDescent="0.25">
      <c r="A108" s="38">
        <v>45762</v>
      </c>
      <c r="B108" s="39" t="s">
        <v>61</v>
      </c>
      <c r="C108" s="12">
        <v>0.35625000000000001</v>
      </c>
      <c r="D108" s="4">
        <v>-0.27</v>
      </c>
      <c r="E108" s="117">
        <f>Effort!F106</f>
        <v>637.64095800648897</v>
      </c>
      <c r="F108" s="118">
        <f>Harvest!F106</f>
        <v>9564.6143700973353</v>
      </c>
      <c r="G108" s="119">
        <f>+CPUE!F106</f>
        <v>15</v>
      </c>
      <c r="H108" s="88">
        <f>Effort!H106</f>
        <v>692.61585749153232</v>
      </c>
      <c r="I108" s="89">
        <f>Harvest!H106</f>
        <v>10389.237862372986</v>
      </c>
      <c r="J108" s="90">
        <f>CPUE!H106</f>
        <v>15</v>
      </c>
      <c r="K108" s="88" t="str">
        <f>Effort!J106</f>
        <v>CLOSED</v>
      </c>
      <c r="L108" s="89" t="str">
        <f>Harvest!J106</f>
        <v>CLOSED</v>
      </c>
      <c r="M108" s="90" t="str">
        <f>CPUE!J106</f>
        <v>CLOSED</v>
      </c>
      <c r="N108" s="117">
        <f>Effort!L106</f>
        <v>720.48283044490995</v>
      </c>
      <c r="O108" s="118">
        <f>Harvest!L106</f>
        <v>9412.7595590383407</v>
      </c>
      <c r="P108" s="119">
        <f>CPUE!L106</f>
        <v>13.06451612903226</v>
      </c>
      <c r="Q108" s="40" t="s">
        <v>10</v>
      </c>
      <c r="R108" s="41" t="s">
        <v>10</v>
      </c>
      <c r="S108" s="43" t="s">
        <v>10</v>
      </c>
      <c r="T108" s="40">
        <f t="shared" si="13"/>
        <v>2050.739645942931</v>
      </c>
      <c r="U108" s="41">
        <f t="shared" si="13"/>
        <v>29366.611791508665</v>
      </c>
      <c r="V108" s="41"/>
    </row>
    <row r="109" spans="1:24" x14ac:dyDescent="0.25">
      <c r="A109" s="38">
        <v>45763</v>
      </c>
      <c r="B109" s="39" t="s">
        <v>62</v>
      </c>
      <c r="C109" s="12">
        <v>0.38055555555555554</v>
      </c>
      <c r="D109" s="4">
        <v>-0.19</v>
      </c>
      <c r="E109" s="88">
        <f>Effort!F107</f>
        <v>654.94810442799292</v>
      </c>
      <c r="F109" s="89">
        <f>Harvest!F107</f>
        <v>8514.3253575639083</v>
      </c>
      <c r="G109" s="90">
        <f>+CPUE!F107</f>
        <v>13</v>
      </c>
      <c r="H109" s="88">
        <f>Effort!H107</f>
        <v>711.41515811509646</v>
      </c>
      <c r="I109" s="89">
        <f>Harvest!H107</f>
        <v>9248.3970554962543</v>
      </c>
      <c r="J109" s="90">
        <f>CPUE!H107</f>
        <v>13</v>
      </c>
      <c r="K109" s="88" t="str">
        <f>Effort!J107</f>
        <v>CLOSED</v>
      </c>
      <c r="L109" s="89" t="str">
        <f>Harvest!J107</f>
        <v>CLOSED</v>
      </c>
      <c r="M109" s="90" t="str">
        <f>CPUE!J107</f>
        <v>CLOSED</v>
      </c>
      <c r="N109" s="117">
        <f>Effort!L107</f>
        <v>740.03850936439801</v>
      </c>
      <c r="O109" s="118">
        <f>Harvest!L107</f>
        <v>8690.1664956790792</v>
      </c>
      <c r="P109" s="119">
        <f>CPUE!L107</f>
        <v>11.742857142857151</v>
      </c>
      <c r="Q109" s="40" t="s">
        <v>10</v>
      </c>
      <c r="R109" s="41" t="s">
        <v>10</v>
      </c>
      <c r="S109" s="43" t="s">
        <v>10</v>
      </c>
      <c r="T109" s="40">
        <f t="shared" si="13"/>
        <v>2106.4017719074873</v>
      </c>
      <c r="U109" s="41">
        <f t="shared" si="13"/>
        <v>26452.888908739238</v>
      </c>
      <c r="V109" s="41"/>
    </row>
    <row r="110" spans="1:24" x14ac:dyDescent="0.25">
      <c r="A110" s="38">
        <v>45764</v>
      </c>
      <c r="B110" s="39" t="s">
        <v>22</v>
      </c>
      <c r="C110" s="12">
        <v>0.40833333333333338</v>
      </c>
      <c r="D110" s="4">
        <v>0</v>
      </c>
      <c r="E110" s="117">
        <f>Effort!F108</f>
        <v>574.17209160805601</v>
      </c>
      <c r="F110" s="118">
        <f>Harvest!F108</f>
        <v>8612.5813741208403</v>
      </c>
      <c r="G110" s="119">
        <f>+CPUE!F108</f>
        <v>15</v>
      </c>
      <c r="H110" s="117">
        <f>Effort!H108</f>
        <v>643.74939813915</v>
      </c>
      <c r="I110" s="118">
        <f>Harvest!H108</f>
        <v>9448.5798759133304</v>
      </c>
      <c r="J110" s="119">
        <f>CPUE!H108</f>
        <v>14.67741935483871</v>
      </c>
      <c r="K110" s="117">
        <f>Effort!J108</f>
        <v>877.43748982497004</v>
      </c>
      <c r="L110" s="118">
        <f>Harvest!J108</f>
        <v>13161.5623473745</v>
      </c>
      <c r="M110" s="119">
        <f>CPUE!J108</f>
        <v>14.999999999999941</v>
      </c>
      <c r="N110" s="88" t="str">
        <f>Effort!L108</f>
        <v>CLOSED</v>
      </c>
      <c r="O110" s="89" t="str">
        <f>Harvest!L108</f>
        <v>CLOSED</v>
      </c>
      <c r="P110" s="90" t="str">
        <f>CPUE!L108</f>
        <v>CLOSED</v>
      </c>
      <c r="Q110" s="40" t="s">
        <v>10</v>
      </c>
      <c r="R110" s="41" t="s">
        <v>10</v>
      </c>
      <c r="S110" s="43" t="s">
        <v>10</v>
      </c>
      <c r="T110" s="40">
        <f t="shared" si="13"/>
        <v>2095.3589795721764</v>
      </c>
      <c r="U110" s="41">
        <f t="shared" si="13"/>
        <v>31222.723597408673</v>
      </c>
      <c r="V110" s="41"/>
    </row>
    <row r="111" spans="1:24" x14ac:dyDescent="0.25">
      <c r="A111" s="38">
        <v>45765</v>
      </c>
      <c r="B111" s="39" t="s">
        <v>18</v>
      </c>
      <c r="C111" s="12">
        <v>0.43958333333333338</v>
      </c>
      <c r="D111" s="4">
        <v>0.26</v>
      </c>
      <c r="E111" s="88">
        <f>Effort!F109</f>
        <v>980.99217999316977</v>
      </c>
      <c r="F111" s="89">
        <f>Harvest!F109</f>
        <v>13733.890519904377</v>
      </c>
      <c r="G111" s="90">
        <f>+CPUE!F109</f>
        <v>14</v>
      </c>
      <c r="H111" s="88">
        <f>Effort!H109</f>
        <v>1099.8673301608364</v>
      </c>
      <c r="I111" s="89">
        <f>Harvest!H109</f>
        <v>15398.142622251711</v>
      </c>
      <c r="J111" s="90">
        <f>CPUE!H109</f>
        <v>14</v>
      </c>
      <c r="K111" s="117">
        <f>Effort!J109</f>
        <v>1499.1312335304301</v>
      </c>
      <c r="L111" s="118">
        <f>Harvest!J109</f>
        <v>20901.3489290301</v>
      </c>
      <c r="M111" s="119">
        <f>CPUE!J109</f>
        <v>13.942307692307736</v>
      </c>
      <c r="N111" s="88" t="str">
        <f>Effort!L109</f>
        <v>CLOSED</v>
      </c>
      <c r="O111" s="89" t="str">
        <f>Harvest!L109</f>
        <v>CLOSED</v>
      </c>
      <c r="P111" s="90" t="str">
        <f>CPUE!L109</f>
        <v>CLOSED</v>
      </c>
      <c r="Q111" s="40" t="s">
        <v>10</v>
      </c>
      <c r="R111" s="41" t="s">
        <v>10</v>
      </c>
      <c r="S111" s="43" t="s">
        <v>10</v>
      </c>
      <c r="T111" s="40">
        <f>SUM(E111,H111,K111,N111)</f>
        <v>3579.9907436844364</v>
      </c>
      <c r="U111" s="41">
        <f t="shared" si="13"/>
        <v>50033.382071186192</v>
      </c>
      <c r="V111" s="41"/>
    </row>
    <row r="112" spans="1:24" x14ac:dyDescent="0.25">
      <c r="A112" s="136" t="s">
        <v>50</v>
      </c>
      <c r="B112" s="136"/>
      <c r="C112" s="136"/>
      <c r="D112" s="137"/>
      <c r="E112" s="46">
        <f>SUM(E105:E111)</f>
        <v>5161.5976827150098</v>
      </c>
      <c r="F112" s="47">
        <f>SUM(F105:F111)</f>
        <v>73977.915946625566</v>
      </c>
      <c r="G112" s="48">
        <f>+F112/E112</f>
        <v>14.332367707456241</v>
      </c>
      <c r="H112" s="46">
        <f>SUM(H105:H111)</f>
        <v>5715.6374788528028</v>
      </c>
      <c r="I112" s="47">
        <f>SUM(I105:I111)</f>
        <v>81767.37415989241</v>
      </c>
      <c r="J112" s="48">
        <f>+I112/H112</f>
        <v>14.305906289967171</v>
      </c>
      <c r="K112" s="46">
        <f>SUM(K105:K111)</f>
        <v>5140.7803406962958</v>
      </c>
      <c r="L112" s="47">
        <f>SUM(L105:L111)</f>
        <v>74131.079517441787</v>
      </c>
      <c r="M112" s="48">
        <f>+L112/K112</f>
        <v>14.420199776013201</v>
      </c>
      <c r="N112" s="46">
        <f>SUM(N105:N111)</f>
        <v>2765.7599512625879</v>
      </c>
      <c r="O112" s="47">
        <f>SUM(O105:O111)</f>
        <v>33765.789392156817</v>
      </c>
      <c r="P112" s="48">
        <f>+O112/N112</f>
        <v>12.208503263901305</v>
      </c>
      <c r="Q112" s="46"/>
      <c r="R112" s="47"/>
      <c r="S112" s="48"/>
      <c r="T112" s="46">
        <f>SUM(T105:T111)</f>
        <v>18783.775453526698</v>
      </c>
      <c r="U112" s="47">
        <f>SUM(U105:U111)</f>
        <v>263642.15901611658</v>
      </c>
      <c r="V112" s="61"/>
      <c r="W112" s="19">
        <f>SUM(H112,K112,N112,Q112,E112)</f>
        <v>18783.775453526694</v>
      </c>
      <c r="X112" s="19">
        <f>SUM(R112,O112,L112,I112,F112)</f>
        <v>263642.15901611658</v>
      </c>
    </row>
    <row r="113" spans="1:24" x14ac:dyDescent="0.25">
      <c r="A113" s="38">
        <v>45773</v>
      </c>
      <c r="B113" s="39" t="s">
        <v>19</v>
      </c>
      <c r="C113" s="12">
        <v>0.24513888888888888</v>
      </c>
      <c r="D113" s="4">
        <v>-0.55000000000000004</v>
      </c>
      <c r="E113" s="117">
        <f>Effort!F111</f>
        <v>1626.5995795208573</v>
      </c>
      <c r="F113" s="118">
        <f>Harvest!F111</f>
        <v>23585.69390305243</v>
      </c>
      <c r="G113" s="119">
        <f>+CPUE!F111</f>
        <v>14.5</v>
      </c>
      <c r="H113" s="117">
        <f>Effort!H111</f>
        <v>1289.57088567916</v>
      </c>
      <c r="I113" s="118">
        <f>Harvest!H111</f>
        <v>19343.5632851874</v>
      </c>
      <c r="J113" s="119">
        <f>CPUE!H111</f>
        <v>15</v>
      </c>
      <c r="K113" s="117">
        <f>Effort!J111</f>
        <v>1920.99046164072</v>
      </c>
      <c r="L113" s="118">
        <f>Harvest!J111</f>
        <v>20867.229720567801</v>
      </c>
      <c r="M113" s="119">
        <f>CPUE!J111</f>
        <v>10.862745098039206</v>
      </c>
      <c r="N113" s="88" t="str">
        <f>Effort!L111</f>
        <v>CLOSED</v>
      </c>
      <c r="O113" s="89" t="str">
        <f>Harvest!L111</f>
        <v>CLOSED</v>
      </c>
      <c r="P113" s="90" t="str">
        <f>CPUE!L111</f>
        <v>CLOSED</v>
      </c>
      <c r="Q113" s="40" t="s">
        <v>10</v>
      </c>
      <c r="R113" s="41" t="s">
        <v>10</v>
      </c>
      <c r="S113" s="43" t="s">
        <v>10</v>
      </c>
      <c r="T113" s="40">
        <f t="shared" ref="T113:U120" si="14">SUM(E113,H113,K113,N113)</f>
        <v>4837.1609268407374</v>
      </c>
      <c r="U113" s="41">
        <f t="shared" si="14"/>
        <v>63796.486908807638</v>
      </c>
      <c r="V113" s="41"/>
    </row>
    <row r="114" spans="1:24" x14ac:dyDescent="0.25">
      <c r="A114" s="38">
        <v>45774</v>
      </c>
      <c r="B114" s="39" t="s">
        <v>20</v>
      </c>
      <c r="C114" s="12">
        <v>0.27777777777777779</v>
      </c>
      <c r="D114" s="4">
        <v>-1.45</v>
      </c>
      <c r="E114" s="117">
        <f>Effort!F112</f>
        <v>2108.4481707965838</v>
      </c>
      <c r="F114" s="118">
        <f>Harvest!F112</f>
        <v>30150.80884239115</v>
      </c>
      <c r="G114" s="119">
        <f>+CPUE!F112</f>
        <v>14.3</v>
      </c>
      <c r="H114" s="88">
        <f>Effort!H112</f>
        <v>1671.5812602285814</v>
      </c>
      <c r="I114" s="89">
        <f>Harvest!H112</f>
        <v>23402.137643200142</v>
      </c>
      <c r="J114" s="90">
        <f>CPUE!H112</f>
        <v>14</v>
      </c>
      <c r="K114" s="88" t="str">
        <f>Effort!J112</f>
        <v>CLOSED</v>
      </c>
      <c r="L114" s="89" t="str">
        <f>Harvest!J112</f>
        <v>CLOSED</v>
      </c>
      <c r="M114" s="90" t="str">
        <f>CPUE!J112</f>
        <v>CLOSED</v>
      </c>
      <c r="N114" s="117">
        <f>Effort!L112</f>
        <v>2965.4504761242802</v>
      </c>
      <c r="O114" s="118">
        <f>Harvest!L112</f>
        <v>39124.814346284802</v>
      </c>
      <c r="P114" s="119">
        <f>CPUE!L112</f>
        <v>13.193548387096756</v>
      </c>
      <c r="Q114" s="40" t="s">
        <v>10</v>
      </c>
      <c r="R114" s="41" t="s">
        <v>10</v>
      </c>
      <c r="S114" s="43" t="s">
        <v>10</v>
      </c>
      <c r="T114" s="40">
        <f t="shared" si="14"/>
        <v>6745.4799071494454</v>
      </c>
      <c r="U114" s="41">
        <f t="shared" si="14"/>
        <v>92677.760831876105</v>
      </c>
      <c r="V114" s="41"/>
    </row>
    <row r="115" spans="1:24" x14ac:dyDescent="0.25">
      <c r="A115" s="38">
        <v>45775</v>
      </c>
      <c r="B115" s="39" t="s">
        <v>21</v>
      </c>
      <c r="C115" s="12">
        <v>0.30902777777777779</v>
      </c>
      <c r="D115" s="4">
        <v>-2.0299999999999998</v>
      </c>
      <c r="E115" s="88">
        <f>Effort!F113</f>
        <v>1549.3012357470157</v>
      </c>
      <c r="F115" s="89">
        <f>Harvest!F113</f>
        <v>21690.217300458218</v>
      </c>
      <c r="G115" s="90">
        <f>+CPUE!F113</f>
        <v>14</v>
      </c>
      <c r="H115" s="117">
        <f>Effort!H113</f>
        <v>935.31497940210397</v>
      </c>
      <c r="I115" s="118">
        <f>Harvest!H113</f>
        <v>14029.724691031601</v>
      </c>
      <c r="J115" s="119">
        <f>CPUE!H113</f>
        <v>15.000000000000044</v>
      </c>
      <c r="K115" s="88" t="str">
        <f>Effort!J113</f>
        <v>CLOSED</v>
      </c>
      <c r="L115" s="89" t="str">
        <f>Harvest!J113</f>
        <v>CLOSED</v>
      </c>
      <c r="M115" s="90" t="str">
        <f>CPUE!J113</f>
        <v>CLOSED</v>
      </c>
      <c r="N115" s="117">
        <f>Effort!L113</f>
        <v>2179.0320249940701</v>
      </c>
      <c r="O115" s="118">
        <f>Harvest!L113</f>
        <v>31144.213820647001</v>
      </c>
      <c r="P115" s="119">
        <f>CPUE!L113</f>
        <v>14.29268292682929</v>
      </c>
      <c r="Q115" s="40" t="s">
        <v>10</v>
      </c>
      <c r="R115" s="41" t="s">
        <v>10</v>
      </c>
      <c r="S115" s="43" t="s">
        <v>10</v>
      </c>
      <c r="T115" s="40">
        <f t="shared" si="14"/>
        <v>4663.6482401431895</v>
      </c>
      <c r="U115" s="41">
        <f t="shared" si="14"/>
        <v>66864.155812136814</v>
      </c>
      <c r="V115" s="41"/>
    </row>
    <row r="116" spans="1:24" x14ac:dyDescent="0.25">
      <c r="A116" s="38">
        <v>45776</v>
      </c>
      <c r="B116" s="39" t="s">
        <v>61</v>
      </c>
      <c r="C116" s="12">
        <v>0.34166666666666662</v>
      </c>
      <c r="D116" s="4">
        <v>-2.2200000000000002</v>
      </c>
      <c r="E116" s="88">
        <f>Effort!F114</f>
        <v>1941.3003189810029</v>
      </c>
      <c r="F116" s="89">
        <f>Harvest!F114</f>
        <v>27178.204465734041</v>
      </c>
      <c r="G116" s="90">
        <f>+CPUE!F114</f>
        <v>14</v>
      </c>
      <c r="H116" s="117">
        <f>Effort!H114</f>
        <v>999.52677893214604</v>
      </c>
      <c r="I116" s="118">
        <f>Harvest!H114</f>
        <v>13919.3358843884</v>
      </c>
      <c r="J116" s="119">
        <f>CPUE!H114</f>
        <v>13.925925925925922</v>
      </c>
      <c r="K116" s="117">
        <f>Effort!J114</f>
        <v>2292.6474609326401</v>
      </c>
      <c r="L116" s="118">
        <f>Harvest!J114</f>
        <v>34389.711913989602</v>
      </c>
      <c r="M116" s="119">
        <f>CPUE!J114</f>
        <v>15</v>
      </c>
      <c r="N116" s="88" t="str">
        <f>Effort!L114</f>
        <v>CLOSED</v>
      </c>
      <c r="O116" s="89" t="str">
        <f>Harvest!L114</f>
        <v>CLOSED</v>
      </c>
      <c r="P116" s="90" t="str">
        <f>CPUE!L114</f>
        <v>CLOSED</v>
      </c>
      <c r="Q116" s="40" t="s">
        <v>10</v>
      </c>
      <c r="R116" s="41" t="s">
        <v>10</v>
      </c>
      <c r="S116" s="43" t="s">
        <v>10</v>
      </c>
      <c r="T116" s="40">
        <f t="shared" si="14"/>
        <v>5233.474558845789</v>
      </c>
      <c r="U116" s="41">
        <f t="shared" si="14"/>
        <v>75487.252264112045</v>
      </c>
      <c r="V116" s="41"/>
    </row>
    <row r="117" spans="1:24" x14ac:dyDescent="0.25">
      <c r="A117" s="38">
        <v>45777</v>
      </c>
      <c r="B117" s="39" t="s">
        <v>62</v>
      </c>
      <c r="C117" s="12">
        <v>0.375</v>
      </c>
      <c r="D117" s="4">
        <v>-2.0299999999999998</v>
      </c>
      <c r="E117" s="88">
        <f>Effort!F115</f>
        <v>1950.043636473097</v>
      </c>
      <c r="F117" s="89">
        <f>Harvest!F115</f>
        <v>29250.654547096456</v>
      </c>
      <c r="G117" s="90">
        <f>+CPUE!F115</f>
        <v>15</v>
      </c>
      <c r="H117" s="88">
        <f>Effort!H115</f>
        <v>1286.502904793877</v>
      </c>
      <c r="I117" s="89">
        <f>Harvest!H115</f>
        <v>19297.543571908154</v>
      </c>
      <c r="J117" s="90">
        <f>CPUE!H115</f>
        <v>15</v>
      </c>
      <c r="K117" s="117">
        <f>Effort!J115</f>
        <v>2302.9731918112602</v>
      </c>
      <c r="L117" s="118">
        <f>Harvest!J115</f>
        <v>34349.430657523801</v>
      </c>
      <c r="M117" s="119">
        <f>CPUE!J115</f>
        <v>14.915254237288101</v>
      </c>
      <c r="N117" s="88" t="str">
        <f>Effort!L115</f>
        <v>CLOSED</v>
      </c>
      <c r="O117" s="89" t="str">
        <f>Harvest!L115</f>
        <v>CLOSED</v>
      </c>
      <c r="P117" s="90" t="str">
        <f>CPUE!L115</f>
        <v>CLOSED</v>
      </c>
      <c r="Q117" s="40" t="s">
        <v>10</v>
      </c>
      <c r="R117" s="41" t="s">
        <v>10</v>
      </c>
      <c r="S117" s="43" t="s">
        <v>10</v>
      </c>
      <c r="T117" s="40">
        <f t="shared" si="14"/>
        <v>5539.5197330782339</v>
      </c>
      <c r="U117" s="41">
        <f t="shared" si="14"/>
        <v>82897.628776528407</v>
      </c>
      <c r="V117" s="41"/>
    </row>
    <row r="118" spans="1:24" x14ac:dyDescent="0.25">
      <c r="A118" s="38">
        <v>45778</v>
      </c>
      <c r="B118" s="39" t="s">
        <v>22</v>
      </c>
      <c r="C118" s="12">
        <v>0.41111111111111115</v>
      </c>
      <c r="D118" s="4">
        <v>-1.55</v>
      </c>
      <c r="E118" s="117">
        <f>Effort!F116</f>
        <v>2143.3828359675499</v>
      </c>
      <c r="F118" s="118">
        <f>Harvest!F116</f>
        <v>32150.7425395133</v>
      </c>
      <c r="G118" s="119">
        <f>+CPUE!F116</f>
        <v>15.000000000000023</v>
      </c>
      <c r="H118" s="117">
        <f>Effort!H116</f>
        <v>1193.5637009786301</v>
      </c>
      <c r="I118" s="118">
        <f>Harvest!H116</f>
        <v>17903.455514679499</v>
      </c>
      <c r="J118" s="119">
        <f>CPUE!H116</f>
        <v>15.000000000000041</v>
      </c>
      <c r="K118" s="117">
        <f>Effort!J116</f>
        <v>2136.6024093923202</v>
      </c>
      <c r="L118" s="118">
        <f>Harvest!J116</f>
        <v>29981.356389859899</v>
      </c>
      <c r="M118" s="119">
        <f>CPUE!J116</f>
        <v>14.032258064516093</v>
      </c>
      <c r="N118" s="88" t="str">
        <f>Effort!L116</f>
        <v>CLOSED</v>
      </c>
      <c r="O118" s="89" t="str">
        <f>Harvest!L116</f>
        <v>CLOSED</v>
      </c>
      <c r="P118" s="90" t="str">
        <f>CPUE!L116</f>
        <v>CLOSED</v>
      </c>
      <c r="Q118" s="40" t="s">
        <v>10</v>
      </c>
      <c r="R118" s="41" t="s">
        <v>10</v>
      </c>
      <c r="S118" s="43" t="s">
        <v>10</v>
      </c>
      <c r="T118" s="40">
        <f t="shared" si="14"/>
        <v>5473.5489463385002</v>
      </c>
      <c r="U118" s="41">
        <f t="shared" si="14"/>
        <v>80035.554444052701</v>
      </c>
      <c r="V118" s="41"/>
    </row>
    <row r="119" spans="1:24" x14ac:dyDescent="0.25">
      <c r="A119" s="38">
        <v>45779</v>
      </c>
      <c r="B119" s="39" t="s">
        <v>18</v>
      </c>
      <c r="C119" s="12">
        <v>0.44930555555555557</v>
      </c>
      <c r="D119" s="4">
        <v>-0.91</v>
      </c>
      <c r="E119" s="117">
        <f>Effort!F117</f>
        <v>1411.9801896733552</v>
      </c>
      <c r="F119" s="118">
        <f>Harvest!F117</f>
        <v>20191.316712328979</v>
      </c>
      <c r="G119" s="119">
        <f>+CPUE!F117</f>
        <v>14.3</v>
      </c>
      <c r="H119" s="88">
        <f>Effort!H117</f>
        <v>1936.6026639021989</v>
      </c>
      <c r="I119" s="89">
        <f>Harvest!H117</f>
        <v>29049.039958532983</v>
      </c>
      <c r="J119" s="90">
        <f>CPUE!H117</f>
        <v>15</v>
      </c>
      <c r="K119" s="88" t="str">
        <f>Effort!J117</f>
        <v>CLOSED</v>
      </c>
      <c r="L119" s="89" t="str">
        <f>Harvest!J117</f>
        <v>CLOSED</v>
      </c>
      <c r="M119" s="90" t="str">
        <f>CPUE!J117</f>
        <v>CLOSED</v>
      </c>
      <c r="N119" s="117">
        <f>Effort!L117</f>
        <v>1350.2270931309999</v>
      </c>
      <c r="O119" s="118">
        <f>Harvest!L117</f>
        <v>20149.542774416401</v>
      </c>
      <c r="P119" s="119">
        <f>CPUE!L117</f>
        <v>14.923076923076879</v>
      </c>
      <c r="Q119" s="40" t="s">
        <v>10</v>
      </c>
      <c r="R119" s="41" t="s">
        <v>10</v>
      </c>
      <c r="S119" s="43" t="s">
        <v>10</v>
      </c>
      <c r="T119" s="40">
        <f t="shared" si="14"/>
        <v>4698.809946706554</v>
      </c>
      <c r="U119" s="41">
        <f t="shared" si="14"/>
        <v>69389.899445278366</v>
      </c>
      <c r="V119" s="41"/>
    </row>
    <row r="120" spans="1:24" x14ac:dyDescent="0.25">
      <c r="A120" s="38">
        <v>45780</v>
      </c>
      <c r="B120" s="39" t="s">
        <v>19</v>
      </c>
      <c r="C120" s="12">
        <v>0.4916666666666667</v>
      </c>
      <c r="D120" s="4">
        <v>-0.24</v>
      </c>
      <c r="E120" s="88">
        <f>Effort!F118</f>
        <v>1798.9032321847642</v>
      </c>
      <c r="F120" s="89">
        <f>Harvest!F118</f>
        <v>25184.645250586698</v>
      </c>
      <c r="G120" s="90">
        <f>+CPUE!F118</f>
        <v>14</v>
      </c>
      <c r="H120" s="117">
        <f>Effort!H118</f>
        <v>3628.85198753129</v>
      </c>
      <c r="I120" s="118">
        <f>Harvest!H118</f>
        <v>47499.0804796507</v>
      </c>
      <c r="J120" s="119">
        <f>CPUE!H118</f>
        <v>13.089285714285733</v>
      </c>
      <c r="K120" s="88" t="str">
        <f>Effort!J118</f>
        <v>CLOSED</v>
      </c>
      <c r="L120" s="89" t="str">
        <f>Harvest!J118</f>
        <v>CLOSED</v>
      </c>
      <c r="M120" s="90" t="str">
        <f>CPUE!J118</f>
        <v>CLOSED</v>
      </c>
      <c r="N120" s="117">
        <f>Effort!L118</f>
        <v>2530.0875403393902</v>
      </c>
      <c r="O120" s="118">
        <f>Harvest!L118</f>
        <v>35584.457018966998</v>
      </c>
      <c r="P120" s="119">
        <f>CPUE!L118</f>
        <v>14.064516129032294</v>
      </c>
      <c r="Q120" s="40" t="s">
        <v>10</v>
      </c>
      <c r="R120" s="41" t="s">
        <v>10</v>
      </c>
      <c r="S120" s="43" t="s">
        <v>10</v>
      </c>
      <c r="T120" s="40">
        <f>SUM(E120,H120,K120,N120)</f>
        <v>7957.8427600554442</v>
      </c>
      <c r="U120" s="41">
        <f t="shared" si="14"/>
        <v>108268.1827492044</v>
      </c>
      <c r="V120" s="41"/>
    </row>
    <row r="121" spans="1:24" x14ac:dyDescent="0.25">
      <c r="A121" s="136" t="s">
        <v>50</v>
      </c>
      <c r="B121" s="136"/>
      <c r="C121" s="136"/>
      <c r="D121" s="137"/>
      <c r="E121" s="46">
        <f>SUM(E113:E120)</f>
        <v>14529.959199344226</v>
      </c>
      <c r="F121" s="47">
        <f>SUM(F113:F120)</f>
        <v>209382.28356116128</v>
      </c>
      <c r="G121" s="48">
        <f>+F121/E121</f>
        <v>14.41038344901968</v>
      </c>
      <c r="H121" s="46">
        <f>SUM(H113:H120)</f>
        <v>12941.515161447987</v>
      </c>
      <c r="I121" s="47">
        <f>SUM(I113:I120)</f>
        <v>184443.88102857888</v>
      </c>
      <c r="J121" s="48">
        <f>+I121/H121</f>
        <v>14.25210871583463</v>
      </c>
      <c r="K121" s="46">
        <f>SUM(K113:K120)</f>
        <v>8653.2135237769398</v>
      </c>
      <c r="L121" s="47">
        <f>SUM(L113:L120)</f>
        <v>119587.72868194109</v>
      </c>
      <c r="M121" s="48">
        <f>+L121/K121</f>
        <v>13.820036724315528</v>
      </c>
      <c r="N121" s="46">
        <f>SUM(N113:N120)</f>
        <v>9024.7971345887418</v>
      </c>
      <c r="O121" s="47">
        <f>SUM(O113:O120)</f>
        <v>126003.0279603152</v>
      </c>
      <c r="P121" s="48">
        <f>+O121/N121</f>
        <v>13.961868181766851</v>
      </c>
      <c r="Q121" s="46"/>
      <c r="R121" s="47"/>
      <c r="S121" s="48"/>
      <c r="T121" s="46">
        <f>SUM(T113:T120)</f>
        <v>45149.485019157895</v>
      </c>
      <c r="U121" s="47">
        <f>SUM(U113:U120)</f>
        <v>639416.9212319965</v>
      </c>
      <c r="V121" s="61"/>
      <c r="W121" s="19">
        <f>SUM(H121,K121,N121,Q121,E121)</f>
        <v>45149.485019157895</v>
      </c>
      <c r="X121" s="19">
        <f>SUM(R121,O121,L121,I121,F121)</f>
        <v>639416.92123199638</v>
      </c>
    </row>
    <row r="122" spans="1:24" x14ac:dyDescent="0.25">
      <c r="A122" s="38">
        <v>45787</v>
      </c>
      <c r="B122" s="39" t="s">
        <v>19</v>
      </c>
      <c r="C122" s="12">
        <v>0.24861111111111112</v>
      </c>
      <c r="D122" s="4">
        <v>7.0000000000000007E-2</v>
      </c>
      <c r="E122" s="117">
        <f>Effort!F120</f>
        <v>758.84760409611908</v>
      </c>
      <c r="F122" s="118">
        <f>Harvest!F120</f>
        <v>11382.714061441786</v>
      </c>
      <c r="G122" s="119">
        <f>+CPUE!F120</f>
        <v>15</v>
      </c>
      <c r="H122" s="117">
        <f>Effort!H120</f>
        <v>853.13501021413697</v>
      </c>
      <c r="I122" s="118">
        <f>Harvest!H120</f>
        <v>12517.3087564205</v>
      </c>
      <c r="J122" s="119">
        <f>CPUE!H120</f>
        <v>14.672131147540943</v>
      </c>
      <c r="K122" s="117">
        <f>Effort!J120</f>
        <v>981.61759371241101</v>
      </c>
      <c r="L122" s="118">
        <f>Harvest!J120</f>
        <v>13497.2419135457</v>
      </c>
      <c r="M122" s="119">
        <f>CPUE!J120</f>
        <v>13.75000000000005</v>
      </c>
      <c r="N122" s="88" t="str">
        <f>Effort!L120</f>
        <v>CLOSED</v>
      </c>
      <c r="O122" s="89" t="str">
        <f>Harvest!L120</f>
        <v>CLOSED</v>
      </c>
      <c r="P122" s="90" t="str">
        <f>CPUE!L120</f>
        <v>CLOSED</v>
      </c>
      <c r="Q122" s="40" t="s">
        <v>10</v>
      </c>
      <c r="R122" s="41" t="s">
        <v>10</v>
      </c>
      <c r="S122" s="43" t="s">
        <v>10</v>
      </c>
      <c r="T122" s="40">
        <f t="shared" ref="T122:U127" si="15">SUM(E122,H122,K122,N122)</f>
        <v>2593.6002080226672</v>
      </c>
      <c r="U122" s="41">
        <f t="shared" si="15"/>
        <v>37397.264731407988</v>
      </c>
      <c r="V122" s="41"/>
    </row>
    <row r="123" spans="1:24" x14ac:dyDescent="0.25">
      <c r="A123" s="38">
        <v>45788</v>
      </c>
      <c r="B123" s="39" t="s">
        <v>20</v>
      </c>
      <c r="C123" s="12">
        <v>0.2722222222222222</v>
      </c>
      <c r="D123" s="4">
        <v>-0.4</v>
      </c>
      <c r="E123" s="88">
        <f>Effort!F121</f>
        <v>729.06640447800862</v>
      </c>
      <c r="F123" s="89">
        <f>Harvest!F121</f>
        <v>10571.462864931125</v>
      </c>
      <c r="G123" s="90">
        <f>+CPUE!F121</f>
        <v>14.5</v>
      </c>
      <c r="H123" s="117">
        <f>Effort!H121</f>
        <v>819.653473337376</v>
      </c>
      <c r="I123" s="118">
        <f>Harvest!H121</f>
        <v>12084.6345427946</v>
      </c>
      <c r="J123" s="119">
        <f>CPUE!H121</f>
        <v>14.743589743589688</v>
      </c>
      <c r="K123" s="88" t="str">
        <f>Effort!J121</f>
        <v>CLOSED</v>
      </c>
      <c r="L123" s="89" t="str">
        <f>Harvest!J121</f>
        <v>CLOSED</v>
      </c>
      <c r="M123" s="90" t="str">
        <f>CPUE!J121</f>
        <v>CLOSED</v>
      </c>
      <c r="N123" s="117">
        <f>Effort!L121</f>
        <v>580.34495265869202</v>
      </c>
      <c r="O123" s="118">
        <f>Harvest!L121</f>
        <v>8705.1742898803805</v>
      </c>
      <c r="P123" s="119">
        <f>CPUE!L121</f>
        <v>15</v>
      </c>
      <c r="Q123" s="40" t="s">
        <v>10</v>
      </c>
      <c r="R123" s="41" t="s">
        <v>10</v>
      </c>
      <c r="S123" s="43" t="s">
        <v>10</v>
      </c>
      <c r="T123" s="40">
        <f t="shared" si="15"/>
        <v>2129.0648304740766</v>
      </c>
      <c r="U123" s="41">
        <f t="shared" si="15"/>
        <v>31361.271697606106</v>
      </c>
      <c r="V123" s="41"/>
    </row>
    <row r="124" spans="1:24" x14ac:dyDescent="0.25">
      <c r="A124" s="38">
        <v>45789</v>
      </c>
      <c r="B124" s="39" t="s">
        <v>21</v>
      </c>
      <c r="C124" s="12">
        <v>0.2951388888888889</v>
      </c>
      <c r="D124" s="4">
        <v>-0.71</v>
      </c>
      <c r="E124" s="88">
        <f>Effort!F122</f>
        <v>380.81620615477755</v>
      </c>
      <c r="F124" s="89">
        <f>Harvest!F122</f>
        <v>5712.2430923216634</v>
      </c>
      <c r="G124" s="90">
        <f>+CPUE!F122</f>
        <v>15</v>
      </c>
      <c r="H124" s="88">
        <f>Effort!H122</f>
        <v>394.24487839122435</v>
      </c>
      <c r="I124" s="89">
        <f>Harvest!H122</f>
        <v>5913.6731758683654</v>
      </c>
      <c r="J124" s="90">
        <f>CPUE!H122</f>
        <v>15</v>
      </c>
      <c r="K124" s="88" t="str">
        <f>Effort!J122</f>
        <v>CLOSED</v>
      </c>
      <c r="L124" s="89" t="str">
        <f>Harvest!J122</f>
        <v>CLOSED</v>
      </c>
      <c r="M124" s="90" t="str">
        <f>CPUE!J122</f>
        <v>CLOSED</v>
      </c>
      <c r="N124" s="117">
        <f>Effort!L122</f>
        <v>279.139944779703</v>
      </c>
      <c r="O124" s="118">
        <f>Harvest!L122</f>
        <v>4187.0991716955496</v>
      </c>
      <c r="P124" s="119">
        <f>CPUE!L122</f>
        <v>15.000000000000016</v>
      </c>
      <c r="Q124" s="40" t="s">
        <v>10</v>
      </c>
      <c r="R124" s="41" t="s">
        <v>10</v>
      </c>
      <c r="S124" s="43" t="s">
        <v>10</v>
      </c>
      <c r="T124" s="40">
        <f t="shared" si="15"/>
        <v>1054.2010293257049</v>
      </c>
      <c r="U124" s="41">
        <f t="shared" si="15"/>
        <v>15813.015439885578</v>
      </c>
      <c r="V124" s="41"/>
    </row>
    <row r="125" spans="1:24" x14ac:dyDescent="0.25">
      <c r="A125" s="38">
        <v>45790</v>
      </c>
      <c r="B125" s="39" t="s">
        <v>61</v>
      </c>
      <c r="C125" s="12">
        <v>0.31805555555555554</v>
      </c>
      <c r="D125" s="4">
        <v>-0.89</v>
      </c>
      <c r="E125" s="117">
        <f>Effort!F123</f>
        <v>1206.8242766407016</v>
      </c>
      <c r="F125" s="118">
        <f>Harvest!F123</f>
        <v>18102.364149610523</v>
      </c>
      <c r="G125" s="119">
        <f>+CPUE!F123</f>
        <v>15</v>
      </c>
      <c r="H125" s="88">
        <f>Effort!H123</f>
        <v>1177.2686701357463</v>
      </c>
      <c r="I125" s="89">
        <f>Harvest!H123</f>
        <v>17070.395716968324</v>
      </c>
      <c r="J125" s="90">
        <f>CPUE!H123</f>
        <v>14.5</v>
      </c>
      <c r="K125" s="117">
        <f>Effort!J123</f>
        <v>1349.44813604466</v>
      </c>
      <c r="L125" s="118">
        <f>Harvest!J123</f>
        <v>18089.8993372474</v>
      </c>
      <c r="M125" s="119">
        <f>CPUE!J123</f>
        <v>13.405405405405453</v>
      </c>
      <c r="N125" s="88" t="str">
        <f>Effort!L123</f>
        <v>CLOSED</v>
      </c>
      <c r="O125" s="89" t="str">
        <f>Harvest!L123</f>
        <v>CLOSED</v>
      </c>
      <c r="P125" s="90" t="str">
        <f>CPUE!L123</f>
        <v>CLOSED</v>
      </c>
      <c r="Q125" s="40" t="s">
        <v>10</v>
      </c>
      <c r="R125" s="41" t="s">
        <v>10</v>
      </c>
      <c r="S125" s="43" t="s">
        <v>10</v>
      </c>
      <c r="T125" s="40">
        <f t="shared" si="15"/>
        <v>3733.5410828211079</v>
      </c>
      <c r="U125" s="41">
        <f t="shared" si="15"/>
        <v>53262.659203826246</v>
      </c>
      <c r="V125" s="41"/>
    </row>
    <row r="126" spans="1:24" x14ac:dyDescent="0.25">
      <c r="A126" s="38">
        <v>45791</v>
      </c>
      <c r="B126" s="39" t="s">
        <v>62</v>
      </c>
      <c r="C126" s="12">
        <v>0.34236111111111112</v>
      </c>
      <c r="D126" s="4">
        <v>-0.92</v>
      </c>
      <c r="E126" s="88">
        <f>Effort!F124</f>
        <v>725.50672913169888</v>
      </c>
      <c r="F126" s="89">
        <f>Harvest!F124</f>
        <v>10519.847572409633</v>
      </c>
      <c r="G126" s="90">
        <f>+CPUE!F124</f>
        <v>14.5</v>
      </c>
      <c r="H126" s="117">
        <f>Effort!H124</f>
        <v>818.74488568133597</v>
      </c>
      <c r="I126" s="118">
        <f>Harvest!H124</f>
        <v>12164.2097301227</v>
      </c>
      <c r="J126" s="119">
        <f>CPUE!H124</f>
        <v>14.857142857142851</v>
      </c>
      <c r="K126" s="117">
        <f>Effort!J124</f>
        <v>938.48905343873696</v>
      </c>
      <c r="L126" s="118">
        <f>Harvest!J124</f>
        <v>14026.1454895753</v>
      </c>
      <c r="M126" s="119">
        <f>CPUE!J124</f>
        <v>14.94545454545454</v>
      </c>
      <c r="N126" s="88" t="str">
        <f>Effort!L124</f>
        <v>CLOSED</v>
      </c>
      <c r="O126" s="89" t="str">
        <f>Harvest!L124</f>
        <v>CLOSED</v>
      </c>
      <c r="P126" s="90" t="str">
        <f>CPUE!L124</f>
        <v>CLOSED</v>
      </c>
      <c r="Q126" s="40" t="s">
        <v>10</v>
      </c>
      <c r="R126" s="41" t="s">
        <v>10</v>
      </c>
      <c r="S126" s="43" t="s">
        <v>10</v>
      </c>
      <c r="T126" s="40">
        <f t="shared" si="15"/>
        <v>2482.7406682517717</v>
      </c>
      <c r="U126" s="41">
        <f t="shared" si="15"/>
        <v>36710.20279210763</v>
      </c>
      <c r="V126" s="41"/>
    </row>
    <row r="127" spans="1:24" x14ac:dyDescent="0.25">
      <c r="A127" s="38">
        <v>45792</v>
      </c>
      <c r="B127" s="39" t="s">
        <v>22</v>
      </c>
      <c r="C127" s="12">
        <v>0.36736111111111108</v>
      </c>
      <c r="D127" s="4">
        <v>-0.84</v>
      </c>
      <c r="E127" s="117">
        <f>Effort!F125</f>
        <v>979.496275831302</v>
      </c>
      <c r="F127" s="118">
        <f>Harvest!F125</f>
        <v>14350.61967945634</v>
      </c>
      <c r="G127" s="119">
        <f>+CPUE!F125</f>
        <v>14.651020155515056</v>
      </c>
      <c r="H127" s="117">
        <f>Effort!H125</f>
        <v>711.78422136077097</v>
      </c>
      <c r="I127" s="118">
        <f>Harvest!H125</f>
        <v>10676.763320411599</v>
      </c>
      <c r="J127" s="119">
        <f>CPUE!H125</f>
        <v>14.5</v>
      </c>
      <c r="K127" s="88" t="str">
        <f>Effort!J125</f>
        <v>CLOSED</v>
      </c>
      <c r="L127" s="89" t="str">
        <f>Harvest!J125</f>
        <v>CLOSED</v>
      </c>
      <c r="M127" s="90" t="str">
        <f>CPUE!J125</f>
        <v>CLOSED</v>
      </c>
      <c r="N127" s="117">
        <f>Effort!L125</f>
        <v>717.975054444894</v>
      </c>
      <c r="O127" s="118">
        <f>Harvest!L125</f>
        <v>10686.1403452263</v>
      </c>
      <c r="P127" s="119">
        <f>CPUE!L125</f>
        <v>14.883720930232517</v>
      </c>
      <c r="Q127" s="40" t="s">
        <v>10</v>
      </c>
      <c r="R127" s="41" t="s">
        <v>10</v>
      </c>
      <c r="S127" s="43" t="s">
        <v>10</v>
      </c>
      <c r="T127" s="40">
        <f>SUM(E127,H127,K127,N127)</f>
        <v>2409.2555516369671</v>
      </c>
      <c r="U127" s="41">
        <f t="shared" si="15"/>
        <v>35713.52334509424</v>
      </c>
      <c r="V127" s="41"/>
    </row>
    <row r="128" spans="1:24" x14ac:dyDescent="0.25">
      <c r="A128" s="136" t="s">
        <v>50</v>
      </c>
      <c r="B128" s="136"/>
      <c r="C128" s="136"/>
      <c r="D128" s="137"/>
      <c r="E128" s="46">
        <f>SUM(E122:E127)</f>
        <v>4780.557496332608</v>
      </c>
      <c r="F128" s="47">
        <f>SUM(F122:F127)</f>
        <v>70639.251420171073</v>
      </c>
      <c r="G128" s="48">
        <f>+F128/E128</f>
        <v>14.776362688736992</v>
      </c>
      <c r="H128" s="46">
        <f>SUM(H122:H127)</f>
        <v>4774.8311391205907</v>
      </c>
      <c r="I128" s="47">
        <f>SUM(I122:I127)</f>
        <v>70426.985242586088</v>
      </c>
      <c r="J128" s="48">
        <f>+I128/H128</f>
        <v>14.749628456087569</v>
      </c>
      <c r="K128" s="46">
        <f>SUM(K122:K127)</f>
        <v>3269.5547831958079</v>
      </c>
      <c r="L128" s="47">
        <f>SUM(L122:L127)</f>
        <v>45613.286740368399</v>
      </c>
      <c r="M128" s="48">
        <f>+L128/K128</f>
        <v>13.950916796012192</v>
      </c>
      <c r="N128" s="46">
        <f>SUM(N122:N127)</f>
        <v>1577.459951883289</v>
      </c>
      <c r="O128" s="47">
        <f>SUM(O122:O127)</f>
        <v>23578.413806802229</v>
      </c>
      <c r="P128" s="48">
        <f>+O128/N128</f>
        <v>14.947076012074072</v>
      </c>
      <c r="Q128" s="46"/>
      <c r="R128" s="47"/>
      <c r="S128" s="48"/>
      <c r="T128" s="46">
        <f>SUM(T122:T127)</f>
        <v>14402.403370532295</v>
      </c>
      <c r="U128" s="47">
        <f>SUM(U122:U127)</f>
        <v>210257.93720992777</v>
      </c>
      <c r="V128" s="61"/>
      <c r="W128" s="19">
        <f>SUM(H128,K128,N128,Q128,E128)</f>
        <v>14402.403370532295</v>
      </c>
      <c r="X128" s="19">
        <f>SUM(R128,O128,L128,I128,F128)</f>
        <v>210257.93720992777</v>
      </c>
    </row>
    <row r="129" spans="1:24" ht="15.75" thickBot="1" x14ac:dyDescent="0.3">
      <c r="A129" s="79"/>
      <c r="B129" s="79"/>
      <c r="C129" s="98"/>
      <c r="D129" s="62"/>
      <c r="E129" s="61"/>
      <c r="F129" s="61"/>
      <c r="G129" s="62"/>
      <c r="H129" s="61"/>
      <c r="I129" s="61"/>
      <c r="J129" s="62"/>
      <c r="K129" s="61"/>
      <c r="L129" s="61"/>
      <c r="M129" s="62"/>
      <c r="N129" s="61"/>
      <c r="O129" s="61"/>
      <c r="P129" s="62"/>
      <c r="Q129" s="61"/>
      <c r="R129" s="61"/>
      <c r="S129" s="62"/>
      <c r="T129" s="61"/>
      <c r="U129" s="61"/>
    </row>
    <row r="130" spans="1:24" ht="15.75" thickTop="1" x14ac:dyDescent="0.25">
      <c r="A130" s="55" t="s">
        <v>51</v>
      </c>
      <c r="B130" s="56"/>
      <c r="C130" s="99"/>
      <c r="D130" s="106"/>
      <c r="E130" s="57">
        <f>+SUM(E9,E17,E23,E31,E39,E47,E55,E63,E71,E79,E86,E94,E104,E112,E121,E128)</f>
        <v>96152.075704686125</v>
      </c>
      <c r="F130" s="57">
        <f>+SUM(F9,F17,F23,F31,F39,F47,F55,F63,F71,F79,F86,F94,F104,F112,F121,F128)</f>
        <v>1225499.874250303</v>
      </c>
      <c r="G130" s="58">
        <f>+F130/E130</f>
        <v>12.745433369677908</v>
      </c>
      <c r="H130" s="57">
        <f>+SUM(H9,H17,H23,H31,H39,H47,H55,H63,H71,H79,H86,H94,H104,H112,H121,H128)</f>
        <v>98095.968422134567</v>
      </c>
      <c r="I130" s="57">
        <f>+SUM(I9,I17,I23,I31,I39,I47,I55,I63,I71,I79,I86,I94,I104,I112,I121,I128)</f>
        <v>1248331.0658213357</v>
      </c>
      <c r="J130" s="58">
        <f>+I130/H130</f>
        <v>12.725610296739369</v>
      </c>
      <c r="K130" s="57">
        <f>+SUM(K9,K17,K23,K31,K39,K47,K55,K63,K71,K79,K86,K94,K104,K112,K121,K128)</f>
        <v>66628.085458421789</v>
      </c>
      <c r="L130" s="57">
        <f>+SUM(L9,L17,L23,L31,L39,L47,L55,L63,L71,L79,L86,L94,L104,L112,L121,L128)</f>
        <v>791059.26044123864</v>
      </c>
      <c r="M130" s="58">
        <f>+L130/K130</f>
        <v>11.872759887943753</v>
      </c>
      <c r="N130" s="57">
        <f>+SUM(N9,N17,N23,N31,N39,N47,N55,N63,N71,N79,N86,N94,N104,N112,N121,N128)</f>
        <v>51839.589826806761</v>
      </c>
      <c r="O130" s="57">
        <f>+SUM(O9,O17,O23,O31,O39,O47,O55,O63,O71,O79,O86,O94,O104,O112,O121,O128)</f>
        <v>621856.36253110424</v>
      </c>
      <c r="P130" s="58">
        <f>+O130/N130</f>
        <v>11.995780919731278</v>
      </c>
      <c r="Q130" s="57">
        <f>+SUM(Q9)</f>
        <v>0</v>
      </c>
      <c r="R130" s="57">
        <f>+SUM(R9)</f>
        <v>0</v>
      </c>
      <c r="S130" s="58">
        <v>0</v>
      </c>
      <c r="T130" s="57">
        <f>+SUM(T9,T17,T23,T31,T39,T47,T55,T63,T71,T79,T86,T94,T104,T112,T121,T128)</f>
        <v>312715.71941204928</v>
      </c>
      <c r="U130" s="57">
        <f>+SUM(U9,U17,U23,U31,U39,U47,U55,U63,U71,U79,U86,U94,U104,U112,U121,U128)</f>
        <v>3886746.5630439823</v>
      </c>
      <c r="V130" s="61"/>
      <c r="W130" s="19">
        <f>SUM(W4:W129)</f>
        <v>312715.71941204928</v>
      </c>
      <c r="X130" s="19">
        <f>SUM(X4:X129)</f>
        <v>3886746.5630439818</v>
      </c>
    </row>
    <row r="131" spans="1:24" x14ac:dyDescent="0.25">
      <c r="A131" s="59" t="s">
        <v>52</v>
      </c>
      <c r="B131" s="60"/>
      <c r="C131" s="100"/>
      <c r="D131" s="107"/>
      <c r="E131" s="61"/>
      <c r="F131" s="61">
        <f>Harvest!F129</f>
        <v>27706.953678702492</v>
      </c>
      <c r="G131" s="62"/>
      <c r="H131" s="61"/>
      <c r="I131" s="61">
        <f>Harvest!H129</f>
        <v>21637.738474236474</v>
      </c>
      <c r="J131" s="62"/>
      <c r="K131" s="61"/>
      <c r="L131" s="61">
        <f>Harvest!J129</f>
        <v>13843.53705772168</v>
      </c>
      <c r="M131" s="62"/>
      <c r="N131" s="61"/>
      <c r="O131" s="61">
        <f>Harvest!L129</f>
        <v>7924.5412570335402</v>
      </c>
      <c r="P131" s="62"/>
      <c r="Q131" s="61"/>
      <c r="R131" s="61">
        <f>Harvest!N129</f>
        <v>0</v>
      </c>
      <c r="S131" s="62"/>
      <c r="T131" s="61"/>
      <c r="U131" s="61">
        <f>F131+I131+L131+O131+R131</f>
        <v>71112.770467694194</v>
      </c>
      <c r="V131" s="61"/>
      <c r="W131" s="19">
        <f>SUM(H130,K130,N130,Q130,E130)</f>
        <v>312715.71941204928</v>
      </c>
      <c r="X131" s="19">
        <f>SUM(R130,O130,L130,I130,F130)</f>
        <v>3886746.5630439818</v>
      </c>
    </row>
    <row r="132" spans="1:24" x14ac:dyDescent="0.25">
      <c r="A132" s="63" t="s">
        <v>53</v>
      </c>
      <c r="B132" s="64"/>
      <c r="C132" s="101"/>
      <c r="D132" s="108"/>
      <c r="E132" s="65">
        <f>Effort!F127</f>
        <v>96152.075704686154</v>
      </c>
      <c r="F132" s="65">
        <f>F130+F131</f>
        <v>1253206.8279290055</v>
      </c>
      <c r="G132" s="66"/>
      <c r="H132" s="65">
        <f>Effort!H127</f>
        <v>98095.968422134538</v>
      </c>
      <c r="I132" s="65">
        <f>I130+I131</f>
        <v>1269968.8042955722</v>
      </c>
      <c r="J132" s="66"/>
      <c r="K132" s="65">
        <f>Effort!J127</f>
        <v>66628.085458421803</v>
      </c>
      <c r="L132" s="65">
        <f>L130+L131</f>
        <v>804902.79749896028</v>
      </c>
      <c r="M132" s="66"/>
      <c r="N132" s="65">
        <f>Effort!L127</f>
        <v>51839.589826806739</v>
      </c>
      <c r="O132" s="65">
        <f>O130+O131</f>
        <v>629780.90378813783</v>
      </c>
      <c r="P132" s="66"/>
      <c r="Q132" s="65">
        <f>Effort!N127</f>
        <v>0</v>
      </c>
      <c r="R132" s="65">
        <f>R130+R131</f>
        <v>0</v>
      </c>
      <c r="S132" s="66"/>
      <c r="T132" s="65">
        <f>SUM(T130:T131)</f>
        <v>312715.71941204928</v>
      </c>
      <c r="U132" s="67">
        <f>SUM(U130:U131)</f>
        <v>3957859.3335116766</v>
      </c>
      <c r="V132" s="61"/>
    </row>
    <row r="133" spans="1:24" x14ac:dyDescent="0.25">
      <c r="A133" s="68" t="s">
        <v>14</v>
      </c>
      <c r="B133" s="69"/>
      <c r="C133" s="102"/>
      <c r="D133" s="109"/>
      <c r="E133" s="69"/>
      <c r="F133" s="70">
        <f>Harvest!F132</f>
        <v>0.58599644409678464</v>
      </c>
      <c r="G133" s="69"/>
      <c r="H133" s="69"/>
      <c r="I133" s="70">
        <f>Harvest!H132</f>
        <v>0.54197048441094142</v>
      </c>
      <c r="J133" s="69"/>
      <c r="K133" s="69"/>
      <c r="L133" s="70">
        <f>Harvest!J132</f>
        <v>0.72763286877397348</v>
      </c>
      <c r="M133" s="69"/>
      <c r="N133" s="69"/>
      <c r="O133" s="70">
        <f>Harvest!L132</f>
        <v>0.34224372611734338</v>
      </c>
      <c r="P133" s="69"/>
      <c r="Q133" s="69"/>
      <c r="R133" s="70">
        <f>Harvest!N132</f>
        <v>0</v>
      </c>
      <c r="S133" s="69"/>
      <c r="T133" s="81"/>
      <c r="U133" s="82"/>
      <c r="V133" s="60"/>
      <c r="X133" s="19">
        <f>SUM(R132,O132,L132,I132,F132)</f>
        <v>3957859.3335116762</v>
      </c>
    </row>
  </sheetData>
  <mergeCells count="22">
    <mergeCell ref="A71:D71"/>
    <mergeCell ref="A79:D79"/>
    <mergeCell ref="A63:D63"/>
    <mergeCell ref="A55:D55"/>
    <mergeCell ref="T2:U2"/>
    <mergeCell ref="E2:G2"/>
    <mergeCell ref="H2:J2"/>
    <mergeCell ref="K2:M2"/>
    <mergeCell ref="N2:P2"/>
    <mergeCell ref="Q2:S2"/>
    <mergeCell ref="A39:D39"/>
    <mergeCell ref="A47:D47"/>
    <mergeCell ref="A31:D31"/>
    <mergeCell ref="A23:D23"/>
    <mergeCell ref="A9:D9"/>
    <mergeCell ref="A17:D17"/>
    <mergeCell ref="A112:D112"/>
    <mergeCell ref="A121:D121"/>
    <mergeCell ref="A128:D128"/>
    <mergeCell ref="A86:D86"/>
    <mergeCell ref="A94:D94"/>
    <mergeCell ref="A104:D104"/>
  </mergeCells>
  <phoneticPr fontId="17" type="noConversion"/>
  <pageMargins left="0.7" right="0.7" top="0.75" bottom="0.75" header="0.3" footer="0.3"/>
  <pageSetup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FD5E-4554-456C-879B-68A9CCB6CA1E}">
  <sheetPr>
    <pageSetUpPr fitToPage="1"/>
  </sheetPr>
  <dimension ref="A1:X133"/>
  <sheetViews>
    <sheetView topLeftCell="A118" zoomScale="110" zoomScaleNormal="110" workbookViewId="0">
      <selection activeCell="M120" sqref="M120"/>
    </sheetView>
  </sheetViews>
  <sheetFormatPr defaultRowHeight="15" x14ac:dyDescent="0.25"/>
  <cols>
    <col min="1" max="1" width="10" customWidth="1"/>
    <col min="3" max="3" width="9.140625" style="94"/>
    <col min="4" max="4" width="9.140625" style="20"/>
    <col min="20" max="20" width="10.85546875" style="19" customWidth="1"/>
    <col min="24" max="24" width="9.85546875" customWidth="1"/>
  </cols>
  <sheetData>
    <row r="1" spans="1:24" ht="15.75" thickBot="1" x14ac:dyDescent="0.3">
      <c r="A1" s="33" t="s">
        <v>65</v>
      </c>
      <c r="B1" s="33"/>
      <c r="C1" s="95"/>
      <c r="D1" s="10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44"/>
      <c r="U1" s="33"/>
      <c r="V1" s="80"/>
    </row>
    <row r="2" spans="1:24" ht="15.75" thickTop="1" x14ac:dyDescent="0.25">
      <c r="A2" s="34"/>
      <c r="B2" s="34"/>
      <c r="C2" s="96"/>
      <c r="D2" s="104"/>
      <c r="E2" s="140" t="s">
        <v>38</v>
      </c>
      <c r="F2" s="141"/>
      <c r="G2" s="142"/>
      <c r="H2" s="140" t="s">
        <v>39</v>
      </c>
      <c r="I2" s="141"/>
      <c r="J2" s="142"/>
      <c r="K2" s="140" t="s">
        <v>40</v>
      </c>
      <c r="L2" s="141"/>
      <c r="M2" s="142"/>
      <c r="N2" s="140" t="s">
        <v>41</v>
      </c>
      <c r="O2" s="141"/>
      <c r="P2" s="142"/>
      <c r="Q2" s="143" t="s">
        <v>42</v>
      </c>
      <c r="R2" s="144"/>
      <c r="S2" s="145"/>
      <c r="T2" s="138" t="s">
        <v>45</v>
      </c>
      <c r="U2" s="139"/>
      <c r="V2" s="41"/>
      <c r="W2" s="7" t="s">
        <v>57</v>
      </c>
      <c r="X2" s="7" t="s">
        <v>58</v>
      </c>
    </row>
    <row r="3" spans="1:24" ht="15.75" thickBot="1" x14ac:dyDescent="0.3">
      <c r="A3" s="35" t="s">
        <v>46</v>
      </c>
      <c r="B3" s="35" t="s">
        <v>47</v>
      </c>
      <c r="C3" s="97" t="s">
        <v>49</v>
      </c>
      <c r="D3" s="105" t="s">
        <v>48</v>
      </c>
      <c r="E3" s="36" t="s">
        <v>25</v>
      </c>
      <c r="F3" s="35" t="s">
        <v>26</v>
      </c>
      <c r="G3" s="35" t="s">
        <v>27</v>
      </c>
      <c r="H3" s="36" t="s">
        <v>25</v>
      </c>
      <c r="I3" s="35" t="s">
        <v>26</v>
      </c>
      <c r="J3" s="35" t="s">
        <v>27</v>
      </c>
      <c r="K3" s="36" t="s">
        <v>25</v>
      </c>
      <c r="L3" s="35" t="s">
        <v>26</v>
      </c>
      <c r="M3" s="35" t="s">
        <v>27</v>
      </c>
      <c r="N3" s="36" t="s">
        <v>25</v>
      </c>
      <c r="O3" s="35" t="s">
        <v>26</v>
      </c>
      <c r="P3" s="35" t="s">
        <v>27</v>
      </c>
      <c r="Q3" s="36" t="s">
        <v>25</v>
      </c>
      <c r="R3" s="35" t="s">
        <v>26</v>
      </c>
      <c r="S3" s="35" t="s">
        <v>27</v>
      </c>
      <c r="T3" s="45" t="s">
        <v>25</v>
      </c>
      <c r="U3" s="37" t="s">
        <v>26</v>
      </c>
      <c r="V3" s="41"/>
    </row>
    <row r="4" spans="1:24" ht="15.75" thickTop="1" x14ac:dyDescent="0.25">
      <c r="A4" s="38">
        <v>45568</v>
      </c>
      <c r="B4" s="39" t="s">
        <v>22</v>
      </c>
      <c r="C4" s="12">
        <v>0.81805555555555554</v>
      </c>
      <c r="D4" s="4">
        <v>0.33</v>
      </c>
      <c r="E4" s="40">
        <f>Effort!F2</f>
        <v>1477.3373553764991</v>
      </c>
      <c r="F4" s="41">
        <f>Harvest!F2</f>
        <v>18842.126317313698</v>
      </c>
      <c r="G4" s="42">
        <f>+CPUE!F2</f>
        <v>12.754112152340307</v>
      </c>
      <c r="H4" s="40">
        <f>Effort!H2</f>
        <v>1638.34279191357</v>
      </c>
      <c r="I4" s="41">
        <f>Harvest!H2</f>
        <v>23619.441916754</v>
      </c>
      <c r="J4" s="42">
        <f>CPUE!H2</f>
        <v>14.416666666666687</v>
      </c>
      <c r="K4" s="40" t="str">
        <f>Effort!J2</f>
        <v>CLOSED</v>
      </c>
      <c r="L4" s="41" t="str">
        <f>Harvest!J2</f>
        <v>CLOSED</v>
      </c>
      <c r="M4" s="42" t="str">
        <f>CPUE!J2</f>
        <v>CLOSED</v>
      </c>
      <c r="N4" s="40">
        <f>Effort!L2</f>
        <v>842.90278998707299</v>
      </c>
      <c r="O4" s="41">
        <f>Harvest!L2</f>
        <v>12300.137009440999</v>
      </c>
      <c r="P4" s="42">
        <f>CPUE!L2</f>
        <v>14.592592592592602</v>
      </c>
      <c r="Q4" s="40" t="s">
        <v>10</v>
      </c>
      <c r="R4" s="41" t="s">
        <v>10</v>
      </c>
      <c r="S4" s="43" t="s">
        <v>10</v>
      </c>
      <c r="T4" s="40">
        <f>SUM(E4,H4,K4,N4)</f>
        <v>3958.5829372771418</v>
      </c>
      <c r="U4" s="41">
        <f>SUM(F4,I4,L4,O4)</f>
        <v>54761.705243508703</v>
      </c>
      <c r="V4" s="41"/>
    </row>
    <row r="5" spans="1:24" x14ac:dyDescent="0.25">
      <c r="A5" s="38">
        <v>45569</v>
      </c>
      <c r="B5" s="39" t="s">
        <v>18</v>
      </c>
      <c r="C5" s="12">
        <v>0.84027777777777779</v>
      </c>
      <c r="D5" s="4">
        <v>0.13</v>
      </c>
      <c r="E5" s="40">
        <f>Effort!F3</f>
        <v>936.60758074618604</v>
      </c>
      <c r="F5" s="41">
        <f>Harvest!F3</f>
        <v>14049.113711192791</v>
      </c>
      <c r="G5" s="42">
        <f>+CPUE!F3</f>
        <v>15</v>
      </c>
      <c r="H5" s="40">
        <f>Effort!H3</f>
        <v>915.05694591220492</v>
      </c>
      <c r="I5" s="41">
        <f>Harvest!H3</f>
        <v>13725.854188683074</v>
      </c>
      <c r="J5" s="42">
        <f>CPUE!H3</f>
        <v>15</v>
      </c>
      <c r="K5" s="40">
        <f>Effort!J3</f>
        <v>1689.8019704625499</v>
      </c>
      <c r="L5" s="41">
        <f>Harvest!J3</f>
        <v>25230.491490009801</v>
      </c>
      <c r="M5" s="42">
        <f>CPUE!J3</f>
        <v>14.931034482758623</v>
      </c>
      <c r="N5" s="40" t="str">
        <f>Effort!L3</f>
        <v>CLOSED</v>
      </c>
      <c r="O5" s="41" t="str">
        <f>Harvest!L3</f>
        <v>CLOSED</v>
      </c>
      <c r="P5" s="42" t="str">
        <f>CPUE!L3</f>
        <v>CLOSED</v>
      </c>
      <c r="Q5" s="40" t="s">
        <v>10</v>
      </c>
      <c r="R5" s="41" t="s">
        <v>10</v>
      </c>
      <c r="S5" s="43" t="s">
        <v>10</v>
      </c>
      <c r="T5" s="40">
        <f t="shared" ref="T5:T8" si="0">SUM(E5,H5,K5,N5)</f>
        <v>3541.4664971209409</v>
      </c>
      <c r="U5" s="41">
        <f t="shared" ref="U5:U8" si="1">SUM(F5,I5,L5,O5)</f>
        <v>53005.459389885669</v>
      </c>
      <c r="V5" s="41"/>
    </row>
    <row r="6" spans="1:24" x14ac:dyDescent="0.25">
      <c r="A6" s="38">
        <v>45570</v>
      </c>
      <c r="B6" s="39" t="s">
        <v>19</v>
      </c>
      <c r="C6" s="12">
        <v>0.86388888888888893</v>
      </c>
      <c r="D6" s="4">
        <v>7.0000000000000007E-2</v>
      </c>
      <c r="E6" s="40">
        <f>Effort!F4</f>
        <v>1621.6753910154155</v>
      </c>
      <c r="F6" s="41">
        <f>Harvest!F4</f>
        <v>22703.455474215818</v>
      </c>
      <c r="G6" s="42">
        <f>+CPUE!F4</f>
        <v>14</v>
      </c>
      <c r="H6" s="40">
        <f>Effort!H4</f>
        <v>1584.3618619671199</v>
      </c>
      <c r="I6" s="41">
        <f>Harvest!H4</f>
        <v>22242.003062230699</v>
      </c>
      <c r="J6" s="42">
        <f>CPUE!H4</f>
        <v>14.038461538461524</v>
      </c>
      <c r="K6" s="40">
        <f>Effort!J4</f>
        <v>2925.78271575092</v>
      </c>
      <c r="L6" s="41">
        <f>Harvest!J4</f>
        <v>36243.879764506302</v>
      </c>
      <c r="M6" s="42">
        <f>CPUE!J4</f>
        <v>12.387755102040819</v>
      </c>
      <c r="N6" s="40" t="str">
        <f>Effort!L4</f>
        <v>CLOSED</v>
      </c>
      <c r="O6" s="41" t="str">
        <f>Harvest!L4</f>
        <v>CLOSED</v>
      </c>
      <c r="P6" s="42" t="str">
        <f>CPUE!L4</f>
        <v>CLOSED</v>
      </c>
      <c r="Q6" s="40" t="s">
        <v>10</v>
      </c>
      <c r="R6" s="41" t="s">
        <v>10</v>
      </c>
      <c r="S6" s="43" t="s">
        <v>10</v>
      </c>
      <c r="T6" s="40">
        <f t="shared" si="0"/>
        <v>6131.8199687334554</v>
      </c>
      <c r="U6" s="41">
        <f t="shared" si="1"/>
        <v>81189.338300952819</v>
      </c>
      <c r="V6" s="41"/>
    </row>
    <row r="7" spans="1:24" x14ac:dyDescent="0.25">
      <c r="A7" s="38">
        <v>45571</v>
      </c>
      <c r="B7" s="39" t="s">
        <v>20</v>
      </c>
      <c r="C7" s="12">
        <v>0.88888888888888884</v>
      </c>
      <c r="D7" s="4">
        <v>0.13</v>
      </c>
      <c r="E7" s="40">
        <f>Effort!F5</f>
        <v>472.51044346840672</v>
      </c>
      <c r="F7" s="41">
        <f>Harvest!F5</f>
        <v>7087.6566520261003</v>
      </c>
      <c r="G7" s="42">
        <f>+CPUE!F5</f>
        <v>15</v>
      </c>
      <c r="H7" s="40">
        <f>Effort!H5</f>
        <v>524.00629845514243</v>
      </c>
      <c r="I7" s="41">
        <f>Harvest!H5</f>
        <v>7860.0944768271365</v>
      </c>
      <c r="J7" s="42">
        <f>CPUE!H5</f>
        <v>15</v>
      </c>
      <c r="K7" s="40" t="str">
        <f>Effort!J5</f>
        <v>CLOSED</v>
      </c>
      <c r="L7" s="41" t="str">
        <f>Harvest!J5</f>
        <v>CLOSED</v>
      </c>
      <c r="M7" s="42" t="str">
        <f>CPUE!J5</f>
        <v>CLOSED</v>
      </c>
      <c r="N7" s="40">
        <f>Effort!L5</f>
        <v>269.59338004151903</v>
      </c>
      <c r="O7" s="41">
        <f>Harvest!L5</f>
        <v>4043.9007006227898</v>
      </c>
      <c r="P7" s="42">
        <f>CPUE!L5</f>
        <v>15.000000000000016</v>
      </c>
      <c r="Q7" s="40" t="s">
        <v>10</v>
      </c>
      <c r="R7" s="41" t="s">
        <v>10</v>
      </c>
      <c r="S7" s="43" t="s">
        <v>10</v>
      </c>
      <c r="T7" s="40">
        <f t="shared" si="0"/>
        <v>1266.1101219650682</v>
      </c>
      <c r="U7" s="41">
        <f t="shared" si="1"/>
        <v>18991.651829476028</v>
      </c>
      <c r="V7" s="41"/>
    </row>
    <row r="8" spans="1:24" x14ac:dyDescent="0.25">
      <c r="A8" s="38">
        <v>45572</v>
      </c>
      <c r="B8" s="39" t="s">
        <v>21</v>
      </c>
      <c r="C8" s="12">
        <v>0.91805555555555562</v>
      </c>
      <c r="D8" s="4">
        <v>0.3</v>
      </c>
      <c r="E8" s="40">
        <f>Effort!F6</f>
        <v>90.191841108891893</v>
      </c>
      <c r="F8" s="41">
        <f>Harvest!F6</f>
        <v>1352.8776166333785</v>
      </c>
      <c r="G8" s="42">
        <f>+CPUE!F6</f>
        <v>15</v>
      </c>
      <c r="H8" s="40">
        <f>Effort!H6</f>
        <v>158.78994028574201</v>
      </c>
      <c r="I8" s="41">
        <f>Harvest!H6</f>
        <v>2381.8491042861401</v>
      </c>
      <c r="J8" s="42">
        <f>CPUE!H6</f>
        <v>15.000000000000064</v>
      </c>
      <c r="K8" s="40" t="str">
        <f>Effort!J6</f>
        <v>CLOSED</v>
      </c>
      <c r="L8" s="41" t="str">
        <f>Harvest!J6</f>
        <v>CLOSED</v>
      </c>
      <c r="M8" s="42" t="str">
        <f>CPUE!J6</f>
        <v>CLOSED</v>
      </c>
      <c r="N8" s="40">
        <f>Effort!L6</f>
        <v>176.66393307284699</v>
      </c>
      <c r="O8" s="41">
        <f>Harvest!L6</f>
        <v>2649.9589960927001</v>
      </c>
      <c r="P8" s="42">
        <f>CPUE!L6</f>
        <v>14.999999999999973</v>
      </c>
      <c r="Q8" s="40" t="s">
        <v>10</v>
      </c>
      <c r="R8" s="41" t="s">
        <v>10</v>
      </c>
      <c r="S8" s="43" t="s">
        <v>10</v>
      </c>
      <c r="T8" s="40">
        <f t="shared" si="0"/>
        <v>425.6457144674809</v>
      </c>
      <c r="U8" s="41">
        <f t="shared" si="1"/>
        <v>6384.6857170122184</v>
      </c>
      <c r="V8" s="41"/>
    </row>
    <row r="9" spans="1:24" x14ac:dyDescent="0.25">
      <c r="A9" s="136" t="s">
        <v>50</v>
      </c>
      <c r="B9" s="136"/>
      <c r="C9" s="136"/>
      <c r="D9" s="137"/>
      <c r="E9" s="46">
        <f>SUM(E4:E8)</f>
        <v>4598.322611715399</v>
      </c>
      <c r="F9" s="47">
        <f>SUM(F4:F8)</f>
        <v>64035.229771381775</v>
      </c>
      <c r="G9" s="48">
        <f>+F9/E9</f>
        <v>13.925780154753758</v>
      </c>
      <c r="H9" s="46">
        <f>SUM(H4:H8)</f>
        <v>4820.5578385337794</v>
      </c>
      <c r="I9" s="47">
        <f>SUM(I4:I8)</f>
        <v>69829.242748781049</v>
      </c>
      <c r="J9" s="48">
        <f>+I9/H9</f>
        <v>14.485718269074914</v>
      </c>
      <c r="K9" s="46">
        <f>SUM(K4:K8)</f>
        <v>4615.5846862134695</v>
      </c>
      <c r="L9" s="47">
        <f>SUM(L4:L8)</f>
        <v>61474.371254516103</v>
      </c>
      <c r="M9" s="48">
        <f>+L9/K9</f>
        <v>13.31886974972794</v>
      </c>
      <c r="N9" s="46">
        <f>SUM(N4:N8)</f>
        <v>1289.1601031014391</v>
      </c>
      <c r="O9" s="47">
        <f>SUM(O4:O8)</f>
        <v>18993.996706156489</v>
      </c>
      <c r="P9" s="48">
        <f>+O9/N9</f>
        <v>14.733621262759421</v>
      </c>
      <c r="Q9" s="46"/>
      <c r="R9" s="47"/>
      <c r="S9" s="48"/>
      <c r="T9" s="46">
        <f>SUM(T4:T8)</f>
        <v>15323.625239564088</v>
      </c>
      <c r="U9" s="47">
        <f>SUM(U4:U8)</f>
        <v>214332.84048083544</v>
      </c>
      <c r="V9" s="61"/>
      <c r="W9" s="19">
        <f>SUM(H9,K9,N9,Q9,E9)</f>
        <v>15323.625239564088</v>
      </c>
      <c r="X9" s="19">
        <f>SUM(R9,O9,L9,I9,F9)</f>
        <v>214332.84048083541</v>
      </c>
    </row>
    <row r="10" spans="1:24" x14ac:dyDescent="0.25">
      <c r="A10" s="38">
        <v>45580</v>
      </c>
      <c r="B10" s="39" t="s">
        <v>61</v>
      </c>
      <c r="C10" s="12">
        <v>0.72986111111111107</v>
      </c>
      <c r="D10" s="4">
        <v>0.53</v>
      </c>
      <c r="E10" s="88">
        <f>Effort!F8</f>
        <v>1395.6320323121433</v>
      </c>
      <c r="F10" s="89">
        <f>Harvest!F8</f>
        <v>20236.66446852608</v>
      </c>
      <c r="G10" s="90">
        <f>+CPUE!F7</f>
        <v>0</v>
      </c>
      <c r="H10" s="88">
        <f>Effort!H8</f>
        <v>1116.86597425219</v>
      </c>
      <c r="I10" s="89">
        <f>Harvest!H8</f>
        <v>15785.0391027642</v>
      </c>
      <c r="J10" s="90">
        <f>CPUE!H8</f>
        <v>14.133333333333256</v>
      </c>
      <c r="K10" s="88" t="str">
        <f>Effort!J8</f>
        <v>CLOSED</v>
      </c>
      <c r="L10" s="89" t="str">
        <f>Harvest!J8</f>
        <v>CLOSED</v>
      </c>
      <c r="M10" s="90" t="str">
        <f>CPUE!J8</f>
        <v>CLOSED</v>
      </c>
      <c r="N10" s="88">
        <f>Effort!L8</f>
        <v>1020.37005630083</v>
      </c>
      <c r="O10" s="89">
        <f>Harvest!L8</f>
        <v>15184.078218762301</v>
      </c>
      <c r="P10" s="90">
        <f>CPUE!L8</f>
        <v>14.880952380952332</v>
      </c>
      <c r="Q10" s="40" t="s">
        <v>10</v>
      </c>
      <c r="R10" s="41" t="s">
        <v>10</v>
      </c>
      <c r="S10" s="43" t="s">
        <v>10</v>
      </c>
      <c r="T10" s="40">
        <f>SUM(E10,H10,K10,N10)</f>
        <v>3532.8680628651632</v>
      </c>
      <c r="U10" s="41">
        <f>SUM(F10,I10,L10,O10)</f>
        <v>51205.781790052584</v>
      </c>
      <c r="V10" s="41"/>
    </row>
    <row r="11" spans="1:24" x14ac:dyDescent="0.25">
      <c r="A11" s="38">
        <v>45581</v>
      </c>
      <c r="B11" s="39" t="s">
        <v>62</v>
      </c>
      <c r="C11" s="12">
        <v>0.76250000000000007</v>
      </c>
      <c r="D11" s="4">
        <v>-0.48</v>
      </c>
      <c r="E11" s="88">
        <f>Effort!F9</f>
        <v>1152.5827835270429</v>
      </c>
      <c r="F11" s="89">
        <f>Harvest!F9</f>
        <v>14773.165300431221</v>
      </c>
      <c r="G11" s="90">
        <f>+CPUE!F8</f>
        <v>14.5</v>
      </c>
      <c r="H11" s="88">
        <f>Effort!H9</f>
        <v>1190.024780211058</v>
      </c>
      <c r="I11" s="89">
        <f>Harvest!H9</f>
        <v>17850.371703165871</v>
      </c>
      <c r="J11" s="90">
        <f>CPUE!H9</f>
        <v>15</v>
      </c>
      <c r="K11" s="88">
        <f>Effort!J9</f>
        <v>1560.35964808012</v>
      </c>
      <c r="L11" s="89">
        <f>Harvest!J9</f>
        <v>23405.394721201901</v>
      </c>
      <c r="M11" s="90">
        <f>CPUE!J9</f>
        <v>15.000000000000066</v>
      </c>
      <c r="N11" s="88" t="str">
        <f>Effort!L9</f>
        <v>CLOSED</v>
      </c>
      <c r="O11" s="89" t="str">
        <f>Harvest!L9</f>
        <v>CLOSED</v>
      </c>
      <c r="P11" s="90" t="str">
        <f>CPUE!L9</f>
        <v>CLOSED</v>
      </c>
      <c r="Q11" s="40" t="s">
        <v>10</v>
      </c>
      <c r="R11" s="41" t="s">
        <v>10</v>
      </c>
      <c r="S11" s="43" t="s">
        <v>10</v>
      </c>
      <c r="T11" s="40">
        <f t="shared" ref="T11:T15" si="2">SUM(E11,H11,K11,N11)</f>
        <v>3902.9672118182207</v>
      </c>
      <c r="U11" s="41">
        <f t="shared" ref="U11:U16" si="3">SUM(F11,I11,L11,O11)</f>
        <v>56028.931724798997</v>
      </c>
      <c r="V11" s="41"/>
    </row>
    <row r="12" spans="1:24" x14ac:dyDescent="0.25">
      <c r="A12" s="38">
        <v>45582</v>
      </c>
      <c r="B12" s="39" t="s">
        <v>22</v>
      </c>
      <c r="C12" s="12">
        <v>0.79375000000000007</v>
      </c>
      <c r="D12" s="4">
        <v>-1.25</v>
      </c>
      <c r="E12" s="88">
        <f>Effort!F10</f>
        <v>1631.7989200021459</v>
      </c>
      <c r="F12" s="89">
        <f>Harvest!F10</f>
        <v>23661.084340031117</v>
      </c>
      <c r="G12" s="90">
        <f>+CPUE!F9</f>
        <v>12.817444014931011</v>
      </c>
      <c r="H12" s="88">
        <f>Effort!H10</f>
        <v>1684.8083963060801</v>
      </c>
      <c r="I12" s="89">
        <f>Harvest!H10</f>
        <v>24968.3080370606</v>
      </c>
      <c r="J12" s="90">
        <f>CPUE!H10</f>
        <v>14.819672131147543</v>
      </c>
      <c r="K12" s="88">
        <f>Effort!J10</f>
        <v>2209.1195747002298</v>
      </c>
      <c r="L12" s="89">
        <f>Harvest!J10</f>
        <v>32203.362814291999</v>
      </c>
      <c r="M12" s="90">
        <f>CPUE!J10</f>
        <v>14.577464788732357</v>
      </c>
      <c r="N12" s="88" t="str">
        <f>Effort!L10</f>
        <v>CLOSED</v>
      </c>
      <c r="O12" s="89" t="str">
        <f>Harvest!L10</f>
        <v>CLOSED</v>
      </c>
      <c r="P12" s="90" t="str">
        <f>CPUE!L10</f>
        <v>CLOSED</v>
      </c>
      <c r="Q12" s="40" t="s">
        <v>10</v>
      </c>
      <c r="R12" s="41" t="s">
        <v>10</v>
      </c>
      <c r="S12" s="43" t="s">
        <v>10</v>
      </c>
      <c r="T12" s="40">
        <f t="shared" si="2"/>
        <v>5525.7268910084558</v>
      </c>
      <c r="U12" s="41">
        <f t="shared" si="3"/>
        <v>80832.755191383709</v>
      </c>
      <c r="V12" s="41"/>
    </row>
    <row r="13" spans="1:24" x14ac:dyDescent="0.25">
      <c r="A13" s="38">
        <v>45583</v>
      </c>
      <c r="B13" s="39" t="s">
        <v>18</v>
      </c>
      <c r="C13" s="12">
        <v>0.8256944444444444</v>
      </c>
      <c r="D13" s="4">
        <v>-1.66</v>
      </c>
      <c r="E13" s="88">
        <f>Effort!F11</f>
        <v>1240.2797325060574</v>
      </c>
      <c r="F13" s="89">
        <f>Harvest!F11</f>
        <v>4340.9790637712013</v>
      </c>
      <c r="G13" s="90">
        <f>+CPUE!F10</f>
        <v>14.5</v>
      </c>
      <c r="H13" s="88">
        <f>Effort!H11</f>
        <v>954.45188682325897</v>
      </c>
      <c r="I13" s="89">
        <f>Harvest!H11</f>
        <v>4854.0695958440001</v>
      </c>
      <c r="J13" s="90">
        <f>CPUE!H11</f>
        <v>5.0857142857142827</v>
      </c>
      <c r="K13" s="88" t="str">
        <f>Effort!J11</f>
        <v>CLOSED</v>
      </c>
      <c r="L13" s="89" t="str">
        <f>Harvest!J11</f>
        <v>CLOSED</v>
      </c>
      <c r="M13" s="90" t="str">
        <f>CPUE!J11</f>
        <v>CLOSED</v>
      </c>
      <c r="N13" s="88">
        <f>Effort!L11</f>
        <v>906.78937655891798</v>
      </c>
      <c r="O13" s="89">
        <f>Harvest!L11</f>
        <v>2593.8393794592298</v>
      </c>
      <c r="P13" s="90">
        <f>CPUE!L11</f>
        <v>2.8604651162790691</v>
      </c>
      <c r="Q13" s="40" t="s">
        <v>10</v>
      </c>
      <c r="R13" s="41" t="s">
        <v>10</v>
      </c>
      <c r="S13" s="43" t="s">
        <v>10</v>
      </c>
      <c r="T13" s="40">
        <f t="shared" si="2"/>
        <v>3101.5209958882342</v>
      </c>
      <c r="U13" s="41">
        <f t="shared" si="3"/>
        <v>11788.888039074431</v>
      </c>
      <c r="V13" s="41"/>
    </row>
    <row r="14" spans="1:24" x14ac:dyDescent="0.25">
      <c r="A14" s="38">
        <v>45584</v>
      </c>
      <c r="B14" s="39" t="s">
        <v>19</v>
      </c>
      <c r="C14" s="12">
        <v>0.85763888888888884</v>
      </c>
      <c r="D14" s="4">
        <v>-1.69</v>
      </c>
      <c r="E14" s="88">
        <f>Effort!F12</f>
        <v>2309.9186906129098</v>
      </c>
      <c r="F14" s="89">
        <f>Harvest!F12</f>
        <v>26102.081203925882</v>
      </c>
      <c r="G14" s="90">
        <f>+CPUE!F11</f>
        <v>3.5</v>
      </c>
      <c r="H14" s="88">
        <f>Effort!H12</f>
        <v>1735.9675779954241</v>
      </c>
      <c r="I14" s="89">
        <f>Harvest!H12</f>
        <v>15623.708201958816</v>
      </c>
      <c r="J14" s="90">
        <f>CPUE!H12</f>
        <v>9</v>
      </c>
      <c r="K14" s="88" t="str">
        <f>Effort!J12</f>
        <v>CLOSED</v>
      </c>
      <c r="L14" s="89" t="str">
        <f>Harvest!J12</f>
        <v>CLOSED</v>
      </c>
      <c r="M14" s="90" t="str">
        <f>CPUE!J12</f>
        <v>CLOSED</v>
      </c>
      <c r="N14" s="88">
        <f>Effort!L12</f>
        <v>1649.2784806746999</v>
      </c>
      <c r="O14" s="89">
        <f>Harvest!L12</f>
        <v>13531.5802618992</v>
      </c>
      <c r="P14" s="90">
        <f>CPUE!L12</f>
        <v>8.2045454545454284</v>
      </c>
      <c r="Q14" s="40" t="s">
        <v>10</v>
      </c>
      <c r="R14" s="41" t="s">
        <v>10</v>
      </c>
      <c r="S14" s="43" t="s">
        <v>10</v>
      </c>
      <c r="T14" s="40">
        <f t="shared" si="2"/>
        <v>5695.1647492830343</v>
      </c>
      <c r="U14" s="41">
        <f t="shared" si="3"/>
        <v>55257.369667783903</v>
      </c>
      <c r="V14" s="41"/>
    </row>
    <row r="15" spans="1:24" x14ac:dyDescent="0.25">
      <c r="A15" s="38">
        <v>45585</v>
      </c>
      <c r="B15" s="39" t="s">
        <v>20</v>
      </c>
      <c r="C15" s="12">
        <v>0.89166666666666661</v>
      </c>
      <c r="D15" s="4">
        <v>-1.36</v>
      </c>
      <c r="E15" s="88">
        <f>Effort!F13</f>
        <v>384.93669219002567</v>
      </c>
      <c r="F15" s="89">
        <f>Harvest!F13</f>
        <v>5774.0503828503852</v>
      </c>
      <c r="G15" s="90">
        <f>+CPUE!F12</f>
        <v>11.3</v>
      </c>
      <c r="H15" s="88">
        <f>Effort!H13</f>
        <v>397.4414758450701</v>
      </c>
      <c r="I15" s="89">
        <f>Harvest!H13</f>
        <v>5961.6221376760514</v>
      </c>
      <c r="J15" s="90">
        <f>CPUE!H13</f>
        <v>15</v>
      </c>
      <c r="K15" s="88">
        <f>Effort!J13</f>
        <v>521.12498134036298</v>
      </c>
      <c r="L15" s="89">
        <f>Harvest!J13</f>
        <v>7816.8747201054402</v>
      </c>
      <c r="M15" s="90">
        <f>CPUE!J13</f>
        <v>14.999999999999991</v>
      </c>
      <c r="N15" s="88" t="str">
        <f>Effort!L13</f>
        <v>CLOSED</v>
      </c>
      <c r="O15" s="89" t="str">
        <f>Harvest!L13</f>
        <v>CLOSED</v>
      </c>
      <c r="P15" s="90" t="str">
        <f>CPUE!L13</f>
        <v>CLOSED</v>
      </c>
      <c r="Q15" s="40" t="s">
        <v>10</v>
      </c>
      <c r="R15" s="41" t="s">
        <v>10</v>
      </c>
      <c r="S15" s="43" t="s">
        <v>10</v>
      </c>
      <c r="T15" s="40">
        <f t="shared" si="2"/>
        <v>1303.5031493754586</v>
      </c>
      <c r="U15" s="41">
        <f t="shared" si="3"/>
        <v>19552.547240631877</v>
      </c>
      <c r="V15" s="41"/>
    </row>
    <row r="16" spans="1:24" x14ac:dyDescent="0.25">
      <c r="A16" s="38">
        <v>45586</v>
      </c>
      <c r="B16" s="39" t="s">
        <v>21</v>
      </c>
      <c r="C16" s="12">
        <v>0.9277777777777777</v>
      </c>
      <c r="D16" s="4">
        <v>-0.78</v>
      </c>
      <c r="E16" s="88">
        <f>Effort!F14</f>
        <v>206.9241763263432</v>
      </c>
      <c r="F16" s="89">
        <f>Harvest!F14</f>
        <v>3103.8626448951482</v>
      </c>
      <c r="G16" s="90">
        <f>+CPUE!F13</f>
        <v>15</v>
      </c>
      <c r="H16" s="88">
        <f>Effort!H14</f>
        <v>213.64617012547379</v>
      </c>
      <c r="I16" s="89">
        <f>Harvest!H14</f>
        <v>3204.6925518821067</v>
      </c>
      <c r="J16" s="90">
        <f>CPUE!H14</f>
        <v>15</v>
      </c>
      <c r="K16" s="88">
        <f>Effort!J14</f>
        <v>280.13270679248001</v>
      </c>
      <c r="L16" s="89">
        <f>Harvest!J14</f>
        <v>4201.9906018871998</v>
      </c>
      <c r="M16" s="90">
        <f>CPUE!J14</f>
        <v>14.999999999999998</v>
      </c>
      <c r="N16" s="88" t="str">
        <f>Effort!L14</f>
        <v>CLOSED</v>
      </c>
      <c r="O16" s="89" t="str">
        <f>Harvest!L14</f>
        <v>CLOSED</v>
      </c>
      <c r="P16" s="90" t="str">
        <f>CPUE!L14</f>
        <v>CLOSED</v>
      </c>
      <c r="Q16" s="40" t="s">
        <v>10</v>
      </c>
      <c r="R16" s="41" t="s">
        <v>10</v>
      </c>
      <c r="S16" s="43" t="s">
        <v>10</v>
      </c>
      <c r="T16" s="40">
        <f>SUM(E16,H16,K16,N16)</f>
        <v>700.70305324429705</v>
      </c>
      <c r="U16" s="41">
        <f t="shared" si="3"/>
        <v>10510.545798664454</v>
      </c>
      <c r="V16" s="41"/>
    </row>
    <row r="17" spans="1:24" x14ac:dyDescent="0.25">
      <c r="A17" s="136" t="s">
        <v>50</v>
      </c>
      <c r="B17" s="136"/>
      <c r="C17" s="136"/>
      <c r="D17" s="137"/>
      <c r="E17" s="46">
        <f>SUM(E10:E16)</f>
        <v>8322.0730274766684</v>
      </c>
      <c r="F17" s="47">
        <f>SUM(F10:F16)</f>
        <v>97991.887404431051</v>
      </c>
      <c r="G17" s="48">
        <f>+F17/E17</f>
        <v>11.774937215870974</v>
      </c>
      <c r="H17" s="46">
        <f>SUM(H10:H16)</f>
        <v>7293.2062615585555</v>
      </c>
      <c r="I17" s="47">
        <f>SUM(I10:I16)</f>
        <v>88247.811330351644</v>
      </c>
      <c r="J17" s="48">
        <f>+I17/H17</f>
        <v>12.100002134245566</v>
      </c>
      <c r="K17" s="46">
        <f>SUM(K10:K16)</f>
        <v>4570.7369109131932</v>
      </c>
      <c r="L17" s="47">
        <f>SUM(L10:L16)</f>
        <v>67627.622857486553</v>
      </c>
      <c r="M17" s="48">
        <f>+L17/K17</f>
        <v>14.795781112672955</v>
      </c>
      <c r="N17" s="46">
        <f>SUM(N10:N16)</f>
        <v>3576.4379135344479</v>
      </c>
      <c r="O17" s="47">
        <f>SUM(O10:O16)</f>
        <v>31309.497860120733</v>
      </c>
      <c r="P17" s="48">
        <f>+O17/N17</f>
        <v>8.7543803687001045</v>
      </c>
      <c r="Q17" s="46"/>
      <c r="R17" s="47"/>
      <c r="S17" s="48"/>
      <c r="T17" s="46">
        <f>SUM(T10:T16)</f>
        <v>23762.454113482865</v>
      </c>
      <c r="U17" s="47">
        <f>SUM(U10:U16)</f>
        <v>285176.81945238996</v>
      </c>
      <c r="V17" s="61"/>
      <c r="W17" s="19">
        <f>SUM(H17,K17,N17,Q17,E17)</f>
        <v>23762.454113482865</v>
      </c>
      <c r="X17" s="19">
        <f>SUM(R17,O17,L17,I17,F17)</f>
        <v>285176.81945239002</v>
      </c>
    </row>
    <row r="18" spans="1:24" x14ac:dyDescent="0.25">
      <c r="A18" s="38">
        <v>45597</v>
      </c>
      <c r="B18" s="39" t="s">
        <v>18</v>
      </c>
      <c r="C18" s="12">
        <v>0.80208333333333337</v>
      </c>
      <c r="D18" s="4">
        <v>-0.19</v>
      </c>
      <c r="E18" s="40">
        <f>Effort!F16</f>
        <v>768.482866430238</v>
      </c>
      <c r="F18" s="41">
        <f>Harvest!F16</f>
        <v>9423.2495104739592</v>
      </c>
      <c r="G18" s="42">
        <f>+CPUE!F16</f>
        <v>12.262146525461139</v>
      </c>
      <c r="H18" s="40">
        <f>Effort!H16</f>
        <v>1078.6289722421523</v>
      </c>
      <c r="I18" s="41">
        <f>Harvest!H16</f>
        <v>14022.17663914798</v>
      </c>
      <c r="J18" s="42">
        <f>CPUE!H16</f>
        <v>13</v>
      </c>
      <c r="K18" s="40" t="str">
        <f>Effort!J16</f>
        <v>CLOSED</v>
      </c>
      <c r="L18" s="41" t="str">
        <f>Harvest!J16</f>
        <v>CLOSED</v>
      </c>
      <c r="M18" s="42" t="str">
        <f>CPUE!J16</f>
        <v>CLOSED</v>
      </c>
      <c r="N18" s="40">
        <f>Effort!L16</f>
        <v>947.326833863503</v>
      </c>
      <c r="O18" s="41">
        <f>Harvest!L16</f>
        <v>12543.9139380547</v>
      </c>
      <c r="P18" s="42">
        <f>CPUE!L16</f>
        <v>13.24137931034487</v>
      </c>
      <c r="Q18" s="40" t="s">
        <v>10</v>
      </c>
      <c r="R18" s="41" t="s">
        <v>10</v>
      </c>
      <c r="S18" s="43" t="s">
        <v>10</v>
      </c>
      <c r="T18" s="40">
        <f>SUM(E18,H18,K18,N18)</f>
        <v>2794.4386725358931</v>
      </c>
      <c r="U18" s="41">
        <f>SUM(F18,I18,L18,O18)</f>
        <v>35989.340087676639</v>
      </c>
      <c r="V18" s="41"/>
    </row>
    <row r="19" spans="1:24" x14ac:dyDescent="0.25">
      <c r="A19" s="38">
        <v>45598</v>
      </c>
      <c r="B19" s="39" t="s">
        <v>19</v>
      </c>
      <c r="C19" s="12">
        <v>0.82430555555555562</v>
      </c>
      <c r="D19" s="4">
        <v>-0.36</v>
      </c>
      <c r="E19" s="40">
        <f>Effort!F17</f>
        <v>847.38925624799901</v>
      </c>
      <c r="F19" s="41">
        <f>Harvest!F17</f>
        <v>11016.060331223987</v>
      </c>
      <c r="G19" s="42">
        <f>+CPUE!F17</f>
        <v>13</v>
      </c>
      <c r="H19" s="40">
        <f>Effort!H17</f>
        <v>1189.3805867157801</v>
      </c>
      <c r="I19" s="41">
        <f>Harvest!H17</f>
        <v>15635.398962867899</v>
      </c>
      <c r="J19" s="42">
        <f>CPUE!H17</f>
        <v>13.145833333333368</v>
      </c>
      <c r="K19" s="40" t="str">
        <f>Effort!J17</f>
        <v>CLOSED</v>
      </c>
      <c r="L19" s="41" t="str">
        <f>Harvest!J17</f>
        <v>CLOSED</v>
      </c>
      <c r="M19" s="42" t="str">
        <f>CPUE!J17</f>
        <v>CLOSED</v>
      </c>
      <c r="N19" s="40">
        <f>Effort!L17</f>
        <v>1044.5965892516599</v>
      </c>
      <c r="O19" s="41">
        <f>Harvest!L17</f>
        <v>10012.840477461001</v>
      </c>
      <c r="P19" s="42">
        <f>CPUE!L17</f>
        <v>9.5853658536585051</v>
      </c>
      <c r="Q19" s="40" t="s">
        <v>10</v>
      </c>
      <c r="R19" s="41" t="s">
        <v>10</v>
      </c>
      <c r="S19" s="43" t="s">
        <v>10</v>
      </c>
      <c r="T19" s="40">
        <f t="shared" ref="T19:T22" si="4">SUM(E19,H19,K19,N19)</f>
        <v>3081.3664322154391</v>
      </c>
      <c r="U19" s="41">
        <f t="shared" ref="U19:U22" si="5">SUM(F19,I19,L19,O19)</f>
        <v>36664.299771552891</v>
      </c>
      <c r="V19" s="41"/>
    </row>
    <row r="20" spans="1:24" x14ac:dyDescent="0.25">
      <c r="A20" s="38">
        <v>45599</v>
      </c>
      <c r="B20" s="39" t="s">
        <v>20</v>
      </c>
      <c r="C20" s="12">
        <v>0.80694444444444446</v>
      </c>
      <c r="D20" s="4">
        <v>-0.39</v>
      </c>
      <c r="E20" s="40">
        <f>Effort!F18</f>
        <v>260.37759671916149</v>
      </c>
      <c r="F20" s="41">
        <f>Harvest!F18</f>
        <v>1353.9635029396397</v>
      </c>
      <c r="G20" s="42">
        <f>+CPUE!F18</f>
        <v>5.2</v>
      </c>
      <c r="H20" s="40">
        <f>Effort!H18</f>
        <v>450.80604056495002</v>
      </c>
      <c r="I20" s="41">
        <f>Harvest!H18</f>
        <v>829.48311463950802</v>
      </c>
      <c r="J20" s="42">
        <f>CPUE!H18</f>
        <v>1.8399999999999999</v>
      </c>
      <c r="K20" s="40">
        <f>Effort!J18</f>
        <v>547.69196369950703</v>
      </c>
      <c r="L20" s="41">
        <f>Harvest!J18</f>
        <v>2243.7703028979799</v>
      </c>
      <c r="M20" s="42">
        <f>CPUE!J18</f>
        <v>4.0967741935483861</v>
      </c>
      <c r="N20" s="40" t="str">
        <f>Effort!L18</f>
        <v>CLOSED</v>
      </c>
      <c r="O20" s="41" t="str">
        <f>Harvest!L18</f>
        <v>CLOSED</v>
      </c>
      <c r="P20" s="42" t="str">
        <f>CPUE!L18</f>
        <v>CLOSED</v>
      </c>
      <c r="Q20" s="40" t="s">
        <v>10</v>
      </c>
      <c r="R20" s="41" t="s">
        <v>10</v>
      </c>
      <c r="S20" s="43" t="s">
        <v>10</v>
      </c>
      <c r="T20" s="40">
        <f t="shared" si="4"/>
        <v>1258.8756009836184</v>
      </c>
      <c r="U20" s="41">
        <f t="shared" si="5"/>
        <v>4427.2169204771271</v>
      </c>
      <c r="V20" s="41"/>
    </row>
    <row r="21" spans="1:24" x14ac:dyDescent="0.25">
      <c r="A21" s="38">
        <v>45600</v>
      </c>
      <c r="B21" s="39" t="s">
        <v>21</v>
      </c>
      <c r="C21" s="12">
        <v>0.83333333333333337</v>
      </c>
      <c r="D21" s="4">
        <v>-0.28999999999999998</v>
      </c>
      <c r="E21" s="40">
        <f>Effort!F19</f>
        <v>51.109810331623812</v>
      </c>
      <c r="F21" s="41">
        <f>Harvest!F19</f>
        <v>459.9882929846143</v>
      </c>
      <c r="G21" s="42">
        <f>+CPUE!F19</f>
        <v>9</v>
      </c>
      <c r="H21" s="40">
        <f>Effort!H19</f>
        <v>88.489223035866971</v>
      </c>
      <c r="I21" s="41">
        <f>Harvest!H19</f>
        <v>796.40300732280275</v>
      </c>
      <c r="J21" s="42">
        <f>CPUE!H19</f>
        <v>9</v>
      </c>
      <c r="K21" s="40">
        <f>Effort!J19</f>
        <v>107.50706949272799</v>
      </c>
      <c r="L21" s="41">
        <f>Harvest!J19</f>
        <v>967.56362543455305</v>
      </c>
      <c r="M21" s="42">
        <f>CPUE!J19</f>
        <v>9.0000000000000107</v>
      </c>
      <c r="N21" s="40" t="str">
        <f>Effort!L19</f>
        <v>CLOSED</v>
      </c>
      <c r="O21" s="41" t="str">
        <f>Harvest!L19</f>
        <v>CLOSED</v>
      </c>
      <c r="P21" s="42" t="str">
        <f>CPUE!L19</f>
        <v>CLOSED</v>
      </c>
      <c r="Q21" s="40" t="s">
        <v>10</v>
      </c>
      <c r="R21" s="41" t="s">
        <v>10</v>
      </c>
      <c r="S21" s="43" t="s">
        <v>10</v>
      </c>
      <c r="T21" s="40">
        <f t="shared" si="4"/>
        <v>247.10610286021878</v>
      </c>
      <c r="U21" s="41">
        <f t="shared" si="5"/>
        <v>2223.9549257419703</v>
      </c>
      <c r="V21" s="41"/>
    </row>
    <row r="22" spans="1:24" x14ac:dyDescent="0.25">
      <c r="A22" s="38">
        <v>45601</v>
      </c>
      <c r="B22" s="39" t="s">
        <v>61</v>
      </c>
      <c r="C22" s="12">
        <v>0.86249999999999993</v>
      </c>
      <c r="D22" s="4">
        <v>-0.09</v>
      </c>
      <c r="E22" s="40">
        <f>Effort!F20</f>
        <v>79.464009410982257</v>
      </c>
      <c r="F22" s="41">
        <f>Harvest!F20</f>
        <v>1033.0321223427693</v>
      </c>
      <c r="G22" s="42">
        <f>+CPUE!F20</f>
        <v>13</v>
      </c>
      <c r="H22" s="40">
        <f>Effort!H20</f>
        <v>109.37500059266</v>
      </c>
      <c r="I22" s="41">
        <f>Harvest!H20</f>
        <v>1531.2500082972399</v>
      </c>
      <c r="J22" s="42">
        <f>CPUE!H20</f>
        <v>13.999999999999998</v>
      </c>
      <c r="K22" s="40" t="str">
        <f>Effort!J20</f>
        <v>CLOSED</v>
      </c>
      <c r="L22" s="41" t="str">
        <f>Harvest!J20</f>
        <v>CLOSED</v>
      </c>
      <c r="M22" s="42" t="str">
        <f>CPUE!J20</f>
        <v>CLOSED</v>
      </c>
      <c r="N22" s="40">
        <f>Effort!L20</f>
        <v>97.957146124921593</v>
      </c>
      <c r="O22" s="41">
        <f>Harvest!L20</f>
        <v>1098.5194244009101</v>
      </c>
      <c r="P22" s="42">
        <f>CPUE!L20</f>
        <v>11.214285714285753</v>
      </c>
      <c r="Q22" s="40" t="s">
        <v>10</v>
      </c>
      <c r="R22" s="41" t="s">
        <v>10</v>
      </c>
      <c r="S22" s="43" t="s">
        <v>10</v>
      </c>
      <c r="T22" s="40">
        <f t="shared" si="4"/>
        <v>286.79615612856389</v>
      </c>
      <c r="U22" s="41">
        <f t="shared" si="5"/>
        <v>3662.8015550409191</v>
      </c>
      <c r="V22" s="41"/>
    </row>
    <row r="23" spans="1:24" x14ac:dyDescent="0.25">
      <c r="A23" s="136" t="s">
        <v>50</v>
      </c>
      <c r="B23" s="136"/>
      <c r="C23" s="136"/>
      <c r="D23" s="137"/>
      <c r="E23" s="46">
        <f>SUM(E18:E22)</f>
        <v>2006.8235391400046</v>
      </c>
      <c r="F23" s="47">
        <f>SUM(F18:F22)</f>
        <v>23286.293759964974</v>
      </c>
      <c r="G23" s="48">
        <f>+F23/E23</f>
        <v>11.603558213167053</v>
      </c>
      <c r="H23" s="46">
        <f>SUM(H18:H22)</f>
        <v>2916.679823151409</v>
      </c>
      <c r="I23" s="47">
        <f>SUM(I18:I22)</f>
        <v>32814.711732275427</v>
      </c>
      <c r="J23" s="48">
        <f>+I23/H23</f>
        <v>11.250707558575918</v>
      </c>
      <c r="K23" s="46">
        <f>SUM(K18:K22)</f>
        <v>655.19903319223499</v>
      </c>
      <c r="L23" s="47">
        <f>SUM(L18:L22)</f>
        <v>3211.3339283325331</v>
      </c>
      <c r="M23" s="48">
        <f>+L23/K23</f>
        <v>4.901310541754615</v>
      </c>
      <c r="N23" s="46">
        <f>SUM(N18:N22)</f>
        <v>2089.8805692400847</v>
      </c>
      <c r="O23" s="47">
        <f>SUM(O18:O22)</f>
        <v>23655.273839916612</v>
      </c>
      <c r="P23" s="48">
        <f>+O23/N23</f>
        <v>11.318959651612083</v>
      </c>
      <c r="Q23" s="46"/>
      <c r="R23" s="47"/>
      <c r="S23" s="48"/>
      <c r="T23" s="46">
        <f>SUM(T18:T22)</f>
        <v>7668.5829647237333</v>
      </c>
      <c r="U23" s="47">
        <f>SUM(U18:U22)</f>
        <v>82967.613260489554</v>
      </c>
      <c r="V23" s="61"/>
      <c r="W23" s="19">
        <f>SUM(H23,K23,N23,Q23,E23)</f>
        <v>7668.5829647237333</v>
      </c>
      <c r="X23" s="19">
        <f>SUM(R23,O23,L23,I23,F23)</f>
        <v>82967.613260489539</v>
      </c>
    </row>
    <row r="24" spans="1:24" x14ac:dyDescent="0.25">
      <c r="A24" s="38">
        <v>45609</v>
      </c>
      <c r="B24" s="39" t="s">
        <v>62</v>
      </c>
      <c r="C24" s="12">
        <v>0.67708333333333337</v>
      </c>
      <c r="D24" s="4">
        <v>-0.17</v>
      </c>
      <c r="E24" s="88">
        <f>Effort!F22</f>
        <v>451.62535535678711</v>
      </c>
      <c r="F24" s="89">
        <f>Harvest!F22</f>
        <v>5464.6667998171242</v>
      </c>
      <c r="G24" s="90">
        <f>+CPUE!F22</f>
        <v>12.1</v>
      </c>
      <c r="H24" s="88">
        <f>Effort!H22</f>
        <v>592.090535947474</v>
      </c>
      <c r="I24" s="89">
        <f>Harvest!H22</f>
        <v>7697.1769673171621</v>
      </c>
      <c r="J24" s="90">
        <f>CPUE!H22</f>
        <v>13</v>
      </c>
      <c r="K24" s="88" t="str">
        <f>Effort!J22</f>
        <v>CLOSED</v>
      </c>
      <c r="L24" s="89" t="str">
        <f>Harvest!J22</f>
        <v>CLOSED</v>
      </c>
      <c r="M24" s="90" t="str">
        <f>CPUE!J22</f>
        <v>CLOSED</v>
      </c>
      <c r="N24" s="88">
        <f>Effort!L22</f>
        <v>514.83341298755602</v>
      </c>
      <c r="O24" s="89">
        <f>Harvest!L22</f>
        <v>7022.8557874199896</v>
      </c>
      <c r="P24" s="90">
        <f>CPUE!L22</f>
        <v>13.641025641025632</v>
      </c>
      <c r="Q24" s="40" t="s">
        <v>10</v>
      </c>
      <c r="R24" s="41" t="s">
        <v>10</v>
      </c>
      <c r="S24" s="43" t="s">
        <v>10</v>
      </c>
      <c r="T24" s="40">
        <f>SUM(E24,H24,K24,N24)</f>
        <v>1558.549304291817</v>
      </c>
      <c r="U24" s="41">
        <f>SUM(F24,I24,L24,O24)</f>
        <v>20184.699554554278</v>
      </c>
      <c r="V24" s="41"/>
    </row>
    <row r="25" spans="1:24" x14ac:dyDescent="0.25">
      <c r="A25" s="38">
        <v>45610</v>
      </c>
      <c r="B25" s="39" t="s">
        <v>22</v>
      </c>
      <c r="C25" s="12">
        <v>0.70972222222222225</v>
      </c>
      <c r="D25" s="4">
        <v>-1.0900000000000001</v>
      </c>
      <c r="E25" s="88">
        <f>Effort!F23</f>
        <v>1081.097857552305</v>
      </c>
      <c r="F25" s="89">
        <f>Harvest!F23</f>
        <v>12973.17429062766</v>
      </c>
      <c r="G25" s="90">
        <f>+CPUE!F23</f>
        <v>12</v>
      </c>
      <c r="H25" s="88">
        <f>Effort!H23</f>
        <v>1307.5849214411701</v>
      </c>
      <c r="I25" s="89">
        <f>Harvest!H23</f>
        <v>16148.673779798401</v>
      </c>
      <c r="J25" s="90">
        <f>CPUE!H23</f>
        <v>12.349999999999962</v>
      </c>
      <c r="K25" s="88" t="str">
        <f>Effort!J23</f>
        <v>CLOSED</v>
      </c>
      <c r="L25" s="89" t="str">
        <f>Harvest!J23</f>
        <v>CLOSED</v>
      </c>
      <c r="M25" s="90" t="str">
        <f>CPUE!J23</f>
        <v>CLOSED</v>
      </c>
      <c r="N25" s="88">
        <f>Effort!L23</f>
        <v>1136.9687015844199</v>
      </c>
      <c r="O25" s="89">
        <f>Harvest!L23</f>
        <v>16343.925085276</v>
      </c>
      <c r="P25" s="90">
        <f>CPUE!L23</f>
        <v>14.374999999999968</v>
      </c>
      <c r="Q25" s="40" t="s">
        <v>10</v>
      </c>
      <c r="R25" s="41" t="s">
        <v>10</v>
      </c>
      <c r="S25" s="43" t="s">
        <v>10</v>
      </c>
      <c r="T25" s="40">
        <f t="shared" ref="T25:T29" si="6">SUM(E25,H25,K25,N25)</f>
        <v>3525.6514805778952</v>
      </c>
      <c r="U25" s="41">
        <f t="shared" ref="U25:U30" si="7">SUM(F25,I25,L25,O25)</f>
        <v>45465.77315570206</v>
      </c>
      <c r="V25" s="41"/>
    </row>
    <row r="26" spans="1:24" x14ac:dyDescent="0.25">
      <c r="A26" s="38">
        <v>45611</v>
      </c>
      <c r="B26" s="39" t="s">
        <v>18</v>
      </c>
      <c r="C26" s="12">
        <v>0.7416666666666667</v>
      </c>
      <c r="D26" s="4">
        <v>-1.68</v>
      </c>
      <c r="E26" s="88">
        <f>Effort!F24</f>
        <v>2116.6715695893208</v>
      </c>
      <c r="F26" s="89">
        <f>Harvest!F24</f>
        <v>31750.073543839811</v>
      </c>
      <c r="G26" s="90">
        <f>+CPUE!F24</f>
        <v>15</v>
      </c>
      <c r="H26" s="88">
        <f>Effort!H24</f>
        <v>2175.2661230053</v>
      </c>
      <c r="I26" s="89">
        <f>Harvest!H24</f>
        <v>31178.814429742601</v>
      </c>
      <c r="J26" s="90">
        <f>CPUE!H24</f>
        <v>14.333333333333318</v>
      </c>
      <c r="K26" s="88">
        <f>Effort!J24</f>
        <v>3896.99490703422</v>
      </c>
      <c r="L26" s="89">
        <f>Harvest!J24</f>
        <v>55348.623317297701</v>
      </c>
      <c r="M26" s="90">
        <f>CPUE!J24</f>
        <v>14.20289855072466</v>
      </c>
      <c r="N26" s="88" t="str">
        <f>Effort!L24</f>
        <v>CLOSED</v>
      </c>
      <c r="O26" s="89" t="str">
        <f>Harvest!L24</f>
        <v>CLOSED</v>
      </c>
      <c r="P26" s="90" t="str">
        <f>CPUE!L24</f>
        <v>CLOSED</v>
      </c>
      <c r="Q26" s="40" t="s">
        <v>10</v>
      </c>
      <c r="R26" s="41" t="s">
        <v>10</v>
      </c>
      <c r="S26" s="43" t="s">
        <v>10</v>
      </c>
      <c r="T26" s="40">
        <f t="shared" si="6"/>
        <v>8188.9325996288408</v>
      </c>
      <c r="U26" s="41">
        <f t="shared" si="7"/>
        <v>118277.51129088012</v>
      </c>
      <c r="V26" s="41"/>
    </row>
    <row r="27" spans="1:24" x14ac:dyDescent="0.25">
      <c r="A27" s="38">
        <v>45612</v>
      </c>
      <c r="B27" s="39" t="s">
        <v>19</v>
      </c>
      <c r="C27" s="12">
        <v>0.7729166666666667</v>
      </c>
      <c r="D27" s="4">
        <v>-1.9</v>
      </c>
      <c r="E27" s="88">
        <f>Effort!F25</f>
        <v>686.13438912407889</v>
      </c>
      <c r="F27" s="89">
        <f>Harvest!F25</f>
        <v>1715.3359728101973</v>
      </c>
      <c r="G27" s="90">
        <f>+CPUE!F25</f>
        <v>2.5</v>
      </c>
      <c r="H27" s="88">
        <f>Effort!H25</f>
        <v>705.12823715023796</v>
      </c>
      <c r="I27" s="89">
        <f>Harvest!H25</f>
        <v>761.53849612225702</v>
      </c>
      <c r="J27" s="90">
        <f>CPUE!H25</f>
        <v>1.08</v>
      </c>
      <c r="K27" s="88">
        <f>Effort!J25</f>
        <v>2469.6209742066799</v>
      </c>
      <c r="L27" s="89">
        <f>Harvest!J25</f>
        <v>6275.2664098694404</v>
      </c>
      <c r="M27" s="90">
        <f>CPUE!J25</f>
        <v>2.5409836065573801</v>
      </c>
      <c r="N27" s="88" t="str">
        <f>Effort!L25</f>
        <v>CLOSED</v>
      </c>
      <c r="O27" s="89" t="str">
        <f>Harvest!L25</f>
        <v>CLOSED</v>
      </c>
      <c r="P27" s="90" t="str">
        <f>CPUE!L25</f>
        <v>CLOSED</v>
      </c>
      <c r="Q27" s="40" t="s">
        <v>10</v>
      </c>
      <c r="R27" s="41" t="s">
        <v>10</v>
      </c>
      <c r="S27" s="43" t="s">
        <v>10</v>
      </c>
      <c r="T27" s="40">
        <f t="shared" si="6"/>
        <v>3860.8836004809968</v>
      </c>
      <c r="U27" s="41">
        <f t="shared" si="7"/>
        <v>8752.1408788018944</v>
      </c>
      <c r="V27" s="41"/>
    </row>
    <row r="28" spans="1:24" x14ac:dyDescent="0.25">
      <c r="A28" s="38">
        <v>45613</v>
      </c>
      <c r="B28" s="39" t="s">
        <v>20</v>
      </c>
      <c r="C28" s="12">
        <v>0.80486111111111114</v>
      </c>
      <c r="D28" s="4">
        <v>-1.75</v>
      </c>
      <c r="E28" s="88">
        <f>Effort!F26</f>
        <v>503.29154909101175</v>
      </c>
      <c r="F28" s="89">
        <f>Harvest!F26</f>
        <v>5284.5612654556235</v>
      </c>
      <c r="G28" s="90">
        <f>+CPUE!F26</f>
        <v>10.5</v>
      </c>
      <c r="H28" s="88">
        <f>Effort!H26</f>
        <v>608.72976121713918</v>
      </c>
      <c r="I28" s="89">
        <f>Harvest!H26</f>
        <v>6391.6624927799612</v>
      </c>
      <c r="J28" s="90">
        <f>CPUE!H26</f>
        <v>10.5</v>
      </c>
      <c r="K28" s="88" t="str">
        <f>Effort!J26</f>
        <v>CLOSED</v>
      </c>
      <c r="L28" s="89" t="str">
        <f>Harvest!J26</f>
        <v>CLOSED</v>
      </c>
      <c r="M28" s="90" t="str">
        <f>CPUE!J26</f>
        <v>CLOSED</v>
      </c>
      <c r="N28" s="88">
        <f>Effort!L26</f>
        <v>529.30151983095004</v>
      </c>
      <c r="O28" s="89">
        <f>Harvest!L26</f>
        <v>5487.0924222475196</v>
      </c>
      <c r="P28" s="90">
        <f>CPUE!L26</f>
        <v>10.366666666666674</v>
      </c>
      <c r="Q28" s="40" t="s">
        <v>10</v>
      </c>
      <c r="R28" s="41" t="s">
        <v>10</v>
      </c>
      <c r="S28" s="43" t="s">
        <v>10</v>
      </c>
      <c r="T28" s="40">
        <f t="shared" si="6"/>
        <v>1641.3228301391009</v>
      </c>
      <c r="U28" s="41">
        <f t="shared" si="7"/>
        <v>17163.316180483103</v>
      </c>
      <c r="V28" s="41"/>
    </row>
    <row r="29" spans="1:24" x14ac:dyDescent="0.25">
      <c r="A29" s="38">
        <v>45614</v>
      </c>
      <c r="B29" s="39" t="s">
        <v>21</v>
      </c>
      <c r="C29" s="12">
        <v>0.83680555555555547</v>
      </c>
      <c r="D29" s="4">
        <v>-1.31</v>
      </c>
      <c r="E29" s="88">
        <f>Effort!F27</f>
        <v>76.930917476909599</v>
      </c>
      <c r="F29" s="89">
        <f>Harvest!F27</f>
        <v>738.5368077783321</v>
      </c>
      <c r="G29" s="90">
        <f>+CPUE!F27</f>
        <v>9.6</v>
      </c>
      <c r="H29" s="88">
        <f>Effort!H27</f>
        <v>135.56769605423099</v>
      </c>
      <c r="I29" s="89">
        <f>Harvest!H27</f>
        <v>101.675772040673</v>
      </c>
      <c r="J29" s="90">
        <f>CPUE!H27</f>
        <v>8</v>
      </c>
      <c r="K29" s="88" t="str">
        <f>Effort!J27</f>
        <v>CLOSED</v>
      </c>
      <c r="L29" s="89" t="str">
        <f>Harvest!J27</f>
        <v>CLOSED</v>
      </c>
      <c r="M29" s="90" t="str">
        <f>CPUE!J27</f>
        <v>CLOSED</v>
      </c>
      <c r="N29" s="88">
        <f>Effort!L27</f>
        <v>167.95983686118799</v>
      </c>
      <c r="O29" s="89">
        <f>Harvest!L27</f>
        <v>1301.68873567421</v>
      </c>
      <c r="P29" s="90">
        <f>CPUE!L27</f>
        <v>7.7500000000000178</v>
      </c>
      <c r="Q29" s="40" t="s">
        <v>10</v>
      </c>
      <c r="R29" s="41" t="s">
        <v>10</v>
      </c>
      <c r="S29" s="43" t="s">
        <v>10</v>
      </c>
      <c r="T29" s="40">
        <f t="shared" si="6"/>
        <v>380.45845039232859</v>
      </c>
      <c r="U29" s="41">
        <f t="shared" si="7"/>
        <v>2141.901315493215</v>
      </c>
      <c r="V29" s="41"/>
    </row>
    <row r="30" spans="1:24" x14ac:dyDescent="0.25">
      <c r="A30" s="38">
        <v>45615</v>
      </c>
      <c r="B30" s="39" t="s">
        <v>61</v>
      </c>
      <c r="C30" s="12">
        <v>0.87083333333333324</v>
      </c>
      <c r="D30" s="4">
        <v>-0.69</v>
      </c>
      <c r="E30" s="88">
        <f>Effort!F28</f>
        <v>28.112381183945534</v>
      </c>
      <c r="F30" s="89">
        <f>Harvest!F28</f>
        <v>323.29238361537364</v>
      </c>
      <c r="G30" s="90">
        <f>+CPUE!F28</f>
        <v>11.5</v>
      </c>
      <c r="H30" s="88">
        <f>Effort!H28</f>
        <v>28.8905994227121</v>
      </c>
      <c r="I30" s="89">
        <f>Harvest!H28</f>
        <v>335.13095330345999</v>
      </c>
      <c r="J30" s="90">
        <f>CPUE!H28</f>
        <v>11.599999999999987</v>
      </c>
      <c r="K30" s="88">
        <f>Effort!J28</f>
        <v>51.757583874807814</v>
      </c>
      <c r="L30" s="89">
        <f>Harvest!J28</f>
        <v>595.21221456028991</v>
      </c>
      <c r="M30" s="90">
        <f>CPUE!J28</f>
        <v>11.5</v>
      </c>
      <c r="N30" s="88" t="str">
        <f>Effort!L28</f>
        <v>CLOSED</v>
      </c>
      <c r="O30" s="89" t="str">
        <f>Harvest!L28</f>
        <v>CLOSED</v>
      </c>
      <c r="P30" s="90" t="str">
        <f>CPUE!L28</f>
        <v>CLOSED</v>
      </c>
      <c r="Q30" s="40" t="s">
        <v>10</v>
      </c>
      <c r="R30" s="41" t="s">
        <v>10</v>
      </c>
      <c r="S30" s="43" t="s">
        <v>10</v>
      </c>
      <c r="T30" s="40">
        <f>SUM(E30,H30,K30,N30)</f>
        <v>108.76056448146545</v>
      </c>
      <c r="U30" s="41">
        <f t="shared" si="7"/>
        <v>1253.6355514791235</v>
      </c>
      <c r="V30" s="41"/>
    </row>
    <row r="31" spans="1:24" x14ac:dyDescent="0.25">
      <c r="A31" s="136" t="s">
        <v>50</v>
      </c>
      <c r="B31" s="136"/>
      <c r="C31" s="136"/>
      <c r="D31" s="137"/>
      <c r="E31" s="46">
        <f>SUM(E24:E30)</f>
        <v>4943.8640193743586</v>
      </c>
      <c r="F31" s="47">
        <f>SUM(F24:F30)</f>
        <v>58249.641063944124</v>
      </c>
      <c r="G31" s="48">
        <f>+F31/E31</f>
        <v>11.782209388379489</v>
      </c>
      <c r="H31" s="46">
        <f>SUM(H24:H30)</f>
        <v>5553.2578742382657</v>
      </c>
      <c r="I31" s="47">
        <f>SUM(I24:I30)</f>
        <v>62614.672891104521</v>
      </c>
      <c r="J31" s="48">
        <f>+I31/H31</f>
        <v>11.275304390522889</v>
      </c>
      <c r="K31" s="46">
        <f>SUM(K24:K30)</f>
        <v>6418.3734651157074</v>
      </c>
      <c r="L31" s="47">
        <f>SUM(L24:L30)</f>
        <v>62219.101941727436</v>
      </c>
      <c r="M31" s="48">
        <f>+L31/K31</f>
        <v>9.6939048934893624</v>
      </c>
      <c r="N31" s="46">
        <f>SUM(N24:N30)</f>
        <v>2349.0634712641136</v>
      </c>
      <c r="O31" s="47">
        <f>SUM(O24:O30)</f>
        <v>30155.562030617715</v>
      </c>
      <c r="P31" s="48">
        <f>+O31/N31</f>
        <v>12.837270001218805</v>
      </c>
      <c r="Q31" s="46"/>
      <c r="R31" s="47"/>
      <c r="S31" s="48"/>
      <c r="T31" s="46">
        <f>SUM(T24:T30)</f>
        <v>19264.558829992442</v>
      </c>
      <c r="U31" s="47">
        <f>SUM(U24:U30)</f>
        <v>213238.9779273938</v>
      </c>
      <c r="V31" s="61"/>
      <c r="W31" s="19">
        <f>SUM(H31,K31,N31,Q31,E31)</f>
        <v>19264.558829992446</v>
      </c>
      <c r="X31" s="19">
        <f>SUM(R31,O31,L31,I31,F31)</f>
        <v>213238.97792739377</v>
      </c>
    </row>
    <row r="32" spans="1:24" x14ac:dyDescent="0.25">
      <c r="A32" s="38">
        <v>45625</v>
      </c>
      <c r="B32" s="39" t="s">
        <v>18</v>
      </c>
      <c r="C32" s="12">
        <v>0.72222222222222221</v>
      </c>
      <c r="D32" s="4">
        <v>-7.0000000000000007E-2</v>
      </c>
      <c r="E32" s="88">
        <f>Effort!F30</f>
        <v>1991.8047741428852</v>
      </c>
      <c r="F32" s="89">
        <f>Harvest!F30</f>
        <v>27885.266838000392</v>
      </c>
      <c r="G32" s="90">
        <f>+CPUE!F30</f>
        <v>14</v>
      </c>
      <c r="H32" s="88">
        <f>Effort!H30</f>
        <v>2295.0726804833098</v>
      </c>
      <c r="I32" s="89">
        <f>Harvest!H30</f>
        <v>33406.057904812602</v>
      </c>
      <c r="J32" s="90">
        <f>CPUE!H30</f>
        <v>14.555555555555548</v>
      </c>
      <c r="K32" s="88" t="str">
        <f>Effort!J30</f>
        <v>CLOSED</v>
      </c>
      <c r="L32" s="89" t="str">
        <f>Harvest!J30</f>
        <v>CLOSED</v>
      </c>
      <c r="M32" s="90" t="str">
        <f>CPUE!J30</f>
        <v>CLOSED</v>
      </c>
      <c r="N32" s="88">
        <f>Effort!L30</f>
        <v>2134.1853183774901</v>
      </c>
      <c r="O32" s="89">
        <f>Harvest!L30</f>
        <v>29980.2223295886</v>
      </c>
      <c r="P32" s="90">
        <f>CPUE!L30</f>
        <v>14.047619047619071</v>
      </c>
      <c r="Q32" s="40" t="s">
        <v>10</v>
      </c>
      <c r="R32" s="41" t="s">
        <v>10</v>
      </c>
      <c r="S32" s="43" t="s">
        <v>10</v>
      </c>
      <c r="T32" s="40">
        <f>SUM(E32,H32,K32,N32)</f>
        <v>6421.0627730036849</v>
      </c>
      <c r="U32" s="41">
        <f>SUM(F32,I32,L32,O32)</f>
        <v>91271.54707240159</v>
      </c>
      <c r="V32" s="41"/>
    </row>
    <row r="33" spans="1:24" x14ac:dyDescent="0.25">
      <c r="A33" s="38">
        <v>45626</v>
      </c>
      <c r="B33" s="39" t="s">
        <v>19</v>
      </c>
      <c r="C33" s="12">
        <v>0.74583333333333324</v>
      </c>
      <c r="D33" s="4">
        <v>-0.41</v>
      </c>
      <c r="E33" s="88">
        <f>Effort!F31</f>
        <v>1769.2524752375814</v>
      </c>
      <c r="F33" s="89">
        <f>Harvest!F31</f>
        <v>25123.385148373654</v>
      </c>
      <c r="G33" s="90">
        <f>+CPUE!F31</f>
        <v>14.2</v>
      </c>
      <c r="H33" s="88">
        <f>Effort!H31</f>
        <v>2038.6350477257947</v>
      </c>
      <c r="I33" s="89">
        <f>Harvest!H31</f>
        <v>28540.890668161126</v>
      </c>
      <c r="J33" s="90">
        <f>CPUE!H31</f>
        <v>14</v>
      </c>
      <c r="K33" s="88" t="str">
        <f>Effort!J31</f>
        <v>CLOSED</v>
      </c>
      <c r="L33" s="89" t="str">
        <f>Harvest!J31</f>
        <v>CLOSED</v>
      </c>
      <c r="M33" s="90" t="str">
        <f>CPUE!J31</f>
        <v>CLOSED</v>
      </c>
      <c r="N33" s="88">
        <f>Effort!L31</f>
        <v>1895.7242728670201</v>
      </c>
      <c r="O33" s="89">
        <f>Harvest!L31</f>
        <v>22228.296375970102</v>
      </c>
      <c r="P33" s="90">
        <f>CPUE!L31</f>
        <v>11.725490196078402</v>
      </c>
      <c r="Q33" s="40" t="s">
        <v>10</v>
      </c>
      <c r="R33" s="41" t="s">
        <v>10</v>
      </c>
      <c r="S33" s="43" t="s">
        <v>10</v>
      </c>
      <c r="T33" s="40">
        <f t="shared" ref="T33:T37" si="8">SUM(E33,H33,K33,N33)</f>
        <v>5703.6117958303957</v>
      </c>
      <c r="U33" s="41">
        <f t="shared" ref="U33:U38" si="9">SUM(F33,I33,L33,O33)</f>
        <v>75892.572192504886</v>
      </c>
      <c r="V33" s="41"/>
    </row>
    <row r="34" spans="1:24" x14ac:dyDescent="0.25">
      <c r="A34" s="38">
        <v>45627</v>
      </c>
      <c r="B34" s="39" t="s">
        <v>20</v>
      </c>
      <c r="C34" s="12">
        <v>0.77083333333333337</v>
      </c>
      <c r="D34" s="4">
        <v>-0.62</v>
      </c>
      <c r="E34" s="88">
        <f>Effort!F32</f>
        <v>607.36502203260989</v>
      </c>
      <c r="F34" s="89">
        <f>Harvest!F32</f>
        <v>8503.1103084565384</v>
      </c>
      <c r="G34" s="90">
        <f>+CPUE!F32</f>
        <v>14</v>
      </c>
      <c r="H34" s="88">
        <f>Effort!H32</f>
        <v>773.56626571969696</v>
      </c>
      <c r="I34" s="89">
        <f>Harvest!H32</f>
        <v>10854.881470582801</v>
      </c>
      <c r="J34" s="90">
        <f>CPUE!H32</f>
        <v>14.032258064516073</v>
      </c>
      <c r="K34" s="88">
        <f>Effort!J32</f>
        <v>982.30745210784198</v>
      </c>
      <c r="L34" s="89">
        <f>Harvest!J32</f>
        <v>12260.652272605301</v>
      </c>
      <c r="M34" s="90">
        <f>CPUE!J32</f>
        <v>12.481481481481495</v>
      </c>
      <c r="N34" s="88" t="str">
        <f>Effort!L32</f>
        <v>CLOSED</v>
      </c>
      <c r="O34" s="89" t="str">
        <f>Harvest!L32</f>
        <v>CLOSED</v>
      </c>
      <c r="P34" s="90" t="str">
        <f>CPUE!L32</f>
        <v>CLOSED</v>
      </c>
      <c r="Q34" s="40" t="s">
        <v>10</v>
      </c>
      <c r="R34" s="41" t="s">
        <v>10</v>
      </c>
      <c r="S34" s="43" t="s">
        <v>10</v>
      </c>
      <c r="T34" s="40">
        <f t="shared" si="8"/>
        <v>2363.2387398601486</v>
      </c>
      <c r="U34" s="41">
        <f t="shared" si="9"/>
        <v>31618.644051644638</v>
      </c>
      <c r="V34" s="41"/>
    </row>
    <row r="35" spans="1:24" x14ac:dyDescent="0.25">
      <c r="A35" s="38">
        <v>45628</v>
      </c>
      <c r="B35" s="39" t="s">
        <v>21</v>
      </c>
      <c r="C35" s="12">
        <v>0.79583333333333339</v>
      </c>
      <c r="D35" s="4">
        <v>-0.69</v>
      </c>
      <c r="E35" s="88">
        <f>Effort!F33</f>
        <v>279.16065955716283</v>
      </c>
      <c r="F35" s="89">
        <f>Harvest!F33</f>
        <v>4187.4098933574423</v>
      </c>
      <c r="G35" s="90">
        <f>+CPUE!F33</f>
        <v>15</v>
      </c>
      <c r="H35" s="88">
        <f>Effort!H33</f>
        <v>355.55104610203847</v>
      </c>
      <c r="I35" s="89">
        <f>Harvest!H33</f>
        <v>4977.7146454285385</v>
      </c>
      <c r="J35" s="90">
        <f>CPUE!H33</f>
        <v>14</v>
      </c>
      <c r="K35" s="88">
        <f>Effort!J33</f>
        <v>451.49388962280102</v>
      </c>
      <c r="L35" s="89">
        <f>Harvest!J33</f>
        <v>5327.6278975490504</v>
      </c>
      <c r="M35" s="90">
        <f>CPUE!J33</f>
        <v>11.799999999999997</v>
      </c>
      <c r="N35" s="88" t="str">
        <f>Effort!L33</f>
        <v>CLOSED</v>
      </c>
      <c r="O35" s="89" t="str">
        <f>Harvest!L33</f>
        <v>CLOSED</v>
      </c>
      <c r="P35" s="90" t="str">
        <f>CPUE!L33</f>
        <v>CLOSED</v>
      </c>
      <c r="Q35" s="40" t="s">
        <v>10</v>
      </c>
      <c r="R35" s="41" t="s">
        <v>10</v>
      </c>
      <c r="S35" s="43" t="s">
        <v>10</v>
      </c>
      <c r="T35" s="40">
        <f t="shared" si="8"/>
        <v>1086.2055952820024</v>
      </c>
      <c r="U35" s="41">
        <f t="shared" si="9"/>
        <v>14492.752436335031</v>
      </c>
      <c r="V35" s="41"/>
    </row>
    <row r="36" spans="1:24" x14ac:dyDescent="0.25">
      <c r="A36" s="38">
        <v>45629</v>
      </c>
      <c r="B36" s="39" t="s">
        <v>61</v>
      </c>
      <c r="C36" s="12">
        <v>0.82361111111111107</v>
      </c>
      <c r="D36" s="4">
        <v>-0.63</v>
      </c>
      <c r="E36" s="88">
        <f>Effort!F34</f>
        <v>142.59828285487521</v>
      </c>
      <c r="F36" s="89">
        <f>Harvest!F34</f>
        <v>2138.974242823128</v>
      </c>
      <c r="G36" s="90">
        <f>+CPUE!F34</f>
        <v>15</v>
      </c>
      <c r="H36" s="88">
        <f>Effort!H34</f>
        <v>233.79414186851781</v>
      </c>
      <c r="I36" s="89">
        <f>Harvest!H34</f>
        <v>3273.1179861592495</v>
      </c>
      <c r="J36" s="90">
        <f>CPUE!H34</f>
        <v>14</v>
      </c>
      <c r="K36" s="88" t="str">
        <f>Effort!J34</f>
        <v>CLOSED</v>
      </c>
      <c r="L36" s="89" t="str">
        <f>Harvest!J34</f>
        <v>CLOSED</v>
      </c>
      <c r="M36" s="90" t="str">
        <f>CPUE!J34</f>
        <v>CLOSED</v>
      </c>
      <c r="N36" s="88">
        <f>Effort!L34</f>
        <v>217.40489063439199</v>
      </c>
      <c r="O36" s="89">
        <f>Harvest!L34</f>
        <v>2853.4391895764002</v>
      </c>
      <c r="P36" s="90">
        <f>CPUE!L34</f>
        <v>13.125000000000025</v>
      </c>
      <c r="Q36" s="40" t="s">
        <v>10</v>
      </c>
      <c r="R36" s="41" t="s">
        <v>10</v>
      </c>
      <c r="S36" s="43" t="s">
        <v>10</v>
      </c>
      <c r="T36" s="40">
        <f t="shared" si="8"/>
        <v>593.79731535778501</v>
      </c>
      <c r="U36" s="41">
        <f t="shared" si="9"/>
        <v>8265.5314185587777</v>
      </c>
      <c r="V36" s="41"/>
    </row>
    <row r="37" spans="1:24" x14ac:dyDescent="0.25">
      <c r="A37" s="38">
        <v>45630</v>
      </c>
      <c r="B37" s="39" t="s">
        <v>62</v>
      </c>
      <c r="C37" s="12">
        <v>0.85277777777777775</v>
      </c>
      <c r="D37" s="4">
        <v>-0.46</v>
      </c>
      <c r="E37" s="88">
        <f>Effort!F35</f>
        <v>49.096039515064696</v>
      </c>
      <c r="F37" s="89">
        <f>Harvest!F35</f>
        <v>589.15247418077638</v>
      </c>
      <c r="G37" s="90">
        <f>+CPUE!F35</f>
        <v>12</v>
      </c>
      <c r="H37" s="88">
        <f>Effort!H35</f>
        <v>153.76891450595599</v>
      </c>
      <c r="I37" s="89">
        <f>Harvest!H35</f>
        <v>1977.02890079086</v>
      </c>
      <c r="J37" s="90">
        <f>CPUE!H35</f>
        <v>12.85714285714284</v>
      </c>
      <c r="K37" s="88" t="str">
        <f>Effort!J35</f>
        <v>CLOSED</v>
      </c>
      <c r="L37" s="89" t="str">
        <f>Harvest!J35</f>
        <v>CLOSED</v>
      </c>
      <c r="M37" s="90" t="str">
        <f>CPUE!J35</f>
        <v>CLOSED</v>
      </c>
      <c r="N37" s="88">
        <f>Effort!L35</f>
        <v>74.851666427268697</v>
      </c>
      <c r="O37" s="89">
        <f>Harvest!L35</f>
        <v>673.66499784541895</v>
      </c>
      <c r="P37" s="90">
        <f>CPUE!L35</f>
        <v>9.0000000000000089</v>
      </c>
      <c r="Q37" s="40" t="s">
        <v>10</v>
      </c>
      <c r="R37" s="41" t="s">
        <v>10</v>
      </c>
      <c r="S37" s="43" t="s">
        <v>10</v>
      </c>
      <c r="T37" s="40">
        <f t="shared" si="8"/>
        <v>277.7166204482894</v>
      </c>
      <c r="U37" s="41">
        <f t="shared" si="9"/>
        <v>3239.8463728170555</v>
      </c>
      <c r="V37" s="41"/>
    </row>
    <row r="38" spans="1:24" x14ac:dyDescent="0.25">
      <c r="A38" s="38">
        <v>45631</v>
      </c>
      <c r="B38" s="39" t="s">
        <v>22</v>
      </c>
      <c r="C38" s="12">
        <v>0.88402777777777775</v>
      </c>
      <c r="D38" s="4">
        <v>-0.17</v>
      </c>
      <c r="E38" s="88">
        <f>Effort!F36</f>
        <v>26.408701410134444</v>
      </c>
      <c r="F38" s="89">
        <f>Harvest!F36</f>
        <v>132.04350705067222</v>
      </c>
      <c r="G38" s="90">
        <f>+CPUE!F36</f>
        <v>5</v>
      </c>
      <c r="H38" s="88">
        <f>Effort!H36</f>
        <v>33.635260166903969</v>
      </c>
      <c r="I38" s="89">
        <f>Harvest!H36</f>
        <v>168.17630083451985</v>
      </c>
      <c r="J38" s="90">
        <f>CPUE!H36</f>
        <v>5</v>
      </c>
      <c r="K38" s="88">
        <f>Effort!J36</f>
        <v>42.711488568851301</v>
      </c>
      <c r="L38" s="89">
        <f>Harvest!J36</f>
        <v>213.557442844257</v>
      </c>
      <c r="M38" s="90">
        <f>CPUE!J36</f>
        <v>5.0000000000000115</v>
      </c>
      <c r="N38" s="88" t="str">
        <f>Effort!L36</f>
        <v>CLOSED</v>
      </c>
      <c r="O38" s="89" t="str">
        <f>Harvest!L36</f>
        <v>CLOSED</v>
      </c>
      <c r="P38" s="90" t="str">
        <f>CPUE!L36</f>
        <v>CLOSED</v>
      </c>
      <c r="Q38" s="40" t="s">
        <v>10</v>
      </c>
      <c r="R38" s="41" t="s">
        <v>10</v>
      </c>
      <c r="S38" s="43" t="s">
        <v>10</v>
      </c>
      <c r="T38" s="40">
        <f>SUM(E38,H38,K38,N38)</f>
        <v>102.75545014588971</v>
      </c>
      <c r="U38" s="41">
        <f t="shared" si="9"/>
        <v>513.77725072944907</v>
      </c>
      <c r="V38" s="41"/>
    </row>
    <row r="39" spans="1:24" x14ac:dyDescent="0.25">
      <c r="A39" s="136" t="s">
        <v>50</v>
      </c>
      <c r="B39" s="136"/>
      <c r="C39" s="136"/>
      <c r="D39" s="137"/>
      <c r="E39" s="46">
        <f>SUM(E32:E38)</f>
        <v>4865.6859547503136</v>
      </c>
      <c r="F39" s="47">
        <f>SUM(F32:F38)</f>
        <v>68559.342412242622</v>
      </c>
      <c r="G39" s="48">
        <f>+F39/E39</f>
        <v>14.090375550298086</v>
      </c>
      <c r="H39" s="46">
        <f>SUM(H32:H38)</f>
        <v>5884.0233565722183</v>
      </c>
      <c r="I39" s="47">
        <f>SUM(I32:I38)</f>
        <v>83197.867876769698</v>
      </c>
      <c r="J39" s="48">
        <f>+I39/H39</f>
        <v>14.139622301777747</v>
      </c>
      <c r="K39" s="46">
        <f>SUM(K32:K38)</f>
        <v>1476.5128302994942</v>
      </c>
      <c r="L39" s="47">
        <f>SUM(L32:L38)</f>
        <v>17801.837612998606</v>
      </c>
      <c r="M39" s="48">
        <f>+L39/K39</f>
        <v>12.056676547394241</v>
      </c>
      <c r="N39" s="46">
        <f>SUM(N32:N38)</f>
        <v>4322.1661483061707</v>
      </c>
      <c r="O39" s="47">
        <f>SUM(O32:O38)</f>
        <v>55735.622892980522</v>
      </c>
      <c r="P39" s="48">
        <f>+O39/N39</f>
        <v>12.895298556447894</v>
      </c>
      <c r="Q39" s="46"/>
      <c r="R39" s="47"/>
      <c r="S39" s="48"/>
      <c r="T39" s="46">
        <f>SUM(T32:T38)</f>
        <v>16548.3882899282</v>
      </c>
      <c r="U39" s="47">
        <f>SUM(U32:U38)</f>
        <v>225294.67079499143</v>
      </c>
      <c r="V39" s="61"/>
      <c r="W39" s="19">
        <f>SUM(H39,K39,N39,Q39,E39)</f>
        <v>16548.388289928196</v>
      </c>
      <c r="X39" s="19">
        <f>SUM(R39,O39,L39,I39,F39)</f>
        <v>225294.67079499143</v>
      </c>
    </row>
    <row r="40" spans="1:24" x14ac:dyDescent="0.25">
      <c r="A40" s="38">
        <v>45638</v>
      </c>
      <c r="B40" s="39" t="s">
        <v>22</v>
      </c>
      <c r="C40" s="12">
        <v>0.66666666666666663</v>
      </c>
      <c r="D40" s="4">
        <v>-0.48</v>
      </c>
      <c r="E40" s="88">
        <f>Effort!F38</f>
        <v>552.43471005448498</v>
      </c>
      <c r="F40" s="89">
        <f>Harvest!F38</f>
        <v>7070.14624816368</v>
      </c>
      <c r="G40" s="90">
        <f>+CPUE!F38</f>
        <v>12.798157174929093</v>
      </c>
      <c r="H40" s="88">
        <f>Effort!H38</f>
        <v>850.62083798732999</v>
      </c>
      <c r="I40" s="89">
        <f>Harvest!H38</f>
        <v>11589.7089175774</v>
      </c>
      <c r="J40" s="90">
        <f>CPUE!H38</f>
        <v>13.625000000000034</v>
      </c>
      <c r="K40" s="88">
        <f>Effort!J38</f>
        <v>961.07791632396004</v>
      </c>
      <c r="L40" s="89">
        <f>Harvest!J38</f>
        <v>13885.0467384698</v>
      </c>
      <c r="M40" s="90">
        <f>CPUE!J38</f>
        <v>14.447368421052586</v>
      </c>
      <c r="N40" s="88" t="str">
        <f>Effort!L38</f>
        <v>CLOSED</v>
      </c>
      <c r="O40" s="89" t="str">
        <f>Harvest!L38</f>
        <v>CLOSED</v>
      </c>
      <c r="P40" s="90" t="str">
        <f>CPUE!L38</f>
        <v>CLOSED</v>
      </c>
      <c r="Q40" s="40" t="s">
        <v>10</v>
      </c>
      <c r="R40" s="41" t="s">
        <v>10</v>
      </c>
      <c r="S40" s="43" t="s">
        <v>10</v>
      </c>
      <c r="T40" s="40">
        <f>SUM(E40,H40,K40,N40)</f>
        <v>2364.1334643657751</v>
      </c>
      <c r="U40" s="41">
        <f>SUM(F40,I40,L40,O40)</f>
        <v>32544.901904210878</v>
      </c>
      <c r="V40" s="41"/>
    </row>
    <row r="41" spans="1:24" x14ac:dyDescent="0.25">
      <c r="A41" s="38">
        <v>45639</v>
      </c>
      <c r="B41" s="39" t="s">
        <v>18</v>
      </c>
      <c r="C41" s="12">
        <v>0.70138888888888884</v>
      </c>
      <c r="D41" s="4">
        <v>-1.17</v>
      </c>
      <c r="E41" s="88">
        <f>Effort!F39</f>
        <v>640.69608177525265</v>
      </c>
      <c r="F41" s="89">
        <f>Harvest!F39</f>
        <v>8521.2578876108601</v>
      </c>
      <c r="G41" s="90">
        <f>+CPUE!F39</f>
        <v>13.3</v>
      </c>
      <c r="H41" s="88">
        <f>Effort!H39</f>
        <v>629.17390301336843</v>
      </c>
      <c r="I41" s="89">
        <f>Harvest!H39</f>
        <v>7864.673787667105</v>
      </c>
      <c r="J41" s="90">
        <f>CPUE!H39</f>
        <v>12.5</v>
      </c>
      <c r="K41" s="88" t="str">
        <f>Effort!J39</f>
        <v>CLOSED</v>
      </c>
      <c r="L41" s="89" t="str">
        <f>Harvest!J39</f>
        <v>CLOSED</v>
      </c>
      <c r="M41" s="90" t="str">
        <f>CPUE!J39</f>
        <v>CLOSED</v>
      </c>
      <c r="N41" s="88">
        <f>Effort!L39</f>
        <v>593.33638021615502</v>
      </c>
      <c r="O41" s="89">
        <f>Harvest!L39</f>
        <v>6384.2994511258203</v>
      </c>
      <c r="P41" s="90">
        <f>CPUE!L39</f>
        <v>10.759999999999987</v>
      </c>
      <c r="Q41" s="40" t="s">
        <v>10</v>
      </c>
      <c r="R41" s="41" t="s">
        <v>10</v>
      </c>
      <c r="S41" s="43" t="s">
        <v>10</v>
      </c>
      <c r="T41" s="40">
        <f t="shared" ref="T41:T45" si="10">SUM(E41,H41,K41,N41)</f>
        <v>1863.206365004776</v>
      </c>
      <c r="U41" s="41">
        <f t="shared" ref="U41:U46" si="11">SUM(F41,I41,L41,O41)</f>
        <v>22770.231126403785</v>
      </c>
      <c r="V41" s="41"/>
    </row>
    <row r="42" spans="1:24" x14ac:dyDescent="0.25">
      <c r="A42" s="38">
        <v>45640</v>
      </c>
      <c r="B42" s="39" t="s">
        <v>19</v>
      </c>
      <c r="C42" s="12">
        <v>0.73333333333333339</v>
      </c>
      <c r="D42" s="4">
        <v>-1.55</v>
      </c>
      <c r="E42" s="88">
        <f>Effort!F40</f>
        <v>1422.6126156147175</v>
      </c>
      <c r="F42" s="89">
        <f>Harvest!F40</f>
        <v>8535.6756936883048</v>
      </c>
      <c r="G42" s="90">
        <f>+CPUE!F40</f>
        <v>6</v>
      </c>
      <c r="H42" s="88">
        <f>Effort!H40</f>
        <v>1397.0285714285778</v>
      </c>
      <c r="I42" s="89">
        <f>Harvest!H40</f>
        <v>8382.1714285714661</v>
      </c>
      <c r="J42" s="90">
        <f>CPUE!H40</f>
        <v>6</v>
      </c>
      <c r="K42" s="88" t="str">
        <f>Effort!J40</f>
        <v>CLOSED</v>
      </c>
      <c r="L42" s="89" t="str">
        <f>Harvest!J40</f>
        <v>CLOSED</v>
      </c>
      <c r="M42" s="90" t="str">
        <f>CPUE!J40</f>
        <v>CLOSED</v>
      </c>
      <c r="N42" s="88">
        <f>Effort!L40</f>
        <v>1317.4543185278401</v>
      </c>
      <c r="O42" s="89">
        <f>Harvest!L40</f>
        <v>7616.5327789890498</v>
      </c>
      <c r="P42" s="90">
        <f>CPUE!L40</f>
        <v>5.7812499999999805</v>
      </c>
      <c r="Q42" s="40" t="s">
        <v>10</v>
      </c>
      <c r="R42" s="41" t="s">
        <v>10</v>
      </c>
      <c r="S42" s="43" t="s">
        <v>10</v>
      </c>
      <c r="T42" s="40">
        <f t="shared" si="10"/>
        <v>4137.0955055711356</v>
      </c>
      <c r="U42" s="41">
        <f t="shared" si="11"/>
        <v>24534.379901248823</v>
      </c>
      <c r="V42" s="41"/>
    </row>
    <row r="43" spans="1:24" x14ac:dyDescent="0.25">
      <c r="A43" s="38">
        <v>45641</v>
      </c>
      <c r="B43" s="39" t="s">
        <v>20</v>
      </c>
      <c r="C43" s="12">
        <v>0.76458333333333339</v>
      </c>
      <c r="D43" s="4">
        <v>-1.63</v>
      </c>
      <c r="E43" s="88">
        <f>Effort!F41</f>
        <v>370.07761241122176</v>
      </c>
      <c r="F43" s="89">
        <f>Harvest!F41</f>
        <v>2220.4656744673307</v>
      </c>
      <c r="G43" s="90">
        <f>+CPUE!F41</f>
        <v>6</v>
      </c>
      <c r="H43" s="88">
        <f>Effort!H41</f>
        <v>438.47676692540199</v>
      </c>
      <c r="I43" s="89">
        <f>Harvest!H41</f>
        <v>2077.9985910812502</v>
      </c>
      <c r="J43" s="90">
        <f>CPUE!H41</f>
        <v>4.7391304347826022</v>
      </c>
      <c r="K43" s="88">
        <f>Effort!J41</f>
        <v>871.55055936808105</v>
      </c>
      <c r="L43" s="89">
        <f>Harvest!J41</f>
        <v>9629.5708144814907</v>
      </c>
      <c r="M43" s="90">
        <f>CPUE!J41</f>
        <v>11.048780487804889</v>
      </c>
      <c r="N43" s="88" t="str">
        <f>Effort!L41</f>
        <v>CLOSED</v>
      </c>
      <c r="O43" s="89" t="str">
        <f>Harvest!L41</f>
        <v>CLOSED</v>
      </c>
      <c r="P43" s="90" t="str">
        <f>CPUE!L41</f>
        <v>CLOSED</v>
      </c>
      <c r="Q43" s="40" t="s">
        <v>10</v>
      </c>
      <c r="R43" s="41" t="s">
        <v>10</v>
      </c>
      <c r="S43" s="43" t="s">
        <v>10</v>
      </c>
      <c r="T43" s="40">
        <f t="shared" si="10"/>
        <v>1680.1049387047046</v>
      </c>
      <c r="U43" s="41">
        <f t="shared" si="11"/>
        <v>13928.035080030071</v>
      </c>
      <c r="V43" s="41"/>
    </row>
    <row r="44" spans="1:24" x14ac:dyDescent="0.25">
      <c r="A44" s="38">
        <v>45642</v>
      </c>
      <c r="B44" s="39" t="s">
        <v>21</v>
      </c>
      <c r="C44" s="12">
        <v>0.79513888888888884</v>
      </c>
      <c r="D44" s="4">
        <v>-1.45</v>
      </c>
      <c r="E44" s="88">
        <f>Effort!F42</f>
        <v>161.47017777291788</v>
      </c>
      <c r="F44" s="89">
        <f>Harvest!F42</f>
        <v>1550.1137066200115</v>
      </c>
      <c r="G44" s="90">
        <f>+CPUE!F42</f>
        <v>9.6</v>
      </c>
      <c r="H44" s="88">
        <f>Effort!H42</f>
        <v>336.56543736331895</v>
      </c>
      <c r="I44" s="89">
        <f>Harvest!H42</f>
        <v>3365.6543736331896</v>
      </c>
      <c r="J44" s="90">
        <f>CPUE!H42</f>
        <v>10</v>
      </c>
      <c r="K44" s="88">
        <f>Effort!J42</f>
        <v>380.27002725815998</v>
      </c>
      <c r="L44" s="89">
        <f>Harvest!J42</f>
        <v>3802.7002725816001</v>
      </c>
      <c r="M44" s="90">
        <f>CPUE!J42</f>
        <v>10</v>
      </c>
      <c r="N44" s="88" t="str">
        <f>Effort!L42</f>
        <v>CLOSED</v>
      </c>
      <c r="O44" s="89" t="str">
        <f>Harvest!L42</f>
        <v>CLOSED</v>
      </c>
      <c r="P44" s="90" t="str">
        <f>CPUE!L42</f>
        <v>CLOSED</v>
      </c>
      <c r="Q44" s="40" t="s">
        <v>10</v>
      </c>
      <c r="R44" s="41" t="s">
        <v>10</v>
      </c>
      <c r="S44" s="43" t="s">
        <v>10</v>
      </c>
      <c r="T44" s="40">
        <f t="shared" si="10"/>
        <v>878.30564239439684</v>
      </c>
      <c r="U44" s="41">
        <f t="shared" si="11"/>
        <v>8718.4683528348014</v>
      </c>
      <c r="V44" s="41"/>
    </row>
    <row r="45" spans="1:24" x14ac:dyDescent="0.25">
      <c r="A45" s="38">
        <v>45643</v>
      </c>
      <c r="B45" s="39" t="s">
        <v>61</v>
      </c>
      <c r="C45" s="12">
        <v>0.82500000000000007</v>
      </c>
      <c r="D45" s="4">
        <v>-1.05</v>
      </c>
      <c r="E45" s="88">
        <f>Effort!F43</f>
        <v>30.549395582367605</v>
      </c>
      <c r="F45" s="89">
        <f>Harvest!F43</f>
        <v>61.098791164735211</v>
      </c>
      <c r="G45" s="90">
        <f>+CPUE!F43</f>
        <v>2</v>
      </c>
      <c r="H45" s="88">
        <f>Effort!H43</f>
        <v>30</v>
      </c>
      <c r="I45" s="89">
        <f>Harvest!H43</f>
        <v>60</v>
      </c>
      <c r="J45" s="90">
        <f>CPUE!H43</f>
        <v>2</v>
      </c>
      <c r="K45" s="88" t="str">
        <f>Effort!J43</f>
        <v>CLOSED</v>
      </c>
      <c r="L45" s="89" t="str">
        <f>Harvest!J43</f>
        <v>CLOSED</v>
      </c>
      <c r="M45" s="90" t="str">
        <f>CPUE!J43</f>
        <v>CLOSED</v>
      </c>
      <c r="N45" s="88">
        <f>Effort!L43</f>
        <v>28.291210619564499</v>
      </c>
      <c r="O45" s="89">
        <f>Harvest!L43</f>
        <v>56.582421239128998</v>
      </c>
      <c r="P45" s="90">
        <f>CPUE!L43</f>
        <v>2</v>
      </c>
      <c r="Q45" s="40" t="s">
        <v>10</v>
      </c>
      <c r="R45" s="41" t="s">
        <v>10</v>
      </c>
      <c r="S45" s="43" t="s">
        <v>10</v>
      </c>
      <c r="T45" s="40">
        <f t="shared" si="10"/>
        <v>88.840606201932104</v>
      </c>
      <c r="U45" s="41">
        <f t="shared" si="11"/>
        <v>177.68121240386421</v>
      </c>
      <c r="V45" s="41"/>
    </row>
    <row r="46" spans="1:24" x14ac:dyDescent="0.25">
      <c r="A46" s="38">
        <v>45644</v>
      </c>
      <c r="B46" s="39" t="s">
        <v>62</v>
      </c>
      <c r="C46" s="12">
        <v>0.85486111111111107</v>
      </c>
      <c r="D46" s="4">
        <v>-0.51</v>
      </c>
      <c r="E46" s="88">
        <f>Effort!F44</f>
        <v>87.594255899202906</v>
      </c>
      <c r="F46" s="89">
        <f>Harvest!F44</f>
        <v>875.94255899202903</v>
      </c>
      <c r="G46" s="90">
        <f>+CPUE!F44</f>
        <v>10</v>
      </c>
      <c r="H46" s="88">
        <f>Effort!H44</f>
        <v>134.87476076314601</v>
      </c>
      <c r="I46" s="89">
        <f>Harvest!H44</f>
        <v>1310.2119616991299</v>
      </c>
      <c r="J46" s="90">
        <f>CPUE!H44</f>
        <v>9.714285714285694</v>
      </c>
      <c r="K46" s="88" t="str">
        <f>Effort!J44</f>
        <v>CLOSED</v>
      </c>
      <c r="L46" s="89" t="str">
        <f>Harvest!J44</f>
        <v>CLOSED</v>
      </c>
      <c r="M46" s="90" t="str">
        <f>CPUE!J44</f>
        <v>CLOSED</v>
      </c>
      <c r="N46" s="88">
        <f>Effort!L44</f>
        <v>127.19234213378458</v>
      </c>
      <c r="O46" s="89">
        <f>Harvest!L44</f>
        <v>1271.9234213378459</v>
      </c>
      <c r="P46" s="90">
        <f>CPUE!L44</f>
        <v>10</v>
      </c>
      <c r="Q46" s="40" t="s">
        <v>10</v>
      </c>
      <c r="R46" s="41" t="s">
        <v>10</v>
      </c>
      <c r="S46" s="43" t="s">
        <v>10</v>
      </c>
      <c r="T46" s="40">
        <f>SUM(E46,H46,K46,N46)</f>
        <v>349.66135879613347</v>
      </c>
      <c r="U46" s="41">
        <f t="shared" si="11"/>
        <v>3458.0779420290046</v>
      </c>
      <c r="V46" s="41"/>
    </row>
    <row r="47" spans="1:24" x14ac:dyDescent="0.25">
      <c r="A47" s="136" t="s">
        <v>50</v>
      </c>
      <c r="B47" s="136"/>
      <c r="C47" s="136"/>
      <c r="D47" s="137"/>
      <c r="E47" s="46">
        <f>SUM(E40:E46)</f>
        <v>3265.434849110165</v>
      </c>
      <c r="F47" s="47">
        <f>SUM(F40:F46)</f>
        <v>28834.700560706951</v>
      </c>
      <c r="G47" s="48">
        <f>+F47/E47</f>
        <v>8.830278934692096</v>
      </c>
      <c r="H47" s="46">
        <f>SUM(H40:H46)</f>
        <v>3816.7402774811435</v>
      </c>
      <c r="I47" s="47">
        <f>SUM(I40:I46)</f>
        <v>34650.419060229542</v>
      </c>
      <c r="J47" s="48">
        <f>+I47/H47</f>
        <v>9.078537322716933</v>
      </c>
      <c r="K47" s="46">
        <f>SUM(K40:K46)</f>
        <v>2212.898502950201</v>
      </c>
      <c r="L47" s="47">
        <f>SUM(L40:L46)</f>
        <v>27317.317825532889</v>
      </c>
      <c r="M47" s="48">
        <f>+L47/K47</f>
        <v>12.344586879657552</v>
      </c>
      <c r="N47" s="46">
        <f>SUM(N40:N46)</f>
        <v>2066.2742514973443</v>
      </c>
      <c r="O47" s="47">
        <f>SUM(O40:O46)</f>
        <v>15329.338072691844</v>
      </c>
      <c r="P47" s="48">
        <f>+O47/N47</f>
        <v>7.41883032302382</v>
      </c>
      <c r="Q47" s="46"/>
      <c r="R47" s="47"/>
      <c r="S47" s="48"/>
      <c r="T47" s="46">
        <f>SUM(T40:T46)</f>
        <v>11361.347881038851</v>
      </c>
      <c r="U47" s="47">
        <f>SUM(U40:U46)</f>
        <v>106131.77551916122</v>
      </c>
      <c r="V47" s="61"/>
      <c r="W47" s="19">
        <f>SUM(H47,K47,N47,Q47,E47)</f>
        <v>11361.347881038853</v>
      </c>
      <c r="X47" s="19">
        <f>SUM(R47,O47,L47,I47,F47)</f>
        <v>106131.77551916122</v>
      </c>
    </row>
    <row r="48" spans="1:24" x14ac:dyDescent="0.25">
      <c r="A48" s="38">
        <v>45654</v>
      </c>
      <c r="B48" s="39" t="s">
        <v>19</v>
      </c>
      <c r="C48" s="12">
        <v>0.70694444444444438</v>
      </c>
      <c r="D48" s="4">
        <v>-0.03</v>
      </c>
      <c r="E48" s="88">
        <f>Effort!F46</f>
        <v>1154.5359490777455</v>
      </c>
      <c r="F48" s="89">
        <f>Harvest!F46</f>
        <v>3232.7006574176871</v>
      </c>
      <c r="G48" s="90">
        <f>+CPUE!F46</f>
        <v>2.8</v>
      </c>
      <c r="H48" s="88">
        <f>Effort!H46</f>
        <v>1237.26688661703</v>
      </c>
      <c r="I48" s="89">
        <f>Harvest!H46</f>
        <v>1903.4875178723501</v>
      </c>
      <c r="J48" s="90">
        <f>CPUE!H46</f>
        <v>1.5384615384615354</v>
      </c>
      <c r="K48" s="88">
        <f>Effort!J46</f>
        <v>2133.0631239579998</v>
      </c>
      <c r="L48" s="89">
        <f>Harvest!J46</f>
        <v>5992.8916339772504</v>
      </c>
      <c r="M48" s="90">
        <f>CPUE!J46</f>
        <v>2.8095238095238155</v>
      </c>
      <c r="N48" s="88" t="str">
        <f>Effort!L46</f>
        <v>CLOSED</v>
      </c>
      <c r="O48" s="89" t="str">
        <f>Harvest!L46</f>
        <v>CLOSED</v>
      </c>
      <c r="P48" s="90" t="str">
        <f>CPUE!L46</f>
        <v>CLOSED</v>
      </c>
      <c r="Q48" s="40" t="s">
        <v>10</v>
      </c>
      <c r="R48" s="41" t="s">
        <v>10</v>
      </c>
      <c r="S48" s="43" t="s">
        <v>10</v>
      </c>
      <c r="T48" s="40">
        <f>SUM(E48,H48,K48,N48)</f>
        <v>4524.865959652775</v>
      </c>
      <c r="U48" s="41">
        <f>SUM(F48,I48,L48,O48)</f>
        <v>11129.079809267289</v>
      </c>
      <c r="V48" s="41"/>
    </row>
    <row r="49" spans="1:24" x14ac:dyDescent="0.25">
      <c r="A49" s="38">
        <v>45655</v>
      </c>
      <c r="B49" s="39" t="s">
        <v>20</v>
      </c>
      <c r="C49" s="12">
        <v>0.73333333333333339</v>
      </c>
      <c r="D49" s="4">
        <v>-0.44</v>
      </c>
      <c r="E49" s="88">
        <f>Effort!F47</f>
        <v>823.4475149410024</v>
      </c>
      <c r="F49" s="89">
        <f>Harvest!F47</f>
        <v>9881.3701792920292</v>
      </c>
      <c r="G49" s="90">
        <f>+CPUE!F47</f>
        <v>12</v>
      </c>
      <c r="H49" s="88">
        <f>Effort!H47</f>
        <v>903.24667331370404</v>
      </c>
      <c r="I49" s="89">
        <f>Harvest!H47</f>
        <v>11153.1328356996</v>
      </c>
      <c r="J49" s="90">
        <f>CPUE!H47</f>
        <v>12.347826086956466</v>
      </c>
      <c r="K49" s="88" t="str">
        <f>Effort!J47</f>
        <v>CLOSED</v>
      </c>
      <c r="L49" s="89" t="str">
        <f>Harvest!J47</f>
        <v>CLOSED</v>
      </c>
      <c r="M49" s="90" t="str">
        <f>CPUE!J47</f>
        <v>CLOSED</v>
      </c>
      <c r="N49" s="88">
        <f>Effort!L47</f>
        <v>1369.3868331845899</v>
      </c>
      <c r="O49" s="89">
        <f>Harvest!L47</f>
        <v>10984.2305555445</v>
      </c>
      <c r="P49" s="90">
        <f>CPUE!L47</f>
        <v>8.0212765957446983</v>
      </c>
      <c r="Q49" s="40" t="s">
        <v>10</v>
      </c>
      <c r="R49" s="41" t="s">
        <v>10</v>
      </c>
      <c r="S49" s="43" t="s">
        <v>10</v>
      </c>
      <c r="T49" s="40">
        <f t="shared" ref="T49:T53" si="12">SUM(E49,H49,K49,N49)</f>
        <v>3096.0810214392964</v>
      </c>
      <c r="U49" s="41">
        <f t="shared" ref="U49:U54" si="13">SUM(F49,I49,L49,O49)</f>
        <v>32018.733570536126</v>
      </c>
      <c r="V49" s="41"/>
    </row>
    <row r="50" spans="1:24" x14ac:dyDescent="0.25">
      <c r="A50" s="38">
        <v>45656</v>
      </c>
      <c r="B50" s="39" t="s">
        <v>21</v>
      </c>
      <c r="C50" s="12">
        <v>0.7597222222222223</v>
      </c>
      <c r="D50" s="4">
        <v>-0.74</v>
      </c>
      <c r="E50" s="88">
        <f>Effort!F48</f>
        <v>1086.302046932728</v>
      </c>
      <c r="F50" s="89">
        <f>Harvest!F48</f>
        <v>13796.035996045644</v>
      </c>
      <c r="G50" s="90">
        <f>+CPUE!F48</f>
        <v>12.7</v>
      </c>
      <c r="H50" s="88">
        <f>Effort!H48</f>
        <v>1153.2393207440152</v>
      </c>
      <c r="I50" s="89">
        <f>Harvest!H48</f>
        <v>14415.491509300191</v>
      </c>
      <c r="J50" s="90">
        <f>CPUE!H48</f>
        <v>12.5</v>
      </c>
      <c r="K50" s="88" t="str">
        <f>Effort!J48</f>
        <v>CLOSED</v>
      </c>
      <c r="L50" s="89" t="str">
        <f>Harvest!J48</f>
        <v>CLOSED</v>
      </c>
      <c r="M50" s="90" t="str">
        <f>CPUE!J48</f>
        <v>CLOSED</v>
      </c>
      <c r="N50" s="88">
        <f>Effort!L48</f>
        <v>894.00225557823899</v>
      </c>
      <c r="O50" s="89">
        <f>Harvest!L48</f>
        <v>11175.028194727987</v>
      </c>
      <c r="P50" s="90">
        <f>CPUE!L48</f>
        <v>12.5</v>
      </c>
      <c r="Q50" s="40" t="s">
        <v>10</v>
      </c>
      <c r="R50" s="41" t="s">
        <v>10</v>
      </c>
      <c r="S50" s="43" t="s">
        <v>10</v>
      </c>
      <c r="T50" s="40">
        <f t="shared" si="12"/>
        <v>3133.5436232549819</v>
      </c>
      <c r="U50" s="41">
        <f t="shared" si="13"/>
        <v>39386.555700073819</v>
      </c>
      <c r="V50" s="41"/>
    </row>
    <row r="51" spans="1:24" x14ac:dyDescent="0.25">
      <c r="A51" s="38">
        <v>45657</v>
      </c>
      <c r="B51" s="39" t="s">
        <v>61</v>
      </c>
      <c r="C51" s="12">
        <v>0.78541666666666676</v>
      </c>
      <c r="D51" s="4">
        <v>-0.95</v>
      </c>
      <c r="E51" s="88">
        <f>Effort!F49</f>
        <v>787.77139887760359</v>
      </c>
      <c r="F51" s="89">
        <f>Harvest!F49</f>
        <v>9453.2567865312431</v>
      </c>
      <c r="G51" s="90">
        <f>+CPUE!F49</f>
        <v>12</v>
      </c>
      <c r="H51" s="88">
        <f>Effort!H49</f>
        <v>844.2209762578824</v>
      </c>
      <c r="I51" s="89">
        <f>Harvest!H49</f>
        <v>10130.651715094589</v>
      </c>
      <c r="J51" s="90">
        <f>CPUE!H49</f>
        <v>12</v>
      </c>
      <c r="K51" s="88">
        <f>Effort!J49</f>
        <v>1455.44720577728</v>
      </c>
      <c r="L51" s="89">
        <f>Harvest!J49</f>
        <v>17513.8813761866</v>
      </c>
      <c r="M51" s="90">
        <f>CPUE!J49</f>
        <v>12.033333333333331</v>
      </c>
      <c r="N51" s="88" t="str">
        <f>Effort!L49</f>
        <v>CLOSED</v>
      </c>
      <c r="O51" s="89" t="str">
        <f>Harvest!L49</f>
        <v>CLOSED</v>
      </c>
      <c r="P51" s="90" t="str">
        <f>CPUE!L49</f>
        <v>CLOSED</v>
      </c>
      <c r="Q51" s="40" t="s">
        <v>10</v>
      </c>
      <c r="R51" s="41" t="s">
        <v>10</v>
      </c>
      <c r="S51" s="43" t="s">
        <v>10</v>
      </c>
      <c r="T51" s="40">
        <f t="shared" si="12"/>
        <v>3087.4395809127659</v>
      </c>
      <c r="U51" s="41">
        <f t="shared" si="13"/>
        <v>37097.789877812436</v>
      </c>
      <c r="V51" s="41"/>
    </row>
    <row r="52" spans="1:24" x14ac:dyDescent="0.25">
      <c r="A52" s="38">
        <v>45658</v>
      </c>
      <c r="B52" s="39" t="s">
        <v>62</v>
      </c>
      <c r="C52" s="12">
        <v>0.81180555555555556</v>
      </c>
      <c r="D52" s="4">
        <v>-0.95</v>
      </c>
      <c r="E52" s="88">
        <f>Effort!F50</f>
        <v>696.90379954562184</v>
      </c>
      <c r="F52" s="89">
        <f>Harvest!F50</f>
        <v>1393.8075990912437</v>
      </c>
      <c r="G52" s="90">
        <f>+CPUE!F50</f>
        <v>2</v>
      </c>
      <c r="H52" s="88">
        <f>Effort!H50</f>
        <v>746.8420494174901</v>
      </c>
      <c r="I52" s="89">
        <f>Harvest!H50</f>
        <v>1493.6840988349802</v>
      </c>
      <c r="J52" s="90">
        <f>CPUE!H50</f>
        <v>2</v>
      </c>
      <c r="K52" s="88">
        <f>Effort!J50</f>
        <v>1287.5647544318099</v>
      </c>
      <c r="L52" s="89">
        <f>Harvest!J50</f>
        <v>2125.9790131315899</v>
      </c>
      <c r="M52" s="90">
        <f>CPUE!J50</f>
        <v>1.651162790697672</v>
      </c>
      <c r="N52" s="88" t="str">
        <f>Effort!L50</f>
        <v>CLOSED</v>
      </c>
      <c r="O52" s="89" t="str">
        <f>Harvest!L50</f>
        <v>CLOSED</v>
      </c>
      <c r="P52" s="90" t="str">
        <f>CPUE!L50</f>
        <v>CLOSED</v>
      </c>
      <c r="Q52" s="40" t="s">
        <v>10</v>
      </c>
      <c r="R52" s="41" t="s">
        <v>10</v>
      </c>
      <c r="S52" s="43" t="s">
        <v>10</v>
      </c>
      <c r="T52" s="40">
        <f t="shared" si="12"/>
        <v>2731.3106033949216</v>
      </c>
      <c r="U52" s="41">
        <f t="shared" si="13"/>
        <v>5013.4707110578138</v>
      </c>
      <c r="V52" s="41"/>
    </row>
    <row r="53" spans="1:24" x14ac:dyDescent="0.25">
      <c r="A53" s="38">
        <v>45659</v>
      </c>
      <c r="B53" s="39" t="s">
        <v>22</v>
      </c>
      <c r="C53" s="12">
        <v>0.83888888888888891</v>
      </c>
      <c r="D53" s="4">
        <v>-0.75</v>
      </c>
      <c r="E53" s="88">
        <f>Effort!F51</f>
        <v>204.13729741017698</v>
      </c>
      <c r="F53" s="89">
        <f>Harvest!F51</f>
        <v>796.1354598996902</v>
      </c>
      <c r="G53" s="90">
        <f>+CPUE!F51</f>
        <v>3.9</v>
      </c>
      <c r="H53" s="88">
        <f>Effort!H51</f>
        <v>223.91996021531901</v>
      </c>
      <c r="I53" s="89">
        <f>Harvest!H51</f>
        <v>1716.71969498411</v>
      </c>
      <c r="J53" s="90">
        <f>CPUE!H51</f>
        <v>7.6666666666666563</v>
      </c>
      <c r="K53" s="88" t="str">
        <f>Effort!J51</f>
        <v>CLOSED</v>
      </c>
      <c r="L53" s="89" t="str">
        <f>Harvest!J51</f>
        <v>CLOSED</v>
      </c>
      <c r="M53" s="90" t="str">
        <f>CPUE!J51</f>
        <v>CLOSED</v>
      </c>
      <c r="N53" s="88">
        <f>Effort!L51</f>
        <v>173.584915030763</v>
      </c>
      <c r="O53" s="89">
        <f>Harvest!L51</f>
        <v>1301.8868627307224</v>
      </c>
      <c r="P53" s="90">
        <f>CPUE!L51</f>
        <v>7.5</v>
      </c>
      <c r="Q53" s="40" t="s">
        <v>10</v>
      </c>
      <c r="R53" s="41" t="s">
        <v>10</v>
      </c>
      <c r="S53" s="43" t="s">
        <v>10</v>
      </c>
      <c r="T53" s="40">
        <f t="shared" si="12"/>
        <v>601.64217265625894</v>
      </c>
      <c r="U53" s="41">
        <f t="shared" si="13"/>
        <v>3814.7420176145229</v>
      </c>
      <c r="V53" s="41"/>
    </row>
    <row r="54" spans="1:24" x14ac:dyDescent="0.25">
      <c r="A54" s="38">
        <v>45660</v>
      </c>
      <c r="B54" s="39" t="s">
        <v>18</v>
      </c>
      <c r="C54" s="12">
        <v>0.8666666666666667</v>
      </c>
      <c r="D54" s="4">
        <v>-0.34</v>
      </c>
      <c r="E54" s="88">
        <f>Effort!F52</f>
        <v>197.40614115889332</v>
      </c>
      <c r="F54" s="89">
        <f>Harvest!F52</f>
        <v>493.5153528972333</v>
      </c>
      <c r="G54" s="90">
        <f>+CPUE!F52</f>
        <v>2.5</v>
      </c>
      <c r="H54" s="88">
        <f>Effort!H52</f>
        <v>216.53649693294778</v>
      </c>
      <c r="I54" s="89">
        <f>Harvest!H52</f>
        <v>541.34124233236946</v>
      </c>
      <c r="J54" s="90">
        <f>CPUE!H52</f>
        <v>2.5</v>
      </c>
      <c r="K54" s="88" t="str">
        <f>Effort!J52</f>
        <v>CLOSED</v>
      </c>
      <c r="L54" s="89" t="str">
        <f>Harvest!J52</f>
        <v>CLOSED</v>
      </c>
      <c r="M54" s="90" t="str">
        <f>CPUE!J52</f>
        <v>CLOSED</v>
      </c>
      <c r="N54" s="88">
        <f>Effort!L52</f>
        <v>167.86118300941601</v>
      </c>
      <c r="O54" s="89">
        <f>Harvest!L52</f>
        <v>419.65295752354001</v>
      </c>
      <c r="P54" s="90">
        <f>CPUE!L52</f>
        <v>2.5</v>
      </c>
      <c r="Q54" s="40" t="s">
        <v>10</v>
      </c>
      <c r="R54" s="41" t="s">
        <v>10</v>
      </c>
      <c r="S54" s="43" t="s">
        <v>10</v>
      </c>
      <c r="T54" s="40">
        <f>SUM(E54,H54,K54,N54)</f>
        <v>581.80382110125709</v>
      </c>
      <c r="U54" s="41">
        <f t="shared" si="13"/>
        <v>1454.5095527531428</v>
      </c>
      <c r="V54" s="41"/>
    </row>
    <row r="55" spans="1:24" x14ac:dyDescent="0.25">
      <c r="A55" s="136" t="s">
        <v>50</v>
      </c>
      <c r="B55" s="136"/>
      <c r="C55" s="136"/>
      <c r="D55" s="137"/>
      <c r="E55" s="46">
        <f>SUM(E48:E54)</f>
        <v>4950.5041479437714</v>
      </c>
      <c r="F55" s="47">
        <f>SUM(F48:F54)</f>
        <v>39046.822031174772</v>
      </c>
      <c r="G55" s="48">
        <f>+F55/E55</f>
        <v>7.8874435540859329</v>
      </c>
      <c r="H55" s="46">
        <f>SUM(H48:H54)</f>
        <v>5325.2723634983886</v>
      </c>
      <c r="I55" s="47">
        <f>SUM(I48:I54)</f>
        <v>41354.508614118189</v>
      </c>
      <c r="J55" s="48">
        <f>+I55/H55</f>
        <v>7.7657077030611683</v>
      </c>
      <c r="K55" s="46">
        <f>SUM(K48:K54)</f>
        <v>4876.0750841670897</v>
      </c>
      <c r="L55" s="47">
        <f>SUM(L48:L54)</f>
        <v>25632.752023295441</v>
      </c>
      <c r="M55" s="48">
        <f>+L55/K55</f>
        <v>5.256841123412257</v>
      </c>
      <c r="N55" s="46">
        <f>SUM(N48:N54)</f>
        <v>2604.8351868030081</v>
      </c>
      <c r="O55" s="47">
        <f>SUM(O48:O54)</f>
        <v>23880.798570526749</v>
      </c>
      <c r="P55" s="48">
        <f>+O55/N55</f>
        <v>9.1678731504837998</v>
      </c>
      <c r="Q55" s="46"/>
      <c r="R55" s="47"/>
      <c r="S55" s="48"/>
      <c r="T55" s="46">
        <f>SUM(T48:T54)</f>
        <v>17756.686782412256</v>
      </c>
      <c r="U55" s="47">
        <f>SUM(U48:U54)</f>
        <v>129914.88123911514</v>
      </c>
      <c r="V55" s="61"/>
      <c r="W55" s="19">
        <f>SUM(H55,K55,N55,Q55,E55)</f>
        <v>17756.686782412256</v>
      </c>
      <c r="X55" s="19">
        <f>SUM(R55,O55,L55,I55,F55)</f>
        <v>129914.88123911516</v>
      </c>
    </row>
    <row r="56" spans="1:24" x14ac:dyDescent="0.25">
      <c r="A56" s="38">
        <v>45667</v>
      </c>
      <c r="B56" s="39" t="s">
        <v>18</v>
      </c>
      <c r="C56" s="12">
        <v>0.65763888888888888</v>
      </c>
      <c r="D56" s="4">
        <v>-0.31</v>
      </c>
      <c r="E56" s="88">
        <f>Effort!F54</f>
        <v>816.30994227818701</v>
      </c>
      <c r="F56" s="89">
        <f>Harvest!F54</f>
        <v>4605.2225130064198</v>
      </c>
      <c r="G56" s="90">
        <f>+CPUE!F54</f>
        <v>5.6415122179622115</v>
      </c>
      <c r="H56" s="88">
        <f>Effort!H54</f>
        <v>1207.3884132681139</v>
      </c>
      <c r="I56" s="89">
        <f>Harvest!H54</f>
        <v>9055.4130995108553</v>
      </c>
      <c r="J56" s="90">
        <f>CPUE!H54</f>
        <v>7.5</v>
      </c>
      <c r="K56" s="88" t="str">
        <f>Effort!J54</f>
        <v>CLOSED</v>
      </c>
      <c r="L56" s="89" t="str">
        <f>Harvest!J54</f>
        <v>CLOSED</v>
      </c>
      <c r="M56" s="90" t="str">
        <f>CPUE!J54</f>
        <v>CLOSED</v>
      </c>
      <c r="N56" s="88">
        <f>Effort!L54</f>
        <v>1150.13837356557</v>
      </c>
      <c r="O56" s="89">
        <f>Harvest!L54</f>
        <v>10823.0970025273</v>
      </c>
      <c r="P56" s="90">
        <f>CPUE!L54</f>
        <v>9.4102564102564212</v>
      </c>
      <c r="Q56" s="40" t="s">
        <v>10</v>
      </c>
      <c r="R56" s="41" t="s">
        <v>10</v>
      </c>
      <c r="S56" s="43" t="s">
        <v>10</v>
      </c>
      <c r="T56" s="40">
        <f>SUM(E56,H56,K56,N56)</f>
        <v>3173.8367291118711</v>
      </c>
      <c r="U56" s="41">
        <f>SUM(F56,I56,L56,O56)</f>
        <v>24483.732615044573</v>
      </c>
      <c r="V56" s="41"/>
    </row>
    <row r="57" spans="1:24" x14ac:dyDescent="0.25">
      <c r="A57" s="38">
        <v>45668</v>
      </c>
      <c r="B57" s="39" t="s">
        <v>19</v>
      </c>
      <c r="C57" s="12">
        <v>0.69374999999999998</v>
      </c>
      <c r="D57" s="4">
        <v>-0.76</v>
      </c>
      <c r="E57" s="88">
        <f>Effort!F55</f>
        <v>3609.4651691644913</v>
      </c>
      <c r="F57" s="89">
        <f>Harvest!F55</f>
        <v>54141.97753746737</v>
      </c>
      <c r="G57" s="90">
        <f>+CPUE!F55</f>
        <v>15</v>
      </c>
      <c r="H57" s="88">
        <f>Effort!H55</f>
        <v>3202.28647230664</v>
      </c>
      <c r="I57" s="89">
        <f>Harvest!H55</f>
        <v>45891.034485024298</v>
      </c>
      <c r="J57" s="90">
        <f>CPUE!H55</f>
        <v>14.330708661417326</v>
      </c>
      <c r="K57" s="88" t="str">
        <f>Effort!J55</f>
        <v>CLOSED</v>
      </c>
      <c r="L57" s="89" t="str">
        <f>Harvest!J55</f>
        <v>CLOSED</v>
      </c>
      <c r="M57" s="90" t="str">
        <f>CPUE!J55</f>
        <v>CLOSED</v>
      </c>
      <c r="N57" s="88">
        <f>Effort!L55</f>
        <v>3050.4455024382601</v>
      </c>
      <c r="O57" s="89">
        <f>Harvest!L55</f>
        <v>41181.014282916498</v>
      </c>
      <c r="P57" s="90">
        <f>CPUE!L55</f>
        <v>13.499999999999996</v>
      </c>
      <c r="Q57" s="40" t="s">
        <v>10</v>
      </c>
      <c r="R57" s="41" t="s">
        <v>10</v>
      </c>
      <c r="S57" s="43" t="s">
        <v>10</v>
      </c>
      <c r="T57" s="40">
        <f t="shared" ref="T57:T61" si="14">SUM(E57,H57,K57,N57)</f>
        <v>9862.1971439093923</v>
      </c>
      <c r="U57" s="41">
        <f t="shared" ref="U57:U62" si="15">SUM(F57,I57,L57,O57)</f>
        <v>141214.02630540816</v>
      </c>
      <c r="V57" s="41"/>
    </row>
    <row r="58" spans="1:24" x14ac:dyDescent="0.25">
      <c r="A58" s="38">
        <v>45669</v>
      </c>
      <c r="B58" s="39" t="s">
        <v>20</v>
      </c>
      <c r="C58" s="12">
        <v>0.7270833333333333</v>
      </c>
      <c r="D58" s="4">
        <v>-1.02</v>
      </c>
      <c r="E58" s="88">
        <f>Effort!F56</f>
        <v>2267.4424087096654</v>
      </c>
      <c r="F58" s="89">
        <f>Harvest!F56</f>
        <v>30610.472517580482</v>
      </c>
      <c r="G58" s="90">
        <f>+CPUE!F56</f>
        <v>13.5</v>
      </c>
      <c r="H58" s="88">
        <f>Effort!H56</f>
        <v>2011.6554148176201</v>
      </c>
      <c r="I58" s="89">
        <f>Harvest!H56</f>
        <v>27092.455989882401</v>
      </c>
      <c r="J58" s="90">
        <f>CPUE!H56</f>
        <v>13.46774193548384</v>
      </c>
      <c r="K58" s="88">
        <f>Effort!J56</f>
        <v>2864.4527853311401</v>
      </c>
      <c r="L58" s="89">
        <f>Harvest!J56</f>
        <v>39693.131453874397</v>
      </c>
      <c r="M58" s="90">
        <f>CPUE!J56</f>
        <v>13.857142857142867</v>
      </c>
      <c r="N58" s="88" t="str">
        <f>Effort!L56</f>
        <v>CLOSED</v>
      </c>
      <c r="O58" s="89" t="str">
        <f>Harvest!L56</f>
        <v>CLOSED</v>
      </c>
      <c r="P58" s="90" t="str">
        <f>CPUE!L56</f>
        <v>CLOSED</v>
      </c>
      <c r="Q58" s="40" t="s">
        <v>10</v>
      </c>
      <c r="R58" s="41" t="s">
        <v>10</v>
      </c>
      <c r="S58" s="43" t="s">
        <v>10</v>
      </c>
      <c r="T58" s="40">
        <f t="shared" si="14"/>
        <v>7143.5506088584252</v>
      </c>
      <c r="U58" s="41">
        <f t="shared" si="15"/>
        <v>97396.059961337276</v>
      </c>
      <c r="V58" s="41"/>
    </row>
    <row r="59" spans="1:24" x14ac:dyDescent="0.25">
      <c r="A59" s="38">
        <v>45670</v>
      </c>
      <c r="B59" s="39" t="s">
        <v>21</v>
      </c>
      <c r="C59" s="12">
        <v>0.75694444444444453</v>
      </c>
      <c r="D59" s="4">
        <v>-1.07</v>
      </c>
      <c r="E59" s="88">
        <f>Effort!F57</f>
        <v>948.66876683318014</v>
      </c>
      <c r="F59" s="89">
        <f>Harvest!F57</f>
        <v>10909.690818581572</v>
      </c>
      <c r="G59" s="90">
        <f>+CPUE!F57</f>
        <v>11.5</v>
      </c>
      <c r="H59" s="88">
        <f>Effort!H57</f>
        <v>841.65077548952263</v>
      </c>
      <c r="I59" s="89">
        <f>Harvest!H57</f>
        <v>9678.9839181295101</v>
      </c>
      <c r="J59" s="90">
        <f>CPUE!H57</f>
        <v>11.5</v>
      </c>
      <c r="K59" s="88">
        <f>Effort!J57</f>
        <v>1198.4502367397999</v>
      </c>
      <c r="L59" s="89">
        <f>Harvest!J57</f>
        <v>13709.1014885601</v>
      </c>
      <c r="M59" s="90">
        <f>CPUE!J57</f>
        <v>11.43902439024386</v>
      </c>
      <c r="N59" s="88" t="str">
        <f>Effort!L57</f>
        <v>CLOSED</v>
      </c>
      <c r="O59" s="89" t="str">
        <f>Harvest!L57</f>
        <v>CLOSED</v>
      </c>
      <c r="P59" s="90" t="str">
        <f>CPUE!L57</f>
        <v>CLOSED</v>
      </c>
      <c r="Q59" s="40" t="s">
        <v>10</v>
      </c>
      <c r="R59" s="41" t="s">
        <v>10</v>
      </c>
      <c r="S59" s="43" t="s">
        <v>10</v>
      </c>
      <c r="T59" s="40">
        <f t="shared" si="14"/>
        <v>2988.7697790625025</v>
      </c>
      <c r="U59" s="41">
        <f t="shared" si="15"/>
        <v>34297.776225271184</v>
      </c>
      <c r="V59" s="41"/>
    </row>
    <row r="60" spans="1:24" x14ac:dyDescent="0.25">
      <c r="A60" s="38">
        <v>45671</v>
      </c>
      <c r="B60" s="39" t="s">
        <v>61</v>
      </c>
      <c r="C60" s="12">
        <v>0.78472222222222221</v>
      </c>
      <c r="D60" s="4">
        <v>-0.93</v>
      </c>
      <c r="E60" s="88">
        <f>Effort!F58</f>
        <v>186.54492087937632</v>
      </c>
      <c r="F60" s="89">
        <f>Harvest!F58</f>
        <v>932.72460439688166</v>
      </c>
      <c r="G60" s="90">
        <f>+CPUE!F58</f>
        <v>5</v>
      </c>
      <c r="H60" s="88">
        <f>Effort!H58</f>
        <v>275.91502241806592</v>
      </c>
      <c r="I60" s="89">
        <f>Harvest!H58</f>
        <v>1379.5751120903296</v>
      </c>
      <c r="J60" s="90">
        <f>CPUE!H58</f>
        <v>5</v>
      </c>
      <c r="K60" s="88" t="str">
        <f>Effort!J58</f>
        <v>CLOSED</v>
      </c>
      <c r="L60" s="89" t="str">
        <f>Harvest!J58</f>
        <v>CLOSED</v>
      </c>
      <c r="M60" s="90" t="str">
        <f>CPUE!J58</f>
        <v>CLOSED</v>
      </c>
      <c r="N60" s="88">
        <f>Effort!L58</f>
        <v>262.83211900904098</v>
      </c>
      <c r="O60" s="89">
        <f>Harvest!L58</f>
        <v>1145.19708996796</v>
      </c>
      <c r="P60" s="90">
        <f>CPUE!L58</f>
        <v>4.3571428571428408</v>
      </c>
      <c r="Q60" s="40" t="s">
        <v>10</v>
      </c>
      <c r="R60" s="41" t="s">
        <v>10</v>
      </c>
      <c r="S60" s="43" t="s">
        <v>10</v>
      </c>
      <c r="T60" s="40">
        <f t="shared" si="14"/>
        <v>725.29206230648322</v>
      </c>
      <c r="U60" s="41">
        <f t="shared" si="15"/>
        <v>3457.4968064551713</v>
      </c>
      <c r="V60" s="41"/>
    </row>
    <row r="61" spans="1:24" x14ac:dyDescent="0.25">
      <c r="A61" s="38">
        <v>45672</v>
      </c>
      <c r="B61" s="39" t="s">
        <v>62</v>
      </c>
      <c r="C61" s="12">
        <v>0.81111111111111101</v>
      </c>
      <c r="D61" s="4">
        <v>-0.62</v>
      </c>
      <c r="E61" s="88">
        <f>Effort!F59</f>
        <v>92.512905759674297</v>
      </c>
      <c r="F61" s="89">
        <f>Harvest!F59</f>
        <v>850.91485223424002</v>
      </c>
      <c r="G61" s="90">
        <f>+CPUE!F59</f>
        <v>9.1977961912114932</v>
      </c>
      <c r="H61" s="88">
        <f>Effort!H59</f>
        <v>219.953584108445</v>
      </c>
      <c r="I61" s="89">
        <f>Harvest!H59</f>
        <v>2452.4824628091601</v>
      </c>
      <c r="J61" s="90">
        <f>CPUE!H59</f>
        <v>11.149999999999993</v>
      </c>
      <c r="K61" s="88" t="str">
        <f>Effort!J59</f>
        <v>CLOSED</v>
      </c>
      <c r="L61" s="89" t="str">
        <f>Harvest!J59</f>
        <v>CLOSED</v>
      </c>
      <c r="M61" s="90" t="str">
        <f>CPUE!J59</f>
        <v>CLOSED</v>
      </c>
      <c r="N61" s="88">
        <f>Effort!L59</f>
        <v>186.21634086783899</v>
      </c>
      <c r="O61" s="89">
        <f>Harvest!L59</f>
        <v>658.91935999389295</v>
      </c>
      <c r="P61" s="90">
        <f>CPUE!L59</f>
        <v>3.5384615384615445</v>
      </c>
      <c r="Q61" s="40" t="s">
        <v>10</v>
      </c>
      <c r="R61" s="41" t="s">
        <v>10</v>
      </c>
      <c r="S61" s="43" t="s">
        <v>10</v>
      </c>
      <c r="T61" s="40">
        <f t="shared" si="14"/>
        <v>498.68283073595831</v>
      </c>
      <c r="U61" s="41">
        <f t="shared" si="15"/>
        <v>3962.3166750372934</v>
      </c>
      <c r="V61" s="41"/>
    </row>
    <row r="62" spans="1:24" x14ac:dyDescent="0.25">
      <c r="A62" s="38">
        <v>45673</v>
      </c>
      <c r="B62" s="39" t="s">
        <v>22</v>
      </c>
      <c r="C62" s="12">
        <v>0.8354166666666667</v>
      </c>
      <c r="D62" s="4">
        <v>-0.16</v>
      </c>
      <c r="E62" s="88">
        <f>Effort!F60</f>
        <v>121.08223544104104</v>
      </c>
      <c r="F62" s="89">
        <f>Harvest!F60</f>
        <v>484.32894176416414</v>
      </c>
      <c r="G62" s="90">
        <f>+CPUE!F60</f>
        <v>4</v>
      </c>
      <c r="H62" s="88">
        <f>Effort!H60</f>
        <v>107.42311850019772</v>
      </c>
      <c r="I62" s="89">
        <f>Harvest!H60</f>
        <v>429.69247400079087</v>
      </c>
      <c r="J62" s="90">
        <f>CPUE!H60</f>
        <v>4</v>
      </c>
      <c r="K62" s="88">
        <f>Effort!J60</f>
        <v>152.96280303788799</v>
      </c>
      <c r="L62" s="89">
        <f>Harvest!J60</f>
        <v>638.844647981766</v>
      </c>
      <c r="M62" s="90">
        <f>CPUE!J60</f>
        <v>4.1764705882352846</v>
      </c>
      <c r="N62" s="88" t="str">
        <f>Effort!L60</f>
        <v>CLOSED</v>
      </c>
      <c r="O62" s="89" t="str">
        <f>Harvest!L60</f>
        <v>CLOSED</v>
      </c>
      <c r="P62" s="90" t="str">
        <f>CPUE!L60</f>
        <v>CLOSED</v>
      </c>
      <c r="Q62" s="40" t="s">
        <v>10</v>
      </c>
      <c r="R62" s="41" t="s">
        <v>10</v>
      </c>
      <c r="S62" s="43" t="s">
        <v>10</v>
      </c>
      <c r="T62" s="40">
        <f>SUM(E62,H62,K62,N62)</f>
        <v>381.46815697912677</v>
      </c>
      <c r="U62" s="41">
        <f t="shared" si="15"/>
        <v>1552.866063746721</v>
      </c>
      <c r="V62" s="41"/>
    </row>
    <row r="63" spans="1:24" x14ac:dyDescent="0.25">
      <c r="A63" s="136" t="s">
        <v>50</v>
      </c>
      <c r="B63" s="136"/>
      <c r="C63" s="136"/>
      <c r="D63" s="137"/>
      <c r="E63" s="46">
        <f>SUM(E56:E62)</f>
        <v>8042.0263490656152</v>
      </c>
      <c r="F63" s="47">
        <f>SUM(F56:F62)</f>
        <v>102535.33178503113</v>
      </c>
      <c r="G63" s="48">
        <f>+F63/E63</f>
        <v>12.74993730864168</v>
      </c>
      <c r="H63" s="46">
        <f>SUM(H56:H62)</f>
        <v>7866.2728009086059</v>
      </c>
      <c r="I63" s="47">
        <f>SUM(I56:I62)</f>
        <v>95979.637541447344</v>
      </c>
      <c r="J63" s="48">
        <f>+I63/H63</f>
        <v>12.201412278806433</v>
      </c>
      <c r="K63" s="46">
        <f>SUM(K56:K62)</f>
        <v>4215.8658251088282</v>
      </c>
      <c r="L63" s="47">
        <f>SUM(L56:L62)</f>
        <v>54041.077590416258</v>
      </c>
      <c r="M63" s="48">
        <f>+L63/K63</f>
        <v>12.818500358469365</v>
      </c>
      <c r="N63" s="46">
        <f>SUM(N56:N62)</f>
        <v>4649.6323358807094</v>
      </c>
      <c r="O63" s="47">
        <f>SUM(O56:O62)</f>
        <v>53808.22773540565</v>
      </c>
      <c r="P63" s="48">
        <f>+O63/N63</f>
        <v>11.572576893913393</v>
      </c>
      <c r="Q63" s="46"/>
      <c r="R63" s="47"/>
      <c r="S63" s="48"/>
      <c r="T63" s="46">
        <f>SUM(T56:T62)</f>
        <v>24773.797310963761</v>
      </c>
      <c r="U63" s="47">
        <f>SUM(U56:U62)</f>
        <v>306364.27465230046</v>
      </c>
      <c r="V63" s="61"/>
      <c r="W63" s="19">
        <f>SUM(H63,K63,N63,Q63,E63)</f>
        <v>24773.797310963757</v>
      </c>
      <c r="X63" s="19">
        <f>SUM(R63,O63,L63,I63,F63)</f>
        <v>306364.2746523004</v>
      </c>
    </row>
    <row r="64" spans="1:24" x14ac:dyDescent="0.25">
      <c r="A64" s="38">
        <v>45683</v>
      </c>
      <c r="B64" s="39" t="s">
        <v>20</v>
      </c>
      <c r="C64" s="12">
        <v>0.69027777777777777</v>
      </c>
      <c r="D64" s="4">
        <v>7.0000000000000007E-2</v>
      </c>
      <c r="E64" s="88">
        <f>Effort!F62</f>
        <v>1742.5633539791411</v>
      </c>
      <c r="F64" s="89">
        <f>Harvest!F62</f>
        <v>24395.886955707974</v>
      </c>
      <c r="G64" s="90">
        <f>+CPUE!F62</f>
        <v>14</v>
      </c>
      <c r="H64" s="88">
        <f>Effort!H62</f>
        <v>2096.57018316427</v>
      </c>
      <c r="I64" s="89">
        <f>Harvest!H62</f>
        <v>31396.1384928849</v>
      </c>
      <c r="J64" s="90">
        <f>CPUE!H62</f>
        <v>14.97499999999998</v>
      </c>
      <c r="K64" s="88" t="str">
        <f>Effort!J62</f>
        <v>CLOSED</v>
      </c>
      <c r="L64" s="89" t="str">
        <f>Harvest!J62</f>
        <v>CLOSED</v>
      </c>
      <c r="M64" s="90" t="str">
        <f>CPUE!J62</f>
        <v>CLOSED</v>
      </c>
      <c r="N64" s="88">
        <f>Effort!L62</f>
        <v>1468.53730707412</v>
      </c>
      <c r="O64" s="89">
        <f>Harvest!L62</f>
        <v>21468.616822464599</v>
      </c>
      <c r="P64" s="90">
        <f>CPUE!L62</f>
        <v>14.619047619047675</v>
      </c>
      <c r="Q64" s="40" t="s">
        <v>10</v>
      </c>
      <c r="R64" s="41" t="s">
        <v>10</v>
      </c>
      <c r="S64" s="43" t="s">
        <v>10</v>
      </c>
      <c r="T64" s="40">
        <f>SUM(E64,H64,K64,N64)</f>
        <v>5307.6708442175313</v>
      </c>
      <c r="U64" s="41">
        <f>SUM(F64,I64,L64,O64)</f>
        <v>77260.64227105747</v>
      </c>
      <c r="V64" s="41"/>
    </row>
    <row r="65" spans="1:24" x14ac:dyDescent="0.25">
      <c r="A65" s="38">
        <v>45684</v>
      </c>
      <c r="B65" s="39" t="s">
        <v>21</v>
      </c>
      <c r="C65" s="12">
        <v>0.71875</v>
      </c>
      <c r="D65" s="4">
        <v>-0.44</v>
      </c>
      <c r="E65" s="88">
        <f>Effort!F63</f>
        <v>1065.568555355673</v>
      </c>
      <c r="F65" s="89">
        <f>Harvest!F63</f>
        <v>15983.528330335095</v>
      </c>
      <c r="G65" s="90">
        <f>+CPUE!F63</f>
        <v>15</v>
      </c>
      <c r="H65" s="88">
        <f>Effort!H63</f>
        <v>1282.0419161086477</v>
      </c>
      <c r="I65" s="89">
        <f>Harvest!H63</f>
        <v>17948.586825521066</v>
      </c>
      <c r="J65" s="90">
        <f>CPUE!H63</f>
        <v>14</v>
      </c>
      <c r="K65" s="88" t="str">
        <f>Effort!J63</f>
        <v>CLOSED</v>
      </c>
      <c r="L65" s="89" t="str">
        <f>Harvest!J63</f>
        <v>CLOSED</v>
      </c>
      <c r="M65" s="90" t="str">
        <f>CPUE!J63</f>
        <v>CLOSED</v>
      </c>
      <c r="N65" s="88">
        <f>Effort!L63</f>
        <v>898.00303283757205</v>
      </c>
      <c r="O65" s="89">
        <f>Harvest!L63</f>
        <v>11702.102021664599</v>
      </c>
      <c r="P65" s="90">
        <f>CPUE!L63</f>
        <v>13.031249999999988</v>
      </c>
      <c r="Q65" s="40" t="s">
        <v>10</v>
      </c>
      <c r="R65" s="41" t="s">
        <v>10</v>
      </c>
      <c r="S65" s="43" t="s">
        <v>10</v>
      </c>
      <c r="T65" s="40">
        <f t="shared" ref="T65:T69" si="16">SUM(E65,H65,K65,N65)</f>
        <v>3245.6135043018926</v>
      </c>
      <c r="U65" s="41">
        <f t="shared" ref="U65:U70" si="17">SUM(F65,I65,L65,O65)</f>
        <v>45634.217177520761</v>
      </c>
      <c r="V65" s="41"/>
    </row>
    <row r="66" spans="1:24" x14ac:dyDescent="0.25">
      <c r="A66" s="38">
        <v>45685</v>
      </c>
      <c r="B66" s="39" t="s">
        <v>61</v>
      </c>
      <c r="C66" s="12">
        <v>0.74583333333333324</v>
      </c>
      <c r="D66" s="4">
        <v>-0.82</v>
      </c>
      <c r="E66" s="88">
        <f>Effort!F64</f>
        <v>1778.8139128287196</v>
      </c>
      <c r="F66" s="89">
        <f>Harvest!F64</f>
        <v>24903.394779602073</v>
      </c>
      <c r="G66" s="90">
        <f>+CPUE!F64</f>
        <v>14</v>
      </c>
      <c r="H66" s="88">
        <f>Effort!H64</f>
        <v>878.35495379860515</v>
      </c>
      <c r="I66" s="89">
        <f>Harvest!H64</f>
        <v>12296.969353180471</v>
      </c>
      <c r="J66" s="90">
        <f>CPUE!H64</f>
        <v>14</v>
      </c>
      <c r="K66" s="88">
        <f>Effort!J64</f>
        <v>1139.4029253117301</v>
      </c>
      <c r="L66" s="89">
        <f>Harvest!J64</f>
        <v>17091.043879675901</v>
      </c>
      <c r="M66" s="90">
        <f>CPUE!J64</f>
        <v>14.999999999999956</v>
      </c>
      <c r="N66" s="88" t="str">
        <f>Effort!L64</f>
        <v>CLOSED</v>
      </c>
      <c r="O66" s="89" t="str">
        <f>Harvest!L64</f>
        <v>CLOSED</v>
      </c>
      <c r="P66" s="90" t="str">
        <f>CPUE!L64</f>
        <v>CLOSED</v>
      </c>
      <c r="Q66" s="40" t="s">
        <v>10</v>
      </c>
      <c r="R66" s="41" t="s">
        <v>10</v>
      </c>
      <c r="S66" s="43" t="s">
        <v>10</v>
      </c>
      <c r="T66" s="40">
        <f t="shared" si="16"/>
        <v>3796.5717919390549</v>
      </c>
      <c r="U66" s="41">
        <f t="shared" si="17"/>
        <v>54291.408012458443</v>
      </c>
      <c r="V66" s="41"/>
    </row>
    <row r="67" spans="1:24" x14ac:dyDescent="0.25">
      <c r="A67" s="38">
        <v>45686</v>
      </c>
      <c r="B67" s="39" t="s">
        <v>62</v>
      </c>
      <c r="C67" s="12">
        <v>0.7715277777777777</v>
      </c>
      <c r="D67" s="4">
        <v>-1.01</v>
      </c>
      <c r="E67" s="88">
        <f>Effort!F65</f>
        <v>1429.9794815538849</v>
      </c>
      <c r="F67" s="89">
        <f>Harvest!F65</f>
        <v>21449.692223308302</v>
      </c>
      <c r="G67" s="90">
        <f>+CPUE!F65</f>
        <v>15.000000000000021</v>
      </c>
      <c r="H67" s="88">
        <f>Effort!H65</f>
        <v>706.10509193502003</v>
      </c>
      <c r="I67" s="89">
        <f>Harvest!H65</f>
        <v>10419.355624894801</v>
      </c>
      <c r="J67" s="90">
        <f>CPUE!H65</f>
        <v>14.756097560975601</v>
      </c>
      <c r="K67" s="88">
        <f>Effort!J65</f>
        <v>915.96023207804399</v>
      </c>
      <c r="L67" s="89">
        <f>Harvest!J65</f>
        <v>11805.7096578948</v>
      </c>
      <c r="M67" s="90">
        <f>CPUE!J65</f>
        <v>12.888888888888902</v>
      </c>
      <c r="N67" s="88" t="str">
        <f>Effort!L65</f>
        <v>CLOSED</v>
      </c>
      <c r="O67" s="89" t="str">
        <f>Harvest!L65</f>
        <v>CLOSED</v>
      </c>
      <c r="P67" s="90" t="str">
        <f>CPUE!L65</f>
        <v>CLOSED</v>
      </c>
      <c r="Q67" s="40" t="s">
        <v>10</v>
      </c>
      <c r="R67" s="41" t="s">
        <v>10</v>
      </c>
      <c r="S67" s="43" t="s">
        <v>10</v>
      </c>
      <c r="T67" s="40">
        <f t="shared" si="16"/>
        <v>3052.044805566949</v>
      </c>
      <c r="U67" s="41">
        <f t="shared" si="17"/>
        <v>43674.7575060979</v>
      </c>
      <c r="V67" s="41"/>
    </row>
    <row r="68" spans="1:24" x14ac:dyDescent="0.25">
      <c r="A68" s="38">
        <v>45687</v>
      </c>
      <c r="B68" s="39" t="s">
        <v>22</v>
      </c>
      <c r="C68" s="12">
        <v>0.79652777777777783</v>
      </c>
      <c r="D68" s="4">
        <v>-0.97</v>
      </c>
      <c r="E68" s="88">
        <f>Effort!F66</f>
        <v>187.5776260061179</v>
      </c>
      <c r="F68" s="89">
        <f>Harvest!F66</f>
        <v>2719.8755770887096</v>
      </c>
      <c r="G68" s="90">
        <f>+CPUE!F66</f>
        <v>14.5</v>
      </c>
      <c r="H68" s="88">
        <f>Effort!H66</f>
        <v>225.68456797575524</v>
      </c>
      <c r="I68" s="89">
        <f>Harvest!H66</f>
        <v>2821.0570996969404</v>
      </c>
      <c r="J68" s="90">
        <f>CPUE!H66</f>
        <v>12.5</v>
      </c>
      <c r="K68" s="88" t="str">
        <f>Effort!J66</f>
        <v>CLOSED</v>
      </c>
      <c r="L68" s="89" t="str">
        <f>Harvest!J66</f>
        <v>CLOSED</v>
      </c>
      <c r="M68" s="90" t="str">
        <f>CPUE!J66</f>
        <v>CLOSED</v>
      </c>
      <c r="N68" s="88">
        <f>Effort!L66</f>
        <v>158.08018751993001</v>
      </c>
      <c r="O68" s="89">
        <f>Harvest!L66</f>
        <v>829.92098447963303</v>
      </c>
      <c r="P68" s="90">
        <f>CPUE!L66</f>
        <v>5.2500000000000036</v>
      </c>
      <c r="Q68" s="40" t="s">
        <v>10</v>
      </c>
      <c r="R68" s="41" t="s">
        <v>10</v>
      </c>
      <c r="S68" s="43" t="s">
        <v>10</v>
      </c>
      <c r="T68" s="40">
        <f t="shared" si="16"/>
        <v>571.34238150180317</v>
      </c>
      <c r="U68" s="41">
        <f t="shared" si="17"/>
        <v>6370.8536612652833</v>
      </c>
      <c r="V68" s="41"/>
    </row>
    <row r="69" spans="1:24" x14ac:dyDescent="0.25">
      <c r="A69" s="38">
        <v>45688</v>
      </c>
      <c r="B69" s="39" t="s">
        <v>18</v>
      </c>
      <c r="C69" s="12">
        <v>0.8222222222222223</v>
      </c>
      <c r="D69" s="4">
        <v>-0.66</v>
      </c>
      <c r="E69" s="88">
        <f>Effort!F67</f>
        <v>183.25673838000685</v>
      </c>
      <c r="F69" s="89">
        <f>Harvest!F67</f>
        <v>2657.2227065100992</v>
      </c>
      <c r="G69" s="90">
        <f>+CPUE!F67</f>
        <v>14.5</v>
      </c>
      <c r="H69" s="88">
        <f>Effort!H67</f>
        <v>587.18599854487661</v>
      </c>
      <c r="I69" s="89">
        <f>Harvest!H67</f>
        <v>4403.8949890865742</v>
      </c>
      <c r="J69" s="90">
        <f>CPUE!H67</f>
        <v>7.5</v>
      </c>
      <c r="K69" s="88" t="str">
        <f>Effort!J67</f>
        <v>CLOSED</v>
      </c>
      <c r="L69" s="89" t="str">
        <f>Harvest!J67</f>
        <v>CLOSED</v>
      </c>
      <c r="M69" s="90" t="str">
        <f>CPUE!J67</f>
        <v>CLOSED</v>
      </c>
      <c r="N69" s="88">
        <f>Effort!L67</f>
        <v>411.29295454983497</v>
      </c>
      <c r="O69" s="89">
        <f>Harvest!L67</f>
        <v>974.11489235487397</v>
      </c>
      <c r="P69" s="90">
        <f>CPUE!L67</f>
        <v>2.3684210526315832</v>
      </c>
      <c r="Q69" s="40" t="s">
        <v>10</v>
      </c>
      <c r="R69" s="41" t="s">
        <v>10</v>
      </c>
      <c r="S69" s="43" t="s">
        <v>10</v>
      </c>
      <c r="T69" s="40">
        <f t="shared" si="16"/>
        <v>1181.7356914747184</v>
      </c>
      <c r="U69" s="41">
        <f t="shared" si="17"/>
        <v>8035.2325879515465</v>
      </c>
      <c r="V69" s="41"/>
    </row>
    <row r="70" spans="1:24" x14ac:dyDescent="0.25">
      <c r="A70" s="38">
        <v>45689</v>
      </c>
      <c r="B70" s="39" t="s">
        <v>19</v>
      </c>
      <c r="C70" s="12">
        <v>0.84791666666666676</v>
      </c>
      <c r="D70" s="4">
        <v>-0.09</v>
      </c>
      <c r="E70" s="88">
        <f>Effort!F68</f>
        <v>449.95200234767839</v>
      </c>
      <c r="F70" s="89">
        <f>Harvest!F68</f>
        <v>5399.4240281721404</v>
      </c>
      <c r="G70" s="90">
        <f>+CPUE!F68</f>
        <v>12</v>
      </c>
      <c r="H70" s="88">
        <f>Effort!H68</f>
        <v>222.18039075554501</v>
      </c>
      <c r="I70" s="89">
        <f>Harvest!H68</f>
        <v>1599.6988134399201</v>
      </c>
      <c r="J70" s="90">
        <f>CPUE!H68</f>
        <v>7.1999999999999824</v>
      </c>
      <c r="K70" s="88">
        <f>Effort!J68</f>
        <v>472.58195416503202</v>
      </c>
      <c r="L70" s="89">
        <f>Harvest!J68</f>
        <v>382.56634384788299</v>
      </c>
      <c r="M70" s="90">
        <f>CPUE!J68</f>
        <v>0.80952380952380942</v>
      </c>
      <c r="N70" s="88" t="str">
        <f>Effort!L68</f>
        <v>CLOSED</v>
      </c>
      <c r="O70" s="89" t="str">
        <f>Harvest!L68</f>
        <v>CLOSED</v>
      </c>
      <c r="P70" s="90" t="str">
        <f>CPUE!L68</f>
        <v>CLOSED</v>
      </c>
      <c r="Q70" s="40" t="s">
        <v>10</v>
      </c>
      <c r="R70" s="41" t="s">
        <v>10</v>
      </c>
      <c r="S70" s="43" t="s">
        <v>10</v>
      </c>
      <c r="T70" s="40">
        <f>SUM(E70,H70,K70,N70)</f>
        <v>1144.7143472682556</v>
      </c>
      <c r="U70" s="41">
        <f t="shared" si="17"/>
        <v>7381.6891854599435</v>
      </c>
      <c r="V70" s="41"/>
    </row>
    <row r="71" spans="1:24" x14ac:dyDescent="0.25">
      <c r="A71" s="136" t="s">
        <v>50</v>
      </c>
      <c r="B71" s="136"/>
      <c r="C71" s="136"/>
      <c r="D71" s="137"/>
      <c r="E71" s="46">
        <f>SUM(E64:E70)</f>
        <v>6837.7116704512209</v>
      </c>
      <c r="F71" s="47">
        <f>SUM(F64:F70)</f>
        <v>97509.024600724399</v>
      </c>
      <c r="G71" s="48">
        <f>+F71/E71</f>
        <v>14.260476209037018</v>
      </c>
      <c r="H71" s="46">
        <f>SUM(H64:H70)</f>
        <v>5998.1231022827196</v>
      </c>
      <c r="I71" s="47">
        <f>SUM(I64:I70)</f>
        <v>80885.701198704672</v>
      </c>
      <c r="J71" s="48">
        <f>+I71/H71</f>
        <v>13.485168580138312</v>
      </c>
      <c r="K71" s="46">
        <f>SUM(K64:K70)</f>
        <v>2527.9451115548063</v>
      </c>
      <c r="L71" s="47">
        <f>SUM(L64:L70)</f>
        <v>29279.319881418585</v>
      </c>
      <c r="M71" s="48">
        <f>+L71/K71</f>
        <v>11.582260923145761</v>
      </c>
      <c r="N71" s="46">
        <f>SUM(N64:N70)</f>
        <v>2935.9134819814572</v>
      </c>
      <c r="O71" s="47">
        <f>SUM(O64:O70)</f>
        <v>34974.754720963705</v>
      </c>
      <c r="P71" s="48">
        <f>+O71/N71</f>
        <v>11.912733442457961</v>
      </c>
      <c r="Q71" s="46"/>
      <c r="R71" s="47"/>
      <c r="S71" s="48"/>
      <c r="T71" s="46">
        <f>SUM(T64:T70)</f>
        <v>18299.693366270207</v>
      </c>
      <c r="U71" s="47">
        <f>SUM(U64:U70)</f>
        <v>242648.80040181137</v>
      </c>
      <c r="V71" s="61"/>
      <c r="W71" s="19">
        <f>SUM(H71,K71,N71,Q71,E71)</f>
        <v>18299.693366270207</v>
      </c>
      <c r="X71" s="19">
        <f>SUM(R71,O71,L71,I71,F71)</f>
        <v>242648.80040181137</v>
      </c>
    </row>
    <row r="72" spans="1:24" x14ac:dyDescent="0.25">
      <c r="A72" s="38">
        <v>45696</v>
      </c>
      <c r="B72" s="39" t="s">
        <v>19</v>
      </c>
      <c r="C72" s="12">
        <v>0.65</v>
      </c>
      <c r="D72" s="4">
        <v>0.05</v>
      </c>
      <c r="E72" s="88">
        <f>Effort!F70</f>
        <v>1408.0854761438943</v>
      </c>
      <c r="F72" s="89">
        <f>Harvest!F70</f>
        <v>21121.282142158416</v>
      </c>
      <c r="G72" s="90">
        <f>+CPUE!F70</f>
        <v>15</v>
      </c>
      <c r="H72" s="88">
        <f>Effort!H70</f>
        <v>1739.2333866361901</v>
      </c>
      <c r="I72" s="89">
        <f>Harvest!H70</f>
        <v>26088.5007995429</v>
      </c>
      <c r="J72" s="90">
        <f>CPUE!H70</f>
        <v>15.000000000000028</v>
      </c>
      <c r="K72" s="88" t="str">
        <f>Effort!J70</f>
        <v>CLOSED</v>
      </c>
      <c r="L72" s="89" t="str">
        <f>Harvest!J70</f>
        <v>CLOSED</v>
      </c>
      <c r="M72" s="90" t="str">
        <f>CPUE!J70</f>
        <v>CLOSED</v>
      </c>
      <c r="N72" s="88">
        <f>Effort!L70</f>
        <v>1552.90234356928</v>
      </c>
      <c r="O72" s="89">
        <f>Harvest!L70</f>
        <v>21956.313691021202</v>
      </c>
      <c r="P72" s="90">
        <f>CPUE!L70</f>
        <v>14.138888888888884</v>
      </c>
      <c r="Q72" s="40" t="s">
        <v>10</v>
      </c>
      <c r="R72" s="41" t="s">
        <v>10</v>
      </c>
      <c r="S72" s="43" t="s">
        <v>10</v>
      </c>
      <c r="T72" s="40">
        <f>SUM(E72,H72,K72,N72)</f>
        <v>4700.2212063493644</v>
      </c>
      <c r="U72" s="41">
        <f>SUM(F72,I72,L72,O72)</f>
        <v>69166.096632722518</v>
      </c>
      <c r="V72" s="41"/>
    </row>
    <row r="73" spans="1:24" x14ac:dyDescent="0.25">
      <c r="A73" s="38">
        <v>45697</v>
      </c>
      <c r="B73" s="39" t="s">
        <v>20</v>
      </c>
      <c r="C73" s="12">
        <v>0.68680555555555556</v>
      </c>
      <c r="D73" s="4">
        <v>-0.27</v>
      </c>
      <c r="E73" s="88">
        <f>Effort!F71</f>
        <v>1013.1366263182578</v>
      </c>
      <c r="F73" s="89">
        <f>Harvest!F71</f>
        <v>15197.049394773867</v>
      </c>
      <c r="G73" s="90">
        <f>+CPUE!F71</f>
        <v>15</v>
      </c>
      <c r="H73" s="88">
        <f>Effort!H71</f>
        <v>1188.9391191671898</v>
      </c>
      <c r="I73" s="89">
        <f>Harvest!H71</f>
        <v>17834.086787507847</v>
      </c>
      <c r="J73" s="90">
        <f>CPUE!H71</f>
        <v>15</v>
      </c>
      <c r="K73" s="88">
        <f>Effort!J71</f>
        <v>1220.3282448243201</v>
      </c>
      <c r="L73" s="89">
        <f>Harvest!J71</f>
        <v>18182.890847882401</v>
      </c>
      <c r="M73" s="90">
        <f>CPUE!J71</f>
        <v>14.900000000000025</v>
      </c>
      <c r="N73" s="88" t="str">
        <f>Effort!L71</f>
        <v>CLOSED</v>
      </c>
      <c r="O73" s="89" t="str">
        <f>Harvest!L71</f>
        <v>CLOSED</v>
      </c>
      <c r="P73" s="90" t="str">
        <f>CPUE!L71</f>
        <v>CLOSED</v>
      </c>
      <c r="Q73" s="40" t="s">
        <v>10</v>
      </c>
      <c r="R73" s="41" t="s">
        <v>10</v>
      </c>
      <c r="S73" s="43" t="s">
        <v>10</v>
      </c>
      <c r="T73" s="40">
        <f t="shared" ref="T73:T77" si="18">SUM(E73,H73,K73,N73)</f>
        <v>3422.4039903097673</v>
      </c>
      <c r="U73" s="41">
        <f t="shared" ref="U73:U78" si="19">SUM(F73,I73,L73,O73)</f>
        <v>51214.027030164114</v>
      </c>
      <c r="V73" s="41"/>
    </row>
    <row r="74" spans="1:24" x14ac:dyDescent="0.25">
      <c r="A74" s="38">
        <v>45698</v>
      </c>
      <c r="B74" s="39" t="s">
        <v>21</v>
      </c>
      <c r="C74" s="12">
        <v>0.71875</v>
      </c>
      <c r="D74" s="4">
        <v>-0.46</v>
      </c>
      <c r="E74" s="88">
        <f>Effort!F72</f>
        <v>778.68207667154434</v>
      </c>
      <c r="F74" s="89">
        <f>Harvest!F72</f>
        <v>11446.626527071701</v>
      </c>
      <c r="G74" s="90">
        <f>+CPUE!F72</f>
        <v>14.7</v>
      </c>
      <c r="H74" s="88">
        <f>Effort!H72</f>
        <v>913.80131593260535</v>
      </c>
      <c r="I74" s="89">
        <f>Harvest!H72</f>
        <v>13707.01973898908</v>
      </c>
      <c r="J74" s="90">
        <f>CPUE!H72</f>
        <v>15</v>
      </c>
      <c r="K74" s="88">
        <f>Effort!J72</f>
        <v>937.92654141223397</v>
      </c>
      <c r="L74" s="89">
        <f>Harvest!J72</f>
        <v>14068.8981211835</v>
      </c>
      <c r="M74" s="90">
        <f>CPUE!J72</f>
        <v>14.999999999999989</v>
      </c>
      <c r="N74" s="88" t="str">
        <f>Effort!L72</f>
        <v>CLOSED</v>
      </c>
      <c r="O74" s="89" t="str">
        <f>Harvest!L72</f>
        <v>CLOSED</v>
      </c>
      <c r="P74" s="90" t="str">
        <f>CPUE!L72</f>
        <v>CLOSED</v>
      </c>
      <c r="Q74" s="40" t="s">
        <v>10</v>
      </c>
      <c r="R74" s="41" t="s">
        <v>10</v>
      </c>
      <c r="S74" s="43" t="s">
        <v>10</v>
      </c>
      <c r="T74" s="40">
        <f t="shared" si="18"/>
        <v>2630.4099340163839</v>
      </c>
      <c r="U74" s="41">
        <f t="shared" si="19"/>
        <v>39222.544387244277</v>
      </c>
      <c r="V74" s="41"/>
    </row>
    <row r="75" spans="1:24" x14ac:dyDescent="0.25">
      <c r="A75" s="38">
        <v>45699</v>
      </c>
      <c r="B75" s="39" t="s">
        <v>61</v>
      </c>
      <c r="C75" s="12">
        <v>0.74583333333333324</v>
      </c>
      <c r="D75" s="4">
        <v>-0.5</v>
      </c>
      <c r="E75" s="88">
        <f>Effort!F73</f>
        <v>460.09227832686469</v>
      </c>
      <c r="F75" s="89">
        <f>Harvest!F73</f>
        <v>6901.3841749029707</v>
      </c>
      <c r="G75" s="90">
        <f>+CPUE!F73</f>
        <v>15</v>
      </c>
      <c r="H75" s="88">
        <f>Effort!H73</f>
        <v>568.29494015590501</v>
      </c>
      <c r="I75" s="89">
        <f>Harvest!H73</f>
        <v>8524.4241023385694</v>
      </c>
      <c r="J75" s="90">
        <f>CPUE!H73</f>
        <v>14.999999999999989</v>
      </c>
      <c r="K75" s="88" t="str">
        <f>Effort!J73</f>
        <v>CLOSED</v>
      </c>
      <c r="L75" s="89" t="str">
        <f>Harvest!J73</f>
        <v>CLOSED</v>
      </c>
      <c r="M75" s="90" t="str">
        <f>CPUE!J73</f>
        <v>CLOSED</v>
      </c>
      <c r="N75" s="88">
        <f>Effort!L73</f>
        <v>303.05796651040498</v>
      </c>
      <c r="O75" s="89">
        <f>Harvest!L73</f>
        <v>4322.5636275957804</v>
      </c>
      <c r="P75" s="90">
        <f>CPUE!L73</f>
        <v>14.263157894736855</v>
      </c>
      <c r="Q75" s="40" t="s">
        <v>10</v>
      </c>
      <c r="R75" s="41" t="s">
        <v>10</v>
      </c>
      <c r="S75" s="43" t="s">
        <v>10</v>
      </c>
      <c r="T75" s="40">
        <f t="shared" si="18"/>
        <v>1331.4451849931747</v>
      </c>
      <c r="U75" s="41">
        <f t="shared" si="19"/>
        <v>19748.37190483732</v>
      </c>
      <c r="V75" s="41"/>
    </row>
    <row r="76" spans="1:24" x14ac:dyDescent="0.25">
      <c r="A76" s="38">
        <v>45700</v>
      </c>
      <c r="B76" s="39" t="s">
        <v>62</v>
      </c>
      <c r="C76" s="12">
        <v>0.77013888888888893</v>
      </c>
      <c r="D76" s="4">
        <v>-0.37</v>
      </c>
      <c r="E76" s="88">
        <f>Effort!F74</f>
        <v>413.59031445313178</v>
      </c>
      <c r="F76" s="89">
        <f>Harvest!F74</f>
        <v>5790.2644023438452</v>
      </c>
      <c r="G76" s="90">
        <f>+CPUE!F74</f>
        <v>14</v>
      </c>
      <c r="H76" s="88">
        <f>Effort!H74</f>
        <v>305.1158988503916</v>
      </c>
      <c r="I76" s="89">
        <f>Harvest!H74</f>
        <v>4271.6225839054823</v>
      </c>
      <c r="J76" s="90">
        <f>CPUE!H74</f>
        <v>14</v>
      </c>
      <c r="K76" s="88" t="str">
        <f>Effort!J74</f>
        <v>CLOSED</v>
      </c>
      <c r="L76" s="89" t="str">
        <f>Harvest!J74</f>
        <v>CLOSED</v>
      </c>
      <c r="M76" s="90" t="str">
        <f>CPUE!J74</f>
        <v>CLOSED</v>
      </c>
      <c r="N76" s="88">
        <f>Effort!L74</f>
        <v>272.42760978813499</v>
      </c>
      <c r="O76" s="89">
        <f>Harvest!L74</f>
        <v>3846.0368440677898</v>
      </c>
      <c r="P76" s="90">
        <f>CPUE!L74</f>
        <v>14.117647058823536</v>
      </c>
      <c r="Q76" s="40" t="s">
        <v>10</v>
      </c>
      <c r="R76" s="41" t="s">
        <v>10</v>
      </c>
      <c r="S76" s="43" t="s">
        <v>10</v>
      </c>
      <c r="T76" s="40">
        <f t="shared" si="18"/>
        <v>991.13382309165831</v>
      </c>
      <c r="U76" s="41">
        <f t="shared" si="19"/>
        <v>13907.923830317117</v>
      </c>
      <c r="V76" s="41"/>
    </row>
    <row r="77" spans="1:24" x14ac:dyDescent="0.25">
      <c r="A77" s="38">
        <v>45701</v>
      </c>
      <c r="B77" s="39" t="s">
        <v>22</v>
      </c>
      <c r="C77" s="12">
        <v>0.79236111111111107</v>
      </c>
      <c r="D77" s="4">
        <v>-0.08</v>
      </c>
      <c r="E77" s="88">
        <f>Effort!F75</f>
        <v>68.992292140569546</v>
      </c>
      <c r="F77" s="89">
        <f>Harvest!F75</f>
        <v>448.44989891370204</v>
      </c>
      <c r="G77" s="90">
        <f>+CPUE!F75</f>
        <v>6.5</v>
      </c>
      <c r="H77" s="88">
        <f>Effort!H75</f>
        <v>80.964040699054493</v>
      </c>
      <c r="I77" s="89">
        <f>Harvest!H75</f>
        <v>520.48311877963602</v>
      </c>
      <c r="J77" s="90">
        <f>CPUE!H75</f>
        <v>6.4285714285714288</v>
      </c>
      <c r="K77" s="88">
        <f>Effort!J75</f>
        <v>83.101568522171107</v>
      </c>
      <c r="L77" s="89">
        <f>Harvest!J75</f>
        <v>488.22171506775499</v>
      </c>
      <c r="M77" s="90">
        <f>CPUE!J75</f>
        <v>5.8749999999999964</v>
      </c>
      <c r="N77" s="88" t="str">
        <f>Effort!L75</f>
        <v>CLOSED</v>
      </c>
      <c r="O77" s="89" t="str">
        <f>Harvest!L75</f>
        <v>CLOSED</v>
      </c>
      <c r="P77" s="90" t="str">
        <f>CPUE!L75</f>
        <v>CLOSED</v>
      </c>
      <c r="Q77" s="40" t="s">
        <v>10</v>
      </c>
      <c r="R77" s="41" t="s">
        <v>10</v>
      </c>
      <c r="S77" s="43" t="s">
        <v>10</v>
      </c>
      <c r="T77" s="40">
        <f t="shared" si="18"/>
        <v>233.05790136179516</v>
      </c>
      <c r="U77" s="41">
        <f t="shared" si="19"/>
        <v>1457.1547327610931</v>
      </c>
      <c r="V77" s="41"/>
    </row>
    <row r="78" spans="1:24" x14ac:dyDescent="0.25">
      <c r="A78" s="38">
        <v>45702</v>
      </c>
      <c r="B78" s="39" t="s">
        <v>18</v>
      </c>
      <c r="C78" s="12">
        <v>0.81388888888888899</v>
      </c>
      <c r="D78" s="4">
        <v>0.36</v>
      </c>
      <c r="E78" s="88">
        <f>Effort!F76</f>
        <v>310.60441199574979</v>
      </c>
      <c r="F78" s="89">
        <f>Harvest!F76</f>
        <v>1242.4176479829991</v>
      </c>
      <c r="G78" s="90">
        <f>+CPUE!F76</f>
        <v>4</v>
      </c>
      <c r="H78" s="88">
        <f>Effort!H76</f>
        <v>364.50141709876777</v>
      </c>
      <c r="I78" s="89">
        <f>Harvest!H76</f>
        <v>1458.0056683950711</v>
      </c>
      <c r="J78" s="90">
        <f>CPUE!H76</f>
        <v>4</v>
      </c>
      <c r="K78" s="88">
        <f>Effort!J76</f>
        <v>374.12460183469398</v>
      </c>
      <c r="L78" s="89">
        <f>Harvest!J76</f>
        <v>1402.9672568801</v>
      </c>
      <c r="M78" s="90">
        <f>CPUE!J76</f>
        <v>3.7499999999999933</v>
      </c>
      <c r="N78" s="88" t="str">
        <f>Effort!L76</f>
        <v>CLOSED</v>
      </c>
      <c r="O78" s="89" t="str">
        <f>Harvest!L76</f>
        <v>CLOSED</v>
      </c>
      <c r="P78" s="90" t="str">
        <f>CPUE!L76</f>
        <v>CLOSED</v>
      </c>
      <c r="Q78" s="40" t="s">
        <v>10</v>
      </c>
      <c r="R78" s="41" t="s">
        <v>10</v>
      </c>
      <c r="S78" s="43" t="s">
        <v>10</v>
      </c>
      <c r="T78" s="40">
        <f>SUM(E78,H78,K78,N78)</f>
        <v>1049.2304309292115</v>
      </c>
      <c r="U78" s="41">
        <f t="shared" si="19"/>
        <v>4103.3905732581698</v>
      </c>
      <c r="V78" s="41"/>
    </row>
    <row r="79" spans="1:24" x14ac:dyDescent="0.25">
      <c r="A79" s="136" t="s">
        <v>50</v>
      </c>
      <c r="B79" s="136"/>
      <c r="C79" s="136"/>
      <c r="D79" s="137"/>
      <c r="E79" s="46">
        <f>SUM(E72:E78)</f>
        <v>4453.1834760500124</v>
      </c>
      <c r="F79" s="47">
        <f>SUM(F72:F78)</f>
        <v>62147.474188147491</v>
      </c>
      <c r="G79" s="48">
        <f>+F79/E79</f>
        <v>13.955740768909997</v>
      </c>
      <c r="H79" s="46">
        <f>SUM(H72:H78)</f>
        <v>5160.8501185401046</v>
      </c>
      <c r="I79" s="47">
        <f>SUM(I72:I78)</f>
        <v>72404.142799458583</v>
      </c>
      <c r="J79" s="48">
        <f>+I79/H79</f>
        <v>14.029499236831196</v>
      </c>
      <c r="K79" s="46">
        <f>SUM(K72:K78)</f>
        <v>2615.4809565934193</v>
      </c>
      <c r="L79" s="47">
        <f>SUM(L72:L78)</f>
        <v>34142.977941013756</v>
      </c>
      <c r="M79" s="48">
        <f>+L79/K79</f>
        <v>13.054187167733732</v>
      </c>
      <c r="N79" s="46">
        <f>SUM(N72:N78)</f>
        <v>2128.3879198678196</v>
      </c>
      <c r="O79" s="47">
        <f>SUM(O72:O78)</f>
        <v>30124.91416268477</v>
      </c>
      <c r="P79" s="48">
        <f>+O79/N79</f>
        <v>14.153864472485651</v>
      </c>
      <c r="Q79" s="46"/>
      <c r="R79" s="47"/>
      <c r="S79" s="48"/>
      <c r="T79" s="46">
        <f>SUM(T72:T78)</f>
        <v>14357.902471051357</v>
      </c>
      <c r="U79" s="47">
        <f>SUM(U72:U78)</f>
        <v>198819.50909130462</v>
      </c>
      <c r="V79" s="61"/>
      <c r="W79" s="19">
        <f>SUM(H79,K79,N79,Q79,E79)</f>
        <v>14357.902471051355</v>
      </c>
      <c r="X79" s="19">
        <f>SUM(R79,O79,L79,I79,F79)</f>
        <v>198819.50909130459</v>
      </c>
    </row>
    <row r="80" spans="1:24" x14ac:dyDescent="0.25">
      <c r="A80" s="38">
        <v>45712</v>
      </c>
      <c r="B80" s="39" t="s">
        <v>21</v>
      </c>
      <c r="C80" s="12">
        <v>0.6694444444444444</v>
      </c>
      <c r="D80" s="4">
        <v>0.21</v>
      </c>
      <c r="E80" s="88">
        <f>Effort!F78</f>
        <v>149.43161865343805</v>
      </c>
      <c r="F80" s="89">
        <f>Harvest!F78</f>
        <v>747.15809326719022</v>
      </c>
      <c r="G80" s="90">
        <f>+CPUE!F78</f>
        <v>5</v>
      </c>
      <c r="H80" s="88">
        <f>Effort!H78</f>
        <v>272.44494004003707</v>
      </c>
      <c r="I80" s="89">
        <f>Harvest!H78</f>
        <v>1362.2247002001855</v>
      </c>
      <c r="J80" s="90">
        <f>CPUE!H78</f>
        <v>5</v>
      </c>
      <c r="K80" s="88" t="str">
        <f>Effort!J78</f>
        <v>CLOSED</v>
      </c>
      <c r="L80" s="89" t="str">
        <f>Harvest!J78</f>
        <v>CLOSED</v>
      </c>
      <c r="M80" s="90" t="str">
        <f>CPUE!J78</f>
        <v>CLOSED</v>
      </c>
      <c r="N80" s="88">
        <f>Effort!L78</f>
        <v>149.703332854537</v>
      </c>
      <c r="O80" s="89">
        <f>Harvest!L78</f>
        <v>764.27490983632299</v>
      </c>
      <c r="P80" s="90">
        <f>CPUE!L78</f>
        <v>5.105263157894754</v>
      </c>
      <c r="Q80" s="40" t="s">
        <v>10</v>
      </c>
      <c r="R80" s="41" t="s">
        <v>10</v>
      </c>
      <c r="S80" s="43" t="s">
        <v>10</v>
      </c>
      <c r="T80" s="40">
        <f t="shared" ref="T80:T84" si="20">SUM(E80,H80,K80,N80)</f>
        <v>571.57989154801203</v>
      </c>
      <c r="U80" s="41">
        <f t="shared" ref="U80:U85" si="21">SUM(F80,I80,L80,O80)</f>
        <v>2873.6577033036983</v>
      </c>
      <c r="V80" s="41"/>
    </row>
    <row r="81" spans="1:24" x14ac:dyDescent="0.25">
      <c r="A81" s="38">
        <v>45713</v>
      </c>
      <c r="B81" s="39" t="s">
        <v>61</v>
      </c>
      <c r="C81" s="12">
        <v>0.69861111111111107</v>
      </c>
      <c r="D81" s="4">
        <v>-0.3</v>
      </c>
      <c r="E81" s="88">
        <f>Effort!F79</f>
        <v>375.6118394216648</v>
      </c>
      <c r="F81" s="89">
        <f>Harvest!F79</f>
        <v>4695.1479927708097</v>
      </c>
      <c r="G81" s="90">
        <f>+CPUE!F79</f>
        <v>12.5</v>
      </c>
      <c r="H81" s="88">
        <f>Effort!H79</f>
        <v>309.14696400702923</v>
      </c>
      <c r="I81" s="89">
        <f>Harvest!H79</f>
        <v>3864.3370500878655</v>
      </c>
      <c r="J81" s="90">
        <f>CPUE!H79</f>
        <v>12.5</v>
      </c>
      <c r="K81" s="88">
        <f>Effort!J79</f>
        <v>495.07005501401301</v>
      </c>
      <c r="L81" s="89">
        <f>Harvest!J79</f>
        <v>6105.8640118394896</v>
      </c>
      <c r="M81" s="90">
        <f>CPUE!J79</f>
        <v>12.333333333333325</v>
      </c>
      <c r="N81" s="88" t="str">
        <f>Effort!L79</f>
        <v>CLOSED</v>
      </c>
      <c r="O81" s="89" t="str">
        <f>Harvest!L79</f>
        <v>CLOSED</v>
      </c>
      <c r="P81" s="90" t="str">
        <f>CPUE!L79</f>
        <v>CLOSED</v>
      </c>
      <c r="Q81" s="40" t="s">
        <v>10</v>
      </c>
      <c r="R81" s="41" t="s">
        <v>10</v>
      </c>
      <c r="S81" s="43" t="s">
        <v>10</v>
      </c>
      <c r="T81" s="40">
        <f t="shared" si="20"/>
        <v>1179.8288584427071</v>
      </c>
      <c r="U81" s="41">
        <f t="shared" si="21"/>
        <v>14665.349054698167</v>
      </c>
      <c r="V81" s="41"/>
    </row>
    <row r="82" spans="1:24" x14ac:dyDescent="0.25">
      <c r="A82" s="38">
        <v>45714</v>
      </c>
      <c r="B82" s="39" t="s">
        <v>62</v>
      </c>
      <c r="C82" s="12">
        <v>0.72569444444444453</v>
      </c>
      <c r="D82" s="4">
        <v>-0.63</v>
      </c>
      <c r="E82" s="88">
        <f>Effort!F80</f>
        <v>1038.3664269273049</v>
      </c>
      <c r="F82" s="89">
        <f>Harvest!F80</f>
        <v>15575.49640390957</v>
      </c>
      <c r="G82" s="90">
        <f>+CPUE!F80</f>
        <v>14.999999999999996</v>
      </c>
      <c r="H82" s="88">
        <f>Effort!H80</f>
        <v>854.62649128862301</v>
      </c>
      <c r="I82" s="89">
        <f>Harvest!H80</f>
        <v>12586.3174171597</v>
      </c>
      <c r="J82" s="90">
        <f>CPUE!H80</f>
        <v>14.727272727272704</v>
      </c>
      <c r="K82" s="88">
        <f>Effort!J80</f>
        <v>1368.60468747502</v>
      </c>
      <c r="L82" s="89">
        <f>Harvest!J80</f>
        <v>20529.070312125299</v>
      </c>
      <c r="M82" s="90">
        <f>CPUE!J80</f>
        <v>15</v>
      </c>
      <c r="N82" s="88" t="str">
        <f>Effort!L80</f>
        <v>CLOSED</v>
      </c>
      <c r="O82" s="89" t="str">
        <f>Harvest!L80</f>
        <v>CLOSED</v>
      </c>
      <c r="P82" s="90" t="str">
        <f>CPUE!L80</f>
        <v>CLOSED</v>
      </c>
      <c r="Q82" s="40" t="s">
        <v>10</v>
      </c>
      <c r="R82" s="41" t="s">
        <v>10</v>
      </c>
      <c r="S82" s="43" t="s">
        <v>10</v>
      </c>
      <c r="T82" s="40">
        <f t="shared" si="20"/>
        <v>3261.5976056909481</v>
      </c>
      <c r="U82" s="41">
        <f t="shared" si="21"/>
        <v>48690.884133194573</v>
      </c>
      <c r="V82" s="41"/>
    </row>
    <row r="83" spans="1:24" x14ac:dyDescent="0.25">
      <c r="A83" s="38">
        <v>45715</v>
      </c>
      <c r="B83" s="39" t="s">
        <v>22</v>
      </c>
      <c r="C83" s="12">
        <v>0.75208333333333333</v>
      </c>
      <c r="D83" s="4">
        <v>-0.73</v>
      </c>
      <c r="E83" s="88">
        <f>Effort!F81</f>
        <v>903.28993313800447</v>
      </c>
      <c r="F83" s="89">
        <f>Harvest!F81</f>
        <v>13188.033023814865</v>
      </c>
      <c r="G83" s="90">
        <f>+CPUE!F81</f>
        <v>14.6</v>
      </c>
      <c r="H83" s="88">
        <f>Effort!H81</f>
        <v>1564.3157182237901</v>
      </c>
      <c r="I83" s="89">
        <f>Harvest!H81</f>
        <v>23204.0164869863</v>
      </c>
      <c r="J83" s="90">
        <f>CPUE!H81</f>
        <v>14.833333333333385</v>
      </c>
      <c r="K83" s="88" t="str">
        <f>Effort!J81</f>
        <v>CLOSED</v>
      </c>
      <c r="L83" s="89" t="str">
        <f>Harvest!J81</f>
        <v>CLOSED</v>
      </c>
      <c r="M83" s="90" t="str">
        <f>CPUE!J81</f>
        <v>CLOSED</v>
      </c>
      <c r="N83" s="88">
        <f>Effort!L81</f>
        <v>859.56184989314102</v>
      </c>
      <c r="O83" s="89">
        <f>Harvest!L81</f>
        <v>8897.6267164614401</v>
      </c>
      <c r="P83" s="90">
        <f>CPUE!L81</f>
        <v>10.35135135135136</v>
      </c>
      <c r="Q83" s="40" t="s">
        <v>10</v>
      </c>
      <c r="R83" s="41" t="s">
        <v>10</v>
      </c>
      <c r="S83" s="43" t="s">
        <v>10</v>
      </c>
      <c r="T83" s="40">
        <f t="shared" si="20"/>
        <v>3327.1675012549358</v>
      </c>
      <c r="U83" s="41">
        <f t="shared" si="21"/>
        <v>45289.676227262607</v>
      </c>
      <c r="V83" s="41"/>
    </row>
    <row r="84" spans="1:24" x14ac:dyDescent="0.25">
      <c r="A84" s="38">
        <v>45716</v>
      </c>
      <c r="B84" s="39" t="s">
        <v>18</v>
      </c>
      <c r="C84" s="12">
        <v>0.77708333333333324</v>
      </c>
      <c r="D84" s="4">
        <v>-0.55000000000000004</v>
      </c>
      <c r="E84" s="88">
        <f>Effort!F82</f>
        <v>1351.4942321099861</v>
      </c>
      <c r="F84" s="89">
        <f>Harvest!F82</f>
        <v>18650.620403117809</v>
      </c>
      <c r="G84" s="90">
        <f>+CPUE!F82</f>
        <v>13.8</v>
      </c>
      <c r="H84" s="88">
        <f>Effort!H82</f>
        <v>1112.3460308735803</v>
      </c>
      <c r="I84" s="89">
        <f>Harvest!H82</f>
        <v>15572.844432230124</v>
      </c>
      <c r="J84" s="90">
        <f>CPUE!H82</f>
        <v>14</v>
      </c>
      <c r="K84" s="88" t="str">
        <f>Effort!J82</f>
        <v>CLOSED</v>
      </c>
      <c r="L84" s="89" t="str">
        <f>Harvest!J82</f>
        <v>CLOSED</v>
      </c>
      <c r="M84" s="90" t="str">
        <f>CPUE!J82</f>
        <v>CLOSED</v>
      </c>
      <c r="N84" s="88">
        <f>Effort!L82</f>
        <v>1353.95167839128</v>
      </c>
      <c r="O84" s="89">
        <f>Harvest!L82</f>
        <v>17157.1064246145</v>
      </c>
      <c r="P84" s="90">
        <f>CPUE!L82</f>
        <v>12.671874999999998</v>
      </c>
      <c r="Q84" s="40" t="s">
        <v>10</v>
      </c>
      <c r="R84" s="41" t="s">
        <v>10</v>
      </c>
      <c r="S84" s="43" t="s">
        <v>10</v>
      </c>
      <c r="T84" s="40">
        <f t="shared" si="20"/>
        <v>3817.7919413748464</v>
      </c>
      <c r="U84" s="41">
        <f t="shared" si="21"/>
        <v>51380.571259962438</v>
      </c>
      <c r="V84" s="41"/>
    </row>
    <row r="85" spans="1:24" x14ac:dyDescent="0.25">
      <c r="A85" s="38">
        <v>45717</v>
      </c>
      <c r="B85" s="39" t="s">
        <v>19</v>
      </c>
      <c r="C85" s="12">
        <v>0.80208333333333337</v>
      </c>
      <c r="D85" s="4">
        <v>-0.1</v>
      </c>
      <c r="E85" s="88">
        <f>Effort!F83</f>
        <v>1456.8370543950675</v>
      </c>
      <c r="F85" s="89">
        <f>Harvest!F83</f>
        <v>5827.3482175802701</v>
      </c>
      <c r="G85" s="90">
        <f>+CPUE!F83</f>
        <v>4</v>
      </c>
      <c r="H85" s="88">
        <f>Effort!H83</f>
        <v>1199.04833967063</v>
      </c>
      <c r="I85" s="89">
        <f>Harvest!H83</f>
        <v>5739.7068062921799</v>
      </c>
      <c r="J85" s="90">
        <f>CPUE!H83</f>
        <v>4.786885245901626</v>
      </c>
      <c r="K85" s="88">
        <f>Effort!J83</f>
        <v>2149.0592731465699</v>
      </c>
      <c r="L85" s="89">
        <f>Harvest!J83</f>
        <v>3420.9514960292299</v>
      </c>
      <c r="M85" s="90">
        <f>CPUE!J83</f>
        <v>1.5918367346938758</v>
      </c>
      <c r="N85" s="88" t="str">
        <f>Effort!L83</f>
        <v>CLOSED</v>
      </c>
      <c r="O85" s="89" t="str">
        <f>Harvest!L83</f>
        <v>CLOSED</v>
      </c>
      <c r="P85" s="90" t="str">
        <f>CPUE!L83</f>
        <v>CLOSED</v>
      </c>
      <c r="Q85" s="40" t="s">
        <v>10</v>
      </c>
      <c r="R85" s="41" t="s">
        <v>10</v>
      </c>
      <c r="S85" s="43" t="s">
        <v>10</v>
      </c>
      <c r="T85" s="40">
        <f>SUM(E85,H85,K85,N85)</f>
        <v>4804.9446672122667</v>
      </c>
      <c r="U85" s="41">
        <f t="shared" si="21"/>
        <v>14988.006519901679</v>
      </c>
      <c r="V85" s="41"/>
    </row>
    <row r="86" spans="1:24" x14ac:dyDescent="0.25">
      <c r="A86" s="136" t="s">
        <v>50</v>
      </c>
      <c r="B86" s="136"/>
      <c r="C86" s="136"/>
      <c r="D86" s="137"/>
      <c r="E86" s="46">
        <f>SUM(E80:E85)</f>
        <v>5275.0311046454663</v>
      </c>
      <c r="F86" s="47">
        <f>SUM(F80:F85)</f>
        <v>58683.804134460523</v>
      </c>
      <c r="G86" s="48">
        <f>+F86/E86</f>
        <v>11.124826180224893</v>
      </c>
      <c r="H86" s="46">
        <f>SUM(H80:H85)</f>
        <v>5311.9284841036897</v>
      </c>
      <c r="I86" s="47">
        <f>SUM(I80:I85)</f>
        <v>62329.446892956352</v>
      </c>
      <c r="J86" s="48">
        <f>+I86/H86</f>
        <v>11.733864090881776</v>
      </c>
      <c r="K86" s="46">
        <f>SUM(K80:K85)</f>
        <v>4012.7340156356031</v>
      </c>
      <c r="L86" s="47">
        <f>SUM(L80:L85)</f>
        <v>30055.885819994019</v>
      </c>
      <c r="M86" s="48">
        <f>+L86/K86</f>
        <v>7.4901266076648421</v>
      </c>
      <c r="N86" s="46">
        <f>SUM(N80:N85)</f>
        <v>2363.2168611389579</v>
      </c>
      <c r="O86" s="47">
        <f>SUM(O80:O85)</f>
        <v>26819.008050912264</v>
      </c>
      <c r="P86" s="48">
        <f>+O86/N86</f>
        <v>11.348517561772464</v>
      </c>
      <c r="Q86" s="46"/>
      <c r="R86" s="47"/>
      <c r="S86" s="48"/>
      <c r="T86" s="46">
        <f>SUM(T80:T85)</f>
        <v>16962.910465523717</v>
      </c>
      <c r="U86" s="47">
        <f>SUM(U80:U85)</f>
        <v>177888.14489832317</v>
      </c>
      <c r="V86" s="61"/>
      <c r="W86" s="19">
        <f>SUM(H86,K86,N86,Q86,E86)</f>
        <v>16962.910465523717</v>
      </c>
      <c r="X86" s="19">
        <f>SUM(R86,O86,L86,I86,F86)</f>
        <v>177888.14489832314</v>
      </c>
    </row>
    <row r="87" spans="1:24" x14ac:dyDescent="0.25">
      <c r="A87" s="38">
        <v>45724</v>
      </c>
      <c r="B87" s="39" t="s">
        <v>19</v>
      </c>
      <c r="C87" s="12">
        <v>0.59236111111111112</v>
      </c>
      <c r="D87" s="4">
        <v>0.59</v>
      </c>
      <c r="E87" s="88">
        <f>Effort!F85</f>
        <v>1257.396888570878</v>
      </c>
      <c r="F87" s="89">
        <f>Harvest!F85</f>
        <v>10059.175108567024</v>
      </c>
      <c r="G87" s="90">
        <f>+CPUE!F85</f>
        <v>8</v>
      </c>
      <c r="H87" s="88">
        <f>Effort!H85</f>
        <v>1587.8642907890301</v>
      </c>
      <c r="I87" s="89">
        <f>Harvest!H85</f>
        <v>13095.950041854099</v>
      </c>
      <c r="J87" s="90">
        <f>CPUE!H85</f>
        <v>8.2475247524752593</v>
      </c>
      <c r="K87" s="88" t="str">
        <f>Effort!J85</f>
        <v>CLOSED</v>
      </c>
      <c r="L87" s="89" t="str">
        <f>Harvest!J85</f>
        <v>CLOSED</v>
      </c>
      <c r="M87" s="90" t="str">
        <f>CPUE!J85</f>
        <v>CLOSED</v>
      </c>
      <c r="N87" s="88">
        <f>Effort!L85</f>
        <v>1520.71993082688</v>
      </c>
      <c r="O87" s="89">
        <f>Harvest!L85</f>
        <v>4360.8880369300196</v>
      </c>
      <c r="P87" s="90">
        <f>CPUE!L85</f>
        <v>2.8676470588235268</v>
      </c>
      <c r="Q87" s="40" t="s">
        <v>10</v>
      </c>
      <c r="R87" s="41" t="s">
        <v>10</v>
      </c>
      <c r="S87" s="43" t="s">
        <v>10</v>
      </c>
      <c r="T87" s="40">
        <f>SUM(E87,H87,K87,N87)</f>
        <v>4365.9811101867881</v>
      </c>
      <c r="U87" s="41">
        <f>SUM(F87,I87,L87,O87)</f>
        <v>27516.013187351145</v>
      </c>
      <c r="V87" s="41"/>
    </row>
    <row r="88" spans="1:24" x14ac:dyDescent="0.25">
      <c r="A88" s="38">
        <v>45725</v>
      </c>
      <c r="B88" s="39" t="s">
        <v>20</v>
      </c>
      <c r="C88" s="12">
        <v>0.6791666666666667</v>
      </c>
      <c r="D88" s="4">
        <v>0.41</v>
      </c>
      <c r="E88" s="88">
        <f>Effort!F86</f>
        <v>439.43661484638267</v>
      </c>
      <c r="F88" s="89">
        <f>Harvest!F86</f>
        <v>2197.1830742319135</v>
      </c>
      <c r="G88" s="90">
        <f>+CPUE!F86</f>
        <v>5</v>
      </c>
      <c r="H88" s="88">
        <f>Effort!H86</f>
        <v>646.66769309195399</v>
      </c>
      <c r="I88" s="89">
        <f>Harvest!H86</f>
        <v>8437.47370986645</v>
      </c>
      <c r="J88" s="90">
        <f>CPUE!H86</f>
        <v>13.047619047619051</v>
      </c>
      <c r="K88" s="88">
        <f>Effort!J86</f>
        <v>772.35342030302002</v>
      </c>
      <c r="L88" s="89">
        <f>Harvest!J86</f>
        <v>7105.65146678779</v>
      </c>
      <c r="M88" s="90">
        <f>CPUE!J86</f>
        <v>9.2000000000000082</v>
      </c>
      <c r="N88" s="88" t="str">
        <f>Effort!L86</f>
        <v>CLOSED</v>
      </c>
      <c r="O88" s="89" t="str">
        <f>Harvest!L86</f>
        <v>CLOSED</v>
      </c>
      <c r="P88" s="90" t="str">
        <f>CPUE!L86</f>
        <v>CLOSED</v>
      </c>
      <c r="Q88" s="40" t="s">
        <v>10</v>
      </c>
      <c r="R88" s="41" t="s">
        <v>10</v>
      </c>
      <c r="S88" s="43" t="s">
        <v>10</v>
      </c>
      <c r="T88" s="40">
        <f t="shared" ref="T88:T92" si="22">SUM(E88,H88,K88,N88)</f>
        <v>1858.4577282413566</v>
      </c>
      <c r="U88" s="41">
        <f t="shared" ref="U88:U93" si="23">SUM(F88,I88,L88,O88)</f>
        <v>17740.308250886152</v>
      </c>
      <c r="V88" s="41"/>
    </row>
    <row r="89" spans="1:24" x14ac:dyDescent="0.25">
      <c r="A89" s="38">
        <v>45726</v>
      </c>
      <c r="B89" s="39" t="s">
        <v>21</v>
      </c>
      <c r="C89" s="12">
        <v>0.71527777777777779</v>
      </c>
      <c r="D89" s="4">
        <v>0.22</v>
      </c>
      <c r="E89" s="88">
        <f>Effort!F87</f>
        <v>506.81530672848743</v>
      </c>
      <c r="F89" s="89">
        <f>Harvest!F87</f>
        <v>6081.7836807418489</v>
      </c>
      <c r="G89" s="90">
        <f>+CPUE!F87</f>
        <v>12</v>
      </c>
      <c r="H89" s="88">
        <f>Effort!H87</f>
        <v>745.8210675966842</v>
      </c>
      <c r="I89" s="89">
        <f>Harvest!H87</f>
        <v>8949.85281116021</v>
      </c>
      <c r="J89" s="90">
        <f>CPUE!H87</f>
        <v>12</v>
      </c>
      <c r="K89" s="88">
        <f>Effort!J87</f>
        <v>890.77815181720905</v>
      </c>
      <c r="L89" s="89">
        <f>Harvest!J87</f>
        <v>10792.119916247</v>
      </c>
      <c r="M89" s="90">
        <f>CPUE!J87</f>
        <v>12.115384615384665</v>
      </c>
      <c r="N89" s="88" t="str">
        <f>Effort!L87</f>
        <v>CLOSED</v>
      </c>
      <c r="O89" s="89" t="str">
        <f>Harvest!L87</f>
        <v>CLOSED</v>
      </c>
      <c r="P89" s="90" t="str">
        <f>CPUE!L87</f>
        <v>CLOSED</v>
      </c>
      <c r="Q89" s="40" t="s">
        <v>10</v>
      </c>
      <c r="R89" s="41" t="s">
        <v>10</v>
      </c>
      <c r="S89" s="43" t="s">
        <v>10</v>
      </c>
      <c r="T89" s="40">
        <f t="shared" si="22"/>
        <v>2143.4145261423805</v>
      </c>
      <c r="U89" s="41">
        <f t="shared" si="23"/>
        <v>25823.75640814906</v>
      </c>
      <c r="V89" s="41"/>
    </row>
    <row r="90" spans="1:24" x14ac:dyDescent="0.25">
      <c r="A90" s="38">
        <v>45727</v>
      </c>
      <c r="B90" s="39" t="s">
        <v>61</v>
      </c>
      <c r="C90" s="12">
        <v>0.74444444444444446</v>
      </c>
      <c r="D90" s="4">
        <v>0.14000000000000001</v>
      </c>
      <c r="E90" s="88">
        <f>Effort!F88</f>
        <v>245.25078631568221</v>
      </c>
      <c r="F90" s="89">
        <f>Harvest!F88</f>
        <v>3482.5611656826873</v>
      </c>
      <c r="G90" s="90">
        <f>+CPUE!F88</f>
        <v>14.2</v>
      </c>
      <c r="H90" s="88">
        <f>Effort!H88</f>
        <v>415.24458095342902</v>
      </c>
      <c r="I90" s="89">
        <f>Harvest!H88</f>
        <v>6102.8370231034196</v>
      </c>
      <c r="J90" s="90">
        <f>CPUE!H88</f>
        <v>14.696969696969679</v>
      </c>
      <c r="K90" s="88" t="str">
        <f>Effort!J88</f>
        <v>CLOSED</v>
      </c>
      <c r="L90" s="89" t="str">
        <f>Harvest!J88</f>
        <v>CLOSED</v>
      </c>
      <c r="M90" s="90" t="str">
        <f>CPUE!J88</f>
        <v>CLOSED</v>
      </c>
      <c r="N90" s="88">
        <f>Effort!L88</f>
        <v>296.61100817985601</v>
      </c>
      <c r="O90" s="89">
        <f>Harvest!L88</f>
        <v>4061.92297312969</v>
      </c>
      <c r="P90" s="90">
        <f>CPUE!L88</f>
        <v>13.694444444444429</v>
      </c>
      <c r="Q90" s="40" t="s">
        <v>10</v>
      </c>
      <c r="R90" s="41" t="s">
        <v>10</v>
      </c>
      <c r="S90" s="43" t="s">
        <v>10</v>
      </c>
      <c r="T90" s="40">
        <f t="shared" si="22"/>
        <v>957.10637544896736</v>
      </c>
      <c r="U90" s="41">
        <f t="shared" si="23"/>
        <v>13647.321161915796</v>
      </c>
      <c r="V90" s="41"/>
    </row>
    <row r="91" spans="1:24" x14ac:dyDescent="0.25">
      <c r="A91" s="38">
        <v>45728</v>
      </c>
      <c r="B91" s="39" t="s">
        <v>62</v>
      </c>
      <c r="C91" s="12">
        <v>0.76944444444444438</v>
      </c>
      <c r="D91" s="4">
        <v>0.18</v>
      </c>
      <c r="E91" s="88">
        <f>Effort!F89</f>
        <v>153.8279451889606</v>
      </c>
      <c r="F91" s="89">
        <f>Harvest!F89</f>
        <v>1538.279451889606</v>
      </c>
      <c r="G91" s="90">
        <f>+CPUE!F89</f>
        <v>10</v>
      </c>
      <c r="H91" s="88">
        <f>Effort!H89</f>
        <v>194.25680412540177</v>
      </c>
      <c r="I91" s="89">
        <f>Harvest!H89</f>
        <v>1942.5680412540178</v>
      </c>
      <c r="J91" s="90">
        <f>CPUE!H89</f>
        <v>10</v>
      </c>
      <c r="K91" s="88" t="str">
        <f>Effort!J89</f>
        <v>CLOSED</v>
      </c>
      <c r="L91" s="89" t="str">
        <f>Harvest!J89</f>
        <v>CLOSED</v>
      </c>
      <c r="M91" s="90" t="str">
        <f>CPUE!J89</f>
        <v>CLOSED</v>
      </c>
      <c r="N91" s="88">
        <f>Effort!L89</f>
        <v>186.042469401109</v>
      </c>
      <c r="O91" s="89">
        <f>Harvest!L89</f>
        <v>1720.8928419602601</v>
      </c>
      <c r="P91" s="90">
        <f>CPUE!L89</f>
        <v>9.2500000000000089</v>
      </c>
      <c r="Q91" s="40" t="s">
        <v>10</v>
      </c>
      <c r="R91" s="41" t="s">
        <v>10</v>
      </c>
      <c r="S91" s="43" t="s">
        <v>10</v>
      </c>
      <c r="T91" s="40">
        <f t="shared" si="22"/>
        <v>534.12721871547137</v>
      </c>
      <c r="U91" s="41">
        <f t="shared" si="23"/>
        <v>5201.7403351038838</v>
      </c>
      <c r="V91" s="41"/>
    </row>
    <row r="92" spans="1:24" x14ac:dyDescent="0.25">
      <c r="A92" s="38">
        <v>45729</v>
      </c>
      <c r="B92" s="39" t="s">
        <v>22</v>
      </c>
      <c r="C92" s="12">
        <v>0.79166666666666663</v>
      </c>
      <c r="D92" s="4">
        <v>0.37</v>
      </c>
      <c r="E92" s="88">
        <f>Effort!F90</f>
        <v>290.27800006316511</v>
      </c>
      <c r="F92" s="89">
        <f>Harvest!F90</f>
        <v>1103.0564002400274</v>
      </c>
      <c r="G92" s="90">
        <f>+CPUE!F90</f>
        <v>3.8</v>
      </c>
      <c r="H92" s="88">
        <f>Effort!H90</f>
        <v>294.06291224327998</v>
      </c>
      <c r="I92" s="89">
        <f>Harvest!H90</f>
        <v>2777.2608378532</v>
      </c>
      <c r="J92" s="90">
        <f>CPUE!H90</f>
        <v>9.4444444444444446</v>
      </c>
      <c r="K92" s="88">
        <f>Effort!J90</f>
        <v>287.87175384566302</v>
      </c>
      <c r="L92" s="89">
        <f>Harvest!J90</f>
        <v>3166.5892923022898</v>
      </c>
      <c r="M92" s="90">
        <f>CPUE!J90</f>
        <v>10.999999999999988</v>
      </c>
      <c r="N92" s="88" t="str">
        <f>Effort!L90</f>
        <v>CLOSED</v>
      </c>
      <c r="O92" s="89" t="str">
        <f>Harvest!L90</f>
        <v>CLOSED</v>
      </c>
      <c r="P92" s="90" t="str">
        <f>CPUE!L90</f>
        <v>CLOSED</v>
      </c>
      <c r="Q92" s="40" t="s">
        <v>10</v>
      </c>
      <c r="R92" s="41" t="s">
        <v>10</v>
      </c>
      <c r="S92" s="43" t="s">
        <v>10</v>
      </c>
      <c r="T92" s="40">
        <f t="shared" si="22"/>
        <v>872.21266615210811</v>
      </c>
      <c r="U92" s="41">
        <f t="shared" si="23"/>
        <v>7046.9065303955176</v>
      </c>
      <c r="V92" s="41"/>
    </row>
    <row r="93" spans="1:24" x14ac:dyDescent="0.25">
      <c r="A93" s="38">
        <v>45730</v>
      </c>
      <c r="B93" s="39" t="s">
        <v>18</v>
      </c>
      <c r="C93" s="12">
        <v>0.8125</v>
      </c>
      <c r="D93" s="4">
        <v>0.69</v>
      </c>
      <c r="E93" s="88">
        <f>Effort!F91</f>
        <v>282.06725757988835</v>
      </c>
      <c r="F93" s="89">
        <f>Harvest!F91</f>
        <v>3102.7398333787719</v>
      </c>
      <c r="G93" s="90">
        <f>+CPUE!F91</f>
        <v>11</v>
      </c>
      <c r="H93" s="88">
        <f>Effort!H91</f>
        <v>415.08553587352918</v>
      </c>
      <c r="I93" s="89">
        <f>Harvest!H91</f>
        <v>4565.9408946088206</v>
      </c>
      <c r="J93" s="90">
        <f>CPUE!H91</f>
        <v>11</v>
      </c>
      <c r="K93" s="88">
        <f>Effort!J91</f>
        <v>495.76117188932301</v>
      </c>
      <c r="L93" s="89">
        <f>Harvest!J91</f>
        <v>5387.2714011973103</v>
      </c>
      <c r="M93" s="90">
        <f>CPUE!J91</f>
        <v>10.866666666666667</v>
      </c>
      <c r="N93" s="88" t="str">
        <f>Effort!L91</f>
        <v>CLOSED</v>
      </c>
      <c r="O93" s="89" t="str">
        <f>Harvest!L91</f>
        <v>CLOSED</v>
      </c>
      <c r="P93" s="90" t="str">
        <f>CPUE!L91</f>
        <v>CLOSED</v>
      </c>
      <c r="Q93" s="40" t="s">
        <v>10</v>
      </c>
      <c r="R93" s="41" t="s">
        <v>10</v>
      </c>
      <c r="S93" s="43" t="s">
        <v>10</v>
      </c>
      <c r="T93" s="40">
        <f>SUM(E93,H93,K93,N93)</f>
        <v>1192.9139653427405</v>
      </c>
      <c r="U93" s="41">
        <f t="shared" si="23"/>
        <v>13055.952129184901</v>
      </c>
      <c r="V93" s="41"/>
    </row>
    <row r="94" spans="1:24" x14ac:dyDescent="0.25">
      <c r="A94" s="136" t="s">
        <v>50</v>
      </c>
      <c r="B94" s="136"/>
      <c r="C94" s="136"/>
      <c r="D94" s="137"/>
      <c r="E94" s="46">
        <f>SUM(E87:E93)</f>
        <v>3175.0727992934444</v>
      </c>
      <c r="F94" s="47">
        <f>SUM(F87:F93)</f>
        <v>27564.778714731878</v>
      </c>
      <c r="G94" s="48">
        <f>+F94/E94</f>
        <v>8.6816210075138827</v>
      </c>
      <c r="H94" s="46">
        <f>SUM(H87:H93)</f>
        <v>4299.0028846733085</v>
      </c>
      <c r="I94" s="47">
        <f>SUM(I87:I93)</f>
        <v>45871.883359700216</v>
      </c>
      <c r="J94" s="48">
        <f>+I94/H94</f>
        <v>10.670354170554628</v>
      </c>
      <c r="K94" s="46">
        <f>SUM(K87:K93)</f>
        <v>2446.7644978552153</v>
      </c>
      <c r="L94" s="47">
        <f>SUM(L87:L93)</f>
        <v>26451.632076534392</v>
      </c>
      <c r="M94" s="48">
        <f>+L94/K94</f>
        <v>10.810861486555556</v>
      </c>
      <c r="N94" s="46">
        <f>SUM(N87:N93)</f>
        <v>2003.3734084078451</v>
      </c>
      <c r="O94" s="47">
        <f>SUM(O87:O93)</f>
        <v>10143.703852019969</v>
      </c>
      <c r="P94" s="48">
        <f>+O94/N94</f>
        <v>5.0633116170197878</v>
      </c>
      <c r="Q94" s="46"/>
      <c r="R94" s="47"/>
      <c r="S94" s="48"/>
      <c r="T94" s="46">
        <f>SUM(T87:T93)</f>
        <v>11924.213590229814</v>
      </c>
      <c r="U94" s="47">
        <f>SUM(U87:U93)</f>
        <v>110031.99800298645</v>
      </c>
      <c r="V94" s="61"/>
      <c r="W94" s="19">
        <f>SUM(H94,K94,N94,Q94,E94)</f>
        <v>11924.213590229814</v>
      </c>
      <c r="X94" s="19">
        <f>SUM(R94,O94,L94,I94,F94)</f>
        <v>110031.99800298645</v>
      </c>
    </row>
    <row r="95" spans="1:24" x14ac:dyDescent="0.25">
      <c r="A95" s="38">
        <v>45742</v>
      </c>
      <c r="B95" s="39" t="s">
        <v>62</v>
      </c>
      <c r="C95" s="12">
        <v>0.71388888888888891</v>
      </c>
      <c r="D95" s="4">
        <v>0.03</v>
      </c>
      <c r="E95" s="88">
        <f>Effort!F93</f>
        <v>457.68095621661388</v>
      </c>
      <c r="F95" s="89">
        <f>Harvest!F93</f>
        <v>4485.273370922816</v>
      </c>
      <c r="G95" s="90">
        <f>+CPUE!F93</f>
        <v>9.8000000000000007</v>
      </c>
      <c r="H95" s="88">
        <f>Effort!H93</f>
        <v>437.63692840642233</v>
      </c>
      <c r="I95" s="89">
        <f>Harvest!H93</f>
        <v>4376.3692840642234</v>
      </c>
      <c r="J95" s="90">
        <f>CPUE!H93</f>
        <v>10</v>
      </c>
      <c r="K95" s="88" t="str">
        <f>Effort!J93</f>
        <v>CLOSED</v>
      </c>
      <c r="L95" s="89" t="str">
        <f>Harvest!J93</f>
        <v>CLOSED</v>
      </c>
      <c r="M95" s="90" t="str">
        <f>CPUE!J93</f>
        <v>CLOSED</v>
      </c>
      <c r="N95" s="88">
        <f>Effort!L93</f>
        <v>410.77134014964503</v>
      </c>
      <c r="O95" s="89">
        <f>Harvest!L93</f>
        <v>2990.92882046461</v>
      </c>
      <c r="P95" s="90">
        <f>CPUE!L93</f>
        <v>7.2812500000000178</v>
      </c>
      <c r="Q95" s="40" t="s">
        <v>10</v>
      </c>
      <c r="R95" s="41" t="s">
        <v>10</v>
      </c>
      <c r="S95" s="43" t="s">
        <v>10</v>
      </c>
      <c r="T95" s="40">
        <f>SUM(E95,H95,K95,N95)</f>
        <v>1306.0892247726813</v>
      </c>
      <c r="U95" s="41">
        <f>SUM(F95,I95,L95,O95)</f>
        <v>11852.571475451648</v>
      </c>
      <c r="V95" s="41"/>
    </row>
    <row r="96" spans="1:24" x14ac:dyDescent="0.25">
      <c r="A96" s="38">
        <v>45743</v>
      </c>
      <c r="B96" s="39" t="s">
        <v>22</v>
      </c>
      <c r="C96" s="12">
        <v>0.74305555555555547</v>
      </c>
      <c r="D96" s="4">
        <v>-0.11</v>
      </c>
      <c r="E96" s="88">
        <f>Effort!F94</f>
        <v>340.56903000367237</v>
      </c>
      <c r="F96" s="89">
        <f>Harvest!F94</f>
        <v>4086.8283600440682</v>
      </c>
      <c r="G96" s="90">
        <f>+CPUE!F94</f>
        <v>12</v>
      </c>
      <c r="H96" s="88">
        <f>Effort!H94</f>
        <v>325.65389094017866</v>
      </c>
      <c r="I96" s="89">
        <f>Harvest!H94</f>
        <v>3907.8466912821441</v>
      </c>
      <c r="J96" s="90">
        <f>CPUE!H94</f>
        <v>12</v>
      </c>
      <c r="K96" s="88" t="str">
        <f>Effort!J94</f>
        <v>CLOSED</v>
      </c>
      <c r="L96" s="89" t="str">
        <f>Harvest!J94</f>
        <v>CLOSED</v>
      </c>
      <c r="M96" s="90" t="str">
        <f>CPUE!J94</f>
        <v>CLOSED</v>
      </c>
      <c r="N96" s="88">
        <f>Effort!L94</f>
        <v>346.29705494720997</v>
      </c>
      <c r="O96" s="89">
        <f>Harvest!L94</f>
        <v>4135.1942443696198</v>
      </c>
      <c r="P96" s="90">
        <f>CPUE!L94</f>
        <v>11.941176470588221</v>
      </c>
      <c r="Q96" s="40" t="s">
        <v>10</v>
      </c>
      <c r="R96" s="41" t="s">
        <v>10</v>
      </c>
      <c r="S96" s="43" t="s">
        <v>10</v>
      </c>
      <c r="T96" s="40">
        <f t="shared" ref="T96:T102" si="24">SUM(E96,H96,K96,N96)</f>
        <v>1012.519975891061</v>
      </c>
      <c r="U96" s="41">
        <f t="shared" ref="U96:U103" si="25">SUM(F96,I96,L96,O96)</f>
        <v>12129.869295695833</v>
      </c>
      <c r="V96" s="41"/>
    </row>
    <row r="97" spans="1:24" x14ac:dyDescent="0.25">
      <c r="A97" s="38">
        <v>45744</v>
      </c>
      <c r="B97" s="39" t="s">
        <v>18</v>
      </c>
      <c r="C97" s="12">
        <v>0.77013888888888893</v>
      </c>
      <c r="D97" s="4">
        <v>-0.02</v>
      </c>
      <c r="E97" s="88">
        <f>Effort!F95</f>
        <v>698.21190776146273</v>
      </c>
      <c r="F97" s="89">
        <f>Harvest!F95</f>
        <v>2513.5628679412657</v>
      </c>
      <c r="G97" s="90">
        <f>+CPUE!F95</f>
        <v>3.6</v>
      </c>
      <c r="H97" s="88">
        <f>Effort!H95</f>
        <v>789.94867110653684</v>
      </c>
      <c r="I97" s="89">
        <f>Harvest!H95</f>
        <v>8689.4353821719051</v>
      </c>
      <c r="J97" s="90">
        <f>CPUE!H95</f>
        <v>11</v>
      </c>
      <c r="K97" s="88">
        <f>Effort!J95</f>
        <v>980.98644712974703</v>
      </c>
      <c r="L97" s="89">
        <f>Harvest!J95</f>
        <v>10736.3516713644</v>
      </c>
      <c r="M97" s="90">
        <f>CPUE!J95</f>
        <v>10.94444444444439</v>
      </c>
      <c r="N97" s="88" t="str">
        <f>Effort!L95</f>
        <v>CLOSED</v>
      </c>
      <c r="O97" s="89" t="str">
        <f>Harvest!L95</f>
        <v>CLOSED</v>
      </c>
      <c r="P97" s="90" t="str">
        <f>CPUE!L95</f>
        <v>CLOSED</v>
      </c>
      <c r="Q97" s="40" t="s">
        <v>10</v>
      </c>
      <c r="R97" s="41" t="s">
        <v>10</v>
      </c>
      <c r="S97" s="43" t="s">
        <v>10</v>
      </c>
      <c r="T97" s="40">
        <f t="shared" si="24"/>
        <v>2469.1470259977464</v>
      </c>
      <c r="U97" s="41">
        <f t="shared" si="25"/>
        <v>21939.349921477573</v>
      </c>
      <c r="V97" s="41"/>
    </row>
    <row r="98" spans="1:24" x14ac:dyDescent="0.25">
      <c r="A98" s="38">
        <v>45745</v>
      </c>
      <c r="B98" s="39" t="s">
        <v>19</v>
      </c>
      <c r="C98" s="12">
        <v>0.2902777777777778</v>
      </c>
      <c r="D98" s="4">
        <v>-0.14000000000000001</v>
      </c>
      <c r="E98" s="88">
        <f>Effort!F96</f>
        <v>1908.2393159144221</v>
      </c>
      <c r="F98" s="89">
        <f>Harvest!F96</f>
        <v>20990.632475058643</v>
      </c>
      <c r="G98" s="90">
        <f>+CPUE!F96</f>
        <v>11</v>
      </c>
      <c r="H98" s="88">
        <f>Effort!H96</f>
        <v>1694.9772734015473</v>
      </c>
      <c r="I98" s="89">
        <f>Harvest!H96</f>
        <v>18644.75000741702</v>
      </c>
      <c r="J98" s="90">
        <f>CPUE!H96</f>
        <v>11</v>
      </c>
      <c r="K98" s="88">
        <f>Effort!J96</f>
        <v>2681.0727316207899</v>
      </c>
      <c r="L98" s="89">
        <f>Harvest!J96</f>
        <v>28321.8774013033</v>
      </c>
      <c r="M98" s="90">
        <f>CPUE!J96</f>
        <v>10.56363636363638</v>
      </c>
      <c r="N98" s="88" t="str">
        <f>Effort!L96</f>
        <v>CLOSED</v>
      </c>
      <c r="O98" s="89" t="str">
        <f>Harvest!L96</f>
        <v>CLOSED</v>
      </c>
      <c r="P98" s="90" t="str">
        <f>CPUE!L96</f>
        <v>CLOSED</v>
      </c>
      <c r="Q98" s="40" t="s">
        <v>10</v>
      </c>
      <c r="R98" s="41" t="s">
        <v>10</v>
      </c>
      <c r="S98" s="43" t="s">
        <v>10</v>
      </c>
      <c r="T98" s="40">
        <f t="shared" si="24"/>
        <v>6284.2893209367594</v>
      </c>
      <c r="U98" s="41">
        <f t="shared" si="25"/>
        <v>67957.259883778956</v>
      </c>
      <c r="V98" s="41"/>
    </row>
    <row r="99" spans="1:24" x14ac:dyDescent="0.25">
      <c r="A99" s="38">
        <v>45746</v>
      </c>
      <c r="B99" s="39" t="s">
        <v>20</v>
      </c>
      <c r="C99" s="12">
        <v>0.3215277777777778</v>
      </c>
      <c r="D99" s="4">
        <v>-0.84</v>
      </c>
      <c r="E99" s="88">
        <f>Effort!F97</f>
        <v>2266.7179292238111</v>
      </c>
      <c r="F99" s="89">
        <f>Harvest!F97</f>
        <v>33320.753559590019</v>
      </c>
      <c r="G99" s="90">
        <f>+CPUE!F97</f>
        <v>14.7</v>
      </c>
      <c r="H99" s="88">
        <f>Effort!H97</f>
        <v>2167.4475606535302</v>
      </c>
      <c r="I99" s="89">
        <f>Harvest!H97</f>
        <v>32199.1007808625</v>
      </c>
      <c r="J99" s="90">
        <f>CPUE!H97</f>
        <v>14.855769230769212</v>
      </c>
      <c r="K99" s="88" t="str">
        <f>Effort!J97</f>
        <v>CLOSED</v>
      </c>
      <c r="L99" s="89" t="str">
        <f>Harvest!J97</f>
        <v>CLOSED</v>
      </c>
      <c r="M99" s="90" t="str">
        <f>CPUE!J97</f>
        <v>CLOSED</v>
      </c>
      <c r="N99" s="88">
        <f>Effort!L97</f>
        <v>2734.8170265579001</v>
      </c>
      <c r="O99" s="89">
        <f>Harvest!L97</f>
        <v>38388.727891312803</v>
      </c>
      <c r="P99" s="90">
        <f>CPUE!L97</f>
        <v>14.037037037037058</v>
      </c>
      <c r="Q99" s="40" t="s">
        <v>10</v>
      </c>
      <c r="R99" s="41" t="s">
        <v>10</v>
      </c>
      <c r="S99" s="43" t="s">
        <v>10</v>
      </c>
      <c r="T99" s="40">
        <f t="shared" si="24"/>
        <v>7168.9825164352415</v>
      </c>
      <c r="U99" s="41">
        <f t="shared" si="25"/>
        <v>103908.58223176532</v>
      </c>
      <c r="V99" s="41"/>
    </row>
    <row r="100" spans="1:24" x14ac:dyDescent="0.25">
      <c r="A100" s="38">
        <v>45747</v>
      </c>
      <c r="B100" s="39" t="s">
        <v>21</v>
      </c>
      <c r="C100" s="12">
        <v>0.3527777777777778</v>
      </c>
      <c r="D100" s="4">
        <v>-1.23</v>
      </c>
      <c r="E100" s="88">
        <f>Effort!F98</f>
        <v>1199.4681557025449</v>
      </c>
      <c r="F100" s="89">
        <f>Harvest!F98</f>
        <v>17392.288257686901</v>
      </c>
      <c r="G100" s="90">
        <f>+CPUE!F98</f>
        <v>14.5</v>
      </c>
      <c r="H100" s="88">
        <f>Effort!H98</f>
        <v>1360.9024351069152</v>
      </c>
      <c r="I100" s="89">
        <f>Harvest!H98</f>
        <v>19733.085309050271</v>
      </c>
      <c r="J100" s="90">
        <f>CPUE!H98</f>
        <v>14.5</v>
      </c>
      <c r="K100" s="88" t="str">
        <f>Effort!J98</f>
        <v>CLOSED</v>
      </c>
      <c r="L100" s="89" t="str">
        <f>Harvest!J98</f>
        <v>CLOSED</v>
      </c>
      <c r="M100" s="90" t="str">
        <f>CPUE!J98</f>
        <v>CLOSED</v>
      </c>
      <c r="N100" s="88">
        <f>Effort!L98</f>
        <v>1447.16988944125</v>
      </c>
      <c r="O100" s="89">
        <f>Harvest!L98</f>
        <v>20750.944516394899</v>
      </c>
      <c r="P100" s="90">
        <f>CPUE!L98</f>
        <v>14.338983050847474</v>
      </c>
      <c r="Q100" s="40" t="s">
        <v>10</v>
      </c>
      <c r="R100" s="41" t="s">
        <v>10</v>
      </c>
      <c r="S100" s="43" t="s">
        <v>10</v>
      </c>
      <c r="T100" s="40">
        <f t="shared" si="24"/>
        <v>4007.5404802507101</v>
      </c>
      <c r="U100" s="41">
        <f t="shared" si="25"/>
        <v>57876.318083132071</v>
      </c>
      <c r="V100" s="41"/>
    </row>
    <row r="101" spans="1:24" x14ac:dyDescent="0.25">
      <c r="A101" s="38">
        <v>45748</v>
      </c>
      <c r="B101" s="39" t="s">
        <v>61</v>
      </c>
      <c r="C101" s="12">
        <v>0.38680555555555557</v>
      </c>
      <c r="D101" s="4">
        <v>-1.27</v>
      </c>
      <c r="E101" s="88">
        <f>Effort!F99</f>
        <v>1666.7064653400469</v>
      </c>
      <c r="F101" s="89">
        <f>Harvest!F99</f>
        <v>24167.243747430679</v>
      </c>
      <c r="G101" s="90">
        <f>+CPUE!F99</f>
        <v>14.5</v>
      </c>
      <c r="H101" s="88">
        <f>Effort!H99</f>
        <v>1117.51297105444</v>
      </c>
      <c r="I101" s="89">
        <f>Harvest!H99</f>
        <v>16102.3459920117</v>
      </c>
      <c r="J101" s="90">
        <f>CPUE!H99</f>
        <v>14.409090909090907</v>
      </c>
      <c r="K101" s="88">
        <f>Effort!J99</f>
        <v>2982.7404081402001</v>
      </c>
      <c r="L101" s="89">
        <f>Harvest!J99</f>
        <v>40840.599434534997</v>
      </c>
      <c r="M101" s="90">
        <f>CPUE!J99</f>
        <v>13.692307692307676</v>
      </c>
      <c r="N101" s="88" t="str">
        <f>Effort!L99</f>
        <v>CLOSED</v>
      </c>
      <c r="O101" s="89" t="str">
        <f>Harvest!L99</f>
        <v>CLOSED</v>
      </c>
      <c r="P101" s="90" t="str">
        <f>CPUE!L99</f>
        <v>CLOSED</v>
      </c>
      <c r="Q101" s="40" t="s">
        <v>10</v>
      </c>
      <c r="R101" s="41" t="s">
        <v>10</v>
      </c>
      <c r="S101" s="43" t="s">
        <v>10</v>
      </c>
      <c r="T101" s="40">
        <f t="shared" si="24"/>
        <v>5766.9598445346874</v>
      </c>
      <c r="U101" s="41">
        <f t="shared" si="25"/>
        <v>81110.189173977386</v>
      </c>
      <c r="V101" s="41"/>
    </row>
    <row r="102" spans="1:24" x14ac:dyDescent="0.25">
      <c r="A102" s="38">
        <v>45749</v>
      </c>
      <c r="B102" s="39" t="s">
        <v>62</v>
      </c>
      <c r="C102" s="12">
        <v>0.42291666666666666</v>
      </c>
      <c r="D102" s="4">
        <v>-0.98</v>
      </c>
      <c r="E102" s="88">
        <f>Effort!F100</f>
        <v>1271.549163740169</v>
      </c>
      <c r="F102" s="89">
        <f>Harvest!F100</f>
        <v>19073.237456102535</v>
      </c>
      <c r="G102" s="90">
        <f>+CPUE!F100</f>
        <v>15</v>
      </c>
      <c r="H102" s="88">
        <f>Effort!H100</f>
        <v>1438.6156422962899</v>
      </c>
      <c r="I102" s="89">
        <f>Harvest!H100</f>
        <v>21579.234634444299</v>
      </c>
      <c r="J102" s="90">
        <f>CPUE!H100</f>
        <v>14.999999999999966</v>
      </c>
      <c r="K102" s="88">
        <f>Effort!J100</f>
        <v>2275.5663042627498</v>
      </c>
      <c r="L102" s="89">
        <f>Harvest!J100</f>
        <v>32573.106241018198</v>
      </c>
      <c r="M102" s="90">
        <f>CPUE!J100</f>
        <v>14.314285714285706</v>
      </c>
      <c r="N102" s="88" t="str">
        <f>Effort!L100</f>
        <v>CLOSED</v>
      </c>
      <c r="O102" s="89" t="str">
        <f>Harvest!L100</f>
        <v>CLOSED</v>
      </c>
      <c r="P102" s="90" t="str">
        <f>CPUE!L100</f>
        <v>CLOSED</v>
      </c>
      <c r="Q102" s="40" t="s">
        <v>10</v>
      </c>
      <c r="R102" s="41" t="s">
        <v>10</v>
      </c>
      <c r="S102" s="43" t="s">
        <v>10</v>
      </c>
      <c r="T102" s="40">
        <f t="shared" si="24"/>
        <v>4985.731110299208</v>
      </c>
      <c r="U102" s="41">
        <f t="shared" si="25"/>
        <v>73225.578331565033</v>
      </c>
      <c r="V102" s="41"/>
    </row>
    <row r="103" spans="1:24" x14ac:dyDescent="0.25">
      <c r="A103" s="38">
        <v>45750</v>
      </c>
      <c r="B103" s="39" t="s">
        <v>22</v>
      </c>
      <c r="C103" s="12">
        <v>0.46319444444444446</v>
      </c>
      <c r="D103" s="4">
        <v>-0.47</v>
      </c>
      <c r="E103" s="88">
        <f>Effort!F101</f>
        <v>1135.084853375095</v>
      </c>
      <c r="F103" s="89">
        <f>Harvest!F101</f>
        <v>17026.272800626426</v>
      </c>
      <c r="G103" s="90">
        <f>+CPUE!F101</f>
        <v>15</v>
      </c>
      <c r="H103" s="88">
        <f>Effort!H101</f>
        <v>1085.37408420512</v>
      </c>
      <c r="I103" s="89">
        <f>Harvest!H101</f>
        <v>16280.6112630769</v>
      </c>
      <c r="J103" s="90">
        <f>CPUE!H101</f>
        <v>15.000000000000092</v>
      </c>
      <c r="K103" s="88" t="str">
        <f>Effort!J101</f>
        <v>CLOSED</v>
      </c>
      <c r="L103" s="89" t="str">
        <f>Harvest!J101</f>
        <v>CLOSED</v>
      </c>
      <c r="M103" s="90" t="str">
        <f>CPUE!J101</f>
        <v>CLOSED</v>
      </c>
      <c r="N103" s="88">
        <f>Effort!L101</f>
        <v>1154.17582695274</v>
      </c>
      <c r="O103" s="89">
        <f>Harvest!L101</f>
        <v>17312.637404291101</v>
      </c>
      <c r="P103" s="90">
        <f>CPUE!L101</f>
        <v>15.000000000000002</v>
      </c>
      <c r="Q103" s="40" t="s">
        <v>10</v>
      </c>
      <c r="R103" s="41" t="s">
        <v>10</v>
      </c>
      <c r="S103" s="43" t="s">
        <v>10</v>
      </c>
      <c r="T103" s="40">
        <f>SUM(E103,H103,K103,N103)</f>
        <v>3374.6347645329552</v>
      </c>
      <c r="U103" s="41">
        <f t="shared" si="25"/>
        <v>50619.521467994433</v>
      </c>
      <c r="V103" s="41"/>
    </row>
    <row r="104" spans="1:24" x14ac:dyDescent="0.25">
      <c r="A104" s="136" t="s">
        <v>50</v>
      </c>
      <c r="B104" s="136"/>
      <c r="C104" s="136"/>
      <c r="D104" s="137"/>
      <c r="E104" s="46">
        <f>SUM(E95:E103)</f>
        <v>10944.227777277836</v>
      </c>
      <c r="F104" s="47">
        <f>SUM(F95:F103)</f>
        <v>143056.09289540336</v>
      </c>
      <c r="G104" s="48">
        <f>+F104/E104</f>
        <v>13.071373860877902</v>
      </c>
      <c r="H104" s="46">
        <f>SUM(H95:H103)</f>
        <v>10418.069457170979</v>
      </c>
      <c r="I104" s="47">
        <f>SUM(I95:I103)</f>
        <v>141512.77934438098</v>
      </c>
      <c r="J104" s="48">
        <f>+I104/H104</f>
        <v>13.583397569592389</v>
      </c>
      <c r="K104" s="46">
        <f>SUM(K95:K103)</f>
        <v>8920.3658911534858</v>
      </c>
      <c r="L104" s="47">
        <f>SUM(L95:L103)</f>
        <v>112471.9347482209</v>
      </c>
      <c r="M104" s="48">
        <f>+L104/K104</f>
        <v>12.608444106509317</v>
      </c>
      <c r="N104" s="46">
        <f>SUM(N95:N103)</f>
        <v>6093.2311380487454</v>
      </c>
      <c r="O104" s="47">
        <f>SUM(O95:O103)</f>
        <v>83578.432876833045</v>
      </c>
      <c r="P104" s="48">
        <f>+O104/N104</f>
        <v>13.716603060555755</v>
      </c>
      <c r="Q104" s="46"/>
      <c r="R104" s="47"/>
      <c r="S104" s="48"/>
      <c r="T104" s="46">
        <f>SUM(T95:T103)</f>
        <v>36375.894263651047</v>
      </c>
      <c r="U104" s="47">
        <f>SUM(U95:U103)</f>
        <v>480619.23986483831</v>
      </c>
      <c r="V104" s="61"/>
      <c r="W104" s="19">
        <f>SUM(H104,K104,N104,Q104,E104)</f>
        <v>36375.894263651047</v>
      </c>
      <c r="X104" s="19">
        <f>SUM(R104,O104,L104,I104,F104)</f>
        <v>480619.23986483831</v>
      </c>
    </row>
    <row r="105" spans="1:24" x14ac:dyDescent="0.25">
      <c r="A105" s="38">
        <v>45759</v>
      </c>
      <c r="B105" s="39" t="s">
        <v>19</v>
      </c>
      <c r="C105" s="12">
        <v>0.28958333333333336</v>
      </c>
      <c r="D105" s="4">
        <v>0.35</v>
      </c>
      <c r="E105" s="88">
        <f>Effort!F103</f>
        <v>1155.1609052504227</v>
      </c>
      <c r="F105" s="89">
        <f>Harvest!F103</f>
        <v>16172.252673505918</v>
      </c>
      <c r="G105" s="90">
        <f>+CPUE!F103</f>
        <v>14</v>
      </c>
      <c r="H105" s="88">
        <f>Effort!H103</f>
        <v>1254.7543423686</v>
      </c>
      <c r="I105" s="89">
        <f>Harvest!H103</f>
        <v>17584.4858551943</v>
      </c>
      <c r="J105" s="90">
        <f>CPUE!H103</f>
        <v>14.014285714285764</v>
      </c>
      <c r="K105" s="88" t="str">
        <f>Effort!J103</f>
        <v>CLOSED</v>
      </c>
      <c r="L105" s="89" t="str">
        <f>Harvest!J103</f>
        <v>CLOSED</v>
      </c>
      <c r="M105" s="90" t="str">
        <f>CPUE!J103</f>
        <v>CLOSED</v>
      </c>
      <c r="N105" s="88">
        <f>Effort!L103</f>
        <v>1305.2386114532801</v>
      </c>
      <c r="O105" s="89">
        <f>Harvest!L103</f>
        <v>15662.863337439399</v>
      </c>
      <c r="P105" s="90">
        <f>CPUE!L103</f>
        <v>12.000000000000028</v>
      </c>
      <c r="Q105" s="40" t="s">
        <v>10</v>
      </c>
      <c r="R105" s="41" t="s">
        <v>10</v>
      </c>
      <c r="S105" s="43" t="s">
        <v>10</v>
      </c>
      <c r="T105" s="40">
        <f>SUM(E105,H105,K105,N105)</f>
        <v>3715.153859072303</v>
      </c>
      <c r="U105" s="41">
        <f>SUM(F105,I105,L105,O105)</f>
        <v>49419.601866139616</v>
      </c>
      <c r="V105" s="41"/>
    </row>
    <row r="106" spans="1:24" x14ac:dyDescent="0.25">
      <c r="A106" s="38">
        <v>45760</v>
      </c>
      <c r="B106" s="39" t="s">
        <v>20</v>
      </c>
      <c r="C106" s="12">
        <v>0.31180555555555556</v>
      </c>
      <c r="D106" s="4">
        <v>0</v>
      </c>
      <c r="E106" s="88">
        <f>Effort!F104</f>
        <v>673.36793065650772</v>
      </c>
      <c r="F106" s="89">
        <f>Harvest!F104</f>
        <v>10100.518959847615</v>
      </c>
      <c r="G106" s="90">
        <f>+CPUE!F104</f>
        <v>15</v>
      </c>
      <c r="H106" s="88">
        <f>Effort!H104</f>
        <v>754.96563908619225</v>
      </c>
      <c r="I106" s="89">
        <f>Harvest!H104</f>
        <v>11324.484586292883</v>
      </c>
      <c r="J106" s="90">
        <f>CPUE!H104</f>
        <v>15</v>
      </c>
      <c r="K106" s="88">
        <f>Effort!J104</f>
        <v>2022.56284770548</v>
      </c>
      <c r="L106" s="89">
        <f>Harvest!J104</f>
        <v>30338.442715582099</v>
      </c>
      <c r="M106" s="90">
        <f>CPUE!J104</f>
        <v>14.99999999999995</v>
      </c>
      <c r="N106" s="88" t="str">
        <f>Effort!L104</f>
        <v>CLOSED</v>
      </c>
      <c r="O106" s="89" t="str">
        <f>Harvest!L104</f>
        <v>CLOSED</v>
      </c>
      <c r="P106" s="90" t="str">
        <f>CPUE!L104</f>
        <v>CLOSED</v>
      </c>
      <c r="Q106" s="40" t="s">
        <v>10</v>
      </c>
      <c r="R106" s="41" t="s">
        <v>10</v>
      </c>
      <c r="S106" s="43" t="s">
        <v>10</v>
      </c>
      <c r="T106" s="40">
        <f t="shared" ref="T106:T110" si="26">SUM(E106,H106,K106,N106)</f>
        <v>3450.8964174481798</v>
      </c>
      <c r="U106" s="41">
        <f t="shared" ref="U106:U111" si="27">SUM(F106,I106,L106,O106)</f>
        <v>51763.446261722594</v>
      </c>
      <c r="V106" s="41"/>
    </row>
    <row r="107" spans="1:24" x14ac:dyDescent="0.25">
      <c r="A107" s="38">
        <v>45761</v>
      </c>
      <c r="B107" s="39" t="s">
        <v>21</v>
      </c>
      <c r="C107" s="12">
        <v>0.33333333333333331</v>
      </c>
      <c r="D107" s="4">
        <v>-0.21</v>
      </c>
      <c r="E107" s="88">
        <f>Effort!F105</f>
        <v>485.31551277237179</v>
      </c>
      <c r="F107" s="89">
        <f>Harvest!F105</f>
        <v>7279.7326915855765</v>
      </c>
      <c r="G107" s="90">
        <f>+CPUE!F105</f>
        <v>15</v>
      </c>
      <c r="H107" s="88">
        <f>Effort!H105</f>
        <v>558.26975349139605</v>
      </c>
      <c r="I107" s="89">
        <f>Harvest!H105</f>
        <v>8374.0463023709399</v>
      </c>
      <c r="J107" s="90">
        <f>CPUE!H105</f>
        <v>14.999999999999998</v>
      </c>
      <c r="K107" s="88">
        <f>Effort!J105</f>
        <v>741.64876963541599</v>
      </c>
      <c r="L107" s="89">
        <f>Harvest!J105</f>
        <v>9729.7255254550892</v>
      </c>
      <c r="M107" s="90">
        <f>CPUE!J105</f>
        <v>13.119047619047604</v>
      </c>
      <c r="N107" s="88" t="str">
        <f>Effort!L105</f>
        <v>CLOSED</v>
      </c>
      <c r="O107" s="89" t="str">
        <f>Harvest!L105</f>
        <v>CLOSED</v>
      </c>
      <c r="P107" s="90" t="str">
        <f>CPUE!L105</f>
        <v>CLOSED</v>
      </c>
      <c r="Q107" s="40" t="s">
        <v>10</v>
      </c>
      <c r="R107" s="41" t="s">
        <v>10</v>
      </c>
      <c r="S107" s="43" t="s">
        <v>10</v>
      </c>
      <c r="T107" s="40">
        <f t="shared" si="26"/>
        <v>1785.2340358991837</v>
      </c>
      <c r="U107" s="41">
        <f t="shared" si="27"/>
        <v>25383.504519411603</v>
      </c>
      <c r="V107" s="41"/>
    </row>
    <row r="108" spans="1:24" x14ac:dyDescent="0.25">
      <c r="A108" s="38">
        <v>45762</v>
      </c>
      <c r="B108" s="39" t="s">
        <v>61</v>
      </c>
      <c r="C108" s="12">
        <v>0.35625000000000001</v>
      </c>
      <c r="D108" s="4">
        <v>-0.27</v>
      </c>
      <c r="E108" s="88">
        <f>Effort!F106</f>
        <v>637.64095800648897</v>
      </c>
      <c r="F108" s="89">
        <f>Harvest!F106</f>
        <v>9564.6143700973353</v>
      </c>
      <c r="G108" s="90">
        <f>+CPUE!F106</f>
        <v>15</v>
      </c>
      <c r="H108" s="88">
        <f>Effort!H106</f>
        <v>692.61585749153232</v>
      </c>
      <c r="I108" s="89">
        <f>Harvest!H106</f>
        <v>10389.237862372986</v>
      </c>
      <c r="J108" s="90">
        <f>CPUE!H106</f>
        <v>15</v>
      </c>
      <c r="K108" s="88" t="str">
        <f>Effort!J106</f>
        <v>CLOSED</v>
      </c>
      <c r="L108" s="89" t="str">
        <f>Harvest!J106</f>
        <v>CLOSED</v>
      </c>
      <c r="M108" s="90" t="str">
        <f>CPUE!J106</f>
        <v>CLOSED</v>
      </c>
      <c r="N108" s="88">
        <f>Effort!L106</f>
        <v>720.48283044490995</v>
      </c>
      <c r="O108" s="89">
        <f>Harvest!L106</f>
        <v>9412.7595590383407</v>
      </c>
      <c r="P108" s="90">
        <f>CPUE!L106</f>
        <v>13.06451612903226</v>
      </c>
      <c r="Q108" s="40" t="s">
        <v>10</v>
      </c>
      <c r="R108" s="41" t="s">
        <v>10</v>
      </c>
      <c r="S108" s="43" t="s">
        <v>10</v>
      </c>
      <c r="T108" s="40">
        <f t="shared" si="26"/>
        <v>2050.739645942931</v>
      </c>
      <c r="U108" s="41">
        <f t="shared" si="27"/>
        <v>29366.611791508665</v>
      </c>
      <c r="V108" s="41"/>
    </row>
    <row r="109" spans="1:24" x14ac:dyDescent="0.25">
      <c r="A109" s="38">
        <v>45763</v>
      </c>
      <c r="B109" s="39" t="s">
        <v>62</v>
      </c>
      <c r="C109" s="12">
        <v>0.38055555555555554</v>
      </c>
      <c r="D109" s="4">
        <v>-0.19</v>
      </c>
      <c r="E109" s="88">
        <f>Effort!F107</f>
        <v>654.94810442799292</v>
      </c>
      <c r="F109" s="89">
        <f>Harvest!F107</f>
        <v>8514.3253575639083</v>
      </c>
      <c r="G109" s="90">
        <f>+CPUE!F107</f>
        <v>13</v>
      </c>
      <c r="H109" s="88">
        <f>Effort!H107</f>
        <v>711.41515811509646</v>
      </c>
      <c r="I109" s="89">
        <f>Harvest!H107</f>
        <v>9248.3970554962543</v>
      </c>
      <c r="J109" s="90">
        <f>CPUE!H107</f>
        <v>13</v>
      </c>
      <c r="K109" s="88" t="str">
        <f>Effort!J107</f>
        <v>CLOSED</v>
      </c>
      <c r="L109" s="89" t="str">
        <f>Harvest!J107</f>
        <v>CLOSED</v>
      </c>
      <c r="M109" s="90" t="str">
        <f>CPUE!J107</f>
        <v>CLOSED</v>
      </c>
      <c r="N109" s="88">
        <f>Effort!L107</f>
        <v>740.03850936439801</v>
      </c>
      <c r="O109" s="89">
        <f>Harvest!L107</f>
        <v>8690.1664956790792</v>
      </c>
      <c r="P109" s="90">
        <f>CPUE!L107</f>
        <v>11.742857142857151</v>
      </c>
      <c r="Q109" s="40" t="s">
        <v>10</v>
      </c>
      <c r="R109" s="41" t="s">
        <v>10</v>
      </c>
      <c r="S109" s="43" t="s">
        <v>10</v>
      </c>
      <c r="T109" s="40">
        <f t="shared" si="26"/>
        <v>2106.4017719074873</v>
      </c>
      <c r="U109" s="41">
        <f t="shared" si="27"/>
        <v>26452.888908739238</v>
      </c>
      <c r="V109" s="41"/>
    </row>
    <row r="110" spans="1:24" x14ac:dyDescent="0.25">
      <c r="A110" s="38">
        <v>45764</v>
      </c>
      <c r="B110" s="39" t="s">
        <v>22</v>
      </c>
      <c r="C110" s="12">
        <v>0.40833333333333338</v>
      </c>
      <c r="D110" s="4">
        <v>0</v>
      </c>
      <c r="E110" s="88">
        <f>Effort!F108</f>
        <v>574.17209160805601</v>
      </c>
      <c r="F110" s="89">
        <f>Harvest!F108</f>
        <v>8612.5813741208403</v>
      </c>
      <c r="G110" s="90">
        <f>+CPUE!F108</f>
        <v>15</v>
      </c>
      <c r="H110" s="88">
        <f>Effort!H108</f>
        <v>643.74939813915</v>
      </c>
      <c r="I110" s="89">
        <f>Harvest!H108</f>
        <v>9448.5798759133304</v>
      </c>
      <c r="J110" s="90">
        <f>CPUE!H108</f>
        <v>14.67741935483871</v>
      </c>
      <c r="K110" s="88">
        <f>Effort!J108</f>
        <v>877.43748982497004</v>
      </c>
      <c r="L110" s="89">
        <f>Harvest!J108</f>
        <v>13161.5623473745</v>
      </c>
      <c r="M110" s="90">
        <f>CPUE!J108</f>
        <v>14.999999999999941</v>
      </c>
      <c r="N110" s="88" t="str">
        <f>Effort!L108</f>
        <v>CLOSED</v>
      </c>
      <c r="O110" s="89" t="str">
        <f>Harvest!L108</f>
        <v>CLOSED</v>
      </c>
      <c r="P110" s="90" t="str">
        <f>CPUE!L108</f>
        <v>CLOSED</v>
      </c>
      <c r="Q110" s="40" t="s">
        <v>10</v>
      </c>
      <c r="R110" s="41" t="s">
        <v>10</v>
      </c>
      <c r="S110" s="43" t="s">
        <v>10</v>
      </c>
      <c r="T110" s="40">
        <f t="shared" si="26"/>
        <v>2095.3589795721764</v>
      </c>
      <c r="U110" s="41">
        <f t="shared" si="27"/>
        <v>31222.723597408673</v>
      </c>
      <c r="V110" s="41"/>
    </row>
    <row r="111" spans="1:24" x14ac:dyDescent="0.25">
      <c r="A111" s="38">
        <v>45765</v>
      </c>
      <c r="B111" s="39" t="s">
        <v>18</v>
      </c>
      <c r="C111" s="12">
        <v>0.43958333333333338</v>
      </c>
      <c r="D111" s="4">
        <v>0.26</v>
      </c>
      <c r="E111" s="88">
        <f>Effort!F109</f>
        <v>980.99217999316977</v>
      </c>
      <c r="F111" s="89">
        <f>Harvest!F109</f>
        <v>13733.890519904377</v>
      </c>
      <c r="G111" s="90">
        <f>+CPUE!F109</f>
        <v>14</v>
      </c>
      <c r="H111" s="88">
        <f>Effort!H109</f>
        <v>1099.8673301608364</v>
      </c>
      <c r="I111" s="89">
        <f>Harvest!H109</f>
        <v>15398.142622251711</v>
      </c>
      <c r="J111" s="90">
        <f>CPUE!H109</f>
        <v>14</v>
      </c>
      <c r="K111" s="88">
        <f>Effort!J109</f>
        <v>1499.1312335304301</v>
      </c>
      <c r="L111" s="89">
        <f>Harvest!J109</f>
        <v>20901.3489290301</v>
      </c>
      <c r="M111" s="90">
        <f>CPUE!J109</f>
        <v>13.942307692307736</v>
      </c>
      <c r="N111" s="88" t="str">
        <f>Effort!L109</f>
        <v>CLOSED</v>
      </c>
      <c r="O111" s="89" t="str">
        <f>Harvest!L109</f>
        <v>CLOSED</v>
      </c>
      <c r="P111" s="90" t="str">
        <f>CPUE!L109</f>
        <v>CLOSED</v>
      </c>
      <c r="Q111" s="40" t="s">
        <v>10</v>
      </c>
      <c r="R111" s="41" t="s">
        <v>10</v>
      </c>
      <c r="S111" s="43" t="s">
        <v>10</v>
      </c>
      <c r="T111" s="40">
        <f>SUM(E111,H111,K111,N111)</f>
        <v>3579.9907436844364</v>
      </c>
      <c r="U111" s="41">
        <f t="shared" si="27"/>
        <v>50033.382071186192</v>
      </c>
      <c r="V111" s="41"/>
    </row>
    <row r="112" spans="1:24" x14ac:dyDescent="0.25">
      <c r="A112" s="136" t="s">
        <v>50</v>
      </c>
      <c r="B112" s="136"/>
      <c r="C112" s="136"/>
      <c r="D112" s="137"/>
      <c r="E112" s="46">
        <f>SUM(E105:E111)</f>
        <v>5161.5976827150098</v>
      </c>
      <c r="F112" s="47">
        <f>SUM(F105:F111)</f>
        <v>73977.915946625566</v>
      </c>
      <c r="G112" s="48">
        <f>+F112/E112</f>
        <v>14.332367707456241</v>
      </c>
      <c r="H112" s="46">
        <f>SUM(H105:H111)</f>
        <v>5715.6374788528028</v>
      </c>
      <c r="I112" s="47">
        <f>SUM(I105:I111)</f>
        <v>81767.37415989241</v>
      </c>
      <c r="J112" s="48">
        <f>+I112/H112</f>
        <v>14.305906289967171</v>
      </c>
      <c r="K112" s="46">
        <f>SUM(K105:K111)</f>
        <v>5140.7803406962958</v>
      </c>
      <c r="L112" s="47">
        <f>SUM(L105:L111)</f>
        <v>74131.079517441787</v>
      </c>
      <c r="M112" s="48">
        <f>+L112/K112</f>
        <v>14.420199776013201</v>
      </c>
      <c r="N112" s="46">
        <f>SUM(N105:N111)</f>
        <v>2765.7599512625879</v>
      </c>
      <c r="O112" s="47">
        <f>SUM(O105:O111)</f>
        <v>33765.789392156817</v>
      </c>
      <c r="P112" s="48">
        <f>+O112/N112</f>
        <v>12.208503263901305</v>
      </c>
      <c r="Q112" s="46"/>
      <c r="R112" s="47"/>
      <c r="S112" s="48"/>
      <c r="T112" s="46">
        <f>SUM(T105:T111)</f>
        <v>18783.775453526698</v>
      </c>
      <c r="U112" s="47">
        <f>SUM(U105:U111)</f>
        <v>263642.15901611658</v>
      </c>
      <c r="V112" s="61"/>
      <c r="W112" s="19">
        <f>SUM(H112,K112,N112,Q112,E112)</f>
        <v>18783.775453526694</v>
      </c>
      <c r="X112" s="19">
        <f>SUM(R112,O112,L112,I112,F112)</f>
        <v>263642.15901611658</v>
      </c>
    </row>
    <row r="113" spans="1:24" x14ac:dyDescent="0.25">
      <c r="A113" s="38">
        <v>45773</v>
      </c>
      <c r="B113" s="39" t="s">
        <v>19</v>
      </c>
      <c r="C113" s="12">
        <v>0.24513888888888888</v>
      </c>
      <c r="D113" s="4">
        <v>-0.55000000000000004</v>
      </c>
      <c r="E113" s="88">
        <f>Effort!F111</f>
        <v>1626.5995795208573</v>
      </c>
      <c r="F113" s="89">
        <f>Harvest!F111</f>
        <v>23585.69390305243</v>
      </c>
      <c r="G113" s="90">
        <f>+CPUE!F111</f>
        <v>14.5</v>
      </c>
      <c r="H113" s="88">
        <f>Effort!H111</f>
        <v>1289.57088567916</v>
      </c>
      <c r="I113" s="89">
        <f>Harvest!H111</f>
        <v>19343.5632851874</v>
      </c>
      <c r="J113" s="90">
        <f>CPUE!H111</f>
        <v>15</v>
      </c>
      <c r="K113" s="88">
        <f>Effort!J111</f>
        <v>1920.99046164072</v>
      </c>
      <c r="L113" s="89">
        <f>Harvest!J111</f>
        <v>20867.229720567801</v>
      </c>
      <c r="M113" s="90">
        <f>CPUE!J111</f>
        <v>10.862745098039206</v>
      </c>
      <c r="N113" s="88" t="str">
        <f>Effort!L111</f>
        <v>CLOSED</v>
      </c>
      <c r="O113" s="89" t="str">
        <f>Harvest!L111</f>
        <v>CLOSED</v>
      </c>
      <c r="P113" s="90" t="str">
        <f>CPUE!L111</f>
        <v>CLOSED</v>
      </c>
      <c r="Q113" s="40" t="s">
        <v>10</v>
      </c>
      <c r="R113" s="41" t="s">
        <v>10</v>
      </c>
      <c r="S113" s="43" t="s">
        <v>10</v>
      </c>
      <c r="T113" s="40">
        <f t="shared" ref="T113:T119" si="28">SUM(E113,H113,K113,N113)</f>
        <v>4837.1609268407374</v>
      </c>
      <c r="U113" s="41">
        <f t="shared" ref="U113:U120" si="29">SUM(F113,I113,L113,O113)</f>
        <v>63796.486908807638</v>
      </c>
      <c r="V113" s="41"/>
    </row>
    <row r="114" spans="1:24" x14ac:dyDescent="0.25">
      <c r="A114" s="38">
        <v>45774</v>
      </c>
      <c r="B114" s="39" t="s">
        <v>20</v>
      </c>
      <c r="C114" s="12">
        <v>0.27777777777777779</v>
      </c>
      <c r="D114" s="4">
        <v>-1.45</v>
      </c>
      <c r="E114" s="88">
        <f>Effort!F112</f>
        <v>2108.4481707965838</v>
      </c>
      <c r="F114" s="89">
        <f>Harvest!F112</f>
        <v>30150.80884239115</v>
      </c>
      <c r="G114" s="90">
        <f>+CPUE!F112</f>
        <v>14.3</v>
      </c>
      <c r="H114" s="88">
        <f>Effort!H112</f>
        <v>1671.5812602285814</v>
      </c>
      <c r="I114" s="89">
        <f>Harvest!H112</f>
        <v>23402.137643200142</v>
      </c>
      <c r="J114" s="90">
        <f>CPUE!H112</f>
        <v>14</v>
      </c>
      <c r="K114" s="88" t="str">
        <f>Effort!J112</f>
        <v>CLOSED</v>
      </c>
      <c r="L114" s="89" t="str">
        <f>Harvest!J112</f>
        <v>CLOSED</v>
      </c>
      <c r="M114" s="90" t="str">
        <f>CPUE!J112</f>
        <v>CLOSED</v>
      </c>
      <c r="N114" s="88">
        <f>Effort!L112</f>
        <v>2965.4504761242802</v>
      </c>
      <c r="O114" s="89">
        <f>Harvest!L112</f>
        <v>39124.814346284802</v>
      </c>
      <c r="P114" s="90">
        <f>CPUE!L112</f>
        <v>13.193548387096756</v>
      </c>
      <c r="Q114" s="40" t="s">
        <v>10</v>
      </c>
      <c r="R114" s="41" t="s">
        <v>10</v>
      </c>
      <c r="S114" s="43" t="s">
        <v>10</v>
      </c>
      <c r="T114" s="40">
        <f t="shared" si="28"/>
        <v>6745.4799071494454</v>
      </c>
      <c r="U114" s="41">
        <f t="shared" si="29"/>
        <v>92677.760831876105</v>
      </c>
      <c r="V114" s="41"/>
    </row>
    <row r="115" spans="1:24" x14ac:dyDescent="0.25">
      <c r="A115" s="38">
        <v>45775</v>
      </c>
      <c r="B115" s="39" t="s">
        <v>21</v>
      </c>
      <c r="C115" s="12">
        <v>0.30902777777777779</v>
      </c>
      <c r="D115" s="4">
        <v>-2.0299999999999998</v>
      </c>
      <c r="E115" s="88">
        <f>Effort!F113</f>
        <v>1549.3012357470157</v>
      </c>
      <c r="F115" s="89">
        <f>Harvest!F113</f>
        <v>21690.217300458218</v>
      </c>
      <c r="G115" s="90">
        <f>+CPUE!F113</f>
        <v>14</v>
      </c>
      <c r="H115" s="88">
        <f>Effort!H113</f>
        <v>935.31497940210397</v>
      </c>
      <c r="I115" s="89">
        <f>Harvest!H113</f>
        <v>14029.724691031601</v>
      </c>
      <c r="J115" s="90">
        <f>CPUE!H113</f>
        <v>15.000000000000044</v>
      </c>
      <c r="K115" s="88" t="str">
        <f>Effort!J113</f>
        <v>CLOSED</v>
      </c>
      <c r="L115" s="89" t="str">
        <f>Harvest!J113</f>
        <v>CLOSED</v>
      </c>
      <c r="M115" s="90" t="str">
        <f>CPUE!J113</f>
        <v>CLOSED</v>
      </c>
      <c r="N115" s="88">
        <f>Effort!L113</f>
        <v>2179.0320249940701</v>
      </c>
      <c r="O115" s="89">
        <f>Harvest!L113</f>
        <v>31144.213820647001</v>
      </c>
      <c r="P115" s="90">
        <f>CPUE!L113</f>
        <v>14.29268292682929</v>
      </c>
      <c r="Q115" s="40" t="s">
        <v>10</v>
      </c>
      <c r="R115" s="41" t="s">
        <v>10</v>
      </c>
      <c r="S115" s="43" t="s">
        <v>10</v>
      </c>
      <c r="T115" s="40">
        <f t="shared" si="28"/>
        <v>4663.6482401431895</v>
      </c>
      <c r="U115" s="41">
        <f t="shared" si="29"/>
        <v>66864.155812136814</v>
      </c>
      <c r="V115" s="41"/>
    </row>
    <row r="116" spans="1:24" x14ac:dyDescent="0.25">
      <c r="A116" s="38">
        <v>45776</v>
      </c>
      <c r="B116" s="39" t="s">
        <v>61</v>
      </c>
      <c r="C116" s="12">
        <v>0.34166666666666662</v>
      </c>
      <c r="D116" s="4">
        <v>-2.2200000000000002</v>
      </c>
      <c r="E116" s="88">
        <f>Effort!F114</f>
        <v>1941.3003189810029</v>
      </c>
      <c r="F116" s="89">
        <f>Harvest!F114</f>
        <v>27178.204465734041</v>
      </c>
      <c r="G116" s="90">
        <f>+CPUE!F114</f>
        <v>14</v>
      </c>
      <c r="H116" s="88">
        <f>Effort!H114</f>
        <v>999.52677893214604</v>
      </c>
      <c r="I116" s="89">
        <f>Harvest!H114</f>
        <v>13919.3358843884</v>
      </c>
      <c r="J116" s="90">
        <f>CPUE!H114</f>
        <v>13.925925925925922</v>
      </c>
      <c r="K116" s="88">
        <f>Effort!J114</f>
        <v>2292.6474609326401</v>
      </c>
      <c r="L116" s="89">
        <f>Harvest!J114</f>
        <v>34389.711913989602</v>
      </c>
      <c r="M116" s="90">
        <f>CPUE!J114</f>
        <v>15</v>
      </c>
      <c r="N116" s="88" t="str">
        <f>Effort!L114</f>
        <v>CLOSED</v>
      </c>
      <c r="O116" s="89" t="str">
        <f>Harvest!L114</f>
        <v>CLOSED</v>
      </c>
      <c r="P116" s="90" t="str">
        <f>CPUE!L114</f>
        <v>CLOSED</v>
      </c>
      <c r="Q116" s="40" t="s">
        <v>10</v>
      </c>
      <c r="R116" s="41" t="s">
        <v>10</v>
      </c>
      <c r="S116" s="43" t="s">
        <v>10</v>
      </c>
      <c r="T116" s="40">
        <f t="shared" si="28"/>
        <v>5233.474558845789</v>
      </c>
      <c r="U116" s="41">
        <f t="shared" si="29"/>
        <v>75487.252264112045</v>
      </c>
      <c r="V116" s="41"/>
    </row>
    <row r="117" spans="1:24" x14ac:dyDescent="0.25">
      <c r="A117" s="38">
        <v>45777</v>
      </c>
      <c r="B117" s="39" t="s">
        <v>62</v>
      </c>
      <c r="C117" s="12">
        <v>0.375</v>
      </c>
      <c r="D117" s="4">
        <v>-2.0299999999999998</v>
      </c>
      <c r="E117" s="88">
        <f>Effort!F115</f>
        <v>1950.043636473097</v>
      </c>
      <c r="F117" s="89">
        <f>Harvest!F115</f>
        <v>29250.654547096456</v>
      </c>
      <c r="G117" s="90">
        <f>+CPUE!F115</f>
        <v>15</v>
      </c>
      <c r="H117" s="88">
        <f>Effort!H115</f>
        <v>1286.502904793877</v>
      </c>
      <c r="I117" s="89">
        <f>Harvest!H115</f>
        <v>19297.543571908154</v>
      </c>
      <c r="J117" s="90">
        <f>CPUE!H115</f>
        <v>15</v>
      </c>
      <c r="K117" s="88">
        <f>Effort!J115</f>
        <v>2302.9731918112602</v>
      </c>
      <c r="L117" s="89">
        <f>Harvest!J115</f>
        <v>34349.430657523801</v>
      </c>
      <c r="M117" s="90">
        <f>CPUE!J115</f>
        <v>14.915254237288101</v>
      </c>
      <c r="N117" s="88" t="str">
        <f>Effort!L115</f>
        <v>CLOSED</v>
      </c>
      <c r="O117" s="89" t="str">
        <f>Harvest!L115</f>
        <v>CLOSED</v>
      </c>
      <c r="P117" s="90" t="str">
        <f>CPUE!L115</f>
        <v>CLOSED</v>
      </c>
      <c r="Q117" s="40" t="s">
        <v>10</v>
      </c>
      <c r="R117" s="41" t="s">
        <v>10</v>
      </c>
      <c r="S117" s="43" t="s">
        <v>10</v>
      </c>
      <c r="T117" s="40">
        <f t="shared" si="28"/>
        <v>5539.5197330782339</v>
      </c>
      <c r="U117" s="41">
        <f t="shared" si="29"/>
        <v>82897.628776528407</v>
      </c>
      <c r="V117" s="41"/>
    </row>
    <row r="118" spans="1:24" x14ac:dyDescent="0.25">
      <c r="A118" s="38">
        <v>45778</v>
      </c>
      <c r="B118" s="39" t="s">
        <v>22</v>
      </c>
      <c r="C118" s="12">
        <v>0.41111111111111115</v>
      </c>
      <c r="D118" s="4">
        <v>-1.55</v>
      </c>
      <c r="E118" s="88">
        <f>Effort!F116</f>
        <v>2143.3828359675499</v>
      </c>
      <c r="F118" s="89">
        <f>Harvest!F116</f>
        <v>32150.7425395133</v>
      </c>
      <c r="G118" s="90">
        <f>+CPUE!F116</f>
        <v>15.000000000000023</v>
      </c>
      <c r="H118" s="88">
        <f>Effort!H116</f>
        <v>1193.5637009786301</v>
      </c>
      <c r="I118" s="89">
        <f>Harvest!H116</f>
        <v>17903.455514679499</v>
      </c>
      <c r="J118" s="90">
        <f>CPUE!H116</f>
        <v>15.000000000000041</v>
      </c>
      <c r="K118" s="88">
        <f>Effort!J116</f>
        <v>2136.6024093923202</v>
      </c>
      <c r="L118" s="89">
        <f>Harvest!J116</f>
        <v>29981.356389859899</v>
      </c>
      <c r="M118" s="90">
        <f>CPUE!J116</f>
        <v>14.032258064516093</v>
      </c>
      <c r="N118" s="88" t="str">
        <f>Effort!L116</f>
        <v>CLOSED</v>
      </c>
      <c r="O118" s="89" t="str">
        <f>Harvest!L116</f>
        <v>CLOSED</v>
      </c>
      <c r="P118" s="90" t="str">
        <f>CPUE!L116</f>
        <v>CLOSED</v>
      </c>
      <c r="Q118" s="40" t="s">
        <v>10</v>
      </c>
      <c r="R118" s="41" t="s">
        <v>10</v>
      </c>
      <c r="S118" s="43" t="s">
        <v>10</v>
      </c>
      <c r="T118" s="40">
        <f t="shared" si="28"/>
        <v>5473.5489463385002</v>
      </c>
      <c r="U118" s="41">
        <f t="shared" si="29"/>
        <v>80035.554444052701</v>
      </c>
      <c r="V118" s="41"/>
    </row>
    <row r="119" spans="1:24" x14ac:dyDescent="0.25">
      <c r="A119" s="38">
        <v>45779</v>
      </c>
      <c r="B119" s="39" t="s">
        <v>18</v>
      </c>
      <c r="C119" s="12">
        <v>0.44930555555555557</v>
      </c>
      <c r="D119" s="4">
        <v>-0.91</v>
      </c>
      <c r="E119" s="88">
        <f>Effort!F117</f>
        <v>1411.9801896733552</v>
      </c>
      <c r="F119" s="89">
        <f>Harvest!F117</f>
        <v>20191.316712328979</v>
      </c>
      <c r="G119" s="90">
        <f>+CPUE!F117</f>
        <v>14.3</v>
      </c>
      <c r="H119" s="88">
        <f>Effort!H117</f>
        <v>1936.6026639021989</v>
      </c>
      <c r="I119" s="89">
        <f>Harvest!H117</f>
        <v>29049.039958532983</v>
      </c>
      <c r="J119" s="90">
        <f>CPUE!H117</f>
        <v>15</v>
      </c>
      <c r="K119" s="88" t="str">
        <f>Effort!J117</f>
        <v>CLOSED</v>
      </c>
      <c r="L119" s="89" t="str">
        <f>Harvest!J117</f>
        <v>CLOSED</v>
      </c>
      <c r="M119" s="90" t="str">
        <f>CPUE!J117</f>
        <v>CLOSED</v>
      </c>
      <c r="N119" s="88">
        <f>Effort!L117</f>
        <v>1350.2270931309999</v>
      </c>
      <c r="O119" s="89">
        <f>Harvest!L117</f>
        <v>20149.542774416401</v>
      </c>
      <c r="P119" s="90">
        <f>CPUE!L117</f>
        <v>14.923076923076879</v>
      </c>
      <c r="Q119" s="40" t="s">
        <v>10</v>
      </c>
      <c r="R119" s="41" t="s">
        <v>10</v>
      </c>
      <c r="S119" s="43" t="s">
        <v>10</v>
      </c>
      <c r="T119" s="40">
        <f t="shared" si="28"/>
        <v>4698.809946706554</v>
      </c>
      <c r="U119" s="41">
        <f t="shared" si="29"/>
        <v>69389.899445278366</v>
      </c>
      <c r="V119" s="41"/>
    </row>
    <row r="120" spans="1:24" x14ac:dyDescent="0.25">
      <c r="A120" s="38">
        <v>45780</v>
      </c>
      <c r="B120" s="39" t="s">
        <v>19</v>
      </c>
      <c r="C120" s="12">
        <v>0.4916666666666667</v>
      </c>
      <c r="D120" s="4">
        <v>-0.24</v>
      </c>
      <c r="E120" s="88">
        <f>Effort!F118</f>
        <v>1798.9032321847642</v>
      </c>
      <c r="F120" s="89">
        <f>Harvest!F118</f>
        <v>25184.645250586698</v>
      </c>
      <c r="G120" s="90">
        <f>+CPUE!F118</f>
        <v>14</v>
      </c>
      <c r="H120" s="88">
        <f>Effort!H118</f>
        <v>3628.85198753129</v>
      </c>
      <c r="I120" s="89">
        <f>Harvest!H118</f>
        <v>47499.0804796507</v>
      </c>
      <c r="J120" s="90">
        <f>CPUE!H118</f>
        <v>13.089285714285733</v>
      </c>
      <c r="K120" s="88" t="str">
        <f>Effort!J118</f>
        <v>CLOSED</v>
      </c>
      <c r="L120" s="89" t="str">
        <f>Harvest!J118</f>
        <v>CLOSED</v>
      </c>
      <c r="M120" s="90" t="str">
        <f>CPUE!J118</f>
        <v>CLOSED</v>
      </c>
      <c r="N120" s="88">
        <f>Effort!L118</f>
        <v>2530.0875403393902</v>
      </c>
      <c r="O120" s="89">
        <f>Harvest!L118</f>
        <v>35584.457018966998</v>
      </c>
      <c r="P120" s="90">
        <f>CPUE!L118</f>
        <v>14.064516129032294</v>
      </c>
      <c r="Q120" s="40" t="s">
        <v>10</v>
      </c>
      <c r="R120" s="41" t="s">
        <v>10</v>
      </c>
      <c r="S120" s="43" t="s">
        <v>10</v>
      </c>
      <c r="T120" s="40">
        <f>SUM(E120,H120,K120,N120)</f>
        <v>7957.8427600554442</v>
      </c>
      <c r="U120" s="41">
        <f t="shared" si="29"/>
        <v>108268.1827492044</v>
      </c>
      <c r="V120" s="41"/>
    </row>
    <row r="121" spans="1:24" x14ac:dyDescent="0.25">
      <c r="A121" s="136" t="s">
        <v>50</v>
      </c>
      <c r="B121" s="136"/>
      <c r="C121" s="136"/>
      <c r="D121" s="137"/>
      <c r="E121" s="46">
        <f>SUM(E113:E120)</f>
        <v>14529.959199344226</v>
      </c>
      <c r="F121" s="47">
        <f>SUM(F113:F120)</f>
        <v>209382.28356116128</v>
      </c>
      <c r="G121" s="48">
        <f>+F121/E121</f>
        <v>14.41038344901968</v>
      </c>
      <c r="H121" s="46">
        <f>SUM(H113:H120)</f>
        <v>12941.515161447987</v>
      </c>
      <c r="I121" s="47">
        <f>SUM(I113:I120)</f>
        <v>184443.88102857888</v>
      </c>
      <c r="J121" s="48">
        <f>+I121/H121</f>
        <v>14.25210871583463</v>
      </c>
      <c r="K121" s="46">
        <f>SUM(K113:K120)</f>
        <v>8653.2135237769398</v>
      </c>
      <c r="L121" s="47">
        <f>SUM(L113:L120)</f>
        <v>119587.72868194109</v>
      </c>
      <c r="M121" s="48">
        <f>+L121/K121</f>
        <v>13.820036724315528</v>
      </c>
      <c r="N121" s="46">
        <f>SUM(N113:N120)</f>
        <v>9024.7971345887418</v>
      </c>
      <c r="O121" s="47">
        <f>SUM(O113:O120)</f>
        <v>126003.0279603152</v>
      </c>
      <c r="P121" s="48">
        <f>+O121/N121</f>
        <v>13.961868181766851</v>
      </c>
      <c r="Q121" s="46"/>
      <c r="R121" s="47"/>
      <c r="S121" s="48"/>
      <c r="T121" s="46">
        <f>SUM(T113:T120)</f>
        <v>45149.485019157895</v>
      </c>
      <c r="U121" s="47">
        <f>SUM(U113:U120)</f>
        <v>639416.9212319965</v>
      </c>
      <c r="V121" s="61"/>
      <c r="W121" s="19">
        <f>SUM(H121,K121,N121,Q121,E121)</f>
        <v>45149.485019157895</v>
      </c>
      <c r="X121" s="19">
        <f>SUM(R121,O121,L121,I121,F121)</f>
        <v>639416.92123199638</v>
      </c>
    </row>
    <row r="122" spans="1:24" x14ac:dyDescent="0.25">
      <c r="A122" s="38">
        <v>45787</v>
      </c>
      <c r="B122" s="39" t="s">
        <v>19</v>
      </c>
      <c r="C122" s="12">
        <v>0.24861111111111112</v>
      </c>
      <c r="D122" s="4">
        <v>7.0000000000000007E-2</v>
      </c>
      <c r="E122" s="88">
        <f>Effort!F120</f>
        <v>758.84760409611908</v>
      </c>
      <c r="F122" s="89">
        <f>Harvest!F120</f>
        <v>11382.714061441786</v>
      </c>
      <c r="G122" s="90">
        <f>+CPUE!F120</f>
        <v>15</v>
      </c>
      <c r="H122" s="88">
        <f>Effort!H120</f>
        <v>853.13501021413697</v>
      </c>
      <c r="I122" s="89">
        <f>Harvest!H120</f>
        <v>12517.3087564205</v>
      </c>
      <c r="J122" s="90">
        <f>CPUE!H120</f>
        <v>14.672131147540943</v>
      </c>
      <c r="K122" s="88">
        <f>Effort!J120</f>
        <v>981.61759371241101</v>
      </c>
      <c r="L122" s="89">
        <f>Harvest!J120</f>
        <v>13497.2419135457</v>
      </c>
      <c r="M122" s="90">
        <f>CPUE!J120</f>
        <v>13.75000000000005</v>
      </c>
      <c r="N122" s="88" t="str">
        <f>Effort!L120</f>
        <v>CLOSED</v>
      </c>
      <c r="O122" s="89" t="str">
        <f>Harvest!L120</f>
        <v>CLOSED</v>
      </c>
      <c r="P122" s="90" t="str">
        <f>CPUE!L120</f>
        <v>CLOSED</v>
      </c>
      <c r="Q122" s="40" t="s">
        <v>10</v>
      </c>
      <c r="R122" s="41" t="s">
        <v>10</v>
      </c>
      <c r="S122" s="43" t="s">
        <v>10</v>
      </c>
      <c r="T122" s="40">
        <f t="shared" ref="T122:T126" si="30">SUM(E122,H122,K122,N122)</f>
        <v>2593.6002080226672</v>
      </c>
      <c r="U122" s="41">
        <f t="shared" ref="U122:U127" si="31">SUM(F122,I122,L122,O122)</f>
        <v>37397.264731407988</v>
      </c>
      <c r="V122" s="41"/>
    </row>
    <row r="123" spans="1:24" x14ac:dyDescent="0.25">
      <c r="A123" s="38">
        <v>45788</v>
      </c>
      <c r="B123" s="39" t="s">
        <v>20</v>
      </c>
      <c r="C123" s="12">
        <v>0.2722222222222222</v>
      </c>
      <c r="D123" s="4">
        <v>-0.4</v>
      </c>
      <c r="E123" s="88">
        <f>Effort!F121</f>
        <v>729.06640447800862</v>
      </c>
      <c r="F123" s="89">
        <f>Harvest!F121</f>
        <v>10571.462864931125</v>
      </c>
      <c r="G123" s="90">
        <f>+CPUE!F121</f>
        <v>14.5</v>
      </c>
      <c r="H123" s="88">
        <f>Effort!H121</f>
        <v>819.653473337376</v>
      </c>
      <c r="I123" s="89">
        <f>Harvest!H121</f>
        <v>12084.6345427946</v>
      </c>
      <c r="J123" s="90">
        <f>CPUE!H121</f>
        <v>14.743589743589688</v>
      </c>
      <c r="K123" s="88" t="str">
        <f>Effort!J121</f>
        <v>CLOSED</v>
      </c>
      <c r="L123" s="89" t="str">
        <f>Harvest!J121</f>
        <v>CLOSED</v>
      </c>
      <c r="M123" s="90" t="str">
        <f>CPUE!J121</f>
        <v>CLOSED</v>
      </c>
      <c r="N123" s="88">
        <f>Effort!L121</f>
        <v>580.34495265869202</v>
      </c>
      <c r="O123" s="89">
        <f>Harvest!L121</f>
        <v>8705.1742898803805</v>
      </c>
      <c r="P123" s="90">
        <f>CPUE!L121</f>
        <v>15</v>
      </c>
      <c r="Q123" s="40" t="s">
        <v>10</v>
      </c>
      <c r="R123" s="41" t="s">
        <v>10</v>
      </c>
      <c r="S123" s="43" t="s">
        <v>10</v>
      </c>
      <c r="T123" s="40">
        <f t="shared" si="30"/>
        <v>2129.0648304740766</v>
      </c>
      <c r="U123" s="41">
        <f t="shared" si="31"/>
        <v>31361.271697606106</v>
      </c>
      <c r="V123" s="41"/>
    </row>
    <row r="124" spans="1:24" x14ac:dyDescent="0.25">
      <c r="A124" s="38">
        <v>45789</v>
      </c>
      <c r="B124" s="39" t="s">
        <v>21</v>
      </c>
      <c r="C124" s="12">
        <v>0.2951388888888889</v>
      </c>
      <c r="D124" s="4">
        <v>-0.71</v>
      </c>
      <c r="E124" s="88">
        <f>Effort!F122</f>
        <v>380.81620615477755</v>
      </c>
      <c r="F124" s="89">
        <f>Harvest!F122</f>
        <v>5712.2430923216634</v>
      </c>
      <c r="G124" s="90">
        <f>+CPUE!F122</f>
        <v>15</v>
      </c>
      <c r="H124" s="88">
        <f>Effort!H122</f>
        <v>394.24487839122435</v>
      </c>
      <c r="I124" s="89">
        <f>Harvest!H122</f>
        <v>5913.6731758683654</v>
      </c>
      <c r="J124" s="90">
        <f>CPUE!H122</f>
        <v>15</v>
      </c>
      <c r="K124" s="88" t="str">
        <f>Effort!J122</f>
        <v>CLOSED</v>
      </c>
      <c r="L124" s="89" t="str">
        <f>Harvest!J122</f>
        <v>CLOSED</v>
      </c>
      <c r="M124" s="90" t="str">
        <f>CPUE!J122</f>
        <v>CLOSED</v>
      </c>
      <c r="N124" s="88">
        <f>Effort!L122</f>
        <v>279.139944779703</v>
      </c>
      <c r="O124" s="89">
        <f>Harvest!L122</f>
        <v>4187.0991716955496</v>
      </c>
      <c r="P124" s="90">
        <f>CPUE!L122</f>
        <v>15.000000000000016</v>
      </c>
      <c r="Q124" s="40" t="s">
        <v>10</v>
      </c>
      <c r="R124" s="41" t="s">
        <v>10</v>
      </c>
      <c r="S124" s="43" t="s">
        <v>10</v>
      </c>
      <c r="T124" s="40">
        <f t="shared" si="30"/>
        <v>1054.2010293257049</v>
      </c>
      <c r="U124" s="41">
        <f t="shared" si="31"/>
        <v>15813.015439885578</v>
      </c>
      <c r="V124" s="41"/>
    </row>
    <row r="125" spans="1:24" x14ac:dyDescent="0.25">
      <c r="A125" s="38">
        <v>45790</v>
      </c>
      <c r="B125" s="39" t="s">
        <v>61</v>
      </c>
      <c r="C125" s="12">
        <v>0.31805555555555554</v>
      </c>
      <c r="D125" s="4">
        <v>-0.89</v>
      </c>
      <c r="E125" s="88">
        <f>Effort!F123</f>
        <v>1206.8242766407016</v>
      </c>
      <c r="F125" s="89">
        <f>Harvest!F123</f>
        <v>18102.364149610523</v>
      </c>
      <c r="G125" s="90">
        <f>+CPUE!F123</f>
        <v>15</v>
      </c>
      <c r="H125" s="88">
        <f>Effort!H123</f>
        <v>1177.2686701357463</v>
      </c>
      <c r="I125" s="89">
        <f>Harvest!H123</f>
        <v>17070.395716968324</v>
      </c>
      <c r="J125" s="90">
        <f>CPUE!H123</f>
        <v>14.5</v>
      </c>
      <c r="K125" s="88">
        <f>Effort!J123</f>
        <v>1349.44813604466</v>
      </c>
      <c r="L125" s="89">
        <f>Harvest!J123</f>
        <v>18089.8993372474</v>
      </c>
      <c r="M125" s="90">
        <f>CPUE!J123</f>
        <v>13.405405405405453</v>
      </c>
      <c r="N125" s="88" t="str">
        <f>Effort!L123</f>
        <v>CLOSED</v>
      </c>
      <c r="O125" s="89" t="str">
        <f>Harvest!L123</f>
        <v>CLOSED</v>
      </c>
      <c r="P125" s="90" t="str">
        <f>CPUE!L123</f>
        <v>CLOSED</v>
      </c>
      <c r="Q125" s="40" t="s">
        <v>10</v>
      </c>
      <c r="R125" s="41" t="s">
        <v>10</v>
      </c>
      <c r="S125" s="43" t="s">
        <v>10</v>
      </c>
      <c r="T125" s="40">
        <f t="shared" si="30"/>
        <v>3733.5410828211079</v>
      </c>
      <c r="U125" s="41">
        <f t="shared" si="31"/>
        <v>53262.659203826246</v>
      </c>
      <c r="V125" s="41"/>
    </row>
    <row r="126" spans="1:24" x14ac:dyDescent="0.25">
      <c r="A126" s="38">
        <v>45791</v>
      </c>
      <c r="B126" s="39" t="s">
        <v>62</v>
      </c>
      <c r="C126" s="12">
        <v>0.34236111111111112</v>
      </c>
      <c r="D126" s="4">
        <v>-0.92</v>
      </c>
      <c r="E126" s="88">
        <f>Effort!F124</f>
        <v>725.50672913169888</v>
      </c>
      <c r="F126" s="89">
        <f>Harvest!F124</f>
        <v>10519.847572409633</v>
      </c>
      <c r="G126" s="90">
        <f>+CPUE!F124</f>
        <v>14.5</v>
      </c>
      <c r="H126" s="88">
        <f>Effort!H124</f>
        <v>818.74488568133597</v>
      </c>
      <c r="I126" s="89">
        <f>Harvest!H124</f>
        <v>12164.2097301227</v>
      </c>
      <c r="J126" s="90">
        <f>CPUE!H124</f>
        <v>14.857142857142851</v>
      </c>
      <c r="K126" s="88">
        <f>Effort!J124</f>
        <v>938.48905343873696</v>
      </c>
      <c r="L126" s="89">
        <f>Harvest!J124</f>
        <v>14026.1454895753</v>
      </c>
      <c r="M126" s="90">
        <f>CPUE!J124</f>
        <v>14.94545454545454</v>
      </c>
      <c r="N126" s="88" t="str">
        <f>Effort!L124</f>
        <v>CLOSED</v>
      </c>
      <c r="O126" s="89" t="str">
        <f>Harvest!L124</f>
        <v>CLOSED</v>
      </c>
      <c r="P126" s="90" t="str">
        <f>CPUE!L124</f>
        <v>CLOSED</v>
      </c>
      <c r="Q126" s="40" t="s">
        <v>10</v>
      </c>
      <c r="R126" s="41" t="s">
        <v>10</v>
      </c>
      <c r="S126" s="43" t="s">
        <v>10</v>
      </c>
      <c r="T126" s="40">
        <f t="shared" si="30"/>
        <v>2482.7406682517717</v>
      </c>
      <c r="U126" s="41">
        <f t="shared" si="31"/>
        <v>36710.20279210763</v>
      </c>
      <c r="V126" s="41"/>
    </row>
    <row r="127" spans="1:24" x14ac:dyDescent="0.25">
      <c r="A127" s="38">
        <v>45792</v>
      </c>
      <c r="B127" s="39" t="s">
        <v>22</v>
      </c>
      <c r="C127" s="12">
        <v>0.36736111111111108</v>
      </c>
      <c r="D127" s="4">
        <v>-0.84</v>
      </c>
      <c r="E127" s="88">
        <f>Effort!F125</f>
        <v>979.496275831302</v>
      </c>
      <c r="F127" s="89">
        <f>Harvest!F125</f>
        <v>14350.61967945634</v>
      </c>
      <c r="G127" s="90">
        <f>+CPUE!F125</f>
        <v>14.651020155515056</v>
      </c>
      <c r="H127" s="88">
        <f>Effort!H125</f>
        <v>711.78422136077097</v>
      </c>
      <c r="I127" s="89">
        <f>Harvest!H125</f>
        <v>10676.763320411599</v>
      </c>
      <c r="J127" s="90">
        <f>CPUE!H125</f>
        <v>14.5</v>
      </c>
      <c r="K127" s="88" t="str">
        <f>Effort!J125</f>
        <v>CLOSED</v>
      </c>
      <c r="L127" s="89" t="str">
        <f>Harvest!J125</f>
        <v>CLOSED</v>
      </c>
      <c r="M127" s="90" t="str">
        <f>CPUE!J125</f>
        <v>CLOSED</v>
      </c>
      <c r="N127" s="88">
        <f>Effort!L125</f>
        <v>717.975054444894</v>
      </c>
      <c r="O127" s="89">
        <f>Harvest!L125</f>
        <v>10686.1403452263</v>
      </c>
      <c r="P127" s="90">
        <f>CPUE!L125</f>
        <v>14.883720930232517</v>
      </c>
      <c r="Q127" s="40" t="s">
        <v>10</v>
      </c>
      <c r="R127" s="41" t="s">
        <v>10</v>
      </c>
      <c r="S127" s="43" t="s">
        <v>10</v>
      </c>
      <c r="T127" s="40">
        <f>SUM(E127,H127,K127,N127)</f>
        <v>2409.2555516369671</v>
      </c>
      <c r="U127" s="41">
        <f t="shared" si="31"/>
        <v>35713.52334509424</v>
      </c>
      <c r="V127" s="41"/>
    </row>
    <row r="128" spans="1:24" x14ac:dyDescent="0.25">
      <c r="A128" s="136" t="s">
        <v>50</v>
      </c>
      <c r="B128" s="136"/>
      <c r="C128" s="136"/>
      <c r="D128" s="137"/>
      <c r="E128" s="46">
        <f>SUM(E122:E127)</f>
        <v>4780.557496332608</v>
      </c>
      <c r="F128" s="47">
        <f>SUM(F122:F127)</f>
        <v>70639.251420171073</v>
      </c>
      <c r="G128" s="48">
        <f>+F128/E128</f>
        <v>14.776362688736992</v>
      </c>
      <c r="H128" s="46">
        <f>SUM(H122:H127)</f>
        <v>4774.8311391205907</v>
      </c>
      <c r="I128" s="47">
        <f>SUM(I122:I127)</f>
        <v>70426.985242586088</v>
      </c>
      <c r="J128" s="48">
        <f>+I128/H128</f>
        <v>14.749628456087569</v>
      </c>
      <c r="K128" s="46">
        <f>SUM(K122:K127)</f>
        <v>3269.5547831958079</v>
      </c>
      <c r="L128" s="47">
        <f>SUM(L122:L127)</f>
        <v>45613.286740368399</v>
      </c>
      <c r="M128" s="48">
        <f>+L128/K128</f>
        <v>13.950916796012192</v>
      </c>
      <c r="N128" s="46">
        <f>SUM(N122:N127)</f>
        <v>1577.459951883289</v>
      </c>
      <c r="O128" s="47">
        <f>SUM(O122:O127)</f>
        <v>23578.413806802229</v>
      </c>
      <c r="P128" s="48">
        <f>+O128/N128</f>
        <v>14.947076012074072</v>
      </c>
      <c r="Q128" s="46"/>
      <c r="R128" s="47"/>
      <c r="S128" s="48"/>
      <c r="T128" s="46">
        <f>SUM(T122:T127)</f>
        <v>14402.403370532295</v>
      </c>
      <c r="U128" s="47">
        <f>SUM(U122:U127)</f>
        <v>210257.93720992777</v>
      </c>
      <c r="V128" s="61"/>
      <c r="W128" s="19">
        <f>SUM(H128,K128,N128,Q128,E128)</f>
        <v>14402.403370532295</v>
      </c>
      <c r="X128" s="19">
        <f>SUM(R128,O128,L128,I128,F128)</f>
        <v>210257.93720992777</v>
      </c>
    </row>
    <row r="129" spans="1:24" ht="15.75" thickBot="1" x14ac:dyDescent="0.3">
      <c r="A129" s="79"/>
      <c r="B129" s="79"/>
      <c r="C129" s="98"/>
      <c r="D129" s="62"/>
      <c r="E129" s="61"/>
      <c r="F129" s="61"/>
      <c r="G129" s="62"/>
      <c r="H129" s="61"/>
      <c r="I129" s="61"/>
      <c r="J129" s="62"/>
      <c r="K129" s="61"/>
      <c r="L129" s="61"/>
      <c r="M129" s="62"/>
      <c r="N129" s="61"/>
      <c r="O129" s="61"/>
      <c r="P129" s="62"/>
      <c r="Q129" s="61"/>
      <c r="R129" s="61"/>
      <c r="S129" s="62"/>
      <c r="T129" s="61"/>
      <c r="U129" s="61"/>
    </row>
    <row r="130" spans="1:24" ht="15.75" thickBot="1" x14ac:dyDescent="0.3">
      <c r="A130" s="55" t="s">
        <v>51</v>
      </c>
      <c r="B130" s="56"/>
      <c r="C130" s="99"/>
      <c r="D130" s="106"/>
      <c r="E130" s="57">
        <f>+SUM(E9,E17,E23,E31,E39,E47,E55,E63,E71,E79,E86,E94,E104,E112,E121,E128)</f>
        <v>96152.075704686125</v>
      </c>
      <c r="F130" s="57">
        <f>+SUM(F9,F17,F23,F31,F39,F47,F55,F63,F71,F79,F86,F94,F104,F112,F121,F128)</f>
        <v>1225499.874250303</v>
      </c>
      <c r="G130" s="58">
        <f>+F130/E130</f>
        <v>12.745433369677908</v>
      </c>
      <c r="H130" s="57">
        <f>+SUM(H9,H17,H23,H31,H39,H47,H55,H63,H71,H79,H86,H94,H104,H112,H121,H128)</f>
        <v>98095.968422134567</v>
      </c>
      <c r="I130" s="57">
        <f>+SUM(I9,I17,I23,I31,I39,I47,I55,I63,I71,I79,I86,I94,I104,I112,I121,I128)</f>
        <v>1248331.0658213357</v>
      </c>
      <c r="J130" s="58">
        <f>+I130/H130</f>
        <v>12.725610296739369</v>
      </c>
      <c r="K130" s="57">
        <f>+SUM(K9,K17,K23,K31,K39,K47,K55,K63,K71,K79,K86,K94,K104,K112,K121,K128)</f>
        <v>66628.085458421789</v>
      </c>
      <c r="L130" s="57">
        <f>+SUM(L9,L17,L23,L31,L39,L47,L55,L63,L71,L79,L86,L94,L104,L112,L121,L128)</f>
        <v>791059.26044123864</v>
      </c>
      <c r="M130" s="58">
        <f>+L130/K130</f>
        <v>11.872759887943753</v>
      </c>
      <c r="N130" s="57">
        <f>+SUM(N9,N17,N23,N31,N39,N47,N55,N63,N71,N79,N86,N94,N104,N112,N121,N128)</f>
        <v>51839.589826806761</v>
      </c>
      <c r="O130" s="57">
        <f>+SUM(O9,O17,O23,O31,O39,O47,O55,O63,O71,O79,O86,O94,O104,O112,O121,O128)</f>
        <v>621856.36253110424</v>
      </c>
      <c r="P130" s="58">
        <f>+O130/N130</f>
        <v>11.995780919731278</v>
      </c>
      <c r="Q130" s="57">
        <f>+SUM(Q9)</f>
        <v>0</v>
      </c>
      <c r="R130" s="57">
        <f>+SUM(R9)</f>
        <v>0</v>
      </c>
      <c r="S130" s="58">
        <v>0</v>
      </c>
      <c r="T130" s="57">
        <f>+SUM(T9,T17,T23,T31,T39,T47,T55,T63,T71,T79,T86,T94,T104,T112,T121,T128)</f>
        <v>312715.71941204928</v>
      </c>
      <c r="U130" s="57">
        <f>+SUM(U9,U17,U23,U31,U39,U47,U55,U63,U71,U79,U86,U94,U104,U112,U121,U128)</f>
        <v>3886746.5630439823</v>
      </c>
      <c r="V130" s="61"/>
      <c r="W130" s="19">
        <f>SUM(W4:W129)</f>
        <v>312715.71941204928</v>
      </c>
      <c r="X130" s="19">
        <f>SUM(X4:X129)</f>
        <v>3886746.5630439818</v>
      </c>
    </row>
    <row r="131" spans="1:24" x14ac:dyDescent="0.25">
      <c r="A131" s="59" t="s">
        <v>52</v>
      </c>
      <c r="B131" s="60"/>
      <c r="C131" s="100"/>
      <c r="D131" s="107"/>
      <c r="E131" s="61"/>
      <c r="F131" s="61">
        <f>Harvest!F129</f>
        <v>27706.953678702492</v>
      </c>
      <c r="G131" s="62"/>
      <c r="H131" s="61"/>
      <c r="I131" s="61">
        <f>Harvest!H129</f>
        <v>21637.738474236474</v>
      </c>
      <c r="J131" s="62"/>
      <c r="K131" s="61"/>
      <c r="L131" s="61">
        <f>Harvest!J129</f>
        <v>13843.53705772168</v>
      </c>
      <c r="M131" s="62"/>
      <c r="N131" s="61"/>
      <c r="O131" s="61">
        <f>Harvest!L129</f>
        <v>7924.5412570335402</v>
      </c>
      <c r="P131" s="62"/>
      <c r="Q131" s="61"/>
      <c r="R131" s="61">
        <f>Harvest!N129</f>
        <v>0</v>
      </c>
      <c r="S131" s="62"/>
      <c r="T131" s="61"/>
      <c r="U131" s="61">
        <f>F131+I131+L131+O131+R131</f>
        <v>71112.770467694194</v>
      </c>
      <c r="V131" s="61"/>
      <c r="W131" s="19">
        <f>SUM(H130,K130,N130,Q130,E130)</f>
        <v>312715.71941204928</v>
      </c>
      <c r="X131" s="19">
        <f>SUM(R130,O130,L130,I130,F130)</f>
        <v>3886746.5630439818</v>
      </c>
    </row>
    <row r="132" spans="1:24" x14ac:dyDescent="0.25">
      <c r="A132" s="63" t="s">
        <v>53</v>
      </c>
      <c r="B132" s="64"/>
      <c r="C132" s="101"/>
      <c r="D132" s="108"/>
      <c r="E132" s="65">
        <f>Effort!F127</f>
        <v>96152.075704686154</v>
      </c>
      <c r="F132" s="65">
        <f>F130+F131</f>
        <v>1253206.8279290055</v>
      </c>
      <c r="G132" s="66"/>
      <c r="H132" s="65">
        <f>Effort!H127</f>
        <v>98095.968422134538</v>
      </c>
      <c r="I132" s="65">
        <f>I130+I131</f>
        <v>1269968.8042955722</v>
      </c>
      <c r="J132" s="66"/>
      <c r="K132" s="65">
        <f>Effort!J127</f>
        <v>66628.085458421803</v>
      </c>
      <c r="L132" s="65">
        <f>L130+L131</f>
        <v>804902.79749896028</v>
      </c>
      <c r="M132" s="66"/>
      <c r="N132" s="65">
        <f>Effort!L127</f>
        <v>51839.589826806739</v>
      </c>
      <c r="O132" s="65">
        <f>O130+O131</f>
        <v>629780.90378813783</v>
      </c>
      <c r="P132" s="66"/>
      <c r="Q132" s="65">
        <f>Effort!N127</f>
        <v>0</v>
      </c>
      <c r="R132" s="65">
        <f>R130+R131</f>
        <v>0</v>
      </c>
      <c r="S132" s="66"/>
      <c r="T132" s="65">
        <f>SUM(T130:T131)</f>
        <v>312715.71941204928</v>
      </c>
      <c r="U132" s="67">
        <f>SUM(U130:U131)</f>
        <v>3957859.3335116766</v>
      </c>
      <c r="V132" s="61"/>
    </row>
    <row r="133" spans="1:24" x14ac:dyDescent="0.25">
      <c r="A133" s="68" t="s">
        <v>14</v>
      </c>
      <c r="B133" s="69"/>
      <c r="C133" s="102"/>
      <c r="D133" s="109"/>
      <c r="E133" s="69"/>
      <c r="F133" s="70">
        <f>Harvest!F132</f>
        <v>0.58599644409678464</v>
      </c>
      <c r="G133" s="69"/>
      <c r="H133" s="69"/>
      <c r="I133" s="70">
        <f>Harvest!H132</f>
        <v>0.54197048441094142</v>
      </c>
      <c r="J133" s="69"/>
      <c r="K133" s="69"/>
      <c r="L133" s="70">
        <f>Harvest!J132</f>
        <v>0.72763286877397348</v>
      </c>
      <c r="M133" s="69"/>
      <c r="N133" s="69"/>
      <c r="O133" s="70">
        <f>Harvest!L132</f>
        <v>0.34224372611734338</v>
      </c>
      <c r="P133" s="69"/>
      <c r="Q133" s="69"/>
      <c r="R133" s="70">
        <f>Harvest!N132</f>
        <v>0</v>
      </c>
      <c r="S133" s="69"/>
      <c r="T133" s="81"/>
      <c r="U133" s="82"/>
      <c r="V133" s="60"/>
      <c r="X133" s="19">
        <f>SUM(R132,O132,L132,I132,F132)</f>
        <v>3957859.3335116762</v>
      </c>
    </row>
  </sheetData>
  <mergeCells count="22">
    <mergeCell ref="A71:D71"/>
    <mergeCell ref="A79:D79"/>
    <mergeCell ref="A63:D63"/>
    <mergeCell ref="A55:D55"/>
    <mergeCell ref="T2:U2"/>
    <mergeCell ref="E2:G2"/>
    <mergeCell ref="H2:J2"/>
    <mergeCell ref="N2:P2"/>
    <mergeCell ref="K2:M2"/>
    <mergeCell ref="Q2:S2"/>
    <mergeCell ref="A39:D39"/>
    <mergeCell ref="A47:D47"/>
    <mergeCell ref="A31:D31"/>
    <mergeCell ref="A23:D23"/>
    <mergeCell ref="A9:D9"/>
    <mergeCell ref="A17:D17"/>
    <mergeCell ref="A112:D112"/>
    <mergeCell ref="A121:D121"/>
    <mergeCell ref="A128:D128"/>
    <mergeCell ref="A86:D86"/>
    <mergeCell ref="A94:D94"/>
    <mergeCell ref="A104:D104"/>
  </mergeCells>
  <phoneticPr fontId="17" type="noConversion"/>
  <pageMargins left="0.7" right="0.7" top="0.75" bottom="0.75" header="0.3" footer="0.3"/>
  <pageSetup scale="5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35"/>
  <sheetViews>
    <sheetView topLeftCell="A117" zoomScale="110" zoomScaleNormal="110" workbookViewId="0">
      <selection activeCell="I156" sqref="I156"/>
    </sheetView>
  </sheetViews>
  <sheetFormatPr defaultRowHeight="15" x14ac:dyDescent="0.25"/>
  <cols>
    <col min="1" max="1" width="9.140625" customWidth="1"/>
    <col min="3" max="3" width="9.140625" style="94"/>
    <col min="4" max="4" width="9.140625" style="20"/>
    <col min="17" max="17" width="10.85546875" style="19" customWidth="1"/>
    <col min="21" max="21" width="10.140625" customWidth="1"/>
    <col min="22" max="22" width="12.42578125" customWidth="1"/>
  </cols>
  <sheetData>
    <row r="1" spans="1:21" ht="15.75" thickBot="1" x14ac:dyDescent="0.3">
      <c r="A1" s="33" t="s">
        <v>65</v>
      </c>
      <c r="B1" s="33"/>
      <c r="C1" s="95"/>
      <c r="D1" s="10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44"/>
      <c r="R1" s="33"/>
    </row>
    <row r="2" spans="1:21" ht="15.75" thickTop="1" x14ac:dyDescent="0.25">
      <c r="A2" s="34"/>
      <c r="B2" s="34"/>
      <c r="C2" s="96"/>
      <c r="D2" s="104"/>
      <c r="E2" s="140" t="s">
        <v>40</v>
      </c>
      <c r="F2" s="141"/>
      <c r="G2" s="141"/>
      <c r="H2" s="142"/>
      <c r="I2" s="140" t="s">
        <v>41</v>
      </c>
      <c r="J2" s="141"/>
      <c r="K2" s="141"/>
      <c r="L2" s="142"/>
      <c r="M2" s="143" t="s">
        <v>42</v>
      </c>
      <c r="N2" s="144"/>
      <c r="O2" s="144"/>
      <c r="P2" s="145"/>
      <c r="Q2" s="138" t="s">
        <v>45</v>
      </c>
      <c r="R2" s="139"/>
    </row>
    <row r="3" spans="1:21" ht="15.75" thickBot="1" x14ac:dyDescent="0.3">
      <c r="A3" s="35" t="s">
        <v>46</v>
      </c>
      <c r="B3" s="35" t="s">
        <v>47</v>
      </c>
      <c r="C3" s="97" t="s">
        <v>49</v>
      </c>
      <c r="D3" s="105" t="s">
        <v>48</v>
      </c>
      <c r="E3" s="36" t="s">
        <v>25</v>
      </c>
      <c r="F3" s="35" t="s">
        <v>26</v>
      </c>
      <c r="G3" s="35" t="s">
        <v>27</v>
      </c>
      <c r="H3" s="35" t="s">
        <v>54</v>
      </c>
      <c r="I3" s="36" t="s">
        <v>25</v>
      </c>
      <c r="J3" s="35" t="s">
        <v>26</v>
      </c>
      <c r="K3" s="35" t="s">
        <v>27</v>
      </c>
      <c r="L3" s="35" t="s">
        <v>54</v>
      </c>
      <c r="M3" s="36" t="s">
        <v>25</v>
      </c>
      <c r="N3" s="35" t="s">
        <v>26</v>
      </c>
      <c r="O3" s="35" t="s">
        <v>27</v>
      </c>
      <c r="P3" s="35" t="s">
        <v>54</v>
      </c>
      <c r="Q3" s="45" t="s">
        <v>25</v>
      </c>
      <c r="R3" s="37" t="s">
        <v>26</v>
      </c>
      <c r="T3" s="7" t="s">
        <v>57</v>
      </c>
      <c r="U3" s="7" t="s">
        <v>58</v>
      </c>
    </row>
    <row r="4" spans="1:21" ht="15.75" thickTop="1" x14ac:dyDescent="0.25">
      <c r="A4" s="38">
        <v>45568</v>
      </c>
      <c r="B4" s="39" t="s">
        <v>22</v>
      </c>
      <c r="C4" s="12">
        <v>0.81805555555555554</v>
      </c>
      <c r="D4" s="4">
        <v>0.33</v>
      </c>
      <c r="E4" s="40" t="str">
        <f>Effort!J2</f>
        <v>CLOSED</v>
      </c>
      <c r="F4" s="41" t="str">
        <f>Harvest!J2</f>
        <v>CLOSED</v>
      </c>
      <c r="G4" s="42" t="str">
        <f>CPUE!J2</f>
        <v>CLOSED</v>
      </c>
      <c r="H4" s="42"/>
      <c r="I4" s="40">
        <f>Effort!L2</f>
        <v>842.90278998707299</v>
      </c>
      <c r="J4" s="41">
        <f>Harvest!L2</f>
        <v>12300.137009440999</v>
      </c>
      <c r="K4" s="42">
        <f>CPUE!L2</f>
        <v>14.592592592592602</v>
      </c>
      <c r="L4" s="42"/>
      <c r="M4" s="40" t="s">
        <v>10</v>
      </c>
      <c r="N4" s="41" t="s">
        <v>10</v>
      </c>
      <c r="O4" s="74" t="s">
        <v>10</v>
      </c>
      <c r="P4" s="42"/>
      <c r="Q4" s="40">
        <f t="shared" ref="Q4:R8" si="0">SUM(E4,I4)</f>
        <v>842.90278998707299</v>
      </c>
      <c r="R4" s="41">
        <f t="shared" si="0"/>
        <v>12300.137009440999</v>
      </c>
    </row>
    <row r="5" spans="1:21" x14ac:dyDescent="0.25">
      <c r="A5" s="38">
        <v>45569</v>
      </c>
      <c r="B5" s="39" t="s">
        <v>18</v>
      </c>
      <c r="C5" s="12">
        <v>0.84027777777777779</v>
      </c>
      <c r="D5" s="4">
        <v>0.13</v>
      </c>
      <c r="E5" s="40">
        <f>Effort!J3</f>
        <v>1689.8019704625499</v>
      </c>
      <c r="F5" s="41">
        <f>Harvest!J3</f>
        <v>25230.491490009801</v>
      </c>
      <c r="G5" s="42">
        <f>CPUE!J3</f>
        <v>14.931034482758623</v>
      </c>
      <c r="H5" s="42"/>
      <c r="I5" s="40" t="str">
        <f>Effort!L3</f>
        <v>CLOSED</v>
      </c>
      <c r="J5" s="41" t="str">
        <f>Harvest!L3</f>
        <v>CLOSED</v>
      </c>
      <c r="K5" s="42" t="str">
        <f>CPUE!L3</f>
        <v>CLOSED</v>
      </c>
      <c r="L5" s="42"/>
      <c r="M5" s="40" t="s">
        <v>10</v>
      </c>
      <c r="N5" s="41" t="s">
        <v>10</v>
      </c>
      <c r="O5" s="42" t="s">
        <v>10</v>
      </c>
      <c r="P5" s="42"/>
      <c r="Q5" s="40">
        <f t="shared" si="0"/>
        <v>1689.8019704625499</v>
      </c>
      <c r="R5" s="41">
        <f t="shared" si="0"/>
        <v>25230.491490009801</v>
      </c>
    </row>
    <row r="6" spans="1:21" x14ac:dyDescent="0.25">
      <c r="A6" s="38">
        <v>45570</v>
      </c>
      <c r="B6" s="39" t="s">
        <v>19</v>
      </c>
      <c r="C6" s="12">
        <v>0.86388888888888893</v>
      </c>
      <c r="D6" s="4">
        <v>7.0000000000000007E-2</v>
      </c>
      <c r="E6" s="40">
        <f>Effort!J4</f>
        <v>2925.78271575092</v>
      </c>
      <c r="F6" s="41">
        <f>Harvest!J4</f>
        <v>36243.879764506302</v>
      </c>
      <c r="G6" s="42">
        <f>CPUE!J4</f>
        <v>12.387755102040819</v>
      </c>
      <c r="H6" s="42"/>
      <c r="I6" s="40" t="str">
        <f>Effort!L4</f>
        <v>CLOSED</v>
      </c>
      <c r="J6" s="41" t="str">
        <f>Harvest!L4</f>
        <v>CLOSED</v>
      </c>
      <c r="K6" s="42" t="str">
        <f>CPUE!L4</f>
        <v>CLOSED</v>
      </c>
      <c r="L6" s="42"/>
      <c r="M6" s="40" t="s">
        <v>10</v>
      </c>
      <c r="N6" s="41" t="s">
        <v>10</v>
      </c>
      <c r="O6" s="42" t="s">
        <v>10</v>
      </c>
      <c r="P6" s="42"/>
      <c r="Q6" s="40">
        <f t="shared" si="0"/>
        <v>2925.78271575092</v>
      </c>
      <c r="R6" s="41">
        <f t="shared" si="0"/>
        <v>36243.879764506302</v>
      </c>
    </row>
    <row r="7" spans="1:21" x14ac:dyDescent="0.25">
      <c r="A7" s="38">
        <v>45571</v>
      </c>
      <c r="B7" s="39" t="s">
        <v>20</v>
      </c>
      <c r="C7" s="12">
        <v>0.88888888888888884</v>
      </c>
      <c r="D7" s="4">
        <v>0.13</v>
      </c>
      <c r="E7" s="40" t="str">
        <f>Effort!J5</f>
        <v>CLOSED</v>
      </c>
      <c r="F7" s="41" t="str">
        <f>Harvest!J5</f>
        <v>CLOSED</v>
      </c>
      <c r="G7" s="42" t="str">
        <f>CPUE!J5</f>
        <v>CLOSED</v>
      </c>
      <c r="H7" s="42"/>
      <c r="I7" s="40">
        <f>Effort!L5</f>
        <v>269.59338004151903</v>
      </c>
      <c r="J7" s="41">
        <f>Harvest!L5</f>
        <v>4043.9007006227898</v>
      </c>
      <c r="K7" s="42">
        <f>CPUE!L5</f>
        <v>15.000000000000016</v>
      </c>
      <c r="L7" s="42"/>
      <c r="M7" s="40" t="s">
        <v>10</v>
      </c>
      <c r="N7" s="41" t="s">
        <v>10</v>
      </c>
      <c r="O7" s="42" t="s">
        <v>10</v>
      </c>
      <c r="P7" s="43"/>
      <c r="Q7" s="40">
        <f t="shared" si="0"/>
        <v>269.59338004151903</v>
      </c>
      <c r="R7" s="41">
        <f t="shared" si="0"/>
        <v>4043.9007006227898</v>
      </c>
    </row>
    <row r="8" spans="1:21" x14ac:dyDescent="0.25">
      <c r="A8" s="38">
        <v>45572</v>
      </c>
      <c r="B8" s="39" t="s">
        <v>21</v>
      </c>
      <c r="C8" s="12">
        <v>0.91805555555555562</v>
      </c>
      <c r="D8" s="4">
        <v>0.3</v>
      </c>
      <c r="E8" s="40" t="str">
        <f>Effort!J6</f>
        <v>CLOSED</v>
      </c>
      <c r="F8" s="41" t="str">
        <f>Harvest!J6</f>
        <v>CLOSED</v>
      </c>
      <c r="G8" s="42" t="str">
        <f>CPUE!J6</f>
        <v>CLOSED</v>
      </c>
      <c r="H8" s="42"/>
      <c r="I8" s="40">
        <f>Effort!L6</f>
        <v>176.66393307284699</v>
      </c>
      <c r="J8" s="41">
        <f>Harvest!L6</f>
        <v>2649.9589960927001</v>
      </c>
      <c r="K8" s="42">
        <f>CPUE!L6</f>
        <v>14.999999999999973</v>
      </c>
      <c r="L8" s="42"/>
      <c r="M8" s="40" t="s">
        <v>10</v>
      </c>
      <c r="N8" s="41" t="s">
        <v>10</v>
      </c>
      <c r="O8" s="42" t="s">
        <v>10</v>
      </c>
      <c r="P8" s="42"/>
      <c r="Q8" s="40">
        <f t="shared" si="0"/>
        <v>176.66393307284699</v>
      </c>
      <c r="R8" s="41">
        <f t="shared" si="0"/>
        <v>2649.9589960927001</v>
      </c>
    </row>
    <row r="9" spans="1:21" x14ac:dyDescent="0.25">
      <c r="A9" s="136" t="s">
        <v>50</v>
      </c>
      <c r="B9" s="136"/>
      <c r="C9" s="136"/>
      <c r="D9" s="137"/>
      <c r="E9" s="46">
        <f>SUM(E4:E8)</f>
        <v>4615.5846862134695</v>
      </c>
      <c r="F9" s="47">
        <f>SUM(F4:F8)</f>
        <v>61474.371254516103</v>
      </c>
      <c r="G9" s="48">
        <f>+F9/E9</f>
        <v>13.31886974972794</v>
      </c>
      <c r="H9" s="48"/>
      <c r="I9" s="46">
        <f>SUM(I4:I8)</f>
        <v>1289.1601031014391</v>
      </c>
      <c r="J9" s="47">
        <f>SUM(J4:J8)</f>
        <v>18993.996706156489</v>
      </c>
      <c r="K9" s="48">
        <f>+J9/I9</f>
        <v>14.733621262759421</v>
      </c>
      <c r="L9" s="48"/>
      <c r="M9" s="46"/>
      <c r="N9" s="47"/>
      <c r="O9" s="77"/>
      <c r="P9" s="48"/>
      <c r="Q9" s="46">
        <f>SUM(Q4:Q8)</f>
        <v>5904.7447893149083</v>
      </c>
      <c r="R9" s="47">
        <f>SUM(R4:R8)</f>
        <v>80468.367960672593</v>
      </c>
      <c r="T9" s="19">
        <f>SUM(E9,I9)</f>
        <v>5904.7447893149083</v>
      </c>
      <c r="U9" s="19">
        <f>SUM(F9,J9)</f>
        <v>80468.367960672593</v>
      </c>
    </row>
    <row r="10" spans="1:21" x14ac:dyDescent="0.25">
      <c r="A10" s="38">
        <v>45580</v>
      </c>
      <c r="B10" s="39" t="s">
        <v>61</v>
      </c>
      <c r="C10" s="12">
        <v>0.72986111111111107</v>
      </c>
      <c r="D10" s="4">
        <v>0.53</v>
      </c>
      <c r="E10" s="40" t="str">
        <f>Effort!J8</f>
        <v>CLOSED</v>
      </c>
      <c r="F10" s="41" t="str">
        <f>Harvest!J8</f>
        <v>CLOSED</v>
      </c>
      <c r="G10" s="42" t="str">
        <f>CPUE!J8</f>
        <v>CLOSED</v>
      </c>
      <c r="H10" s="42"/>
      <c r="I10" s="40">
        <f>Effort!L8</f>
        <v>1020.37005630083</v>
      </c>
      <c r="J10" s="41">
        <f>Harvest!L8</f>
        <v>15184.078218762301</v>
      </c>
      <c r="K10" s="42">
        <f>CPUE!L8</f>
        <v>14.880952380952332</v>
      </c>
      <c r="L10" s="42"/>
      <c r="M10" s="40" t="s">
        <v>10</v>
      </c>
      <c r="N10" s="41" t="s">
        <v>10</v>
      </c>
      <c r="O10" s="87" t="s">
        <v>10</v>
      </c>
      <c r="P10" s="42"/>
      <c r="Q10" s="40">
        <f t="shared" ref="Q10:Q16" si="1">SUM(E10,I10)</f>
        <v>1020.37005630083</v>
      </c>
      <c r="R10" s="41">
        <f t="shared" ref="R10:R16" si="2">SUM(F10,J10)</f>
        <v>15184.078218762301</v>
      </c>
    </row>
    <row r="11" spans="1:21" x14ac:dyDescent="0.25">
      <c r="A11" s="38">
        <v>45581</v>
      </c>
      <c r="B11" s="39" t="s">
        <v>62</v>
      </c>
      <c r="C11" s="12">
        <v>0.76250000000000007</v>
      </c>
      <c r="D11" s="4">
        <v>-0.48</v>
      </c>
      <c r="E11" s="40">
        <f>Effort!J9</f>
        <v>1560.35964808012</v>
      </c>
      <c r="F11" s="41">
        <f>Harvest!J9</f>
        <v>23405.394721201901</v>
      </c>
      <c r="G11" s="42">
        <f>CPUE!J9</f>
        <v>15.000000000000066</v>
      </c>
      <c r="H11" s="42"/>
      <c r="I11" s="40" t="str">
        <f>Effort!L9</f>
        <v>CLOSED</v>
      </c>
      <c r="J11" s="41" t="str">
        <f>Harvest!L9</f>
        <v>CLOSED</v>
      </c>
      <c r="K11" s="42" t="str">
        <f>CPUE!L9</f>
        <v>CLOSED</v>
      </c>
      <c r="L11" s="42"/>
      <c r="M11" s="40" t="s">
        <v>10</v>
      </c>
      <c r="N11" s="41" t="s">
        <v>10</v>
      </c>
      <c r="O11" s="42" t="s">
        <v>10</v>
      </c>
      <c r="P11" s="42"/>
      <c r="Q11" s="40">
        <f t="shared" si="1"/>
        <v>1560.35964808012</v>
      </c>
      <c r="R11" s="41">
        <f t="shared" si="2"/>
        <v>23405.394721201901</v>
      </c>
    </row>
    <row r="12" spans="1:21" x14ac:dyDescent="0.25">
      <c r="A12" s="38">
        <v>45582</v>
      </c>
      <c r="B12" s="39" t="s">
        <v>22</v>
      </c>
      <c r="C12" s="12">
        <v>0.79375000000000007</v>
      </c>
      <c r="D12" s="4">
        <v>-1.25</v>
      </c>
      <c r="E12" s="40">
        <f>Effort!J10</f>
        <v>2209.1195747002298</v>
      </c>
      <c r="F12" s="41">
        <f>Harvest!J10</f>
        <v>32203.362814291999</v>
      </c>
      <c r="G12" s="42">
        <f>CPUE!J10</f>
        <v>14.577464788732357</v>
      </c>
      <c r="H12" s="42"/>
      <c r="I12" s="40" t="str">
        <f>Effort!L10</f>
        <v>CLOSED</v>
      </c>
      <c r="J12" s="41" t="str">
        <f>Harvest!L10</f>
        <v>CLOSED</v>
      </c>
      <c r="K12" s="42" t="str">
        <f>CPUE!L10</f>
        <v>CLOSED</v>
      </c>
      <c r="L12" s="42"/>
      <c r="M12" s="40" t="s">
        <v>10</v>
      </c>
      <c r="N12" s="41" t="s">
        <v>10</v>
      </c>
      <c r="O12" s="42" t="s">
        <v>10</v>
      </c>
      <c r="P12" s="42"/>
      <c r="Q12" s="40">
        <f t="shared" si="1"/>
        <v>2209.1195747002298</v>
      </c>
      <c r="R12" s="41">
        <f t="shared" si="2"/>
        <v>32203.362814291999</v>
      </c>
    </row>
    <row r="13" spans="1:21" x14ac:dyDescent="0.25">
      <c r="A13" s="38">
        <v>45583</v>
      </c>
      <c r="B13" s="39" t="s">
        <v>18</v>
      </c>
      <c r="C13" s="12">
        <v>0.8256944444444444</v>
      </c>
      <c r="D13" s="4">
        <v>-1.66</v>
      </c>
      <c r="E13" s="40" t="str">
        <f>Effort!J11</f>
        <v>CLOSED</v>
      </c>
      <c r="F13" s="41" t="str">
        <f>Harvest!J11</f>
        <v>CLOSED</v>
      </c>
      <c r="G13" s="42" t="str">
        <f>CPUE!J11</f>
        <v>CLOSED</v>
      </c>
      <c r="H13" s="42"/>
      <c r="I13" s="40">
        <f>Effort!L11</f>
        <v>906.78937655891798</v>
      </c>
      <c r="J13" s="41">
        <f>Harvest!L11</f>
        <v>2593.8393794592298</v>
      </c>
      <c r="K13" s="42">
        <f>CPUE!L11</f>
        <v>2.8604651162790691</v>
      </c>
      <c r="L13" s="42"/>
      <c r="M13" s="40" t="s">
        <v>10</v>
      </c>
      <c r="N13" s="41" t="s">
        <v>10</v>
      </c>
      <c r="O13" s="42" t="s">
        <v>10</v>
      </c>
      <c r="P13" s="42"/>
      <c r="Q13" s="40">
        <f t="shared" si="1"/>
        <v>906.78937655891798</v>
      </c>
      <c r="R13" s="41">
        <f t="shared" si="2"/>
        <v>2593.8393794592298</v>
      </c>
    </row>
    <row r="14" spans="1:21" x14ac:dyDescent="0.25">
      <c r="A14" s="38">
        <v>45584</v>
      </c>
      <c r="B14" s="39" t="s">
        <v>19</v>
      </c>
      <c r="C14" s="12">
        <v>0.85763888888888884</v>
      </c>
      <c r="D14" s="4">
        <v>-1.69</v>
      </c>
      <c r="E14" s="40" t="str">
        <f>Effort!J12</f>
        <v>CLOSED</v>
      </c>
      <c r="F14" s="41" t="str">
        <f>Harvest!J12</f>
        <v>CLOSED</v>
      </c>
      <c r="G14" s="42" t="str">
        <f>CPUE!J12</f>
        <v>CLOSED</v>
      </c>
      <c r="H14" s="42"/>
      <c r="I14" s="40">
        <f>Effort!L12</f>
        <v>1649.2784806746999</v>
      </c>
      <c r="J14" s="41">
        <f>Harvest!L12</f>
        <v>13531.5802618992</v>
      </c>
      <c r="K14" s="42">
        <f>CPUE!L12</f>
        <v>8.2045454545454284</v>
      </c>
      <c r="L14" s="42"/>
      <c r="M14" s="40" t="s">
        <v>10</v>
      </c>
      <c r="N14" s="41" t="s">
        <v>10</v>
      </c>
      <c r="O14" s="42" t="s">
        <v>10</v>
      </c>
      <c r="P14" s="43"/>
      <c r="Q14" s="40">
        <f t="shared" si="1"/>
        <v>1649.2784806746999</v>
      </c>
      <c r="R14" s="41">
        <f t="shared" si="2"/>
        <v>13531.5802618992</v>
      </c>
    </row>
    <row r="15" spans="1:21" x14ac:dyDescent="0.25">
      <c r="A15" s="38">
        <v>45585</v>
      </c>
      <c r="B15" s="39" t="s">
        <v>20</v>
      </c>
      <c r="C15" s="12">
        <v>0.89166666666666661</v>
      </c>
      <c r="D15" s="4">
        <v>-1.36</v>
      </c>
      <c r="E15" s="40">
        <f>Effort!J13</f>
        <v>521.12498134036298</v>
      </c>
      <c r="F15" s="41">
        <f>Harvest!J13</f>
        <v>7816.8747201054402</v>
      </c>
      <c r="G15" s="42">
        <f>CPUE!J13</f>
        <v>14.999999999999991</v>
      </c>
      <c r="H15" s="42"/>
      <c r="I15" s="40" t="str">
        <f>Effort!L13</f>
        <v>CLOSED</v>
      </c>
      <c r="J15" s="41" t="str">
        <f>Harvest!L13</f>
        <v>CLOSED</v>
      </c>
      <c r="K15" s="42" t="str">
        <f>CPUE!L13</f>
        <v>CLOSED</v>
      </c>
      <c r="L15" s="42"/>
      <c r="M15" s="40" t="s">
        <v>10</v>
      </c>
      <c r="N15" s="41" t="s">
        <v>10</v>
      </c>
      <c r="O15" s="42" t="s">
        <v>10</v>
      </c>
      <c r="P15" s="43"/>
      <c r="Q15" s="40">
        <f t="shared" si="1"/>
        <v>521.12498134036298</v>
      </c>
      <c r="R15" s="41">
        <f t="shared" si="2"/>
        <v>7816.8747201054402</v>
      </c>
    </row>
    <row r="16" spans="1:21" x14ac:dyDescent="0.25">
      <c r="A16" s="38">
        <v>45586</v>
      </c>
      <c r="B16" s="39" t="s">
        <v>21</v>
      </c>
      <c r="C16" s="12">
        <v>0.9277777777777777</v>
      </c>
      <c r="D16" s="4">
        <v>-0.78</v>
      </c>
      <c r="E16" s="40">
        <f>Effort!J14</f>
        <v>280.13270679248001</v>
      </c>
      <c r="F16" s="41">
        <f>Harvest!J14</f>
        <v>4201.9906018871998</v>
      </c>
      <c r="G16" s="42">
        <f>CPUE!J14</f>
        <v>14.999999999999998</v>
      </c>
      <c r="H16" s="42"/>
      <c r="I16" s="40" t="str">
        <f>Effort!L14</f>
        <v>CLOSED</v>
      </c>
      <c r="J16" s="41" t="str">
        <f>Harvest!L14</f>
        <v>CLOSED</v>
      </c>
      <c r="K16" s="42" t="str">
        <f>CPUE!L14</f>
        <v>CLOSED</v>
      </c>
      <c r="L16" s="42"/>
      <c r="M16" s="40" t="s">
        <v>10</v>
      </c>
      <c r="N16" s="41" t="s">
        <v>10</v>
      </c>
      <c r="O16" s="42" t="s">
        <v>10</v>
      </c>
      <c r="P16" s="42"/>
      <c r="Q16" s="40">
        <f t="shared" si="1"/>
        <v>280.13270679248001</v>
      </c>
      <c r="R16" s="41">
        <f t="shared" si="2"/>
        <v>4201.9906018871998</v>
      </c>
    </row>
    <row r="17" spans="1:21" x14ac:dyDescent="0.25">
      <c r="A17" s="136" t="s">
        <v>50</v>
      </c>
      <c r="B17" s="136"/>
      <c r="C17" s="136"/>
      <c r="D17" s="137"/>
      <c r="E17" s="46">
        <f>SUM(E10:E16)</f>
        <v>4570.7369109131932</v>
      </c>
      <c r="F17" s="47">
        <f>SUM(F10:F16)</f>
        <v>67627.622857486553</v>
      </c>
      <c r="G17" s="48">
        <f>+F17/E17</f>
        <v>14.795781112672955</v>
      </c>
      <c r="H17" s="48"/>
      <c r="I17" s="46">
        <f>SUM(I10:I16)</f>
        <v>3576.4379135344479</v>
      </c>
      <c r="J17" s="47">
        <f>SUM(J10:J16)</f>
        <v>31309.497860120733</v>
      </c>
      <c r="K17" s="48">
        <f>+J17/I17</f>
        <v>8.7543803687001045</v>
      </c>
      <c r="L17" s="48"/>
      <c r="M17" s="46"/>
      <c r="N17" s="47"/>
      <c r="O17" s="66"/>
      <c r="P17" s="48"/>
      <c r="Q17" s="46">
        <f>SUM(Q10:Q16)</f>
        <v>8147.1748244476412</v>
      </c>
      <c r="R17" s="47">
        <f>SUM(R10:R16)</f>
        <v>98937.120717607264</v>
      </c>
      <c r="T17" s="19">
        <f>SUM(E17,I17)</f>
        <v>8147.1748244476412</v>
      </c>
      <c r="U17" s="19">
        <f>SUM(F17,J17)</f>
        <v>98937.120717607293</v>
      </c>
    </row>
    <row r="18" spans="1:21" x14ac:dyDescent="0.25">
      <c r="A18" s="38">
        <v>45597</v>
      </c>
      <c r="B18" s="39" t="s">
        <v>18</v>
      </c>
      <c r="C18" s="12">
        <v>0.80208333333333337</v>
      </c>
      <c r="D18" s="4">
        <v>-0.19</v>
      </c>
      <c r="E18" s="40" t="str">
        <f>Effort!J16</f>
        <v>CLOSED</v>
      </c>
      <c r="F18" s="41" t="str">
        <f>Harvest!J16</f>
        <v>CLOSED</v>
      </c>
      <c r="G18" s="42" t="str">
        <f>CPUE!J16</f>
        <v>CLOSED</v>
      </c>
      <c r="H18" s="42"/>
      <c r="I18" s="40">
        <f>Effort!L16</f>
        <v>947.326833863503</v>
      </c>
      <c r="J18" s="41">
        <f>Harvest!L16</f>
        <v>12543.9139380547</v>
      </c>
      <c r="K18" s="42">
        <f>CPUE!L16</f>
        <v>13.24137931034487</v>
      </c>
      <c r="L18" s="42"/>
      <c r="M18" s="40" t="s">
        <v>10</v>
      </c>
      <c r="N18" s="41" t="s">
        <v>10</v>
      </c>
      <c r="O18" s="120" t="s">
        <v>10</v>
      </c>
      <c r="P18" s="42"/>
      <c r="Q18" s="40">
        <f t="shared" ref="Q18:Q22" si="3">SUM(E18,I18)</f>
        <v>947.326833863503</v>
      </c>
      <c r="R18" s="41">
        <f t="shared" ref="R18:R22" si="4">SUM(F18,J18)</f>
        <v>12543.9139380547</v>
      </c>
    </row>
    <row r="19" spans="1:21" x14ac:dyDescent="0.25">
      <c r="A19" s="38">
        <v>45598</v>
      </c>
      <c r="B19" s="39" t="s">
        <v>19</v>
      </c>
      <c r="C19" s="12">
        <v>0.82430555555555562</v>
      </c>
      <c r="D19" s="4">
        <v>-0.36</v>
      </c>
      <c r="E19" s="40" t="str">
        <f>Effort!J17</f>
        <v>CLOSED</v>
      </c>
      <c r="F19" s="41" t="str">
        <f>Harvest!J17</f>
        <v>CLOSED</v>
      </c>
      <c r="G19" s="42" t="str">
        <f>CPUE!J17</f>
        <v>CLOSED</v>
      </c>
      <c r="H19" s="42"/>
      <c r="I19" s="40">
        <f>Effort!L17</f>
        <v>1044.5965892516599</v>
      </c>
      <c r="J19" s="41">
        <f>Harvest!L17</f>
        <v>10012.840477461001</v>
      </c>
      <c r="K19" s="42">
        <f>CPUE!L17</f>
        <v>9.5853658536585051</v>
      </c>
      <c r="L19" s="42"/>
      <c r="M19" s="40" t="s">
        <v>10</v>
      </c>
      <c r="N19" s="41" t="s">
        <v>10</v>
      </c>
      <c r="O19" s="42" t="s">
        <v>10</v>
      </c>
      <c r="P19" s="42"/>
      <c r="Q19" s="40">
        <f t="shared" si="3"/>
        <v>1044.5965892516599</v>
      </c>
      <c r="R19" s="41">
        <f t="shared" si="4"/>
        <v>10012.840477461001</v>
      </c>
    </row>
    <row r="20" spans="1:21" x14ac:dyDescent="0.25">
      <c r="A20" s="38">
        <v>45599</v>
      </c>
      <c r="B20" s="39" t="s">
        <v>20</v>
      </c>
      <c r="C20" s="12">
        <v>0.80694444444444446</v>
      </c>
      <c r="D20" s="4">
        <v>-0.39</v>
      </c>
      <c r="E20" s="40">
        <f>Effort!J18</f>
        <v>547.69196369950703</v>
      </c>
      <c r="F20" s="41">
        <f>Harvest!J18</f>
        <v>2243.7703028979799</v>
      </c>
      <c r="G20" s="42">
        <f>CPUE!J18</f>
        <v>4.0967741935483861</v>
      </c>
      <c r="H20" s="42"/>
      <c r="I20" s="40" t="str">
        <f>Effort!L18</f>
        <v>CLOSED</v>
      </c>
      <c r="J20" s="41" t="str">
        <f>Harvest!L18</f>
        <v>CLOSED</v>
      </c>
      <c r="K20" s="42" t="str">
        <f>CPUE!L18</f>
        <v>CLOSED</v>
      </c>
      <c r="L20" s="42"/>
      <c r="M20" s="40" t="s">
        <v>10</v>
      </c>
      <c r="N20" s="41" t="s">
        <v>10</v>
      </c>
      <c r="O20" s="42" t="s">
        <v>10</v>
      </c>
      <c r="P20" s="42"/>
      <c r="Q20" s="40">
        <f t="shared" si="3"/>
        <v>547.69196369950703</v>
      </c>
      <c r="R20" s="41">
        <f t="shared" si="4"/>
        <v>2243.7703028979799</v>
      </c>
    </row>
    <row r="21" spans="1:21" x14ac:dyDescent="0.25">
      <c r="A21" s="38">
        <v>45600</v>
      </c>
      <c r="B21" s="39" t="s">
        <v>21</v>
      </c>
      <c r="C21" s="12">
        <v>0.83333333333333337</v>
      </c>
      <c r="D21" s="4">
        <v>-0.28999999999999998</v>
      </c>
      <c r="E21" s="40">
        <f>Effort!J19</f>
        <v>107.50706949272799</v>
      </c>
      <c r="F21" s="41">
        <f>Harvest!J19</f>
        <v>967.56362543455305</v>
      </c>
      <c r="G21" s="42">
        <f>CPUE!J19</f>
        <v>9.0000000000000107</v>
      </c>
      <c r="H21" s="42"/>
      <c r="I21" s="40" t="str">
        <f>Effort!L19</f>
        <v>CLOSED</v>
      </c>
      <c r="J21" s="41" t="str">
        <f>Harvest!L19</f>
        <v>CLOSED</v>
      </c>
      <c r="K21" s="42" t="str">
        <f>CPUE!L19</f>
        <v>CLOSED</v>
      </c>
      <c r="L21" s="42"/>
      <c r="M21" s="40" t="s">
        <v>10</v>
      </c>
      <c r="N21" s="41" t="s">
        <v>10</v>
      </c>
      <c r="O21" s="42" t="s">
        <v>10</v>
      </c>
      <c r="P21" s="43"/>
      <c r="Q21" s="40">
        <f t="shared" si="3"/>
        <v>107.50706949272799</v>
      </c>
      <c r="R21" s="41">
        <f t="shared" si="4"/>
        <v>967.56362543455305</v>
      </c>
    </row>
    <row r="22" spans="1:21" x14ac:dyDescent="0.25">
      <c r="A22" s="38">
        <v>45601</v>
      </c>
      <c r="B22" s="39" t="s">
        <v>61</v>
      </c>
      <c r="C22" s="12">
        <v>0.86249999999999993</v>
      </c>
      <c r="D22" s="4">
        <v>-0.09</v>
      </c>
      <c r="E22" s="40" t="str">
        <f>Effort!J20</f>
        <v>CLOSED</v>
      </c>
      <c r="F22" s="41" t="str">
        <f>Harvest!J20</f>
        <v>CLOSED</v>
      </c>
      <c r="G22" s="42" t="str">
        <f>CPUE!J20</f>
        <v>CLOSED</v>
      </c>
      <c r="H22" s="42"/>
      <c r="I22" s="40">
        <f>Effort!L20</f>
        <v>97.957146124921593</v>
      </c>
      <c r="J22" s="41">
        <f>Harvest!L20</f>
        <v>1098.5194244009101</v>
      </c>
      <c r="K22" s="42">
        <f>CPUE!L20</f>
        <v>11.214285714285753</v>
      </c>
      <c r="L22" s="42"/>
      <c r="M22" s="40" t="s">
        <v>10</v>
      </c>
      <c r="N22" s="41" t="s">
        <v>10</v>
      </c>
      <c r="O22" s="42" t="s">
        <v>10</v>
      </c>
      <c r="P22" s="42"/>
      <c r="Q22" s="40">
        <f t="shared" si="3"/>
        <v>97.957146124921593</v>
      </c>
      <c r="R22" s="41">
        <f t="shared" si="4"/>
        <v>1098.5194244009101</v>
      </c>
    </row>
    <row r="23" spans="1:21" x14ac:dyDescent="0.25">
      <c r="A23" s="136" t="s">
        <v>50</v>
      </c>
      <c r="B23" s="136"/>
      <c r="C23" s="136"/>
      <c r="D23" s="137"/>
      <c r="E23" s="46">
        <f>SUM(E18:E22)</f>
        <v>655.19903319223499</v>
      </c>
      <c r="F23" s="47">
        <f>SUM(F18:F22)</f>
        <v>3211.3339283325331</v>
      </c>
      <c r="G23" s="48">
        <f>+F23/E23</f>
        <v>4.901310541754615</v>
      </c>
      <c r="H23" s="48"/>
      <c r="I23" s="46">
        <f>SUM(I18:I22)</f>
        <v>2089.8805692400847</v>
      </c>
      <c r="J23" s="47">
        <f>SUM(J18:J22)</f>
        <v>23655.273839916612</v>
      </c>
      <c r="K23" s="48">
        <f>+J23/I23</f>
        <v>11.318959651612083</v>
      </c>
      <c r="L23" s="48"/>
      <c r="M23" s="46"/>
      <c r="N23" s="47"/>
      <c r="O23" s="77"/>
      <c r="P23" s="48"/>
      <c r="Q23" s="46">
        <f>SUM(Q18:Q22)</f>
        <v>2745.0796024323195</v>
      </c>
      <c r="R23" s="47">
        <f>SUM(R18:R22)</f>
        <v>26866.607768249145</v>
      </c>
      <c r="T23" s="19">
        <f>SUM(E23,I23)</f>
        <v>2745.0796024323199</v>
      </c>
      <c r="U23" s="19">
        <f>SUM(F23,J23)</f>
        <v>26866.607768249145</v>
      </c>
    </row>
    <row r="24" spans="1:21" x14ac:dyDescent="0.25">
      <c r="A24" s="38">
        <v>45609</v>
      </c>
      <c r="B24" s="39" t="s">
        <v>62</v>
      </c>
      <c r="C24" s="12">
        <v>0.67708333333333337</v>
      </c>
      <c r="D24" s="4">
        <v>-0.17</v>
      </c>
      <c r="E24" s="40" t="str">
        <f>Effort!J22</f>
        <v>CLOSED</v>
      </c>
      <c r="F24" s="41" t="str">
        <f>Harvest!J22</f>
        <v>CLOSED</v>
      </c>
      <c r="G24" s="42" t="str">
        <f>CPUE!J22</f>
        <v>CLOSED</v>
      </c>
      <c r="H24" s="42"/>
      <c r="I24" s="40">
        <f>Effort!L22</f>
        <v>514.83341298755602</v>
      </c>
      <c r="J24" s="41">
        <f>Harvest!L22</f>
        <v>7022.8557874199896</v>
      </c>
      <c r="K24" s="42">
        <f>CPUE!L22</f>
        <v>13.641025641025632</v>
      </c>
      <c r="L24" s="42"/>
      <c r="M24" s="40" t="s">
        <v>10</v>
      </c>
      <c r="N24" s="41" t="s">
        <v>10</v>
      </c>
      <c r="O24" s="87" t="s">
        <v>10</v>
      </c>
      <c r="P24" s="42"/>
      <c r="Q24" s="40">
        <f t="shared" ref="Q24:Q30" si="5">SUM(E24,I24)</f>
        <v>514.83341298755602</v>
      </c>
      <c r="R24" s="41">
        <f t="shared" ref="R24:R30" si="6">SUM(F24,J24)</f>
        <v>7022.8557874199896</v>
      </c>
    </row>
    <row r="25" spans="1:21" x14ac:dyDescent="0.25">
      <c r="A25" s="38">
        <v>45610</v>
      </c>
      <c r="B25" s="39" t="s">
        <v>22</v>
      </c>
      <c r="C25" s="12">
        <v>0.70972222222222225</v>
      </c>
      <c r="D25" s="4">
        <v>-1.0900000000000001</v>
      </c>
      <c r="E25" s="40" t="str">
        <f>Effort!J23</f>
        <v>CLOSED</v>
      </c>
      <c r="F25" s="41" t="str">
        <f>Harvest!J23</f>
        <v>CLOSED</v>
      </c>
      <c r="G25" s="42" t="str">
        <f>CPUE!J23</f>
        <v>CLOSED</v>
      </c>
      <c r="H25" s="42"/>
      <c r="I25" s="40">
        <f>Effort!L23</f>
        <v>1136.9687015844199</v>
      </c>
      <c r="J25" s="41">
        <f>Harvest!L23</f>
        <v>16343.925085276</v>
      </c>
      <c r="K25" s="42">
        <f>CPUE!L23</f>
        <v>14.374999999999968</v>
      </c>
      <c r="L25" s="42"/>
      <c r="M25" s="40" t="s">
        <v>10</v>
      </c>
      <c r="N25" s="41" t="s">
        <v>10</v>
      </c>
      <c r="O25" s="42" t="s">
        <v>10</v>
      </c>
      <c r="P25" s="42"/>
      <c r="Q25" s="40">
        <f t="shared" si="5"/>
        <v>1136.9687015844199</v>
      </c>
      <c r="R25" s="41">
        <f t="shared" si="6"/>
        <v>16343.925085276</v>
      </c>
    </row>
    <row r="26" spans="1:21" x14ac:dyDescent="0.25">
      <c r="A26" s="38">
        <v>45611</v>
      </c>
      <c r="B26" s="39" t="s">
        <v>18</v>
      </c>
      <c r="C26" s="12">
        <v>0.7416666666666667</v>
      </c>
      <c r="D26" s="4">
        <v>-1.68</v>
      </c>
      <c r="E26" s="40">
        <f>Effort!J24</f>
        <v>3896.99490703422</v>
      </c>
      <c r="F26" s="41">
        <f>Harvest!J24</f>
        <v>55348.623317297701</v>
      </c>
      <c r="G26" s="42">
        <f>CPUE!J24</f>
        <v>14.20289855072466</v>
      </c>
      <c r="H26" s="42"/>
      <c r="I26" s="40" t="str">
        <f>Effort!L24</f>
        <v>CLOSED</v>
      </c>
      <c r="J26" s="41" t="str">
        <f>Harvest!L24</f>
        <v>CLOSED</v>
      </c>
      <c r="K26" s="42" t="str">
        <f>CPUE!L24</f>
        <v>CLOSED</v>
      </c>
      <c r="L26" s="42"/>
      <c r="M26" s="40" t="s">
        <v>10</v>
      </c>
      <c r="N26" s="41" t="s">
        <v>10</v>
      </c>
      <c r="O26" s="42" t="s">
        <v>10</v>
      </c>
      <c r="P26" s="42"/>
      <c r="Q26" s="40">
        <f t="shared" si="5"/>
        <v>3896.99490703422</v>
      </c>
      <c r="R26" s="41">
        <f t="shared" si="6"/>
        <v>55348.623317297701</v>
      </c>
    </row>
    <row r="27" spans="1:21" x14ac:dyDescent="0.25">
      <c r="A27" s="38">
        <v>45612</v>
      </c>
      <c r="B27" s="39" t="s">
        <v>19</v>
      </c>
      <c r="C27" s="12">
        <v>0.7729166666666667</v>
      </c>
      <c r="D27" s="4">
        <v>-1.9</v>
      </c>
      <c r="E27" s="40">
        <f>Effort!J25</f>
        <v>2469.6209742066799</v>
      </c>
      <c r="F27" s="41">
        <f>Harvest!J25</f>
        <v>6275.2664098694404</v>
      </c>
      <c r="G27" s="42">
        <f>CPUE!J25</f>
        <v>2.5409836065573801</v>
      </c>
      <c r="H27" s="42"/>
      <c r="I27" s="40" t="str">
        <f>Effort!L25</f>
        <v>CLOSED</v>
      </c>
      <c r="J27" s="41" t="str">
        <f>Harvest!L25</f>
        <v>CLOSED</v>
      </c>
      <c r="K27" s="42" t="str">
        <f>CPUE!L25</f>
        <v>CLOSED</v>
      </c>
      <c r="L27" s="42"/>
      <c r="M27" s="40" t="s">
        <v>10</v>
      </c>
      <c r="N27" s="41" t="s">
        <v>10</v>
      </c>
      <c r="O27" s="42" t="s">
        <v>10</v>
      </c>
      <c r="P27" s="42"/>
      <c r="Q27" s="40">
        <f t="shared" si="5"/>
        <v>2469.6209742066799</v>
      </c>
      <c r="R27" s="41">
        <f t="shared" si="6"/>
        <v>6275.2664098694404</v>
      </c>
    </row>
    <row r="28" spans="1:21" x14ac:dyDescent="0.25">
      <c r="A28" s="38">
        <v>45613</v>
      </c>
      <c r="B28" s="39" t="s">
        <v>20</v>
      </c>
      <c r="C28" s="12">
        <v>0.80486111111111114</v>
      </c>
      <c r="D28" s="4">
        <v>-1.75</v>
      </c>
      <c r="E28" s="40" t="str">
        <f>Effort!J26</f>
        <v>CLOSED</v>
      </c>
      <c r="F28" s="41" t="str">
        <f>Harvest!J26</f>
        <v>CLOSED</v>
      </c>
      <c r="G28" s="42" t="str">
        <f>CPUE!J26</f>
        <v>CLOSED</v>
      </c>
      <c r="H28" s="42"/>
      <c r="I28" s="40">
        <f>Effort!L26</f>
        <v>529.30151983095004</v>
      </c>
      <c r="J28" s="41">
        <f>Harvest!L26</f>
        <v>5487.0924222475196</v>
      </c>
      <c r="K28" s="42">
        <f>CPUE!L26</f>
        <v>10.366666666666674</v>
      </c>
      <c r="L28" s="42"/>
      <c r="M28" s="40" t="s">
        <v>10</v>
      </c>
      <c r="N28" s="41" t="s">
        <v>10</v>
      </c>
      <c r="O28" s="42" t="s">
        <v>10</v>
      </c>
      <c r="P28" s="43"/>
      <c r="Q28" s="40">
        <f t="shared" si="5"/>
        <v>529.30151983095004</v>
      </c>
      <c r="R28" s="41">
        <f t="shared" si="6"/>
        <v>5487.0924222475196</v>
      </c>
    </row>
    <row r="29" spans="1:21" x14ac:dyDescent="0.25">
      <c r="A29" s="38">
        <v>45614</v>
      </c>
      <c r="B29" s="39" t="s">
        <v>21</v>
      </c>
      <c r="C29" s="12">
        <v>0.83680555555555547</v>
      </c>
      <c r="D29" s="4">
        <v>-1.31</v>
      </c>
      <c r="E29" s="40" t="str">
        <f>Effort!J27</f>
        <v>CLOSED</v>
      </c>
      <c r="F29" s="41" t="str">
        <f>Harvest!J27</f>
        <v>CLOSED</v>
      </c>
      <c r="G29" s="42" t="str">
        <f>CPUE!J27</f>
        <v>CLOSED</v>
      </c>
      <c r="H29" s="42"/>
      <c r="I29" s="40">
        <f>Effort!L27</f>
        <v>167.95983686118799</v>
      </c>
      <c r="J29" s="41">
        <f>Harvest!L27</f>
        <v>1301.68873567421</v>
      </c>
      <c r="K29" s="42">
        <f>CPUE!L27</f>
        <v>7.7500000000000178</v>
      </c>
      <c r="L29" s="42"/>
      <c r="M29" s="40" t="s">
        <v>10</v>
      </c>
      <c r="N29" s="41" t="s">
        <v>10</v>
      </c>
      <c r="O29" s="42" t="s">
        <v>10</v>
      </c>
      <c r="P29" s="43"/>
      <c r="Q29" s="40">
        <f t="shared" si="5"/>
        <v>167.95983686118799</v>
      </c>
      <c r="R29" s="41">
        <f t="shared" si="6"/>
        <v>1301.68873567421</v>
      </c>
    </row>
    <row r="30" spans="1:21" x14ac:dyDescent="0.25">
      <c r="A30" s="38">
        <v>45615</v>
      </c>
      <c r="B30" s="39" t="s">
        <v>61</v>
      </c>
      <c r="C30" s="12">
        <v>0.87083333333333324</v>
      </c>
      <c r="D30" s="4">
        <v>-0.69</v>
      </c>
      <c r="E30" s="40">
        <f>Effort!J28</f>
        <v>51.757583874807814</v>
      </c>
      <c r="F30" s="41">
        <f>Harvest!J28</f>
        <v>595.21221456028991</v>
      </c>
      <c r="G30" s="42">
        <f>CPUE!J28</f>
        <v>11.5</v>
      </c>
      <c r="H30" s="42"/>
      <c r="I30" s="40" t="str">
        <f>Effort!L28</f>
        <v>CLOSED</v>
      </c>
      <c r="J30" s="41" t="str">
        <f>Harvest!L28</f>
        <v>CLOSED</v>
      </c>
      <c r="K30" s="42" t="str">
        <f>CPUE!L28</f>
        <v>CLOSED</v>
      </c>
      <c r="L30" s="42"/>
      <c r="M30" s="40" t="s">
        <v>10</v>
      </c>
      <c r="N30" s="41" t="s">
        <v>10</v>
      </c>
      <c r="O30" s="42" t="s">
        <v>10</v>
      </c>
      <c r="P30" s="42"/>
      <c r="Q30" s="40">
        <f t="shared" si="5"/>
        <v>51.757583874807814</v>
      </c>
      <c r="R30" s="41">
        <f t="shared" si="6"/>
        <v>595.21221456028991</v>
      </c>
    </row>
    <row r="31" spans="1:21" x14ac:dyDescent="0.25">
      <c r="A31" s="136" t="s">
        <v>50</v>
      </c>
      <c r="B31" s="136"/>
      <c r="C31" s="136"/>
      <c r="D31" s="137"/>
      <c r="E31" s="46">
        <f>SUM(E24:E30)</f>
        <v>6418.3734651157074</v>
      </c>
      <c r="F31" s="47">
        <f>SUM(F24:F30)</f>
        <v>62219.101941727436</v>
      </c>
      <c r="G31" s="48">
        <f>+F31/E31</f>
        <v>9.6939048934893624</v>
      </c>
      <c r="H31" s="48"/>
      <c r="I31" s="46">
        <f>SUM(I24:I30)</f>
        <v>2349.0634712641136</v>
      </c>
      <c r="J31" s="47">
        <f>SUM(J24:J30)</f>
        <v>30155.562030617715</v>
      </c>
      <c r="K31" s="48">
        <f>+J31/I31</f>
        <v>12.837270001218805</v>
      </c>
      <c r="L31" s="48"/>
      <c r="M31" s="46"/>
      <c r="N31" s="47"/>
      <c r="O31" s="47"/>
      <c r="P31" s="48"/>
      <c r="Q31" s="46">
        <f>SUM(Q24:Q30)</f>
        <v>8767.4369363798196</v>
      </c>
      <c r="R31" s="47">
        <f>SUM(R24:R30)</f>
        <v>92374.663972345137</v>
      </c>
      <c r="T31" s="19">
        <f>SUM(E31,I31)</f>
        <v>8767.4369363798214</v>
      </c>
      <c r="U31" s="19">
        <f>SUM(F31,J31)</f>
        <v>92374.663972345152</v>
      </c>
    </row>
    <row r="32" spans="1:21" x14ac:dyDescent="0.25">
      <c r="A32" s="38">
        <v>45625</v>
      </c>
      <c r="B32" s="39" t="s">
        <v>18</v>
      </c>
      <c r="C32" s="12">
        <v>0.72222222222222221</v>
      </c>
      <c r="D32" s="4">
        <v>-7.0000000000000007E-2</v>
      </c>
      <c r="E32" s="40" t="str">
        <f>Effort!J30</f>
        <v>CLOSED</v>
      </c>
      <c r="F32" s="41" t="str">
        <f>Harvest!J30</f>
        <v>CLOSED</v>
      </c>
      <c r="G32" s="42" t="str">
        <f>CPUE!J30</f>
        <v>CLOSED</v>
      </c>
      <c r="H32" s="42"/>
      <c r="I32" s="40">
        <f>Effort!L30</f>
        <v>2134.1853183774901</v>
      </c>
      <c r="J32" s="41">
        <f>Harvest!L30</f>
        <v>29980.2223295886</v>
      </c>
      <c r="K32" s="42">
        <f>CPUE!L30</f>
        <v>14.047619047619071</v>
      </c>
      <c r="L32" s="42"/>
      <c r="M32" s="40" t="s">
        <v>10</v>
      </c>
      <c r="N32" s="41" t="s">
        <v>10</v>
      </c>
      <c r="O32" s="87" t="s">
        <v>10</v>
      </c>
      <c r="P32" s="42"/>
      <c r="Q32" s="40">
        <f t="shared" ref="Q32:Q38" si="7">SUM(E32,I32)</f>
        <v>2134.1853183774901</v>
      </c>
      <c r="R32" s="41">
        <f t="shared" ref="R32:R38" si="8">SUM(F32,J32)</f>
        <v>29980.2223295886</v>
      </c>
    </row>
    <row r="33" spans="1:21" x14ac:dyDescent="0.25">
      <c r="A33" s="38">
        <v>45626</v>
      </c>
      <c r="B33" s="39" t="s">
        <v>19</v>
      </c>
      <c r="C33" s="12">
        <v>0.74583333333333324</v>
      </c>
      <c r="D33" s="4">
        <v>-0.41</v>
      </c>
      <c r="E33" s="40" t="str">
        <f>Effort!J31</f>
        <v>CLOSED</v>
      </c>
      <c r="F33" s="41" t="str">
        <f>Harvest!J31</f>
        <v>CLOSED</v>
      </c>
      <c r="G33" s="42" t="str">
        <f>CPUE!J31</f>
        <v>CLOSED</v>
      </c>
      <c r="H33" s="42"/>
      <c r="I33" s="40">
        <f>Effort!L31</f>
        <v>1895.7242728670201</v>
      </c>
      <c r="J33" s="41">
        <f>Harvest!L31</f>
        <v>22228.296375970102</v>
      </c>
      <c r="K33" s="42">
        <f>CPUE!L31</f>
        <v>11.725490196078402</v>
      </c>
      <c r="L33" s="42"/>
      <c r="M33" s="40" t="s">
        <v>10</v>
      </c>
      <c r="N33" s="41" t="s">
        <v>10</v>
      </c>
      <c r="O33" s="42" t="s">
        <v>10</v>
      </c>
      <c r="P33" s="42"/>
      <c r="Q33" s="40">
        <f t="shared" si="7"/>
        <v>1895.7242728670201</v>
      </c>
      <c r="R33" s="41">
        <f t="shared" si="8"/>
        <v>22228.296375970102</v>
      </c>
    </row>
    <row r="34" spans="1:21" x14ac:dyDescent="0.25">
      <c r="A34" s="38">
        <v>45627</v>
      </c>
      <c r="B34" s="39" t="s">
        <v>20</v>
      </c>
      <c r="C34" s="12">
        <v>0.77083333333333337</v>
      </c>
      <c r="D34" s="4">
        <v>-0.62</v>
      </c>
      <c r="E34" s="40">
        <f>Effort!J32</f>
        <v>982.30745210784198</v>
      </c>
      <c r="F34" s="41">
        <f>Harvest!J32</f>
        <v>12260.652272605301</v>
      </c>
      <c r="G34" s="42">
        <f>CPUE!J32</f>
        <v>12.481481481481495</v>
      </c>
      <c r="H34" s="42"/>
      <c r="I34" s="40" t="str">
        <f>Effort!L32</f>
        <v>CLOSED</v>
      </c>
      <c r="J34" s="41" t="str">
        <f>Harvest!L32</f>
        <v>CLOSED</v>
      </c>
      <c r="K34" s="42" t="str">
        <f>CPUE!L32</f>
        <v>CLOSED</v>
      </c>
      <c r="L34" s="42"/>
      <c r="M34" s="40" t="s">
        <v>10</v>
      </c>
      <c r="N34" s="41" t="s">
        <v>10</v>
      </c>
      <c r="O34" s="42" t="s">
        <v>10</v>
      </c>
      <c r="P34" s="42"/>
      <c r="Q34" s="40">
        <f t="shared" si="7"/>
        <v>982.30745210784198</v>
      </c>
      <c r="R34" s="41">
        <f t="shared" si="8"/>
        <v>12260.652272605301</v>
      </c>
    </row>
    <row r="35" spans="1:21" x14ac:dyDescent="0.25">
      <c r="A35" s="38">
        <v>45628</v>
      </c>
      <c r="B35" s="39" t="s">
        <v>21</v>
      </c>
      <c r="C35" s="12">
        <v>0.79583333333333339</v>
      </c>
      <c r="D35" s="4">
        <v>-0.69</v>
      </c>
      <c r="E35" s="40">
        <f>Effort!J33</f>
        <v>451.49388962280102</v>
      </c>
      <c r="F35" s="41">
        <f>Harvest!J33</f>
        <v>5327.6278975490504</v>
      </c>
      <c r="G35" s="42">
        <f>CPUE!J33</f>
        <v>11.799999999999997</v>
      </c>
      <c r="H35" s="42"/>
      <c r="I35" s="40" t="str">
        <f>Effort!L33</f>
        <v>CLOSED</v>
      </c>
      <c r="J35" s="41" t="str">
        <f>Harvest!L33</f>
        <v>CLOSED</v>
      </c>
      <c r="K35" s="42" t="str">
        <f>CPUE!L33</f>
        <v>CLOSED</v>
      </c>
      <c r="L35" s="42"/>
      <c r="M35" s="40" t="s">
        <v>10</v>
      </c>
      <c r="N35" s="41" t="s">
        <v>10</v>
      </c>
      <c r="O35" s="42" t="s">
        <v>10</v>
      </c>
      <c r="P35" s="42"/>
      <c r="Q35" s="40">
        <f t="shared" si="7"/>
        <v>451.49388962280102</v>
      </c>
      <c r="R35" s="41">
        <f t="shared" si="8"/>
        <v>5327.6278975490504</v>
      </c>
    </row>
    <row r="36" spans="1:21" x14ac:dyDescent="0.25">
      <c r="A36" s="38">
        <v>45629</v>
      </c>
      <c r="B36" s="39" t="s">
        <v>61</v>
      </c>
      <c r="C36" s="12">
        <v>0.82361111111111107</v>
      </c>
      <c r="D36" s="4">
        <v>-0.63</v>
      </c>
      <c r="E36" s="40" t="str">
        <f>Effort!J34</f>
        <v>CLOSED</v>
      </c>
      <c r="F36" s="41" t="str">
        <f>Harvest!J34</f>
        <v>CLOSED</v>
      </c>
      <c r="G36" s="42" t="str">
        <f>CPUE!J34</f>
        <v>CLOSED</v>
      </c>
      <c r="H36" s="42"/>
      <c r="I36" s="40">
        <f>Effort!L34</f>
        <v>217.40489063439199</v>
      </c>
      <c r="J36" s="41">
        <f>Harvest!L34</f>
        <v>2853.4391895764002</v>
      </c>
      <c r="K36" s="42">
        <f>CPUE!L34</f>
        <v>13.125000000000025</v>
      </c>
      <c r="L36" s="42"/>
      <c r="M36" s="40" t="s">
        <v>10</v>
      </c>
      <c r="N36" s="41" t="s">
        <v>10</v>
      </c>
      <c r="O36" s="42" t="s">
        <v>10</v>
      </c>
      <c r="P36" s="43"/>
      <c r="Q36" s="40">
        <f t="shared" si="7"/>
        <v>217.40489063439199</v>
      </c>
      <c r="R36" s="41">
        <f t="shared" si="8"/>
        <v>2853.4391895764002</v>
      </c>
    </row>
    <row r="37" spans="1:21" x14ac:dyDescent="0.25">
      <c r="A37" s="38">
        <v>45630</v>
      </c>
      <c r="B37" s="39" t="s">
        <v>62</v>
      </c>
      <c r="C37" s="12">
        <v>0.85277777777777775</v>
      </c>
      <c r="D37" s="4">
        <v>-0.46</v>
      </c>
      <c r="E37" s="40" t="str">
        <f>Effort!J35</f>
        <v>CLOSED</v>
      </c>
      <c r="F37" s="41" t="str">
        <f>Harvest!J35</f>
        <v>CLOSED</v>
      </c>
      <c r="G37" s="42" t="str">
        <f>CPUE!J35</f>
        <v>CLOSED</v>
      </c>
      <c r="H37" s="42"/>
      <c r="I37" s="40">
        <f>Effort!L35</f>
        <v>74.851666427268697</v>
      </c>
      <c r="J37" s="41">
        <f>Harvest!L35</f>
        <v>673.66499784541895</v>
      </c>
      <c r="K37" s="42">
        <f>CPUE!L35</f>
        <v>9.0000000000000089</v>
      </c>
      <c r="L37" s="42"/>
      <c r="M37" s="40" t="s">
        <v>10</v>
      </c>
      <c r="N37" s="41" t="s">
        <v>10</v>
      </c>
      <c r="O37" s="42" t="s">
        <v>10</v>
      </c>
      <c r="P37" s="43"/>
      <c r="Q37" s="40">
        <f t="shared" si="7"/>
        <v>74.851666427268697</v>
      </c>
      <c r="R37" s="41">
        <f t="shared" si="8"/>
        <v>673.66499784541895</v>
      </c>
    </row>
    <row r="38" spans="1:21" x14ac:dyDescent="0.25">
      <c r="A38" s="38">
        <v>45631</v>
      </c>
      <c r="B38" s="39" t="s">
        <v>22</v>
      </c>
      <c r="C38" s="12">
        <v>0.88402777777777775</v>
      </c>
      <c r="D38" s="4">
        <v>-0.17</v>
      </c>
      <c r="E38" s="40">
        <f>Effort!J36</f>
        <v>42.711488568851301</v>
      </c>
      <c r="F38" s="41">
        <f>Harvest!J36</f>
        <v>213.557442844257</v>
      </c>
      <c r="G38" s="42">
        <f>CPUE!J36</f>
        <v>5.0000000000000115</v>
      </c>
      <c r="H38" s="42"/>
      <c r="I38" s="40" t="str">
        <f>Effort!L36</f>
        <v>CLOSED</v>
      </c>
      <c r="J38" s="41" t="str">
        <f>Harvest!L36</f>
        <v>CLOSED</v>
      </c>
      <c r="K38" s="42" t="str">
        <f>CPUE!L36</f>
        <v>CLOSED</v>
      </c>
      <c r="L38" s="42"/>
      <c r="M38" s="40" t="s">
        <v>10</v>
      </c>
      <c r="N38" s="41" t="s">
        <v>10</v>
      </c>
      <c r="O38" s="42" t="s">
        <v>10</v>
      </c>
      <c r="P38" s="42"/>
      <c r="Q38" s="40">
        <f t="shared" si="7"/>
        <v>42.711488568851301</v>
      </c>
      <c r="R38" s="41">
        <f t="shared" si="8"/>
        <v>213.557442844257</v>
      </c>
    </row>
    <row r="39" spans="1:21" x14ac:dyDescent="0.25">
      <c r="A39" s="136" t="s">
        <v>50</v>
      </c>
      <c r="B39" s="136"/>
      <c r="C39" s="136"/>
      <c r="D39" s="137"/>
      <c r="E39" s="46">
        <f>SUM(E32:E38)</f>
        <v>1476.5128302994942</v>
      </c>
      <c r="F39" s="47">
        <f>SUM(F32:F38)</f>
        <v>17801.837612998606</v>
      </c>
      <c r="G39" s="48">
        <f>+F39/E39</f>
        <v>12.056676547394241</v>
      </c>
      <c r="H39" s="48"/>
      <c r="I39" s="46">
        <f>SUM(I32:I38)</f>
        <v>4322.1661483061707</v>
      </c>
      <c r="J39" s="47">
        <f>SUM(J32:J38)</f>
        <v>55735.622892980522</v>
      </c>
      <c r="K39" s="48">
        <f>+J39/I39</f>
        <v>12.895298556447894</v>
      </c>
      <c r="L39" s="48"/>
      <c r="M39" s="46"/>
      <c r="N39" s="47"/>
      <c r="O39" s="47"/>
      <c r="P39" s="48"/>
      <c r="Q39" s="46">
        <f>SUM(Q32:Q38)</f>
        <v>5798.6789786056652</v>
      </c>
      <c r="R39" s="47">
        <f>SUM(R32:R38)</f>
        <v>73537.460505979136</v>
      </c>
      <c r="T39" s="19">
        <f>SUM(E39,I39)</f>
        <v>5798.6789786056652</v>
      </c>
      <c r="U39" s="19">
        <f>SUM(F39,J39)</f>
        <v>73537.460505979136</v>
      </c>
    </row>
    <row r="40" spans="1:21" x14ac:dyDescent="0.25">
      <c r="A40" s="38">
        <v>45638</v>
      </c>
      <c r="B40" s="39" t="s">
        <v>22</v>
      </c>
      <c r="C40" s="12">
        <v>0.66666666666666663</v>
      </c>
      <c r="D40" s="4">
        <v>-0.48</v>
      </c>
      <c r="E40" s="40">
        <f>Effort!J38</f>
        <v>961.07791632396004</v>
      </c>
      <c r="F40" s="41">
        <f>Harvest!J38</f>
        <v>13885.0467384698</v>
      </c>
      <c r="G40" s="42">
        <f>CPUE!J38</f>
        <v>14.447368421052586</v>
      </c>
      <c r="H40" s="42"/>
      <c r="I40" s="40" t="str">
        <f>Effort!L38</f>
        <v>CLOSED</v>
      </c>
      <c r="J40" s="41" t="str">
        <f>Harvest!L38</f>
        <v>CLOSED</v>
      </c>
      <c r="K40" s="42" t="str">
        <f>CPUE!L38</f>
        <v>CLOSED</v>
      </c>
      <c r="L40" s="42"/>
      <c r="M40" s="40" t="s">
        <v>10</v>
      </c>
      <c r="N40" s="41" t="s">
        <v>10</v>
      </c>
      <c r="O40" s="87" t="s">
        <v>10</v>
      </c>
      <c r="P40" s="42"/>
      <c r="Q40" s="40">
        <f t="shared" ref="Q40:Q46" si="9">SUM(E40,I40)</f>
        <v>961.07791632396004</v>
      </c>
      <c r="R40" s="41">
        <f t="shared" ref="R40:R46" si="10">SUM(F40,J40)</f>
        <v>13885.0467384698</v>
      </c>
    </row>
    <row r="41" spans="1:21" x14ac:dyDescent="0.25">
      <c r="A41" s="38">
        <v>45639</v>
      </c>
      <c r="B41" s="39" t="s">
        <v>18</v>
      </c>
      <c r="C41" s="12">
        <v>0.70138888888888884</v>
      </c>
      <c r="D41" s="4">
        <v>-1.17</v>
      </c>
      <c r="E41" s="40" t="str">
        <f>Effort!J39</f>
        <v>CLOSED</v>
      </c>
      <c r="F41" s="41" t="str">
        <f>Harvest!J39</f>
        <v>CLOSED</v>
      </c>
      <c r="G41" s="42" t="str">
        <f>CPUE!J39</f>
        <v>CLOSED</v>
      </c>
      <c r="H41" s="42"/>
      <c r="I41" s="40">
        <f>Effort!L39</f>
        <v>593.33638021615502</v>
      </c>
      <c r="J41" s="41">
        <f>Harvest!L39</f>
        <v>6384.2994511258203</v>
      </c>
      <c r="K41" s="42">
        <f>CPUE!L39</f>
        <v>10.759999999999987</v>
      </c>
      <c r="L41" s="42"/>
      <c r="M41" s="40" t="s">
        <v>10</v>
      </c>
      <c r="N41" s="41" t="s">
        <v>10</v>
      </c>
      <c r="O41" s="42" t="s">
        <v>10</v>
      </c>
      <c r="P41" s="42"/>
      <c r="Q41" s="40">
        <f t="shared" si="9"/>
        <v>593.33638021615502</v>
      </c>
      <c r="R41" s="41">
        <f t="shared" si="10"/>
        <v>6384.2994511258203</v>
      </c>
    </row>
    <row r="42" spans="1:21" x14ac:dyDescent="0.25">
      <c r="A42" s="38">
        <v>45640</v>
      </c>
      <c r="B42" s="39" t="s">
        <v>19</v>
      </c>
      <c r="C42" s="12">
        <v>0.73333333333333339</v>
      </c>
      <c r="D42" s="4">
        <v>-1.55</v>
      </c>
      <c r="E42" s="40" t="str">
        <f>Effort!J40</f>
        <v>CLOSED</v>
      </c>
      <c r="F42" s="41" t="str">
        <f>Harvest!J40</f>
        <v>CLOSED</v>
      </c>
      <c r="G42" s="42" t="str">
        <f>CPUE!J40</f>
        <v>CLOSED</v>
      </c>
      <c r="H42" s="42"/>
      <c r="I42" s="40">
        <f>Effort!L40</f>
        <v>1317.4543185278401</v>
      </c>
      <c r="J42" s="41">
        <f>Harvest!L40</f>
        <v>7616.5327789890498</v>
      </c>
      <c r="K42" s="42">
        <f>CPUE!L40</f>
        <v>5.7812499999999805</v>
      </c>
      <c r="L42" s="42"/>
      <c r="M42" s="40" t="s">
        <v>10</v>
      </c>
      <c r="N42" s="41" t="s">
        <v>10</v>
      </c>
      <c r="O42" s="42" t="s">
        <v>10</v>
      </c>
      <c r="P42" s="42"/>
      <c r="Q42" s="40">
        <f t="shared" si="9"/>
        <v>1317.4543185278401</v>
      </c>
      <c r="R42" s="41">
        <f t="shared" si="10"/>
        <v>7616.5327789890498</v>
      </c>
    </row>
    <row r="43" spans="1:21" x14ac:dyDescent="0.25">
      <c r="A43" s="38">
        <v>45641</v>
      </c>
      <c r="B43" s="39" t="s">
        <v>20</v>
      </c>
      <c r="C43" s="12">
        <v>0.76458333333333339</v>
      </c>
      <c r="D43" s="4">
        <v>-1.63</v>
      </c>
      <c r="E43" s="40">
        <f>Effort!J41</f>
        <v>871.55055936808105</v>
      </c>
      <c r="F43" s="41">
        <f>Harvest!J41</f>
        <v>9629.5708144814907</v>
      </c>
      <c r="G43" s="42">
        <f>CPUE!J41</f>
        <v>11.048780487804889</v>
      </c>
      <c r="H43" s="42"/>
      <c r="I43" s="40" t="str">
        <f>Effort!L41</f>
        <v>CLOSED</v>
      </c>
      <c r="J43" s="41" t="str">
        <f>Harvest!L41</f>
        <v>CLOSED</v>
      </c>
      <c r="K43" s="42" t="str">
        <f>CPUE!L41</f>
        <v>CLOSED</v>
      </c>
      <c r="L43" s="42"/>
      <c r="M43" s="40" t="s">
        <v>10</v>
      </c>
      <c r="N43" s="41" t="s">
        <v>10</v>
      </c>
      <c r="O43" s="42" t="s">
        <v>10</v>
      </c>
      <c r="P43" s="42"/>
      <c r="Q43" s="40">
        <f t="shared" si="9"/>
        <v>871.55055936808105</v>
      </c>
      <c r="R43" s="41">
        <f t="shared" si="10"/>
        <v>9629.5708144814907</v>
      </c>
    </row>
    <row r="44" spans="1:21" x14ac:dyDescent="0.25">
      <c r="A44" s="38">
        <v>45642</v>
      </c>
      <c r="B44" s="39" t="s">
        <v>21</v>
      </c>
      <c r="C44" s="12">
        <v>0.79513888888888884</v>
      </c>
      <c r="D44" s="4">
        <v>-1.45</v>
      </c>
      <c r="E44" s="40">
        <f>Effort!J42</f>
        <v>380.27002725815998</v>
      </c>
      <c r="F44" s="41">
        <f>Harvest!J42</f>
        <v>3802.7002725816001</v>
      </c>
      <c r="G44" s="42">
        <f>CPUE!J42</f>
        <v>10</v>
      </c>
      <c r="H44" s="42"/>
      <c r="I44" s="40" t="str">
        <f>Effort!L42</f>
        <v>CLOSED</v>
      </c>
      <c r="J44" s="41" t="str">
        <f>Harvest!L42</f>
        <v>CLOSED</v>
      </c>
      <c r="K44" s="42" t="str">
        <f>CPUE!L42</f>
        <v>CLOSED</v>
      </c>
      <c r="L44" s="42"/>
      <c r="M44" s="40" t="s">
        <v>10</v>
      </c>
      <c r="N44" s="41" t="s">
        <v>10</v>
      </c>
      <c r="O44" s="42" t="s">
        <v>10</v>
      </c>
      <c r="P44" s="43"/>
      <c r="Q44" s="40">
        <f t="shared" si="9"/>
        <v>380.27002725815998</v>
      </c>
      <c r="R44" s="41">
        <f t="shared" si="10"/>
        <v>3802.7002725816001</v>
      </c>
    </row>
    <row r="45" spans="1:21" x14ac:dyDescent="0.25">
      <c r="A45" s="38">
        <v>45643</v>
      </c>
      <c r="B45" s="39" t="s">
        <v>61</v>
      </c>
      <c r="C45" s="12">
        <v>0.82500000000000007</v>
      </c>
      <c r="D45" s="4">
        <v>-1.05</v>
      </c>
      <c r="E45" s="40" t="str">
        <f>Effort!J43</f>
        <v>CLOSED</v>
      </c>
      <c r="F45" s="41" t="str">
        <f>Harvest!J43</f>
        <v>CLOSED</v>
      </c>
      <c r="G45" s="42" t="str">
        <f>CPUE!J43</f>
        <v>CLOSED</v>
      </c>
      <c r="H45" s="42"/>
      <c r="I45" s="40">
        <f>Effort!L43</f>
        <v>28.291210619564499</v>
      </c>
      <c r="J45" s="41">
        <f>Harvest!L43</f>
        <v>56.582421239128998</v>
      </c>
      <c r="K45" s="42">
        <f>CPUE!L43</f>
        <v>2</v>
      </c>
      <c r="L45" s="42"/>
      <c r="M45" s="40" t="s">
        <v>10</v>
      </c>
      <c r="N45" s="41" t="s">
        <v>10</v>
      </c>
      <c r="O45" s="42" t="s">
        <v>10</v>
      </c>
      <c r="P45" s="43"/>
      <c r="Q45" s="40">
        <f t="shared" si="9"/>
        <v>28.291210619564499</v>
      </c>
      <c r="R45" s="41">
        <f t="shared" si="10"/>
        <v>56.582421239128998</v>
      </c>
    </row>
    <row r="46" spans="1:21" x14ac:dyDescent="0.25">
      <c r="A46" s="38">
        <v>45644</v>
      </c>
      <c r="B46" s="39" t="s">
        <v>62</v>
      </c>
      <c r="C46" s="12">
        <v>0.85486111111111107</v>
      </c>
      <c r="D46" s="4">
        <v>-0.51</v>
      </c>
      <c r="E46" s="40" t="str">
        <f>Effort!J44</f>
        <v>CLOSED</v>
      </c>
      <c r="F46" s="41" t="str">
        <f>Harvest!J44</f>
        <v>CLOSED</v>
      </c>
      <c r="G46" s="42" t="str">
        <f>CPUE!J44</f>
        <v>CLOSED</v>
      </c>
      <c r="H46" s="42"/>
      <c r="I46" s="40">
        <f>Effort!L44</f>
        <v>127.19234213378458</v>
      </c>
      <c r="J46" s="41">
        <f>Harvest!L44</f>
        <v>1271.9234213378459</v>
      </c>
      <c r="K46" s="42">
        <f>CPUE!L44</f>
        <v>10</v>
      </c>
      <c r="L46" s="42"/>
      <c r="M46" s="40" t="s">
        <v>10</v>
      </c>
      <c r="N46" s="41" t="s">
        <v>10</v>
      </c>
      <c r="O46" s="42" t="s">
        <v>10</v>
      </c>
      <c r="P46" s="42"/>
      <c r="Q46" s="40">
        <f t="shared" si="9"/>
        <v>127.19234213378458</v>
      </c>
      <c r="R46" s="41">
        <f t="shared" si="10"/>
        <v>1271.9234213378459</v>
      </c>
    </row>
    <row r="47" spans="1:21" x14ac:dyDescent="0.25">
      <c r="A47" s="136" t="s">
        <v>50</v>
      </c>
      <c r="B47" s="136"/>
      <c r="C47" s="136"/>
      <c r="D47" s="137"/>
      <c r="E47" s="46">
        <f>SUM(E40:E46)</f>
        <v>2212.898502950201</v>
      </c>
      <c r="F47" s="47">
        <f>SUM(F40:F46)</f>
        <v>27317.317825532889</v>
      </c>
      <c r="G47" s="48">
        <f>+F47/E47</f>
        <v>12.344586879657552</v>
      </c>
      <c r="H47" s="48"/>
      <c r="I47" s="46">
        <f>SUM(I40:I46)</f>
        <v>2066.2742514973443</v>
      </c>
      <c r="J47" s="47">
        <f>SUM(J40:J46)</f>
        <v>15329.338072691844</v>
      </c>
      <c r="K47" s="48">
        <f>+J47/I47</f>
        <v>7.41883032302382</v>
      </c>
      <c r="L47" s="48"/>
      <c r="M47" s="46"/>
      <c r="N47" s="47"/>
      <c r="O47" s="47"/>
      <c r="P47" s="48"/>
      <c r="Q47" s="46">
        <f>SUM(Q40:Q46)</f>
        <v>4279.1727544475443</v>
      </c>
      <c r="R47" s="47">
        <f>SUM(R40:R46)</f>
        <v>42646.655898224737</v>
      </c>
      <c r="T47" s="19">
        <f>SUM(E47,I47)</f>
        <v>4279.1727544475452</v>
      </c>
      <c r="U47" s="19">
        <f>SUM(F47,J47)</f>
        <v>42646.655898224737</v>
      </c>
    </row>
    <row r="48" spans="1:21" x14ac:dyDescent="0.25">
      <c r="A48" s="38">
        <v>45654</v>
      </c>
      <c r="B48" s="39" t="s">
        <v>19</v>
      </c>
      <c r="C48" s="12">
        <v>0.70694444444444438</v>
      </c>
      <c r="D48" s="4">
        <v>-0.03</v>
      </c>
      <c r="E48" s="40">
        <f>Effort!J46</f>
        <v>2133.0631239579998</v>
      </c>
      <c r="F48" s="41">
        <f>Harvest!J46</f>
        <v>5992.8916339772504</v>
      </c>
      <c r="G48" s="42">
        <f>CPUE!J46</f>
        <v>2.8095238095238155</v>
      </c>
      <c r="H48" s="42"/>
      <c r="I48" s="40" t="str">
        <f>Effort!L46</f>
        <v>CLOSED</v>
      </c>
      <c r="J48" s="41" t="str">
        <f>Harvest!L46</f>
        <v>CLOSED</v>
      </c>
      <c r="K48" s="42" t="str">
        <f>CPUE!L46</f>
        <v>CLOSED</v>
      </c>
      <c r="L48" s="42"/>
      <c r="M48" s="40" t="s">
        <v>10</v>
      </c>
      <c r="N48" s="41" t="s">
        <v>10</v>
      </c>
      <c r="O48" s="87" t="s">
        <v>10</v>
      </c>
      <c r="P48" s="42"/>
      <c r="Q48" s="40">
        <f t="shared" ref="Q48:Q54" si="11">SUM(E48,I48)</f>
        <v>2133.0631239579998</v>
      </c>
      <c r="R48" s="41">
        <f t="shared" ref="R48:R54" si="12">SUM(F48,J48)</f>
        <v>5992.8916339772504</v>
      </c>
    </row>
    <row r="49" spans="1:21" x14ac:dyDescent="0.25">
      <c r="A49" s="38">
        <v>45655</v>
      </c>
      <c r="B49" s="39" t="s">
        <v>20</v>
      </c>
      <c r="C49" s="12">
        <v>0.73333333333333339</v>
      </c>
      <c r="D49" s="4">
        <v>-0.44</v>
      </c>
      <c r="E49" s="40" t="str">
        <f>Effort!J47</f>
        <v>CLOSED</v>
      </c>
      <c r="F49" s="41" t="str">
        <f>Harvest!J47</f>
        <v>CLOSED</v>
      </c>
      <c r="G49" s="42" t="str">
        <f>CPUE!J47</f>
        <v>CLOSED</v>
      </c>
      <c r="H49" s="42"/>
      <c r="I49" s="40">
        <f>Effort!L47</f>
        <v>1369.3868331845899</v>
      </c>
      <c r="J49" s="41">
        <f>Harvest!L47</f>
        <v>10984.2305555445</v>
      </c>
      <c r="K49" s="42">
        <f>CPUE!L47</f>
        <v>8.0212765957446983</v>
      </c>
      <c r="L49" s="42"/>
      <c r="M49" s="40" t="s">
        <v>10</v>
      </c>
      <c r="N49" s="41" t="s">
        <v>10</v>
      </c>
      <c r="O49" s="42" t="s">
        <v>10</v>
      </c>
      <c r="P49" s="42"/>
      <c r="Q49" s="40">
        <f t="shared" si="11"/>
        <v>1369.3868331845899</v>
      </c>
      <c r="R49" s="41">
        <f t="shared" si="12"/>
        <v>10984.2305555445</v>
      </c>
    </row>
    <row r="50" spans="1:21" x14ac:dyDescent="0.25">
      <c r="A50" s="38">
        <v>45656</v>
      </c>
      <c r="B50" s="39" t="s">
        <v>21</v>
      </c>
      <c r="C50" s="12">
        <v>0.7597222222222223</v>
      </c>
      <c r="D50" s="4">
        <v>-0.74</v>
      </c>
      <c r="E50" s="40" t="str">
        <f>Effort!J48</f>
        <v>CLOSED</v>
      </c>
      <c r="F50" s="41" t="str">
        <f>Harvest!J48</f>
        <v>CLOSED</v>
      </c>
      <c r="G50" s="42" t="str">
        <f>CPUE!J48</f>
        <v>CLOSED</v>
      </c>
      <c r="H50" s="42"/>
      <c r="I50" s="40">
        <f>Effort!L48</f>
        <v>894.00225557823899</v>
      </c>
      <c r="J50" s="41">
        <f>Harvest!L48</f>
        <v>11175.028194727987</v>
      </c>
      <c r="K50" s="42">
        <f>CPUE!L48</f>
        <v>12.5</v>
      </c>
      <c r="L50" s="42"/>
      <c r="M50" s="40" t="s">
        <v>10</v>
      </c>
      <c r="N50" s="41" t="s">
        <v>10</v>
      </c>
      <c r="O50" s="42" t="s">
        <v>10</v>
      </c>
      <c r="P50" s="42"/>
      <c r="Q50" s="40">
        <f t="shared" si="11"/>
        <v>894.00225557823899</v>
      </c>
      <c r="R50" s="41">
        <f t="shared" si="12"/>
        <v>11175.028194727987</v>
      </c>
    </row>
    <row r="51" spans="1:21" x14ac:dyDescent="0.25">
      <c r="A51" s="38">
        <v>45657</v>
      </c>
      <c r="B51" s="39" t="s">
        <v>61</v>
      </c>
      <c r="C51" s="12">
        <v>0.78541666666666676</v>
      </c>
      <c r="D51" s="4">
        <v>-0.95</v>
      </c>
      <c r="E51" s="40">
        <f>Effort!J49</f>
        <v>1455.44720577728</v>
      </c>
      <c r="F51" s="41">
        <f>Harvest!J49</f>
        <v>17513.8813761866</v>
      </c>
      <c r="G51" s="42">
        <f>CPUE!J49</f>
        <v>12.033333333333331</v>
      </c>
      <c r="H51" s="42"/>
      <c r="I51" s="40" t="str">
        <f>Effort!L49</f>
        <v>CLOSED</v>
      </c>
      <c r="J51" s="41" t="str">
        <f>Harvest!L49</f>
        <v>CLOSED</v>
      </c>
      <c r="K51" s="42" t="str">
        <f>CPUE!L49</f>
        <v>CLOSED</v>
      </c>
      <c r="L51" s="42"/>
      <c r="M51" s="40" t="s">
        <v>10</v>
      </c>
      <c r="N51" s="41" t="s">
        <v>10</v>
      </c>
      <c r="O51" s="42" t="s">
        <v>10</v>
      </c>
      <c r="P51" s="42"/>
      <c r="Q51" s="40">
        <f t="shared" si="11"/>
        <v>1455.44720577728</v>
      </c>
      <c r="R51" s="41">
        <f t="shared" si="12"/>
        <v>17513.8813761866</v>
      </c>
    </row>
    <row r="52" spans="1:21" x14ac:dyDescent="0.25">
      <c r="A52" s="38">
        <v>45658</v>
      </c>
      <c r="B52" s="39" t="s">
        <v>62</v>
      </c>
      <c r="C52" s="12">
        <v>0.81180555555555556</v>
      </c>
      <c r="D52" s="4">
        <v>-0.95</v>
      </c>
      <c r="E52" s="40">
        <f>Effort!J50</f>
        <v>1287.5647544318099</v>
      </c>
      <c r="F52" s="41">
        <f>Harvest!J50</f>
        <v>2125.9790131315899</v>
      </c>
      <c r="G52" s="42">
        <f>CPUE!J50</f>
        <v>1.651162790697672</v>
      </c>
      <c r="H52" s="42"/>
      <c r="I52" s="40" t="str">
        <f>Effort!L50</f>
        <v>CLOSED</v>
      </c>
      <c r="J52" s="41" t="str">
        <f>Harvest!L50</f>
        <v>CLOSED</v>
      </c>
      <c r="K52" s="42" t="str">
        <f>CPUE!L50</f>
        <v>CLOSED</v>
      </c>
      <c r="L52" s="42"/>
      <c r="M52" s="40" t="s">
        <v>10</v>
      </c>
      <c r="N52" s="41" t="s">
        <v>10</v>
      </c>
      <c r="O52" s="42" t="s">
        <v>10</v>
      </c>
      <c r="P52" s="43"/>
      <c r="Q52" s="40">
        <f t="shared" si="11"/>
        <v>1287.5647544318099</v>
      </c>
      <c r="R52" s="41">
        <f t="shared" si="12"/>
        <v>2125.9790131315899</v>
      </c>
    </row>
    <row r="53" spans="1:21" x14ac:dyDescent="0.25">
      <c r="A53" s="38">
        <v>45659</v>
      </c>
      <c r="B53" s="39" t="s">
        <v>22</v>
      </c>
      <c r="C53" s="12">
        <v>0.83888888888888891</v>
      </c>
      <c r="D53" s="4">
        <v>-0.75</v>
      </c>
      <c r="E53" s="40" t="str">
        <f>Effort!J51</f>
        <v>CLOSED</v>
      </c>
      <c r="F53" s="41" t="str">
        <f>Harvest!J51</f>
        <v>CLOSED</v>
      </c>
      <c r="G53" s="42" t="str">
        <f>CPUE!J51</f>
        <v>CLOSED</v>
      </c>
      <c r="H53" s="42"/>
      <c r="I53" s="40">
        <f>Effort!L51</f>
        <v>173.584915030763</v>
      </c>
      <c r="J53" s="41">
        <f>Harvest!L51</f>
        <v>1301.8868627307224</v>
      </c>
      <c r="K53" s="42">
        <f>CPUE!L51</f>
        <v>7.5</v>
      </c>
      <c r="L53" s="42"/>
      <c r="M53" s="40" t="s">
        <v>10</v>
      </c>
      <c r="N53" s="41" t="s">
        <v>10</v>
      </c>
      <c r="O53" s="42" t="s">
        <v>10</v>
      </c>
      <c r="P53" s="43"/>
      <c r="Q53" s="40">
        <f t="shared" si="11"/>
        <v>173.584915030763</v>
      </c>
      <c r="R53" s="41">
        <f t="shared" si="12"/>
        <v>1301.8868627307224</v>
      </c>
    </row>
    <row r="54" spans="1:21" x14ac:dyDescent="0.25">
      <c r="A54" s="38">
        <v>45660</v>
      </c>
      <c r="B54" s="39" t="s">
        <v>18</v>
      </c>
      <c r="C54" s="12">
        <v>0.8666666666666667</v>
      </c>
      <c r="D54" s="4">
        <v>-0.34</v>
      </c>
      <c r="E54" s="40" t="str">
        <f>Effort!J52</f>
        <v>CLOSED</v>
      </c>
      <c r="F54" s="41" t="str">
        <f>Harvest!J52</f>
        <v>CLOSED</v>
      </c>
      <c r="G54" s="42" t="str">
        <f>CPUE!J52</f>
        <v>CLOSED</v>
      </c>
      <c r="H54" s="42"/>
      <c r="I54" s="40">
        <f>Effort!L52</f>
        <v>167.86118300941601</v>
      </c>
      <c r="J54" s="41">
        <f>Harvest!L52</f>
        <v>419.65295752354001</v>
      </c>
      <c r="K54" s="42">
        <f>CPUE!L52</f>
        <v>2.5</v>
      </c>
      <c r="L54" s="42"/>
      <c r="M54" s="40" t="s">
        <v>10</v>
      </c>
      <c r="N54" s="41" t="s">
        <v>10</v>
      </c>
      <c r="O54" s="42" t="s">
        <v>10</v>
      </c>
      <c r="P54" s="42"/>
      <c r="Q54" s="40">
        <f t="shared" si="11"/>
        <v>167.86118300941601</v>
      </c>
      <c r="R54" s="41">
        <f t="shared" si="12"/>
        <v>419.65295752354001</v>
      </c>
    </row>
    <row r="55" spans="1:21" x14ac:dyDescent="0.25">
      <c r="A55" s="136" t="s">
        <v>50</v>
      </c>
      <c r="B55" s="136"/>
      <c r="C55" s="136"/>
      <c r="D55" s="137"/>
      <c r="E55" s="46">
        <f>SUM(E48:E54)</f>
        <v>4876.0750841670897</v>
      </c>
      <c r="F55" s="47">
        <f>SUM(F48:F54)</f>
        <v>25632.752023295441</v>
      </c>
      <c r="G55" s="48">
        <f>+F55/E55</f>
        <v>5.256841123412257</v>
      </c>
      <c r="H55" s="48"/>
      <c r="I55" s="46">
        <f>SUM(I48:I54)</f>
        <v>2604.8351868030081</v>
      </c>
      <c r="J55" s="47">
        <f>SUM(J48:J54)</f>
        <v>23880.798570526749</v>
      </c>
      <c r="K55" s="48">
        <f>+J55/I55</f>
        <v>9.1678731504837998</v>
      </c>
      <c r="L55" s="48"/>
      <c r="M55" s="46"/>
      <c r="N55" s="47"/>
      <c r="O55" s="47"/>
      <c r="P55" s="48"/>
      <c r="Q55" s="46">
        <f>SUM(Q48:Q54)</f>
        <v>7480.9102709700974</v>
      </c>
      <c r="R55" s="47">
        <f>SUM(R48:R54)</f>
        <v>49513.55059382219</v>
      </c>
      <c r="T55" s="19">
        <f>SUM(E55,I55)</f>
        <v>7480.9102709700983</v>
      </c>
      <c r="U55" s="19">
        <f>SUM(F55,J55)</f>
        <v>49513.55059382219</v>
      </c>
    </row>
    <row r="56" spans="1:21" x14ac:dyDescent="0.25">
      <c r="A56" s="38">
        <v>45667</v>
      </c>
      <c r="B56" s="39" t="s">
        <v>18</v>
      </c>
      <c r="C56" s="12">
        <v>0.65763888888888888</v>
      </c>
      <c r="D56" s="4">
        <v>-0.31</v>
      </c>
      <c r="E56" s="40" t="str">
        <f>Effort!J54</f>
        <v>CLOSED</v>
      </c>
      <c r="F56" s="41" t="str">
        <f>Harvest!J54</f>
        <v>CLOSED</v>
      </c>
      <c r="G56" s="42" t="str">
        <f>CPUE!J54</f>
        <v>CLOSED</v>
      </c>
      <c r="H56" s="42"/>
      <c r="I56" s="40">
        <f>Effort!L54</f>
        <v>1150.13837356557</v>
      </c>
      <c r="J56" s="41">
        <f>Harvest!L54</f>
        <v>10823.0970025273</v>
      </c>
      <c r="K56" s="42">
        <f>CPUE!L54</f>
        <v>9.4102564102564212</v>
      </c>
      <c r="L56" s="42"/>
      <c r="M56" s="40" t="s">
        <v>10</v>
      </c>
      <c r="N56" s="41" t="s">
        <v>10</v>
      </c>
      <c r="O56" s="87" t="s">
        <v>10</v>
      </c>
      <c r="P56" s="42"/>
      <c r="Q56" s="40">
        <f t="shared" ref="Q56:Q62" si="13">SUM(E56,I56)</f>
        <v>1150.13837356557</v>
      </c>
      <c r="R56" s="41">
        <f t="shared" ref="R56:R62" si="14">SUM(F56,J56)</f>
        <v>10823.0970025273</v>
      </c>
    </row>
    <row r="57" spans="1:21" x14ac:dyDescent="0.25">
      <c r="A57" s="38">
        <v>45668</v>
      </c>
      <c r="B57" s="39" t="s">
        <v>19</v>
      </c>
      <c r="C57" s="12">
        <v>0.69374999999999998</v>
      </c>
      <c r="D57" s="4">
        <v>-0.76</v>
      </c>
      <c r="E57" s="40" t="str">
        <f>Effort!J55</f>
        <v>CLOSED</v>
      </c>
      <c r="F57" s="41" t="str">
        <f>Harvest!J55</f>
        <v>CLOSED</v>
      </c>
      <c r="G57" s="42" t="str">
        <f>CPUE!J55</f>
        <v>CLOSED</v>
      </c>
      <c r="H57" s="42"/>
      <c r="I57" s="40">
        <f>Effort!L55</f>
        <v>3050.4455024382601</v>
      </c>
      <c r="J57" s="41">
        <f>Harvest!L55</f>
        <v>41181.014282916498</v>
      </c>
      <c r="K57" s="42">
        <f>CPUE!L55</f>
        <v>13.499999999999996</v>
      </c>
      <c r="L57" s="42"/>
      <c r="M57" s="40" t="s">
        <v>10</v>
      </c>
      <c r="N57" s="41" t="s">
        <v>10</v>
      </c>
      <c r="O57" s="42" t="s">
        <v>10</v>
      </c>
      <c r="P57" s="42"/>
      <c r="Q57" s="40">
        <f t="shared" si="13"/>
        <v>3050.4455024382601</v>
      </c>
      <c r="R57" s="41">
        <f t="shared" si="14"/>
        <v>41181.014282916498</v>
      </c>
    </row>
    <row r="58" spans="1:21" x14ac:dyDescent="0.25">
      <c r="A58" s="38">
        <v>45669</v>
      </c>
      <c r="B58" s="39" t="s">
        <v>20</v>
      </c>
      <c r="C58" s="12">
        <v>0.7270833333333333</v>
      </c>
      <c r="D58" s="4">
        <v>-1.02</v>
      </c>
      <c r="E58" s="40">
        <f>Effort!J56</f>
        <v>2864.4527853311401</v>
      </c>
      <c r="F58" s="41">
        <f>Harvest!J56</f>
        <v>39693.131453874397</v>
      </c>
      <c r="G58" s="42">
        <f>CPUE!J56</f>
        <v>13.857142857142867</v>
      </c>
      <c r="H58" s="42"/>
      <c r="I58" s="40" t="str">
        <f>Effort!L56</f>
        <v>CLOSED</v>
      </c>
      <c r="J58" s="41" t="str">
        <f>Harvest!L56</f>
        <v>CLOSED</v>
      </c>
      <c r="K58" s="42" t="str">
        <f>CPUE!L56</f>
        <v>CLOSED</v>
      </c>
      <c r="L58" s="42"/>
      <c r="M58" s="40" t="s">
        <v>10</v>
      </c>
      <c r="N58" s="41" t="s">
        <v>10</v>
      </c>
      <c r="O58" s="42" t="s">
        <v>10</v>
      </c>
      <c r="P58" s="42"/>
      <c r="Q58" s="40">
        <f t="shared" si="13"/>
        <v>2864.4527853311401</v>
      </c>
      <c r="R58" s="41">
        <f t="shared" si="14"/>
        <v>39693.131453874397</v>
      </c>
    </row>
    <row r="59" spans="1:21" x14ac:dyDescent="0.25">
      <c r="A59" s="38">
        <v>45670</v>
      </c>
      <c r="B59" s="39" t="s">
        <v>21</v>
      </c>
      <c r="C59" s="12">
        <v>0.75694444444444453</v>
      </c>
      <c r="D59" s="4">
        <v>-1.07</v>
      </c>
      <c r="E59" s="40">
        <f>Effort!J57</f>
        <v>1198.4502367397999</v>
      </c>
      <c r="F59" s="41">
        <f>Harvest!J57</f>
        <v>13709.1014885601</v>
      </c>
      <c r="G59" s="42">
        <f>CPUE!J57</f>
        <v>11.43902439024386</v>
      </c>
      <c r="H59" s="42"/>
      <c r="I59" s="40" t="str">
        <f>Effort!L57</f>
        <v>CLOSED</v>
      </c>
      <c r="J59" s="41" t="str">
        <f>Harvest!L57</f>
        <v>CLOSED</v>
      </c>
      <c r="K59" s="42" t="str">
        <f>CPUE!L57</f>
        <v>CLOSED</v>
      </c>
      <c r="L59" s="42"/>
      <c r="M59" s="40" t="s">
        <v>10</v>
      </c>
      <c r="N59" s="41" t="s">
        <v>10</v>
      </c>
      <c r="O59" s="42" t="s">
        <v>10</v>
      </c>
      <c r="P59" s="42"/>
      <c r="Q59" s="40">
        <f t="shared" si="13"/>
        <v>1198.4502367397999</v>
      </c>
      <c r="R59" s="41">
        <f t="shared" si="14"/>
        <v>13709.1014885601</v>
      </c>
    </row>
    <row r="60" spans="1:21" x14ac:dyDescent="0.25">
      <c r="A60" s="38">
        <v>45671</v>
      </c>
      <c r="B60" s="39" t="s">
        <v>61</v>
      </c>
      <c r="C60" s="12">
        <v>0.78472222222222221</v>
      </c>
      <c r="D60" s="4">
        <v>-0.93</v>
      </c>
      <c r="E60" s="40" t="str">
        <f>Effort!J58</f>
        <v>CLOSED</v>
      </c>
      <c r="F60" s="41" t="str">
        <f>Harvest!J58</f>
        <v>CLOSED</v>
      </c>
      <c r="G60" s="42" t="str">
        <f>CPUE!J58</f>
        <v>CLOSED</v>
      </c>
      <c r="H60" s="42"/>
      <c r="I60" s="40">
        <f>Effort!L58</f>
        <v>262.83211900904098</v>
      </c>
      <c r="J60" s="41">
        <f>Harvest!L58</f>
        <v>1145.19708996796</v>
      </c>
      <c r="K60" s="42">
        <f>CPUE!L58</f>
        <v>4.3571428571428408</v>
      </c>
      <c r="L60" s="42"/>
      <c r="M60" s="40" t="s">
        <v>10</v>
      </c>
      <c r="N60" s="41" t="s">
        <v>10</v>
      </c>
      <c r="O60" s="42" t="s">
        <v>10</v>
      </c>
      <c r="P60" s="43"/>
      <c r="Q60" s="40">
        <f t="shared" si="13"/>
        <v>262.83211900904098</v>
      </c>
      <c r="R60" s="41">
        <f t="shared" si="14"/>
        <v>1145.19708996796</v>
      </c>
    </row>
    <row r="61" spans="1:21" x14ac:dyDescent="0.25">
      <c r="A61" s="38">
        <v>45672</v>
      </c>
      <c r="B61" s="39" t="s">
        <v>62</v>
      </c>
      <c r="C61" s="12">
        <v>0.81111111111111101</v>
      </c>
      <c r="D61" s="4">
        <v>-0.62</v>
      </c>
      <c r="E61" s="40" t="str">
        <f>Effort!J59</f>
        <v>CLOSED</v>
      </c>
      <c r="F61" s="41" t="str">
        <f>Harvest!J59</f>
        <v>CLOSED</v>
      </c>
      <c r="G61" s="42" t="str">
        <f>CPUE!J59</f>
        <v>CLOSED</v>
      </c>
      <c r="H61" s="42"/>
      <c r="I61" s="40">
        <f>Effort!L59</f>
        <v>186.21634086783899</v>
      </c>
      <c r="J61" s="41">
        <f>Harvest!L59</f>
        <v>658.91935999389295</v>
      </c>
      <c r="K61" s="42">
        <f>CPUE!L59</f>
        <v>3.5384615384615445</v>
      </c>
      <c r="L61" s="42"/>
      <c r="M61" s="40" t="s">
        <v>10</v>
      </c>
      <c r="N61" s="41" t="s">
        <v>10</v>
      </c>
      <c r="O61" s="42" t="s">
        <v>10</v>
      </c>
      <c r="P61" s="43"/>
      <c r="Q61" s="40">
        <f t="shared" si="13"/>
        <v>186.21634086783899</v>
      </c>
      <c r="R61" s="41">
        <f t="shared" si="14"/>
        <v>658.91935999389295</v>
      </c>
    </row>
    <row r="62" spans="1:21" x14ac:dyDescent="0.25">
      <c r="A62" s="38">
        <v>45673</v>
      </c>
      <c r="B62" s="39" t="s">
        <v>22</v>
      </c>
      <c r="C62" s="12">
        <v>0.8354166666666667</v>
      </c>
      <c r="D62" s="4">
        <v>-0.16</v>
      </c>
      <c r="E62" s="40">
        <f>Effort!J60</f>
        <v>152.96280303788799</v>
      </c>
      <c r="F62" s="41">
        <f>Harvest!J60</f>
        <v>638.844647981766</v>
      </c>
      <c r="G62" s="42">
        <f>CPUE!J60</f>
        <v>4.1764705882352846</v>
      </c>
      <c r="H62" s="42"/>
      <c r="I62" s="40" t="str">
        <f>Effort!L60</f>
        <v>CLOSED</v>
      </c>
      <c r="J62" s="41" t="str">
        <f>Harvest!L60</f>
        <v>CLOSED</v>
      </c>
      <c r="K62" s="42" t="str">
        <f>CPUE!L60</f>
        <v>CLOSED</v>
      </c>
      <c r="L62" s="42"/>
      <c r="M62" s="40" t="s">
        <v>10</v>
      </c>
      <c r="N62" s="41" t="s">
        <v>10</v>
      </c>
      <c r="O62" s="42" t="s">
        <v>10</v>
      </c>
      <c r="P62" s="42"/>
      <c r="Q62" s="40">
        <f t="shared" si="13"/>
        <v>152.96280303788799</v>
      </c>
      <c r="R62" s="41">
        <f t="shared" si="14"/>
        <v>638.844647981766</v>
      </c>
    </row>
    <row r="63" spans="1:21" x14ac:dyDescent="0.25">
      <c r="A63" s="136" t="s">
        <v>50</v>
      </c>
      <c r="B63" s="136"/>
      <c r="C63" s="136"/>
      <c r="D63" s="137"/>
      <c r="E63" s="46">
        <f>SUM(E56:E62)</f>
        <v>4215.8658251088282</v>
      </c>
      <c r="F63" s="47">
        <f>SUM(F56:F62)</f>
        <v>54041.077590416258</v>
      </c>
      <c r="G63" s="48">
        <f>+F63/E63</f>
        <v>12.818500358469365</v>
      </c>
      <c r="H63" s="48"/>
      <c r="I63" s="46">
        <f>SUM(I56:I62)</f>
        <v>4649.6323358807094</v>
      </c>
      <c r="J63" s="47">
        <f>SUM(J56:J62)</f>
        <v>53808.22773540565</v>
      </c>
      <c r="K63" s="48">
        <f>+J63/I63</f>
        <v>11.572576893913393</v>
      </c>
      <c r="L63" s="48"/>
      <c r="M63" s="46"/>
      <c r="N63" s="47"/>
      <c r="O63" s="47"/>
      <c r="P63" s="48"/>
      <c r="Q63" s="46">
        <f>SUM(Q56:Q62)</f>
        <v>8865.4981609895385</v>
      </c>
      <c r="R63" s="47">
        <f>SUM(R56:R62)</f>
        <v>107849.30532582192</v>
      </c>
      <c r="T63" s="19">
        <f>SUM(E63,I63)</f>
        <v>8865.4981609895367</v>
      </c>
      <c r="U63" s="19">
        <f>SUM(F63,J63)</f>
        <v>107849.30532582192</v>
      </c>
    </row>
    <row r="64" spans="1:21" x14ac:dyDescent="0.25">
      <c r="A64" s="38">
        <v>45683</v>
      </c>
      <c r="B64" s="39" t="s">
        <v>20</v>
      </c>
      <c r="C64" s="12">
        <v>0.69027777777777777</v>
      </c>
      <c r="D64" s="4">
        <v>7.0000000000000007E-2</v>
      </c>
      <c r="E64" s="40" t="str">
        <f>Effort!J62</f>
        <v>CLOSED</v>
      </c>
      <c r="F64" s="41" t="str">
        <f>Harvest!J62</f>
        <v>CLOSED</v>
      </c>
      <c r="G64" s="42" t="str">
        <f>CPUE!J62</f>
        <v>CLOSED</v>
      </c>
      <c r="H64" s="42"/>
      <c r="I64" s="40">
        <f>Effort!L62</f>
        <v>1468.53730707412</v>
      </c>
      <c r="J64" s="41">
        <f>Harvest!L62</f>
        <v>21468.616822464599</v>
      </c>
      <c r="K64" s="42">
        <f>CPUE!L62</f>
        <v>14.619047619047675</v>
      </c>
      <c r="L64" s="42"/>
      <c r="M64" s="40" t="s">
        <v>10</v>
      </c>
      <c r="N64" s="41" t="s">
        <v>10</v>
      </c>
      <c r="O64" s="87" t="s">
        <v>10</v>
      </c>
      <c r="P64" s="42"/>
      <c r="Q64" s="40">
        <f t="shared" ref="Q64:Q70" si="15">SUM(E64,I64)</f>
        <v>1468.53730707412</v>
      </c>
      <c r="R64" s="41">
        <f t="shared" ref="R64:R70" si="16">SUM(F64,J64)</f>
        <v>21468.616822464599</v>
      </c>
    </row>
    <row r="65" spans="1:21" x14ac:dyDescent="0.25">
      <c r="A65" s="38">
        <v>45684</v>
      </c>
      <c r="B65" s="39" t="s">
        <v>21</v>
      </c>
      <c r="C65" s="12">
        <v>0.71875</v>
      </c>
      <c r="D65" s="4">
        <v>-0.44</v>
      </c>
      <c r="E65" s="40" t="str">
        <f>Effort!J63</f>
        <v>CLOSED</v>
      </c>
      <c r="F65" s="41" t="str">
        <f>Harvest!J63</f>
        <v>CLOSED</v>
      </c>
      <c r="G65" s="42" t="str">
        <f>CPUE!J63</f>
        <v>CLOSED</v>
      </c>
      <c r="H65" s="42"/>
      <c r="I65" s="40">
        <f>Effort!L63</f>
        <v>898.00303283757205</v>
      </c>
      <c r="J65" s="41">
        <f>Harvest!L63</f>
        <v>11702.102021664599</v>
      </c>
      <c r="K65" s="42">
        <f>CPUE!L63</f>
        <v>13.031249999999988</v>
      </c>
      <c r="L65" s="42"/>
      <c r="M65" s="40" t="s">
        <v>10</v>
      </c>
      <c r="N65" s="41" t="s">
        <v>10</v>
      </c>
      <c r="O65" s="42" t="s">
        <v>10</v>
      </c>
      <c r="P65" s="42"/>
      <c r="Q65" s="40">
        <f t="shared" si="15"/>
        <v>898.00303283757205</v>
      </c>
      <c r="R65" s="41">
        <f t="shared" si="16"/>
        <v>11702.102021664599</v>
      </c>
    </row>
    <row r="66" spans="1:21" x14ac:dyDescent="0.25">
      <c r="A66" s="38">
        <v>45685</v>
      </c>
      <c r="B66" s="39" t="s">
        <v>61</v>
      </c>
      <c r="C66" s="12">
        <v>0.74583333333333324</v>
      </c>
      <c r="D66" s="4">
        <v>-0.82</v>
      </c>
      <c r="E66" s="40">
        <f>Effort!J64</f>
        <v>1139.4029253117301</v>
      </c>
      <c r="F66" s="41">
        <f>Harvest!J64</f>
        <v>17091.043879675901</v>
      </c>
      <c r="G66" s="42">
        <f>CPUE!J64</f>
        <v>14.999999999999956</v>
      </c>
      <c r="H66" s="42"/>
      <c r="I66" s="40" t="str">
        <f>Effort!L64</f>
        <v>CLOSED</v>
      </c>
      <c r="J66" s="41" t="str">
        <f>Harvest!L64</f>
        <v>CLOSED</v>
      </c>
      <c r="K66" s="42" t="str">
        <f>CPUE!L64</f>
        <v>CLOSED</v>
      </c>
      <c r="L66" s="42"/>
      <c r="M66" s="40" t="s">
        <v>10</v>
      </c>
      <c r="N66" s="41" t="s">
        <v>10</v>
      </c>
      <c r="O66" s="42" t="s">
        <v>10</v>
      </c>
      <c r="P66" s="42"/>
      <c r="Q66" s="40">
        <f t="shared" si="15"/>
        <v>1139.4029253117301</v>
      </c>
      <c r="R66" s="41">
        <f t="shared" si="16"/>
        <v>17091.043879675901</v>
      </c>
    </row>
    <row r="67" spans="1:21" x14ac:dyDescent="0.25">
      <c r="A67" s="38">
        <v>45686</v>
      </c>
      <c r="B67" s="39" t="s">
        <v>62</v>
      </c>
      <c r="C67" s="12">
        <v>0.7715277777777777</v>
      </c>
      <c r="D67" s="4">
        <v>-1.01</v>
      </c>
      <c r="E67" s="40">
        <f>Effort!J65</f>
        <v>915.96023207804399</v>
      </c>
      <c r="F67" s="41">
        <f>Harvest!J65</f>
        <v>11805.7096578948</v>
      </c>
      <c r="G67" s="42">
        <f>CPUE!J65</f>
        <v>12.888888888888902</v>
      </c>
      <c r="H67" s="42"/>
      <c r="I67" s="40" t="str">
        <f>Effort!L65</f>
        <v>CLOSED</v>
      </c>
      <c r="J67" s="41" t="str">
        <f>Harvest!L65</f>
        <v>CLOSED</v>
      </c>
      <c r="K67" s="42" t="str">
        <f>CPUE!L65</f>
        <v>CLOSED</v>
      </c>
      <c r="L67" s="42"/>
      <c r="M67" s="40" t="s">
        <v>10</v>
      </c>
      <c r="N67" s="41" t="s">
        <v>10</v>
      </c>
      <c r="O67" s="42" t="s">
        <v>10</v>
      </c>
      <c r="P67" s="42"/>
      <c r="Q67" s="40">
        <f t="shared" si="15"/>
        <v>915.96023207804399</v>
      </c>
      <c r="R67" s="41">
        <f t="shared" si="16"/>
        <v>11805.7096578948</v>
      </c>
    </row>
    <row r="68" spans="1:21" x14ac:dyDescent="0.25">
      <c r="A68" s="38">
        <v>45687</v>
      </c>
      <c r="B68" s="39" t="s">
        <v>22</v>
      </c>
      <c r="C68" s="12">
        <v>0.79652777777777783</v>
      </c>
      <c r="D68" s="4">
        <v>-0.97</v>
      </c>
      <c r="E68" s="40" t="str">
        <f>Effort!J66</f>
        <v>CLOSED</v>
      </c>
      <c r="F68" s="41" t="str">
        <f>Harvest!J66</f>
        <v>CLOSED</v>
      </c>
      <c r="G68" s="42" t="str">
        <f>CPUE!J66</f>
        <v>CLOSED</v>
      </c>
      <c r="H68" s="42"/>
      <c r="I68" s="40">
        <f>Effort!L66</f>
        <v>158.08018751993001</v>
      </c>
      <c r="J68" s="41">
        <f>Harvest!L66</f>
        <v>829.92098447963303</v>
      </c>
      <c r="K68" s="42">
        <f>CPUE!L66</f>
        <v>5.2500000000000036</v>
      </c>
      <c r="L68" s="42"/>
      <c r="M68" s="40" t="s">
        <v>10</v>
      </c>
      <c r="N68" s="41" t="s">
        <v>10</v>
      </c>
      <c r="O68" s="42" t="s">
        <v>10</v>
      </c>
      <c r="P68" s="43"/>
      <c r="Q68" s="40">
        <f t="shared" si="15"/>
        <v>158.08018751993001</v>
      </c>
      <c r="R68" s="41">
        <f t="shared" si="16"/>
        <v>829.92098447963303</v>
      </c>
    </row>
    <row r="69" spans="1:21" x14ac:dyDescent="0.25">
      <c r="A69" s="38">
        <v>45688</v>
      </c>
      <c r="B69" s="39" t="s">
        <v>18</v>
      </c>
      <c r="C69" s="12">
        <v>0.8222222222222223</v>
      </c>
      <c r="D69" s="4">
        <v>-0.66</v>
      </c>
      <c r="E69" s="40" t="str">
        <f>Effort!J67</f>
        <v>CLOSED</v>
      </c>
      <c r="F69" s="41" t="str">
        <f>Harvest!J67</f>
        <v>CLOSED</v>
      </c>
      <c r="G69" s="42" t="str">
        <f>CPUE!J67</f>
        <v>CLOSED</v>
      </c>
      <c r="H69" s="42"/>
      <c r="I69" s="40">
        <f>Effort!L67</f>
        <v>411.29295454983497</v>
      </c>
      <c r="J69" s="41">
        <f>Harvest!L67</f>
        <v>974.11489235487397</v>
      </c>
      <c r="K69" s="42">
        <f>CPUE!L67</f>
        <v>2.3684210526315832</v>
      </c>
      <c r="L69" s="42"/>
      <c r="M69" s="40" t="s">
        <v>10</v>
      </c>
      <c r="N69" s="41" t="s">
        <v>10</v>
      </c>
      <c r="O69" s="42" t="s">
        <v>10</v>
      </c>
      <c r="P69" s="43"/>
      <c r="Q69" s="40">
        <f t="shared" si="15"/>
        <v>411.29295454983497</v>
      </c>
      <c r="R69" s="41">
        <f t="shared" si="16"/>
        <v>974.11489235487397</v>
      </c>
    </row>
    <row r="70" spans="1:21" x14ac:dyDescent="0.25">
      <c r="A70" s="38">
        <v>45689</v>
      </c>
      <c r="B70" s="39" t="s">
        <v>19</v>
      </c>
      <c r="C70" s="12">
        <v>0.84791666666666676</v>
      </c>
      <c r="D70" s="4">
        <v>-0.09</v>
      </c>
      <c r="E70" s="40">
        <f>Effort!J68</f>
        <v>472.58195416503202</v>
      </c>
      <c r="F70" s="41">
        <f>Harvest!J68</f>
        <v>382.56634384788299</v>
      </c>
      <c r="G70" s="42">
        <f>CPUE!J68</f>
        <v>0.80952380952380942</v>
      </c>
      <c r="H70" s="42"/>
      <c r="I70" s="40" t="str">
        <f>Effort!L68</f>
        <v>CLOSED</v>
      </c>
      <c r="J70" s="41" t="str">
        <f>Harvest!L68</f>
        <v>CLOSED</v>
      </c>
      <c r="K70" s="42" t="str">
        <f>CPUE!L68</f>
        <v>CLOSED</v>
      </c>
      <c r="L70" s="42"/>
      <c r="M70" s="40" t="s">
        <v>10</v>
      </c>
      <c r="N70" s="41" t="s">
        <v>10</v>
      </c>
      <c r="O70" s="42" t="s">
        <v>10</v>
      </c>
      <c r="P70" s="42"/>
      <c r="Q70" s="40">
        <f t="shared" si="15"/>
        <v>472.58195416503202</v>
      </c>
      <c r="R70" s="41">
        <f t="shared" si="16"/>
        <v>382.56634384788299</v>
      </c>
    </row>
    <row r="71" spans="1:21" x14ac:dyDescent="0.25">
      <c r="A71" s="136" t="s">
        <v>50</v>
      </c>
      <c r="B71" s="136"/>
      <c r="C71" s="136"/>
      <c r="D71" s="137"/>
      <c r="E71" s="46">
        <f>SUM(E64:E70)</f>
        <v>2527.9451115548063</v>
      </c>
      <c r="F71" s="47">
        <f>SUM(F64:F70)</f>
        <v>29279.319881418585</v>
      </c>
      <c r="G71" s="48">
        <f>+F71/E71</f>
        <v>11.582260923145761</v>
      </c>
      <c r="H71" s="48"/>
      <c r="I71" s="46">
        <f>SUM(I64:I70)</f>
        <v>2935.9134819814572</v>
      </c>
      <c r="J71" s="47">
        <f>SUM(J64:J70)</f>
        <v>34974.754720963705</v>
      </c>
      <c r="K71" s="48">
        <f>+J71/I71</f>
        <v>11.912733442457961</v>
      </c>
      <c r="L71" s="48"/>
      <c r="M71" s="46"/>
      <c r="N71" s="47"/>
      <c r="O71" s="47"/>
      <c r="P71" s="48"/>
      <c r="Q71" s="46">
        <f>SUM(Q64:Q70)</f>
        <v>5463.8585935362626</v>
      </c>
      <c r="R71" s="47">
        <f>SUM(R64:R70)</f>
        <v>64254.074602382279</v>
      </c>
      <c r="T71" s="19">
        <f>SUM(E71,I71)</f>
        <v>5463.8585935362635</v>
      </c>
      <c r="U71" s="19">
        <f>SUM(F71,J71)</f>
        <v>64254.074602382287</v>
      </c>
    </row>
    <row r="72" spans="1:21" x14ac:dyDescent="0.25">
      <c r="A72" s="38">
        <v>45696</v>
      </c>
      <c r="B72" s="39" t="s">
        <v>19</v>
      </c>
      <c r="C72" s="12">
        <v>0.65</v>
      </c>
      <c r="D72" s="4">
        <v>0.05</v>
      </c>
      <c r="E72" s="40" t="str">
        <f>Effort!J70</f>
        <v>CLOSED</v>
      </c>
      <c r="F72" s="41" t="str">
        <f>Harvest!J70</f>
        <v>CLOSED</v>
      </c>
      <c r="G72" s="42" t="str">
        <f>CPUE!J70</f>
        <v>CLOSED</v>
      </c>
      <c r="H72" s="42"/>
      <c r="I72" s="40">
        <f>Effort!L70</f>
        <v>1552.90234356928</v>
      </c>
      <c r="J72" s="41">
        <f>Harvest!L70</f>
        <v>21956.313691021202</v>
      </c>
      <c r="K72" s="42">
        <f>CPUE!L70</f>
        <v>14.138888888888884</v>
      </c>
      <c r="L72" s="42"/>
      <c r="M72" s="40" t="s">
        <v>10</v>
      </c>
      <c r="N72" s="41" t="s">
        <v>10</v>
      </c>
      <c r="O72" s="87" t="s">
        <v>10</v>
      </c>
      <c r="P72" s="42"/>
      <c r="Q72" s="40">
        <f t="shared" ref="Q72:Q78" si="17">SUM(E72,I72)</f>
        <v>1552.90234356928</v>
      </c>
      <c r="R72" s="41">
        <f t="shared" ref="R72:R78" si="18">SUM(F72,J72)</f>
        <v>21956.313691021202</v>
      </c>
    </row>
    <row r="73" spans="1:21" x14ac:dyDescent="0.25">
      <c r="A73" s="38">
        <v>45697</v>
      </c>
      <c r="B73" s="39" t="s">
        <v>20</v>
      </c>
      <c r="C73" s="12">
        <v>0.68680555555555556</v>
      </c>
      <c r="D73" s="4">
        <v>-0.27</v>
      </c>
      <c r="E73" s="40">
        <f>Effort!J71</f>
        <v>1220.3282448243201</v>
      </c>
      <c r="F73" s="41">
        <f>Harvest!J71</f>
        <v>18182.890847882401</v>
      </c>
      <c r="G73" s="42">
        <f>CPUE!J71</f>
        <v>14.900000000000025</v>
      </c>
      <c r="H73" s="42"/>
      <c r="I73" s="40" t="str">
        <f>Effort!L71</f>
        <v>CLOSED</v>
      </c>
      <c r="J73" s="41" t="str">
        <f>Harvest!L71</f>
        <v>CLOSED</v>
      </c>
      <c r="K73" s="42" t="str">
        <f>CPUE!L71</f>
        <v>CLOSED</v>
      </c>
      <c r="L73" s="42"/>
      <c r="M73" s="40" t="s">
        <v>10</v>
      </c>
      <c r="N73" s="41" t="s">
        <v>10</v>
      </c>
      <c r="O73" s="42" t="s">
        <v>10</v>
      </c>
      <c r="P73" s="42"/>
      <c r="Q73" s="40">
        <f t="shared" si="17"/>
        <v>1220.3282448243201</v>
      </c>
      <c r="R73" s="41">
        <f t="shared" si="18"/>
        <v>18182.890847882401</v>
      </c>
    </row>
    <row r="74" spans="1:21" x14ac:dyDescent="0.25">
      <c r="A74" s="38">
        <v>45698</v>
      </c>
      <c r="B74" s="39" t="s">
        <v>21</v>
      </c>
      <c r="C74" s="12">
        <v>0.71875</v>
      </c>
      <c r="D74" s="4">
        <v>-0.46</v>
      </c>
      <c r="E74" s="40">
        <f>Effort!J72</f>
        <v>937.92654141223397</v>
      </c>
      <c r="F74" s="41">
        <f>Harvest!J72</f>
        <v>14068.8981211835</v>
      </c>
      <c r="G74" s="42">
        <f>CPUE!J72</f>
        <v>14.999999999999989</v>
      </c>
      <c r="H74" s="42"/>
      <c r="I74" s="40" t="str">
        <f>Effort!L72</f>
        <v>CLOSED</v>
      </c>
      <c r="J74" s="41" t="str">
        <f>Harvest!L72</f>
        <v>CLOSED</v>
      </c>
      <c r="K74" s="42" t="str">
        <f>CPUE!L72</f>
        <v>CLOSED</v>
      </c>
      <c r="L74" s="42"/>
      <c r="M74" s="40" t="s">
        <v>10</v>
      </c>
      <c r="N74" s="41" t="s">
        <v>10</v>
      </c>
      <c r="O74" s="42" t="s">
        <v>10</v>
      </c>
      <c r="P74" s="42"/>
      <c r="Q74" s="40">
        <f t="shared" si="17"/>
        <v>937.92654141223397</v>
      </c>
      <c r="R74" s="41">
        <f t="shared" si="18"/>
        <v>14068.8981211835</v>
      </c>
    </row>
    <row r="75" spans="1:21" x14ac:dyDescent="0.25">
      <c r="A75" s="38">
        <v>45699</v>
      </c>
      <c r="B75" s="39" t="s">
        <v>61</v>
      </c>
      <c r="C75" s="12">
        <v>0.74583333333333324</v>
      </c>
      <c r="D75" s="4">
        <v>-0.5</v>
      </c>
      <c r="E75" s="40" t="str">
        <f>Effort!J73</f>
        <v>CLOSED</v>
      </c>
      <c r="F75" s="41" t="str">
        <f>Harvest!J73</f>
        <v>CLOSED</v>
      </c>
      <c r="G75" s="42" t="str">
        <f>CPUE!J73</f>
        <v>CLOSED</v>
      </c>
      <c r="H75" s="42"/>
      <c r="I75" s="40">
        <f>Effort!L73</f>
        <v>303.05796651040498</v>
      </c>
      <c r="J75" s="41">
        <f>Harvest!L73</f>
        <v>4322.5636275957804</v>
      </c>
      <c r="K75" s="42">
        <f>CPUE!L73</f>
        <v>14.263157894736855</v>
      </c>
      <c r="L75" s="42"/>
      <c r="M75" s="40" t="s">
        <v>10</v>
      </c>
      <c r="N75" s="41" t="s">
        <v>10</v>
      </c>
      <c r="O75" s="42" t="s">
        <v>10</v>
      </c>
      <c r="P75" s="42"/>
      <c r="Q75" s="40">
        <f t="shared" si="17"/>
        <v>303.05796651040498</v>
      </c>
      <c r="R75" s="41">
        <f t="shared" si="18"/>
        <v>4322.5636275957804</v>
      </c>
    </row>
    <row r="76" spans="1:21" x14ac:dyDescent="0.25">
      <c r="A76" s="38">
        <v>45700</v>
      </c>
      <c r="B76" s="39" t="s">
        <v>62</v>
      </c>
      <c r="C76" s="12">
        <v>0.77013888888888893</v>
      </c>
      <c r="D76" s="4">
        <v>-0.37</v>
      </c>
      <c r="E76" s="40" t="str">
        <f>Effort!J74</f>
        <v>CLOSED</v>
      </c>
      <c r="F76" s="41" t="str">
        <f>Harvest!J74</f>
        <v>CLOSED</v>
      </c>
      <c r="G76" s="42" t="str">
        <f>CPUE!J74</f>
        <v>CLOSED</v>
      </c>
      <c r="H76" s="42"/>
      <c r="I76" s="40">
        <f>Effort!L74</f>
        <v>272.42760978813499</v>
      </c>
      <c r="J76" s="41">
        <f>Harvest!L74</f>
        <v>3846.0368440677898</v>
      </c>
      <c r="K76" s="42">
        <f>CPUE!L74</f>
        <v>14.117647058823536</v>
      </c>
      <c r="L76" s="42"/>
      <c r="M76" s="40" t="s">
        <v>10</v>
      </c>
      <c r="N76" s="41" t="s">
        <v>10</v>
      </c>
      <c r="O76" s="42" t="s">
        <v>10</v>
      </c>
      <c r="P76" s="43"/>
      <c r="Q76" s="40">
        <f t="shared" si="17"/>
        <v>272.42760978813499</v>
      </c>
      <c r="R76" s="41">
        <f t="shared" si="18"/>
        <v>3846.0368440677898</v>
      </c>
    </row>
    <row r="77" spans="1:21" x14ac:dyDescent="0.25">
      <c r="A77" s="38">
        <v>45701</v>
      </c>
      <c r="B77" s="39" t="s">
        <v>22</v>
      </c>
      <c r="C77" s="12">
        <v>0.79236111111111107</v>
      </c>
      <c r="D77" s="4">
        <v>-0.08</v>
      </c>
      <c r="E77" s="40">
        <f>Effort!J75</f>
        <v>83.101568522171107</v>
      </c>
      <c r="F77" s="41">
        <f>Harvest!J75</f>
        <v>488.22171506775499</v>
      </c>
      <c r="G77" s="42">
        <f>CPUE!J75</f>
        <v>5.8749999999999964</v>
      </c>
      <c r="H77" s="42"/>
      <c r="I77" s="40" t="str">
        <f>Effort!L75</f>
        <v>CLOSED</v>
      </c>
      <c r="J77" s="41" t="str">
        <f>Harvest!L75</f>
        <v>CLOSED</v>
      </c>
      <c r="K77" s="42" t="str">
        <f>CPUE!L75</f>
        <v>CLOSED</v>
      </c>
      <c r="L77" s="42"/>
      <c r="M77" s="40" t="s">
        <v>10</v>
      </c>
      <c r="N77" s="41" t="s">
        <v>10</v>
      </c>
      <c r="O77" s="42" t="s">
        <v>10</v>
      </c>
      <c r="P77" s="43"/>
      <c r="Q77" s="40">
        <f t="shared" si="17"/>
        <v>83.101568522171107</v>
      </c>
      <c r="R77" s="41">
        <f t="shared" si="18"/>
        <v>488.22171506775499</v>
      </c>
    </row>
    <row r="78" spans="1:21" x14ac:dyDescent="0.25">
      <c r="A78" s="38">
        <v>45702</v>
      </c>
      <c r="B78" s="39" t="s">
        <v>18</v>
      </c>
      <c r="C78" s="12">
        <v>0.81388888888888899</v>
      </c>
      <c r="D78" s="4">
        <v>0.36</v>
      </c>
      <c r="E78" s="40">
        <f>Effort!J76</f>
        <v>374.12460183469398</v>
      </c>
      <c r="F78" s="41">
        <f>Harvest!J76</f>
        <v>1402.9672568801</v>
      </c>
      <c r="G78" s="42">
        <f>CPUE!J76</f>
        <v>3.7499999999999933</v>
      </c>
      <c r="H78" s="42"/>
      <c r="I78" s="40" t="str">
        <f>Effort!L76</f>
        <v>CLOSED</v>
      </c>
      <c r="J78" s="41" t="str">
        <f>Harvest!L76</f>
        <v>CLOSED</v>
      </c>
      <c r="K78" s="42" t="str">
        <f>CPUE!L76</f>
        <v>CLOSED</v>
      </c>
      <c r="L78" s="42"/>
      <c r="M78" s="40" t="s">
        <v>10</v>
      </c>
      <c r="N78" s="41" t="s">
        <v>10</v>
      </c>
      <c r="O78" s="42" t="s">
        <v>10</v>
      </c>
      <c r="P78" s="42"/>
      <c r="Q78" s="40">
        <f t="shared" si="17"/>
        <v>374.12460183469398</v>
      </c>
      <c r="R78" s="41">
        <f t="shared" si="18"/>
        <v>1402.9672568801</v>
      </c>
    </row>
    <row r="79" spans="1:21" x14ac:dyDescent="0.25">
      <c r="A79" s="136" t="s">
        <v>50</v>
      </c>
      <c r="B79" s="136"/>
      <c r="C79" s="136"/>
      <c r="D79" s="137"/>
      <c r="E79" s="46">
        <f>SUM(E72:E78)</f>
        <v>2615.4809565934193</v>
      </c>
      <c r="F79" s="47">
        <f>SUM(F72:F78)</f>
        <v>34142.977941013756</v>
      </c>
      <c r="G79" s="48">
        <f>+F79/E79</f>
        <v>13.054187167733732</v>
      </c>
      <c r="H79" s="48"/>
      <c r="I79" s="46">
        <f>SUM(I72:I78)</f>
        <v>2128.3879198678196</v>
      </c>
      <c r="J79" s="47">
        <f>SUM(J72:J78)</f>
        <v>30124.91416268477</v>
      </c>
      <c r="K79" s="48">
        <f>+J79/I79</f>
        <v>14.153864472485651</v>
      </c>
      <c r="L79" s="48"/>
      <c r="M79" s="46"/>
      <c r="N79" s="47"/>
      <c r="O79" s="47"/>
      <c r="P79" s="48"/>
      <c r="Q79" s="46">
        <f>SUM(Q72:Q78)</f>
        <v>4743.8688764612389</v>
      </c>
      <c r="R79" s="47">
        <f>SUM(R72:R78)</f>
        <v>64267.892103698534</v>
      </c>
      <c r="T79" s="19">
        <f>SUM(E79,I79)</f>
        <v>4743.8688764612389</v>
      </c>
      <c r="U79" s="19">
        <f>SUM(F79,J79)</f>
        <v>64267.892103698527</v>
      </c>
    </row>
    <row r="80" spans="1:21" x14ac:dyDescent="0.25">
      <c r="A80" s="38">
        <v>45712</v>
      </c>
      <c r="B80" s="39" t="s">
        <v>21</v>
      </c>
      <c r="C80" s="12">
        <v>0.6694444444444444</v>
      </c>
      <c r="D80" s="4">
        <v>0.21</v>
      </c>
      <c r="E80" s="40" t="str">
        <f>Effort!J78</f>
        <v>CLOSED</v>
      </c>
      <c r="F80" s="41" t="str">
        <f>Harvest!J78</f>
        <v>CLOSED</v>
      </c>
      <c r="G80" s="42" t="str">
        <f>CPUE!J78</f>
        <v>CLOSED</v>
      </c>
      <c r="H80" s="42"/>
      <c r="I80" s="40">
        <f>Effort!L78</f>
        <v>149.703332854537</v>
      </c>
      <c r="J80" s="41">
        <f>Harvest!L78</f>
        <v>764.27490983632299</v>
      </c>
      <c r="K80" s="42">
        <f>CPUE!L78</f>
        <v>5.105263157894754</v>
      </c>
      <c r="L80" s="42"/>
      <c r="M80" s="40" t="s">
        <v>10</v>
      </c>
      <c r="N80" s="41" t="s">
        <v>10</v>
      </c>
      <c r="O80" s="42" t="s">
        <v>10</v>
      </c>
      <c r="P80" s="42"/>
      <c r="Q80" s="40">
        <f t="shared" ref="Q80:Q85" si="19">SUM(E80,I80)</f>
        <v>149.703332854537</v>
      </c>
      <c r="R80" s="41">
        <f t="shared" ref="R80:R85" si="20">SUM(F80,J80)</f>
        <v>764.27490983632299</v>
      </c>
    </row>
    <row r="81" spans="1:21" x14ac:dyDescent="0.25">
      <c r="A81" s="38">
        <v>45713</v>
      </c>
      <c r="B81" s="39" t="s">
        <v>61</v>
      </c>
      <c r="C81" s="12">
        <v>0.69861111111111107</v>
      </c>
      <c r="D81" s="4">
        <v>-0.3</v>
      </c>
      <c r="E81" s="40">
        <f>Effort!J79</f>
        <v>495.07005501401301</v>
      </c>
      <c r="F81" s="41">
        <f>Harvest!J79</f>
        <v>6105.8640118394896</v>
      </c>
      <c r="G81" s="42">
        <f>CPUE!J79</f>
        <v>12.333333333333325</v>
      </c>
      <c r="H81" s="42"/>
      <c r="I81" s="40" t="str">
        <f>Effort!L79</f>
        <v>CLOSED</v>
      </c>
      <c r="J81" s="41" t="str">
        <f>Harvest!L79</f>
        <v>CLOSED</v>
      </c>
      <c r="K81" s="42" t="str">
        <f>CPUE!L79</f>
        <v>CLOSED</v>
      </c>
      <c r="L81" s="42"/>
      <c r="M81" s="40" t="s">
        <v>10</v>
      </c>
      <c r="N81" s="41" t="s">
        <v>10</v>
      </c>
      <c r="O81" s="42" t="s">
        <v>10</v>
      </c>
      <c r="P81" s="42"/>
      <c r="Q81" s="40">
        <f t="shared" si="19"/>
        <v>495.07005501401301</v>
      </c>
      <c r="R81" s="41">
        <f t="shared" si="20"/>
        <v>6105.8640118394896</v>
      </c>
    </row>
    <row r="82" spans="1:21" x14ac:dyDescent="0.25">
      <c r="A82" s="38">
        <v>45714</v>
      </c>
      <c r="B82" s="39" t="s">
        <v>62</v>
      </c>
      <c r="C82" s="12">
        <v>0.72569444444444453</v>
      </c>
      <c r="D82" s="4">
        <v>-0.63</v>
      </c>
      <c r="E82" s="40">
        <f>Effort!J80</f>
        <v>1368.60468747502</v>
      </c>
      <c r="F82" s="41">
        <f>Harvest!J80</f>
        <v>20529.070312125299</v>
      </c>
      <c r="G82" s="42">
        <f>CPUE!J80</f>
        <v>15</v>
      </c>
      <c r="H82" s="42"/>
      <c r="I82" s="40" t="str">
        <f>Effort!L80</f>
        <v>CLOSED</v>
      </c>
      <c r="J82" s="41" t="str">
        <f>Harvest!L80</f>
        <v>CLOSED</v>
      </c>
      <c r="K82" s="42" t="str">
        <f>CPUE!L80</f>
        <v>CLOSED</v>
      </c>
      <c r="L82" s="42"/>
      <c r="M82" s="40" t="s">
        <v>10</v>
      </c>
      <c r="N82" s="41" t="s">
        <v>10</v>
      </c>
      <c r="O82" s="42" t="s">
        <v>10</v>
      </c>
      <c r="P82" s="42"/>
      <c r="Q82" s="40">
        <f t="shared" si="19"/>
        <v>1368.60468747502</v>
      </c>
      <c r="R82" s="41">
        <f t="shared" si="20"/>
        <v>20529.070312125299</v>
      </c>
    </row>
    <row r="83" spans="1:21" x14ac:dyDescent="0.25">
      <c r="A83" s="38">
        <v>45715</v>
      </c>
      <c r="B83" s="39" t="s">
        <v>22</v>
      </c>
      <c r="C83" s="12">
        <v>0.75208333333333333</v>
      </c>
      <c r="D83" s="4">
        <v>-0.73</v>
      </c>
      <c r="E83" s="40" t="str">
        <f>Effort!J81</f>
        <v>CLOSED</v>
      </c>
      <c r="F83" s="41" t="str">
        <f>Harvest!J81</f>
        <v>CLOSED</v>
      </c>
      <c r="G83" s="42" t="str">
        <f>CPUE!J81</f>
        <v>CLOSED</v>
      </c>
      <c r="H83" s="42"/>
      <c r="I83" s="40">
        <f>Effort!L81</f>
        <v>859.56184989314102</v>
      </c>
      <c r="J83" s="41">
        <f>Harvest!L81</f>
        <v>8897.6267164614401</v>
      </c>
      <c r="K83" s="42">
        <f>CPUE!L81</f>
        <v>10.35135135135136</v>
      </c>
      <c r="L83" s="42"/>
      <c r="M83" s="40" t="s">
        <v>10</v>
      </c>
      <c r="N83" s="41" t="s">
        <v>10</v>
      </c>
      <c r="O83" s="42" t="s">
        <v>10</v>
      </c>
      <c r="P83" s="43"/>
      <c r="Q83" s="40">
        <f t="shared" si="19"/>
        <v>859.56184989314102</v>
      </c>
      <c r="R83" s="41">
        <f t="shared" si="20"/>
        <v>8897.6267164614401</v>
      </c>
    </row>
    <row r="84" spans="1:21" x14ac:dyDescent="0.25">
      <c r="A84" s="38">
        <v>45716</v>
      </c>
      <c r="B84" s="39" t="s">
        <v>18</v>
      </c>
      <c r="C84" s="12">
        <v>0.77708333333333324</v>
      </c>
      <c r="D84" s="4">
        <v>-0.55000000000000004</v>
      </c>
      <c r="E84" s="40" t="str">
        <f>Effort!J82</f>
        <v>CLOSED</v>
      </c>
      <c r="F84" s="41" t="str">
        <f>Harvest!J82</f>
        <v>CLOSED</v>
      </c>
      <c r="G84" s="42" t="str">
        <f>CPUE!J82</f>
        <v>CLOSED</v>
      </c>
      <c r="H84" s="42"/>
      <c r="I84" s="40">
        <f>Effort!L82</f>
        <v>1353.95167839128</v>
      </c>
      <c r="J84" s="41">
        <f>Harvest!L82</f>
        <v>17157.1064246145</v>
      </c>
      <c r="K84" s="42">
        <f>CPUE!L82</f>
        <v>12.671874999999998</v>
      </c>
      <c r="L84" s="42"/>
      <c r="M84" s="40" t="s">
        <v>10</v>
      </c>
      <c r="N84" s="41" t="s">
        <v>10</v>
      </c>
      <c r="O84" s="42" t="s">
        <v>10</v>
      </c>
      <c r="P84" s="43"/>
      <c r="Q84" s="40">
        <f t="shared" si="19"/>
        <v>1353.95167839128</v>
      </c>
      <c r="R84" s="41">
        <f t="shared" si="20"/>
        <v>17157.1064246145</v>
      </c>
    </row>
    <row r="85" spans="1:21" x14ac:dyDescent="0.25">
      <c r="A85" s="38">
        <v>45717</v>
      </c>
      <c r="B85" s="39" t="s">
        <v>19</v>
      </c>
      <c r="C85" s="12">
        <v>0.80208333333333337</v>
      </c>
      <c r="D85" s="4">
        <v>-0.1</v>
      </c>
      <c r="E85" s="40">
        <f>Effort!J83</f>
        <v>2149.0592731465699</v>
      </c>
      <c r="F85" s="41">
        <f>Harvest!J83</f>
        <v>3420.9514960292299</v>
      </c>
      <c r="G85" s="42">
        <f>CPUE!J83</f>
        <v>1.5918367346938758</v>
      </c>
      <c r="H85" s="42"/>
      <c r="I85" s="40" t="str">
        <f>Effort!L83</f>
        <v>CLOSED</v>
      </c>
      <c r="J85" s="41" t="str">
        <f>Harvest!L83</f>
        <v>CLOSED</v>
      </c>
      <c r="K85" s="42" t="str">
        <f>CPUE!L83</f>
        <v>CLOSED</v>
      </c>
      <c r="L85" s="42"/>
      <c r="M85" s="40" t="s">
        <v>10</v>
      </c>
      <c r="N85" s="41" t="s">
        <v>10</v>
      </c>
      <c r="O85" s="42" t="s">
        <v>10</v>
      </c>
      <c r="P85" s="42"/>
      <c r="Q85" s="40">
        <f t="shared" si="19"/>
        <v>2149.0592731465699</v>
      </c>
      <c r="R85" s="41">
        <f t="shared" si="20"/>
        <v>3420.9514960292299</v>
      </c>
    </row>
    <row r="86" spans="1:21" x14ac:dyDescent="0.25">
      <c r="A86" s="136" t="s">
        <v>50</v>
      </c>
      <c r="B86" s="136"/>
      <c r="C86" s="136"/>
      <c r="D86" s="137"/>
      <c r="E86" s="46">
        <f>SUM(E80:E85)</f>
        <v>4012.7340156356031</v>
      </c>
      <c r="F86" s="47">
        <f>SUM(F80:F85)</f>
        <v>30055.885819994019</v>
      </c>
      <c r="G86" s="48">
        <f>+F86/E86</f>
        <v>7.4901266076648421</v>
      </c>
      <c r="H86" s="48"/>
      <c r="I86" s="46">
        <f>SUM(I80:I85)</f>
        <v>2363.2168611389579</v>
      </c>
      <c r="J86" s="47">
        <f>SUM(J80:J85)</f>
        <v>26819.008050912264</v>
      </c>
      <c r="K86" s="48">
        <f>+J86/I86</f>
        <v>11.348517561772464</v>
      </c>
      <c r="L86" s="48"/>
      <c r="M86" s="46"/>
      <c r="N86" s="47"/>
      <c r="O86" s="47"/>
      <c r="P86" s="48"/>
      <c r="Q86" s="46">
        <f>SUM(Q80:Q85)</f>
        <v>6375.950876774561</v>
      </c>
      <c r="R86" s="47">
        <f>SUM(R80:R85)</f>
        <v>56874.893870906279</v>
      </c>
      <c r="T86" s="19">
        <f>SUM(E86,I86)</f>
        <v>6375.950876774561</v>
      </c>
      <c r="U86" s="19">
        <f>SUM(F86,J86)</f>
        <v>56874.893870906279</v>
      </c>
    </row>
    <row r="87" spans="1:21" x14ac:dyDescent="0.25">
      <c r="A87" s="38">
        <v>45724</v>
      </c>
      <c r="B87" s="39" t="s">
        <v>19</v>
      </c>
      <c r="C87" s="12">
        <v>0.59236111111111112</v>
      </c>
      <c r="D87" s="4">
        <v>0.59</v>
      </c>
      <c r="E87" s="40" t="str">
        <f>Effort!J85</f>
        <v>CLOSED</v>
      </c>
      <c r="F87" s="41" t="str">
        <f>Harvest!J85</f>
        <v>CLOSED</v>
      </c>
      <c r="G87" s="42" t="str">
        <f>CPUE!J85</f>
        <v>CLOSED</v>
      </c>
      <c r="H87" s="42"/>
      <c r="I87" s="40">
        <f>Effort!L85</f>
        <v>1520.71993082688</v>
      </c>
      <c r="J87" s="41">
        <f>Harvest!L85</f>
        <v>4360.8880369300196</v>
      </c>
      <c r="K87" s="42">
        <f>CPUE!L85</f>
        <v>2.8676470588235268</v>
      </c>
      <c r="L87" s="42"/>
      <c r="M87" s="40" t="s">
        <v>10</v>
      </c>
      <c r="N87" s="41" t="s">
        <v>10</v>
      </c>
      <c r="O87" s="87" t="s">
        <v>10</v>
      </c>
      <c r="P87" s="42"/>
      <c r="Q87" s="40">
        <f t="shared" ref="Q87:Q93" si="21">SUM(E87,I87)</f>
        <v>1520.71993082688</v>
      </c>
      <c r="R87" s="41">
        <f t="shared" ref="R87:R93" si="22">SUM(F87,J87)</f>
        <v>4360.8880369300196</v>
      </c>
    </row>
    <row r="88" spans="1:21" x14ac:dyDescent="0.25">
      <c r="A88" s="38">
        <v>45725</v>
      </c>
      <c r="B88" s="39" t="s">
        <v>20</v>
      </c>
      <c r="C88" s="12">
        <v>0.6791666666666667</v>
      </c>
      <c r="D88" s="4">
        <v>0.41</v>
      </c>
      <c r="E88" s="40">
        <f>Effort!J86</f>
        <v>772.35342030302002</v>
      </c>
      <c r="F88" s="41">
        <f>Harvest!J86</f>
        <v>7105.65146678779</v>
      </c>
      <c r="G88" s="42">
        <f>CPUE!J86</f>
        <v>9.2000000000000082</v>
      </c>
      <c r="H88" s="42"/>
      <c r="I88" s="40" t="str">
        <f>Effort!L86</f>
        <v>CLOSED</v>
      </c>
      <c r="J88" s="41" t="str">
        <f>Harvest!L86</f>
        <v>CLOSED</v>
      </c>
      <c r="K88" s="42" t="str">
        <f>CPUE!L86</f>
        <v>CLOSED</v>
      </c>
      <c r="L88" s="42"/>
      <c r="M88" s="40" t="s">
        <v>10</v>
      </c>
      <c r="N88" s="41" t="s">
        <v>10</v>
      </c>
      <c r="O88" s="42" t="s">
        <v>10</v>
      </c>
      <c r="P88" s="42"/>
      <c r="Q88" s="40">
        <f t="shared" si="21"/>
        <v>772.35342030302002</v>
      </c>
      <c r="R88" s="41">
        <f t="shared" si="22"/>
        <v>7105.65146678779</v>
      </c>
    </row>
    <row r="89" spans="1:21" x14ac:dyDescent="0.25">
      <c r="A89" s="38">
        <v>45726</v>
      </c>
      <c r="B89" s="39" t="s">
        <v>21</v>
      </c>
      <c r="C89" s="12">
        <v>0.71527777777777779</v>
      </c>
      <c r="D89" s="4">
        <v>0.22</v>
      </c>
      <c r="E89" s="40">
        <f>Effort!J87</f>
        <v>890.77815181720905</v>
      </c>
      <c r="F89" s="41">
        <f>Harvest!J87</f>
        <v>10792.119916247</v>
      </c>
      <c r="G89" s="42">
        <f>CPUE!J87</f>
        <v>12.115384615384665</v>
      </c>
      <c r="H89" s="42"/>
      <c r="I89" s="40" t="str">
        <f>Effort!L87</f>
        <v>CLOSED</v>
      </c>
      <c r="J89" s="41" t="str">
        <f>Harvest!L87</f>
        <v>CLOSED</v>
      </c>
      <c r="K89" s="42" t="str">
        <f>CPUE!L87</f>
        <v>CLOSED</v>
      </c>
      <c r="L89" s="42"/>
      <c r="M89" s="40" t="s">
        <v>10</v>
      </c>
      <c r="N89" s="41" t="s">
        <v>10</v>
      </c>
      <c r="O89" s="42" t="s">
        <v>10</v>
      </c>
      <c r="P89" s="42"/>
      <c r="Q89" s="40">
        <f t="shared" si="21"/>
        <v>890.77815181720905</v>
      </c>
      <c r="R89" s="41">
        <f t="shared" si="22"/>
        <v>10792.119916247</v>
      </c>
    </row>
    <row r="90" spans="1:21" x14ac:dyDescent="0.25">
      <c r="A90" s="38">
        <v>45727</v>
      </c>
      <c r="B90" s="39" t="s">
        <v>61</v>
      </c>
      <c r="C90" s="12">
        <v>0.74444444444444446</v>
      </c>
      <c r="D90" s="4">
        <v>0.14000000000000001</v>
      </c>
      <c r="E90" s="40" t="str">
        <f>Effort!J88</f>
        <v>CLOSED</v>
      </c>
      <c r="F90" s="41" t="str">
        <f>Harvest!J88</f>
        <v>CLOSED</v>
      </c>
      <c r="G90" s="42" t="str">
        <f>CPUE!J88</f>
        <v>CLOSED</v>
      </c>
      <c r="H90" s="42"/>
      <c r="I90" s="40">
        <f>Effort!L88</f>
        <v>296.61100817985601</v>
      </c>
      <c r="J90" s="41">
        <f>Harvest!L88</f>
        <v>4061.92297312969</v>
      </c>
      <c r="K90" s="42">
        <f>CPUE!L88</f>
        <v>13.694444444444429</v>
      </c>
      <c r="L90" s="42"/>
      <c r="M90" s="40" t="s">
        <v>10</v>
      </c>
      <c r="N90" s="41" t="s">
        <v>10</v>
      </c>
      <c r="O90" s="42" t="s">
        <v>10</v>
      </c>
      <c r="P90" s="42"/>
      <c r="Q90" s="40">
        <f t="shared" si="21"/>
        <v>296.61100817985601</v>
      </c>
      <c r="R90" s="41">
        <f t="shared" si="22"/>
        <v>4061.92297312969</v>
      </c>
    </row>
    <row r="91" spans="1:21" x14ac:dyDescent="0.25">
      <c r="A91" s="38">
        <v>45728</v>
      </c>
      <c r="B91" s="39" t="s">
        <v>62</v>
      </c>
      <c r="C91" s="12">
        <v>0.76944444444444438</v>
      </c>
      <c r="D91" s="4">
        <v>0.18</v>
      </c>
      <c r="E91" s="40" t="str">
        <f>Effort!J89</f>
        <v>CLOSED</v>
      </c>
      <c r="F91" s="41" t="str">
        <f>Harvest!J89</f>
        <v>CLOSED</v>
      </c>
      <c r="G91" s="42" t="str">
        <f>CPUE!J89</f>
        <v>CLOSED</v>
      </c>
      <c r="H91" s="42"/>
      <c r="I91" s="40">
        <f>Effort!L89</f>
        <v>186.042469401109</v>
      </c>
      <c r="J91" s="41">
        <f>Harvest!L89</f>
        <v>1720.8928419602601</v>
      </c>
      <c r="K91" s="42">
        <f>CPUE!L89</f>
        <v>9.2500000000000089</v>
      </c>
      <c r="L91" s="42"/>
      <c r="M91" s="40" t="s">
        <v>10</v>
      </c>
      <c r="N91" s="41" t="s">
        <v>10</v>
      </c>
      <c r="O91" s="42" t="s">
        <v>10</v>
      </c>
      <c r="P91" s="43"/>
      <c r="Q91" s="40">
        <f t="shared" si="21"/>
        <v>186.042469401109</v>
      </c>
      <c r="R91" s="41">
        <f t="shared" si="22"/>
        <v>1720.8928419602601</v>
      </c>
    </row>
    <row r="92" spans="1:21" x14ac:dyDescent="0.25">
      <c r="A92" s="38">
        <v>45729</v>
      </c>
      <c r="B92" s="39" t="s">
        <v>22</v>
      </c>
      <c r="C92" s="12">
        <v>0.79166666666666663</v>
      </c>
      <c r="D92" s="4">
        <v>0.37</v>
      </c>
      <c r="E92" s="40">
        <f>Effort!J90</f>
        <v>287.87175384566302</v>
      </c>
      <c r="F92" s="41">
        <f>Harvest!J90</f>
        <v>3166.5892923022898</v>
      </c>
      <c r="G92" s="42">
        <f>CPUE!J90</f>
        <v>10.999999999999988</v>
      </c>
      <c r="H92" s="42"/>
      <c r="I92" s="40" t="str">
        <f>Effort!L90</f>
        <v>CLOSED</v>
      </c>
      <c r="J92" s="41" t="str">
        <f>Harvest!L90</f>
        <v>CLOSED</v>
      </c>
      <c r="K92" s="42" t="str">
        <f>CPUE!L90</f>
        <v>CLOSED</v>
      </c>
      <c r="L92" s="42"/>
      <c r="M92" s="40" t="s">
        <v>10</v>
      </c>
      <c r="N92" s="41" t="s">
        <v>10</v>
      </c>
      <c r="O92" s="42" t="s">
        <v>10</v>
      </c>
      <c r="P92" s="43"/>
      <c r="Q92" s="40">
        <f t="shared" si="21"/>
        <v>287.87175384566302</v>
      </c>
      <c r="R92" s="41">
        <f t="shared" si="22"/>
        <v>3166.5892923022898</v>
      </c>
    </row>
    <row r="93" spans="1:21" x14ac:dyDescent="0.25">
      <c r="A93" s="38">
        <v>45730</v>
      </c>
      <c r="B93" s="39" t="s">
        <v>18</v>
      </c>
      <c r="C93" s="12">
        <v>0.8125</v>
      </c>
      <c r="D93" s="4">
        <v>0.69</v>
      </c>
      <c r="E93" s="40">
        <f>Effort!J91</f>
        <v>495.76117188932301</v>
      </c>
      <c r="F93" s="41">
        <f>Harvest!J91</f>
        <v>5387.2714011973103</v>
      </c>
      <c r="G93" s="42">
        <f>CPUE!J91</f>
        <v>10.866666666666667</v>
      </c>
      <c r="H93" s="42"/>
      <c r="I93" s="40" t="str">
        <f>Effort!L91</f>
        <v>CLOSED</v>
      </c>
      <c r="J93" s="41" t="str">
        <f>Harvest!L91</f>
        <v>CLOSED</v>
      </c>
      <c r="K93" s="42" t="str">
        <f>CPUE!L91</f>
        <v>CLOSED</v>
      </c>
      <c r="L93" s="42"/>
      <c r="M93" s="40" t="s">
        <v>10</v>
      </c>
      <c r="N93" s="41" t="s">
        <v>10</v>
      </c>
      <c r="O93" s="42" t="s">
        <v>10</v>
      </c>
      <c r="P93" s="42"/>
      <c r="Q93" s="40">
        <f t="shared" si="21"/>
        <v>495.76117188932301</v>
      </c>
      <c r="R93" s="41">
        <f t="shared" si="22"/>
        <v>5387.2714011973103</v>
      </c>
    </row>
    <row r="94" spans="1:21" x14ac:dyDescent="0.25">
      <c r="A94" s="136" t="s">
        <v>50</v>
      </c>
      <c r="B94" s="136"/>
      <c r="C94" s="136"/>
      <c r="D94" s="137"/>
      <c r="E94" s="46">
        <f>SUM(E87:E93)</f>
        <v>2446.7644978552153</v>
      </c>
      <c r="F94" s="47">
        <f>SUM(F87:F93)</f>
        <v>26451.632076534392</v>
      </c>
      <c r="G94" s="48">
        <f>+F94/E94</f>
        <v>10.810861486555556</v>
      </c>
      <c r="H94" s="48"/>
      <c r="I94" s="46">
        <f>SUM(I87:I93)</f>
        <v>2003.3734084078451</v>
      </c>
      <c r="J94" s="47">
        <f>SUM(J87:J93)</f>
        <v>10143.703852019969</v>
      </c>
      <c r="K94" s="48">
        <f>+J94/I94</f>
        <v>5.0633116170197878</v>
      </c>
      <c r="L94" s="48"/>
      <c r="M94" s="46"/>
      <c r="N94" s="47"/>
      <c r="O94" s="47"/>
      <c r="P94" s="48"/>
      <c r="Q94" s="46">
        <f>SUM(Q87:Q93)</f>
        <v>4450.1379062630604</v>
      </c>
      <c r="R94" s="47">
        <f>SUM(R87:R93)</f>
        <v>36595.335928554363</v>
      </c>
      <c r="T94" s="19">
        <f>SUM(E94,I94)</f>
        <v>4450.1379062630604</v>
      </c>
      <c r="U94" s="19">
        <f>SUM(F94,J94)</f>
        <v>36595.335928554363</v>
      </c>
    </row>
    <row r="95" spans="1:21" x14ac:dyDescent="0.25">
      <c r="A95" s="38">
        <v>45742</v>
      </c>
      <c r="B95" s="39" t="s">
        <v>62</v>
      </c>
      <c r="C95" s="12">
        <v>0.71388888888888891</v>
      </c>
      <c r="D95" s="4">
        <v>0.03</v>
      </c>
      <c r="E95" s="40" t="str">
        <f>Effort!J93</f>
        <v>CLOSED</v>
      </c>
      <c r="F95" s="41" t="str">
        <f>Harvest!J93</f>
        <v>CLOSED</v>
      </c>
      <c r="G95" s="42" t="str">
        <f>CPUE!J93</f>
        <v>CLOSED</v>
      </c>
      <c r="H95" s="42"/>
      <c r="I95" s="40">
        <f>Effort!L93</f>
        <v>410.77134014964503</v>
      </c>
      <c r="J95" s="41">
        <f>Harvest!L93</f>
        <v>2990.92882046461</v>
      </c>
      <c r="K95" s="42">
        <f>CPUE!L93</f>
        <v>7.2812500000000178</v>
      </c>
      <c r="L95" s="42"/>
      <c r="M95" s="40" t="s">
        <v>10</v>
      </c>
      <c r="N95" s="41" t="s">
        <v>10</v>
      </c>
      <c r="O95" s="87" t="s">
        <v>10</v>
      </c>
      <c r="P95" s="42"/>
      <c r="Q95" s="40">
        <f t="shared" ref="Q95:Q103" si="23">SUM(E95,I95)</f>
        <v>410.77134014964503</v>
      </c>
      <c r="R95" s="41">
        <f t="shared" ref="R95:R103" si="24">SUM(F95,J95)</f>
        <v>2990.92882046461</v>
      </c>
    </row>
    <row r="96" spans="1:21" x14ac:dyDescent="0.25">
      <c r="A96" s="38">
        <v>45743</v>
      </c>
      <c r="B96" s="39" t="s">
        <v>22</v>
      </c>
      <c r="C96" s="12">
        <v>0.74305555555555547</v>
      </c>
      <c r="D96" s="4">
        <v>-0.11</v>
      </c>
      <c r="E96" s="40" t="str">
        <f>Effort!J94</f>
        <v>CLOSED</v>
      </c>
      <c r="F96" s="41" t="str">
        <f>Harvest!J94</f>
        <v>CLOSED</v>
      </c>
      <c r="G96" s="42" t="str">
        <f>CPUE!J94</f>
        <v>CLOSED</v>
      </c>
      <c r="H96" s="42"/>
      <c r="I96" s="40">
        <f>Effort!L94</f>
        <v>346.29705494720997</v>
      </c>
      <c r="J96" s="41">
        <f>Harvest!L94</f>
        <v>4135.1942443696198</v>
      </c>
      <c r="K96" s="42">
        <f>CPUE!L94</f>
        <v>11.941176470588221</v>
      </c>
      <c r="L96" s="42"/>
      <c r="M96" s="40" t="s">
        <v>10</v>
      </c>
      <c r="N96" s="41" t="s">
        <v>10</v>
      </c>
      <c r="O96" s="42" t="s">
        <v>10</v>
      </c>
      <c r="P96" s="42"/>
      <c r="Q96" s="40">
        <f t="shared" si="23"/>
        <v>346.29705494720997</v>
      </c>
      <c r="R96" s="41">
        <f t="shared" si="24"/>
        <v>4135.1942443696198</v>
      </c>
    </row>
    <row r="97" spans="1:21" x14ac:dyDescent="0.25">
      <c r="A97" s="38">
        <v>45744</v>
      </c>
      <c r="B97" s="39" t="s">
        <v>18</v>
      </c>
      <c r="C97" s="12">
        <v>0.77013888888888893</v>
      </c>
      <c r="D97" s="4">
        <v>-0.02</v>
      </c>
      <c r="E97" s="40">
        <f>Effort!J95</f>
        <v>980.98644712974703</v>
      </c>
      <c r="F97" s="41">
        <f>Harvest!J95</f>
        <v>10736.3516713644</v>
      </c>
      <c r="G97" s="42">
        <f>CPUE!J95</f>
        <v>10.94444444444439</v>
      </c>
      <c r="H97" s="42"/>
      <c r="I97" s="40" t="str">
        <f>Effort!L95</f>
        <v>CLOSED</v>
      </c>
      <c r="J97" s="41" t="str">
        <f>Harvest!L95</f>
        <v>CLOSED</v>
      </c>
      <c r="K97" s="42" t="str">
        <f>CPUE!L95</f>
        <v>CLOSED</v>
      </c>
      <c r="L97" s="42"/>
      <c r="M97" s="40" t="s">
        <v>10</v>
      </c>
      <c r="N97" s="41" t="s">
        <v>10</v>
      </c>
      <c r="O97" s="42" t="s">
        <v>10</v>
      </c>
      <c r="P97" s="42"/>
      <c r="Q97" s="40">
        <f t="shared" si="23"/>
        <v>980.98644712974703</v>
      </c>
      <c r="R97" s="41">
        <f t="shared" si="24"/>
        <v>10736.3516713644</v>
      </c>
    </row>
    <row r="98" spans="1:21" x14ac:dyDescent="0.25">
      <c r="A98" s="38">
        <v>45745</v>
      </c>
      <c r="B98" s="39" t="s">
        <v>19</v>
      </c>
      <c r="C98" s="12">
        <v>0.2902777777777778</v>
      </c>
      <c r="D98" s="4">
        <v>-0.14000000000000001</v>
      </c>
      <c r="E98" s="40">
        <f>Effort!J96</f>
        <v>2681.0727316207899</v>
      </c>
      <c r="F98" s="41">
        <f>Harvest!J96</f>
        <v>28321.8774013033</v>
      </c>
      <c r="G98" s="42">
        <f>CPUE!J96</f>
        <v>10.56363636363638</v>
      </c>
      <c r="H98" s="42"/>
      <c r="I98" s="40" t="str">
        <f>Effort!L96</f>
        <v>CLOSED</v>
      </c>
      <c r="J98" s="41" t="str">
        <f>Harvest!L96</f>
        <v>CLOSED</v>
      </c>
      <c r="K98" s="42" t="str">
        <f>CPUE!L96</f>
        <v>CLOSED</v>
      </c>
      <c r="L98" s="42"/>
      <c r="M98" s="40" t="s">
        <v>10</v>
      </c>
      <c r="N98" s="41" t="s">
        <v>10</v>
      </c>
      <c r="O98" s="42" t="s">
        <v>10</v>
      </c>
      <c r="P98" s="42"/>
      <c r="Q98" s="40">
        <f t="shared" si="23"/>
        <v>2681.0727316207899</v>
      </c>
      <c r="R98" s="41">
        <f t="shared" si="24"/>
        <v>28321.8774013033</v>
      </c>
    </row>
    <row r="99" spans="1:21" x14ac:dyDescent="0.25">
      <c r="A99" s="38">
        <v>45746</v>
      </c>
      <c r="B99" s="39" t="s">
        <v>20</v>
      </c>
      <c r="C99" s="12">
        <v>0.3215277777777778</v>
      </c>
      <c r="D99" s="4">
        <v>-0.84</v>
      </c>
      <c r="E99" s="40" t="str">
        <f>Effort!J97</f>
        <v>CLOSED</v>
      </c>
      <c r="F99" s="41" t="str">
        <f>Harvest!J97</f>
        <v>CLOSED</v>
      </c>
      <c r="G99" s="42" t="str">
        <f>CPUE!J97</f>
        <v>CLOSED</v>
      </c>
      <c r="H99" s="42"/>
      <c r="I99" s="40">
        <f>Effort!L97</f>
        <v>2734.8170265579001</v>
      </c>
      <c r="J99" s="41">
        <f>Harvest!L97</f>
        <v>38388.727891312803</v>
      </c>
      <c r="K99" s="42">
        <f>CPUE!L97</f>
        <v>14.037037037037058</v>
      </c>
      <c r="L99" s="42"/>
      <c r="M99" s="40" t="s">
        <v>10</v>
      </c>
      <c r="N99" s="41" t="s">
        <v>10</v>
      </c>
      <c r="O99" s="42" t="s">
        <v>10</v>
      </c>
      <c r="P99" s="42"/>
      <c r="Q99" s="40">
        <f t="shared" si="23"/>
        <v>2734.8170265579001</v>
      </c>
      <c r="R99" s="41">
        <f t="shared" si="24"/>
        <v>38388.727891312803</v>
      </c>
    </row>
    <row r="100" spans="1:21" x14ac:dyDescent="0.25">
      <c r="A100" s="38">
        <v>45747</v>
      </c>
      <c r="B100" s="39" t="s">
        <v>21</v>
      </c>
      <c r="C100" s="12">
        <v>0.3527777777777778</v>
      </c>
      <c r="D100" s="4">
        <v>-1.23</v>
      </c>
      <c r="E100" s="40" t="str">
        <f>Effort!J98</f>
        <v>CLOSED</v>
      </c>
      <c r="F100" s="41" t="str">
        <f>Harvest!J98</f>
        <v>CLOSED</v>
      </c>
      <c r="G100" s="42" t="str">
        <f>CPUE!J98</f>
        <v>CLOSED</v>
      </c>
      <c r="H100" s="42"/>
      <c r="I100" s="40">
        <f>Effort!L98</f>
        <v>1447.16988944125</v>
      </c>
      <c r="J100" s="41">
        <f>Harvest!L98</f>
        <v>20750.944516394899</v>
      </c>
      <c r="K100" s="42">
        <f>CPUE!L98</f>
        <v>14.338983050847474</v>
      </c>
      <c r="L100" s="42"/>
      <c r="M100" s="40" t="s">
        <v>10</v>
      </c>
      <c r="N100" s="41" t="s">
        <v>10</v>
      </c>
      <c r="O100" s="42" t="s">
        <v>10</v>
      </c>
      <c r="P100" s="42"/>
      <c r="Q100" s="40">
        <f t="shared" si="23"/>
        <v>1447.16988944125</v>
      </c>
      <c r="R100" s="41">
        <f t="shared" si="24"/>
        <v>20750.944516394899</v>
      </c>
    </row>
    <row r="101" spans="1:21" x14ac:dyDescent="0.25">
      <c r="A101" s="38">
        <v>45748</v>
      </c>
      <c r="B101" s="39" t="s">
        <v>61</v>
      </c>
      <c r="C101" s="12">
        <v>0.38680555555555557</v>
      </c>
      <c r="D101" s="4">
        <v>-1.27</v>
      </c>
      <c r="E101" s="40">
        <f>Effort!J99</f>
        <v>2982.7404081402001</v>
      </c>
      <c r="F101" s="41">
        <f>Harvest!J99</f>
        <v>40840.599434534997</v>
      </c>
      <c r="G101" s="42">
        <f>CPUE!J99</f>
        <v>13.692307692307676</v>
      </c>
      <c r="H101" s="42"/>
      <c r="I101" s="40" t="str">
        <f>Effort!L99</f>
        <v>CLOSED</v>
      </c>
      <c r="J101" s="41" t="str">
        <f>Harvest!L99</f>
        <v>CLOSED</v>
      </c>
      <c r="K101" s="42" t="str">
        <f>CPUE!L99</f>
        <v>CLOSED</v>
      </c>
      <c r="L101" s="42"/>
      <c r="M101" s="40" t="s">
        <v>10</v>
      </c>
      <c r="N101" s="41" t="s">
        <v>10</v>
      </c>
      <c r="O101" s="42" t="s">
        <v>10</v>
      </c>
      <c r="P101" s="43"/>
      <c r="Q101" s="40">
        <f t="shared" si="23"/>
        <v>2982.7404081402001</v>
      </c>
      <c r="R101" s="41">
        <f t="shared" si="24"/>
        <v>40840.599434534997</v>
      </c>
    </row>
    <row r="102" spans="1:21" x14ac:dyDescent="0.25">
      <c r="A102" s="38">
        <v>45749</v>
      </c>
      <c r="B102" s="39" t="s">
        <v>62</v>
      </c>
      <c r="C102" s="12">
        <v>0.42291666666666666</v>
      </c>
      <c r="D102" s="4">
        <v>-0.98</v>
      </c>
      <c r="E102" s="40">
        <f>Effort!J100</f>
        <v>2275.5663042627498</v>
      </c>
      <c r="F102" s="41">
        <f>Harvest!J100</f>
        <v>32573.106241018198</v>
      </c>
      <c r="G102" s="42">
        <f>CPUE!J100</f>
        <v>14.314285714285706</v>
      </c>
      <c r="H102" s="42"/>
      <c r="I102" s="40" t="str">
        <f>Effort!L100</f>
        <v>CLOSED</v>
      </c>
      <c r="J102" s="41" t="str">
        <f>Harvest!L100</f>
        <v>CLOSED</v>
      </c>
      <c r="K102" s="42" t="str">
        <f>CPUE!L100</f>
        <v>CLOSED</v>
      </c>
      <c r="L102" s="42"/>
      <c r="M102" s="40" t="s">
        <v>10</v>
      </c>
      <c r="N102" s="41" t="s">
        <v>10</v>
      </c>
      <c r="O102" s="42" t="s">
        <v>10</v>
      </c>
      <c r="P102" s="43"/>
      <c r="Q102" s="40">
        <f t="shared" si="23"/>
        <v>2275.5663042627498</v>
      </c>
      <c r="R102" s="41">
        <f t="shared" si="24"/>
        <v>32573.106241018198</v>
      </c>
    </row>
    <row r="103" spans="1:21" x14ac:dyDescent="0.25">
      <c r="A103" s="38">
        <v>45750</v>
      </c>
      <c r="B103" s="39" t="s">
        <v>22</v>
      </c>
      <c r="C103" s="12">
        <v>0.46319444444444446</v>
      </c>
      <c r="D103" s="4">
        <v>-0.47</v>
      </c>
      <c r="E103" s="40" t="str">
        <f>Effort!J101</f>
        <v>CLOSED</v>
      </c>
      <c r="F103" s="41" t="str">
        <f>Harvest!J101</f>
        <v>CLOSED</v>
      </c>
      <c r="G103" s="42" t="str">
        <f>CPUE!J101</f>
        <v>CLOSED</v>
      </c>
      <c r="H103" s="42"/>
      <c r="I103" s="40">
        <f>Effort!L101</f>
        <v>1154.17582695274</v>
      </c>
      <c r="J103" s="41">
        <f>Harvest!L101</f>
        <v>17312.637404291101</v>
      </c>
      <c r="K103" s="42">
        <f>CPUE!L101</f>
        <v>15.000000000000002</v>
      </c>
      <c r="L103" s="42"/>
      <c r="M103" s="40" t="s">
        <v>10</v>
      </c>
      <c r="N103" s="41" t="s">
        <v>10</v>
      </c>
      <c r="O103" s="42" t="s">
        <v>10</v>
      </c>
      <c r="P103" s="42"/>
      <c r="Q103" s="40">
        <f t="shared" si="23"/>
        <v>1154.17582695274</v>
      </c>
      <c r="R103" s="41">
        <f t="shared" si="24"/>
        <v>17312.637404291101</v>
      </c>
    </row>
    <row r="104" spans="1:21" x14ac:dyDescent="0.25">
      <c r="A104" s="136" t="s">
        <v>50</v>
      </c>
      <c r="B104" s="136"/>
      <c r="C104" s="136"/>
      <c r="D104" s="137"/>
      <c r="E104" s="46">
        <f>SUM(E95:E103)</f>
        <v>8920.3658911534858</v>
      </c>
      <c r="F104" s="47">
        <f>SUM(F95:F103)</f>
        <v>112471.9347482209</v>
      </c>
      <c r="G104" s="48">
        <f>+F104/E104</f>
        <v>12.608444106509317</v>
      </c>
      <c r="H104" s="48"/>
      <c r="I104" s="46">
        <f>SUM(I95:I103)</f>
        <v>6093.2311380487454</v>
      </c>
      <c r="J104" s="47">
        <f>SUM(J95:J103)</f>
        <v>83578.432876833045</v>
      </c>
      <c r="K104" s="48">
        <f>+J104/I104</f>
        <v>13.716603060555755</v>
      </c>
      <c r="L104" s="48"/>
      <c r="M104" s="46"/>
      <c r="N104" s="47"/>
      <c r="O104" s="47"/>
      <c r="P104" s="48"/>
      <c r="Q104" s="46">
        <f>SUM(Q95:Q103)</f>
        <v>15013.597029202232</v>
      </c>
      <c r="R104" s="47">
        <f>SUM(R95:R103)</f>
        <v>196050.36762505391</v>
      </c>
      <c r="T104" s="19">
        <f>SUM(E104,I104)</f>
        <v>15013.597029202232</v>
      </c>
      <c r="U104" s="19">
        <f>SUM(F104,J104)</f>
        <v>196050.36762505394</v>
      </c>
    </row>
    <row r="105" spans="1:21" x14ac:dyDescent="0.25">
      <c r="A105" s="38">
        <v>45759</v>
      </c>
      <c r="B105" s="39" t="s">
        <v>19</v>
      </c>
      <c r="C105" s="12">
        <v>0.28958333333333336</v>
      </c>
      <c r="D105" s="4">
        <v>0.35</v>
      </c>
      <c r="E105" s="40" t="str">
        <f>Effort!J103</f>
        <v>CLOSED</v>
      </c>
      <c r="F105" s="41" t="str">
        <f>Harvest!J103</f>
        <v>CLOSED</v>
      </c>
      <c r="G105" s="42" t="str">
        <f>CPUE!J103</f>
        <v>CLOSED</v>
      </c>
      <c r="H105" s="42"/>
      <c r="I105" s="40">
        <f>Effort!L103</f>
        <v>1305.2386114532801</v>
      </c>
      <c r="J105" s="41">
        <f>Harvest!L103</f>
        <v>15662.863337439399</v>
      </c>
      <c r="K105" s="42">
        <f>CPUE!L103</f>
        <v>12.000000000000028</v>
      </c>
      <c r="L105" s="42"/>
      <c r="M105" s="40" t="s">
        <v>10</v>
      </c>
      <c r="N105" s="41" t="s">
        <v>10</v>
      </c>
      <c r="O105" s="87" t="s">
        <v>10</v>
      </c>
      <c r="P105" s="42"/>
      <c r="Q105" s="40">
        <f t="shared" ref="Q105:Q111" si="25">SUM(E105,I105)</f>
        <v>1305.2386114532801</v>
      </c>
      <c r="R105" s="41">
        <f t="shared" ref="R105:R111" si="26">SUM(F105,J105)</f>
        <v>15662.863337439399</v>
      </c>
    </row>
    <row r="106" spans="1:21" x14ac:dyDescent="0.25">
      <c r="A106" s="38">
        <v>45760</v>
      </c>
      <c r="B106" s="39" t="s">
        <v>20</v>
      </c>
      <c r="C106" s="12">
        <v>0.31180555555555556</v>
      </c>
      <c r="D106" s="4">
        <v>0</v>
      </c>
      <c r="E106" s="40">
        <f>Effort!J104</f>
        <v>2022.56284770548</v>
      </c>
      <c r="F106" s="41">
        <f>Harvest!J104</f>
        <v>30338.442715582099</v>
      </c>
      <c r="G106" s="42">
        <f>CPUE!J104</f>
        <v>14.99999999999995</v>
      </c>
      <c r="H106" s="42"/>
      <c r="I106" s="40" t="str">
        <f>Effort!L104</f>
        <v>CLOSED</v>
      </c>
      <c r="J106" s="41" t="str">
        <f>Harvest!L104</f>
        <v>CLOSED</v>
      </c>
      <c r="K106" s="42" t="str">
        <f>CPUE!L104</f>
        <v>CLOSED</v>
      </c>
      <c r="L106" s="42"/>
      <c r="M106" s="40" t="s">
        <v>10</v>
      </c>
      <c r="N106" s="41" t="s">
        <v>10</v>
      </c>
      <c r="O106" s="42" t="s">
        <v>10</v>
      </c>
      <c r="P106" s="42"/>
      <c r="Q106" s="40">
        <f t="shared" si="25"/>
        <v>2022.56284770548</v>
      </c>
      <c r="R106" s="41">
        <f t="shared" si="26"/>
        <v>30338.442715582099</v>
      </c>
    </row>
    <row r="107" spans="1:21" x14ac:dyDescent="0.25">
      <c r="A107" s="38">
        <v>45761</v>
      </c>
      <c r="B107" s="39" t="s">
        <v>21</v>
      </c>
      <c r="C107" s="12">
        <v>0.33333333333333331</v>
      </c>
      <c r="D107" s="4">
        <v>-0.21</v>
      </c>
      <c r="E107" s="40">
        <f>Effort!J105</f>
        <v>741.64876963541599</v>
      </c>
      <c r="F107" s="41">
        <f>Harvest!J105</f>
        <v>9729.7255254550892</v>
      </c>
      <c r="G107" s="42">
        <f>CPUE!J105</f>
        <v>13.119047619047604</v>
      </c>
      <c r="H107" s="42"/>
      <c r="I107" s="40" t="str">
        <f>Effort!L105</f>
        <v>CLOSED</v>
      </c>
      <c r="J107" s="41" t="str">
        <f>Harvest!L105</f>
        <v>CLOSED</v>
      </c>
      <c r="K107" s="42" t="str">
        <f>CPUE!L105</f>
        <v>CLOSED</v>
      </c>
      <c r="L107" s="42"/>
      <c r="M107" s="40" t="s">
        <v>10</v>
      </c>
      <c r="N107" s="41" t="s">
        <v>10</v>
      </c>
      <c r="O107" s="42" t="s">
        <v>10</v>
      </c>
      <c r="P107" s="42"/>
      <c r="Q107" s="40">
        <f t="shared" si="25"/>
        <v>741.64876963541599</v>
      </c>
      <c r="R107" s="41">
        <f t="shared" si="26"/>
        <v>9729.7255254550892</v>
      </c>
    </row>
    <row r="108" spans="1:21" x14ac:dyDescent="0.25">
      <c r="A108" s="38">
        <v>45762</v>
      </c>
      <c r="B108" s="39" t="s">
        <v>61</v>
      </c>
      <c r="C108" s="12">
        <v>0.35625000000000001</v>
      </c>
      <c r="D108" s="4">
        <v>-0.27</v>
      </c>
      <c r="E108" s="40" t="str">
        <f>Effort!J106</f>
        <v>CLOSED</v>
      </c>
      <c r="F108" s="41" t="str">
        <f>Harvest!J106</f>
        <v>CLOSED</v>
      </c>
      <c r="G108" s="42" t="str">
        <f>CPUE!J106</f>
        <v>CLOSED</v>
      </c>
      <c r="H108" s="42"/>
      <c r="I108" s="40">
        <f>Effort!L106</f>
        <v>720.48283044490995</v>
      </c>
      <c r="J108" s="41">
        <f>Harvest!L106</f>
        <v>9412.7595590383407</v>
      </c>
      <c r="K108" s="42">
        <f>CPUE!L106</f>
        <v>13.06451612903226</v>
      </c>
      <c r="L108" s="42"/>
      <c r="M108" s="40" t="s">
        <v>10</v>
      </c>
      <c r="N108" s="41" t="s">
        <v>10</v>
      </c>
      <c r="O108" s="42" t="s">
        <v>10</v>
      </c>
      <c r="P108" s="42"/>
      <c r="Q108" s="40">
        <f t="shared" si="25"/>
        <v>720.48283044490995</v>
      </c>
      <c r="R108" s="41">
        <f t="shared" si="26"/>
        <v>9412.7595590383407</v>
      </c>
    </row>
    <row r="109" spans="1:21" x14ac:dyDescent="0.25">
      <c r="A109" s="38">
        <v>45763</v>
      </c>
      <c r="B109" s="39" t="s">
        <v>62</v>
      </c>
      <c r="C109" s="12">
        <v>0.38055555555555554</v>
      </c>
      <c r="D109" s="4">
        <v>-0.19</v>
      </c>
      <c r="E109" s="40" t="str">
        <f>Effort!J107</f>
        <v>CLOSED</v>
      </c>
      <c r="F109" s="41" t="str">
        <f>Harvest!J107</f>
        <v>CLOSED</v>
      </c>
      <c r="G109" s="42" t="str">
        <f>CPUE!J107</f>
        <v>CLOSED</v>
      </c>
      <c r="H109" s="42"/>
      <c r="I109" s="40">
        <f>Effort!L107</f>
        <v>740.03850936439801</v>
      </c>
      <c r="J109" s="41">
        <f>Harvest!L107</f>
        <v>8690.1664956790792</v>
      </c>
      <c r="K109" s="42">
        <f>CPUE!L107</f>
        <v>11.742857142857151</v>
      </c>
      <c r="L109" s="42"/>
      <c r="M109" s="40" t="s">
        <v>10</v>
      </c>
      <c r="N109" s="41" t="s">
        <v>10</v>
      </c>
      <c r="O109" s="42" t="s">
        <v>10</v>
      </c>
      <c r="P109" s="43"/>
      <c r="Q109" s="40">
        <f t="shared" si="25"/>
        <v>740.03850936439801</v>
      </c>
      <c r="R109" s="41">
        <f t="shared" si="26"/>
        <v>8690.1664956790792</v>
      </c>
    </row>
    <row r="110" spans="1:21" x14ac:dyDescent="0.25">
      <c r="A110" s="38">
        <v>45764</v>
      </c>
      <c r="B110" s="39" t="s">
        <v>22</v>
      </c>
      <c r="C110" s="12">
        <v>0.40833333333333338</v>
      </c>
      <c r="D110" s="4">
        <v>0</v>
      </c>
      <c r="E110" s="40">
        <f>Effort!J108</f>
        <v>877.43748982497004</v>
      </c>
      <c r="F110" s="41">
        <f>Harvest!J108</f>
        <v>13161.5623473745</v>
      </c>
      <c r="G110" s="42">
        <f>CPUE!J108</f>
        <v>14.999999999999941</v>
      </c>
      <c r="H110" s="42"/>
      <c r="I110" s="40" t="str">
        <f>Effort!L108</f>
        <v>CLOSED</v>
      </c>
      <c r="J110" s="41" t="str">
        <f>Harvest!L108</f>
        <v>CLOSED</v>
      </c>
      <c r="K110" s="42" t="str">
        <f>CPUE!L108</f>
        <v>CLOSED</v>
      </c>
      <c r="L110" s="42"/>
      <c r="M110" s="40" t="s">
        <v>10</v>
      </c>
      <c r="N110" s="41" t="s">
        <v>10</v>
      </c>
      <c r="O110" s="42" t="s">
        <v>10</v>
      </c>
      <c r="P110" s="43"/>
      <c r="Q110" s="40">
        <f t="shared" si="25"/>
        <v>877.43748982497004</v>
      </c>
      <c r="R110" s="41">
        <f t="shared" si="26"/>
        <v>13161.5623473745</v>
      </c>
    </row>
    <row r="111" spans="1:21" x14ac:dyDescent="0.25">
      <c r="A111" s="38">
        <v>45765</v>
      </c>
      <c r="B111" s="39" t="s">
        <v>18</v>
      </c>
      <c r="C111" s="12">
        <v>0.43958333333333338</v>
      </c>
      <c r="D111" s="4">
        <v>0.26</v>
      </c>
      <c r="E111" s="40">
        <f>Effort!J109</f>
        <v>1499.1312335304301</v>
      </c>
      <c r="F111" s="41">
        <f>Harvest!J109</f>
        <v>20901.3489290301</v>
      </c>
      <c r="G111" s="42">
        <f>CPUE!J109</f>
        <v>13.942307692307736</v>
      </c>
      <c r="H111" s="42"/>
      <c r="I111" s="40" t="str">
        <f>Effort!L109</f>
        <v>CLOSED</v>
      </c>
      <c r="J111" s="41" t="str">
        <f>Harvest!L109</f>
        <v>CLOSED</v>
      </c>
      <c r="K111" s="42" t="str">
        <f>CPUE!L109</f>
        <v>CLOSED</v>
      </c>
      <c r="L111" s="42"/>
      <c r="M111" s="40" t="s">
        <v>10</v>
      </c>
      <c r="N111" s="41" t="s">
        <v>10</v>
      </c>
      <c r="O111" s="42" t="s">
        <v>10</v>
      </c>
      <c r="P111" s="42"/>
      <c r="Q111" s="40">
        <f t="shared" si="25"/>
        <v>1499.1312335304301</v>
      </c>
      <c r="R111" s="41">
        <f t="shared" si="26"/>
        <v>20901.3489290301</v>
      </c>
    </row>
    <row r="112" spans="1:21" x14ac:dyDescent="0.25">
      <c r="A112" s="136" t="s">
        <v>50</v>
      </c>
      <c r="B112" s="136"/>
      <c r="C112" s="136"/>
      <c r="D112" s="137"/>
      <c r="E112" s="46">
        <f>SUM(E105:E111)</f>
        <v>5140.7803406962958</v>
      </c>
      <c r="F112" s="47">
        <f>SUM(F105:F111)</f>
        <v>74131.079517441787</v>
      </c>
      <c r="G112" s="48">
        <f>+F112/E112</f>
        <v>14.420199776013201</v>
      </c>
      <c r="H112" s="48"/>
      <c r="I112" s="46">
        <f>SUM(I105:I111)</f>
        <v>2765.7599512625879</v>
      </c>
      <c r="J112" s="47">
        <f>SUM(J105:J111)</f>
        <v>33765.789392156817</v>
      </c>
      <c r="K112" s="48">
        <f>+J112/I112</f>
        <v>12.208503263901305</v>
      </c>
      <c r="L112" s="48"/>
      <c r="M112" s="46"/>
      <c r="N112" s="47"/>
      <c r="O112" s="47"/>
      <c r="P112" s="48"/>
      <c r="Q112" s="46">
        <f>SUM(Q105:Q111)</f>
        <v>7906.5402919588842</v>
      </c>
      <c r="R112" s="47">
        <f>SUM(R105:R111)</f>
        <v>107896.86890959862</v>
      </c>
      <c r="T112" s="19">
        <f>SUM(E112,I112)</f>
        <v>7906.5402919588832</v>
      </c>
      <c r="U112" s="19">
        <f>SUM(F112,J112)</f>
        <v>107896.8689095986</v>
      </c>
    </row>
    <row r="113" spans="1:21" x14ac:dyDescent="0.25">
      <c r="A113" s="38">
        <v>45773</v>
      </c>
      <c r="B113" s="39" t="s">
        <v>19</v>
      </c>
      <c r="C113" s="12">
        <v>0.24513888888888888</v>
      </c>
      <c r="D113" s="4">
        <v>-0.55000000000000004</v>
      </c>
      <c r="E113" s="40">
        <f>Effort!J111</f>
        <v>1920.99046164072</v>
      </c>
      <c r="F113" s="41">
        <f>Harvest!J111</f>
        <v>20867.229720567801</v>
      </c>
      <c r="G113" s="42">
        <f>CPUE!J111</f>
        <v>10.862745098039206</v>
      </c>
      <c r="H113" s="42"/>
      <c r="I113" s="40" t="str">
        <f>Effort!L111</f>
        <v>CLOSED</v>
      </c>
      <c r="J113" s="41" t="str">
        <f>Harvest!L111</f>
        <v>CLOSED</v>
      </c>
      <c r="K113" s="42" t="str">
        <f>CPUE!L111</f>
        <v>CLOSED</v>
      </c>
      <c r="L113" s="42"/>
      <c r="M113" s="40" t="s">
        <v>10</v>
      </c>
      <c r="N113" s="41" t="s">
        <v>10</v>
      </c>
      <c r="O113" s="42" t="s">
        <v>10</v>
      </c>
      <c r="P113" s="42"/>
      <c r="Q113" s="40">
        <f t="shared" ref="Q113:Q120" si="27">SUM(E113,I113)</f>
        <v>1920.99046164072</v>
      </c>
      <c r="R113" s="41">
        <f t="shared" ref="R113:R120" si="28">SUM(F113,J113)</f>
        <v>20867.229720567801</v>
      </c>
    </row>
    <row r="114" spans="1:21" x14ac:dyDescent="0.25">
      <c r="A114" s="38">
        <v>45774</v>
      </c>
      <c r="B114" s="39" t="s">
        <v>20</v>
      </c>
      <c r="C114" s="12">
        <v>0.27777777777777779</v>
      </c>
      <c r="D114" s="4">
        <v>-1.45</v>
      </c>
      <c r="E114" s="40" t="str">
        <f>Effort!J112</f>
        <v>CLOSED</v>
      </c>
      <c r="F114" s="41" t="str">
        <f>Harvest!J112</f>
        <v>CLOSED</v>
      </c>
      <c r="G114" s="42" t="str">
        <f>CPUE!J112</f>
        <v>CLOSED</v>
      </c>
      <c r="H114" s="42"/>
      <c r="I114" s="40">
        <f>Effort!L112</f>
        <v>2965.4504761242802</v>
      </c>
      <c r="J114" s="41">
        <f>Harvest!L112</f>
        <v>39124.814346284802</v>
      </c>
      <c r="K114" s="42">
        <f>CPUE!L112</f>
        <v>13.193548387096756</v>
      </c>
      <c r="L114" s="42"/>
      <c r="M114" s="40" t="s">
        <v>10</v>
      </c>
      <c r="N114" s="41" t="s">
        <v>10</v>
      </c>
      <c r="O114" s="42" t="s">
        <v>10</v>
      </c>
      <c r="P114" s="42"/>
      <c r="Q114" s="40">
        <f t="shared" si="27"/>
        <v>2965.4504761242802</v>
      </c>
      <c r="R114" s="41">
        <f t="shared" si="28"/>
        <v>39124.814346284802</v>
      </c>
    </row>
    <row r="115" spans="1:21" x14ac:dyDescent="0.25">
      <c r="A115" s="38">
        <v>45775</v>
      </c>
      <c r="B115" s="39" t="s">
        <v>21</v>
      </c>
      <c r="C115" s="12">
        <v>0.30902777777777779</v>
      </c>
      <c r="D115" s="4">
        <v>-2.0299999999999998</v>
      </c>
      <c r="E115" s="40" t="str">
        <f>Effort!J113</f>
        <v>CLOSED</v>
      </c>
      <c r="F115" s="41" t="str">
        <f>Harvest!J113</f>
        <v>CLOSED</v>
      </c>
      <c r="G115" s="42" t="str">
        <f>CPUE!J113</f>
        <v>CLOSED</v>
      </c>
      <c r="H115" s="42"/>
      <c r="I115" s="40">
        <f>Effort!L113</f>
        <v>2179.0320249940701</v>
      </c>
      <c r="J115" s="41">
        <f>Harvest!L113</f>
        <v>31144.213820647001</v>
      </c>
      <c r="K115" s="42">
        <f>CPUE!L113</f>
        <v>14.29268292682929</v>
      </c>
      <c r="L115" s="42"/>
      <c r="M115" s="40" t="s">
        <v>10</v>
      </c>
      <c r="N115" s="41" t="s">
        <v>10</v>
      </c>
      <c r="O115" s="42" t="s">
        <v>10</v>
      </c>
      <c r="P115" s="42"/>
      <c r="Q115" s="40">
        <f t="shared" si="27"/>
        <v>2179.0320249940701</v>
      </c>
      <c r="R115" s="41">
        <f t="shared" si="28"/>
        <v>31144.213820647001</v>
      </c>
    </row>
    <row r="116" spans="1:21" x14ac:dyDescent="0.25">
      <c r="A116" s="38">
        <v>45776</v>
      </c>
      <c r="B116" s="39" t="s">
        <v>61</v>
      </c>
      <c r="C116" s="12">
        <v>0.34166666666666662</v>
      </c>
      <c r="D116" s="4">
        <v>-2.2200000000000002</v>
      </c>
      <c r="E116" s="40">
        <f>Effort!J114</f>
        <v>2292.6474609326401</v>
      </c>
      <c r="F116" s="41">
        <f>Harvest!J114</f>
        <v>34389.711913989602</v>
      </c>
      <c r="G116" s="42">
        <f>CPUE!J114</f>
        <v>15</v>
      </c>
      <c r="H116" s="42"/>
      <c r="I116" s="40" t="str">
        <f>Effort!L114</f>
        <v>CLOSED</v>
      </c>
      <c r="J116" s="41" t="str">
        <f>Harvest!L114</f>
        <v>CLOSED</v>
      </c>
      <c r="K116" s="42" t="str">
        <f>CPUE!L114</f>
        <v>CLOSED</v>
      </c>
      <c r="L116" s="42"/>
      <c r="M116" s="40" t="s">
        <v>10</v>
      </c>
      <c r="N116" s="41" t="s">
        <v>10</v>
      </c>
      <c r="O116" s="42" t="s">
        <v>10</v>
      </c>
      <c r="P116" s="42"/>
      <c r="Q116" s="40">
        <f t="shared" si="27"/>
        <v>2292.6474609326401</v>
      </c>
      <c r="R116" s="41">
        <f t="shared" si="28"/>
        <v>34389.711913989602</v>
      </c>
    </row>
    <row r="117" spans="1:21" x14ac:dyDescent="0.25">
      <c r="A117" s="38">
        <v>45777</v>
      </c>
      <c r="B117" s="39" t="s">
        <v>62</v>
      </c>
      <c r="C117" s="12">
        <v>0.375</v>
      </c>
      <c r="D117" s="4">
        <v>-2.0299999999999998</v>
      </c>
      <c r="E117" s="40">
        <f>Effort!J115</f>
        <v>2302.9731918112602</v>
      </c>
      <c r="F117" s="41">
        <f>Harvest!J115</f>
        <v>34349.430657523801</v>
      </c>
      <c r="G117" s="42">
        <f>CPUE!J115</f>
        <v>14.915254237288101</v>
      </c>
      <c r="H117" s="42"/>
      <c r="I117" s="40" t="str">
        <f>Effort!L115</f>
        <v>CLOSED</v>
      </c>
      <c r="J117" s="41" t="str">
        <f>Harvest!L115</f>
        <v>CLOSED</v>
      </c>
      <c r="K117" s="42" t="str">
        <f>CPUE!L115</f>
        <v>CLOSED</v>
      </c>
      <c r="L117" s="42"/>
      <c r="M117" s="40" t="s">
        <v>10</v>
      </c>
      <c r="N117" s="41" t="s">
        <v>10</v>
      </c>
      <c r="O117" s="42" t="s">
        <v>10</v>
      </c>
      <c r="P117" s="42"/>
      <c r="Q117" s="40">
        <f t="shared" si="27"/>
        <v>2302.9731918112602</v>
      </c>
      <c r="R117" s="41">
        <f t="shared" si="28"/>
        <v>34349.430657523801</v>
      </c>
    </row>
    <row r="118" spans="1:21" x14ac:dyDescent="0.25">
      <c r="A118" s="38">
        <v>45778</v>
      </c>
      <c r="B118" s="39" t="s">
        <v>22</v>
      </c>
      <c r="C118" s="12">
        <v>0.41111111111111115</v>
      </c>
      <c r="D118" s="4">
        <v>-1.55</v>
      </c>
      <c r="E118" s="40">
        <f>Effort!J116</f>
        <v>2136.6024093923202</v>
      </c>
      <c r="F118" s="41">
        <f>Harvest!J116</f>
        <v>29981.356389859899</v>
      </c>
      <c r="G118" s="42">
        <f>CPUE!J116</f>
        <v>14.032258064516093</v>
      </c>
      <c r="H118" s="42"/>
      <c r="I118" s="40" t="str">
        <f>Effort!L116</f>
        <v>CLOSED</v>
      </c>
      <c r="J118" s="41" t="str">
        <f>Harvest!L116</f>
        <v>CLOSED</v>
      </c>
      <c r="K118" s="42" t="str">
        <f>CPUE!L116</f>
        <v>CLOSED</v>
      </c>
      <c r="L118" s="42"/>
      <c r="M118" s="40" t="s">
        <v>10</v>
      </c>
      <c r="N118" s="41" t="s">
        <v>10</v>
      </c>
      <c r="O118" s="42" t="s">
        <v>10</v>
      </c>
      <c r="P118" s="43"/>
      <c r="Q118" s="40">
        <f t="shared" si="27"/>
        <v>2136.6024093923202</v>
      </c>
      <c r="R118" s="41">
        <f t="shared" si="28"/>
        <v>29981.356389859899</v>
      </c>
    </row>
    <row r="119" spans="1:21" x14ac:dyDescent="0.25">
      <c r="A119" s="38">
        <v>45779</v>
      </c>
      <c r="B119" s="39" t="s">
        <v>18</v>
      </c>
      <c r="C119" s="12">
        <v>0.44930555555555557</v>
      </c>
      <c r="D119" s="4">
        <v>-0.91</v>
      </c>
      <c r="E119" s="40" t="str">
        <f>Effort!J117</f>
        <v>CLOSED</v>
      </c>
      <c r="F119" s="41" t="str">
        <f>Harvest!J117</f>
        <v>CLOSED</v>
      </c>
      <c r="G119" s="42" t="str">
        <f>CPUE!J117</f>
        <v>CLOSED</v>
      </c>
      <c r="H119" s="42"/>
      <c r="I119" s="40">
        <f>Effort!L117</f>
        <v>1350.2270931309999</v>
      </c>
      <c r="J119" s="41">
        <f>Harvest!L117</f>
        <v>20149.542774416401</v>
      </c>
      <c r="K119" s="42">
        <f>CPUE!L117</f>
        <v>14.923076923076879</v>
      </c>
      <c r="L119" s="42"/>
      <c r="M119" s="40" t="s">
        <v>10</v>
      </c>
      <c r="N119" s="41" t="s">
        <v>10</v>
      </c>
      <c r="O119" s="42" t="s">
        <v>10</v>
      </c>
      <c r="P119" s="43"/>
      <c r="Q119" s="40">
        <f t="shared" si="27"/>
        <v>1350.2270931309999</v>
      </c>
      <c r="R119" s="41">
        <f t="shared" si="28"/>
        <v>20149.542774416401</v>
      </c>
    </row>
    <row r="120" spans="1:21" x14ac:dyDescent="0.25">
      <c r="A120" s="38">
        <v>45780</v>
      </c>
      <c r="B120" s="39" t="s">
        <v>19</v>
      </c>
      <c r="C120" s="12">
        <v>0.4916666666666667</v>
      </c>
      <c r="D120" s="4">
        <v>-0.24</v>
      </c>
      <c r="E120" s="40" t="str">
        <f>Effort!J118</f>
        <v>CLOSED</v>
      </c>
      <c r="F120" s="41" t="str">
        <f>Harvest!J118</f>
        <v>CLOSED</v>
      </c>
      <c r="G120" s="42" t="str">
        <f>CPUE!J118</f>
        <v>CLOSED</v>
      </c>
      <c r="H120" s="42"/>
      <c r="I120" s="40">
        <f>Effort!L118</f>
        <v>2530.0875403393902</v>
      </c>
      <c r="J120" s="41">
        <f>Harvest!L118</f>
        <v>35584.457018966998</v>
      </c>
      <c r="K120" s="42">
        <f>CPUE!L118</f>
        <v>14.064516129032294</v>
      </c>
      <c r="L120" s="42"/>
      <c r="M120" s="40" t="s">
        <v>10</v>
      </c>
      <c r="N120" s="41" t="s">
        <v>10</v>
      </c>
      <c r="O120" s="42" t="s">
        <v>10</v>
      </c>
      <c r="P120" s="42"/>
      <c r="Q120" s="40">
        <f t="shared" si="27"/>
        <v>2530.0875403393902</v>
      </c>
      <c r="R120" s="41">
        <f t="shared" si="28"/>
        <v>35584.457018966998</v>
      </c>
    </row>
    <row r="121" spans="1:21" x14ac:dyDescent="0.25">
      <c r="A121" s="136" t="s">
        <v>50</v>
      </c>
      <c r="B121" s="136"/>
      <c r="C121" s="136"/>
      <c r="D121" s="137"/>
      <c r="E121" s="46">
        <f>SUM(E113:E120)</f>
        <v>8653.2135237769398</v>
      </c>
      <c r="F121" s="47">
        <f>SUM(F113:F120)</f>
        <v>119587.72868194109</v>
      </c>
      <c r="G121" s="48">
        <f>+F121/E121</f>
        <v>13.820036724315528</v>
      </c>
      <c r="H121" s="48"/>
      <c r="I121" s="46">
        <f>SUM(I113:I120)</f>
        <v>9024.7971345887418</v>
      </c>
      <c r="J121" s="47">
        <f>SUM(J113:J120)</f>
        <v>126003.0279603152</v>
      </c>
      <c r="K121" s="48">
        <f>+J121/I121</f>
        <v>13.961868181766851</v>
      </c>
      <c r="L121" s="48"/>
      <c r="M121" s="46"/>
      <c r="N121" s="47"/>
      <c r="O121" s="47"/>
      <c r="P121" s="48"/>
      <c r="Q121" s="46">
        <f>SUM(Q113:Q120)</f>
        <v>17678.010658365682</v>
      </c>
      <c r="R121" s="47">
        <f>SUM(R113:R120)</f>
        <v>245590.75664225628</v>
      </c>
      <c r="T121" s="19">
        <f>SUM(E121,I121)</f>
        <v>17678.010658365682</v>
      </c>
      <c r="U121" s="19">
        <f>SUM(F121,J121)</f>
        <v>245590.75664225628</v>
      </c>
    </row>
    <row r="122" spans="1:21" x14ac:dyDescent="0.25">
      <c r="A122" s="38">
        <v>45787</v>
      </c>
      <c r="B122" s="39" t="s">
        <v>19</v>
      </c>
      <c r="C122" s="12">
        <v>0.24861111111111112</v>
      </c>
      <c r="D122" s="4">
        <v>7.0000000000000007E-2</v>
      </c>
      <c r="E122" s="40">
        <f>Effort!J120</f>
        <v>981.61759371241101</v>
      </c>
      <c r="F122" s="41">
        <f>Harvest!J120</f>
        <v>13497.2419135457</v>
      </c>
      <c r="G122" s="42">
        <f>CPUE!J120</f>
        <v>13.75000000000005</v>
      </c>
      <c r="H122" s="42"/>
      <c r="I122" s="40" t="str">
        <f>Effort!L120</f>
        <v>CLOSED</v>
      </c>
      <c r="J122" s="41" t="str">
        <f>Harvest!L120</f>
        <v>CLOSED</v>
      </c>
      <c r="K122" s="42" t="str">
        <f>CPUE!L120</f>
        <v>CLOSED</v>
      </c>
      <c r="L122" s="42"/>
      <c r="M122" s="40" t="s">
        <v>10</v>
      </c>
      <c r="N122" s="41" t="s">
        <v>10</v>
      </c>
      <c r="O122" s="42" t="s">
        <v>10</v>
      </c>
      <c r="P122" s="42"/>
      <c r="Q122" s="40">
        <f t="shared" ref="Q122:Q127" si="29">SUM(E122,I122)</f>
        <v>981.61759371241101</v>
      </c>
      <c r="R122" s="41">
        <f t="shared" ref="R122:R127" si="30">SUM(F122,J122)</f>
        <v>13497.2419135457</v>
      </c>
    </row>
    <row r="123" spans="1:21" x14ac:dyDescent="0.25">
      <c r="A123" s="38">
        <v>45788</v>
      </c>
      <c r="B123" s="39" t="s">
        <v>20</v>
      </c>
      <c r="C123" s="12">
        <v>0.2722222222222222</v>
      </c>
      <c r="D123" s="4">
        <v>-0.4</v>
      </c>
      <c r="E123" s="40" t="str">
        <f>Effort!J121</f>
        <v>CLOSED</v>
      </c>
      <c r="F123" s="41" t="str">
        <f>Harvest!J121</f>
        <v>CLOSED</v>
      </c>
      <c r="G123" s="42" t="str">
        <f>CPUE!J121</f>
        <v>CLOSED</v>
      </c>
      <c r="H123" s="42"/>
      <c r="I123" s="40">
        <f>Effort!L121</f>
        <v>580.34495265869202</v>
      </c>
      <c r="J123" s="41">
        <f>Harvest!L121</f>
        <v>8705.1742898803805</v>
      </c>
      <c r="K123" s="42">
        <f>CPUE!L121</f>
        <v>15</v>
      </c>
      <c r="L123" s="42"/>
      <c r="M123" s="40" t="s">
        <v>10</v>
      </c>
      <c r="N123" s="41" t="s">
        <v>10</v>
      </c>
      <c r="O123" s="42" t="s">
        <v>10</v>
      </c>
      <c r="P123" s="42"/>
      <c r="Q123" s="40">
        <f t="shared" si="29"/>
        <v>580.34495265869202</v>
      </c>
      <c r="R123" s="41">
        <f t="shared" si="30"/>
        <v>8705.1742898803805</v>
      </c>
    </row>
    <row r="124" spans="1:21" x14ac:dyDescent="0.25">
      <c r="A124" s="38">
        <v>45789</v>
      </c>
      <c r="B124" s="39" t="s">
        <v>21</v>
      </c>
      <c r="C124" s="12">
        <v>0.2951388888888889</v>
      </c>
      <c r="D124" s="4">
        <v>-0.71</v>
      </c>
      <c r="E124" s="40" t="str">
        <f>Effort!J122</f>
        <v>CLOSED</v>
      </c>
      <c r="F124" s="41" t="str">
        <f>Harvest!J122</f>
        <v>CLOSED</v>
      </c>
      <c r="G124" s="42" t="str">
        <f>CPUE!J122</f>
        <v>CLOSED</v>
      </c>
      <c r="H124" s="42"/>
      <c r="I124" s="40">
        <f>Effort!L122</f>
        <v>279.139944779703</v>
      </c>
      <c r="J124" s="41">
        <f>Harvest!L122</f>
        <v>4187.0991716955496</v>
      </c>
      <c r="K124" s="42">
        <f>CPUE!L122</f>
        <v>15.000000000000016</v>
      </c>
      <c r="L124" s="42"/>
      <c r="M124" s="40" t="s">
        <v>10</v>
      </c>
      <c r="N124" s="41" t="s">
        <v>10</v>
      </c>
      <c r="O124" s="42" t="s">
        <v>10</v>
      </c>
      <c r="P124" s="42"/>
      <c r="Q124" s="40">
        <f t="shared" si="29"/>
        <v>279.139944779703</v>
      </c>
      <c r="R124" s="41">
        <f t="shared" si="30"/>
        <v>4187.0991716955496</v>
      </c>
    </row>
    <row r="125" spans="1:21" x14ac:dyDescent="0.25">
      <c r="A125" s="38">
        <v>45790</v>
      </c>
      <c r="B125" s="39" t="s">
        <v>61</v>
      </c>
      <c r="C125" s="12">
        <v>0.31805555555555554</v>
      </c>
      <c r="D125" s="4">
        <v>-0.89</v>
      </c>
      <c r="E125" s="40">
        <f>Effort!J123</f>
        <v>1349.44813604466</v>
      </c>
      <c r="F125" s="41">
        <f>Harvest!J123</f>
        <v>18089.8993372474</v>
      </c>
      <c r="G125" s="42">
        <f>CPUE!J123</f>
        <v>13.405405405405453</v>
      </c>
      <c r="H125" s="42"/>
      <c r="I125" s="40" t="str">
        <f>Effort!L123</f>
        <v>CLOSED</v>
      </c>
      <c r="J125" s="41" t="str">
        <f>Harvest!L123</f>
        <v>CLOSED</v>
      </c>
      <c r="K125" s="42" t="str">
        <f>CPUE!L123</f>
        <v>CLOSED</v>
      </c>
      <c r="L125" s="42"/>
      <c r="M125" s="40" t="s">
        <v>10</v>
      </c>
      <c r="N125" s="41" t="s">
        <v>10</v>
      </c>
      <c r="O125" s="42" t="s">
        <v>10</v>
      </c>
      <c r="P125" s="43"/>
      <c r="Q125" s="40">
        <f t="shared" si="29"/>
        <v>1349.44813604466</v>
      </c>
      <c r="R125" s="41">
        <f t="shared" si="30"/>
        <v>18089.8993372474</v>
      </c>
    </row>
    <row r="126" spans="1:21" x14ac:dyDescent="0.25">
      <c r="A126" s="38">
        <v>45791</v>
      </c>
      <c r="B126" s="39" t="s">
        <v>62</v>
      </c>
      <c r="C126" s="12">
        <v>0.34236111111111112</v>
      </c>
      <c r="D126" s="4">
        <v>-0.92</v>
      </c>
      <c r="E126" s="40">
        <f>Effort!J124</f>
        <v>938.48905343873696</v>
      </c>
      <c r="F126" s="41">
        <f>Harvest!J124</f>
        <v>14026.1454895753</v>
      </c>
      <c r="G126" s="42">
        <f>CPUE!J124</f>
        <v>14.94545454545454</v>
      </c>
      <c r="H126" s="42"/>
      <c r="I126" s="40" t="str">
        <f>Effort!L124</f>
        <v>CLOSED</v>
      </c>
      <c r="J126" s="41" t="str">
        <f>Harvest!L124</f>
        <v>CLOSED</v>
      </c>
      <c r="K126" s="42" t="str">
        <f>CPUE!L124</f>
        <v>CLOSED</v>
      </c>
      <c r="L126" s="42"/>
      <c r="M126" s="40" t="s">
        <v>10</v>
      </c>
      <c r="N126" s="41" t="s">
        <v>10</v>
      </c>
      <c r="O126" s="42" t="s">
        <v>10</v>
      </c>
      <c r="P126" s="43"/>
      <c r="Q126" s="40">
        <f t="shared" si="29"/>
        <v>938.48905343873696</v>
      </c>
      <c r="R126" s="41">
        <f t="shared" si="30"/>
        <v>14026.1454895753</v>
      </c>
    </row>
    <row r="127" spans="1:21" x14ac:dyDescent="0.25">
      <c r="A127" s="38">
        <v>45792</v>
      </c>
      <c r="B127" s="39" t="s">
        <v>22</v>
      </c>
      <c r="C127" s="12">
        <v>0.36736111111111108</v>
      </c>
      <c r="D127" s="4">
        <v>-0.84</v>
      </c>
      <c r="E127" s="40" t="str">
        <f>Effort!J125</f>
        <v>CLOSED</v>
      </c>
      <c r="F127" s="41" t="str">
        <f>Harvest!J125</f>
        <v>CLOSED</v>
      </c>
      <c r="G127" s="42" t="str">
        <f>CPUE!J125</f>
        <v>CLOSED</v>
      </c>
      <c r="H127" s="42"/>
      <c r="I127" s="40">
        <f>Effort!L125</f>
        <v>717.975054444894</v>
      </c>
      <c r="J127" s="41">
        <f>Harvest!L125</f>
        <v>10686.1403452263</v>
      </c>
      <c r="K127" s="42">
        <f>CPUE!L125</f>
        <v>14.883720930232517</v>
      </c>
      <c r="L127" s="42"/>
      <c r="M127" s="40" t="s">
        <v>10</v>
      </c>
      <c r="N127" s="41" t="s">
        <v>10</v>
      </c>
      <c r="O127" s="42" t="s">
        <v>10</v>
      </c>
      <c r="P127" s="42"/>
      <c r="Q127" s="40">
        <f t="shared" si="29"/>
        <v>717.975054444894</v>
      </c>
      <c r="R127" s="41">
        <f t="shared" si="30"/>
        <v>10686.1403452263</v>
      </c>
    </row>
    <row r="128" spans="1:21" x14ac:dyDescent="0.25">
      <c r="A128" s="136" t="s">
        <v>50</v>
      </c>
      <c r="B128" s="136"/>
      <c r="C128" s="136"/>
      <c r="D128" s="137"/>
      <c r="E128" s="46">
        <f>SUM(E122:E127)</f>
        <v>3269.5547831958079</v>
      </c>
      <c r="F128" s="47">
        <f>SUM(F122:F127)</f>
        <v>45613.286740368399</v>
      </c>
      <c r="G128" s="48">
        <f>+F128/E128</f>
        <v>13.950916796012192</v>
      </c>
      <c r="H128" s="48"/>
      <c r="I128" s="46">
        <f>SUM(I122:I127)</f>
        <v>1577.459951883289</v>
      </c>
      <c r="J128" s="47">
        <f>SUM(J122:J127)</f>
        <v>23578.413806802229</v>
      </c>
      <c r="K128" s="48">
        <f>+J128/I128</f>
        <v>14.947076012074072</v>
      </c>
      <c r="L128" s="48"/>
      <c r="M128" s="46"/>
      <c r="N128" s="47"/>
      <c r="O128" s="47"/>
      <c r="P128" s="48"/>
      <c r="Q128" s="46">
        <f>SUM(Q122:Q127)</f>
        <v>4847.0147350790976</v>
      </c>
      <c r="R128" s="47">
        <f>SUM(R122:R127)</f>
        <v>69191.700547170636</v>
      </c>
      <c r="T128" s="19">
        <f>SUM(E128,I128)</f>
        <v>4847.0147350790967</v>
      </c>
      <c r="U128" s="19">
        <f>SUM(F128,J128)</f>
        <v>69191.700547170622</v>
      </c>
    </row>
    <row r="129" spans="1:22" ht="15.75" thickBot="1" x14ac:dyDescent="0.3">
      <c r="A129" s="79"/>
      <c r="B129" s="79"/>
      <c r="C129" s="98"/>
      <c r="D129" s="62"/>
      <c r="E129" s="61"/>
      <c r="F129" s="61"/>
      <c r="G129" s="62"/>
      <c r="H129" s="62"/>
      <c r="I129" s="61"/>
      <c r="J129" s="61"/>
      <c r="K129" s="62"/>
      <c r="L129" s="62"/>
      <c r="M129" s="61"/>
      <c r="N129" s="61"/>
      <c r="O129" s="62"/>
      <c r="P129" s="62"/>
      <c r="Q129" s="61"/>
      <c r="R129" s="61"/>
      <c r="T129" s="19"/>
      <c r="U129" s="19"/>
    </row>
    <row r="130" spans="1:22" ht="15.75" thickBot="1" x14ac:dyDescent="0.3">
      <c r="A130" s="55" t="s">
        <v>51</v>
      </c>
      <c r="B130" s="56"/>
      <c r="C130" s="99"/>
      <c r="D130" s="106"/>
      <c r="E130" s="57">
        <f>SUM(E9,E17,E23,E31,E39,E47,E55,E63,E71,E79,E86,E94,E104,E112,E121,E128)</f>
        <v>66628.085458421789</v>
      </c>
      <c r="F130" s="57">
        <f>SUM(F9,F17,F23,F31,F39,F47,F55,F63,F71,F79,F86,F94,F104,F112,F121,F128)</f>
        <v>791059.26044123864</v>
      </c>
      <c r="G130" s="58">
        <f>+F130/E130</f>
        <v>11.872759887943753</v>
      </c>
      <c r="H130" s="58">
        <v>122.4</v>
      </c>
      <c r="I130" s="57">
        <f>SUM(I9,I17,I23,I31,I39,I47,I55,I63,I71,I79,I86,I94,I104,I112,I121,I128)</f>
        <v>51839.589826806761</v>
      </c>
      <c r="J130" s="57">
        <f>SUM(J9,J17,J23,J31,J39,J47,J55,J63,J71,J79,J86,J94,J104,J112,J121,J128)</f>
        <v>621856.36253110424</v>
      </c>
      <c r="K130" s="58">
        <f>+J130/I130</f>
        <v>11.995780919731278</v>
      </c>
      <c r="L130" s="58">
        <v>115.7</v>
      </c>
      <c r="M130" s="57">
        <f>SUM(M9,M17,M23,M31,M39,M47,M55,M63,M71,M79,M86,M94,M104,M112,M121,M128)</f>
        <v>0</v>
      </c>
      <c r="N130" s="57">
        <f>SUM(N9,N17,N23,N31,N39,N47,N55,N63,N71,N79,N86,N94,N104,N112,N121,N128)</f>
        <v>0</v>
      </c>
      <c r="O130" s="58">
        <v>0</v>
      </c>
      <c r="P130" s="58"/>
      <c r="Q130" s="57">
        <f>SUM(Q9,Q17,Q23,Q31,Q39,Q47,Q55,Q63,Q71,Q79,Q86,Q94,Q104,Q112,Q121,Q128)</f>
        <v>118467.67528522854</v>
      </c>
      <c r="R130" s="57">
        <f>SUM(R9,R17,R23,R31,R39,R47,R55,R63,R71,R79,R86,R94,R104,R112,R121,R128)</f>
        <v>1412915.6229723429</v>
      </c>
      <c r="T130" s="19">
        <f>SUM(T4:T129)</f>
        <v>118467.67528522854</v>
      </c>
      <c r="U130" s="19">
        <f>SUM(U4:U129)</f>
        <v>1412915.6229723433</v>
      </c>
      <c r="V130" s="19"/>
    </row>
    <row r="131" spans="1:22" x14ac:dyDescent="0.25">
      <c r="A131" s="59" t="s">
        <v>52</v>
      </c>
      <c r="B131" s="60"/>
      <c r="C131" s="100"/>
      <c r="D131" s="107"/>
      <c r="E131" s="61"/>
      <c r="F131" s="61">
        <f>Harvest!J129</f>
        <v>13843.53705772168</v>
      </c>
      <c r="G131" s="62"/>
      <c r="H131" s="62"/>
      <c r="I131" s="61"/>
      <c r="J131" s="61">
        <f>Harvest!L129</f>
        <v>7924.5412570335402</v>
      </c>
      <c r="K131" s="62"/>
      <c r="L131" s="62"/>
      <c r="M131" s="61"/>
      <c r="N131" s="61">
        <f>Harvest!N129</f>
        <v>0</v>
      </c>
      <c r="O131" s="62"/>
      <c r="P131" s="62"/>
      <c r="Q131" s="61"/>
      <c r="R131" s="61">
        <f>SUM(F131+J131)</f>
        <v>21768.078314755221</v>
      </c>
      <c r="T131" s="19">
        <f>SUM(E130,I130)</f>
        <v>118467.67528522856</v>
      </c>
      <c r="U131" s="19">
        <f>SUM(F130,J130)</f>
        <v>1412915.6229723429</v>
      </c>
      <c r="V131" s="19"/>
    </row>
    <row r="132" spans="1:22" x14ac:dyDescent="0.25">
      <c r="A132" s="63" t="s">
        <v>53</v>
      </c>
      <c r="B132" s="64"/>
      <c r="C132" s="101"/>
      <c r="D132" s="108"/>
      <c r="E132" s="65">
        <f>Effort!J127</f>
        <v>66628.085458421803</v>
      </c>
      <c r="F132" s="65">
        <f>F130+F131</f>
        <v>804902.79749896028</v>
      </c>
      <c r="G132" s="66"/>
      <c r="H132" s="66"/>
      <c r="I132" s="65">
        <f>Effort!L127</f>
        <v>51839.589826806739</v>
      </c>
      <c r="J132" s="65">
        <f>J130+J131</f>
        <v>629780.90378813783</v>
      </c>
      <c r="K132" s="66"/>
      <c r="L132" s="66"/>
      <c r="M132" s="65">
        <f>Effort!N127</f>
        <v>0</v>
      </c>
      <c r="N132" s="65">
        <f>N130+N131</f>
        <v>0</v>
      </c>
      <c r="O132" s="66"/>
      <c r="P132" s="66"/>
      <c r="Q132" s="65">
        <f>SUM(Q130:Q131)</f>
        <v>118467.67528522854</v>
      </c>
      <c r="R132" s="65">
        <f>SUM(R130:R131)</f>
        <v>1434683.701287098</v>
      </c>
      <c r="T132" s="19"/>
      <c r="U132" s="19">
        <f>SUM(F132,J132,N132)</f>
        <v>1434683.7012870982</v>
      </c>
    </row>
    <row r="133" spans="1:22" x14ac:dyDescent="0.25">
      <c r="A133" s="68" t="s">
        <v>14</v>
      </c>
      <c r="B133" s="69"/>
      <c r="C133" s="102"/>
      <c r="D133" s="109"/>
      <c r="E133" s="69"/>
      <c r="F133" s="70">
        <f>Harvest!J132</f>
        <v>0.72763286877397348</v>
      </c>
      <c r="G133" s="69"/>
      <c r="H133" s="69"/>
      <c r="I133" s="69"/>
      <c r="J133" s="70">
        <f>Harvest!L132</f>
        <v>0.34224372611734338</v>
      </c>
      <c r="K133" s="69"/>
      <c r="L133" s="69"/>
      <c r="M133" s="69"/>
      <c r="N133" s="70">
        <f>Harvest!N132</f>
        <v>0</v>
      </c>
      <c r="O133" s="69"/>
      <c r="P133" s="69"/>
      <c r="Q133" s="69"/>
      <c r="R133" s="71"/>
      <c r="U133" s="19"/>
    </row>
    <row r="135" spans="1:22" x14ac:dyDescent="0.25">
      <c r="R135" s="19"/>
    </row>
  </sheetData>
  <mergeCells count="20">
    <mergeCell ref="A112:D112"/>
    <mergeCell ref="A121:D121"/>
    <mergeCell ref="A128:D128"/>
    <mergeCell ref="A63:D63"/>
    <mergeCell ref="A17:D17"/>
    <mergeCell ref="A47:D47"/>
    <mergeCell ref="A55:D55"/>
    <mergeCell ref="A39:D39"/>
    <mergeCell ref="A31:D31"/>
    <mergeCell ref="A23:D23"/>
    <mergeCell ref="A86:D86"/>
    <mergeCell ref="A94:D94"/>
    <mergeCell ref="A104:D104"/>
    <mergeCell ref="A71:D71"/>
    <mergeCell ref="A79:D79"/>
    <mergeCell ref="Q2:R2"/>
    <mergeCell ref="E2:H2"/>
    <mergeCell ref="I2:L2"/>
    <mergeCell ref="M2:P2"/>
    <mergeCell ref="A9:D9"/>
  </mergeCells>
  <pageMargins left="0.7" right="0.7" top="0.75" bottom="0.75" header="0.3" footer="0.3"/>
  <pageSetup scale="7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workbookViewId="0">
      <selection activeCell="H8" sqref="H8"/>
    </sheetView>
  </sheetViews>
  <sheetFormatPr defaultRowHeight="15" x14ac:dyDescent="0.25"/>
  <cols>
    <col min="1" max="2" width="25.140625" customWidth="1"/>
    <col min="3" max="3" width="13.140625" customWidth="1"/>
    <col min="4" max="4" width="15" customWidth="1"/>
    <col min="5" max="5" width="14.5703125" customWidth="1"/>
    <col min="6" max="6" width="13.140625" style="19" customWidth="1"/>
    <col min="7" max="8" width="11.140625" customWidth="1"/>
    <col min="9" max="9" width="11.5703125" customWidth="1"/>
    <col min="10" max="11" width="12.28515625" customWidth="1"/>
    <col min="12" max="12" width="11.7109375" customWidth="1"/>
    <col min="13" max="13" width="11.85546875" customWidth="1"/>
    <col min="14" max="14" width="10.85546875" customWidth="1"/>
    <col min="15" max="15" width="11.42578125" customWidth="1"/>
  </cols>
  <sheetData>
    <row r="1" spans="1:16" x14ac:dyDescent="0.25">
      <c r="A1" t="s">
        <v>28</v>
      </c>
    </row>
    <row r="3" spans="1:16" ht="15.75" thickBot="1" x14ac:dyDescent="0.3">
      <c r="B3" t="s">
        <v>66</v>
      </c>
      <c r="C3" t="s">
        <v>60</v>
      </c>
      <c r="D3" t="s">
        <v>59</v>
      </c>
      <c r="E3" t="s">
        <v>56</v>
      </c>
      <c r="F3" s="19" t="s">
        <v>55</v>
      </c>
      <c r="G3" s="19" t="s">
        <v>44</v>
      </c>
      <c r="H3" s="7" t="s">
        <v>29</v>
      </c>
      <c r="I3" s="7" t="s">
        <v>30</v>
      </c>
      <c r="J3" t="s">
        <v>31</v>
      </c>
      <c r="K3" s="7" t="s">
        <v>32</v>
      </c>
      <c r="L3" t="s">
        <v>33</v>
      </c>
      <c r="M3" s="7" t="s">
        <v>34</v>
      </c>
      <c r="N3" s="7" t="s">
        <v>35</v>
      </c>
      <c r="O3" s="7" t="s">
        <v>36</v>
      </c>
      <c r="P3" s="7" t="s">
        <v>37</v>
      </c>
    </row>
    <row r="4" spans="1:16" x14ac:dyDescent="0.25">
      <c r="A4" s="22" t="s">
        <v>38</v>
      </c>
      <c r="B4" s="50">
        <v>2138591.1818298036</v>
      </c>
      <c r="C4" s="50">
        <v>2154184.0014554267</v>
      </c>
      <c r="D4" s="50">
        <v>5865490</v>
      </c>
      <c r="E4" s="50">
        <v>8659225.1363386046</v>
      </c>
      <c r="F4" s="50">
        <v>9916787</v>
      </c>
      <c r="G4" s="50">
        <v>5205466.8000000007</v>
      </c>
      <c r="H4" s="23">
        <v>333557</v>
      </c>
      <c r="I4" s="23">
        <v>872679.52221495111</v>
      </c>
      <c r="J4" s="23">
        <v>4895623.5998578668</v>
      </c>
      <c r="K4" s="23">
        <v>4768605</v>
      </c>
      <c r="L4" s="23">
        <v>3885491.5446236241</v>
      </c>
      <c r="M4" s="23">
        <v>2881223.2800000003</v>
      </c>
      <c r="N4" s="23">
        <v>1847952.1349999998</v>
      </c>
      <c r="O4" s="23">
        <v>1094641.4136540764</v>
      </c>
      <c r="P4" s="23">
        <v>1276247.6927039789</v>
      </c>
    </row>
    <row r="5" spans="1:16" x14ac:dyDescent="0.25">
      <c r="A5" s="24" t="s">
        <v>39</v>
      </c>
      <c r="B5" s="51">
        <v>2343243.4806406097</v>
      </c>
      <c r="C5" s="51">
        <v>1281201.9228954725</v>
      </c>
      <c r="D5" s="51">
        <v>2258653</v>
      </c>
      <c r="E5" s="51">
        <v>3411777.8284151079</v>
      </c>
      <c r="F5" s="51">
        <v>2084291</v>
      </c>
      <c r="G5" s="51">
        <v>1843227.2000000002</v>
      </c>
      <c r="H5" s="25">
        <v>1377125</v>
      </c>
      <c r="I5" s="25">
        <v>506698.75607162755</v>
      </c>
      <c r="J5" s="25">
        <v>1896630.873404826</v>
      </c>
      <c r="K5" s="25">
        <v>1198600</v>
      </c>
      <c r="L5" s="25">
        <v>2662860.8000000003</v>
      </c>
      <c r="M5" s="25">
        <f>5744410.73323314*0.4</f>
        <v>2297764.2932932558</v>
      </c>
      <c r="N5" s="25">
        <v>1881783.2000000002</v>
      </c>
      <c r="O5" s="25">
        <v>616314.30636927264</v>
      </c>
      <c r="P5" s="25">
        <v>845427.66684737173</v>
      </c>
    </row>
    <row r="6" spans="1:16" x14ac:dyDescent="0.25">
      <c r="A6" s="24" t="s">
        <v>40</v>
      </c>
      <c r="B6" s="51">
        <v>1106193.5655204568</v>
      </c>
      <c r="C6" s="51">
        <v>1367231.3035943382</v>
      </c>
      <c r="D6" s="51">
        <v>2873943</v>
      </c>
      <c r="E6" s="51">
        <v>3303822.0265784604</v>
      </c>
      <c r="F6" s="51">
        <v>2369701</v>
      </c>
      <c r="G6" s="51">
        <v>2036078.6</v>
      </c>
      <c r="H6" s="25">
        <v>860768</v>
      </c>
      <c r="I6" s="25">
        <v>591366.11976499634</v>
      </c>
      <c r="J6" s="25">
        <v>880571.44910342421</v>
      </c>
      <c r="K6" s="25">
        <v>1094781</v>
      </c>
      <c r="L6" s="26">
        <v>889827.43342746096</v>
      </c>
      <c r="M6" s="27">
        <f>(2615522*0.5)-(161153)+250000</f>
        <v>1396608</v>
      </c>
      <c r="N6" s="25">
        <v>1072689.5999999999</v>
      </c>
      <c r="O6" s="25">
        <v>371373.03795949166</v>
      </c>
      <c r="P6" s="25">
        <v>683167.40704835602</v>
      </c>
    </row>
    <row r="7" spans="1:16" x14ac:dyDescent="0.25">
      <c r="A7" s="24" t="s">
        <v>41</v>
      </c>
      <c r="B7" s="51">
        <v>1840153.24673098</v>
      </c>
      <c r="C7" s="51">
        <v>1401983.0570795741</v>
      </c>
      <c r="D7" s="51">
        <v>1964732</v>
      </c>
      <c r="E7" s="51">
        <v>1968909.2826619395</v>
      </c>
      <c r="F7" s="51">
        <v>2330621</v>
      </c>
      <c r="G7" s="51">
        <v>1649890.4000000001</v>
      </c>
      <c r="H7" s="25">
        <v>1508774</v>
      </c>
      <c r="I7" s="25">
        <v>778354.53277878079</v>
      </c>
      <c r="J7" s="25">
        <v>941919.24030067341</v>
      </c>
      <c r="K7" s="25">
        <v>1695074</v>
      </c>
      <c r="L7" s="25">
        <v>2240308.7479108246</v>
      </c>
      <c r="M7" s="25">
        <v>2088668.5</v>
      </c>
      <c r="N7" s="25">
        <v>909667.35</v>
      </c>
      <c r="O7" s="25">
        <v>605830.70008886908</v>
      </c>
      <c r="P7" s="25">
        <v>545586.68998891278</v>
      </c>
    </row>
    <row r="8" spans="1:16" ht="15.75" thickBot="1" x14ac:dyDescent="0.3">
      <c r="A8" s="28" t="s">
        <v>42</v>
      </c>
      <c r="B8" s="52">
        <v>26039.720612477638</v>
      </c>
      <c r="C8" s="52">
        <v>67150.048758916702</v>
      </c>
      <c r="D8" s="52">
        <v>152683</v>
      </c>
      <c r="E8" s="52">
        <v>101655.06316024926</v>
      </c>
      <c r="F8" s="52">
        <v>362503</v>
      </c>
      <c r="G8" s="52">
        <v>219560.64800000002</v>
      </c>
      <c r="H8" s="29">
        <v>777386</v>
      </c>
      <c r="I8" s="29">
        <v>24444.430036493428</v>
      </c>
      <c r="J8" s="29">
        <v>725888.21174021007</v>
      </c>
      <c r="K8" s="29">
        <v>63740</v>
      </c>
      <c r="L8" s="29">
        <v>125735.12787535199</v>
      </c>
      <c r="M8" s="29">
        <f>1033285.9456848*0.254*0.5</f>
        <v>131227.31510196961</v>
      </c>
      <c r="N8" s="29">
        <v>113543.20699999999</v>
      </c>
      <c r="O8" s="29">
        <v>144560.51050788548</v>
      </c>
      <c r="P8" s="29">
        <v>258924.12448845015</v>
      </c>
    </row>
    <row r="9" spans="1:16" ht="16.5" thickBot="1" x14ac:dyDescent="0.3">
      <c r="A9" s="30" t="s">
        <v>43</v>
      </c>
      <c r="B9" s="53">
        <f t="shared" ref="B9:J9" si="0">SUM(B4:B8)</f>
        <v>7454221.1953343283</v>
      </c>
      <c r="C9" s="53">
        <f t="shared" si="0"/>
        <v>6271750.3337837281</v>
      </c>
      <c r="D9" s="53">
        <v>13115501</v>
      </c>
      <c r="E9" s="53">
        <f t="shared" si="0"/>
        <v>17445389.337154362</v>
      </c>
      <c r="F9" s="53">
        <f t="shared" si="0"/>
        <v>17063903</v>
      </c>
      <c r="G9" s="53">
        <f t="shared" si="0"/>
        <v>10954223.648000002</v>
      </c>
      <c r="H9" s="31">
        <f t="shared" si="0"/>
        <v>4857610</v>
      </c>
      <c r="I9" s="31">
        <f t="shared" si="0"/>
        <v>2773543.3608668493</v>
      </c>
      <c r="J9" s="31">
        <f t="shared" si="0"/>
        <v>9340633.3744070008</v>
      </c>
      <c r="K9" s="31">
        <f t="shared" ref="K9:P9" si="1">SUM(K4:K8)</f>
        <v>8820800</v>
      </c>
      <c r="L9" s="31">
        <f t="shared" si="1"/>
        <v>9804223.6538372617</v>
      </c>
      <c r="M9" s="31">
        <f t="shared" si="1"/>
        <v>8795491.3883952256</v>
      </c>
      <c r="N9" s="31">
        <f t="shared" si="1"/>
        <v>5825635.4919999996</v>
      </c>
      <c r="O9" s="31">
        <f t="shared" si="1"/>
        <v>2832719.968579595</v>
      </c>
      <c r="P9" s="31">
        <f t="shared" si="1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"/>
  <sheetViews>
    <sheetView workbookViewId="0">
      <selection activeCell="H20" sqref="H20"/>
    </sheetView>
  </sheetViews>
  <sheetFormatPr defaultRowHeight="15" x14ac:dyDescent="0.25"/>
  <sheetData>
    <row r="1" spans="1:5" x14ac:dyDescent="0.25">
      <c r="A1" s="114" t="s">
        <v>73</v>
      </c>
      <c r="B1" s="114" t="s">
        <v>67</v>
      </c>
      <c r="C1" s="114" t="s">
        <v>68</v>
      </c>
      <c r="D1" s="114" t="s">
        <v>69</v>
      </c>
      <c r="E1" s="114" t="s">
        <v>70</v>
      </c>
    </row>
    <row r="2" spans="1:5" x14ac:dyDescent="0.25">
      <c r="A2" s="86">
        <v>2380</v>
      </c>
      <c r="B2" s="86">
        <v>12500</v>
      </c>
      <c r="C2" s="86">
        <v>100</v>
      </c>
      <c r="D2" s="86">
        <v>2</v>
      </c>
      <c r="E2" s="124">
        <v>2</v>
      </c>
    </row>
    <row r="3" spans="1:5" x14ac:dyDescent="0.25">
      <c r="A3" s="84">
        <v>2436</v>
      </c>
      <c r="B3" s="83">
        <v>12300</v>
      </c>
      <c r="C3" s="83">
        <v>50</v>
      </c>
      <c r="D3" s="83">
        <v>2</v>
      </c>
      <c r="E3" s="125">
        <v>2</v>
      </c>
    </row>
    <row r="4" spans="1:5" x14ac:dyDescent="0.25">
      <c r="A4" s="126">
        <v>2438</v>
      </c>
      <c r="B4" s="126" t="s">
        <v>78</v>
      </c>
      <c r="C4" s="126">
        <v>25</v>
      </c>
      <c r="D4" s="126">
        <v>0</v>
      </c>
      <c r="E4" s="126">
        <v>0</v>
      </c>
    </row>
    <row r="5" spans="1:5" x14ac:dyDescent="0.25">
      <c r="A5" s="126">
        <v>2385</v>
      </c>
      <c r="B5" s="126" t="s">
        <v>78</v>
      </c>
      <c r="C5" s="126">
        <v>50</v>
      </c>
      <c r="D5" s="126">
        <v>0</v>
      </c>
      <c r="E5" s="126">
        <v>0</v>
      </c>
    </row>
    <row r="6" spans="1:5" x14ac:dyDescent="0.25">
      <c r="A6" s="85">
        <v>2528</v>
      </c>
      <c r="B6" s="85">
        <v>12400</v>
      </c>
      <c r="C6" s="85">
        <v>50</v>
      </c>
      <c r="D6" s="85">
        <v>3</v>
      </c>
      <c r="E6" s="129">
        <v>3</v>
      </c>
    </row>
    <row r="7" spans="1:5" x14ac:dyDescent="0.25">
      <c r="A7" s="85">
        <v>2528</v>
      </c>
      <c r="B7" s="85">
        <v>12500</v>
      </c>
      <c r="C7" s="85">
        <v>50</v>
      </c>
      <c r="D7" s="85">
        <v>2</v>
      </c>
      <c r="E7" s="129">
        <v>2</v>
      </c>
    </row>
    <row r="8" spans="1:5" x14ac:dyDescent="0.25">
      <c r="A8" s="85">
        <v>2528</v>
      </c>
      <c r="B8" s="85">
        <v>12600</v>
      </c>
      <c r="C8" s="85">
        <v>50</v>
      </c>
      <c r="D8" s="85">
        <v>2</v>
      </c>
      <c r="E8" s="129">
        <v>2</v>
      </c>
    </row>
    <row r="9" spans="1:5" x14ac:dyDescent="0.25">
      <c r="A9" s="133">
        <v>2553</v>
      </c>
      <c r="B9" s="133" t="s">
        <v>87</v>
      </c>
      <c r="C9" s="133">
        <v>50</v>
      </c>
      <c r="D9" s="133">
        <v>1</v>
      </c>
      <c r="E9" s="133">
        <v>1</v>
      </c>
    </row>
    <row r="10" spans="1:5" x14ac:dyDescent="0.25">
      <c r="A10" s="133">
        <v>2540</v>
      </c>
      <c r="B10" s="133" t="s">
        <v>78</v>
      </c>
      <c r="C10" s="133">
        <v>100</v>
      </c>
      <c r="D10" s="133">
        <v>1</v>
      </c>
      <c r="E10" s="133">
        <v>1</v>
      </c>
    </row>
    <row r="11" spans="1:5" x14ac:dyDescent="0.25">
      <c r="A11" s="133">
        <v>2455</v>
      </c>
      <c r="B11" s="133" t="s">
        <v>78</v>
      </c>
      <c r="C11" s="133">
        <v>50</v>
      </c>
      <c r="D11" s="133">
        <v>0</v>
      </c>
      <c r="E11" s="133">
        <v>0</v>
      </c>
    </row>
    <row r="12" spans="1:5" x14ac:dyDescent="0.25">
      <c r="A12" s="93"/>
      <c r="B12" s="93"/>
      <c r="C12" s="93"/>
      <c r="D12" s="93"/>
    </row>
    <row r="100" spans="3:6" x14ac:dyDescent="0.25">
      <c r="C100">
        <f>SUM(C2:C99)</f>
        <v>575</v>
      </c>
      <c r="D100">
        <f>SUM(D2:D99)</f>
        <v>13</v>
      </c>
      <c r="E100">
        <f>SUM(E2:E99)</f>
        <v>13</v>
      </c>
      <c r="F100" s="21">
        <f>E100/C100</f>
        <v>2.2608695652173914E-2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topLeftCell="A21" workbookViewId="0">
      <selection activeCell="L21" sqref="L21"/>
    </sheetView>
  </sheetViews>
  <sheetFormatPr defaultRowHeight="15" x14ac:dyDescent="0.25"/>
  <sheetData>
    <row r="1" spans="1:5" x14ac:dyDescent="0.25">
      <c r="A1" s="114" t="s">
        <v>73</v>
      </c>
      <c r="B1" s="114" t="s">
        <v>67</v>
      </c>
      <c r="C1" s="114" t="s">
        <v>68</v>
      </c>
      <c r="D1" s="114" t="s">
        <v>69</v>
      </c>
      <c r="E1" s="114" t="s">
        <v>70</v>
      </c>
    </row>
    <row r="2" spans="1:5" x14ac:dyDescent="0.25">
      <c r="A2" s="115">
        <v>2356</v>
      </c>
      <c r="B2" s="116" t="s">
        <v>74</v>
      </c>
      <c r="C2" s="115">
        <v>50</v>
      </c>
      <c r="D2" s="115">
        <v>2</v>
      </c>
      <c r="E2" s="115">
        <v>2</v>
      </c>
    </row>
    <row r="3" spans="1:5" x14ac:dyDescent="0.25">
      <c r="A3" s="123">
        <v>2443</v>
      </c>
      <c r="B3" s="123" t="s">
        <v>76</v>
      </c>
      <c r="C3" s="123">
        <v>50</v>
      </c>
      <c r="D3" s="123">
        <v>1</v>
      </c>
      <c r="E3" s="123">
        <v>1</v>
      </c>
    </row>
    <row r="4" spans="1:5" x14ac:dyDescent="0.25">
      <c r="A4" s="123">
        <v>2441</v>
      </c>
      <c r="B4" s="123" t="s">
        <v>74</v>
      </c>
      <c r="C4" s="123">
        <v>50</v>
      </c>
      <c r="D4" s="123">
        <v>1</v>
      </c>
      <c r="E4" s="123">
        <v>1</v>
      </c>
    </row>
    <row r="5" spans="1:5" x14ac:dyDescent="0.25">
      <c r="A5" s="123">
        <v>2410</v>
      </c>
      <c r="B5" s="123" t="s">
        <v>76</v>
      </c>
      <c r="C5" s="123">
        <v>50</v>
      </c>
      <c r="D5" s="123">
        <v>1</v>
      </c>
      <c r="E5" s="123">
        <v>1</v>
      </c>
    </row>
    <row r="6" spans="1:5" x14ac:dyDescent="0.25">
      <c r="A6" s="123">
        <v>2399</v>
      </c>
      <c r="B6" s="123" t="s">
        <v>77</v>
      </c>
      <c r="C6" s="123">
        <v>100</v>
      </c>
      <c r="D6" s="123">
        <v>1</v>
      </c>
      <c r="E6" s="123">
        <v>1</v>
      </c>
    </row>
    <row r="7" spans="1:5" x14ac:dyDescent="0.25">
      <c r="A7" s="123">
        <v>2386</v>
      </c>
      <c r="B7" s="123" t="s">
        <v>74</v>
      </c>
      <c r="C7" s="123">
        <v>100</v>
      </c>
      <c r="D7" s="123">
        <v>2</v>
      </c>
      <c r="E7" s="123">
        <v>2</v>
      </c>
    </row>
    <row r="8" spans="1:5" x14ac:dyDescent="0.25">
      <c r="A8" s="85">
        <v>2519</v>
      </c>
      <c r="B8" s="85" t="s">
        <v>86</v>
      </c>
      <c r="C8" s="85">
        <v>100</v>
      </c>
      <c r="D8" s="85">
        <v>0</v>
      </c>
      <c r="E8" s="85">
        <v>0</v>
      </c>
    </row>
    <row r="9" spans="1:5" x14ac:dyDescent="0.25">
      <c r="A9" s="85">
        <v>2519</v>
      </c>
      <c r="B9" s="85" t="s">
        <v>74</v>
      </c>
      <c r="C9" s="85">
        <v>100</v>
      </c>
      <c r="D9" s="85">
        <v>1</v>
      </c>
      <c r="E9" s="85">
        <v>1</v>
      </c>
    </row>
    <row r="10" spans="1:5" x14ac:dyDescent="0.25">
      <c r="A10" s="85">
        <v>2516</v>
      </c>
      <c r="B10" s="85" t="s">
        <v>77</v>
      </c>
      <c r="C10" s="85">
        <v>50</v>
      </c>
      <c r="D10" s="85">
        <v>2</v>
      </c>
      <c r="E10" s="85">
        <v>2</v>
      </c>
    </row>
    <row r="11" spans="1:5" x14ac:dyDescent="0.25">
      <c r="A11" s="85">
        <v>2469</v>
      </c>
      <c r="B11" s="85" t="s">
        <v>86</v>
      </c>
      <c r="C11" s="85">
        <v>100</v>
      </c>
      <c r="D11" s="85">
        <v>4</v>
      </c>
      <c r="E11" s="85">
        <v>4</v>
      </c>
    </row>
    <row r="12" spans="1:5" x14ac:dyDescent="0.25">
      <c r="A12" s="85">
        <v>2469</v>
      </c>
      <c r="B12" s="85" t="s">
        <v>77</v>
      </c>
      <c r="C12" s="85">
        <v>100</v>
      </c>
      <c r="D12" s="85">
        <v>3</v>
      </c>
      <c r="E12" s="85">
        <v>3</v>
      </c>
    </row>
    <row r="13" spans="1:5" x14ac:dyDescent="0.25">
      <c r="A13" s="85">
        <v>2453</v>
      </c>
      <c r="B13" s="85" t="s">
        <v>74</v>
      </c>
      <c r="C13" s="85">
        <v>100</v>
      </c>
      <c r="D13" s="85">
        <v>2</v>
      </c>
      <c r="E13" s="85">
        <v>2</v>
      </c>
    </row>
    <row r="14" spans="1:5" x14ac:dyDescent="0.25">
      <c r="A14" s="85">
        <v>2453</v>
      </c>
      <c r="B14" s="85" t="s">
        <v>76</v>
      </c>
      <c r="C14" s="85">
        <v>50</v>
      </c>
      <c r="D14" s="85">
        <v>2</v>
      </c>
      <c r="E14" s="85">
        <v>2</v>
      </c>
    </row>
    <row r="15" spans="1:5" x14ac:dyDescent="0.25">
      <c r="A15" s="130">
        <v>2571</v>
      </c>
      <c r="B15" s="130" t="s">
        <v>76</v>
      </c>
      <c r="C15" s="130">
        <v>100</v>
      </c>
      <c r="D15" s="130">
        <v>0</v>
      </c>
      <c r="E15" s="130">
        <v>0</v>
      </c>
    </row>
    <row r="16" spans="1:5" x14ac:dyDescent="0.25">
      <c r="A16" s="130">
        <v>2571</v>
      </c>
      <c r="B16" s="130" t="s">
        <v>74</v>
      </c>
      <c r="C16" s="130">
        <v>100</v>
      </c>
      <c r="D16" s="130">
        <v>1</v>
      </c>
      <c r="E16" s="130">
        <v>1</v>
      </c>
    </row>
    <row r="17" spans="1:5" x14ac:dyDescent="0.25">
      <c r="A17" s="130">
        <v>2551</v>
      </c>
      <c r="B17" s="130" t="s">
        <v>74</v>
      </c>
      <c r="C17" s="130">
        <v>50</v>
      </c>
      <c r="D17" s="130">
        <v>1</v>
      </c>
      <c r="E17" s="130">
        <v>1</v>
      </c>
    </row>
    <row r="18" spans="1:5" x14ac:dyDescent="0.25">
      <c r="A18" s="130">
        <v>2545</v>
      </c>
      <c r="B18" s="130" t="s">
        <v>76</v>
      </c>
      <c r="C18" s="130">
        <v>100</v>
      </c>
      <c r="D18" s="130">
        <v>0</v>
      </c>
      <c r="E18" s="130">
        <v>0</v>
      </c>
    </row>
    <row r="19" spans="1:5" x14ac:dyDescent="0.25">
      <c r="A19" s="130">
        <v>2545</v>
      </c>
      <c r="B19" s="130" t="s">
        <v>74</v>
      </c>
      <c r="C19" s="130">
        <v>100</v>
      </c>
      <c r="D19" s="130">
        <v>0</v>
      </c>
      <c r="E19" s="130">
        <v>0</v>
      </c>
    </row>
    <row r="20" spans="1:5" x14ac:dyDescent="0.25">
      <c r="A20" s="130">
        <v>2537</v>
      </c>
      <c r="B20" s="130" t="s">
        <v>74</v>
      </c>
      <c r="C20" s="130">
        <v>50</v>
      </c>
      <c r="D20" s="130">
        <v>2</v>
      </c>
      <c r="E20" s="130">
        <v>2</v>
      </c>
    </row>
    <row r="100" spans="3:6" x14ac:dyDescent="0.25">
      <c r="C100">
        <f>SUM(C2:C99)</f>
        <v>1500</v>
      </c>
      <c r="D100">
        <f>SUM(D2:D99)</f>
        <v>26</v>
      </c>
      <c r="E100">
        <f>SUM(E2:E99)</f>
        <v>26</v>
      </c>
      <c r="F100" s="21">
        <f>E100/C100</f>
        <v>1.7333333333333333E-2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topLeftCell="A73" workbookViewId="0">
      <selection activeCell="H12" sqref="H12"/>
    </sheetView>
  </sheetViews>
  <sheetFormatPr defaultRowHeight="15" x14ac:dyDescent="0.25"/>
  <sheetData>
    <row r="1" spans="1:5" x14ac:dyDescent="0.25">
      <c r="A1" s="111" t="s">
        <v>73</v>
      </c>
      <c r="B1" s="111" t="s">
        <v>67</v>
      </c>
      <c r="C1" s="111" t="s">
        <v>68</v>
      </c>
      <c r="D1" s="111" t="s">
        <v>69</v>
      </c>
      <c r="E1" s="111" t="s">
        <v>70</v>
      </c>
    </row>
    <row r="2" spans="1:5" x14ac:dyDescent="0.25">
      <c r="A2" s="113">
        <v>2344</v>
      </c>
      <c r="B2" s="112" t="s">
        <v>71</v>
      </c>
      <c r="C2" s="113">
        <v>100</v>
      </c>
      <c r="D2" s="113">
        <v>3</v>
      </c>
      <c r="E2" s="113">
        <v>3</v>
      </c>
    </row>
    <row r="3" spans="1:5" x14ac:dyDescent="0.25">
      <c r="A3" s="113">
        <v>2355</v>
      </c>
      <c r="B3" s="112" t="s">
        <v>72</v>
      </c>
      <c r="C3" s="113">
        <v>100</v>
      </c>
      <c r="D3" s="113">
        <v>3</v>
      </c>
      <c r="E3" s="113">
        <v>3</v>
      </c>
    </row>
    <row r="4" spans="1:5" x14ac:dyDescent="0.25">
      <c r="A4" s="85">
        <v>2357</v>
      </c>
      <c r="B4" s="85">
        <v>32009</v>
      </c>
      <c r="C4" s="85">
        <v>100</v>
      </c>
      <c r="D4" s="85">
        <v>0</v>
      </c>
      <c r="E4" s="85">
        <v>0</v>
      </c>
    </row>
    <row r="5" spans="1:5" x14ac:dyDescent="0.25">
      <c r="A5" s="127">
        <v>2444</v>
      </c>
      <c r="B5" s="127" t="s">
        <v>71</v>
      </c>
      <c r="C5" s="127">
        <v>100</v>
      </c>
      <c r="D5" s="127">
        <v>2</v>
      </c>
      <c r="E5" s="127">
        <v>2</v>
      </c>
    </row>
    <row r="6" spans="1:5" x14ac:dyDescent="0.25">
      <c r="A6" s="127">
        <v>2387</v>
      </c>
      <c r="B6" s="127" t="s">
        <v>71</v>
      </c>
      <c r="C6" s="127">
        <v>100</v>
      </c>
      <c r="D6" s="127">
        <v>1</v>
      </c>
      <c r="E6" s="127">
        <v>1</v>
      </c>
    </row>
    <row r="7" spans="1:5" x14ac:dyDescent="0.25">
      <c r="A7" s="85">
        <v>2522</v>
      </c>
      <c r="B7" s="85" t="s">
        <v>84</v>
      </c>
      <c r="C7" s="85">
        <v>100</v>
      </c>
      <c r="D7" s="85">
        <v>1</v>
      </c>
      <c r="E7" s="85">
        <v>1</v>
      </c>
    </row>
    <row r="8" spans="1:5" x14ac:dyDescent="0.25">
      <c r="A8" s="85">
        <v>2514</v>
      </c>
      <c r="B8" s="85" t="s">
        <v>84</v>
      </c>
      <c r="C8" s="85">
        <v>100</v>
      </c>
      <c r="D8" s="85">
        <v>3</v>
      </c>
      <c r="E8" s="85">
        <v>3</v>
      </c>
    </row>
    <row r="9" spans="1:5" x14ac:dyDescent="0.25">
      <c r="A9" s="85">
        <v>2473</v>
      </c>
      <c r="B9" s="85" t="s">
        <v>85</v>
      </c>
      <c r="C9" s="85">
        <v>100</v>
      </c>
      <c r="D9" s="85">
        <v>0</v>
      </c>
      <c r="E9" s="85">
        <v>0</v>
      </c>
    </row>
    <row r="10" spans="1:5" x14ac:dyDescent="0.25">
      <c r="A10" s="85">
        <v>2471</v>
      </c>
      <c r="B10" s="85" t="s">
        <v>85</v>
      </c>
      <c r="C10" s="85">
        <v>50</v>
      </c>
      <c r="D10" s="85">
        <v>2</v>
      </c>
      <c r="E10" s="85">
        <v>2</v>
      </c>
    </row>
    <row r="11" spans="1:5" x14ac:dyDescent="0.25">
      <c r="A11" s="85">
        <v>2471</v>
      </c>
      <c r="B11" s="85" t="s">
        <v>84</v>
      </c>
      <c r="C11" s="85">
        <v>50</v>
      </c>
      <c r="D11" s="85">
        <v>3</v>
      </c>
      <c r="E11" s="85">
        <v>3</v>
      </c>
    </row>
    <row r="12" spans="1:5" x14ac:dyDescent="0.25">
      <c r="A12" s="85">
        <v>2457</v>
      </c>
      <c r="B12" s="85" t="s">
        <v>72</v>
      </c>
      <c r="C12" s="85">
        <v>100</v>
      </c>
      <c r="D12" s="85">
        <v>4</v>
      </c>
      <c r="E12" s="85">
        <v>4</v>
      </c>
    </row>
    <row r="13" spans="1:5" x14ac:dyDescent="0.25">
      <c r="A13" s="85">
        <v>2457</v>
      </c>
      <c r="B13" s="85" t="s">
        <v>71</v>
      </c>
      <c r="C13" s="85">
        <v>100</v>
      </c>
      <c r="D13" s="85">
        <v>1</v>
      </c>
      <c r="E13" s="85">
        <v>1</v>
      </c>
    </row>
    <row r="14" spans="1:5" x14ac:dyDescent="0.25">
      <c r="A14" s="131">
        <v>2568</v>
      </c>
      <c r="B14" s="131" t="s">
        <v>84</v>
      </c>
      <c r="C14" s="131">
        <v>100</v>
      </c>
      <c r="D14" s="131">
        <v>0</v>
      </c>
      <c r="E14" s="131">
        <v>0</v>
      </c>
    </row>
    <row r="15" spans="1:5" x14ac:dyDescent="0.25">
      <c r="A15" s="131">
        <v>2548</v>
      </c>
      <c r="B15" s="131" t="s">
        <v>85</v>
      </c>
      <c r="C15" s="131">
        <v>100</v>
      </c>
      <c r="D15" s="131">
        <v>2</v>
      </c>
      <c r="E15" s="131">
        <v>2</v>
      </c>
    </row>
    <row r="16" spans="1:5" x14ac:dyDescent="0.25">
      <c r="A16" s="131">
        <v>2548</v>
      </c>
      <c r="B16" s="131" t="s">
        <v>85</v>
      </c>
      <c r="C16" s="131">
        <v>100</v>
      </c>
      <c r="D16" s="131">
        <v>3</v>
      </c>
      <c r="E16" s="131">
        <v>3</v>
      </c>
    </row>
    <row r="17" spans="1:5" x14ac:dyDescent="0.25">
      <c r="A17" s="131">
        <v>2547</v>
      </c>
      <c r="B17" s="131" t="s">
        <v>85</v>
      </c>
      <c r="C17" s="131">
        <v>100</v>
      </c>
      <c r="D17" s="131">
        <v>1</v>
      </c>
      <c r="E17" s="131">
        <v>1</v>
      </c>
    </row>
    <row r="18" spans="1:5" x14ac:dyDescent="0.25">
      <c r="A18" s="131">
        <v>2547</v>
      </c>
      <c r="B18" s="131" t="s">
        <v>84</v>
      </c>
      <c r="C18" s="131">
        <v>100</v>
      </c>
      <c r="D18" s="131">
        <v>2</v>
      </c>
      <c r="E18" s="131">
        <v>2</v>
      </c>
    </row>
    <row r="19" spans="1:5" x14ac:dyDescent="0.25">
      <c r="A19" s="131">
        <v>2539</v>
      </c>
      <c r="B19" s="131" t="s">
        <v>84</v>
      </c>
      <c r="C19" s="131">
        <v>100</v>
      </c>
      <c r="D19" s="131">
        <v>1</v>
      </c>
      <c r="E19" s="131">
        <v>1</v>
      </c>
    </row>
    <row r="20" spans="1:5" x14ac:dyDescent="0.25">
      <c r="A20" s="131">
        <v>2539</v>
      </c>
      <c r="B20" s="131" t="s">
        <v>85</v>
      </c>
      <c r="C20" s="131">
        <v>100</v>
      </c>
      <c r="D20" s="131">
        <v>0</v>
      </c>
      <c r="E20" s="131">
        <v>0</v>
      </c>
    </row>
    <row r="21" spans="1:5" x14ac:dyDescent="0.25">
      <c r="A21" s="131">
        <v>2529</v>
      </c>
      <c r="B21" s="131" t="s">
        <v>72</v>
      </c>
      <c r="C21" s="131">
        <v>100</v>
      </c>
      <c r="D21" s="131">
        <v>1</v>
      </c>
      <c r="E21" s="131">
        <v>1</v>
      </c>
    </row>
    <row r="22" spans="1:5" x14ac:dyDescent="0.25">
      <c r="A22" s="131">
        <v>2529</v>
      </c>
      <c r="B22" s="131" t="s">
        <v>71</v>
      </c>
      <c r="C22" s="131">
        <v>100</v>
      </c>
      <c r="D22" s="131">
        <v>2</v>
      </c>
      <c r="E22" s="131">
        <v>2</v>
      </c>
    </row>
    <row r="100" spans="3:6" x14ac:dyDescent="0.25">
      <c r="C100">
        <f>SUM(C2:C99)</f>
        <v>2000</v>
      </c>
      <c r="D100">
        <f>SUM(D2:D99)</f>
        <v>35</v>
      </c>
      <c r="E100">
        <f>SUM(E2:E99)</f>
        <v>35</v>
      </c>
      <c r="F100" s="21">
        <f>E100/C100</f>
        <v>1.7500000000000002E-2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"/>
  <sheetViews>
    <sheetView topLeftCell="A82" workbookViewId="0">
      <selection activeCell="A24" sqref="A24:E30"/>
    </sheetView>
  </sheetViews>
  <sheetFormatPr defaultRowHeight="15" x14ac:dyDescent="0.25"/>
  <sheetData>
    <row r="1" spans="1:5" x14ac:dyDescent="0.25">
      <c r="A1" s="111" t="s">
        <v>73</v>
      </c>
      <c r="B1" s="111" t="s">
        <v>67</v>
      </c>
      <c r="C1" s="111" t="s">
        <v>68</v>
      </c>
      <c r="D1" s="111" t="s">
        <v>69</v>
      </c>
      <c r="E1" s="111" t="s">
        <v>70</v>
      </c>
    </row>
    <row r="2" spans="1:5" x14ac:dyDescent="0.25">
      <c r="A2" s="91">
        <v>2352</v>
      </c>
      <c r="B2" s="92">
        <v>42600</v>
      </c>
      <c r="C2" s="91">
        <v>100</v>
      </c>
      <c r="D2" s="91">
        <v>2</v>
      </c>
      <c r="E2" s="91">
        <v>2</v>
      </c>
    </row>
    <row r="3" spans="1:5" x14ac:dyDescent="0.25">
      <c r="A3" s="128">
        <v>2442</v>
      </c>
      <c r="B3" s="128" t="s">
        <v>79</v>
      </c>
      <c r="C3" s="128">
        <v>100</v>
      </c>
      <c r="D3" s="128">
        <v>1</v>
      </c>
      <c r="E3" s="128">
        <v>1</v>
      </c>
    </row>
    <row r="4" spans="1:5" x14ac:dyDescent="0.25">
      <c r="A4" s="128">
        <v>2442</v>
      </c>
      <c r="B4" s="128" t="s">
        <v>80</v>
      </c>
      <c r="C4" s="128">
        <v>100</v>
      </c>
      <c r="D4" s="128">
        <v>1</v>
      </c>
      <c r="E4" s="128">
        <v>1</v>
      </c>
    </row>
    <row r="5" spans="1:5" x14ac:dyDescent="0.25">
      <c r="A5" s="128">
        <v>2398</v>
      </c>
      <c r="B5" s="128" t="s">
        <v>81</v>
      </c>
      <c r="C5" s="128">
        <v>100</v>
      </c>
      <c r="D5" s="128">
        <v>1</v>
      </c>
      <c r="E5" s="128">
        <v>1</v>
      </c>
    </row>
    <row r="6" spans="1:5" x14ac:dyDescent="0.25">
      <c r="A6" s="128">
        <v>2396</v>
      </c>
      <c r="B6" s="128" t="s">
        <v>81</v>
      </c>
      <c r="C6" s="128">
        <v>100</v>
      </c>
      <c r="D6" s="128">
        <v>3</v>
      </c>
      <c r="E6" s="128">
        <v>3</v>
      </c>
    </row>
    <row r="7" spans="1:5" x14ac:dyDescent="0.25">
      <c r="A7" s="128">
        <v>2396</v>
      </c>
      <c r="B7" s="128" t="s">
        <v>80</v>
      </c>
      <c r="C7" s="128">
        <v>100</v>
      </c>
      <c r="D7" s="128">
        <v>1</v>
      </c>
      <c r="E7" s="128">
        <v>1</v>
      </c>
    </row>
    <row r="8" spans="1:5" x14ac:dyDescent="0.25">
      <c r="A8" s="128">
        <v>2371</v>
      </c>
      <c r="B8" s="128" t="s">
        <v>79</v>
      </c>
      <c r="C8" s="128">
        <v>75</v>
      </c>
      <c r="D8" s="128">
        <v>1</v>
      </c>
      <c r="E8" s="128">
        <v>1</v>
      </c>
    </row>
    <row r="9" spans="1:5" x14ac:dyDescent="0.25">
      <c r="A9" s="85">
        <v>2524</v>
      </c>
      <c r="B9" s="85" t="s">
        <v>82</v>
      </c>
      <c r="C9" s="85">
        <v>100</v>
      </c>
      <c r="D9" s="85">
        <v>2</v>
      </c>
      <c r="E9" s="85">
        <v>2</v>
      </c>
    </row>
    <row r="10" spans="1:5" x14ac:dyDescent="0.25">
      <c r="A10" s="85">
        <v>2524</v>
      </c>
      <c r="B10" s="85" t="s">
        <v>79</v>
      </c>
      <c r="C10" s="85">
        <v>100</v>
      </c>
      <c r="D10" s="85">
        <v>0</v>
      </c>
      <c r="E10" s="85">
        <v>0</v>
      </c>
    </row>
    <row r="11" spans="1:5" x14ac:dyDescent="0.25">
      <c r="A11" s="85">
        <v>2524</v>
      </c>
      <c r="B11" s="85" t="s">
        <v>80</v>
      </c>
      <c r="C11" s="85">
        <v>100</v>
      </c>
      <c r="D11" s="85">
        <v>2</v>
      </c>
      <c r="E11" s="85">
        <v>2</v>
      </c>
    </row>
    <row r="12" spans="1:5" x14ac:dyDescent="0.25">
      <c r="A12" s="85">
        <v>2524</v>
      </c>
      <c r="B12" s="85" t="s">
        <v>81</v>
      </c>
      <c r="C12" s="85">
        <v>100</v>
      </c>
      <c r="D12" s="85">
        <v>1</v>
      </c>
      <c r="E12" s="85">
        <v>1</v>
      </c>
    </row>
    <row r="13" spans="1:5" x14ac:dyDescent="0.25">
      <c r="A13" s="85">
        <v>2518</v>
      </c>
      <c r="B13" s="85" t="s">
        <v>80</v>
      </c>
      <c r="C13" s="85">
        <v>100</v>
      </c>
      <c r="D13" s="85">
        <v>2</v>
      </c>
      <c r="E13" s="85">
        <v>2</v>
      </c>
    </row>
    <row r="14" spans="1:5" x14ac:dyDescent="0.25">
      <c r="A14" s="85">
        <v>2518</v>
      </c>
      <c r="B14" s="85" t="s">
        <v>79</v>
      </c>
      <c r="C14" s="85">
        <v>100</v>
      </c>
      <c r="D14" s="85">
        <v>1</v>
      </c>
      <c r="E14" s="85">
        <v>1</v>
      </c>
    </row>
    <row r="15" spans="1:5" x14ac:dyDescent="0.25">
      <c r="A15" s="85">
        <v>2517</v>
      </c>
      <c r="B15" s="85" t="s">
        <v>81</v>
      </c>
      <c r="C15" s="85">
        <v>100</v>
      </c>
      <c r="D15" s="85">
        <v>1</v>
      </c>
      <c r="E15" s="85">
        <v>1</v>
      </c>
    </row>
    <row r="16" spans="1:5" x14ac:dyDescent="0.25">
      <c r="A16" s="85">
        <v>2517</v>
      </c>
      <c r="B16" s="85" t="s">
        <v>82</v>
      </c>
      <c r="C16" s="85">
        <v>100</v>
      </c>
      <c r="D16" s="85">
        <v>3</v>
      </c>
      <c r="E16" s="85">
        <v>3</v>
      </c>
    </row>
    <row r="17" spans="1:5" x14ac:dyDescent="0.25">
      <c r="A17" s="85">
        <v>2492</v>
      </c>
      <c r="B17" s="85" t="s">
        <v>79</v>
      </c>
      <c r="C17" s="85">
        <v>100</v>
      </c>
      <c r="D17" s="85">
        <v>2</v>
      </c>
      <c r="E17" s="85">
        <v>2</v>
      </c>
    </row>
    <row r="18" spans="1:5" x14ac:dyDescent="0.25">
      <c r="A18" s="85">
        <v>2477</v>
      </c>
      <c r="B18" s="85" t="s">
        <v>80</v>
      </c>
      <c r="C18" s="85">
        <v>50</v>
      </c>
      <c r="D18" s="85">
        <v>2</v>
      </c>
      <c r="E18" s="85">
        <v>2</v>
      </c>
    </row>
    <row r="19" spans="1:5" x14ac:dyDescent="0.25">
      <c r="A19" s="85">
        <v>2476</v>
      </c>
      <c r="B19" s="85" t="s">
        <v>83</v>
      </c>
      <c r="C19" s="85">
        <v>100</v>
      </c>
      <c r="D19" s="85">
        <v>1</v>
      </c>
      <c r="E19" s="85">
        <v>1</v>
      </c>
    </row>
    <row r="20" spans="1:5" x14ac:dyDescent="0.25">
      <c r="A20" s="85">
        <v>2470</v>
      </c>
      <c r="B20" s="85" t="s">
        <v>81</v>
      </c>
      <c r="C20" s="85">
        <v>100</v>
      </c>
      <c r="D20" s="85">
        <v>0</v>
      </c>
      <c r="E20" s="85">
        <v>0</v>
      </c>
    </row>
    <row r="21" spans="1:5" x14ac:dyDescent="0.25">
      <c r="A21" s="85">
        <v>2456</v>
      </c>
      <c r="B21" s="85" t="s">
        <v>81</v>
      </c>
      <c r="C21" s="85">
        <v>100</v>
      </c>
      <c r="D21" s="85">
        <v>1</v>
      </c>
      <c r="E21" s="85">
        <v>1</v>
      </c>
    </row>
    <row r="22" spans="1:5" x14ac:dyDescent="0.25">
      <c r="A22" s="85">
        <v>2456</v>
      </c>
      <c r="B22" s="85" t="s">
        <v>79</v>
      </c>
      <c r="C22" s="85">
        <v>100</v>
      </c>
      <c r="D22" s="85">
        <v>0</v>
      </c>
      <c r="E22" s="85">
        <v>0</v>
      </c>
    </row>
    <row r="23" spans="1:5" x14ac:dyDescent="0.25">
      <c r="A23" s="85">
        <v>2454</v>
      </c>
      <c r="B23" s="85" t="s">
        <v>81</v>
      </c>
      <c r="C23" s="85">
        <v>100</v>
      </c>
      <c r="D23" s="85">
        <v>1</v>
      </c>
      <c r="E23" s="85">
        <v>1</v>
      </c>
    </row>
    <row r="24" spans="1:5" x14ac:dyDescent="0.25">
      <c r="A24" s="132">
        <v>2562</v>
      </c>
      <c r="B24" s="132" t="s">
        <v>79</v>
      </c>
      <c r="C24" s="132">
        <v>100</v>
      </c>
      <c r="D24" s="132">
        <v>0</v>
      </c>
      <c r="E24" s="132">
        <v>0</v>
      </c>
    </row>
    <row r="25" spans="1:5" x14ac:dyDescent="0.25">
      <c r="A25" s="132">
        <v>2546</v>
      </c>
      <c r="B25" s="132" t="s">
        <v>81</v>
      </c>
      <c r="C25" s="132">
        <v>100</v>
      </c>
      <c r="D25" s="132">
        <v>0</v>
      </c>
      <c r="E25" s="132">
        <v>0</v>
      </c>
    </row>
    <row r="26" spans="1:5" x14ac:dyDescent="0.25">
      <c r="A26" s="132">
        <v>2546</v>
      </c>
      <c r="B26" s="132" t="s">
        <v>83</v>
      </c>
      <c r="C26" s="132">
        <v>100</v>
      </c>
      <c r="D26" s="132">
        <v>2</v>
      </c>
      <c r="E26" s="132">
        <v>2</v>
      </c>
    </row>
    <row r="27" spans="1:5" x14ac:dyDescent="0.25">
      <c r="A27" s="132">
        <v>2544</v>
      </c>
      <c r="B27" s="132" t="s">
        <v>82</v>
      </c>
      <c r="C27" s="132">
        <v>100</v>
      </c>
      <c r="D27" s="132">
        <v>0</v>
      </c>
      <c r="E27" s="132">
        <v>0</v>
      </c>
    </row>
    <row r="28" spans="1:5" x14ac:dyDescent="0.25">
      <c r="A28" s="132">
        <v>2544</v>
      </c>
      <c r="B28" s="132" t="s">
        <v>80</v>
      </c>
      <c r="C28" s="132">
        <v>100</v>
      </c>
      <c r="D28" s="132">
        <v>3</v>
      </c>
      <c r="E28" s="132">
        <v>3</v>
      </c>
    </row>
    <row r="29" spans="1:5" x14ac:dyDescent="0.25">
      <c r="A29" s="132">
        <v>2533</v>
      </c>
      <c r="B29" s="132" t="s">
        <v>83</v>
      </c>
      <c r="C29" s="132">
        <v>100</v>
      </c>
      <c r="D29" s="132">
        <v>0</v>
      </c>
      <c r="E29" s="132">
        <v>0</v>
      </c>
    </row>
    <row r="30" spans="1:5" x14ac:dyDescent="0.25">
      <c r="A30" s="132">
        <v>2533</v>
      </c>
      <c r="B30" s="132" t="s">
        <v>79</v>
      </c>
      <c r="C30" s="132">
        <v>100</v>
      </c>
      <c r="D30" s="132">
        <v>2</v>
      </c>
      <c r="E30" s="132">
        <v>2</v>
      </c>
    </row>
    <row r="100" spans="3:6" x14ac:dyDescent="0.25">
      <c r="C100">
        <f>SUM(C2:C99)</f>
        <v>2825</v>
      </c>
      <c r="D100">
        <f>SUM(D2:D99)</f>
        <v>36</v>
      </c>
      <c r="E100">
        <f>SUM(E2:E99)</f>
        <v>36</v>
      </c>
      <c r="F100" s="21">
        <f>E100/C100</f>
        <v>1.2743362831858408E-2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topLeftCell="A1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9" ma:contentTypeDescription="Create a new document." ma:contentTypeScope="" ma:versionID="b9b11016910d6c9cdeb171003dc4cdb7">
  <xsd:schema xmlns:xsd="http://www.w3.org/2001/XMLSchema" xmlns:xs="http://www.w3.org/2001/XMLSchema" xmlns:p="http://schemas.microsoft.com/office/2006/metadata/properties" xmlns:ns2="edc15492-e82e-424f-ac49-b101091fc76a" targetNamespace="http://schemas.microsoft.com/office/2006/metadata/properties" ma:root="true" ma:fieldsID="49cd9fd3fa5f1ac2094569d06a163469" ns2:_="">
    <xsd:import namespace="edc15492-e82e-424f-ac49-b101091fc7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5492-e82e-424f-ac49-b101091fc7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c15492-e82e-424f-ac49-b101091fc7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EB01AC-77D4-424E-BC32-73258C5D0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395D69-DCCC-4BA4-8EE5-F63600FC7EF1}"/>
</file>

<file path=customXml/itemProps3.xml><?xml version="1.0" encoding="utf-8"?>
<ds:datastoreItem xmlns:ds="http://schemas.openxmlformats.org/officeDocument/2006/customXml" ds:itemID="{0E145A1E-C87B-4A50-84C8-FF7464AD0573}">
  <ds:schemaRefs>
    <ds:schemaRef ds:uri="http://purl.org/dc/dcmitype/"/>
    <ds:schemaRef ds:uri="http://purl.org/dc/terms/"/>
    <ds:schemaRef ds:uri="http://schemas.microsoft.com/sharepoint/v3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71c5c8a-d1dd-40a7-bcfd-3ed591bedb5d"/>
    <ds:schemaRef ds:uri="62120a19-a38a-4c78-8e86-03b65bdcf4fa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Harvest</vt:lpstr>
      <vt:lpstr>Effort</vt:lpstr>
      <vt:lpstr>CPUE</vt:lpstr>
      <vt:lpstr>Summary Table</vt:lpstr>
      <vt:lpstr>Summary Table Public</vt:lpstr>
      <vt:lpstr>Tribal Update</vt:lpstr>
      <vt:lpstr>TAC</vt:lpstr>
      <vt:lpstr>LB Wastage</vt:lpstr>
      <vt:lpstr>TH Wastage</vt:lpstr>
      <vt:lpstr>Cop Wastage</vt:lpstr>
      <vt:lpstr>Moc Wastage</vt:lpstr>
      <vt:lpstr>Kal Wastage</vt:lpstr>
      <vt:lpstr>'Tribal Update'!Print_Area</vt:lpstr>
    </vt:vector>
  </TitlesOfParts>
  <Company>Washington Dept of Fish &amp;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Blumenthal, Bryce W (DFW)</dc:creator>
  <cp:lastModifiedBy>Berry, Charlotte A (DFW)</cp:lastModifiedBy>
  <cp:lastPrinted>2025-05-23T22:23:57Z</cp:lastPrinted>
  <dcterms:created xsi:type="dcterms:W3CDTF">2019-10-01T18:03:52Z</dcterms:created>
  <dcterms:modified xsi:type="dcterms:W3CDTF">2025-10-20T22:21:35Z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2024-05-20T20:44:28Z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1da2ddb8-8f57-43fd-ab04-fabd66231eb5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MediaServiceImageTags">
    <vt:lpwstr/>
  </property>
</Properties>
</file>