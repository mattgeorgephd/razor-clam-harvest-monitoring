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matthew_george_dfw_wa_gov/Documents/DFW-Team R6 Coastal Shellfish/Razor Clam/data/historical_harvest_recreational/"/>
    </mc:Choice>
  </mc:AlternateContent>
  <xr:revisionPtr revIDLastSave="3" documentId="11_2DD7253D197F48FE7A59A2CA80533BBFD8458F9E" xr6:coauthVersionLast="47" xr6:coauthVersionMax="47" xr10:uidLastSave="{A49D8D61-7A28-443A-BA51-CCB39C50F9C7}"/>
  <bookViews>
    <workbookView xWindow="-120" yWindow="-120" windowWidth="29040" windowHeight="15840" activeTab="6" xr2:uid="{00000000-000D-0000-FFFF-FFFF00000000}"/>
  </bookViews>
  <sheets>
    <sheet name="Harvest" sheetId="1" r:id="rId1"/>
    <sheet name="Effort" sheetId="3" r:id="rId2"/>
    <sheet name="CPUE" sheetId="2" r:id="rId3"/>
    <sheet name="Summary Table" sheetId="4" r:id="rId4"/>
    <sheet name="Tribal update" sheetId="12" r:id="rId5"/>
    <sheet name="Copy Sheet" sheetId="5" r:id="rId6"/>
    <sheet name="TAC" sheetId="6" r:id="rId7"/>
    <sheet name="TH Wastage" sheetId="8" r:id="rId8"/>
    <sheet name="LB Wastage" sheetId="9" r:id="rId9"/>
    <sheet name="Cop Wastage" sheetId="10" r:id="rId10"/>
    <sheet name="Moc Wastage" sheetId="11" r:id="rId11"/>
  </sheets>
  <definedNames>
    <definedName name="_xlnm.Print_Area" localSheetId="3">'Summary Table'!$A$1:$U$128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" i="2" l="1"/>
  <c r="Q2" i="3"/>
  <c r="Q2" i="1"/>
  <c r="R63" i="12"/>
  <c r="Q63" i="12"/>
  <c r="Q64" i="12" s="1"/>
  <c r="R62" i="12"/>
  <c r="R64" i="12" s="1"/>
  <c r="Q62" i="12"/>
  <c r="R61" i="12"/>
  <c r="Q61" i="12"/>
  <c r="R72" i="12"/>
  <c r="R73" i="12" s="1"/>
  <c r="Q72" i="12"/>
  <c r="R71" i="12"/>
  <c r="Q71" i="12"/>
  <c r="R70" i="12"/>
  <c r="Q70" i="12"/>
  <c r="R69" i="12"/>
  <c r="Q69" i="12"/>
  <c r="Q73" i="12" s="1"/>
  <c r="I73" i="12"/>
  <c r="J73" i="12"/>
  <c r="E73" i="12"/>
  <c r="F73" i="12"/>
  <c r="O120" i="3"/>
  <c r="O119" i="3"/>
  <c r="O118" i="3"/>
  <c r="O117" i="3"/>
  <c r="H116" i="3"/>
  <c r="O116" i="3" s="1"/>
  <c r="H116" i="1"/>
  <c r="L121" i="3" l="1"/>
  <c r="L121" i="1" l="1"/>
  <c r="L123" i="1" s="1"/>
  <c r="O121" i="3"/>
  <c r="O121" i="1"/>
  <c r="O121" i="2" s="1"/>
  <c r="O120" i="1"/>
  <c r="O120" i="2" s="1"/>
  <c r="O119" i="1"/>
  <c r="O119" i="2" s="1"/>
  <c r="O118" i="1"/>
  <c r="O118" i="2" s="1"/>
  <c r="O117" i="1"/>
  <c r="O117" i="2" s="1"/>
  <c r="O116" i="1"/>
  <c r="O116" i="2" s="1"/>
  <c r="H117" i="2" l="1"/>
  <c r="J119" i="4" s="1"/>
  <c r="F117" i="2"/>
  <c r="H116" i="2"/>
  <c r="J118" i="4" s="1"/>
  <c r="F116" i="2"/>
  <c r="J121" i="2"/>
  <c r="H121" i="2"/>
  <c r="J123" i="4" s="1"/>
  <c r="F121" i="2"/>
  <c r="G123" i="4" s="1"/>
  <c r="L120" i="2"/>
  <c r="J120" i="2"/>
  <c r="H120" i="2"/>
  <c r="F120" i="2"/>
  <c r="L119" i="2"/>
  <c r="J119" i="2"/>
  <c r="M121" i="4" s="1"/>
  <c r="H119" i="2"/>
  <c r="F119" i="2"/>
  <c r="G121" i="4" s="1"/>
  <c r="L118" i="2"/>
  <c r="P120" i="4" s="1"/>
  <c r="J118" i="2"/>
  <c r="H118" i="2"/>
  <c r="F118" i="2"/>
  <c r="I123" i="4"/>
  <c r="H123" i="4"/>
  <c r="F123" i="4"/>
  <c r="E123" i="4"/>
  <c r="J122" i="4"/>
  <c r="I122" i="4"/>
  <c r="H122" i="4"/>
  <c r="G122" i="4"/>
  <c r="F122" i="4"/>
  <c r="E122" i="4"/>
  <c r="J121" i="4"/>
  <c r="I121" i="4"/>
  <c r="H121" i="4"/>
  <c r="F121" i="4"/>
  <c r="E121" i="4"/>
  <c r="J120" i="4"/>
  <c r="I120" i="4"/>
  <c r="H120" i="4"/>
  <c r="G120" i="4"/>
  <c r="F120" i="4"/>
  <c r="E120" i="4"/>
  <c r="I119" i="4"/>
  <c r="H119" i="4"/>
  <c r="G119" i="4"/>
  <c r="F119" i="4"/>
  <c r="U119" i="4" s="1"/>
  <c r="E119" i="4"/>
  <c r="I118" i="4"/>
  <c r="H118" i="4"/>
  <c r="G118" i="4"/>
  <c r="F118" i="4"/>
  <c r="E118" i="4"/>
  <c r="S123" i="4"/>
  <c r="R123" i="4"/>
  <c r="Q123" i="4"/>
  <c r="S122" i="4"/>
  <c r="R122" i="4"/>
  <c r="Q122" i="4"/>
  <c r="S121" i="4"/>
  <c r="R121" i="4"/>
  <c r="Q121" i="4"/>
  <c r="S120" i="4"/>
  <c r="R120" i="4"/>
  <c r="Q120" i="4"/>
  <c r="S119" i="4"/>
  <c r="R119" i="4"/>
  <c r="Q119" i="4"/>
  <c r="S118" i="4"/>
  <c r="R118" i="4"/>
  <c r="Q118" i="4"/>
  <c r="N123" i="4"/>
  <c r="P122" i="4"/>
  <c r="O122" i="4"/>
  <c r="N122" i="4"/>
  <c r="P121" i="4"/>
  <c r="O121" i="4"/>
  <c r="N121" i="4"/>
  <c r="O120" i="4"/>
  <c r="N120" i="4"/>
  <c r="P119" i="4"/>
  <c r="O119" i="4"/>
  <c r="N119" i="4"/>
  <c r="P118" i="4"/>
  <c r="O118" i="4"/>
  <c r="N118" i="4"/>
  <c r="M123" i="4"/>
  <c r="L123" i="4"/>
  <c r="K123" i="4"/>
  <c r="M122" i="4"/>
  <c r="L122" i="4"/>
  <c r="K122" i="4"/>
  <c r="L121" i="4"/>
  <c r="K121" i="4"/>
  <c r="M120" i="4"/>
  <c r="L120" i="4"/>
  <c r="L124" i="4" s="1"/>
  <c r="K120" i="4"/>
  <c r="M119" i="4"/>
  <c r="L119" i="4"/>
  <c r="K119" i="4"/>
  <c r="M118" i="4"/>
  <c r="L118" i="4"/>
  <c r="K118" i="4"/>
  <c r="B121" i="2"/>
  <c r="B120" i="2"/>
  <c r="B119" i="2"/>
  <c r="B118" i="2"/>
  <c r="B117" i="2"/>
  <c r="B116" i="2"/>
  <c r="B121" i="1"/>
  <c r="T119" i="4" l="1"/>
  <c r="F124" i="4"/>
  <c r="E124" i="4"/>
  <c r="K124" i="4"/>
  <c r="N124" i="4"/>
  <c r="U118" i="4"/>
  <c r="I124" i="4"/>
  <c r="T120" i="4"/>
  <c r="T121" i="4"/>
  <c r="T122" i="4"/>
  <c r="T123" i="4"/>
  <c r="U120" i="4"/>
  <c r="U121" i="4"/>
  <c r="U122" i="4"/>
  <c r="T118" i="4"/>
  <c r="H124" i="4"/>
  <c r="P123" i="4"/>
  <c r="O123" i="4"/>
  <c r="O124" i="4" s="1"/>
  <c r="B6" i="6"/>
  <c r="T124" i="4" l="1"/>
  <c r="J124" i="4"/>
  <c r="U123" i="4"/>
  <c r="U124" i="4" s="1"/>
  <c r="I68" i="12"/>
  <c r="J68" i="12"/>
  <c r="K68" i="12" s="1"/>
  <c r="E68" i="12"/>
  <c r="G68" i="12" s="1"/>
  <c r="F68" i="12"/>
  <c r="R67" i="12"/>
  <c r="R66" i="12"/>
  <c r="R65" i="12"/>
  <c r="R68" i="12" s="1"/>
  <c r="Q67" i="12"/>
  <c r="Q66" i="12"/>
  <c r="Q65" i="12"/>
  <c r="Q68" i="12" s="1"/>
  <c r="O114" i="1"/>
  <c r="O113" i="1"/>
  <c r="O112" i="1"/>
  <c r="O111" i="1"/>
  <c r="O110" i="1"/>
  <c r="O109" i="1"/>
  <c r="O108" i="1"/>
  <c r="O114" i="3"/>
  <c r="O113" i="3"/>
  <c r="O112" i="3"/>
  <c r="O111" i="3"/>
  <c r="O110" i="3"/>
  <c r="O109" i="3"/>
  <c r="O108" i="3"/>
  <c r="J110" i="2" l="1"/>
  <c r="S116" i="4" l="1"/>
  <c r="R116" i="4"/>
  <c r="Q116" i="4"/>
  <c r="P116" i="4"/>
  <c r="O116" i="4"/>
  <c r="N116" i="4"/>
  <c r="M116" i="4"/>
  <c r="L116" i="4"/>
  <c r="K116" i="4"/>
  <c r="I116" i="4"/>
  <c r="U116" i="4" s="1"/>
  <c r="H116" i="4"/>
  <c r="T116" i="4" s="1"/>
  <c r="G116" i="4"/>
  <c r="F116" i="4"/>
  <c r="E116" i="4"/>
  <c r="S115" i="4"/>
  <c r="R115" i="4"/>
  <c r="Q115" i="4"/>
  <c r="P115" i="4"/>
  <c r="O115" i="4"/>
  <c r="N115" i="4"/>
  <c r="M115" i="4"/>
  <c r="L115" i="4"/>
  <c r="K115" i="4"/>
  <c r="I115" i="4"/>
  <c r="U115" i="4" s="1"/>
  <c r="H115" i="4"/>
  <c r="T115" i="4" s="1"/>
  <c r="G115" i="4"/>
  <c r="F115" i="4"/>
  <c r="E115" i="4"/>
  <c r="S114" i="4"/>
  <c r="R114" i="4"/>
  <c r="Q114" i="4"/>
  <c r="O114" i="4"/>
  <c r="N114" i="4"/>
  <c r="L114" i="4"/>
  <c r="K114" i="4"/>
  <c r="I114" i="4"/>
  <c r="H114" i="4"/>
  <c r="F114" i="4"/>
  <c r="E114" i="4"/>
  <c r="T114" i="4" s="1"/>
  <c r="S113" i="4"/>
  <c r="R113" i="4"/>
  <c r="Q113" i="4"/>
  <c r="O113" i="4"/>
  <c r="N113" i="4"/>
  <c r="L113" i="4"/>
  <c r="K113" i="4"/>
  <c r="I113" i="4"/>
  <c r="H113" i="4"/>
  <c r="F113" i="4"/>
  <c r="E113" i="4"/>
  <c r="S112" i="4"/>
  <c r="R112" i="4"/>
  <c r="Q112" i="4"/>
  <c r="P112" i="4"/>
  <c r="O112" i="4"/>
  <c r="N112" i="4"/>
  <c r="M112" i="4"/>
  <c r="L112" i="4"/>
  <c r="K112" i="4"/>
  <c r="I112" i="4"/>
  <c r="H112" i="4"/>
  <c r="F112" i="4"/>
  <c r="E112" i="4"/>
  <c r="T112" i="4" s="1"/>
  <c r="S111" i="4"/>
  <c r="R111" i="4"/>
  <c r="Q111" i="4"/>
  <c r="P111" i="4"/>
  <c r="O111" i="4"/>
  <c r="N111" i="4"/>
  <c r="M111" i="4"/>
  <c r="L111" i="4"/>
  <c r="K111" i="4"/>
  <c r="I111" i="4"/>
  <c r="H111" i="4"/>
  <c r="F111" i="4"/>
  <c r="U111" i="4" s="1"/>
  <c r="E111" i="4"/>
  <c r="S110" i="4"/>
  <c r="R110" i="4"/>
  <c r="Q110" i="4"/>
  <c r="P110" i="4"/>
  <c r="O110" i="4"/>
  <c r="N110" i="4"/>
  <c r="M110" i="4"/>
  <c r="L110" i="4"/>
  <c r="K110" i="4"/>
  <c r="I110" i="4"/>
  <c r="H110" i="4"/>
  <c r="F110" i="4"/>
  <c r="U110" i="4" s="1"/>
  <c r="E110" i="4"/>
  <c r="U112" i="4" l="1"/>
  <c r="U114" i="4"/>
  <c r="T111" i="4"/>
  <c r="T113" i="4"/>
  <c r="T110" i="4"/>
  <c r="U113" i="4"/>
  <c r="S109" i="4"/>
  <c r="R109" i="4"/>
  <c r="Q109" i="4"/>
  <c r="P109" i="4"/>
  <c r="O109" i="4"/>
  <c r="O117" i="4" s="1"/>
  <c r="N109" i="4"/>
  <c r="N117" i="4" s="1"/>
  <c r="M109" i="4"/>
  <c r="L109" i="4"/>
  <c r="L117" i="4" s="1"/>
  <c r="K109" i="4"/>
  <c r="K117" i="4" s="1"/>
  <c r="I109" i="4"/>
  <c r="I117" i="4" s="1"/>
  <c r="H109" i="4"/>
  <c r="H117" i="4" s="1"/>
  <c r="G109" i="4"/>
  <c r="F109" i="4"/>
  <c r="F117" i="4" s="1"/>
  <c r="E109" i="4"/>
  <c r="E117" i="4" s="1"/>
  <c r="O114" i="2"/>
  <c r="O113" i="2"/>
  <c r="O112" i="2"/>
  <c r="O111" i="2"/>
  <c r="O110" i="2"/>
  <c r="O109" i="2"/>
  <c r="O108" i="2"/>
  <c r="L112" i="2"/>
  <c r="P114" i="4" s="1"/>
  <c r="L111" i="2"/>
  <c r="P113" i="4" s="1"/>
  <c r="J112" i="2"/>
  <c r="M114" i="4" s="1"/>
  <c r="J111" i="2"/>
  <c r="M113" i="4" s="1"/>
  <c r="F112" i="2"/>
  <c r="G114" i="4" s="1"/>
  <c r="F111" i="2"/>
  <c r="G113" i="4" s="1"/>
  <c r="F110" i="2"/>
  <c r="G112" i="4" s="1"/>
  <c r="F109" i="2"/>
  <c r="G111" i="4" s="1"/>
  <c r="F108" i="2"/>
  <c r="G110" i="4" s="1"/>
  <c r="H114" i="2"/>
  <c r="J116" i="4" s="1"/>
  <c r="H113" i="2"/>
  <c r="J115" i="4" s="1"/>
  <c r="H112" i="2"/>
  <c r="J114" i="4" s="1"/>
  <c r="H111" i="2"/>
  <c r="J113" i="4" s="1"/>
  <c r="H110" i="2"/>
  <c r="J112" i="4" s="1"/>
  <c r="H109" i="2"/>
  <c r="J111" i="4" s="1"/>
  <c r="H108" i="2"/>
  <c r="J110" i="4" s="1"/>
  <c r="H107" i="2"/>
  <c r="J109" i="4" s="1"/>
  <c r="O107" i="3"/>
  <c r="O107" i="1"/>
  <c r="O107" i="2" l="1"/>
  <c r="T109" i="4"/>
  <c r="T117" i="4" s="1"/>
  <c r="P117" i="4"/>
  <c r="G117" i="4"/>
  <c r="J117" i="4"/>
  <c r="U109" i="4"/>
  <c r="U117" i="4" s="1"/>
  <c r="M117" i="4"/>
  <c r="O105" i="3"/>
  <c r="O104" i="3"/>
  <c r="O105" i="1"/>
  <c r="O104" i="1"/>
  <c r="O103" i="1" l="1"/>
  <c r="O103" i="3"/>
  <c r="F98" i="3" l="1"/>
  <c r="F98" i="1"/>
  <c r="O98" i="1" s="1"/>
  <c r="O105" i="2"/>
  <c r="O104" i="2"/>
  <c r="O103" i="2"/>
  <c r="O102" i="3"/>
  <c r="O101" i="3"/>
  <c r="O100" i="3"/>
  <c r="O99" i="3"/>
  <c r="O98" i="3"/>
  <c r="O102" i="1"/>
  <c r="O101" i="1"/>
  <c r="O100" i="1"/>
  <c r="O100" i="2" s="1"/>
  <c r="O99" i="1"/>
  <c r="O101" i="2" l="1"/>
  <c r="O102" i="2"/>
  <c r="O99" i="2"/>
  <c r="O98" i="2"/>
  <c r="L105" i="2"/>
  <c r="L104" i="2"/>
  <c r="L103" i="2"/>
  <c r="H105" i="2"/>
  <c r="F105" i="2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S107" i="4" l="1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T104" i="4" s="1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H108" i="4" s="1"/>
  <c r="G100" i="4"/>
  <c r="F100" i="4"/>
  <c r="E100" i="4"/>
  <c r="O108" i="4" l="1"/>
  <c r="U105" i="4"/>
  <c r="T107" i="4"/>
  <c r="U107" i="4"/>
  <c r="U106" i="4"/>
  <c r="N108" i="4"/>
  <c r="P108" i="4" s="1"/>
  <c r="T103" i="4"/>
  <c r="U104" i="4"/>
  <c r="U100" i="4"/>
  <c r="U103" i="4"/>
  <c r="T102" i="4"/>
  <c r="U102" i="4"/>
  <c r="E108" i="4"/>
  <c r="F108" i="4"/>
  <c r="T105" i="4"/>
  <c r="T106" i="4"/>
  <c r="T101" i="4"/>
  <c r="T100" i="4"/>
  <c r="I108" i="4"/>
  <c r="U101" i="4"/>
  <c r="B114" i="2"/>
  <c r="B113" i="2"/>
  <c r="B112" i="2"/>
  <c r="B111" i="2"/>
  <c r="B110" i="2"/>
  <c r="B109" i="2"/>
  <c r="B108" i="2"/>
  <c r="B107" i="2"/>
  <c r="B105" i="2"/>
  <c r="B104" i="2"/>
  <c r="B103" i="2"/>
  <c r="B102" i="2"/>
  <c r="B101" i="2"/>
  <c r="B100" i="2"/>
  <c r="B99" i="2"/>
  <c r="B98" i="2"/>
  <c r="B114" i="3"/>
  <c r="B113" i="3"/>
  <c r="B112" i="3"/>
  <c r="B111" i="3"/>
  <c r="B110" i="3"/>
  <c r="B109" i="3"/>
  <c r="B108" i="3"/>
  <c r="B107" i="3"/>
  <c r="B105" i="3"/>
  <c r="B104" i="3"/>
  <c r="B103" i="3"/>
  <c r="B102" i="3"/>
  <c r="B101" i="3"/>
  <c r="B100" i="3"/>
  <c r="B99" i="3"/>
  <c r="B98" i="3"/>
  <c r="U108" i="4" l="1"/>
  <c r="J108" i="4"/>
  <c r="G108" i="4"/>
  <c r="T108" i="4"/>
  <c r="G60" i="12"/>
  <c r="I60" i="12"/>
  <c r="J60" i="12"/>
  <c r="K60" i="12" s="1"/>
  <c r="E60" i="12"/>
  <c r="F60" i="12"/>
  <c r="R59" i="12"/>
  <c r="R58" i="12"/>
  <c r="R60" i="12" s="1"/>
  <c r="Q59" i="12"/>
  <c r="Q58" i="12"/>
  <c r="Q60" i="12" s="1"/>
  <c r="R57" i="12"/>
  <c r="Q57" i="12"/>
  <c r="H95" i="3"/>
  <c r="H95" i="1"/>
  <c r="O96" i="3" l="1"/>
  <c r="O95" i="3"/>
  <c r="O94" i="3"/>
  <c r="O93" i="3"/>
  <c r="O92" i="3"/>
  <c r="O91" i="3"/>
  <c r="O90" i="3"/>
  <c r="L96" i="2"/>
  <c r="P98" i="4" s="1"/>
  <c r="L95" i="2"/>
  <c r="L94" i="2"/>
  <c r="J96" i="2"/>
  <c r="M98" i="4" s="1"/>
  <c r="J95" i="2"/>
  <c r="F96" i="2"/>
  <c r="G98" i="4" s="1"/>
  <c r="F95" i="2"/>
  <c r="F94" i="2"/>
  <c r="G96" i="4" s="1"/>
  <c r="F93" i="2"/>
  <c r="G95" i="4" s="1"/>
  <c r="F92" i="2"/>
  <c r="F91" i="2"/>
  <c r="H96" i="2"/>
  <c r="J98" i="4" s="1"/>
  <c r="H95" i="2"/>
  <c r="J97" i="4" s="1"/>
  <c r="H94" i="2"/>
  <c r="J96" i="4" s="1"/>
  <c r="H93" i="2"/>
  <c r="J95" i="4" s="1"/>
  <c r="H92" i="2"/>
  <c r="J94" i="4" s="1"/>
  <c r="H91" i="2"/>
  <c r="J93" i="4" s="1"/>
  <c r="H90" i="2"/>
  <c r="J92" i="4" s="1"/>
  <c r="S98" i="4"/>
  <c r="R98" i="4"/>
  <c r="Q98" i="4"/>
  <c r="O98" i="4"/>
  <c r="N98" i="4"/>
  <c r="L98" i="4"/>
  <c r="K98" i="4"/>
  <c r="I98" i="4"/>
  <c r="H98" i="4"/>
  <c r="F98" i="4"/>
  <c r="E98" i="4"/>
  <c r="S97" i="4"/>
  <c r="R97" i="4"/>
  <c r="Q97" i="4"/>
  <c r="P97" i="4"/>
  <c r="O97" i="4"/>
  <c r="N97" i="4"/>
  <c r="M97" i="4"/>
  <c r="L97" i="4"/>
  <c r="K97" i="4"/>
  <c r="I97" i="4"/>
  <c r="H97" i="4"/>
  <c r="G97" i="4"/>
  <c r="F97" i="4"/>
  <c r="E97" i="4"/>
  <c r="S96" i="4"/>
  <c r="R96" i="4"/>
  <c r="Q96" i="4"/>
  <c r="P96" i="4"/>
  <c r="O96" i="4"/>
  <c r="O99" i="4" s="1"/>
  <c r="N96" i="4"/>
  <c r="M96" i="4"/>
  <c r="L96" i="4"/>
  <c r="K96" i="4"/>
  <c r="I96" i="4"/>
  <c r="H96" i="4"/>
  <c r="F96" i="4"/>
  <c r="E96" i="4"/>
  <c r="S95" i="4"/>
  <c r="R95" i="4"/>
  <c r="Q95" i="4"/>
  <c r="P95" i="4"/>
  <c r="O95" i="4"/>
  <c r="N95" i="4"/>
  <c r="M95" i="4"/>
  <c r="L95" i="4"/>
  <c r="K95" i="4"/>
  <c r="I95" i="4"/>
  <c r="H95" i="4"/>
  <c r="F95" i="4"/>
  <c r="E95" i="4"/>
  <c r="S94" i="4"/>
  <c r="R94" i="4"/>
  <c r="Q94" i="4"/>
  <c r="P94" i="4"/>
  <c r="O94" i="4"/>
  <c r="N94" i="4"/>
  <c r="M94" i="4"/>
  <c r="L94" i="4"/>
  <c r="K94" i="4"/>
  <c r="I94" i="4"/>
  <c r="H94" i="4"/>
  <c r="G94" i="4"/>
  <c r="F94" i="4"/>
  <c r="E94" i="4"/>
  <c r="S93" i="4"/>
  <c r="R93" i="4"/>
  <c r="Q93" i="4"/>
  <c r="P93" i="4"/>
  <c r="O93" i="4"/>
  <c r="N93" i="4"/>
  <c r="M93" i="4"/>
  <c r="L93" i="4"/>
  <c r="K93" i="4"/>
  <c r="I93" i="4"/>
  <c r="H93" i="4"/>
  <c r="G93" i="4"/>
  <c r="F93" i="4"/>
  <c r="E93" i="4"/>
  <c r="S92" i="4"/>
  <c r="R92" i="4"/>
  <c r="Q92" i="4"/>
  <c r="P92" i="4"/>
  <c r="O92" i="4"/>
  <c r="N92" i="4"/>
  <c r="M92" i="4"/>
  <c r="L92" i="4"/>
  <c r="K92" i="4"/>
  <c r="I92" i="4"/>
  <c r="U92" i="4" s="1"/>
  <c r="H92" i="4"/>
  <c r="T92" i="4" s="1"/>
  <c r="G92" i="4"/>
  <c r="F92" i="4"/>
  <c r="E92" i="4"/>
  <c r="O96" i="1"/>
  <c r="O95" i="1"/>
  <c r="O95" i="2" s="1"/>
  <c r="O94" i="1"/>
  <c r="O94" i="2" s="1"/>
  <c r="O93" i="1"/>
  <c r="O93" i="2" s="1"/>
  <c r="O92" i="1"/>
  <c r="O91" i="1"/>
  <c r="O91" i="2" s="1"/>
  <c r="O90" i="1"/>
  <c r="O90" i="2" l="1"/>
  <c r="N99" i="4"/>
  <c r="O92" i="2"/>
  <c r="P99" i="4"/>
  <c r="U94" i="4"/>
  <c r="U96" i="4"/>
  <c r="E99" i="4"/>
  <c r="T95" i="4"/>
  <c r="T96" i="4"/>
  <c r="T98" i="4"/>
  <c r="T94" i="4"/>
  <c r="T93" i="4"/>
  <c r="T97" i="4"/>
  <c r="K99" i="4"/>
  <c r="O96" i="2"/>
  <c r="F99" i="4"/>
  <c r="G99" i="4" s="1"/>
  <c r="U93" i="4"/>
  <c r="U95" i="4"/>
  <c r="U98" i="4"/>
  <c r="L99" i="4"/>
  <c r="U97" i="4"/>
  <c r="H99" i="4"/>
  <c r="I99" i="4"/>
  <c r="M99" i="4" l="1"/>
  <c r="U99" i="4"/>
  <c r="J99" i="4"/>
  <c r="T99" i="4"/>
  <c r="B96" i="2"/>
  <c r="B95" i="2"/>
  <c r="B94" i="2"/>
  <c r="B93" i="2"/>
  <c r="B92" i="2"/>
  <c r="B91" i="2"/>
  <c r="B90" i="2"/>
  <c r="B96" i="3"/>
  <c r="B95" i="3"/>
  <c r="B94" i="3"/>
  <c r="B93" i="3"/>
  <c r="B92" i="3"/>
  <c r="B91" i="3"/>
  <c r="B90" i="3"/>
  <c r="I56" i="12" l="1"/>
  <c r="J56" i="12"/>
  <c r="K56" i="12" s="1"/>
  <c r="R55" i="12"/>
  <c r="R54" i="12"/>
  <c r="R53" i="12"/>
  <c r="R56" i="12" s="1"/>
  <c r="Q55" i="12"/>
  <c r="Q54" i="12"/>
  <c r="Q53" i="12"/>
  <c r="Q56" i="12" s="1"/>
  <c r="O88" i="3" l="1"/>
  <c r="O87" i="3"/>
  <c r="O86" i="3"/>
  <c r="O85" i="3"/>
  <c r="O84" i="3"/>
  <c r="O82" i="3"/>
  <c r="O81" i="3"/>
  <c r="O80" i="3"/>
  <c r="O88" i="1"/>
  <c r="O87" i="1"/>
  <c r="O86" i="1"/>
  <c r="O85" i="1"/>
  <c r="O84" i="1"/>
  <c r="O82" i="1"/>
  <c r="O81" i="1"/>
  <c r="O81" i="2" s="1"/>
  <c r="O80" i="1"/>
  <c r="H83" i="3"/>
  <c r="O83" i="3" s="1"/>
  <c r="H83" i="1"/>
  <c r="O83" i="1" s="1"/>
  <c r="O84" i="2" l="1"/>
  <c r="O88" i="2"/>
  <c r="O87" i="2"/>
  <c r="O86" i="2"/>
  <c r="O85" i="2"/>
  <c r="O83" i="2"/>
  <c r="O82" i="2"/>
  <c r="O80" i="2"/>
  <c r="N86" i="4" l="1"/>
  <c r="O86" i="4"/>
  <c r="N85" i="4"/>
  <c r="O85" i="4"/>
  <c r="L83" i="2" l="1"/>
  <c r="P85" i="4" s="1"/>
  <c r="L84" i="2"/>
  <c r="L82" i="2"/>
  <c r="P84" i="4" s="1"/>
  <c r="H81" i="2"/>
  <c r="H82" i="2"/>
  <c r="J84" i="4" s="1"/>
  <c r="H83" i="2"/>
  <c r="J85" i="4" s="1"/>
  <c r="H84" i="2"/>
  <c r="J86" i="4" s="1"/>
  <c r="H85" i="2"/>
  <c r="J87" i="4" s="1"/>
  <c r="H86" i="2"/>
  <c r="J88" i="4" s="1"/>
  <c r="H87" i="2"/>
  <c r="J89" i="4" s="1"/>
  <c r="H88" i="2"/>
  <c r="J90" i="4" s="1"/>
  <c r="H80" i="2"/>
  <c r="J82" i="4" s="1"/>
  <c r="F83" i="2"/>
  <c r="G85" i="4" s="1"/>
  <c r="F84" i="2"/>
  <c r="G86" i="4" s="1"/>
  <c r="F85" i="2"/>
  <c r="G87" i="4" s="1"/>
  <c r="F86" i="2"/>
  <c r="G88" i="4" s="1"/>
  <c r="F87" i="2"/>
  <c r="G89" i="4" s="1"/>
  <c r="F88" i="2"/>
  <c r="G90" i="4" s="1"/>
  <c r="F82" i="2"/>
  <c r="G84" i="4" s="1"/>
  <c r="E83" i="4"/>
  <c r="F83" i="4"/>
  <c r="G83" i="4"/>
  <c r="H83" i="4"/>
  <c r="T83" i="4" s="1"/>
  <c r="I83" i="4"/>
  <c r="U83" i="4" s="1"/>
  <c r="J83" i="4"/>
  <c r="K83" i="4"/>
  <c r="L83" i="4"/>
  <c r="M83" i="4"/>
  <c r="N83" i="4"/>
  <c r="O83" i="4"/>
  <c r="P83" i="4"/>
  <c r="Q83" i="4"/>
  <c r="R83" i="4"/>
  <c r="S83" i="4"/>
  <c r="E84" i="4"/>
  <c r="F84" i="4"/>
  <c r="H84" i="4"/>
  <c r="I84" i="4"/>
  <c r="K84" i="4"/>
  <c r="L84" i="4"/>
  <c r="M84" i="4"/>
  <c r="N84" i="4"/>
  <c r="O84" i="4"/>
  <c r="Q84" i="4"/>
  <c r="R84" i="4"/>
  <c r="S84" i="4"/>
  <c r="E85" i="4"/>
  <c r="F85" i="4"/>
  <c r="H85" i="4"/>
  <c r="I85" i="4"/>
  <c r="K85" i="4"/>
  <c r="L85" i="4"/>
  <c r="M85" i="4"/>
  <c r="Q85" i="4"/>
  <c r="R85" i="4"/>
  <c r="S85" i="4"/>
  <c r="E86" i="4"/>
  <c r="F86" i="4"/>
  <c r="H86" i="4"/>
  <c r="I86" i="4"/>
  <c r="K86" i="4"/>
  <c r="L86" i="4"/>
  <c r="M86" i="4"/>
  <c r="P86" i="4"/>
  <c r="Q86" i="4"/>
  <c r="R86" i="4"/>
  <c r="S86" i="4"/>
  <c r="E87" i="4"/>
  <c r="F87" i="4"/>
  <c r="H87" i="4"/>
  <c r="I87" i="4"/>
  <c r="K87" i="4"/>
  <c r="L87" i="4"/>
  <c r="M87" i="4"/>
  <c r="Q87" i="4"/>
  <c r="R87" i="4"/>
  <c r="S87" i="4"/>
  <c r="E88" i="4"/>
  <c r="F88" i="4"/>
  <c r="H88" i="4"/>
  <c r="I88" i="4"/>
  <c r="K88" i="4"/>
  <c r="L88" i="4"/>
  <c r="M88" i="4"/>
  <c r="Q88" i="4"/>
  <c r="R88" i="4"/>
  <c r="S88" i="4"/>
  <c r="E89" i="4"/>
  <c r="F89" i="4"/>
  <c r="H89" i="4"/>
  <c r="I89" i="4"/>
  <c r="K89" i="4"/>
  <c r="L89" i="4"/>
  <c r="M89" i="4"/>
  <c r="Q89" i="4"/>
  <c r="R89" i="4"/>
  <c r="S89" i="4"/>
  <c r="E90" i="4"/>
  <c r="F90" i="4"/>
  <c r="H90" i="4"/>
  <c r="I90" i="4"/>
  <c r="U90" i="4" s="1"/>
  <c r="K90" i="4"/>
  <c r="L90" i="4"/>
  <c r="M90" i="4"/>
  <c r="Q90" i="4"/>
  <c r="R90" i="4"/>
  <c r="S90" i="4"/>
  <c r="S82" i="4"/>
  <c r="R82" i="4"/>
  <c r="Q82" i="4"/>
  <c r="P82" i="4"/>
  <c r="O82" i="4"/>
  <c r="N82" i="4"/>
  <c r="M82" i="4"/>
  <c r="L82" i="4"/>
  <c r="K82" i="4"/>
  <c r="I82" i="4"/>
  <c r="U82" i="4" s="1"/>
  <c r="H82" i="4"/>
  <c r="T82" i="4" s="1"/>
  <c r="G82" i="4"/>
  <c r="F82" i="4"/>
  <c r="E82" i="4"/>
  <c r="L91" i="4" l="1"/>
  <c r="K91" i="4"/>
  <c r="U85" i="4"/>
  <c r="T85" i="4"/>
  <c r="M91" i="4"/>
  <c r="U86" i="4"/>
  <c r="T84" i="4"/>
  <c r="T90" i="4"/>
  <c r="T89" i="4"/>
  <c r="U89" i="4"/>
  <c r="T88" i="4"/>
  <c r="U88" i="4"/>
  <c r="H91" i="4"/>
  <c r="T87" i="4"/>
  <c r="U87" i="4"/>
  <c r="I91" i="4"/>
  <c r="T86" i="4"/>
  <c r="O91" i="4"/>
  <c r="U84" i="4"/>
  <c r="E91" i="4"/>
  <c r="F91" i="4"/>
  <c r="N91" i="4"/>
  <c r="U91" i="4" l="1"/>
  <c r="P91" i="4"/>
  <c r="J91" i="4"/>
  <c r="T91" i="4"/>
  <c r="G91" i="4"/>
  <c r="B120" i="1" l="1"/>
  <c r="B119" i="1"/>
  <c r="B118" i="1"/>
  <c r="B117" i="1"/>
  <c r="B116" i="1"/>
  <c r="B114" i="1"/>
  <c r="B113" i="1"/>
  <c r="B112" i="1"/>
  <c r="B111" i="1"/>
  <c r="B110" i="1"/>
  <c r="B109" i="1"/>
  <c r="B108" i="1"/>
  <c r="B107" i="1"/>
  <c r="B105" i="1"/>
  <c r="B104" i="1"/>
  <c r="B103" i="1"/>
  <c r="B102" i="1"/>
  <c r="B101" i="1"/>
  <c r="B100" i="1"/>
  <c r="B99" i="1"/>
  <c r="B98" i="1"/>
  <c r="B96" i="1"/>
  <c r="B95" i="1"/>
  <c r="B94" i="1"/>
  <c r="B93" i="1"/>
  <c r="B92" i="1"/>
  <c r="B91" i="1"/>
  <c r="B90" i="1"/>
  <c r="B90" i="4"/>
  <c r="B89" i="4"/>
  <c r="B88" i="4"/>
  <c r="B87" i="4"/>
  <c r="B86" i="4"/>
  <c r="B85" i="4"/>
  <c r="B84" i="4"/>
  <c r="B83" i="4"/>
  <c r="B82" i="4"/>
  <c r="B55" i="12"/>
  <c r="B54" i="12"/>
  <c r="B53" i="12"/>
  <c r="R51" i="12" l="1"/>
  <c r="R50" i="12"/>
  <c r="R49" i="12"/>
  <c r="R48" i="12"/>
  <c r="Q51" i="12"/>
  <c r="Q50" i="12"/>
  <c r="Q49" i="12"/>
  <c r="Q48" i="12"/>
  <c r="Q52" i="12" s="1"/>
  <c r="I52" i="12"/>
  <c r="J52" i="12"/>
  <c r="K52" i="12" s="1"/>
  <c r="E52" i="12"/>
  <c r="F52" i="12"/>
  <c r="G52" i="12" l="1"/>
  <c r="R52" i="12"/>
  <c r="J76" i="2"/>
  <c r="L77" i="2" l="1"/>
  <c r="L76" i="2"/>
  <c r="L75" i="2"/>
  <c r="L74" i="2"/>
  <c r="P76" i="4" s="1"/>
  <c r="H78" i="2"/>
  <c r="J80" i="4" s="1"/>
  <c r="H77" i="2"/>
  <c r="H76" i="2"/>
  <c r="H75" i="2"/>
  <c r="J77" i="4" s="1"/>
  <c r="H74" i="2"/>
  <c r="H73" i="2"/>
  <c r="F77" i="2"/>
  <c r="F76" i="2"/>
  <c r="F75" i="2"/>
  <c r="G77" i="4" s="1"/>
  <c r="F74" i="2"/>
  <c r="O78" i="1"/>
  <c r="O77" i="1"/>
  <c r="O76" i="1"/>
  <c r="O75" i="1"/>
  <c r="O74" i="1"/>
  <c r="O73" i="1"/>
  <c r="O78" i="3"/>
  <c r="O78" i="2" s="1"/>
  <c r="O77" i="3"/>
  <c r="O76" i="3"/>
  <c r="O76" i="2" s="1"/>
  <c r="O75" i="3"/>
  <c r="O74" i="3"/>
  <c r="O73" i="3"/>
  <c r="S80" i="4"/>
  <c r="R80" i="4"/>
  <c r="Q80" i="4"/>
  <c r="P80" i="4"/>
  <c r="O80" i="4"/>
  <c r="N80" i="4"/>
  <c r="M80" i="4"/>
  <c r="L80" i="4"/>
  <c r="K80" i="4"/>
  <c r="I80" i="4"/>
  <c r="U80" i="4" s="1"/>
  <c r="H80" i="4"/>
  <c r="T80" i="4" s="1"/>
  <c r="G80" i="4"/>
  <c r="F80" i="4"/>
  <c r="E80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S77" i="4"/>
  <c r="R77" i="4"/>
  <c r="Q77" i="4"/>
  <c r="P77" i="4"/>
  <c r="O77" i="4"/>
  <c r="N77" i="4"/>
  <c r="M77" i="4"/>
  <c r="L77" i="4"/>
  <c r="K77" i="4"/>
  <c r="I77" i="4"/>
  <c r="H77" i="4"/>
  <c r="F77" i="4"/>
  <c r="E77" i="4"/>
  <c r="S76" i="4"/>
  <c r="R76" i="4"/>
  <c r="Q76" i="4"/>
  <c r="O76" i="4"/>
  <c r="N76" i="4"/>
  <c r="M76" i="4"/>
  <c r="L76" i="4"/>
  <c r="K76" i="4"/>
  <c r="J76" i="4"/>
  <c r="I76" i="4"/>
  <c r="H76" i="4"/>
  <c r="G76" i="4"/>
  <c r="F76" i="4"/>
  <c r="E76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B78" i="2"/>
  <c r="B77" i="2"/>
  <c r="B76" i="2"/>
  <c r="B75" i="2"/>
  <c r="B74" i="2"/>
  <c r="B73" i="2"/>
  <c r="B78" i="3"/>
  <c r="B77" i="3"/>
  <c r="B76" i="3"/>
  <c r="B75" i="3"/>
  <c r="B74" i="3"/>
  <c r="B73" i="3"/>
  <c r="B78" i="1"/>
  <c r="B74" i="1"/>
  <c r="B75" i="1"/>
  <c r="B76" i="1"/>
  <c r="B77" i="1"/>
  <c r="U75" i="4" l="1"/>
  <c r="I81" i="4"/>
  <c r="T75" i="4"/>
  <c r="H81" i="4"/>
  <c r="U79" i="4"/>
  <c r="U77" i="4"/>
  <c r="T77" i="4"/>
  <c r="T79" i="4"/>
  <c r="O73" i="2"/>
  <c r="T76" i="4"/>
  <c r="T78" i="4"/>
  <c r="O74" i="2"/>
  <c r="O75" i="2"/>
  <c r="O77" i="2"/>
  <c r="U76" i="4"/>
  <c r="U78" i="4"/>
  <c r="R46" i="12"/>
  <c r="R45" i="12"/>
  <c r="R44" i="12"/>
  <c r="R43" i="12"/>
  <c r="R47" i="12" s="1"/>
  <c r="Q46" i="12"/>
  <c r="Q45" i="12"/>
  <c r="Q44" i="12"/>
  <c r="Q43" i="12"/>
  <c r="Q47" i="12" s="1"/>
  <c r="I47" i="12"/>
  <c r="J47" i="12"/>
  <c r="K47" i="12" s="1"/>
  <c r="E47" i="12"/>
  <c r="F47" i="12"/>
  <c r="G47" i="12" s="1"/>
  <c r="O69" i="1"/>
  <c r="O68" i="1"/>
  <c r="O67" i="1"/>
  <c r="H71" i="1"/>
  <c r="H70" i="1"/>
  <c r="O70" i="1" s="1"/>
  <c r="F71" i="1"/>
  <c r="F71" i="3"/>
  <c r="H71" i="3"/>
  <c r="H70" i="3"/>
  <c r="T81" i="4" l="1"/>
  <c r="O71" i="1"/>
  <c r="U81" i="4"/>
  <c r="J70" i="2"/>
  <c r="L71" i="2"/>
  <c r="L70" i="2"/>
  <c r="H71" i="2"/>
  <c r="H70" i="2"/>
  <c r="H69" i="2"/>
  <c r="F71" i="2"/>
  <c r="F70" i="2"/>
  <c r="F69" i="2"/>
  <c r="F68" i="2"/>
  <c r="F67" i="2"/>
  <c r="L69" i="2"/>
  <c r="L68" i="2" l="1"/>
  <c r="H68" i="2"/>
  <c r="H67" i="2" l="1"/>
  <c r="O71" i="3" l="1"/>
  <c r="O71" i="2" s="1"/>
  <c r="O70" i="3"/>
  <c r="O70" i="2" s="1"/>
  <c r="O69" i="3"/>
  <c r="O69" i="2" s="1"/>
  <c r="O68" i="3"/>
  <c r="O68" i="2" s="1"/>
  <c r="O67" i="3"/>
  <c r="O67" i="2" s="1"/>
  <c r="O66" i="3"/>
  <c r="O64" i="3"/>
  <c r="O63" i="3"/>
  <c r="O62" i="3"/>
  <c r="O61" i="3"/>
  <c r="O57" i="3"/>
  <c r="O56" i="3"/>
  <c r="O53" i="3"/>
  <c r="O66" i="1"/>
  <c r="O66" i="2" s="1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S72" i="4"/>
  <c r="R72" i="4"/>
  <c r="Q72" i="4"/>
  <c r="P72" i="4"/>
  <c r="O72" i="4"/>
  <c r="N72" i="4"/>
  <c r="M72" i="4"/>
  <c r="L72" i="4"/>
  <c r="L74" i="4" s="1"/>
  <c r="K72" i="4"/>
  <c r="K74" i="4" s="1"/>
  <c r="J72" i="4"/>
  <c r="I72" i="4"/>
  <c r="H72" i="4"/>
  <c r="G72" i="4"/>
  <c r="F72" i="4"/>
  <c r="E72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S70" i="4"/>
  <c r="R70" i="4"/>
  <c r="Q70" i="4"/>
  <c r="P70" i="4"/>
  <c r="O70" i="4"/>
  <c r="O74" i="4" s="1"/>
  <c r="N70" i="4"/>
  <c r="M70" i="4"/>
  <c r="L70" i="4"/>
  <c r="K70" i="4"/>
  <c r="J70" i="4"/>
  <c r="I70" i="4"/>
  <c r="H70" i="4"/>
  <c r="G70" i="4"/>
  <c r="F70" i="4"/>
  <c r="E70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F74" i="4" s="1"/>
  <c r="E69" i="4"/>
  <c r="S68" i="4"/>
  <c r="R68" i="4"/>
  <c r="Q68" i="4"/>
  <c r="P68" i="4"/>
  <c r="O68" i="4"/>
  <c r="N68" i="4"/>
  <c r="M68" i="4"/>
  <c r="L68" i="4"/>
  <c r="K68" i="4"/>
  <c r="I68" i="4"/>
  <c r="U68" i="4" s="1"/>
  <c r="H68" i="4"/>
  <c r="G68" i="4"/>
  <c r="F68" i="4"/>
  <c r="E68" i="4"/>
  <c r="H66" i="2"/>
  <c r="J68" i="4" s="1"/>
  <c r="B67" i="2"/>
  <c r="B66" i="2"/>
  <c r="B67" i="1"/>
  <c r="B66" i="1"/>
  <c r="B67" i="3"/>
  <c r="B66" i="3"/>
  <c r="E74" i="4" l="1"/>
  <c r="T68" i="4"/>
  <c r="H74" i="4"/>
  <c r="U73" i="4"/>
  <c r="U72" i="4"/>
  <c r="T73" i="4"/>
  <c r="T72" i="4"/>
  <c r="U71" i="4"/>
  <c r="U70" i="4"/>
  <c r="T71" i="4"/>
  <c r="T70" i="4"/>
  <c r="N74" i="4"/>
  <c r="I74" i="4"/>
  <c r="U69" i="4"/>
  <c r="T69" i="4"/>
  <c r="R41" i="12"/>
  <c r="R40" i="12"/>
  <c r="Q41" i="12"/>
  <c r="Q40" i="12"/>
  <c r="I42" i="12"/>
  <c r="J42" i="12"/>
  <c r="Q42" i="12" l="1"/>
  <c r="K42" i="12"/>
  <c r="R42" i="12"/>
  <c r="T74" i="4"/>
  <c r="U74" i="4"/>
  <c r="O64" i="1"/>
  <c r="O64" i="2" s="1"/>
  <c r="O63" i="1"/>
  <c r="O63" i="2" s="1"/>
  <c r="O62" i="1"/>
  <c r="O62" i="2" s="1"/>
  <c r="O61" i="1"/>
  <c r="O61" i="2" s="1"/>
  <c r="O57" i="1"/>
  <c r="O57" i="2" s="1"/>
  <c r="O56" i="1"/>
  <c r="O56" i="2" s="1"/>
  <c r="O53" i="1"/>
  <c r="O53" i="2" s="1"/>
  <c r="L64" i="2" l="1"/>
  <c r="P66" i="4" s="1"/>
  <c r="H64" i="2"/>
  <c r="F64" i="2"/>
  <c r="L63" i="2"/>
  <c r="P65" i="4" s="1"/>
  <c r="H63" i="2"/>
  <c r="J65" i="4" s="1"/>
  <c r="F63" i="2"/>
  <c r="H62" i="2"/>
  <c r="H61" i="2"/>
  <c r="S66" i="4"/>
  <c r="R66" i="4"/>
  <c r="Q66" i="4"/>
  <c r="O66" i="4"/>
  <c r="N66" i="4"/>
  <c r="M66" i="4"/>
  <c r="L66" i="4"/>
  <c r="K66" i="4"/>
  <c r="J66" i="4"/>
  <c r="I66" i="4"/>
  <c r="H66" i="4"/>
  <c r="G66" i="4"/>
  <c r="F66" i="4"/>
  <c r="E66" i="4"/>
  <c r="S65" i="4"/>
  <c r="R65" i="4"/>
  <c r="Q65" i="4"/>
  <c r="O65" i="4"/>
  <c r="N65" i="4"/>
  <c r="M65" i="4"/>
  <c r="L65" i="4"/>
  <c r="K65" i="4"/>
  <c r="I65" i="4"/>
  <c r="I67" i="4" s="1"/>
  <c r="H65" i="4"/>
  <c r="G65" i="4"/>
  <c r="F65" i="4"/>
  <c r="E65" i="4"/>
  <c r="S64" i="4"/>
  <c r="R64" i="4"/>
  <c r="Q64" i="4"/>
  <c r="P64" i="4"/>
  <c r="O64" i="4"/>
  <c r="N64" i="4"/>
  <c r="M64" i="4"/>
  <c r="L64" i="4"/>
  <c r="K64" i="4"/>
  <c r="J64" i="4"/>
  <c r="I64" i="4"/>
  <c r="U64" i="4" s="1"/>
  <c r="H64" i="4"/>
  <c r="T64" i="4" s="1"/>
  <c r="G64" i="4"/>
  <c r="F64" i="4"/>
  <c r="E64" i="4"/>
  <c r="S63" i="4"/>
  <c r="R63" i="4"/>
  <c r="Q63" i="4"/>
  <c r="P63" i="4"/>
  <c r="O63" i="4"/>
  <c r="O67" i="4" s="1"/>
  <c r="N63" i="4"/>
  <c r="M63" i="4"/>
  <c r="L63" i="4"/>
  <c r="K63" i="4"/>
  <c r="J63" i="4"/>
  <c r="I63" i="4"/>
  <c r="U63" i="4" s="1"/>
  <c r="H63" i="4"/>
  <c r="T63" i="4" s="1"/>
  <c r="G63" i="4"/>
  <c r="F63" i="4"/>
  <c r="E63" i="4"/>
  <c r="B62" i="2"/>
  <c r="B61" i="2"/>
  <c r="B62" i="3"/>
  <c r="B61" i="3"/>
  <c r="B62" i="1"/>
  <c r="B61" i="1"/>
  <c r="N67" i="4" l="1"/>
  <c r="H67" i="4"/>
  <c r="U65" i="4"/>
  <c r="T65" i="4"/>
  <c r="T66" i="4"/>
  <c r="U66" i="4"/>
  <c r="U67" i="4" s="1"/>
  <c r="F67" i="4"/>
  <c r="E67" i="4"/>
  <c r="R28" i="12"/>
  <c r="Q28" i="12"/>
  <c r="R23" i="12"/>
  <c r="Q23" i="12"/>
  <c r="E27" i="12"/>
  <c r="F27" i="12"/>
  <c r="I27" i="12"/>
  <c r="J27" i="12"/>
  <c r="I31" i="12"/>
  <c r="J31" i="12"/>
  <c r="I39" i="12"/>
  <c r="J39" i="12"/>
  <c r="E39" i="12"/>
  <c r="F39" i="12"/>
  <c r="E31" i="12"/>
  <c r="F31" i="12"/>
  <c r="R38" i="12"/>
  <c r="R37" i="12"/>
  <c r="R36" i="12"/>
  <c r="R35" i="12"/>
  <c r="R34" i="12"/>
  <c r="R33" i="12"/>
  <c r="R32" i="12"/>
  <c r="R39" i="12" s="1"/>
  <c r="Q37" i="12"/>
  <c r="Q36" i="12"/>
  <c r="Q34" i="12"/>
  <c r="Q33" i="12"/>
  <c r="Q38" i="12"/>
  <c r="Q35" i="12"/>
  <c r="Q32" i="12"/>
  <c r="R30" i="12"/>
  <c r="Q30" i="12"/>
  <c r="R29" i="12"/>
  <c r="Q29" i="12"/>
  <c r="R26" i="12"/>
  <c r="R25" i="12"/>
  <c r="R24" i="12"/>
  <c r="R27" i="12" s="1"/>
  <c r="Q26" i="12"/>
  <c r="Q25" i="12"/>
  <c r="Q24" i="12"/>
  <c r="G39" i="12" l="1"/>
  <c r="Q39" i="12"/>
  <c r="G31" i="12"/>
  <c r="K39" i="12"/>
  <c r="Q31" i="12"/>
  <c r="K31" i="12"/>
  <c r="Q27" i="12"/>
  <c r="K27" i="12"/>
  <c r="G27" i="12"/>
  <c r="R31" i="12"/>
  <c r="T67" i="4"/>
  <c r="S61" i="4"/>
  <c r="R61" i="4"/>
  <c r="Q61" i="4"/>
  <c r="P61" i="4"/>
  <c r="O61" i="4"/>
  <c r="N61" i="4"/>
  <c r="M61" i="4"/>
  <c r="L61" i="4"/>
  <c r="K61" i="4"/>
  <c r="G61" i="4"/>
  <c r="F61" i="4"/>
  <c r="E61" i="4"/>
  <c r="H59" i="3"/>
  <c r="O59" i="3" s="1"/>
  <c r="F58" i="3"/>
  <c r="O58" i="3" s="1"/>
  <c r="F58" i="1"/>
  <c r="O58" i="1" s="1"/>
  <c r="H59" i="1"/>
  <c r="O59" i="1" s="1"/>
  <c r="O59" i="2" l="1"/>
  <c r="O58" i="2"/>
  <c r="H61" i="4"/>
  <c r="T61" i="4" s="1"/>
  <c r="I61" i="4"/>
  <c r="U61" i="4" s="1"/>
  <c r="H59" i="2"/>
  <c r="J61" i="4" s="1"/>
  <c r="J58" i="2"/>
  <c r="L58" i="2"/>
  <c r="L57" i="2"/>
  <c r="L56" i="2"/>
  <c r="L55" i="2"/>
  <c r="L54" i="2"/>
  <c r="J54" i="2"/>
  <c r="H58" i="2"/>
  <c r="F58" i="2"/>
  <c r="H57" i="2"/>
  <c r="F57" i="2"/>
  <c r="H56" i="2"/>
  <c r="F56" i="2"/>
  <c r="F54" i="2"/>
  <c r="H52" i="3"/>
  <c r="O52" i="3" s="1"/>
  <c r="H54" i="3"/>
  <c r="O54" i="3" s="1"/>
  <c r="H55" i="3"/>
  <c r="F55" i="3"/>
  <c r="O55" i="3" s="1"/>
  <c r="H54" i="1"/>
  <c r="O54" i="1" s="1"/>
  <c r="O54" i="2" s="1"/>
  <c r="F55" i="1"/>
  <c r="H55" i="1"/>
  <c r="H52" i="1"/>
  <c r="O52" i="1" s="1"/>
  <c r="B59" i="2"/>
  <c r="B63" i="2"/>
  <c r="B64" i="2"/>
  <c r="B68" i="2"/>
  <c r="B69" i="2"/>
  <c r="B70" i="2"/>
  <c r="B71" i="2"/>
  <c r="B59" i="3"/>
  <c r="B63" i="3"/>
  <c r="B64" i="3"/>
  <c r="B68" i="3"/>
  <c r="B69" i="3"/>
  <c r="B70" i="3"/>
  <c r="B71" i="3"/>
  <c r="B59" i="1"/>
  <c r="B63" i="1"/>
  <c r="B64" i="1"/>
  <c r="B68" i="1"/>
  <c r="B69" i="1"/>
  <c r="B70" i="1"/>
  <c r="B71" i="1"/>
  <c r="B73" i="1"/>
  <c r="H55" i="2" l="1"/>
  <c r="O52" i="2"/>
  <c r="H54" i="2"/>
  <c r="F55" i="2"/>
  <c r="O55" i="1"/>
  <c r="O55" i="2" s="1"/>
  <c r="L53" i="2"/>
  <c r="J53" i="2"/>
  <c r="H53" i="2"/>
  <c r="F53" i="2"/>
  <c r="L52" i="2"/>
  <c r="J52" i="2"/>
  <c r="H52" i="2"/>
  <c r="F52" i="2"/>
  <c r="H48" i="3" l="1"/>
  <c r="O48" i="3" s="1"/>
  <c r="H48" i="1"/>
  <c r="O48" i="1" s="1"/>
  <c r="F48" i="2"/>
  <c r="O50" i="3" l="1"/>
  <c r="O49" i="3"/>
  <c r="O47" i="3"/>
  <c r="O46" i="3"/>
  <c r="L48" i="2"/>
  <c r="L47" i="2"/>
  <c r="L46" i="2"/>
  <c r="J46" i="2"/>
  <c r="H50" i="2"/>
  <c r="H49" i="2"/>
  <c r="H48" i="2"/>
  <c r="H47" i="2"/>
  <c r="H46" i="2"/>
  <c r="F47" i="2"/>
  <c r="F46" i="2"/>
  <c r="O50" i="1"/>
  <c r="O49" i="1"/>
  <c r="O48" i="2"/>
  <c r="O47" i="1"/>
  <c r="O46" i="1"/>
  <c r="O50" i="2" l="1"/>
  <c r="O49" i="2"/>
  <c r="O47" i="2"/>
  <c r="O46" i="2"/>
  <c r="R125" i="4"/>
  <c r="Q125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K81" i="4"/>
  <c r="E81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S52" i="4"/>
  <c r="R52" i="4"/>
  <c r="Q52" i="4"/>
  <c r="P52" i="4"/>
  <c r="O52" i="4"/>
  <c r="N52" i="4"/>
  <c r="M52" i="4"/>
  <c r="L52" i="4"/>
  <c r="K52" i="4"/>
  <c r="J52" i="4"/>
  <c r="I52" i="4"/>
  <c r="U52" i="4" s="1"/>
  <c r="H52" i="4"/>
  <c r="T52" i="4" s="1"/>
  <c r="G52" i="4"/>
  <c r="F52" i="4"/>
  <c r="E52" i="4"/>
  <c r="S51" i="4"/>
  <c r="R51" i="4"/>
  <c r="Q51" i="4"/>
  <c r="P51" i="4"/>
  <c r="O51" i="4"/>
  <c r="N51" i="4"/>
  <c r="M51" i="4"/>
  <c r="L51" i="4"/>
  <c r="K51" i="4"/>
  <c r="J51" i="4"/>
  <c r="I51" i="4"/>
  <c r="U51" i="4" s="1"/>
  <c r="H51" i="4"/>
  <c r="T51" i="4" s="1"/>
  <c r="G51" i="4"/>
  <c r="F51" i="4"/>
  <c r="E51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B58" i="2"/>
  <c r="B57" i="2"/>
  <c r="B56" i="2"/>
  <c r="B55" i="2"/>
  <c r="B54" i="2"/>
  <c r="B53" i="2"/>
  <c r="B52" i="2"/>
  <c r="B50" i="2"/>
  <c r="B49" i="2"/>
  <c r="B48" i="2"/>
  <c r="B47" i="2"/>
  <c r="B46" i="2"/>
  <c r="B58" i="3"/>
  <c r="B57" i="3"/>
  <c r="B56" i="3"/>
  <c r="B55" i="3"/>
  <c r="B54" i="3"/>
  <c r="B53" i="3"/>
  <c r="B52" i="3"/>
  <c r="B50" i="3"/>
  <c r="B49" i="3"/>
  <c r="B48" i="3"/>
  <c r="B47" i="3"/>
  <c r="B46" i="3"/>
  <c r="B58" i="1"/>
  <c r="B57" i="1"/>
  <c r="B56" i="1"/>
  <c r="B55" i="1"/>
  <c r="B54" i="1"/>
  <c r="B53" i="1"/>
  <c r="B52" i="1"/>
  <c r="B50" i="1"/>
  <c r="B49" i="1"/>
  <c r="B48" i="1"/>
  <c r="B47" i="1"/>
  <c r="B46" i="1"/>
  <c r="H62" i="4" l="1"/>
  <c r="L53" i="4"/>
  <c r="L62" i="4"/>
  <c r="T50" i="4"/>
  <c r="U50" i="4"/>
  <c r="E62" i="4"/>
  <c r="O81" i="4"/>
  <c r="F81" i="4"/>
  <c r="G81" i="4" s="1"/>
  <c r="I62" i="4"/>
  <c r="K62" i="4"/>
  <c r="O62" i="4"/>
  <c r="U55" i="4"/>
  <c r="T56" i="4"/>
  <c r="U57" i="4"/>
  <c r="T58" i="4"/>
  <c r="T60" i="4"/>
  <c r="J74" i="4"/>
  <c r="M74" i="4"/>
  <c r="J81" i="4"/>
  <c r="L81" i="4"/>
  <c r="M81" i="4" s="1"/>
  <c r="N81" i="4"/>
  <c r="N62" i="4"/>
  <c r="U59" i="4"/>
  <c r="U60" i="4"/>
  <c r="U56" i="4"/>
  <c r="T57" i="4"/>
  <c r="U54" i="4"/>
  <c r="F62" i="4"/>
  <c r="U58" i="4"/>
  <c r="T59" i="4"/>
  <c r="U49" i="4"/>
  <c r="F53" i="4"/>
  <c r="T48" i="4"/>
  <c r="T49" i="4"/>
  <c r="K53" i="4"/>
  <c r="U48" i="4"/>
  <c r="T55" i="4"/>
  <c r="M62" i="4"/>
  <c r="T54" i="4"/>
  <c r="G74" i="4"/>
  <c r="P67" i="4"/>
  <c r="G67" i="4"/>
  <c r="J67" i="4"/>
  <c r="P62" i="4"/>
  <c r="J62" i="4"/>
  <c r="T53" i="4"/>
  <c r="E53" i="4"/>
  <c r="N53" i="4"/>
  <c r="H53" i="4"/>
  <c r="O53" i="4"/>
  <c r="I53" i="4"/>
  <c r="M53" i="4"/>
  <c r="F41" i="1"/>
  <c r="U53" i="4" l="1"/>
  <c r="T62" i="4"/>
  <c r="P81" i="4"/>
  <c r="P74" i="4"/>
  <c r="U62" i="4"/>
  <c r="G62" i="4"/>
  <c r="P53" i="4"/>
  <c r="G53" i="4"/>
  <c r="J53" i="4"/>
  <c r="O44" i="3"/>
  <c r="O43" i="3"/>
  <c r="O42" i="3"/>
  <c r="O41" i="3"/>
  <c r="O40" i="3"/>
  <c r="O39" i="3"/>
  <c r="O38" i="3"/>
  <c r="H37" i="1"/>
  <c r="H37" i="3"/>
  <c r="H37" i="2" s="1"/>
  <c r="J39" i="4" s="1"/>
  <c r="H44" i="2"/>
  <c r="H43" i="2"/>
  <c r="H42" i="2"/>
  <c r="J44" i="4" s="1"/>
  <c r="H41" i="2"/>
  <c r="F41" i="2"/>
  <c r="G43" i="4" s="1"/>
  <c r="L40" i="2"/>
  <c r="P42" i="4" s="1"/>
  <c r="H40" i="2"/>
  <c r="F40" i="2"/>
  <c r="G42" i="4" s="1"/>
  <c r="L39" i="2"/>
  <c r="P41" i="4" s="1"/>
  <c r="H39" i="2"/>
  <c r="F39" i="2"/>
  <c r="L38" i="2"/>
  <c r="H38" i="2"/>
  <c r="J40" i="4" s="1"/>
  <c r="F38" i="2"/>
  <c r="G40" i="4" s="1"/>
  <c r="L37" i="2"/>
  <c r="J37" i="2"/>
  <c r="F37" i="2"/>
  <c r="S46" i="4"/>
  <c r="R46" i="4"/>
  <c r="Q46" i="4"/>
  <c r="P46" i="4"/>
  <c r="O46" i="4"/>
  <c r="N46" i="4"/>
  <c r="M46" i="4"/>
  <c r="L46" i="4"/>
  <c r="K46" i="4"/>
  <c r="J46" i="4"/>
  <c r="I46" i="4"/>
  <c r="U46" i="4" s="1"/>
  <c r="H46" i="4"/>
  <c r="T46" i="4" s="1"/>
  <c r="G46" i="4"/>
  <c r="F46" i="4"/>
  <c r="E46" i="4"/>
  <c r="S45" i="4"/>
  <c r="R45" i="4"/>
  <c r="Q45" i="4"/>
  <c r="P45" i="4"/>
  <c r="O45" i="4"/>
  <c r="N45" i="4"/>
  <c r="M45" i="4"/>
  <c r="L45" i="4"/>
  <c r="K45" i="4"/>
  <c r="J45" i="4"/>
  <c r="I45" i="4"/>
  <c r="U45" i="4" s="1"/>
  <c r="H45" i="4"/>
  <c r="T45" i="4" s="1"/>
  <c r="G45" i="4"/>
  <c r="F45" i="4"/>
  <c r="E45" i="4"/>
  <c r="S44" i="4"/>
  <c r="R44" i="4"/>
  <c r="Q44" i="4"/>
  <c r="P44" i="4"/>
  <c r="O44" i="4"/>
  <c r="N44" i="4"/>
  <c r="M44" i="4"/>
  <c r="L44" i="4"/>
  <c r="K44" i="4"/>
  <c r="I44" i="4"/>
  <c r="U44" i="4" s="1"/>
  <c r="H44" i="4"/>
  <c r="T44" i="4" s="1"/>
  <c r="G44" i="4"/>
  <c r="F44" i="4"/>
  <c r="E44" i="4"/>
  <c r="S43" i="4"/>
  <c r="R43" i="4"/>
  <c r="N30" i="12" s="1"/>
  <c r="Q43" i="4"/>
  <c r="M30" i="12" s="1"/>
  <c r="P43" i="4"/>
  <c r="O43" i="4"/>
  <c r="N43" i="4"/>
  <c r="M43" i="4"/>
  <c r="L43" i="4"/>
  <c r="K43" i="4"/>
  <c r="J43" i="4"/>
  <c r="I43" i="4"/>
  <c r="H43" i="4"/>
  <c r="F43" i="4"/>
  <c r="E43" i="4"/>
  <c r="S42" i="4"/>
  <c r="R42" i="4"/>
  <c r="N29" i="12" s="1"/>
  <c r="Q42" i="4"/>
  <c r="M29" i="12" s="1"/>
  <c r="O42" i="4"/>
  <c r="N42" i="4"/>
  <c r="M42" i="4"/>
  <c r="L42" i="4"/>
  <c r="K42" i="4"/>
  <c r="J42" i="4"/>
  <c r="I42" i="4"/>
  <c r="H42" i="4"/>
  <c r="F42" i="4"/>
  <c r="U42" i="4" s="1"/>
  <c r="E42" i="4"/>
  <c r="S41" i="4"/>
  <c r="R41" i="4"/>
  <c r="N28" i="12" s="1"/>
  <c r="Q41" i="4"/>
  <c r="M28" i="12" s="1"/>
  <c r="O41" i="4"/>
  <c r="N41" i="4"/>
  <c r="M41" i="4"/>
  <c r="L41" i="4"/>
  <c r="L47" i="4" s="1"/>
  <c r="K41" i="4"/>
  <c r="J41" i="4"/>
  <c r="I41" i="4"/>
  <c r="H41" i="4"/>
  <c r="G41" i="4"/>
  <c r="F41" i="4"/>
  <c r="E41" i="4"/>
  <c r="S40" i="4"/>
  <c r="R40" i="4"/>
  <c r="Q40" i="4"/>
  <c r="P40" i="4"/>
  <c r="O40" i="4"/>
  <c r="N40" i="4"/>
  <c r="M40" i="4"/>
  <c r="L40" i="4"/>
  <c r="K40" i="4"/>
  <c r="I40" i="4"/>
  <c r="H40" i="4"/>
  <c r="F40" i="4"/>
  <c r="E40" i="4"/>
  <c r="S39" i="4"/>
  <c r="R39" i="4"/>
  <c r="Q39" i="4"/>
  <c r="P39" i="4"/>
  <c r="O39" i="4"/>
  <c r="N39" i="4"/>
  <c r="M39" i="4"/>
  <c r="L39" i="4"/>
  <c r="K39" i="4"/>
  <c r="H39" i="4"/>
  <c r="G39" i="4"/>
  <c r="F39" i="4"/>
  <c r="E39" i="4"/>
  <c r="B44" i="2"/>
  <c r="B43" i="2"/>
  <c r="B42" i="2"/>
  <c r="B41" i="2"/>
  <c r="B40" i="2"/>
  <c r="B39" i="2"/>
  <c r="B38" i="2"/>
  <c r="B37" i="2"/>
  <c r="B44" i="3"/>
  <c r="B43" i="3"/>
  <c r="B42" i="3"/>
  <c r="B41" i="3"/>
  <c r="B40" i="3"/>
  <c r="B39" i="3"/>
  <c r="B38" i="3"/>
  <c r="B37" i="3"/>
  <c r="O44" i="1"/>
  <c r="O44" i="2" s="1"/>
  <c r="O43" i="1"/>
  <c r="O43" i="2" s="1"/>
  <c r="O42" i="1"/>
  <c r="O42" i="2" s="1"/>
  <c r="O41" i="1"/>
  <c r="O40" i="1"/>
  <c r="O39" i="1"/>
  <c r="O39" i="2" s="1"/>
  <c r="O38" i="1"/>
  <c r="B44" i="1"/>
  <c r="B43" i="1"/>
  <c r="B42" i="1"/>
  <c r="B41" i="1"/>
  <c r="B40" i="1"/>
  <c r="B39" i="1"/>
  <c r="B38" i="1"/>
  <c r="B37" i="1"/>
  <c r="O38" i="2" l="1"/>
  <c r="F47" i="4"/>
  <c r="H47" i="4"/>
  <c r="O41" i="2"/>
  <c r="O37" i="3"/>
  <c r="T40" i="4"/>
  <c r="U41" i="4"/>
  <c r="T43" i="4"/>
  <c r="T41" i="4"/>
  <c r="K47" i="4"/>
  <c r="M47" i="4" s="1"/>
  <c r="U43" i="4"/>
  <c r="E47" i="4"/>
  <c r="G47" i="4" s="1"/>
  <c r="O47" i="4"/>
  <c r="P47" i="4" s="1"/>
  <c r="U40" i="4"/>
  <c r="T42" i="4"/>
  <c r="O40" i="2"/>
  <c r="N47" i="4"/>
  <c r="T39" i="4"/>
  <c r="O37" i="1"/>
  <c r="I39" i="4"/>
  <c r="S37" i="4"/>
  <c r="R37" i="4"/>
  <c r="Q37" i="4"/>
  <c r="P37" i="4"/>
  <c r="O37" i="4"/>
  <c r="N37" i="4"/>
  <c r="M37" i="4"/>
  <c r="L37" i="4"/>
  <c r="K37" i="4"/>
  <c r="I37" i="4"/>
  <c r="U37" i="4" s="1"/>
  <c r="H37" i="4"/>
  <c r="T37" i="4" s="1"/>
  <c r="G37" i="4"/>
  <c r="F37" i="4"/>
  <c r="E37" i="4"/>
  <c r="S36" i="4"/>
  <c r="R36" i="4"/>
  <c r="Q36" i="4"/>
  <c r="P36" i="4"/>
  <c r="O36" i="4"/>
  <c r="N36" i="4"/>
  <c r="M36" i="4"/>
  <c r="L36" i="4"/>
  <c r="K36" i="4"/>
  <c r="I36" i="4"/>
  <c r="U36" i="4" s="1"/>
  <c r="H36" i="4"/>
  <c r="T36" i="4" s="1"/>
  <c r="G36" i="4"/>
  <c r="F36" i="4"/>
  <c r="E36" i="4"/>
  <c r="S35" i="4"/>
  <c r="N26" i="12" s="1"/>
  <c r="R35" i="4"/>
  <c r="M26" i="12" s="1"/>
  <c r="Q35" i="4"/>
  <c r="P35" i="4"/>
  <c r="O35" i="4"/>
  <c r="N35" i="4"/>
  <c r="M35" i="4"/>
  <c r="L35" i="4"/>
  <c r="K35" i="4"/>
  <c r="I35" i="4"/>
  <c r="H35" i="4"/>
  <c r="G35" i="4"/>
  <c r="F35" i="4"/>
  <c r="E35" i="4"/>
  <c r="S34" i="4"/>
  <c r="N25" i="12" s="1"/>
  <c r="R34" i="4"/>
  <c r="Q34" i="4"/>
  <c r="M21" i="12" s="1"/>
  <c r="O34" i="4"/>
  <c r="J21" i="12" s="1"/>
  <c r="N34" i="4"/>
  <c r="I21" i="12" s="1"/>
  <c r="Q21" i="12" s="1"/>
  <c r="M34" i="4"/>
  <c r="L34" i="4"/>
  <c r="F21" i="12" s="1"/>
  <c r="K34" i="4"/>
  <c r="E21" i="12" s="1"/>
  <c r="F34" i="4"/>
  <c r="E34" i="4"/>
  <c r="S33" i="4"/>
  <c r="N24" i="12" s="1"/>
  <c r="R33" i="4"/>
  <c r="Q33" i="4"/>
  <c r="M20" i="12" s="1"/>
  <c r="O33" i="4"/>
  <c r="J20" i="12" s="1"/>
  <c r="N33" i="4"/>
  <c r="I20" i="12" s="1"/>
  <c r="L33" i="4"/>
  <c r="F20" i="12" s="1"/>
  <c r="K33" i="4"/>
  <c r="E20" i="12" s="1"/>
  <c r="Q20" i="12" s="1"/>
  <c r="I33" i="4"/>
  <c r="H33" i="4"/>
  <c r="F33" i="4"/>
  <c r="E33" i="4"/>
  <c r="S32" i="4"/>
  <c r="N23" i="12" s="1"/>
  <c r="R32" i="4"/>
  <c r="Q32" i="4"/>
  <c r="M19" i="12" s="1"/>
  <c r="O32" i="4"/>
  <c r="J19" i="12" s="1"/>
  <c r="N32" i="4"/>
  <c r="I19" i="12" s="1"/>
  <c r="L32" i="4"/>
  <c r="K32" i="4"/>
  <c r="E19" i="12" s="1"/>
  <c r="I32" i="4"/>
  <c r="H32" i="4"/>
  <c r="F32" i="4"/>
  <c r="E32" i="4"/>
  <c r="H32" i="3"/>
  <c r="H34" i="4" s="1"/>
  <c r="H32" i="1"/>
  <c r="I34" i="4" s="1"/>
  <c r="L32" i="2"/>
  <c r="P34" i="4" s="1"/>
  <c r="L31" i="2"/>
  <c r="P33" i="4" s="1"/>
  <c r="L30" i="2"/>
  <c r="P32" i="4" s="1"/>
  <c r="J31" i="2"/>
  <c r="M33" i="4" s="1"/>
  <c r="J30" i="2"/>
  <c r="M32" i="4" s="1"/>
  <c r="H35" i="2"/>
  <c r="J37" i="4" s="1"/>
  <c r="H34" i="2"/>
  <c r="J36" i="4" s="1"/>
  <c r="H33" i="2"/>
  <c r="J35" i="4" s="1"/>
  <c r="H31" i="2"/>
  <c r="J33" i="4" s="1"/>
  <c r="H30" i="2"/>
  <c r="J32" i="4" s="1"/>
  <c r="F32" i="2"/>
  <c r="G34" i="4" s="1"/>
  <c r="F31" i="2"/>
  <c r="G33" i="4" s="1"/>
  <c r="F30" i="2"/>
  <c r="G32" i="4" s="1"/>
  <c r="O35" i="3"/>
  <c r="O34" i="3"/>
  <c r="O33" i="3"/>
  <c r="O31" i="3"/>
  <c r="O30" i="3"/>
  <c r="O35" i="1"/>
  <c r="O34" i="1"/>
  <c r="O33" i="1"/>
  <c r="O33" i="2" s="1"/>
  <c r="O31" i="1"/>
  <c r="O31" i="2" s="1"/>
  <c r="O30" i="1"/>
  <c r="B35" i="1"/>
  <c r="B34" i="1"/>
  <c r="B33" i="1"/>
  <c r="B32" i="1"/>
  <c r="B31" i="1"/>
  <c r="B30" i="1"/>
  <c r="O34" i="2" l="1"/>
  <c r="F38" i="4"/>
  <c r="T33" i="4"/>
  <c r="O37" i="2"/>
  <c r="O32" i="3"/>
  <c r="L38" i="4"/>
  <c r="O35" i="2"/>
  <c r="O30" i="2"/>
  <c r="U34" i="4"/>
  <c r="T47" i="4"/>
  <c r="N20" i="12"/>
  <c r="M24" i="12"/>
  <c r="N21" i="12"/>
  <c r="M25" i="12"/>
  <c r="N19" i="12"/>
  <c r="M23" i="12"/>
  <c r="K20" i="12"/>
  <c r="I47" i="4"/>
  <c r="U39" i="4"/>
  <c r="U47" i="4" s="1"/>
  <c r="I22" i="12"/>
  <c r="T34" i="4"/>
  <c r="T32" i="4"/>
  <c r="U33" i="4"/>
  <c r="E22" i="12"/>
  <c r="Q19" i="12"/>
  <c r="Q22" i="12" s="1"/>
  <c r="K19" i="12"/>
  <c r="J22" i="12"/>
  <c r="G20" i="12"/>
  <c r="R20" i="12"/>
  <c r="K21" i="12"/>
  <c r="R21" i="12"/>
  <c r="H38" i="4"/>
  <c r="U32" i="4"/>
  <c r="E38" i="4"/>
  <c r="G38" i="4" s="1"/>
  <c r="K38" i="4"/>
  <c r="N38" i="4"/>
  <c r="F19" i="12"/>
  <c r="I38" i="4"/>
  <c r="O38" i="4"/>
  <c r="T35" i="4"/>
  <c r="T38" i="4" s="1"/>
  <c r="U35" i="4"/>
  <c r="H32" i="2"/>
  <c r="J34" i="4" s="1"/>
  <c r="O32" i="1"/>
  <c r="N7" i="12"/>
  <c r="M7" i="12"/>
  <c r="N6" i="12"/>
  <c r="M6" i="12"/>
  <c r="N5" i="12"/>
  <c r="M5" i="12"/>
  <c r="M38" i="4" l="1"/>
  <c r="J38" i="4"/>
  <c r="O32" i="2"/>
  <c r="K22" i="12"/>
  <c r="P38" i="4"/>
  <c r="U38" i="4"/>
  <c r="J47" i="4"/>
  <c r="R19" i="12"/>
  <c r="R22" i="12" s="1"/>
  <c r="F22" i="12"/>
  <c r="G22" i="12" s="1"/>
  <c r="G19" i="12"/>
  <c r="N74" i="12"/>
  <c r="N76" i="12" s="1"/>
  <c r="M74" i="12"/>
  <c r="M76" i="12" s="1"/>
  <c r="J7" i="12"/>
  <c r="R7" i="12" s="1"/>
  <c r="I7" i="12"/>
  <c r="F7" i="12"/>
  <c r="E7" i="12"/>
  <c r="J6" i="12"/>
  <c r="R6" i="12" s="1"/>
  <c r="I6" i="12"/>
  <c r="F6" i="12"/>
  <c r="E6" i="12"/>
  <c r="J5" i="12"/>
  <c r="I5" i="12"/>
  <c r="F5" i="12"/>
  <c r="E5" i="12"/>
  <c r="Q5" i="12" s="1"/>
  <c r="N4" i="12"/>
  <c r="J4" i="12"/>
  <c r="F4" i="12"/>
  <c r="M4" i="12"/>
  <c r="I4" i="12"/>
  <c r="E4" i="12"/>
  <c r="I8" i="12" l="1"/>
  <c r="R4" i="12"/>
  <c r="Q4" i="12"/>
  <c r="J8" i="12"/>
  <c r="K5" i="12"/>
  <c r="K6" i="12"/>
  <c r="K7" i="12"/>
  <c r="K4" i="12"/>
  <c r="G5" i="12"/>
  <c r="E8" i="12"/>
  <c r="Q7" i="12"/>
  <c r="R5" i="12"/>
  <c r="G4" i="12"/>
  <c r="F8" i="12"/>
  <c r="Q6" i="12"/>
  <c r="B7" i="12"/>
  <c r="B6" i="12"/>
  <c r="B5" i="12"/>
  <c r="B4" i="12"/>
  <c r="O28" i="3"/>
  <c r="O27" i="3"/>
  <c r="O26" i="3"/>
  <c r="O25" i="3"/>
  <c r="O24" i="3"/>
  <c r="O23" i="3"/>
  <c r="O22" i="3"/>
  <c r="O21" i="3"/>
  <c r="O28" i="1"/>
  <c r="O28" i="2" s="1"/>
  <c r="O27" i="1"/>
  <c r="O27" i="2" s="1"/>
  <c r="O26" i="1"/>
  <c r="O26" i="2" s="1"/>
  <c r="O25" i="1"/>
  <c r="O25" i="2" s="1"/>
  <c r="O24" i="1"/>
  <c r="O24" i="2" s="1"/>
  <c r="O23" i="1"/>
  <c r="O23" i="2" s="1"/>
  <c r="O22" i="1"/>
  <c r="O22" i="2" s="1"/>
  <c r="O21" i="1"/>
  <c r="O21" i="2" s="1"/>
  <c r="K8" i="12" l="1"/>
  <c r="R8" i="12"/>
  <c r="Q8" i="12"/>
  <c r="G8" i="12"/>
  <c r="J22" i="2" l="1"/>
  <c r="M24" i="4" s="1"/>
  <c r="L24" i="2"/>
  <c r="P26" i="4" s="1"/>
  <c r="L23" i="2"/>
  <c r="L22" i="2"/>
  <c r="P24" i="4" s="1"/>
  <c r="L21" i="2"/>
  <c r="P23" i="4" s="1"/>
  <c r="H28" i="2"/>
  <c r="J30" i="4" s="1"/>
  <c r="H27" i="2"/>
  <c r="J29" i="4" s="1"/>
  <c r="H26" i="2"/>
  <c r="J28" i="4" s="1"/>
  <c r="H25" i="2"/>
  <c r="H24" i="2"/>
  <c r="H23" i="2"/>
  <c r="H22" i="2"/>
  <c r="J24" i="4" s="1"/>
  <c r="H21" i="2"/>
  <c r="F25" i="2"/>
  <c r="G27" i="4" s="1"/>
  <c r="F24" i="2"/>
  <c r="F23" i="2"/>
  <c r="G25" i="4" s="1"/>
  <c r="F22" i="2"/>
  <c r="G24" i="4" s="1"/>
  <c r="S30" i="4"/>
  <c r="R30" i="4"/>
  <c r="Q30" i="4"/>
  <c r="P30" i="4"/>
  <c r="O30" i="4"/>
  <c r="N30" i="4"/>
  <c r="M30" i="4"/>
  <c r="L30" i="4"/>
  <c r="K30" i="4"/>
  <c r="I30" i="4"/>
  <c r="U30" i="4" s="1"/>
  <c r="H30" i="4"/>
  <c r="T30" i="4" s="1"/>
  <c r="G30" i="4"/>
  <c r="F30" i="4"/>
  <c r="E30" i="4"/>
  <c r="S29" i="4"/>
  <c r="R29" i="4"/>
  <c r="Q29" i="4"/>
  <c r="P29" i="4"/>
  <c r="O29" i="4"/>
  <c r="N29" i="4"/>
  <c r="M29" i="4"/>
  <c r="L29" i="4"/>
  <c r="K29" i="4"/>
  <c r="I29" i="4"/>
  <c r="U29" i="4" s="1"/>
  <c r="H29" i="4"/>
  <c r="T29" i="4" s="1"/>
  <c r="G29" i="4"/>
  <c r="F29" i="4"/>
  <c r="E29" i="4"/>
  <c r="S28" i="4"/>
  <c r="R28" i="4"/>
  <c r="Q28" i="4"/>
  <c r="P28" i="4"/>
  <c r="O28" i="4"/>
  <c r="N28" i="4"/>
  <c r="M28" i="4"/>
  <c r="L28" i="4"/>
  <c r="K28" i="4"/>
  <c r="I28" i="4"/>
  <c r="U28" i="4" s="1"/>
  <c r="H28" i="4"/>
  <c r="T28" i="4" s="1"/>
  <c r="G28" i="4"/>
  <c r="F28" i="4"/>
  <c r="E28" i="4"/>
  <c r="S27" i="4"/>
  <c r="R27" i="4"/>
  <c r="Q27" i="4"/>
  <c r="P27" i="4"/>
  <c r="O27" i="4"/>
  <c r="N27" i="4"/>
  <c r="M27" i="4"/>
  <c r="L27" i="4"/>
  <c r="K27" i="4"/>
  <c r="J27" i="4"/>
  <c r="I27" i="4"/>
  <c r="H27" i="4"/>
  <c r="F27" i="4"/>
  <c r="E27" i="4"/>
  <c r="S26" i="4"/>
  <c r="N17" i="12" s="1"/>
  <c r="R26" i="4"/>
  <c r="M17" i="12" s="1"/>
  <c r="Q26" i="4"/>
  <c r="O26" i="4"/>
  <c r="N26" i="4"/>
  <c r="M26" i="4"/>
  <c r="L26" i="4"/>
  <c r="F17" i="12" s="1"/>
  <c r="K26" i="4"/>
  <c r="E17" i="12" s="1"/>
  <c r="J26" i="4"/>
  <c r="I26" i="4"/>
  <c r="H26" i="4"/>
  <c r="G26" i="4"/>
  <c r="F26" i="4"/>
  <c r="E26" i="4"/>
  <c r="S25" i="4"/>
  <c r="N16" i="12" s="1"/>
  <c r="R25" i="4"/>
  <c r="M16" i="12" s="1"/>
  <c r="Q25" i="4"/>
  <c r="P25" i="4"/>
  <c r="O25" i="4"/>
  <c r="J16" i="12" s="1"/>
  <c r="N25" i="4"/>
  <c r="I16" i="12" s="1"/>
  <c r="Q16" i="12" s="1"/>
  <c r="M25" i="4"/>
  <c r="L25" i="4"/>
  <c r="F16" i="12" s="1"/>
  <c r="K25" i="4"/>
  <c r="E16" i="12" s="1"/>
  <c r="J25" i="4"/>
  <c r="I25" i="4"/>
  <c r="H25" i="4"/>
  <c r="F25" i="4"/>
  <c r="U25" i="4" s="1"/>
  <c r="E25" i="4"/>
  <c r="T25" i="4" s="1"/>
  <c r="S24" i="4"/>
  <c r="N15" i="12" s="1"/>
  <c r="R24" i="4"/>
  <c r="M15" i="12" s="1"/>
  <c r="Q24" i="4"/>
  <c r="O24" i="4"/>
  <c r="J15" i="12" s="1"/>
  <c r="N24" i="4"/>
  <c r="I15" i="12" s="1"/>
  <c r="L24" i="4"/>
  <c r="K24" i="4"/>
  <c r="I24" i="4"/>
  <c r="H24" i="4"/>
  <c r="F24" i="4"/>
  <c r="E24" i="4"/>
  <c r="S23" i="4"/>
  <c r="N14" i="12" s="1"/>
  <c r="R23" i="4"/>
  <c r="M14" i="12" s="1"/>
  <c r="Q23" i="4"/>
  <c r="O23" i="4"/>
  <c r="J14" i="12" s="1"/>
  <c r="N23" i="4"/>
  <c r="I14" i="12" s="1"/>
  <c r="M23" i="4"/>
  <c r="L23" i="4"/>
  <c r="F14" i="12" s="1"/>
  <c r="K23" i="4"/>
  <c r="E14" i="12" s="1"/>
  <c r="J23" i="4"/>
  <c r="I23" i="4"/>
  <c r="H23" i="4"/>
  <c r="T23" i="4" s="1"/>
  <c r="G23" i="4"/>
  <c r="F23" i="4"/>
  <c r="E23" i="4"/>
  <c r="B28" i="4"/>
  <c r="B30" i="4"/>
  <c r="B29" i="4"/>
  <c r="B27" i="4"/>
  <c r="B26" i="4"/>
  <c r="B25" i="4"/>
  <c r="B24" i="4"/>
  <c r="B23" i="4"/>
  <c r="B28" i="2"/>
  <c r="B27" i="2"/>
  <c r="B26" i="2"/>
  <c r="B25" i="2"/>
  <c r="B24" i="2"/>
  <c r="B23" i="2"/>
  <c r="B22" i="2"/>
  <c r="B21" i="2"/>
  <c r="B28" i="3"/>
  <c r="B27" i="3"/>
  <c r="B26" i="3"/>
  <c r="B25" i="3"/>
  <c r="B24" i="3"/>
  <c r="B23" i="3"/>
  <c r="B22" i="3"/>
  <c r="B21" i="3"/>
  <c r="B28" i="1"/>
  <c r="B27" i="1"/>
  <c r="B26" i="1"/>
  <c r="B25" i="1"/>
  <c r="B24" i="1"/>
  <c r="B23" i="1"/>
  <c r="B22" i="1"/>
  <c r="B21" i="1"/>
  <c r="U23" i="4" l="1"/>
  <c r="T24" i="4"/>
  <c r="Q14" i="12"/>
  <c r="E15" i="12"/>
  <c r="K31" i="4"/>
  <c r="E31" i="4"/>
  <c r="O31" i="4"/>
  <c r="J17" i="12"/>
  <c r="J18" i="12" s="1"/>
  <c r="K14" i="12"/>
  <c r="R14" i="12"/>
  <c r="U24" i="4"/>
  <c r="F15" i="12"/>
  <c r="L31" i="4"/>
  <c r="K15" i="12"/>
  <c r="K16" i="12"/>
  <c r="R16" i="12"/>
  <c r="F31" i="4"/>
  <c r="N31" i="4"/>
  <c r="I17" i="12"/>
  <c r="Q17" i="12" s="1"/>
  <c r="U27" i="4"/>
  <c r="T26" i="4"/>
  <c r="T27" i="4"/>
  <c r="U26" i="4"/>
  <c r="O19" i="1"/>
  <c r="O18" i="1"/>
  <c r="O17" i="1"/>
  <c r="O16" i="1"/>
  <c r="O15" i="1"/>
  <c r="O14" i="1"/>
  <c r="O19" i="3"/>
  <c r="O18" i="3"/>
  <c r="O17" i="3"/>
  <c r="O16" i="3"/>
  <c r="O15" i="3"/>
  <c r="O14" i="3"/>
  <c r="S21" i="4"/>
  <c r="R21" i="4"/>
  <c r="Q21" i="4"/>
  <c r="P21" i="4"/>
  <c r="O21" i="4"/>
  <c r="N21" i="4"/>
  <c r="M21" i="4"/>
  <c r="L21" i="4"/>
  <c r="K21" i="4"/>
  <c r="I21" i="4"/>
  <c r="U21" i="4" s="1"/>
  <c r="H21" i="4"/>
  <c r="T21" i="4" s="1"/>
  <c r="G21" i="4"/>
  <c r="F21" i="4"/>
  <c r="E21" i="4"/>
  <c r="S20" i="4"/>
  <c r="R20" i="4"/>
  <c r="N12" i="12" s="1"/>
  <c r="Q20" i="4"/>
  <c r="M12" i="12" s="1"/>
  <c r="O20" i="4"/>
  <c r="J12" i="12" s="1"/>
  <c r="N20" i="4"/>
  <c r="I12" i="12" s="1"/>
  <c r="Q12" i="12" s="1"/>
  <c r="M20" i="4"/>
  <c r="L20" i="4"/>
  <c r="F12" i="12" s="1"/>
  <c r="K20" i="4"/>
  <c r="E12" i="12" s="1"/>
  <c r="I20" i="4"/>
  <c r="H20" i="4"/>
  <c r="G20" i="4"/>
  <c r="F20" i="4"/>
  <c r="E20" i="4"/>
  <c r="S19" i="4"/>
  <c r="R19" i="4"/>
  <c r="N11" i="12" s="1"/>
  <c r="Q19" i="4"/>
  <c r="M11" i="12" s="1"/>
  <c r="O19" i="4"/>
  <c r="J11" i="12" s="1"/>
  <c r="N19" i="4"/>
  <c r="I11" i="12" s="1"/>
  <c r="Q11" i="12" s="1"/>
  <c r="M19" i="4"/>
  <c r="L19" i="4"/>
  <c r="F11" i="12" s="1"/>
  <c r="K19" i="4"/>
  <c r="E11" i="12" s="1"/>
  <c r="I19" i="4"/>
  <c r="H19" i="4"/>
  <c r="F19" i="4"/>
  <c r="E19" i="4"/>
  <c r="S18" i="4"/>
  <c r="R18" i="4"/>
  <c r="N10" i="12" s="1"/>
  <c r="Q18" i="4"/>
  <c r="M10" i="12" s="1"/>
  <c r="O18" i="4"/>
  <c r="J10" i="12" s="1"/>
  <c r="N18" i="4"/>
  <c r="I10" i="12" s="1"/>
  <c r="L18" i="4"/>
  <c r="F10" i="12" s="1"/>
  <c r="K18" i="4"/>
  <c r="E10" i="12" s="1"/>
  <c r="I18" i="4"/>
  <c r="H18" i="4"/>
  <c r="F18" i="4"/>
  <c r="E18" i="4"/>
  <c r="S17" i="4"/>
  <c r="R17" i="4"/>
  <c r="N9" i="12" s="1"/>
  <c r="Q17" i="4"/>
  <c r="M9" i="12" s="1"/>
  <c r="O17" i="4"/>
  <c r="J9" i="12" s="1"/>
  <c r="N17" i="4"/>
  <c r="I9" i="12" s="1"/>
  <c r="L17" i="4"/>
  <c r="F9" i="12" s="1"/>
  <c r="K17" i="4"/>
  <c r="E9" i="12" s="1"/>
  <c r="I17" i="4"/>
  <c r="H17" i="4"/>
  <c r="F17" i="4"/>
  <c r="E17" i="4"/>
  <c r="S16" i="4"/>
  <c r="R16" i="4"/>
  <c r="Q16" i="4"/>
  <c r="P16" i="4"/>
  <c r="O16" i="4"/>
  <c r="N16" i="4"/>
  <c r="M16" i="4"/>
  <c r="L16" i="4"/>
  <c r="K16" i="4"/>
  <c r="I16" i="4"/>
  <c r="U16" i="4" s="1"/>
  <c r="H16" i="4"/>
  <c r="T16" i="4" s="1"/>
  <c r="G16" i="4"/>
  <c r="F16" i="4"/>
  <c r="E16" i="4"/>
  <c r="O15" i="2" l="1"/>
  <c r="O17" i="2"/>
  <c r="O19" i="2"/>
  <c r="O14" i="2"/>
  <c r="O16" i="2"/>
  <c r="O18" i="2"/>
  <c r="U19" i="4"/>
  <c r="I13" i="12"/>
  <c r="I74" i="12" s="1"/>
  <c r="T19" i="4"/>
  <c r="T18" i="4"/>
  <c r="F13" i="12"/>
  <c r="G9" i="12"/>
  <c r="R9" i="12"/>
  <c r="R15" i="12"/>
  <c r="F18" i="12"/>
  <c r="G15" i="12"/>
  <c r="R10" i="12"/>
  <c r="G10" i="12"/>
  <c r="U17" i="4"/>
  <c r="E13" i="12"/>
  <c r="Q9" i="12"/>
  <c r="J13" i="12"/>
  <c r="J74" i="12" s="1"/>
  <c r="K9" i="12"/>
  <c r="U18" i="4"/>
  <c r="Q10" i="12"/>
  <c r="K10" i="12"/>
  <c r="K11" i="12"/>
  <c r="R11" i="12"/>
  <c r="K12" i="12"/>
  <c r="R12" i="12"/>
  <c r="K17" i="12"/>
  <c r="R17" i="12"/>
  <c r="R18" i="12" s="1"/>
  <c r="E18" i="12"/>
  <c r="Q15" i="12"/>
  <c r="Q18" i="12" s="1"/>
  <c r="I18" i="12"/>
  <c r="T17" i="4"/>
  <c r="T20" i="4"/>
  <c r="U20" i="4"/>
  <c r="E74" i="12" l="1"/>
  <c r="F74" i="12"/>
  <c r="I76" i="12"/>
  <c r="E76" i="12"/>
  <c r="K18" i="12"/>
  <c r="Q13" i="12"/>
  <c r="Q74" i="12" s="1"/>
  <c r="K13" i="12"/>
  <c r="G18" i="12"/>
  <c r="R13" i="12"/>
  <c r="R74" i="12" s="1"/>
  <c r="G13" i="12"/>
  <c r="L18" i="2"/>
  <c r="P20" i="4" s="1"/>
  <c r="L17" i="2"/>
  <c r="P19" i="4" s="1"/>
  <c r="L16" i="2"/>
  <c r="P18" i="4" s="1"/>
  <c r="L15" i="2"/>
  <c r="P17" i="4" s="1"/>
  <c r="J16" i="2"/>
  <c r="M18" i="4" s="1"/>
  <c r="J15" i="2"/>
  <c r="M17" i="4" s="1"/>
  <c r="H19" i="2"/>
  <c r="J21" i="4" s="1"/>
  <c r="H18" i="2"/>
  <c r="J20" i="4" s="1"/>
  <c r="H17" i="2"/>
  <c r="J19" i="4" s="1"/>
  <c r="H16" i="2"/>
  <c r="J18" i="4" s="1"/>
  <c r="H15" i="2"/>
  <c r="J17" i="4" s="1"/>
  <c r="H14" i="2"/>
  <c r="J16" i="4" s="1"/>
  <c r="F17" i="2"/>
  <c r="G19" i="4" s="1"/>
  <c r="F16" i="2"/>
  <c r="G18" i="4" s="1"/>
  <c r="F15" i="2"/>
  <c r="G17" i="4" s="1"/>
  <c r="B19" i="2"/>
  <c r="B18" i="2"/>
  <c r="B17" i="2"/>
  <c r="B16" i="2"/>
  <c r="B15" i="2"/>
  <c r="B14" i="2"/>
  <c r="B19" i="3"/>
  <c r="B18" i="3"/>
  <c r="B17" i="3"/>
  <c r="B16" i="3"/>
  <c r="B15" i="3"/>
  <c r="B14" i="3"/>
  <c r="B19" i="1"/>
  <c r="B18" i="1"/>
  <c r="B17" i="1"/>
  <c r="B16" i="1"/>
  <c r="B15" i="1"/>
  <c r="B14" i="1"/>
  <c r="Q76" i="12" l="1"/>
  <c r="K74" i="12"/>
  <c r="K76" i="12" s="1"/>
  <c r="G74" i="12"/>
  <c r="G76" i="12" s="1"/>
  <c r="L11" i="2"/>
  <c r="P13" i="4" s="1"/>
  <c r="L10" i="2"/>
  <c r="L9" i="2"/>
  <c r="J9" i="2"/>
  <c r="M11" i="4" s="1"/>
  <c r="L8" i="2"/>
  <c r="P10" i="4" s="1"/>
  <c r="J8" i="2"/>
  <c r="M10" i="4" s="1"/>
  <c r="H12" i="2"/>
  <c r="H11" i="2"/>
  <c r="J13" i="4" s="1"/>
  <c r="H10" i="2"/>
  <c r="H9" i="2"/>
  <c r="J11" i="4" s="1"/>
  <c r="F11" i="2"/>
  <c r="G13" i="4" s="1"/>
  <c r="F10" i="2"/>
  <c r="G12" i="4" s="1"/>
  <c r="F9" i="2"/>
  <c r="F8" i="2"/>
  <c r="G10" i="4" s="1"/>
  <c r="H8" i="3"/>
  <c r="S14" i="4"/>
  <c r="R14" i="4"/>
  <c r="Q14" i="4"/>
  <c r="P14" i="4"/>
  <c r="O14" i="4"/>
  <c r="N14" i="4"/>
  <c r="M14" i="4"/>
  <c r="L14" i="4"/>
  <c r="K14" i="4"/>
  <c r="J14" i="4"/>
  <c r="I14" i="4"/>
  <c r="U14" i="4" s="1"/>
  <c r="H14" i="4"/>
  <c r="T14" i="4" s="1"/>
  <c r="G14" i="4"/>
  <c r="F14" i="4"/>
  <c r="E14" i="4"/>
  <c r="S13" i="4"/>
  <c r="R13" i="4"/>
  <c r="Q13" i="4"/>
  <c r="O13" i="4"/>
  <c r="N13" i="4"/>
  <c r="M13" i="4"/>
  <c r="L13" i="4"/>
  <c r="K13" i="4"/>
  <c r="I13" i="4"/>
  <c r="H13" i="4"/>
  <c r="F13" i="4"/>
  <c r="E13" i="4"/>
  <c r="S12" i="4"/>
  <c r="R12" i="4"/>
  <c r="Q12" i="4"/>
  <c r="P12" i="4"/>
  <c r="O12" i="4"/>
  <c r="N12" i="4"/>
  <c r="M12" i="4"/>
  <c r="L12" i="4"/>
  <c r="K12" i="4"/>
  <c r="J12" i="4"/>
  <c r="I12" i="4"/>
  <c r="H12" i="4"/>
  <c r="F12" i="4"/>
  <c r="E12" i="4"/>
  <c r="S11" i="4"/>
  <c r="R11" i="4"/>
  <c r="Q11" i="4"/>
  <c r="P11" i="4"/>
  <c r="O11" i="4"/>
  <c r="N11" i="4"/>
  <c r="L11" i="4"/>
  <c r="K11" i="4"/>
  <c r="I11" i="4"/>
  <c r="H11" i="4"/>
  <c r="G11" i="4"/>
  <c r="F11" i="4"/>
  <c r="E11" i="4"/>
  <c r="S10" i="4"/>
  <c r="R10" i="4"/>
  <c r="Q10" i="4"/>
  <c r="O10" i="4"/>
  <c r="N10" i="4"/>
  <c r="L10" i="4"/>
  <c r="K10" i="4"/>
  <c r="H10" i="4"/>
  <c r="F10" i="4"/>
  <c r="E10" i="4"/>
  <c r="B14" i="4"/>
  <c r="B13" i="4"/>
  <c r="B12" i="4"/>
  <c r="B11" i="4"/>
  <c r="B10" i="4"/>
  <c r="O12" i="3"/>
  <c r="O11" i="3"/>
  <c r="O10" i="3"/>
  <c r="O9" i="3"/>
  <c r="O8" i="3"/>
  <c r="O12" i="1"/>
  <c r="O12" i="2" s="1"/>
  <c r="O11" i="1"/>
  <c r="O11" i="2" s="1"/>
  <c r="O10" i="1"/>
  <c r="O9" i="1"/>
  <c r="B12" i="2"/>
  <c r="B11" i="2"/>
  <c r="B10" i="2"/>
  <c r="B9" i="2"/>
  <c r="B8" i="2"/>
  <c r="B12" i="3"/>
  <c r="B11" i="3"/>
  <c r="B10" i="3"/>
  <c r="B9" i="3"/>
  <c r="B8" i="3"/>
  <c r="H8" i="1"/>
  <c r="B12" i="1"/>
  <c r="B11" i="1"/>
  <c r="B10" i="1"/>
  <c r="B9" i="1"/>
  <c r="B8" i="1"/>
  <c r="O9" i="2" l="1"/>
  <c r="O10" i="2"/>
  <c r="H8" i="2"/>
  <c r="J10" i="4" s="1"/>
  <c r="H127" i="1"/>
  <c r="U12" i="4"/>
  <c r="T12" i="4"/>
  <c r="T10" i="4"/>
  <c r="U13" i="4"/>
  <c r="I10" i="4"/>
  <c r="U10" i="4" s="1"/>
  <c r="U11" i="4"/>
  <c r="O8" i="1"/>
  <c r="O8" i="2" s="1"/>
  <c r="T11" i="4"/>
  <c r="T13" i="4"/>
  <c r="H6" i="2"/>
  <c r="H5" i="2"/>
  <c r="H4" i="2"/>
  <c r="H3" i="2"/>
  <c r="H2" i="2" l="1"/>
  <c r="B8" i="4" l="1"/>
  <c r="B7" i="4"/>
  <c r="B6" i="4"/>
  <c r="B5" i="4"/>
  <c r="B4" i="4"/>
  <c r="B6" i="2"/>
  <c r="B5" i="2"/>
  <c r="B4" i="2"/>
  <c r="B3" i="2"/>
  <c r="B2" i="2"/>
  <c r="O6" i="3"/>
  <c r="B6" i="3"/>
  <c r="O5" i="3"/>
  <c r="B5" i="3"/>
  <c r="O4" i="3"/>
  <c r="B4" i="3"/>
  <c r="O3" i="3"/>
  <c r="B3" i="3"/>
  <c r="O2" i="3"/>
  <c r="B2" i="3"/>
  <c r="B5" i="6"/>
  <c r="B8" i="6"/>
  <c r="C9" i="6"/>
  <c r="D9" i="6"/>
  <c r="E9" i="6"/>
  <c r="O6" i="1"/>
  <c r="O5" i="1"/>
  <c r="O5" i="2" s="1"/>
  <c r="O4" i="1"/>
  <c r="O3" i="1"/>
  <c r="O3" i="2" s="1"/>
  <c r="O2" i="1"/>
  <c r="O2" i="2" s="1"/>
  <c r="O4" i="2" l="1"/>
  <c r="O6" i="2"/>
  <c r="D55" i="8"/>
  <c r="E55" i="8"/>
  <c r="O123" i="3" l="1"/>
  <c r="L22" i="4" l="1"/>
  <c r="K22" i="4"/>
  <c r="F22" i="4"/>
  <c r="E22" i="4"/>
  <c r="H31" i="4"/>
  <c r="O22" i="4"/>
  <c r="I22" i="4"/>
  <c r="H22" i="4"/>
  <c r="N22" i="4"/>
  <c r="P31" i="4" l="1"/>
  <c r="M22" i="4"/>
  <c r="M31" i="4"/>
  <c r="T22" i="4"/>
  <c r="T31" i="4"/>
  <c r="G31" i="4"/>
  <c r="U22" i="4"/>
  <c r="G22" i="4"/>
  <c r="P22" i="4"/>
  <c r="J22" i="4"/>
  <c r="O15" i="4" l="1"/>
  <c r="N15" i="4"/>
  <c r="K15" i="4"/>
  <c r="I15" i="4"/>
  <c r="H15" i="4"/>
  <c r="F15" i="4"/>
  <c r="E15" i="4"/>
  <c r="J15" i="4" l="1"/>
  <c r="T15" i="4"/>
  <c r="P15" i="4"/>
  <c r="G15" i="4"/>
  <c r="U15" i="4"/>
  <c r="L15" i="4"/>
  <c r="S8" i="4"/>
  <c r="R8" i="4"/>
  <c r="Q8" i="4"/>
  <c r="P8" i="4"/>
  <c r="O8" i="4"/>
  <c r="N8" i="4"/>
  <c r="M8" i="4"/>
  <c r="L8" i="4"/>
  <c r="K8" i="4"/>
  <c r="I8" i="4"/>
  <c r="U8" i="4" s="1"/>
  <c r="H8" i="4"/>
  <c r="T8" i="4" s="1"/>
  <c r="G8" i="4"/>
  <c r="F8" i="4"/>
  <c r="E8" i="4"/>
  <c r="S7" i="4"/>
  <c r="R7" i="4"/>
  <c r="Q7" i="4"/>
  <c r="O7" i="4"/>
  <c r="N7" i="4"/>
  <c r="L7" i="4"/>
  <c r="K7" i="4"/>
  <c r="I7" i="4"/>
  <c r="U7" i="4" s="1"/>
  <c r="H7" i="4"/>
  <c r="T7" i="4" s="1"/>
  <c r="F7" i="4"/>
  <c r="E7" i="4"/>
  <c r="S6" i="4"/>
  <c r="R6" i="4"/>
  <c r="Q6" i="4"/>
  <c r="O6" i="4"/>
  <c r="N6" i="4"/>
  <c r="L6" i="4"/>
  <c r="K6" i="4"/>
  <c r="I6" i="4"/>
  <c r="U6" i="4" s="1"/>
  <c r="H6" i="4"/>
  <c r="T6" i="4" s="1"/>
  <c r="F6" i="4"/>
  <c r="E6" i="4"/>
  <c r="J8" i="4"/>
  <c r="P7" i="4"/>
  <c r="M7" i="4"/>
  <c r="J7" i="4"/>
  <c r="G7" i="4"/>
  <c r="P6" i="4"/>
  <c r="M6" i="4"/>
  <c r="J6" i="4"/>
  <c r="G6" i="4"/>
  <c r="B9" i="6"/>
  <c r="B6" i="1"/>
  <c r="B5" i="1"/>
  <c r="B4" i="1"/>
  <c r="B3" i="1"/>
  <c r="B2" i="1"/>
  <c r="M15" i="4" l="1"/>
  <c r="L127" i="1" l="1"/>
  <c r="E22" i="11"/>
  <c r="E22" i="10"/>
  <c r="E22" i="9"/>
  <c r="D22" i="11" l="1"/>
  <c r="D22" i="10"/>
  <c r="F55" i="8"/>
  <c r="H124" i="1" s="1"/>
  <c r="F22" i="11" l="1"/>
  <c r="L124" i="1" s="1"/>
  <c r="L125" i="1" s="1"/>
  <c r="J75" i="12" s="1"/>
  <c r="J76" i="12" s="1"/>
  <c r="F22" i="10"/>
  <c r="J124" i="1" s="1"/>
  <c r="D22" i="9" l="1"/>
  <c r="F22" i="9" l="1"/>
  <c r="F124" i="1" s="1"/>
  <c r="H123" i="3" l="1"/>
  <c r="J123" i="3"/>
  <c r="L123" i="3"/>
  <c r="N123" i="3"/>
  <c r="O126" i="4" l="1"/>
  <c r="R5" i="4" l="1"/>
  <c r="Q5" i="4"/>
  <c r="O5" i="4"/>
  <c r="N5" i="4"/>
  <c r="L5" i="4"/>
  <c r="K5" i="4"/>
  <c r="I5" i="4"/>
  <c r="U5" i="4" s="1"/>
  <c r="H5" i="4"/>
  <c r="T5" i="4" s="1"/>
  <c r="F5" i="4"/>
  <c r="E5" i="4"/>
  <c r="S4" i="4"/>
  <c r="R4" i="4"/>
  <c r="Q4" i="4"/>
  <c r="P4" i="4"/>
  <c r="O4" i="4"/>
  <c r="N4" i="4"/>
  <c r="L4" i="4"/>
  <c r="K4" i="4"/>
  <c r="I4" i="4"/>
  <c r="H4" i="4"/>
  <c r="F4" i="4"/>
  <c r="F9" i="4" s="1"/>
  <c r="F125" i="4" s="1"/>
  <c r="E4" i="4"/>
  <c r="E9" i="4" s="1"/>
  <c r="E125" i="4" s="1"/>
  <c r="N123" i="1"/>
  <c r="J123" i="1"/>
  <c r="J127" i="1" s="1"/>
  <c r="K9" i="4" l="1"/>
  <c r="K125" i="4" s="1"/>
  <c r="J125" i="1"/>
  <c r="H9" i="4"/>
  <c r="H125" i="4" s="1"/>
  <c r="T4" i="4"/>
  <c r="T9" i="4" s="1"/>
  <c r="T125" i="4" s="1"/>
  <c r="I9" i="4"/>
  <c r="U4" i="4"/>
  <c r="U9" i="4" s="1"/>
  <c r="G9" i="4"/>
  <c r="N9" i="4"/>
  <c r="N125" i="4" s="1"/>
  <c r="O9" i="4"/>
  <c r="O125" i="4" s="1"/>
  <c r="L9" i="4"/>
  <c r="L125" i="4" s="1"/>
  <c r="N126" i="1"/>
  <c r="L126" i="1"/>
  <c r="L123" i="2"/>
  <c r="J123" i="2"/>
  <c r="J126" i="1" l="1"/>
  <c r="J128" i="1" s="1"/>
  <c r="F77" i="12" s="1"/>
  <c r="F75" i="12"/>
  <c r="L126" i="4"/>
  <c r="M125" i="4"/>
  <c r="M127" i="4" s="1"/>
  <c r="P125" i="4"/>
  <c r="P127" i="4" s="1"/>
  <c r="J9" i="4"/>
  <c r="N128" i="1"/>
  <c r="N77" i="12" s="1"/>
  <c r="N129" i="1"/>
  <c r="L128" i="1"/>
  <c r="J77" i="12" s="1"/>
  <c r="L129" i="1"/>
  <c r="J129" i="1"/>
  <c r="P9" i="4"/>
  <c r="M9" i="4"/>
  <c r="K127" i="4"/>
  <c r="R127" i="4"/>
  <c r="H127" i="4"/>
  <c r="Q127" i="4"/>
  <c r="R75" i="12" l="1"/>
  <c r="R76" i="12" s="1"/>
  <c r="F76" i="12"/>
  <c r="O128" i="4"/>
  <c r="R128" i="4"/>
  <c r="L127" i="4"/>
  <c r="N127" i="4"/>
  <c r="O127" i="4"/>
  <c r="L128" i="4"/>
  <c r="F123" i="3" l="1"/>
  <c r="S5" i="4" l="1"/>
  <c r="F123" i="1"/>
  <c r="F127" i="1" s="1"/>
  <c r="G5" i="4"/>
  <c r="J5" i="4"/>
  <c r="J4" i="4"/>
  <c r="F125" i="1" l="1"/>
  <c r="F126" i="1" s="1"/>
  <c r="M5" i="4"/>
  <c r="P5" i="4"/>
  <c r="M4" i="4"/>
  <c r="F123" i="2"/>
  <c r="G4" i="4"/>
  <c r="F126" i="4" l="1"/>
  <c r="F127" i="4" s="1"/>
  <c r="F129" i="1"/>
  <c r="F128" i="1"/>
  <c r="F128" i="4" s="1"/>
  <c r="G125" i="4"/>
  <c r="G127" i="4" s="1"/>
  <c r="E127" i="4"/>
  <c r="T127" i="4"/>
  <c r="H123" i="1" l="1"/>
  <c r="U31" i="4"/>
  <c r="U125" i="4" s="1"/>
  <c r="O127" i="1" l="1"/>
  <c r="H125" i="1"/>
  <c r="H126" i="1" s="1"/>
  <c r="H123" i="2"/>
  <c r="I31" i="4"/>
  <c r="I125" i="4" s="1"/>
  <c r="O123" i="1"/>
  <c r="I126" i="4" l="1"/>
  <c r="U126" i="4" s="1"/>
  <c r="U127" i="4" s="1"/>
  <c r="O125" i="1"/>
  <c r="O126" i="1" s="1"/>
  <c r="O128" i="1" s="1"/>
  <c r="J125" i="4"/>
  <c r="J127" i="4" s="1"/>
  <c r="H129" i="1"/>
  <c r="H128" i="1"/>
  <c r="I128" i="4" s="1"/>
  <c r="J31" i="4"/>
  <c r="O129" i="1"/>
  <c r="I12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Deibert, John R (DFW)</author>
  </authors>
  <commentList>
    <comment ref="E5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29th day 0f harvest.
</t>
        </r>
      </text>
    </comment>
    <comment ref="J5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13th day of harvest on Copalis Beach.</t>
        </r>
      </text>
    </comment>
    <comment ref="L58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30th day of harvest at Mocrocks beach.</t>
        </r>
      </text>
    </comment>
    <comment ref="G5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51st day of harvest on Twin Harbors beach.</t>
        </r>
      </text>
    </comment>
    <comment ref="H5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There was no count for January 05, 2014. Estimating that count was the same as previous day. January 04, 2014.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Deibert, John R (DFW)</author>
    <author>Ayres, Daniel L (DFW)</author>
  </authors>
  <commentList>
    <comment ref="B4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39% Exploitation rate.</t>
        </r>
      </text>
    </comment>
    <comment ref="B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40% Explotation rate.</t>
        </r>
      </text>
    </comment>
    <comment ref="B6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Ayres, Daniel L (DFW):</t>
        </r>
        <r>
          <rPr>
            <sz val="9"/>
            <color indexed="81"/>
            <rFont val="Tahoma"/>
            <family val="2"/>
          </rPr>
          <t xml:space="preserve">
minus agreed to payback of 161,153. QIN offered 250,000 clams from their share on May 1.</t>
        </r>
      </text>
    </comment>
    <comment ref="B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 xml:space="preserve">Deibert, John R (DFW):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Dan Ayres:</t>
        </r>
        <r>
          <rPr>
            <sz val="9"/>
            <color indexed="81"/>
            <rFont val="Tahoma"/>
            <family val="2"/>
          </rPr>
          <t xml:space="preserve">
variable ER with a MAX of 35% as agreed to by WDFW and QIN in 2012.13 Interium Agreement.</t>
        </r>
      </text>
    </comment>
    <comment ref="B8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Deibert, John R (DFW):</t>
        </r>
        <r>
          <rPr>
            <sz val="9"/>
            <color indexed="81"/>
            <rFont val="Tahoma"/>
            <family val="2"/>
          </rPr>
          <t xml:space="preserve">
25% Exploitation rate.</t>
        </r>
      </text>
    </comment>
  </commentList>
</comments>
</file>

<file path=xl/sharedStrings.xml><?xml version="1.0" encoding="utf-8"?>
<sst xmlns="http://schemas.openxmlformats.org/spreadsheetml/2006/main" count="1573" uniqueCount="54">
  <si>
    <t>Longbeach</t>
  </si>
  <si>
    <t>Twin Harbors</t>
  </si>
  <si>
    <t>Copalis</t>
  </si>
  <si>
    <t>Mocrocks</t>
  </si>
  <si>
    <t>Kalaloch</t>
  </si>
  <si>
    <t>Day</t>
  </si>
  <si>
    <t>Tide</t>
  </si>
  <si>
    <t>Time</t>
  </si>
  <si>
    <t>Date</t>
  </si>
  <si>
    <t>BeachName</t>
  </si>
  <si>
    <t>CPUE</t>
  </si>
  <si>
    <t>CLOSED</t>
  </si>
  <si>
    <t>Daily Totals</t>
  </si>
  <si>
    <t>ESTIMATED WASTAGE RATE:</t>
  </si>
  <si>
    <t>ESTIMATED TOTAL WASTAGE:</t>
  </si>
  <si>
    <t>SEASON TOTAL INCLUDING WASTAGE:</t>
  </si>
  <si>
    <t>% of TAC Harvested:</t>
  </si>
  <si>
    <t>clams left in TAC :</t>
  </si>
  <si>
    <t>*- estimate based on comparison of other beaches.        + - no harvest due to very heavy surf and storm warnings.</t>
  </si>
  <si>
    <t>SEASON TOTALS :</t>
  </si>
  <si>
    <t>LONG BEACH</t>
  </si>
  <si>
    <t>TWIN HARBORS</t>
  </si>
  <si>
    <t>COPALIS</t>
  </si>
  <si>
    <t>MOCROCKS</t>
  </si>
  <si>
    <t>KALALOCH</t>
  </si>
  <si>
    <t>DAILY TOTALS</t>
  </si>
  <si>
    <t>DATE</t>
  </si>
  <si>
    <t>DAY</t>
  </si>
  <si>
    <t>TIDE</t>
  </si>
  <si>
    <t>TIME</t>
  </si>
  <si>
    <t>Effort</t>
  </si>
  <si>
    <t>Harvest</t>
  </si>
  <si>
    <t>Tide Series Totals</t>
  </si>
  <si>
    <t>SEASON TOTALS:</t>
  </si>
  <si>
    <t>COASTWIDE TAC</t>
  </si>
  <si>
    <t>2009 FALL - 2010 SPRING NON-TRIBAL TOTAL ALLOWABLE CATCH (TAC)</t>
  </si>
  <si>
    <t>Size (mm)</t>
  </si>
  <si>
    <t>WASTAGE</t>
  </si>
  <si>
    <t>SEASON SUBTOTALS:</t>
  </si>
  <si>
    <t>EventID</t>
  </si>
  <si>
    <t>SumOfWastage</t>
  </si>
  <si>
    <t>SumOfTotHarvest</t>
  </si>
  <si>
    <t>2010 - 2011</t>
  </si>
  <si>
    <t>2011 - 2012</t>
  </si>
  <si>
    <t>2012 - 2013</t>
  </si>
  <si>
    <t xml:space="preserve">FALL 2013 - SPRING 2014 SEASON TOTALS: </t>
  </si>
  <si>
    <t>2013 - 2014</t>
  </si>
  <si>
    <t>CorrectionFactor</t>
  </si>
  <si>
    <t>LongBeach</t>
  </si>
  <si>
    <t>*</t>
  </si>
  <si>
    <t>2013-2014 State (non-Indian) Recreational Razor Clam Effort, Harvest and CPUE totals.</t>
  </si>
  <si>
    <t>Fall 2013 / Spring 2014 Harvest Rate (clams/day):</t>
  </si>
  <si>
    <t>**</t>
  </si>
  <si>
    <t>** - Seahawks play in Superbowl. Low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</si>
</sst>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[$-409]mmmm\ d\,\ yyyy;@"/>
    <numFmt numFmtId="165" formatCode="ddd"/>
    <numFmt numFmtId="166" formatCode="_(* #,##0_);_(* \(#,##0\);_(* &quot;-&quot;??_);_(@_)"/>
    <numFmt numFmtId="167" formatCode="#,##0.0_);\(#,##0.0\)"/>
    <numFmt numFmtId="168" formatCode="0.0"/>
    <numFmt numFmtId="169" formatCode="0.0%"/>
    <numFmt numFmtId="170" formatCode="[$-409]d\-mmm\-yy;@"/>
    <numFmt numFmtId="171" formatCode="dd\-mmm\-yy"/>
    <numFmt numFmtId="172" formatCode="#,##0.0"/>
    <numFmt numFmtId="173" formatCode="[$-409]h:mm\ AM/PM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2"/>
      <name val="Times New Roman"/>
      <family val="1"/>
    </font>
    <font>
      <b/>
      <i/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0"/>
      </top>
      <bottom/>
      <diagonal/>
    </border>
    <border>
      <left style="thick">
        <color indexed="0"/>
      </left>
      <right/>
      <top style="thick">
        <color indexed="0"/>
      </top>
      <bottom/>
      <diagonal/>
    </border>
    <border>
      <left/>
      <right/>
      <top/>
      <bottom style="thick">
        <color indexed="0"/>
      </bottom>
      <diagonal/>
    </border>
    <border>
      <left style="thick">
        <color indexed="0"/>
      </left>
      <right/>
      <top/>
      <bottom style="thick">
        <color indexed="0"/>
      </bottom>
      <diagonal/>
    </border>
    <border>
      <left style="thick">
        <color indexed="0"/>
      </left>
      <right/>
      <top/>
      <bottom/>
      <diagonal/>
    </border>
    <border>
      <left/>
      <right style="thick">
        <color indexed="0"/>
      </right>
      <top/>
      <bottom/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ck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thick">
        <color indexed="0"/>
      </right>
      <top style="thick">
        <color indexed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 style="thick">
        <color indexed="0"/>
      </right>
      <top/>
      <bottom style="thin">
        <color indexed="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3" fillId="0" borderId="0"/>
    <xf numFmtId="0" fontId="17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</cellStyleXfs>
  <cellXfs count="1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164" fontId="0" fillId="0" borderId="0" xfId="0" applyNumberFormat="1" applyBorder="1"/>
    <xf numFmtId="165" fontId="0" fillId="0" borderId="0" xfId="0" applyNumberFormat="1" applyBorder="1" applyAlignment="1">
      <alignment horizontal="center"/>
    </xf>
    <xf numFmtId="18" fontId="0" fillId="0" borderId="0" xfId="0" applyNumberFormat="1" applyBorder="1" applyAlignment="1">
      <alignment horizontal="center"/>
    </xf>
    <xf numFmtId="166" fontId="0" fillId="0" borderId="0" xfId="1" applyNumberFormat="1" applyFont="1" applyBorder="1" applyAlignment="1">
      <alignment horizontal="right"/>
    </xf>
    <xf numFmtId="37" fontId="0" fillId="0" borderId="0" xfId="1" applyNumberFormat="1" applyFont="1" applyBorder="1" applyAlignment="1">
      <alignment horizontal="center"/>
    </xf>
    <xf numFmtId="167" fontId="0" fillId="0" borderId="0" xfId="1" applyNumberFormat="1" applyFont="1" applyBorder="1" applyAlignment="1">
      <alignment horizontal="center"/>
    </xf>
    <xf numFmtId="3" fontId="0" fillId="0" borderId="0" xfId="0" applyNumberFormat="1"/>
    <xf numFmtId="0" fontId="2" fillId="0" borderId="0" xfId="0" applyFont="1" applyBorder="1" applyAlignment="1">
      <alignment horizontal="center"/>
    </xf>
    <xf numFmtId="1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2" fillId="0" borderId="0" xfId="0" applyFont="1"/>
    <xf numFmtId="37" fontId="0" fillId="0" borderId="0" xfId="0" applyNumberFormat="1"/>
    <xf numFmtId="167" fontId="0" fillId="0" borderId="0" xfId="0" applyNumberFormat="1"/>
    <xf numFmtId="0" fontId="4" fillId="0" borderId="0" xfId="0" applyFont="1" applyBorder="1" applyAlignment="1">
      <alignment horizontal="left"/>
    </xf>
    <xf numFmtId="0" fontId="4" fillId="0" borderId="0" xfId="0" applyFont="1" applyBorder="1" applyAlignment="1"/>
    <xf numFmtId="165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8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8" fontId="6" fillId="0" borderId="0" xfId="0" applyNumberFormat="1" applyFont="1" applyAlignment="1">
      <alignment horizontal="center"/>
    </xf>
    <xf numFmtId="0" fontId="5" fillId="0" borderId="3" xfId="0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3" fontId="5" fillId="0" borderId="5" xfId="0" applyNumberFormat="1" applyFont="1" applyFill="1" applyBorder="1" applyAlignment="1">
      <alignment horizontal="center"/>
    </xf>
    <xf numFmtId="16" fontId="5" fillId="0" borderId="0" xfId="0" applyNumberFormat="1" applyFont="1" applyBorder="1" applyAlignment="1">
      <alignment horizontal="center"/>
    </xf>
    <xf numFmtId="168" fontId="5" fillId="0" borderId="0" xfId="0" applyNumberFormat="1" applyFont="1" applyBorder="1" applyAlignment="1">
      <alignment horizontal="center"/>
    </xf>
    <xf numFmtId="18" fontId="5" fillId="0" borderId="0" xfId="0" applyNumberFormat="1" applyFont="1" applyBorder="1" applyAlignment="1">
      <alignment horizontal="center"/>
    </xf>
    <xf numFmtId="3" fontId="5" fillId="0" borderId="7" xfId="0" applyNumberFormat="1" applyFont="1" applyFill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168" fontId="5" fillId="0" borderId="8" xfId="0" applyNumberFormat="1" applyFont="1" applyFill="1" applyBorder="1" applyAlignment="1">
      <alignment horizontal="center"/>
    </xf>
    <xf numFmtId="168" fontId="9" fillId="0" borderId="9" xfId="0" applyNumberFormat="1" applyFont="1" applyFill="1" applyBorder="1" applyAlignment="1">
      <alignment horizontal="center"/>
    </xf>
    <xf numFmtId="3" fontId="9" fillId="0" borderId="10" xfId="0" applyNumberFormat="1" applyFont="1" applyFill="1" applyBorder="1" applyAlignment="1">
      <alignment horizontal="center"/>
    </xf>
    <xf numFmtId="3" fontId="9" fillId="0" borderId="9" xfId="0" applyNumberFormat="1" applyFont="1" applyFill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16" fontId="5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16" fontId="9" fillId="0" borderId="3" xfId="0" applyNumberFormat="1" applyFont="1" applyFill="1" applyBorder="1" applyAlignment="1">
      <alignment horizontal="left"/>
    </xf>
    <xf numFmtId="3" fontId="9" fillId="0" borderId="3" xfId="0" applyNumberFormat="1" applyFont="1" applyFill="1" applyBorder="1" applyAlignment="1">
      <alignment horizontal="center"/>
    </xf>
    <xf numFmtId="168" fontId="9" fillId="0" borderId="3" xfId="0" applyNumberFormat="1" applyFont="1" applyFill="1" applyBorder="1" applyAlignment="1">
      <alignment horizontal="center"/>
    </xf>
    <xf numFmtId="0" fontId="9" fillId="0" borderId="3" xfId="0" applyFont="1" applyFill="1" applyBorder="1" applyAlignment="1"/>
    <xf numFmtId="167" fontId="0" fillId="0" borderId="0" xfId="0" applyNumberFormat="1" applyAlignment="1">
      <alignment horizontal="center"/>
    </xf>
    <xf numFmtId="0" fontId="0" fillId="0" borderId="12" xfId="0" applyBorder="1" applyAlignment="1"/>
    <xf numFmtId="3" fontId="0" fillId="0" borderId="13" xfId="0" applyNumberFormat="1" applyBorder="1" applyAlignment="1"/>
    <xf numFmtId="0" fontId="0" fillId="0" borderId="14" xfId="0" applyBorder="1" applyAlignment="1"/>
    <xf numFmtId="3" fontId="0" fillId="0" borderId="15" xfId="0" applyNumberFormat="1" applyBorder="1" applyAlignment="1"/>
    <xf numFmtId="0" fontId="0" fillId="0" borderId="16" xfId="0" applyBorder="1" applyAlignment="1"/>
    <xf numFmtId="3" fontId="0" fillId="0" borderId="17" xfId="0" applyNumberFormat="1" applyBorder="1" applyAlignment="1"/>
    <xf numFmtId="0" fontId="7" fillId="0" borderId="18" xfId="0" applyFont="1" applyBorder="1" applyAlignment="1"/>
    <xf numFmtId="3" fontId="0" fillId="0" borderId="19" xfId="0" applyNumberFormat="1" applyBorder="1" applyAlignment="1"/>
    <xf numFmtId="0" fontId="2" fillId="0" borderId="0" xfId="0" applyFont="1" applyBorder="1" applyAlignment="1">
      <alignment horizontal="center"/>
    </xf>
    <xf numFmtId="164" fontId="0" fillId="0" borderId="0" xfId="0" applyNumberFormat="1" applyFont="1" applyBorder="1"/>
    <xf numFmtId="18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0" xfId="0" applyFont="1" applyBorder="1"/>
    <xf numFmtId="37" fontId="0" fillId="0" borderId="0" xfId="0" applyNumberFormat="1" applyFont="1"/>
    <xf numFmtId="0" fontId="0" fillId="0" borderId="0" xfId="0" applyFont="1" applyAlignment="1">
      <alignment horizontal="center"/>
    </xf>
    <xf numFmtId="18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right"/>
    </xf>
    <xf numFmtId="168" fontId="0" fillId="0" borderId="0" xfId="0" applyNumberFormat="1" applyFont="1" applyAlignment="1">
      <alignment horizontal="center"/>
    </xf>
    <xf numFmtId="0" fontId="0" fillId="0" borderId="0" xfId="0" applyFont="1"/>
    <xf numFmtId="0" fontId="10" fillId="0" borderId="0" xfId="0" applyFont="1" applyBorder="1" applyAlignment="1">
      <alignment horizontal="left"/>
    </xf>
    <xf numFmtId="37" fontId="0" fillId="0" borderId="0" xfId="0" applyNumberFormat="1" applyFont="1" applyAlignment="1">
      <alignment horizontal="center"/>
    </xf>
    <xf numFmtId="0" fontId="10" fillId="0" borderId="0" xfId="0" applyFont="1" applyBorder="1" applyAlignment="1"/>
    <xf numFmtId="0" fontId="11" fillId="0" borderId="0" xfId="0" applyFont="1" applyBorder="1" applyAlignment="1">
      <alignment horizontal="left"/>
    </xf>
    <xf numFmtId="3" fontId="0" fillId="0" borderId="0" xfId="0" applyNumberFormat="1" applyFont="1" applyAlignment="1">
      <alignment horizontal="center"/>
    </xf>
    <xf numFmtId="169" fontId="0" fillId="0" borderId="0" xfId="0" applyNumberFormat="1" applyFont="1" applyAlignment="1">
      <alignment horizontal="center"/>
    </xf>
    <xf numFmtId="169" fontId="0" fillId="0" borderId="0" xfId="2" applyNumberFormat="1" applyFont="1" applyAlignment="1">
      <alignment horizontal="center"/>
    </xf>
    <xf numFmtId="16" fontId="9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/>
    <xf numFmtId="3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3" fontId="9" fillId="0" borderId="21" xfId="0" applyNumberFormat="1" applyFont="1" applyFill="1" applyBorder="1" applyAlignment="1">
      <alignment horizontal="center"/>
    </xf>
    <xf numFmtId="168" fontId="9" fillId="0" borderId="21" xfId="0" applyNumberFormat="1" applyFont="1" applyFill="1" applyBorder="1" applyAlignment="1">
      <alignment horizontal="center"/>
    </xf>
    <xf numFmtId="3" fontId="9" fillId="0" borderId="22" xfId="0" applyNumberFormat="1" applyFont="1" applyFill="1" applyBorder="1" applyAlignment="1">
      <alignment horizontal="center"/>
    </xf>
    <xf numFmtId="169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/>
    <xf numFmtId="0" fontId="9" fillId="0" borderId="25" xfId="0" applyFont="1" applyBorder="1" applyAlignment="1"/>
    <xf numFmtId="16" fontId="9" fillId="0" borderId="20" xfId="0" applyNumberFormat="1" applyFont="1" applyFill="1" applyBorder="1" applyAlignment="1">
      <alignment horizontal="left"/>
    </xf>
    <xf numFmtId="0" fontId="9" fillId="0" borderId="21" xfId="0" applyFont="1" applyFill="1" applyBorder="1" applyAlignment="1"/>
    <xf numFmtId="0" fontId="8" fillId="0" borderId="23" xfId="0" applyFont="1" applyBorder="1" applyAlignment="1">
      <alignment horizontal="left"/>
    </xf>
    <xf numFmtId="0" fontId="0" fillId="0" borderId="0" xfId="0" applyAlignment="1">
      <alignment horizontal="left" indent="1"/>
    </xf>
    <xf numFmtId="37" fontId="0" fillId="0" borderId="0" xfId="1" applyNumberFormat="1" applyFont="1" applyAlignment="1">
      <alignment horizontal="center"/>
    </xf>
    <xf numFmtId="168" fontId="0" fillId="0" borderId="0" xfId="0" applyNumberFormat="1" applyBorder="1" applyAlignment="1">
      <alignment horizontal="center"/>
    </xf>
    <xf numFmtId="37" fontId="0" fillId="0" borderId="0" xfId="1" applyNumberFormat="1" applyFont="1" applyAlignment="1">
      <alignment horizontal="right"/>
    </xf>
    <xf numFmtId="1" fontId="0" fillId="0" borderId="0" xfId="0" applyNumberFormat="1"/>
    <xf numFmtId="0" fontId="12" fillId="0" borderId="1" xfId="3" applyFont="1" applyFill="1" applyBorder="1" applyAlignment="1">
      <alignment horizontal="right"/>
    </xf>
    <xf numFmtId="0" fontId="12" fillId="0" borderId="1" xfId="3" applyFont="1" applyFill="1" applyBorder="1" applyAlignment="1"/>
    <xf numFmtId="15" fontId="12" fillId="0" borderId="1" xfId="3" applyNumberFormat="1" applyFont="1" applyFill="1" applyBorder="1" applyAlignment="1">
      <alignment horizontal="right"/>
    </xf>
    <xf numFmtId="166" fontId="12" fillId="0" borderId="1" xfId="1" applyNumberFormat="1" applyFont="1" applyFill="1" applyBorder="1" applyAlignment="1">
      <alignment horizontal="right"/>
    </xf>
    <xf numFmtId="37" fontId="3" fillId="0" borderId="1" xfId="1" applyNumberFormat="1" applyFont="1" applyFill="1" applyBorder="1" applyAlignment="1">
      <alignment horizontal="right"/>
    </xf>
    <xf numFmtId="37" fontId="0" fillId="0" borderId="0" xfId="1" applyNumberFormat="1" applyFont="1" applyBorder="1" applyAlignment="1">
      <alignment horizontal="right"/>
    </xf>
    <xf numFmtId="170" fontId="0" fillId="0" borderId="0" xfId="0" applyNumberFormat="1" applyAlignment="1"/>
    <xf numFmtId="170" fontId="0" fillId="0" borderId="0" xfId="0" applyNumberFormat="1"/>
    <xf numFmtId="10" fontId="0" fillId="0" borderId="0" xfId="0" applyNumberFormat="1"/>
    <xf numFmtId="3" fontId="0" fillId="0" borderId="0" xfId="0" applyNumberFormat="1" applyAlignment="1"/>
    <xf numFmtId="166" fontId="0" fillId="0" borderId="0" xfId="1" applyNumberFormat="1" applyFont="1" applyAlignment="1"/>
    <xf numFmtId="0" fontId="16" fillId="2" borderId="2" xfId="4" applyFont="1" applyFill="1" applyBorder="1" applyAlignment="1">
      <alignment horizontal="center"/>
    </xf>
    <xf numFmtId="0" fontId="16" fillId="0" borderId="1" xfId="4" applyFont="1" applyFill="1" applyBorder="1" applyAlignment="1">
      <alignment wrapText="1"/>
    </xf>
    <xf numFmtId="171" fontId="16" fillId="0" borderId="1" xfId="4" applyNumberFormat="1" applyFont="1" applyFill="1" applyBorder="1" applyAlignment="1">
      <alignment horizontal="right" wrapText="1"/>
    </xf>
    <xf numFmtId="4" fontId="16" fillId="0" borderId="1" xfId="4" applyNumberFormat="1" applyFont="1" applyFill="1" applyBorder="1" applyAlignment="1">
      <alignment horizontal="right" wrapText="1"/>
    </xf>
    <xf numFmtId="0" fontId="16" fillId="0" borderId="1" xfId="4" applyFont="1" applyFill="1" applyBorder="1" applyAlignment="1">
      <alignment horizontal="right" wrapText="1"/>
    </xf>
    <xf numFmtId="3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67" fontId="0" fillId="0" borderId="0" xfId="0" applyNumberFormat="1" applyFont="1"/>
    <xf numFmtId="18" fontId="0" fillId="0" borderId="0" xfId="0" applyNumberFormat="1"/>
    <xf numFmtId="172" fontId="9" fillId="0" borderId="3" xfId="0" applyNumberFormat="1" applyFont="1" applyFill="1" applyBorder="1" applyAlignment="1">
      <alignment horizontal="center"/>
    </xf>
    <xf numFmtId="168" fontId="5" fillId="0" borderId="27" xfId="0" applyNumberFormat="1" applyFont="1" applyBorder="1" applyAlignment="1"/>
    <xf numFmtId="173" fontId="5" fillId="0" borderId="8" xfId="0" applyNumberFormat="1" applyFont="1" applyBorder="1" applyAlignment="1"/>
    <xf numFmtId="173" fontId="5" fillId="0" borderId="28" xfId="0" applyNumberFormat="1" applyFont="1" applyBorder="1" applyAlignment="1"/>
    <xf numFmtId="172" fontId="5" fillId="0" borderId="0" xfId="0" applyNumberFormat="1" applyFont="1" applyFill="1" applyBorder="1" applyAlignment="1">
      <alignment horizontal="center"/>
    </xf>
    <xf numFmtId="172" fontId="9" fillId="0" borderId="9" xfId="0" applyNumberFormat="1" applyFont="1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  <xf numFmtId="172" fontId="9" fillId="0" borderId="21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/>
    </xf>
    <xf numFmtId="3" fontId="9" fillId="0" borderId="7" xfId="0" applyNumberFormat="1" applyFont="1" applyFill="1" applyBorder="1" applyAlignment="1">
      <alignment horizontal="center"/>
    </xf>
    <xf numFmtId="3" fontId="5" fillId="0" borderId="29" xfId="0" applyNumberFormat="1" applyFont="1" applyFill="1" applyBorder="1" applyAlignment="1">
      <alignment horizontal="center"/>
    </xf>
    <xf numFmtId="168" fontId="5" fillId="0" borderId="30" xfId="0" applyNumberFormat="1" applyFont="1" applyFill="1" applyBorder="1" applyAlignment="1">
      <alignment horizontal="center"/>
    </xf>
    <xf numFmtId="3" fontId="9" fillId="0" borderId="31" xfId="0" applyNumberFormat="1" applyFont="1" applyFill="1" applyBorder="1" applyAlignment="1">
      <alignment horizontal="center"/>
    </xf>
    <xf numFmtId="173" fontId="5" fillId="0" borderId="0" xfId="0" applyNumberFormat="1" applyFont="1" applyBorder="1" applyAlignment="1"/>
    <xf numFmtId="3" fontId="9" fillId="0" borderId="33" xfId="0" applyNumberFormat="1" applyFont="1" applyFill="1" applyBorder="1" applyAlignment="1">
      <alignment horizontal="center"/>
    </xf>
    <xf numFmtId="168" fontId="9" fillId="0" borderId="34" xfId="0" applyNumberFormat="1" applyFont="1" applyFill="1" applyBorder="1" applyAlignment="1">
      <alignment horizontal="center"/>
    </xf>
    <xf numFmtId="16" fontId="9" fillId="0" borderId="32" xfId="0" applyNumberFormat="1" applyFont="1" applyFill="1" applyBorder="1" applyAlignment="1">
      <alignment horizontal="center"/>
    </xf>
    <xf numFmtId="16" fontId="9" fillId="0" borderId="31" xfId="0" applyNumberFormat="1" applyFont="1" applyFill="1" applyBorder="1" applyAlignment="1">
      <alignment horizontal="center"/>
    </xf>
    <xf numFmtId="16" fontId="18" fillId="0" borderId="0" xfId="0" applyNumberFormat="1" applyFont="1" applyFill="1" applyBorder="1" applyAlignment="1">
      <alignment horizontal="center"/>
    </xf>
    <xf numFmtId="173" fontId="18" fillId="0" borderId="0" xfId="0" applyNumberFormat="1" applyFont="1" applyBorder="1" applyAlignment="1"/>
    <xf numFmtId="0" fontId="19" fillId="2" borderId="2" xfId="5" applyFont="1" applyFill="1" applyBorder="1" applyAlignment="1">
      <alignment horizontal="center"/>
    </xf>
    <xf numFmtId="0" fontId="19" fillId="0" borderId="1" xfId="5" applyFont="1" applyFill="1" applyBorder="1" applyAlignment="1">
      <alignment wrapText="1"/>
    </xf>
    <xf numFmtId="171" fontId="19" fillId="0" borderId="1" xfId="5" applyNumberFormat="1" applyFont="1" applyFill="1" applyBorder="1" applyAlignment="1">
      <alignment horizontal="right" wrapText="1"/>
    </xf>
    <xf numFmtId="4" fontId="19" fillId="0" borderId="1" xfId="5" applyNumberFormat="1" applyFont="1" applyFill="1" applyBorder="1" applyAlignment="1">
      <alignment horizontal="right" wrapText="1"/>
    </xf>
    <xf numFmtId="0" fontId="19" fillId="0" borderId="1" xfId="5" applyFont="1" applyFill="1" applyBorder="1" applyAlignment="1">
      <alignment horizontal="right" wrapText="1"/>
    </xf>
    <xf numFmtId="0" fontId="19" fillId="2" borderId="2" xfId="6" applyFont="1" applyFill="1" applyBorder="1" applyAlignment="1">
      <alignment horizontal="center"/>
    </xf>
    <xf numFmtId="0" fontId="19" fillId="0" borderId="1" xfId="6" applyFont="1" applyFill="1" applyBorder="1" applyAlignment="1">
      <alignment horizontal="right" wrapText="1"/>
    </xf>
    <xf numFmtId="0" fontId="19" fillId="0" borderId="1" xfId="6" applyFont="1" applyFill="1" applyBorder="1" applyAlignment="1">
      <alignment wrapText="1"/>
    </xf>
    <xf numFmtId="171" fontId="19" fillId="0" borderId="1" xfId="6" applyNumberFormat="1" applyFont="1" applyFill="1" applyBorder="1" applyAlignment="1">
      <alignment horizontal="right" wrapText="1"/>
    </xf>
    <xf numFmtId="4" fontId="19" fillId="0" borderId="1" xfId="6" applyNumberFormat="1" applyFont="1" applyFill="1" applyBorder="1" applyAlignment="1">
      <alignment horizontal="right" wrapText="1"/>
    </xf>
    <xf numFmtId="0" fontId="19" fillId="0" borderId="0" xfId="6" applyFont="1" applyFill="1" applyBorder="1" applyAlignment="1">
      <alignment horizontal="right" wrapText="1"/>
    </xf>
    <xf numFmtId="0" fontId="19" fillId="0" borderId="0" xfId="6" applyFont="1" applyFill="1" applyBorder="1" applyAlignment="1">
      <alignment wrapText="1"/>
    </xf>
    <xf numFmtId="171" fontId="19" fillId="0" borderId="0" xfId="6" applyNumberFormat="1" applyFont="1" applyFill="1" applyBorder="1" applyAlignment="1">
      <alignment horizontal="right" wrapText="1"/>
    </xf>
    <xf numFmtId="4" fontId="19" fillId="0" borderId="0" xfId="6" applyNumberFormat="1" applyFont="1" applyFill="1" applyBorder="1" applyAlignment="1">
      <alignment horizontal="right" wrapText="1"/>
    </xf>
    <xf numFmtId="0" fontId="19" fillId="2" borderId="2" xfId="7" applyFont="1" applyFill="1" applyBorder="1" applyAlignment="1">
      <alignment horizontal="center"/>
    </xf>
    <xf numFmtId="0" fontId="19" fillId="0" borderId="1" xfId="7" applyFont="1" applyFill="1" applyBorder="1" applyAlignment="1">
      <alignment horizontal="right" wrapText="1"/>
    </xf>
    <xf numFmtId="0" fontId="19" fillId="0" borderId="1" xfId="7" applyFont="1" applyFill="1" applyBorder="1" applyAlignment="1">
      <alignment wrapText="1"/>
    </xf>
    <xf numFmtId="171" fontId="19" fillId="0" borderId="1" xfId="7" applyNumberFormat="1" applyFont="1" applyFill="1" applyBorder="1" applyAlignment="1">
      <alignment horizontal="right" wrapText="1"/>
    </xf>
    <xf numFmtId="4" fontId="19" fillId="0" borderId="1" xfId="7" applyNumberFormat="1" applyFont="1" applyFill="1" applyBorder="1" applyAlignment="1">
      <alignment horizontal="right" wrapText="1"/>
    </xf>
    <xf numFmtId="0" fontId="19" fillId="2" borderId="2" xfId="8" applyFont="1" applyFill="1" applyBorder="1" applyAlignment="1">
      <alignment horizontal="center"/>
    </xf>
    <xf numFmtId="0" fontId="19" fillId="0" borderId="1" xfId="8" applyFont="1" applyFill="1" applyBorder="1" applyAlignment="1">
      <alignment horizontal="right" wrapText="1"/>
    </xf>
    <xf numFmtId="0" fontId="19" fillId="0" borderId="1" xfId="8" applyFont="1" applyFill="1" applyBorder="1" applyAlignment="1">
      <alignment wrapText="1"/>
    </xf>
    <xf numFmtId="171" fontId="19" fillId="0" borderId="1" xfId="8" applyNumberFormat="1" applyFont="1" applyFill="1" applyBorder="1" applyAlignment="1">
      <alignment horizontal="right" wrapText="1"/>
    </xf>
    <xf numFmtId="4" fontId="19" fillId="0" borderId="1" xfId="8" applyNumberFormat="1" applyFont="1" applyFill="1" applyBorder="1" applyAlignment="1">
      <alignment horizontal="right" wrapText="1"/>
    </xf>
    <xf numFmtId="3" fontId="21" fillId="3" borderId="0" xfId="0" applyNumberFormat="1" applyFont="1" applyFill="1" applyAlignment="1">
      <alignment horizontal="center"/>
    </xf>
    <xf numFmtId="0" fontId="19" fillId="2" borderId="2" xfId="9" applyFont="1" applyFill="1" applyBorder="1" applyAlignment="1">
      <alignment horizontal="center"/>
    </xf>
    <xf numFmtId="0" fontId="19" fillId="0" borderId="1" xfId="9" applyFont="1" applyFill="1" applyBorder="1" applyAlignment="1">
      <alignment horizontal="right" wrapText="1"/>
    </xf>
    <xf numFmtId="0" fontId="19" fillId="0" borderId="1" xfId="9" applyFont="1" applyFill="1" applyBorder="1" applyAlignment="1">
      <alignment wrapText="1"/>
    </xf>
    <xf numFmtId="171" fontId="19" fillId="0" borderId="1" xfId="9" applyNumberFormat="1" applyFont="1" applyFill="1" applyBorder="1" applyAlignment="1">
      <alignment horizontal="right" wrapText="1"/>
    </xf>
    <xf numFmtId="4" fontId="19" fillId="0" borderId="1" xfId="9" applyNumberFormat="1" applyFont="1" applyFill="1" applyBorder="1" applyAlignment="1">
      <alignment horizontal="right" wrapText="1"/>
    </xf>
    <xf numFmtId="0" fontId="5" fillId="0" borderId="5" xfId="0" applyFont="1" applyBorder="1" applyAlignment="1"/>
    <xf numFmtId="0" fontId="2" fillId="0" borderId="0" xfId="0" applyFont="1" applyBorder="1" applyAlignment="1">
      <alignment horizontal="center"/>
    </xf>
    <xf numFmtId="16" fontId="9" fillId="0" borderId="9" xfId="0" applyNumberFormat="1" applyFont="1" applyFill="1" applyBorder="1" applyAlignment="1">
      <alignment horizontal="center"/>
    </xf>
    <xf numFmtId="16" fontId="9" fillId="0" borderId="26" xfId="0" applyNumberFormat="1" applyFont="1" applyFill="1" applyBorder="1" applyAlignment="1">
      <alignment horizontal="center"/>
    </xf>
    <xf numFmtId="3" fontId="5" fillId="0" borderId="4" xfId="0" applyNumberFormat="1" applyFont="1" applyFill="1" applyBorder="1" applyAlignment="1">
      <alignment horizontal="center"/>
    </xf>
    <xf numFmtId="3" fontId="5" fillId="0" borderId="3" xfId="0" applyNumberFormat="1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16" fontId="5" fillId="0" borderId="4" xfId="0" applyNumberFormat="1" applyFont="1" applyFill="1" applyBorder="1" applyAlignment="1">
      <alignment horizontal="center"/>
    </xf>
    <xf numFmtId="16" fontId="5" fillId="0" borderId="3" xfId="0" applyNumberFormat="1" applyFont="1" applyFill="1" applyBorder="1" applyAlignment="1">
      <alignment horizontal="center"/>
    </xf>
    <xf numFmtId="16" fontId="5" fillId="0" borderId="11" xfId="0" applyNumberFormat="1" applyFont="1" applyFill="1" applyBorder="1" applyAlignment="1">
      <alignment horizontal="center"/>
    </xf>
    <xf numFmtId="0" fontId="5" fillId="0" borderId="5" xfId="0" applyFont="1" applyBorder="1" applyAlignment="1">
      <alignment horizontal="left"/>
    </xf>
  </cellXfs>
  <cellStyles count="10">
    <cellStyle name="Comma" xfId="1" builtinId="3"/>
    <cellStyle name="Normal" xfId="0" builtinId="0"/>
    <cellStyle name="Normal_Cop Wastage" xfId="9" xr:uid="{00000000-0005-0000-0000-000002000000}"/>
    <cellStyle name="Normal_Copy Sheet" xfId="4" xr:uid="{00000000-0005-0000-0000-000003000000}"/>
    <cellStyle name="Normal_Copy Sheet_1" xfId="5" xr:uid="{00000000-0005-0000-0000-000004000000}"/>
    <cellStyle name="Normal_LB Wastage" xfId="7" xr:uid="{00000000-0005-0000-0000-000005000000}"/>
    <cellStyle name="Normal_LB Wastage_1" xfId="3" xr:uid="{00000000-0005-0000-0000-000006000000}"/>
    <cellStyle name="Normal_Moc Wastage" xfId="8" xr:uid="{00000000-0005-0000-0000-000007000000}"/>
    <cellStyle name="Normal_TH Wastage" xfId="6" xr:uid="{00000000-0005-0000-0000-000008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2"/>
  <sheetViews>
    <sheetView zoomScaleNormal="100" workbookViewId="0">
      <selection activeCell="Q2" sqref="Q2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8.28515625" bestFit="1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7.42578125" bestFit="1" customWidth="1"/>
    <col min="16" max="16" width="9.85546875" bestFit="1" customWidth="1"/>
  </cols>
  <sheetData>
    <row r="1" spans="1:17" x14ac:dyDescent="0.25">
      <c r="A1" s="53" t="s">
        <v>8</v>
      </c>
      <c r="B1" s="53" t="s">
        <v>5</v>
      </c>
      <c r="C1" s="53" t="s">
        <v>6</v>
      </c>
      <c r="D1" s="53" t="s">
        <v>7</v>
      </c>
      <c r="E1" s="161" t="s">
        <v>0</v>
      </c>
      <c r="F1" s="161"/>
      <c r="G1" s="161" t="s">
        <v>1</v>
      </c>
      <c r="H1" s="161"/>
      <c r="I1" s="161" t="s">
        <v>2</v>
      </c>
      <c r="J1" s="161"/>
      <c r="K1" s="161" t="s">
        <v>3</v>
      </c>
      <c r="L1" s="161"/>
      <c r="M1" s="161" t="s">
        <v>4</v>
      </c>
      <c r="N1" s="161"/>
      <c r="O1" s="14" t="s">
        <v>12</v>
      </c>
    </row>
    <row r="2" spans="1:17" x14ac:dyDescent="0.25">
      <c r="A2" s="4">
        <v>41536</v>
      </c>
      <c r="B2" s="5">
        <f>+A2</f>
        <v>41536</v>
      </c>
      <c r="C2" s="87">
        <v>-0.3</v>
      </c>
      <c r="D2" s="6">
        <v>0.80069444444444438</v>
      </c>
      <c r="E2" s="55"/>
      <c r="F2" s="8" t="s">
        <v>11</v>
      </c>
      <c r="G2" s="56"/>
      <c r="H2" s="8">
        <v>45401.518429314703</v>
      </c>
      <c r="I2" s="56"/>
      <c r="J2" s="8" t="s">
        <v>11</v>
      </c>
      <c r="K2" s="7"/>
      <c r="L2" s="8" t="s">
        <v>11</v>
      </c>
      <c r="M2" s="57"/>
      <c r="N2" s="8" t="s">
        <v>11</v>
      </c>
      <c r="O2" s="58">
        <f>+H2</f>
        <v>45401.518429314703</v>
      </c>
      <c r="Q2" s="15">
        <f>SUM(O2:O19)</f>
        <v>929737.78328741563</v>
      </c>
    </row>
    <row r="3" spans="1:17" x14ac:dyDescent="0.25">
      <c r="A3" s="4">
        <v>41537</v>
      </c>
      <c r="B3" s="5">
        <f t="shared" ref="B3:B37" si="0">+A3</f>
        <v>41537</v>
      </c>
      <c r="C3" s="13">
        <v>-0.5</v>
      </c>
      <c r="D3" s="12">
        <v>0.83124999999999993</v>
      </c>
      <c r="E3" s="61"/>
      <c r="F3" s="8" t="s">
        <v>11</v>
      </c>
      <c r="G3" s="8"/>
      <c r="H3" s="8">
        <v>21157.228405278172</v>
      </c>
      <c r="I3" s="8"/>
      <c r="J3" s="8" t="s">
        <v>11</v>
      </c>
      <c r="K3" s="8"/>
      <c r="L3" s="8" t="s">
        <v>11</v>
      </c>
      <c r="M3" s="8"/>
      <c r="N3" s="8" t="s">
        <v>11</v>
      </c>
      <c r="O3" s="58">
        <f t="shared" ref="O3:O6" si="1">+H3</f>
        <v>21157.228405278172</v>
      </c>
    </row>
    <row r="4" spans="1:17" x14ac:dyDescent="0.25">
      <c r="A4" s="4">
        <v>41538</v>
      </c>
      <c r="B4" s="5">
        <f t="shared" si="0"/>
        <v>41538</v>
      </c>
      <c r="C4" s="13">
        <v>-0.5</v>
      </c>
      <c r="D4" s="12">
        <v>0.86041666666666661</v>
      </c>
      <c r="E4" s="2"/>
      <c r="F4" s="8" t="s">
        <v>11</v>
      </c>
      <c r="G4" s="8"/>
      <c r="H4" s="86">
        <v>49505.040234359141</v>
      </c>
      <c r="I4" s="8"/>
      <c r="J4" s="8" t="s">
        <v>11</v>
      </c>
      <c r="K4" s="8"/>
      <c r="L4" s="8" t="s">
        <v>11</v>
      </c>
      <c r="M4" s="8"/>
      <c r="N4" s="8" t="s">
        <v>11</v>
      </c>
      <c r="O4" s="58">
        <f t="shared" si="1"/>
        <v>49505.040234359141</v>
      </c>
    </row>
    <row r="5" spans="1:17" x14ac:dyDescent="0.25">
      <c r="A5" s="4">
        <v>41539</v>
      </c>
      <c r="B5" s="5">
        <f t="shared" si="0"/>
        <v>41539</v>
      </c>
      <c r="C5" s="13">
        <v>-0.3</v>
      </c>
      <c r="D5" s="12">
        <v>0.88958333333333339</v>
      </c>
      <c r="E5" s="61"/>
      <c r="F5" s="8" t="s">
        <v>11</v>
      </c>
      <c r="G5" s="8"/>
      <c r="H5" s="8">
        <v>9128.1002468241513</v>
      </c>
      <c r="I5" s="8"/>
      <c r="J5" s="8" t="s">
        <v>11</v>
      </c>
      <c r="K5" s="8"/>
      <c r="L5" s="8" t="s">
        <v>11</v>
      </c>
      <c r="M5" s="8"/>
      <c r="N5" s="8" t="s">
        <v>11</v>
      </c>
      <c r="O5" s="58">
        <f t="shared" si="1"/>
        <v>9128.1002468241513</v>
      </c>
    </row>
    <row r="6" spans="1:17" x14ac:dyDescent="0.25">
      <c r="A6" s="4">
        <v>41540</v>
      </c>
      <c r="B6" s="5">
        <f t="shared" si="0"/>
        <v>41540</v>
      </c>
      <c r="C6" s="13">
        <v>0</v>
      </c>
      <c r="D6" s="12">
        <v>0.9194444444444444</v>
      </c>
      <c r="E6" s="61"/>
      <c r="F6" s="8" t="s">
        <v>11</v>
      </c>
      <c r="G6" s="8"/>
      <c r="H6" s="8">
        <v>2336.5561065946281</v>
      </c>
      <c r="I6" s="8"/>
      <c r="J6" s="8" t="s">
        <v>11</v>
      </c>
      <c r="K6" s="8"/>
      <c r="L6" s="8" t="s">
        <v>11</v>
      </c>
      <c r="M6" s="8"/>
      <c r="N6" s="8" t="s">
        <v>11</v>
      </c>
      <c r="O6" s="58">
        <f t="shared" si="1"/>
        <v>2336.5561065946281</v>
      </c>
    </row>
    <row r="7" spans="1:17" x14ac:dyDescent="0.25">
      <c r="A7" s="4"/>
      <c r="B7" s="5"/>
      <c r="C7" s="13"/>
      <c r="D7" s="12"/>
      <c r="E7" s="61"/>
      <c r="F7" s="8"/>
      <c r="G7" s="8"/>
      <c r="H7" s="8"/>
      <c r="I7" s="8"/>
      <c r="J7" s="8"/>
      <c r="K7" s="8"/>
      <c r="L7" s="8"/>
      <c r="M7" s="8"/>
      <c r="N7" s="8"/>
      <c r="O7" s="58"/>
    </row>
    <row r="8" spans="1:17" x14ac:dyDescent="0.25">
      <c r="A8" s="4">
        <v>41551</v>
      </c>
      <c r="B8" s="5">
        <f t="shared" si="0"/>
        <v>41551</v>
      </c>
      <c r="C8" s="13">
        <v>0</v>
      </c>
      <c r="D8" s="12">
        <v>0.78888888888888886</v>
      </c>
      <c r="E8" s="61"/>
      <c r="F8" s="8">
        <v>19426.82577363501</v>
      </c>
      <c r="G8" s="2" t="s">
        <v>49</v>
      </c>
      <c r="H8" s="8">
        <f>(+J8+L8)*H9/(J9+L9)</f>
        <v>19957.164354329092</v>
      </c>
      <c r="I8" s="8"/>
      <c r="J8" s="106">
        <v>29369.724391399839</v>
      </c>
      <c r="K8" s="8"/>
      <c r="L8" s="106">
        <v>18271.325188482042</v>
      </c>
      <c r="M8" s="8"/>
      <c r="N8" s="1" t="s">
        <v>11</v>
      </c>
      <c r="O8" s="58">
        <f>+F8+H8+J8+L8</f>
        <v>87025.039707845979</v>
      </c>
    </row>
    <row r="9" spans="1:17" x14ac:dyDescent="0.25">
      <c r="A9" s="4">
        <v>41552</v>
      </c>
      <c r="B9" s="5">
        <f t="shared" si="0"/>
        <v>41552</v>
      </c>
      <c r="C9" s="13">
        <v>-0.4</v>
      </c>
      <c r="D9" s="12">
        <v>0.81666666666666676</v>
      </c>
      <c r="E9"/>
      <c r="F9" s="8">
        <v>40797.212712179818</v>
      </c>
      <c r="G9" s="2"/>
      <c r="H9" s="107">
        <v>34217.806480783162</v>
      </c>
      <c r="J9" s="107">
        <v>58529.485419062592</v>
      </c>
      <c r="L9" s="106">
        <v>23154.073734078251</v>
      </c>
      <c r="N9" s="1" t="s">
        <v>11</v>
      </c>
      <c r="O9" s="58">
        <f>+F9+H9+J9+L9</f>
        <v>156698.57834610384</v>
      </c>
    </row>
    <row r="10" spans="1:17" x14ac:dyDescent="0.25">
      <c r="A10" s="4">
        <v>41553</v>
      </c>
      <c r="B10" s="5">
        <f t="shared" si="0"/>
        <v>41553</v>
      </c>
      <c r="C10" s="13">
        <v>-0.7</v>
      </c>
      <c r="D10" s="12">
        <v>0.84513888888888899</v>
      </c>
      <c r="E10"/>
      <c r="F10" s="8">
        <v>28329.232895968162</v>
      </c>
      <c r="H10" s="107">
        <v>21782.799999999999</v>
      </c>
      <c r="J10" s="1" t="s">
        <v>11</v>
      </c>
      <c r="L10" s="106">
        <v>19208.907428225546</v>
      </c>
      <c r="N10" s="1" t="s">
        <v>11</v>
      </c>
      <c r="O10" s="58">
        <f>+F10+H10+L10</f>
        <v>69320.940324193711</v>
      </c>
    </row>
    <row r="11" spans="1:17" x14ac:dyDescent="0.25">
      <c r="A11" s="4">
        <v>41554</v>
      </c>
      <c r="B11" s="5">
        <f t="shared" si="0"/>
        <v>41554</v>
      </c>
      <c r="C11" s="13">
        <v>-0.8</v>
      </c>
      <c r="D11" s="12">
        <v>0.875</v>
      </c>
      <c r="E11"/>
      <c r="F11" s="8">
        <v>5751.9941098545232</v>
      </c>
      <c r="G11" s="2"/>
      <c r="H11" s="107">
        <v>6306.0817061018915</v>
      </c>
      <c r="J11" s="1" t="s">
        <v>11</v>
      </c>
      <c r="L11" s="106">
        <v>2052.5059468994359</v>
      </c>
      <c r="N11" s="1" t="s">
        <v>11</v>
      </c>
      <c r="O11" s="58">
        <f>+F11+H11+L11</f>
        <v>14110.581762855851</v>
      </c>
    </row>
    <row r="12" spans="1:17" x14ac:dyDescent="0.25">
      <c r="A12" s="4">
        <v>41555</v>
      </c>
      <c r="B12" s="5">
        <f t="shared" si="0"/>
        <v>41555</v>
      </c>
      <c r="C12" s="13">
        <v>-0.7</v>
      </c>
      <c r="D12" s="12">
        <v>0.90833333333333333</v>
      </c>
      <c r="E12"/>
      <c r="F12" s="1" t="s">
        <v>11</v>
      </c>
      <c r="H12" s="107">
        <v>2165.8988943476152</v>
      </c>
      <c r="J12" s="1" t="s">
        <v>11</v>
      </c>
      <c r="L12" s="1" t="s">
        <v>11</v>
      </c>
      <c r="N12" s="1" t="s">
        <v>11</v>
      </c>
      <c r="O12" s="58">
        <f>+H12</f>
        <v>2165.8988943476152</v>
      </c>
    </row>
    <row r="13" spans="1:17" x14ac:dyDescent="0.25">
      <c r="C13"/>
      <c r="D13"/>
      <c r="E13"/>
    </row>
    <row r="14" spans="1:17" x14ac:dyDescent="0.25">
      <c r="A14" s="4">
        <v>41564</v>
      </c>
      <c r="B14" s="5">
        <f t="shared" si="0"/>
        <v>41564</v>
      </c>
      <c r="C14" s="13">
        <v>-0.2</v>
      </c>
      <c r="D14" s="109">
        <v>0.76041666666666663</v>
      </c>
      <c r="E14"/>
      <c r="F14" s="1" t="s">
        <v>11</v>
      </c>
      <c r="H14" s="107">
        <v>21850.646945326203</v>
      </c>
      <c r="J14" s="1" t="s">
        <v>11</v>
      </c>
      <c r="L14" s="1" t="s">
        <v>11</v>
      </c>
      <c r="N14" s="1" t="s">
        <v>11</v>
      </c>
      <c r="O14" s="15">
        <f>+H14</f>
        <v>21850.646945326203</v>
      </c>
    </row>
    <row r="15" spans="1:17" x14ac:dyDescent="0.25">
      <c r="A15" s="4">
        <v>41565</v>
      </c>
      <c r="B15" s="5">
        <f t="shared" si="0"/>
        <v>41565</v>
      </c>
      <c r="C15" s="13">
        <v>-0.6</v>
      </c>
      <c r="D15" s="109">
        <v>0.7895833333333333</v>
      </c>
      <c r="E15"/>
      <c r="F15" s="8">
        <v>37337.46046737914</v>
      </c>
      <c r="H15" s="107">
        <v>26190.46875</v>
      </c>
      <c r="J15" s="107">
        <v>46909.494330002555</v>
      </c>
      <c r="L15" s="106">
        <v>15520.12148725889</v>
      </c>
      <c r="N15" s="1" t="s">
        <v>11</v>
      </c>
      <c r="O15" s="15">
        <f>+F15+H15+J15+L15</f>
        <v>125957.54503464059</v>
      </c>
    </row>
    <row r="16" spans="1:17" x14ac:dyDescent="0.25">
      <c r="A16" s="4">
        <v>41566</v>
      </c>
      <c r="B16" s="5">
        <f t="shared" si="0"/>
        <v>41566</v>
      </c>
      <c r="C16" s="13">
        <v>-0.7</v>
      </c>
      <c r="D16" s="109">
        <v>0.81805555555555554</v>
      </c>
      <c r="E16"/>
      <c r="F16" s="8">
        <v>53827.758143057072</v>
      </c>
      <c r="H16" s="107">
        <v>42292.094562314749</v>
      </c>
      <c r="J16" s="107">
        <v>84754.092980454036</v>
      </c>
      <c r="L16" s="106">
        <v>44871.92452904422</v>
      </c>
      <c r="N16" s="1" t="s">
        <v>11</v>
      </c>
      <c r="O16" s="15">
        <f>+F16+H16+J16+L16</f>
        <v>225745.87021487008</v>
      </c>
    </row>
    <row r="17" spans="1:15" x14ac:dyDescent="0.25">
      <c r="A17" s="4">
        <v>41567</v>
      </c>
      <c r="B17" s="5">
        <f t="shared" si="0"/>
        <v>41567</v>
      </c>
      <c r="C17" s="13">
        <v>-0.7</v>
      </c>
      <c r="D17" s="109">
        <v>0.84444444444444444</v>
      </c>
      <c r="E17"/>
      <c r="F17" s="8">
        <v>41320.948510609749</v>
      </c>
      <c r="H17" s="107">
        <v>26515.767057060351</v>
      </c>
      <c r="J17" s="1" t="s">
        <v>11</v>
      </c>
      <c r="L17" s="106">
        <v>22650.381418050361</v>
      </c>
      <c r="N17" s="1" t="s">
        <v>11</v>
      </c>
      <c r="O17" s="15">
        <f>+F17+H17+L17</f>
        <v>90487.096985720447</v>
      </c>
    </row>
    <row r="18" spans="1:15" x14ac:dyDescent="0.25">
      <c r="A18" s="4">
        <v>41568</v>
      </c>
      <c r="B18" s="5">
        <f t="shared" si="0"/>
        <v>41568</v>
      </c>
      <c r="C18" s="13">
        <v>-0.4</v>
      </c>
      <c r="D18" s="109">
        <v>0.87152777777777779</v>
      </c>
      <c r="E18"/>
      <c r="F18" s="1" t="s">
        <v>11</v>
      </c>
      <c r="H18" s="107">
        <v>4911.2220430061707</v>
      </c>
      <c r="J18" s="1" t="s">
        <v>11</v>
      </c>
      <c r="L18" s="106">
        <v>2275.8267766700556</v>
      </c>
      <c r="N18" s="1" t="s">
        <v>11</v>
      </c>
      <c r="O18" s="15">
        <f>+H18+L18</f>
        <v>7187.0488196762262</v>
      </c>
    </row>
    <row r="19" spans="1:15" x14ac:dyDescent="0.25">
      <c r="A19" s="4">
        <v>41569</v>
      </c>
      <c r="B19" s="5">
        <f t="shared" si="0"/>
        <v>41569</v>
      </c>
      <c r="C19" s="13">
        <v>-0.1</v>
      </c>
      <c r="D19" s="109">
        <v>0.89861111111111114</v>
      </c>
      <c r="E19"/>
      <c r="F19" s="1" t="s">
        <v>11</v>
      </c>
      <c r="H19" s="107">
        <v>1660.0928294643329</v>
      </c>
      <c r="J19" s="1" t="s">
        <v>11</v>
      </c>
      <c r="L19" s="1" t="s">
        <v>11</v>
      </c>
      <c r="N19" s="1" t="s">
        <v>11</v>
      </c>
      <c r="O19" s="15">
        <f>+H19</f>
        <v>1660.0928294643329</v>
      </c>
    </row>
    <row r="20" spans="1:15" x14ac:dyDescent="0.25">
      <c r="A20" s="4"/>
      <c r="C20"/>
      <c r="D20"/>
      <c r="E20"/>
    </row>
    <row r="21" spans="1:15" x14ac:dyDescent="0.25">
      <c r="A21" s="4">
        <v>41579</v>
      </c>
      <c r="B21" s="5">
        <f t="shared" si="0"/>
        <v>41579</v>
      </c>
      <c r="C21" s="13">
        <v>0.1</v>
      </c>
      <c r="D21" s="109">
        <v>0.74444444444444446</v>
      </c>
      <c r="E21"/>
      <c r="F21" s="1" t="s">
        <v>11</v>
      </c>
      <c r="H21" s="107">
        <v>18996.687929136533</v>
      </c>
      <c r="J21" s="1" t="s">
        <v>11</v>
      </c>
      <c r="L21" s="106">
        <v>20179.355392360332</v>
      </c>
      <c r="N21" s="1" t="s">
        <v>11</v>
      </c>
      <c r="O21" s="10">
        <f>+H21+L21</f>
        <v>39176.043321496865</v>
      </c>
    </row>
    <row r="22" spans="1:15" x14ac:dyDescent="0.25">
      <c r="A22" s="4">
        <v>41580</v>
      </c>
      <c r="B22" s="5">
        <f t="shared" si="0"/>
        <v>41580</v>
      </c>
      <c r="C22" s="13">
        <v>-0.6</v>
      </c>
      <c r="D22" s="109">
        <v>0.77361111111111114</v>
      </c>
      <c r="E22"/>
      <c r="F22" s="8">
        <v>32798.555948196779</v>
      </c>
      <c r="H22" s="107">
        <v>8249.2315420776904</v>
      </c>
      <c r="J22" s="107">
        <v>14627.823649376918</v>
      </c>
      <c r="L22" s="106">
        <v>12612.285468440798</v>
      </c>
      <c r="N22" s="1" t="s">
        <v>11</v>
      </c>
      <c r="O22" s="10">
        <f>+F22+H22+J22+L22</f>
        <v>68287.896608092182</v>
      </c>
    </row>
    <row r="23" spans="1:15" x14ac:dyDescent="0.25">
      <c r="A23" s="4">
        <v>41581</v>
      </c>
      <c r="B23" s="5">
        <f t="shared" si="0"/>
        <v>41581</v>
      </c>
      <c r="C23" s="13">
        <v>-1.1000000000000001</v>
      </c>
      <c r="D23" s="109">
        <v>0.76111111111111107</v>
      </c>
      <c r="E23"/>
      <c r="F23" s="8">
        <v>17037.942069621829</v>
      </c>
      <c r="H23" s="107">
        <v>7802.6348350240387</v>
      </c>
      <c r="J23" s="1" t="s">
        <v>11</v>
      </c>
      <c r="L23" s="106">
        <v>16187.952792086395</v>
      </c>
      <c r="N23" s="1" t="s">
        <v>11</v>
      </c>
      <c r="O23" s="10">
        <f>+F23+H23+L23</f>
        <v>41028.529696732265</v>
      </c>
    </row>
    <row r="24" spans="1:15" x14ac:dyDescent="0.25">
      <c r="A24" s="4">
        <v>41582</v>
      </c>
      <c r="B24" s="5">
        <f t="shared" si="0"/>
        <v>41582</v>
      </c>
      <c r="C24" s="13">
        <v>-1.3</v>
      </c>
      <c r="D24" s="109">
        <v>0.7909722222222223</v>
      </c>
      <c r="E24"/>
      <c r="F24" s="8">
        <v>9867.2454786134003</v>
      </c>
      <c r="H24" s="107">
        <v>5569.2660315765652</v>
      </c>
      <c r="J24" s="1" t="s">
        <v>11</v>
      </c>
      <c r="L24" s="106">
        <v>4982.5483909163368</v>
      </c>
      <c r="N24" s="1" t="s">
        <v>11</v>
      </c>
      <c r="O24" s="10">
        <f>+F24+H24+L24</f>
        <v>20419.059901106302</v>
      </c>
    </row>
    <row r="25" spans="1:15" x14ac:dyDescent="0.25">
      <c r="A25" s="4">
        <v>41583</v>
      </c>
      <c r="B25" s="5">
        <f t="shared" si="0"/>
        <v>41583</v>
      </c>
      <c r="C25" s="13">
        <v>-1.4</v>
      </c>
      <c r="D25" s="109">
        <v>0.82916666666666661</v>
      </c>
      <c r="E25"/>
      <c r="F25" s="8">
        <v>4987.1394515134889</v>
      </c>
      <c r="H25" s="107">
        <v>8167.6206832161979</v>
      </c>
      <c r="J25" s="1" t="s">
        <v>11</v>
      </c>
      <c r="L25" s="1" t="s">
        <v>11</v>
      </c>
      <c r="N25" s="1" t="s">
        <v>11</v>
      </c>
      <c r="O25" s="10">
        <f>+F25+H25</f>
        <v>13154.760134729688</v>
      </c>
    </row>
    <row r="26" spans="1:15" x14ac:dyDescent="0.25">
      <c r="A26" s="4">
        <v>41584</v>
      </c>
      <c r="B26" s="5">
        <f t="shared" si="0"/>
        <v>41584</v>
      </c>
      <c r="C26" s="13">
        <v>-1.2</v>
      </c>
      <c r="D26" s="109">
        <v>0.85555555555555562</v>
      </c>
      <c r="E26"/>
      <c r="F26" s="1" t="s">
        <v>11</v>
      </c>
      <c r="H26" s="107">
        <v>4491.4045000354499</v>
      </c>
      <c r="J26" s="1" t="s">
        <v>11</v>
      </c>
      <c r="L26" s="1" t="s">
        <v>11</v>
      </c>
      <c r="N26" s="1" t="s">
        <v>11</v>
      </c>
      <c r="O26" s="10">
        <f>+H26</f>
        <v>4491.4045000354499</v>
      </c>
    </row>
    <row r="27" spans="1:15" x14ac:dyDescent="0.25">
      <c r="A27" s="4">
        <v>41585</v>
      </c>
      <c r="B27" s="5">
        <f t="shared" si="0"/>
        <v>41585</v>
      </c>
      <c r="C27" s="13">
        <v>-0.8</v>
      </c>
      <c r="D27" s="109">
        <v>0.89166666666666661</v>
      </c>
      <c r="E27"/>
      <c r="F27" s="1" t="s">
        <v>11</v>
      </c>
      <c r="G27" s="2" t="s">
        <v>49</v>
      </c>
      <c r="H27" s="107">
        <v>4491.4045000354499</v>
      </c>
      <c r="J27" s="1" t="s">
        <v>11</v>
      </c>
      <c r="L27" s="1" t="s">
        <v>11</v>
      </c>
      <c r="N27" s="1" t="s">
        <v>11</v>
      </c>
      <c r="O27" s="10">
        <f>+H27</f>
        <v>4491.4045000354499</v>
      </c>
    </row>
    <row r="28" spans="1:15" x14ac:dyDescent="0.25">
      <c r="A28" s="4">
        <v>41586</v>
      </c>
      <c r="B28" s="5">
        <f t="shared" si="0"/>
        <v>41586</v>
      </c>
      <c r="C28" s="13">
        <v>-0.3</v>
      </c>
      <c r="D28" s="109">
        <v>0.92986111111111114</v>
      </c>
      <c r="E28"/>
      <c r="F28" s="1" t="s">
        <v>11</v>
      </c>
      <c r="H28" s="107">
        <v>5412.6657906096552</v>
      </c>
      <c r="J28" s="1" t="s">
        <v>11</v>
      </c>
      <c r="L28" s="1" t="s">
        <v>11</v>
      </c>
      <c r="N28" s="1" t="s">
        <v>11</v>
      </c>
      <c r="O28" s="10">
        <f>+H28</f>
        <v>5412.6657906096552</v>
      </c>
    </row>
    <row r="29" spans="1:15" x14ac:dyDescent="0.25">
      <c r="C29"/>
      <c r="D29"/>
      <c r="E29"/>
    </row>
    <row r="30" spans="1:15" x14ac:dyDescent="0.25">
      <c r="A30" s="4">
        <v>41593</v>
      </c>
      <c r="B30" s="5">
        <f t="shared" si="0"/>
        <v>41593</v>
      </c>
      <c r="C30" s="13">
        <v>-0.3</v>
      </c>
      <c r="D30" s="109">
        <v>0.7090277777777777</v>
      </c>
      <c r="E30"/>
      <c r="F30" s="8">
        <v>20804.439163808063</v>
      </c>
      <c r="H30" s="107">
        <v>9897.1770790732571</v>
      </c>
      <c r="J30" s="107">
        <v>20057.085673550057</v>
      </c>
      <c r="L30" s="106">
        <v>7723.719316519011</v>
      </c>
      <c r="N30" s="1" t="s">
        <v>11</v>
      </c>
      <c r="O30" s="10">
        <f>+F30+H30+J30+L30</f>
        <v>58482.421232950386</v>
      </c>
    </row>
    <row r="31" spans="1:15" x14ac:dyDescent="0.25">
      <c r="A31" s="4">
        <v>41594</v>
      </c>
      <c r="B31" s="5">
        <f t="shared" si="0"/>
        <v>41594</v>
      </c>
      <c r="C31" s="13">
        <v>-0.6</v>
      </c>
      <c r="D31" s="109">
        <v>0.73749999999999993</v>
      </c>
      <c r="E31"/>
      <c r="F31" s="8">
        <v>54007.023791798005</v>
      </c>
      <c r="H31" s="107">
        <v>29058.087907096939</v>
      </c>
      <c r="J31" s="107">
        <v>43395.924344653875</v>
      </c>
      <c r="L31" s="106">
        <v>38836.262483758648</v>
      </c>
      <c r="N31" s="1" t="s">
        <v>11</v>
      </c>
      <c r="O31" s="10">
        <f>+F31+H31+J31+L31</f>
        <v>165297.29852730746</v>
      </c>
    </row>
    <row r="32" spans="1:15" x14ac:dyDescent="0.25">
      <c r="A32" s="4">
        <v>41595</v>
      </c>
      <c r="B32" s="5">
        <f t="shared" si="0"/>
        <v>41595</v>
      </c>
      <c r="C32" s="13">
        <v>-0.7</v>
      </c>
      <c r="D32" s="109">
        <v>0.76388888888888884</v>
      </c>
      <c r="E32"/>
      <c r="F32" s="8">
        <v>11104.230918435587</v>
      </c>
      <c r="G32" s="2" t="s">
        <v>49</v>
      </c>
      <c r="H32" s="107">
        <f>+L32*(H31+H30)/(L30+L31)</f>
        <v>11648.042789200823</v>
      </c>
      <c r="J32" s="1" t="s">
        <v>11</v>
      </c>
      <c r="L32" s="106">
        <v>13921.934826180322</v>
      </c>
      <c r="N32" s="1" t="s">
        <v>11</v>
      </c>
      <c r="O32" s="10">
        <f>+F32+H32+L32</f>
        <v>36674.208533816731</v>
      </c>
    </row>
    <row r="33" spans="1:15" x14ac:dyDescent="0.25">
      <c r="A33" s="4">
        <v>41596</v>
      </c>
      <c r="B33" s="5">
        <f t="shared" si="0"/>
        <v>41596</v>
      </c>
      <c r="C33" s="13">
        <v>-0.6</v>
      </c>
      <c r="D33" s="109">
        <v>0.7895833333333333</v>
      </c>
      <c r="E33"/>
      <c r="F33" s="1" t="s">
        <v>11</v>
      </c>
      <c r="H33" s="107">
        <v>34.760947706212995</v>
      </c>
      <c r="J33" s="1" t="s">
        <v>11</v>
      </c>
      <c r="L33" s="1" t="s">
        <v>11</v>
      </c>
      <c r="N33" s="1" t="s">
        <v>11</v>
      </c>
      <c r="O33" s="10">
        <f>+H33</f>
        <v>34.760947706212995</v>
      </c>
    </row>
    <row r="34" spans="1:15" x14ac:dyDescent="0.25">
      <c r="A34" s="4">
        <v>41597</v>
      </c>
      <c r="B34" s="5">
        <f t="shared" si="0"/>
        <v>41597</v>
      </c>
      <c r="C34" s="13">
        <v>-0.4</v>
      </c>
      <c r="D34" s="109">
        <v>0.81458333333333333</v>
      </c>
      <c r="E34"/>
      <c r="F34" s="1" t="s">
        <v>11</v>
      </c>
      <c r="H34" s="107">
        <v>2066.3744998111461</v>
      </c>
      <c r="J34" s="1" t="s">
        <v>11</v>
      </c>
      <c r="L34" s="1" t="s">
        <v>11</v>
      </c>
      <c r="N34" s="1" t="s">
        <v>11</v>
      </c>
      <c r="O34" s="10">
        <f>+H34</f>
        <v>2066.3744998111461</v>
      </c>
    </row>
    <row r="35" spans="1:15" x14ac:dyDescent="0.25">
      <c r="A35" s="4">
        <v>41598</v>
      </c>
      <c r="B35" s="5">
        <f t="shared" si="0"/>
        <v>41598</v>
      </c>
      <c r="C35" s="13">
        <v>-0.2</v>
      </c>
      <c r="D35" s="109">
        <v>0.83958333333333324</v>
      </c>
      <c r="E35"/>
      <c r="F35" s="1" t="s">
        <v>11</v>
      </c>
      <c r="H35" s="107">
        <v>1065.1747547118125</v>
      </c>
      <c r="J35" s="1" t="s">
        <v>11</v>
      </c>
      <c r="L35" s="1" t="s">
        <v>11</v>
      </c>
      <c r="N35" s="1" t="s">
        <v>11</v>
      </c>
      <c r="O35" s="10">
        <f>+H35</f>
        <v>1065.1747547118125</v>
      </c>
    </row>
    <row r="36" spans="1:15" x14ac:dyDescent="0.25">
      <c r="C36"/>
      <c r="D36"/>
      <c r="E36"/>
    </row>
    <row r="37" spans="1:15" x14ac:dyDescent="0.25">
      <c r="A37" s="4">
        <v>41608</v>
      </c>
      <c r="B37" s="5">
        <f t="shared" si="0"/>
        <v>41608</v>
      </c>
      <c r="C37" s="13">
        <v>-0.1</v>
      </c>
      <c r="D37" s="109">
        <v>0.68611111111111101</v>
      </c>
      <c r="E37"/>
      <c r="F37" s="8">
        <v>49286.817966523507</v>
      </c>
      <c r="G37" s="2" t="s">
        <v>49</v>
      </c>
      <c r="H37" s="107">
        <f>+(J37+L37)*(H9+H16+H22+H31)/(J9+L9+J16+L16+J22+L22+J31+L31)</f>
        <v>20397.551105364637</v>
      </c>
      <c r="J37" s="107">
        <v>40803.254218102382</v>
      </c>
      <c r="L37" s="106">
        <v>16685.099582087463</v>
      </c>
      <c r="N37" s="1" t="s">
        <v>11</v>
      </c>
      <c r="O37" s="10">
        <f>+F37+H37+J37+L37</f>
        <v>127172.722872078</v>
      </c>
    </row>
    <row r="38" spans="1:15" x14ac:dyDescent="0.25">
      <c r="A38" s="4">
        <v>41609</v>
      </c>
      <c r="B38" s="5">
        <f t="shared" ref="B38:B62" si="2">+A38</f>
        <v>41609</v>
      </c>
      <c r="C38" s="13">
        <v>-0.9</v>
      </c>
      <c r="D38" s="109">
        <v>0.71736111111111101</v>
      </c>
      <c r="E38"/>
      <c r="F38" s="8">
        <v>9914.2016855947422</v>
      </c>
      <c r="H38" s="107">
        <v>4240.4598261287292</v>
      </c>
      <c r="J38" s="1" t="s">
        <v>11</v>
      </c>
      <c r="L38" s="106">
        <v>7884.1679343929773</v>
      </c>
      <c r="N38" s="1" t="s">
        <v>11</v>
      </c>
      <c r="O38" s="10">
        <f>+F38+H38+L38</f>
        <v>22038.829446116448</v>
      </c>
    </row>
    <row r="39" spans="1:15" x14ac:dyDescent="0.25">
      <c r="A39" s="4">
        <v>41610</v>
      </c>
      <c r="B39" s="5">
        <f t="shared" si="2"/>
        <v>41610</v>
      </c>
      <c r="C39" s="13">
        <v>-1.4</v>
      </c>
      <c r="D39" s="109">
        <v>0.74930555555555556</v>
      </c>
      <c r="E39"/>
      <c r="F39" s="8">
        <v>6703.6526194492662</v>
      </c>
      <c r="H39" s="107">
        <v>4304.1704984007829</v>
      </c>
      <c r="J39" s="1" t="s">
        <v>11</v>
      </c>
      <c r="L39" s="106">
        <v>2709.9105130409262</v>
      </c>
      <c r="N39" s="1" t="s">
        <v>11</v>
      </c>
      <c r="O39" s="10">
        <f>+F39+H39+L39</f>
        <v>13717.733630890976</v>
      </c>
    </row>
    <row r="40" spans="1:15" x14ac:dyDescent="0.25">
      <c r="A40" s="4">
        <v>41611</v>
      </c>
      <c r="B40" s="5">
        <f t="shared" si="2"/>
        <v>41611</v>
      </c>
      <c r="C40" s="13">
        <v>-1.7</v>
      </c>
      <c r="D40" s="109">
        <v>0.78055555555555556</v>
      </c>
      <c r="E40"/>
      <c r="F40" s="8">
        <v>5283.7976117463013</v>
      </c>
      <c r="H40" s="107">
        <v>7173.7905828697076</v>
      </c>
      <c r="J40" s="1" t="s">
        <v>11</v>
      </c>
      <c r="L40" s="106">
        <v>3184.0815962751644</v>
      </c>
      <c r="N40" s="1" t="s">
        <v>11</v>
      </c>
      <c r="O40" s="10">
        <f>+F40+H40+L40</f>
        <v>15641.669790891172</v>
      </c>
    </row>
    <row r="41" spans="1:15" x14ac:dyDescent="0.25">
      <c r="A41" s="4">
        <v>41612</v>
      </c>
      <c r="B41" s="5">
        <f t="shared" si="2"/>
        <v>41612</v>
      </c>
      <c r="C41" s="13">
        <v>-1.7</v>
      </c>
      <c r="D41" s="109">
        <v>0.8125</v>
      </c>
      <c r="E41" s="2" t="s">
        <v>49</v>
      </c>
      <c r="F41" s="8">
        <f>+H41*F40/H40</f>
        <v>2558.6893946645473</v>
      </c>
      <c r="H41" s="107">
        <v>3473.9222113896617</v>
      </c>
      <c r="J41" s="1" t="s">
        <v>11</v>
      </c>
      <c r="L41" s="1" t="s">
        <v>11</v>
      </c>
      <c r="N41" s="1" t="s">
        <v>11</v>
      </c>
      <c r="O41" s="10">
        <f>+F41+H41</f>
        <v>6032.611606054209</v>
      </c>
    </row>
    <row r="42" spans="1:15" x14ac:dyDescent="0.25">
      <c r="A42" s="4">
        <v>41613</v>
      </c>
      <c r="B42" s="5">
        <f t="shared" si="2"/>
        <v>41613</v>
      </c>
      <c r="C42" s="13">
        <v>-1.4</v>
      </c>
      <c r="D42" s="109">
        <v>0.84513888888888899</v>
      </c>
      <c r="E42"/>
      <c r="F42" s="1" t="s">
        <v>11</v>
      </c>
      <c r="H42" s="107">
        <v>1463.8813825181139</v>
      </c>
      <c r="J42" s="1" t="s">
        <v>11</v>
      </c>
      <c r="L42" s="1" t="s">
        <v>11</v>
      </c>
      <c r="N42" s="1" t="s">
        <v>11</v>
      </c>
      <c r="O42" s="10">
        <f>+H42</f>
        <v>1463.8813825181139</v>
      </c>
    </row>
    <row r="43" spans="1:15" x14ac:dyDescent="0.25">
      <c r="A43" s="4">
        <v>41614</v>
      </c>
      <c r="B43" s="5">
        <f t="shared" si="2"/>
        <v>41614</v>
      </c>
      <c r="C43" s="13">
        <v>-1</v>
      </c>
      <c r="D43" s="109">
        <v>0.87847222222222221</v>
      </c>
      <c r="E43"/>
      <c r="F43" s="1" t="s">
        <v>11</v>
      </c>
      <c r="G43" s="2"/>
      <c r="H43" s="107">
        <v>1007.0255646352011</v>
      </c>
      <c r="J43" s="1" t="s">
        <v>11</v>
      </c>
      <c r="L43" s="1" t="s">
        <v>11</v>
      </c>
      <c r="N43" s="1" t="s">
        <v>11</v>
      </c>
      <c r="O43" s="10">
        <f>+H43</f>
        <v>1007.0255646352011</v>
      </c>
    </row>
    <row r="44" spans="1:15" x14ac:dyDescent="0.25">
      <c r="A44" s="4">
        <v>41615</v>
      </c>
      <c r="B44" s="5">
        <f t="shared" si="2"/>
        <v>41615</v>
      </c>
      <c r="C44" s="13">
        <v>-0.3</v>
      </c>
      <c r="D44" s="109">
        <v>0.91388888888888886</v>
      </c>
      <c r="E44"/>
      <c r="F44" s="1" t="s">
        <v>11</v>
      </c>
      <c r="H44" s="107">
        <v>598.55519820563575</v>
      </c>
      <c r="J44" s="1" t="s">
        <v>11</v>
      </c>
      <c r="L44" s="1" t="s">
        <v>11</v>
      </c>
      <c r="N44" s="1" t="s">
        <v>11</v>
      </c>
      <c r="O44" s="10">
        <f>+H44</f>
        <v>598.55519820563575</v>
      </c>
    </row>
    <row r="45" spans="1:15" x14ac:dyDescent="0.25">
      <c r="A45" s="4"/>
      <c r="C45"/>
      <c r="D45"/>
      <c r="E45"/>
    </row>
    <row r="46" spans="1:15" x14ac:dyDescent="0.25">
      <c r="A46" s="4">
        <v>41622</v>
      </c>
      <c r="B46" s="5">
        <f t="shared" si="2"/>
        <v>41622</v>
      </c>
      <c r="C46" s="13">
        <v>-0.1</v>
      </c>
      <c r="D46" s="109">
        <v>0.69791666666666663</v>
      </c>
      <c r="E46"/>
      <c r="F46" s="8">
        <v>24770.219107906203</v>
      </c>
      <c r="H46" s="107">
        <v>13603.707300511642</v>
      </c>
      <c r="J46" s="107">
        <v>19002.986936152429</v>
      </c>
      <c r="L46" s="106">
        <v>8678.7983750983894</v>
      </c>
      <c r="N46" s="1" t="s">
        <v>11</v>
      </c>
      <c r="O46" s="10">
        <f>+F46+H46+J46+L46</f>
        <v>66055.711719668659</v>
      </c>
    </row>
    <row r="47" spans="1:15" x14ac:dyDescent="0.25">
      <c r="A47" s="4">
        <v>41623</v>
      </c>
      <c r="B47" s="5">
        <f t="shared" si="2"/>
        <v>41623</v>
      </c>
      <c r="C47" s="13">
        <v>-0.3</v>
      </c>
      <c r="D47" s="109">
        <v>0.72638888888888886</v>
      </c>
      <c r="E47"/>
      <c r="F47" s="8">
        <v>14190.70795363348</v>
      </c>
      <c r="H47" s="107">
        <v>8574.9118110537202</v>
      </c>
      <c r="J47" s="1" t="s">
        <v>11</v>
      </c>
      <c r="L47" s="106">
        <v>12284.467451897672</v>
      </c>
      <c r="N47" s="1" t="s">
        <v>11</v>
      </c>
      <c r="O47" s="10">
        <f>+F47+H47+L47</f>
        <v>35050.08721658487</v>
      </c>
    </row>
    <row r="48" spans="1:15" x14ac:dyDescent="0.25">
      <c r="A48" s="4">
        <v>41624</v>
      </c>
      <c r="B48" s="5">
        <f t="shared" si="2"/>
        <v>41624</v>
      </c>
      <c r="C48" s="13">
        <v>-0.4</v>
      </c>
      <c r="D48" s="109">
        <v>0.75208333333333333</v>
      </c>
      <c r="E48"/>
      <c r="F48" s="107">
        <v>8215.5635287395762</v>
      </c>
      <c r="G48" s="2" t="s">
        <v>49</v>
      </c>
      <c r="H48" s="107">
        <f>+L48*H47/L47</f>
        <v>3098.6136227255779</v>
      </c>
      <c r="J48" s="1" t="s">
        <v>11</v>
      </c>
      <c r="L48" s="106">
        <v>4439.0915070765641</v>
      </c>
      <c r="N48" s="1" t="s">
        <v>11</v>
      </c>
      <c r="O48" s="10">
        <f>+F48+H48+L48</f>
        <v>15753.268658541718</v>
      </c>
    </row>
    <row r="49" spans="1:15" x14ac:dyDescent="0.25">
      <c r="A49" s="4">
        <v>41625</v>
      </c>
      <c r="B49" s="5">
        <f t="shared" si="2"/>
        <v>41625</v>
      </c>
      <c r="C49" s="13">
        <v>-0.4</v>
      </c>
      <c r="D49" s="109">
        <v>0.77638888888888891</v>
      </c>
      <c r="E49"/>
      <c r="F49" s="1" t="s">
        <v>11</v>
      </c>
      <c r="H49" s="107">
        <v>2893.6171568908571</v>
      </c>
      <c r="J49" s="1" t="s">
        <v>11</v>
      </c>
      <c r="L49" s="1" t="s">
        <v>11</v>
      </c>
      <c r="N49" s="1" t="s">
        <v>11</v>
      </c>
      <c r="O49" s="10">
        <f>+H49</f>
        <v>2893.6171568908571</v>
      </c>
    </row>
    <row r="50" spans="1:15" x14ac:dyDescent="0.25">
      <c r="A50" s="4">
        <v>41626</v>
      </c>
      <c r="B50" s="5">
        <f t="shared" si="2"/>
        <v>41626</v>
      </c>
      <c r="C50" s="13">
        <v>-0.3</v>
      </c>
      <c r="D50" s="109">
        <v>0.79999999999999993</v>
      </c>
      <c r="E50"/>
      <c r="F50" s="1" t="s">
        <v>11</v>
      </c>
      <c r="H50" s="107">
        <v>1334.5954150514456</v>
      </c>
      <c r="J50" s="1" t="s">
        <v>11</v>
      </c>
      <c r="L50" s="1" t="s">
        <v>11</v>
      </c>
      <c r="N50" s="1" t="s">
        <v>11</v>
      </c>
      <c r="O50" s="10">
        <f>+H50</f>
        <v>1334.5954150514456</v>
      </c>
    </row>
    <row r="51" spans="1:15" x14ac:dyDescent="0.25">
      <c r="A51" s="4"/>
      <c r="C51"/>
      <c r="D51" s="109"/>
      <c r="E51"/>
      <c r="O51" s="10"/>
    </row>
    <row r="52" spans="1:15" x14ac:dyDescent="0.25">
      <c r="A52" s="4">
        <v>41637</v>
      </c>
      <c r="B52" s="5">
        <f t="shared" si="2"/>
        <v>41637</v>
      </c>
      <c r="C52" s="13">
        <v>-0.2</v>
      </c>
      <c r="D52" s="109">
        <v>0.67013888888888884</v>
      </c>
      <c r="E52"/>
      <c r="F52" s="8">
        <v>52234.872455360703</v>
      </c>
      <c r="G52" s="2" t="s">
        <v>49</v>
      </c>
      <c r="H52" s="107">
        <f>+(J52+L52)*H53/(J53+L53)</f>
        <v>13713.45951108245</v>
      </c>
      <c r="J52" s="107">
        <v>47376.089892201118</v>
      </c>
      <c r="L52" s="106">
        <v>18253.351913183909</v>
      </c>
      <c r="N52" s="1" t="s">
        <v>11</v>
      </c>
      <c r="O52" s="10">
        <f>+F52+H52+J52+L52</f>
        <v>131577.77377182816</v>
      </c>
    </row>
    <row r="53" spans="1:15" x14ac:dyDescent="0.25">
      <c r="A53" s="4">
        <v>41638</v>
      </c>
      <c r="B53" s="5">
        <f t="shared" si="2"/>
        <v>41638</v>
      </c>
      <c r="C53" s="13">
        <v>-0.9</v>
      </c>
      <c r="D53" s="109">
        <v>0.70486111111111116</v>
      </c>
      <c r="E53"/>
      <c r="F53" s="8">
        <v>59993.142089542373</v>
      </c>
      <c r="H53" s="107">
        <v>23210.751875893209</v>
      </c>
      <c r="J53" s="107">
        <v>74353.688121269006</v>
      </c>
      <c r="L53" s="106">
        <v>36727.595800349154</v>
      </c>
      <c r="N53" s="1" t="s">
        <v>11</v>
      </c>
      <c r="O53" s="10">
        <f>+F53+H53+J53+L53</f>
        <v>194285.17788705375</v>
      </c>
    </row>
    <row r="54" spans="1:15" x14ac:dyDescent="0.25">
      <c r="A54" s="4">
        <v>41639</v>
      </c>
      <c r="B54" s="5">
        <f t="shared" si="2"/>
        <v>41639</v>
      </c>
      <c r="C54" s="13">
        <v>-1.4</v>
      </c>
      <c r="D54" s="109">
        <v>0.73749999999999993</v>
      </c>
      <c r="E54"/>
      <c r="F54" s="8">
        <v>60850.154714003234</v>
      </c>
      <c r="G54" s="2" t="s">
        <v>49</v>
      </c>
      <c r="H54" s="107">
        <f>+(J54+L54)*H53/(J53+L53)</f>
        <v>15561.721371151032</v>
      </c>
      <c r="J54" s="107">
        <v>44565.623287681476</v>
      </c>
      <c r="L54" s="106">
        <v>29909.171806452858</v>
      </c>
      <c r="N54" s="1" t="s">
        <v>11</v>
      </c>
      <c r="O54" s="10">
        <f>+F54+H54+J54+L54</f>
        <v>150886.67117928859</v>
      </c>
    </row>
    <row r="55" spans="1:15" x14ac:dyDescent="0.25">
      <c r="A55" s="4">
        <v>41640</v>
      </c>
      <c r="B55" s="5">
        <f t="shared" si="2"/>
        <v>41640</v>
      </c>
      <c r="C55" s="13">
        <v>-1.7</v>
      </c>
      <c r="D55" s="109">
        <v>0.77013888888888893</v>
      </c>
      <c r="E55" s="2" t="s">
        <v>49</v>
      </c>
      <c r="F55" s="8">
        <f>+L55*F48/L48</f>
        <v>64376.995830518128</v>
      </c>
      <c r="G55" s="2" t="s">
        <v>49</v>
      </c>
      <c r="H55" s="107">
        <f>+L55*H47/L47</f>
        <v>24280.676008745457</v>
      </c>
      <c r="J55" s="1" t="s">
        <v>11</v>
      </c>
      <c r="L55" s="106">
        <v>34784.634607554399</v>
      </c>
      <c r="N55" s="1" t="s">
        <v>11</v>
      </c>
      <c r="O55" s="10">
        <f>+F55+H55+L55</f>
        <v>123442.30644681798</v>
      </c>
    </row>
    <row r="56" spans="1:15" x14ac:dyDescent="0.25">
      <c r="A56" s="4">
        <v>41641</v>
      </c>
      <c r="B56" s="5">
        <f t="shared" si="2"/>
        <v>41641</v>
      </c>
      <c r="C56" s="13">
        <v>-1.7</v>
      </c>
      <c r="D56" s="109">
        <v>0.80208333333333337</v>
      </c>
      <c r="E56"/>
      <c r="F56" s="8">
        <v>2850.5297445474598</v>
      </c>
      <c r="H56" s="107">
        <v>3208.9153409451965</v>
      </c>
      <c r="J56" s="1" t="s">
        <v>11</v>
      </c>
      <c r="L56" s="106">
        <v>2448.8270497836311</v>
      </c>
      <c r="N56" s="1" t="s">
        <v>11</v>
      </c>
      <c r="O56" s="10">
        <f>+F56+H56+L56</f>
        <v>8508.2721352762874</v>
      </c>
    </row>
    <row r="57" spans="1:15" x14ac:dyDescent="0.25">
      <c r="A57" s="4">
        <v>41642</v>
      </c>
      <c r="B57" s="5">
        <f t="shared" si="2"/>
        <v>41642</v>
      </c>
      <c r="C57" s="13">
        <v>-1.4</v>
      </c>
      <c r="D57" s="109">
        <v>0.83333333333333337</v>
      </c>
      <c r="E57"/>
      <c r="F57" s="8">
        <v>10866.081521778568</v>
      </c>
      <c r="H57" s="107">
        <v>7238.9878418587523</v>
      </c>
      <c r="J57" s="1" t="s">
        <v>11</v>
      </c>
      <c r="L57" s="106">
        <v>13296.192086794676</v>
      </c>
      <c r="N57" s="1" t="s">
        <v>11</v>
      </c>
      <c r="O57" s="10">
        <f>+F57+H57+L57</f>
        <v>31401.261450431994</v>
      </c>
    </row>
    <row r="58" spans="1:15" x14ac:dyDescent="0.25">
      <c r="A58" s="4">
        <v>41643</v>
      </c>
      <c r="B58" s="5">
        <f t="shared" si="2"/>
        <v>41643</v>
      </c>
      <c r="C58" s="13">
        <v>-0.9</v>
      </c>
      <c r="D58" s="109">
        <v>0.86458333333333337</v>
      </c>
      <c r="E58" s="2" t="s">
        <v>49</v>
      </c>
      <c r="F58" s="8">
        <f>+(H58+J58+L58)*F53/(H53+J53+L53)</f>
        <v>16006.878885815617</v>
      </c>
      <c r="H58" s="107">
        <v>6762.4932561185105</v>
      </c>
      <c r="J58" s="107">
        <v>19063.842092938437</v>
      </c>
      <c r="L58" s="106">
        <v>10004.365918964879</v>
      </c>
      <c r="N58" s="1" t="s">
        <v>11</v>
      </c>
      <c r="O58" s="10">
        <f>+F58+H58+J58+L58</f>
        <v>51837.580153837436</v>
      </c>
    </row>
    <row r="59" spans="1:15" x14ac:dyDescent="0.25">
      <c r="A59" s="4">
        <v>41644</v>
      </c>
      <c r="B59" s="116">
        <f t="shared" si="2"/>
        <v>41644</v>
      </c>
      <c r="C59" s="13">
        <v>-0.2</v>
      </c>
      <c r="D59" s="109">
        <v>0.8965277777777777</v>
      </c>
      <c r="E59"/>
      <c r="F59" s="1" t="s">
        <v>11</v>
      </c>
      <c r="G59" s="2" t="s">
        <v>49</v>
      </c>
      <c r="H59" s="107">
        <f>+H58</f>
        <v>6762.4932561185105</v>
      </c>
      <c r="J59" s="1" t="s">
        <v>11</v>
      </c>
      <c r="L59" s="1" t="s">
        <v>11</v>
      </c>
      <c r="N59" s="1" t="s">
        <v>11</v>
      </c>
      <c r="O59" s="10">
        <f>+H59</f>
        <v>6762.4932561185105</v>
      </c>
    </row>
    <row r="60" spans="1:15" x14ac:dyDescent="0.25">
      <c r="A60" s="4"/>
      <c r="B60" s="5"/>
      <c r="C60" s="13"/>
      <c r="D60" s="109"/>
      <c r="E60"/>
      <c r="N60" s="1"/>
      <c r="O60" s="10"/>
    </row>
    <row r="61" spans="1:15" x14ac:dyDescent="0.25">
      <c r="A61" s="4">
        <v>41654</v>
      </c>
      <c r="B61" s="116">
        <f t="shared" si="2"/>
        <v>41654</v>
      </c>
      <c r="C61" s="13">
        <v>-0.1</v>
      </c>
      <c r="D61" s="109">
        <v>0.7631944444444444</v>
      </c>
      <c r="E61"/>
      <c r="F61" s="1" t="s">
        <v>11</v>
      </c>
      <c r="H61" s="107">
        <v>9691.5604240852153</v>
      </c>
      <c r="J61" s="1" t="s">
        <v>11</v>
      </c>
      <c r="L61" s="1" t="s">
        <v>11</v>
      </c>
      <c r="N61" s="1" t="s">
        <v>11</v>
      </c>
      <c r="O61" s="10">
        <f>+H61</f>
        <v>9691.5604240852153</v>
      </c>
    </row>
    <row r="62" spans="1:15" x14ac:dyDescent="0.25">
      <c r="A62" s="4">
        <v>41655</v>
      </c>
      <c r="B62" s="116">
        <f t="shared" si="2"/>
        <v>41655</v>
      </c>
      <c r="C62" s="13">
        <v>-0.1</v>
      </c>
      <c r="D62" s="109">
        <v>0.78541666666666676</v>
      </c>
      <c r="E62"/>
      <c r="F62" s="1" t="s">
        <v>11</v>
      </c>
      <c r="H62" s="107">
        <v>9079.4569868046037</v>
      </c>
      <c r="J62" s="1" t="s">
        <v>11</v>
      </c>
      <c r="L62" s="1" t="s">
        <v>11</v>
      </c>
      <c r="N62" s="1" t="s">
        <v>11</v>
      </c>
      <c r="O62" s="10">
        <f>+H62</f>
        <v>9079.4569868046037</v>
      </c>
    </row>
    <row r="63" spans="1:15" x14ac:dyDescent="0.25">
      <c r="A63" s="4">
        <v>41656</v>
      </c>
      <c r="B63" s="5">
        <f t="shared" ref="B63:B64" si="3">+A63</f>
        <v>41656</v>
      </c>
      <c r="C63" s="13">
        <v>0</v>
      </c>
      <c r="D63" s="109">
        <v>0.80694444444444446</v>
      </c>
      <c r="E63"/>
      <c r="F63" s="8">
        <v>3788.5947961415304</v>
      </c>
      <c r="H63" s="107">
        <v>6712.3867915753162</v>
      </c>
      <c r="J63" s="1" t="s">
        <v>11</v>
      </c>
      <c r="L63" s="107">
        <v>4009.5228485267044</v>
      </c>
      <c r="N63" s="1" t="s">
        <v>11</v>
      </c>
      <c r="O63" s="10">
        <f>+F63+H63+L63</f>
        <v>14510.504436243551</v>
      </c>
    </row>
    <row r="64" spans="1:15" x14ac:dyDescent="0.25">
      <c r="A64" s="4">
        <v>41657</v>
      </c>
      <c r="B64" s="5">
        <f t="shared" si="3"/>
        <v>41657</v>
      </c>
      <c r="C64" s="13">
        <v>0.2</v>
      </c>
      <c r="D64" s="109">
        <v>0.82847222222222217</v>
      </c>
      <c r="E64"/>
      <c r="F64" s="8">
        <v>12357.714391557038</v>
      </c>
      <c r="H64" s="107">
        <v>10197.993679228337</v>
      </c>
      <c r="J64" s="1" t="s">
        <v>11</v>
      </c>
      <c r="L64" s="107">
        <v>10291.648146024158</v>
      </c>
      <c r="N64" s="1" t="s">
        <v>11</v>
      </c>
      <c r="O64" s="10">
        <f>+F64+H64+L64</f>
        <v>32847.35621680953</v>
      </c>
    </row>
    <row r="65" spans="1:15" x14ac:dyDescent="0.25">
      <c r="A65" s="4"/>
      <c r="C65"/>
      <c r="D65" s="109"/>
      <c r="E65"/>
      <c r="O65" s="10"/>
    </row>
    <row r="66" spans="1:15" x14ac:dyDescent="0.25">
      <c r="A66" s="4">
        <v>41667</v>
      </c>
      <c r="B66" s="5">
        <f t="shared" ref="B66:B67" si="4">+A66</f>
        <v>41667</v>
      </c>
      <c r="C66" s="13">
        <v>-0.7</v>
      </c>
      <c r="D66" s="109">
        <v>0.69166666666666676</v>
      </c>
      <c r="E66"/>
      <c r="F66" s="1" t="s">
        <v>11</v>
      </c>
      <c r="H66" s="107">
        <v>15016.005222673468</v>
      </c>
      <c r="J66" s="1" t="s">
        <v>11</v>
      </c>
      <c r="L66" s="1" t="s">
        <v>11</v>
      </c>
      <c r="N66" s="1" t="s">
        <v>11</v>
      </c>
      <c r="O66" s="10">
        <f>+H66</f>
        <v>15016.005222673468</v>
      </c>
    </row>
    <row r="67" spans="1:15" x14ac:dyDescent="0.25">
      <c r="A67" s="4">
        <v>41668</v>
      </c>
      <c r="B67" s="5">
        <f t="shared" si="4"/>
        <v>41668</v>
      </c>
      <c r="C67" s="13">
        <v>-1.2</v>
      </c>
      <c r="D67" s="109">
        <v>0.72569444444444453</v>
      </c>
      <c r="E67"/>
      <c r="F67" s="8">
        <v>32973.982198501246</v>
      </c>
      <c r="H67" s="107">
        <v>12750.625984243448</v>
      </c>
      <c r="J67" s="1" t="s">
        <v>11</v>
      </c>
      <c r="L67" s="1" t="s">
        <v>11</v>
      </c>
      <c r="N67" s="1" t="s">
        <v>11</v>
      </c>
      <c r="O67" s="10">
        <f>+F67+H67</f>
        <v>45724.608182744691</v>
      </c>
    </row>
    <row r="68" spans="1:15" x14ac:dyDescent="0.25">
      <c r="A68" s="4">
        <v>41669</v>
      </c>
      <c r="B68" s="5">
        <f t="shared" ref="B68:B71" si="5">+A68</f>
        <v>41669</v>
      </c>
      <c r="C68" s="13">
        <v>-1.4</v>
      </c>
      <c r="D68" s="109">
        <v>0.75763888888888886</v>
      </c>
      <c r="E68"/>
      <c r="F68" s="8">
        <v>22745.388700045907</v>
      </c>
      <c r="H68" s="107">
        <v>10451.106331637204</v>
      </c>
      <c r="J68" s="1" t="s">
        <v>11</v>
      </c>
      <c r="L68" s="107">
        <v>11236.903800181353</v>
      </c>
      <c r="N68" s="1" t="s">
        <v>11</v>
      </c>
      <c r="O68" s="10">
        <f>+F68+H68+L68</f>
        <v>44433.398831864462</v>
      </c>
    </row>
    <row r="69" spans="1:15" x14ac:dyDescent="0.25">
      <c r="A69" s="4">
        <v>41670</v>
      </c>
      <c r="B69" s="5">
        <f t="shared" si="5"/>
        <v>41670</v>
      </c>
      <c r="C69" s="13">
        <v>-1.4</v>
      </c>
      <c r="D69" s="109">
        <v>0.78819444444444453</v>
      </c>
      <c r="E69"/>
      <c r="F69" s="8">
        <v>38626.066134436522</v>
      </c>
      <c r="H69" s="107">
        <v>14428.518070463997</v>
      </c>
      <c r="J69" s="1" t="s">
        <v>11</v>
      </c>
      <c r="L69" s="107">
        <v>25416.530833917212</v>
      </c>
      <c r="N69" s="1" t="s">
        <v>11</v>
      </c>
      <c r="O69" s="10">
        <f>+F69+H69+L69</f>
        <v>78471.115038817719</v>
      </c>
    </row>
    <row r="70" spans="1:15" x14ac:dyDescent="0.25">
      <c r="A70" s="4">
        <v>41671</v>
      </c>
      <c r="B70" s="5">
        <f t="shared" si="5"/>
        <v>41671</v>
      </c>
      <c r="C70" s="13">
        <v>-1.1000000000000001</v>
      </c>
      <c r="D70" s="109">
        <v>0.81805555555555554</v>
      </c>
      <c r="E70"/>
      <c r="F70" s="8">
        <v>37699.550476314063</v>
      </c>
      <c r="G70" s="2" t="s">
        <v>49</v>
      </c>
      <c r="H70" s="8">
        <f>+(J70+L70)*(H58+H53)/(J53+L53+J58+L58)</f>
        <v>12247.047621237727</v>
      </c>
      <c r="J70" s="107">
        <v>38995.18224211831</v>
      </c>
      <c r="L70" s="107">
        <v>18269.805057136775</v>
      </c>
      <c r="N70" s="1" t="s">
        <v>11</v>
      </c>
      <c r="O70" s="10">
        <f>+F70+H70+J70+L70</f>
        <v>107211.58539680688</v>
      </c>
    </row>
    <row r="71" spans="1:15" x14ac:dyDescent="0.25">
      <c r="A71" s="4">
        <v>41672</v>
      </c>
      <c r="B71" s="5">
        <f t="shared" si="5"/>
        <v>41672</v>
      </c>
      <c r="C71" s="13">
        <v>-0.5</v>
      </c>
      <c r="D71" s="109">
        <v>0.84722222222222221</v>
      </c>
      <c r="E71" s="2" t="s">
        <v>52</v>
      </c>
      <c r="F71" s="8">
        <f>+L71*(F69+F68)/(L68+L69)</f>
        <v>4587.0596070318943</v>
      </c>
      <c r="G71" s="2" t="s">
        <v>52</v>
      </c>
      <c r="H71" s="8">
        <f>+L71*(H69+H68)/(L69+L68)</f>
        <v>1859.5668041566626</v>
      </c>
      <c r="J71" s="1" t="s">
        <v>11</v>
      </c>
      <c r="K71" t="s">
        <v>52</v>
      </c>
      <c r="L71" s="107">
        <v>2739.5715145176955</v>
      </c>
      <c r="N71" s="1" t="s">
        <v>11</v>
      </c>
      <c r="O71" s="10">
        <f>+F71+H71+L71</f>
        <v>9186.1979257062521</v>
      </c>
    </row>
    <row r="72" spans="1:15" x14ac:dyDescent="0.25">
      <c r="A72" s="4"/>
      <c r="C72"/>
      <c r="D72" s="109"/>
      <c r="E72"/>
      <c r="O72" s="10"/>
    </row>
    <row r="73" spans="1:15" x14ac:dyDescent="0.25">
      <c r="A73" s="4">
        <v>41696</v>
      </c>
      <c r="B73" s="5">
        <f t="shared" ref="B73" si="6">+A73</f>
        <v>41696</v>
      </c>
      <c r="C73" s="13">
        <v>-0.4</v>
      </c>
      <c r="D73" s="109">
        <v>0.67708333333333337</v>
      </c>
      <c r="E73"/>
      <c r="F73" s="8" t="s">
        <v>11</v>
      </c>
      <c r="G73" s="2"/>
      <c r="H73" s="8">
        <v>22274.356911998446</v>
      </c>
      <c r="J73" s="1" t="s">
        <v>11</v>
      </c>
      <c r="L73" s="107" t="s">
        <v>11</v>
      </c>
      <c r="N73" s="1" t="s">
        <v>11</v>
      </c>
      <c r="O73" s="10">
        <f>+H73</f>
        <v>22274.356911998446</v>
      </c>
    </row>
    <row r="74" spans="1:15" x14ac:dyDescent="0.25">
      <c r="A74" s="4">
        <v>41697</v>
      </c>
      <c r="B74" s="5">
        <f t="shared" ref="B74:B78" si="7">+A74</f>
        <v>41697</v>
      </c>
      <c r="C74" s="13">
        <v>-0.7</v>
      </c>
      <c r="D74" s="109">
        <v>0.71111111111111114</v>
      </c>
      <c r="E74"/>
      <c r="F74" s="8">
        <v>42786.376754492514</v>
      </c>
      <c r="G74" s="2"/>
      <c r="H74" s="8">
        <v>18111.781430022973</v>
      </c>
      <c r="J74" s="1" t="s">
        <v>11</v>
      </c>
      <c r="L74" s="107">
        <v>22836.692220973335</v>
      </c>
      <c r="N74" s="1" t="s">
        <v>11</v>
      </c>
      <c r="O74" s="10">
        <f>+F74+H74+L74</f>
        <v>83734.850405488818</v>
      </c>
    </row>
    <row r="75" spans="1:15" x14ac:dyDescent="0.25">
      <c r="A75" s="4">
        <v>41698</v>
      </c>
      <c r="B75" s="5">
        <f t="shared" si="7"/>
        <v>41698</v>
      </c>
      <c r="C75" s="13">
        <v>-0.8</v>
      </c>
      <c r="D75" s="109">
        <v>0.74236111111111114</v>
      </c>
      <c r="E75"/>
      <c r="F75" s="8">
        <v>82033.132809336093</v>
      </c>
      <c r="G75" s="2"/>
      <c r="H75" s="8">
        <v>27462.372782582952</v>
      </c>
      <c r="J75" s="1" t="s">
        <v>11</v>
      </c>
      <c r="L75" s="107">
        <v>41076.718232928353</v>
      </c>
      <c r="N75" s="1" t="s">
        <v>11</v>
      </c>
      <c r="O75" s="10">
        <f>+F75+H75+L75</f>
        <v>150572.2238248474</v>
      </c>
    </row>
    <row r="76" spans="1:15" x14ac:dyDescent="0.25">
      <c r="A76" s="4">
        <v>41699</v>
      </c>
      <c r="B76" s="5">
        <f t="shared" si="7"/>
        <v>41699</v>
      </c>
      <c r="C76" s="13">
        <v>-0.7</v>
      </c>
      <c r="D76" s="109">
        <v>0.77222222222222225</v>
      </c>
      <c r="E76"/>
      <c r="F76" s="8">
        <v>75134.400072204357</v>
      </c>
      <c r="G76" s="2"/>
      <c r="H76" s="8">
        <v>46273.042135159048</v>
      </c>
      <c r="J76" s="107">
        <v>82427.834461250211</v>
      </c>
      <c r="L76" s="107">
        <v>37903.122932032842</v>
      </c>
      <c r="N76" s="1" t="s">
        <v>11</v>
      </c>
      <c r="O76" s="10">
        <f>+F76+H76+J76+L76</f>
        <v>241738.39960064646</v>
      </c>
    </row>
    <row r="77" spans="1:15" x14ac:dyDescent="0.25">
      <c r="A77" s="4">
        <v>41700</v>
      </c>
      <c r="B77" s="5">
        <f t="shared" si="7"/>
        <v>41700</v>
      </c>
      <c r="C77" s="13">
        <v>-0.3</v>
      </c>
      <c r="D77" s="109">
        <v>0.80069444444444438</v>
      </c>
      <c r="E77"/>
      <c r="F77" s="8">
        <v>25.042999097339241</v>
      </c>
      <c r="G77" s="2"/>
      <c r="H77" s="8">
        <v>1267.4503646974902</v>
      </c>
      <c r="J77" s="1" t="s">
        <v>11</v>
      </c>
      <c r="L77" s="107">
        <v>6720.0518129878819</v>
      </c>
      <c r="N77" s="1" t="s">
        <v>11</v>
      </c>
      <c r="O77" s="10">
        <f>+F77+H77+L77</f>
        <v>8012.5451767827108</v>
      </c>
    </row>
    <row r="78" spans="1:15" x14ac:dyDescent="0.25">
      <c r="A78" s="4">
        <v>41701</v>
      </c>
      <c r="B78" s="116">
        <f t="shared" si="7"/>
        <v>41701</v>
      </c>
      <c r="C78" s="13">
        <v>0.3</v>
      </c>
      <c r="D78" s="109">
        <v>0.82847222222222217</v>
      </c>
      <c r="E78"/>
      <c r="F78" s="8" t="s">
        <v>11</v>
      </c>
      <c r="G78" s="2"/>
      <c r="H78" s="8">
        <v>2014.6865941392616</v>
      </c>
      <c r="J78" s="1" t="s">
        <v>11</v>
      </c>
      <c r="L78" s="107" t="s">
        <v>11</v>
      </c>
      <c r="N78" s="1" t="s">
        <v>11</v>
      </c>
      <c r="O78" s="10">
        <f>+H78</f>
        <v>2014.6865941392616</v>
      </c>
    </row>
    <row r="79" spans="1:15" x14ac:dyDescent="0.25">
      <c r="A79" s="4"/>
      <c r="C79"/>
      <c r="D79" s="109"/>
      <c r="E79"/>
    </row>
    <row r="80" spans="1:15" x14ac:dyDescent="0.25">
      <c r="A80" s="4">
        <v>41724</v>
      </c>
      <c r="B80" s="5">
        <v>41724</v>
      </c>
      <c r="C80" s="13">
        <v>0.3</v>
      </c>
      <c r="D80" s="109">
        <v>0.66111111111111109</v>
      </c>
      <c r="E80"/>
      <c r="F80" s="8" t="s">
        <v>11</v>
      </c>
      <c r="H80" s="107">
        <v>17595.608537537555</v>
      </c>
      <c r="J80" s="1" t="s">
        <v>11</v>
      </c>
      <c r="L80" s="1" t="s">
        <v>11</v>
      </c>
      <c r="N80" s="1" t="s">
        <v>11</v>
      </c>
      <c r="O80" s="10">
        <f>+H80</f>
        <v>17595.608537537555</v>
      </c>
    </row>
    <row r="81" spans="1:15" x14ac:dyDescent="0.25">
      <c r="A81" s="4">
        <v>41725</v>
      </c>
      <c r="B81" s="5">
        <v>41725</v>
      </c>
      <c r="C81" s="13">
        <v>0.1</v>
      </c>
      <c r="D81" s="109">
        <v>0.70000000000000007</v>
      </c>
      <c r="E81"/>
      <c r="F81" s="8" t="s">
        <v>11</v>
      </c>
      <c r="H81" s="107">
        <v>15085.527118085894</v>
      </c>
      <c r="J81" s="1" t="s">
        <v>11</v>
      </c>
      <c r="L81" s="1" t="s">
        <v>11</v>
      </c>
      <c r="N81" s="1" t="s">
        <v>11</v>
      </c>
      <c r="O81" s="10">
        <f>+H81</f>
        <v>15085.527118085894</v>
      </c>
    </row>
    <row r="82" spans="1:15" x14ac:dyDescent="0.25">
      <c r="A82" s="4">
        <v>41726</v>
      </c>
      <c r="B82" s="5">
        <v>41726</v>
      </c>
      <c r="C82" s="13">
        <v>0</v>
      </c>
      <c r="D82" s="109">
        <v>0.73472222222222217</v>
      </c>
      <c r="E82"/>
      <c r="F82" s="107">
        <v>46937.126913927277</v>
      </c>
      <c r="H82" s="107">
        <v>16207.871217150245</v>
      </c>
      <c r="J82" s="1" t="s">
        <v>11</v>
      </c>
      <c r="L82" s="107">
        <v>32077.975765953051</v>
      </c>
      <c r="N82" s="1" t="s">
        <v>11</v>
      </c>
      <c r="O82" s="10">
        <f>+F82+H82+L82</f>
        <v>95222.973897030577</v>
      </c>
    </row>
    <row r="83" spans="1:15" x14ac:dyDescent="0.25">
      <c r="A83" s="4">
        <v>41727</v>
      </c>
      <c r="B83" s="5">
        <v>41727</v>
      </c>
      <c r="C83" s="13">
        <v>0</v>
      </c>
      <c r="D83" s="109">
        <v>0.76597222222222217</v>
      </c>
      <c r="E83"/>
      <c r="F83" s="107">
        <v>37937.373156994021</v>
      </c>
      <c r="G83" s="2" t="s">
        <v>49</v>
      </c>
      <c r="H83" s="107">
        <f>+L83*(H82+H84)/(L82+L84)</f>
        <v>40764.938296977998</v>
      </c>
      <c r="J83" s="1" t="s">
        <v>11</v>
      </c>
      <c r="L83" s="107">
        <v>56416.1049133669</v>
      </c>
      <c r="N83" s="1" t="s">
        <v>11</v>
      </c>
      <c r="O83" s="10">
        <f>+F83+H83+L83</f>
        <v>135118.41636733891</v>
      </c>
    </row>
    <row r="84" spans="1:15" x14ac:dyDescent="0.25">
      <c r="A84" s="4">
        <v>41728</v>
      </c>
      <c r="B84" s="5">
        <v>41728</v>
      </c>
      <c r="C84" s="13">
        <v>-0.1</v>
      </c>
      <c r="D84" s="109">
        <v>0.28680555555555554</v>
      </c>
      <c r="E84"/>
      <c r="F84" s="107">
        <v>21547.024640316657</v>
      </c>
      <c r="H84" s="107">
        <v>28862.562714052627</v>
      </c>
      <c r="J84" s="1" t="s">
        <v>11</v>
      </c>
      <c r="L84" s="107">
        <v>30296.663700684116</v>
      </c>
      <c r="N84" s="1" t="s">
        <v>11</v>
      </c>
      <c r="O84" s="10">
        <f>+F84+H84+L84</f>
        <v>80706.251055053406</v>
      </c>
    </row>
    <row r="85" spans="1:15" x14ac:dyDescent="0.25">
      <c r="A85" s="4">
        <v>41729</v>
      </c>
      <c r="B85" s="116">
        <v>41729</v>
      </c>
      <c r="C85" s="13">
        <v>-0.5</v>
      </c>
      <c r="D85" s="109">
        <v>0.31875000000000003</v>
      </c>
      <c r="E85"/>
      <c r="F85" s="107">
        <v>21170.393021468728</v>
      </c>
      <c r="H85" s="107">
        <v>18007.727994231791</v>
      </c>
      <c r="J85" s="1" t="s">
        <v>11</v>
      </c>
      <c r="L85" s="1" t="s">
        <v>11</v>
      </c>
      <c r="N85" s="1" t="s">
        <v>11</v>
      </c>
      <c r="O85" s="10">
        <f>+F85+H85</f>
        <v>39178.121015700519</v>
      </c>
    </row>
    <row r="86" spans="1:15" x14ac:dyDescent="0.25">
      <c r="A86" s="4">
        <v>41730</v>
      </c>
      <c r="B86" s="5">
        <v>41730</v>
      </c>
      <c r="C86" s="13">
        <v>-0.7</v>
      </c>
      <c r="D86" s="109">
        <v>0.34861111111111115</v>
      </c>
      <c r="E86"/>
      <c r="F86" s="107">
        <v>32177.858108133692</v>
      </c>
      <c r="H86" s="107">
        <v>14265.417061462063</v>
      </c>
      <c r="J86" s="1" t="s">
        <v>11</v>
      </c>
      <c r="L86" s="1" t="s">
        <v>11</v>
      </c>
      <c r="N86" s="1" t="s">
        <v>11</v>
      </c>
      <c r="O86" s="10">
        <f>+F86+H86</f>
        <v>46443.275169595756</v>
      </c>
    </row>
    <row r="87" spans="1:15" x14ac:dyDescent="0.25">
      <c r="A87" s="4">
        <v>41731</v>
      </c>
      <c r="B87" s="5">
        <v>41731</v>
      </c>
      <c r="C87" s="13">
        <v>-0.6</v>
      </c>
      <c r="D87" s="109">
        <v>0.37847222222222227</v>
      </c>
      <c r="E87"/>
      <c r="F87" s="107">
        <v>40865.583942586825</v>
      </c>
      <c r="H87" s="107">
        <v>23792.474762042362</v>
      </c>
      <c r="J87" s="1" t="s">
        <v>11</v>
      </c>
      <c r="L87" s="1" t="s">
        <v>11</v>
      </c>
      <c r="N87" s="1" t="s">
        <v>11</v>
      </c>
      <c r="O87" s="10">
        <f>+F87+H87</f>
        <v>64658.058704629191</v>
      </c>
    </row>
    <row r="88" spans="1:15" x14ac:dyDescent="0.25">
      <c r="A88" s="4">
        <v>41732</v>
      </c>
      <c r="B88" s="116">
        <v>41732</v>
      </c>
      <c r="C88" s="13">
        <v>-0.3</v>
      </c>
      <c r="D88" s="109">
        <v>0.40902777777777777</v>
      </c>
      <c r="E88"/>
      <c r="F88" s="107">
        <v>26553.054297378967</v>
      </c>
      <c r="H88" s="107">
        <v>11082.694529821125</v>
      </c>
      <c r="J88" s="1" t="s">
        <v>11</v>
      </c>
      <c r="L88" s="1" t="s">
        <v>11</v>
      </c>
      <c r="N88" s="1" t="s">
        <v>11</v>
      </c>
      <c r="O88" s="10">
        <f>+F88+H88</f>
        <v>37635.748827200092</v>
      </c>
    </row>
    <row r="89" spans="1:15" x14ac:dyDescent="0.25">
      <c r="A89" s="4"/>
      <c r="C89"/>
      <c r="D89" s="109"/>
      <c r="E89"/>
    </row>
    <row r="90" spans="1:15" x14ac:dyDescent="0.25">
      <c r="A90" s="4">
        <v>41743</v>
      </c>
      <c r="B90" s="116">
        <f>+A90</f>
        <v>41743</v>
      </c>
      <c r="C90" s="13">
        <v>0.2</v>
      </c>
      <c r="D90" s="109">
        <v>0.28194444444444444</v>
      </c>
      <c r="E90"/>
      <c r="F90" s="1" t="s">
        <v>11</v>
      </c>
      <c r="H90" s="107">
        <v>15228.89145242091</v>
      </c>
      <c r="J90" s="1" t="s">
        <v>11</v>
      </c>
      <c r="L90" s="1" t="s">
        <v>11</v>
      </c>
      <c r="N90" s="1" t="s">
        <v>11</v>
      </c>
      <c r="O90" s="10">
        <f>+H90</f>
        <v>15228.89145242091</v>
      </c>
    </row>
    <row r="91" spans="1:15" x14ac:dyDescent="0.25">
      <c r="A91" s="4">
        <v>41744</v>
      </c>
      <c r="B91" s="116">
        <f t="shared" ref="B91:B96" si="8">+A91</f>
        <v>41744</v>
      </c>
      <c r="C91" s="13">
        <v>-0.3</v>
      </c>
      <c r="D91" s="109">
        <v>0.30833333333333335</v>
      </c>
      <c r="E91"/>
      <c r="F91" s="107">
        <v>21064.521080523467</v>
      </c>
      <c r="H91" s="107">
        <v>16919.634110665633</v>
      </c>
      <c r="J91" s="1" t="s">
        <v>11</v>
      </c>
      <c r="L91" s="1" t="s">
        <v>11</v>
      </c>
      <c r="N91" s="1" t="s">
        <v>11</v>
      </c>
      <c r="O91" s="10">
        <f>+F91+H91</f>
        <v>37984.1551911891</v>
      </c>
    </row>
    <row r="92" spans="1:15" x14ac:dyDescent="0.25">
      <c r="A92" s="4">
        <v>41745</v>
      </c>
      <c r="B92" s="116">
        <f t="shared" si="8"/>
        <v>41745</v>
      </c>
      <c r="C92" s="13">
        <v>-0.6</v>
      </c>
      <c r="D92" s="109">
        <v>0.3354166666666667</v>
      </c>
      <c r="E92"/>
      <c r="F92" s="107">
        <v>19049.457684944384</v>
      </c>
      <c r="H92" s="107">
        <v>14893.184426415639</v>
      </c>
      <c r="J92" s="1" t="s">
        <v>11</v>
      </c>
      <c r="L92" s="1" t="s">
        <v>11</v>
      </c>
      <c r="N92" s="1" t="s">
        <v>11</v>
      </c>
      <c r="O92" s="10">
        <f>+F92+H92</f>
        <v>33942.642111360023</v>
      </c>
    </row>
    <row r="93" spans="1:15" x14ac:dyDescent="0.25">
      <c r="A93" s="4">
        <v>41746</v>
      </c>
      <c r="B93" s="116">
        <f t="shared" si="8"/>
        <v>41746</v>
      </c>
      <c r="C93" s="13">
        <v>-0.8</v>
      </c>
      <c r="D93" s="109">
        <v>0.36319444444444443</v>
      </c>
      <c r="E93"/>
      <c r="F93" s="107">
        <v>46023.429544571511</v>
      </c>
      <c r="H93" s="107">
        <v>22506.410861496464</v>
      </c>
      <c r="J93" s="1" t="s">
        <v>11</v>
      </c>
      <c r="L93" s="1" t="s">
        <v>11</v>
      </c>
      <c r="N93" s="1" t="s">
        <v>11</v>
      </c>
      <c r="O93" s="10">
        <f>+F93+H93</f>
        <v>68529.840406067975</v>
      </c>
    </row>
    <row r="94" spans="1:15" x14ac:dyDescent="0.25">
      <c r="A94" s="4">
        <v>41747</v>
      </c>
      <c r="B94" s="116">
        <f t="shared" si="8"/>
        <v>41747</v>
      </c>
      <c r="C94" s="13">
        <v>-0.8</v>
      </c>
      <c r="D94" s="109">
        <v>0.39305555555555555</v>
      </c>
      <c r="E94"/>
      <c r="F94" s="107">
        <v>118033.90416554356</v>
      </c>
      <c r="H94" s="107">
        <v>31294.222062902387</v>
      </c>
      <c r="J94" s="1" t="s">
        <v>11</v>
      </c>
      <c r="L94" s="107">
        <v>31366.916794829118</v>
      </c>
      <c r="N94" s="1" t="s">
        <v>11</v>
      </c>
      <c r="O94" s="10">
        <f>+F94+H94+L94</f>
        <v>180695.04302327507</v>
      </c>
    </row>
    <row r="95" spans="1:15" x14ac:dyDescent="0.25">
      <c r="A95" s="4">
        <v>41748</v>
      </c>
      <c r="B95" s="116">
        <f t="shared" si="8"/>
        <v>41748</v>
      </c>
      <c r="C95" s="13">
        <v>-0.7</v>
      </c>
      <c r="D95" s="109">
        <v>0.42638888888888887</v>
      </c>
      <c r="E95"/>
      <c r="F95" s="107">
        <v>105399.33463623273</v>
      </c>
      <c r="G95" s="2" t="s">
        <v>49</v>
      </c>
      <c r="H95" s="107">
        <f>+(J95+L95)*H96/(J96+L96)</f>
        <v>37047.370235884067</v>
      </c>
      <c r="J95" s="107">
        <v>54942.088228135035</v>
      </c>
      <c r="L95" s="107">
        <v>32718.998370238933</v>
      </c>
      <c r="N95" s="1" t="s">
        <v>11</v>
      </c>
      <c r="O95" s="10">
        <f>+F95+H95+J95+L95</f>
        <v>230107.79147049075</v>
      </c>
    </row>
    <row r="96" spans="1:15" x14ac:dyDescent="0.25">
      <c r="A96" s="4">
        <v>41749</v>
      </c>
      <c r="B96" s="116">
        <f t="shared" si="8"/>
        <v>41749</v>
      </c>
      <c r="C96" s="13">
        <v>-0.4</v>
      </c>
      <c r="D96" s="109">
        <v>0.46249999999999997</v>
      </c>
      <c r="E96"/>
      <c r="F96" s="107">
        <v>30419.335884290842</v>
      </c>
      <c r="H96" s="107">
        <v>30737.524965914698</v>
      </c>
      <c r="J96" s="107">
        <v>38435.876361933486</v>
      </c>
      <c r="L96" s="107">
        <v>34294.922631374095</v>
      </c>
      <c r="N96" s="1" t="s">
        <v>11</v>
      </c>
      <c r="O96" s="10">
        <f>+F96+H96+J96+L96</f>
        <v>133887.65984351313</v>
      </c>
    </row>
    <row r="97" spans="1:15" x14ac:dyDescent="0.25">
      <c r="A97" s="4"/>
      <c r="C97"/>
      <c r="D97" s="109"/>
      <c r="E97"/>
    </row>
    <row r="98" spans="1:15" x14ac:dyDescent="0.25">
      <c r="A98" s="4">
        <v>41756</v>
      </c>
      <c r="B98" s="116">
        <f t="shared" ref="B98:B105" si="9">+A98</f>
        <v>41756</v>
      </c>
      <c r="C98" s="13">
        <v>-0.3</v>
      </c>
      <c r="D98" s="109">
        <v>0.24513888888888888</v>
      </c>
      <c r="E98" s="2" t="s">
        <v>49</v>
      </c>
      <c r="F98" s="107">
        <f>+H98*(F99+F100)/(H99+H100)</f>
        <v>13754.055921571158</v>
      </c>
      <c r="H98" s="107">
        <v>10651.068370530857</v>
      </c>
      <c r="J98" s="1" t="s">
        <v>11</v>
      </c>
      <c r="L98" s="1" t="s">
        <v>11</v>
      </c>
      <c r="N98" s="1" t="s">
        <v>11</v>
      </c>
      <c r="O98" s="10">
        <f>+F98+H98</f>
        <v>24405.124292102017</v>
      </c>
    </row>
    <row r="99" spans="1:15" x14ac:dyDescent="0.25">
      <c r="A99" s="4">
        <v>41757</v>
      </c>
      <c r="B99" s="116">
        <f t="shared" si="9"/>
        <v>41757</v>
      </c>
      <c r="C99" s="13">
        <v>-0.8</v>
      </c>
      <c r="D99" s="109">
        <v>0.27708333333333335</v>
      </c>
      <c r="E99"/>
      <c r="F99" s="107">
        <v>8255.9750124360962</v>
      </c>
      <c r="H99" s="107">
        <v>6672.6917033639565</v>
      </c>
      <c r="J99" s="1" t="s">
        <v>11</v>
      </c>
      <c r="L99" s="1" t="s">
        <v>11</v>
      </c>
      <c r="N99" s="1" t="s">
        <v>11</v>
      </c>
      <c r="O99" s="10">
        <f>+F99+H99</f>
        <v>14928.666715800053</v>
      </c>
    </row>
    <row r="100" spans="1:15" x14ac:dyDescent="0.25">
      <c r="A100" s="4">
        <v>41758</v>
      </c>
      <c r="B100" s="116">
        <f t="shared" si="9"/>
        <v>41758</v>
      </c>
      <c r="C100" s="13">
        <v>-1.1000000000000001</v>
      </c>
      <c r="D100" s="109">
        <v>0.30694444444444441</v>
      </c>
      <c r="E100"/>
      <c r="F100" s="107">
        <v>20853.828583124276</v>
      </c>
      <c r="H100" s="107">
        <v>15869.786683885515</v>
      </c>
      <c r="J100" s="1" t="s">
        <v>11</v>
      </c>
      <c r="L100" s="1" t="s">
        <v>11</v>
      </c>
      <c r="N100" s="1" t="s">
        <v>11</v>
      </c>
      <c r="O100" s="10">
        <f>+F100+H100</f>
        <v>36723.615267009794</v>
      </c>
    </row>
    <row r="101" spans="1:15" x14ac:dyDescent="0.25">
      <c r="A101" s="4">
        <v>41759</v>
      </c>
      <c r="B101" s="116">
        <f t="shared" si="9"/>
        <v>41759</v>
      </c>
      <c r="C101" s="13">
        <v>-1.2</v>
      </c>
      <c r="D101" s="109">
        <v>0.3354166666666667</v>
      </c>
      <c r="E101"/>
      <c r="F101" s="107">
        <v>28508.719626266364</v>
      </c>
      <c r="H101" s="107">
        <v>17899.101504952054</v>
      </c>
      <c r="J101" s="1" t="s">
        <v>11</v>
      </c>
      <c r="L101" s="1" t="s">
        <v>11</v>
      </c>
      <c r="N101" s="1" t="s">
        <v>11</v>
      </c>
      <c r="O101" s="10">
        <f t="shared" ref="O101:O102" si="10">+F101+H101</f>
        <v>46407.821131218414</v>
      </c>
    </row>
    <row r="102" spans="1:15" x14ac:dyDescent="0.25">
      <c r="A102" s="4">
        <v>41760</v>
      </c>
      <c r="B102" s="116">
        <f t="shared" si="9"/>
        <v>41760</v>
      </c>
      <c r="C102" s="13">
        <v>-1</v>
      </c>
      <c r="D102" s="109">
        <v>0.36319444444444443</v>
      </c>
      <c r="E102"/>
      <c r="F102" s="107">
        <v>29639.58696279204</v>
      </c>
      <c r="H102" s="107">
        <v>28829.298498614735</v>
      </c>
      <c r="J102" s="1" t="s">
        <v>11</v>
      </c>
      <c r="L102" s="1" t="s">
        <v>11</v>
      </c>
      <c r="N102" s="1" t="s">
        <v>11</v>
      </c>
      <c r="O102" s="10">
        <f t="shared" si="10"/>
        <v>58468.885461406775</v>
      </c>
    </row>
    <row r="103" spans="1:15" x14ac:dyDescent="0.25">
      <c r="A103" s="4">
        <v>41761</v>
      </c>
      <c r="B103" s="116">
        <f t="shared" si="9"/>
        <v>41761</v>
      </c>
      <c r="C103" s="13">
        <v>-0.7</v>
      </c>
      <c r="D103" s="109">
        <v>0.39097222222222222</v>
      </c>
      <c r="E103"/>
      <c r="F103" s="107">
        <v>31847.48146165556</v>
      </c>
      <c r="H103" s="107">
        <v>23432.922525373124</v>
      </c>
      <c r="J103" s="1" t="s">
        <v>11</v>
      </c>
      <c r="L103" s="107">
        <v>14750.697723521576</v>
      </c>
      <c r="N103" s="1" t="s">
        <v>11</v>
      </c>
      <c r="O103" s="10">
        <f>+F103+H103+L103</f>
        <v>70031.101710550254</v>
      </c>
    </row>
    <row r="104" spans="1:15" x14ac:dyDescent="0.25">
      <c r="A104" s="4">
        <v>41762</v>
      </c>
      <c r="B104" s="116">
        <f t="shared" si="9"/>
        <v>41762</v>
      </c>
      <c r="C104" s="13">
        <v>-0.3</v>
      </c>
      <c r="D104" s="109">
        <v>0.41944444444444445</v>
      </c>
      <c r="E104"/>
      <c r="F104" s="107">
        <v>39233.889646603115</v>
      </c>
      <c r="H104" s="107">
        <v>31315.010572766325</v>
      </c>
      <c r="J104" s="1" t="s">
        <v>11</v>
      </c>
      <c r="L104" s="107">
        <v>34057.100242206514</v>
      </c>
      <c r="N104" s="1" t="s">
        <v>11</v>
      </c>
      <c r="O104" s="10">
        <f>+F104+H104+L104</f>
        <v>104606.00046157595</v>
      </c>
    </row>
    <row r="105" spans="1:15" x14ac:dyDescent="0.25">
      <c r="A105" s="4">
        <v>41763</v>
      </c>
      <c r="B105" s="116">
        <f t="shared" si="9"/>
        <v>41763</v>
      </c>
      <c r="C105" s="13">
        <v>0.1</v>
      </c>
      <c r="D105" s="109">
        <v>0.44930555555555557</v>
      </c>
      <c r="E105"/>
      <c r="F105" s="107">
        <v>9844.0448168887742</v>
      </c>
      <c r="H105" s="107">
        <v>12797.994649331755</v>
      </c>
      <c r="J105" s="1" t="s">
        <v>11</v>
      </c>
      <c r="L105" s="107">
        <v>10552.841005567243</v>
      </c>
      <c r="N105" s="1" t="s">
        <v>11</v>
      </c>
      <c r="O105" s="10">
        <f>+F105+H105+L105</f>
        <v>33194.880471787772</v>
      </c>
    </row>
    <row r="106" spans="1:15" x14ac:dyDescent="0.25">
      <c r="A106" s="4"/>
      <c r="C106"/>
      <c r="D106" s="109"/>
      <c r="E106"/>
      <c r="L106" s="107"/>
    </row>
    <row r="107" spans="1:15" x14ac:dyDescent="0.25">
      <c r="A107" s="4">
        <v>41772</v>
      </c>
      <c r="B107" s="116">
        <f t="shared" ref="B107:B114" si="11">+A107</f>
        <v>41772</v>
      </c>
      <c r="C107" s="13">
        <v>-0.6</v>
      </c>
      <c r="D107" s="109">
        <v>0.26458333333333334</v>
      </c>
      <c r="E107"/>
      <c r="F107" s="107" t="s">
        <v>11</v>
      </c>
      <c r="H107" s="107">
        <v>7782.29923921309</v>
      </c>
      <c r="J107" s="107" t="s">
        <v>11</v>
      </c>
      <c r="L107" s="107" t="s">
        <v>11</v>
      </c>
      <c r="N107" s="1" t="s">
        <v>11</v>
      </c>
      <c r="O107" s="10">
        <f>+H107</f>
        <v>7782.29923921309</v>
      </c>
    </row>
    <row r="108" spans="1:15" x14ac:dyDescent="0.25">
      <c r="A108" s="4">
        <v>41773</v>
      </c>
      <c r="B108" s="116">
        <f t="shared" si="11"/>
        <v>41773</v>
      </c>
      <c r="C108" s="13">
        <v>-1.2</v>
      </c>
      <c r="D108" s="109">
        <v>0.29305555555555557</v>
      </c>
      <c r="E108"/>
      <c r="F108" s="107">
        <v>18398.723199692336</v>
      </c>
      <c r="H108" s="107">
        <v>13245.16811693522</v>
      </c>
      <c r="J108" s="107" t="s">
        <v>11</v>
      </c>
      <c r="L108" s="107" t="s">
        <v>11</v>
      </c>
      <c r="N108" s="1" t="s">
        <v>11</v>
      </c>
      <c r="O108" s="10">
        <f>SUM(F108:N108)</f>
        <v>31643.891316627556</v>
      </c>
    </row>
    <row r="109" spans="1:15" x14ac:dyDescent="0.25">
      <c r="A109" s="4">
        <v>41774</v>
      </c>
      <c r="B109" s="116">
        <f t="shared" si="11"/>
        <v>41774</v>
      </c>
      <c r="C109" s="13">
        <v>-1.5</v>
      </c>
      <c r="D109" s="109">
        <v>0.32222222222222224</v>
      </c>
      <c r="E109"/>
      <c r="F109" s="107">
        <v>23709.118831252326</v>
      </c>
      <c r="H109" s="107">
        <v>11126.468503078304</v>
      </c>
      <c r="J109" s="107" t="s">
        <v>11</v>
      </c>
      <c r="L109" s="107" t="s">
        <v>11</v>
      </c>
      <c r="N109" s="1" t="s">
        <v>11</v>
      </c>
      <c r="O109" s="10">
        <f t="shared" ref="O109:O114" si="12">SUM(F109:N109)</f>
        <v>34835.58733433063</v>
      </c>
    </row>
    <row r="110" spans="1:15" x14ac:dyDescent="0.25">
      <c r="A110" s="4">
        <v>41775</v>
      </c>
      <c r="B110" s="116">
        <f t="shared" si="11"/>
        <v>41775</v>
      </c>
      <c r="C110" s="13">
        <v>-1.7</v>
      </c>
      <c r="D110" s="109">
        <v>0.3520833333333333</v>
      </c>
      <c r="E110"/>
      <c r="F110" s="107">
        <v>33672.183828478024</v>
      </c>
      <c r="H110" s="107">
        <v>18312.685922279365</v>
      </c>
      <c r="J110" s="107">
        <v>24085.762551383606</v>
      </c>
      <c r="L110" s="107" t="s">
        <v>11</v>
      </c>
      <c r="N110" s="1" t="s">
        <v>11</v>
      </c>
      <c r="O110" s="10">
        <f t="shared" si="12"/>
        <v>76070.632302140992</v>
      </c>
    </row>
    <row r="111" spans="1:15" x14ac:dyDescent="0.25">
      <c r="A111" s="4">
        <v>41776</v>
      </c>
      <c r="B111" s="116">
        <f t="shared" si="11"/>
        <v>41776</v>
      </c>
      <c r="C111" s="13">
        <v>-1.7</v>
      </c>
      <c r="D111" s="109">
        <v>0.3833333333333333</v>
      </c>
      <c r="E111"/>
      <c r="F111" s="107">
        <v>72328.644965009531</v>
      </c>
      <c r="H111" s="107">
        <v>38784.25561988003</v>
      </c>
      <c r="J111" s="107">
        <v>54313.503685322423</v>
      </c>
      <c r="L111" s="107">
        <v>16896.272729222372</v>
      </c>
      <c r="N111" s="1" t="s">
        <v>11</v>
      </c>
      <c r="O111" s="10">
        <f t="shared" si="12"/>
        <v>182322.67699943436</v>
      </c>
    </row>
    <row r="112" spans="1:15" x14ac:dyDescent="0.25">
      <c r="A112" s="4">
        <v>41777</v>
      </c>
      <c r="B112" s="116">
        <f t="shared" si="11"/>
        <v>41777</v>
      </c>
      <c r="C112" s="13">
        <v>-1.5</v>
      </c>
      <c r="D112" s="109">
        <v>0.41597222222222219</v>
      </c>
      <c r="E112"/>
      <c r="F112" s="107">
        <v>46914.175867894148</v>
      </c>
      <c r="H112" s="107">
        <v>36593.210484679126</v>
      </c>
      <c r="J112" s="107">
        <v>33480.749961276335</v>
      </c>
      <c r="L112" s="107">
        <v>21014.394087845296</v>
      </c>
      <c r="N112" s="1" t="s">
        <v>11</v>
      </c>
      <c r="O112" s="10">
        <f t="shared" si="12"/>
        <v>138002.53040169491</v>
      </c>
    </row>
    <row r="113" spans="1:15" x14ac:dyDescent="0.25">
      <c r="A113" s="4">
        <v>41778</v>
      </c>
      <c r="B113" s="116">
        <f t="shared" si="11"/>
        <v>41778</v>
      </c>
      <c r="C113" s="13">
        <v>-1.1000000000000001</v>
      </c>
      <c r="D113" s="109">
        <v>0.4513888888888889</v>
      </c>
      <c r="E113"/>
      <c r="F113" s="107" t="s">
        <v>11</v>
      </c>
      <c r="H113" s="107">
        <v>20305.903437629499</v>
      </c>
      <c r="J113" s="107" t="s">
        <v>11</v>
      </c>
      <c r="L113" s="107" t="s">
        <v>11</v>
      </c>
      <c r="N113" s="1" t="s">
        <v>11</v>
      </c>
      <c r="O113" s="10">
        <f t="shared" si="12"/>
        <v>20305.903437629499</v>
      </c>
    </row>
    <row r="114" spans="1:15" x14ac:dyDescent="0.25">
      <c r="A114" s="4">
        <v>41779</v>
      </c>
      <c r="B114" s="116">
        <f t="shared" si="11"/>
        <v>41779</v>
      </c>
      <c r="C114" s="13">
        <v>-0.6</v>
      </c>
      <c r="D114" s="109">
        <v>0.48888888888888887</v>
      </c>
      <c r="E114"/>
      <c r="F114" s="107" t="s">
        <v>11</v>
      </c>
      <c r="H114" s="107">
        <v>16401.614681618143</v>
      </c>
      <c r="J114" s="107" t="s">
        <v>11</v>
      </c>
      <c r="L114" s="107" t="s">
        <v>11</v>
      </c>
      <c r="N114" s="1" t="s">
        <v>11</v>
      </c>
      <c r="O114" s="10">
        <f t="shared" si="12"/>
        <v>16401.614681618143</v>
      </c>
    </row>
    <row r="115" spans="1:15" x14ac:dyDescent="0.25">
      <c r="A115" s="4"/>
      <c r="C115"/>
      <c r="D115" s="109"/>
      <c r="E115"/>
    </row>
    <row r="116" spans="1:15" x14ac:dyDescent="0.25">
      <c r="A116" s="4">
        <v>41786</v>
      </c>
      <c r="B116" s="116">
        <f t="shared" ref="B116:B121" si="13">+A116</f>
        <v>41786</v>
      </c>
      <c r="C116" s="13">
        <v>-1.1000000000000001</v>
      </c>
      <c r="D116" s="109">
        <v>0.26666666666666666</v>
      </c>
      <c r="E116"/>
      <c r="F116" s="107">
        <v>11550.183153501159</v>
      </c>
      <c r="H116" s="107">
        <f>+F116*(H108+H109)/(F108+F109)</f>
        <v>6685.1411313090493</v>
      </c>
      <c r="J116" s="107" t="s">
        <v>11</v>
      </c>
      <c r="L116" s="107" t="s">
        <v>11</v>
      </c>
      <c r="N116" s="107" t="s">
        <v>11</v>
      </c>
      <c r="O116" s="10">
        <f>+F116+H116</f>
        <v>18235.324284810209</v>
      </c>
    </row>
    <row r="117" spans="1:15" x14ac:dyDescent="0.25">
      <c r="A117" s="4">
        <v>41787</v>
      </c>
      <c r="B117" s="116">
        <f t="shared" si="13"/>
        <v>41787</v>
      </c>
      <c r="C117" s="13">
        <v>-1.3</v>
      </c>
      <c r="D117" s="109">
        <v>0.29722222222222222</v>
      </c>
      <c r="E117"/>
      <c r="F117" s="107">
        <v>20690.812133629806</v>
      </c>
      <c r="H117" s="107">
        <v>11505.595345817001</v>
      </c>
      <c r="J117" s="107" t="s">
        <v>11</v>
      </c>
      <c r="L117" s="107" t="s">
        <v>11</v>
      </c>
      <c r="N117" s="107" t="s">
        <v>11</v>
      </c>
      <c r="O117" s="10">
        <f>+F117+H117</f>
        <v>32196.407479446807</v>
      </c>
    </row>
    <row r="118" spans="1:15" x14ac:dyDescent="0.25">
      <c r="A118" s="4">
        <v>41788</v>
      </c>
      <c r="B118" s="116">
        <f t="shared" si="13"/>
        <v>41788</v>
      </c>
      <c r="C118" s="13">
        <v>-1.4</v>
      </c>
      <c r="D118" s="109">
        <v>0.30902777777777779</v>
      </c>
      <c r="E118"/>
      <c r="F118" s="107">
        <v>24504.685970891875</v>
      </c>
      <c r="H118" s="107">
        <v>21395.856883336739</v>
      </c>
      <c r="J118" s="107">
        <v>15310.841557597343</v>
      </c>
      <c r="L118" s="107">
        <v>5644.2012660203163</v>
      </c>
      <c r="N118" s="107" t="s">
        <v>11</v>
      </c>
      <c r="O118" s="10">
        <f>+F118+H118+J118+L118</f>
        <v>66855.585677846262</v>
      </c>
    </row>
    <row r="119" spans="1:15" x14ac:dyDescent="0.25">
      <c r="A119" s="4">
        <v>41789</v>
      </c>
      <c r="B119" s="116">
        <f t="shared" si="13"/>
        <v>41789</v>
      </c>
      <c r="C119" s="13">
        <v>-1.3</v>
      </c>
      <c r="D119" s="109">
        <v>0.34930555555555554</v>
      </c>
      <c r="E119"/>
      <c r="F119" s="107">
        <v>15417.130829618811</v>
      </c>
      <c r="H119" s="107">
        <v>21363.7309721005</v>
      </c>
      <c r="J119" s="107">
        <v>19289.162810763737</v>
      </c>
      <c r="L119" s="107">
        <v>16942.371494105304</v>
      </c>
      <c r="N119" s="107" t="s">
        <v>11</v>
      </c>
      <c r="O119" s="10">
        <f>+F119+H119+J119+L119</f>
        <v>73012.396106588349</v>
      </c>
    </row>
    <row r="120" spans="1:15" x14ac:dyDescent="0.25">
      <c r="A120" s="4">
        <v>41790</v>
      </c>
      <c r="B120" s="116">
        <f t="shared" si="13"/>
        <v>41790</v>
      </c>
      <c r="C120" s="13">
        <v>-1</v>
      </c>
      <c r="D120" s="109">
        <v>0.375</v>
      </c>
      <c r="E120"/>
      <c r="F120" s="107">
        <v>76032.63774113894</v>
      </c>
      <c r="H120" s="107">
        <v>48894.263763527328</v>
      </c>
      <c r="J120" s="107">
        <v>80273.09105016166</v>
      </c>
      <c r="L120" s="107">
        <v>12225.015043306619</v>
      </c>
      <c r="N120" s="107" t="s">
        <v>11</v>
      </c>
      <c r="O120" s="10">
        <f>+F120+H120+J120+L120</f>
        <v>217425.00759813457</v>
      </c>
    </row>
    <row r="121" spans="1:15" x14ac:dyDescent="0.25">
      <c r="A121" s="4">
        <v>41791</v>
      </c>
      <c r="B121" s="116">
        <f t="shared" si="13"/>
        <v>41791</v>
      </c>
      <c r="C121" s="13">
        <v>-0.7</v>
      </c>
      <c r="D121" s="109">
        <v>0.40069444444444446</v>
      </c>
      <c r="E121"/>
      <c r="F121" s="107">
        <v>98365.760133699965</v>
      </c>
      <c r="H121" s="107">
        <v>38184.216603464207</v>
      </c>
      <c r="J121" s="107">
        <v>70790.634016824712</v>
      </c>
      <c r="K121" s="2" t="s">
        <v>49</v>
      </c>
      <c r="L121" s="107">
        <f>+Effort!L121*CPUE!L121</f>
        <v>19164.560960202147</v>
      </c>
      <c r="N121" s="107" t="s">
        <v>11</v>
      </c>
      <c r="O121" s="10">
        <f>+F121+H121+J121+L121</f>
        <v>226505.17171419103</v>
      </c>
    </row>
    <row r="122" spans="1:15" x14ac:dyDescent="0.25">
      <c r="A122" s="4"/>
      <c r="C122"/>
      <c r="D122" s="109"/>
      <c r="E122"/>
    </row>
    <row r="123" spans="1:15" x14ac:dyDescent="0.25">
      <c r="A123" s="65" t="s">
        <v>45</v>
      </c>
      <c r="B123" s="64"/>
      <c r="C123" s="59"/>
      <c r="D123" s="59"/>
      <c r="E123" s="59"/>
      <c r="F123" s="66">
        <f>SUM(F2:F122)</f>
        <v>2308957.6592467101</v>
      </c>
      <c r="G123" s="59"/>
      <c r="H123" s="66">
        <f>SUM(H2:H122)</f>
        <v>1657411.624667529</v>
      </c>
      <c r="I123" s="59"/>
      <c r="J123" s="66">
        <f>SUM(J2:J122)</f>
        <v>1055153.8422636115</v>
      </c>
      <c r="K123" s="59"/>
      <c r="L123" s="66">
        <f>SUM(L2:L122)</f>
        <v>1012658.485449593</v>
      </c>
      <c r="M123" s="59"/>
      <c r="N123" s="66">
        <f>SUM(N3:N122)</f>
        <v>0</v>
      </c>
      <c r="O123" s="66">
        <f>SUM(O2:O122)</f>
        <v>6034181.61162744</v>
      </c>
    </row>
    <row r="124" spans="1:15" x14ac:dyDescent="0.25">
      <c r="A124" s="67" t="s">
        <v>13</v>
      </c>
      <c r="B124" s="64"/>
      <c r="C124" s="59"/>
      <c r="D124" s="59"/>
      <c r="E124" s="59"/>
      <c r="F124" s="71">
        <f>+'LB Wastage'!F22</f>
        <v>4.9656476492435063E-2</v>
      </c>
      <c r="G124" s="64"/>
      <c r="H124" s="71">
        <f>+'TH Wastage'!F55</f>
        <v>3.4431626127414718E-2</v>
      </c>
      <c r="I124" s="64"/>
      <c r="J124" s="71">
        <f>+'Cop Wastage'!F22</f>
        <v>4.47965919866114E-2</v>
      </c>
      <c r="K124" s="64"/>
      <c r="L124" s="71">
        <f>+'Moc Wastage'!F22</f>
        <v>3.1633474708299705E-2</v>
      </c>
      <c r="M124" s="64"/>
      <c r="N124" s="64"/>
      <c r="O124" s="64"/>
    </row>
    <row r="125" spans="1:15" x14ac:dyDescent="0.25">
      <c r="A125" s="65" t="s">
        <v>14</v>
      </c>
      <c r="B125" s="64"/>
      <c r="C125" s="59"/>
      <c r="D125" s="59"/>
      <c r="E125" s="59"/>
      <c r="F125" s="69">
        <f>+F123*F124</f>
        <v>114654.70172841215</v>
      </c>
      <c r="G125" s="64"/>
      <c r="H125" s="69">
        <f>+H123*H124</f>
        <v>57067.37739978337</v>
      </c>
      <c r="I125" s="64"/>
      <c r="J125" s="69">
        <f>+J123*J124</f>
        <v>47267.296154988326</v>
      </c>
      <c r="K125" s="64"/>
      <c r="L125" s="69">
        <f>+L123*L124</f>
        <v>32033.906587614787</v>
      </c>
      <c r="M125" s="64"/>
      <c r="N125" s="64"/>
      <c r="O125" s="66">
        <f>F125+H125+J125+L125+N125</f>
        <v>251023.28187079864</v>
      </c>
    </row>
    <row r="126" spans="1:15" x14ac:dyDescent="0.25">
      <c r="A126" s="67" t="s">
        <v>15</v>
      </c>
      <c r="B126" s="64"/>
      <c r="C126" s="59"/>
      <c r="D126" s="59"/>
      <c r="E126" s="59"/>
      <c r="F126" s="66">
        <f>F123+F125</f>
        <v>2423612.3609751221</v>
      </c>
      <c r="G126" s="64"/>
      <c r="H126" s="66">
        <f>H123+H125</f>
        <v>1714479.0020673124</v>
      </c>
      <c r="I126" s="64"/>
      <c r="J126" s="66">
        <f>J123+J125</f>
        <v>1102421.1384185997</v>
      </c>
      <c r="K126" s="64"/>
      <c r="L126" s="66">
        <f>L123+L125</f>
        <v>1044692.3920372078</v>
      </c>
      <c r="M126" s="64"/>
      <c r="N126" s="66">
        <f>N123+N125</f>
        <v>0</v>
      </c>
      <c r="O126" s="66">
        <f>O123+O125</f>
        <v>6285204.8934982382</v>
      </c>
    </row>
    <row r="127" spans="1:15" x14ac:dyDescent="0.25">
      <c r="A127" s="68" t="s">
        <v>51</v>
      </c>
      <c r="B127" s="64"/>
      <c r="C127" s="59"/>
      <c r="D127" s="59"/>
      <c r="E127" s="59"/>
      <c r="F127" s="69">
        <f>+F123/53</f>
        <v>43565.238853711511</v>
      </c>
      <c r="G127" s="64"/>
      <c r="H127" s="69">
        <f>AVERAGE(H2:H122)</f>
        <v>15784.872615881228</v>
      </c>
      <c r="I127" s="64"/>
      <c r="J127" s="69">
        <f>+J123/17</f>
        <v>62067.873074330091</v>
      </c>
      <c r="K127" s="64"/>
      <c r="L127" s="69">
        <f>+L123/45</f>
        <v>22503.521898879844</v>
      </c>
      <c r="M127" s="64"/>
      <c r="N127" s="69">
        <v>0</v>
      </c>
      <c r="O127" s="69">
        <f>F127+H127+J127+L127+N127</f>
        <v>143921.50644280267</v>
      </c>
    </row>
    <row r="128" spans="1:15" x14ac:dyDescent="0.25">
      <c r="A128" s="68" t="s">
        <v>16</v>
      </c>
      <c r="B128" s="64"/>
      <c r="C128" s="59"/>
      <c r="D128" s="59"/>
      <c r="E128" s="59"/>
      <c r="F128" s="70">
        <f>F126/TAC!B4</f>
        <v>0.84117478079488583</v>
      </c>
      <c r="G128" s="64"/>
      <c r="H128" s="70">
        <f>H126/TAC!B5</f>
        <v>0.74615094640975832</v>
      </c>
      <c r="I128" s="64"/>
      <c r="J128" s="70">
        <f>J126/TAC!B6</f>
        <v>0.78935616752775273</v>
      </c>
      <c r="K128" s="64"/>
      <c r="L128" s="70">
        <f>L126/TAC!B7</f>
        <v>0.50017146906615761</v>
      </c>
      <c r="M128" s="64"/>
      <c r="N128" s="70">
        <f>N126/TAC!B8</f>
        <v>0</v>
      </c>
      <c r="O128" s="70">
        <f>O126/TAC!B9</f>
        <v>0.71459394546061861</v>
      </c>
    </row>
    <row r="129" spans="1:15" x14ac:dyDescent="0.25">
      <c r="A129" s="68" t="s">
        <v>17</v>
      </c>
      <c r="B129" s="64"/>
      <c r="C129" s="59"/>
      <c r="D129" s="59"/>
      <c r="E129" s="59"/>
      <c r="F129" s="69">
        <f>TAC!B4-F126</f>
        <v>457610.91902487818</v>
      </c>
      <c r="G129" s="64"/>
      <c r="H129" s="69">
        <f>TAC!B5-Harvest!H126</f>
        <v>583285.29122594348</v>
      </c>
      <c r="I129" s="64"/>
      <c r="J129" s="69">
        <f>TAC!B6-J126</f>
        <v>294186.86158140027</v>
      </c>
      <c r="K129" s="64"/>
      <c r="L129" s="69">
        <f>TAC!B7-L126</f>
        <v>1043976.1079627922</v>
      </c>
      <c r="M129" s="64"/>
      <c r="N129" s="69">
        <f>TAC!B8-N126</f>
        <v>131227.31510196961</v>
      </c>
      <c r="O129" s="69">
        <f>TAC!B9-Harvest!O123</f>
        <v>2761309.7767677857</v>
      </c>
    </row>
    <row r="130" spans="1:15" x14ac:dyDescent="0.25">
      <c r="A130" s="65" t="s">
        <v>18</v>
      </c>
      <c r="B130" s="64"/>
      <c r="C130" s="59"/>
      <c r="D130" s="59"/>
      <c r="E130" s="59"/>
      <c r="F130" s="64"/>
      <c r="G130" s="64"/>
      <c r="H130" s="64"/>
      <c r="I130" s="64"/>
      <c r="J130" s="64"/>
      <c r="K130" s="64"/>
      <c r="L130" s="64"/>
      <c r="M130" s="64"/>
      <c r="N130" s="64"/>
      <c r="O130" s="64"/>
    </row>
    <row r="131" spans="1:15" x14ac:dyDescent="0.25">
      <c r="A131" s="118" t="s">
        <v>53</v>
      </c>
      <c r="J131" s="10"/>
    </row>
    <row r="132" spans="1:15" x14ac:dyDescent="0.25">
      <c r="F132" s="15"/>
      <c r="H132" s="15"/>
      <c r="J132" s="15"/>
      <c r="L132" s="15"/>
      <c r="N132" s="15"/>
    </row>
  </sheetData>
  <mergeCells count="5">
    <mergeCell ref="E1:F1"/>
    <mergeCell ref="G1:H1"/>
    <mergeCell ref="I1:J1"/>
    <mergeCell ref="K1:L1"/>
    <mergeCell ref="M1:N1"/>
  </mergeCells>
  <pageMargins left="0.28999999999999998" right="0.36" top="0.66" bottom="0.5" header="0.2" footer="0.25"/>
  <pageSetup scale="26" orientation="landscape" r:id="rId1"/>
  <headerFooter>
    <oddHeader>&amp;L&amp;12 2010 Fall / 2011 Spring Razor clam Harvest Totals
(Number of Clams) &amp;C&amp;12Non-Indian Fishery&amp;R&amp;12&amp;KFF0000PRELIMINARY ESTIMATE</oddHeader>
    <oddFooter>&amp;LPage 1 of 3</oddFooter>
  </headerFooter>
  <ignoredErrors>
    <ignoredError sqref="O126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25"/>
  <sheetViews>
    <sheetView zoomScaleNormal="100" workbookViewId="0">
      <selection activeCell="R9" sqref="R9"/>
    </sheetView>
  </sheetViews>
  <sheetFormatPr defaultRowHeight="15" x14ac:dyDescent="0.25"/>
  <cols>
    <col min="1" max="1" width="18.710937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3.42578125" customWidth="1"/>
  </cols>
  <sheetData>
    <row r="1" spans="1:17" x14ac:dyDescent="0.25">
      <c r="A1" s="11" t="s">
        <v>8</v>
      </c>
      <c r="B1" s="11" t="s">
        <v>5</v>
      </c>
      <c r="C1" s="11" t="s">
        <v>6</v>
      </c>
      <c r="D1" s="11" t="s">
        <v>7</v>
      </c>
      <c r="E1" s="161" t="s">
        <v>0</v>
      </c>
      <c r="F1" s="161"/>
      <c r="G1" s="161" t="s">
        <v>1</v>
      </c>
      <c r="H1" s="161"/>
      <c r="I1" s="161" t="s">
        <v>2</v>
      </c>
      <c r="J1" s="161"/>
      <c r="K1" s="161" t="s">
        <v>3</v>
      </c>
      <c r="L1" s="161"/>
      <c r="M1" s="161" t="s">
        <v>4</v>
      </c>
      <c r="N1" s="161"/>
      <c r="O1" s="14" t="s">
        <v>12</v>
      </c>
    </row>
    <row r="2" spans="1:17" x14ac:dyDescent="0.25">
      <c r="A2" s="4">
        <v>41536</v>
      </c>
      <c r="B2" s="5">
        <f>+A2</f>
        <v>41536</v>
      </c>
      <c r="C2" s="87">
        <v>-0.3</v>
      </c>
      <c r="D2" s="6">
        <v>0.80069444444444438</v>
      </c>
      <c r="E2" s="55"/>
      <c r="F2" s="8" t="s">
        <v>11</v>
      </c>
      <c r="G2" s="56"/>
      <c r="H2" s="8">
        <v>3023.03575238347</v>
      </c>
      <c r="I2" s="56"/>
      <c r="J2" s="8" t="s">
        <v>11</v>
      </c>
      <c r="K2" s="7"/>
      <c r="L2" s="8" t="s">
        <v>11</v>
      </c>
      <c r="M2" s="57"/>
      <c r="N2" s="8" t="s">
        <v>11</v>
      </c>
      <c r="O2" s="58">
        <f>+H2</f>
        <v>3023.03575238347</v>
      </c>
      <c r="Q2" s="15">
        <f>SUM(O2:O19)</f>
        <v>63159.868712429685</v>
      </c>
    </row>
    <row r="3" spans="1:17" x14ac:dyDescent="0.25">
      <c r="A3" s="4">
        <v>41537</v>
      </c>
      <c r="B3" s="5">
        <f t="shared" ref="B3:B6" si="0">+A3</f>
        <v>41537</v>
      </c>
      <c r="C3" s="13">
        <v>-0.5</v>
      </c>
      <c r="D3" s="12">
        <v>0.83124999999999993</v>
      </c>
      <c r="E3" s="61"/>
      <c r="F3" s="8" t="s">
        <v>11</v>
      </c>
      <c r="G3" s="8"/>
      <c r="H3" s="8">
        <v>1669.6209838937152</v>
      </c>
      <c r="I3" s="8"/>
      <c r="J3" s="8" t="s">
        <v>11</v>
      </c>
      <c r="K3" s="8"/>
      <c r="L3" s="8" t="s">
        <v>11</v>
      </c>
      <c r="M3" s="8"/>
      <c r="N3" s="8" t="s">
        <v>11</v>
      </c>
      <c r="O3" s="58">
        <f t="shared" ref="O3:O6" si="1">+H3</f>
        <v>1669.6209838937152</v>
      </c>
    </row>
    <row r="4" spans="1:17" x14ac:dyDescent="0.25">
      <c r="A4" s="4">
        <v>41538</v>
      </c>
      <c r="B4" s="5">
        <f t="shared" si="0"/>
        <v>41538</v>
      </c>
      <c r="C4" s="13">
        <v>-0.5</v>
      </c>
      <c r="D4" s="12">
        <v>0.86041666666666661</v>
      </c>
      <c r="E4" s="2"/>
      <c r="F4" s="8" t="s">
        <v>11</v>
      </c>
      <c r="G4" s="8"/>
      <c r="H4" s="86">
        <v>3341.8734254315673</v>
      </c>
      <c r="I4" s="8"/>
      <c r="J4" s="8" t="s">
        <v>11</v>
      </c>
      <c r="K4" s="8"/>
      <c r="L4" s="8" t="s">
        <v>11</v>
      </c>
      <c r="M4" s="8"/>
      <c r="N4" s="8" t="s">
        <v>11</v>
      </c>
      <c r="O4" s="58">
        <f t="shared" si="1"/>
        <v>3341.8734254315673</v>
      </c>
    </row>
    <row r="5" spans="1:17" x14ac:dyDescent="0.25">
      <c r="A5" s="4">
        <v>41539</v>
      </c>
      <c r="B5" s="5">
        <f t="shared" si="0"/>
        <v>41539</v>
      </c>
      <c r="C5" s="13">
        <v>-0.3</v>
      </c>
      <c r="D5" s="12">
        <v>0.88958333333333339</v>
      </c>
      <c r="E5" s="61"/>
      <c r="F5" s="8" t="s">
        <v>11</v>
      </c>
      <c r="G5" s="8"/>
      <c r="H5" s="8">
        <v>673.80127170150422</v>
      </c>
      <c r="I5" s="8"/>
      <c r="J5" s="8" t="s">
        <v>11</v>
      </c>
      <c r="K5" s="8"/>
      <c r="L5" s="8" t="s">
        <v>11</v>
      </c>
      <c r="M5" s="8"/>
      <c r="N5" s="8" t="s">
        <v>11</v>
      </c>
      <c r="O5" s="58">
        <f t="shared" si="1"/>
        <v>673.80127170150422</v>
      </c>
      <c r="Q5" s="15"/>
    </row>
    <row r="6" spans="1:17" x14ac:dyDescent="0.25">
      <c r="A6" s="4">
        <v>41540</v>
      </c>
      <c r="B6" s="5">
        <f t="shared" si="0"/>
        <v>41540</v>
      </c>
      <c r="C6" s="13">
        <v>0</v>
      </c>
      <c r="D6" s="12">
        <v>0.9194444444444444</v>
      </c>
      <c r="E6" s="61"/>
      <c r="F6" s="8" t="s">
        <v>11</v>
      </c>
      <c r="G6" s="8"/>
      <c r="H6" s="8">
        <v>194.71300888288565</v>
      </c>
      <c r="I6" s="8"/>
      <c r="J6" s="8" t="s">
        <v>11</v>
      </c>
      <c r="K6" s="8"/>
      <c r="L6" s="8" t="s">
        <v>11</v>
      </c>
      <c r="M6" s="8"/>
      <c r="N6" s="8" t="s">
        <v>11</v>
      </c>
      <c r="O6" s="58">
        <f t="shared" si="1"/>
        <v>194.71300888288565</v>
      </c>
    </row>
    <row r="7" spans="1:17" x14ac:dyDescent="0.25">
      <c r="A7" s="4"/>
      <c r="B7" s="5"/>
      <c r="C7" s="13"/>
      <c r="D7" s="12"/>
      <c r="E7" s="61"/>
      <c r="F7" s="8"/>
      <c r="G7" s="8"/>
      <c r="H7" s="8"/>
      <c r="I7" s="8"/>
      <c r="J7" s="8"/>
      <c r="K7" s="8"/>
      <c r="L7" s="8"/>
      <c r="M7" s="8"/>
      <c r="N7" s="8"/>
      <c r="O7" s="15"/>
    </row>
    <row r="8" spans="1:17" x14ac:dyDescent="0.25">
      <c r="A8" s="4">
        <v>41551</v>
      </c>
      <c r="B8" s="5">
        <f t="shared" ref="B8:B12" si="2">+A8</f>
        <v>41551</v>
      </c>
      <c r="C8" s="13">
        <v>0</v>
      </c>
      <c r="D8" s="12">
        <v>0.78888888888888886</v>
      </c>
      <c r="E8"/>
      <c r="F8" s="8">
        <v>1295.1217182423341</v>
      </c>
      <c r="G8" s="2" t="s">
        <v>49</v>
      </c>
      <c r="H8" s="8">
        <f>(+J8+L8)*H9/(J9+L9)</f>
        <v>1333.5092054178165</v>
      </c>
      <c r="J8" s="8">
        <v>1984.4408372567459</v>
      </c>
      <c r="L8" s="8">
        <v>1198.8660215033897</v>
      </c>
      <c r="N8" s="8" t="s">
        <v>11</v>
      </c>
      <c r="O8" s="15">
        <f>+F8+H8+J8+L8</f>
        <v>5811.9377824202866</v>
      </c>
    </row>
    <row r="9" spans="1:17" x14ac:dyDescent="0.25">
      <c r="A9" s="4">
        <v>41552</v>
      </c>
      <c r="B9" s="5">
        <f t="shared" si="2"/>
        <v>41552</v>
      </c>
      <c r="C9" s="13">
        <v>-0.4</v>
      </c>
      <c r="D9" s="12">
        <v>0.81666666666666676</v>
      </c>
      <c r="E9"/>
      <c r="F9" s="8">
        <v>2719.8141808119881</v>
      </c>
      <c r="H9" s="8">
        <v>2281.1870987188777</v>
      </c>
      <c r="J9" s="8">
        <v>3901.9656946041728</v>
      </c>
      <c r="L9" s="8">
        <v>1543.6049156052168</v>
      </c>
      <c r="N9" s="8" t="s">
        <v>11</v>
      </c>
      <c r="O9" s="15">
        <f>+F9+H9+J9+L9</f>
        <v>10446.571889740255</v>
      </c>
    </row>
    <row r="10" spans="1:17" x14ac:dyDescent="0.25">
      <c r="A10" s="4">
        <v>41553</v>
      </c>
      <c r="B10" s="5">
        <f t="shared" si="2"/>
        <v>41553</v>
      </c>
      <c r="C10" s="13">
        <v>-0.7</v>
      </c>
      <c r="D10" s="12">
        <v>0.84513888888888899</v>
      </c>
      <c r="E10"/>
      <c r="F10" s="8">
        <v>2021.2249971075817</v>
      </c>
      <c r="H10" s="8">
        <v>1647.1999999999998</v>
      </c>
      <c r="J10" s="8" t="s">
        <v>11</v>
      </c>
      <c r="L10" s="8">
        <v>1304.7559762568296</v>
      </c>
      <c r="N10" s="8" t="s">
        <v>11</v>
      </c>
      <c r="O10" s="15">
        <f>+F10+H10+L10</f>
        <v>4973.1809733644113</v>
      </c>
    </row>
    <row r="11" spans="1:17" x14ac:dyDescent="0.25">
      <c r="A11" s="4">
        <v>41554</v>
      </c>
      <c r="B11" s="5">
        <f t="shared" si="2"/>
        <v>41554</v>
      </c>
      <c r="C11" s="13">
        <v>-0.8</v>
      </c>
      <c r="D11" s="12">
        <v>0.875</v>
      </c>
      <c r="E11"/>
      <c r="F11" s="8">
        <v>456.73402361127734</v>
      </c>
      <c r="H11" s="8">
        <v>429.96011632512904</v>
      </c>
      <c r="J11" s="8" t="s">
        <v>11</v>
      </c>
      <c r="L11" s="8">
        <v>175.01988694491314</v>
      </c>
      <c r="N11" s="8" t="s">
        <v>11</v>
      </c>
      <c r="O11" s="15">
        <f>+F11+H11+L11</f>
        <v>1061.7140268813196</v>
      </c>
    </row>
    <row r="12" spans="1:17" x14ac:dyDescent="0.25">
      <c r="A12" s="4">
        <v>41555</v>
      </c>
      <c r="B12" s="5">
        <f t="shared" si="2"/>
        <v>41555</v>
      </c>
      <c r="C12" s="13">
        <v>-0.7</v>
      </c>
      <c r="D12" s="12">
        <v>0.90833333333333333</v>
      </c>
      <c r="E12"/>
      <c r="F12" s="8" t="s">
        <v>11</v>
      </c>
      <c r="H12" s="8">
        <v>144.39325962317432</v>
      </c>
      <c r="J12" s="8" t="s">
        <v>11</v>
      </c>
      <c r="L12" s="8" t="s">
        <v>11</v>
      </c>
      <c r="N12" s="8" t="s">
        <v>11</v>
      </c>
      <c r="O12" s="15">
        <f>+H12</f>
        <v>144.39325962317432</v>
      </c>
    </row>
    <row r="13" spans="1:17" x14ac:dyDescent="0.25">
      <c r="C13"/>
      <c r="D13"/>
      <c r="E13"/>
    </row>
    <row r="14" spans="1:17" x14ac:dyDescent="0.25">
      <c r="A14" s="4">
        <v>41564</v>
      </c>
      <c r="B14" s="5">
        <f t="shared" ref="B14:B19" si="3">+A14</f>
        <v>41564</v>
      </c>
      <c r="C14" s="13">
        <v>-0.2</v>
      </c>
      <c r="D14" s="109">
        <v>0.76041666666666663</v>
      </c>
      <c r="E14"/>
      <c r="F14" s="8" t="s">
        <v>11</v>
      </c>
      <c r="H14" s="8">
        <v>1456.7097963550805</v>
      </c>
      <c r="J14" s="8" t="s">
        <v>11</v>
      </c>
      <c r="L14" s="8" t="s">
        <v>11</v>
      </c>
      <c r="N14" s="8" t="s">
        <v>11</v>
      </c>
      <c r="O14" s="15">
        <f>+H14</f>
        <v>1456.7097963550805</v>
      </c>
    </row>
    <row r="15" spans="1:17" x14ac:dyDescent="0.25">
      <c r="A15" s="4">
        <v>41565</v>
      </c>
      <c r="B15" s="5">
        <f t="shared" si="3"/>
        <v>41565</v>
      </c>
      <c r="C15" s="13">
        <v>-0.6</v>
      </c>
      <c r="D15" s="109">
        <v>0.7895833333333333</v>
      </c>
      <c r="E15"/>
      <c r="F15" s="8">
        <v>2489.1640311586089</v>
      </c>
      <c r="H15" s="8">
        <v>1746.03125</v>
      </c>
      <c r="J15" s="8">
        <v>3251.1530723764149</v>
      </c>
      <c r="L15" s="8">
        <v>1026.4303453725004</v>
      </c>
      <c r="N15" s="8" t="s">
        <v>11</v>
      </c>
      <c r="O15" s="15">
        <f>+F15+H15+J15+L15</f>
        <v>8512.7786989075248</v>
      </c>
    </row>
    <row r="16" spans="1:17" x14ac:dyDescent="0.25">
      <c r="A16" s="4">
        <v>41566</v>
      </c>
      <c r="B16" s="5">
        <f t="shared" si="3"/>
        <v>41566</v>
      </c>
      <c r="C16" s="13">
        <v>-0.7</v>
      </c>
      <c r="D16" s="109">
        <v>0.81805555555555554</v>
      </c>
      <c r="E16"/>
      <c r="F16" s="8">
        <v>3646.6981486610748</v>
      </c>
      <c r="H16" s="8">
        <v>2819.4729708209834</v>
      </c>
      <c r="J16" s="8">
        <v>5650.2728653636022</v>
      </c>
      <c r="L16" s="8">
        <v>3004.0914491700296</v>
      </c>
      <c r="N16" s="8" t="s">
        <v>11</v>
      </c>
      <c r="O16" s="15">
        <f>+F16+H16+J16+L16</f>
        <v>15120.53543401569</v>
      </c>
    </row>
    <row r="17" spans="1:15" x14ac:dyDescent="0.25">
      <c r="A17" s="4">
        <v>41567</v>
      </c>
      <c r="B17" s="5">
        <f t="shared" si="3"/>
        <v>41567</v>
      </c>
      <c r="C17" s="13">
        <v>-0.7</v>
      </c>
      <c r="D17" s="109">
        <v>0.84444444444444444</v>
      </c>
      <c r="E17"/>
      <c r="F17" s="8">
        <v>2754.7299007073166</v>
      </c>
      <c r="H17" s="8">
        <v>1792.5199668676003</v>
      </c>
      <c r="J17" s="8" t="s">
        <v>11</v>
      </c>
      <c r="L17" s="8">
        <v>1510.025427870024</v>
      </c>
      <c r="N17" s="8" t="s">
        <v>11</v>
      </c>
      <c r="O17" s="15">
        <f>+F17+H17+L17</f>
        <v>6057.2752954449406</v>
      </c>
    </row>
    <row r="18" spans="1:15" x14ac:dyDescent="0.25">
      <c r="A18" s="4">
        <v>41568</v>
      </c>
      <c r="B18" s="5">
        <f t="shared" si="3"/>
        <v>41568</v>
      </c>
      <c r="C18" s="13">
        <v>-0.4</v>
      </c>
      <c r="D18" s="109">
        <v>0.87152777777777779</v>
      </c>
      <c r="E18"/>
      <c r="F18" s="8" t="s">
        <v>11</v>
      </c>
      <c r="H18" s="8">
        <v>379.05405029913402</v>
      </c>
      <c r="J18" s="8" t="s">
        <v>11</v>
      </c>
      <c r="L18" s="8">
        <v>151.72178511133703</v>
      </c>
      <c r="N18" s="8" t="s">
        <v>11</v>
      </c>
      <c r="O18" s="15">
        <f>+H18+L18</f>
        <v>530.77583541047102</v>
      </c>
    </row>
    <row r="19" spans="1:15" x14ac:dyDescent="0.25">
      <c r="A19" s="4">
        <v>41569</v>
      </c>
      <c r="B19" s="5">
        <f t="shared" si="3"/>
        <v>41569</v>
      </c>
      <c r="C19" s="13">
        <v>-0.1</v>
      </c>
      <c r="D19" s="109">
        <v>0.89861111111111114</v>
      </c>
      <c r="E19"/>
      <c r="F19" s="8" t="s">
        <v>11</v>
      </c>
      <c r="H19" s="8">
        <v>140.95127797338674</v>
      </c>
      <c r="J19" s="8" t="s">
        <v>11</v>
      </c>
      <c r="L19" s="8" t="s">
        <v>11</v>
      </c>
      <c r="N19" s="8" t="s">
        <v>11</v>
      </c>
      <c r="O19" s="15">
        <f>+H19</f>
        <v>140.95127797338674</v>
      </c>
    </row>
    <row r="20" spans="1:15" x14ac:dyDescent="0.25">
      <c r="C20"/>
      <c r="D20"/>
      <c r="E20"/>
    </row>
    <row r="21" spans="1:15" x14ac:dyDescent="0.25">
      <c r="A21" s="4">
        <v>41579</v>
      </c>
      <c r="B21" s="5">
        <f t="shared" ref="B21:B28" si="4">+A21</f>
        <v>41579</v>
      </c>
      <c r="C21" s="13">
        <v>0.1</v>
      </c>
      <c r="D21" s="109">
        <v>0.74444444444444446</v>
      </c>
      <c r="E21"/>
      <c r="F21" s="8" t="s">
        <v>11</v>
      </c>
      <c r="H21" s="8">
        <v>1266.4458619424356</v>
      </c>
      <c r="J21" s="8" t="s">
        <v>11</v>
      </c>
      <c r="L21" s="8">
        <v>1345.2903594906886</v>
      </c>
      <c r="N21" s="8" t="s">
        <v>11</v>
      </c>
      <c r="O21" s="15">
        <f>+H21+L21</f>
        <v>2611.7362214331242</v>
      </c>
    </row>
    <row r="22" spans="1:15" x14ac:dyDescent="0.25">
      <c r="A22" s="4">
        <v>41580</v>
      </c>
      <c r="B22" s="5">
        <f t="shared" si="4"/>
        <v>41580</v>
      </c>
      <c r="C22" s="13">
        <v>-0.6</v>
      </c>
      <c r="D22" s="109">
        <v>0.77361111111111114</v>
      </c>
      <c r="E22"/>
      <c r="F22" s="8">
        <v>2656.3195354464574</v>
      </c>
      <c r="H22" s="8">
        <v>984.07622225079967</v>
      </c>
      <c r="J22" s="8">
        <v>1766.8438677618183</v>
      </c>
      <c r="L22" s="8">
        <v>871.06432012252992</v>
      </c>
      <c r="N22" s="8" t="s">
        <v>11</v>
      </c>
      <c r="O22" s="15">
        <f>+F22+H22+J22+L22</f>
        <v>6278.3039455816051</v>
      </c>
    </row>
    <row r="23" spans="1:15" x14ac:dyDescent="0.25">
      <c r="A23" s="4">
        <v>41581</v>
      </c>
      <c r="B23" s="5">
        <f t="shared" si="4"/>
        <v>41581</v>
      </c>
      <c r="C23" s="13">
        <v>-1.1000000000000001</v>
      </c>
      <c r="D23" s="109">
        <v>0.76111111111111107</v>
      </c>
      <c r="E23"/>
      <c r="F23" s="8">
        <v>1126.1308099872444</v>
      </c>
      <c r="H23" s="8">
        <v>540.3486727855983</v>
      </c>
      <c r="J23" s="8" t="s">
        <v>11</v>
      </c>
      <c r="L23" s="8">
        <v>1079.1968528057596</v>
      </c>
      <c r="N23" s="8" t="s">
        <v>11</v>
      </c>
      <c r="O23" s="15">
        <f>+F23+H23+L23</f>
        <v>2745.6763355786024</v>
      </c>
    </row>
    <row r="24" spans="1:15" x14ac:dyDescent="0.25">
      <c r="A24" s="4">
        <v>41582</v>
      </c>
      <c r="B24" s="5">
        <f t="shared" si="4"/>
        <v>41582</v>
      </c>
      <c r="C24" s="13">
        <v>-1.3</v>
      </c>
      <c r="D24" s="109">
        <v>0.7909722222222223</v>
      </c>
      <c r="E24"/>
      <c r="F24" s="8">
        <v>945.61102503378424</v>
      </c>
      <c r="H24" s="8">
        <v>636.48754646589316</v>
      </c>
      <c r="J24" s="8" t="s">
        <v>11</v>
      </c>
      <c r="L24" s="8">
        <v>384.53164921686016</v>
      </c>
      <c r="N24" s="8" t="s">
        <v>11</v>
      </c>
      <c r="O24" s="15">
        <f>+F24+H24+L24</f>
        <v>1966.6302207165375</v>
      </c>
    </row>
    <row r="25" spans="1:15" x14ac:dyDescent="0.25">
      <c r="A25" s="4">
        <v>41583</v>
      </c>
      <c r="B25" s="5">
        <f t="shared" si="4"/>
        <v>41583</v>
      </c>
      <c r="C25" s="13">
        <v>-1.4</v>
      </c>
      <c r="D25" s="109">
        <v>0.82916666666666661</v>
      </c>
      <c r="E25"/>
      <c r="F25" s="8">
        <v>347.93996173349922</v>
      </c>
      <c r="H25" s="8">
        <v>544.50804554774652</v>
      </c>
      <c r="J25" s="8" t="s">
        <v>11</v>
      </c>
      <c r="L25" s="8" t="s">
        <v>11</v>
      </c>
      <c r="N25" s="8" t="s">
        <v>11</v>
      </c>
      <c r="O25" s="15">
        <f>+F25+H25</f>
        <v>892.44800728124574</v>
      </c>
    </row>
    <row r="26" spans="1:15" x14ac:dyDescent="0.25">
      <c r="A26" s="4">
        <v>41584</v>
      </c>
      <c r="B26" s="5">
        <f t="shared" si="4"/>
        <v>41584</v>
      </c>
      <c r="C26" s="13">
        <v>-1.2</v>
      </c>
      <c r="D26" s="109">
        <v>0.85555555555555562</v>
      </c>
      <c r="E26"/>
      <c r="F26" s="8" t="s">
        <v>11</v>
      </c>
      <c r="H26" s="8">
        <v>339.55635395457011</v>
      </c>
      <c r="J26" s="8" t="s">
        <v>11</v>
      </c>
      <c r="L26" s="8" t="s">
        <v>11</v>
      </c>
      <c r="N26" s="8" t="s">
        <v>11</v>
      </c>
      <c r="O26" s="15">
        <f>+H26</f>
        <v>339.55635395457011</v>
      </c>
    </row>
    <row r="27" spans="1:15" x14ac:dyDescent="0.25">
      <c r="A27" s="4">
        <v>41585</v>
      </c>
      <c r="B27" s="5">
        <f t="shared" si="4"/>
        <v>41585</v>
      </c>
      <c r="C27" s="13">
        <v>-0.8</v>
      </c>
      <c r="D27" s="109">
        <v>0.89166666666666661</v>
      </c>
      <c r="E27"/>
      <c r="F27" s="8" t="s">
        <v>11</v>
      </c>
      <c r="G27" s="2" t="s">
        <v>49</v>
      </c>
      <c r="H27" s="8">
        <v>339.55635395457011</v>
      </c>
      <c r="J27" s="8" t="s">
        <v>11</v>
      </c>
      <c r="L27" s="8" t="s">
        <v>11</v>
      </c>
      <c r="N27" s="8" t="s">
        <v>11</v>
      </c>
      <c r="O27" s="15">
        <f>+H27</f>
        <v>339.55635395457011</v>
      </c>
    </row>
    <row r="28" spans="1:15" x14ac:dyDescent="0.25">
      <c r="A28" s="4">
        <v>41586</v>
      </c>
      <c r="B28" s="5">
        <f t="shared" si="4"/>
        <v>41586</v>
      </c>
      <c r="C28" s="13">
        <v>-0.3</v>
      </c>
      <c r="D28" s="109">
        <v>0.92986111111111114</v>
      </c>
      <c r="E28"/>
      <c r="F28" s="8" t="s">
        <v>11</v>
      </c>
      <c r="H28" s="8">
        <v>374.90325822404532</v>
      </c>
      <c r="J28" s="8" t="s">
        <v>11</v>
      </c>
      <c r="L28" s="8" t="s">
        <v>11</v>
      </c>
      <c r="N28" s="8" t="s">
        <v>11</v>
      </c>
      <c r="O28" s="15">
        <f>+H28</f>
        <v>374.90325822404532</v>
      </c>
    </row>
    <row r="29" spans="1:15" x14ac:dyDescent="0.25">
      <c r="C29"/>
      <c r="D29"/>
      <c r="E29"/>
    </row>
    <row r="30" spans="1:15" x14ac:dyDescent="0.25">
      <c r="A30" s="4">
        <v>41593</v>
      </c>
      <c r="B30" s="5">
        <v>41593</v>
      </c>
      <c r="C30" s="13">
        <v>-0.3</v>
      </c>
      <c r="D30" s="109">
        <v>0.7090277777777777</v>
      </c>
      <c r="E30"/>
      <c r="F30" s="8">
        <v>2311.6043515342294</v>
      </c>
      <c r="H30" s="8">
        <v>668.29813074128094</v>
      </c>
      <c r="J30" s="8">
        <v>1440.4140117861152</v>
      </c>
      <c r="L30" s="8">
        <v>524.29220526039649</v>
      </c>
      <c r="N30" s="8" t="s">
        <v>11</v>
      </c>
      <c r="O30" s="15">
        <f>+F30+H30+J30+L30</f>
        <v>4944.6086993220224</v>
      </c>
    </row>
    <row r="31" spans="1:15" x14ac:dyDescent="0.25">
      <c r="A31" s="4">
        <v>41594</v>
      </c>
      <c r="B31" s="5">
        <v>41594</v>
      </c>
      <c r="C31" s="13">
        <v>-0.6</v>
      </c>
      <c r="D31" s="109">
        <v>0.73749999999999993</v>
      </c>
      <c r="E31"/>
      <c r="F31" s="8">
        <v>4692.9180217944131</v>
      </c>
      <c r="H31" s="8">
        <v>1951.9936914691073</v>
      </c>
      <c r="J31" s="8">
        <v>3896.4650379882883</v>
      </c>
      <c r="L31" s="8">
        <v>2660.0179783396334</v>
      </c>
      <c r="N31" s="8" t="s">
        <v>11</v>
      </c>
      <c r="O31" s="15">
        <f>+F31+H31+J31+L31</f>
        <v>13201.39472959144</v>
      </c>
    </row>
    <row r="32" spans="1:15" x14ac:dyDescent="0.25">
      <c r="A32" s="4">
        <v>41595</v>
      </c>
      <c r="B32" s="5">
        <v>41595</v>
      </c>
      <c r="C32" s="13">
        <v>-0.7</v>
      </c>
      <c r="D32" s="109">
        <v>0.76388888888888884</v>
      </c>
      <c r="E32"/>
      <c r="F32" s="8">
        <v>740.28206122903919</v>
      </c>
      <c r="G32" s="2" t="s">
        <v>49</v>
      </c>
      <c r="H32" s="107">
        <f>+L32*(H31+H30)/(L30+L31)</f>
        <v>815.51353012938728</v>
      </c>
      <c r="J32" s="8" t="s">
        <v>11</v>
      </c>
      <c r="L32" s="8">
        <v>991.05298762639575</v>
      </c>
      <c r="N32" s="8" t="s">
        <v>11</v>
      </c>
      <c r="O32" s="15">
        <f>+F32+H32+L32</f>
        <v>2546.8485789848223</v>
      </c>
    </row>
    <row r="33" spans="1:15" x14ac:dyDescent="0.25">
      <c r="A33" s="4">
        <v>41596</v>
      </c>
      <c r="B33" s="5">
        <v>41596</v>
      </c>
      <c r="C33" s="13">
        <v>-0.6</v>
      </c>
      <c r="D33" s="109">
        <v>0.7895833333333333</v>
      </c>
      <c r="E33"/>
      <c r="F33" s="8" t="s">
        <v>11</v>
      </c>
      <c r="H33" s="8">
        <v>45.1892320180769</v>
      </c>
      <c r="J33" s="8" t="s">
        <v>11</v>
      </c>
      <c r="L33" s="8" t="s">
        <v>11</v>
      </c>
      <c r="N33" s="8" t="s">
        <v>11</v>
      </c>
      <c r="O33" s="15">
        <f>+H33</f>
        <v>45.1892320180769</v>
      </c>
    </row>
    <row r="34" spans="1:15" x14ac:dyDescent="0.25">
      <c r="A34" s="4">
        <v>41597</v>
      </c>
      <c r="B34" s="5">
        <v>41597</v>
      </c>
      <c r="C34" s="13">
        <v>-0.4</v>
      </c>
      <c r="D34" s="109">
        <v>0.81458333333333333</v>
      </c>
      <c r="E34"/>
      <c r="F34" s="8" t="s">
        <v>11</v>
      </c>
      <c r="H34" s="8">
        <v>137.75829998740974</v>
      </c>
      <c r="J34" s="8" t="s">
        <v>11</v>
      </c>
      <c r="L34" s="8" t="s">
        <v>11</v>
      </c>
      <c r="N34" s="8" t="s">
        <v>11</v>
      </c>
      <c r="O34" s="15">
        <f>+H34</f>
        <v>137.75829998740974</v>
      </c>
    </row>
    <row r="35" spans="1:15" x14ac:dyDescent="0.25">
      <c r="A35" s="4">
        <v>41598</v>
      </c>
      <c r="B35" s="5">
        <v>41598</v>
      </c>
      <c r="C35" s="13">
        <v>-0.2</v>
      </c>
      <c r="D35" s="109">
        <v>0.83958333333333324</v>
      </c>
      <c r="E35"/>
      <c r="F35" s="8" t="s">
        <v>11</v>
      </c>
      <c r="H35" s="8">
        <v>71.011650314120843</v>
      </c>
      <c r="J35" s="8" t="s">
        <v>11</v>
      </c>
      <c r="L35" s="8" t="s">
        <v>11</v>
      </c>
      <c r="N35" s="8" t="s">
        <v>11</v>
      </c>
      <c r="O35" s="15">
        <f>+H35</f>
        <v>71.011650314120843</v>
      </c>
    </row>
    <row r="36" spans="1:15" x14ac:dyDescent="0.25">
      <c r="C36"/>
      <c r="D36"/>
      <c r="E36"/>
    </row>
    <row r="37" spans="1:15" x14ac:dyDescent="0.25">
      <c r="A37" s="4">
        <v>41608</v>
      </c>
      <c r="B37" s="5">
        <f t="shared" ref="B37:B44" si="5">+A37</f>
        <v>41608</v>
      </c>
      <c r="C37" s="13">
        <v>-0.1</v>
      </c>
      <c r="D37" s="109">
        <v>0.68611111111111101</v>
      </c>
      <c r="E37"/>
      <c r="F37" s="8">
        <v>3285.7878644349003</v>
      </c>
      <c r="H37" s="107">
        <f>+(J37+L37)*(H9+H16+H22+H31)/(J9+L9+J16+L16+J22+L22+J31+L31)</f>
        <v>1322.2629811698616</v>
      </c>
      <c r="J37" s="8">
        <v>2720.2169478734922</v>
      </c>
      <c r="L37" s="8">
        <v>1112.3399721391643</v>
      </c>
      <c r="N37" s="1" t="s">
        <v>11</v>
      </c>
      <c r="O37" s="15">
        <f>+F37+H37+J37+L37</f>
        <v>8440.6077656174184</v>
      </c>
    </row>
    <row r="38" spans="1:15" x14ac:dyDescent="0.25">
      <c r="A38" s="4">
        <v>41609</v>
      </c>
      <c r="B38" s="5">
        <f t="shared" si="5"/>
        <v>41609</v>
      </c>
      <c r="C38" s="13">
        <v>-0.9</v>
      </c>
      <c r="D38" s="109">
        <v>0.71736111111111101</v>
      </c>
      <c r="E38"/>
      <c r="F38" s="8">
        <v>1295.1500467886774</v>
      </c>
      <c r="H38" s="8">
        <v>331.28592391630696</v>
      </c>
      <c r="J38" s="1" t="s">
        <v>11</v>
      </c>
      <c r="L38" s="8">
        <v>525.61119562619854</v>
      </c>
      <c r="N38" s="1" t="s">
        <v>11</v>
      </c>
      <c r="O38" s="15">
        <f>+F38+H38+L38</f>
        <v>2152.0471663311828</v>
      </c>
    </row>
    <row r="39" spans="1:15" x14ac:dyDescent="0.25">
      <c r="A39" s="4">
        <v>41610</v>
      </c>
      <c r="B39" s="5">
        <f t="shared" si="5"/>
        <v>41610</v>
      </c>
      <c r="C39" s="13">
        <v>-1.4</v>
      </c>
      <c r="D39" s="109">
        <v>0.74930555555555556</v>
      </c>
      <c r="E39"/>
      <c r="F39" s="8">
        <v>462.3208703068459</v>
      </c>
      <c r="H39" s="8">
        <v>286.455033170018</v>
      </c>
      <c r="J39" s="1" t="s">
        <v>11</v>
      </c>
      <c r="L39" s="8">
        <v>180.66070086939507</v>
      </c>
      <c r="N39" s="1" t="s">
        <v>11</v>
      </c>
      <c r="O39" s="15">
        <f>+F39+H39+L39</f>
        <v>929.43660434625906</v>
      </c>
    </row>
    <row r="40" spans="1:15" x14ac:dyDescent="0.25">
      <c r="A40" s="4">
        <v>41611</v>
      </c>
      <c r="B40" s="5">
        <f t="shared" si="5"/>
        <v>41611</v>
      </c>
      <c r="C40" s="13">
        <v>-1.7</v>
      </c>
      <c r="D40" s="109">
        <v>0.78055555555555556</v>
      </c>
      <c r="E40"/>
      <c r="F40" s="8">
        <v>352.2531741164201</v>
      </c>
      <c r="H40" s="8">
        <v>478.25270552464718</v>
      </c>
      <c r="J40" s="1" t="s">
        <v>11</v>
      </c>
      <c r="L40" s="8">
        <v>223.67515345734628</v>
      </c>
      <c r="N40" s="1" t="s">
        <v>11</v>
      </c>
      <c r="O40" s="15">
        <f>+F40+H40+L40</f>
        <v>1054.1810330984135</v>
      </c>
    </row>
    <row r="41" spans="1:15" x14ac:dyDescent="0.25">
      <c r="A41" s="4">
        <v>41612</v>
      </c>
      <c r="B41" s="5">
        <f t="shared" si="5"/>
        <v>41612</v>
      </c>
      <c r="C41" s="13">
        <v>-1.7</v>
      </c>
      <c r="D41" s="109">
        <v>0.8125</v>
      </c>
      <c r="E41"/>
      <c r="F41" s="8">
        <v>220.15823382276255</v>
      </c>
      <c r="H41" s="8">
        <v>231.59481409264413</v>
      </c>
      <c r="J41" s="1" t="s">
        <v>11</v>
      </c>
      <c r="L41" s="1" t="s">
        <v>11</v>
      </c>
      <c r="N41" s="1" t="s">
        <v>11</v>
      </c>
      <c r="O41" s="15">
        <f>+F41+H41</f>
        <v>451.75304791540668</v>
      </c>
    </row>
    <row r="42" spans="1:15" x14ac:dyDescent="0.25">
      <c r="A42" s="4">
        <v>41613</v>
      </c>
      <c r="B42" s="5">
        <f t="shared" si="5"/>
        <v>41613</v>
      </c>
      <c r="C42" s="13">
        <v>-1.4</v>
      </c>
      <c r="D42" s="109">
        <v>0.84513888888888899</v>
      </c>
      <c r="E42"/>
      <c r="F42" s="1" t="s">
        <v>11</v>
      </c>
      <c r="H42" s="8">
        <v>103.78263532777675</v>
      </c>
      <c r="J42" s="1" t="s">
        <v>11</v>
      </c>
      <c r="L42" s="1" t="s">
        <v>11</v>
      </c>
      <c r="N42" s="1" t="s">
        <v>11</v>
      </c>
      <c r="O42" s="15">
        <f>+H42</f>
        <v>103.78263532777675</v>
      </c>
    </row>
    <row r="43" spans="1:15" x14ac:dyDescent="0.25">
      <c r="A43" s="4">
        <v>41614</v>
      </c>
      <c r="B43" s="5">
        <f t="shared" si="5"/>
        <v>41614</v>
      </c>
      <c r="C43" s="13">
        <v>-1</v>
      </c>
      <c r="D43" s="109">
        <v>0.87847222222222221</v>
      </c>
      <c r="E43"/>
      <c r="F43" s="1" t="s">
        <v>11</v>
      </c>
      <c r="H43" s="8">
        <v>67.135037642346745</v>
      </c>
      <c r="J43" s="1" t="s">
        <v>11</v>
      </c>
      <c r="L43" s="1" t="s">
        <v>11</v>
      </c>
      <c r="N43" s="1" t="s">
        <v>11</v>
      </c>
      <c r="O43" s="15">
        <f>+H43</f>
        <v>67.135037642346745</v>
      </c>
    </row>
    <row r="44" spans="1:15" x14ac:dyDescent="0.25">
      <c r="A44" s="4">
        <v>41615</v>
      </c>
      <c r="B44" s="5">
        <f t="shared" si="5"/>
        <v>41615</v>
      </c>
      <c r="C44" s="13">
        <v>-0.3</v>
      </c>
      <c r="D44" s="109">
        <v>0.91388888888888886</v>
      </c>
      <c r="E44"/>
      <c r="F44" s="1" t="s">
        <v>11</v>
      </c>
      <c r="H44" s="8">
        <v>39.903679880375719</v>
      </c>
      <c r="J44" s="1" t="s">
        <v>11</v>
      </c>
      <c r="L44" s="1" t="s">
        <v>11</v>
      </c>
      <c r="N44" s="1" t="s">
        <v>11</v>
      </c>
      <c r="O44" s="15">
        <f>+H44</f>
        <v>39.903679880375719</v>
      </c>
    </row>
    <row r="45" spans="1:15" x14ac:dyDescent="0.25">
      <c r="C45"/>
      <c r="D45"/>
      <c r="E45"/>
    </row>
    <row r="46" spans="1:15" x14ac:dyDescent="0.25">
      <c r="A46" s="4">
        <v>41622</v>
      </c>
      <c r="B46" s="5">
        <f t="shared" ref="B46:B59" si="6">+A46</f>
        <v>41622</v>
      </c>
      <c r="C46" s="13">
        <v>-0.1</v>
      </c>
      <c r="D46" s="109">
        <v>0.69791666666666663</v>
      </c>
      <c r="E46"/>
      <c r="F46" s="8">
        <v>1651.3479405270803</v>
      </c>
      <c r="H46" s="8">
        <v>906.91382003410945</v>
      </c>
      <c r="J46" s="8">
        <v>1266.8657957434955</v>
      </c>
      <c r="L46" s="8">
        <v>578.58655833989269</v>
      </c>
      <c r="N46" s="1" t="s">
        <v>11</v>
      </c>
      <c r="O46" s="15">
        <f>+F46+H46+J46+L46</f>
        <v>4403.7141146445774</v>
      </c>
    </row>
    <row r="47" spans="1:15" x14ac:dyDescent="0.25">
      <c r="A47" s="4">
        <v>41623</v>
      </c>
      <c r="B47" s="5">
        <f t="shared" si="6"/>
        <v>41623</v>
      </c>
      <c r="C47" s="13">
        <v>-0.3</v>
      </c>
      <c r="D47" s="109">
        <v>0.72638888888888886</v>
      </c>
      <c r="E47"/>
      <c r="F47" s="8">
        <v>1106.4879496010512</v>
      </c>
      <c r="H47" s="8">
        <v>653.32661417552151</v>
      </c>
      <c r="J47" s="1" t="s">
        <v>11</v>
      </c>
      <c r="L47" s="8">
        <v>821.63648536346591</v>
      </c>
      <c r="N47" s="1" t="s">
        <v>11</v>
      </c>
      <c r="O47" s="15">
        <f>+F47+H47+L47</f>
        <v>2581.4510491400388</v>
      </c>
    </row>
    <row r="48" spans="1:15" x14ac:dyDescent="0.25">
      <c r="A48" s="4">
        <v>41624</v>
      </c>
      <c r="B48" s="5">
        <f t="shared" si="6"/>
        <v>41624</v>
      </c>
      <c r="C48" s="13">
        <v>-0.4</v>
      </c>
      <c r="D48" s="109">
        <v>0.75208333333333333</v>
      </c>
      <c r="E48"/>
      <c r="F48" s="8">
        <v>553.69007388590944</v>
      </c>
      <c r="G48" s="2" t="s">
        <v>49</v>
      </c>
      <c r="H48" s="107">
        <f>+L48*H47/L47</f>
        <v>235.31709184430866</v>
      </c>
      <c r="J48" s="1" t="s">
        <v>11</v>
      </c>
      <c r="L48" s="8">
        <v>295.93943380510433</v>
      </c>
      <c r="N48" s="1" t="s">
        <v>11</v>
      </c>
      <c r="O48" s="10">
        <f>+F48+H48+L48</f>
        <v>1084.9465995353223</v>
      </c>
    </row>
    <row r="49" spans="1:15" x14ac:dyDescent="0.25">
      <c r="A49" s="4">
        <v>41625</v>
      </c>
      <c r="B49" s="5">
        <f t="shared" si="6"/>
        <v>41625</v>
      </c>
      <c r="C49" s="13">
        <v>-0.4</v>
      </c>
      <c r="D49" s="109">
        <v>0.77638888888888891</v>
      </c>
      <c r="E49"/>
      <c r="F49" s="1" t="s">
        <v>11</v>
      </c>
      <c r="H49" s="8">
        <v>212.76596741844537</v>
      </c>
      <c r="J49" s="1" t="s">
        <v>11</v>
      </c>
      <c r="L49" s="1" t="s">
        <v>11</v>
      </c>
      <c r="N49" s="1" t="s">
        <v>11</v>
      </c>
      <c r="O49" s="15">
        <f>+H49</f>
        <v>212.76596741844537</v>
      </c>
    </row>
    <row r="50" spans="1:15" x14ac:dyDescent="0.25">
      <c r="A50" s="4">
        <v>41626</v>
      </c>
      <c r="B50" s="5">
        <f t="shared" si="6"/>
        <v>41626</v>
      </c>
      <c r="C50" s="13">
        <v>-0.3</v>
      </c>
      <c r="D50" s="109">
        <v>0.79999999999999993</v>
      </c>
      <c r="E50"/>
      <c r="F50" s="1" t="s">
        <v>11</v>
      </c>
      <c r="H50" s="8">
        <v>88.973027670096371</v>
      </c>
      <c r="J50" s="1" t="s">
        <v>11</v>
      </c>
      <c r="L50" s="1" t="s">
        <v>11</v>
      </c>
      <c r="N50" s="1" t="s">
        <v>11</v>
      </c>
      <c r="O50" s="15">
        <f>+H50</f>
        <v>88.973027670096371</v>
      </c>
    </row>
    <row r="51" spans="1:15" x14ac:dyDescent="0.25">
      <c r="A51" s="4"/>
      <c r="C51"/>
      <c r="D51" s="109"/>
      <c r="E51"/>
      <c r="O51" s="15"/>
    </row>
    <row r="52" spans="1:15" x14ac:dyDescent="0.25">
      <c r="A52" s="4">
        <v>41637</v>
      </c>
      <c r="B52" s="5">
        <f t="shared" si="6"/>
        <v>41637</v>
      </c>
      <c r="C52" s="13">
        <v>-0.2</v>
      </c>
      <c r="D52" s="109">
        <v>0.67013888888888884</v>
      </c>
      <c r="E52"/>
      <c r="F52" s="8">
        <v>3532.7933061596609</v>
      </c>
      <c r="G52" s="2" t="s">
        <v>49</v>
      </c>
      <c r="H52" s="107">
        <f>+(J52+L52)*H53/(J53+L53)</f>
        <v>910.65331152522674</v>
      </c>
      <c r="J52" s="8">
        <v>3259.2887395126077</v>
      </c>
      <c r="L52" s="8">
        <v>1216.8901275455939</v>
      </c>
      <c r="N52" s="1" t="s">
        <v>11</v>
      </c>
      <c r="O52" s="15">
        <f>+F52+H52+J52+L52</f>
        <v>8919.6254847430882</v>
      </c>
    </row>
    <row r="53" spans="1:15" x14ac:dyDescent="0.25">
      <c r="A53" s="4">
        <v>41638</v>
      </c>
      <c r="B53" s="5">
        <f t="shared" si="6"/>
        <v>41638</v>
      </c>
      <c r="C53" s="13">
        <v>-0.9</v>
      </c>
      <c r="D53" s="109">
        <v>0.70486111111111116</v>
      </c>
      <c r="E53"/>
      <c r="F53" s="8">
        <v>4012.9192033138715</v>
      </c>
      <c r="H53" s="8">
        <v>1530.9219322397648</v>
      </c>
      <c r="J53" s="8">
        <v>5014.0907694910784</v>
      </c>
      <c r="L53" s="8">
        <v>2510.924857729548</v>
      </c>
      <c r="N53" s="1" t="s">
        <v>11</v>
      </c>
      <c r="O53" s="15">
        <f>+F53+H53+J53+L53</f>
        <v>13068.856762774263</v>
      </c>
    </row>
    <row r="54" spans="1:15" x14ac:dyDescent="0.25">
      <c r="A54" s="4">
        <v>41639</v>
      </c>
      <c r="B54" s="5">
        <f t="shared" si="6"/>
        <v>41639</v>
      </c>
      <c r="C54" s="13">
        <v>-1.4</v>
      </c>
      <c r="D54" s="109">
        <v>0.73749999999999993</v>
      </c>
      <c r="E54"/>
      <c r="F54" s="8">
        <v>4080.75221524176</v>
      </c>
      <c r="G54" s="2" t="s">
        <v>49</v>
      </c>
      <c r="H54" s="107">
        <f>+(J54+L54)*H53/(J53+L53)</f>
        <v>1009.7185182755077</v>
      </c>
      <c r="J54" s="8">
        <v>2969.1741473879547</v>
      </c>
      <c r="L54" s="8">
        <v>1993.9447870968572</v>
      </c>
      <c r="N54" s="1" t="s">
        <v>11</v>
      </c>
      <c r="O54" s="15">
        <f>+F54+H54+J54+L54</f>
        <v>10053.58966800208</v>
      </c>
    </row>
    <row r="55" spans="1:15" x14ac:dyDescent="0.25">
      <c r="A55" s="4">
        <v>41640</v>
      </c>
      <c r="B55" s="5">
        <f t="shared" si="6"/>
        <v>41640</v>
      </c>
      <c r="C55" s="13">
        <v>-1.7</v>
      </c>
      <c r="D55" s="109">
        <v>0.77013888888888893</v>
      </c>
      <c r="E55" t="s">
        <v>49</v>
      </c>
      <c r="F55" s="8">
        <f>+L55*F48/L48</f>
        <v>4312.5678621075895</v>
      </c>
      <c r="G55" s="2" t="s">
        <v>49</v>
      </c>
      <c r="H55" s="8">
        <f>+L55*H47/L47</f>
        <v>1832.8320762013416</v>
      </c>
      <c r="J55" s="1" t="s">
        <v>11</v>
      </c>
      <c r="L55" s="8">
        <v>2305.0059077295086</v>
      </c>
      <c r="N55" s="1" t="s">
        <v>11</v>
      </c>
      <c r="O55" s="15">
        <f>+F55+H55+L55</f>
        <v>8450.4058460384404</v>
      </c>
    </row>
    <row r="56" spans="1:15" x14ac:dyDescent="0.25">
      <c r="A56" s="4">
        <v>41641</v>
      </c>
      <c r="B56" s="5">
        <f t="shared" si="6"/>
        <v>41641</v>
      </c>
      <c r="C56" s="13">
        <v>-1.7</v>
      </c>
      <c r="D56" s="109">
        <v>0.80208333333333337</v>
      </c>
      <c r="E56"/>
      <c r="F56" s="8">
        <v>531.15461078524095</v>
      </c>
      <c r="H56" s="8">
        <v>323.97702961465927</v>
      </c>
      <c r="J56" s="1" t="s">
        <v>11</v>
      </c>
      <c r="L56" s="8">
        <v>254.9626226166977</v>
      </c>
      <c r="N56" s="1" t="s">
        <v>11</v>
      </c>
      <c r="O56" s="15">
        <f>+F56+H56+L56</f>
        <v>1110.094263016598</v>
      </c>
    </row>
    <row r="57" spans="1:15" x14ac:dyDescent="0.25">
      <c r="A57" s="4">
        <v>41642</v>
      </c>
      <c r="B57" s="5">
        <f t="shared" si="6"/>
        <v>41642</v>
      </c>
      <c r="C57" s="13">
        <v>-1.4</v>
      </c>
      <c r="D57" s="109">
        <v>0.83333333333333337</v>
      </c>
      <c r="E57"/>
      <c r="F57" s="8">
        <v>813.68473174004873</v>
      </c>
      <c r="H57" s="8">
        <v>487.001462565184</v>
      </c>
      <c r="J57" s="1" t="s">
        <v>11</v>
      </c>
      <c r="L57" s="8">
        <v>886.41280578631176</v>
      </c>
      <c r="N57" s="1" t="s">
        <v>11</v>
      </c>
      <c r="O57" s="15">
        <f>+F57+H57+L57</f>
        <v>2187.0990000915444</v>
      </c>
    </row>
    <row r="58" spans="1:15" x14ac:dyDescent="0.25">
      <c r="A58" s="4">
        <v>41643</v>
      </c>
      <c r="B58" s="5">
        <f t="shared" si="6"/>
        <v>41643</v>
      </c>
      <c r="C58" s="13">
        <v>-0.9</v>
      </c>
      <c r="D58" s="109">
        <v>0.86458333333333337</v>
      </c>
      <c r="E58"/>
      <c r="F58" s="8">
        <f>+(H58+J58+L58)*F53/(H53+J53+L53)</f>
        <v>1065.7426999429936</v>
      </c>
      <c r="H58" s="8">
        <v>468.68765141415423</v>
      </c>
      <c r="J58" s="8">
        <v>1269.4116019079102</v>
      </c>
      <c r="L58" s="8">
        <v>666.95772793099195</v>
      </c>
      <c r="N58" s="1" t="s">
        <v>11</v>
      </c>
      <c r="O58" s="15">
        <f>+F58+H58+J58+L58</f>
        <v>3470.7996811960497</v>
      </c>
    </row>
    <row r="59" spans="1:15" x14ac:dyDescent="0.25">
      <c r="A59" s="4">
        <v>41644</v>
      </c>
      <c r="B59" s="116">
        <f t="shared" si="6"/>
        <v>41644</v>
      </c>
      <c r="C59" s="13">
        <v>-0.2</v>
      </c>
      <c r="D59" s="109">
        <v>0.8965277777777777</v>
      </c>
      <c r="E59"/>
      <c r="F59" s="1" t="s">
        <v>11</v>
      </c>
      <c r="H59" s="8">
        <f>+H58</f>
        <v>468.68765141415423</v>
      </c>
      <c r="J59" s="1" t="s">
        <v>11</v>
      </c>
      <c r="L59" s="1" t="s">
        <v>11</v>
      </c>
      <c r="N59" s="1" t="s">
        <v>11</v>
      </c>
      <c r="O59" s="15">
        <f>+H59</f>
        <v>468.68765141415423</v>
      </c>
    </row>
    <row r="60" spans="1:15" x14ac:dyDescent="0.25">
      <c r="A60" s="4"/>
      <c r="B60" s="5"/>
      <c r="C60" s="13"/>
      <c r="D60" s="109"/>
      <c r="E60"/>
      <c r="N60" s="1"/>
      <c r="O60" s="15"/>
    </row>
    <row r="61" spans="1:15" x14ac:dyDescent="0.25">
      <c r="A61" s="4">
        <v>41654</v>
      </c>
      <c r="B61" s="116">
        <f t="shared" ref="B61:B62" si="7">+A61</f>
        <v>41654</v>
      </c>
      <c r="C61" s="13">
        <v>-0.1</v>
      </c>
      <c r="D61" s="109">
        <v>0.7631944444444444</v>
      </c>
      <c r="E61"/>
      <c r="F61" s="1" t="s">
        <v>11</v>
      </c>
      <c r="H61" s="8">
        <v>660.30411680580585</v>
      </c>
      <c r="J61" s="1" t="s">
        <v>11</v>
      </c>
      <c r="L61" s="1" t="s">
        <v>11</v>
      </c>
      <c r="N61" s="1" t="s">
        <v>11</v>
      </c>
      <c r="O61" s="15">
        <f>+H61</f>
        <v>660.30411680580585</v>
      </c>
    </row>
    <row r="62" spans="1:15" x14ac:dyDescent="0.25">
      <c r="A62" s="4">
        <v>41655</v>
      </c>
      <c r="B62" s="116">
        <f t="shared" si="7"/>
        <v>41655</v>
      </c>
      <c r="C62" s="13">
        <v>-0.1</v>
      </c>
      <c r="D62" s="109">
        <v>0.78541666666666676</v>
      </c>
      <c r="E62"/>
      <c r="F62" s="1" t="s">
        <v>11</v>
      </c>
      <c r="H62" s="8">
        <v>603.95501020873189</v>
      </c>
      <c r="J62" s="1" t="s">
        <v>11</v>
      </c>
      <c r="L62" s="1" t="s">
        <v>11</v>
      </c>
      <c r="N62" s="1" t="s">
        <v>11</v>
      </c>
      <c r="O62" s="15">
        <f>+H62</f>
        <v>603.95501020873189</v>
      </c>
    </row>
    <row r="63" spans="1:15" x14ac:dyDescent="0.25">
      <c r="A63" s="4">
        <v>41656</v>
      </c>
      <c r="B63" s="5">
        <f t="shared" ref="B63:B67" si="8">+A63</f>
        <v>41656</v>
      </c>
      <c r="C63" s="13">
        <v>0</v>
      </c>
      <c r="D63" s="109">
        <v>0.80694444444444446</v>
      </c>
      <c r="E63"/>
      <c r="F63" s="8">
        <v>636.25256118407401</v>
      </c>
      <c r="H63" s="8">
        <v>371.03645581572107</v>
      </c>
      <c r="J63" s="1" t="s">
        <v>11</v>
      </c>
      <c r="L63" s="8">
        <v>419.1138866055789</v>
      </c>
      <c r="N63" s="1" t="s">
        <v>11</v>
      </c>
      <c r="O63" s="15">
        <f>+F63+H63+L63</f>
        <v>1426.4029036053739</v>
      </c>
    </row>
    <row r="64" spans="1:15" x14ac:dyDescent="0.25">
      <c r="A64" s="4">
        <v>41657</v>
      </c>
      <c r="B64" s="5">
        <f t="shared" si="8"/>
        <v>41657</v>
      </c>
      <c r="C64" s="13">
        <v>0.2</v>
      </c>
      <c r="D64" s="109">
        <v>0.82847222222222217</v>
      </c>
      <c r="E64"/>
      <c r="F64" s="8">
        <v>1373.0793768396709</v>
      </c>
      <c r="H64" s="8">
        <v>884.30154980721238</v>
      </c>
      <c r="J64" s="1" t="s">
        <v>11</v>
      </c>
      <c r="L64" s="8">
        <v>966.00307507807975</v>
      </c>
      <c r="N64" s="1" t="s">
        <v>11</v>
      </c>
      <c r="O64" s="15">
        <f>+F64+H64+L64</f>
        <v>3223.3840017249631</v>
      </c>
    </row>
    <row r="65" spans="1:15" x14ac:dyDescent="0.25">
      <c r="A65" s="4"/>
      <c r="C65"/>
      <c r="D65" s="109"/>
      <c r="E65"/>
      <c r="O65" s="15"/>
    </row>
    <row r="66" spans="1:15" x14ac:dyDescent="0.25">
      <c r="A66" s="4">
        <v>41667</v>
      </c>
      <c r="B66" s="5">
        <f t="shared" si="8"/>
        <v>41667</v>
      </c>
      <c r="C66" s="13">
        <v>-0.7</v>
      </c>
      <c r="D66" s="109">
        <v>0.69166666666666676</v>
      </c>
      <c r="E66"/>
      <c r="F66" s="8" t="s">
        <v>11</v>
      </c>
      <c r="H66" s="8">
        <v>1001.0670148448979</v>
      </c>
      <c r="J66" s="1" t="s">
        <v>11</v>
      </c>
      <c r="L66" s="8" t="s">
        <v>11</v>
      </c>
      <c r="N66" s="1" t="s">
        <v>11</v>
      </c>
      <c r="O66" s="15">
        <f>+H66</f>
        <v>1001.0670148448979</v>
      </c>
    </row>
    <row r="67" spans="1:15" x14ac:dyDescent="0.25">
      <c r="A67" s="4">
        <v>41668</v>
      </c>
      <c r="B67" s="5">
        <f t="shared" si="8"/>
        <v>41668</v>
      </c>
      <c r="C67" s="13">
        <v>-1.2</v>
      </c>
      <c r="D67" s="109">
        <v>0.72569444444444453</v>
      </c>
      <c r="E67"/>
      <c r="F67" s="8">
        <v>2195.9780028138184</v>
      </c>
      <c r="H67" s="8">
        <v>850.04173228289653</v>
      </c>
      <c r="J67" s="1" t="s">
        <v>11</v>
      </c>
      <c r="L67" s="8" t="s">
        <v>11</v>
      </c>
      <c r="N67" s="1" t="s">
        <v>11</v>
      </c>
      <c r="O67" s="15">
        <f>+F67+H67</f>
        <v>3046.0197350967151</v>
      </c>
    </row>
    <row r="68" spans="1:15" x14ac:dyDescent="0.25">
      <c r="A68" s="4">
        <v>41669</v>
      </c>
      <c r="B68" s="5">
        <f t="shared" ref="B68:B71" si="9">+A68</f>
        <v>41669</v>
      </c>
      <c r="C68" s="13">
        <v>-1.4</v>
      </c>
      <c r="D68" s="109">
        <v>0.75763888888888886</v>
      </c>
      <c r="E68"/>
      <c r="F68" s="8">
        <v>1516.3592466697273</v>
      </c>
      <c r="H68" s="8">
        <v>696.74042210914695</v>
      </c>
      <c r="J68" s="1" t="s">
        <v>11</v>
      </c>
      <c r="L68" s="8">
        <v>749.12692001209018</v>
      </c>
      <c r="N68" s="1" t="s">
        <v>11</v>
      </c>
      <c r="O68" s="15">
        <f>+F68+H68+L68</f>
        <v>2962.2265887909643</v>
      </c>
    </row>
    <row r="69" spans="1:15" x14ac:dyDescent="0.25">
      <c r="A69" s="4">
        <v>41670</v>
      </c>
      <c r="B69" s="5">
        <f t="shared" si="9"/>
        <v>41670</v>
      </c>
      <c r="C69" s="13">
        <v>-1.4</v>
      </c>
      <c r="D69" s="109">
        <v>0.78819444444444453</v>
      </c>
      <c r="E69"/>
      <c r="F69" s="8">
        <v>2615.3992269747437</v>
      </c>
      <c r="H69" s="8">
        <v>961.90120469759995</v>
      </c>
      <c r="J69" s="1" t="s">
        <v>11</v>
      </c>
      <c r="L69" s="8">
        <v>1701.3093661648436</v>
      </c>
      <c r="N69" s="1" t="s">
        <v>11</v>
      </c>
      <c r="O69" s="15">
        <f>+F69+H69+L69</f>
        <v>5278.6097978371872</v>
      </c>
    </row>
    <row r="70" spans="1:15" x14ac:dyDescent="0.25">
      <c r="A70" s="4">
        <v>41671</v>
      </c>
      <c r="B70" s="5">
        <f t="shared" si="9"/>
        <v>41671</v>
      </c>
      <c r="C70" s="13">
        <v>-1.1000000000000001</v>
      </c>
      <c r="D70" s="109">
        <v>0.81805555555555554</v>
      </c>
      <c r="E70"/>
      <c r="F70" s="8">
        <v>2928.3964547966434</v>
      </c>
      <c r="G70" s="2" t="s">
        <v>49</v>
      </c>
      <c r="H70" s="8">
        <f>+(J70+L70)*(H58+H53)/(J53+L53+J58+L58)</f>
        <v>856.12283085804188</v>
      </c>
      <c r="J70" s="8">
        <v>2599.6788161412205</v>
      </c>
      <c r="L70" s="8">
        <v>1451.1657784691124</v>
      </c>
      <c r="N70" s="1" t="s">
        <v>11</v>
      </c>
      <c r="O70" s="15">
        <f>+F70+H70+J70+L70</f>
        <v>7835.3638802650185</v>
      </c>
    </row>
    <row r="71" spans="1:15" x14ac:dyDescent="0.25">
      <c r="A71" s="4">
        <v>41672</v>
      </c>
      <c r="B71" s="5">
        <f t="shared" si="9"/>
        <v>41672</v>
      </c>
      <c r="C71" s="13">
        <v>-0.5</v>
      </c>
      <c r="D71" s="109">
        <v>0.84722222222222221</v>
      </c>
      <c r="E71" s="2" t="s">
        <v>52</v>
      </c>
      <c r="F71" s="8">
        <f>+L71*(F69+F68)/(L68+L69)</f>
        <v>307.95190454086628</v>
      </c>
      <c r="G71" s="2" t="s">
        <v>52</v>
      </c>
      <c r="H71" s="8">
        <f>+L71*(H69+H68)/(L69+L68)</f>
        <v>123.6233558142513</v>
      </c>
      <c r="J71" s="1" t="s">
        <v>11</v>
      </c>
      <c r="K71" t="s">
        <v>52</v>
      </c>
      <c r="L71" s="8">
        <v>182.63810096784638</v>
      </c>
      <c r="N71" s="1" t="s">
        <v>11</v>
      </c>
      <c r="O71" s="15">
        <f>+F71+H71+L71</f>
        <v>614.21336132296392</v>
      </c>
    </row>
    <row r="72" spans="1:15" x14ac:dyDescent="0.25">
      <c r="A72" s="4"/>
      <c r="C72"/>
      <c r="D72" s="109"/>
      <c r="E72"/>
      <c r="O72" s="15"/>
    </row>
    <row r="73" spans="1:15" x14ac:dyDescent="0.25">
      <c r="A73" s="4">
        <v>41696</v>
      </c>
      <c r="B73" s="5">
        <f t="shared" ref="B73:B78" si="10">+A73</f>
        <v>41696</v>
      </c>
      <c r="C73" s="13">
        <v>-0.4</v>
      </c>
      <c r="D73" s="109">
        <v>0.67708333333333337</v>
      </c>
      <c r="E73"/>
      <c r="F73" s="8" t="s">
        <v>11</v>
      </c>
      <c r="G73" s="2"/>
      <c r="H73" s="8">
        <v>1641.2684040419906</v>
      </c>
      <c r="J73" s="1" t="s">
        <v>11</v>
      </c>
      <c r="L73" s="8" t="s">
        <v>11</v>
      </c>
      <c r="N73" s="1" t="s">
        <v>11</v>
      </c>
      <c r="O73" s="15">
        <f>+H73</f>
        <v>1641.2684040419906</v>
      </c>
    </row>
    <row r="74" spans="1:15" x14ac:dyDescent="0.25">
      <c r="A74" s="4">
        <v>41697</v>
      </c>
      <c r="B74" s="5">
        <f t="shared" si="10"/>
        <v>41697</v>
      </c>
      <c r="C74" s="13">
        <v>-0.7</v>
      </c>
      <c r="D74" s="109">
        <v>0.71111111111111114</v>
      </c>
      <c r="E74"/>
      <c r="F74" s="8">
        <v>2852.4251169661675</v>
      </c>
      <c r="G74" s="2"/>
      <c r="H74" s="8">
        <v>1251.8437164868819</v>
      </c>
      <c r="J74" s="1" t="s">
        <v>11</v>
      </c>
      <c r="L74" s="8">
        <v>1526.4368325945477</v>
      </c>
      <c r="N74" s="1" t="s">
        <v>11</v>
      </c>
      <c r="O74" s="15">
        <f>+F74+H74+L74</f>
        <v>5630.7056660475973</v>
      </c>
    </row>
    <row r="75" spans="1:15" x14ac:dyDescent="0.25">
      <c r="A75" s="4">
        <v>41698</v>
      </c>
      <c r="B75" s="5">
        <f t="shared" si="10"/>
        <v>41698</v>
      </c>
      <c r="C75" s="13">
        <v>-0.8</v>
      </c>
      <c r="D75" s="109">
        <v>0.74236111111111114</v>
      </c>
      <c r="E75"/>
      <c r="F75" s="8">
        <v>5805.2090614862955</v>
      </c>
      <c r="G75" s="2"/>
      <c r="H75" s="8">
        <v>1830.8248521721966</v>
      </c>
      <c r="J75" s="1" t="s">
        <v>11</v>
      </c>
      <c r="L75" s="8">
        <v>2733.2417075142439</v>
      </c>
      <c r="N75" s="1" t="s">
        <v>11</v>
      </c>
      <c r="O75" s="15">
        <f>+F75+H75+L75</f>
        <v>10369.275621172736</v>
      </c>
    </row>
    <row r="76" spans="1:15" x14ac:dyDescent="0.25">
      <c r="A76" s="4">
        <v>41699</v>
      </c>
      <c r="B76" s="5">
        <f t="shared" si="10"/>
        <v>41699</v>
      </c>
      <c r="C76" s="13">
        <v>-0.7</v>
      </c>
      <c r="D76" s="109">
        <v>0.77222222222222225</v>
      </c>
      <c r="E76"/>
      <c r="F76" s="8">
        <v>5023.7356980431632</v>
      </c>
      <c r="G76" s="2"/>
      <c r="H76" s="8">
        <v>3427.632750752522</v>
      </c>
      <c r="J76" s="8">
        <v>5525.1705094836461</v>
      </c>
      <c r="L76" s="8">
        <v>2883.5208636981943</v>
      </c>
      <c r="N76" s="1" t="s">
        <v>11</v>
      </c>
      <c r="O76" s="15">
        <f>+F76+H76+J76+L76</f>
        <v>16860.059821977527</v>
      </c>
    </row>
    <row r="77" spans="1:15" x14ac:dyDescent="0.25">
      <c r="A77" s="4">
        <v>41700</v>
      </c>
      <c r="B77" s="5">
        <f t="shared" si="10"/>
        <v>41700</v>
      </c>
      <c r="C77" s="13">
        <v>-0.3</v>
      </c>
      <c r="D77" s="109">
        <v>0.80069444444444438</v>
      </c>
      <c r="E77"/>
      <c r="F77" s="8">
        <v>250.42999097339242</v>
      </c>
      <c r="G77" s="2"/>
      <c r="H77" s="8">
        <v>350.21654814009594</v>
      </c>
      <c r="J77" s="1" t="s">
        <v>11</v>
      </c>
      <c r="L77" s="8">
        <v>476.42158375660358</v>
      </c>
      <c r="N77" s="1" t="s">
        <v>11</v>
      </c>
      <c r="O77" s="15">
        <f>+F77+H77+L77</f>
        <v>1077.0681228700919</v>
      </c>
    </row>
    <row r="78" spans="1:15" x14ac:dyDescent="0.25">
      <c r="A78" s="4">
        <v>41701</v>
      </c>
      <c r="B78" s="116">
        <f t="shared" si="10"/>
        <v>41701</v>
      </c>
      <c r="C78" s="13">
        <v>0.3</v>
      </c>
      <c r="D78" s="109">
        <v>0.82847222222222217</v>
      </c>
      <c r="E78"/>
      <c r="F78" s="8" t="s">
        <v>11</v>
      </c>
      <c r="G78" s="2"/>
      <c r="H78" s="8">
        <v>201.46865941392616</v>
      </c>
      <c r="J78" s="1" t="s">
        <v>11</v>
      </c>
      <c r="L78" s="8" t="s">
        <v>11</v>
      </c>
      <c r="N78" s="1" t="s">
        <v>11</v>
      </c>
      <c r="O78" s="15">
        <f>+H78</f>
        <v>201.46865941392616</v>
      </c>
    </row>
    <row r="79" spans="1:15" x14ac:dyDescent="0.25">
      <c r="C79"/>
      <c r="D79"/>
      <c r="E79"/>
    </row>
    <row r="80" spans="1:15" x14ac:dyDescent="0.25">
      <c r="A80" s="4">
        <v>41724</v>
      </c>
      <c r="B80" s="5">
        <v>41724</v>
      </c>
      <c r="C80" s="13">
        <v>0.3</v>
      </c>
      <c r="D80" s="109">
        <v>0.66111111111111109</v>
      </c>
      <c r="E80"/>
      <c r="F80" s="1" t="s">
        <v>11</v>
      </c>
      <c r="H80" s="107">
        <v>1332.4829766290577</v>
      </c>
      <c r="J80" s="1" t="s">
        <v>11</v>
      </c>
      <c r="L80" s="1" t="s">
        <v>11</v>
      </c>
      <c r="N80" s="1" t="s">
        <v>11</v>
      </c>
      <c r="O80" s="10">
        <f>+H80</f>
        <v>1332.4829766290577</v>
      </c>
    </row>
    <row r="81" spans="1:15" x14ac:dyDescent="0.25">
      <c r="A81" s="4">
        <v>41725</v>
      </c>
      <c r="B81" s="5">
        <v>41725</v>
      </c>
      <c r="C81" s="13">
        <v>0.1</v>
      </c>
      <c r="D81" s="109">
        <v>0.70000000000000007</v>
      </c>
      <c r="E81"/>
      <c r="F81" s="1" t="s">
        <v>11</v>
      </c>
      <c r="H81" s="107">
        <v>1032.8829378148901</v>
      </c>
      <c r="J81" s="1" t="s">
        <v>11</v>
      </c>
      <c r="L81" s="1" t="s">
        <v>11</v>
      </c>
      <c r="N81" s="1" t="s">
        <v>11</v>
      </c>
      <c r="O81" s="10">
        <f>+H81</f>
        <v>1032.8829378148901</v>
      </c>
    </row>
    <row r="82" spans="1:15" x14ac:dyDescent="0.25">
      <c r="A82" s="4">
        <v>41726</v>
      </c>
      <c r="B82" s="5">
        <v>41726</v>
      </c>
      <c r="C82" s="13">
        <v>0</v>
      </c>
      <c r="D82" s="109">
        <v>0.73472222222222217</v>
      </c>
      <c r="E82"/>
      <c r="F82" s="107">
        <v>4996.3058634015551</v>
      </c>
      <c r="H82" s="107">
        <v>1084.5415684338454</v>
      </c>
      <c r="J82" s="1" t="s">
        <v>11</v>
      </c>
      <c r="L82" s="107">
        <v>2138.531717730204</v>
      </c>
      <c r="N82" s="1" t="s">
        <v>11</v>
      </c>
      <c r="O82" s="10">
        <f>+F82+H82+L82</f>
        <v>8219.3791495656042</v>
      </c>
    </row>
    <row r="83" spans="1:15" x14ac:dyDescent="0.25">
      <c r="A83" s="4">
        <v>41727</v>
      </c>
      <c r="B83" s="5">
        <v>41727</v>
      </c>
      <c r="C83" s="13">
        <v>0</v>
      </c>
      <c r="D83" s="109">
        <v>0.76597222222222217</v>
      </c>
      <c r="E83"/>
      <c r="F83" s="107">
        <v>9146.9555833068589</v>
      </c>
      <c r="G83" s="2" t="s">
        <v>49</v>
      </c>
      <c r="H83" s="107">
        <f>+L83*(H82+H84)/(L82+L84)</f>
        <v>5869.8661618657679</v>
      </c>
      <c r="J83" s="1" t="s">
        <v>11</v>
      </c>
      <c r="L83" s="107">
        <v>8271.0700857671382</v>
      </c>
      <c r="N83" s="1" t="s">
        <v>11</v>
      </c>
      <c r="O83" s="10">
        <f>+F83+H83+L83</f>
        <v>23287.891830939763</v>
      </c>
    </row>
    <row r="84" spans="1:15" x14ac:dyDescent="0.25">
      <c r="A84" s="4">
        <v>41728</v>
      </c>
      <c r="B84" s="5">
        <v>41728</v>
      </c>
      <c r="C84" s="13">
        <v>-0.1</v>
      </c>
      <c r="D84" s="109">
        <v>0.28680555555555554</v>
      </c>
      <c r="E84"/>
      <c r="F84" s="107">
        <v>2761.2783677716725</v>
      </c>
      <c r="H84" s="107">
        <v>2041.3600347856475</v>
      </c>
      <c r="J84" s="1" t="s">
        <v>11</v>
      </c>
      <c r="L84" s="107">
        <v>2266.0919190755599</v>
      </c>
      <c r="N84" s="1" t="s">
        <v>11</v>
      </c>
      <c r="O84" s="10">
        <f>+F84+H84+L84</f>
        <v>7068.7303216328801</v>
      </c>
    </row>
    <row r="85" spans="1:15" x14ac:dyDescent="0.25">
      <c r="A85" s="4">
        <v>41729</v>
      </c>
      <c r="B85" s="116">
        <v>41729</v>
      </c>
      <c r="C85" s="13">
        <v>-0.5</v>
      </c>
      <c r="D85" s="109">
        <v>0.31875000000000003</v>
      </c>
      <c r="E85"/>
      <c r="F85" s="107">
        <v>1538.1395193933686</v>
      </c>
      <c r="H85" s="107">
        <v>1241.0017825936866</v>
      </c>
      <c r="J85" s="1" t="s">
        <v>11</v>
      </c>
      <c r="L85" s="1" t="s">
        <v>11</v>
      </c>
      <c r="N85" s="1" t="s">
        <v>11</v>
      </c>
      <c r="O85" s="10">
        <f>+F85+H85</f>
        <v>2779.1413019870552</v>
      </c>
    </row>
    <row r="86" spans="1:15" x14ac:dyDescent="0.25">
      <c r="A86" s="4">
        <v>41730</v>
      </c>
      <c r="B86" s="5">
        <v>41730</v>
      </c>
      <c r="C86" s="13">
        <v>-0.7</v>
      </c>
      <c r="D86" s="109">
        <v>0.34861111111111115</v>
      </c>
      <c r="E86"/>
      <c r="F86" s="107">
        <v>2352.9867752386458</v>
      </c>
      <c r="H86" s="107">
        <v>951.02780409747083</v>
      </c>
      <c r="J86" s="1" t="s">
        <v>11</v>
      </c>
      <c r="L86" s="1" t="s">
        <v>11</v>
      </c>
      <c r="N86" s="1" t="s">
        <v>11</v>
      </c>
      <c r="O86" s="10">
        <f>+F86+H86</f>
        <v>3304.0145793361166</v>
      </c>
    </row>
    <row r="87" spans="1:15" x14ac:dyDescent="0.25">
      <c r="A87" s="4">
        <v>41731</v>
      </c>
      <c r="B87" s="5">
        <v>41731</v>
      </c>
      <c r="C87" s="13">
        <v>-0.6</v>
      </c>
      <c r="D87" s="109">
        <v>0.37847222222222227</v>
      </c>
      <c r="E87"/>
      <c r="F87" s="107">
        <v>2813.6959435879453</v>
      </c>
      <c r="H87" s="107">
        <v>1586.1649841361577</v>
      </c>
      <c r="J87" s="1" t="s">
        <v>11</v>
      </c>
      <c r="L87" s="1" t="s">
        <v>11</v>
      </c>
      <c r="N87" s="1" t="s">
        <v>11</v>
      </c>
      <c r="O87" s="10">
        <f>+F87+H87</f>
        <v>4399.860927724103</v>
      </c>
    </row>
    <row r="88" spans="1:15" x14ac:dyDescent="0.25">
      <c r="A88" s="4">
        <v>41732</v>
      </c>
      <c r="B88" s="116">
        <v>41732</v>
      </c>
      <c r="C88" s="13">
        <v>-0.3</v>
      </c>
      <c r="D88" s="109">
        <v>0.40902777777777777</v>
      </c>
      <c r="E88"/>
      <c r="F88" s="107">
        <v>1778.7968412807268</v>
      </c>
      <c r="H88" s="107">
        <v>738.84630198807508</v>
      </c>
      <c r="J88" s="1" t="s">
        <v>11</v>
      </c>
      <c r="L88" s="1" t="s">
        <v>11</v>
      </c>
      <c r="N88" s="1" t="s">
        <v>11</v>
      </c>
      <c r="O88" s="10">
        <f>+F88+H88</f>
        <v>2517.6431432688019</v>
      </c>
    </row>
    <row r="89" spans="1:15" x14ac:dyDescent="0.25">
      <c r="C89"/>
      <c r="D89"/>
      <c r="E89"/>
    </row>
    <row r="90" spans="1:15" x14ac:dyDescent="0.25">
      <c r="A90" s="4">
        <v>41743</v>
      </c>
      <c r="B90" s="116">
        <f>+A90</f>
        <v>41743</v>
      </c>
      <c r="C90" s="13">
        <v>0.2</v>
      </c>
      <c r="D90" s="109">
        <v>0.28194444444444444</v>
      </c>
      <c r="E90"/>
      <c r="F90" s="1" t="s">
        <v>11</v>
      </c>
      <c r="H90" s="107">
        <v>1015.259430161394</v>
      </c>
      <c r="J90" s="1" t="s">
        <v>11</v>
      </c>
      <c r="L90" s="1" t="s">
        <v>11</v>
      </c>
      <c r="N90" s="1" t="s">
        <v>11</v>
      </c>
      <c r="O90" s="10">
        <f>+H90</f>
        <v>1015.259430161394</v>
      </c>
    </row>
    <row r="91" spans="1:15" x14ac:dyDescent="0.25">
      <c r="A91" s="4">
        <v>41744</v>
      </c>
      <c r="B91" s="116">
        <f t="shared" ref="B91:B96" si="11">+A91</f>
        <v>41744</v>
      </c>
      <c r="C91" s="13">
        <v>-0.3</v>
      </c>
      <c r="D91" s="109">
        <v>0.30833333333333335</v>
      </c>
      <c r="E91"/>
      <c r="F91" s="107">
        <v>1404.3014053682314</v>
      </c>
      <c r="H91" s="107">
        <v>1127.9756073777089</v>
      </c>
      <c r="J91" s="1" t="s">
        <v>11</v>
      </c>
      <c r="L91" s="1" t="s">
        <v>11</v>
      </c>
      <c r="N91" s="1" t="s">
        <v>11</v>
      </c>
      <c r="O91" s="10">
        <f>+F91+H91</f>
        <v>2532.2770127459403</v>
      </c>
    </row>
    <row r="92" spans="1:15" x14ac:dyDescent="0.25">
      <c r="A92" s="4">
        <v>41745</v>
      </c>
      <c r="B92" s="116">
        <f t="shared" si="11"/>
        <v>41745</v>
      </c>
      <c r="C92" s="13">
        <v>-0.6</v>
      </c>
      <c r="D92" s="109">
        <v>0.3354166666666667</v>
      </c>
      <c r="E92"/>
      <c r="F92" s="107">
        <v>1294.5149920641759</v>
      </c>
      <c r="H92" s="107">
        <v>992.87896176104255</v>
      </c>
      <c r="J92" s="1" t="s">
        <v>11</v>
      </c>
      <c r="L92" s="1" t="s">
        <v>11</v>
      </c>
      <c r="N92" s="1" t="s">
        <v>11</v>
      </c>
      <c r="O92" s="10">
        <f>+F92+H92</f>
        <v>2287.3939538252184</v>
      </c>
    </row>
    <row r="93" spans="1:15" x14ac:dyDescent="0.25">
      <c r="A93" s="4">
        <v>41746</v>
      </c>
      <c r="B93" s="116">
        <f t="shared" si="11"/>
        <v>41746</v>
      </c>
      <c r="C93" s="13">
        <v>-0.8</v>
      </c>
      <c r="D93" s="109">
        <v>0.36319444444444443</v>
      </c>
      <c r="E93"/>
      <c r="F93" s="107">
        <v>3103.4956321243621</v>
      </c>
      <c r="H93" s="107">
        <v>1530.7669152120757</v>
      </c>
      <c r="J93" s="1" t="s">
        <v>11</v>
      </c>
      <c r="L93" s="1" t="s">
        <v>11</v>
      </c>
      <c r="N93" s="1" t="s">
        <v>11</v>
      </c>
      <c r="O93" s="10">
        <f>+F93+H93</f>
        <v>4634.2625473364378</v>
      </c>
    </row>
    <row r="94" spans="1:15" x14ac:dyDescent="0.25">
      <c r="A94" s="4">
        <v>41747</v>
      </c>
      <c r="B94" s="116">
        <f t="shared" si="11"/>
        <v>41747</v>
      </c>
      <c r="C94" s="13">
        <v>-0.8</v>
      </c>
      <c r="D94" s="109">
        <v>0.39305555555555555</v>
      </c>
      <c r="E94"/>
      <c r="F94" s="107">
        <v>7855.0242465879992</v>
      </c>
      <c r="H94" s="107">
        <v>2090.9279774767742</v>
      </c>
      <c r="J94" s="1" t="s">
        <v>11</v>
      </c>
      <c r="L94" s="107">
        <v>2091.1277863219411</v>
      </c>
      <c r="N94" s="1" t="s">
        <v>11</v>
      </c>
      <c r="O94" s="10">
        <f>+F94+H94+L94</f>
        <v>12037.080010386715</v>
      </c>
    </row>
    <row r="95" spans="1:15" x14ac:dyDescent="0.25">
      <c r="A95" s="4">
        <v>41748</v>
      </c>
      <c r="B95" s="116">
        <f t="shared" si="11"/>
        <v>41748</v>
      </c>
      <c r="C95" s="13">
        <v>-0.7</v>
      </c>
      <c r="D95" s="109">
        <v>0.42638888888888887</v>
      </c>
      <c r="E95"/>
      <c r="F95" s="107">
        <v>9032.1966928485544</v>
      </c>
      <c r="G95" s="2" t="s">
        <v>49</v>
      </c>
      <c r="H95" s="107">
        <f>+(J95+L95)*H96/(J96+L96)</f>
        <v>3490.9383030767281</v>
      </c>
      <c r="J95" s="107">
        <v>4863.2948910071673</v>
      </c>
      <c r="L95" s="107">
        <v>2399.9803649771493</v>
      </c>
      <c r="N95" s="1" t="s">
        <v>11</v>
      </c>
      <c r="O95" s="10">
        <f>+F95+H95+J95+L95</f>
        <v>19786.410251909598</v>
      </c>
    </row>
    <row r="96" spans="1:15" x14ac:dyDescent="0.25">
      <c r="A96" s="4">
        <v>41749</v>
      </c>
      <c r="B96" s="116">
        <f t="shared" si="11"/>
        <v>41749</v>
      </c>
      <c r="C96" s="13">
        <v>-0.4</v>
      </c>
      <c r="D96" s="109">
        <v>0.46249999999999997</v>
      </c>
      <c r="E96"/>
      <c r="F96" s="107">
        <v>9428.215215598917</v>
      </c>
      <c r="H96" s="107">
        <v>3078.639225520868</v>
      </c>
      <c r="J96" s="107">
        <v>4057.3215386772376</v>
      </c>
      <c r="L96" s="107">
        <v>2348.1208288148027</v>
      </c>
      <c r="N96" s="1" t="s">
        <v>11</v>
      </c>
      <c r="O96" s="10">
        <f>+F96+H96+J96+L96</f>
        <v>18912.296808611827</v>
      </c>
    </row>
    <row r="97" spans="1:15" x14ac:dyDescent="0.25">
      <c r="A97" s="4"/>
      <c r="B97" s="116"/>
      <c r="C97" s="13"/>
      <c r="D97" s="109"/>
      <c r="E97"/>
    </row>
    <row r="98" spans="1:15" x14ac:dyDescent="0.25">
      <c r="A98" s="4">
        <v>41756</v>
      </c>
      <c r="B98" s="116">
        <f t="shared" ref="B98:B105" si="12">+A98</f>
        <v>41756</v>
      </c>
      <c r="C98" s="13">
        <v>-0.3</v>
      </c>
      <c r="D98" s="109">
        <v>0.24513888888888888</v>
      </c>
      <c r="E98" s="2" t="s">
        <v>49</v>
      </c>
      <c r="F98" s="107">
        <f>+H98*(F99+F100)/(H99+H100)</f>
        <v>915.467075461685</v>
      </c>
      <c r="H98" s="107">
        <v>710.07122470205718</v>
      </c>
      <c r="J98" s="1" t="s">
        <v>11</v>
      </c>
      <c r="L98" s="1" t="s">
        <v>11</v>
      </c>
      <c r="N98" s="1" t="s">
        <v>11</v>
      </c>
      <c r="O98" s="10">
        <f>+F98+H98</f>
        <v>1625.5383001637422</v>
      </c>
    </row>
    <row r="99" spans="1:15" x14ac:dyDescent="0.25">
      <c r="A99" s="4">
        <v>41757</v>
      </c>
      <c r="B99" s="116">
        <f t="shared" si="12"/>
        <v>41757</v>
      </c>
      <c r="C99" s="13">
        <v>-0.8</v>
      </c>
      <c r="D99" s="109">
        <v>0.27708333333333335</v>
      </c>
      <c r="E99"/>
      <c r="F99" s="107">
        <v>552.80182033778806</v>
      </c>
      <c r="H99" s="107">
        <v>449.12348003411239</v>
      </c>
      <c r="J99" s="1" t="s">
        <v>11</v>
      </c>
      <c r="L99" s="1" t="s">
        <v>11</v>
      </c>
      <c r="N99" s="1" t="s">
        <v>11</v>
      </c>
      <c r="O99" s="10">
        <f>+F99+H99</f>
        <v>1001.9253003719004</v>
      </c>
    </row>
    <row r="100" spans="1:15" x14ac:dyDescent="0.25">
      <c r="A100" s="4">
        <v>41758</v>
      </c>
      <c r="B100" s="116">
        <f t="shared" si="12"/>
        <v>41758</v>
      </c>
      <c r="C100" s="13">
        <v>-1.1000000000000001</v>
      </c>
      <c r="D100" s="109">
        <v>0.30694444444444441</v>
      </c>
      <c r="E100"/>
      <c r="F100" s="107">
        <v>1390.2552388749518</v>
      </c>
      <c r="H100" s="107">
        <v>1057.9857789257012</v>
      </c>
      <c r="J100" s="1" t="s">
        <v>11</v>
      </c>
      <c r="L100" s="1" t="s">
        <v>11</v>
      </c>
      <c r="N100" s="1" t="s">
        <v>11</v>
      </c>
      <c r="O100" s="10">
        <f>+F100+H100</f>
        <v>2448.241017800653</v>
      </c>
    </row>
    <row r="101" spans="1:15" x14ac:dyDescent="0.25">
      <c r="A101" s="4">
        <v>41759</v>
      </c>
      <c r="B101" s="116">
        <f t="shared" si="12"/>
        <v>41759</v>
      </c>
      <c r="C101" s="13">
        <v>-1.2</v>
      </c>
      <c r="D101" s="109">
        <v>0.3354166666666667</v>
      </c>
      <c r="E101"/>
      <c r="F101" s="107">
        <v>1900.5813084177576</v>
      </c>
      <c r="H101" s="107">
        <v>1193.2734336634703</v>
      </c>
      <c r="J101" s="1" t="s">
        <v>11</v>
      </c>
      <c r="L101" s="1" t="s">
        <v>11</v>
      </c>
      <c r="N101" s="1" t="s">
        <v>11</v>
      </c>
      <c r="O101" s="10">
        <f>+F101+H101</f>
        <v>3093.8547420812279</v>
      </c>
    </row>
    <row r="102" spans="1:15" x14ac:dyDescent="0.25">
      <c r="A102" s="4">
        <v>41760</v>
      </c>
      <c r="B102" s="116">
        <f t="shared" si="12"/>
        <v>41760</v>
      </c>
      <c r="C102" s="13">
        <v>-1</v>
      </c>
      <c r="D102" s="109">
        <v>0.36319444444444443</v>
      </c>
      <c r="E102"/>
      <c r="F102" s="107">
        <v>1975.9724641861358</v>
      </c>
      <c r="H102" s="107">
        <v>1921.9532332409826</v>
      </c>
      <c r="J102" s="1" t="s">
        <v>11</v>
      </c>
      <c r="L102" s="1" t="s">
        <v>11</v>
      </c>
      <c r="N102" s="1" t="s">
        <v>11</v>
      </c>
      <c r="O102" s="10">
        <f>+F102+H102</f>
        <v>3897.9256974271184</v>
      </c>
    </row>
    <row r="103" spans="1:15" x14ac:dyDescent="0.25">
      <c r="A103" s="4">
        <v>41761</v>
      </c>
      <c r="B103" s="116">
        <f t="shared" si="12"/>
        <v>41761</v>
      </c>
      <c r="C103" s="13">
        <v>-0.7</v>
      </c>
      <c r="D103" s="109">
        <v>0.39097222222222222</v>
      </c>
      <c r="E103"/>
      <c r="F103" s="107">
        <v>2180.860143569892</v>
      </c>
      <c r="H103" s="107">
        <v>1562.1948350248751</v>
      </c>
      <c r="J103" s="1" t="s">
        <v>11</v>
      </c>
      <c r="L103" s="107">
        <v>1003.4488247293588</v>
      </c>
      <c r="N103" s="1" t="s">
        <v>11</v>
      </c>
      <c r="O103" s="10">
        <f>+F103+H103+L103</f>
        <v>4746.5038033241253</v>
      </c>
    </row>
    <row r="104" spans="1:15" x14ac:dyDescent="0.25">
      <c r="A104" s="4">
        <v>41762</v>
      </c>
      <c r="B104" s="116">
        <f t="shared" si="12"/>
        <v>41762</v>
      </c>
      <c r="C104" s="13">
        <v>-0.3</v>
      </c>
      <c r="D104" s="109">
        <v>0.41944444444444445</v>
      </c>
      <c r="E104"/>
      <c r="F104" s="107">
        <v>3096.0766732765715</v>
      </c>
      <c r="H104" s="107">
        <v>2123.7573659721843</v>
      </c>
      <c r="J104" s="1" t="s">
        <v>11</v>
      </c>
      <c r="L104" s="107">
        <v>2465.4833304174044</v>
      </c>
      <c r="N104" s="1" t="s">
        <v>11</v>
      </c>
      <c r="O104" s="10">
        <f>+F104+H104+L104</f>
        <v>7685.3173696661597</v>
      </c>
    </row>
    <row r="105" spans="1:15" x14ac:dyDescent="0.25">
      <c r="A105" s="4">
        <v>41763</v>
      </c>
      <c r="B105" s="116">
        <f t="shared" si="12"/>
        <v>41763</v>
      </c>
      <c r="C105" s="13">
        <v>0.1</v>
      </c>
      <c r="D105" s="109">
        <v>0.44930555555555557</v>
      </c>
      <c r="E105"/>
      <c r="F105" s="107">
        <v>1282.2075181661849</v>
      </c>
      <c r="H105" s="107">
        <v>1431.5430256523214</v>
      </c>
      <c r="J105" s="1" t="s">
        <v>11</v>
      </c>
      <c r="L105" s="107">
        <v>1192.9298528032537</v>
      </c>
      <c r="N105" s="1" t="s">
        <v>11</v>
      </c>
      <c r="O105" s="10">
        <f>+F105+H105+L105</f>
        <v>3906.6803966217599</v>
      </c>
    </row>
    <row r="106" spans="1:15" x14ac:dyDescent="0.25">
      <c r="A106" s="4"/>
      <c r="C106"/>
      <c r="D106" s="109"/>
      <c r="E106"/>
    </row>
    <row r="107" spans="1:15" x14ac:dyDescent="0.25">
      <c r="A107" s="4">
        <v>41772</v>
      </c>
      <c r="B107" s="116">
        <f t="shared" ref="B107:B114" si="13">+A107</f>
        <v>41772</v>
      </c>
      <c r="C107" s="13">
        <v>-0.6</v>
      </c>
      <c r="D107" s="109">
        <v>0.26458333333333334</v>
      </c>
      <c r="E107"/>
      <c r="F107" s="107" t="s">
        <v>11</v>
      </c>
      <c r="H107" s="107">
        <v>518.81994928087261</v>
      </c>
      <c r="J107" s="107" t="s">
        <v>11</v>
      </c>
      <c r="L107" s="107" t="s">
        <v>11</v>
      </c>
      <c r="N107" s="1" t="s">
        <v>11</v>
      </c>
      <c r="O107" s="10">
        <f>+H107</f>
        <v>518.81994928087261</v>
      </c>
    </row>
    <row r="108" spans="1:15" x14ac:dyDescent="0.25">
      <c r="A108" s="4">
        <v>41773</v>
      </c>
      <c r="B108" s="116">
        <f t="shared" si="13"/>
        <v>41773</v>
      </c>
      <c r="C108" s="13">
        <v>-1.2</v>
      </c>
      <c r="D108" s="109">
        <v>0.29305555555555557</v>
      </c>
      <c r="E108"/>
      <c r="F108" s="107">
        <v>1226.5815466461559</v>
      </c>
      <c r="H108" s="107">
        <v>883.01120779568134</v>
      </c>
      <c r="J108" s="107" t="s">
        <v>11</v>
      </c>
      <c r="L108" s="107" t="s">
        <v>11</v>
      </c>
      <c r="N108" s="1" t="s">
        <v>11</v>
      </c>
      <c r="O108" s="10">
        <f>SUM(F108:N108)</f>
        <v>2109.5927544418373</v>
      </c>
    </row>
    <row r="109" spans="1:15" x14ac:dyDescent="0.25">
      <c r="A109" s="4">
        <v>41774</v>
      </c>
      <c r="B109" s="116">
        <f t="shared" si="13"/>
        <v>41774</v>
      </c>
      <c r="C109" s="13">
        <v>-1.5</v>
      </c>
      <c r="D109" s="109">
        <v>0.32222222222222224</v>
      </c>
      <c r="E109"/>
      <c r="F109" s="107">
        <v>1580.6079220834883</v>
      </c>
      <c r="H109" s="107">
        <v>741.76456687188693</v>
      </c>
      <c r="J109" s="107" t="s">
        <v>11</v>
      </c>
      <c r="L109" s="107" t="s">
        <v>11</v>
      </c>
      <c r="N109" s="1" t="s">
        <v>11</v>
      </c>
      <c r="O109" s="10">
        <f t="shared" ref="O109:O121" si="14">SUM(F109:N109)</f>
        <v>2322.372488955375</v>
      </c>
    </row>
    <row r="110" spans="1:15" x14ac:dyDescent="0.25">
      <c r="A110" s="4">
        <v>41775</v>
      </c>
      <c r="B110" s="116">
        <f t="shared" si="13"/>
        <v>41775</v>
      </c>
      <c r="C110" s="13">
        <v>-1.7</v>
      </c>
      <c r="D110" s="109">
        <v>0.3520833333333333</v>
      </c>
      <c r="E110"/>
      <c r="F110" s="107">
        <v>2244.8122552318687</v>
      </c>
      <c r="H110" s="107">
        <v>1220.8457281519577</v>
      </c>
      <c r="J110" s="107">
        <v>1602.3792133976617</v>
      </c>
      <c r="L110" s="107" t="s">
        <v>11</v>
      </c>
      <c r="N110" s="1" t="s">
        <v>11</v>
      </c>
      <c r="O110" s="10">
        <f t="shared" si="14"/>
        <v>5068.0371967814881</v>
      </c>
    </row>
    <row r="111" spans="1:15" x14ac:dyDescent="0.25">
      <c r="A111" s="4">
        <v>41776</v>
      </c>
      <c r="B111" s="116">
        <f t="shared" si="13"/>
        <v>41776</v>
      </c>
      <c r="C111" s="13">
        <v>-1.7</v>
      </c>
      <c r="D111" s="109">
        <v>0.3833333333333333</v>
      </c>
      <c r="E111"/>
      <c r="F111" s="107">
        <v>4821.9096643339681</v>
      </c>
      <c r="H111" s="107">
        <v>2585.6170413253353</v>
      </c>
      <c r="J111" s="107">
        <v>3576.1977735191713</v>
      </c>
      <c r="L111" s="107">
        <v>1126.418181948158</v>
      </c>
      <c r="N111" s="1" t="s">
        <v>11</v>
      </c>
      <c r="O111" s="10">
        <f t="shared" si="14"/>
        <v>12110.142661126634</v>
      </c>
    </row>
    <row r="112" spans="1:15" x14ac:dyDescent="0.25">
      <c r="A112" s="4">
        <v>41777</v>
      </c>
      <c r="B112" s="116">
        <f t="shared" si="13"/>
        <v>41777</v>
      </c>
      <c r="C112" s="13">
        <v>-1.5</v>
      </c>
      <c r="D112" s="109">
        <v>0.41597222222222219</v>
      </c>
      <c r="E112"/>
      <c r="F112" s="107">
        <v>3127.6117245262767</v>
      </c>
      <c r="H112" s="107">
        <v>2454.0901219233392</v>
      </c>
      <c r="J112" s="107">
        <v>2232.0499974184227</v>
      </c>
      <c r="L112" s="107">
        <v>1400.9596058563534</v>
      </c>
      <c r="N112" s="1" t="s">
        <v>11</v>
      </c>
      <c r="O112" s="10">
        <f t="shared" si="14"/>
        <v>9214.7114497243911</v>
      </c>
    </row>
    <row r="113" spans="1:15" x14ac:dyDescent="0.25">
      <c r="A113" s="4">
        <v>41778</v>
      </c>
      <c r="B113" s="116">
        <f t="shared" si="13"/>
        <v>41778</v>
      </c>
      <c r="C113" s="13">
        <v>-1.1000000000000001</v>
      </c>
      <c r="D113" s="109">
        <v>0.4513888888888889</v>
      </c>
      <c r="E113"/>
      <c r="F113" s="107" t="s">
        <v>11</v>
      </c>
      <c r="H113" s="107">
        <v>1353.7268958419666</v>
      </c>
      <c r="J113" s="107" t="s">
        <v>11</v>
      </c>
      <c r="L113" s="107" t="s">
        <v>11</v>
      </c>
      <c r="N113" s="1" t="s">
        <v>11</v>
      </c>
      <c r="O113" s="10">
        <f t="shared" si="14"/>
        <v>1353.7268958419666</v>
      </c>
    </row>
    <row r="114" spans="1:15" x14ac:dyDescent="0.25">
      <c r="A114" s="4">
        <v>41779</v>
      </c>
      <c r="B114" s="116">
        <f t="shared" si="13"/>
        <v>41779</v>
      </c>
      <c r="C114" s="13">
        <v>-0.6</v>
      </c>
      <c r="D114" s="109">
        <v>0.48888888888888887</v>
      </c>
      <c r="E114"/>
      <c r="F114" s="107" t="s">
        <v>11</v>
      </c>
      <c r="H114" s="107">
        <v>1097.6627586153711</v>
      </c>
      <c r="J114" s="107" t="s">
        <v>11</v>
      </c>
      <c r="L114" s="107" t="s">
        <v>11</v>
      </c>
      <c r="N114" s="1" t="s">
        <v>11</v>
      </c>
      <c r="O114" s="10">
        <f t="shared" si="14"/>
        <v>1097.6627586153711</v>
      </c>
    </row>
    <row r="115" spans="1:15" x14ac:dyDescent="0.25">
      <c r="A115" s="4"/>
      <c r="B115" s="116"/>
      <c r="C115" s="13"/>
      <c r="D115" s="109"/>
      <c r="E115"/>
    </row>
    <row r="116" spans="1:15" x14ac:dyDescent="0.25">
      <c r="A116" s="4">
        <v>41786</v>
      </c>
      <c r="B116" s="116">
        <v>41786</v>
      </c>
      <c r="C116" s="13">
        <v>-1.1000000000000001</v>
      </c>
      <c r="D116" s="109">
        <v>0.26666666666666666</v>
      </c>
      <c r="E116"/>
      <c r="F116" s="107">
        <v>770.01221023341054</v>
      </c>
      <c r="H116" s="107">
        <f>+F116*(H108+H109)/(F108+F109)</f>
        <v>445.67607542060324</v>
      </c>
      <c r="J116" s="1" t="s">
        <v>11</v>
      </c>
      <c r="L116" s="1" t="s">
        <v>11</v>
      </c>
      <c r="N116" s="1" t="s">
        <v>11</v>
      </c>
      <c r="O116" s="10">
        <f t="shared" si="14"/>
        <v>1215.6882856540137</v>
      </c>
    </row>
    <row r="117" spans="1:15" x14ac:dyDescent="0.25">
      <c r="A117" s="4">
        <v>41787</v>
      </c>
      <c r="B117" s="116">
        <v>41787</v>
      </c>
      <c r="C117" s="13">
        <v>-1.3</v>
      </c>
      <c r="D117" s="109">
        <v>0.29722222222222222</v>
      </c>
      <c r="E117"/>
      <c r="F117" s="107">
        <v>1379.3874755753204</v>
      </c>
      <c r="H117" s="107">
        <v>767.0396897211333</v>
      </c>
      <c r="J117" s="1" t="s">
        <v>11</v>
      </c>
      <c r="L117" s="1" t="s">
        <v>11</v>
      </c>
      <c r="N117" s="1" t="s">
        <v>11</v>
      </c>
      <c r="O117" s="10">
        <f t="shared" si="14"/>
        <v>2146.4271652964535</v>
      </c>
    </row>
    <row r="118" spans="1:15" x14ac:dyDescent="0.25">
      <c r="A118" s="4">
        <v>41788</v>
      </c>
      <c r="B118" s="116">
        <v>41788</v>
      </c>
      <c r="C118" s="13">
        <v>-1.4</v>
      </c>
      <c r="D118" s="109">
        <v>0.30902777777777779</v>
      </c>
      <c r="E118"/>
      <c r="F118" s="107">
        <v>1633.6457313927917</v>
      </c>
      <c r="H118" s="107">
        <v>1426.390458889116</v>
      </c>
      <c r="J118" s="107">
        <v>1020.7227705064894</v>
      </c>
      <c r="L118" s="107">
        <v>376.28008440135443</v>
      </c>
      <c r="N118" s="1" t="s">
        <v>11</v>
      </c>
      <c r="O118" s="10">
        <f t="shared" si="14"/>
        <v>4457.0390451897511</v>
      </c>
    </row>
    <row r="119" spans="1:15" x14ac:dyDescent="0.25">
      <c r="A119" s="4">
        <v>41789</v>
      </c>
      <c r="B119" s="116">
        <v>41789</v>
      </c>
      <c r="C119" s="13">
        <v>-1.3</v>
      </c>
      <c r="D119" s="109">
        <v>0.34930555555555554</v>
      </c>
      <c r="E119"/>
      <c r="F119" s="107">
        <v>1042.7820020033535</v>
      </c>
      <c r="H119" s="107">
        <v>1424.2487314733667</v>
      </c>
      <c r="J119" s="107">
        <v>1285.9441873842491</v>
      </c>
      <c r="L119" s="107">
        <v>1129.4914329403537</v>
      </c>
      <c r="N119" s="1" t="s">
        <v>11</v>
      </c>
      <c r="O119" s="10">
        <f t="shared" si="14"/>
        <v>4882.4663538013228</v>
      </c>
    </row>
    <row r="120" spans="1:15" x14ac:dyDescent="0.25">
      <c r="A120" s="4">
        <v>41790</v>
      </c>
      <c r="B120" s="116">
        <v>41790</v>
      </c>
      <c r="C120" s="13">
        <v>-1</v>
      </c>
      <c r="D120" s="109">
        <v>0.375</v>
      </c>
      <c r="E120"/>
      <c r="F120" s="107">
        <v>5068.8425160759289</v>
      </c>
      <c r="H120" s="107">
        <v>3259.6175842351549</v>
      </c>
      <c r="J120" s="107">
        <v>5325.2419124185853</v>
      </c>
      <c r="L120" s="107">
        <v>815.85084751994111</v>
      </c>
      <c r="N120" s="1" t="s">
        <v>11</v>
      </c>
      <c r="O120" s="10">
        <f t="shared" si="14"/>
        <v>14469.552860249611</v>
      </c>
    </row>
    <row r="121" spans="1:15" x14ac:dyDescent="0.25">
      <c r="A121" s="4">
        <v>41791</v>
      </c>
      <c r="B121" s="116">
        <v>41791</v>
      </c>
      <c r="C121" s="13">
        <v>-0.7</v>
      </c>
      <c r="D121" s="109">
        <v>0.40069444444444446</v>
      </c>
      <c r="E121"/>
      <c r="F121" s="107">
        <v>6557.717342246664</v>
      </c>
      <c r="H121" s="107">
        <v>2545.6144402309474</v>
      </c>
      <c r="J121" s="107">
        <v>4719.3756011216483</v>
      </c>
      <c r="K121" s="2" t="s">
        <v>49</v>
      </c>
      <c r="L121" s="107">
        <f>809/0.6332</f>
        <v>1277.6373973468098</v>
      </c>
      <c r="N121" s="1" t="s">
        <v>11</v>
      </c>
      <c r="O121" s="10">
        <f t="shared" si="14"/>
        <v>15100.34478094607</v>
      </c>
    </row>
    <row r="122" spans="1:15" x14ac:dyDescent="0.25">
      <c r="A122" s="4"/>
      <c r="B122" s="116"/>
      <c r="C122" s="13"/>
      <c r="D122" s="109"/>
      <c r="E122"/>
    </row>
    <row r="123" spans="1:15" x14ac:dyDescent="0.25">
      <c r="A123" s="18" t="s">
        <v>19</v>
      </c>
      <c r="F123" s="15">
        <f>SUM(F2:F122)</f>
        <v>181240.35990233548</v>
      </c>
      <c r="H123" s="15">
        <f>SUM(H2:H122)</f>
        <v>119872.06647377138</v>
      </c>
      <c r="J123" s="15">
        <f>SUM(J2:J122)</f>
        <v>75197.980600129173</v>
      </c>
      <c r="L123" s="15">
        <f>SUM(L3:L122)</f>
        <v>74735.910872243505</v>
      </c>
      <c r="N123" s="15">
        <f>SUM(N3:N122)</f>
        <v>0</v>
      </c>
      <c r="O123" s="15">
        <f>SUM(O2:O122)</f>
        <v>451046.31784847949</v>
      </c>
    </row>
    <row r="124" spans="1:15" x14ac:dyDescent="0.25">
      <c r="A124" s="17" t="s">
        <v>18</v>
      </c>
    </row>
    <row r="125" spans="1:15" x14ac:dyDescent="0.25">
      <c r="A125" s="118" t="s">
        <v>53</v>
      </c>
    </row>
  </sheetData>
  <mergeCells count="5">
    <mergeCell ref="E1:F1"/>
    <mergeCell ref="G1:H1"/>
    <mergeCell ref="I1:J1"/>
    <mergeCell ref="K1:L1"/>
    <mergeCell ref="M1:N1"/>
  </mergeCells>
  <pageMargins left="0.2" right="0.28999999999999998" top="0.68" bottom="0.37" header="0.2" footer="0"/>
  <pageSetup scale="39" orientation="landscape" r:id="rId1"/>
  <headerFooter>
    <oddHeader>&amp;L&amp;12 2010 Fall / 2011 Spring Razor Clam Harvst Totals
&amp;"-,Italic"(Number of Diggers)&amp;C&amp;12Non-Indian Fishery&amp;R&amp;12&amp;KFF0000PRELIMINARY ESTIMATE</oddHeader>
    <oddFooter>&amp;LPage 3 of 3</oddFooter>
  </headerFooter>
  <ignoredErrors>
    <ignoredError sqref="O76 O7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24"/>
  <sheetViews>
    <sheetView workbookViewId="0">
      <pane ySplit="1" topLeftCell="A2" activePane="bottomLeft" state="frozen"/>
      <selection pane="bottomLeft" activeCell="Q3" sqref="Q3"/>
    </sheetView>
  </sheetViews>
  <sheetFormatPr defaultRowHeight="15" x14ac:dyDescent="0.25"/>
  <cols>
    <col min="1" max="1" width="18.42578125" customWidth="1"/>
    <col min="2" max="2" width="5.42578125" customWidth="1"/>
    <col min="3" max="3" width="7.7109375" style="1" customWidth="1"/>
    <col min="4" max="4" width="9.140625" style="1"/>
    <col min="5" max="5" width="3.7109375" style="1" customWidth="1"/>
    <col min="6" max="6" width="12.7109375" customWidth="1"/>
    <col min="7" max="7" width="3.7109375" customWidth="1"/>
    <col min="8" max="8" width="12.7109375" customWidth="1"/>
    <col min="9" max="9" width="3.7109375" customWidth="1"/>
    <col min="10" max="10" width="12.7109375" customWidth="1"/>
    <col min="11" max="11" width="3.7109375" customWidth="1"/>
    <col min="12" max="12" width="12.7109375" customWidth="1"/>
    <col min="13" max="13" width="3.7109375" customWidth="1"/>
    <col min="14" max="14" width="12.7109375" customWidth="1"/>
    <col min="15" max="15" width="11.140625" bestFit="1" customWidth="1"/>
  </cols>
  <sheetData>
    <row r="1" spans="1:17" x14ac:dyDescent="0.25">
      <c r="A1" s="11" t="s">
        <v>8</v>
      </c>
      <c r="B1" s="11" t="s">
        <v>5</v>
      </c>
      <c r="C1" s="11" t="s">
        <v>6</v>
      </c>
      <c r="D1" s="11" t="s">
        <v>7</v>
      </c>
      <c r="E1" s="161" t="s">
        <v>0</v>
      </c>
      <c r="F1" s="161"/>
      <c r="G1" s="161" t="s">
        <v>1</v>
      </c>
      <c r="H1" s="161"/>
      <c r="I1" s="161" t="s">
        <v>2</v>
      </c>
      <c r="J1" s="161"/>
      <c r="K1" s="161" t="s">
        <v>3</v>
      </c>
      <c r="L1" s="161"/>
      <c r="M1" s="161" t="s">
        <v>4</v>
      </c>
      <c r="N1" s="161"/>
      <c r="O1" s="14" t="s">
        <v>12</v>
      </c>
    </row>
    <row r="2" spans="1:17" x14ac:dyDescent="0.25">
      <c r="A2" s="4">
        <v>41536</v>
      </c>
      <c r="B2" s="5">
        <f>+A2</f>
        <v>41536</v>
      </c>
      <c r="C2" s="87">
        <v>-0.3</v>
      </c>
      <c r="D2" s="6">
        <v>0.80069444444444438</v>
      </c>
      <c r="E2" s="55"/>
      <c r="F2" s="8" t="s">
        <v>11</v>
      </c>
      <c r="G2" s="56"/>
      <c r="H2" s="9">
        <f>+Harvest!H2/Effort!H2</f>
        <v>15.018518518518517</v>
      </c>
      <c r="I2" s="56"/>
      <c r="J2" s="8" t="s">
        <v>11</v>
      </c>
      <c r="K2" s="7"/>
      <c r="L2" s="8" t="s">
        <v>11</v>
      </c>
      <c r="M2" s="57"/>
      <c r="N2" s="8" t="s">
        <v>11</v>
      </c>
      <c r="O2" s="108">
        <f>+Harvest!O2/Effort!O2</f>
        <v>15.018518518518517</v>
      </c>
      <c r="Q2" s="16">
        <f>AVERAGE(O2:O19)</f>
        <v>14.077312781762526</v>
      </c>
    </row>
    <row r="3" spans="1:17" x14ac:dyDescent="0.25">
      <c r="A3" s="4">
        <v>41537</v>
      </c>
      <c r="B3" s="5">
        <f t="shared" ref="B3:B6" si="0">+A3</f>
        <v>41537</v>
      </c>
      <c r="C3" s="13">
        <v>-0.5</v>
      </c>
      <c r="D3" s="12">
        <v>0.83124999999999993</v>
      </c>
      <c r="E3" s="61"/>
      <c r="F3" s="8" t="s">
        <v>11</v>
      </c>
      <c r="G3" s="8"/>
      <c r="H3" s="9">
        <f>+Harvest!H3/Effort!H3</f>
        <v>12.671875</v>
      </c>
      <c r="I3" s="8"/>
      <c r="J3" s="8" t="s">
        <v>11</v>
      </c>
      <c r="K3" s="8"/>
      <c r="L3" s="8" t="s">
        <v>11</v>
      </c>
      <c r="M3" s="8"/>
      <c r="N3" s="8" t="s">
        <v>11</v>
      </c>
      <c r="O3" s="108">
        <f>+Harvest!O3/Effort!O3</f>
        <v>12.671875</v>
      </c>
    </row>
    <row r="4" spans="1:17" x14ac:dyDescent="0.25">
      <c r="A4" s="4">
        <v>41538</v>
      </c>
      <c r="B4" s="5">
        <f t="shared" si="0"/>
        <v>41538</v>
      </c>
      <c r="C4" s="13">
        <v>-0.5</v>
      </c>
      <c r="D4" s="12">
        <v>0.86041666666666661</v>
      </c>
      <c r="E4" s="2"/>
      <c r="F4" s="8" t="s">
        <v>11</v>
      </c>
      <c r="G4" s="8"/>
      <c r="H4" s="9">
        <f>+Harvest!H4/Effort!H4</f>
        <v>14.813559322033896</v>
      </c>
      <c r="I4" s="8"/>
      <c r="J4" s="8" t="s">
        <v>11</v>
      </c>
      <c r="K4" s="8"/>
      <c r="L4" s="8" t="s">
        <v>11</v>
      </c>
      <c r="M4" s="8"/>
      <c r="N4" s="8" t="s">
        <v>11</v>
      </c>
      <c r="O4" s="108">
        <f>+Harvest!O4/Effort!O4</f>
        <v>14.813559322033896</v>
      </c>
    </row>
    <row r="5" spans="1:17" x14ac:dyDescent="0.25">
      <c r="A5" s="4">
        <v>41539</v>
      </c>
      <c r="B5" s="5">
        <f t="shared" si="0"/>
        <v>41539</v>
      </c>
      <c r="C5" s="13">
        <v>-0.3</v>
      </c>
      <c r="D5" s="12">
        <v>0.88958333333333339</v>
      </c>
      <c r="E5" s="61"/>
      <c r="F5" s="8" t="s">
        <v>11</v>
      </c>
      <c r="G5" s="8"/>
      <c r="H5" s="9">
        <f>+Harvest!H5/Effort!H5</f>
        <v>13.547169811320755</v>
      </c>
      <c r="I5" s="8"/>
      <c r="J5" s="8" t="s">
        <v>11</v>
      </c>
      <c r="K5" s="8"/>
      <c r="L5" s="8" t="s">
        <v>11</v>
      </c>
      <c r="M5" s="8"/>
      <c r="N5" s="8" t="s">
        <v>11</v>
      </c>
      <c r="O5" s="108">
        <f>+Harvest!O5/Effort!O5</f>
        <v>13.547169811320755</v>
      </c>
    </row>
    <row r="6" spans="1:17" x14ac:dyDescent="0.25">
      <c r="A6" s="4">
        <v>41540</v>
      </c>
      <c r="B6" s="5">
        <f t="shared" si="0"/>
        <v>41540</v>
      </c>
      <c r="C6" s="13">
        <v>0</v>
      </c>
      <c r="D6" s="12">
        <v>0.9194444444444444</v>
      </c>
      <c r="E6" s="61"/>
      <c r="F6" s="8" t="s">
        <v>11</v>
      </c>
      <c r="G6" s="8"/>
      <c r="H6" s="9">
        <f>+Harvest!H6/Effort!H6</f>
        <v>12.000000000000002</v>
      </c>
      <c r="I6" s="8"/>
      <c r="J6" s="8" t="s">
        <v>11</v>
      </c>
      <c r="K6" s="8"/>
      <c r="L6" s="8" t="s">
        <v>11</v>
      </c>
      <c r="M6" s="8"/>
      <c r="N6" s="8" t="s">
        <v>11</v>
      </c>
      <c r="O6" s="108">
        <f>+Harvest!O6/Effort!O6</f>
        <v>12.000000000000002</v>
      </c>
    </row>
    <row r="7" spans="1:17" x14ac:dyDescent="0.25">
      <c r="A7" s="4"/>
      <c r="B7" s="5"/>
      <c r="C7" s="13"/>
      <c r="D7" s="12"/>
      <c r="E7" s="3"/>
      <c r="F7" s="8"/>
      <c r="G7" s="2"/>
      <c r="H7" s="9"/>
      <c r="I7" s="2"/>
      <c r="J7" s="8"/>
      <c r="K7" s="2"/>
      <c r="L7" s="8"/>
      <c r="M7" s="2"/>
      <c r="N7" s="8"/>
      <c r="O7" s="16"/>
    </row>
    <row r="8" spans="1:17" x14ac:dyDescent="0.25">
      <c r="A8" s="4">
        <v>41551</v>
      </c>
      <c r="B8" s="5">
        <f t="shared" ref="B8:B12" si="1">+A8</f>
        <v>41551</v>
      </c>
      <c r="C8" s="13">
        <v>0</v>
      </c>
      <c r="D8" s="12">
        <v>0.78888888888888886</v>
      </c>
      <c r="F8" s="9">
        <f>+Harvest!F8/Effort!F8</f>
        <v>15</v>
      </c>
      <c r="G8" s="95"/>
      <c r="H8" s="9">
        <f>+Harvest!H8/Effort!H8</f>
        <v>14.965899202830094</v>
      </c>
      <c r="I8" s="8"/>
      <c r="J8" s="9">
        <f>+Harvest!J8/Effort!J8</f>
        <v>14.799999999999999</v>
      </c>
      <c r="K8" s="8"/>
      <c r="L8" s="9">
        <f>+Harvest!L8/Effort!L8</f>
        <v>15.240506329113925</v>
      </c>
      <c r="N8" s="8" t="s">
        <v>11</v>
      </c>
      <c r="O8" s="108">
        <f>+Harvest!O8/Effort!O8</f>
        <v>14.973498162880508</v>
      </c>
    </row>
    <row r="9" spans="1:17" x14ac:dyDescent="0.25">
      <c r="A9" s="4">
        <v>41552</v>
      </c>
      <c r="B9" s="5">
        <f t="shared" si="1"/>
        <v>41552</v>
      </c>
      <c r="C9" s="13">
        <v>-0.4</v>
      </c>
      <c r="D9" s="12">
        <v>0.81666666666666676</v>
      </c>
      <c r="E9" s="2"/>
      <c r="F9" s="9">
        <f>+Harvest!F9/Effort!F9</f>
        <v>14.999999999999998</v>
      </c>
      <c r="G9" s="95"/>
      <c r="H9" s="9">
        <f>+Harvest!H9/Effort!H9</f>
        <v>14.999999999999998</v>
      </c>
      <c r="I9" s="8"/>
      <c r="J9" s="9">
        <f>+Harvest!J9/Effort!J9</f>
        <v>15</v>
      </c>
      <c r="K9" s="8"/>
      <c r="L9" s="9">
        <f>+Harvest!L9/Effort!L9</f>
        <v>15</v>
      </c>
      <c r="N9" s="8" t="s">
        <v>11</v>
      </c>
      <c r="O9" s="108">
        <f>+Harvest!O9/Effort!O9</f>
        <v>15.000000000000002</v>
      </c>
    </row>
    <row r="10" spans="1:17" x14ac:dyDescent="0.25">
      <c r="A10" s="4">
        <v>41553</v>
      </c>
      <c r="B10" s="5">
        <f t="shared" si="1"/>
        <v>41553</v>
      </c>
      <c r="C10" s="13">
        <v>-0.7</v>
      </c>
      <c r="D10" s="12">
        <v>0.84513888888888899</v>
      </c>
      <c r="F10" s="9">
        <f>+Harvest!F10/Effort!F10</f>
        <v>14.015873015873012</v>
      </c>
      <c r="G10" s="8"/>
      <c r="H10" s="9">
        <f>+Harvest!H10/Effort!H10</f>
        <v>13.224137931034484</v>
      </c>
      <c r="I10" s="8"/>
      <c r="J10" s="8" t="s">
        <v>11</v>
      </c>
      <c r="K10" s="8"/>
      <c r="L10" s="9">
        <f>+Harvest!L10/Effort!L10</f>
        <v>14.722222222222221</v>
      </c>
      <c r="N10" s="8" t="s">
        <v>11</v>
      </c>
      <c r="O10" s="108">
        <f>+Harvest!O10/Effort!O10</f>
        <v>13.938953900022129</v>
      </c>
    </row>
    <row r="11" spans="1:17" x14ac:dyDescent="0.25">
      <c r="A11" s="4">
        <v>41554</v>
      </c>
      <c r="B11" s="5">
        <f t="shared" si="1"/>
        <v>41554</v>
      </c>
      <c r="C11" s="13">
        <v>-0.8</v>
      </c>
      <c r="D11" s="12">
        <v>0.875</v>
      </c>
      <c r="F11" s="9">
        <f>+Harvest!F11/Effort!F11</f>
        <v>12.593749999999998</v>
      </c>
      <c r="G11" s="95"/>
      <c r="H11" s="9">
        <f>+Harvest!H11/Effort!H11</f>
        <v>14.666666666666664</v>
      </c>
      <c r="J11" s="8" t="s">
        <v>11</v>
      </c>
      <c r="L11" s="9">
        <f>+Harvest!L11/Effort!L11</f>
        <v>11.727272727272727</v>
      </c>
      <c r="N11" s="8" t="s">
        <v>11</v>
      </c>
      <c r="O11" s="108">
        <f>+Harvest!O11/Effort!O11</f>
        <v>13.290378958545265</v>
      </c>
    </row>
    <row r="12" spans="1:17" x14ac:dyDescent="0.25">
      <c r="A12" s="4">
        <v>41555</v>
      </c>
      <c r="B12" s="5">
        <f t="shared" si="1"/>
        <v>41555</v>
      </c>
      <c r="C12" s="13">
        <v>-0.7</v>
      </c>
      <c r="D12" s="12">
        <v>0.90833333333333333</v>
      </c>
      <c r="E12" s="85"/>
      <c r="F12" s="8" t="s">
        <v>11</v>
      </c>
      <c r="G12" s="2"/>
      <c r="H12" s="9">
        <f>+Harvest!H12/Effort!H12</f>
        <v>15.000000000000004</v>
      </c>
      <c r="J12" s="8" t="s">
        <v>11</v>
      </c>
      <c r="L12" s="8" t="s">
        <v>11</v>
      </c>
      <c r="N12" s="8" t="s">
        <v>11</v>
      </c>
      <c r="O12" s="108">
        <f>+Harvest!O12/Effort!O12</f>
        <v>15.000000000000004</v>
      </c>
    </row>
    <row r="13" spans="1:17" x14ac:dyDescent="0.25">
      <c r="A13" s="54"/>
      <c r="B13" s="5"/>
      <c r="C13" s="59"/>
      <c r="D13" s="12"/>
      <c r="F13" s="9"/>
      <c r="H13" s="9"/>
      <c r="J13" s="9"/>
      <c r="L13" s="9"/>
      <c r="N13" s="8"/>
      <c r="O13" s="16"/>
    </row>
    <row r="14" spans="1:17" x14ac:dyDescent="0.25">
      <c r="A14" s="4">
        <v>41564</v>
      </c>
      <c r="B14" s="5">
        <f t="shared" ref="B14:B19" si="2">+A14</f>
        <v>41564</v>
      </c>
      <c r="C14" s="13">
        <v>-0.2</v>
      </c>
      <c r="D14" s="109">
        <v>0.76041666666666663</v>
      </c>
      <c r="E14" s="95"/>
      <c r="F14" s="8" t="s">
        <v>11</v>
      </c>
      <c r="G14" s="62"/>
      <c r="H14" s="9">
        <f>+Harvest!H14/Effort!H14</f>
        <v>14.999999999999998</v>
      </c>
      <c r="I14" s="62"/>
      <c r="J14" s="8" t="s">
        <v>11</v>
      </c>
      <c r="K14" s="62"/>
      <c r="L14" s="8" t="s">
        <v>11</v>
      </c>
      <c r="M14" s="62"/>
      <c r="N14" s="8" t="s">
        <v>11</v>
      </c>
      <c r="O14" s="108">
        <f>+Harvest!O14/Effort!O14</f>
        <v>14.999999999999998</v>
      </c>
    </row>
    <row r="15" spans="1:17" x14ac:dyDescent="0.25">
      <c r="A15" s="4">
        <v>41565</v>
      </c>
      <c r="B15" s="5">
        <f t="shared" si="2"/>
        <v>41565</v>
      </c>
      <c r="C15" s="13">
        <v>-0.6</v>
      </c>
      <c r="D15" s="109">
        <v>0.7895833333333333</v>
      </c>
      <c r="F15" s="9">
        <f>+Harvest!F15/Effort!F15</f>
        <v>15.000000000000004</v>
      </c>
      <c r="G15" s="62"/>
      <c r="H15" s="9">
        <f>+Harvest!H15/Effort!H15</f>
        <v>15</v>
      </c>
      <c r="I15" s="62"/>
      <c r="J15" s="9">
        <f>+Harvest!J15/Effort!J15</f>
        <v>14.428571428571427</v>
      </c>
      <c r="K15" s="62"/>
      <c r="L15" s="9">
        <f>+Harvest!L15/Effort!L15</f>
        <v>15.120481927710841</v>
      </c>
      <c r="M15" s="62"/>
      <c r="N15" s="8" t="s">
        <v>11</v>
      </c>
      <c r="O15" s="108">
        <f>+Harvest!O15/Effort!O15</f>
        <v>14.796290317144644</v>
      </c>
    </row>
    <row r="16" spans="1:17" x14ac:dyDescent="0.25">
      <c r="A16" s="4">
        <v>41566</v>
      </c>
      <c r="B16" s="5">
        <f t="shared" si="2"/>
        <v>41566</v>
      </c>
      <c r="C16" s="13">
        <v>-0.7</v>
      </c>
      <c r="D16" s="109">
        <v>0.81805555555555554</v>
      </c>
      <c r="F16" s="9">
        <f>+Harvest!F16/Effort!F16</f>
        <v>14.760683760683763</v>
      </c>
      <c r="G16" s="62"/>
      <c r="H16" s="9">
        <f>+Harvest!H16/Effort!H16</f>
        <v>15</v>
      </c>
      <c r="I16" s="62"/>
      <c r="J16" s="9">
        <f>+Harvest!J16/Effort!J16</f>
        <v>15</v>
      </c>
      <c r="K16" s="62"/>
      <c r="L16" s="9">
        <f>+Harvest!L16/Effort!L16</f>
        <v>14.936936936936934</v>
      </c>
      <c r="M16" s="62"/>
      <c r="N16" s="8" t="s">
        <v>11</v>
      </c>
      <c r="O16" s="108">
        <f>+Harvest!O16/Effort!O16</f>
        <v>14.929753724661378</v>
      </c>
    </row>
    <row r="17" spans="1:15" x14ac:dyDescent="0.25">
      <c r="A17" s="4">
        <v>41567</v>
      </c>
      <c r="B17" s="5">
        <f t="shared" si="2"/>
        <v>41567</v>
      </c>
      <c r="C17" s="13">
        <v>-0.7</v>
      </c>
      <c r="D17" s="109">
        <v>0.84444444444444444</v>
      </c>
      <c r="E17" s="95"/>
      <c r="F17" s="9">
        <f>+Harvest!F17/Effort!F17</f>
        <v>15</v>
      </c>
      <c r="G17" s="95"/>
      <c r="H17" s="9">
        <f>+Harvest!H17/Effort!H17</f>
        <v>14.79245283018868</v>
      </c>
      <c r="I17" s="62"/>
      <c r="J17" s="8" t="s">
        <v>11</v>
      </c>
      <c r="K17" s="95"/>
      <c r="L17" s="9">
        <f>+Harvest!L17/Effort!L17</f>
        <v>15</v>
      </c>
      <c r="M17" s="62"/>
      <c r="N17" s="8" t="s">
        <v>11</v>
      </c>
      <c r="O17" s="108">
        <f>+Harvest!O17/Effort!O17</f>
        <v>14.938580891934459</v>
      </c>
    </row>
    <row r="18" spans="1:15" x14ac:dyDescent="0.25">
      <c r="A18" s="4">
        <v>41568</v>
      </c>
      <c r="B18" s="5">
        <f t="shared" si="2"/>
        <v>41568</v>
      </c>
      <c r="C18" s="13">
        <v>-0.4</v>
      </c>
      <c r="D18" s="109">
        <v>0.87152777777777779</v>
      </c>
      <c r="F18" s="8" t="s">
        <v>11</v>
      </c>
      <c r="G18" s="95"/>
      <c r="H18" s="9">
        <f>+Harvest!H18/Effort!H18</f>
        <v>12.956521739130434</v>
      </c>
      <c r="I18" s="62"/>
      <c r="J18" s="8" t="s">
        <v>11</v>
      </c>
      <c r="K18" s="62"/>
      <c r="L18" s="9">
        <f>+Harvest!L18/Effort!L18</f>
        <v>15.000000000000002</v>
      </c>
      <c r="M18" s="62"/>
      <c r="N18" s="8" t="s">
        <v>11</v>
      </c>
      <c r="O18" s="108">
        <f>+Harvest!O18/Effort!O18</f>
        <v>13.540648123361121</v>
      </c>
    </row>
    <row r="19" spans="1:15" x14ac:dyDescent="0.25">
      <c r="A19" s="4">
        <v>41569</v>
      </c>
      <c r="B19" s="5">
        <f t="shared" si="2"/>
        <v>41569</v>
      </c>
      <c r="C19" s="13">
        <v>-0.1</v>
      </c>
      <c r="D19" s="109">
        <v>0.89861111111111114</v>
      </c>
      <c r="F19" s="8" t="s">
        <v>11</v>
      </c>
      <c r="H19" s="9">
        <f>+Harvest!H19/Effort!H19</f>
        <v>11.777777777777779</v>
      </c>
      <c r="I19" s="64"/>
      <c r="J19" s="8" t="s">
        <v>11</v>
      </c>
      <c r="K19" s="64"/>
      <c r="L19" s="8" t="s">
        <v>11</v>
      </c>
      <c r="N19" s="8" t="s">
        <v>11</v>
      </c>
      <c r="O19" s="108">
        <f>+Harvest!O19/Effort!O19</f>
        <v>11.777777777777779</v>
      </c>
    </row>
    <row r="20" spans="1:15" x14ac:dyDescent="0.25">
      <c r="A20" s="54"/>
      <c r="B20" s="5"/>
      <c r="C20" s="63"/>
      <c r="D20" s="60"/>
      <c r="F20" s="8"/>
      <c r="G20" s="95"/>
      <c r="H20" s="9"/>
      <c r="I20" s="62"/>
      <c r="J20" s="8"/>
      <c r="K20" s="62"/>
      <c r="L20" s="8"/>
      <c r="M20" s="62"/>
      <c r="N20" s="8"/>
      <c r="O20" s="16"/>
    </row>
    <row r="21" spans="1:15" x14ac:dyDescent="0.25">
      <c r="A21" s="4">
        <v>41579</v>
      </c>
      <c r="B21" s="5">
        <f t="shared" ref="B21:B28" si="3">+A21</f>
        <v>41579</v>
      </c>
      <c r="C21" s="13">
        <v>0.1</v>
      </c>
      <c r="D21" s="109">
        <v>0.74444444444444446</v>
      </c>
      <c r="F21" s="8" t="s">
        <v>11</v>
      </c>
      <c r="G21" s="88"/>
      <c r="H21" s="9">
        <f>+Harvest!H21/Effort!H21</f>
        <v>14.999999999999998</v>
      </c>
      <c r="I21" s="62"/>
      <c r="J21" s="8" t="s">
        <v>11</v>
      </c>
      <c r="K21" s="62"/>
      <c r="L21" s="9">
        <f>+Harvest!L21/Effort!L21</f>
        <v>15.000000000000002</v>
      </c>
      <c r="M21" s="62"/>
      <c r="N21" s="8" t="s">
        <v>11</v>
      </c>
      <c r="O21" s="108">
        <f>+Harvest!O21/Effort!O21</f>
        <v>15</v>
      </c>
    </row>
    <row r="22" spans="1:15" x14ac:dyDescent="0.25">
      <c r="A22" s="4">
        <v>41580</v>
      </c>
      <c r="B22" s="5">
        <f t="shared" si="3"/>
        <v>41580</v>
      </c>
      <c r="C22" s="13">
        <v>-0.6</v>
      </c>
      <c r="D22" s="109">
        <v>0.77361111111111114</v>
      </c>
      <c r="F22" s="9">
        <f>+Harvest!F22/Effort!F22</f>
        <v>12.34736842105263</v>
      </c>
      <c r="G22" s="62"/>
      <c r="H22" s="9">
        <f>+Harvest!H22/Effort!H22</f>
        <v>8.3827160493827151</v>
      </c>
      <c r="I22" s="62"/>
      <c r="J22" s="9">
        <f>+Harvest!J22/Effort!J22</f>
        <v>8.2790697674418627</v>
      </c>
      <c r="K22" s="62"/>
      <c r="L22" s="9">
        <f>+Harvest!L22/Effort!L22</f>
        <v>14.479166666666666</v>
      </c>
      <c r="M22" s="62"/>
      <c r="N22" s="8" t="s">
        <v>11</v>
      </c>
      <c r="O22" s="108">
        <f>+Harvest!O22/Effort!O22</f>
        <v>10.87680641141151</v>
      </c>
    </row>
    <row r="23" spans="1:15" x14ac:dyDescent="0.25">
      <c r="A23" s="4">
        <v>41581</v>
      </c>
      <c r="B23" s="5">
        <f t="shared" si="3"/>
        <v>41581</v>
      </c>
      <c r="C23" s="13">
        <v>-1.1000000000000001</v>
      </c>
      <c r="D23" s="109">
        <v>0.76111111111111107</v>
      </c>
      <c r="F23" s="9">
        <f>+Harvest!F23/Effort!F23</f>
        <v>15.129629629629632</v>
      </c>
      <c r="G23" s="62"/>
      <c r="H23" s="9">
        <f>+Harvest!H23/Effort!H23</f>
        <v>14.44</v>
      </c>
      <c r="I23" s="62"/>
      <c r="J23" s="8" t="s">
        <v>11</v>
      </c>
      <c r="K23" s="62"/>
      <c r="L23" s="9">
        <f>+Harvest!L23/Effort!L23</f>
        <v>15</v>
      </c>
      <c r="M23" s="62"/>
      <c r="N23" s="8" t="s">
        <v>11</v>
      </c>
      <c r="O23" s="108">
        <f>+Harvest!O23/Effort!O23</f>
        <v>14.942959286600047</v>
      </c>
    </row>
    <row r="24" spans="1:15" x14ac:dyDescent="0.25">
      <c r="A24" s="4">
        <v>41582</v>
      </c>
      <c r="B24" s="5">
        <f t="shared" si="3"/>
        <v>41582</v>
      </c>
      <c r="C24" s="13">
        <v>-1.3</v>
      </c>
      <c r="D24" s="109">
        <v>0.7909722222222223</v>
      </c>
      <c r="E24" s="59"/>
      <c r="F24" s="9">
        <f>+Harvest!F24/Effort!F24</f>
        <v>10.434782608695652</v>
      </c>
      <c r="G24" s="62"/>
      <c r="H24" s="9">
        <f>+Harvest!H24/Effort!H24</f>
        <v>8.75</v>
      </c>
      <c r="I24" s="62"/>
      <c r="J24" s="8" t="s">
        <v>11</v>
      </c>
      <c r="K24" s="62"/>
      <c r="L24" s="9">
        <f>+Harvest!L24/Effort!L24</f>
        <v>12.957446808510637</v>
      </c>
      <c r="M24" s="62"/>
      <c r="N24" s="8" t="s">
        <v>11</v>
      </c>
      <c r="O24" s="108">
        <f>+Harvest!O24/Effort!O24</f>
        <v>10.382765242805363</v>
      </c>
    </row>
    <row r="25" spans="1:15" x14ac:dyDescent="0.25">
      <c r="A25" s="4">
        <v>41583</v>
      </c>
      <c r="B25" s="5">
        <f t="shared" si="3"/>
        <v>41583</v>
      </c>
      <c r="C25" s="13">
        <v>-1.4</v>
      </c>
      <c r="D25" s="109">
        <v>0.82916666666666661</v>
      </c>
      <c r="E25" s="59"/>
      <c r="F25" s="9">
        <f>+Harvest!F25/Effort!F25</f>
        <v>14.333333333333334</v>
      </c>
      <c r="G25" s="95"/>
      <c r="H25" s="9">
        <f>+Harvest!H25/Effort!H25</f>
        <v>15</v>
      </c>
      <c r="I25" s="62"/>
      <c r="J25" s="8" t="s">
        <v>11</v>
      </c>
      <c r="K25" s="62"/>
      <c r="L25" s="8" t="s">
        <v>11</v>
      </c>
      <c r="M25" s="62"/>
      <c r="N25" s="8" t="s">
        <v>11</v>
      </c>
      <c r="O25" s="108">
        <f>+Harvest!O25/Effort!O25</f>
        <v>14.740085727575726</v>
      </c>
    </row>
    <row r="26" spans="1:15" x14ac:dyDescent="0.25">
      <c r="A26" s="4">
        <v>41584</v>
      </c>
      <c r="B26" s="5">
        <f t="shared" si="3"/>
        <v>41584</v>
      </c>
      <c r="C26" s="13">
        <v>-1.2</v>
      </c>
      <c r="D26" s="109">
        <v>0.85555555555555562</v>
      </c>
      <c r="E26" s="59"/>
      <c r="F26" s="8" t="s">
        <v>11</v>
      </c>
      <c r="H26" s="9">
        <f>+Harvest!H26/Effort!H26</f>
        <v>13.227272727272727</v>
      </c>
      <c r="I26" s="64"/>
      <c r="J26" s="8" t="s">
        <v>11</v>
      </c>
      <c r="K26" s="64"/>
      <c r="L26" s="8" t="s">
        <v>11</v>
      </c>
      <c r="M26" s="62"/>
      <c r="N26" s="8" t="s">
        <v>11</v>
      </c>
      <c r="O26" s="108">
        <f>+Harvest!O26/Effort!O26</f>
        <v>13.227272727272727</v>
      </c>
    </row>
    <row r="27" spans="1:15" x14ac:dyDescent="0.25">
      <c r="A27" s="4">
        <v>41585</v>
      </c>
      <c r="B27" s="5">
        <f t="shared" si="3"/>
        <v>41585</v>
      </c>
      <c r="C27" s="13">
        <v>-0.8</v>
      </c>
      <c r="D27" s="109">
        <v>0.89166666666666661</v>
      </c>
      <c r="F27" s="8" t="s">
        <v>11</v>
      </c>
      <c r="H27" s="9">
        <f>+Harvest!H27/Effort!H27</f>
        <v>13.227272727272727</v>
      </c>
      <c r="J27" s="8" t="s">
        <v>11</v>
      </c>
      <c r="K27" s="64"/>
      <c r="L27" s="8" t="s">
        <v>11</v>
      </c>
      <c r="M27" s="62"/>
      <c r="N27" s="8" t="s">
        <v>11</v>
      </c>
      <c r="O27" s="108">
        <f>+Harvest!O27/Effort!O27</f>
        <v>13.227272727272727</v>
      </c>
    </row>
    <row r="28" spans="1:15" x14ac:dyDescent="0.25">
      <c r="A28" s="4">
        <v>41586</v>
      </c>
      <c r="B28" s="5">
        <f t="shared" si="3"/>
        <v>41586</v>
      </c>
      <c r="C28" s="13">
        <v>-0.3</v>
      </c>
      <c r="D28" s="109">
        <v>0.92986111111111114</v>
      </c>
      <c r="F28" s="8" t="s">
        <v>11</v>
      </c>
      <c r="G28" s="2"/>
      <c r="H28" s="9">
        <f>+Harvest!H28/Effort!H28</f>
        <v>14.437500000000002</v>
      </c>
      <c r="J28" s="8" t="s">
        <v>11</v>
      </c>
      <c r="K28" s="64"/>
      <c r="L28" s="8" t="s">
        <v>11</v>
      </c>
      <c r="M28" s="62"/>
      <c r="N28" s="8" t="s">
        <v>11</v>
      </c>
      <c r="O28" s="108">
        <f>+Harvest!O28/Effort!O28</f>
        <v>14.437500000000002</v>
      </c>
    </row>
    <row r="29" spans="1:15" x14ac:dyDescent="0.25">
      <c r="A29" s="54"/>
      <c r="B29" s="5"/>
      <c r="C29" s="59"/>
      <c r="D29" s="12"/>
      <c r="F29" s="9"/>
      <c r="G29" s="88"/>
      <c r="H29" s="9"/>
      <c r="J29" s="8"/>
      <c r="K29" s="62"/>
      <c r="L29" s="9"/>
      <c r="M29" s="62"/>
      <c r="N29" s="9"/>
      <c r="O29" s="16"/>
    </row>
    <row r="30" spans="1:15" x14ac:dyDescent="0.25">
      <c r="A30" s="54">
        <v>41593</v>
      </c>
      <c r="B30" s="5">
        <v>41593</v>
      </c>
      <c r="C30" s="59">
        <v>-0.3</v>
      </c>
      <c r="D30" s="60">
        <v>0.7090277777777777</v>
      </c>
      <c r="F30" s="9">
        <f>+Harvest!F30/Effort!F30</f>
        <v>9</v>
      </c>
      <c r="G30" s="88"/>
      <c r="H30" s="9">
        <f>+Harvest!H30/Effort!H30</f>
        <v>14.809523809523812</v>
      </c>
      <c r="J30" s="9">
        <f>+Harvest!J30/Effort!J30</f>
        <v>13.924528301886792</v>
      </c>
      <c r="K30" s="62"/>
      <c r="L30" s="9">
        <f>+Harvest!L30/Effort!L30</f>
        <v>14.73170731707317</v>
      </c>
      <c r="M30" s="62"/>
      <c r="N30" s="9" t="s">
        <v>11</v>
      </c>
      <c r="O30" s="108">
        <f>+Harvest!O30/Effort!O30</f>
        <v>11.827512506898508</v>
      </c>
    </row>
    <row r="31" spans="1:15" x14ac:dyDescent="0.25">
      <c r="A31" s="54">
        <v>41594</v>
      </c>
      <c r="B31" s="5">
        <v>41594</v>
      </c>
      <c r="C31" s="63">
        <v>-0.6</v>
      </c>
      <c r="D31" s="60">
        <v>0.73749999999999993</v>
      </c>
      <c r="F31" s="9">
        <f>+Harvest!F31/Effort!F31</f>
        <v>11.508196721311476</v>
      </c>
      <c r="H31" s="9">
        <f>+Harvest!H31/Effort!H31</f>
        <v>14.886363636363637</v>
      </c>
      <c r="J31" s="9">
        <f>+Harvest!J31/Effort!J31</f>
        <v>11.137254901960784</v>
      </c>
      <c r="K31" s="62"/>
      <c r="L31" s="9">
        <f>+Harvest!L31/Effort!L31</f>
        <v>14.6</v>
      </c>
      <c r="M31" s="62"/>
      <c r="N31" s="8" t="s">
        <v>11</v>
      </c>
      <c r="O31" s="108">
        <f>+Harvest!O31/Effort!O31</f>
        <v>12.521199609067603</v>
      </c>
    </row>
    <row r="32" spans="1:15" x14ac:dyDescent="0.25">
      <c r="A32" s="54">
        <v>41595</v>
      </c>
      <c r="B32" s="5">
        <v>41595</v>
      </c>
      <c r="C32" s="63">
        <v>-0.7</v>
      </c>
      <c r="D32" s="60">
        <v>0.76388888888888884</v>
      </c>
      <c r="E32" s="2"/>
      <c r="F32" s="9">
        <f>+Harvest!F32/Effort!F32</f>
        <v>15</v>
      </c>
      <c r="G32" s="2" t="s">
        <v>49</v>
      </c>
      <c r="H32" s="9">
        <f>+Harvest!H32/Effort!H32</f>
        <v>14.283077298978442</v>
      </c>
      <c r="I32" s="2"/>
      <c r="J32" s="8" t="s">
        <v>11</v>
      </c>
      <c r="K32" s="2"/>
      <c r="L32" s="9">
        <f>+Harvest!L32/Effort!L32</f>
        <v>14.047619047619049</v>
      </c>
      <c r="M32" s="62"/>
      <c r="N32" s="8" t="s">
        <v>11</v>
      </c>
      <c r="O32" s="108">
        <f>+Harvest!O32/Effort!O32</f>
        <v>14.399838622693119</v>
      </c>
    </row>
    <row r="33" spans="1:15" x14ac:dyDescent="0.25">
      <c r="A33" s="54">
        <v>41596</v>
      </c>
      <c r="B33" s="5">
        <v>41596</v>
      </c>
      <c r="C33" s="59">
        <v>-0.6</v>
      </c>
      <c r="D33" s="60">
        <v>0.7895833333333333</v>
      </c>
      <c r="E33" s="59"/>
      <c r="F33" s="9" t="s">
        <v>11</v>
      </c>
      <c r="G33" s="2"/>
      <c r="H33" s="9">
        <f>+Harvest!H33/Effort!H33</f>
        <v>0.76923076923076916</v>
      </c>
      <c r="I33" s="64"/>
      <c r="J33" s="8" t="s">
        <v>11</v>
      </c>
      <c r="K33" s="62"/>
      <c r="L33" s="8" t="s">
        <v>11</v>
      </c>
      <c r="M33" s="64"/>
      <c r="N33" s="8" t="s">
        <v>11</v>
      </c>
      <c r="O33" s="108">
        <f>+Harvest!O33/Effort!O33</f>
        <v>0.76923076923076916</v>
      </c>
    </row>
    <row r="34" spans="1:15" x14ac:dyDescent="0.25">
      <c r="A34" s="54">
        <v>41597</v>
      </c>
      <c r="B34" s="5">
        <v>41597</v>
      </c>
      <c r="C34" s="59">
        <v>-0.4</v>
      </c>
      <c r="D34" s="60">
        <v>0.81458333333333333</v>
      </c>
      <c r="E34" s="59"/>
      <c r="F34" s="8" t="s">
        <v>11</v>
      </c>
      <c r="G34" s="88"/>
      <c r="H34" s="9">
        <f>+Harvest!H34/Effort!H34</f>
        <v>15</v>
      </c>
      <c r="I34" s="64"/>
      <c r="J34" s="8" t="s">
        <v>11</v>
      </c>
      <c r="K34" s="64"/>
      <c r="L34" s="8" t="s">
        <v>11</v>
      </c>
      <c r="M34" s="62"/>
      <c r="N34" s="8" t="s">
        <v>11</v>
      </c>
      <c r="O34" s="108">
        <f>+Harvest!O34/Effort!O34</f>
        <v>15</v>
      </c>
    </row>
    <row r="35" spans="1:15" x14ac:dyDescent="0.25">
      <c r="A35" s="54">
        <v>41598</v>
      </c>
      <c r="B35" s="5">
        <v>41598</v>
      </c>
      <c r="C35" s="59">
        <v>-0.2</v>
      </c>
      <c r="D35" s="60">
        <v>0.83958333333333324</v>
      </c>
      <c r="F35" s="9" t="s">
        <v>11</v>
      </c>
      <c r="H35" s="9">
        <f>+Harvest!H35/Effort!H35</f>
        <v>14.999999999999998</v>
      </c>
      <c r="J35" s="8" t="s">
        <v>11</v>
      </c>
      <c r="K35" s="64"/>
      <c r="L35" s="9" t="s">
        <v>11</v>
      </c>
      <c r="M35" s="64"/>
      <c r="N35" s="8" t="s">
        <v>11</v>
      </c>
      <c r="O35" s="108">
        <f>+Harvest!O35/Effort!O35</f>
        <v>14.999999999999998</v>
      </c>
    </row>
    <row r="36" spans="1:15" x14ac:dyDescent="0.25">
      <c r="A36" s="54"/>
      <c r="B36" s="5"/>
      <c r="C36" s="59"/>
      <c r="D36" s="60"/>
      <c r="F36" s="9"/>
      <c r="G36" s="95"/>
      <c r="H36" s="9"/>
      <c r="J36" s="9"/>
      <c r="K36" s="62"/>
      <c r="L36" s="9"/>
      <c r="M36" s="64"/>
      <c r="N36" s="8"/>
      <c r="O36" s="16"/>
    </row>
    <row r="37" spans="1:15" x14ac:dyDescent="0.25">
      <c r="A37" s="4">
        <v>41608</v>
      </c>
      <c r="B37" s="5">
        <f t="shared" ref="B37:B44" si="4">+A37</f>
        <v>41608</v>
      </c>
      <c r="C37" s="13">
        <v>-0.1</v>
      </c>
      <c r="D37" s="109">
        <v>0.68611111111111101</v>
      </c>
      <c r="E37" s="95"/>
      <c r="F37" s="9">
        <f>+Harvest!F37/Effort!F37</f>
        <v>15.000000000000002</v>
      </c>
      <c r="G37" s="95"/>
      <c r="H37" s="9">
        <f>+Harvest!H37/Effort!H37</f>
        <v>15.42624379253064</v>
      </c>
      <c r="J37" s="9">
        <f>+Harvest!J37/Effort!J37</f>
        <v>15</v>
      </c>
      <c r="K37" s="62"/>
      <c r="L37" s="9">
        <f>+Harvest!L37/Effort!L37</f>
        <v>15</v>
      </c>
      <c r="M37" s="64"/>
      <c r="N37" s="8" t="s">
        <v>11</v>
      </c>
      <c r="O37" s="108">
        <f>+Harvest!O37/Effort!O37</f>
        <v>15.066773199687415</v>
      </c>
    </row>
    <row r="38" spans="1:15" x14ac:dyDescent="0.25">
      <c r="A38" s="4">
        <v>41609</v>
      </c>
      <c r="B38" s="5">
        <f t="shared" si="4"/>
        <v>41609</v>
      </c>
      <c r="C38" s="13">
        <v>-0.9</v>
      </c>
      <c r="D38" s="109">
        <v>0.71736111111111101</v>
      </c>
      <c r="F38" s="9">
        <f>+Harvest!F38/Effort!F38</f>
        <v>7.6548672566371678</v>
      </c>
      <c r="H38" s="9">
        <f>+Harvest!H38/Effort!H38</f>
        <v>12.8</v>
      </c>
      <c r="J38" s="8" t="s">
        <v>11</v>
      </c>
      <c r="L38" s="9">
        <f>+Harvest!L38/Effort!L38</f>
        <v>14.999999999999998</v>
      </c>
      <c r="N38" s="8" t="s">
        <v>11</v>
      </c>
      <c r="O38" s="108">
        <f>+Harvest!O38/Effort!O38</f>
        <v>10.240867296458152</v>
      </c>
    </row>
    <row r="39" spans="1:15" x14ac:dyDescent="0.25">
      <c r="A39" s="4">
        <v>41610</v>
      </c>
      <c r="B39" s="5">
        <f t="shared" si="4"/>
        <v>41610</v>
      </c>
      <c r="C39" s="13">
        <v>-1.4</v>
      </c>
      <c r="D39" s="109">
        <v>0.74930555555555556</v>
      </c>
      <c r="F39" s="9">
        <f>+Harvest!F39/Effort!F39</f>
        <v>14.500000000000002</v>
      </c>
      <c r="G39" s="64"/>
      <c r="H39" s="9">
        <f>+Harvest!H39/Effort!H39</f>
        <v>15.025641025641024</v>
      </c>
      <c r="I39" s="64"/>
      <c r="J39" s="8" t="s">
        <v>11</v>
      </c>
      <c r="K39" s="64"/>
      <c r="L39" s="9">
        <f>+Harvest!L39/Effort!L39</f>
        <v>15</v>
      </c>
      <c r="M39" s="64"/>
      <c r="N39" s="8" t="s">
        <v>11</v>
      </c>
      <c r="O39" s="108">
        <f>+Harvest!O39/Effort!O39</f>
        <v>14.759192360989122</v>
      </c>
    </row>
    <row r="40" spans="1:15" x14ac:dyDescent="0.25">
      <c r="A40" s="4">
        <v>41611</v>
      </c>
      <c r="B40" s="5">
        <f t="shared" si="4"/>
        <v>41611</v>
      </c>
      <c r="C40" s="13">
        <v>-1.7</v>
      </c>
      <c r="D40" s="109">
        <v>0.78055555555555556</v>
      </c>
      <c r="F40" s="9">
        <f>+Harvest!F40/Effort!F40</f>
        <v>15</v>
      </c>
      <c r="G40" s="64"/>
      <c r="H40" s="9">
        <f>+Harvest!H40/Effort!H40</f>
        <v>15</v>
      </c>
      <c r="I40" s="64"/>
      <c r="J40" s="8" t="s">
        <v>11</v>
      </c>
      <c r="K40" s="64"/>
      <c r="L40" s="9">
        <f>+Harvest!L40/Effort!L40</f>
        <v>14.235294117647058</v>
      </c>
      <c r="M40" s="64"/>
      <c r="N40" s="8" t="s">
        <v>11</v>
      </c>
      <c r="O40" s="108">
        <f>+Harvest!O40/Effort!O40</f>
        <v>14.837745415431826</v>
      </c>
    </row>
    <row r="41" spans="1:15" x14ac:dyDescent="0.25">
      <c r="A41" s="4">
        <v>41612</v>
      </c>
      <c r="B41" s="5">
        <f t="shared" si="4"/>
        <v>41612</v>
      </c>
      <c r="C41" s="13">
        <v>-1.7</v>
      </c>
      <c r="D41" s="109">
        <v>0.8125</v>
      </c>
      <c r="F41" s="9">
        <f>+Harvest!F41/Effort!F41</f>
        <v>11.622047244094487</v>
      </c>
      <c r="G41" s="64"/>
      <c r="H41" s="9">
        <f>+Harvest!H41/Effort!H41</f>
        <v>14.999999999999998</v>
      </c>
      <c r="I41" s="64"/>
      <c r="J41" s="8" t="s">
        <v>11</v>
      </c>
      <c r="K41" s="64"/>
      <c r="L41" s="8" t="s">
        <v>11</v>
      </c>
      <c r="M41" s="64"/>
      <c r="N41" s="8" t="s">
        <v>11</v>
      </c>
      <c r="O41" s="108">
        <f>+Harvest!O41/Effort!O41</f>
        <v>13.353781748438474</v>
      </c>
    </row>
    <row r="42" spans="1:15" x14ac:dyDescent="0.25">
      <c r="A42" s="4">
        <v>41613</v>
      </c>
      <c r="B42" s="5">
        <f t="shared" si="4"/>
        <v>41613</v>
      </c>
      <c r="C42" s="13">
        <v>-1.4</v>
      </c>
      <c r="D42" s="109">
        <v>0.84513888888888899</v>
      </c>
      <c r="F42" s="8" t="s">
        <v>11</v>
      </c>
      <c r="G42" s="95"/>
      <c r="H42" s="9">
        <f>+Harvest!H42/Effort!H42</f>
        <v>14.105263157894735</v>
      </c>
      <c r="I42" s="64"/>
      <c r="J42" s="8" t="s">
        <v>11</v>
      </c>
      <c r="K42" s="64"/>
      <c r="L42" s="8" t="s">
        <v>11</v>
      </c>
      <c r="M42" s="64"/>
      <c r="N42" s="8" t="s">
        <v>11</v>
      </c>
      <c r="O42" s="108">
        <f>+Harvest!O42/Effort!O42</f>
        <v>14.105263157894735</v>
      </c>
    </row>
    <row r="43" spans="1:15" x14ac:dyDescent="0.25">
      <c r="A43" s="4">
        <v>41614</v>
      </c>
      <c r="B43" s="5">
        <f t="shared" si="4"/>
        <v>41614</v>
      </c>
      <c r="C43" s="13">
        <v>-1</v>
      </c>
      <c r="D43" s="109">
        <v>0.87847222222222221</v>
      </c>
      <c r="F43" s="8" t="s">
        <v>11</v>
      </c>
      <c r="G43" s="95"/>
      <c r="H43" s="9">
        <f>+Harvest!H43/Effort!H43</f>
        <v>15</v>
      </c>
      <c r="I43" s="64"/>
      <c r="J43" s="8" t="s">
        <v>11</v>
      </c>
      <c r="K43" s="64"/>
      <c r="L43" s="8" t="s">
        <v>11</v>
      </c>
      <c r="M43" s="64"/>
      <c r="N43" s="8" t="s">
        <v>11</v>
      </c>
      <c r="O43" s="108">
        <f>+Harvest!O43/Effort!O43</f>
        <v>15</v>
      </c>
    </row>
    <row r="44" spans="1:15" x14ac:dyDescent="0.25">
      <c r="A44" s="4">
        <v>41615</v>
      </c>
      <c r="B44" s="5">
        <f t="shared" si="4"/>
        <v>41615</v>
      </c>
      <c r="C44" s="13">
        <v>-0.3</v>
      </c>
      <c r="D44" s="109">
        <v>0.91388888888888886</v>
      </c>
      <c r="F44" s="8" t="s">
        <v>11</v>
      </c>
      <c r="G44" s="64"/>
      <c r="H44" s="9">
        <f>+Harvest!H44/Effort!H44</f>
        <v>14.999999999999998</v>
      </c>
      <c r="I44" s="64"/>
      <c r="J44" s="8" t="s">
        <v>11</v>
      </c>
      <c r="K44" s="64"/>
      <c r="L44" s="8" t="s">
        <v>11</v>
      </c>
      <c r="M44" s="64"/>
      <c r="N44" s="8" t="s">
        <v>11</v>
      </c>
      <c r="O44" s="108">
        <f>+Harvest!O44/Effort!O44</f>
        <v>14.999999999999998</v>
      </c>
    </row>
    <row r="45" spans="1:15" x14ac:dyDescent="0.25">
      <c r="A45" s="54"/>
      <c r="B45" s="5"/>
      <c r="C45" s="59"/>
      <c r="D45" s="60"/>
      <c r="F45" s="8"/>
      <c r="G45" s="64"/>
      <c r="H45" s="9"/>
      <c r="I45" s="64"/>
      <c r="J45" s="8"/>
      <c r="K45" s="64"/>
      <c r="L45" s="8"/>
      <c r="M45" s="64"/>
      <c r="N45" s="8"/>
      <c r="O45" s="16"/>
    </row>
    <row r="46" spans="1:15" x14ac:dyDescent="0.25">
      <c r="A46" s="4">
        <v>41622</v>
      </c>
      <c r="B46" s="5">
        <f t="shared" ref="B46:B59" si="5">+A46</f>
        <v>41622</v>
      </c>
      <c r="C46" s="13">
        <v>-0.1</v>
      </c>
      <c r="D46" s="109">
        <v>0.69791666666666663</v>
      </c>
      <c r="F46" s="9">
        <f>+Harvest!F46/Effort!F46</f>
        <v>15</v>
      </c>
      <c r="H46" s="9">
        <f>+Harvest!H46/Effort!H46</f>
        <v>15</v>
      </c>
      <c r="J46" s="9">
        <f>+Harvest!J46/Effort!J46</f>
        <v>14.999999999999996</v>
      </c>
      <c r="L46" s="9">
        <f>+Harvest!L46/Effort!L46</f>
        <v>14.999999999999998</v>
      </c>
      <c r="M46" s="64"/>
      <c r="N46" s="1" t="s">
        <v>11</v>
      </c>
      <c r="O46" s="108">
        <f>+Harvest!O46/Effort!O46</f>
        <v>15</v>
      </c>
    </row>
    <row r="47" spans="1:15" x14ac:dyDescent="0.25">
      <c r="A47" s="4">
        <v>41623</v>
      </c>
      <c r="B47" s="5">
        <f t="shared" si="5"/>
        <v>41623</v>
      </c>
      <c r="C47" s="13">
        <v>-0.3</v>
      </c>
      <c r="D47" s="109">
        <v>0.72638888888888886</v>
      </c>
      <c r="F47" s="9">
        <f>+Harvest!F47/Effort!F47</f>
        <v>12.824999999999999</v>
      </c>
      <c r="H47" s="9">
        <f>+Harvest!H47/Effort!H47</f>
        <v>13.125</v>
      </c>
      <c r="J47" s="1" t="s">
        <v>11</v>
      </c>
      <c r="L47" s="9">
        <f>+Harvest!L47/Effort!L47</f>
        <v>14.95121951219512</v>
      </c>
      <c r="M47" s="64"/>
      <c r="N47" s="1" t="s">
        <v>11</v>
      </c>
      <c r="O47" s="108">
        <f>+Harvest!O47/Effort!O47</f>
        <v>13.577668741098591</v>
      </c>
    </row>
    <row r="48" spans="1:15" x14ac:dyDescent="0.25">
      <c r="A48" s="4">
        <v>41624</v>
      </c>
      <c r="B48" s="5">
        <f t="shared" si="5"/>
        <v>41624</v>
      </c>
      <c r="C48" s="13">
        <v>-0.4</v>
      </c>
      <c r="D48" s="109">
        <v>0.75208333333333333</v>
      </c>
      <c r="F48" s="9">
        <f>+Harvest!F48/Effort!F48</f>
        <v>14.83783783783784</v>
      </c>
      <c r="H48" s="9">
        <f>+Harvest!H48/Effort!H48</f>
        <v>13.167822185970637</v>
      </c>
      <c r="J48" s="1" t="s">
        <v>11</v>
      </c>
      <c r="L48" s="9">
        <f>+Harvest!L48/Effort!L48</f>
        <v>14.999999999999996</v>
      </c>
      <c r="M48" s="64"/>
      <c r="N48" s="1" t="s">
        <v>11</v>
      </c>
      <c r="O48" s="108">
        <f>+Harvest!O48/Effort!O48</f>
        <v>14.519856244803911</v>
      </c>
    </row>
    <row r="49" spans="1:15" x14ac:dyDescent="0.25">
      <c r="A49" s="4">
        <v>41625</v>
      </c>
      <c r="B49" s="5">
        <f t="shared" si="5"/>
        <v>41625</v>
      </c>
      <c r="C49" s="13">
        <v>-0.4</v>
      </c>
      <c r="D49" s="109">
        <v>0.77638888888888891</v>
      </c>
      <c r="F49" s="1" t="s">
        <v>11</v>
      </c>
      <c r="H49" s="9">
        <f>+Harvest!H49/Effort!H49</f>
        <v>13.6</v>
      </c>
      <c r="J49" s="1" t="s">
        <v>11</v>
      </c>
      <c r="L49" s="1" t="s">
        <v>11</v>
      </c>
      <c r="M49" s="64"/>
      <c r="N49" s="1" t="s">
        <v>11</v>
      </c>
      <c r="O49" s="108">
        <f>+Harvest!O49/Effort!O49</f>
        <v>13.6</v>
      </c>
    </row>
    <row r="50" spans="1:15" x14ac:dyDescent="0.25">
      <c r="A50" s="4">
        <v>41626</v>
      </c>
      <c r="B50" s="5">
        <f t="shared" si="5"/>
        <v>41626</v>
      </c>
      <c r="C50" s="13">
        <v>-0.3</v>
      </c>
      <c r="D50" s="109">
        <v>0.79999999999999993</v>
      </c>
      <c r="F50" s="1" t="s">
        <v>11</v>
      </c>
      <c r="H50" s="9">
        <f>+Harvest!H50/Effort!H50</f>
        <v>15</v>
      </c>
      <c r="J50" s="1" t="s">
        <v>11</v>
      </c>
      <c r="L50" s="1" t="s">
        <v>11</v>
      </c>
      <c r="M50" s="64"/>
      <c r="N50" s="1" t="s">
        <v>11</v>
      </c>
      <c r="O50" s="108">
        <f>+Harvest!O50/Effort!O50</f>
        <v>15</v>
      </c>
    </row>
    <row r="51" spans="1:15" x14ac:dyDescent="0.25">
      <c r="A51" s="4"/>
      <c r="C51"/>
      <c r="D51" s="109"/>
      <c r="F51" s="8"/>
      <c r="G51" s="64"/>
      <c r="H51" s="9"/>
      <c r="I51" s="64"/>
      <c r="J51" s="8"/>
      <c r="K51" s="64"/>
      <c r="L51" s="8"/>
      <c r="M51" s="64"/>
      <c r="O51" s="16"/>
    </row>
    <row r="52" spans="1:15" x14ac:dyDescent="0.25">
      <c r="A52" s="4">
        <v>41637</v>
      </c>
      <c r="B52" s="5">
        <f t="shared" si="5"/>
        <v>41637</v>
      </c>
      <c r="C52" s="13">
        <v>-0.2</v>
      </c>
      <c r="D52" s="109">
        <v>0.67013888888888884</v>
      </c>
      <c r="F52" s="9">
        <f>+Harvest!F52/Effort!F52</f>
        <v>14.785714285714286</v>
      </c>
      <c r="G52" s="64"/>
      <c r="H52" s="9">
        <f>+Harvest!H52/Effort!H52</f>
        <v>15.058924551775005</v>
      </c>
      <c r="I52" s="64"/>
      <c r="J52" s="9">
        <f>+Harvest!J52/Effort!J52</f>
        <v>14.535714285714286</v>
      </c>
      <c r="K52" s="64"/>
      <c r="L52" s="9">
        <f>+Harvest!L52/Effort!L52</f>
        <v>15</v>
      </c>
      <c r="M52" s="64"/>
      <c r="N52" s="1" t="s">
        <v>11</v>
      </c>
      <c r="O52" s="108">
        <f>+Harvest!O52/Effort!O52</f>
        <v>14.751490855405347</v>
      </c>
    </row>
    <row r="53" spans="1:15" x14ac:dyDescent="0.25">
      <c r="A53" s="4">
        <v>41638</v>
      </c>
      <c r="B53" s="5">
        <f t="shared" si="5"/>
        <v>41638</v>
      </c>
      <c r="C53" s="13">
        <v>-0.9</v>
      </c>
      <c r="D53" s="109">
        <v>0.70486111111111116</v>
      </c>
      <c r="F53" s="9">
        <f>+Harvest!F53/Effort!F53</f>
        <v>14.949999999999998</v>
      </c>
      <c r="G53" s="64"/>
      <c r="H53" s="9">
        <f>+Harvest!H53/Effort!H53</f>
        <v>15.161290322580646</v>
      </c>
      <c r="I53" s="64"/>
      <c r="J53" s="9">
        <f>+Harvest!J53/Effort!J53</f>
        <v>14.82894736842105</v>
      </c>
      <c r="K53" s="64"/>
      <c r="L53" s="9">
        <f>+Harvest!L53/Effort!L53</f>
        <v>14.627118644067798</v>
      </c>
      <c r="M53" s="64"/>
      <c r="N53" s="1" t="s">
        <v>11</v>
      </c>
      <c r="O53" s="108">
        <f>+Harvest!O53/Effort!O53</f>
        <v>14.866271886953546</v>
      </c>
    </row>
    <row r="54" spans="1:15" x14ac:dyDescent="0.25">
      <c r="A54" s="4">
        <v>41639</v>
      </c>
      <c r="B54" s="5">
        <f t="shared" si="5"/>
        <v>41639</v>
      </c>
      <c r="C54" s="13">
        <v>-1.4</v>
      </c>
      <c r="D54" s="109">
        <v>0.73749999999999993</v>
      </c>
      <c r="F54" s="9">
        <f>+Harvest!F54/Effort!F54</f>
        <v>14.91150442477876</v>
      </c>
      <c r="G54" s="64"/>
      <c r="H54" s="9">
        <f>+Harvest!H54/Effort!H54</f>
        <v>15.411940149150483</v>
      </c>
      <c r="I54" s="64"/>
      <c r="J54" s="9">
        <f>+Harvest!J54/Effort!J54</f>
        <v>15.009433962264152</v>
      </c>
      <c r="K54" s="64"/>
      <c r="L54" s="9">
        <f>+Harvest!L54/Effort!L54</f>
        <v>15</v>
      </c>
      <c r="M54" s="64"/>
      <c r="N54" s="1" t="s">
        <v>11</v>
      </c>
      <c r="O54" s="108">
        <f>+Harvest!O54/Effort!O54</f>
        <v>15.008238466258575</v>
      </c>
    </row>
    <row r="55" spans="1:15" x14ac:dyDescent="0.25">
      <c r="A55" s="4">
        <v>41640</v>
      </c>
      <c r="B55" s="5">
        <f t="shared" si="5"/>
        <v>41640</v>
      </c>
      <c r="C55" s="13">
        <v>-1.7</v>
      </c>
      <c r="D55" s="109">
        <v>0.77013888888888893</v>
      </c>
      <c r="F55" s="9">
        <f>+Harvest!F55/Effort!F55</f>
        <v>14.927764127764132</v>
      </c>
      <c r="G55" s="64"/>
      <c r="H55" s="9">
        <f>+Harvest!H55/Effort!H55</f>
        <v>13.247627168915916</v>
      </c>
      <c r="I55" s="64"/>
      <c r="J55" s="1" t="s">
        <v>11</v>
      </c>
      <c r="K55" s="64"/>
      <c r="L55" s="9">
        <f>+Harvest!L55/Effort!L55</f>
        <v>15.09090909090909</v>
      </c>
      <c r="M55" s="64"/>
      <c r="N55" s="1" t="s">
        <v>11</v>
      </c>
      <c r="O55" s="108">
        <f>+Harvest!O55/Effort!O55</f>
        <v>14.607855373560296</v>
      </c>
    </row>
    <row r="56" spans="1:15" x14ac:dyDescent="0.25">
      <c r="A56" s="4">
        <v>41641</v>
      </c>
      <c r="B56" s="5">
        <f t="shared" si="5"/>
        <v>41641</v>
      </c>
      <c r="C56" s="13">
        <v>-1.7</v>
      </c>
      <c r="D56" s="109">
        <v>0.80208333333333337</v>
      </c>
      <c r="F56" s="9">
        <f>+Harvest!F56/Effort!F56</f>
        <v>5.3666666666666671</v>
      </c>
      <c r="G56" s="64"/>
      <c r="H56" s="9">
        <f>+Harvest!H56/Effort!H56</f>
        <v>9.9047619047619051</v>
      </c>
      <c r="I56" s="64"/>
      <c r="J56" s="1" t="s">
        <v>11</v>
      </c>
      <c r="K56" s="64"/>
      <c r="L56" s="9">
        <f>+Harvest!L56/Effort!L56</f>
        <v>9.604651162790697</v>
      </c>
      <c r="M56" s="64"/>
      <c r="N56" s="1" t="s">
        <v>11</v>
      </c>
      <c r="O56" s="108">
        <f>+Harvest!O56/Effort!O56</f>
        <v>7.6644591533656747</v>
      </c>
    </row>
    <row r="57" spans="1:15" x14ac:dyDescent="0.25">
      <c r="A57" s="4">
        <v>41642</v>
      </c>
      <c r="B57" s="5">
        <f t="shared" si="5"/>
        <v>41642</v>
      </c>
      <c r="C57" s="13">
        <v>-1.4</v>
      </c>
      <c r="D57" s="109">
        <v>0.83333333333333337</v>
      </c>
      <c r="F57" s="9">
        <f>+Harvest!F57/Effort!F57</f>
        <v>13.354166666666666</v>
      </c>
      <c r="G57" s="64"/>
      <c r="H57" s="9">
        <f>+Harvest!H57/Effort!H57</f>
        <v>14.864406779661017</v>
      </c>
      <c r="I57" s="64"/>
      <c r="J57" s="1" t="s">
        <v>11</v>
      </c>
      <c r="K57" s="64"/>
      <c r="L57" s="9">
        <f>+Harvest!L57/Effort!L57</f>
        <v>14.999999999999998</v>
      </c>
      <c r="M57" s="64"/>
      <c r="N57" s="1" t="s">
        <v>11</v>
      </c>
      <c r="O57" s="108">
        <f>+Harvest!O57/Effort!O57</f>
        <v>14.357494310553681</v>
      </c>
    </row>
    <row r="58" spans="1:15" x14ac:dyDescent="0.25">
      <c r="A58" s="4">
        <v>41643</v>
      </c>
      <c r="B58" s="5">
        <f t="shared" si="5"/>
        <v>41643</v>
      </c>
      <c r="C58" s="13">
        <v>-0.9</v>
      </c>
      <c r="D58" s="109">
        <v>0.86458333333333337</v>
      </c>
      <c r="E58" s="2"/>
      <c r="F58" s="9">
        <f>+Harvest!F58/Effort!F58</f>
        <v>15.019459093336339</v>
      </c>
      <c r="G58" s="64"/>
      <c r="H58" s="9">
        <f>+Harvest!H58/Effort!H58</f>
        <v>14.428571428571427</v>
      </c>
      <c r="I58" s="64"/>
      <c r="J58" s="9">
        <f>+Harvest!J58/Effort!J58</f>
        <v>15.017857142857144</v>
      </c>
      <c r="K58" s="64"/>
      <c r="L58" s="9">
        <f>+Harvest!L58/Effort!L58</f>
        <v>15</v>
      </c>
      <c r="M58" s="64"/>
      <c r="N58" s="1" t="s">
        <v>11</v>
      </c>
      <c r="O58" s="108">
        <f>+Harvest!O58/Effort!O58</f>
        <v>14.935341971673232</v>
      </c>
    </row>
    <row r="59" spans="1:15" x14ac:dyDescent="0.25">
      <c r="A59" s="4">
        <v>41644</v>
      </c>
      <c r="B59" s="116">
        <f t="shared" si="5"/>
        <v>41644</v>
      </c>
      <c r="C59" s="13">
        <v>-0.2</v>
      </c>
      <c r="D59" s="109">
        <v>0.8965277777777777</v>
      </c>
      <c r="E59"/>
      <c r="F59" s="1" t="s">
        <v>11</v>
      </c>
      <c r="G59" s="64"/>
      <c r="H59" s="9">
        <f>+Harvest!H59/Effort!H59</f>
        <v>14.428571428571427</v>
      </c>
      <c r="I59" s="64"/>
      <c r="J59" s="1" t="s">
        <v>11</v>
      </c>
      <c r="K59" s="64"/>
      <c r="L59" s="1" t="s">
        <v>11</v>
      </c>
      <c r="M59" s="64"/>
      <c r="N59" s="1" t="s">
        <v>11</v>
      </c>
      <c r="O59" s="108">
        <f>+Harvest!O59/Effort!O59</f>
        <v>14.428571428571427</v>
      </c>
    </row>
    <row r="60" spans="1:15" x14ac:dyDescent="0.25">
      <c r="A60" s="4"/>
      <c r="B60" s="5"/>
      <c r="C60" s="13"/>
      <c r="D60" s="109"/>
      <c r="E60" s="2"/>
      <c r="F60" s="8"/>
      <c r="G60" s="64"/>
      <c r="H60" s="8"/>
      <c r="I60" s="64"/>
      <c r="J60" s="8"/>
      <c r="K60" s="64"/>
      <c r="L60" s="8"/>
      <c r="M60" s="64"/>
      <c r="N60" s="1"/>
      <c r="O60" s="15"/>
    </row>
    <row r="61" spans="1:15" x14ac:dyDescent="0.25">
      <c r="A61" s="4">
        <v>41654</v>
      </c>
      <c r="B61" s="116">
        <f t="shared" ref="B61:B62" si="6">+A61</f>
        <v>41654</v>
      </c>
      <c r="C61" s="13">
        <v>-0.1</v>
      </c>
      <c r="D61" s="109">
        <v>0.7631944444444444</v>
      </c>
      <c r="E61" s="2"/>
      <c r="F61" s="1" t="s">
        <v>11</v>
      </c>
      <c r="G61" s="64"/>
      <c r="H61" s="9">
        <f>+Harvest!H61/Effort!H61</f>
        <v>14.67741935483871</v>
      </c>
      <c r="I61" s="64"/>
      <c r="J61" s="1" t="s">
        <v>11</v>
      </c>
      <c r="K61" s="64"/>
      <c r="L61" s="1" t="s">
        <v>11</v>
      </c>
      <c r="M61" s="64"/>
      <c r="N61" s="1" t="s">
        <v>11</v>
      </c>
      <c r="O61" s="108">
        <f>+Harvest!O61/Effort!O61</f>
        <v>14.67741935483871</v>
      </c>
    </row>
    <row r="62" spans="1:15" x14ac:dyDescent="0.25">
      <c r="A62" s="4">
        <v>41655</v>
      </c>
      <c r="B62" s="116">
        <f t="shared" si="6"/>
        <v>41655</v>
      </c>
      <c r="C62" s="13">
        <v>-0.1</v>
      </c>
      <c r="D62" s="109">
        <v>0.78541666666666676</v>
      </c>
      <c r="E62" s="2"/>
      <c r="F62" s="1" t="s">
        <v>11</v>
      </c>
      <c r="G62" s="64"/>
      <c r="H62" s="9">
        <f>+Harvest!H62/Effort!H62</f>
        <v>15.033333333333335</v>
      </c>
      <c r="I62" s="64"/>
      <c r="J62" s="1" t="s">
        <v>11</v>
      </c>
      <c r="K62" s="64"/>
      <c r="L62" s="1" t="s">
        <v>11</v>
      </c>
      <c r="M62" s="64"/>
      <c r="N62" s="1" t="s">
        <v>11</v>
      </c>
      <c r="O62" s="108">
        <f>+Harvest!O62/Effort!O62</f>
        <v>15.033333333333335</v>
      </c>
    </row>
    <row r="63" spans="1:15" x14ac:dyDescent="0.25">
      <c r="A63" s="4">
        <v>41656</v>
      </c>
      <c r="B63" s="5">
        <f t="shared" ref="B63:B64" si="7">+A63</f>
        <v>41656</v>
      </c>
      <c r="C63" s="13">
        <v>0</v>
      </c>
      <c r="D63" s="109">
        <v>0.80694444444444446</v>
      </c>
      <c r="E63" s="2"/>
      <c r="F63" s="9">
        <f>+Harvest!F63/Effort!F63</f>
        <v>5.9545454545454524</v>
      </c>
      <c r="G63" s="64"/>
      <c r="H63" s="9">
        <f>+Harvest!H63/Effort!H63</f>
        <v>18.090909090909086</v>
      </c>
      <c r="I63" s="64"/>
      <c r="J63" s="1" t="s">
        <v>11</v>
      </c>
      <c r="K63" s="64"/>
      <c r="L63" s="9">
        <f>+Harvest!L63/Effort!L63</f>
        <v>9.5666666666666664</v>
      </c>
      <c r="M63" s="64"/>
      <c r="N63" s="1" t="s">
        <v>11</v>
      </c>
      <c r="O63" s="108">
        <f>+Harvest!O63/Effort!O63</f>
        <v>10.172795077440478</v>
      </c>
    </row>
    <row r="64" spans="1:15" x14ac:dyDescent="0.25">
      <c r="A64" s="4">
        <v>41657</v>
      </c>
      <c r="B64" s="5">
        <f t="shared" si="7"/>
        <v>41657</v>
      </c>
      <c r="C64" s="13">
        <v>0.2</v>
      </c>
      <c r="D64" s="109">
        <v>0.82847222222222217</v>
      </c>
      <c r="E64" s="2"/>
      <c r="F64" s="9">
        <f>+Harvest!F64/Effort!F64</f>
        <v>9</v>
      </c>
      <c r="G64" s="64"/>
      <c r="H64" s="9">
        <f>+Harvest!H64/Effort!H64</f>
        <v>11.53225806451613</v>
      </c>
      <c r="I64" s="64"/>
      <c r="J64" s="1" t="s">
        <v>11</v>
      </c>
      <c r="K64" s="64"/>
      <c r="L64" s="9">
        <f>+Harvest!L64/Effort!L64</f>
        <v>10.653846153846153</v>
      </c>
      <c r="M64" s="64"/>
      <c r="N64" s="1" t="s">
        <v>11</v>
      </c>
      <c r="O64" s="108">
        <f>+Harvest!O64/Effort!O64</f>
        <v>10.190332954197075</v>
      </c>
    </row>
    <row r="65" spans="1:15" x14ac:dyDescent="0.25">
      <c r="A65" s="4"/>
      <c r="C65"/>
      <c r="D65" s="109"/>
      <c r="E65" s="2"/>
      <c r="F65" s="9"/>
      <c r="G65" s="64"/>
      <c r="H65" s="9"/>
      <c r="I65" s="64"/>
      <c r="J65" s="8"/>
      <c r="K65" s="64"/>
      <c r="L65" s="8"/>
      <c r="M65" s="64"/>
      <c r="O65" s="16"/>
    </row>
    <row r="66" spans="1:15" x14ac:dyDescent="0.25">
      <c r="A66" s="4">
        <v>41667</v>
      </c>
      <c r="B66" s="5">
        <f t="shared" ref="B66:B67" si="8">+A66</f>
        <v>41667</v>
      </c>
      <c r="C66" s="13">
        <v>-0.7</v>
      </c>
      <c r="D66" s="109">
        <v>0.69166666666666676</v>
      </c>
      <c r="E66" s="2"/>
      <c r="F66" s="1" t="s">
        <v>11</v>
      </c>
      <c r="G66" s="64"/>
      <c r="H66" s="9">
        <f>+Harvest!H66/Effort!H66</f>
        <v>14.999999999999998</v>
      </c>
      <c r="I66" s="64"/>
      <c r="J66" s="1" t="s">
        <v>11</v>
      </c>
      <c r="K66" s="64"/>
      <c r="L66" s="1" t="s">
        <v>11</v>
      </c>
      <c r="M66" s="64"/>
      <c r="N66" s="1" t="s">
        <v>11</v>
      </c>
      <c r="O66" s="108">
        <f>+Harvest!O66/Effort!O66</f>
        <v>14.999999999999998</v>
      </c>
    </row>
    <row r="67" spans="1:15" x14ac:dyDescent="0.25">
      <c r="A67" s="4">
        <v>41668</v>
      </c>
      <c r="B67" s="5">
        <f t="shared" si="8"/>
        <v>41668</v>
      </c>
      <c r="C67" s="13">
        <v>-1.2</v>
      </c>
      <c r="D67" s="109">
        <v>0.72569444444444453</v>
      </c>
      <c r="E67" s="2"/>
      <c r="F67" s="9">
        <f>+Harvest!F67/Effort!F67</f>
        <v>15.015625000000002</v>
      </c>
      <c r="G67" s="64"/>
      <c r="H67" s="9">
        <f>+Harvest!H67/Effort!H67</f>
        <v>15</v>
      </c>
      <c r="I67" s="64"/>
      <c r="J67" s="1" t="s">
        <v>11</v>
      </c>
      <c r="K67" s="64"/>
      <c r="L67" s="1" t="s">
        <v>11</v>
      </c>
      <c r="M67" s="64"/>
      <c r="N67" s="1" t="s">
        <v>11</v>
      </c>
      <c r="O67" s="108">
        <f>+Harvest!O67/Effort!O67</f>
        <v>15.011264587651423</v>
      </c>
    </row>
    <row r="68" spans="1:15" x14ac:dyDescent="0.25">
      <c r="A68" s="4">
        <v>41669</v>
      </c>
      <c r="B68" s="5">
        <f t="shared" ref="B68:B71" si="9">+A68</f>
        <v>41669</v>
      </c>
      <c r="C68" s="13">
        <v>-1.4</v>
      </c>
      <c r="D68" s="109">
        <v>0.75763888888888886</v>
      </c>
      <c r="E68" s="2"/>
      <c r="F68" s="9">
        <f>+Harvest!F68/Effort!F68</f>
        <v>14.999999999999998</v>
      </c>
      <c r="G68" s="64"/>
      <c r="H68" s="9">
        <f>+Harvest!H68/Effort!H68</f>
        <v>15</v>
      </c>
      <c r="I68" s="64"/>
      <c r="J68" s="1" t="s">
        <v>11</v>
      </c>
      <c r="K68" s="64"/>
      <c r="L68" s="9">
        <f>+Harvest!L68/Effort!L68</f>
        <v>15</v>
      </c>
      <c r="M68" s="64"/>
      <c r="N68" s="1" t="s">
        <v>11</v>
      </c>
      <c r="O68" s="108">
        <f>+Harvest!O68/Effort!O68</f>
        <v>14.999999999999998</v>
      </c>
    </row>
    <row r="69" spans="1:15" x14ac:dyDescent="0.25">
      <c r="A69" s="4">
        <v>41670</v>
      </c>
      <c r="B69" s="5">
        <f t="shared" si="9"/>
        <v>41670</v>
      </c>
      <c r="C69" s="13">
        <v>-1.4</v>
      </c>
      <c r="D69" s="109">
        <v>0.78819444444444453</v>
      </c>
      <c r="E69" s="2"/>
      <c r="F69" s="9">
        <f>+Harvest!F69/Effort!F69</f>
        <v>14.768707482993198</v>
      </c>
      <c r="G69" s="64"/>
      <c r="H69" s="9">
        <f>+Harvest!H69/Effort!H69</f>
        <v>14.999999999999998</v>
      </c>
      <c r="I69" s="64"/>
      <c r="J69" s="1" t="s">
        <v>11</v>
      </c>
      <c r="K69" s="64"/>
      <c r="L69" s="9">
        <f>+Harvest!L69/Effort!L69</f>
        <v>14.939393939393941</v>
      </c>
      <c r="M69" s="64"/>
      <c r="N69" s="1" t="s">
        <v>11</v>
      </c>
      <c r="O69" s="108">
        <f>+Harvest!O69/Effort!O69</f>
        <v>14.865867727326579</v>
      </c>
    </row>
    <row r="70" spans="1:15" x14ac:dyDescent="0.25">
      <c r="A70" s="4">
        <v>41671</v>
      </c>
      <c r="B70" s="5">
        <f t="shared" si="9"/>
        <v>41671</v>
      </c>
      <c r="C70" s="13">
        <v>-1.1000000000000001</v>
      </c>
      <c r="D70" s="109">
        <v>0.81805555555555554</v>
      </c>
      <c r="E70" s="2"/>
      <c r="F70" s="9">
        <f>+Harvest!F70/Effort!F70</f>
        <v>12.873786407766989</v>
      </c>
      <c r="G70" s="64"/>
      <c r="H70" s="9">
        <f>+Harvest!H70/Effort!H70</f>
        <v>14.305245906084792</v>
      </c>
      <c r="I70" s="64"/>
      <c r="J70" s="9">
        <f>+Harvest!J70/Effort!J70</f>
        <v>15</v>
      </c>
      <c r="K70" s="64"/>
      <c r="L70" s="9">
        <f>+Harvest!L70/Effort!L70</f>
        <v>12.589743589743589</v>
      </c>
      <c r="M70" s="64"/>
      <c r="N70" s="1" t="s">
        <v>11</v>
      </c>
      <c r="O70" s="108">
        <f>+Harvest!O70/Effort!O70</f>
        <v>13.683038469577832</v>
      </c>
    </row>
    <row r="71" spans="1:15" x14ac:dyDescent="0.25">
      <c r="A71" s="4">
        <v>41672</v>
      </c>
      <c r="B71" s="5">
        <f t="shared" si="9"/>
        <v>41672</v>
      </c>
      <c r="C71" s="13">
        <v>-0.5</v>
      </c>
      <c r="D71" s="109">
        <v>0.84722222222222221</v>
      </c>
      <c r="E71" s="2"/>
      <c r="F71" s="9">
        <f>+Harvest!F71/Effort!F71</f>
        <v>14.895376646138507</v>
      </c>
      <c r="G71" s="64"/>
      <c r="H71" s="9">
        <f>+Harvest!H71/Effort!H71</f>
        <v>15.042196451540525</v>
      </c>
      <c r="I71" s="64"/>
      <c r="J71" s="1" t="s">
        <v>11</v>
      </c>
      <c r="K71" s="64"/>
      <c r="L71" s="9">
        <f>+Harvest!L71/Effort!L71</f>
        <v>14.999999999999998</v>
      </c>
      <c r="M71" s="64"/>
      <c r="N71" s="1" t="s">
        <v>11</v>
      </c>
      <c r="O71" s="108">
        <f>+Harvest!O71/Effort!O71</f>
        <v>14.956037273301829</v>
      </c>
    </row>
    <row r="72" spans="1:15" x14ac:dyDescent="0.25">
      <c r="A72" s="4"/>
      <c r="C72"/>
      <c r="D72" s="109"/>
      <c r="E72" s="2"/>
      <c r="F72" s="8"/>
      <c r="G72" s="64"/>
      <c r="H72" s="9"/>
      <c r="I72" s="64"/>
      <c r="J72" s="8"/>
      <c r="K72" s="64"/>
      <c r="L72" s="8"/>
      <c r="M72" s="64"/>
      <c r="O72" s="16"/>
    </row>
    <row r="73" spans="1:15" x14ac:dyDescent="0.25">
      <c r="A73" s="4">
        <v>41696</v>
      </c>
      <c r="B73" s="5">
        <f t="shared" ref="B73:B78" si="10">+A73</f>
        <v>41696</v>
      </c>
      <c r="C73" s="13">
        <v>-0.4</v>
      </c>
      <c r="D73" s="109">
        <v>0.67708333333333337</v>
      </c>
      <c r="E73"/>
      <c r="F73" s="1" t="s">
        <v>11</v>
      </c>
      <c r="H73" s="9">
        <f>+Harvest!H73/Effort!H73</f>
        <v>13.571428571428573</v>
      </c>
      <c r="J73" s="1" t="s">
        <v>11</v>
      </c>
      <c r="L73" s="1" t="s">
        <v>11</v>
      </c>
      <c r="N73" s="1" t="s">
        <v>11</v>
      </c>
      <c r="O73" s="108">
        <f>+Harvest!O73/Effort!O73</f>
        <v>13.571428571428573</v>
      </c>
    </row>
    <row r="74" spans="1:15" x14ac:dyDescent="0.25">
      <c r="A74" s="4">
        <v>41697</v>
      </c>
      <c r="B74" s="5">
        <f t="shared" si="10"/>
        <v>41697</v>
      </c>
      <c r="C74" s="13">
        <v>-0.7</v>
      </c>
      <c r="D74" s="109">
        <v>0.71111111111111114</v>
      </c>
      <c r="E74"/>
      <c r="F74" s="9">
        <f>+Harvest!F74/Effort!F74</f>
        <v>15</v>
      </c>
      <c r="H74" s="9">
        <f>+Harvest!H74/Effort!H74</f>
        <v>14.468085106382979</v>
      </c>
      <c r="J74" s="1" t="s">
        <v>11</v>
      </c>
      <c r="L74" s="9">
        <f>+Harvest!L74/Effort!L74</f>
        <v>14.960784313725492</v>
      </c>
      <c r="N74" s="1" t="s">
        <v>11</v>
      </c>
      <c r="O74" s="108">
        <f>+Harvest!O74/Effort!O74</f>
        <v>14.871111255272812</v>
      </c>
    </row>
    <row r="75" spans="1:15" x14ac:dyDescent="0.25">
      <c r="A75" s="4">
        <v>41698</v>
      </c>
      <c r="B75" s="5">
        <f t="shared" si="10"/>
        <v>41698</v>
      </c>
      <c r="C75" s="13">
        <v>-0.8</v>
      </c>
      <c r="D75" s="109">
        <v>0.74236111111111114</v>
      </c>
      <c r="E75"/>
      <c r="F75" s="9">
        <f>+Harvest!F75/Effort!F75</f>
        <v>14.13095238095238</v>
      </c>
      <c r="H75" s="9">
        <f>+Harvest!H75/Effort!H75</f>
        <v>15.000000000000002</v>
      </c>
      <c r="J75" s="1" t="s">
        <v>11</v>
      </c>
      <c r="L75" s="9">
        <f>+Harvest!L75/Effort!L75</f>
        <v>15.028571428571428</v>
      </c>
      <c r="N75" s="1" t="s">
        <v>11</v>
      </c>
      <c r="O75" s="108">
        <f>+Harvest!O75/Effort!O75</f>
        <v>14.520997350808013</v>
      </c>
    </row>
    <row r="76" spans="1:15" x14ac:dyDescent="0.25">
      <c r="A76" s="4">
        <v>41699</v>
      </c>
      <c r="B76" s="5">
        <f t="shared" si="10"/>
        <v>41699</v>
      </c>
      <c r="C76" s="13">
        <v>-0.7</v>
      </c>
      <c r="D76" s="109">
        <v>0.77222222222222225</v>
      </c>
      <c r="E76"/>
      <c r="F76" s="9">
        <f>+Harvest!F76/Effort!F76</f>
        <v>14.955882352941174</v>
      </c>
      <c r="H76" s="9">
        <f>+Harvest!H76/Effort!H76</f>
        <v>13.5</v>
      </c>
      <c r="J76" s="9">
        <f>+Harvest!J76/Effort!J76</f>
        <v>14.918604651162791</v>
      </c>
      <c r="L76" s="9">
        <f>+Harvest!L76/Effort!L76</f>
        <v>13.144736842105264</v>
      </c>
      <c r="N76" s="1" t="s">
        <v>11</v>
      </c>
      <c r="O76" s="108">
        <f>+Harvest!O76/Effort!O76</f>
        <v>14.337932495680363</v>
      </c>
    </row>
    <row r="77" spans="1:15" x14ac:dyDescent="0.25">
      <c r="A77" s="4">
        <v>41700</v>
      </c>
      <c r="B77" s="5">
        <f t="shared" si="10"/>
        <v>41700</v>
      </c>
      <c r="C77" s="13">
        <v>-0.3</v>
      </c>
      <c r="D77" s="109">
        <v>0.80069444444444438</v>
      </c>
      <c r="E77"/>
      <c r="F77" s="9">
        <f>+Harvest!F77/Effort!F77</f>
        <v>9.9999999999999992E-2</v>
      </c>
      <c r="H77" s="9">
        <f>+Harvest!H77/Effort!H77</f>
        <v>3.6190476190476195</v>
      </c>
      <c r="J77" s="1" t="s">
        <v>11</v>
      </c>
      <c r="L77" s="9">
        <f>+Harvest!L77/Effort!L77</f>
        <v>14.105263157894736</v>
      </c>
      <c r="N77" s="1" t="s">
        <v>11</v>
      </c>
      <c r="O77" s="108">
        <f>+Harvest!O77/Effort!O77</f>
        <v>7.4392185662606654</v>
      </c>
    </row>
    <row r="78" spans="1:15" x14ac:dyDescent="0.25">
      <c r="A78" s="4">
        <v>41701</v>
      </c>
      <c r="B78" s="116">
        <f t="shared" si="10"/>
        <v>41701</v>
      </c>
      <c r="C78" s="13">
        <v>0.3</v>
      </c>
      <c r="D78" s="109">
        <v>0.82847222222222217</v>
      </c>
      <c r="E78"/>
      <c r="F78" s="1" t="s">
        <v>11</v>
      </c>
      <c r="H78" s="9">
        <f>+Harvest!H78/Effort!H78</f>
        <v>10</v>
      </c>
      <c r="J78" s="1" t="s">
        <v>11</v>
      </c>
      <c r="L78" s="1" t="s">
        <v>11</v>
      </c>
      <c r="N78" s="1" t="s">
        <v>11</v>
      </c>
      <c r="O78" s="108">
        <f>+Harvest!O78/Effort!O78</f>
        <v>10</v>
      </c>
    </row>
    <row r="79" spans="1:15" x14ac:dyDescent="0.25">
      <c r="A79" s="54"/>
      <c r="B79" s="5"/>
      <c r="C79" s="59"/>
      <c r="D79" s="60"/>
      <c r="F79" s="9"/>
      <c r="G79" s="64"/>
      <c r="H79" s="9"/>
      <c r="I79" s="64"/>
      <c r="J79" s="9"/>
      <c r="K79" s="64"/>
      <c r="L79" s="9"/>
      <c r="M79" s="64"/>
      <c r="N79" s="8"/>
      <c r="O79" s="16"/>
    </row>
    <row r="80" spans="1:15" x14ac:dyDescent="0.25">
      <c r="A80" s="4">
        <v>41724</v>
      </c>
      <c r="B80" s="5">
        <v>41724</v>
      </c>
      <c r="C80" s="13">
        <v>0.3</v>
      </c>
      <c r="D80" s="109">
        <v>0.66111111111111109</v>
      </c>
      <c r="F80" s="9" t="s">
        <v>11</v>
      </c>
      <c r="G80" s="64"/>
      <c r="H80" s="9">
        <f>+Harvest!H80/Effort!H80</f>
        <v>13.205128205128204</v>
      </c>
      <c r="I80" s="64"/>
      <c r="J80" s="9" t="s">
        <v>11</v>
      </c>
      <c r="K80" s="64"/>
      <c r="L80" s="9" t="s">
        <v>11</v>
      </c>
      <c r="M80" s="64"/>
      <c r="N80" s="8" t="s">
        <v>11</v>
      </c>
      <c r="O80" s="108">
        <f>+Harvest!O80/Effort!O80</f>
        <v>13.205128205128204</v>
      </c>
    </row>
    <row r="81" spans="1:15" x14ac:dyDescent="0.25">
      <c r="A81" s="4">
        <v>41725</v>
      </c>
      <c r="B81" s="5">
        <v>41725</v>
      </c>
      <c r="C81" s="13">
        <v>0.1</v>
      </c>
      <c r="D81" s="109">
        <v>0.70000000000000007</v>
      </c>
      <c r="F81" s="9" t="s">
        <v>11</v>
      </c>
      <c r="G81" s="64"/>
      <c r="H81" s="9">
        <f>+Harvest!H81/Effort!H81</f>
        <v>14.605263157894736</v>
      </c>
      <c r="I81" s="64"/>
      <c r="J81" s="9" t="s">
        <v>11</v>
      </c>
      <c r="K81" s="64"/>
      <c r="L81" s="9" t="s">
        <v>11</v>
      </c>
      <c r="M81" s="64"/>
      <c r="N81" s="8" t="s">
        <v>11</v>
      </c>
      <c r="O81" s="108">
        <f>+Harvest!O81/Effort!O81</f>
        <v>14.605263157894736</v>
      </c>
    </row>
    <row r="82" spans="1:15" x14ac:dyDescent="0.25">
      <c r="A82" s="4">
        <v>41726</v>
      </c>
      <c r="B82" s="5">
        <v>41726</v>
      </c>
      <c r="C82" s="13">
        <v>0</v>
      </c>
      <c r="D82" s="109">
        <v>0.73472222222222217</v>
      </c>
      <c r="F82" s="9">
        <f>+Harvest!F82/Effort!F82</f>
        <v>9.3943661971830963</v>
      </c>
      <c r="G82" s="64"/>
      <c r="H82" s="9">
        <f>+Harvest!H82/Effort!H82</f>
        <v>14.944444444444443</v>
      </c>
      <c r="I82" s="64"/>
      <c r="J82" s="8" t="s">
        <v>11</v>
      </c>
      <c r="K82" s="64"/>
      <c r="L82" s="9">
        <f>+Harvest!L82/Effort!L82</f>
        <v>14.999999999999996</v>
      </c>
      <c r="M82" s="64"/>
      <c r="N82" s="8" t="s">
        <v>11</v>
      </c>
      <c r="O82" s="108">
        <f>+Harvest!O82/Effort!O82</f>
        <v>11.585178413635187</v>
      </c>
    </row>
    <row r="83" spans="1:15" x14ac:dyDescent="0.25">
      <c r="A83" s="4">
        <v>41727</v>
      </c>
      <c r="B83" s="5">
        <v>41727</v>
      </c>
      <c r="C83" s="13">
        <v>0</v>
      </c>
      <c r="D83" s="109">
        <v>0.76597222222222217</v>
      </c>
      <c r="F83" s="9">
        <f>+Harvest!F83/Effort!F83</f>
        <v>4.1475409836065573</v>
      </c>
      <c r="G83" s="64"/>
      <c r="H83" s="9">
        <f>+Harvest!H83/Effort!H83</f>
        <v>6.9447815627913139</v>
      </c>
      <c r="I83" s="64"/>
      <c r="J83" s="8" t="s">
        <v>11</v>
      </c>
      <c r="K83" s="64"/>
      <c r="L83" s="9">
        <f>+Harvest!L83/Effort!L83</f>
        <v>6.8208955223880601</v>
      </c>
      <c r="M83" s="64"/>
      <c r="N83" s="8" t="s">
        <v>11</v>
      </c>
      <c r="O83" s="108">
        <f>+Harvest!O83/Effort!O83</f>
        <v>5.8020887999756017</v>
      </c>
    </row>
    <row r="84" spans="1:15" x14ac:dyDescent="0.25">
      <c r="A84" s="4">
        <v>41728</v>
      </c>
      <c r="B84" s="5">
        <v>41728</v>
      </c>
      <c r="C84" s="13">
        <v>-0.1</v>
      </c>
      <c r="D84" s="109">
        <v>0.28680555555555554</v>
      </c>
      <c r="F84" s="9">
        <f>+Harvest!F84/Effort!F84</f>
        <v>7.8032786885245899</v>
      </c>
      <c r="G84" s="64"/>
      <c r="H84" s="9">
        <f>+Harvest!H84/Effort!H84</f>
        <v>14.138888888888889</v>
      </c>
      <c r="I84" s="64"/>
      <c r="J84" s="8" t="s">
        <v>11</v>
      </c>
      <c r="K84" s="64"/>
      <c r="L84" s="9">
        <f>+Harvest!L84/Effort!L84</f>
        <v>13.369565217391305</v>
      </c>
      <c r="M84" s="64"/>
      <c r="N84" s="8" t="s">
        <v>11</v>
      </c>
      <c r="O84" s="108">
        <f>+Harvest!O84/Effort!O84</f>
        <v>11.417361730162911</v>
      </c>
    </row>
    <row r="85" spans="1:15" x14ac:dyDescent="0.25">
      <c r="A85" s="4">
        <v>41729</v>
      </c>
      <c r="B85" s="116">
        <v>41729</v>
      </c>
      <c r="C85" s="13">
        <v>-0.5</v>
      </c>
      <c r="D85" s="109">
        <v>0.31875000000000003</v>
      </c>
      <c r="F85" s="9">
        <f>+Harvest!F85/Effort!F85</f>
        <v>13.763636363636364</v>
      </c>
      <c r="G85" s="64"/>
      <c r="H85" s="9">
        <f>+Harvest!H85/Effort!H85</f>
        <v>14.510638297872338</v>
      </c>
      <c r="I85" s="64"/>
      <c r="J85" s="9" t="s">
        <v>11</v>
      </c>
      <c r="K85" s="64"/>
      <c r="L85" s="9" t="s">
        <v>11</v>
      </c>
      <c r="M85" s="64"/>
      <c r="N85" s="8" t="s">
        <v>11</v>
      </c>
      <c r="O85" s="108">
        <f>+Harvest!O85/Effort!O85</f>
        <v>14.097203689387293</v>
      </c>
    </row>
    <row r="86" spans="1:15" x14ac:dyDescent="0.25">
      <c r="A86" s="4">
        <v>41730</v>
      </c>
      <c r="B86" s="5">
        <v>41730</v>
      </c>
      <c r="C86" s="13">
        <v>-0.7</v>
      </c>
      <c r="D86" s="109">
        <v>0.34861111111111115</v>
      </c>
      <c r="F86" s="9">
        <f>+Harvest!F86/Effort!F86</f>
        <v>13.675324675324678</v>
      </c>
      <c r="G86" s="64"/>
      <c r="H86" s="9">
        <f>+Harvest!H86/Effort!H86</f>
        <v>15.000000000000002</v>
      </c>
      <c r="I86" s="64"/>
      <c r="J86" s="9" t="s">
        <v>11</v>
      </c>
      <c r="K86" s="64"/>
      <c r="L86" s="9" t="s">
        <v>11</v>
      </c>
      <c r="M86" s="64"/>
      <c r="N86" s="8" t="s">
        <v>11</v>
      </c>
      <c r="O86" s="108">
        <f>+Harvest!O86/Effort!O86</f>
        <v>14.056619320041776</v>
      </c>
    </row>
    <row r="87" spans="1:15" x14ac:dyDescent="0.25">
      <c r="A87" s="4">
        <v>41731</v>
      </c>
      <c r="B87" s="5">
        <v>41731</v>
      </c>
      <c r="C87" s="13">
        <v>-0.6</v>
      </c>
      <c r="D87" s="109">
        <v>0.37847222222222227</v>
      </c>
      <c r="F87" s="9">
        <f>+Harvest!F87/Effort!F87</f>
        <v>14.523809523809524</v>
      </c>
      <c r="G87" s="64"/>
      <c r="H87" s="9">
        <f>+Harvest!H87/Effort!H87</f>
        <v>14.999999999999998</v>
      </c>
      <c r="I87" s="64"/>
      <c r="J87" s="9" t="s">
        <v>11</v>
      </c>
      <c r="K87" s="64"/>
      <c r="L87" s="9" t="s">
        <v>11</v>
      </c>
      <c r="M87" s="64"/>
      <c r="N87" s="8" t="s">
        <v>11</v>
      </c>
      <c r="O87" s="108">
        <f>+Harvest!O87/Effort!O87</f>
        <v>14.695477826858173</v>
      </c>
    </row>
    <row r="88" spans="1:15" x14ac:dyDescent="0.25">
      <c r="A88" s="4">
        <v>41732</v>
      </c>
      <c r="B88" s="116">
        <v>41732</v>
      </c>
      <c r="C88" s="13">
        <v>-0.3</v>
      </c>
      <c r="D88" s="109">
        <v>0.40902777777777777</v>
      </c>
      <c r="F88" s="9">
        <f>+Harvest!F88/Effort!F88</f>
        <v>14.927536231884059</v>
      </c>
      <c r="G88" s="64"/>
      <c r="H88" s="9">
        <f>+Harvest!H88/Effort!H88</f>
        <v>14.999999999999998</v>
      </c>
      <c r="I88" s="64"/>
      <c r="J88" s="8" t="s">
        <v>11</v>
      </c>
      <c r="K88" s="64"/>
      <c r="L88" s="9" t="s">
        <v>11</v>
      </c>
      <c r="M88" s="64"/>
      <c r="N88" s="8" t="s">
        <v>11</v>
      </c>
      <c r="O88" s="108">
        <f>+Harvest!O88/Effort!O88</f>
        <v>14.948801988805856</v>
      </c>
    </row>
    <row r="89" spans="1:15" x14ac:dyDescent="0.25">
      <c r="A89" s="54"/>
      <c r="B89" s="5"/>
      <c r="C89" s="59"/>
      <c r="D89" s="60"/>
      <c r="F89" s="8"/>
      <c r="G89" s="64"/>
      <c r="H89" s="9"/>
      <c r="I89" s="64"/>
      <c r="J89" s="8"/>
      <c r="K89" s="64"/>
      <c r="L89" s="8"/>
      <c r="M89" s="64"/>
      <c r="N89" s="8"/>
      <c r="O89" s="16"/>
    </row>
    <row r="90" spans="1:15" x14ac:dyDescent="0.25">
      <c r="A90" s="4">
        <v>41743</v>
      </c>
      <c r="B90" s="116">
        <f>+A90</f>
        <v>41743</v>
      </c>
      <c r="C90" s="13">
        <v>0.2</v>
      </c>
      <c r="D90" s="109">
        <v>0.28194444444444444</v>
      </c>
      <c r="F90" s="1" t="s">
        <v>11</v>
      </c>
      <c r="G90" s="64"/>
      <c r="H90" s="9">
        <f>+Harvest!H90/Effort!H90</f>
        <v>15</v>
      </c>
      <c r="I90" s="64"/>
      <c r="J90" s="1" t="s">
        <v>11</v>
      </c>
      <c r="L90" s="1" t="s">
        <v>11</v>
      </c>
      <c r="N90" s="1" t="s">
        <v>11</v>
      </c>
      <c r="O90" s="108">
        <f>+Harvest!O90/Effort!O90</f>
        <v>15</v>
      </c>
    </row>
    <row r="91" spans="1:15" x14ac:dyDescent="0.25">
      <c r="A91" s="4">
        <v>41744</v>
      </c>
      <c r="B91" s="116">
        <f t="shared" ref="B91:B96" si="11">+A91</f>
        <v>41744</v>
      </c>
      <c r="C91" s="13">
        <v>-0.3</v>
      </c>
      <c r="D91" s="109">
        <v>0.30833333333333335</v>
      </c>
      <c r="E91" s="2"/>
      <c r="F91" s="9">
        <f>+Harvest!F91/Effort!F91</f>
        <v>14.999999999999998</v>
      </c>
      <c r="G91" s="64"/>
      <c r="H91" s="9">
        <f>+Harvest!H91/Effort!H91</f>
        <v>15</v>
      </c>
      <c r="I91" s="64"/>
      <c r="J91" s="1" t="s">
        <v>11</v>
      </c>
      <c r="L91" s="1" t="s">
        <v>11</v>
      </c>
      <c r="N91" s="1" t="s">
        <v>11</v>
      </c>
      <c r="O91" s="108">
        <f>+Harvest!O91/Effort!O91</f>
        <v>14.999999999999998</v>
      </c>
    </row>
    <row r="92" spans="1:15" x14ac:dyDescent="0.25">
      <c r="A92" s="4">
        <v>41745</v>
      </c>
      <c r="B92" s="116">
        <f t="shared" si="11"/>
        <v>41745</v>
      </c>
      <c r="C92" s="13">
        <v>-0.6</v>
      </c>
      <c r="D92" s="109">
        <v>0.3354166666666667</v>
      </c>
      <c r="E92" s="2"/>
      <c r="F92" s="9">
        <f>+Harvest!F92/Effort!F92</f>
        <v>14.715517241379311</v>
      </c>
      <c r="G92" s="64"/>
      <c r="H92" s="9">
        <f>+Harvest!H92/Effort!H92</f>
        <v>15</v>
      </c>
      <c r="I92" s="64"/>
      <c r="J92" s="1" t="s">
        <v>11</v>
      </c>
      <c r="L92" s="1" t="s">
        <v>11</v>
      </c>
      <c r="N92" s="1" t="s">
        <v>11</v>
      </c>
      <c r="O92" s="108">
        <f>+Harvest!O92/Effort!O92</f>
        <v>14.839001412326724</v>
      </c>
    </row>
    <row r="93" spans="1:15" x14ac:dyDescent="0.25">
      <c r="A93" s="4">
        <v>41746</v>
      </c>
      <c r="B93" s="116">
        <f t="shared" si="11"/>
        <v>41746</v>
      </c>
      <c r="C93" s="13">
        <v>-0.8</v>
      </c>
      <c r="D93" s="109">
        <v>0.36319444444444443</v>
      </c>
      <c r="E93" s="2"/>
      <c r="F93" s="9">
        <f>+Harvest!F93/Effort!F93</f>
        <v>14.829545454545455</v>
      </c>
      <c r="G93" s="64"/>
      <c r="H93" s="9">
        <f>+Harvest!H93/Effort!H93</f>
        <v>14.702702702702704</v>
      </c>
      <c r="I93" s="64"/>
      <c r="J93" s="1" t="s">
        <v>11</v>
      </c>
      <c r="L93" s="1" t="s">
        <v>11</v>
      </c>
      <c r="N93" s="1" t="s">
        <v>11</v>
      </c>
      <c r="O93" s="108">
        <f>+Harvest!O93/Effort!O93</f>
        <v>14.787647377780914</v>
      </c>
    </row>
    <row r="94" spans="1:15" x14ac:dyDescent="0.25">
      <c r="A94" s="4">
        <v>41747</v>
      </c>
      <c r="B94" s="116">
        <f t="shared" si="11"/>
        <v>41747</v>
      </c>
      <c r="C94" s="13">
        <v>-0.8</v>
      </c>
      <c r="D94" s="109">
        <v>0.39305555555555555</v>
      </c>
      <c r="E94" s="2"/>
      <c r="F94" s="9">
        <f>+Harvest!F94/Effort!F94</f>
        <v>15.026548672566371</v>
      </c>
      <c r="G94" s="64"/>
      <c r="H94" s="9">
        <f>+Harvest!H94/Effort!H94</f>
        <v>14.966666666666667</v>
      </c>
      <c r="I94" s="64"/>
      <c r="J94" s="1" t="s">
        <v>11</v>
      </c>
      <c r="L94" s="9">
        <f>+Harvest!L94/Effort!L94</f>
        <v>15</v>
      </c>
      <c r="N94" s="1" t="s">
        <v>11</v>
      </c>
      <c r="O94" s="108">
        <f>+Harvest!O94/Effort!O94</f>
        <v>15.011534597041354</v>
      </c>
    </row>
    <row r="95" spans="1:15" x14ac:dyDescent="0.25">
      <c r="A95" s="4">
        <v>41748</v>
      </c>
      <c r="B95" s="116">
        <f t="shared" si="11"/>
        <v>41748</v>
      </c>
      <c r="C95" s="13">
        <v>-0.7</v>
      </c>
      <c r="D95" s="109">
        <v>0.42638888888888887</v>
      </c>
      <c r="E95" s="2"/>
      <c r="F95" s="9">
        <f>+Harvest!F95/Effort!F95</f>
        <v>11.669291338582676</v>
      </c>
      <c r="G95" s="64"/>
      <c r="H95" s="9">
        <f>+Harvest!H95/Effort!H95</f>
        <v>10.612439126532966</v>
      </c>
      <c r="I95" s="64"/>
      <c r="J95" s="9">
        <f>+Harvest!J95/Effort!J95</f>
        <v>11.2972972972973</v>
      </c>
      <c r="L95" s="9">
        <f>+Harvest!L95/Effort!L95</f>
        <v>13.633027522935778</v>
      </c>
      <c r="N95" s="1" t="s">
        <v>11</v>
      </c>
      <c r="O95" s="108">
        <f>+Harvest!O95/Effort!O95</f>
        <v>11.6295876079029</v>
      </c>
    </row>
    <row r="96" spans="1:15" x14ac:dyDescent="0.25">
      <c r="A96" s="4">
        <v>41749</v>
      </c>
      <c r="B96" s="116">
        <f t="shared" si="11"/>
        <v>41749</v>
      </c>
      <c r="C96" s="13">
        <v>-0.4</v>
      </c>
      <c r="D96" s="109">
        <v>0.46249999999999997</v>
      </c>
      <c r="E96" s="2"/>
      <c r="F96" s="9">
        <f>+Harvest!F96/Effort!F96</f>
        <v>3.2264150943396221</v>
      </c>
      <c r="G96" s="64"/>
      <c r="H96" s="9">
        <f>+Harvest!H96/Effort!H96</f>
        <v>9.9841269841269842</v>
      </c>
      <c r="I96" s="64"/>
      <c r="J96" s="9">
        <f>+Harvest!J96/Effort!J96</f>
        <v>9.4732142857142883</v>
      </c>
      <c r="L96" s="9">
        <f>+Harvest!L96/Effort!L96</f>
        <v>14.605263157894738</v>
      </c>
      <c r="N96" s="1" t="s">
        <v>11</v>
      </c>
      <c r="O96" s="108">
        <f>+Harvest!O96/Effort!O96</f>
        <v>7.0793971350188727</v>
      </c>
    </row>
    <row r="97" spans="1:15" x14ac:dyDescent="0.25">
      <c r="A97" s="54"/>
      <c r="B97" s="5"/>
      <c r="C97" s="59"/>
      <c r="D97" s="60"/>
      <c r="E97" s="2"/>
      <c r="F97" s="8"/>
      <c r="G97" s="64"/>
      <c r="H97" s="9"/>
      <c r="I97" s="64"/>
      <c r="J97" s="8"/>
      <c r="K97" s="64"/>
      <c r="L97" s="8"/>
      <c r="M97" s="64"/>
      <c r="N97" s="8"/>
      <c r="O97" s="16"/>
    </row>
    <row r="98" spans="1:15" x14ac:dyDescent="0.25">
      <c r="A98" s="4">
        <v>41756</v>
      </c>
      <c r="B98" s="116">
        <f t="shared" ref="B98:B105" si="12">+A98</f>
        <v>41756</v>
      </c>
      <c r="C98" s="13">
        <v>-0.3</v>
      </c>
      <c r="D98" s="109">
        <v>0.24513888888888888</v>
      </c>
      <c r="E98"/>
      <c r="F98" s="9">
        <f>+Harvest!F98/Effort!F98</f>
        <v>15.024085835784716</v>
      </c>
      <c r="G98" s="64"/>
      <c r="H98" s="9">
        <f>+Harvest!H98/Effort!H98</f>
        <v>14.999999999999998</v>
      </c>
      <c r="J98" s="1" t="s">
        <v>11</v>
      </c>
      <c r="L98" s="1" t="s">
        <v>11</v>
      </c>
      <c r="N98" s="1" t="s">
        <v>11</v>
      </c>
      <c r="O98" s="108">
        <f>+Harvest!O98/Effort!O98</f>
        <v>15.0135646078863</v>
      </c>
    </row>
    <row r="99" spans="1:15" x14ac:dyDescent="0.25">
      <c r="A99" s="4">
        <v>41757</v>
      </c>
      <c r="B99" s="116">
        <f t="shared" si="12"/>
        <v>41757</v>
      </c>
      <c r="C99" s="13">
        <v>-0.8</v>
      </c>
      <c r="D99" s="109">
        <v>0.27708333333333335</v>
      </c>
      <c r="E99"/>
      <c r="F99" s="9">
        <f>+Harvest!F99/Effort!F99</f>
        <v>14.934782608695654</v>
      </c>
      <c r="G99" s="64"/>
      <c r="H99" s="9">
        <f>+Harvest!H99/Effort!H99</f>
        <v>14.857142857142859</v>
      </c>
      <c r="J99" s="1" t="s">
        <v>11</v>
      </c>
      <c r="L99" s="1" t="s">
        <v>11</v>
      </c>
      <c r="N99" s="1" t="s">
        <v>11</v>
      </c>
      <c r="O99" s="108">
        <f>+Harvest!O99/Effort!O99</f>
        <v>14.89997977918987</v>
      </c>
    </row>
    <row r="100" spans="1:15" x14ac:dyDescent="0.25">
      <c r="A100" s="4">
        <v>41758</v>
      </c>
      <c r="B100" s="116">
        <f t="shared" si="12"/>
        <v>41758</v>
      </c>
      <c r="C100" s="13">
        <v>-1.1000000000000001</v>
      </c>
      <c r="D100" s="109">
        <v>0.30694444444444441</v>
      </c>
      <c r="E100"/>
      <c r="F100" s="9">
        <f>+Harvest!F100/Effort!F100</f>
        <v>14.999999999999998</v>
      </c>
      <c r="G100" s="64"/>
      <c r="H100" s="9">
        <f>+Harvest!H100/Effort!H100</f>
        <v>14.999999999999998</v>
      </c>
      <c r="J100" s="1" t="s">
        <v>11</v>
      </c>
      <c r="L100" s="1" t="s">
        <v>11</v>
      </c>
      <c r="N100" s="1" t="s">
        <v>11</v>
      </c>
      <c r="O100" s="108">
        <f>+Harvest!O100/Effort!O100</f>
        <v>15</v>
      </c>
    </row>
    <row r="101" spans="1:15" x14ac:dyDescent="0.25">
      <c r="A101" s="4">
        <v>41759</v>
      </c>
      <c r="B101" s="116">
        <f t="shared" si="12"/>
        <v>41759</v>
      </c>
      <c r="C101" s="13">
        <v>-1.2</v>
      </c>
      <c r="D101" s="109">
        <v>0.3354166666666667</v>
      </c>
      <c r="E101"/>
      <c r="F101" s="9">
        <f>+Harvest!F101/Effort!F101</f>
        <v>15</v>
      </c>
      <c r="G101" s="64"/>
      <c r="H101" s="9">
        <f>+Harvest!H101/Effort!H101</f>
        <v>15</v>
      </c>
      <c r="J101" s="1" t="s">
        <v>11</v>
      </c>
      <c r="L101" s="1" t="s">
        <v>11</v>
      </c>
      <c r="N101" s="1" t="s">
        <v>11</v>
      </c>
      <c r="O101" s="108">
        <f>+Harvest!O101/Effort!O101</f>
        <v>14.999999999999998</v>
      </c>
    </row>
    <row r="102" spans="1:15" x14ac:dyDescent="0.25">
      <c r="A102" s="4">
        <v>41760</v>
      </c>
      <c r="B102" s="116">
        <f t="shared" si="12"/>
        <v>41760</v>
      </c>
      <c r="C102" s="13">
        <v>-1</v>
      </c>
      <c r="D102" s="109">
        <v>0.36319444444444443</v>
      </c>
      <c r="E102"/>
      <c r="F102" s="9">
        <f>+Harvest!F102/Effort!F102</f>
        <v>15.000000000000002</v>
      </c>
      <c r="G102" s="64"/>
      <c r="H102" s="9">
        <f>+Harvest!H102/Effort!H102</f>
        <v>14.999999999999998</v>
      </c>
      <c r="J102" s="1" t="s">
        <v>11</v>
      </c>
      <c r="L102" s="1" t="s">
        <v>11</v>
      </c>
      <c r="N102" s="1" t="s">
        <v>11</v>
      </c>
      <c r="O102" s="108">
        <f>+Harvest!O102/Effort!O102</f>
        <v>15</v>
      </c>
    </row>
    <row r="103" spans="1:15" x14ac:dyDescent="0.25">
      <c r="A103" s="4">
        <v>41761</v>
      </c>
      <c r="B103" s="116">
        <f t="shared" si="12"/>
        <v>41761</v>
      </c>
      <c r="C103" s="13">
        <v>-0.7</v>
      </c>
      <c r="D103" s="109">
        <v>0.39097222222222222</v>
      </c>
      <c r="E103"/>
      <c r="F103" s="9">
        <f>+Harvest!F103/Effort!F103</f>
        <v>14.603174603174601</v>
      </c>
      <c r="G103" s="64"/>
      <c r="H103" s="9">
        <f>+Harvest!H103/Effort!H103</f>
        <v>14.999999999999998</v>
      </c>
      <c r="J103" s="1" t="s">
        <v>11</v>
      </c>
      <c r="L103" s="9">
        <f>+Harvest!L103/Effort!L103</f>
        <v>14.700000000000003</v>
      </c>
      <c r="N103" s="1" t="s">
        <v>11</v>
      </c>
      <c r="O103" s="108">
        <f>+Harvest!O103/Effort!O103</f>
        <v>14.754249572391636</v>
      </c>
    </row>
    <row r="104" spans="1:15" x14ac:dyDescent="0.25">
      <c r="A104" s="4">
        <v>41762</v>
      </c>
      <c r="B104" s="116">
        <f t="shared" si="12"/>
        <v>41762</v>
      </c>
      <c r="C104" s="13">
        <v>-0.3</v>
      </c>
      <c r="D104" s="109">
        <v>0.41944444444444445</v>
      </c>
      <c r="E104"/>
      <c r="F104" s="9">
        <f>+Harvest!F104/Effort!F104</f>
        <v>12.672131147540984</v>
      </c>
      <c r="G104" s="64"/>
      <c r="H104" s="9">
        <f>+Harvest!H104/Effort!H104</f>
        <v>14.745098039215685</v>
      </c>
      <c r="J104" s="1" t="s">
        <v>11</v>
      </c>
      <c r="L104" s="9">
        <f>+Harvest!L104/Effort!L104</f>
        <v>13.813559322033896</v>
      </c>
      <c r="N104" s="1" t="s">
        <v>11</v>
      </c>
      <c r="O104" s="108">
        <f>+Harvest!O104/Effort!O104</f>
        <v>13.611149082073615</v>
      </c>
    </row>
    <row r="105" spans="1:15" x14ac:dyDescent="0.25">
      <c r="A105" s="4">
        <v>41763</v>
      </c>
      <c r="B105" s="116">
        <f t="shared" si="12"/>
        <v>41763</v>
      </c>
      <c r="C105" s="13">
        <v>0.1</v>
      </c>
      <c r="D105" s="109">
        <v>0.44930555555555557</v>
      </c>
      <c r="E105"/>
      <c r="F105" s="9">
        <f>+Harvest!F105/Effort!F105</f>
        <v>7.67741935483871</v>
      </c>
      <c r="G105" s="64"/>
      <c r="H105" s="9">
        <f>+Harvest!H105/Effort!H105</f>
        <v>8.9400000000000013</v>
      </c>
      <c r="J105" s="1" t="s">
        <v>11</v>
      </c>
      <c r="L105" s="9">
        <f>+Harvest!L105/Effort!L105</f>
        <v>8.8461538461538449</v>
      </c>
      <c r="N105" s="1" t="s">
        <v>11</v>
      </c>
      <c r="O105" s="108">
        <f>+Harvest!O105/Effort!O105</f>
        <v>8.4969531934305458</v>
      </c>
    </row>
    <row r="106" spans="1:15" x14ac:dyDescent="0.25">
      <c r="A106" s="4"/>
      <c r="C106"/>
      <c r="D106" s="109"/>
      <c r="E106"/>
      <c r="O106" s="16"/>
    </row>
    <row r="107" spans="1:15" x14ac:dyDescent="0.25">
      <c r="A107" s="4">
        <v>41772</v>
      </c>
      <c r="B107" s="116">
        <f t="shared" ref="B107:B114" si="13">+A107</f>
        <v>41772</v>
      </c>
      <c r="C107" s="13">
        <v>-0.6</v>
      </c>
      <c r="D107" s="109">
        <v>0.26458333333333334</v>
      </c>
      <c r="E107"/>
      <c r="F107" s="9" t="s">
        <v>11</v>
      </c>
      <c r="G107" s="64"/>
      <c r="H107" s="9">
        <f>+Harvest!H107/Effort!H107</f>
        <v>15.000000000000002</v>
      </c>
      <c r="J107" s="1" t="s">
        <v>11</v>
      </c>
      <c r="L107" s="9" t="s">
        <v>11</v>
      </c>
      <c r="N107" s="1" t="s">
        <v>11</v>
      </c>
      <c r="O107" s="108">
        <f>+Harvest!O107/Effort!O107</f>
        <v>15.000000000000002</v>
      </c>
    </row>
    <row r="108" spans="1:15" x14ac:dyDescent="0.25">
      <c r="A108" s="4">
        <v>41773</v>
      </c>
      <c r="B108" s="116">
        <f t="shared" si="13"/>
        <v>41773</v>
      </c>
      <c r="C108" s="13">
        <v>-1.2</v>
      </c>
      <c r="D108" s="109">
        <v>0.29305555555555557</v>
      </c>
      <c r="E108"/>
      <c r="F108" s="9">
        <f>+Harvest!F108/Effort!F108</f>
        <v>14.999999999999998</v>
      </c>
      <c r="G108" s="64"/>
      <c r="H108" s="9">
        <f>+Harvest!H108/Effort!H108</f>
        <v>15</v>
      </c>
      <c r="J108" s="1" t="s">
        <v>11</v>
      </c>
      <c r="L108" s="9" t="s">
        <v>11</v>
      </c>
      <c r="N108" s="1" t="s">
        <v>11</v>
      </c>
      <c r="O108" s="108">
        <f>+Harvest!O108/Effort!O108</f>
        <v>14.999999999999998</v>
      </c>
    </row>
    <row r="109" spans="1:15" x14ac:dyDescent="0.25">
      <c r="A109" s="4">
        <v>41774</v>
      </c>
      <c r="B109" s="116">
        <f t="shared" si="13"/>
        <v>41774</v>
      </c>
      <c r="C109" s="13">
        <v>-1.5</v>
      </c>
      <c r="D109" s="109">
        <v>0.32222222222222224</v>
      </c>
      <c r="E109"/>
      <c r="F109" s="9">
        <f>+Harvest!F109/Effort!F109</f>
        <v>15</v>
      </c>
      <c r="G109" s="64"/>
      <c r="H109" s="9">
        <f>+Harvest!H109/Effort!H109</f>
        <v>15</v>
      </c>
      <c r="J109" s="1" t="s">
        <v>11</v>
      </c>
      <c r="L109" s="9" t="s">
        <v>11</v>
      </c>
      <c r="N109" s="1" t="s">
        <v>11</v>
      </c>
      <c r="O109" s="108">
        <f>+Harvest!O109/Effort!O109</f>
        <v>15.000000000000002</v>
      </c>
    </row>
    <row r="110" spans="1:15" x14ac:dyDescent="0.25">
      <c r="A110" s="4">
        <v>41775</v>
      </c>
      <c r="B110" s="116">
        <f t="shared" si="13"/>
        <v>41775</v>
      </c>
      <c r="C110" s="13">
        <v>-1.7</v>
      </c>
      <c r="D110" s="109">
        <v>0.3520833333333333</v>
      </c>
      <c r="E110"/>
      <c r="F110" s="9">
        <f>+Harvest!F110/Effort!F110</f>
        <v>14.999999999999998</v>
      </c>
      <c r="G110" s="64"/>
      <c r="H110" s="9">
        <f>+Harvest!H110/Effort!H110</f>
        <v>15</v>
      </c>
      <c r="J110" s="9">
        <f>+Harvest!J110/Effort!J110</f>
        <v>15.031250000000002</v>
      </c>
      <c r="L110" s="9" t="s">
        <v>11</v>
      </c>
      <c r="N110" s="1" t="s">
        <v>11</v>
      </c>
      <c r="O110" s="108">
        <f>+Harvest!O110/Effort!O110</f>
        <v>15.009880422829271</v>
      </c>
    </row>
    <row r="111" spans="1:15" x14ac:dyDescent="0.25">
      <c r="A111" s="4">
        <v>41776</v>
      </c>
      <c r="B111" s="116">
        <f t="shared" si="13"/>
        <v>41776</v>
      </c>
      <c r="C111" s="13">
        <v>-1.7</v>
      </c>
      <c r="D111" s="109">
        <v>0.3833333333333333</v>
      </c>
      <c r="E111"/>
      <c r="F111" s="9">
        <f>+Harvest!F111/Effort!F111</f>
        <v>15.000000000000002</v>
      </c>
      <c r="G111" s="64"/>
      <c r="H111" s="9">
        <f>+Harvest!H111/Effort!H111</f>
        <v>15</v>
      </c>
      <c r="J111" s="9">
        <f>+Harvest!J111/Effort!J111</f>
        <v>15.187500000000002</v>
      </c>
      <c r="L111" s="9">
        <f>+Harvest!L111/Effort!L111</f>
        <v>15.000000000000002</v>
      </c>
      <c r="N111" s="1" t="s">
        <v>11</v>
      </c>
      <c r="O111" s="108">
        <f>+Harvest!O111/Effort!O111</f>
        <v>15.055369874765164</v>
      </c>
    </row>
    <row r="112" spans="1:15" x14ac:dyDescent="0.25">
      <c r="A112" s="4">
        <v>41777</v>
      </c>
      <c r="B112" s="116">
        <f t="shared" si="13"/>
        <v>41777</v>
      </c>
      <c r="C112" s="13">
        <v>-1.5</v>
      </c>
      <c r="D112" s="109">
        <v>0.41597222222222219</v>
      </c>
      <c r="E112"/>
      <c r="F112" s="9">
        <f>+Harvest!F112/Effort!F112</f>
        <v>15</v>
      </c>
      <c r="G112" s="64"/>
      <c r="H112" s="9">
        <f>+Harvest!H112/Effort!H112</f>
        <v>14.911111111111111</v>
      </c>
      <c r="J112" s="9">
        <f>+Harvest!J112/Effort!J112</f>
        <v>14.999999999999998</v>
      </c>
      <c r="L112" s="9">
        <f>+Harvest!L112/Effort!L112</f>
        <v>14.999999999999996</v>
      </c>
      <c r="N112" s="1" t="s">
        <v>11</v>
      </c>
      <c r="O112" s="108">
        <f>+Harvest!O112/Effort!O112</f>
        <v>14.976326839384919</v>
      </c>
    </row>
    <row r="113" spans="1:15" x14ac:dyDescent="0.25">
      <c r="A113" s="4">
        <v>41778</v>
      </c>
      <c r="B113" s="116">
        <f t="shared" si="13"/>
        <v>41778</v>
      </c>
      <c r="C113" s="13">
        <v>-1.1000000000000001</v>
      </c>
      <c r="D113" s="109">
        <v>0.4513888888888889</v>
      </c>
      <c r="E113"/>
      <c r="F113" s="9" t="s">
        <v>11</v>
      </c>
      <c r="G113" s="64"/>
      <c r="H113" s="9">
        <f>+Harvest!H113/Effort!H113</f>
        <v>15</v>
      </c>
      <c r="J113" s="1" t="s">
        <v>11</v>
      </c>
      <c r="L113" s="9" t="s">
        <v>11</v>
      </c>
      <c r="N113" s="1" t="s">
        <v>11</v>
      </c>
      <c r="O113" s="108">
        <f>+Harvest!O113/Effort!O113</f>
        <v>15</v>
      </c>
    </row>
    <row r="114" spans="1:15" x14ac:dyDescent="0.25">
      <c r="A114" s="4">
        <v>41779</v>
      </c>
      <c r="B114" s="116">
        <f t="shared" si="13"/>
        <v>41779</v>
      </c>
      <c r="C114" s="13">
        <v>-0.6</v>
      </c>
      <c r="D114" s="109">
        <v>0.48888888888888887</v>
      </c>
      <c r="E114"/>
      <c r="F114" s="1" t="s">
        <v>11</v>
      </c>
      <c r="H114" s="9">
        <f>+Harvest!H114/Effort!H114</f>
        <v>14.942307692307693</v>
      </c>
      <c r="J114" s="1" t="s">
        <v>11</v>
      </c>
      <c r="L114" s="1" t="s">
        <v>11</v>
      </c>
      <c r="N114" s="1" t="s">
        <v>11</v>
      </c>
      <c r="O114" s="108">
        <f>+Harvest!O114/Effort!O114</f>
        <v>14.942307692307693</v>
      </c>
    </row>
    <row r="115" spans="1:15" x14ac:dyDescent="0.25">
      <c r="A115" s="54"/>
      <c r="B115" s="5"/>
      <c r="C115" s="59"/>
      <c r="D115" s="60"/>
      <c r="E115" s="2"/>
      <c r="F115" s="8"/>
      <c r="G115" s="64"/>
      <c r="H115" s="9"/>
      <c r="I115" s="64"/>
      <c r="J115" s="8"/>
      <c r="K115" s="64"/>
      <c r="L115" s="8"/>
      <c r="M115" s="64"/>
      <c r="N115" s="8"/>
      <c r="O115" s="16"/>
    </row>
    <row r="116" spans="1:15" x14ac:dyDescent="0.25">
      <c r="A116" s="4">
        <v>41786</v>
      </c>
      <c r="B116" s="116">
        <f t="shared" ref="B116:B121" si="14">+A116</f>
        <v>41786</v>
      </c>
      <c r="C116" s="13">
        <v>-1.1000000000000001</v>
      </c>
      <c r="D116" s="109">
        <v>0.26666666666666666</v>
      </c>
      <c r="E116" s="2"/>
      <c r="F116" s="9">
        <f>+Harvest!F116/Effort!F116</f>
        <v>15</v>
      </c>
      <c r="G116" s="64"/>
      <c r="H116" s="9">
        <f>+Harvest!H116/Effort!H116</f>
        <v>15.000000000000002</v>
      </c>
      <c r="I116" s="64"/>
      <c r="J116" s="1" t="s">
        <v>11</v>
      </c>
      <c r="K116" s="64"/>
      <c r="L116" s="1" t="s">
        <v>11</v>
      </c>
      <c r="M116" s="64"/>
      <c r="N116" s="1" t="s">
        <v>11</v>
      </c>
      <c r="O116" s="108">
        <f>+Harvest!O116/Effort!O116</f>
        <v>15.000000000000002</v>
      </c>
    </row>
    <row r="117" spans="1:15" x14ac:dyDescent="0.25">
      <c r="A117" s="4">
        <v>41787</v>
      </c>
      <c r="B117" s="116">
        <f t="shared" si="14"/>
        <v>41787</v>
      </c>
      <c r="C117" s="13">
        <v>-1.3</v>
      </c>
      <c r="D117" s="109">
        <v>0.29722222222222222</v>
      </c>
      <c r="E117" s="2"/>
      <c r="F117" s="9">
        <f>+Harvest!F117/Effort!F117</f>
        <v>15</v>
      </c>
      <c r="G117" s="64"/>
      <c r="H117" s="9">
        <f>+Harvest!H117/Effort!H117</f>
        <v>15.000000000000002</v>
      </c>
      <c r="I117" s="64"/>
      <c r="J117" s="1" t="s">
        <v>11</v>
      </c>
      <c r="K117" s="64"/>
      <c r="L117" s="1" t="s">
        <v>11</v>
      </c>
      <c r="M117" s="64"/>
      <c r="N117" s="1" t="s">
        <v>11</v>
      </c>
      <c r="O117" s="108">
        <f>+Harvest!O117/Effort!O117</f>
        <v>15.000000000000002</v>
      </c>
    </row>
    <row r="118" spans="1:15" x14ac:dyDescent="0.25">
      <c r="A118" s="4">
        <v>41788</v>
      </c>
      <c r="B118" s="116">
        <f t="shared" si="14"/>
        <v>41788</v>
      </c>
      <c r="C118" s="13">
        <v>-1.4</v>
      </c>
      <c r="D118" s="109">
        <v>0.30902777777777779</v>
      </c>
      <c r="E118" s="2"/>
      <c r="F118" s="9">
        <f>+Harvest!F118/Effort!F118</f>
        <v>15</v>
      </c>
      <c r="G118" s="64"/>
      <c r="H118" s="9">
        <f>+Harvest!H118/Effort!H118</f>
        <v>15</v>
      </c>
      <c r="J118" s="9">
        <f>+Harvest!J118/Effort!J118</f>
        <v>15.000000000000002</v>
      </c>
      <c r="L118" s="9">
        <f>+Harvest!L118/Effort!L118</f>
        <v>15</v>
      </c>
      <c r="M118" s="64"/>
      <c r="N118" s="1" t="s">
        <v>11</v>
      </c>
      <c r="O118" s="108">
        <f>+Harvest!O118/Effort!O118</f>
        <v>15</v>
      </c>
    </row>
    <row r="119" spans="1:15" x14ac:dyDescent="0.25">
      <c r="A119" s="4">
        <v>41789</v>
      </c>
      <c r="B119" s="116">
        <f t="shared" si="14"/>
        <v>41789</v>
      </c>
      <c r="C119" s="13">
        <v>-1.3</v>
      </c>
      <c r="D119" s="109">
        <v>0.34930555555555554</v>
      </c>
      <c r="E119" s="2"/>
      <c r="F119" s="9">
        <f>+Harvest!F119/Effort!F119</f>
        <v>14.784615384615385</v>
      </c>
      <c r="G119" s="64"/>
      <c r="H119" s="9">
        <f>+Harvest!H119/Effort!H119</f>
        <v>15</v>
      </c>
      <c r="J119" s="9">
        <f>+Harvest!J119/Effort!J119</f>
        <v>15</v>
      </c>
      <c r="L119" s="9">
        <f>+Harvest!L119/Effort!L119</f>
        <v>15</v>
      </c>
      <c r="M119" s="64"/>
      <c r="N119" s="1" t="s">
        <v>11</v>
      </c>
      <c r="O119" s="108">
        <f>+Harvest!O119/Effort!O119</f>
        <v>14.953998822694061</v>
      </c>
    </row>
    <row r="120" spans="1:15" x14ac:dyDescent="0.25">
      <c r="A120" s="4">
        <v>41790</v>
      </c>
      <c r="B120" s="116">
        <f t="shared" si="14"/>
        <v>41790</v>
      </c>
      <c r="C120" s="13">
        <v>-1</v>
      </c>
      <c r="D120" s="109">
        <v>0.375</v>
      </c>
      <c r="E120" s="2"/>
      <c r="F120" s="9">
        <f>+Harvest!F120/Effort!F120</f>
        <v>15.000000000000002</v>
      </c>
      <c r="G120" s="64"/>
      <c r="H120" s="9">
        <f>+Harvest!H120/Effort!H120</f>
        <v>15.000000000000002</v>
      </c>
      <c r="J120" s="9">
        <f>+Harvest!J120/Effort!J120</f>
        <v>15.074074074074078</v>
      </c>
      <c r="L120" s="9">
        <f>+Harvest!L120/Effort!L120</f>
        <v>14.984375000000002</v>
      </c>
      <c r="M120" s="64"/>
      <c r="N120" s="1" t="s">
        <v>11</v>
      </c>
      <c r="O120" s="108">
        <f>+Harvest!O120/Effort!O120</f>
        <v>15.026380545278565</v>
      </c>
    </row>
    <row r="121" spans="1:15" x14ac:dyDescent="0.25">
      <c r="A121" s="4">
        <v>41791</v>
      </c>
      <c r="B121" s="116">
        <f t="shared" si="14"/>
        <v>41791</v>
      </c>
      <c r="C121" s="13">
        <v>-0.7</v>
      </c>
      <c r="D121" s="109">
        <v>0.40069444444444446</v>
      </c>
      <c r="E121" s="2"/>
      <c r="F121" s="9">
        <f>+Harvest!F121/Effort!F121</f>
        <v>15</v>
      </c>
      <c r="G121" s="64"/>
      <c r="H121" s="9">
        <f>+Harvest!H121/Effort!H121</f>
        <v>14.999999999999998</v>
      </c>
      <c r="J121" s="9">
        <f>+Harvest!J121/Effort!J121</f>
        <v>14.999999999999996</v>
      </c>
      <c r="K121" s="2" t="s">
        <v>49</v>
      </c>
      <c r="L121" s="9">
        <v>15</v>
      </c>
      <c r="M121" s="64"/>
      <c r="N121" s="1" t="s">
        <v>11</v>
      </c>
      <c r="O121" s="108">
        <f>+Harvest!O121/Effort!O121</f>
        <v>14.999999999999998</v>
      </c>
    </row>
    <row r="122" spans="1:15" x14ac:dyDescent="0.25">
      <c r="A122" s="54"/>
      <c r="B122" s="5"/>
      <c r="C122" s="59"/>
      <c r="D122" s="60"/>
      <c r="E122" s="2"/>
      <c r="F122" s="8"/>
      <c r="G122" s="64"/>
      <c r="H122" s="9"/>
      <c r="I122" s="64"/>
      <c r="J122" s="8"/>
      <c r="K122" s="64"/>
      <c r="L122" s="8"/>
      <c r="M122" s="64"/>
      <c r="N122" s="8"/>
      <c r="O122" s="16"/>
    </row>
    <row r="123" spans="1:15" x14ac:dyDescent="0.25">
      <c r="A123" s="18" t="s">
        <v>19</v>
      </c>
      <c r="F123" s="44">
        <f>Harvest!F123/Effort!F123</f>
        <v>12.739754326745611</v>
      </c>
      <c r="H123" s="44">
        <f>Harvest!H123/Effort!H123</f>
        <v>13.826504150824656</v>
      </c>
      <c r="J123" s="44">
        <f>Harvest!J123/Effort!J123</f>
        <v>14.031677896704037</v>
      </c>
      <c r="L123" s="44">
        <f>Harvest!L123/Effort!L123</f>
        <v>13.549824624211393</v>
      </c>
      <c r="N123" s="44"/>
      <c r="O123" s="44"/>
    </row>
    <row r="124" spans="1:15" x14ac:dyDescent="0.25">
      <c r="A124" s="17" t="s">
        <v>18</v>
      </c>
    </row>
  </sheetData>
  <mergeCells count="5">
    <mergeCell ref="E1:F1"/>
    <mergeCell ref="G1:H1"/>
    <mergeCell ref="I1:J1"/>
    <mergeCell ref="K1:L1"/>
    <mergeCell ref="M1:N1"/>
  </mergeCells>
  <pageMargins left="0.2" right="0.37" top="0.75" bottom="0.5" header="0.2" footer="0.25"/>
  <pageSetup scale="38" orientation="landscape" r:id="rId1"/>
  <headerFooter>
    <oddHeader>&amp;L&amp;12 2010 Fall / 2011 Spring Razor Clam Harvest Totals
&amp;"-,Italic"(Clams per Digger Trip)&amp;C&amp;12Non-Indian fishery&amp;R&amp;12&amp;KFF0000PRELIMINARY ESTIMATE</oddHeader>
    <oddFooter>&amp;LPage 2 of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28"/>
  <sheetViews>
    <sheetView showRuler="0" zoomScaleNormal="100" workbookViewId="0">
      <selection activeCell="W2" sqref="W2"/>
    </sheetView>
  </sheetViews>
  <sheetFormatPr defaultRowHeight="15" x14ac:dyDescent="0.25"/>
  <cols>
    <col min="1" max="1" width="8" customWidth="1"/>
    <col min="2" max="2" width="4.5703125" bestFit="1" customWidth="1"/>
    <col min="3" max="3" width="4.5703125" customWidth="1"/>
    <col min="4" max="4" width="8.42578125" bestFit="1" customWidth="1"/>
    <col min="5" max="5" width="7.5703125" bestFit="1" customWidth="1"/>
    <col min="6" max="6" width="8.85546875" bestFit="1" customWidth="1"/>
    <col min="7" max="7" width="9.5703125" customWidth="1"/>
    <col min="8" max="8" width="7.42578125" bestFit="1" customWidth="1"/>
    <col min="9" max="9" width="8.85546875" bestFit="1" customWidth="1"/>
    <col min="10" max="10" width="7" customWidth="1"/>
    <col min="11" max="11" width="7.5703125" bestFit="1" customWidth="1"/>
    <col min="12" max="12" width="8.85546875" bestFit="1" customWidth="1"/>
    <col min="13" max="14" width="7.5703125" bestFit="1" customWidth="1"/>
    <col min="15" max="15" width="8.85546875" bestFit="1" customWidth="1"/>
    <col min="16" max="19" width="7.5703125" bestFit="1" customWidth="1"/>
  </cols>
  <sheetData>
    <row r="1" spans="1:21" ht="15.75" thickBot="1" x14ac:dyDescent="0.3">
      <c r="A1" s="172" t="s">
        <v>50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60"/>
      <c r="T1" s="160"/>
      <c r="U1" s="160"/>
    </row>
    <row r="2" spans="1:21" ht="15.75" thickTop="1" x14ac:dyDescent="0.25">
      <c r="A2" s="24"/>
      <c r="B2" s="24"/>
      <c r="C2" s="24"/>
      <c r="D2" s="24"/>
      <c r="E2" s="166" t="s">
        <v>20</v>
      </c>
      <c r="F2" s="167"/>
      <c r="G2" s="168"/>
      <c r="H2" s="166" t="s">
        <v>21</v>
      </c>
      <c r="I2" s="167"/>
      <c r="J2" s="168"/>
      <c r="K2" s="166" t="s">
        <v>22</v>
      </c>
      <c r="L2" s="167"/>
      <c r="M2" s="168"/>
      <c r="N2" s="166" t="s">
        <v>23</v>
      </c>
      <c r="O2" s="167"/>
      <c r="P2" s="168"/>
      <c r="Q2" s="169" t="s">
        <v>24</v>
      </c>
      <c r="R2" s="170"/>
      <c r="S2" s="171"/>
      <c r="T2" s="164" t="s">
        <v>25</v>
      </c>
      <c r="U2" s="165"/>
    </row>
    <row r="3" spans="1:21" ht="15.75" thickBot="1" x14ac:dyDescent="0.3">
      <c r="A3" s="25" t="s">
        <v>26</v>
      </c>
      <c r="B3" s="25" t="s">
        <v>27</v>
      </c>
      <c r="C3" s="25" t="s">
        <v>28</v>
      </c>
      <c r="D3" s="25" t="s">
        <v>29</v>
      </c>
      <c r="E3" s="26" t="s">
        <v>30</v>
      </c>
      <c r="F3" s="25" t="s">
        <v>31</v>
      </c>
      <c r="G3" s="25" t="s">
        <v>10</v>
      </c>
      <c r="H3" s="26" t="s">
        <v>30</v>
      </c>
      <c r="I3" s="25" t="s">
        <v>31</v>
      </c>
      <c r="J3" s="25" t="s">
        <v>10</v>
      </c>
      <c r="K3" s="26" t="s">
        <v>30</v>
      </c>
      <c r="L3" s="25" t="s">
        <v>31</v>
      </c>
      <c r="M3" s="25" t="s">
        <v>10</v>
      </c>
      <c r="N3" s="26" t="s">
        <v>30</v>
      </c>
      <c r="O3" s="25" t="s">
        <v>31</v>
      </c>
      <c r="P3" s="25" t="s">
        <v>10</v>
      </c>
      <c r="Q3" s="26" t="s">
        <v>30</v>
      </c>
      <c r="R3" s="25" t="s">
        <v>31</v>
      </c>
      <c r="S3" s="25" t="s">
        <v>10</v>
      </c>
      <c r="T3" s="26" t="s">
        <v>30</v>
      </c>
      <c r="U3" s="27" t="s">
        <v>31</v>
      </c>
    </row>
    <row r="4" spans="1:21" ht="15.75" thickTop="1" x14ac:dyDescent="0.25">
      <c r="A4" s="28">
        <v>41536</v>
      </c>
      <c r="B4" s="19">
        <f>+A4</f>
        <v>41536</v>
      </c>
      <c r="C4" s="20">
        <v>-0.3</v>
      </c>
      <c r="D4" s="21">
        <v>0.80069444444444438</v>
      </c>
      <c r="E4" s="31" t="str">
        <f>Effort!F2</f>
        <v>CLOSED</v>
      </c>
      <c r="F4" s="32" t="str">
        <f>Harvest!F2</f>
        <v>CLOSED</v>
      </c>
      <c r="G4" s="29" t="str">
        <f>CPUE!F2</f>
        <v>CLOSED</v>
      </c>
      <c r="H4" s="31">
        <f>Effort!H2</f>
        <v>3023.03575238347</v>
      </c>
      <c r="I4" s="32">
        <f>Harvest!H2</f>
        <v>45401.518429314703</v>
      </c>
      <c r="J4" s="29">
        <f>CPUE!H2</f>
        <v>15.018518518518517</v>
      </c>
      <c r="K4" s="31" t="str">
        <f>Effort!J2</f>
        <v>CLOSED</v>
      </c>
      <c r="L4" s="32" t="str">
        <f>Harvest!J2</f>
        <v>CLOSED</v>
      </c>
      <c r="M4" s="29" t="str">
        <f>CPUE!J2</f>
        <v>CLOSED</v>
      </c>
      <c r="N4" s="31" t="str">
        <f>Effort!L2</f>
        <v>CLOSED</v>
      </c>
      <c r="O4" s="32" t="str">
        <f>Harvest!L2</f>
        <v>CLOSED</v>
      </c>
      <c r="P4" s="29" t="str">
        <f>CPUE!L2</f>
        <v>CLOSED</v>
      </c>
      <c r="Q4" s="31" t="str">
        <f>Effort!N2</f>
        <v>CLOSED</v>
      </c>
      <c r="R4" s="32" t="str">
        <f>Harvest!N2</f>
        <v>CLOSED</v>
      </c>
      <c r="S4" s="33" t="str">
        <f>CPUE!N2</f>
        <v>CLOSED</v>
      </c>
      <c r="T4" s="31">
        <f>+H4</f>
        <v>3023.03575238347</v>
      </c>
      <c r="U4" s="32">
        <f>+I4</f>
        <v>45401.518429314703</v>
      </c>
    </row>
    <row r="5" spans="1:21" x14ac:dyDescent="0.25">
      <c r="A5" s="28">
        <v>41537</v>
      </c>
      <c r="B5" s="19">
        <f t="shared" ref="B5:B14" si="0">+A5</f>
        <v>41537</v>
      </c>
      <c r="C5" s="22">
        <v>-0.5</v>
      </c>
      <c r="D5" s="23">
        <v>0.83124999999999993</v>
      </c>
      <c r="E5" s="31" t="str">
        <f>Effort!F3</f>
        <v>CLOSED</v>
      </c>
      <c r="F5" s="32" t="str">
        <f>Harvest!F3</f>
        <v>CLOSED</v>
      </c>
      <c r="G5" s="29" t="str">
        <f>CPUE!F3</f>
        <v>CLOSED</v>
      </c>
      <c r="H5" s="31">
        <f>Effort!H3</f>
        <v>1669.6209838937152</v>
      </c>
      <c r="I5" s="32">
        <f>Harvest!H3</f>
        <v>21157.228405278172</v>
      </c>
      <c r="J5" s="29">
        <f>CPUE!H3</f>
        <v>12.671875</v>
      </c>
      <c r="K5" s="31" t="str">
        <f>Effort!J3</f>
        <v>CLOSED</v>
      </c>
      <c r="L5" s="32" t="str">
        <f>Harvest!J3</f>
        <v>CLOSED</v>
      </c>
      <c r="M5" s="29" t="str">
        <f>CPUE!J3</f>
        <v>CLOSED</v>
      </c>
      <c r="N5" s="31" t="str">
        <f>Effort!L3</f>
        <v>CLOSED</v>
      </c>
      <c r="O5" s="32" t="str">
        <f>Harvest!L3</f>
        <v>CLOSED</v>
      </c>
      <c r="P5" s="29" t="str">
        <f>CPUE!L3</f>
        <v>CLOSED</v>
      </c>
      <c r="Q5" s="31" t="str">
        <f>Effort!N3</f>
        <v>CLOSED</v>
      </c>
      <c r="R5" s="32" t="str">
        <f>Harvest!N3</f>
        <v>CLOSED</v>
      </c>
      <c r="S5" s="33" t="str">
        <f>CPUE!N3</f>
        <v>CLOSED</v>
      </c>
      <c r="T5" s="31">
        <f t="shared" ref="T5:T8" si="1">+H5</f>
        <v>1669.6209838937152</v>
      </c>
      <c r="U5" s="32">
        <f t="shared" ref="U5:U8" si="2">+I5</f>
        <v>21157.228405278172</v>
      </c>
    </row>
    <row r="6" spans="1:21" x14ac:dyDescent="0.25">
      <c r="A6" s="38">
        <v>41538</v>
      </c>
      <c r="B6" s="19">
        <f t="shared" si="0"/>
        <v>41538</v>
      </c>
      <c r="C6" s="29">
        <v>-0.5</v>
      </c>
      <c r="D6" s="30">
        <v>0.86041666666666661</v>
      </c>
      <c r="E6" s="31" t="str">
        <f>Effort!F4</f>
        <v>CLOSED</v>
      </c>
      <c r="F6" s="39" t="str">
        <f>Harvest!F4</f>
        <v>CLOSED</v>
      </c>
      <c r="G6" s="37" t="str">
        <f>CPUE!F4</f>
        <v>CLOSED</v>
      </c>
      <c r="H6" s="31">
        <f>Effort!H4</f>
        <v>3341.8734254315673</v>
      </c>
      <c r="I6" s="39">
        <f>Harvest!H4</f>
        <v>49505.040234359141</v>
      </c>
      <c r="J6" s="37">
        <f>CPUE!H4</f>
        <v>14.813559322033896</v>
      </c>
      <c r="K6" s="31" t="str">
        <f>Effort!J4</f>
        <v>CLOSED</v>
      </c>
      <c r="L6" s="39" t="str">
        <f>Harvest!J4</f>
        <v>CLOSED</v>
      </c>
      <c r="M6" s="37" t="str">
        <f>CPUE!J4</f>
        <v>CLOSED</v>
      </c>
      <c r="N6" s="31" t="str">
        <f>Effort!L4</f>
        <v>CLOSED</v>
      </c>
      <c r="O6" s="39" t="str">
        <f>Harvest!L4</f>
        <v>CLOSED</v>
      </c>
      <c r="P6" s="37" t="str">
        <f>CPUE!L4</f>
        <v>CLOSED</v>
      </c>
      <c r="Q6" s="31" t="str">
        <f>Effort!N4</f>
        <v>CLOSED</v>
      </c>
      <c r="R6" s="39" t="str">
        <f>Harvest!N4</f>
        <v>CLOSED</v>
      </c>
      <c r="S6" s="37" t="str">
        <f>CPUE!N4</f>
        <v>CLOSED</v>
      </c>
      <c r="T6" s="31">
        <f t="shared" si="1"/>
        <v>3341.8734254315673</v>
      </c>
      <c r="U6" s="39">
        <f t="shared" si="2"/>
        <v>49505.040234359141</v>
      </c>
    </row>
    <row r="7" spans="1:21" x14ac:dyDescent="0.25">
      <c r="A7" s="38">
        <v>41539</v>
      </c>
      <c r="B7" s="19">
        <f t="shared" si="0"/>
        <v>41539</v>
      </c>
      <c r="C7" s="29">
        <v>-0.3</v>
      </c>
      <c r="D7" s="30">
        <v>0.88958333333333339</v>
      </c>
      <c r="E7" s="31" t="str">
        <f>Effort!F5</f>
        <v>CLOSED</v>
      </c>
      <c r="F7" s="39" t="str">
        <f>Harvest!F5</f>
        <v>CLOSED</v>
      </c>
      <c r="G7" s="37" t="str">
        <f>CPUE!F5</f>
        <v>CLOSED</v>
      </c>
      <c r="H7" s="31">
        <f>Effort!H5</f>
        <v>673.80127170150422</v>
      </c>
      <c r="I7" s="39">
        <f>Harvest!H5</f>
        <v>9128.1002468241513</v>
      </c>
      <c r="J7" s="37">
        <f>CPUE!H5</f>
        <v>13.547169811320755</v>
      </c>
      <c r="K7" s="31" t="str">
        <f>Effort!J5</f>
        <v>CLOSED</v>
      </c>
      <c r="L7" s="39" t="str">
        <f>Harvest!J5</f>
        <v>CLOSED</v>
      </c>
      <c r="M7" s="37" t="str">
        <f>CPUE!J5</f>
        <v>CLOSED</v>
      </c>
      <c r="N7" s="31" t="str">
        <f>Effort!L5</f>
        <v>CLOSED</v>
      </c>
      <c r="O7" s="39" t="str">
        <f>Harvest!L5</f>
        <v>CLOSED</v>
      </c>
      <c r="P7" s="37" t="str">
        <f>CPUE!L5</f>
        <v>CLOSED</v>
      </c>
      <c r="Q7" s="31" t="str">
        <f>Effort!N5</f>
        <v>CLOSED</v>
      </c>
      <c r="R7" s="39" t="str">
        <f>Harvest!N5</f>
        <v>CLOSED</v>
      </c>
      <c r="S7" s="37" t="str">
        <f>CPUE!N5</f>
        <v>CLOSED</v>
      </c>
      <c r="T7" s="31">
        <f t="shared" si="1"/>
        <v>673.80127170150422</v>
      </c>
      <c r="U7" s="39">
        <f t="shared" si="2"/>
        <v>9128.1002468241513</v>
      </c>
    </row>
    <row r="8" spans="1:21" x14ac:dyDescent="0.25">
      <c r="A8" s="38">
        <v>41540</v>
      </c>
      <c r="B8" s="19">
        <f t="shared" si="0"/>
        <v>41540</v>
      </c>
      <c r="C8" s="29">
        <v>0</v>
      </c>
      <c r="D8" s="30">
        <v>0.9194444444444444</v>
      </c>
      <c r="E8" s="31" t="str">
        <f>Effort!F6</f>
        <v>CLOSED</v>
      </c>
      <c r="F8" s="39" t="str">
        <f>Harvest!F6</f>
        <v>CLOSED</v>
      </c>
      <c r="G8" s="37" t="str">
        <f>CPUE!F6</f>
        <v>CLOSED</v>
      </c>
      <c r="H8" s="31">
        <f>Effort!H6</f>
        <v>194.71300888288565</v>
      </c>
      <c r="I8" s="39">
        <f>Harvest!H6</f>
        <v>2336.5561065946281</v>
      </c>
      <c r="J8" s="37">
        <f>CPUE!H6</f>
        <v>12.000000000000002</v>
      </c>
      <c r="K8" s="31" t="str">
        <f>Effort!J6</f>
        <v>CLOSED</v>
      </c>
      <c r="L8" s="39" t="str">
        <f>Harvest!J6</f>
        <v>CLOSED</v>
      </c>
      <c r="M8" s="37" t="str">
        <f>CPUE!J6</f>
        <v>CLOSED</v>
      </c>
      <c r="N8" s="31" t="str">
        <f>Effort!L6</f>
        <v>CLOSED</v>
      </c>
      <c r="O8" s="39" t="str">
        <f>Harvest!L6</f>
        <v>CLOSED</v>
      </c>
      <c r="P8" s="37" t="str">
        <f>CPUE!L6</f>
        <v>CLOSED</v>
      </c>
      <c r="Q8" s="31" t="str">
        <f>Effort!N6</f>
        <v>CLOSED</v>
      </c>
      <c r="R8" s="39" t="str">
        <f>Harvest!N6</f>
        <v>CLOSED</v>
      </c>
      <c r="S8" s="37" t="str">
        <f>CPUE!N6</f>
        <v>CLOSED</v>
      </c>
      <c r="T8" s="31">
        <f t="shared" si="1"/>
        <v>194.71300888288565</v>
      </c>
      <c r="U8" s="39">
        <f t="shared" si="2"/>
        <v>2336.5561065946281</v>
      </c>
    </row>
    <row r="9" spans="1:21" x14ac:dyDescent="0.25">
      <c r="A9" s="162" t="s">
        <v>32</v>
      </c>
      <c r="B9" s="162"/>
      <c r="C9" s="162"/>
      <c r="D9" s="163"/>
      <c r="E9" s="35">
        <f>SUM(E4:E8)</f>
        <v>0</v>
      </c>
      <c r="F9" s="36">
        <f>SUM(F4:F8)</f>
        <v>0</v>
      </c>
      <c r="G9" s="34" t="e">
        <f>+F9/E9</f>
        <v>#DIV/0!</v>
      </c>
      <c r="H9" s="35">
        <f>SUM(H4:H8)</f>
        <v>8903.0444422931432</v>
      </c>
      <c r="I9" s="36">
        <f>SUM(I4:I8)</f>
        <v>127528.44342237079</v>
      </c>
      <c r="J9" s="34">
        <f>+I9/H9</f>
        <v>14.324138697607522</v>
      </c>
      <c r="K9" s="35">
        <f>SUM(K4:K8)</f>
        <v>0</v>
      </c>
      <c r="L9" s="36">
        <f>SUM(L4:L8)</f>
        <v>0</v>
      </c>
      <c r="M9" s="34" t="e">
        <f>+L9/K9</f>
        <v>#DIV/0!</v>
      </c>
      <c r="N9" s="35">
        <f>SUM(N4:N8)</f>
        <v>0</v>
      </c>
      <c r="O9" s="36">
        <f>SUM(O4:O8)</f>
        <v>0</v>
      </c>
      <c r="P9" s="34" t="e">
        <f>+O9/N9</f>
        <v>#DIV/0!</v>
      </c>
      <c r="Q9" s="35"/>
      <c r="R9" s="36"/>
      <c r="S9" s="34"/>
      <c r="T9" s="35">
        <f>SUM(T4:T8)</f>
        <v>8903.0444422931432</v>
      </c>
      <c r="U9" s="36">
        <f>SUM(U4:U8)</f>
        <v>127528.44342237079</v>
      </c>
    </row>
    <row r="10" spans="1:21" x14ac:dyDescent="0.25">
      <c r="A10" s="38">
        <v>41551</v>
      </c>
      <c r="B10" s="19">
        <f t="shared" si="0"/>
        <v>41551</v>
      </c>
      <c r="C10" s="29">
        <v>0</v>
      </c>
      <c r="D10" s="30">
        <v>0.78888888888888886</v>
      </c>
      <c r="E10" s="31">
        <f>Effort!F8</f>
        <v>1295.1217182423341</v>
      </c>
      <c r="F10" s="32">
        <f>Harvest!F8</f>
        <v>19426.82577363501</v>
      </c>
      <c r="G10" s="29">
        <f>CPUE!F8</f>
        <v>15</v>
      </c>
      <c r="H10" s="31">
        <f>Effort!H8</f>
        <v>1333.5092054178165</v>
      </c>
      <c r="I10" s="32">
        <f>Harvest!H8</f>
        <v>19957.164354329092</v>
      </c>
      <c r="J10" s="29">
        <f>CPUE!H8</f>
        <v>14.965899202830094</v>
      </c>
      <c r="K10" s="31">
        <f>Effort!J8</f>
        <v>1984.4408372567459</v>
      </c>
      <c r="L10" s="32">
        <f>Harvest!J8</f>
        <v>29369.724391399839</v>
      </c>
      <c r="M10" s="29">
        <f>CPUE!J8</f>
        <v>14.799999999999999</v>
      </c>
      <c r="N10" s="31">
        <f>Effort!L8</f>
        <v>1198.8660215033897</v>
      </c>
      <c r="O10" s="32">
        <f>Harvest!L8</f>
        <v>18271.325188482042</v>
      </c>
      <c r="P10" s="29">
        <f>CPUE!L8</f>
        <v>15.240506329113925</v>
      </c>
      <c r="Q10" s="31" t="str">
        <f>Effort!N8</f>
        <v>CLOSED</v>
      </c>
      <c r="R10" s="32" t="str">
        <f>Harvest!N8</f>
        <v>CLOSED</v>
      </c>
      <c r="S10" s="33" t="str">
        <f>CPUE!N8</f>
        <v>CLOSED</v>
      </c>
      <c r="T10" s="31">
        <f>+E10+H10+K10+N10</f>
        <v>5811.9377824202866</v>
      </c>
      <c r="U10" s="32">
        <f>+F10+I10+L10+O10</f>
        <v>87025.039707845979</v>
      </c>
    </row>
    <row r="11" spans="1:21" x14ac:dyDescent="0.25">
      <c r="A11" s="38">
        <v>41552</v>
      </c>
      <c r="B11" s="19">
        <f t="shared" si="0"/>
        <v>41552</v>
      </c>
      <c r="C11" s="29">
        <v>-0.4</v>
      </c>
      <c r="D11" s="30">
        <v>0.81666666666666676</v>
      </c>
      <c r="E11" s="31">
        <f>Effort!F9</f>
        <v>2719.8141808119881</v>
      </c>
      <c r="F11" s="32">
        <f>Harvest!F9</f>
        <v>40797.212712179818</v>
      </c>
      <c r="G11" s="29">
        <f>CPUE!F9</f>
        <v>14.999999999999998</v>
      </c>
      <c r="H11" s="31">
        <f>Effort!H9</f>
        <v>2281.1870987188777</v>
      </c>
      <c r="I11" s="32">
        <f>Harvest!H9</f>
        <v>34217.806480783162</v>
      </c>
      <c r="J11" s="29">
        <f>CPUE!H9</f>
        <v>14.999999999999998</v>
      </c>
      <c r="K11" s="31">
        <f>Effort!J9</f>
        <v>3901.9656946041728</v>
      </c>
      <c r="L11" s="32">
        <f>Harvest!J9</f>
        <v>58529.485419062592</v>
      </c>
      <c r="M11" s="29">
        <f>CPUE!J9</f>
        <v>15</v>
      </c>
      <c r="N11" s="31">
        <f>Effort!L9</f>
        <v>1543.6049156052168</v>
      </c>
      <c r="O11" s="32">
        <f>Harvest!L9</f>
        <v>23154.073734078251</v>
      </c>
      <c r="P11" s="29">
        <f>CPUE!L9</f>
        <v>15</v>
      </c>
      <c r="Q11" s="31" t="str">
        <f>Effort!N9</f>
        <v>CLOSED</v>
      </c>
      <c r="R11" s="32" t="str">
        <f>Harvest!N9</f>
        <v>CLOSED</v>
      </c>
      <c r="S11" s="33" t="str">
        <f>CPUE!N9</f>
        <v>CLOSED</v>
      </c>
      <c r="T11" s="31">
        <f>+E11+H11+K11+N11</f>
        <v>10446.571889740255</v>
      </c>
      <c r="U11" s="39">
        <f>+F11+I11+L11+O11</f>
        <v>156698.57834610384</v>
      </c>
    </row>
    <row r="12" spans="1:21" x14ac:dyDescent="0.25">
      <c r="A12" s="38">
        <v>41553</v>
      </c>
      <c r="B12" s="19">
        <f t="shared" si="0"/>
        <v>41553</v>
      </c>
      <c r="C12" s="29">
        <v>-0.7</v>
      </c>
      <c r="D12" s="30">
        <v>0.84513888888888899</v>
      </c>
      <c r="E12" s="31">
        <f>Effort!F10</f>
        <v>2021.2249971075817</v>
      </c>
      <c r="F12" s="32">
        <f>Harvest!F10</f>
        <v>28329.232895968162</v>
      </c>
      <c r="G12" s="29">
        <f>CPUE!F10</f>
        <v>14.015873015873012</v>
      </c>
      <c r="H12" s="31">
        <f>Effort!H10</f>
        <v>1647.1999999999998</v>
      </c>
      <c r="I12" s="32">
        <f>Harvest!H10</f>
        <v>21782.799999999999</v>
      </c>
      <c r="J12" s="29">
        <f>CPUE!H10</f>
        <v>13.224137931034484</v>
      </c>
      <c r="K12" s="31" t="str">
        <f>Effort!J10</f>
        <v>CLOSED</v>
      </c>
      <c r="L12" s="32" t="str">
        <f>Harvest!J10</f>
        <v>CLOSED</v>
      </c>
      <c r="M12" s="29" t="str">
        <f>CPUE!J10</f>
        <v>CLOSED</v>
      </c>
      <c r="N12" s="31">
        <f>Effort!L10</f>
        <v>1304.7559762568296</v>
      </c>
      <c r="O12" s="32">
        <f>Harvest!L10</f>
        <v>19208.907428225546</v>
      </c>
      <c r="P12" s="29">
        <f>CPUE!L10</f>
        <v>14.722222222222221</v>
      </c>
      <c r="Q12" s="31" t="str">
        <f>Effort!N10</f>
        <v>CLOSED</v>
      </c>
      <c r="R12" s="32" t="str">
        <f>Harvest!N10</f>
        <v>CLOSED</v>
      </c>
      <c r="S12" s="33" t="str">
        <f>CPUE!N10</f>
        <v>CLOSED</v>
      </c>
      <c r="T12" s="31">
        <f>+E12+H12+N12</f>
        <v>4973.1809733644113</v>
      </c>
      <c r="U12" s="39">
        <f>+F12+I12+O12</f>
        <v>69320.940324193711</v>
      </c>
    </row>
    <row r="13" spans="1:21" x14ac:dyDescent="0.25">
      <c r="A13" s="38">
        <v>41554</v>
      </c>
      <c r="B13" s="19">
        <f t="shared" si="0"/>
        <v>41554</v>
      </c>
      <c r="C13" s="29">
        <v>-0.8</v>
      </c>
      <c r="D13" s="30">
        <v>0.875</v>
      </c>
      <c r="E13" s="31">
        <f>Effort!F11</f>
        <v>456.73402361127734</v>
      </c>
      <c r="F13" s="32">
        <f>Harvest!F11</f>
        <v>5751.9941098545232</v>
      </c>
      <c r="G13" s="29">
        <f>CPUE!F11</f>
        <v>12.593749999999998</v>
      </c>
      <c r="H13" s="31">
        <f>Effort!H11</f>
        <v>429.96011632512904</v>
      </c>
      <c r="I13" s="32">
        <f>Harvest!H11</f>
        <v>6306.0817061018915</v>
      </c>
      <c r="J13" s="29">
        <f>CPUE!H11</f>
        <v>14.666666666666664</v>
      </c>
      <c r="K13" s="31" t="str">
        <f>Effort!J11</f>
        <v>CLOSED</v>
      </c>
      <c r="L13" s="32" t="str">
        <f>Harvest!J11</f>
        <v>CLOSED</v>
      </c>
      <c r="M13" s="29" t="str">
        <f>CPUE!J11</f>
        <v>CLOSED</v>
      </c>
      <c r="N13" s="31">
        <f>Effort!L11</f>
        <v>175.01988694491314</v>
      </c>
      <c r="O13" s="32">
        <f>Harvest!L11</f>
        <v>2052.5059468994359</v>
      </c>
      <c r="P13" s="29">
        <f>CPUE!L11</f>
        <v>11.727272727272727</v>
      </c>
      <c r="Q13" s="31" t="str">
        <f>Effort!N11</f>
        <v>CLOSED</v>
      </c>
      <c r="R13" s="32" t="str">
        <f>Harvest!N11</f>
        <v>CLOSED</v>
      </c>
      <c r="S13" s="33" t="str">
        <f>CPUE!N11</f>
        <v>CLOSED</v>
      </c>
      <c r="T13" s="31">
        <f>+E13+H13+N13</f>
        <v>1061.7140268813196</v>
      </c>
      <c r="U13" s="39">
        <f>+F13+I13+O13</f>
        <v>14110.581762855851</v>
      </c>
    </row>
    <row r="14" spans="1:21" x14ac:dyDescent="0.25">
      <c r="A14" s="38">
        <v>41555</v>
      </c>
      <c r="B14" s="19">
        <f t="shared" si="0"/>
        <v>41555</v>
      </c>
      <c r="C14" s="29">
        <v>-0.7</v>
      </c>
      <c r="D14" s="30">
        <v>0.90833333333333333</v>
      </c>
      <c r="E14" s="31" t="str">
        <f>Effort!F12</f>
        <v>CLOSED</v>
      </c>
      <c r="F14" s="32" t="str">
        <f>Harvest!F12</f>
        <v>CLOSED</v>
      </c>
      <c r="G14" s="29" t="str">
        <f>CPUE!F12</f>
        <v>CLOSED</v>
      </c>
      <c r="H14" s="31">
        <f>Effort!H12</f>
        <v>144.39325962317432</v>
      </c>
      <c r="I14" s="32">
        <f>Harvest!H12</f>
        <v>2165.8988943476152</v>
      </c>
      <c r="J14" s="29">
        <f>CPUE!H12</f>
        <v>15.000000000000004</v>
      </c>
      <c r="K14" s="31" t="str">
        <f>Effort!J12</f>
        <v>CLOSED</v>
      </c>
      <c r="L14" s="32" t="str">
        <f>Harvest!J12</f>
        <v>CLOSED</v>
      </c>
      <c r="M14" s="29" t="str">
        <f>CPUE!J12</f>
        <v>CLOSED</v>
      </c>
      <c r="N14" s="31" t="str">
        <f>Effort!L12</f>
        <v>CLOSED</v>
      </c>
      <c r="O14" s="32" t="str">
        <f>Harvest!L12</f>
        <v>CLOSED</v>
      </c>
      <c r="P14" s="29" t="str">
        <f>CPUE!L12</f>
        <v>CLOSED</v>
      </c>
      <c r="Q14" s="31" t="str">
        <f>Effort!N12</f>
        <v>CLOSED</v>
      </c>
      <c r="R14" s="32" t="str">
        <f>Harvest!N12</f>
        <v>CLOSED</v>
      </c>
      <c r="S14" s="33" t="str">
        <f>CPUE!N12</f>
        <v>CLOSED</v>
      </c>
      <c r="T14" s="31">
        <f>+H14</f>
        <v>144.39325962317432</v>
      </c>
      <c r="U14" s="39">
        <f>+I14</f>
        <v>2165.8988943476152</v>
      </c>
    </row>
    <row r="15" spans="1:21" x14ac:dyDescent="0.25">
      <c r="A15" s="162" t="s">
        <v>32</v>
      </c>
      <c r="B15" s="162"/>
      <c r="C15" s="162"/>
      <c r="D15" s="163"/>
      <c r="E15" s="35">
        <f>SUM(E10:E14)</f>
        <v>6492.8949197731818</v>
      </c>
      <c r="F15" s="36">
        <f>SUM(F10:F14)</f>
        <v>94305.265491637518</v>
      </c>
      <c r="G15" s="34">
        <f>+F15/E15</f>
        <v>14.524378825913898</v>
      </c>
      <c r="H15" s="35">
        <f>SUM(H10:H14)</f>
        <v>5836.2496800849976</v>
      </c>
      <c r="I15" s="36">
        <f>SUM(I10:I14)</f>
        <v>84429.75143556176</v>
      </c>
      <c r="J15" s="34">
        <f>+I15/H15</f>
        <v>14.466439248420254</v>
      </c>
      <c r="K15" s="35">
        <f>SUM(K10:K14)</f>
        <v>5886.4065318609191</v>
      </c>
      <c r="L15" s="36">
        <f>SUM(L10:L14)</f>
        <v>87899.209810462431</v>
      </c>
      <c r="M15" s="34">
        <f>+L15/K15</f>
        <v>14.932575474476126</v>
      </c>
      <c r="N15" s="35">
        <f>SUM(N10:N14)</f>
        <v>4222.2468003103495</v>
      </c>
      <c r="O15" s="36">
        <f>SUM(O10:O14)</f>
        <v>62686.812297685276</v>
      </c>
      <c r="P15" s="34">
        <f>+O15/N15</f>
        <v>14.846790171781901</v>
      </c>
      <c r="Q15" s="35"/>
      <c r="R15" s="36"/>
      <c r="S15" s="34"/>
      <c r="T15" s="35">
        <f>SUM(T10:T14)</f>
        <v>22437.797932029447</v>
      </c>
      <c r="U15" s="36">
        <f>SUM(U10:U14)</f>
        <v>329321.039035347</v>
      </c>
    </row>
    <row r="16" spans="1:21" x14ac:dyDescent="0.25">
      <c r="A16" s="38">
        <v>41564</v>
      </c>
      <c r="B16" s="19">
        <v>41564</v>
      </c>
      <c r="C16" s="29">
        <v>-0.2</v>
      </c>
      <c r="D16" s="30">
        <v>0.76041666666666663</v>
      </c>
      <c r="E16" s="31" t="str">
        <f>Effort!F14</f>
        <v>CLOSED</v>
      </c>
      <c r="F16" s="39" t="str">
        <f>Harvest!F14</f>
        <v>CLOSED</v>
      </c>
      <c r="G16" s="37" t="str">
        <f>CPUE!F14</f>
        <v>CLOSED</v>
      </c>
      <c r="H16" s="31">
        <f>Effort!H14</f>
        <v>1456.7097963550805</v>
      </c>
      <c r="I16" s="39">
        <f>Harvest!H14</f>
        <v>21850.646945326203</v>
      </c>
      <c r="J16" s="37">
        <f>CPUE!H14</f>
        <v>14.999999999999998</v>
      </c>
      <c r="K16" s="31" t="str">
        <f>Effort!J14</f>
        <v>CLOSED</v>
      </c>
      <c r="L16" s="39" t="str">
        <f>Harvest!J14</f>
        <v>CLOSED</v>
      </c>
      <c r="M16" s="37" t="str">
        <f>CPUE!J14</f>
        <v>CLOSED</v>
      </c>
      <c r="N16" s="31" t="str">
        <f>Effort!L14</f>
        <v>CLOSED</v>
      </c>
      <c r="O16" s="39" t="str">
        <f>Harvest!L14</f>
        <v>CLOSED</v>
      </c>
      <c r="P16" s="37" t="str">
        <f>CPUE!L14</f>
        <v>CLOSED</v>
      </c>
      <c r="Q16" s="31" t="str">
        <f>Effort!N14</f>
        <v>CLOSED</v>
      </c>
      <c r="R16" s="39" t="str">
        <f>Harvest!N14</f>
        <v>CLOSED</v>
      </c>
      <c r="S16" s="37" t="str">
        <f>CPUE!N14</f>
        <v>CLOSED</v>
      </c>
      <c r="T16" s="31">
        <f>+H16</f>
        <v>1456.7097963550805</v>
      </c>
      <c r="U16" s="39">
        <f>+I16</f>
        <v>21850.646945326203</v>
      </c>
    </row>
    <row r="17" spans="1:21" x14ac:dyDescent="0.25">
      <c r="A17" s="38">
        <v>41565</v>
      </c>
      <c r="B17" s="19">
        <v>41565</v>
      </c>
      <c r="C17" s="29">
        <v>-0.6</v>
      </c>
      <c r="D17" s="30">
        <v>0.7895833333333333</v>
      </c>
      <c r="E17" s="31">
        <f>Effort!F15</f>
        <v>2489.1640311586089</v>
      </c>
      <c r="F17" s="39">
        <f>Harvest!F15</f>
        <v>37337.46046737914</v>
      </c>
      <c r="G17" s="37">
        <f>CPUE!F15</f>
        <v>15.000000000000004</v>
      </c>
      <c r="H17" s="31">
        <f>Effort!H15</f>
        <v>1746.03125</v>
      </c>
      <c r="I17" s="39">
        <f>Harvest!H15</f>
        <v>26190.46875</v>
      </c>
      <c r="J17" s="37">
        <f>CPUE!H15</f>
        <v>15</v>
      </c>
      <c r="K17" s="31">
        <f>Effort!J15</f>
        <v>3251.1530723764149</v>
      </c>
      <c r="L17" s="39">
        <f>Harvest!J15</f>
        <v>46909.494330002555</v>
      </c>
      <c r="M17" s="37">
        <f>CPUE!J15</f>
        <v>14.428571428571427</v>
      </c>
      <c r="N17" s="31">
        <f>Effort!L15</f>
        <v>1026.4303453725004</v>
      </c>
      <c r="O17" s="39">
        <f>Harvest!L15</f>
        <v>15520.12148725889</v>
      </c>
      <c r="P17" s="37">
        <f>CPUE!L15</f>
        <v>15.120481927710841</v>
      </c>
      <c r="Q17" s="31" t="str">
        <f>Effort!N15</f>
        <v>CLOSED</v>
      </c>
      <c r="R17" s="39" t="str">
        <f>Harvest!N15</f>
        <v>CLOSED</v>
      </c>
      <c r="S17" s="37" t="str">
        <f>CPUE!N15</f>
        <v>CLOSED</v>
      </c>
      <c r="T17" s="31">
        <f>+E17+H17+K17+N17</f>
        <v>8512.7786989075248</v>
      </c>
      <c r="U17" s="39">
        <f>+F17+I17+L17+O17</f>
        <v>125957.54503464059</v>
      </c>
    </row>
    <row r="18" spans="1:21" x14ac:dyDescent="0.25">
      <c r="A18" s="38">
        <v>41566</v>
      </c>
      <c r="B18" s="19">
        <v>41566</v>
      </c>
      <c r="C18" s="29">
        <v>-0.7</v>
      </c>
      <c r="D18" s="30">
        <v>0.81805555555555554</v>
      </c>
      <c r="E18" s="31">
        <f>Effort!F16</f>
        <v>3646.6981486610748</v>
      </c>
      <c r="F18" s="39">
        <f>Harvest!F16</f>
        <v>53827.758143057072</v>
      </c>
      <c r="G18" s="37">
        <f>CPUE!F16</f>
        <v>14.760683760683763</v>
      </c>
      <c r="H18" s="31">
        <f>Effort!H16</f>
        <v>2819.4729708209834</v>
      </c>
      <c r="I18" s="39">
        <f>Harvest!H16</f>
        <v>42292.094562314749</v>
      </c>
      <c r="J18" s="37">
        <f>CPUE!H16</f>
        <v>15</v>
      </c>
      <c r="K18" s="31">
        <f>Effort!J16</f>
        <v>5650.2728653636022</v>
      </c>
      <c r="L18" s="39">
        <f>Harvest!J16</f>
        <v>84754.092980454036</v>
      </c>
      <c r="M18" s="37">
        <f>CPUE!J16</f>
        <v>15</v>
      </c>
      <c r="N18" s="31">
        <f>Effort!L16</f>
        <v>3004.0914491700296</v>
      </c>
      <c r="O18" s="39">
        <f>Harvest!L16</f>
        <v>44871.92452904422</v>
      </c>
      <c r="P18" s="37">
        <f>CPUE!L16</f>
        <v>14.936936936936934</v>
      </c>
      <c r="Q18" s="31" t="str">
        <f>Effort!N16</f>
        <v>CLOSED</v>
      </c>
      <c r="R18" s="39" t="str">
        <f>Harvest!N16</f>
        <v>CLOSED</v>
      </c>
      <c r="S18" s="37" t="str">
        <f>CPUE!N16</f>
        <v>CLOSED</v>
      </c>
      <c r="T18" s="31">
        <f>+E18+H18+K18+N18</f>
        <v>15120.53543401569</v>
      </c>
      <c r="U18" s="39">
        <f>+F18+I18+L18+O18</f>
        <v>225745.87021487008</v>
      </c>
    </row>
    <row r="19" spans="1:21" x14ac:dyDescent="0.25">
      <c r="A19" s="38">
        <v>41567</v>
      </c>
      <c r="B19" s="19">
        <v>41567</v>
      </c>
      <c r="C19" s="29">
        <v>-0.7</v>
      </c>
      <c r="D19" s="30">
        <v>0.84444444444444444</v>
      </c>
      <c r="E19" s="31">
        <f>Effort!F17</f>
        <v>2754.7299007073166</v>
      </c>
      <c r="F19" s="39">
        <f>Harvest!F17</f>
        <v>41320.948510609749</v>
      </c>
      <c r="G19" s="37">
        <f>CPUE!F17</f>
        <v>15</v>
      </c>
      <c r="H19" s="31">
        <f>Effort!H17</f>
        <v>1792.5199668676003</v>
      </c>
      <c r="I19" s="39">
        <f>Harvest!H17</f>
        <v>26515.767057060351</v>
      </c>
      <c r="J19" s="37">
        <f>CPUE!H17</f>
        <v>14.79245283018868</v>
      </c>
      <c r="K19" s="31" t="str">
        <f>Effort!J17</f>
        <v>CLOSED</v>
      </c>
      <c r="L19" s="39" t="str">
        <f>Harvest!J17</f>
        <v>CLOSED</v>
      </c>
      <c r="M19" s="37" t="str">
        <f>CPUE!J17</f>
        <v>CLOSED</v>
      </c>
      <c r="N19" s="31">
        <f>Effort!L17</f>
        <v>1510.025427870024</v>
      </c>
      <c r="O19" s="39">
        <f>Harvest!L17</f>
        <v>22650.381418050361</v>
      </c>
      <c r="P19" s="37">
        <f>CPUE!L17</f>
        <v>15</v>
      </c>
      <c r="Q19" s="31" t="str">
        <f>Effort!N17</f>
        <v>CLOSED</v>
      </c>
      <c r="R19" s="39" t="str">
        <f>Harvest!N17</f>
        <v>CLOSED</v>
      </c>
      <c r="S19" s="37" t="str">
        <f>CPUE!N17</f>
        <v>CLOSED</v>
      </c>
      <c r="T19" s="31">
        <f>+E19+H19+N19</f>
        <v>6057.2752954449406</v>
      </c>
      <c r="U19" s="39">
        <f>+F19+I19+O19</f>
        <v>90487.096985720447</v>
      </c>
    </row>
    <row r="20" spans="1:21" x14ac:dyDescent="0.25">
      <c r="A20" s="38">
        <v>41568</v>
      </c>
      <c r="B20" s="19">
        <v>41568</v>
      </c>
      <c r="C20" s="29">
        <v>-0.4</v>
      </c>
      <c r="D20" s="30">
        <v>0.87152777777777779</v>
      </c>
      <c r="E20" s="31" t="str">
        <f>Effort!F18</f>
        <v>CLOSED</v>
      </c>
      <c r="F20" s="39" t="str">
        <f>Harvest!F18</f>
        <v>CLOSED</v>
      </c>
      <c r="G20" s="37" t="str">
        <f>CPUE!F18</f>
        <v>CLOSED</v>
      </c>
      <c r="H20" s="31">
        <f>Effort!H18</f>
        <v>379.05405029913402</v>
      </c>
      <c r="I20" s="39">
        <f>Harvest!H18</f>
        <v>4911.2220430061707</v>
      </c>
      <c r="J20" s="37">
        <f>CPUE!H18</f>
        <v>12.956521739130434</v>
      </c>
      <c r="K20" s="31" t="str">
        <f>Effort!J18</f>
        <v>CLOSED</v>
      </c>
      <c r="L20" s="39" t="str">
        <f>Harvest!J18</f>
        <v>CLOSED</v>
      </c>
      <c r="M20" s="37" t="str">
        <f>CPUE!J18</f>
        <v>CLOSED</v>
      </c>
      <c r="N20" s="31">
        <f>Effort!L18</f>
        <v>151.72178511133703</v>
      </c>
      <c r="O20" s="39">
        <f>Harvest!L18</f>
        <v>2275.8267766700556</v>
      </c>
      <c r="P20" s="37">
        <f>CPUE!L18</f>
        <v>15.000000000000002</v>
      </c>
      <c r="Q20" s="31" t="str">
        <f>Effort!N18</f>
        <v>CLOSED</v>
      </c>
      <c r="R20" s="39" t="str">
        <f>Harvest!N18</f>
        <v>CLOSED</v>
      </c>
      <c r="S20" s="37" t="str">
        <f>CPUE!N18</f>
        <v>CLOSED</v>
      </c>
      <c r="T20" s="31">
        <f>+H20+N20</f>
        <v>530.77583541047102</v>
      </c>
      <c r="U20" s="39">
        <f>+I20+O20</f>
        <v>7187.0488196762262</v>
      </c>
    </row>
    <row r="21" spans="1:21" x14ac:dyDescent="0.25">
      <c r="A21" s="38">
        <v>41569</v>
      </c>
      <c r="B21" s="19">
        <v>41569</v>
      </c>
      <c r="C21" s="29">
        <v>-0.1</v>
      </c>
      <c r="D21" s="30">
        <v>0.89861111111111114</v>
      </c>
      <c r="E21" s="31" t="str">
        <f>Effort!F19</f>
        <v>CLOSED</v>
      </c>
      <c r="F21" s="39" t="str">
        <f>Harvest!F19</f>
        <v>CLOSED</v>
      </c>
      <c r="G21" s="37" t="str">
        <f>CPUE!F19</f>
        <v>CLOSED</v>
      </c>
      <c r="H21" s="31">
        <f>Effort!H19</f>
        <v>140.95127797338674</v>
      </c>
      <c r="I21" s="39">
        <f>Harvest!H19</f>
        <v>1660.0928294643329</v>
      </c>
      <c r="J21" s="37">
        <f>CPUE!H19</f>
        <v>11.777777777777779</v>
      </c>
      <c r="K21" s="31" t="str">
        <f>Effort!J19</f>
        <v>CLOSED</v>
      </c>
      <c r="L21" s="39" t="str">
        <f>Harvest!J19</f>
        <v>CLOSED</v>
      </c>
      <c r="M21" s="37" t="str">
        <f>CPUE!J19</f>
        <v>CLOSED</v>
      </c>
      <c r="N21" s="31" t="str">
        <f>Effort!L19</f>
        <v>CLOSED</v>
      </c>
      <c r="O21" s="39" t="str">
        <f>Harvest!L19</f>
        <v>CLOSED</v>
      </c>
      <c r="P21" s="37" t="str">
        <f>CPUE!L19</f>
        <v>CLOSED</v>
      </c>
      <c r="Q21" s="31" t="str">
        <f>Effort!N19</f>
        <v>CLOSED</v>
      </c>
      <c r="R21" s="39" t="str">
        <f>Harvest!N19</f>
        <v>CLOSED</v>
      </c>
      <c r="S21" s="37" t="str">
        <f>CPUE!N19</f>
        <v>CLOSED</v>
      </c>
      <c r="T21" s="31">
        <f>+H21</f>
        <v>140.95127797338674</v>
      </c>
      <c r="U21" s="39">
        <f>+I21</f>
        <v>1660.0928294643329</v>
      </c>
    </row>
    <row r="22" spans="1:21" x14ac:dyDescent="0.25">
      <c r="A22" s="162" t="s">
        <v>32</v>
      </c>
      <c r="B22" s="162"/>
      <c r="C22" s="162"/>
      <c r="D22" s="163"/>
      <c r="E22" s="35">
        <f>SUM(E16:E21)</f>
        <v>8890.5920805269998</v>
      </c>
      <c r="F22" s="36">
        <f>SUM(F16:F21)</f>
        <v>132486.16712104596</v>
      </c>
      <c r="G22" s="34">
        <f>+F22/E22</f>
        <v>14.901838473866039</v>
      </c>
      <c r="H22" s="35">
        <f>SUM(H16:H21)</f>
        <v>8334.7393123161855</v>
      </c>
      <c r="I22" s="36">
        <f>SUM(I16:I21)</f>
        <v>123420.29218717181</v>
      </c>
      <c r="J22" s="34">
        <f>+I22/H22</f>
        <v>14.807936704726268</v>
      </c>
      <c r="K22" s="35">
        <f>SUM(K16:K21)</f>
        <v>8901.4259377400176</v>
      </c>
      <c r="L22" s="36">
        <f>SUM(L16:L21)</f>
        <v>131663.58731045658</v>
      </c>
      <c r="M22" s="34">
        <f>+L22/K22</f>
        <v>14.791291668476729</v>
      </c>
      <c r="N22" s="35">
        <f>SUM(N16:N21)</f>
        <v>5692.2690075238916</v>
      </c>
      <c r="O22" s="36">
        <f>SUM(O16:O21)</f>
        <v>85318.254211023537</v>
      </c>
      <c r="P22" s="34">
        <f>+O22/N22</f>
        <v>14.988443817088074</v>
      </c>
      <c r="Q22" s="35"/>
      <c r="R22" s="36"/>
      <c r="S22" s="34"/>
      <c r="T22" s="35">
        <f>SUM(T16:T21)</f>
        <v>31819.026338107087</v>
      </c>
      <c r="U22" s="36">
        <f>SUM(U16:U21)</f>
        <v>472888.30082969792</v>
      </c>
    </row>
    <row r="23" spans="1:21" x14ac:dyDescent="0.25">
      <c r="A23" s="38">
        <v>41579</v>
      </c>
      <c r="B23" s="19">
        <f>+A23</f>
        <v>41579</v>
      </c>
      <c r="C23" s="111">
        <v>0.1</v>
      </c>
      <c r="D23" s="30">
        <v>0.74444444444444446</v>
      </c>
      <c r="E23" s="31" t="str">
        <f>Effort!F21</f>
        <v>CLOSED</v>
      </c>
      <c r="F23" s="39" t="str">
        <f>Harvest!F21</f>
        <v>CLOSED</v>
      </c>
      <c r="G23" s="37" t="str">
        <f>CPUE!F21</f>
        <v>CLOSED</v>
      </c>
      <c r="H23" s="31">
        <f>Effort!H21</f>
        <v>1266.4458619424356</v>
      </c>
      <c r="I23" s="39">
        <f>Harvest!H21</f>
        <v>18996.687929136533</v>
      </c>
      <c r="J23" s="37">
        <f>CPUE!H21</f>
        <v>14.999999999999998</v>
      </c>
      <c r="K23" s="31" t="str">
        <f>Effort!J21</f>
        <v>CLOSED</v>
      </c>
      <c r="L23" s="39" t="str">
        <f>Harvest!J21</f>
        <v>CLOSED</v>
      </c>
      <c r="M23" s="37" t="str">
        <f>CPUE!J21</f>
        <v>CLOSED</v>
      </c>
      <c r="N23" s="31">
        <f>Effort!L21</f>
        <v>1345.2903594906886</v>
      </c>
      <c r="O23" s="39">
        <f>Harvest!L21</f>
        <v>20179.355392360332</v>
      </c>
      <c r="P23" s="37">
        <f>CPUE!L21</f>
        <v>15.000000000000002</v>
      </c>
      <c r="Q23" s="31" t="str">
        <f>Effort!N21</f>
        <v>CLOSED</v>
      </c>
      <c r="R23" s="39" t="str">
        <f>Harvest!N21</f>
        <v>CLOSED</v>
      </c>
      <c r="S23" s="37" t="str">
        <f>CPUE!N21</f>
        <v>CLOSED</v>
      </c>
      <c r="T23" s="31">
        <f>+H23+N23</f>
        <v>2611.7362214331242</v>
      </c>
      <c r="U23" s="39">
        <f>+I23+O23</f>
        <v>39176.043321496865</v>
      </c>
    </row>
    <row r="24" spans="1:21" x14ac:dyDescent="0.25">
      <c r="A24" s="38">
        <v>41580</v>
      </c>
      <c r="B24" s="19">
        <f t="shared" ref="B24:B30" si="3">+A24</f>
        <v>41580</v>
      </c>
      <c r="C24" s="13">
        <v>-0.6</v>
      </c>
      <c r="D24" s="112">
        <v>0.77361111111111114</v>
      </c>
      <c r="E24" s="31">
        <f>Effort!F22</f>
        <v>2656.3195354464574</v>
      </c>
      <c r="F24" s="39">
        <f>Harvest!F22</f>
        <v>32798.555948196779</v>
      </c>
      <c r="G24" s="37">
        <f>CPUE!F22</f>
        <v>12.34736842105263</v>
      </c>
      <c r="H24" s="31">
        <f>Effort!H22</f>
        <v>984.07622225079967</v>
      </c>
      <c r="I24" s="39">
        <f>Harvest!H22</f>
        <v>8249.2315420776904</v>
      </c>
      <c r="J24" s="37">
        <f>CPUE!H22</f>
        <v>8.3827160493827151</v>
      </c>
      <c r="K24" s="31">
        <f>Effort!J22</f>
        <v>1766.8438677618183</v>
      </c>
      <c r="L24" s="39">
        <f>Harvest!J22</f>
        <v>14627.823649376918</v>
      </c>
      <c r="M24" s="37">
        <f>CPUE!J22</f>
        <v>8.2790697674418627</v>
      </c>
      <c r="N24" s="31">
        <f>Effort!L22</f>
        <v>871.06432012252992</v>
      </c>
      <c r="O24" s="39">
        <f>Harvest!L22</f>
        <v>12612.285468440798</v>
      </c>
      <c r="P24" s="37">
        <f>CPUE!L22</f>
        <v>14.479166666666666</v>
      </c>
      <c r="Q24" s="31" t="str">
        <f>Effort!N22</f>
        <v>CLOSED</v>
      </c>
      <c r="R24" s="39" t="str">
        <f>Harvest!N22</f>
        <v>CLOSED</v>
      </c>
      <c r="S24" s="37" t="str">
        <f>CPUE!N22</f>
        <v>CLOSED</v>
      </c>
      <c r="T24" s="31">
        <f>+E24+H24+K24+N24</f>
        <v>6278.3039455816051</v>
      </c>
      <c r="U24" s="39">
        <f>+F24+I24+L24+O24</f>
        <v>68287.896608092182</v>
      </c>
    </row>
    <row r="25" spans="1:21" x14ac:dyDescent="0.25">
      <c r="A25" s="38">
        <v>41581</v>
      </c>
      <c r="B25" s="19">
        <f t="shared" si="3"/>
        <v>41581</v>
      </c>
      <c r="C25" s="13">
        <v>-1.1000000000000001</v>
      </c>
      <c r="D25" s="112">
        <v>0.76111111111111107</v>
      </c>
      <c r="E25" s="31">
        <f>Effort!F23</f>
        <v>1126.1308099872444</v>
      </c>
      <c r="F25" s="39">
        <f>Harvest!F23</f>
        <v>17037.942069621829</v>
      </c>
      <c r="G25" s="37">
        <f>CPUE!F23</f>
        <v>15.129629629629632</v>
      </c>
      <c r="H25" s="31">
        <f>Effort!H23</f>
        <v>540.3486727855983</v>
      </c>
      <c r="I25" s="39">
        <f>Harvest!H23</f>
        <v>7802.6348350240387</v>
      </c>
      <c r="J25" s="37">
        <f>CPUE!H23</f>
        <v>14.44</v>
      </c>
      <c r="K25" s="31" t="str">
        <f>Effort!J23</f>
        <v>CLOSED</v>
      </c>
      <c r="L25" s="39" t="str">
        <f>Harvest!J23</f>
        <v>CLOSED</v>
      </c>
      <c r="M25" s="37" t="str">
        <f>CPUE!J23</f>
        <v>CLOSED</v>
      </c>
      <c r="N25" s="31">
        <f>Effort!L23</f>
        <v>1079.1968528057596</v>
      </c>
      <c r="O25" s="39">
        <f>Harvest!L23</f>
        <v>16187.952792086395</v>
      </c>
      <c r="P25" s="37">
        <f>CPUE!L23</f>
        <v>15</v>
      </c>
      <c r="Q25" s="31" t="str">
        <f>Effort!N23</f>
        <v>CLOSED</v>
      </c>
      <c r="R25" s="39" t="str">
        <f>Harvest!N23</f>
        <v>CLOSED</v>
      </c>
      <c r="S25" s="37" t="str">
        <f>CPUE!N23</f>
        <v>CLOSED</v>
      </c>
      <c r="T25" s="31">
        <f>+E25+H25+N25</f>
        <v>2745.6763355786024</v>
      </c>
      <c r="U25" s="39">
        <f>+F25+I25+O25</f>
        <v>41028.529696732265</v>
      </c>
    </row>
    <row r="26" spans="1:21" x14ac:dyDescent="0.25">
      <c r="A26" s="38">
        <v>41582</v>
      </c>
      <c r="B26" s="19">
        <f t="shared" si="3"/>
        <v>41582</v>
      </c>
      <c r="C26" s="13">
        <v>-1.3</v>
      </c>
      <c r="D26" s="112">
        <v>0.29651620370370374</v>
      </c>
      <c r="E26" s="31">
        <f>Effort!F24</f>
        <v>945.61102503378424</v>
      </c>
      <c r="F26" s="39">
        <f>Harvest!F24</f>
        <v>9867.2454786134003</v>
      </c>
      <c r="G26" s="37">
        <f>CPUE!F24</f>
        <v>10.434782608695652</v>
      </c>
      <c r="H26" s="31">
        <f>Effort!H24</f>
        <v>636.48754646589316</v>
      </c>
      <c r="I26" s="39">
        <f>Harvest!H24</f>
        <v>5569.2660315765652</v>
      </c>
      <c r="J26" s="37">
        <f>CPUE!H24</f>
        <v>8.75</v>
      </c>
      <c r="K26" s="31" t="str">
        <f>Effort!J24</f>
        <v>CLOSED</v>
      </c>
      <c r="L26" s="39" t="str">
        <f>Harvest!J24</f>
        <v>CLOSED</v>
      </c>
      <c r="M26" s="37" t="str">
        <f>CPUE!J24</f>
        <v>CLOSED</v>
      </c>
      <c r="N26" s="31">
        <f>Effort!L24</f>
        <v>384.53164921686016</v>
      </c>
      <c r="O26" s="39">
        <f>Harvest!L24</f>
        <v>4982.5483909163368</v>
      </c>
      <c r="P26" s="37">
        <f>CPUE!L24</f>
        <v>12.957446808510637</v>
      </c>
      <c r="Q26" s="31" t="str">
        <f>Effort!N24</f>
        <v>CLOSED</v>
      </c>
      <c r="R26" s="39" t="str">
        <f>Harvest!N24</f>
        <v>CLOSED</v>
      </c>
      <c r="S26" s="37" t="str">
        <f>CPUE!N24</f>
        <v>CLOSED</v>
      </c>
      <c r="T26" s="31">
        <f>+E26+H26+N26</f>
        <v>1966.6302207165375</v>
      </c>
      <c r="U26" s="39">
        <f>+F26+I26+O26</f>
        <v>20419.059901106302</v>
      </c>
    </row>
    <row r="27" spans="1:21" x14ac:dyDescent="0.25">
      <c r="A27" s="38">
        <v>41583</v>
      </c>
      <c r="B27" s="19">
        <f t="shared" si="3"/>
        <v>41583</v>
      </c>
      <c r="C27" s="13">
        <v>-1.4</v>
      </c>
      <c r="D27" s="112">
        <v>0.82291666666666663</v>
      </c>
      <c r="E27" s="31">
        <f>Effort!F25</f>
        <v>347.93996173349922</v>
      </c>
      <c r="F27" s="39">
        <f>Harvest!F25</f>
        <v>4987.1394515134889</v>
      </c>
      <c r="G27" s="37">
        <f>CPUE!F25</f>
        <v>14.333333333333334</v>
      </c>
      <c r="H27" s="31">
        <f>Effort!H25</f>
        <v>544.50804554774652</v>
      </c>
      <c r="I27" s="39">
        <f>Harvest!H25</f>
        <v>8167.6206832161979</v>
      </c>
      <c r="J27" s="37">
        <f>CPUE!H25</f>
        <v>15</v>
      </c>
      <c r="K27" s="31" t="str">
        <f>Effort!J25</f>
        <v>CLOSED</v>
      </c>
      <c r="L27" s="39" t="str">
        <f>Harvest!J25</f>
        <v>CLOSED</v>
      </c>
      <c r="M27" s="37" t="str">
        <f>CPUE!J25</f>
        <v>CLOSED</v>
      </c>
      <c r="N27" s="31" t="str">
        <f>Effort!L25</f>
        <v>CLOSED</v>
      </c>
      <c r="O27" s="39" t="str">
        <f>Harvest!L25</f>
        <v>CLOSED</v>
      </c>
      <c r="P27" s="37" t="str">
        <f>CPUE!L25</f>
        <v>CLOSED</v>
      </c>
      <c r="Q27" s="31" t="str">
        <f>Effort!N25</f>
        <v>CLOSED</v>
      </c>
      <c r="R27" s="39" t="str">
        <f>Harvest!N25</f>
        <v>CLOSED</v>
      </c>
      <c r="S27" s="37" t="str">
        <f>CPUE!N25</f>
        <v>CLOSED</v>
      </c>
      <c r="T27" s="31">
        <f>+E27+H27</f>
        <v>892.44800728124574</v>
      </c>
      <c r="U27" s="39">
        <f>+F27+I27</f>
        <v>13154.760134729688</v>
      </c>
    </row>
    <row r="28" spans="1:21" x14ac:dyDescent="0.25">
      <c r="A28" s="38">
        <v>41584</v>
      </c>
      <c r="B28" s="19">
        <f t="shared" si="3"/>
        <v>41584</v>
      </c>
      <c r="C28" s="13">
        <v>-1.2</v>
      </c>
      <c r="D28" s="112">
        <v>0.85555555555555562</v>
      </c>
      <c r="E28" s="31" t="str">
        <f>Effort!F26</f>
        <v>CLOSED</v>
      </c>
      <c r="F28" s="39" t="str">
        <f>Harvest!F26</f>
        <v>CLOSED</v>
      </c>
      <c r="G28" s="37" t="str">
        <f>CPUE!F26</f>
        <v>CLOSED</v>
      </c>
      <c r="H28" s="31">
        <f>Effort!H26</f>
        <v>339.55635395457011</v>
      </c>
      <c r="I28" s="39">
        <f>Harvest!H26</f>
        <v>4491.4045000354499</v>
      </c>
      <c r="J28" s="37">
        <f>CPUE!H26</f>
        <v>13.227272727272727</v>
      </c>
      <c r="K28" s="31" t="str">
        <f>Effort!J26</f>
        <v>CLOSED</v>
      </c>
      <c r="L28" s="39" t="str">
        <f>Harvest!J26</f>
        <v>CLOSED</v>
      </c>
      <c r="M28" s="37" t="str">
        <f>CPUE!J26</f>
        <v>CLOSED</v>
      </c>
      <c r="N28" s="31" t="str">
        <f>Effort!L26</f>
        <v>CLOSED</v>
      </c>
      <c r="O28" s="39" t="str">
        <f>Harvest!L26</f>
        <v>CLOSED</v>
      </c>
      <c r="P28" s="37" t="str">
        <f>CPUE!L26</f>
        <v>CLOSED</v>
      </c>
      <c r="Q28" s="31" t="str">
        <f>Effort!N26</f>
        <v>CLOSED</v>
      </c>
      <c r="R28" s="39" t="str">
        <f>Harvest!N26</f>
        <v>CLOSED</v>
      </c>
      <c r="S28" s="37" t="str">
        <f>CPUE!N26</f>
        <v>CLOSED</v>
      </c>
      <c r="T28" s="31">
        <f t="shared" ref="T28:U30" si="4">+H28</f>
        <v>339.55635395457011</v>
      </c>
      <c r="U28" s="39">
        <f t="shared" si="4"/>
        <v>4491.4045000354499</v>
      </c>
    </row>
    <row r="29" spans="1:21" x14ac:dyDescent="0.25">
      <c r="A29" s="38">
        <v>41585</v>
      </c>
      <c r="B29" s="19">
        <f t="shared" si="3"/>
        <v>41585</v>
      </c>
      <c r="C29" s="13">
        <v>-0.8</v>
      </c>
      <c r="D29" s="112">
        <v>0.89166666666666661</v>
      </c>
      <c r="E29" s="31" t="str">
        <f>Effort!F27</f>
        <v>CLOSED</v>
      </c>
      <c r="F29" s="39" t="str">
        <f>Harvest!F27</f>
        <v>CLOSED</v>
      </c>
      <c r="G29" s="37" t="str">
        <f>CPUE!F27</f>
        <v>CLOSED</v>
      </c>
      <c r="H29" s="31">
        <f>Effort!H27</f>
        <v>339.55635395457011</v>
      </c>
      <c r="I29" s="39">
        <f>Harvest!H27</f>
        <v>4491.4045000354499</v>
      </c>
      <c r="J29" s="37">
        <f>CPUE!H27</f>
        <v>13.227272727272727</v>
      </c>
      <c r="K29" s="31" t="str">
        <f>Effort!J27</f>
        <v>CLOSED</v>
      </c>
      <c r="L29" s="39" t="str">
        <f>Harvest!J27</f>
        <v>CLOSED</v>
      </c>
      <c r="M29" s="37" t="str">
        <f>CPUE!J27</f>
        <v>CLOSED</v>
      </c>
      <c r="N29" s="31" t="str">
        <f>Effort!L27</f>
        <v>CLOSED</v>
      </c>
      <c r="O29" s="39" t="str">
        <f>Harvest!L27</f>
        <v>CLOSED</v>
      </c>
      <c r="P29" s="37" t="str">
        <f>CPUE!L27</f>
        <v>CLOSED</v>
      </c>
      <c r="Q29" s="31" t="str">
        <f>Effort!N27</f>
        <v>CLOSED</v>
      </c>
      <c r="R29" s="39" t="str">
        <f>Harvest!N27</f>
        <v>CLOSED</v>
      </c>
      <c r="S29" s="37" t="str">
        <f>CPUE!N27</f>
        <v>CLOSED</v>
      </c>
      <c r="T29" s="31">
        <f t="shared" si="4"/>
        <v>339.55635395457011</v>
      </c>
      <c r="U29" s="39">
        <f t="shared" si="4"/>
        <v>4491.4045000354499</v>
      </c>
    </row>
    <row r="30" spans="1:21" x14ac:dyDescent="0.25">
      <c r="A30" s="38">
        <v>41586</v>
      </c>
      <c r="B30" s="19">
        <f t="shared" si="3"/>
        <v>41586</v>
      </c>
      <c r="C30" s="13">
        <v>-0.3</v>
      </c>
      <c r="D30" s="113">
        <v>0.92986111111111114</v>
      </c>
      <c r="E30" s="31" t="str">
        <f>Effort!F28</f>
        <v>CLOSED</v>
      </c>
      <c r="F30" s="39" t="str">
        <f>Harvest!F28</f>
        <v>CLOSED</v>
      </c>
      <c r="G30" s="37" t="str">
        <f>CPUE!F28</f>
        <v>CLOSED</v>
      </c>
      <c r="H30" s="31">
        <f>Effort!H28</f>
        <v>374.90325822404532</v>
      </c>
      <c r="I30" s="39">
        <f>Harvest!H28</f>
        <v>5412.6657906096552</v>
      </c>
      <c r="J30" s="37">
        <f>CPUE!H28</f>
        <v>14.437500000000002</v>
      </c>
      <c r="K30" s="31" t="str">
        <f>Effort!J28</f>
        <v>CLOSED</v>
      </c>
      <c r="L30" s="39" t="str">
        <f>Harvest!J28</f>
        <v>CLOSED</v>
      </c>
      <c r="M30" s="37" t="str">
        <f>CPUE!J28</f>
        <v>CLOSED</v>
      </c>
      <c r="N30" s="31" t="str">
        <f>Effort!L28</f>
        <v>CLOSED</v>
      </c>
      <c r="O30" s="39" t="str">
        <f>Harvest!L28</f>
        <v>CLOSED</v>
      </c>
      <c r="P30" s="37" t="str">
        <f>CPUE!L28</f>
        <v>CLOSED</v>
      </c>
      <c r="Q30" s="31" t="str">
        <f>Effort!N28</f>
        <v>CLOSED</v>
      </c>
      <c r="R30" s="39" t="str">
        <f>Harvest!N28</f>
        <v>CLOSED</v>
      </c>
      <c r="S30" s="37" t="str">
        <f>CPUE!N28</f>
        <v>CLOSED</v>
      </c>
      <c r="T30" s="31">
        <f t="shared" si="4"/>
        <v>374.90325822404532</v>
      </c>
      <c r="U30" s="39">
        <f t="shared" si="4"/>
        <v>5412.6657906096552</v>
      </c>
    </row>
    <row r="31" spans="1:21" x14ac:dyDescent="0.25">
      <c r="A31" s="162" t="s">
        <v>32</v>
      </c>
      <c r="B31" s="162"/>
      <c r="C31" s="162"/>
      <c r="D31" s="163"/>
      <c r="E31" s="35">
        <f>SUM(E24:E30)</f>
        <v>5076.0013322009854</v>
      </c>
      <c r="F31" s="36">
        <f>SUM(F24:F30)</f>
        <v>64690.882947945502</v>
      </c>
      <c r="G31" s="34">
        <f>+F31/E31</f>
        <v>12.744457440852392</v>
      </c>
      <c r="H31" s="35">
        <f>SUM(H23:H30)</f>
        <v>5025.8823151256584</v>
      </c>
      <c r="I31" s="36">
        <f>SUM(I23:I30)</f>
        <v>63180.915811711588</v>
      </c>
      <c r="J31" s="34">
        <f>+I31/H31</f>
        <v>12.571109279969665</v>
      </c>
      <c r="K31" s="35">
        <f>SUM(K24:K30)</f>
        <v>1766.8438677618183</v>
      </c>
      <c r="L31" s="36">
        <f>SUM(L24:L30)</f>
        <v>14627.823649376918</v>
      </c>
      <c r="M31" s="34">
        <f>+L31/K31</f>
        <v>8.2790697674418627</v>
      </c>
      <c r="N31" s="35">
        <f>SUM(N23:N30)</f>
        <v>3680.0831816358386</v>
      </c>
      <c r="O31" s="36">
        <f>SUM(O23:O30)</f>
        <v>53962.142043803855</v>
      </c>
      <c r="P31" s="34">
        <f>+O31/N31</f>
        <v>14.663294110601345</v>
      </c>
      <c r="Q31" s="35"/>
      <c r="R31" s="36"/>
      <c r="S31" s="34"/>
      <c r="T31" s="35">
        <f>SUM(T23:T30)</f>
        <v>15548.810696724298</v>
      </c>
      <c r="U31" s="36">
        <f>SUM(U23:U30)</f>
        <v>196461.76445283787</v>
      </c>
    </row>
    <row r="32" spans="1:21" x14ac:dyDescent="0.25">
      <c r="A32" s="38">
        <v>41593</v>
      </c>
      <c r="B32" s="19">
        <v>41593</v>
      </c>
      <c r="C32" s="13">
        <v>-0.3</v>
      </c>
      <c r="D32" s="112">
        <v>0.7090277777777777</v>
      </c>
      <c r="E32" s="31">
        <f>Effort!F30</f>
        <v>2311.6043515342294</v>
      </c>
      <c r="F32" s="39">
        <f>Harvest!F30</f>
        <v>20804.439163808063</v>
      </c>
      <c r="G32" s="37">
        <f>CPUE!F30</f>
        <v>9</v>
      </c>
      <c r="H32" s="31">
        <f>Effort!H30</f>
        <v>668.29813074128094</v>
      </c>
      <c r="I32" s="39">
        <f>Harvest!H30</f>
        <v>9897.1770790732571</v>
      </c>
      <c r="J32" s="37">
        <f>CPUE!H30</f>
        <v>14.809523809523812</v>
      </c>
      <c r="K32" s="31">
        <f>Effort!J30</f>
        <v>1440.4140117861152</v>
      </c>
      <c r="L32" s="39">
        <f>Harvest!J30</f>
        <v>20057.085673550057</v>
      </c>
      <c r="M32" s="37">
        <f>CPUE!J30</f>
        <v>13.924528301886792</v>
      </c>
      <c r="N32" s="31">
        <f>Effort!L30</f>
        <v>524.29220526039649</v>
      </c>
      <c r="O32" s="39">
        <f>Harvest!L30</f>
        <v>7723.719316519011</v>
      </c>
      <c r="P32" s="37">
        <f>CPUE!L30</f>
        <v>14.73170731707317</v>
      </c>
      <c r="Q32" s="31" t="str">
        <f>Effort!N30</f>
        <v>CLOSED</v>
      </c>
      <c r="R32" s="39" t="str">
        <f>Harvest!N30</f>
        <v>CLOSED</v>
      </c>
      <c r="S32" s="37" t="str">
        <f>CPUE!N30</f>
        <v>CLOSED</v>
      </c>
      <c r="T32" s="31">
        <f>+E32+H32+K32+N32</f>
        <v>4944.6086993220224</v>
      </c>
      <c r="U32" s="39">
        <f>+F32+I32+L32+O32</f>
        <v>58482.421232950386</v>
      </c>
    </row>
    <row r="33" spans="1:21" x14ac:dyDescent="0.25">
      <c r="A33" s="38">
        <v>41594</v>
      </c>
      <c r="B33" s="19">
        <v>41594</v>
      </c>
      <c r="C33" s="13">
        <v>-0.6</v>
      </c>
      <c r="D33" s="112">
        <v>0.73749999999999993</v>
      </c>
      <c r="E33" s="31">
        <f>Effort!F31</f>
        <v>4692.9180217944131</v>
      </c>
      <c r="F33" s="39">
        <f>Harvest!F31</f>
        <v>54007.023791798005</v>
      </c>
      <c r="G33" s="37">
        <f>CPUE!F31</f>
        <v>11.508196721311476</v>
      </c>
      <c r="H33" s="31">
        <f>Effort!H31</f>
        <v>1951.9936914691073</v>
      </c>
      <c r="I33" s="39">
        <f>Harvest!H31</f>
        <v>29058.087907096939</v>
      </c>
      <c r="J33" s="37">
        <f>CPUE!H31</f>
        <v>14.886363636363637</v>
      </c>
      <c r="K33" s="31">
        <f>Effort!J31</f>
        <v>3896.4650379882883</v>
      </c>
      <c r="L33" s="39">
        <f>Harvest!J31</f>
        <v>43395.924344653875</v>
      </c>
      <c r="M33" s="37">
        <f>CPUE!J31</f>
        <v>11.137254901960784</v>
      </c>
      <c r="N33" s="31">
        <f>Effort!L31</f>
        <v>2660.0179783396334</v>
      </c>
      <c r="O33" s="39">
        <f>Harvest!L31</f>
        <v>38836.262483758648</v>
      </c>
      <c r="P33" s="37">
        <f>CPUE!L31</f>
        <v>14.6</v>
      </c>
      <c r="Q33" s="31" t="str">
        <f>Effort!N31</f>
        <v>CLOSED</v>
      </c>
      <c r="R33" s="39" t="str">
        <f>Harvest!N31</f>
        <v>CLOSED</v>
      </c>
      <c r="S33" s="37" t="str">
        <f>CPUE!N31</f>
        <v>CLOSED</v>
      </c>
      <c r="T33" s="31">
        <f>+E33+H33+K33+N33</f>
        <v>13201.39472959144</v>
      </c>
      <c r="U33" s="39">
        <f>+F33+I33+L33+O33</f>
        <v>165297.29852730746</v>
      </c>
    </row>
    <row r="34" spans="1:21" x14ac:dyDescent="0.25">
      <c r="A34" s="38">
        <v>41595</v>
      </c>
      <c r="B34" s="19">
        <v>41595</v>
      </c>
      <c r="C34" s="13">
        <v>-0.7</v>
      </c>
      <c r="D34" s="112">
        <v>0.76388888888888884</v>
      </c>
      <c r="E34" s="31">
        <f>Effort!F32</f>
        <v>740.28206122903919</v>
      </c>
      <c r="F34" s="39">
        <f>Harvest!F32</f>
        <v>11104.230918435587</v>
      </c>
      <c r="G34" s="37">
        <f>CPUE!F32</f>
        <v>15</v>
      </c>
      <c r="H34" s="31">
        <f>Effort!H32</f>
        <v>815.51353012938728</v>
      </c>
      <c r="I34" s="39">
        <f>Harvest!H32</f>
        <v>11648.042789200823</v>
      </c>
      <c r="J34" s="37">
        <f>CPUE!H32</f>
        <v>14.283077298978442</v>
      </c>
      <c r="K34" s="31" t="str">
        <f>Effort!J32</f>
        <v>CLOSED</v>
      </c>
      <c r="L34" s="39" t="str">
        <f>Harvest!J32</f>
        <v>CLOSED</v>
      </c>
      <c r="M34" s="37" t="str">
        <f>CPUE!J32</f>
        <v>CLOSED</v>
      </c>
      <c r="N34" s="31">
        <f>Effort!L32</f>
        <v>991.05298762639575</v>
      </c>
      <c r="O34" s="39">
        <f>Harvest!L32</f>
        <v>13921.934826180322</v>
      </c>
      <c r="P34" s="37">
        <f>CPUE!L32</f>
        <v>14.047619047619049</v>
      </c>
      <c r="Q34" s="31" t="str">
        <f>Effort!N32</f>
        <v>CLOSED</v>
      </c>
      <c r="R34" s="39" t="str">
        <f>Harvest!N32</f>
        <v>CLOSED</v>
      </c>
      <c r="S34" s="37" t="str">
        <f>CPUE!N32</f>
        <v>CLOSED</v>
      </c>
      <c r="T34" s="31">
        <f>+E34+H34+N34</f>
        <v>2546.8485789848223</v>
      </c>
      <c r="U34" s="39">
        <f>+F34+I34+O34</f>
        <v>36674.208533816731</v>
      </c>
    </row>
    <row r="35" spans="1:21" x14ac:dyDescent="0.25">
      <c r="A35" s="38">
        <v>41596</v>
      </c>
      <c r="B35" s="19">
        <v>41596</v>
      </c>
      <c r="C35" s="13">
        <v>-0.6</v>
      </c>
      <c r="D35" s="112">
        <v>0.7895833333333333</v>
      </c>
      <c r="E35" s="31" t="str">
        <f>Effort!F33</f>
        <v>CLOSED</v>
      </c>
      <c r="F35" s="39" t="str">
        <f>Harvest!F33</f>
        <v>CLOSED</v>
      </c>
      <c r="G35" s="37" t="str">
        <f>CPUE!F33</f>
        <v>CLOSED</v>
      </c>
      <c r="H35" s="31">
        <f>Effort!H33</f>
        <v>45.1892320180769</v>
      </c>
      <c r="I35" s="39">
        <f>Harvest!H33</f>
        <v>34.760947706212995</v>
      </c>
      <c r="J35" s="37">
        <f>CPUE!H33</f>
        <v>0.76923076923076916</v>
      </c>
      <c r="K35" s="31" t="str">
        <f>Effort!J33</f>
        <v>CLOSED</v>
      </c>
      <c r="L35" s="39" t="str">
        <f>Harvest!J33</f>
        <v>CLOSED</v>
      </c>
      <c r="M35" s="37" t="str">
        <f>CPUE!J33</f>
        <v>CLOSED</v>
      </c>
      <c r="N35" s="31" t="str">
        <f>Effort!L33</f>
        <v>CLOSED</v>
      </c>
      <c r="O35" s="39" t="str">
        <f>Harvest!L33</f>
        <v>CLOSED</v>
      </c>
      <c r="P35" s="37" t="str">
        <f>CPUE!L33</f>
        <v>CLOSED</v>
      </c>
      <c r="Q35" s="31" t="str">
        <f>Effort!N33</f>
        <v>CLOSED</v>
      </c>
      <c r="R35" s="39" t="str">
        <f>Harvest!N33</f>
        <v>CLOSED</v>
      </c>
      <c r="S35" s="37" t="str">
        <f>CPUE!N33</f>
        <v>CLOSED</v>
      </c>
      <c r="T35" s="31">
        <f t="shared" ref="T35:U37" si="5">+H35</f>
        <v>45.1892320180769</v>
      </c>
      <c r="U35" s="39">
        <f t="shared" si="5"/>
        <v>34.760947706212995</v>
      </c>
    </row>
    <row r="36" spans="1:21" x14ac:dyDescent="0.25">
      <c r="A36" s="38">
        <v>41597</v>
      </c>
      <c r="B36" s="19">
        <v>41597</v>
      </c>
      <c r="C36" s="13">
        <v>-0.4</v>
      </c>
      <c r="D36" s="112">
        <v>0.81458333333333333</v>
      </c>
      <c r="E36" s="31" t="str">
        <f>Effort!F34</f>
        <v>CLOSED</v>
      </c>
      <c r="F36" s="39" t="str">
        <f>Harvest!F34</f>
        <v>CLOSED</v>
      </c>
      <c r="G36" s="37" t="str">
        <f>CPUE!F34</f>
        <v>CLOSED</v>
      </c>
      <c r="H36" s="31">
        <f>Effort!H34</f>
        <v>137.75829998740974</v>
      </c>
      <c r="I36" s="39">
        <f>Harvest!H34</f>
        <v>2066.3744998111461</v>
      </c>
      <c r="J36" s="37">
        <f>CPUE!H34</f>
        <v>15</v>
      </c>
      <c r="K36" s="31" t="str">
        <f>Effort!J34</f>
        <v>CLOSED</v>
      </c>
      <c r="L36" s="39" t="str">
        <f>Harvest!J34</f>
        <v>CLOSED</v>
      </c>
      <c r="M36" s="37" t="str">
        <f>CPUE!J34</f>
        <v>CLOSED</v>
      </c>
      <c r="N36" s="31" t="str">
        <f>Effort!L34</f>
        <v>CLOSED</v>
      </c>
      <c r="O36" s="39" t="str">
        <f>Harvest!L34</f>
        <v>CLOSED</v>
      </c>
      <c r="P36" s="37" t="str">
        <f>CPUE!L34</f>
        <v>CLOSED</v>
      </c>
      <c r="Q36" s="31" t="str">
        <f>Effort!N34</f>
        <v>CLOSED</v>
      </c>
      <c r="R36" s="39" t="str">
        <f>Harvest!N34</f>
        <v>CLOSED</v>
      </c>
      <c r="S36" s="37" t="str">
        <f>CPUE!N34</f>
        <v>CLOSED</v>
      </c>
      <c r="T36" s="31">
        <f t="shared" si="5"/>
        <v>137.75829998740974</v>
      </c>
      <c r="U36" s="39">
        <f t="shared" si="5"/>
        <v>2066.3744998111461</v>
      </c>
    </row>
    <row r="37" spans="1:21" x14ac:dyDescent="0.25">
      <c r="A37" s="38">
        <v>41598</v>
      </c>
      <c r="B37" s="19">
        <v>41598</v>
      </c>
      <c r="C37" s="13">
        <v>-0.2</v>
      </c>
      <c r="D37" s="113">
        <v>0.83958333333333324</v>
      </c>
      <c r="E37" s="31" t="str">
        <f>Effort!F35</f>
        <v>CLOSED</v>
      </c>
      <c r="F37" s="39" t="str">
        <f>Harvest!F35</f>
        <v>CLOSED</v>
      </c>
      <c r="G37" s="37" t="str">
        <f>CPUE!F35</f>
        <v>CLOSED</v>
      </c>
      <c r="H37" s="31">
        <f>Effort!H35</f>
        <v>71.011650314120843</v>
      </c>
      <c r="I37" s="39">
        <f>Harvest!H35</f>
        <v>1065.1747547118125</v>
      </c>
      <c r="J37" s="37">
        <f>CPUE!H35</f>
        <v>14.999999999999998</v>
      </c>
      <c r="K37" s="31" t="str">
        <f>Effort!J35</f>
        <v>CLOSED</v>
      </c>
      <c r="L37" s="39" t="str">
        <f>Harvest!J35</f>
        <v>CLOSED</v>
      </c>
      <c r="M37" s="37" t="str">
        <f>CPUE!J35</f>
        <v>CLOSED</v>
      </c>
      <c r="N37" s="31" t="str">
        <f>Effort!L35</f>
        <v>CLOSED</v>
      </c>
      <c r="O37" s="39" t="str">
        <f>Harvest!L35</f>
        <v>CLOSED</v>
      </c>
      <c r="P37" s="37" t="str">
        <f>CPUE!L35</f>
        <v>CLOSED</v>
      </c>
      <c r="Q37" s="31" t="str">
        <f>Effort!N35</f>
        <v>CLOSED</v>
      </c>
      <c r="R37" s="39" t="str">
        <f>Harvest!N35</f>
        <v>CLOSED</v>
      </c>
      <c r="S37" s="37" t="str">
        <f>CPUE!N35</f>
        <v>CLOSED</v>
      </c>
      <c r="T37" s="31">
        <f t="shared" si="5"/>
        <v>71.011650314120843</v>
      </c>
      <c r="U37" s="39">
        <f t="shared" si="5"/>
        <v>1065.1747547118125</v>
      </c>
    </row>
    <row r="38" spans="1:21" x14ac:dyDescent="0.25">
      <c r="A38" s="162"/>
      <c r="B38" s="162"/>
      <c r="C38" s="162"/>
      <c r="D38" s="163"/>
      <c r="E38" s="35">
        <f>SUM(E32:E37)</f>
        <v>7744.8044345576809</v>
      </c>
      <c r="F38" s="36">
        <f>SUM(F32:F37)</f>
        <v>85915.693874041652</v>
      </c>
      <c r="G38" s="34">
        <f>+F38/E38</f>
        <v>11.093332904660807</v>
      </c>
      <c r="H38" s="35">
        <f>SUM(H32:H37)</f>
        <v>3689.7645346593827</v>
      </c>
      <c r="I38" s="36">
        <f>SUM(I32:I37)</f>
        <v>53769.617977600188</v>
      </c>
      <c r="J38" s="34">
        <f>+I38/H38</f>
        <v>14.572642094779059</v>
      </c>
      <c r="K38" s="35">
        <f>SUM(K32:K37)</f>
        <v>5336.879049774403</v>
      </c>
      <c r="L38" s="36">
        <f>SUM(L32:L37)</f>
        <v>63453.010018203931</v>
      </c>
      <c r="M38" s="34">
        <f>+L38/K38</f>
        <v>11.889534955993836</v>
      </c>
      <c r="N38" s="35">
        <f>SUM(N32:N37)</f>
        <v>4175.363171226425</v>
      </c>
      <c r="O38" s="36">
        <f>SUM(O32:O37)</f>
        <v>60481.916626457984</v>
      </c>
      <c r="P38" s="34">
        <f>+O38/N38</f>
        <v>14.485426571574777</v>
      </c>
      <c r="Q38" s="35"/>
      <c r="R38" s="36"/>
      <c r="S38" s="34"/>
      <c r="T38" s="35">
        <f>SUM(T32:T37)</f>
        <v>20946.811190217897</v>
      </c>
      <c r="U38" s="36">
        <f>SUM(U32:U37)</f>
        <v>263620.23849630373</v>
      </c>
    </row>
    <row r="39" spans="1:21" x14ac:dyDescent="0.25">
      <c r="A39" s="38">
        <v>41608</v>
      </c>
      <c r="B39" s="19">
        <v>41608</v>
      </c>
      <c r="C39" s="13">
        <v>-0.1</v>
      </c>
      <c r="D39" s="112">
        <v>0.68611111111111101</v>
      </c>
      <c r="E39" s="31">
        <f>Effort!F37</f>
        <v>3285.7878644349003</v>
      </c>
      <c r="F39" s="39">
        <f>Harvest!F37</f>
        <v>49286.817966523507</v>
      </c>
      <c r="G39" s="37">
        <f>CPUE!F37</f>
        <v>15.000000000000002</v>
      </c>
      <c r="H39" s="31">
        <f>Effort!H37</f>
        <v>1322.2629811698616</v>
      </c>
      <c r="I39" s="39">
        <f>Harvest!H37</f>
        <v>20397.551105364637</v>
      </c>
      <c r="J39" s="37">
        <f>CPUE!H37</f>
        <v>15.42624379253064</v>
      </c>
      <c r="K39" s="31">
        <f>Effort!J37</f>
        <v>2720.2169478734922</v>
      </c>
      <c r="L39" s="39">
        <f>Harvest!J37</f>
        <v>40803.254218102382</v>
      </c>
      <c r="M39" s="37">
        <f>CPUE!J37</f>
        <v>15</v>
      </c>
      <c r="N39" s="31">
        <f>Effort!L37</f>
        <v>1112.3399721391643</v>
      </c>
      <c r="O39" s="39">
        <f>Harvest!L37</f>
        <v>16685.099582087463</v>
      </c>
      <c r="P39" s="37">
        <f>CPUE!L37</f>
        <v>15</v>
      </c>
      <c r="Q39" s="31" t="str">
        <f>Effort!N37</f>
        <v>CLOSED</v>
      </c>
      <c r="R39" s="39" t="str">
        <f>Harvest!N37</f>
        <v>CLOSED</v>
      </c>
      <c r="S39" s="37" t="str">
        <f>CPUE!N37</f>
        <v>CLOSED</v>
      </c>
      <c r="T39" s="31">
        <f>+E39+H39+K39+N39</f>
        <v>8440.6077656174184</v>
      </c>
      <c r="U39" s="39">
        <f>+F39+I39+L39+O39</f>
        <v>127172.722872078</v>
      </c>
    </row>
    <row r="40" spans="1:21" x14ac:dyDescent="0.25">
      <c r="A40" s="38">
        <v>41609</v>
      </c>
      <c r="B40" s="19">
        <v>41609</v>
      </c>
      <c r="C40" s="13">
        <v>-0.9</v>
      </c>
      <c r="D40" s="112">
        <v>0.71736111111111101</v>
      </c>
      <c r="E40" s="31">
        <f>Effort!F38</f>
        <v>1295.1500467886774</v>
      </c>
      <c r="F40" s="39">
        <f>Harvest!F38</f>
        <v>9914.2016855947422</v>
      </c>
      <c r="G40" s="37">
        <f>CPUE!F38</f>
        <v>7.6548672566371678</v>
      </c>
      <c r="H40" s="31">
        <f>Effort!H38</f>
        <v>331.28592391630696</v>
      </c>
      <c r="I40" s="39">
        <f>Harvest!H38</f>
        <v>4240.4598261287292</v>
      </c>
      <c r="J40" s="37">
        <f>CPUE!H38</f>
        <v>12.8</v>
      </c>
      <c r="K40" s="31" t="str">
        <f>Effort!J38</f>
        <v>CLOSED</v>
      </c>
      <c r="L40" s="39" t="str">
        <f>Harvest!J38</f>
        <v>CLOSED</v>
      </c>
      <c r="M40" s="37" t="str">
        <f>CPUE!J38</f>
        <v>CLOSED</v>
      </c>
      <c r="N40" s="31">
        <f>Effort!L38</f>
        <v>525.61119562619854</v>
      </c>
      <c r="O40" s="39">
        <f>Harvest!L38</f>
        <v>7884.1679343929773</v>
      </c>
      <c r="P40" s="37">
        <f>CPUE!L38</f>
        <v>14.999999999999998</v>
      </c>
      <c r="Q40" s="31" t="str">
        <f>Effort!N38</f>
        <v>CLOSED</v>
      </c>
      <c r="R40" s="39" t="str">
        <f>Harvest!N38</f>
        <v>CLOSED</v>
      </c>
      <c r="S40" s="37" t="str">
        <f>CPUE!N38</f>
        <v>CLOSED</v>
      </c>
      <c r="T40" s="31">
        <f t="shared" ref="T40:U42" si="6">+E40+H40+N40</f>
        <v>2152.0471663311828</v>
      </c>
      <c r="U40" s="39">
        <f t="shared" si="6"/>
        <v>22038.829446116448</v>
      </c>
    </row>
    <row r="41" spans="1:21" x14ac:dyDescent="0.25">
      <c r="A41" s="38">
        <v>41610</v>
      </c>
      <c r="B41" s="19">
        <v>41610</v>
      </c>
      <c r="C41" s="13">
        <v>-1.4</v>
      </c>
      <c r="D41" s="112">
        <v>0.74930555555555556</v>
      </c>
      <c r="E41" s="31">
        <f>Effort!F39</f>
        <v>462.3208703068459</v>
      </c>
      <c r="F41" s="39">
        <f>Harvest!F39</f>
        <v>6703.6526194492662</v>
      </c>
      <c r="G41" s="37">
        <f>CPUE!F39</f>
        <v>14.500000000000002</v>
      </c>
      <c r="H41" s="31">
        <f>Effort!H39</f>
        <v>286.455033170018</v>
      </c>
      <c r="I41" s="39">
        <f>Harvest!H39</f>
        <v>4304.1704984007829</v>
      </c>
      <c r="J41" s="37">
        <f>CPUE!H39</f>
        <v>15.025641025641024</v>
      </c>
      <c r="K41" s="31" t="str">
        <f>Effort!J39</f>
        <v>CLOSED</v>
      </c>
      <c r="L41" s="39" t="str">
        <f>Harvest!J39</f>
        <v>CLOSED</v>
      </c>
      <c r="M41" s="37" t="str">
        <f>CPUE!J39</f>
        <v>CLOSED</v>
      </c>
      <c r="N41" s="31">
        <f>Effort!L39</f>
        <v>180.66070086939507</v>
      </c>
      <c r="O41" s="39">
        <f>Harvest!L39</f>
        <v>2709.9105130409262</v>
      </c>
      <c r="P41" s="37">
        <f>CPUE!L39</f>
        <v>15</v>
      </c>
      <c r="Q41" s="31" t="str">
        <f>Effort!N39</f>
        <v>CLOSED</v>
      </c>
      <c r="R41" s="39" t="str">
        <f>Harvest!N39</f>
        <v>CLOSED</v>
      </c>
      <c r="S41" s="37" t="str">
        <f>CPUE!N39</f>
        <v>CLOSED</v>
      </c>
      <c r="T41" s="31">
        <f t="shared" si="6"/>
        <v>929.43660434625906</v>
      </c>
      <c r="U41" s="39">
        <f t="shared" si="6"/>
        <v>13717.733630890976</v>
      </c>
    </row>
    <row r="42" spans="1:21" x14ac:dyDescent="0.25">
      <c r="A42" s="38">
        <v>41611</v>
      </c>
      <c r="B42" s="19">
        <v>41611</v>
      </c>
      <c r="C42" s="13">
        <v>-1.7</v>
      </c>
      <c r="D42" s="112">
        <v>0.78055555555555556</v>
      </c>
      <c r="E42" s="31">
        <f>Effort!F40</f>
        <v>352.2531741164201</v>
      </c>
      <c r="F42" s="39">
        <f>Harvest!F40</f>
        <v>5283.7976117463013</v>
      </c>
      <c r="G42" s="37">
        <f>CPUE!F40</f>
        <v>15</v>
      </c>
      <c r="H42" s="31">
        <f>Effort!H40</f>
        <v>478.25270552464718</v>
      </c>
      <c r="I42" s="39">
        <f>Harvest!H40</f>
        <v>7173.7905828697076</v>
      </c>
      <c r="J42" s="37">
        <f>CPUE!H40</f>
        <v>15</v>
      </c>
      <c r="K42" s="31" t="str">
        <f>Effort!J40</f>
        <v>CLOSED</v>
      </c>
      <c r="L42" s="39" t="str">
        <f>Harvest!J40</f>
        <v>CLOSED</v>
      </c>
      <c r="M42" s="37" t="str">
        <f>CPUE!J40</f>
        <v>CLOSED</v>
      </c>
      <c r="N42" s="31">
        <f>Effort!L40</f>
        <v>223.67515345734628</v>
      </c>
      <c r="O42" s="39">
        <f>Harvest!L40</f>
        <v>3184.0815962751644</v>
      </c>
      <c r="P42" s="37">
        <f>CPUE!L40</f>
        <v>14.235294117647058</v>
      </c>
      <c r="Q42" s="31" t="str">
        <f>Effort!N40</f>
        <v>CLOSED</v>
      </c>
      <c r="R42" s="39" t="str">
        <f>Harvest!N40</f>
        <v>CLOSED</v>
      </c>
      <c r="S42" s="37" t="str">
        <f>CPUE!N40</f>
        <v>CLOSED</v>
      </c>
      <c r="T42" s="31">
        <f t="shared" si="6"/>
        <v>1054.1810330984135</v>
      </c>
      <c r="U42" s="39">
        <f t="shared" si="6"/>
        <v>15641.669790891172</v>
      </c>
    </row>
    <row r="43" spans="1:21" x14ac:dyDescent="0.25">
      <c r="A43" s="38">
        <v>41612</v>
      </c>
      <c r="B43" s="19">
        <v>41612</v>
      </c>
      <c r="C43" s="13">
        <v>-1.7</v>
      </c>
      <c r="D43" s="112">
        <v>0.8125</v>
      </c>
      <c r="E43" s="31">
        <f>Effort!F41</f>
        <v>220.15823382276255</v>
      </c>
      <c r="F43" s="39">
        <f>Harvest!F41</f>
        <v>2558.6893946645473</v>
      </c>
      <c r="G43" s="37">
        <f>CPUE!F41</f>
        <v>11.622047244094487</v>
      </c>
      <c r="H43" s="31">
        <f>Effort!H41</f>
        <v>231.59481409264413</v>
      </c>
      <c r="I43" s="39">
        <f>Harvest!H41</f>
        <v>3473.9222113896617</v>
      </c>
      <c r="J43" s="37">
        <f>CPUE!H41</f>
        <v>14.999999999999998</v>
      </c>
      <c r="K43" s="31" t="str">
        <f>Effort!J41</f>
        <v>CLOSED</v>
      </c>
      <c r="L43" s="39" t="str">
        <f>Harvest!J41</f>
        <v>CLOSED</v>
      </c>
      <c r="M43" s="37" t="str">
        <f>CPUE!J41</f>
        <v>CLOSED</v>
      </c>
      <c r="N43" s="31" t="str">
        <f>Effort!L41</f>
        <v>CLOSED</v>
      </c>
      <c r="O43" s="39" t="str">
        <f>Harvest!L41</f>
        <v>CLOSED</v>
      </c>
      <c r="P43" s="37" t="str">
        <f>CPUE!L41</f>
        <v>CLOSED</v>
      </c>
      <c r="Q43" s="31" t="str">
        <f>Effort!N41</f>
        <v>CLOSED</v>
      </c>
      <c r="R43" s="39" t="str">
        <f>Harvest!N41</f>
        <v>CLOSED</v>
      </c>
      <c r="S43" s="37" t="str">
        <f>CPUE!N41</f>
        <v>CLOSED</v>
      </c>
      <c r="T43" s="31">
        <f>+E43+H43</f>
        <v>451.75304791540668</v>
      </c>
      <c r="U43" s="39">
        <f>+F43+I43</f>
        <v>6032.611606054209</v>
      </c>
    </row>
    <row r="44" spans="1:21" x14ac:dyDescent="0.25">
      <c r="A44" s="38">
        <v>41613</v>
      </c>
      <c r="B44" s="19">
        <v>41613</v>
      </c>
      <c r="C44" s="13">
        <v>-1.4</v>
      </c>
      <c r="D44" s="112">
        <v>0.84513888888888899</v>
      </c>
      <c r="E44" s="31" t="str">
        <f>Effort!F42</f>
        <v>CLOSED</v>
      </c>
      <c r="F44" s="39" t="str">
        <f>Harvest!F42</f>
        <v>CLOSED</v>
      </c>
      <c r="G44" s="37" t="str">
        <f>CPUE!F42</f>
        <v>CLOSED</v>
      </c>
      <c r="H44" s="31">
        <f>Effort!H42</f>
        <v>103.78263532777675</v>
      </c>
      <c r="I44" s="39">
        <f>Harvest!H42</f>
        <v>1463.8813825181139</v>
      </c>
      <c r="J44" s="37">
        <f>CPUE!H42</f>
        <v>14.105263157894735</v>
      </c>
      <c r="K44" s="31" t="str">
        <f>Effort!J42</f>
        <v>CLOSED</v>
      </c>
      <c r="L44" s="39" t="str">
        <f>Harvest!J42</f>
        <v>CLOSED</v>
      </c>
      <c r="M44" s="37" t="str">
        <f>CPUE!J42</f>
        <v>CLOSED</v>
      </c>
      <c r="N44" s="31" t="str">
        <f>Effort!L42</f>
        <v>CLOSED</v>
      </c>
      <c r="O44" s="39" t="str">
        <f>Harvest!L42</f>
        <v>CLOSED</v>
      </c>
      <c r="P44" s="37" t="str">
        <f>CPUE!L42</f>
        <v>CLOSED</v>
      </c>
      <c r="Q44" s="31" t="str">
        <f>Effort!N42</f>
        <v>CLOSED</v>
      </c>
      <c r="R44" s="39" t="str">
        <f>Harvest!N42</f>
        <v>CLOSED</v>
      </c>
      <c r="S44" s="37" t="str">
        <f>CPUE!N42</f>
        <v>CLOSED</v>
      </c>
      <c r="T44" s="31">
        <f t="shared" ref="T44:U46" si="7">+H44</f>
        <v>103.78263532777675</v>
      </c>
      <c r="U44" s="39">
        <f t="shared" si="7"/>
        <v>1463.8813825181139</v>
      </c>
    </row>
    <row r="45" spans="1:21" x14ac:dyDescent="0.25">
      <c r="A45" s="38">
        <v>41614</v>
      </c>
      <c r="B45" s="19">
        <v>41614</v>
      </c>
      <c r="C45" s="13">
        <v>-1</v>
      </c>
      <c r="D45" s="112">
        <v>0.87847222222222221</v>
      </c>
      <c r="E45" s="31" t="str">
        <f>Effort!F43</f>
        <v>CLOSED</v>
      </c>
      <c r="F45" s="39" t="str">
        <f>Harvest!F43</f>
        <v>CLOSED</v>
      </c>
      <c r="G45" s="37" t="str">
        <f>CPUE!F43</f>
        <v>CLOSED</v>
      </c>
      <c r="H45" s="31">
        <f>Effort!H43</f>
        <v>67.135037642346745</v>
      </c>
      <c r="I45" s="39">
        <f>Harvest!H43</f>
        <v>1007.0255646352011</v>
      </c>
      <c r="J45" s="37">
        <f>CPUE!H43</f>
        <v>15</v>
      </c>
      <c r="K45" s="31" t="str">
        <f>Effort!J43</f>
        <v>CLOSED</v>
      </c>
      <c r="L45" s="39" t="str">
        <f>Harvest!J43</f>
        <v>CLOSED</v>
      </c>
      <c r="M45" s="37" t="str">
        <f>CPUE!J43</f>
        <v>CLOSED</v>
      </c>
      <c r="N45" s="31" t="str">
        <f>Effort!L43</f>
        <v>CLOSED</v>
      </c>
      <c r="O45" s="39" t="str">
        <f>Harvest!L43</f>
        <v>CLOSED</v>
      </c>
      <c r="P45" s="37" t="str">
        <f>CPUE!L43</f>
        <v>CLOSED</v>
      </c>
      <c r="Q45" s="31" t="str">
        <f>Effort!N43</f>
        <v>CLOSED</v>
      </c>
      <c r="R45" s="39" t="str">
        <f>Harvest!N43</f>
        <v>CLOSED</v>
      </c>
      <c r="S45" s="37" t="str">
        <f>CPUE!N43</f>
        <v>CLOSED</v>
      </c>
      <c r="T45" s="31">
        <f t="shared" si="7"/>
        <v>67.135037642346745</v>
      </c>
      <c r="U45" s="39">
        <f t="shared" si="7"/>
        <v>1007.0255646352011</v>
      </c>
    </row>
    <row r="46" spans="1:21" x14ac:dyDescent="0.25">
      <c r="A46" s="38">
        <v>41615</v>
      </c>
      <c r="B46" s="19">
        <v>41615</v>
      </c>
      <c r="C46" s="13">
        <v>-0.3</v>
      </c>
      <c r="D46" s="113">
        <v>0.91388888888888886</v>
      </c>
      <c r="E46" s="31" t="str">
        <f>Effort!F44</f>
        <v>CLOSED</v>
      </c>
      <c r="F46" s="39" t="str">
        <f>Harvest!F44</f>
        <v>CLOSED</v>
      </c>
      <c r="G46" s="37" t="str">
        <f>CPUE!F44</f>
        <v>CLOSED</v>
      </c>
      <c r="H46" s="31">
        <f>Effort!H44</f>
        <v>39.903679880375719</v>
      </c>
      <c r="I46" s="39">
        <f>Harvest!H44</f>
        <v>598.55519820563575</v>
      </c>
      <c r="J46" s="37">
        <f>CPUE!H44</f>
        <v>14.999999999999998</v>
      </c>
      <c r="K46" s="31" t="str">
        <f>Effort!J44</f>
        <v>CLOSED</v>
      </c>
      <c r="L46" s="39" t="str">
        <f>Harvest!J44</f>
        <v>CLOSED</v>
      </c>
      <c r="M46" s="37" t="str">
        <f>CPUE!J44</f>
        <v>CLOSED</v>
      </c>
      <c r="N46" s="31" t="str">
        <f>Effort!L44</f>
        <v>CLOSED</v>
      </c>
      <c r="O46" s="39" t="str">
        <f>Harvest!L44</f>
        <v>CLOSED</v>
      </c>
      <c r="P46" s="37" t="str">
        <f>CPUE!L44</f>
        <v>CLOSED</v>
      </c>
      <c r="Q46" s="31" t="str">
        <f>Effort!N44</f>
        <v>CLOSED</v>
      </c>
      <c r="R46" s="39" t="str">
        <f>Harvest!N44</f>
        <v>CLOSED</v>
      </c>
      <c r="S46" s="37" t="str">
        <f>CPUE!N44</f>
        <v>CLOSED</v>
      </c>
      <c r="T46" s="31">
        <f t="shared" si="7"/>
        <v>39.903679880375719</v>
      </c>
      <c r="U46" s="39">
        <f t="shared" si="7"/>
        <v>598.55519820563575</v>
      </c>
    </row>
    <row r="47" spans="1:21" x14ac:dyDescent="0.25">
      <c r="A47" s="162" t="s">
        <v>32</v>
      </c>
      <c r="B47" s="162"/>
      <c r="C47" s="162"/>
      <c r="D47" s="163"/>
      <c r="E47" s="35">
        <f>SUM(E39:E46)</f>
        <v>5615.6701894696062</v>
      </c>
      <c r="F47" s="36">
        <f>SUM(F39:F46)</f>
        <v>73747.159277978353</v>
      </c>
      <c r="G47" s="34">
        <f>+F47/E47</f>
        <v>13.13238790559096</v>
      </c>
      <c r="H47" s="35">
        <f>SUM(H39:H46)</f>
        <v>2860.6728107239769</v>
      </c>
      <c r="I47" s="36">
        <f>SUM(I39:I46)</f>
        <v>42659.356369512469</v>
      </c>
      <c r="J47" s="34">
        <f>+I47/H47</f>
        <v>14.912350762237738</v>
      </c>
      <c r="K47" s="35">
        <f>SUM(K39:K46)</f>
        <v>2720.2169478734922</v>
      </c>
      <c r="L47" s="36">
        <f>SUM(L39:L46)</f>
        <v>40803.254218102382</v>
      </c>
      <c r="M47" s="34">
        <f>+L47/K47</f>
        <v>15</v>
      </c>
      <c r="N47" s="35">
        <f>SUM(N39:N46)</f>
        <v>2042.2870220921041</v>
      </c>
      <c r="O47" s="36">
        <f>SUM(O39:O46)</f>
        <v>30463.259625796531</v>
      </c>
      <c r="P47" s="34">
        <f>+O47/N47</f>
        <v>14.916247959402977</v>
      </c>
      <c r="Q47" s="35"/>
      <c r="R47" s="36"/>
      <c r="S47" s="34"/>
      <c r="T47" s="35">
        <f>SUM(T39:T46)</f>
        <v>13238.846970159178</v>
      </c>
      <c r="U47" s="36">
        <f>SUM(U39:U46)</f>
        <v>187673.02949138978</v>
      </c>
    </row>
    <row r="48" spans="1:21" x14ac:dyDescent="0.25">
      <c r="A48" s="38">
        <v>41622</v>
      </c>
      <c r="B48" s="19">
        <v>41622</v>
      </c>
      <c r="C48" s="13">
        <v>-0.1</v>
      </c>
      <c r="D48" s="112">
        <v>0.69791666666666663</v>
      </c>
      <c r="E48" s="31">
        <f>Effort!F46</f>
        <v>1651.3479405270803</v>
      </c>
      <c r="F48" s="39">
        <f>Harvest!F46</f>
        <v>24770.219107906203</v>
      </c>
      <c r="G48" s="37">
        <f>CPUE!F46</f>
        <v>15</v>
      </c>
      <c r="H48" s="31">
        <f>Effort!H46</f>
        <v>906.91382003410945</v>
      </c>
      <c r="I48" s="39">
        <f>Harvest!H46</f>
        <v>13603.707300511642</v>
      </c>
      <c r="J48" s="37">
        <f>CPUE!H46</f>
        <v>15</v>
      </c>
      <c r="K48" s="31">
        <f>Effort!J46</f>
        <v>1266.8657957434955</v>
      </c>
      <c r="L48" s="39">
        <f>Harvest!J46</f>
        <v>19002.986936152429</v>
      </c>
      <c r="M48" s="37">
        <f>CPUE!J46</f>
        <v>14.999999999999996</v>
      </c>
      <c r="N48" s="31">
        <f>Effort!L46</f>
        <v>578.58655833989269</v>
      </c>
      <c r="O48" s="39">
        <f>Harvest!L46</f>
        <v>8678.7983750983894</v>
      </c>
      <c r="P48" s="37">
        <f>CPUE!L46</f>
        <v>14.999999999999998</v>
      </c>
      <c r="Q48" s="31" t="str">
        <f>Effort!N46</f>
        <v>CLOSED</v>
      </c>
      <c r="R48" s="39" t="str">
        <f>Harvest!N46</f>
        <v>CLOSED</v>
      </c>
      <c r="S48" s="37" t="str">
        <f>CPUE!N46</f>
        <v>CLOSED</v>
      </c>
      <c r="T48" s="31">
        <f>+E48+H48+K48+N48</f>
        <v>4403.7141146445774</v>
      </c>
      <c r="U48" s="39">
        <f>+F48+I48+L48+O48</f>
        <v>66055.711719668659</v>
      </c>
    </row>
    <row r="49" spans="1:22" x14ac:dyDescent="0.25">
      <c r="A49" s="38">
        <v>41623</v>
      </c>
      <c r="B49" s="19">
        <v>41623</v>
      </c>
      <c r="C49" s="13">
        <v>-0.3</v>
      </c>
      <c r="D49" s="112">
        <v>0.72638888888888886</v>
      </c>
      <c r="E49" s="31">
        <f>Effort!F47</f>
        <v>1106.4879496010512</v>
      </c>
      <c r="F49" s="39">
        <f>Harvest!F47</f>
        <v>14190.70795363348</v>
      </c>
      <c r="G49" s="37">
        <f>CPUE!F47</f>
        <v>12.824999999999999</v>
      </c>
      <c r="H49" s="31">
        <f>Effort!H47</f>
        <v>653.32661417552151</v>
      </c>
      <c r="I49" s="39">
        <f>Harvest!H47</f>
        <v>8574.9118110537202</v>
      </c>
      <c r="J49" s="37">
        <f>CPUE!H47</f>
        <v>13.125</v>
      </c>
      <c r="K49" s="31" t="str">
        <f>Effort!J47</f>
        <v>CLOSED</v>
      </c>
      <c r="L49" s="39" t="str">
        <f>Harvest!J47</f>
        <v>CLOSED</v>
      </c>
      <c r="M49" s="37" t="str">
        <f>CPUE!J47</f>
        <v>CLOSED</v>
      </c>
      <c r="N49" s="31">
        <f>Effort!L47</f>
        <v>821.63648536346591</v>
      </c>
      <c r="O49" s="39">
        <f>Harvest!L47</f>
        <v>12284.467451897672</v>
      </c>
      <c r="P49" s="37">
        <f>CPUE!L47</f>
        <v>14.95121951219512</v>
      </c>
      <c r="Q49" s="31" t="str">
        <f>Effort!N47</f>
        <v>CLOSED</v>
      </c>
      <c r="R49" s="39" t="str">
        <f>Harvest!N47</f>
        <v>CLOSED</v>
      </c>
      <c r="S49" s="37" t="str">
        <f>CPUE!N47</f>
        <v>CLOSED</v>
      </c>
      <c r="T49" s="31">
        <f>+E49+H49+N49</f>
        <v>2581.4510491400388</v>
      </c>
      <c r="U49" s="39">
        <f>+F49+I49+O49</f>
        <v>35050.08721658487</v>
      </c>
    </row>
    <row r="50" spans="1:22" x14ac:dyDescent="0.25">
      <c r="A50" s="38">
        <v>41624</v>
      </c>
      <c r="B50" s="19">
        <v>41624</v>
      </c>
      <c r="C50" s="13">
        <v>-0.4</v>
      </c>
      <c r="D50" s="112">
        <v>0.75208333333333333</v>
      </c>
      <c r="E50" s="31">
        <f>Effort!F48</f>
        <v>553.69007388590944</v>
      </c>
      <c r="F50" s="39">
        <f>Harvest!F48</f>
        <v>8215.5635287395762</v>
      </c>
      <c r="G50" s="37">
        <f>CPUE!F48</f>
        <v>14.83783783783784</v>
      </c>
      <c r="H50" s="31">
        <f>Effort!H48</f>
        <v>235.31709184430866</v>
      </c>
      <c r="I50" s="39">
        <f>Harvest!H48</f>
        <v>3098.6136227255779</v>
      </c>
      <c r="J50" s="37">
        <f>CPUE!H48</f>
        <v>13.167822185970637</v>
      </c>
      <c r="K50" s="31" t="str">
        <f>Effort!J48</f>
        <v>CLOSED</v>
      </c>
      <c r="L50" s="39" t="str">
        <f>Harvest!J48</f>
        <v>CLOSED</v>
      </c>
      <c r="M50" s="37" t="str">
        <f>CPUE!J48</f>
        <v>CLOSED</v>
      </c>
      <c r="N50" s="31">
        <f>Effort!L48</f>
        <v>295.93943380510433</v>
      </c>
      <c r="O50" s="39">
        <f>Harvest!L48</f>
        <v>4439.0915070765641</v>
      </c>
      <c r="P50" s="37">
        <f>CPUE!L48</f>
        <v>14.999999999999996</v>
      </c>
      <c r="Q50" s="31" t="str">
        <f>Effort!N48</f>
        <v>CLOSED</v>
      </c>
      <c r="R50" s="39" t="str">
        <f>Harvest!N48</f>
        <v>CLOSED</v>
      </c>
      <c r="S50" s="37" t="str">
        <f>CPUE!N48</f>
        <v>CLOSED</v>
      </c>
      <c r="T50" s="31">
        <f>+E50+H50+N50</f>
        <v>1084.9465995353223</v>
      </c>
      <c r="U50" s="39">
        <f>+F50+I50+O50</f>
        <v>15753.268658541718</v>
      </c>
    </row>
    <row r="51" spans="1:22" x14ac:dyDescent="0.25">
      <c r="A51" s="38">
        <v>41625</v>
      </c>
      <c r="B51" s="19">
        <v>41625</v>
      </c>
      <c r="C51" s="13">
        <v>-0.4</v>
      </c>
      <c r="D51" s="112">
        <v>0.77638888888888891</v>
      </c>
      <c r="E51" s="31" t="str">
        <f>Effort!F49</f>
        <v>CLOSED</v>
      </c>
      <c r="F51" s="39" t="str">
        <f>Harvest!F49</f>
        <v>CLOSED</v>
      </c>
      <c r="G51" s="37" t="str">
        <f>CPUE!F49</f>
        <v>CLOSED</v>
      </c>
      <c r="H51" s="31">
        <f>Effort!H49</f>
        <v>212.76596741844537</v>
      </c>
      <c r="I51" s="39">
        <f>Harvest!H49</f>
        <v>2893.6171568908571</v>
      </c>
      <c r="J51" s="37">
        <f>CPUE!H49</f>
        <v>13.6</v>
      </c>
      <c r="K51" s="31" t="str">
        <f>Effort!J49</f>
        <v>CLOSED</v>
      </c>
      <c r="L51" s="39" t="str">
        <f>Harvest!J49</f>
        <v>CLOSED</v>
      </c>
      <c r="M51" s="37" t="str">
        <f>CPUE!J49</f>
        <v>CLOSED</v>
      </c>
      <c r="N51" s="31" t="str">
        <f>Effort!L49</f>
        <v>CLOSED</v>
      </c>
      <c r="O51" s="39" t="str">
        <f>Harvest!L49</f>
        <v>CLOSED</v>
      </c>
      <c r="P51" s="37" t="str">
        <f>CPUE!L49</f>
        <v>CLOSED</v>
      </c>
      <c r="Q51" s="31" t="str">
        <f>Effort!N49</f>
        <v>CLOSED</v>
      </c>
      <c r="R51" s="39" t="str">
        <f>Harvest!N49</f>
        <v>CLOSED</v>
      </c>
      <c r="S51" s="37" t="str">
        <f>CPUE!N49</f>
        <v>CLOSED</v>
      </c>
      <c r="T51" s="31">
        <f>+H51</f>
        <v>212.76596741844537</v>
      </c>
      <c r="U51" s="39">
        <f>+I51</f>
        <v>2893.6171568908571</v>
      </c>
    </row>
    <row r="52" spans="1:22" x14ac:dyDescent="0.25">
      <c r="A52" s="38">
        <v>41626</v>
      </c>
      <c r="B52" s="19">
        <v>41626</v>
      </c>
      <c r="C52" s="13">
        <v>-0.3</v>
      </c>
      <c r="D52" s="113">
        <v>0.79999999999999993</v>
      </c>
      <c r="E52" s="31" t="str">
        <f>Effort!F50</f>
        <v>CLOSED</v>
      </c>
      <c r="F52" s="39" t="str">
        <f>Harvest!F50</f>
        <v>CLOSED</v>
      </c>
      <c r="G52" s="37" t="str">
        <f>CPUE!F50</f>
        <v>CLOSED</v>
      </c>
      <c r="H52" s="31">
        <f>Effort!H50</f>
        <v>88.973027670096371</v>
      </c>
      <c r="I52" s="39">
        <f>Harvest!H50</f>
        <v>1334.5954150514456</v>
      </c>
      <c r="J52" s="37">
        <f>CPUE!H50</f>
        <v>15</v>
      </c>
      <c r="K52" s="31" t="str">
        <f>Effort!J50</f>
        <v>CLOSED</v>
      </c>
      <c r="L52" s="39" t="str">
        <f>Harvest!J50</f>
        <v>CLOSED</v>
      </c>
      <c r="M52" s="37" t="str">
        <f>CPUE!J50</f>
        <v>CLOSED</v>
      </c>
      <c r="N52" s="31" t="str">
        <f>Effort!L50</f>
        <v>CLOSED</v>
      </c>
      <c r="O52" s="39" t="str">
        <f>Harvest!L50</f>
        <v>CLOSED</v>
      </c>
      <c r="P52" s="37" t="str">
        <f>CPUE!L50</f>
        <v>CLOSED</v>
      </c>
      <c r="Q52" s="31" t="str">
        <f>Effort!N50</f>
        <v>CLOSED</v>
      </c>
      <c r="R52" s="39" t="str">
        <f>Harvest!N50</f>
        <v>CLOSED</v>
      </c>
      <c r="S52" s="37" t="str">
        <f>CPUE!N50</f>
        <v>CLOSED</v>
      </c>
      <c r="T52" s="31">
        <f>+H52</f>
        <v>88.973027670096371</v>
      </c>
      <c r="U52" s="39">
        <f>+I52</f>
        <v>1334.5954150514456</v>
      </c>
    </row>
    <row r="53" spans="1:22" x14ac:dyDescent="0.25">
      <c r="A53" s="162"/>
      <c r="B53" s="162"/>
      <c r="C53" s="162"/>
      <c r="D53" s="163"/>
      <c r="E53" s="35">
        <f>SUM(E48:E52)</f>
        <v>3311.5259640140412</v>
      </c>
      <c r="F53" s="36">
        <f>SUM(F48:F52)</f>
        <v>47176.49059027926</v>
      </c>
      <c r="G53" s="34">
        <f>+F53/E53</f>
        <v>14.246148483490865</v>
      </c>
      <c r="H53" s="35">
        <f>SUM(H48:H52)</f>
        <v>2097.2965211424817</v>
      </c>
      <c r="I53" s="36">
        <f>SUM(I48:I52)</f>
        <v>29505.445306233243</v>
      </c>
      <c r="J53" s="34">
        <f>+I53/H53</f>
        <v>14.068323200269479</v>
      </c>
      <c r="K53" s="35">
        <f>SUM(K48:K52)</f>
        <v>1266.8657957434955</v>
      </c>
      <c r="L53" s="36">
        <f>SUM(L48:L52)</f>
        <v>19002.986936152429</v>
      </c>
      <c r="M53" s="34">
        <f>+L53/K53</f>
        <v>14.999999999999996</v>
      </c>
      <c r="N53" s="35">
        <f>SUM(N48:N52)</f>
        <v>1696.1624775084629</v>
      </c>
      <c r="O53" s="36">
        <f>SUM(O48:O52)</f>
        <v>25402.357334072622</v>
      </c>
      <c r="P53" s="34">
        <f>+O53/N53</f>
        <v>14.976370289352706</v>
      </c>
      <c r="Q53" s="35"/>
      <c r="R53" s="36"/>
      <c r="S53" s="34"/>
      <c r="T53" s="35">
        <f>SUM(T48:T52)</f>
        <v>8371.85075840848</v>
      </c>
      <c r="U53" s="36">
        <f>SUM(U48:U52)</f>
        <v>121087.28016673756</v>
      </c>
    </row>
    <row r="54" spans="1:22" x14ac:dyDescent="0.25">
      <c r="A54" s="38">
        <v>41637</v>
      </c>
      <c r="B54" s="19">
        <v>41637</v>
      </c>
      <c r="C54" s="13">
        <v>-0.2</v>
      </c>
      <c r="D54" s="112">
        <v>0.67013888888888884</v>
      </c>
      <c r="E54" s="31">
        <f>Effort!F52</f>
        <v>3532.7933061596609</v>
      </c>
      <c r="F54" s="39">
        <f>Harvest!F52</f>
        <v>52234.872455360703</v>
      </c>
      <c r="G54" s="37">
        <f>CPUE!F52</f>
        <v>14.785714285714286</v>
      </c>
      <c r="H54" s="31">
        <f>Effort!H52</f>
        <v>910.65331152522674</v>
      </c>
      <c r="I54" s="39">
        <f>Harvest!H52</f>
        <v>13713.45951108245</v>
      </c>
      <c r="J54" s="37">
        <f>CPUE!H52</f>
        <v>15.058924551775005</v>
      </c>
      <c r="K54" s="31">
        <f>Effort!J52</f>
        <v>3259.2887395126077</v>
      </c>
      <c r="L54" s="39">
        <f>Harvest!J52</f>
        <v>47376.089892201118</v>
      </c>
      <c r="M54" s="37">
        <f>CPUE!J52</f>
        <v>14.535714285714286</v>
      </c>
      <c r="N54" s="31">
        <f>Effort!L52</f>
        <v>1216.8901275455939</v>
      </c>
      <c r="O54" s="39">
        <f>Harvest!L52</f>
        <v>18253.351913183909</v>
      </c>
      <c r="P54" s="37">
        <f>CPUE!L52</f>
        <v>15</v>
      </c>
      <c r="Q54" s="31" t="str">
        <f>Effort!N52</f>
        <v>CLOSED</v>
      </c>
      <c r="R54" s="39" t="str">
        <f>Harvest!N52</f>
        <v>CLOSED</v>
      </c>
      <c r="S54" s="37" t="str">
        <f>CPUE!N52</f>
        <v>CLOSED</v>
      </c>
      <c r="T54" s="31">
        <f t="shared" ref="T54:U56" si="8">+E54+H54+K54+N54</f>
        <v>8919.6254847430882</v>
      </c>
      <c r="U54" s="39">
        <f t="shared" si="8"/>
        <v>131577.77377182816</v>
      </c>
    </row>
    <row r="55" spans="1:22" x14ac:dyDescent="0.25">
      <c r="A55" s="38">
        <v>41638</v>
      </c>
      <c r="B55" s="19">
        <v>41638</v>
      </c>
      <c r="C55" s="13">
        <v>-0.9</v>
      </c>
      <c r="D55" s="112">
        <v>0.70486111111111116</v>
      </c>
      <c r="E55" s="31">
        <f>Effort!F53</f>
        <v>4012.9192033138715</v>
      </c>
      <c r="F55" s="39">
        <f>Harvest!F53</f>
        <v>59993.142089542373</v>
      </c>
      <c r="G55" s="37">
        <f>CPUE!F53</f>
        <v>14.949999999999998</v>
      </c>
      <c r="H55" s="31">
        <f>Effort!H53</f>
        <v>1530.9219322397648</v>
      </c>
      <c r="I55" s="39">
        <f>Harvest!H53</f>
        <v>23210.751875893209</v>
      </c>
      <c r="J55" s="37">
        <f>CPUE!H53</f>
        <v>15.161290322580646</v>
      </c>
      <c r="K55" s="31">
        <f>Effort!J53</f>
        <v>5014.0907694910784</v>
      </c>
      <c r="L55" s="39">
        <f>Harvest!J53</f>
        <v>74353.688121269006</v>
      </c>
      <c r="M55" s="37">
        <f>CPUE!J53</f>
        <v>14.82894736842105</v>
      </c>
      <c r="N55" s="31">
        <f>Effort!L53</f>
        <v>2510.924857729548</v>
      </c>
      <c r="O55" s="39">
        <f>Harvest!L53</f>
        <v>36727.595800349154</v>
      </c>
      <c r="P55" s="37">
        <f>CPUE!L53</f>
        <v>14.627118644067798</v>
      </c>
      <c r="Q55" s="31" t="str">
        <f>Effort!N53</f>
        <v>CLOSED</v>
      </c>
      <c r="R55" s="39" t="str">
        <f>Harvest!N53</f>
        <v>CLOSED</v>
      </c>
      <c r="S55" s="37" t="str">
        <f>CPUE!N53</f>
        <v>CLOSED</v>
      </c>
      <c r="T55" s="31">
        <f t="shared" si="8"/>
        <v>13068.856762774263</v>
      </c>
      <c r="U55" s="39">
        <f t="shared" si="8"/>
        <v>194285.17788705375</v>
      </c>
    </row>
    <row r="56" spans="1:22" x14ac:dyDescent="0.25">
      <c r="A56" s="38">
        <v>41639</v>
      </c>
      <c r="B56" s="19">
        <v>41639</v>
      </c>
      <c r="C56" s="13">
        <v>-1.4</v>
      </c>
      <c r="D56" s="112">
        <v>0.73749999999999993</v>
      </c>
      <c r="E56" s="31">
        <f>Effort!F54</f>
        <v>4080.75221524176</v>
      </c>
      <c r="F56" s="39">
        <f>Harvest!F54</f>
        <v>60850.154714003234</v>
      </c>
      <c r="G56" s="37">
        <f>CPUE!F54</f>
        <v>14.91150442477876</v>
      </c>
      <c r="H56" s="31">
        <f>Effort!H54</f>
        <v>1009.7185182755077</v>
      </c>
      <c r="I56" s="39">
        <f>Harvest!H54</f>
        <v>15561.721371151032</v>
      </c>
      <c r="J56" s="37">
        <f>CPUE!H54</f>
        <v>15.411940149150483</v>
      </c>
      <c r="K56" s="31">
        <f>Effort!J54</f>
        <v>2969.1741473879547</v>
      </c>
      <c r="L56" s="39">
        <f>Harvest!J54</f>
        <v>44565.623287681476</v>
      </c>
      <c r="M56" s="37">
        <f>CPUE!J54</f>
        <v>15.009433962264152</v>
      </c>
      <c r="N56" s="31">
        <f>Effort!L54</f>
        <v>1993.9447870968572</v>
      </c>
      <c r="O56" s="39">
        <f>Harvest!L54</f>
        <v>29909.171806452858</v>
      </c>
      <c r="P56" s="37">
        <f>CPUE!L54</f>
        <v>15</v>
      </c>
      <c r="Q56" s="31" t="str">
        <f>Effort!N54</f>
        <v>CLOSED</v>
      </c>
      <c r="R56" s="39" t="str">
        <f>Harvest!N54</f>
        <v>CLOSED</v>
      </c>
      <c r="S56" s="37" t="str">
        <f>CPUE!N54</f>
        <v>CLOSED</v>
      </c>
      <c r="T56" s="31">
        <f t="shared" si="8"/>
        <v>10053.58966800208</v>
      </c>
      <c r="U56" s="39">
        <f t="shared" si="8"/>
        <v>150886.67117928859</v>
      </c>
    </row>
    <row r="57" spans="1:22" x14ac:dyDescent="0.25">
      <c r="A57" s="38">
        <v>41640</v>
      </c>
      <c r="B57" s="19">
        <v>41640</v>
      </c>
      <c r="C57" s="13">
        <v>-1.7</v>
      </c>
      <c r="D57" s="112">
        <v>0.77013888888888893</v>
      </c>
      <c r="E57" s="31">
        <f>Effort!F55</f>
        <v>4312.5678621075895</v>
      </c>
      <c r="F57" s="39">
        <f>Harvest!F55</f>
        <v>64376.995830518128</v>
      </c>
      <c r="G57" s="37">
        <f>CPUE!F55</f>
        <v>14.927764127764132</v>
      </c>
      <c r="H57" s="31">
        <f>Effort!H55</f>
        <v>1832.8320762013416</v>
      </c>
      <c r="I57" s="39">
        <f>Harvest!H55</f>
        <v>24280.676008745457</v>
      </c>
      <c r="J57" s="37">
        <f>CPUE!H55</f>
        <v>13.247627168915916</v>
      </c>
      <c r="K57" s="31" t="str">
        <f>Effort!J55</f>
        <v>CLOSED</v>
      </c>
      <c r="L57" s="39" t="str">
        <f>Harvest!J55</f>
        <v>CLOSED</v>
      </c>
      <c r="M57" s="37" t="str">
        <f>CPUE!J55</f>
        <v>CLOSED</v>
      </c>
      <c r="N57" s="31">
        <f>Effort!L55</f>
        <v>2305.0059077295086</v>
      </c>
      <c r="O57" s="39">
        <f>Harvest!L55</f>
        <v>34784.634607554399</v>
      </c>
      <c r="P57" s="37">
        <f>CPUE!L55</f>
        <v>15.09090909090909</v>
      </c>
      <c r="Q57" s="31" t="str">
        <f>Effort!N55</f>
        <v>CLOSED</v>
      </c>
      <c r="R57" s="39" t="str">
        <f>Harvest!N55</f>
        <v>CLOSED</v>
      </c>
      <c r="S57" s="37" t="str">
        <f>CPUE!N55</f>
        <v>CLOSED</v>
      </c>
      <c r="T57" s="31">
        <f t="shared" ref="T57:U59" si="9">+E57+H57+N57</f>
        <v>8450.4058460384404</v>
      </c>
      <c r="U57" s="39">
        <f t="shared" si="9"/>
        <v>123442.30644681798</v>
      </c>
    </row>
    <row r="58" spans="1:22" x14ac:dyDescent="0.25">
      <c r="A58" s="38">
        <v>41641</v>
      </c>
      <c r="B58" s="19">
        <v>41641</v>
      </c>
      <c r="C58" s="13">
        <v>-1.7</v>
      </c>
      <c r="D58" s="112">
        <v>0.80208333333333337</v>
      </c>
      <c r="E58" s="31">
        <f>Effort!F56</f>
        <v>531.15461078524095</v>
      </c>
      <c r="F58" s="39">
        <f>Harvest!F56</f>
        <v>2850.5297445474598</v>
      </c>
      <c r="G58" s="37">
        <f>CPUE!F56</f>
        <v>5.3666666666666671</v>
      </c>
      <c r="H58" s="31">
        <f>Effort!H56</f>
        <v>323.97702961465927</v>
      </c>
      <c r="I58" s="39">
        <f>Harvest!H56</f>
        <v>3208.9153409451965</v>
      </c>
      <c r="J58" s="37">
        <f>CPUE!H56</f>
        <v>9.9047619047619051</v>
      </c>
      <c r="K58" s="31" t="str">
        <f>Effort!J56</f>
        <v>CLOSED</v>
      </c>
      <c r="L58" s="39" t="str">
        <f>Harvest!J56</f>
        <v>CLOSED</v>
      </c>
      <c r="M58" s="37" t="str">
        <f>CPUE!J56</f>
        <v>CLOSED</v>
      </c>
      <c r="N58" s="31">
        <f>Effort!L56</f>
        <v>254.9626226166977</v>
      </c>
      <c r="O58" s="39">
        <f>Harvest!L56</f>
        <v>2448.8270497836311</v>
      </c>
      <c r="P58" s="37">
        <f>CPUE!L56</f>
        <v>9.604651162790697</v>
      </c>
      <c r="Q58" s="31" t="str">
        <f>Effort!N56</f>
        <v>CLOSED</v>
      </c>
      <c r="R58" s="39" t="str">
        <f>Harvest!N56</f>
        <v>CLOSED</v>
      </c>
      <c r="S58" s="37" t="str">
        <f>CPUE!N56</f>
        <v>CLOSED</v>
      </c>
      <c r="T58" s="31">
        <f t="shared" si="9"/>
        <v>1110.094263016598</v>
      </c>
      <c r="U58" s="39">
        <f t="shared" si="9"/>
        <v>8508.2721352762874</v>
      </c>
    </row>
    <row r="59" spans="1:22" x14ac:dyDescent="0.25">
      <c r="A59" s="38">
        <v>41642</v>
      </c>
      <c r="B59" s="19">
        <v>41642</v>
      </c>
      <c r="C59" s="13">
        <v>-1.4</v>
      </c>
      <c r="D59" s="112">
        <v>0.83333333333333337</v>
      </c>
      <c r="E59" s="31">
        <f>Effort!F57</f>
        <v>813.68473174004873</v>
      </c>
      <c r="F59" s="39">
        <f>Harvest!F57</f>
        <v>10866.081521778568</v>
      </c>
      <c r="G59" s="37">
        <f>CPUE!F57</f>
        <v>13.354166666666666</v>
      </c>
      <c r="H59" s="31">
        <f>Effort!H57</f>
        <v>487.001462565184</v>
      </c>
      <c r="I59" s="39">
        <f>Harvest!H57</f>
        <v>7238.9878418587523</v>
      </c>
      <c r="J59" s="37">
        <f>CPUE!H57</f>
        <v>14.864406779661017</v>
      </c>
      <c r="K59" s="31" t="str">
        <f>Effort!J57</f>
        <v>CLOSED</v>
      </c>
      <c r="L59" s="39" t="str">
        <f>Harvest!J57</f>
        <v>CLOSED</v>
      </c>
      <c r="M59" s="37" t="str">
        <f>CPUE!J57</f>
        <v>CLOSED</v>
      </c>
      <c r="N59" s="31">
        <f>Effort!L57</f>
        <v>886.41280578631176</v>
      </c>
      <c r="O59" s="39">
        <f>Harvest!L57</f>
        <v>13296.192086794676</v>
      </c>
      <c r="P59" s="37">
        <f>CPUE!L57</f>
        <v>14.999999999999998</v>
      </c>
      <c r="Q59" s="31" t="str">
        <f>Effort!N57</f>
        <v>CLOSED</v>
      </c>
      <c r="R59" s="39" t="str">
        <f>Harvest!N57</f>
        <v>CLOSED</v>
      </c>
      <c r="S59" s="37" t="str">
        <f>CPUE!N57</f>
        <v>CLOSED</v>
      </c>
      <c r="T59" s="31">
        <f t="shared" si="9"/>
        <v>2187.0990000915444</v>
      </c>
      <c r="U59" s="39">
        <f t="shared" si="9"/>
        <v>31401.261450431994</v>
      </c>
    </row>
    <row r="60" spans="1:22" x14ac:dyDescent="0.25">
      <c r="A60" s="38">
        <v>41643</v>
      </c>
      <c r="B60" s="19">
        <v>41643</v>
      </c>
      <c r="C60" s="13">
        <v>-0.9</v>
      </c>
      <c r="D60" s="112">
        <v>0.86458333333333337</v>
      </c>
      <c r="E60" s="31">
        <f>Effort!F58</f>
        <v>1065.7426999429936</v>
      </c>
      <c r="F60" s="39">
        <f>Harvest!F58</f>
        <v>16006.878885815617</v>
      </c>
      <c r="G60" s="37">
        <f>CPUE!F58</f>
        <v>15.019459093336339</v>
      </c>
      <c r="H60" s="31">
        <f>Effort!H58</f>
        <v>468.68765141415423</v>
      </c>
      <c r="I60" s="39">
        <f>Harvest!H58</f>
        <v>6762.4932561185105</v>
      </c>
      <c r="J60" s="37">
        <f>CPUE!H58</f>
        <v>14.428571428571427</v>
      </c>
      <c r="K60" s="31">
        <f>Effort!J58</f>
        <v>1269.4116019079102</v>
      </c>
      <c r="L60" s="39">
        <f>Harvest!J58</f>
        <v>19063.842092938437</v>
      </c>
      <c r="M60" s="37">
        <f>CPUE!J58</f>
        <v>15.017857142857144</v>
      </c>
      <c r="N60" s="31">
        <f>Effort!L58</f>
        <v>666.95772793099195</v>
      </c>
      <c r="O60" s="39">
        <f>Harvest!L58</f>
        <v>10004.365918964879</v>
      </c>
      <c r="P60" s="37">
        <f>CPUE!L58</f>
        <v>15</v>
      </c>
      <c r="Q60" s="31" t="str">
        <f>Effort!N58</f>
        <v>CLOSED</v>
      </c>
      <c r="R60" s="39" t="str">
        <f>Harvest!N58</f>
        <v>CLOSED</v>
      </c>
      <c r="S60" s="37" t="str">
        <f>CPUE!N58</f>
        <v>CLOSED</v>
      </c>
      <c r="T60" s="31">
        <f>+E60+H60+K60+N60</f>
        <v>3470.7996811960497</v>
      </c>
      <c r="U60" s="39">
        <f>+F60+I60+L60+O60</f>
        <v>51837.580153837436</v>
      </c>
    </row>
    <row r="61" spans="1:22" x14ac:dyDescent="0.25">
      <c r="A61" s="38">
        <v>41644</v>
      </c>
      <c r="B61" s="19">
        <v>41644</v>
      </c>
      <c r="C61" s="13">
        <v>-0.2</v>
      </c>
      <c r="D61" s="113">
        <v>0.8965277777777777</v>
      </c>
      <c r="E61" s="31" t="str">
        <f>Effort!F59</f>
        <v>CLOSED</v>
      </c>
      <c r="F61" s="39" t="str">
        <f>Harvest!F59</f>
        <v>CLOSED</v>
      </c>
      <c r="G61" s="37" t="str">
        <f>CPUE!F59</f>
        <v>CLOSED</v>
      </c>
      <c r="H61" s="31">
        <f>Effort!H59</f>
        <v>468.68765141415423</v>
      </c>
      <c r="I61" s="39">
        <f>Harvest!H59</f>
        <v>6762.4932561185105</v>
      </c>
      <c r="J61" s="37">
        <f>CPUE!H59</f>
        <v>14.428571428571427</v>
      </c>
      <c r="K61" s="31" t="str">
        <f>Effort!J59</f>
        <v>CLOSED</v>
      </c>
      <c r="L61" s="39" t="str">
        <f>Harvest!J59</f>
        <v>CLOSED</v>
      </c>
      <c r="M61" s="37" t="str">
        <f>CPUE!J59</f>
        <v>CLOSED</v>
      </c>
      <c r="N61" s="31" t="str">
        <f>Effort!L59</f>
        <v>CLOSED</v>
      </c>
      <c r="O61" s="39" t="str">
        <f>Harvest!L59</f>
        <v>CLOSED</v>
      </c>
      <c r="P61" s="37" t="str">
        <f>CPUE!L59</f>
        <v>CLOSED</v>
      </c>
      <c r="Q61" s="31" t="str">
        <f>Effort!N59</f>
        <v>CLOSED</v>
      </c>
      <c r="R61" s="39" t="str">
        <f>Harvest!N59</f>
        <v>CLOSED</v>
      </c>
      <c r="S61" s="37" t="str">
        <f>CPUE!N59</f>
        <v>CLOSED</v>
      </c>
      <c r="T61" s="31">
        <f>+H61</f>
        <v>468.68765141415423</v>
      </c>
      <c r="U61" s="39">
        <f>+I61</f>
        <v>6762.4932561185105</v>
      </c>
    </row>
    <row r="62" spans="1:22" x14ac:dyDescent="0.25">
      <c r="A62" s="162"/>
      <c r="B62" s="162"/>
      <c r="C62" s="162"/>
      <c r="D62" s="163"/>
      <c r="E62" s="35">
        <f>SUM(E54:E61)</f>
        <v>18349.614629291165</v>
      </c>
      <c r="F62" s="36">
        <f>SUM(F54:F61)</f>
        <v>267178.65524156607</v>
      </c>
      <c r="G62" s="34">
        <f>+F62/E62</f>
        <v>14.560450485705216</v>
      </c>
      <c r="H62" s="35">
        <f>SUM(H54:H61)</f>
        <v>7032.4796332499918</v>
      </c>
      <c r="I62" s="36">
        <f>SUM(I54:I61)</f>
        <v>100739.49846191311</v>
      </c>
      <c r="J62" s="34">
        <f>+I62/H62</f>
        <v>14.324890183202328</v>
      </c>
      <c r="K62" s="35">
        <f>SUM(K54:K61)</f>
        <v>12511.96525829955</v>
      </c>
      <c r="L62" s="36">
        <f>SUM(L54:L61)</f>
        <v>185359.24339409004</v>
      </c>
      <c r="M62" s="34">
        <f>+L62/K62</f>
        <v>14.814558669840924</v>
      </c>
      <c r="N62" s="35">
        <f>SUM(N54:N61)</f>
        <v>9835.0988364355107</v>
      </c>
      <c r="O62" s="36">
        <f>SUM(O54:O61)</f>
        <v>145424.13918308352</v>
      </c>
      <c r="P62" s="34">
        <f>+O62/N62</f>
        <v>14.786240748729366</v>
      </c>
      <c r="Q62" s="35"/>
      <c r="R62" s="36"/>
      <c r="S62" s="34"/>
      <c r="T62" s="35">
        <f>SUM(T54:T61)</f>
        <v>47729.15835727621</v>
      </c>
      <c r="U62" s="36">
        <f>SUM(U54:U61)</f>
        <v>698701.53628065262</v>
      </c>
    </row>
    <row r="63" spans="1:22" x14ac:dyDescent="0.25">
      <c r="A63" s="38">
        <v>41654</v>
      </c>
      <c r="B63" s="19">
        <v>41654</v>
      </c>
      <c r="C63" s="13">
        <v>-0.1</v>
      </c>
      <c r="D63" s="112">
        <v>0.7631944444444444</v>
      </c>
      <c r="E63" s="31" t="str">
        <f>Effort!F61</f>
        <v>CLOSED</v>
      </c>
      <c r="F63" s="39" t="str">
        <f>Harvest!F61</f>
        <v>CLOSED</v>
      </c>
      <c r="G63" s="37" t="str">
        <f>CPUE!F61</f>
        <v>CLOSED</v>
      </c>
      <c r="H63" s="31">
        <f>Effort!H61</f>
        <v>660.30411680580585</v>
      </c>
      <c r="I63" s="39">
        <f>Harvest!H61</f>
        <v>9691.5604240852153</v>
      </c>
      <c r="J63" s="37">
        <f>CPUE!H61</f>
        <v>14.67741935483871</v>
      </c>
      <c r="K63" s="31" t="str">
        <f>Effort!J61</f>
        <v>CLOSED</v>
      </c>
      <c r="L63" s="39" t="str">
        <f>Harvest!J61</f>
        <v>CLOSED</v>
      </c>
      <c r="M63" s="37" t="str">
        <f>CPUE!J61</f>
        <v>CLOSED</v>
      </c>
      <c r="N63" s="31" t="str">
        <f>Effort!L61</f>
        <v>CLOSED</v>
      </c>
      <c r="O63" s="39" t="str">
        <f>Harvest!L61</f>
        <v>CLOSED</v>
      </c>
      <c r="P63" s="37" t="str">
        <f>CPUE!L61</f>
        <v>CLOSED</v>
      </c>
      <c r="Q63" s="31" t="str">
        <f>Effort!N61</f>
        <v>CLOSED</v>
      </c>
      <c r="R63" s="39" t="str">
        <f>Harvest!N61</f>
        <v>CLOSED</v>
      </c>
      <c r="S63" s="37" t="str">
        <f>CPUE!N61</f>
        <v>CLOSED</v>
      </c>
      <c r="T63" s="31">
        <f>+H63</f>
        <v>660.30411680580585</v>
      </c>
      <c r="U63" s="39">
        <f>+I63</f>
        <v>9691.5604240852153</v>
      </c>
      <c r="V63" s="10"/>
    </row>
    <row r="64" spans="1:22" x14ac:dyDescent="0.25">
      <c r="A64" s="38">
        <v>41655</v>
      </c>
      <c r="B64" s="19">
        <v>41655</v>
      </c>
      <c r="C64" s="13">
        <v>-0.1</v>
      </c>
      <c r="D64" s="112">
        <v>0.78541666666666676</v>
      </c>
      <c r="E64" s="31" t="str">
        <f>Effort!F62</f>
        <v>CLOSED</v>
      </c>
      <c r="F64" s="39" t="str">
        <f>Harvest!F62</f>
        <v>CLOSED</v>
      </c>
      <c r="G64" s="37" t="str">
        <f>CPUE!F62</f>
        <v>CLOSED</v>
      </c>
      <c r="H64" s="31">
        <f>Effort!H62</f>
        <v>603.95501020873189</v>
      </c>
      <c r="I64" s="39">
        <f>Harvest!H62</f>
        <v>9079.4569868046037</v>
      </c>
      <c r="J64" s="37">
        <f>CPUE!H62</f>
        <v>15.033333333333335</v>
      </c>
      <c r="K64" s="31" t="str">
        <f>Effort!J62</f>
        <v>CLOSED</v>
      </c>
      <c r="L64" s="39" t="str">
        <f>Harvest!J62</f>
        <v>CLOSED</v>
      </c>
      <c r="M64" s="37" t="str">
        <f>CPUE!J62</f>
        <v>CLOSED</v>
      </c>
      <c r="N64" s="31" t="str">
        <f>Effort!L62</f>
        <v>CLOSED</v>
      </c>
      <c r="O64" s="39" t="str">
        <f>Harvest!L62</f>
        <v>CLOSED</v>
      </c>
      <c r="P64" s="37" t="str">
        <f>CPUE!L62</f>
        <v>CLOSED</v>
      </c>
      <c r="Q64" s="31" t="str">
        <f>Effort!N62</f>
        <v>CLOSED</v>
      </c>
      <c r="R64" s="39" t="str">
        <f>Harvest!N62</f>
        <v>CLOSED</v>
      </c>
      <c r="S64" s="37" t="str">
        <f>CPUE!N62</f>
        <v>CLOSED</v>
      </c>
      <c r="T64" s="31">
        <f>+H64</f>
        <v>603.95501020873189</v>
      </c>
      <c r="U64" s="39">
        <f>+I64</f>
        <v>9079.4569868046037</v>
      </c>
      <c r="V64" s="10"/>
    </row>
    <row r="65" spans="1:22" x14ac:dyDescent="0.25">
      <c r="A65" s="38">
        <v>41656</v>
      </c>
      <c r="B65" s="19">
        <v>41656</v>
      </c>
      <c r="C65" s="13">
        <v>0</v>
      </c>
      <c r="D65" s="112">
        <v>0.80694444444444446</v>
      </c>
      <c r="E65" s="31">
        <f>Effort!F63</f>
        <v>636.25256118407401</v>
      </c>
      <c r="F65" s="39">
        <f>Harvest!F63</f>
        <v>3788.5947961415304</v>
      </c>
      <c r="G65" s="37">
        <f>CPUE!F63</f>
        <v>5.9545454545454524</v>
      </c>
      <c r="H65" s="31">
        <f>Effort!H63</f>
        <v>371.03645581572107</v>
      </c>
      <c r="I65" s="39">
        <f>Harvest!H63</f>
        <v>6712.3867915753162</v>
      </c>
      <c r="J65" s="37">
        <f>CPUE!H63</f>
        <v>18.090909090909086</v>
      </c>
      <c r="K65" s="31" t="str">
        <f>Effort!J63</f>
        <v>CLOSED</v>
      </c>
      <c r="L65" s="39" t="str">
        <f>Harvest!J63</f>
        <v>CLOSED</v>
      </c>
      <c r="M65" s="37" t="str">
        <f>CPUE!J63</f>
        <v>CLOSED</v>
      </c>
      <c r="N65" s="31">
        <f>Effort!L63</f>
        <v>419.1138866055789</v>
      </c>
      <c r="O65" s="39">
        <f>Harvest!L63</f>
        <v>4009.5228485267044</v>
      </c>
      <c r="P65" s="37">
        <f>CPUE!L63</f>
        <v>9.5666666666666664</v>
      </c>
      <c r="Q65" s="31" t="str">
        <f>Effort!N63</f>
        <v>CLOSED</v>
      </c>
      <c r="R65" s="39" t="str">
        <f>Harvest!N63</f>
        <v>CLOSED</v>
      </c>
      <c r="S65" s="37" t="str">
        <f>CPUE!N63</f>
        <v>CLOSED</v>
      </c>
      <c r="T65" s="31">
        <f>+E65+H65+N65</f>
        <v>1426.4029036053739</v>
      </c>
      <c r="U65" s="39">
        <f>+F65+I65+O65</f>
        <v>14510.504436243551</v>
      </c>
      <c r="V65" s="10"/>
    </row>
    <row r="66" spans="1:22" x14ac:dyDescent="0.25">
      <c r="A66" s="38">
        <v>41657</v>
      </c>
      <c r="B66" s="19">
        <v>41657</v>
      </c>
      <c r="C66" s="13">
        <v>0.2</v>
      </c>
      <c r="D66" s="113">
        <v>0.82847222222222217</v>
      </c>
      <c r="E66" s="31">
        <f>Effort!F64</f>
        <v>1373.0793768396709</v>
      </c>
      <c r="F66" s="39">
        <f>Harvest!F64</f>
        <v>12357.714391557038</v>
      </c>
      <c r="G66" s="37">
        <f>CPUE!F64</f>
        <v>9</v>
      </c>
      <c r="H66" s="31">
        <f>Effort!H64</f>
        <v>884.30154980721238</v>
      </c>
      <c r="I66" s="39">
        <f>Harvest!H64</f>
        <v>10197.993679228337</v>
      </c>
      <c r="J66" s="37">
        <f>CPUE!H64</f>
        <v>11.53225806451613</v>
      </c>
      <c r="K66" s="31" t="str">
        <f>Effort!J64</f>
        <v>CLOSED</v>
      </c>
      <c r="L66" s="39" t="str">
        <f>Harvest!J64</f>
        <v>CLOSED</v>
      </c>
      <c r="M66" s="37" t="str">
        <f>CPUE!J64</f>
        <v>CLOSED</v>
      </c>
      <c r="N66" s="31">
        <f>Effort!L64</f>
        <v>966.00307507807975</v>
      </c>
      <c r="O66" s="39">
        <f>Harvest!L64</f>
        <v>10291.648146024158</v>
      </c>
      <c r="P66" s="37">
        <f>CPUE!L64</f>
        <v>10.653846153846153</v>
      </c>
      <c r="Q66" s="31" t="str">
        <f>Effort!N64</f>
        <v>CLOSED</v>
      </c>
      <c r="R66" s="39" t="str">
        <f>Harvest!N64</f>
        <v>CLOSED</v>
      </c>
      <c r="S66" s="37" t="str">
        <f>CPUE!N64</f>
        <v>CLOSED</v>
      </c>
      <c r="T66" s="31">
        <f>+E66+H66+N66</f>
        <v>3223.3840017249631</v>
      </c>
      <c r="U66" s="39">
        <f>+F66+I66+O66</f>
        <v>32847.35621680953</v>
      </c>
      <c r="V66" s="10"/>
    </row>
    <row r="67" spans="1:22" x14ac:dyDescent="0.25">
      <c r="A67" s="162"/>
      <c r="B67" s="162"/>
      <c r="C67" s="162"/>
      <c r="D67" s="163"/>
      <c r="E67" s="35">
        <f>SUM(E65:E66)</f>
        <v>2009.3319380237449</v>
      </c>
      <c r="F67" s="36">
        <f>SUM(F65:F66)</f>
        <v>16146.309187698567</v>
      </c>
      <c r="G67" s="34">
        <f>+F67/E67</f>
        <v>8.035660451194083</v>
      </c>
      <c r="H67" s="35">
        <f>SUM(H63:H66)</f>
        <v>2519.5971326374711</v>
      </c>
      <c r="I67" s="36">
        <f>SUM(I63:I66)</f>
        <v>35681.397881693469</v>
      </c>
      <c r="J67" s="34">
        <f>+I67/H67</f>
        <v>14.161548852193999</v>
      </c>
      <c r="K67" s="35"/>
      <c r="L67" s="36"/>
      <c r="M67" s="34"/>
      <c r="N67" s="35">
        <f>SUM(N63:N66)</f>
        <v>1385.1169616836587</v>
      </c>
      <c r="O67" s="36">
        <f>SUM(O63:O66)</f>
        <v>14301.170994550863</v>
      </c>
      <c r="P67" s="34">
        <f>+O67/N67</f>
        <v>10.324883306004198</v>
      </c>
      <c r="Q67" s="35"/>
      <c r="R67" s="36"/>
      <c r="S67" s="34"/>
      <c r="T67" s="35">
        <f>SUM(T63:T66)</f>
        <v>5914.0460323448751</v>
      </c>
      <c r="U67" s="36">
        <f>SUM(U63:U66)</f>
        <v>66128.878063942902</v>
      </c>
      <c r="V67" s="10"/>
    </row>
    <row r="68" spans="1:22" x14ac:dyDescent="0.25">
      <c r="A68" s="38">
        <v>41667</v>
      </c>
      <c r="B68" s="19">
        <v>41667</v>
      </c>
      <c r="C68" s="13">
        <v>-0.7</v>
      </c>
      <c r="D68" s="112">
        <v>0.69166666666666676</v>
      </c>
      <c r="E68" s="31" t="str">
        <f>Effort!F66</f>
        <v>CLOSED</v>
      </c>
      <c r="F68" s="39" t="str">
        <f>Harvest!F66</f>
        <v>CLOSED</v>
      </c>
      <c r="G68" s="37" t="str">
        <f>CPUE!F66</f>
        <v>CLOSED</v>
      </c>
      <c r="H68" s="31">
        <f>Effort!H66</f>
        <v>1001.0670148448979</v>
      </c>
      <c r="I68" s="39">
        <f>Harvest!H66</f>
        <v>15016.005222673468</v>
      </c>
      <c r="J68" s="37">
        <f>CPUE!H66</f>
        <v>14.999999999999998</v>
      </c>
      <c r="K68" s="31" t="str">
        <f>Effort!J66</f>
        <v>CLOSED</v>
      </c>
      <c r="L68" s="39" t="str">
        <f>Harvest!J66</f>
        <v>CLOSED</v>
      </c>
      <c r="M68" s="37" t="str">
        <f>CPUE!J66</f>
        <v>CLOSED</v>
      </c>
      <c r="N68" s="31" t="str">
        <f>Effort!L66</f>
        <v>CLOSED</v>
      </c>
      <c r="O68" s="39" t="str">
        <f>Harvest!L66</f>
        <v>CLOSED</v>
      </c>
      <c r="P68" s="37" t="str">
        <f>CPUE!L66</f>
        <v>CLOSED</v>
      </c>
      <c r="Q68" s="31" t="str">
        <f>Effort!N66</f>
        <v>CLOSED</v>
      </c>
      <c r="R68" s="39" t="str">
        <f>Harvest!N66</f>
        <v>CLOSED</v>
      </c>
      <c r="S68" s="37" t="str">
        <f>CPUE!N66</f>
        <v>CLOSED</v>
      </c>
      <c r="T68" s="31">
        <f>+H68</f>
        <v>1001.0670148448979</v>
      </c>
      <c r="U68" s="39">
        <f>+I68</f>
        <v>15016.005222673468</v>
      </c>
      <c r="V68" s="10"/>
    </row>
    <row r="69" spans="1:22" x14ac:dyDescent="0.25">
      <c r="A69" s="38">
        <v>41668</v>
      </c>
      <c r="B69" s="19">
        <v>41668</v>
      </c>
      <c r="C69" s="13">
        <v>-1.2</v>
      </c>
      <c r="D69" s="112">
        <v>0.72569444444444453</v>
      </c>
      <c r="E69" s="31">
        <f>Effort!F67</f>
        <v>2195.9780028138184</v>
      </c>
      <c r="F69" s="39">
        <f>Harvest!F67</f>
        <v>32973.982198501246</v>
      </c>
      <c r="G69" s="37">
        <f>CPUE!F67</f>
        <v>15.015625000000002</v>
      </c>
      <c r="H69" s="31">
        <f>Effort!H67</f>
        <v>850.04173228289653</v>
      </c>
      <c r="I69" s="39">
        <f>Harvest!H67</f>
        <v>12750.625984243448</v>
      </c>
      <c r="J69" s="37">
        <f>CPUE!H67</f>
        <v>15</v>
      </c>
      <c r="K69" s="31" t="str">
        <f>Effort!J67</f>
        <v>CLOSED</v>
      </c>
      <c r="L69" s="39" t="str">
        <f>Harvest!J67</f>
        <v>CLOSED</v>
      </c>
      <c r="M69" s="37" t="str">
        <f>CPUE!J67</f>
        <v>CLOSED</v>
      </c>
      <c r="N69" s="31" t="str">
        <f>Effort!L67</f>
        <v>CLOSED</v>
      </c>
      <c r="O69" s="39" t="str">
        <f>Harvest!L67</f>
        <v>CLOSED</v>
      </c>
      <c r="P69" s="37" t="str">
        <f>CPUE!L67</f>
        <v>CLOSED</v>
      </c>
      <c r="Q69" s="31" t="str">
        <f>Effort!N67</f>
        <v>CLOSED</v>
      </c>
      <c r="R69" s="39" t="str">
        <f>Harvest!N67</f>
        <v>CLOSED</v>
      </c>
      <c r="S69" s="37" t="str">
        <f>CPUE!N67</f>
        <v>CLOSED</v>
      </c>
      <c r="T69" s="31">
        <f>+E69+H69</f>
        <v>3046.0197350967151</v>
      </c>
      <c r="U69" s="39">
        <f>+F69+I69</f>
        <v>45724.608182744691</v>
      </c>
      <c r="V69" s="10"/>
    </row>
    <row r="70" spans="1:22" x14ac:dyDescent="0.25">
      <c r="A70" s="38">
        <v>41669</v>
      </c>
      <c r="B70" s="19">
        <v>41669</v>
      </c>
      <c r="C70" s="13">
        <v>-1.4</v>
      </c>
      <c r="D70" s="112">
        <v>0.75763888888888886</v>
      </c>
      <c r="E70" s="31">
        <f>Effort!F68</f>
        <v>1516.3592466697273</v>
      </c>
      <c r="F70" s="39">
        <f>Harvest!F68</f>
        <v>22745.388700045907</v>
      </c>
      <c r="G70" s="37">
        <f>CPUE!F68</f>
        <v>14.999999999999998</v>
      </c>
      <c r="H70" s="31">
        <f>Effort!H68</f>
        <v>696.74042210914695</v>
      </c>
      <c r="I70" s="39">
        <f>Harvest!H68</f>
        <v>10451.106331637204</v>
      </c>
      <c r="J70" s="37">
        <f>CPUE!H68</f>
        <v>15</v>
      </c>
      <c r="K70" s="31" t="str">
        <f>Effort!J68</f>
        <v>CLOSED</v>
      </c>
      <c r="L70" s="39" t="str">
        <f>Harvest!J68</f>
        <v>CLOSED</v>
      </c>
      <c r="M70" s="37" t="str">
        <f>CPUE!J68</f>
        <v>CLOSED</v>
      </c>
      <c r="N70" s="31">
        <f>Effort!L68</f>
        <v>749.12692001209018</v>
      </c>
      <c r="O70" s="39">
        <f>Harvest!L68</f>
        <v>11236.903800181353</v>
      </c>
      <c r="P70" s="37">
        <f>CPUE!L68</f>
        <v>15</v>
      </c>
      <c r="Q70" s="31" t="str">
        <f>Effort!N68</f>
        <v>CLOSED</v>
      </c>
      <c r="R70" s="39" t="str">
        <f>Harvest!N68</f>
        <v>CLOSED</v>
      </c>
      <c r="S70" s="37" t="str">
        <f>CPUE!N68</f>
        <v>CLOSED</v>
      </c>
      <c r="T70" s="31">
        <f>+E70+H70+N70</f>
        <v>2962.2265887909643</v>
      </c>
      <c r="U70" s="39">
        <f>+F70+I70+O70</f>
        <v>44433.398831864462</v>
      </c>
    </row>
    <row r="71" spans="1:22" x14ac:dyDescent="0.25">
      <c r="A71" s="38">
        <v>41670</v>
      </c>
      <c r="B71" s="19">
        <v>41670</v>
      </c>
      <c r="C71" s="13">
        <v>-1.4</v>
      </c>
      <c r="D71" s="112">
        <v>0.78819444444444453</v>
      </c>
      <c r="E71" s="31">
        <f>Effort!F69</f>
        <v>2615.3992269747437</v>
      </c>
      <c r="F71" s="39">
        <f>Harvest!F69</f>
        <v>38626.066134436522</v>
      </c>
      <c r="G71" s="37">
        <f>CPUE!F69</f>
        <v>14.768707482993198</v>
      </c>
      <c r="H71" s="31">
        <f>Effort!H69</f>
        <v>961.90120469759995</v>
      </c>
      <c r="I71" s="39">
        <f>Harvest!H69</f>
        <v>14428.518070463997</v>
      </c>
      <c r="J71" s="37">
        <f>CPUE!H69</f>
        <v>14.999999999999998</v>
      </c>
      <c r="K71" s="31" t="str">
        <f>Effort!J69</f>
        <v>CLOSED</v>
      </c>
      <c r="L71" s="39" t="str">
        <f>Harvest!J69</f>
        <v>CLOSED</v>
      </c>
      <c r="M71" s="37" t="str">
        <f>CPUE!J69</f>
        <v>CLOSED</v>
      </c>
      <c r="N71" s="31">
        <f>Effort!L69</f>
        <v>1701.3093661648436</v>
      </c>
      <c r="O71" s="39">
        <f>Harvest!L69</f>
        <v>25416.530833917212</v>
      </c>
      <c r="P71" s="37">
        <f>CPUE!L69</f>
        <v>14.939393939393941</v>
      </c>
      <c r="Q71" s="31" t="str">
        <f>Effort!N69</f>
        <v>CLOSED</v>
      </c>
      <c r="R71" s="39" t="str">
        <f>Harvest!N69</f>
        <v>CLOSED</v>
      </c>
      <c r="S71" s="37" t="str">
        <f>CPUE!N69</f>
        <v>CLOSED</v>
      </c>
      <c r="T71" s="31">
        <f>+E71+H71+N71</f>
        <v>5278.6097978371872</v>
      </c>
      <c r="U71" s="39">
        <f>+F71+I71+O71</f>
        <v>78471.115038817719</v>
      </c>
    </row>
    <row r="72" spans="1:22" x14ac:dyDescent="0.25">
      <c r="A72" s="38">
        <v>41671</v>
      </c>
      <c r="B72" s="19">
        <v>41671</v>
      </c>
      <c r="C72" s="13">
        <v>-1.1000000000000001</v>
      </c>
      <c r="D72" s="112">
        <v>0.81805555555555554</v>
      </c>
      <c r="E72" s="31">
        <f>Effort!F70</f>
        <v>2928.3964547966434</v>
      </c>
      <c r="F72" s="39">
        <f>Harvest!F70</f>
        <v>37699.550476314063</v>
      </c>
      <c r="G72" s="37">
        <f>CPUE!F70</f>
        <v>12.873786407766989</v>
      </c>
      <c r="H72" s="31">
        <f>Effort!H70</f>
        <v>856.12283085804188</v>
      </c>
      <c r="I72" s="39">
        <f>Harvest!H70</f>
        <v>12247.047621237727</v>
      </c>
      <c r="J72" s="37">
        <f>CPUE!H70</f>
        <v>14.305245906084792</v>
      </c>
      <c r="K72" s="31">
        <f>Effort!J70</f>
        <v>2599.6788161412205</v>
      </c>
      <c r="L72" s="39">
        <f>Harvest!J70</f>
        <v>38995.18224211831</v>
      </c>
      <c r="M72" s="37">
        <f>CPUE!J70</f>
        <v>15</v>
      </c>
      <c r="N72" s="31">
        <f>Effort!L70</f>
        <v>1451.1657784691124</v>
      </c>
      <c r="O72" s="39">
        <f>Harvest!L70</f>
        <v>18269.805057136775</v>
      </c>
      <c r="P72" s="37">
        <f>CPUE!L70</f>
        <v>12.589743589743589</v>
      </c>
      <c r="Q72" s="31" t="str">
        <f>Effort!N70</f>
        <v>CLOSED</v>
      </c>
      <c r="R72" s="39" t="str">
        <f>Harvest!N70</f>
        <v>CLOSED</v>
      </c>
      <c r="S72" s="37" t="str">
        <f>CPUE!N70</f>
        <v>CLOSED</v>
      </c>
      <c r="T72" s="31">
        <f>+E72+H72+K72+N72</f>
        <v>7835.3638802650185</v>
      </c>
      <c r="U72" s="39">
        <f>+F72+I72+L72+O72</f>
        <v>107211.58539680688</v>
      </c>
    </row>
    <row r="73" spans="1:22" x14ac:dyDescent="0.25">
      <c r="A73" s="38">
        <v>41672</v>
      </c>
      <c r="B73" s="19">
        <v>41672</v>
      </c>
      <c r="C73" s="13">
        <v>-0.5</v>
      </c>
      <c r="D73" s="113">
        <v>0.84722222222222221</v>
      </c>
      <c r="E73" s="31">
        <f>Effort!F71</f>
        <v>307.95190454086628</v>
      </c>
      <c r="F73" s="39">
        <f>Harvest!F71</f>
        <v>4587.0596070318943</v>
      </c>
      <c r="G73" s="37">
        <f>CPUE!F71</f>
        <v>14.895376646138507</v>
      </c>
      <c r="H73" s="31">
        <f>Effort!H71</f>
        <v>123.6233558142513</v>
      </c>
      <c r="I73" s="39">
        <f>Harvest!H71</f>
        <v>1859.5668041566626</v>
      </c>
      <c r="J73" s="37">
        <f>CPUE!H71</f>
        <v>15.042196451540525</v>
      </c>
      <c r="K73" s="31" t="str">
        <f>Effort!J71</f>
        <v>CLOSED</v>
      </c>
      <c r="L73" s="39" t="str">
        <f>Harvest!J71</f>
        <v>CLOSED</v>
      </c>
      <c r="M73" s="37" t="str">
        <f>CPUE!J71</f>
        <v>CLOSED</v>
      </c>
      <c r="N73" s="31">
        <f>Effort!L71</f>
        <v>182.63810096784638</v>
      </c>
      <c r="O73" s="39">
        <f>Harvest!L71</f>
        <v>2739.5715145176955</v>
      </c>
      <c r="P73" s="37">
        <f>CPUE!L71</f>
        <v>14.999999999999998</v>
      </c>
      <c r="Q73" s="31" t="str">
        <f>Effort!N71</f>
        <v>CLOSED</v>
      </c>
      <c r="R73" s="39" t="str">
        <f>Harvest!N71</f>
        <v>CLOSED</v>
      </c>
      <c r="S73" s="37" t="str">
        <f>CPUE!N71</f>
        <v>CLOSED</v>
      </c>
      <c r="T73" s="31">
        <f>+E73+H73+N73</f>
        <v>614.21336132296392</v>
      </c>
      <c r="U73" s="39">
        <f>+F73+I73+O73</f>
        <v>9186.1979257062521</v>
      </c>
    </row>
    <row r="74" spans="1:22" x14ac:dyDescent="0.25">
      <c r="A74" s="162"/>
      <c r="B74" s="162"/>
      <c r="C74" s="162"/>
      <c r="D74" s="163"/>
      <c r="E74" s="35">
        <f>SUM(E69:E73)</f>
        <v>9564.0848357957984</v>
      </c>
      <c r="F74" s="36">
        <f>SUM(F69:F73)</f>
        <v>136632.04711632963</v>
      </c>
      <c r="G74" s="34">
        <f>+F74/E74</f>
        <v>14.285950978284154</v>
      </c>
      <c r="H74" s="35">
        <f>SUM(H68:H73)</f>
        <v>4489.4965606068345</v>
      </c>
      <c r="I74" s="36">
        <f>SUM(I68:I73)</f>
        <v>66752.87003441251</v>
      </c>
      <c r="J74" s="34">
        <f>+I74/H74</f>
        <v>14.868676060504585</v>
      </c>
      <c r="K74" s="35">
        <f>+K72</f>
        <v>2599.6788161412205</v>
      </c>
      <c r="L74" s="36">
        <f>+L72</f>
        <v>38995.18224211831</v>
      </c>
      <c r="M74" s="34">
        <f>+L74/K74</f>
        <v>15</v>
      </c>
      <c r="N74" s="35">
        <f>SUM(N70:N73)</f>
        <v>4084.2401656138923</v>
      </c>
      <c r="O74" s="36">
        <f>SUM(O70:O73)</f>
        <v>57662.811205753038</v>
      </c>
      <c r="P74" s="34">
        <f>+O74/N74</f>
        <v>14.118369358204937</v>
      </c>
      <c r="Q74" s="35"/>
      <c r="R74" s="36"/>
      <c r="S74" s="34"/>
      <c r="T74" s="35">
        <f>SUM(T68:T73)</f>
        <v>20737.500378157747</v>
      </c>
      <c r="U74" s="36">
        <f>SUM(U68:U73)</f>
        <v>300042.9105986135</v>
      </c>
    </row>
    <row r="75" spans="1:22" x14ac:dyDescent="0.25">
      <c r="A75" s="38">
        <v>41696</v>
      </c>
      <c r="B75" s="19">
        <v>41696</v>
      </c>
      <c r="C75" s="13">
        <v>-0.4</v>
      </c>
      <c r="D75" s="112">
        <v>0.67708333333333337</v>
      </c>
      <c r="E75" s="31" t="str">
        <f>Effort!F73</f>
        <v>CLOSED</v>
      </c>
      <c r="F75" s="39" t="str">
        <f>Harvest!F73</f>
        <v>CLOSED</v>
      </c>
      <c r="G75" s="37" t="str">
        <f>CPUE!F73</f>
        <v>CLOSED</v>
      </c>
      <c r="H75" s="31">
        <f>Effort!H73</f>
        <v>1641.2684040419906</v>
      </c>
      <c r="I75" s="39">
        <f>Harvest!H73</f>
        <v>22274.356911998446</v>
      </c>
      <c r="J75" s="37">
        <f>CPUE!H73</f>
        <v>13.571428571428573</v>
      </c>
      <c r="K75" s="31" t="str">
        <f>Effort!J73</f>
        <v>CLOSED</v>
      </c>
      <c r="L75" s="39" t="str">
        <f>Harvest!J73</f>
        <v>CLOSED</v>
      </c>
      <c r="M75" s="37" t="str">
        <f>CPUE!J73</f>
        <v>CLOSED</v>
      </c>
      <c r="N75" s="31" t="str">
        <f>Effort!L73</f>
        <v>CLOSED</v>
      </c>
      <c r="O75" s="39" t="str">
        <f>Harvest!L73</f>
        <v>CLOSED</v>
      </c>
      <c r="P75" s="37" t="str">
        <f>CPUE!L73</f>
        <v>CLOSED</v>
      </c>
      <c r="Q75" s="31" t="str">
        <f>Effort!N73</f>
        <v>CLOSED</v>
      </c>
      <c r="R75" s="39" t="str">
        <f>Harvest!N73</f>
        <v>CLOSED</v>
      </c>
      <c r="S75" s="37" t="str">
        <f>CPUE!N73</f>
        <v>CLOSED</v>
      </c>
      <c r="T75" s="119">
        <f>+H75</f>
        <v>1641.2684040419906</v>
      </c>
      <c r="U75" s="74">
        <f>+I75</f>
        <v>22274.356911998446</v>
      </c>
    </row>
    <row r="76" spans="1:22" x14ac:dyDescent="0.25">
      <c r="A76" s="38">
        <v>41697</v>
      </c>
      <c r="B76" s="19">
        <v>41697</v>
      </c>
      <c r="C76" s="13">
        <v>-0.7</v>
      </c>
      <c r="D76" s="112">
        <v>0.71111111111111114</v>
      </c>
      <c r="E76" s="31">
        <f>Effort!F74</f>
        <v>2852.4251169661675</v>
      </c>
      <c r="F76" s="39">
        <f>Harvest!F74</f>
        <v>42786.376754492514</v>
      </c>
      <c r="G76" s="37">
        <f>CPUE!F74</f>
        <v>15</v>
      </c>
      <c r="H76" s="31">
        <f>Effort!H74</f>
        <v>1251.8437164868819</v>
      </c>
      <c r="I76" s="39">
        <f>Harvest!H74</f>
        <v>18111.781430022973</v>
      </c>
      <c r="J76" s="37">
        <f>CPUE!H74</f>
        <v>14.468085106382979</v>
      </c>
      <c r="K76" s="31" t="str">
        <f>Effort!J74</f>
        <v>CLOSED</v>
      </c>
      <c r="L76" s="39" t="str">
        <f>Harvest!J74</f>
        <v>CLOSED</v>
      </c>
      <c r="M76" s="37" t="str">
        <f>CPUE!J74</f>
        <v>CLOSED</v>
      </c>
      <c r="N76" s="31">
        <f>Effort!L74</f>
        <v>1526.4368325945477</v>
      </c>
      <c r="O76" s="39">
        <f>Harvest!L74</f>
        <v>22836.692220973335</v>
      </c>
      <c r="P76" s="37">
        <f>CPUE!L74</f>
        <v>14.960784313725492</v>
      </c>
      <c r="Q76" s="31" t="str">
        <f>Effort!N74</f>
        <v>CLOSED</v>
      </c>
      <c r="R76" s="39" t="str">
        <f>Harvest!N74</f>
        <v>CLOSED</v>
      </c>
      <c r="S76" s="37" t="str">
        <f>CPUE!N74</f>
        <v>CLOSED</v>
      </c>
      <c r="T76" s="31">
        <f>+E76+H76+N76</f>
        <v>5630.7056660475973</v>
      </c>
      <c r="U76" s="39">
        <f>+F76+I76+O76</f>
        <v>83734.850405488818</v>
      </c>
    </row>
    <row r="77" spans="1:22" x14ac:dyDescent="0.25">
      <c r="A77" s="38">
        <v>41698</v>
      </c>
      <c r="B77" s="19">
        <v>41698</v>
      </c>
      <c r="C77" s="13">
        <v>-0.8</v>
      </c>
      <c r="D77" s="112">
        <v>0.74236111111111114</v>
      </c>
      <c r="E77" s="31">
        <f>Effort!F75</f>
        <v>5805.2090614862955</v>
      </c>
      <c r="F77" s="39">
        <f>Harvest!F75</f>
        <v>82033.132809336093</v>
      </c>
      <c r="G77" s="37">
        <f>CPUE!F75</f>
        <v>14.13095238095238</v>
      </c>
      <c r="H77" s="31">
        <f>Effort!H75</f>
        <v>1830.8248521721966</v>
      </c>
      <c r="I77" s="39">
        <f>Harvest!H75</f>
        <v>27462.372782582952</v>
      </c>
      <c r="J77" s="37">
        <f>CPUE!H75</f>
        <v>15.000000000000002</v>
      </c>
      <c r="K77" s="31" t="str">
        <f>Effort!J75</f>
        <v>CLOSED</v>
      </c>
      <c r="L77" s="39" t="str">
        <f>Harvest!J75</f>
        <v>CLOSED</v>
      </c>
      <c r="M77" s="37" t="str">
        <f>CPUE!J75</f>
        <v>CLOSED</v>
      </c>
      <c r="N77" s="31">
        <f>Effort!L75</f>
        <v>2733.2417075142439</v>
      </c>
      <c r="O77" s="39">
        <f>Harvest!L75</f>
        <v>41076.718232928353</v>
      </c>
      <c r="P77" s="37">
        <f>CPUE!L75</f>
        <v>15.028571428571428</v>
      </c>
      <c r="Q77" s="31" t="str">
        <f>Effort!N75</f>
        <v>CLOSED</v>
      </c>
      <c r="R77" s="39" t="str">
        <f>Harvest!N75</f>
        <v>CLOSED</v>
      </c>
      <c r="S77" s="37" t="str">
        <f>CPUE!N75</f>
        <v>CLOSED</v>
      </c>
      <c r="T77" s="31">
        <f>+E77+H77+N77</f>
        <v>10369.275621172736</v>
      </c>
      <c r="U77" s="39">
        <f>+F77+I77+O77</f>
        <v>150572.2238248474</v>
      </c>
    </row>
    <row r="78" spans="1:22" x14ac:dyDescent="0.25">
      <c r="A78" s="38">
        <v>41699</v>
      </c>
      <c r="B78" s="19">
        <v>41699</v>
      </c>
      <c r="C78" s="13">
        <v>-0.7</v>
      </c>
      <c r="D78" s="112">
        <v>0.77222222222222225</v>
      </c>
      <c r="E78" s="31">
        <f>Effort!F76</f>
        <v>5023.7356980431632</v>
      </c>
      <c r="F78" s="39">
        <f>Harvest!F76</f>
        <v>75134.400072204357</v>
      </c>
      <c r="G78" s="37">
        <f>CPUE!F76</f>
        <v>14.955882352941174</v>
      </c>
      <c r="H78" s="31">
        <f>Effort!H76</f>
        <v>3427.632750752522</v>
      </c>
      <c r="I78" s="39">
        <f>Harvest!H76</f>
        <v>46273.042135159048</v>
      </c>
      <c r="J78" s="37">
        <f>CPUE!H76</f>
        <v>13.5</v>
      </c>
      <c r="K78" s="31">
        <f>Effort!J76</f>
        <v>5525.1705094836461</v>
      </c>
      <c r="L78" s="39">
        <f>Harvest!J76</f>
        <v>82427.834461250211</v>
      </c>
      <c r="M78" s="37">
        <f>CPUE!J76</f>
        <v>14.918604651162791</v>
      </c>
      <c r="N78" s="31">
        <f>Effort!L76</f>
        <v>2883.5208636981943</v>
      </c>
      <c r="O78" s="39">
        <f>Harvest!L76</f>
        <v>37903.122932032842</v>
      </c>
      <c r="P78" s="37">
        <f>CPUE!L76</f>
        <v>13.144736842105264</v>
      </c>
      <c r="Q78" s="31" t="str">
        <f>Effort!N76</f>
        <v>CLOSED</v>
      </c>
      <c r="R78" s="39" t="str">
        <f>Harvest!N76</f>
        <v>CLOSED</v>
      </c>
      <c r="S78" s="37" t="str">
        <f>CPUE!N76</f>
        <v>CLOSED</v>
      </c>
      <c r="T78" s="31">
        <f>+E78+H78+K78+N78</f>
        <v>16860.059821977527</v>
      </c>
      <c r="U78" s="39">
        <f>+F78+I78+L78+O78</f>
        <v>241738.39960064646</v>
      </c>
    </row>
    <row r="79" spans="1:22" x14ac:dyDescent="0.25">
      <c r="A79" s="38">
        <v>41700</v>
      </c>
      <c r="B79" s="19">
        <v>41700</v>
      </c>
      <c r="C79" s="13">
        <v>-0.3</v>
      </c>
      <c r="D79" s="112">
        <v>0.80069444444444438</v>
      </c>
      <c r="E79" s="31">
        <f>Effort!F77</f>
        <v>250.42999097339242</v>
      </c>
      <c r="F79" s="39">
        <f>Harvest!F77</f>
        <v>25.042999097339241</v>
      </c>
      <c r="G79" s="37">
        <f>CPUE!F77</f>
        <v>9.9999999999999992E-2</v>
      </c>
      <c r="H79" s="31">
        <f>Effort!H77</f>
        <v>350.21654814009594</v>
      </c>
      <c r="I79" s="39">
        <f>Harvest!H77</f>
        <v>1267.4503646974902</v>
      </c>
      <c r="J79" s="37">
        <f>CPUE!H77</f>
        <v>3.6190476190476195</v>
      </c>
      <c r="K79" s="31" t="str">
        <f>Effort!J77</f>
        <v>CLOSED</v>
      </c>
      <c r="L79" s="39" t="str">
        <f>Harvest!J77</f>
        <v>CLOSED</v>
      </c>
      <c r="M79" s="37" t="str">
        <f>CPUE!J77</f>
        <v>CLOSED</v>
      </c>
      <c r="N79" s="31">
        <f>Effort!L77</f>
        <v>476.42158375660358</v>
      </c>
      <c r="O79" s="39">
        <f>Harvest!L77</f>
        <v>6720.0518129878819</v>
      </c>
      <c r="P79" s="37">
        <f>CPUE!L77</f>
        <v>14.105263157894736</v>
      </c>
      <c r="Q79" s="31" t="str">
        <f>Effort!N77</f>
        <v>CLOSED</v>
      </c>
      <c r="R79" s="39" t="str">
        <f>Harvest!N77</f>
        <v>CLOSED</v>
      </c>
      <c r="S79" s="37" t="str">
        <f>CPUE!N77</f>
        <v>CLOSED</v>
      </c>
      <c r="T79" s="31">
        <f>+E79+H79+N79</f>
        <v>1077.0681228700919</v>
      </c>
      <c r="U79" s="39">
        <f>+F79+I79+O79</f>
        <v>8012.5451767827108</v>
      </c>
    </row>
    <row r="80" spans="1:22" x14ac:dyDescent="0.25">
      <c r="A80" s="38">
        <v>41701</v>
      </c>
      <c r="B80" s="19">
        <v>41701</v>
      </c>
      <c r="C80" s="13">
        <v>0.3</v>
      </c>
      <c r="D80" s="113">
        <v>0.82847222222222217</v>
      </c>
      <c r="E80" s="31" t="str">
        <f>Effort!F78</f>
        <v>CLOSED</v>
      </c>
      <c r="F80" s="39" t="str">
        <f>Harvest!F78</f>
        <v>CLOSED</v>
      </c>
      <c r="G80" s="37" t="str">
        <f>CPUE!F78</f>
        <v>CLOSED</v>
      </c>
      <c r="H80" s="31">
        <f>Effort!H78</f>
        <v>201.46865941392616</v>
      </c>
      <c r="I80" s="39">
        <f>Harvest!H78</f>
        <v>2014.6865941392616</v>
      </c>
      <c r="J80" s="37">
        <f>CPUE!H78</f>
        <v>10</v>
      </c>
      <c r="K80" s="31" t="str">
        <f>Effort!J78</f>
        <v>CLOSED</v>
      </c>
      <c r="L80" s="39" t="str">
        <f>Harvest!J78</f>
        <v>CLOSED</v>
      </c>
      <c r="M80" s="37" t="str">
        <f>CPUE!J78</f>
        <v>CLOSED</v>
      </c>
      <c r="N80" s="31" t="str">
        <f>Effort!L78</f>
        <v>CLOSED</v>
      </c>
      <c r="O80" s="39" t="str">
        <f>Harvest!L78</f>
        <v>CLOSED</v>
      </c>
      <c r="P80" s="37" t="str">
        <f>CPUE!L78</f>
        <v>CLOSED</v>
      </c>
      <c r="Q80" s="31" t="str">
        <f>Effort!N78</f>
        <v>CLOSED</v>
      </c>
      <c r="R80" s="39" t="str">
        <f>Harvest!N78</f>
        <v>CLOSED</v>
      </c>
      <c r="S80" s="37" t="str">
        <f>CPUE!N78</f>
        <v>CLOSED</v>
      </c>
      <c r="T80" s="31">
        <f>+H80</f>
        <v>201.46865941392616</v>
      </c>
      <c r="U80" s="39">
        <f>+I80</f>
        <v>2014.6865941392616</v>
      </c>
    </row>
    <row r="81" spans="1:21" x14ac:dyDescent="0.25">
      <c r="A81" s="162"/>
      <c r="B81" s="162"/>
      <c r="C81" s="162"/>
      <c r="D81" s="163"/>
      <c r="E81" s="35">
        <f>SUM(E76:E80)</f>
        <v>13931.799867469019</v>
      </c>
      <c r="F81" s="36">
        <f>SUM(F76:F80)</f>
        <v>199978.95263513032</v>
      </c>
      <c r="G81" s="34">
        <f>+F81/E81</f>
        <v>14.354136187534854</v>
      </c>
      <c r="H81" s="35">
        <f>SUM(H75:H80)</f>
        <v>8703.254931007612</v>
      </c>
      <c r="I81" s="36">
        <f>SUM(I75:I80)</f>
        <v>117403.69021860017</v>
      </c>
      <c r="J81" s="34">
        <f>+I81/H81</f>
        <v>13.489630161276668</v>
      </c>
      <c r="K81" s="35">
        <f>SUM(K76:K80)</f>
        <v>5525.1705094836461</v>
      </c>
      <c r="L81" s="36">
        <f>SUM(L76:L80)</f>
        <v>82427.834461250211</v>
      </c>
      <c r="M81" s="34">
        <f>+L81/K81</f>
        <v>14.918604651162791</v>
      </c>
      <c r="N81" s="35">
        <f>SUM(N76:N80)</f>
        <v>7619.6209875635896</v>
      </c>
      <c r="O81" s="36">
        <f>SUM(O76:O80)</f>
        <v>108536.5851989224</v>
      </c>
      <c r="P81" s="34">
        <f>+O81/N81</f>
        <v>14.244354853879353</v>
      </c>
      <c r="Q81" s="35"/>
      <c r="R81" s="36"/>
      <c r="S81" s="34"/>
      <c r="T81" s="35">
        <f>SUM(T75:T80)</f>
        <v>35779.846295523872</v>
      </c>
      <c r="U81" s="36">
        <f>SUM(U75:U80)</f>
        <v>508347.06251390307</v>
      </c>
    </row>
    <row r="82" spans="1:21" x14ac:dyDescent="0.25">
      <c r="A82" s="38">
        <v>41724</v>
      </c>
      <c r="B82" s="19">
        <f>+A82</f>
        <v>41724</v>
      </c>
      <c r="C82" s="13">
        <v>0.3</v>
      </c>
      <c r="D82" s="123">
        <v>0.66111111111111109</v>
      </c>
      <c r="E82" s="31" t="str">
        <f>Effort!F80</f>
        <v>CLOSED</v>
      </c>
      <c r="F82" s="39" t="str">
        <f>Harvest!F80</f>
        <v>CLOSED</v>
      </c>
      <c r="G82" s="37" t="str">
        <f>CPUE!F80</f>
        <v>CLOSED</v>
      </c>
      <c r="H82" s="31">
        <f>Effort!H80</f>
        <v>1332.4829766290577</v>
      </c>
      <c r="I82" s="39">
        <f>Harvest!H80</f>
        <v>17595.608537537555</v>
      </c>
      <c r="J82" s="37">
        <f>CPUE!H80</f>
        <v>13.205128205128204</v>
      </c>
      <c r="K82" s="31" t="str">
        <f>Effort!J80</f>
        <v>CLOSED</v>
      </c>
      <c r="L82" s="39" t="str">
        <f>Harvest!J80</f>
        <v>CLOSED</v>
      </c>
      <c r="M82" s="37" t="str">
        <f>CPUE!J80</f>
        <v>CLOSED</v>
      </c>
      <c r="N82" s="31" t="str">
        <f>Effort!L80</f>
        <v>CLOSED</v>
      </c>
      <c r="O82" s="39" t="str">
        <f>Harvest!L80</f>
        <v>CLOSED</v>
      </c>
      <c r="P82" s="37" t="str">
        <f>CPUE!L80</f>
        <v>CLOSED</v>
      </c>
      <c r="Q82" s="31" t="str">
        <f>Effort!N80</f>
        <v>CLOSED</v>
      </c>
      <c r="R82" s="39" t="str">
        <f>Harvest!N80</f>
        <v>CLOSED</v>
      </c>
      <c r="S82" s="37" t="str">
        <f>CPUE!N80</f>
        <v>CLOSED</v>
      </c>
      <c r="T82" s="119">
        <f>H82</f>
        <v>1332.4829766290577</v>
      </c>
      <c r="U82" s="74">
        <f>I82</f>
        <v>17595.608537537555</v>
      </c>
    </row>
    <row r="83" spans="1:21" x14ac:dyDescent="0.25">
      <c r="A83" s="38">
        <v>41725</v>
      </c>
      <c r="B83" s="19">
        <f t="shared" ref="B83:B90" si="10">+A83</f>
        <v>41725</v>
      </c>
      <c r="C83" s="13">
        <v>0.1</v>
      </c>
      <c r="D83" s="123">
        <v>0.70000000000000007</v>
      </c>
      <c r="E83" s="120" t="str">
        <f>Effort!F81</f>
        <v>CLOSED</v>
      </c>
      <c r="F83" s="39" t="str">
        <f>Harvest!F81</f>
        <v>CLOSED</v>
      </c>
      <c r="G83" s="121" t="str">
        <f>CPUE!F81</f>
        <v>CLOSED</v>
      </c>
      <c r="H83" s="120">
        <f>Effort!H81</f>
        <v>1032.8829378148901</v>
      </c>
      <c r="I83" s="39">
        <f>Harvest!H81</f>
        <v>15085.527118085894</v>
      </c>
      <c r="J83" s="121">
        <f>CPUE!H81</f>
        <v>14.605263157894736</v>
      </c>
      <c r="K83" s="120" t="str">
        <f>Effort!J81</f>
        <v>CLOSED</v>
      </c>
      <c r="L83" s="39" t="str">
        <f>Harvest!J81</f>
        <v>CLOSED</v>
      </c>
      <c r="M83" s="121" t="str">
        <f>CPUE!J81</f>
        <v>CLOSED</v>
      </c>
      <c r="N83" s="120" t="str">
        <f>Effort!L81</f>
        <v>CLOSED</v>
      </c>
      <c r="O83" s="39" t="str">
        <f>Harvest!L81</f>
        <v>CLOSED</v>
      </c>
      <c r="P83" s="121" t="str">
        <f>CPUE!L81</f>
        <v>CLOSED</v>
      </c>
      <c r="Q83" s="120" t="str">
        <f>Effort!N81</f>
        <v>CLOSED</v>
      </c>
      <c r="R83" s="39" t="str">
        <f>Harvest!N81</f>
        <v>CLOSED</v>
      </c>
      <c r="S83" s="121" t="str">
        <f>CPUE!N81</f>
        <v>CLOSED</v>
      </c>
      <c r="T83" s="39">
        <f>H83</f>
        <v>1032.8829378148901</v>
      </c>
      <c r="U83" s="39">
        <f>I83</f>
        <v>15085.527118085894</v>
      </c>
    </row>
    <row r="84" spans="1:21" x14ac:dyDescent="0.25">
      <c r="A84" s="38">
        <v>41726</v>
      </c>
      <c r="B84" s="19">
        <f t="shared" si="10"/>
        <v>41726</v>
      </c>
      <c r="C84" s="13">
        <v>0</v>
      </c>
      <c r="D84" s="123">
        <v>0.73472222222222217</v>
      </c>
      <c r="E84" s="120">
        <f>Effort!F82</f>
        <v>4996.3058634015551</v>
      </c>
      <c r="F84" s="39">
        <f>Harvest!F82</f>
        <v>46937.126913927277</v>
      </c>
      <c r="G84" s="121">
        <f>CPUE!F82</f>
        <v>9.3943661971830963</v>
      </c>
      <c r="H84" s="120">
        <f>Effort!H82</f>
        <v>1084.5415684338454</v>
      </c>
      <c r="I84" s="39">
        <f>Harvest!H82</f>
        <v>16207.871217150245</v>
      </c>
      <c r="J84" s="121">
        <f>CPUE!H82</f>
        <v>14.944444444444443</v>
      </c>
      <c r="K84" s="120" t="str">
        <f>Effort!J82</f>
        <v>CLOSED</v>
      </c>
      <c r="L84" s="39" t="str">
        <f>Harvest!J82</f>
        <v>CLOSED</v>
      </c>
      <c r="M84" s="121" t="str">
        <f>CPUE!J82</f>
        <v>CLOSED</v>
      </c>
      <c r="N84" s="120">
        <f>Effort!L82</f>
        <v>2138.531717730204</v>
      </c>
      <c r="O84" s="39">
        <f>Harvest!L82</f>
        <v>32077.975765953051</v>
      </c>
      <c r="P84" s="121">
        <f>CPUE!L82</f>
        <v>14.999999999999996</v>
      </c>
      <c r="Q84" s="120" t="str">
        <f>Effort!N82</f>
        <v>CLOSED</v>
      </c>
      <c r="R84" s="39" t="str">
        <f>Harvest!N82</f>
        <v>CLOSED</v>
      </c>
      <c r="S84" s="121" t="str">
        <f>CPUE!N82</f>
        <v>CLOSED</v>
      </c>
      <c r="T84" s="39">
        <f>E84+H84+N84</f>
        <v>8219.3791495656042</v>
      </c>
      <c r="U84" s="39">
        <f>F84+I84+O84</f>
        <v>95222.973897030577</v>
      </c>
    </row>
    <row r="85" spans="1:21" x14ac:dyDescent="0.25">
      <c r="A85" s="38">
        <v>41727</v>
      </c>
      <c r="B85" s="19">
        <f t="shared" si="10"/>
        <v>41727</v>
      </c>
      <c r="C85" s="13">
        <v>0</v>
      </c>
      <c r="D85" s="123">
        <v>0.76597222222222217</v>
      </c>
      <c r="E85" s="120">
        <f>Effort!F83</f>
        <v>9146.9555833068589</v>
      </c>
      <c r="F85" s="39">
        <f>Harvest!F83</f>
        <v>37937.373156994021</v>
      </c>
      <c r="G85" s="121">
        <f>CPUE!F83</f>
        <v>4.1475409836065573</v>
      </c>
      <c r="H85" s="120">
        <f>Effort!H83</f>
        <v>5869.8661618657679</v>
      </c>
      <c r="I85" s="39">
        <f>Harvest!H83</f>
        <v>40764.938296977998</v>
      </c>
      <c r="J85" s="121">
        <f>CPUE!H83</f>
        <v>6.9447815627913139</v>
      </c>
      <c r="K85" s="120" t="str">
        <f>Effort!J83</f>
        <v>CLOSED</v>
      </c>
      <c r="L85" s="39" t="str">
        <f>Harvest!J83</f>
        <v>CLOSED</v>
      </c>
      <c r="M85" s="121" t="str">
        <f>CPUE!J83</f>
        <v>CLOSED</v>
      </c>
      <c r="N85" s="120">
        <f>Effort!L83</f>
        <v>8271.0700857671382</v>
      </c>
      <c r="O85" s="39">
        <f>Harvest!L83</f>
        <v>56416.1049133669</v>
      </c>
      <c r="P85" s="121">
        <f>CPUE!L83</f>
        <v>6.8208955223880601</v>
      </c>
      <c r="Q85" s="120" t="str">
        <f>Effort!N83</f>
        <v>CLOSED</v>
      </c>
      <c r="R85" s="39" t="str">
        <f>Harvest!N83</f>
        <v>CLOSED</v>
      </c>
      <c r="S85" s="121" t="str">
        <f>CPUE!N83</f>
        <v>CLOSED</v>
      </c>
      <c r="T85" s="39">
        <f t="shared" ref="T85:T86" si="11">E85+H85+N85</f>
        <v>23287.891830939763</v>
      </c>
      <c r="U85" s="39">
        <f t="shared" ref="U85:U86" si="12">F85+I85+O85</f>
        <v>135118.41636733891</v>
      </c>
    </row>
    <row r="86" spans="1:21" x14ac:dyDescent="0.25">
      <c r="A86" s="128">
        <v>41728</v>
      </c>
      <c r="B86" s="19">
        <f t="shared" si="10"/>
        <v>41728</v>
      </c>
      <c r="C86" s="63">
        <v>-0.1</v>
      </c>
      <c r="D86" s="129">
        <v>0.28680555555555554</v>
      </c>
      <c r="E86" s="120">
        <f>Effort!F84</f>
        <v>2761.2783677716725</v>
      </c>
      <c r="F86" s="39">
        <f>Harvest!F84</f>
        <v>21547.024640316657</v>
      </c>
      <c r="G86" s="121">
        <f>CPUE!F84</f>
        <v>7.8032786885245899</v>
      </c>
      <c r="H86" s="120">
        <f>Effort!H84</f>
        <v>2041.3600347856475</v>
      </c>
      <c r="I86" s="39">
        <f>Harvest!H84</f>
        <v>28862.562714052627</v>
      </c>
      <c r="J86" s="121">
        <f>CPUE!H84</f>
        <v>14.138888888888889</v>
      </c>
      <c r="K86" s="120" t="str">
        <f>Effort!J84</f>
        <v>CLOSED</v>
      </c>
      <c r="L86" s="39" t="str">
        <f>Harvest!J84</f>
        <v>CLOSED</v>
      </c>
      <c r="M86" s="121" t="str">
        <f>CPUE!J84</f>
        <v>CLOSED</v>
      </c>
      <c r="N86" s="120">
        <f>Effort!L84</f>
        <v>2266.0919190755599</v>
      </c>
      <c r="O86" s="39">
        <f>Harvest!L84</f>
        <v>30296.663700684116</v>
      </c>
      <c r="P86" s="121">
        <f>CPUE!L84</f>
        <v>13.369565217391305</v>
      </c>
      <c r="Q86" s="120" t="str">
        <f>Effort!N84</f>
        <v>CLOSED</v>
      </c>
      <c r="R86" s="39" t="str">
        <f>Harvest!N84</f>
        <v>CLOSED</v>
      </c>
      <c r="S86" s="121" t="str">
        <f>CPUE!N84</f>
        <v>CLOSED</v>
      </c>
      <c r="T86" s="39">
        <f t="shared" si="11"/>
        <v>7068.7303216328801</v>
      </c>
      <c r="U86" s="39">
        <f t="shared" si="12"/>
        <v>80706.251055053406</v>
      </c>
    </row>
    <row r="87" spans="1:21" x14ac:dyDescent="0.25">
      <c r="A87" s="128">
        <v>41729</v>
      </c>
      <c r="B87" s="19">
        <f t="shared" si="10"/>
        <v>41729</v>
      </c>
      <c r="C87" s="63">
        <v>-0.5</v>
      </c>
      <c r="D87" s="129">
        <v>0.31875000000000003</v>
      </c>
      <c r="E87" s="120">
        <f>Effort!F85</f>
        <v>1538.1395193933686</v>
      </c>
      <c r="F87" s="39">
        <f>Harvest!F85</f>
        <v>21170.393021468728</v>
      </c>
      <c r="G87" s="121">
        <f>CPUE!F85</f>
        <v>13.763636363636364</v>
      </c>
      <c r="H87" s="120">
        <f>Effort!H85</f>
        <v>1241.0017825936866</v>
      </c>
      <c r="I87" s="39">
        <f>Harvest!H85</f>
        <v>18007.727994231791</v>
      </c>
      <c r="J87" s="121">
        <f>CPUE!H85</f>
        <v>14.510638297872338</v>
      </c>
      <c r="K87" s="120" t="str">
        <f>Effort!J85</f>
        <v>CLOSED</v>
      </c>
      <c r="L87" s="39" t="str">
        <f>Harvest!J85</f>
        <v>CLOSED</v>
      </c>
      <c r="M87" s="121" t="str">
        <f>CPUE!J85</f>
        <v>CLOSED</v>
      </c>
      <c r="N87" s="120" t="s">
        <v>11</v>
      </c>
      <c r="O87" s="39" t="s">
        <v>11</v>
      </c>
      <c r="P87" s="121" t="s">
        <v>11</v>
      </c>
      <c r="Q87" s="120" t="str">
        <f>Effort!N85</f>
        <v>CLOSED</v>
      </c>
      <c r="R87" s="39" t="str">
        <f>Harvest!N85</f>
        <v>CLOSED</v>
      </c>
      <c r="S87" s="121" t="str">
        <f>CPUE!N85</f>
        <v>CLOSED</v>
      </c>
      <c r="T87" s="39">
        <f>E87+H87</f>
        <v>2779.1413019870552</v>
      </c>
      <c r="U87" s="39">
        <f>F87+I87</f>
        <v>39178.121015700519</v>
      </c>
    </row>
    <row r="88" spans="1:21" x14ac:dyDescent="0.25">
      <c r="A88" s="128">
        <v>41730</v>
      </c>
      <c r="B88" s="19">
        <f t="shared" si="10"/>
        <v>41730</v>
      </c>
      <c r="C88" s="63">
        <v>-0.7</v>
      </c>
      <c r="D88" s="129">
        <v>0.34861111111111115</v>
      </c>
      <c r="E88" s="120">
        <f>Effort!F86</f>
        <v>2352.9867752386458</v>
      </c>
      <c r="F88" s="39">
        <f>Harvest!F86</f>
        <v>32177.858108133692</v>
      </c>
      <c r="G88" s="121">
        <f>CPUE!F86</f>
        <v>13.675324675324678</v>
      </c>
      <c r="H88" s="120">
        <f>Effort!H86</f>
        <v>951.02780409747083</v>
      </c>
      <c r="I88" s="39">
        <f>Harvest!H86</f>
        <v>14265.417061462063</v>
      </c>
      <c r="J88" s="121">
        <f>CPUE!H86</f>
        <v>15.000000000000002</v>
      </c>
      <c r="K88" s="120" t="str">
        <f>Effort!J86</f>
        <v>CLOSED</v>
      </c>
      <c r="L88" s="39" t="str">
        <f>Harvest!J86</f>
        <v>CLOSED</v>
      </c>
      <c r="M88" s="121" t="str">
        <f>CPUE!J86</f>
        <v>CLOSED</v>
      </c>
      <c r="N88" s="120" t="s">
        <v>11</v>
      </c>
      <c r="O88" s="39" t="s">
        <v>11</v>
      </c>
      <c r="P88" s="121" t="s">
        <v>11</v>
      </c>
      <c r="Q88" s="120" t="str">
        <f>Effort!N86</f>
        <v>CLOSED</v>
      </c>
      <c r="R88" s="39" t="str">
        <f>Harvest!N86</f>
        <v>CLOSED</v>
      </c>
      <c r="S88" s="121" t="str">
        <f>CPUE!N86</f>
        <v>CLOSED</v>
      </c>
      <c r="T88" s="39">
        <f t="shared" ref="T88:T90" si="13">E88+H88</f>
        <v>3304.0145793361166</v>
      </c>
      <c r="U88" s="39">
        <f t="shared" ref="U88:U90" si="14">F88+I88</f>
        <v>46443.275169595756</v>
      </c>
    </row>
    <row r="89" spans="1:21" x14ac:dyDescent="0.25">
      <c r="A89" s="128">
        <v>41731</v>
      </c>
      <c r="B89" s="19">
        <f t="shared" si="10"/>
        <v>41731</v>
      </c>
      <c r="C89" s="63">
        <v>-0.6</v>
      </c>
      <c r="D89" s="129">
        <v>0.37847222222222227</v>
      </c>
      <c r="E89" s="120">
        <f>Effort!F87</f>
        <v>2813.6959435879453</v>
      </c>
      <c r="F89" s="39">
        <f>Harvest!F87</f>
        <v>40865.583942586825</v>
      </c>
      <c r="G89" s="121">
        <f>CPUE!F87</f>
        <v>14.523809523809524</v>
      </c>
      <c r="H89" s="120">
        <f>Effort!H87</f>
        <v>1586.1649841361577</v>
      </c>
      <c r="I89" s="39">
        <f>Harvest!H87</f>
        <v>23792.474762042362</v>
      </c>
      <c r="J89" s="121">
        <f>CPUE!H87</f>
        <v>14.999999999999998</v>
      </c>
      <c r="K89" s="120" t="str">
        <f>Effort!J87</f>
        <v>CLOSED</v>
      </c>
      <c r="L89" s="39" t="str">
        <f>Harvest!J87</f>
        <v>CLOSED</v>
      </c>
      <c r="M89" s="121" t="str">
        <f>CPUE!J87</f>
        <v>CLOSED</v>
      </c>
      <c r="N89" s="120" t="s">
        <v>11</v>
      </c>
      <c r="O89" s="39" t="s">
        <v>11</v>
      </c>
      <c r="P89" s="121" t="s">
        <v>11</v>
      </c>
      <c r="Q89" s="120" t="str">
        <f>Effort!N87</f>
        <v>CLOSED</v>
      </c>
      <c r="R89" s="39" t="str">
        <f>Harvest!N87</f>
        <v>CLOSED</v>
      </c>
      <c r="S89" s="121" t="str">
        <f>CPUE!N87</f>
        <v>CLOSED</v>
      </c>
      <c r="T89" s="39">
        <f t="shared" si="13"/>
        <v>4399.860927724103</v>
      </c>
      <c r="U89" s="39">
        <f t="shared" si="14"/>
        <v>64658.058704629191</v>
      </c>
    </row>
    <row r="90" spans="1:21" x14ac:dyDescent="0.25">
      <c r="A90" s="128">
        <v>41732</v>
      </c>
      <c r="B90" s="19">
        <f t="shared" si="10"/>
        <v>41732</v>
      </c>
      <c r="C90" s="63">
        <v>-0.3</v>
      </c>
      <c r="D90" s="129">
        <v>0.40902777777777777</v>
      </c>
      <c r="E90" s="120">
        <f>Effort!F88</f>
        <v>1778.7968412807268</v>
      </c>
      <c r="F90" s="39">
        <f>Harvest!F88</f>
        <v>26553.054297378967</v>
      </c>
      <c r="G90" s="121">
        <f>CPUE!F88</f>
        <v>14.927536231884059</v>
      </c>
      <c r="H90" s="120">
        <f>Effort!H88</f>
        <v>738.84630198807508</v>
      </c>
      <c r="I90" s="39">
        <f>Harvest!H88</f>
        <v>11082.694529821125</v>
      </c>
      <c r="J90" s="121">
        <f>CPUE!H88</f>
        <v>14.999999999999998</v>
      </c>
      <c r="K90" s="120" t="str">
        <f>Effort!J88</f>
        <v>CLOSED</v>
      </c>
      <c r="L90" s="39" t="str">
        <f>Harvest!J88</f>
        <v>CLOSED</v>
      </c>
      <c r="M90" s="121" t="str">
        <f>CPUE!J88</f>
        <v>CLOSED</v>
      </c>
      <c r="N90" s="120" t="s">
        <v>11</v>
      </c>
      <c r="O90" s="39" t="s">
        <v>11</v>
      </c>
      <c r="P90" s="121" t="s">
        <v>11</v>
      </c>
      <c r="Q90" s="120" t="str">
        <f>Effort!N88</f>
        <v>CLOSED</v>
      </c>
      <c r="R90" s="39" t="str">
        <f>Harvest!N88</f>
        <v>CLOSED</v>
      </c>
      <c r="S90" s="121" t="str">
        <f>CPUE!N88</f>
        <v>CLOSED</v>
      </c>
      <c r="T90" s="39">
        <f t="shared" si="13"/>
        <v>2517.6431432688019</v>
      </c>
      <c r="U90" s="39">
        <f t="shared" si="14"/>
        <v>37635.748827200092</v>
      </c>
    </row>
    <row r="91" spans="1:21" x14ac:dyDescent="0.25">
      <c r="A91" s="126"/>
      <c r="B91" s="127"/>
      <c r="C91" s="127"/>
      <c r="D91" s="127"/>
      <c r="E91" s="124">
        <f>SUM(E82:E90)</f>
        <v>25388.158893980773</v>
      </c>
      <c r="F91" s="122">
        <f>SUM(F82:F90)</f>
        <v>227188.41408080613</v>
      </c>
      <c r="G91" s="125">
        <f>+F91/E91</f>
        <v>8.9485974555905976</v>
      </c>
      <c r="H91" s="124">
        <f>SUM(H82:H90)</f>
        <v>15878.174552344599</v>
      </c>
      <c r="I91" s="122">
        <f>SUM(I82:I90)</f>
        <v>185664.8222313617</v>
      </c>
      <c r="J91" s="125">
        <f>+I91/H91</f>
        <v>11.693083585855032</v>
      </c>
      <c r="K91" s="124">
        <f>SUM(K82:K90)</f>
        <v>0</v>
      </c>
      <c r="L91" s="122">
        <f>SUM(L82:L90)</f>
        <v>0</v>
      </c>
      <c r="M91" s="125" t="e">
        <f>+L91/K91</f>
        <v>#DIV/0!</v>
      </c>
      <c r="N91" s="124">
        <f>SUM(N82:N90)</f>
        <v>12675.693722572902</v>
      </c>
      <c r="O91" s="122">
        <f>SUM(O82:O90)</f>
        <v>118790.74438000406</v>
      </c>
      <c r="P91" s="125">
        <f>+O91/N91</f>
        <v>9.3715379197322566</v>
      </c>
      <c r="Q91" s="124">
        <v>0</v>
      </c>
      <c r="R91" s="122">
        <v>0</v>
      </c>
      <c r="S91" s="125">
        <v>0</v>
      </c>
      <c r="T91" s="122">
        <f>E91+H91+N91</f>
        <v>53942.027168898276</v>
      </c>
      <c r="U91" s="122">
        <f>F91+I91+L91+O91</f>
        <v>531643.98069217196</v>
      </c>
    </row>
    <row r="92" spans="1:21" x14ac:dyDescent="0.25">
      <c r="A92" s="38">
        <v>41743</v>
      </c>
      <c r="B92" s="19">
        <v>41743</v>
      </c>
      <c r="C92" s="13">
        <v>0.2</v>
      </c>
      <c r="D92" s="123">
        <v>0.28194444444444444</v>
      </c>
      <c r="E92" s="31" t="str">
        <f>Effort!F90</f>
        <v>CLOSED</v>
      </c>
      <c r="F92" s="39" t="str">
        <f>Harvest!F90</f>
        <v>CLOSED</v>
      </c>
      <c r="G92" s="37" t="str">
        <f>CPUE!F90</f>
        <v>CLOSED</v>
      </c>
      <c r="H92" s="31">
        <f>Effort!H90</f>
        <v>1015.259430161394</v>
      </c>
      <c r="I92" s="39">
        <f>Harvest!H90</f>
        <v>15228.89145242091</v>
      </c>
      <c r="J92" s="37">
        <f>CPUE!H90</f>
        <v>15</v>
      </c>
      <c r="K92" s="31" t="str">
        <f>Effort!J90</f>
        <v>CLOSED</v>
      </c>
      <c r="L92" s="39" t="str">
        <f>Harvest!J90</f>
        <v>CLOSED</v>
      </c>
      <c r="M92" s="37" t="str">
        <f>CPUE!J90</f>
        <v>CLOSED</v>
      </c>
      <c r="N92" s="31" t="str">
        <f>Effort!L90</f>
        <v>CLOSED</v>
      </c>
      <c r="O92" s="39" t="str">
        <f>Harvest!L90</f>
        <v>CLOSED</v>
      </c>
      <c r="P92" s="37" t="str">
        <f>CPUE!L90</f>
        <v>CLOSED</v>
      </c>
      <c r="Q92" s="31" t="str">
        <f>Effort!N90</f>
        <v>CLOSED</v>
      </c>
      <c r="R92" s="39" t="str">
        <f>Harvest!N90</f>
        <v>CLOSED</v>
      </c>
      <c r="S92" s="37" t="str">
        <f>CPUE!N90</f>
        <v>CLOSED</v>
      </c>
      <c r="T92" s="31">
        <f t="shared" ref="T92:U92" si="15">H92</f>
        <v>1015.259430161394</v>
      </c>
      <c r="U92" s="39">
        <f t="shared" si="15"/>
        <v>15228.89145242091</v>
      </c>
    </row>
    <row r="93" spans="1:21" x14ac:dyDescent="0.25">
      <c r="A93" s="38">
        <v>41744</v>
      </c>
      <c r="B93" s="19">
        <v>41744</v>
      </c>
      <c r="C93" s="13">
        <v>-0.3</v>
      </c>
      <c r="D93" s="123">
        <v>0.30833333333333335</v>
      </c>
      <c r="E93" s="120">
        <f>Effort!F91</f>
        <v>1404.3014053682314</v>
      </c>
      <c r="F93" s="39">
        <f>Harvest!F91</f>
        <v>21064.521080523467</v>
      </c>
      <c r="G93" s="121">
        <f>CPUE!F91</f>
        <v>14.999999999999998</v>
      </c>
      <c r="H93" s="120">
        <f>Effort!H91</f>
        <v>1127.9756073777089</v>
      </c>
      <c r="I93" s="39">
        <f>Harvest!H91</f>
        <v>16919.634110665633</v>
      </c>
      <c r="J93" s="121">
        <f>CPUE!H91</f>
        <v>15</v>
      </c>
      <c r="K93" s="120" t="str">
        <f>Effort!J91</f>
        <v>CLOSED</v>
      </c>
      <c r="L93" s="39" t="str">
        <f>Harvest!J91</f>
        <v>CLOSED</v>
      </c>
      <c r="M93" s="121" t="str">
        <f>CPUE!J91</f>
        <v>CLOSED</v>
      </c>
      <c r="N93" s="120" t="str">
        <f>Effort!L91</f>
        <v>CLOSED</v>
      </c>
      <c r="O93" s="39" t="str">
        <f>Harvest!L91</f>
        <v>CLOSED</v>
      </c>
      <c r="P93" s="121" t="str">
        <f>CPUE!L91</f>
        <v>CLOSED</v>
      </c>
      <c r="Q93" s="120" t="str">
        <f>Effort!N91</f>
        <v>CLOSED</v>
      </c>
      <c r="R93" s="39" t="str">
        <f>Harvest!N91</f>
        <v>CLOSED</v>
      </c>
      <c r="S93" s="121" t="str">
        <f>CPUE!N91</f>
        <v>CLOSED</v>
      </c>
      <c r="T93" s="39">
        <f t="shared" ref="T93:U95" si="16">+E93+H93</f>
        <v>2532.2770127459403</v>
      </c>
      <c r="U93" s="39">
        <f t="shared" si="16"/>
        <v>37984.1551911891</v>
      </c>
    </row>
    <row r="94" spans="1:21" x14ac:dyDescent="0.25">
      <c r="A94" s="38">
        <v>41745</v>
      </c>
      <c r="B94" s="19">
        <v>41745</v>
      </c>
      <c r="C94" s="13">
        <v>-0.6</v>
      </c>
      <c r="D94" s="123">
        <v>0.3354166666666667</v>
      </c>
      <c r="E94" s="120">
        <f>Effort!F92</f>
        <v>1294.5149920641759</v>
      </c>
      <c r="F94" s="39">
        <f>Harvest!F92</f>
        <v>19049.457684944384</v>
      </c>
      <c r="G94" s="121">
        <f>CPUE!F92</f>
        <v>14.715517241379311</v>
      </c>
      <c r="H94" s="120">
        <f>Effort!H92</f>
        <v>992.87896176104255</v>
      </c>
      <c r="I94" s="39">
        <f>Harvest!H92</f>
        <v>14893.184426415639</v>
      </c>
      <c r="J94" s="121">
        <f>CPUE!H92</f>
        <v>15</v>
      </c>
      <c r="K94" s="120" t="str">
        <f>Effort!J92</f>
        <v>CLOSED</v>
      </c>
      <c r="L94" s="39" t="str">
        <f>Harvest!J92</f>
        <v>CLOSED</v>
      </c>
      <c r="M94" s="121" t="str">
        <f>CPUE!J92</f>
        <v>CLOSED</v>
      </c>
      <c r="N94" s="120" t="str">
        <f>Effort!L92</f>
        <v>CLOSED</v>
      </c>
      <c r="O94" s="39" t="str">
        <f>Harvest!L92</f>
        <v>CLOSED</v>
      </c>
      <c r="P94" s="121" t="str">
        <f>CPUE!L92</f>
        <v>CLOSED</v>
      </c>
      <c r="Q94" s="120" t="str">
        <f>Effort!N92</f>
        <v>CLOSED</v>
      </c>
      <c r="R94" s="39" t="str">
        <f>Harvest!N92</f>
        <v>CLOSED</v>
      </c>
      <c r="S94" s="121" t="str">
        <f>CPUE!N92</f>
        <v>CLOSED</v>
      </c>
      <c r="T94" s="39">
        <f t="shared" si="16"/>
        <v>2287.3939538252184</v>
      </c>
      <c r="U94" s="39">
        <f t="shared" si="16"/>
        <v>33942.642111360023</v>
      </c>
    </row>
    <row r="95" spans="1:21" x14ac:dyDescent="0.25">
      <c r="A95" s="38">
        <v>41746</v>
      </c>
      <c r="B95" s="19">
        <v>41746</v>
      </c>
      <c r="C95" s="13">
        <v>-0.8</v>
      </c>
      <c r="D95" s="123">
        <v>0.36319444444444443</v>
      </c>
      <c r="E95" s="120">
        <f>Effort!F93</f>
        <v>3103.4956321243621</v>
      </c>
      <c r="F95" s="39">
        <f>Harvest!F93</f>
        <v>46023.429544571511</v>
      </c>
      <c r="G95" s="121">
        <f>CPUE!F93</f>
        <v>14.829545454545455</v>
      </c>
      <c r="H95" s="120">
        <f>Effort!H93</f>
        <v>1530.7669152120757</v>
      </c>
      <c r="I95" s="39">
        <f>Harvest!H93</f>
        <v>22506.410861496464</v>
      </c>
      <c r="J95" s="121">
        <f>CPUE!H93</f>
        <v>14.702702702702704</v>
      </c>
      <c r="K95" s="120" t="str">
        <f>Effort!J93</f>
        <v>CLOSED</v>
      </c>
      <c r="L95" s="39" t="str">
        <f>Harvest!J93</f>
        <v>CLOSED</v>
      </c>
      <c r="M95" s="121" t="str">
        <f>CPUE!J93</f>
        <v>CLOSED</v>
      </c>
      <c r="N95" s="120" t="str">
        <f>Effort!L93</f>
        <v>CLOSED</v>
      </c>
      <c r="O95" s="39" t="str">
        <f>Harvest!L93</f>
        <v>CLOSED</v>
      </c>
      <c r="P95" s="121" t="str">
        <f>CPUE!L93</f>
        <v>CLOSED</v>
      </c>
      <c r="Q95" s="120" t="str">
        <f>Effort!N93</f>
        <v>CLOSED</v>
      </c>
      <c r="R95" s="39" t="str">
        <f>Harvest!N93</f>
        <v>CLOSED</v>
      </c>
      <c r="S95" s="121" t="str">
        <f>CPUE!N93</f>
        <v>CLOSED</v>
      </c>
      <c r="T95" s="39">
        <f t="shared" si="16"/>
        <v>4634.2625473364378</v>
      </c>
      <c r="U95" s="39">
        <f t="shared" si="16"/>
        <v>68529.840406067975</v>
      </c>
    </row>
    <row r="96" spans="1:21" x14ac:dyDescent="0.25">
      <c r="A96" s="128">
        <v>41747</v>
      </c>
      <c r="B96" s="19">
        <v>41747</v>
      </c>
      <c r="C96" s="63">
        <v>-0.8</v>
      </c>
      <c r="D96" s="129">
        <v>0.39305555555555555</v>
      </c>
      <c r="E96" s="120">
        <f>Effort!F94</f>
        <v>7855.0242465879992</v>
      </c>
      <c r="F96" s="39">
        <f>Harvest!F94</f>
        <v>118033.90416554356</v>
      </c>
      <c r="G96" s="121">
        <f>CPUE!F94</f>
        <v>15.026548672566371</v>
      </c>
      <c r="H96" s="120">
        <f>Effort!H94</f>
        <v>2090.9279774767742</v>
      </c>
      <c r="I96" s="39">
        <f>Harvest!H94</f>
        <v>31294.222062902387</v>
      </c>
      <c r="J96" s="121">
        <f>CPUE!H94</f>
        <v>14.966666666666667</v>
      </c>
      <c r="K96" s="120" t="str">
        <f>Effort!J94</f>
        <v>CLOSED</v>
      </c>
      <c r="L96" s="39" t="str">
        <f>Harvest!J94</f>
        <v>CLOSED</v>
      </c>
      <c r="M96" s="121" t="str">
        <f>CPUE!J94</f>
        <v>CLOSED</v>
      </c>
      <c r="N96" s="120">
        <f>Effort!L94</f>
        <v>2091.1277863219411</v>
      </c>
      <c r="O96" s="39">
        <f>Harvest!L94</f>
        <v>31366.916794829118</v>
      </c>
      <c r="P96" s="121">
        <f>CPUE!L94</f>
        <v>15</v>
      </c>
      <c r="Q96" s="120" t="str">
        <f>Effort!N94</f>
        <v>CLOSED</v>
      </c>
      <c r="R96" s="39" t="str">
        <f>Harvest!N94</f>
        <v>CLOSED</v>
      </c>
      <c r="S96" s="121" t="str">
        <f>CPUE!N94</f>
        <v>CLOSED</v>
      </c>
      <c r="T96" s="39">
        <f>+E96+H96+N96</f>
        <v>12037.080010386715</v>
      </c>
      <c r="U96" s="39">
        <f>+F96+I96+O96</f>
        <v>180695.04302327507</v>
      </c>
    </row>
    <row r="97" spans="1:21" x14ac:dyDescent="0.25">
      <c r="A97" s="128">
        <v>41748</v>
      </c>
      <c r="B97" s="19">
        <v>41748</v>
      </c>
      <c r="C97" s="63">
        <v>-0.7</v>
      </c>
      <c r="D97" s="129">
        <v>0.42638888888888887</v>
      </c>
      <c r="E97" s="120">
        <f>Effort!F95</f>
        <v>9032.1966928485544</v>
      </c>
      <c r="F97" s="39">
        <f>Harvest!F95</f>
        <v>105399.33463623273</v>
      </c>
      <c r="G97" s="121">
        <f>CPUE!F95</f>
        <v>11.669291338582676</v>
      </c>
      <c r="H97" s="120">
        <f>Effort!H95</f>
        <v>3490.9383030767281</v>
      </c>
      <c r="I97" s="39">
        <f>Harvest!H95</f>
        <v>37047.370235884067</v>
      </c>
      <c r="J97" s="121">
        <f>CPUE!H95</f>
        <v>10.612439126532966</v>
      </c>
      <c r="K97" s="120">
        <f>Effort!J95</f>
        <v>4863.2948910071673</v>
      </c>
      <c r="L97" s="39">
        <f>Harvest!J95</f>
        <v>54942.088228135035</v>
      </c>
      <c r="M97" s="121">
        <f>CPUE!J95</f>
        <v>11.2972972972973</v>
      </c>
      <c r="N97" s="120">
        <f>Effort!L95</f>
        <v>2399.9803649771493</v>
      </c>
      <c r="O97" s="39">
        <f>Harvest!L95</f>
        <v>32718.998370238933</v>
      </c>
      <c r="P97" s="121">
        <f>CPUE!L95</f>
        <v>13.633027522935778</v>
      </c>
      <c r="Q97" s="120" t="str">
        <f>Effort!N95</f>
        <v>CLOSED</v>
      </c>
      <c r="R97" s="39" t="str">
        <f>Harvest!N95</f>
        <v>CLOSED</v>
      </c>
      <c r="S97" s="121" t="str">
        <f>CPUE!N95</f>
        <v>CLOSED</v>
      </c>
      <c r="T97" s="39">
        <f>+E97+H97+K97+N97</f>
        <v>19786.410251909598</v>
      </c>
      <c r="U97" s="39">
        <f>+F97+I97+L97+O97</f>
        <v>230107.79147049075</v>
      </c>
    </row>
    <row r="98" spans="1:21" x14ac:dyDescent="0.25">
      <c r="A98" s="128">
        <v>41749</v>
      </c>
      <c r="B98" s="19">
        <v>41749</v>
      </c>
      <c r="C98" s="63">
        <v>-0.4</v>
      </c>
      <c r="D98" s="129">
        <v>0.46249999999999997</v>
      </c>
      <c r="E98" s="120">
        <f>Effort!F96</f>
        <v>9428.215215598917</v>
      </c>
      <c r="F98" s="39">
        <f>Harvest!F96</f>
        <v>30419.335884290842</v>
      </c>
      <c r="G98" s="121">
        <f>CPUE!F96</f>
        <v>3.2264150943396221</v>
      </c>
      <c r="H98" s="120">
        <f>Effort!H96</f>
        <v>3078.639225520868</v>
      </c>
      <c r="I98" s="39">
        <f>Harvest!H96</f>
        <v>30737.524965914698</v>
      </c>
      <c r="J98" s="121">
        <f>CPUE!H96</f>
        <v>9.9841269841269842</v>
      </c>
      <c r="K98" s="120">
        <f>Effort!J96</f>
        <v>4057.3215386772376</v>
      </c>
      <c r="L98" s="39">
        <f>Harvest!J96</f>
        <v>38435.876361933486</v>
      </c>
      <c r="M98" s="121">
        <f>CPUE!J96</f>
        <v>9.4732142857142883</v>
      </c>
      <c r="N98" s="120">
        <f>Effort!L96</f>
        <v>2348.1208288148027</v>
      </c>
      <c r="O98" s="39">
        <f>Harvest!L96</f>
        <v>34294.922631374095</v>
      </c>
      <c r="P98" s="121">
        <f>CPUE!L96</f>
        <v>14.605263157894738</v>
      </c>
      <c r="Q98" s="120" t="str">
        <f>Effort!N96</f>
        <v>CLOSED</v>
      </c>
      <c r="R98" s="39" t="str">
        <f>Harvest!N96</f>
        <v>CLOSED</v>
      </c>
      <c r="S98" s="121" t="str">
        <f>CPUE!N96</f>
        <v>CLOSED</v>
      </c>
      <c r="T98" s="39">
        <f>+E98+H98+K98+N98</f>
        <v>18912.296808611827</v>
      </c>
      <c r="U98" s="39">
        <f>+F98+I98+L98+O98</f>
        <v>133887.65984351313</v>
      </c>
    </row>
    <row r="99" spans="1:21" x14ac:dyDescent="0.25">
      <c r="A99" s="126"/>
      <c r="B99" s="127"/>
      <c r="C99" s="127"/>
      <c r="D99" s="127"/>
      <c r="E99" s="124">
        <f>SUM(E93:E98)</f>
        <v>32117.748184592238</v>
      </c>
      <c r="F99" s="122">
        <f>SUM(F93:F98)</f>
        <v>339989.9829961065</v>
      </c>
      <c r="G99" s="125">
        <f>+F99/E99</f>
        <v>10.585735371049736</v>
      </c>
      <c r="H99" s="124">
        <f>SUM(H92:H98)</f>
        <v>13327.386420586592</v>
      </c>
      <c r="I99" s="122">
        <f>SUM(I92:I98)</f>
        <v>168627.23811569979</v>
      </c>
      <c r="J99" s="125">
        <f>+I99/H99</f>
        <v>12.652686190236377</v>
      </c>
      <c r="K99" s="124">
        <f>SUM(K97:K98)</f>
        <v>8920.6164296844054</v>
      </c>
      <c r="L99" s="122">
        <f>SUM(L97:L98)</f>
        <v>93377.964590068528</v>
      </c>
      <c r="M99" s="125">
        <f>+L99/K99</f>
        <v>10.467658297619693</v>
      </c>
      <c r="N99" s="124">
        <f>SUM(N96:N98)</f>
        <v>6839.2289801138932</v>
      </c>
      <c r="O99" s="122">
        <f>SUM(O96:O98)</f>
        <v>98380.837796442152</v>
      </c>
      <c r="P99" s="125">
        <f>+O99/N99</f>
        <v>14.38478490521366</v>
      </c>
      <c r="Q99" s="124"/>
      <c r="R99" s="122"/>
      <c r="S99" s="125"/>
      <c r="T99" s="122">
        <f>SUM(T92:T98)</f>
        <v>61204.980014977125</v>
      </c>
      <c r="U99" s="122">
        <f>SUM(U92:U98)</f>
        <v>700376.02349831699</v>
      </c>
    </row>
    <row r="100" spans="1:21" x14ac:dyDescent="0.25">
      <c r="A100" s="38">
        <v>41756</v>
      </c>
      <c r="B100" s="19">
        <v>41756</v>
      </c>
      <c r="C100" s="13">
        <v>-0.3</v>
      </c>
      <c r="D100" s="123">
        <v>0.24513888888888888</v>
      </c>
      <c r="E100" s="31">
        <f>Effort!F98</f>
        <v>915.467075461685</v>
      </c>
      <c r="F100" s="39">
        <f>Harvest!F98</f>
        <v>13754.055921571158</v>
      </c>
      <c r="G100" s="37">
        <f>CPUE!F98</f>
        <v>15.024085835784716</v>
      </c>
      <c r="H100" s="31">
        <f>Effort!H98</f>
        <v>710.07122470205718</v>
      </c>
      <c r="I100" s="39">
        <f>Harvest!H98</f>
        <v>10651.068370530857</v>
      </c>
      <c r="J100" s="37">
        <f>CPUE!H98</f>
        <v>14.999999999999998</v>
      </c>
      <c r="K100" s="31" t="str">
        <f>Effort!J98</f>
        <v>CLOSED</v>
      </c>
      <c r="L100" s="39" t="str">
        <f>Harvest!J98</f>
        <v>CLOSED</v>
      </c>
      <c r="M100" s="37" t="str">
        <f>CPUE!J98</f>
        <v>CLOSED</v>
      </c>
      <c r="N100" s="31" t="str">
        <f>Effort!L98</f>
        <v>CLOSED</v>
      </c>
      <c r="O100" s="39" t="str">
        <f>Harvest!L98</f>
        <v>CLOSED</v>
      </c>
      <c r="P100" s="37" t="str">
        <f>CPUE!L98</f>
        <v>CLOSED</v>
      </c>
      <c r="Q100" s="31" t="str">
        <f>Effort!N98</f>
        <v>CLOSED</v>
      </c>
      <c r="R100" s="39" t="str">
        <f>Harvest!N98</f>
        <v>CLOSED</v>
      </c>
      <c r="S100" s="37" t="str">
        <f>CPUE!N98</f>
        <v>CLOSED</v>
      </c>
      <c r="T100" s="31">
        <f>+E100+H100</f>
        <v>1625.5383001637422</v>
      </c>
      <c r="U100" s="39">
        <f>+F100+I100</f>
        <v>24405.124292102017</v>
      </c>
    </row>
    <row r="101" spans="1:21" x14ac:dyDescent="0.25">
      <c r="A101" s="38">
        <v>41757</v>
      </c>
      <c r="B101" s="19">
        <v>41757</v>
      </c>
      <c r="C101" s="13">
        <v>-0.8</v>
      </c>
      <c r="D101" s="123">
        <v>0.27708333333333335</v>
      </c>
      <c r="E101" s="120">
        <f>Effort!F99</f>
        <v>552.80182033778806</v>
      </c>
      <c r="F101" s="39">
        <f>Harvest!F99</f>
        <v>8255.9750124360962</v>
      </c>
      <c r="G101" s="121">
        <f>CPUE!F99</f>
        <v>14.934782608695654</v>
      </c>
      <c r="H101" s="120">
        <f>Effort!H99</f>
        <v>449.12348003411239</v>
      </c>
      <c r="I101" s="39">
        <f>Harvest!H99</f>
        <v>6672.6917033639565</v>
      </c>
      <c r="J101" s="121">
        <f>CPUE!H99</f>
        <v>14.857142857142859</v>
      </c>
      <c r="K101" s="120" t="str">
        <f>Effort!J99</f>
        <v>CLOSED</v>
      </c>
      <c r="L101" s="39" t="str">
        <f>Harvest!J99</f>
        <v>CLOSED</v>
      </c>
      <c r="M101" s="121" t="str">
        <f>CPUE!J99</f>
        <v>CLOSED</v>
      </c>
      <c r="N101" s="120" t="str">
        <f>Effort!L99</f>
        <v>CLOSED</v>
      </c>
      <c r="O101" s="39" t="str">
        <f>Harvest!L99</f>
        <v>CLOSED</v>
      </c>
      <c r="P101" s="121" t="str">
        <f>CPUE!L99</f>
        <v>CLOSED</v>
      </c>
      <c r="Q101" s="120" t="str">
        <f>Effort!N99</f>
        <v>CLOSED</v>
      </c>
      <c r="R101" s="39" t="str">
        <f>Harvest!N99</f>
        <v>CLOSED</v>
      </c>
      <c r="S101" s="121" t="str">
        <f>CPUE!N99</f>
        <v>CLOSED</v>
      </c>
      <c r="T101" s="39">
        <f t="shared" ref="T101:T104" si="17">+E101+H101</f>
        <v>1001.9253003719004</v>
      </c>
      <c r="U101" s="39">
        <f t="shared" ref="U101:U104" si="18">+F101+I101</f>
        <v>14928.666715800053</v>
      </c>
    </row>
    <row r="102" spans="1:21" x14ac:dyDescent="0.25">
      <c r="A102" s="38">
        <v>41758</v>
      </c>
      <c r="B102" s="19">
        <v>41758</v>
      </c>
      <c r="C102" s="13">
        <v>-1.1000000000000001</v>
      </c>
      <c r="D102" s="123">
        <v>0.30694444444444441</v>
      </c>
      <c r="E102" s="120">
        <f>Effort!F100</f>
        <v>1390.2552388749518</v>
      </c>
      <c r="F102" s="39">
        <f>Harvest!F100</f>
        <v>20853.828583124276</v>
      </c>
      <c r="G102" s="121">
        <f>CPUE!F100</f>
        <v>14.999999999999998</v>
      </c>
      <c r="H102" s="120">
        <f>Effort!H100</f>
        <v>1057.9857789257012</v>
      </c>
      <c r="I102" s="39">
        <f>Harvest!H100</f>
        <v>15869.786683885515</v>
      </c>
      <c r="J102" s="121">
        <f>CPUE!H100</f>
        <v>14.999999999999998</v>
      </c>
      <c r="K102" s="120" t="str">
        <f>Effort!J100</f>
        <v>CLOSED</v>
      </c>
      <c r="L102" s="39" t="str">
        <f>Harvest!J100</f>
        <v>CLOSED</v>
      </c>
      <c r="M102" s="121" t="str">
        <f>CPUE!J100</f>
        <v>CLOSED</v>
      </c>
      <c r="N102" s="120" t="str">
        <f>Effort!L100</f>
        <v>CLOSED</v>
      </c>
      <c r="O102" s="39" t="str">
        <f>Harvest!L100</f>
        <v>CLOSED</v>
      </c>
      <c r="P102" s="121" t="str">
        <f>CPUE!L100</f>
        <v>CLOSED</v>
      </c>
      <c r="Q102" s="120" t="str">
        <f>Effort!N100</f>
        <v>CLOSED</v>
      </c>
      <c r="R102" s="39" t="str">
        <f>Harvest!N100</f>
        <v>CLOSED</v>
      </c>
      <c r="S102" s="121" t="str">
        <f>CPUE!N100</f>
        <v>CLOSED</v>
      </c>
      <c r="T102" s="39">
        <f t="shared" si="17"/>
        <v>2448.241017800653</v>
      </c>
      <c r="U102" s="39">
        <f t="shared" si="18"/>
        <v>36723.615267009794</v>
      </c>
    </row>
    <row r="103" spans="1:21" x14ac:dyDescent="0.25">
      <c r="A103" s="38">
        <v>41759</v>
      </c>
      <c r="B103" s="19">
        <v>41759</v>
      </c>
      <c r="C103" s="13">
        <v>-1.2</v>
      </c>
      <c r="D103" s="123">
        <v>0.3354166666666667</v>
      </c>
      <c r="E103" s="120">
        <f>Effort!F101</f>
        <v>1900.5813084177576</v>
      </c>
      <c r="F103" s="39">
        <f>Harvest!F101</f>
        <v>28508.719626266364</v>
      </c>
      <c r="G103" s="121">
        <f>CPUE!F101</f>
        <v>15</v>
      </c>
      <c r="H103" s="120">
        <f>Effort!H101</f>
        <v>1193.2734336634703</v>
      </c>
      <c r="I103" s="39">
        <f>Harvest!H101</f>
        <v>17899.101504952054</v>
      </c>
      <c r="J103" s="121">
        <f>CPUE!H101</f>
        <v>15</v>
      </c>
      <c r="K103" s="120" t="str">
        <f>Effort!J101</f>
        <v>CLOSED</v>
      </c>
      <c r="L103" s="39" t="str">
        <f>Harvest!J101</f>
        <v>CLOSED</v>
      </c>
      <c r="M103" s="121" t="str">
        <f>CPUE!J101</f>
        <v>CLOSED</v>
      </c>
      <c r="N103" s="120" t="str">
        <f>Effort!L101</f>
        <v>CLOSED</v>
      </c>
      <c r="O103" s="39" t="str">
        <f>Harvest!L101</f>
        <v>CLOSED</v>
      </c>
      <c r="P103" s="121" t="str">
        <f>CPUE!L101</f>
        <v>CLOSED</v>
      </c>
      <c r="Q103" s="120" t="str">
        <f>Effort!N101</f>
        <v>CLOSED</v>
      </c>
      <c r="R103" s="39" t="str">
        <f>Harvest!N101</f>
        <v>CLOSED</v>
      </c>
      <c r="S103" s="121" t="str">
        <f>CPUE!N101</f>
        <v>CLOSED</v>
      </c>
      <c r="T103" s="39">
        <f t="shared" si="17"/>
        <v>3093.8547420812279</v>
      </c>
      <c r="U103" s="39">
        <f t="shared" si="18"/>
        <v>46407.821131218414</v>
      </c>
    </row>
    <row r="104" spans="1:21" x14ac:dyDescent="0.25">
      <c r="A104" s="38">
        <v>41760</v>
      </c>
      <c r="B104" s="19">
        <v>41760</v>
      </c>
      <c r="C104" s="13">
        <v>-1</v>
      </c>
      <c r="D104" s="123">
        <v>0.36319444444444443</v>
      </c>
      <c r="E104" s="120">
        <f>Effort!F102</f>
        <v>1975.9724641861358</v>
      </c>
      <c r="F104" s="39">
        <f>Harvest!F102</f>
        <v>29639.58696279204</v>
      </c>
      <c r="G104" s="121">
        <f>CPUE!F102</f>
        <v>15.000000000000002</v>
      </c>
      <c r="H104" s="120">
        <f>Effort!H102</f>
        <v>1921.9532332409826</v>
      </c>
      <c r="I104" s="39">
        <f>Harvest!H102</f>
        <v>28829.298498614735</v>
      </c>
      <c r="J104" s="121">
        <f>CPUE!H102</f>
        <v>14.999999999999998</v>
      </c>
      <c r="K104" s="120" t="str">
        <f>Effort!J102</f>
        <v>CLOSED</v>
      </c>
      <c r="L104" s="39" t="str">
        <f>Harvest!J102</f>
        <v>CLOSED</v>
      </c>
      <c r="M104" s="121" t="str">
        <f>CPUE!J102</f>
        <v>CLOSED</v>
      </c>
      <c r="N104" s="120" t="str">
        <f>Effort!L102</f>
        <v>CLOSED</v>
      </c>
      <c r="O104" s="39" t="str">
        <f>Harvest!L102</f>
        <v>CLOSED</v>
      </c>
      <c r="P104" s="121" t="str">
        <f>CPUE!L102</f>
        <v>CLOSED</v>
      </c>
      <c r="Q104" s="120" t="str">
        <f>Effort!N102</f>
        <v>CLOSED</v>
      </c>
      <c r="R104" s="39" t="str">
        <f>Harvest!N102</f>
        <v>CLOSED</v>
      </c>
      <c r="S104" s="121" t="str">
        <f>CPUE!N102</f>
        <v>CLOSED</v>
      </c>
      <c r="T104" s="39">
        <f t="shared" si="17"/>
        <v>3897.9256974271184</v>
      </c>
      <c r="U104" s="39">
        <f t="shared" si="18"/>
        <v>58468.885461406775</v>
      </c>
    </row>
    <row r="105" spans="1:21" x14ac:dyDescent="0.25">
      <c r="A105" s="128">
        <v>41761</v>
      </c>
      <c r="B105" s="19">
        <v>41761</v>
      </c>
      <c r="C105" s="63">
        <v>-0.7</v>
      </c>
      <c r="D105" s="129">
        <v>0.39097222222222222</v>
      </c>
      <c r="E105" s="120">
        <f>Effort!F103</f>
        <v>2180.860143569892</v>
      </c>
      <c r="F105" s="39">
        <f>Harvest!F103</f>
        <v>31847.48146165556</v>
      </c>
      <c r="G105" s="121">
        <f>CPUE!F103</f>
        <v>14.603174603174601</v>
      </c>
      <c r="H105" s="120">
        <f>Effort!H103</f>
        <v>1562.1948350248751</v>
      </c>
      <c r="I105" s="39">
        <f>Harvest!H103</f>
        <v>23432.922525373124</v>
      </c>
      <c r="J105" s="121">
        <f>CPUE!H103</f>
        <v>14.999999999999998</v>
      </c>
      <c r="K105" s="120" t="str">
        <f>Effort!J103</f>
        <v>CLOSED</v>
      </c>
      <c r="L105" s="39" t="str">
        <f>Harvest!J103</f>
        <v>CLOSED</v>
      </c>
      <c r="M105" s="121" t="str">
        <f>CPUE!J103</f>
        <v>CLOSED</v>
      </c>
      <c r="N105" s="120">
        <f>Effort!L103</f>
        <v>1003.4488247293588</v>
      </c>
      <c r="O105" s="39">
        <f>Harvest!L103</f>
        <v>14750.697723521576</v>
      </c>
      <c r="P105" s="121">
        <f>CPUE!L103</f>
        <v>14.700000000000003</v>
      </c>
      <c r="Q105" s="120" t="str">
        <f>Effort!N103</f>
        <v>CLOSED</v>
      </c>
      <c r="R105" s="39" t="str">
        <f>Harvest!N103</f>
        <v>CLOSED</v>
      </c>
      <c r="S105" s="121" t="str">
        <f>CPUE!N103</f>
        <v>CLOSED</v>
      </c>
      <c r="T105" s="39">
        <f>+E105+H105+N105</f>
        <v>4746.5038033241253</v>
      </c>
      <c r="U105" s="39">
        <f>+F105+I105+O105</f>
        <v>70031.101710550254</v>
      </c>
    </row>
    <row r="106" spans="1:21" x14ac:dyDescent="0.25">
      <c r="A106" s="128">
        <v>41762</v>
      </c>
      <c r="B106" s="19">
        <v>41762</v>
      </c>
      <c r="C106" s="63">
        <v>-0.3</v>
      </c>
      <c r="D106" s="129">
        <v>0.41944444444444445</v>
      </c>
      <c r="E106" s="120">
        <f>Effort!F104</f>
        <v>3096.0766732765715</v>
      </c>
      <c r="F106" s="39">
        <f>Harvest!F104</f>
        <v>39233.889646603115</v>
      </c>
      <c r="G106" s="121">
        <f>CPUE!F104</f>
        <v>12.672131147540984</v>
      </c>
      <c r="H106" s="120">
        <f>Effort!H104</f>
        <v>2123.7573659721843</v>
      </c>
      <c r="I106" s="39">
        <f>Harvest!H104</f>
        <v>31315.010572766325</v>
      </c>
      <c r="J106" s="121">
        <f>CPUE!H104</f>
        <v>14.745098039215685</v>
      </c>
      <c r="K106" s="120" t="str">
        <f>Effort!J104</f>
        <v>CLOSED</v>
      </c>
      <c r="L106" s="39" t="str">
        <f>Harvest!J104</f>
        <v>CLOSED</v>
      </c>
      <c r="M106" s="121" t="str">
        <f>CPUE!J104</f>
        <v>CLOSED</v>
      </c>
      <c r="N106" s="120">
        <f>Effort!L104</f>
        <v>2465.4833304174044</v>
      </c>
      <c r="O106" s="39">
        <f>Harvest!L104</f>
        <v>34057.100242206514</v>
      </c>
      <c r="P106" s="121">
        <f>CPUE!L104</f>
        <v>13.813559322033896</v>
      </c>
      <c r="Q106" s="120" t="str">
        <f>Effort!N104</f>
        <v>CLOSED</v>
      </c>
      <c r="R106" s="39" t="str">
        <f>Harvest!N104</f>
        <v>CLOSED</v>
      </c>
      <c r="S106" s="121" t="str">
        <f>CPUE!N104</f>
        <v>CLOSED</v>
      </c>
      <c r="T106" s="39">
        <f t="shared" ref="T106:T107" si="19">+E106+H106+N106</f>
        <v>7685.3173696661597</v>
      </c>
      <c r="U106" s="39">
        <f t="shared" ref="U106:U107" si="20">+F106+I106+O106</f>
        <v>104606.00046157595</v>
      </c>
    </row>
    <row r="107" spans="1:21" x14ac:dyDescent="0.25">
      <c r="A107" s="128">
        <v>41763</v>
      </c>
      <c r="B107" s="19">
        <v>41763</v>
      </c>
      <c r="C107" s="63">
        <v>0.1</v>
      </c>
      <c r="D107" s="129">
        <v>0.44930555555555557</v>
      </c>
      <c r="E107" s="120">
        <f>Effort!F105</f>
        <v>1282.2075181661849</v>
      </c>
      <c r="F107" s="39">
        <f>Harvest!F105</f>
        <v>9844.0448168887742</v>
      </c>
      <c r="G107" s="121">
        <f>CPUE!F105</f>
        <v>7.67741935483871</v>
      </c>
      <c r="H107" s="120">
        <f>Effort!H105</f>
        <v>1431.5430256523214</v>
      </c>
      <c r="I107" s="39">
        <f>Harvest!H105</f>
        <v>12797.994649331755</v>
      </c>
      <c r="J107" s="121">
        <f>CPUE!H105</f>
        <v>8.9400000000000013</v>
      </c>
      <c r="K107" s="120" t="str">
        <f>Effort!J105</f>
        <v>CLOSED</v>
      </c>
      <c r="L107" s="39" t="str">
        <f>Harvest!J105</f>
        <v>CLOSED</v>
      </c>
      <c r="M107" s="121" t="str">
        <f>CPUE!J105</f>
        <v>CLOSED</v>
      </c>
      <c r="N107" s="120">
        <f>Effort!L105</f>
        <v>1192.9298528032537</v>
      </c>
      <c r="O107" s="39">
        <f>Harvest!L105</f>
        <v>10552.841005567243</v>
      </c>
      <c r="P107" s="121">
        <f>CPUE!L105</f>
        <v>8.8461538461538449</v>
      </c>
      <c r="Q107" s="120" t="str">
        <f>Effort!N105</f>
        <v>CLOSED</v>
      </c>
      <c r="R107" s="39" t="str">
        <f>Harvest!N105</f>
        <v>CLOSED</v>
      </c>
      <c r="S107" s="121" t="str">
        <f>CPUE!N105</f>
        <v>CLOSED</v>
      </c>
      <c r="T107" s="39">
        <f t="shared" si="19"/>
        <v>3906.6803966217599</v>
      </c>
      <c r="U107" s="39">
        <f t="shared" si="20"/>
        <v>33194.880471787772</v>
      </c>
    </row>
    <row r="108" spans="1:21" x14ac:dyDescent="0.25">
      <c r="A108" s="126"/>
      <c r="B108" s="127"/>
      <c r="C108" s="127"/>
      <c r="D108" s="127"/>
      <c r="E108" s="124">
        <f>SUM(E100:E107)</f>
        <v>13294.222242290965</v>
      </c>
      <c r="F108" s="122">
        <f>SUM(F100:F107)</f>
        <v>181937.58203133737</v>
      </c>
      <c r="G108" s="125">
        <f>+F108/E108</f>
        <v>13.685462655541137</v>
      </c>
      <c r="H108" s="124">
        <f>SUM(H100:H107)</f>
        <v>10449.902377215703</v>
      </c>
      <c r="I108" s="122">
        <f>SUM(I100:I107)</f>
        <v>147467.87450881832</v>
      </c>
      <c r="J108" s="125">
        <f>+I108/H108</f>
        <v>14.111890157973898</v>
      </c>
      <c r="K108" s="124"/>
      <c r="L108" s="122"/>
      <c r="M108" s="125"/>
      <c r="N108" s="124">
        <f>SUM(N105:N107)</f>
        <v>4661.862007950017</v>
      </c>
      <c r="O108" s="122">
        <f>SUM(O105:O107)</f>
        <v>59360.638971295331</v>
      </c>
      <c r="P108" s="125">
        <f>+O108/N108</f>
        <v>12.733246687711006</v>
      </c>
      <c r="Q108" s="124"/>
      <c r="R108" s="122"/>
      <c r="S108" s="125"/>
      <c r="T108" s="122">
        <f>SUM(T100:T107)</f>
        <v>28405.986627456685</v>
      </c>
      <c r="U108" s="122">
        <f>SUM(U100:U107)</f>
        <v>388766.09551145101</v>
      </c>
    </row>
    <row r="109" spans="1:21" x14ac:dyDescent="0.25">
      <c r="A109" s="38">
        <v>41772</v>
      </c>
      <c r="B109" s="19">
        <v>41772</v>
      </c>
      <c r="C109" s="13">
        <v>-0.6</v>
      </c>
      <c r="D109" s="123">
        <v>0.26458333333333334</v>
      </c>
      <c r="E109" s="31" t="str">
        <f>Effort!F107</f>
        <v>CLOSED</v>
      </c>
      <c r="F109" s="39" t="str">
        <f>Harvest!F107</f>
        <v>CLOSED</v>
      </c>
      <c r="G109" s="37" t="str">
        <f>CPUE!F107</f>
        <v>CLOSED</v>
      </c>
      <c r="H109" s="31">
        <f>Effort!H107</f>
        <v>518.81994928087261</v>
      </c>
      <c r="I109" s="39">
        <f>Harvest!H107</f>
        <v>7782.29923921309</v>
      </c>
      <c r="J109" s="37">
        <f>CPUE!H107</f>
        <v>15.000000000000002</v>
      </c>
      <c r="K109" s="31" t="str">
        <f>Effort!J107</f>
        <v>CLOSED</v>
      </c>
      <c r="L109" s="39" t="str">
        <f>Harvest!J107</f>
        <v>CLOSED</v>
      </c>
      <c r="M109" s="37" t="str">
        <f>CPUE!J107</f>
        <v>CLOSED</v>
      </c>
      <c r="N109" s="31" t="str">
        <f>Effort!L107</f>
        <v>CLOSED</v>
      </c>
      <c r="O109" s="39" t="str">
        <f>Harvest!L107</f>
        <v>CLOSED</v>
      </c>
      <c r="P109" s="37" t="str">
        <f>CPUE!L107</f>
        <v>CLOSED</v>
      </c>
      <c r="Q109" s="31" t="str">
        <f>Effort!N107</f>
        <v>CLOSED</v>
      </c>
      <c r="R109" s="39" t="str">
        <f>Harvest!N107</f>
        <v>CLOSED</v>
      </c>
      <c r="S109" s="37" t="str">
        <f>CPUE!N107</f>
        <v>CLOSED</v>
      </c>
      <c r="T109" s="31">
        <f>+H109</f>
        <v>518.81994928087261</v>
      </c>
      <c r="U109" s="39">
        <f>+I109</f>
        <v>7782.29923921309</v>
      </c>
    </row>
    <row r="110" spans="1:21" x14ac:dyDescent="0.25">
      <c r="A110" s="38">
        <v>41773</v>
      </c>
      <c r="B110" s="19">
        <v>41773</v>
      </c>
      <c r="C110" s="13">
        <v>-1.2</v>
      </c>
      <c r="D110" s="123">
        <v>0.29305555555555557</v>
      </c>
      <c r="E110" s="120">
        <f>Effort!F108</f>
        <v>1226.5815466461559</v>
      </c>
      <c r="F110" s="39">
        <f>Harvest!F108</f>
        <v>18398.723199692336</v>
      </c>
      <c r="G110" s="121">
        <f>CPUE!F108</f>
        <v>14.999999999999998</v>
      </c>
      <c r="H110" s="120">
        <f>Effort!H108</f>
        <v>883.01120779568134</v>
      </c>
      <c r="I110" s="39">
        <f>Harvest!H108</f>
        <v>13245.16811693522</v>
      </c>
      <c r="J110" s="121">
        <f>CPUE!H108</f>
        <v>15</v>
      </c>
      <c r="K110" s="120" t="str">
        <f>Effort!J108</f>
        <v>CLOSED</v>
      </c>
      <c r="L110" s="39" t="str">
        <f>Harvest!J108</f>
        <v>CLOSED</v>
      </c>
      <c r="M110" s="121" t="str">
        <f>CPUE!J108</f>
        <v>CLOSED</v>
      </c>
      <c r="N110" s="120" t="str">
        <f>Effort!L108</f>
        <v>CLOSED</v>
      </c>
      <c r="O110" s="39" t="str">
        <f>Harvest!L108</f>
        <v>CLOSED</v>
      </c>
      <c r="P110" s="121" t="str">
        <f>CPUE!L108</f>
        <v>CLOSED</v>
      </c>
      <c r="Q110" s="120" t="str">
        <f>Effort!N108</f>
        <v>CLOSED</v>
      </c>
      <c r="R110" s="39" t="str">
        <f>Harvest!N108</f>
        <v>CLOSED</v>
      </c>
      <c r="S110" s="121" t="str">
        <f>CPUE!N108</f>
        <v>CLOSED</v>
      </c>
      <c r="T110" s="39">
        <f>+E110+H110</f>
        <v>2109.5927544418373</v>
      </c>
      <c r="U110" s="39">
        <f>+F110+I110</f>
        <v>31643.891316627556</v>
      </c>
    </row>
    <row r="111" spans="1:21" x14ac:dyDescent="0.25">
      <c r="A111" s="38">
        <v>41774</v>
      </c>
      <c r="B111" s="19">
        <v>41774</v>
      </c>
      <c r="C111" s="13">
        <v>-1.5</v>
      </c>
      <c r="D111" s="123">
        <v>0.32222222222222224</v>
      </c>
      <c r="E111" s="120">
        <f>Effort!F109</f>
        <v>1580.6079220834883</v>
      </c>
      <c r="F111" s="39">
        <f>Harvest!F109</f>
        <v>23709.118831252326</v>
      </c>
      <c r="G111" s="121">
        <f>CPUE!F109</f>
        <v>15</v>
      </c>
      <c r="H111" s="120">
        <f>Effort!H109</f>
        <v>741.76456687188693</v>
      </c>
      <c r="I111" s="39">
        <f>Harvest!H109</f>
        <v>11126.468503078304</v>
      </c>
      <c r="J111" s="121">
        <f>CPUE!H109</f>
        <v>15</v>
      </c>
      <c r="K111" s="120" t="str">
        <f>Effort!J109</f>
        <v>CLOSED</v>
      </c>
      <c r="L111" s="39" t="str">
        <f>Harvest!J109</f>
        <v>CLOSED</v>
      </c>
      <c r="M111" s="121" t="str">
        <f>CPUE!J109</f>
        <v>CLOSED</v>
      </c>
      <c r="N111" s="120" t="str">
        <f>Effort!L109</f>
        <v>CLOSED</v>
      </c>
      <c r="O111" s="39" t="str">
        <f>Harvest!L109</f>
        <v>CLOSED</v>
      </c>
      <c r="P111" s="121" t="str">
        <f>CPUE!L109</f>
        <v>CLOSED</v>
      </c>
      <c r="Q111" s="120" t="str">
        <f>Effort!N109</f>
        <v>CLOSED</v>
      </c>
      <c r="R111" s="39" t="str">
        <f>Harvest!N109</f>
        <v>CLOSED</v>
      </c>
      <c r="S111" s="121" t="str">
        <f>CPUE!N109</f>
        <v>CLOSED</v>
      </c>
      <c r="T111" s="39">
        <f>+E111+H111</f>
        <v>2322.372488955375</v>
      </c>
      <c r="U111" s="39">
        <f>+F111+I111</f>
        <v>34835.58733433063</v>
      </c>
    </row>
    <row r="112" spans="1:21" x14ac:dyDescent="0.25">
      <c r="A112" s="38">
        <v>41775</v>
      </c>
      <c r="B112" s="19">
        <v>41775</v>
      </c>
      <c r="C112" s="13">
        <v>-1.7</v>
      </c>
      <c r="D112" s="123">
        <v>0.3520833333333333</v>
      </c>
      <c r="E112" s="120">
        <f>Effort!F110</f>
        <v>2244.8122552318687</v>
      </c>
      <c r="F112" s="39">
        <f>Harvest!F110</f>
        <v>33672.183828478024</v>
      </c>
      <c r="G112" s="121">
        <f>CPUE!F110</f>
        <v>14.999999999999998</v>
      </c>
      <c r="H112" s="120">
        <f>Effort!H110</f>
        <v>1220.8457281519577</v>
      </c>
      <c r="I112" s="39">
        <f>Harvest!H110</f>
        <v>18312.685922279365</v>
      </c>
      <c r="J112" s="121">
        <f>CPUE!H110</f>
        <v>15</v>
      </c>
      <c r="K112" s="120">
        <f>Effort!J110</f>
        <v>1602.3792133976617</v>
      </c>
      <c r="L112" s="39">
        <f>Harvest!J110</f>
        <v>24085.762551383606</v>
      </c>
      <c r="M112" s="121">
        <f>CPUE!J110</f>
        <v>15.031250000000002</v>
      </c>
      <c r="N112" s="120" t="str">
        <f>Effort!L110</f>
        <v>CLOSED</v>
      </c>
      <c r="O112" s="39" t="str">
        <f>Harvest!L110</f>
        <v>CLOSED</v>
      </c>
      <c r="P112" s="121" t="str">
        <f>CPUE!L110</f>
        <v>CLOSED</v>
      </c>
      <c r="Q112" s="120" t="str">
        <f>Effort!N110</f>
        <v>CLOSED</v>
      </c>
      <c r="R112" s="39" t="str">
        <f>Harvest!N110</f>
        <v>CLOSED</v>
      </c>
      <c r="S112" s="121" t="str">
        <f>CPUE!N110</f>
        <v>CLOSED</v>
      </c>
      <c r="T112" s="39">
        <f>+E112+H112+K112</f>
        <v>5068.0371967814881</v>
      </c>
      <c r="U112" s="39">
        <f>+F112+I112+L112</f>
        <v>76070.632302140992</v>
      </c>
    </row>
    <row r="113" spans="1:21" x14ac:dyDescent="0.25">
      <c r="A113" s="38">
        <v>41776</v>
      </c>
      <c r="B113" s="19">
        <v>41776</v>
      </c>
      <c r="C113" s="13">
        <v>-1.7</v>
      </c>
      <c r="D113" s="123">
        <v>0.3833333333333333</v>
      </c>
      <c r="E113" s="120">
        <f>Effort!F111</f>
        <v>4821.9096643339681</v>
      </c>
      <c r="F113" s="39">
        <f>Harvest!F111</f>
        <v>72328.644965009531</v>
      </c>
      <c r="G113" s="121">
        <f>CPUE!F111</f>
        <v>15.000000000000002</v>
      </c>
      <c r="H113" s="120">
        <f>Effort!H111</f>
        <v>2585.6170413253353</v>
      </c>
      <c r="I113" s="39">
        <f>Harvest!H111</f>
        <v>38784.25561988003</v>
      </c>
      <c r="J113" s="121">
        <f>CPUE!H111</f>
        <v>15</v>
      </c>
      <c r="K113" s="120">
        <f>Effort!J111</f>
        <v>3576.1977735191713</v>
      </c>
      <c r="L113" s="39">
        <f>Harvest!J111</f>
        <v>54313.503685322423</v>
      </c>
      <c r="M113" s="121">
        <f>CPUE!J111</f>
        <v>15.187500000000002</v>
      </c>
      <c r="N113" s="120">
        <f>Effort!L111</f>
        <v>1126.418181948158</v>
      </c>
      <c r="O113" s="39">
        <f>Harvest!L111</f>
        <v>16896.272729222372</v>
      </c>
      <c r="P113" s="121">
        <f>CPUE!L111</f>
        <v>15.000000000000002</v>
      </c>
      <c r="Q113" s="120" t="str">
        <f>Effort!N111</f>
        <v>CLOSED</v>
      </c>
      <c r="R113" s="39" t="str">
        <f>Harvest!N111</f>
        <v>CLOSED</v>
      </c>
      <c r="S113" s="121" t="str">
        <f>CPUE!N111</f>
        <v>CLOSED</v>
      </c>
      <c r="T113" s="39">
        <f>+E113+H113+K113+N113</f>
        <v>12110.142661126634</v>
      </c>
      <c r="U113" s="39">
        <f>+F113+I113+L113+O113</f>
        <v>182322.67699943436</v>
      </c>
    </row>
    <row r="114" spans="1:21" x14ac:dyDescent="0.25">
      <c r="A114" s="128">
        <v>41777</v>
      </c>
      <c r="B114" s="19">
        <v>41777</v>
      </c>
      <c r="C114" s="63">
        <v>-1.5</v>
      </c>
      <c r="D114" s="129">
        <v>0.41597222222222219</v>
      </c>
      <c r="E114" s="120">
        <f>Effort!F112</f>
        <v>3127.6117245262767</v>
      </c>
      <c r="F114" s="39">
        <f>Harvest!F112</f>
        <v>46914.175867894148</v>
      </c>
      <c r="G114" s="121">
        <f>CPUE!F112</f>
        <v>15</v>
      </c>
      <c r="H114" s="120">
        <f>Effort!H112</f>
        <v>2454.0901219233392</v>
      </c>
      <c r="I114" s="39">
        <f>Harvest!H112</f>
        <v>36593.210484679126</v>
      </c>
      <c r="J114" s="121">
        <f>CPUE!H112</f>
        <v>14.911111111111111</v>
      </c>
      <c r="K114" s="120">
        <f>Effort!J112</f>
        <v>2232.0499974184227</v>
      </c>
      <c r="L114" s="39">
        <f>Harvest!J112</f>
        <v>33480.749961276335</v>
      </c>
      <c r="M114" s="121">
        <f>CPUE!J112</f>
        <v>14.999999999999998</v>
      </c>
      <c r="N114" s="120">
        <f>Effort!L112</f>
        <v>1400.9596058563534</v>
      </c>
      <c r="O114" s="39">
        <f>Harvest!L112</f>
        <v>21014.394087845296</v>
      </c>
      <c r="P114" s="121">
        <f>CPUE!L112</f>
        <v>14.999999999999996</v>
      </c>
      <c r="Q114" s="120" t="str">
        <f>Effort!N112</f>
        <v>CLOSED</v>
      </c>
      <c r="R114" s="39" t="str">
        <f>Harvest!N112</f>
        <v>CLOSED</v>
      </c>
      <c r="S114" s="121" t="str">
        <f>CPUE!N112</f>
        <v>CLOSED</v>
      </c>
      <c r="T114" s="39">
        <f>+E114+H114+K114+N114</f>
        <v>9214.7114497243911</v>
      </c>
      <c r="U114" s="39">
        <f>+F114+I114+L114+O114</f>
        <v>138002.53040169491</v>
      </c>
    </row>
    <row r="115" spans="1:21" x14ac:dyDescent="0.25">
      <c r="A115" s="128">
        <v>41778</v>
      </c>
      <c r="B115" s="19">
        <v>41778</v>
      </c>
      <c r="C115" s="63">
        <v>-1.1000000000000001</v>
      </c>
      <c r="D115" s="129">
        <v>0.4513888888888889</v>
      </c>
      <c r="E115" s="120" t="str">
        <f>Effort!F113</f>
        <v>CLOSED</v>
      </c>
      <c r="F115" s="39" t="str">
        <f>Harvest!F113</f>
        <v>CLOSED</v>
      </c>
      <c r="G115" s="121" t="str">
        <f>CPUE!F113</f>
        <v>CLOSED</v>
      </c>
      <c r="H115" s="120">
        <f>Effort!H113</f>
        <v>1353.7268958419666</v>
      </c>
      <c r="I115" s="39">
        <f>Harvest!H113</f>
        <v>20305.903437629499</v>
      </c>
      <c r="J115" s="121">
        <f>CPUE!H113</f>
        <v>15</v>
      </c>
      <c r="K115" s="120" t="str">
        <f>Effort!J113</f>
        <v>CLOSED</v>
      </c>
      <c r="L115" s="39" t="str">
        <f>Harvest!J113</f>
        <v>CLOSED</v>
      </c>
      <c r="M115" s="121" t="str">
        <f>CPUE!J113</f>
        <v>CLOSED</v>
      </c>
      <c r="N115" s="120" t="str">
        <f>Effort!L113</f>
        <v>CLOSED</v>
      </c>
      <c r="O115" s="39" t="str">
        <f>Harvest!L113</f>
        <v>CLOSED</v>
      </c>
      <c r="P115" s="121" t="str">
        <f>CPUE!L113</f>
        <v>CLOSED</v>
      </c>
      <c r="Q115" s="120" t="str">
        <f>Effort!N113</f>
        <v>CLOSED</v>
      </c>
      <c r="R115" s="39" t="str">
        <f>Harvest!N113</f>
        <v>CLOSED</v>
      </c>
      <c r="S115" s="121" t="str">
        <f>CPUE!N113</f>
        <v>CLOSED</v>
      </c>
      <c r="T115" s="39">
        <f>+H115</f>
        <v>1353.7268958419666</v>
      </c>
      <c r="U115" s="39">
        <f>+I115</f>
        <v>20305.903437629499</v>
      </c>
    </row>
    <row r="116" spans="1:21" x14ac:dyDescent="0.25">
      <c r="A116" s="128">
        <v>41779</v>
      </c>
      <c r="B116" s="19">
        <v>41779</v>
      </c>
      <c r="C116" s="63">
        <v>-0.6</v>
      </c>
      <c r="D116" s="129">
        <v>0.48888888888888887</v>
      </c>
      <c r="E116" s="120" t="str">
        <f>Effort!F114</f>
        <v>CLOSED</v>
      </c>
      <c r="F116" s="39" t="str">
        <f>Harvest!F114</f>
        <v>CLOSED</v>
      </c>
      <c r="G116" s="121" t="str">
        <f>CPUE!F114</f>
        <v>CLOSED</v>
      </c>
      <c r="H116" s="120">
        <f>Effort!H114</f>
        <v>1097.6627586153711</v>
      </c>
      <c r="I116" s="39">
        <f>Harvest!H114</f>
        <v>16401.614681618143</v>
      </c>
      <c r="J116" s="121">
        <f>CPUE!H114</f>
        <v>14.942307692307693</v>
      </c>
      <c r="K116" s="120" t="str">
        <f>Effort!J114</f>
        <v>CLOSED</v>
      </c>
      <c r="L116" s="39" t="str">
        <f>Harvest!J114</f>
        <v>CLOSED</v>
      </c>
      <c r="M116" s="121" t="str">
        <f>CPUE!J114</f>
        <v>CLOSED</v>
      </c>
      <c r="N116" s="120" t="str">
        <f>Effort!L114</f>
        <v>CLOSED</v>
      </c>
      <c r="O116" s="39" t="str">
        <f>Harvest!L114</f>
        <v>CLOSED</v>
      </c>
      <c r="P116" s="121" t="str">
        <f>CPUE!L114</f>
        <v>CLOSED</v>
      </c>
      <c r="Q116" s="120" t="str">
        <f>Effort!N114</f>
        <v>CLOSED</v>
      </c>
      <c r="R116" s="39" t="str">
        <f>Harvest!N114</f>
        <v>CLOSED</v>
      </c>
      <c r="S116" s="121" t="str">
        <f>CPUE!N114</f>
        <v>CLOSED</v>
      </c>
      <c r="T116" s="39">
        <f>+H116</f>
        <v>1097.6627586153711</v>
      </c>
      <c r="U116" s="39">
        <f>+I116</f>
        <v>16401.614681618143</v>
      </c>
    </row>
    <row r="117" spans="1:21" x14ac:dyDescent="0.25">
      <c r="A117" s="126"/>
      <c r="B117" s="127"/>
      <c r="C117" s="127"/>
      <c r="D117" s="127"/>
      <c r="E117" s="124">
        <f>SUM(E109:E116)</f>
        <v>13001.523112821757</v>
      </c>
      <c r="F117" s="122">
        <f>SUM(F109:F116)</f>
        <v>195022.84669232636</v>
      </c>
      <c r="G117" s="125">
        <f>+F117/E117</f>
        <v>15.000000000000002</v>
      </c>
      <c r="H117" s="124">
        <f>SUM(H109:H116)</f>
        <v>10855.538269806411</v>
      </c>
      <c r="I117" s="122">
        <f>SUM(I109:I116)</f>
        <v>162551.60600531276</v>
      </c>
      <c r="J117" s="125">
        <f>+I117/H117</f>
        <v>14.974071479940678</v>
      </c>
      <c r="K117" s="124">
        <f>SUM(K109:K116)</f>
        <v>7410.6269843352547</v>
      </c>
      <c r="L117" s="122">
        <f>SUM(L109:L116)</f>
        <v>111880.01619798236</v>
      </c>
      <c r="M117" s="125">
        <f>+L117/K117</f>
        <v>15.09724027865345</v>
      </c>
      <c r="N117" s="124">
        <f>SUM(N109:N116)</f>
        <v>2527.3777878045112</v>
      </c>
      <c r="O117" s="122">
        <f>SUM(O109:O116)</f>
        <v>37910.666817067671</v>
      </c>
      <c r="P117" s="125">
        <f>+O117/N117</f>
        <v>15.000000000000002</v>
      </c>
      <c r="Q117" s="124"/>
      <c r="R117" s="122"/>
      <c r="S117" s="125"/>
      <c r="T117" s="122">
        <f>SUM(T109:T116)</f>
        <v>33795.066154767934</v>
      </c>
      <c r="U117" s="122">
        <f>SUM(U109:U116)</f>
        <v>507365.13571268914</v>
      </c>
    </row>
    <row r="118" spans="1:21" x14ac:dyDescent="0.25">
      <c r="A118" s="38">
        <v>41786</v>
      </c>
      <c r="B118" s="19">
        <v>41786</v>
      </c>
      <c r="C118" s="13">
        <v>-1.1000000000000001</v>
      </c>
      <c r="D118" s="123">
        <v>0.26666666666666666</v>
      </c>
      <c r="E118" s="31">
        <f>Effort!F116</f>
        <v>770.01221023341054</v>
      </c>
      <c r="F118" s="39">
        <f>Harvest!F116</f>
        <v>11550.183153501159</v>
      </c>
      <c r="G118" s="37">
        <f>CPUE!F116</f>
        <v>15</v>
      </c>
      <c r="H118" s="31">
        <f>Effort!H116</f>
        <v>445.67607542060324</v>
      </c>
      <c r="I118" s="39">
        <f>Harvest!H116</f>
        <v>6685.1411313090493</v>
      </c>
      <c r="J118" s="37">
        <f>CPUE!H116</f>
        <v>15.000000000000002</v>
      </c>
      <c r="K118" s="31" t="str">
        <f>Effort!J116</f>
        <v>CLOSED</v>
      </c>
      <c r="L118" s="39" t="str">
        <f>Harvest!J116</f>
        <v>CLOSED</v>
      </c>
      <c r="M118" s="37" t="str">
        <f>CPUE!J116</f>
        <v>CLOSED</v>
      </c>
      <c r="N118" s="31" t="str">
        <f>Effort!L116</f>
        <v>CLOSED</v>
      </c>
      <c r="O118" s="39" t="str">
        <f>Harvest!L116</f>
        <v>CLOSED</v>
      </c>
      <c r="P118" s="37" t="str">
        <f>CPUE!L116</f>
        <v>CLOSED</v>
      </c>
      <c r="Q118" s="31" t="str">
        <f>Effort!N116</f>
        <v>CLOSED</v>
      </c>
      <c r="R118" s="39" t="str">
        <f>Harvest!N116</f>
        <v>CLOSED</v>
      </c>
      <c r="S118" s="37" t="str">
        <f>CPUE!N116</f>
        <v>CLOSED</v>
      </c>
      <c r="T118" s="31">
        <f>+E118+H118</f>
        <v>1215.6882856540137</v>
      </c>
      <c r="U118" s="39">
        <f>+F118+I118</f>
        <v>18235.324284810209</v>
      </c>
    </row>
    <row r="119" spans="1:21" x14ac:dyDescent="0.25">
      <c r="A119" s="38">
        <v>41787</v>
      </c>
      <c r="B119" s="19">
        <v>41787</v>
      </c>
      <c r="C119" s="13">
        <v>-1.3</v>
      </c>
      <c r="D119" s="123">
        <v>0.29722222222222222</v>
      </c>
      <c r="E119" s="120">
        <f>Effort!F117</f>
        <v>1379.3874755753204</v>
      </c>
      <c r="F119" s="39">
        <f>Harvest!F117</f>
        <v>20690.812133629806</v>
      </c>
      <c r="G119" s="121">
        <f>CPUE!F117</f>
        <v>15</v>
      </c>
      <c r="H119" s="120">
        <f>Effort!H117</f>
        <v>767.0396897211333</v>
      </c>
      <c r="I119" s="39">
        <f>Harvest!H117</f>
        <v>11505.595345817001</v>
      </c>
      <c r="J119" s="121">
        <f>CPUE!H117</f>
        <v>15.000000000000002</v>
      </c>
      <c r="K119" s="120" t="str">
        <f>Effort!J117</f>
        <v>CLOSED</v>
      </c>
      <c r="L119" s="39" t="str">
        <f>Harvest!J117</f>
        <v>CLOSED</v>
      </c>
      <c r="M119" s="121" t="str">
        <f>CPUE!J117</f>
        <v>CLOSED</v>
      </c>
      <c r="N119" s="120" t="str">
        <f>Effort!L117</f>
        <v>CLOSED</v>
      </c>
      <c r="O119" s="39" t="str">
        <f>Harvest!L117</f>
        <v>CLOSED</v>
      </c>
      <c r="P119" s="121" t="str">
        <f>CPUE!L117</f>
        <v>CLOSED</v>
      </c>
      <c r="Q119" s="120" t="str">
        <f>Effort!N117</f>
        <v>CLOSED</v>
      </c>
      <c r="R119" s="39" t="str">
        <f>Harvest!N117</f>
        <v>CLOSED</v>
      </c>
      <c r="S119" s="121" t="str">
        <f>CPUE!N117</f>
        <v>CLOSED</v>
      </c>
      <c r="T119" s="39">
        <f>+E119+H119</f>
        <v>2146.4271652964535</v>
      </c>
      <c r="U119" s="39">
        <f>+F119+I119</f>
        <v>32196.407479446807</v>
      </c>
    </row>
    <row r="120" spans="1:21" x14ac:dyDescent="0.25">
      <c r="A120" s="38">
        <v>41788</v>
      </c>
      <c r="B120" s="19">
        <v>41788</v>
      </c>
      <c r="C120" s="13">
        <v>-1.4</v>
      </c>
      <c r="D120" s="123">
        <v>0.30902777777777779</v>
      </c>
      <c r="E120" s="120">
        <f>Effort!F118</f>
        <v>1633.6457313927917</v>
      </c>
      <c r="F120" s="39">
        <f>Harvest!F118</f>
        <v>24504.685970891875</v>
      </c>
      <c r="G120" s="121">
        <f>CPUE!F118</f>
        <v>15</v>
      </c>
      <c r="H120" s="120">
        <f>Effort!H118</f>
        <v>1426.390458889116</v>
      </c>
      <c r="I120" s="39">
        <f>Harvest!H118</f>
        <v>21395.856883336739</v>
      </c>
      <c r="J120" s="121">
        <f>CPUE!H118</f>
        <v>15</v>
      </c>
      <c r="K120" s="120">
        <f>Effort!J118</f>
        <v>1020.7227705064894</v>
      </c>
      <c r="L120" s="39">
        <f>Harvest!J118</f>
        <v>15310.841557597343</v>
      </c>
      <c r="M120" s="121">
        <f>CPUE!J118</f>
        <v>15.000000000000002</v>
      </c>
      <c r="N120" s="120">
        <f>Effort!L118</f>
        <v>376.28008440135443</v>
      </c>
      <c r="O120" s="39">
        <f>Harvest!L118</f>
        <v>5644.2012660203163</v>
      </c>
      <c r="P120" s="121">
        <f>CPUE!L118</f>
        <v>15</v>
      </c>
      <c r="Q120" s="120" t="str">
        <f>Effort!N118</f>
        <v>CLOSED</v>
      </c>
      <c r="R120" s="39" t="str">
        <f>Harvest!N118</f>
        <v>CLOSED</v>
      </c>
      <c r="S120" s="121" t="str">
        <f>CPUE!N118</f>
        <v>CLOSED</v>
      </c>
      <c r="T120" s="39">
        <f t="shared" ref="T120:U123" si="21">+E120+H120+K120+N120</f>
        <v>4457.0390451897511</v>
      </c>
      <c r="U120" s="39">
        <f t="shared" si="21"/>
        <v>66855.585677846262</v>
      </c>
    </row>
    <row r="121" spans="1:21" x14ac:dyDescent="0.25">
      <c r="A121" s="38">
        <v>41789</v>
      </c>
      <c r="B121" s="19">
        <v>41789</v>
      </c>
      <c r="C121" s="13">
        <v>-1.3</v>
      </c>
      <c r="D121" s="123">
        <v>0.34930555555555554</v>
      </c>
      <c r="E121" s="120">
        <f>Effort!F119</f>
        <v>1042.7820020033535</v>
      </c>
      <c r="F121" s="39">
        <f>Harvest!F119</f>
        <v>15417.130829618811</v>
      </c>
      <c r="G121" s="121">
        <f>CPUE!F119</f>
        <v>14.784615384615385</v>
      </c>
      <c r="H121" s="120">
        <f>Effort!H119</f>
        <v>1424.2487314733667</v>
      </c>
      <c r="I121" s="39">
        <f>Harvest!H119</f>
        <v>21363.7309721005</v>
      </c>
      <c r="J121" s="121">
        <f>CPUE!H119</f>
        <v>15</v>
      </c>
      <c r="K121" s="120">
        <f>Effort!J119</f>
        <v>1285.9441873842491</v>
      </c>
      <c r="L121" s="39">
        <f>Harvest!J119</f>
        <v>19289.162810763737</v>
      </c>
      <c r="M121" s="121">
        <f>CPUE!J119</f>
        <v>15</v>
      </c>
      <c r="N121" s="120">
        <f>Effort!L119</f>
        <v>1129.4914329403537</v>
      </c>
      <c r="O121" s="39">
        <f>Harvest!L119</f>
        <v>16942.371494105304</v>
      </c>
      <c r="P121" s="121">
        <f>CPUE!L119</f>
        <v>15</v>
      </c>
      <c r="Q121" s="120" t="str">
        <f>Effort!N119</f>
        <v>CLOSED</v>
      </c>
      <c r="R121" s="39" t="str">
        <f>Harvest!N119</f>
        <v>CLOSED</v>
      </c>
      <c r="S121" s="121" t="str">
        <f>CPUE!N119</f>
        <v>CLOSED</v>
      </c>
      <c r="T121" s="39">
        <f t="shared" si="21"/>
        <v>4882.4663538013228</v>
      </c>
      <c r="U121" s="39">
        <f t="shared" si="21"/>
        <v>73012.396106588349</v>
      </c>
    </row>
    <row r="122" spans="1:21" x14ac:dyDescent="0.25">
      <c r="A122" s="38">
        <v>41790</v>
      </c>
      <c r="B122" s="19">
        <v>41790</v>
      </c>
      <c r="C122" s="13">
        <v>-1</v>
      </c>
      <c r="D122" s="123">
        <v>0.375</v>
      </c>
      <c r="E122" s="120">
        <f>Effort!F120</f>
        <v>5068.8425160759289</v>
      </c>
      <c r="F122" s="39">
        <f>Harvest!F120</f>
        <v>76032.63774113894</v>
      </c>
      <c r="G122" s="121">
        <f>CPUE!F120</f>
        <v>15.000000000000002</v>
      </c>
      <c r="H122" s="120">
        <f>Effort!H120</f>
        <v>3259.6175842351549</v>
      </c>
      <c r="I122" s="39">
        <f>Harvest!H120</f>
        <v>48894.263763527328</v>
      </c>
      <c r="J122" s="121">
        <f>CPUE!H120</f>
        <v>15.000000000000002</v>
      </c>
      <c r="K122" s="120">
        <f>Effort!J120</f>
        <v>5325.2419124185853</v>
      </c>
      <c r="L122" s="39">
        <f>Harvest!J120</f>
        <v>80273.09105016166</v>
      </c>
      <c r="M122" s="121">
        <f>CPUE!J120</f>
        <v>15.074074074074078</v>
      </c>
      <c r="N122" s="120">
        <f>Effort!L120</f>
        <v>815.85084751994111</v>
      </c>
      <c r="O122" s="39">
        <f>Harvest!L120</f>
        <v>12225.015043306619</v>
      </c>
      <c r="P122" s="121">
        <f>CPUE!L120</f>
        <v>14.984375000000002</v>
      </c>
      <c r="Q122" s="120" t="str">
        <f>Effort!N120</f>
        <v>CLOSED</v>
      </c>
      <c r="R122" s="39" t="str">
        <f>Harvest!N120</f>
        <v>CLOSED</v>
      </c>
      <c r="S122" s="121" t="str">
        <f>CPUE!N120</f>
        <v>CLOSED</v>
      </c>
      <c r="T122" s="39">
        <f t="shared" si="21"/>
        <v>14469.552860249611</v>
      </c>
      <c r="U122" s="39">
        <f t="shared" si="21"/>
        <v>217425.00759813457</v>
      </c>
    </row>
    <row r="123" spans="1:21" x14ac:dyDescent="0.25">
      <c r="A123" s="128">
        <v>41791</v>
      </c>
      <c r="B123" s="19">
        <v>41791</v>
      </c>
      <c r="C123" s="63">
        <v>-0.7</v>
      </c>
      <c r="D123" s="129">
        <v>0.40069444444444446</v>
      </c>
      <c r="E123" s="120">
        <f>Effort!F121</f>
        <v>6557.717342246664</v>
      </c>
      <c r="F123" s="39">
        <f>Harvest!F121</f>
        <v>98365.760133699965</v>
      </c>
      <c r="G123" s="121">
        <f>CPUE!F121</f>
        <v>15</v>
      </c>
      <c r="H123" s="120">
        <f>Effort!H121</f>
        <v>2545.6144402309474</v>
      </c>
      <c r="I123" s="39">
        <f>Harvest!H121</f>
        <v>38184.216603464207</v>
      </c>
      <c r="J123" s="121">
        <f>CPUE!H121</f>
        <v>14.999999999999998</v>
      </c>
      <c r="K123" s="120">
        <f>Effort!J121</f>
        <v>4719.3756011216483</v>
      </c>
      <c r="L123" s="39">
        <f>Harvest!J121</f>
        <v>70790.634016824712</v>
      </c>
      <c r="M123" s="121">
        <f>CPUE!J121</f>
        <v>14.999999999999996</v>
      </c>
      <c r="N123" s="120">
        <f>Effort!L121</f>
        <v>1277.6373973468098</v>
      </c>
      <c r="O123" s="39">
        <f>Harvest!L121</f>
        <v>19164.560960202147</v>
      </c>
      <c r="P123" s="121">
        <f>CPUE!L121</f>
        <v>15</v>
      </c>
      <c r="Q123" s="120" t="str">
        <f>Effort!N121</f>
        <v>CLOSED</v>
      </c>
      <c r="R123" s="39" t="str">
        <f>Harvest!N121</f>
        <v>CLOSED</v>
      </c>
      <c r="S123" s="121" t="str">
        <f>CPUE!N121</f>
        <v>CLOSED</v>
      </c>
      <c r="T123" s="39">
        <f t="shared" si="21"/>
        <v>15100.34478094607</v>
      </c>
      <c r="U123" s="39">
        <f t="shared" si="21"/>
        <v>226505.17171419103</v>
      </c>
    </row>
    <row r="124" spans="1:21" ht="15.75" thickBot="1" x14ac:dyDescent="0.3">
      <c r="A124" s="126"/>
      <c r="B124" s="127"/>
      <c r="C124" s="127"/>
      <c r="D124" s="127"/>
      <c r="E124" s="124">
        <f>SUM(E118:E123)</f>
        <v>16452.387277527472</v>
      </c>
      <c r="F124" s="122">
        <f>SUM(F118:F123)</f>
        <v>246561.20996248059</v>
      </c>
      <c r="G124" s="125"/>
      <c r="H124" s="124">
        <f>SUM(H118:H123)</f>
        <v>9868.5869799703214</v>
      </c>
      <c r="I124" s="122">
        <f>SUM(I118:I123)</f>
        <v>148028.80469955484</v>
      </c>
      <c r="J124" s="125">
        <f>+I124/H124</f>
        <v>15.000000000000002</v>
      </c>
      <c r="K124" s="124">
        <f>SUM(K120:K123)</f>
        <v>12351.284471430972</v>
      </c>
      <c r="L124" s="122">
        <f>SUM(L120:L123)</f>
        <v>185663.72943534746</v>
      </c>
      <c r="M124" s="125"/>
      <c r="N124" s="124">
        <f>SUM(N120:N123)</f>
        <v>3599.2597622084591</v>
      </c>
      <c r="O124" s="122">
        <f>SUM(O120:O123)</f>
        <v>53976.148763634381</v>
      </c>
      <c r="P124" s="125"/>
      <c r="Q124" s="124"/>
      <c r="R124" s="122"/>
      <c r="S124" s="125"/>
      <c r="T124" s="122">
        <f>SUM(T118:T123)</f>
        <v>42271.51849113722</v>
      </c>
      <c r="U124" s="122">
        <f>SUM(U118:U123)</f>
        <v>634229.89286101726</v>
      </c>
    </row>
    <row r="125" spans="1:21" ht="15.75" thickTop="1" x14ac:dyDescent="0.25">
      <c r="A125" s="40" t="s">
        <v>38</v>
      </c>
      <c r="B125" s="43"/>
      <c r="C125" s="43"/>
      <c r="D125" s="43"/>
      <c r="E125" s="41">
        <f>+E9+E15+E22+E31+E38+E47+E53+E62+E67+E74+E81+E91+E99+E108+E117+E124</f>
        <v>181240.35990233545</v>
      </c>
      <c r="F125" s="41">
        <f>+F9+F15+F22+F31+F38+F47+F53+F62+F67+F74+F81+F91+F99+F108+F117+F124</f>
        <v>2308957.6592467097</v>
      </c>
      <c r="G125" s="42">
        <f>F125/E125</f>
        <v>12.73975432674561</v>
      </c>
      <c r="H125" s="41">
        <f>+H9+H15+H22+H31+H38+H47+H53+H62+H67+H74+H81+H91+H99+H108+H117+H124</f>
        <v>119872.06647377137</v>
      </c>
      <c r="I125" s="41">
        <f>+I9+I15+I22+I31+I38+I47+I53+I62+I67+I74+I81+I91+I99+I108+I117+I124</f>
        <v>1657411.6246675283</v>
      </c>
      <c r="J125" s="42">
        <f>I125/H125</f>
        <v>13.82650415082465</v>
      </c>
      <c r="K125" s="41">
        <f>+K9+K15+K22+K31+K38+K47+K53+K62+K67+K74+K81+K91+K99+K108+K117+K124</f>
        <v>75197.980600129202</v>
      </c>
      <c r="L125" s="41">
        <f>+L9+L15+L22+L31+L38+L47+L53+L62+L67+L74+L81+L91+L99+L108+L117+L124</f>
        <v>1055153.8422636115</v>
      </c>
      <c r="M125" s="42">
        <f>L125/K125</f>
        <v>14.031677896704032</v>
      </c>
      <c r="N125" s="41">
        <f>+N9+N15+N22+N31+N38+N47+N53+N62+N67+N74+N81+N91+N99+N108+N117+N124</f>
        <v>74735.910872243505</v>
      </c>
      <c r="O125" s="41">
        <f>+O9+O15+O22+O31+O38+O47+O53+O62+O67+O74+O81+O91+O99+O108+O117+O124</f>
        <v>1012658.4854495933</v>
      </c>
      <c r="P125" s="42">
        <f>O125/N125</f>
        <v>13.549824624211396</v>
      </c>
      <c r="Q125" s="41">
        <f>+Q9+Q15+Q22+Q31+Q38+Q47+Q53+Q62+Q67+Q74+Q81</f>
        <v>0</v>
      </c>
      <c r="R125" s="41">
        <f>+R9+R15+R22+R31+R38+R47+R53+R62+R67+R74+R81</f>
        <v>0</v>
      </c>
      <c r="S125" s="42"/>
      <c r="T125" s="41">
        <f>+T9+T15+T22+T31+T38+T47+T53+T62+T67+T74+T81+T91+T99+T108+T117+T124</f>
        <v>451046.31784847938</v>
      </c>
      <c r="U125" s="41">
        <f>+U9+U15+U22+U31+U38+U47+U53+U62+U67+U74+U81+U91+U99+U108+U117+U124</f>
        <v>6034181.6116274428</v>
      </c>
    </row>
    <row r="126" spans="1:21" x14ac:dyDescent="0.25">
      <c r="A126" s="72" t="s">
        <v>37</v>
      </c>
      <c r="B126" s="73"/>
      <c r="C126" s="73"/>
      <c r="D126" s="73"/>
      <c r="E126" s="74"/>
      <c r="F126" s="74">
        <f>+Harvest!F125</f>
        <v>114654.70172841215</v>
      </c>
      <c r="G126" s="75"/>
      <c r="H126" s="74"/>
      <c r="I126" s="74">
        <f>Harvest!H125</f>
        <v>57067.37739978337</v>
      </c>
      <c r="J126" s="75"/>
      <c r="K126" s="74"/>
      <c r="L126" s="74">
        <f>Harvest!J125</f>
        <v>47267.296154988326</v>
      </c>
      <c r="M126" s="75"/>
      <c r="N126" s="74"/>
      <c r="O126" s="74">
        <f>Harvest!L125</f>
        <v>32033.906587614787</v>
      </c>
      <c r="P126" s="75"/>
      <c r="Q126" s="74"/>
      <c r="R126" s="74"/>
      <c r="S126" s="75"/>
      <c r="T126" s="74"/>
      <c r="U126" s="74">
        <f>F126+I126+L126+O126+R126</f>
        <v>251023.28187079864</v>
      </c>
    </row>
    <row r="127" spans="1:21" x14ac:dyDescent="0.25">
      <c r="A127" s="82" t="s">
        <v>33</v>
      </c>
      <c r="B127" s="83"/>
      <c r="C127" s="83"/>
      <c r="D127" s="83"/>
      <c r="E127" s="76">
        <f>E125</f>
        <v>181240.35990233545</v>
      </c>
      <c r="F127" s="76">
        <f>F125+F126</f>
        <v>2423612.3609751216</v>
      </c>
      <c r="G127" s="77">
        <f>+G125</f>
        <v>12.73975432674561</v>
      </c>
      <c r="H127" s="76">
        <f>H125</f>
        <v>119872.06647377137</v>
      </c>
      <c r="I127" s="76">
        <f>I125+I126</f>
        <v>1714479.0020673117</v>
      </c>
      <c r="J127" s="77">
        <f>+J125</f>
        <v>13.82650415082465</v>
      </c>
      <c r="K127" s="76">
        <f>K125</f>
        <v>75197.980600129202</v>
      </c>
      <c r="L127" s="76">
        <f>L125+L126</f>
        <v>1102421.1384185997</v>
      </c>
      <c r="M127" s="77">
        <f>+M125</f>
        <v>14.031677896704032</v>
      </c>
      <c r="N127" s="76">
        <f>N125</f>
        <v>74735.910872243505</v>
      </c>
      <c r="O127" s="76">
        <f>O125+O126</f>
        <v>1044692.3920372081</v>
      </c>
      <c r="P127" s="77">
        <f>+P125</f>
        <v>13.549824624211396</v>
      </c>
      <c r="Q127" s="76">
        <f>Q125</f>
        <v>0</v>
      </c>
      <c r="R127" s="76">
        <f>R125+R126</f>
        <v>0</v>
      </c>
      <c r="S127" s="77"/>
      <c r="T127" s="76">
        <f>SUM(T125:T126)</f>
        <v>451046.31784847938</v>
      </c>
      <c r="U127" s="78">
        <f>SUM(U125:U126)</f>
        <v>6285204.893498241</v>
      </c>
    </row>
    <row r="128" spans="1:21" x14ac:dyDescent="0.25">
      <c r="A128" s="84" t="s">
        <v>16</v>
      </c>
      <c r="B128" s="80"/>
      <c r="C128" s="80"/>
      <c r="D128" s="80"/>
      <c r="E128" s="80"/>
      <c r="F128" s="79">
        <f>Harvest!F128</f>
        <v>0.84117478079488583</v>
      </c>
      <c r="G128" s="80"/>
      <c r="H128" s="80"/>
      <c r="I128" s="79">
        <f>Harvest!H128</f>
        <v>0.74615094640975832</v>
      </c>
      <c r="J128" s="80"/>
      <c r="K128" s="80"/>
      <c r="L128" s="79">
        <f>Harvest!J128</f>
        <v>0.78935616752775273</v>
      </c>
      <c r="M128" s="80"/>
      <c r="N128" s="80"/>
      <c r="O128" s="79">
        <f>Harvest!L128</f>
        <v>0.50017146906615761</v>
      </c>
      <c r="P128" s="80"/>
      <c r="Q128" s="80"/>
      <c r="R128" s="79">
        <f>Harvest!N128</f>
        <v>0</v>
      </c>
      <c r="S128" s="80"/>
      <c r="T128" s="80"/>
      <c r="U128" s="81"/>
    </row>
  </sheetData>
  <mergeCells count="18">
    <mergeCell ref="A1:R1"/>
    <mergeCell ref="A9:D9"/>
    <mergeCell ref="T2:U2"/>
    <mergeCell ref="N2:P2"/>
    <mergeCell ref="K2:M2"/>
    <mergeCell ref="H2:J2"/>
    <mergeCell ref="E2:G2"/>
    <mergeCell ref="Q2:S2"/>
    <mergeCell ref="A47:D47"/>
    <mergeCell ref="A38:D38"/>
    <mergeCell ref="A31:D31"/>
    <mergeCell ref="A15:D15"/>
    <mergeCell ref="A22:D22"/>
    <mergeCell ref="A53:D53"/>
    <mergeCell ref="A62:D62"/>
    <mergeCell ref="A67:D67"/>
    <mergeCell ref="A74:D74"/>
    <mergeCell ref="A81:D81"/>
  </mergeCells>
  <pageMargins left="0.196850393700787" right="0" top="0.39370078740157499" bottom="0" header="0.196850393700787" footer="0"/>
  <pageSetup paperSize="17" scale="63" fitToHeight="0" orientation="portrait" r:id="rId1"/>
  <headerFooter>
    <oddHeader>&amp;L&amp;KFF0000PRELIMINARY ESTIMATE</oddHeader>
  </headerFooter>
  <ignoredErrors>
    <ignoredError sqref="G125 J125 M125 P125 G47 T53:U53 T72:U72" formula="1"/>
    <ignoredError sqref="G5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77"/>
  <sheetViews>
    <sheetView workbookViewId="0">
      <selection sqref="A1:R1"/>
    </sheetView>
  </sheetViews>
  <sheetFormatPr defaultRowHeight="15" x14ac:dyDescent="0.25"/>
  <sheetData>
    <row r="1" spans="1:18" ht="15.75" thickBot="1" x14ac:dyDescent="0.3">
      <c r="A1" s="172" t="s">
        <v>50</v>
      </c>
      <c r="B1" s="172"/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</row>
    <row r="2" spans="1:18" ht="15.75" thickTop="1" x14ac:dyDescent="0.25">
      <c r="A2" s="24"/>
      <c r="B2" s="24"/>
      <c r="C2" s="24"/>
      <c r="D2" s="24"/>
      <c r="E2" s="166" t="s">
        <v>22</v>
      </c>
      <c r="F2" s="167"/>
      <c r="G2" s="167"/>
      <c r="H2" s="168"/>
      <c r="I2" s="166" t="s">
        <v>23</v>
      </c>
      <c r="J2" s="167"/>
      <c r="K2" s="167"/>
      <c r="L2" s="168"/>
      <c r="M2" s="169" t="s">
        <v>24</v>
      </c>
      <c r="N2" s="170"/>
      <c r="O2" s="170"/>
      <c r="P2" s="171"/>
      <c r="Q2" s="164" t="s">
        <v>25</v>
      </c>
      <c r="R2" s="165"/>
    </row>
    <row r="3" spans="1:18" ht="15.75" thickBot="1" x14ac:dyDescent="0.3">
      <c r="A3" s="25" t="s">
        <v>26</v>
      </c>
      <c r="B3" s="25" t="s">
        <v>27</v>
      </c>
      <c r="C3" s="25" t="s">
        <v>28</v>
      </c>
      <c r="D3" s="25" t="s">
        <v>29</v>
      </c>
      <c r="E3" s="26" t="s">
        <v>30</v>
      </c>
      <c r="F3" s="25" t="s">
        <v>31</v>
      </c>
      <c r="G3" s="25" t="s">
        <v>10</v>
      </c>
      <c r="H3" s="25" t="s">
        <v>36</v>
      </c>
      <c r="I3" s="26" t="s">
        <v>30</v>
      </c>
      <c r="J3" s="25" t="s">
        <v>31</v>
      </c>
      <c r="K3" s="25" t="s">
        <v>10</v>
      </c>
      <c r="L3" s="25" t="s">
        <v>36</v>
      </c>
      <c r="M3" s="26" t="s">
        <v>30</v>
      </c>
      <c r="N3" s="25" t="s">
        <v>31</v>
      </c>
      <c r="O3" s="25" t="s">
        <v>10</v>
      </c>
      <c r="P3" s="25" t="s">
        <v>36</v>
      </c>
      <c r="Q3" s="26" t="s">
        <v>30</v>
      </c>
      <c r="R3" s="27" t="s">
        <v>31</v>
      </c>
    </row>
    <row r="4" spans="1:18" ht="15.75" thickTop="1" x14ac:dyDescent="0.25">
      <c r="A4" s="38">
        <v>41551</v>
      </c>
      <c r="B4" s="19">
        <f t="shared" ref="B4:B7" si="0">+A4</f>
        <v>41551</v>
      </c>
      <c r="C4" s="29">
        <v>0</v>
      </c>
      <c r="D4" s="30">
        <v>0.78888888888888886</v>
      </c>
      <c r="E4" s="31">
        <f>+Effort!J8</f>
        <v>1984.4408372567459</v>
      </c>
      <c r="F4" s="32">
        <f>+Harvest!J8</f>
        <v>29369.724391399839</v>
      </c>
      <c r="G4" s="29">
        <f>+F4/E4</f>
        <v>14.799999999999999</v>
      </c>
      <c r="H4" s="29"/>
      <c r="I4" s="31">
        <f>+Effort!L8</f>
        <v>1198.8660215033897</v>
      </c>
      <c r="J4" s="32">
        <f>+Harvest!L8</f>
        <v>18271.325188482042</v>
      </c>
      <c r="K4" s="29">
        <f>+J4/I4</f>
        <v>15.240506329113925</v>
      </c>
      <c r="L4" s="29"/>
      <c r="M4" s="31" t="str">
        <f>+Effort!N8</f>
        <v>CLOSED</v>
      </c>
      <c r="N4" s="32" t="str">
        <f>+Harvest!N8</f>
        <v>CLOSED</v>
      </c>
      <c r="O4" s="29"/>
      <c r="P4" s="29"/>
      <c r="Q4" s="31">
        <f>+E4+I4</f>
        <v>3183.3068587601356</v>
      </c>
      <c r="R4" s="32">
        <f>+F4+J4</f>
        <v>47641.049579881881</v>
      </c>
    </row>
    <row r="5" spans="1:18" x14ac:dyDescent="0.25">
      <c r="A5" s="38">
        <v>41552</v>
      </c>
      <c r="B5" s="19">
        <f t="shared" si="0"/>
        <v>41552</v>
      </c>
      <c r="C5" s="29">
        <v>-0.4</v>
      </c>
      <c r="D5" s="30">
        <v>0.81666666666666676</v>
      </c>
      <c r="E5" s="31">
        <f>+Effort!J9</f>
        <v>3901.9656946041728</v>
      </c>
      <c r="F5" s="32">
        <f>+Harvest!J9</f>
        <v>58529.485419062592</v>
      </c>
      <c r="G5" s="29">
        <f t="shared" ref="G5" si="1">+F5/E5</f>
        <v>15</v>
      </c>
      <c r="H5" s="29"/>
      <c r="I5" s="31">
        <f>+Effort!L9</f>
        <v>1543.6049156052168</v>
      </c>
      <c r="J5" s="32">
        <f>+Harvest!L9</f>
        <v>23154.073734078251</v>
      </c>
      <c r="K5" s="29">
        <f t="shared" ref="K5:K7" si="2">+J5/I5</f>
        <v>15</v>
      </c>
      <c r="L5" s="29"/>
      <c r="M5" s="31" t="str">
        <f>+Effort!N9</f>
        <v>CLOSED</v>
      </c>
      <c r="N5" s="32" t="str">
        <f>+Harvest!N9</f>
        <v>CLOSED</v>
      </c>
      <c r="O5" s="29"/>
      <c r="P5" s="29"/>
      <c r="Q5" s="31">
        <f>+E5+I5</f>
        <v>5445.57061020939</v>
      </c>
      <c r="R5" s="32">
        <f>+F5+J5</f>
        <v>81683.559153140843</v>
      </c>
    </row>
    <row r="6" spans="1:18" x14ac:dyDescent="0.25">
      <c r="A6" s="38">
        <v>41553</v>
      </c>
      <c r="B6" s="19">
        <f t="shared" si="0"/>
        <v>41553</v>
      </c>
      <c r="C6" s="29">
        <v>-0.7</v>
      </c>
      <c r="D6" s="30">
        <v>0.84513888888888899</v>
      </c>
      <c r="E6" s="31" t="str">
        <f>+Effort!J10</f>
        <v>CLOSED</v>
      </c>
      <c r="F6" s="32" t="str">
        <f>+Harvest!J10</f>
        <v>CLOSED</v>
      </c>
      <c r="G6" s="29"/>
      <c r="H6" s="29"/>
      <c r="I6" s="31">
        <f>+Effort!L10</f>
        <v>1304.7559762568296</v>
      </c>
      <c r="J6" s="32">
        <f>+Harvest!L10</f>
        <v>19208.907428225546</v>
      </c>
      <c r="K6" s="29">
        <f t="shared" si="2"/>
        <v>14.722222222222221</v>
      </c>
      <c r="L6" s="29"/>
      <c r="M6" s="31" t="str">
        <f>+Effort!N10</f>
        <v>CLOSED</v>
      </c>
      <c r="N6" s="32" t="str">
        <f>+Harvest!N10</f>
        <v>CLOSED</v>
      </c>
      <c r="O6" s="29"/>
      <c r="P6" s="29"/>
      <c r="Q6" s="31">
        <f>+I6</f>
        <v>1304.7559762568296</v>
      </c>
      <c r="R6" s="39">
        <f>+J6</f>
        <v>19208.907428225546</v>
      </c>
    </row>
    <row r="7" spans="1:18" x14ac:dyDescent="0.25">
      <c r="A7" s="38">
        <v>41554</v>
      </c>
      <c r="B7" s="19">
        <f t="shared" si="0"/>
        <v>41554</v>
      </c>
      <c r="C7" s="29">
        <v>-0.8</v>
      </c>
      <c r="D7" s="30">
        <v>0.875</v>
      </c>
      <c r="E7" s="31" t="str">
        <f>+Effort!J11</f>
        <v>CLOSED</v>
      </c>
      <c r="F7" s="32" t="str">
        <f>+Harvest!J11</f>
        <v>CLOSED</v>
      </c>
      <c r="G7" s="29"/>
      <c r="H7" s="29"/>
      <c r="I7" s="31">
        <f>+Effort!L11</f>
        <v>175.01988694491314</v>
      </c>
      <c r="J7" s="32">
        <f>+Harvest!L11</f>
        <v>2052.5059468994359</v>
      </c>
      <c r="K7" s="29">
        <f t="shared" si="2"/>
        <v>11.727272727272727</v>
      </c>
      <c r="L7" s="29"/>
      <c r="M7" s="31" t="str">
        <f>+Effort!N11</f>
        <v>CLOSED</v>
      </c>
      <c r="N7" s="32" t="str">
        <f>+Harvest!N11</f>
        <v>CLOSED</v>
      </c>
      <c r="O7" s="29"/>
      <c r="P7" s="29"/>
      <c r="Q7" s="31">
        <f>+I7</f>
        <v>175.01988694491314</v>
      </c>
      <c r="R7" s="39">
        <f>+J7</f>
        <v>2052.5059468994359</v>
      </c>
    </row>
    <row r="8" spans="1:18" x14ac:dyDescent="0.25">
      <c r="A8" s="162"/>
      <c r="B8" s="162"/>
      <c r="C8" s="162"/>
      <c r="D8" s="163"/>
      <c r="E8" s="35">
        <f>SUM(E4:E7)</f>
        <v>5886.4065318609191</v>
      </c>
      <c r="F8" s="36">
        <f>SUM(F4:F7)</f>
        <v>87899.209810462431</v>
      </c>
      <c r="G8" s="34">
        <f>+F8/E8</f>
        <v>14.932575474476126</v>
      </c>
      <c r="H8" s="34">
        <v>120.16</v>
      </c>
      <c r="I8" s="35">
        <f>SUM(I4:I7)</f>
        <v>4222.2468003103495</v>
      </c>
      <c r="J8" s="36">
        <f>SUM(J4:J7)</f>
        <v>62686.812297685276</v>
      </c>
      <c r="K8" s="34">
        <f>+J8/I8</f>
        <v>14.846790171781901</v>
      </c>
      <c r="L8" s="34">
        <v>107.12</v>
      </c>
      <c r="M8" s="35"/>
      <c r="N8" s="36"/>
      <c r="O8" s="36"/>
      <c r="P8" s="34"/>
      <c r="Q8" s="35">
        <f>SUM(Q4:Q7)</f>
        <v>10108.653332171267</v>
      </c>
      <c r="R8" s="36">
        <f>SUM(R4:R7)</f>
        <v>150586.02210814771</v>
      </c>
    </row>
    <row r="9" spans="1:18" x14ac:dyDescent="0.25">
      <c r="A9" s="38">
        <v>41565</v>
      </c>
      <c r="B9" s="19">
        <v>41565</v>
      </c>
      <c r="C9" s="29">
        <v>-0.6</v>
      </c>
      <c r="D9" s="30">
        <v>0.7895833333333333</v>
      </c>
      <c r="E9" s="31">
        <f>+'Summary Table'!K17</f>
        <v>3251.1530723764149</v>
      </c>
      <c r="F9" s="39">
        <f>+'Summary Table'!L17</f>
        <v>46909.494330002555</v>
      </c>
      <c r="G9" s="114">
        <f>+F9/E9</f>
        <v>14.428571428571427</v>
      </c>
      <c r="H9" s="37"/>
      <c r="I9" s="31">
        <f>+'Summary Table'!N17</f>
        <v>1026.4303453725004</v>
      </c>
      <c r="J9" s="39">
        <f>+'Summary Table'!O17</f>
        <v>15520.12148725889</v>
      </c>
      <c r="K9" s="114">
        <f>+J9/I9</f>
        <v>15.120481927710841</v>
      </c>
      <c r="L9" s="37"/>
      <c r="M9" s="31" t="str">
        <f>+'Summary Table'!Q17</f>
        <v>CLOSED</v>
      </c>
      <c r="N9" s="39" t="str">
        <f>+'Summary Table'!R17</f>
        <v>CLOSED</v>
      </c>
      <c r="O9" s="39"/>
      <c r="P9" s="37"/>
      <c r="Q9" s="31">
        <f>+E9+I9</f>
        <v>4277.5834177489151</v>
      </c>
      <c r="R9" s="39">
        <f>+F9+J9</f>
        <v>62429.615817261445</v>
      </c>
    </row>
    <row r="10" spans="1:18" x14ac:dyDescent="0.25">
      <c r="A10" s="38">
        <v>41566</v>
      </c>
      <c r="B10" s="19">
        <v>41566</v>
      </c>
      <c r="C10" s="29">
        <v>-0.7</v>
      </c>
      <c r="D10" s="30">
        <v>0.81805555555555554</v>
      </c>
      <c r="E10" s="31">
        <f>+'Summary Table'!K18</f>
        <v>5650.2728653636022</v>
      </c>
      <c r="F10" s="39">
        <f>+'Summary Table'!L18</f>
        <v>84754.092980454036</v>
      </c>
      <c r="G10" s="114">
        <f t="shared" ref="G10" si="3">+F10/E10</f>
        <v>15</v>
      </c>
      <c r="H10" s="37"/>
      <c r="I10" s="31">
        <f>+'Summary Table'!N18</f>
        <v>3004.0914491700296</v>
      </c>
      <c r="J10" s="39">
        <f>+'Summary Table'!O18</f>
        <v>44871.92452904422</v>
      </c>
      <c r="K10" s="114">
        <f t="shared" ref="K10:K12" si="4">+J10/I10</f>
        <v>14.936936936936934</v>
      </c>
      <c r="L10" s="37"/>
      <c r="M10" s="31" t="str">
        <f>+'Summary Table'!Q18</f>
        <v>CLOSED</v>
      </c>
      <c r="N10" s="39" t="str">
        <f>+'Summary Table'!R18</f>
        <v>CLOSED</v>
      </c>
      <c r="O10" s="39"/>
      <c r="P10" s="37"/>
      <c r="Q10" s="31">
        <f>+E10+I10</f>
        <v>8654.3643145336318</v>
      </c>
      <c r="R10" s="39">
        <f>+F10+J10</f>
        <v>129626.01750949826</v>
      </c>
    </row>
    <row r="11" spans="1:18" x14ac:dyDescent="0.25">
      <c r="A11" s="38">
        <v>41567</v>
      </c>
      <c r="B11" s="19">
        <v>41567</v>
      </c>
      <c r="C11" s="29">
        <v>-0.7</v>
      </c>
      <c r="D11" s="30">
        <v>0.84444444444444444</v>
      </c>
      <c r="E11" s="31" t="str">
        <f>+'Summary Table'!K19</f>
        <v>CLOSED</v>
      </c>
      <c r="F11" s="39" t="str">
        <f>+'Summary Table'!L19</f>
        <v>CLOSED</v>
      </c>
      <c r="G11" s="114"/>
      <c r="H11" s="37"/>
      <c r="I11" s="31">
        <f>+'Summary Table'!N19</f>
        <v>1510.025427870024</v>
      </c>
      <c r="J11" s="39">
        <f>+'Summary Table'!O19</f>
        <v>22650.381418050361</v>
      </c>
      <c r="K11" s="114">
        <f t="shared" si="4"/>
        <v>15</v>
      </c>
      <c r="L11" s="37"/>
      <c r="M11" s="31" t="str">
        <f>+'Summary Table'!Q19</f>
        <v>CLOSED</v>
      </c>
      <c r="N11" s="39" t="str">
        <f>+'Summary Table'!R19</f>
        <v>CLOSED</v>
      </c>
      <c r="O11" s="39"/>
      <c r="P11" s="37"/>
      <c r="Q11" s="31">
        <f>+I11</f>
        <v>1510.025427870024</v>
      </c>
      <c r="R11" s="39">
        <f>+J11</f>
        <v>22650.381418050361</v>
      </c>
    </row>
    <row r="12" spans="1:18" x14ac:dyDescent="0.25">
      <c r="A12" s="38">
        <v>41568</v>
      </c>
      <c r="B12" s="19">
        <v>41568</v>
      </c>
      <c r="C12" s="29">
        <v>-0.4</v>
      </c>
      <c r="D12" s="30">
        <v>0.87152777777777779</v>
      </c>
      <c r="E12" s="31" t="str">
        <f>+'Summary Table'!K20</f>
        <v>CLOSED</v>
      </c>
      <c r="F12" s="39" t="str">
        <f>+'Summary Table'!L20</f>
        <v>CLOSED</v>
      </c>
      <c r="G12" s="114"/>
      <c r="H12" s="37"/>
      <c r="I12" s="31">
        <f>+'Summary Table'!N20</f>
        <v>151.72178511133703</v>
      </c>
      <c r="J12" s="39">
        <f>+'Summary Table'!O20</f>
        <v>2275.8267766700556</v>
      </c>
      <c r="K12" s="114">
        <f t="shared" si="4"/>
        <v>15.000000000000002</v>
      </c>
      <c r="L12" s="37"/>
      <c r="M12" s="31" t="str">
        <f>+'Summary Table'!Q20</f>
        <v>CLOSED</v>
      </c>
      <c r="N12" s="39" t="str">
        <f>+'Summary Table'!R20</f>
        <v>CLOSED</v>
      </c>
      <c r="O12" s="39"/>
      <c r="P12" s="37"/>
      <c r="Q12" s="31">
        <f>+I12</f>
        <v>151.72178511133703</v>
      </c>
      <c r="R12" s="39">
        <f>+J12</f>
        <v>2275.8267766700556</v>
      </c>
    </row>
    <row r="13" spans="1:18" x14ac:dyDescent="0.25">
      <c r="A13" s="162"/>
      <c r="B13" s="162"/>
      <c r="C13" s="162"/>
      <c r="D13" s="163"/>
      <c r="E13" s="35">
        <f>SUM(E9:E12)</f>
        <v>8901.4259377400176</v>
      </c>
      <c r="F13" s="36">
        <f>SUM(F9:F12)</f>
        <v>131663.58731045658</v>
      </c>
      <c r="G13" s="115">
        <f>+F13/E13</f>
        <v>14.791291668476729</v>
      </c>
      <c r="H13" s="34">
        <v>119.96</v>
      </c>
      <c r="I13" s="35">
        <f>SUM(I9:I12)</f>
        <v>5692.2690075238916</v>
      </c>
      <c r="J13" s="36">
        <f>SUM(J9:J12)</f>
        <v>85318.254211023537</v>
      </c>
      <c r="K13" s="115">
        <f>+J13/I13</f>
        <v>14.988443817088074</v>
      </c>
      <c r="L13" s="34">
        <v>116.95</v>
      </c>
      <c r="M13" s="35"/>
      <c r="N13" s="36"/>
      <c r="O13" s="36"/>
      <c r="P13" s="34"/>
      <c r="Q13" s="35">
        <f>SUM(Q9:Q12)</f>
        <v>14593.694945263907</v>
      </c>
      <c r="R13" s="36">
        <f>SUM(R9:R12)</f>
        <v>216981.84152148012</v>
      </c>
    </row>
    <row r="14" spans="1:18" x14ac:dyDescent="0.25">
      <c r="A14" s="38">
        <v>41579</v>
      </c>
      <c r="B14" s="19">
        <v>41579</v>
      </c>
      <c r="C14" s="29">
        <v>0.1</v>
      </c>
      <c r="D14" s="30">
        <v>0.74444444444444446</v>
      </c>
      <c r="E14" s="31" t="str">
        <f>+'Summary Table'!K23</f>
        <v>CLOSED</v>
      </c>
      <c r="F14" s="39" t="str">
        <f>+'Summary Table'!L23</f>
        <v>CLOSED</v>
      </c>
      <c r="G14" s="114"/>
      <c r="H14" s="75"/>
      <c r="I14" s="31">
        <f>+'Summary Table'!N23</f>
        <v>1345.2903594906886</v>
      </c>
      <c r="J14" s="39">
        <f>+'Summary Table'!O23</f>
        <v>20179.355392360332</v>
      </c>
      <c r="K14" s="114">
        <f>+J14/I14</f>
        <v>15.000000000000002</v>
      </c>
      <c r="L14" s="75"/>
      <c r="M14" s="31" t="str">
        <f>+'Summary Table'!R23</f>
        <v>CLOSED</v>
      </c>
      <c r="N14" s="39" t="str">
        <f>+'Summary Table'!S23</f>
        <v>CLOSED</v>
      </c>
      <c r="O14" s="74"/>
      <c r="P14" s="75"/>
      <c r="Q14" s="31">
        <f>+I14</f>
        <v>1345.2903594906886</v>
      </c>
      <c r="R14" s="39">
        <f>+J14</f>
        <v>20179.355392360332</v>
      </c>
    </row>
    <row r="15" spans="1:18" x14ac:dyDescent="0.25">
      <c r="A15" s="38">
        <v>41580</v>
      </c>
      <c r="B15" s="19">
        <v>41580</v>
      </c>
      <c r="C15" s="29">
        <v>-0.6</v>
      </c>
      <c r="D15" s="30">
        <v>0.77361111111111114</v>
      </c>
      <c r="E15" s="31">
        <f>+'Summary Table'!K24</f>
        <v>1766.8438677618183</v>
      </c>
      <c r="F15" s="39">
        <f>+'Summary Table'!L24</f>
        <v>14627.823649376918</v>
      </c>
      <c r="G15" s="114">
        <f>+F15/E15</f>
        <v>8.2790697674418627</v>
      </c>
      <c r="H15" s="37"/>
      <c r="I15" s="31">
        <f>+'Summary Table'!N24</f>
        <v>871.06432012252992</v>
      </c>
      <c r="J15" s="39">
        <f>+'Summary Table'!O24</f>
        <v>12612.285468440798</v>
      </c>
      <c r="K15" s="114">
        <f>+J15/I15</f>
        <v>14.479166666666666</v>
      </c>
      <c r="L15" s="37"/>
      <c r="M15" s="31" t="str">
        <f>+'Summary Table'!R24</f>
        <v>CLOSED</v>
      </c>
      <c r="N15" s="39" t="str">
        <f>+'Summary Table'!S24</f>
        <v>CLOSED</v>
      </c>
      <c r="O15" s="39"/>
      <c r="P15" s="37"/>
      <c r="Q15" s="31">
        <f>+E15+I15</f>
        <v>2637.9081878843481</v>
      </c>
      <c r="R15" s="39">
        <f>+F15+J15</f>
        <v>27240.109117817716</v>
      </c>
    </row>
    <row r="16" spans="1:18" x14ac:dyDescent="0.25">
      <c r="A16" s="38">
        <v>41581</v>
      </c>
      <c r="B16" s="19">
        <v>41581</v>
      </c>
      <c r="C16" s="29">
        <v>-1.1000000000000001</v>
      </c>
      <c r="D16" s="30">
        <v>0.76111111111111107</v>
      </c>
      <c r="E16" s="31" t="str">
        <f>+'Summary Table'!K25</f>
        <v>CLOSED</v>
      </c>
      <c r="F16" s="39" t="str">
        <f>+'Summary Table'!L25</f>
        <v>CLOSED</v>
      </c>
      <c r="G16" s="114"/>
      <c r="H16" s="37"/>
      <c r="I16" s="31">
        <f>+'Summary Table'!N25</f>
        <v>1079.1968528057596</v>
      </c>
      <c r="J16" s="39">
        <f>+'Summary Table'!O25</f>
        <v>16187.952792086395</v>
      </c>
      <c r="K16" s="114">
        <f t="shared" ref="K16:K17" si="5">+J16/I16</f>
        <v>15</v>
      </c>
      <c r="L16" s="37"/>
      <c r="M16" s="31" t="str">
        <f>+'Summary Table'!R25</f>
        <v>CLOSED</v>
      </c>
      <c r="N16" s="39" t="str">
        <f>+'Summary Table'!S25</f>
        <v>CLOSED</v>
      </c>
      <c r="O16" s="39"/>
      <c r="P16" s="37"/>
      <c r="Q16" s="31">
        <f>+I16</f>
        <v>1079.1968528057596</v>
      </c>
      <c r="R16" s="39">
        <f>+J16</f>
        <v>16187.952792086395</v>
      </c>
    </row>
    <row r="17" spans="1:18" x14ac:dyDescent="0.25">
      <c r="A17" s="38">
        <v>41582</v>
      </c>
      <c r="B17" s="19">
        <v>41582</v>
      </c>
      <c r="C17" s="29">
        <v>-1.3</v>
      </c>
      <c r="D17" s="30">
        <v>0.29651620370370374</v>
      </c>
      <c r="E17" s="31" t="str">
        <f>+'Summary Table'!K26</f>
        <v>CLOSED</v>
      </c>
      <c r="F17" s="39" t="str">
        <f>+'Summary Table'!L26</f>
        <v>CLOSED</v>
      </c>
      <c r="G17" s="114"/>
      <c r="H17" s="37"/>
      <c r="I17" s="31">
        <f>+'Summary Table'!N26</f>
        <v>384.53164921686016</v>
      </c>
      <c r="J17" s="39">
        <f>+'Summary Table'!O26</f>
        <v>4982.5483909163368</v>
      </c>
      <c r="K17" s="114">
        <f t="shared" si="5"/>
        <v>12.957446808510637</v>
      </c>
      <c r="L17" s="37"/>
      <c r="M17" s="31" t="str">
        <f>+'Summary Table'!R26</f>
        <v>CLOSED</v>
      </c>
      <c r="N17" s="39" t="str">
        <f>+'Summary Table'!S26</f>
        <v>CLOSED</v>
      </c>
      <c r="O17" s="39"/>
      <c r="P17" s="37"/>
      <c r="Q17" s="31">
        <f>+I17</f>
        <v>384.53164921686016</v>
      </c>
      <c r="R17" s="39">
        <f>+J17</f>
        <v>4982.5483909163368</v>
      </c>
    </row>
    <row r="18" spans="1:18" x14ac:dyDescent="0.25">
      <c r="A18" s="162"/>
      <c r="B18" s="162"/>
      <c r="C18" s="162"/>
      <c r="D18" s="163"/>
      <c r="E18" s="35">
        <f>SUM(E15:E17)</f>
        <v>1766.8438677618183</v>
      </c>
      <c r="F18" s="36">
        <f>SUM(F15:F17)</f>
        <v>14627.823649376918</v>
      </c>
      <c r="G18" s="115">
        <f>+F18/E18</f>
        <v>8.2790697674418627</v>
      </c>
      <c r="H18" s="34"/>
      <c r="I18" s="35">
        <f>SUM(I14:I17)</f>
        <v>3680.0831816358386</v>
      </c>
      <c r="J18" s="36">
        <f>SUM(J14:J17)</f>
        <v>53962.142043803855</v>
      </c>
      <c r="K18" s="115">
        <f>+J18/I18</f>
        <v>14.663294110601345</v>
      </c>
      <c r="L18" s="34">
        <v>118.51</v>
      </c>
      <c r="M18" s="35"/>
      <c r="N18" s="36"/>
      <c r="O18" s="36"/>
      <c r="P18" s="34"/>
      <c r="Q18" s="35">
        <f>SUM(Q14:Q17)</f>
        <v>5446.9270493976564</v>
      </c>
      <c r="R18" s="36">
        <f>SUM(R14:R17)</f>
        <v>68589.965693180769</v>
      </c>
    </row>
    <row r="19" spans="1:18" x14ac:dyDescent="0.25">
      <c r="A19" s="38">
        <v>41593</v>
      </c>
      <c r="B19" s="19">
        <v>41593</v>
      </c>
      <c r="C19" s="29">
        <v>-0.3</v>
      </c>
      <c r="D19" s="30">
        <v>0.7090277777777777</v>
      </c>
      <c r="E19" s="31">
        <f>+'Summary Table'!K32</f>
        <v>1440.4140117861152</v>
      </c>
      <c r="F19" s="39">
        <f>+'Summary Table'!L32</f>
        <v>20057.085673550057</v>
      </c>
      <c r="G19" s="114">
        <f>+F19/E19</f>
        <v>13.924528301886792</v>
      </c>
      <c r="H19" s="37"/>
      <c r="I19" s="31">
        <f>+'Summary Table'!N32</f>
        <v>524.29220526039649</v>
      </c>
      <c r="J19" s="39">
        <f>+'Summary Table'!O32</f>
        <v>7723.719316519011</v>
      </c>
      <c r="K19" s="114">
        <f>+J19/I19</f>
        <v>14.73170731707317</v>
      </c>
      <c r="L19" s="37"/>
      <c r="M19" s="31" t="str">
        <f>+'Summary Table'!Q32</f>
        <v>CLOSED</v>
      </c>
      <c r="N19" s="39" t="str">
        <f>+'Summary Table'!R32</f>
        <v>CLOSED</v>
      </c>
      <c r="O19" s="39"/>
      <c r="P19" s="37"/>
      <c r="Q19" s="31">
        <f>+E19+I19</f>
        <v>1964.7062170465117</v>
      </c>
      <c r="R19" s="39">
        <f>+F19+J19</f>
        <v>27780.804990069068</v>
      </c>
    </row>
    <row r="20" spans="1:18" x14ac:dyDescent="0.25">
      <c r="A20" s="38">
        <v>41594</v>
      </c>
      <c r="B20" s="19">
        <v>41594</v>
      </c>
      <c r="C20" s="29">
        <v>-0.6</v>
      </c>
      <c r="D20" s="30">
        <v>0.73749999999999993</v>
      </c>
      <c r="E20" s="31">
        <f>+'Summary Table'!K33</f>
        <v>3896.4650379882883</v>
      </c>
      <c r="F20" s="39">
        <f>+'Summary Table'!L33</f>
        <v>43395.924344653875</v>
      </c>
      <c r="G20" s="114">
        <f t="shared" ref="G20" si="6">+F20/E20</f>
        <v>11.137254901960784</v>
      </c>
      <c r="H20" s="37"/>
      <c r="I20" s="31">
        <f>+'Summary Table'!N33</f>
        <v>2660.0179783396334</v>
      </c>
      <c r="J20" s="39">
        <f>+'Summary Table'!O33</f>
        <v>38836.262483758648</v>
      </c>
      <c r="K20" s="114">
        <f t="shared" ref="K20:K21" si="7">+J20/I20</f>
        <v>14.6</v>
      </c>
      <c r="L20" s="37"/>
      <c r="M20" s="31" t="str">
        <f>+'Summary Table'!Q33</f>
        <v>CLOSED</v>
      </c>
      <c r="N20" s="39" t="str">
        <f>+'Summary Table'!R33</f>
        <v>CLOSED</v>
      </c>
      <c r="O20" s="39"/>
      <c r="P20" s="37"/>
      <c r="Q20" s="31">
        <f>+E20+I20</f>
        <v>6556.4830163279221</v>
      </c>
      <c r="R20" s="39">
        <f>+F20+J20</f>
        <v>82232.186828412523</v>
      </c>
    </row>
    <row r="21" spans="1:18" x14ac:dyDescent="0.25">
      <c r="A21" s="38">
        <v>41595</v>
      </c>
      <c r="B21" s="19">
        <v>41595</v>
      </c>
      <c r="C21" s="29">
        <v>-0.7</v>
      </c>
      <c r="D21" s="30">
        <v>0.76388888888888884</v>
      </c>
      <c r="E21" s="31" t="str">
        <f>+'Summary Table'!K34</f>
        <v>CLOSED</v>
      </c>
      <c r="F21" s="39" t="str">
        <f>+'Summary Table'!L34</f>
        <v>CLOSED</v>
      </c>
      <c r="G21" s="114"/>
      <c r="H21" s="37"/>
      <c r="I21" s="31">
        <f>+'Summary Table'!N34</f>
        <v>991.05298762639575</v>
      </c>
      <c r="J21" s="39">
        <f>+'Summary Table'!O34</f>
        <v>13921.934826180322</v>
      </c>
      <c r="K21" s="114">
        <f t="shared" si="7"/>
        <v>14.047619047619049</v>
      </c>
      <c r="L21" s="37"/>
      <c r="M21" s="31" t="str">
        <f>+'Summary Table'!Q34</f>
        <v>CLOSED</v>
      </c>
      <c r="N21" s="39" t="str">
        <f>+'Summary Table'!R34</f>
        <v>CLOSED</v>
      </c>
      <c r="O21" s="39"/>
      <c r="P21" s="37"/>
      <c r="Q21" s="31">
        <f>+I21</f>
        <v>991.05298762639575</v>
      </c>
      <c r="R21" s="39">
        <f>+J21</f>
        <v>13921.934826180322</v>
      </c>
    </row>
    <row r="22" spans="1:18" x14ac:dyDescent="0.25">
      <c r="A22" s="162"/>
      <c r="B22" s="162"/>
      <c r="C22" s="162"/>
      <c r="D22" s="163"/>
      <c r="E22" s="35">
        <f>SUM(E19:E21)</f>
        <v>5336.879049774403</v>
      </c>
      <c r="F22" s="36">
        <f>SUM(F19:F21)</f>
        <v>63453.010018203931</v>
      </c>
      <c r="G22" s="115">
        <f>+F22/E22</f>
        <v>11.889534955993836</v>
      </c>
      <c r="H22" s="34">
        <v>119.34</v>
      </c>
      <c r="I22" s="35">
        <f>SUM(I19:I21)</f>
        <v>4175.363171226425</v>
      </c>
      <c r="J22" s="36">
        <f>SUM(J19:J21)</f>
        <v>60481.916626457984</v>
      </c>
      <c r="K22" s="115">
        <f>+J22/I22</f>
        <v>14.485426571574777</v>
      </c>
      <c r="L22" s="34">
        <v>127.44</v>
      </c>
      <c r="M22" s="35"/>
      <c r="N22" s="36"/>
      <c r="O22" s="36"/>
      <c r="P22" s="34"/>
      <c r="Q22" s="35">
        <f>SUM(Q19:Q21)</f>
        <v>9512.2422210008299</v>
      </c>
      <c r="R22" s="36">
        <f>SUM(R19:R21)</f>
        <v>123934.92664466191</v>
      </c>
    </row>
    <row r="23" spans="1:18" x14ac:dyDescent="0.25">
      <c r="A23" s="38">
        <v>41608</v>
      </c>
      <c r="B23" s="19">
        <v>41608</v>
      </c>
      <c r="C23" s="13">
        <v>-0.1</v>
      </c>
      <c r="D23" s="112">
        <v>0.68611111111111101</v>
      </c>
      <c r="E23" s="31">
        <v>2720.2169478734922</v>
      </c>
      <c r="F23" s="39">
        <v>40803.254218102382</v>
      </c>
      <c r="G23" s="114">
        <v>15</v>
      </c>
      <c r="H23" s="37"/>
      <c r="I23" s="31">
        <v>1112.3399721391643</v>
      </c>
      <c r="J23" s="39">
        <v>16685.099582087463</v>
      </c>
      <c r="K23" s="114">
        <v>15</v>
      </c>
      <c r="L23" s="37"/>
      <c r="M23" s="31" t="str">
        <f>+'Summary Table'!R32</f>
        <v>CLOSED</v>
      </c>
      <c r="N23" s="39" t="str">
        <f>+'Summary Table'!S32</f>
        <v>CLOSED</v>
      </c>
      <c r="O23" s="39"/>
      <c r="P23" s="37"/>
      <c r="Q23" s="31">
        <f>+E23+I23</f>
        <v>3832.5569200126565</v>
      </c>
      <c r="R23" s="39">
        <f>+F23+J23</f>
        <v>57488.353800189841</v>
      </c>
    </row>
    <row r="24" spans="1:18" x14ac:dyDescent="0.25">
      <c r="A24" s="38">
        <v>41609</v>
      </c>
      <c r="B24" s="19">
        <v>41609</v>
      </c>
      <c r="C24" s="13">
        <v>-0.9</v>
      </c>
      <c r="D24" s="112">
        <v>0.71736111111111101</v>
      </c>
      <c r="E24" s="31" t="s">
        <v>11</v>
      </c>
      <c r="F24" s="39" t="s">
        <v>11</v>
      </c>
      <c r="G24" s="114"/>
      <c r="H24" s="37"/>
      <c r="I24" s="31">
        <v>525.61119562619854</v>
      </c>
      <c r="J24" s="39">
        <v>7884.1679343929773</v>
      </c>
      <c r="K24" s="114">
        <v>14.999999999999998</v>
      </c>
      <c r="L24" s="37"/>
      <c r="M24" s="31" t="str">
        <f>+'Summary Table'!R33</f>
        <v>CLOSED</v>
      </c>
      <c r="N24" s="39" t="str">
        <f>+'Summary Table'!S33</f>
        <v>CLOSED</v>
      </c>
      <c r="O24" s="39"/>
      <c r="P24" s="37"/>
      <c r="Q24" s="31">
        <f t="shared" ref="Q24:R26" si="8">+I24</f>
        <v>525.61119562619854</v>
      </c>
      <c r="R24" s="39">
        <f t="shared" si="8"/>
        <v>7884.1679343929773</v>
      </c>
    </row>
    <row r="25" spans="1:18" x14ac:dyDescent="0.25">
      <c r="A25" s="38">
        <v>41610</v>
      </c>
      <c r="B25" s="19">
        <v>41610</v>
      </c>
      <c r="C25" s="13">
        <v>-1.4</v>
      </c>
      <c r="D25" s="112">
        <v>0.74930555555555556</v>
      </c>
      <c r="E25" s="31" t="s">
        <v>11</v>
      </c>
      <c r="F25" s="39" t="s">
        <v>11</v>
      </c>
      <c r="G25" s="114"/>
      <c r="H25" s="37"/>
      <c r="I25" s="31">
        <v>180.66070086939507</v>
      </c>
      <c r="J25" s="39">
        <v>2709.9105130409262</v>
      </c>
      <c r="K25" s="114">
        <v>15</v>
      </c>
      <c r="L25" s="37"/>
      <c r="M25" s="31" t="str">
        <f>+'Summary Table'!R34</f>
        <v>CLOSED</v>
      </c>
      <c r="N25" s="39" t="str">
        <f>+'Summary Table'!S34</f>
        <v>CLOSED</v>
      </c>
      <c r="O25" s="39"/>
      <c r="P25" s="37"/>
      <c r="Q25" s="31">
        <f t="shared" si="8"/>
        <v>180.66070086939507</v>
      </c>
      <c r="R25" s="39">
        <f t="shared" si="8"/>
        <v>2709.9105130409262</v>
      </c>
    </row>
    <row r="26" spans="1:18" x14ac:dyDescent="0.25">
      <c r="A26" s="38">
        <v>41611</v>
      </c>
      <c r="B26" s="19">
        <v>41611</v>
      </c>
      <c r="C26" s="13">
        <v>-1.7</v>
      </c>
      <c r="D26" s="112">
        <v>0.78055555555555556</v>
      </c>
      <c r="E26" s="31" t="s">
        <v>11</v>
      </c>
      <c r="F26" s="39" t="s">
        <v>11</v>
      </c>
      <c r="G26" s="114"/>
      <c r="H26" s="37"/>
      <c r="I26" s="31">
        <v>223.67515345734628</v>
      </c>
      <c r="J26" s="39">
        <v>3184.0815962751644</v>
      </c>
      <c r="K26" s="114">
        <v>14.235294117647058</v>
      </c>
      <c r="L26" s="37"/>
      <c r="M26" s="31" t="str">
        <f>+'Summary Table'!R35</f>
        <v>CLOSED</v>
      </c>
      <c r="N26" s="39" t="str">
        <f>+'Summary Table'!S35</f>
        <v>CLOSED</v>
      </c>
      <c r="O26" s="39"/>
      <c r="P26" s="37"/>
      <c r="Q26" s="31">
        <f t="shared" si="8"/>
        <v>223.67515345734628</v>
      </c>
      <c r="R26" s="39">
        <f t="shared" si="8"/>
        <v>3184.0815962751644</v>
      </c>
    </row>
    <row r="27" spans="1:18" x14ac:dyDescent="0.25">
      <c r="A27" s="162"/>
      <c r="B27" s="162"/>
      <c r="C27" s="162"/>
      <c r="D27" s="163"/>
      <c r="E27" s="35">
        <f>SUM(E23:E26)</f>
        <v>2720.2169478734922</v>
      </c>
      <c r="F27" s="36">
        <f>SUM(F23:F26)</f>
        <v>40803.254218102382</v>
      </c>
      <c r="G27" s="115">
        <f>+F27/E27</f>
        <v>15</v>
      </c>
      <c r="H27" s="34"/>
      <c r="I27" s="35">
        <f>SUM(I23:I26)</f>
        <v>2042.2870220921041</v>
      </c>
      <c r="J27" s="36">
        <f>SUM(J23:J26)</f>
        <v>30463.259625796531</v>
      </c>
      <c r="K27" s="115">
        <f>+J27/I27</f>
        <v>14.916247959402977</v>
      </c>
      <c r="L27" s="34"/>
      <c r="M27" s="35"/>
      <c r="N27" s="36"/>
      <c r="O27" s="36"/>
      <c r="P27" s="34"/>
      <c r="Q27" s="35">
        <f>SUM(Q23:Q26)</f>
        <v>4762.5039699655963</v>
      </c>
      <c r="R27" s="36">
        <f>SUM(R23:R26)</f>
        <v>71266.513843898909</v>
      </c>
    </row>
    <row r="28" spans="1:18" x14ac:dyDescent="0.25">
      <c r="A28" s="38">
        <v>41622</v>
      </c>
      <c r="B28" s="19">
        <v>41622</v>
      </c>
      <c r="C28" s="29">
        <v>-0.1</v>
      </c>
      <c r="D28" s="30">
        <v>0.69791666666666663</v>
      </c>
      <c r="E28" s="31">
        <v>1266.8657957434955</v>
      </c>
      <c r="F28" s="39">
        <v>19002.986936152429</v>
      </c>
      <c r="G28" s="114">
        <v>14.999999999999996</v>
      </c>
      <c r="H28" s="37"/>
      <c r="I28" s="31">
        <v>578.58655833989269</v>
      </c>
      <c r="J28" s="39">
        <v>8678.7983750983894</v>
      </c>
      <c r="K28" s="114">
        <v>14.999999999999998</v>
      </c>
      <c r="L28" s="37"/>
      <c r="M28" s="31" t="str">
        <f>+'Summary Table'!Q41</f>
        <v>CLOSED</v>
      </c>
      <c r="N28" s="39" t="str">
        <f>+'Summary Table'!R41</f>
        <v>CLOSED</v>
      </c>
      <c r="O28" s="39"/>
      <c r="P28" s="37"/>
      <c r="Q28" s="31">
        <f>+E28+I28</f>
        <v>1845.4523540833882</v>
      </c>
      <c r="R28" s="39">
        <f>+F28+J28</f>
        <v>27681.785311250816</v>
      </c>
    </row>
    <row r="29" spans="1:18" x14ac:dyDescent="0.25">
      <c r="A29" s="38">
        <v>41623</v>
      </c>
      <c r="B29" s="19">
        <v>41623</v>
      </c>
      <c r="C29" s="29">
        <v>-0.3</v>
      </c>
      <c r="D29" s="30">
        <v>0.72638888888888886</v>
      </c>
      <c r="E29" s="31" t="s">
        <v>11</v>
      </c>
      <c r="F29" s="39" t="s">
        <v>11</v>
      </c>
      <c r="G29" s="114"/>
      <c r="H29" s="37"/>
      <c r="I29" s="31">
        <v>821.63648536346591</v>
      </c>
      <c r="J29" s="39">
        <v>12284.467451897672</v>
      </c>
      <c r="K29" s="114">
        <v>14.95121951219512</v>
      </c>
      <c r="L29" s="37"/>
      <c r="M29" s="31" t="str">
        <f>+'Summary Table'!Q42</f>
        <v>CLOSED</v>
      </c>
      <c r="N29" s="39" t="str">
        <f>+'Summary Table'!R42</f>
        <v>CLOSED</v>
      </c>
      <c r="O29" s="39"/>
      <c r="P29" s="37"/>
      <c r="Q29" s="31">
        <f>+I29</f>
        <v>821.63648536346591</v>
      </c>
      <c r="R29" s="39">
        <f>+J29</f>
        <v>12284.467451897672</v>
      </c>
    </row>
    <row r="30" spans="1:18" x14ac:dyDescent="0.25">
      <c r="A30" s="38">
        <v>41624</v>
      </c>
      <c r="B30" s="19">
        <v>41624</v>
      </c>
      <c r="C30" s="29">
        <v>-0.4</v>
      </c>
      <c r="D30" s="30">
        <v>0.75208333333333333</v>
      </c>
      <c r="E30" s="31" t="s">
        <v>11</v>
      </c>
      <c r="F30" s="39" t="s">
        <v>11</v>
      </c>
      <c r="G30" s="114"/>
      <c r="H30" s="37"/>
      <c r="I30" s="31">
        <v>295.93943380510433</v>
      </c>
      <c r="J30" s="39">
        <v>4439.0915070765641</v>
      </c>
      <c r="K30" s="114">
        <v>14.999999999999996</v>
      </c>
      <c r="L30" s="37"/>
      <c r="M30" s="31" t="str">
        <f>+'Summary Table'!Q43</f>
        <v>CLOSED</v>
      </c>
      <c r="N30" s="39" t="str">
        <f>+'Summary Table'!R43</f>
        <v>CLOSED</v>
      </c>
      <c r="O30" s="39"/>
      <c r="P30" s="37"/>
      <c r="Q30" s="31">
        <f>+I30</f>
        <v>295.93943380510433</v>
      </c>
      <c r="R30" s="39">
        <f>+J30</f>
        <v>4439.0915070765641</v>
      </c>
    </row>
    <row r="31" spans="1:18" x14ac:dyDescent="0.25">
      <c r="A31" s="162"/>
      <c r="B31" s="162"/>
      <c r="C31" s="162"/>
      <c r="D31" s="163"/>
      <c r="E31" s="35">
        <f>SUM(E28:E30)</f>
        <v>1266.8657957434955</v>
      </c>
      <c r="F31" s="36">
        <f>SUM(F28:F30)</f>
        <v>19002.986936152429</v>
      </c>
      <c r="G31" s="115">
        <f>+F31/E31</f>
        <v>14.999999999999996</v>
      </c>
      <c r="H31" s="34"/>
      <c r="I31" s="35">
        <f>SUM(I28:I30)</f>
        <v>1696.1624775084629</v>
      </c>
      <c r="J31" s="36">
        <f>SUM(J28:J30)</f>
        <v>25402.357334072622</v>
      </c>
      <c r="K31" s="115">
        <f>+J31/I31</f>
        <v>14.976370289352706</v>
      </c>
      <c r="L31" s="34">
        <v>102.74</v>
      </c>
      <c r="M31" s="35"/>
      <c r="N31" s="36"/>
      <c r="O31" s="36"/>
      <c r="P31" s="34"/>
      <c r="Q31" s="35">
        <f>SUM(Q28:Q30)</f>
        <v>2963.0282732519581</v>
      </c>
      <c r="R31" s="36">
        <f>SUM(R28:R30)</f>
        <v>44405.344270225047</v>
      </c>
    </row>
    <row r="32" spans="1:18" x14ac:dyDescent="0.25">
      <c r="A32" s="38">
        <v>41637</v>
      </c>
      <c r="B32" s="19">
        <v>41637</v>
      </c>
      <c r="C32" s="13">
        <v>-0.2</v>
      </c>
      <c r="D32" s="112">
        <v>0.67013888888888884</v>
      </c>
      <c r="E32" s="31">
        <v>3259.2887395126077</v>
      </c>
      <c r="F32" s="39">
        <v>47376.089892201118</v>
      </c>
      <c r="G32" s="114">
        <v>14.535714285714286</v>
      </c>
      <c r="H32" s="37"/>
      <c r="I32" s="31">
        <v>1216.8901275455939</v>
      </c>
      <c r="J32" s="39">
        <v>18253.351913183909</v>
      </c>
      <c r="K32" s="114">
        <v>15</v>
      </c>
      <c r="L32" s="37"/>
      <c r="M32" s="31" t="s">
        <v>11</v>
      </c>
      <c r="N32" s="39" t="s">
        <v>11</v>
      </c>
      <c r="O32" s="39"/>
      <c r="P32" s="37"/>
      <c r="Q32" s="31">
        <f>+E32+I32</f>
        <v>4476.1788670582018</v>
      </c>
      <c r="R32" s="39">
        <f>+F32+J32</f>
        <v>65629.441805385024</v>
      </c>
    </row>
    <row r="33" spans="1:18" x14ac:dyDescent="0.25">
      <c r="A33" s="38">
        <v>41638</v>
      </c>
      <c r="B33" s="19">
        <v>41638</v>
      </c>
      <c r="C33" s="13">
        <v>-0.9</v>
      </c>
      <c r="D33" s="112">
        <v>0.70486111111111116</v>
      </c>
      <c r="E33" s="31">
        <v>5014.0907694910784</v>
      </c>
      <c r="F33" s="39">
        <v>74353.688121269006</v>
      </c>
      <c r="G33" s="114">
        <v>14.82894736842105</v>
      </c>
      <c r="H33" s="37"/>
      <c r="I33" s="31">
        <v>2510.924857729548</v>
      </c>
      <c r="J33" s="39">
        <v>36727.595800349154</v>
      </c>
      <c r="K33" s="114">
        <v>14.627118644067798</v>
      </c>
      <c r="L33" s="37"/>
      <c r="M33" s="31" t="s">
        <v>11</v>
      </c>
      <c r="N33" s="39" t="s">
        <v>11</v>
      </c>
      <c r="O33" s="39"/>
      <c r="P33" s="37"/>
      <c r="Q33" s="31">
        <f t="shared" ref="Q33:R34" si="9">+E33+I33</f>
        <v>7525.0156272206259</v>
      </c>
      <c r="R33" s="39">
        <f t="shared" si="9"/>
        <v>111081.28392161816</v>
      </c>
    </row>
    <row r="34" spans="1:18" x14ac:dyDescent="0.25">
      <c r="A34" s="38">
        <v>41639</v>
      </c>
      <c r="B34" s="19">
        <v>41639</v>
      </c>
      <c r="C34" s="13">
        <v>-1.4</v>
      </c>
      <c r="D34" s="112">
        <v>0.73749999999999993</v>
      </c>
      <c r="E34" s="31">
        <v>2969.1741473879547</v>
      </c>
      <c r="F34" s="39">
        <v>44565.623287681476</v>
      </c>
      <c r="G34" s="114">
        <v>15.009433962264152</v>
      </c>
      <c r="H34" s="37"/>
      <c r="I34" s="31">
        <v>1993.9447870968572</v>
      </c>
      <c r="J34" s="39">
        <v>29909.171806452858</v>
      </c>
      <c r="K34" s="114">
        <v>15</v>
      </c>
      <c r="L34" s="37"/>
      <c r="M34" s="31" t="s">
        <v>11</v>
      </c>
      <c r="N34" s="39" t="s">
        <v>11</v>
      </c>
      <c r="O34" s="39"/>
      <c r="P34" s="37"/>
      <c r="Q34" s="31">
        <f t="shared" si="9"/>
        <v>4963.1189344848117</v>
      </c>
      <c r="R34" s="39">
        <f t="shared" si="9"/>
        <v>74474.79509413433</v>
      </c>
    </row>
    <row r="35" spans="1:18" x14ac:dyDescent="0.25">
      <c r="A35" s="38">
        <v>41640</v>
      </c>
      <c r="B35" s="19">
        <v>41640</v>
      </c>
      <c r="C35" s="13">
        <v>-1.7</v>
      </c>
      <c r="D35" s="112">
        <v>0.77013888888888893</v>
      </c>
      <c r="E35" s="31" t="s">
        <v>11</v>
      </c>
      <c r="F35" s="39" t="s">
        <v>11</v>
      </c>
      <c r="G35" s="114" t="s">
        <v>11</v>
      </c>
      <c r="H35" s="37"/>
      <c r="I35" s="31">
        <v>2305.0059077295086</v>
      </c>
      <c r="J35" s="39">
        <v>34784.634607554399</v>
      </c>
      <c r="K35" s="114">
        <v>15.09090909090909</v>
      </c>
      <c r="L35" s="37"/>
      <c r="M35" s="31" t="s">
        <v>11</v>
      </c>
      <c r="N35" s="39" t="s">
        <v>11</v>
      </c>
      <c r="O35" s="39"/>
      <c r="P35" s="37"/>
      <c r="Q35" s="31">
        <f>+I35</f>
        <v>2305.0059077295086</v>
      </c>
      <c r="R35" s="39">
        <f>+J35</f>
        <v>34784.634607554399</v>
      </c>
    </row>
    <row r="36" spans="1:18" x14ac:dyDescent="0.25">
      <c r="A36" s="38">
        <v>41641</v>
      </c>
      <c r="B36" s="19">
        <v>41641</v>
      </c>
      <c r="C36" s="13">
        <v>-1.7</v>
      </c>
      <c r="D36" s="112">
        <v>0.80208333333333337</v>
      </c>
      <c r="E36" s="31" t="s">
        <v>11</v>
      </c>
      <c r="F36" s="39" t="s">
        <v>11</v>
      </c>
      <c r="G36" s="114" t="s">
        <v>11</v>
      </c>
      <c r="H36" s="37"/>
      <c r="I36" s="31">
        <v>254.9626226166977</v>
      </c>
      <c r="J36" s="39">
        <v>2448.8270497836311</v>
      </c>
      <c r="K36" s="114">
        <v>9.604651162790697</v>
      </c>
      <c r="L36" s="37"/>
      <c r="M36" s="31" t="s">
        <v>11</v>
      </c>
      <c r="N36" s="39" t="s">
        <v>11</v>
      </c>
      <c r="O36" s="39"/>
      <c r="P36" s="37"/>
      <c r="Q36" s="31">
        <f t="shared" ref="Q36:R37" si="10">+I36</f>
        <v>254.9626226166977</v>
      </c>
      <c r="R36" s="39">
        <f t="shared" si="10"/>
        <v>2448.8270497836311</v>
      </c>
    </row>
    <row r="37" spans="1:18" x14ac:dyDescent="0.25">
      <c r="A37" s="38">
        <v>41642</v>
      </c>
      <c r="B37" s="19">
        <v>41642</v>
      </c>
      <c r="C37" s="13">
        <v>-1.4</v>
      </c>
      <c r="D37" s="112">
        <v>0.83333333333333337</v>
      </c>
      <c r="E37" s="31" t="s">
        <v>11</v>
      </c>
      <c r="F37" s="39" t="s">
        <v>11</v>
      </c>
      <c r="G37" s="114" t="s">
        <v>11</v>
      </c>
      <c r="H37" s="37"/>
      <c r="I37" s="31">
        <v>886.41280578631176</v>
      </c>
      <c r="J37" s="39">
        <v>13296.192086794676</v>
      </c>
      <c r="K37" s="114">
        <v>14.999999999999998</v>
      </c>
      <c r="L37" s="37"/>
      <c r="M37" s="31" t="s">
        <v>11</v>
      </c>
      <c r="N37" s="39" t="s">
        <v>11</v>
      </c>
      <c r="O37" s="39"/>
      <c r="P37" s="37"/>
      <c r="Q37" s="31">
        <f t="shared" si="10"/>
        <v>886.41280578631176</v>
      </c>
      <c r="R37" s="39">
        <f t="shared" si="10"/>
        <v>13296.192086794676</v>
      </c>
    </row>
    <row r="38" spans="1:18" x14ac:dyDescent="0.25">
      <c r="A38" s="38">
        <v>41643</v>
      </c>
      <c r="B38" s="19">
        <v>41643</v>
      </c>
      <c r="C38" s="13">
        <v>-0.9</v>
      </c>
      <c r="D38" s="112">
        <v>0.86458333333333337</v>
      </c>
      <c r="E38" s="31">
        <v>1269.4116019079102</v>
      </c>
      <c r="F38" s="39">
        <v>19063.842092938437</v>
      </c>
      <c r="G38" s="114">
        <v>15.017857142857144</v>
      </c>
      <c r="H38" s="37"/>
      <c r="I38" s="31">
        <v>666.95772793099195</v>
      </c>
      <c r="J38" s="39">
        <v>10004.365918964879</v>
      </c>
      <c r="K38" s="114">
        <v>15</v>
      </c>
      <c r="L38" s="37"/>
      <c r="M38" s="31" t="s">
        <v>11</v>
      </c>
      <c r="N38" s="39" t="s">
        <v>11</v>
      </c>
      <c r="O38" s="39"/>
      <c r="P38" s="37"/>
      <c r="Q38" s="31">
        <f>+E38+I38</f>
        <v>1936.3693298389021</v>
      </c>
      <c r="R38" s="39">
        <f>+F38+J38</f>
        <v>29068.208011903316</v>
      </c>
    </row>
    <row r="39" spans="1:18" x14ac:dyDescent="0.25">
      <c r="A39" s="162"/>
      <c r="B39" s="162"/>
      <c r="C39" s="162"/>
      <c r="D39" s="163"/>
      <c r="E39" s="35">
        <f>SUM(E32:E38)</f>
        <v>12511.96525829955</v>
      </c>
      <c r="F39" s="36">
        <f>SUM(F32:F38)</f>
        <v>185359.24339409004</v>
      </c>
      <c r="G39" s="115">
        <f>+F39/E39</f>
        <v>14.814558669840924</v>
      </c>
      <c r="H39" s="34">
        <v>120.47</v>
      </c>
      <c r="I39" s="35">
        <f>SUM(I32:I38)</f>
        <v>9835.0988364355107</v>
      </c>
      <c r="J39" s="36">
        <f>SUM(J32:J38)</f>
        <v>145424.13918308352</v>
      </c>
      <c r="K39" s="115">
        <f>+J39/I39</f>
        <v>14.786240748729366</v>
      </c>
      <c r="L39" s="34">
        <v>119.74</v>
      </c>
      <c r="M39" s="35"/>
      <c r="N39" s="36"/>
      <c r="O39" s="36"/>
      <c r="P39" s="34"/>
      <c r="Q39" s="35">
        <f>SUM(Q32:Q38)</f>
        <v>22347.064094735062</v>
      </c>
      <c r="R39" s="36">
        <f>SUM(R32:R38)</f>
        <v>330783.38257717353</v>
      </c>
    </row>
    <row r="40" spans="1:18" x14ac:dyDescent="0.25">
      <c r="A40" s="38">
        <v>41656</v>
      </c>
      <c r="B40" s="19">
        <v>41656</v>
      </c>
      <c r="C40" s="13">
        <v>0</v>
      </c>
      <c r="D40" s="112">
        <v>0.80694444444444446</v>
      </c>
      <c r="E40" s="31" t="s">
        <v>11</v>
      </c>
      <c r="F40" s="39" t="s">
        <v>11</v>
      </c>
      <c r="G40" s="37" t="s">
        <v>11</v>
      </c>
      <c r="H40" s="37"/>
      <c r="I40" s="31">
        <v>419.1138866055789</v>
      </c>
      <c r="J40" s="39">
        <v>4009.5228485267044</v>
      </c>
      <c r="K40" s="114">
        <v>9.5666666666666664</v>
      </c>
      <c r="L40" s="37"/>
      <c r="M40" s="31" t="s">
        <v>11</v>
      </c>
      <c r="N40" s="39" t="s">
        <v>11</v>
      </c>
      <c r="O40" s="39"/>
      <c r="P40" s="37"/>
      <c r="Q40" s="31">
        <f>+I40</f>
        <v>419.1138866055789</v>
      </c>
      <c r="R40" s="39">
        <f>+J40</f>
        <v>4009.5228485267044</v>
      </c>
    </row>
    <row r="41" spans="1:18" x14ac:dyDescent="0.25">
      <c r="A41" s="38">
        <v>41657</v>
      </c>
      <c r="B41" s="19">
        <v>41657</v>
      </c>
      <c r="C41" s="13">
        <v>0.2</v>
      </c>
      <c r="D41" s="113">
        <v>0.82847222222222217</v>
      </c>
      <c r="E41" s="31" t="s">
        <v>11</v>
      </c>
      <c r="F41" s="39" t="s">
        <v>11</v>
      </c>
      <c r="G41" s="37" t="s">
        <v>11</v>
      </c>
      <c r="H41" s="37"/>
      <c r="I41" s="31">
        <v>966.00307507807975</v>
      </c>
      <c r="J41" s="39">
        <v>10291.648146024158</v>
      </c>
      <c r="K41" s="114">
        <v>10.653846153846153</v>
      </c>
      <c r="L41" s="37"/>
      <c r="M41" s="31" t="s">
        <v>11</v>
      </c>
      <c r="N41" s="39" t="s">
        <v>11</v>
      </c>
      <c r="O41" s="39"/>
      <c r="P41" s="37"/>
      <c r="Q41" s="31">
        <f>+I41</f>
        <v>966.00307507807975</v>
      </c>
      <c r="R41" s="39">
        <f>+J41</f>
        <v>10291.648146024158</v>
      </c>
    </row>
    <row r="42" spans="1:18" x14ac:dyDescent="0.25">
      <c r="A42" s="162"/>
      <c r="B42" s="162"/>
      <c r="C42" s="162"/>
      <c r="D42" s="163"/>
      <c r="E42" s="35"/>
      <c r="F42" s="36"/>
      <c r="G42" s="115"/>
      <c r="H42" s="34"/>
      <c r="I42" s="35">
        <f>SUM(I40:I41)</f>
        <v>1385.1169616836587</v>
      </c>
      <c r="J42" s="36">
        <f>SUM(J40:J41)</f>
        <v>14301.170994550863</v>
      </c>
      <c r="K42" s="115">
        <f>+J42/I42</f>
        <v>10.324883306004198</v>
      </c>
      <c r="L42" s="34"/>
      <c r="M42" s="35"/>
      <c r="N42" s="36"/>
      <c r="O42" s="36"/>
      <c r="P42" s="34"/>
      <c r="Q42" s="35">
        <f>SUM(Q40:Q41)</f>
        <v>1385.1169616836587</v>
      </c>
      <c r="R42" s="36">
        <f>SUM(R40:R41)</f>
        <v>14301.170994550863</v>
      </c>
    </row>
    <row r="43" spans="1:18" x14ac:dyDescent="0.25">
      <c r="A43" s="38">
        <v>41669</v>
      </c>
      <c r="B43" s="19">
        <v>41669</v>
      </c>
      <c r="C43" s="13">
        <v>-1.4</v>
      </c>
      <c r="D43" s="112">
        <v>0.75763888888888886</v>
      </c>
      <c r="E43" s="31" t="s">
        <v>11</v>
      </c>
      <c r="F43" s="39" t="s">
        <v>11</v>
      </c>
      <c r="G43" s="114" t="s">
        <v>11</v>
      </c>
      <c r="H43" s="37"/>
      <c r="I43" s="31">
        <v>749.12692001209018</v>
      </c>
      <c r="J43" s="39">
        <v>11236.903800181353</v>
      </c>
      <c r="K43" s="114">
        <v>15</v>
      </c>
      <c r="L43" s="37"/>
      <c r="M43" s="31" t="s">
        <v>11</v>
      </c>
      <c r="N43" s="39" t="s">
        <v>11</v>
      </c>
      <c r="O43" s="39"/>
      <c r="P43" s="37"/>
      <c r="Q43" s="31">
        <f>+I43</f>
        <v>749.12692001209018</v>
      </c>
      <c r="R43" s="39">
        <f>+J43</f>
        <v>11236.903800181353</v>
      </c>
    </row>
    <row r="44" spans="1:18" x14ac:dyDescent="0.25">
      <c r="A44" s="38">
        <v>41670</v>
      </c>
      <c r="B44" s="19">
        <v>41670</v>
      </c>
      <c r="C44" s="13">
        <v>-1.4</v>
      </c>
      <c r="D44" s="112">
        <v>0.78819444444444453</v>
      </c>
      <c r="E44" s="31" t="s">
        <v>11</v>
      </c>
      <c r="F44" s="39" t="s">
        <v>11</v>
      </c>
      <c r="G44" s="114" t="s">
        <v>11</v>
      </c>
      <c r="H44" s="37"/>
      <c r="I44" s="31">
        <v>1701.3093661648436</v>
      </c>
      <c r="J44" s="39">
        <v>25416.530833917212</v>
      </c>
      <c r="K44" s="114">
        <v>14.939393939393941</v>
      </c>
      <c r="L44" s="37"/>
      <c r="M44" s="31" t="s">
        <v>11</v>
      </c>
      <c r="N44" s="39" t="s">
        <v>11</v>
      </c>
      <c r="O44" s="39"/>
      <c r="P44" s="37"/>
      <c r="Q44" s="31">
        <f>+I44</f>
        <v>1701.3093661648436</v>
      </c>
      <c r="R44" s="39">
        <f>+J44</f>
        <v>25416.530833917212</v>
      </c>
    </row>
    <row r="45" spans="1:18" x14ac:dyDescent="0.25">
      <c r="A45" s="38">
        <v>41671</v>
      </c>
      <c r="B45" s="19">
        <v>41671</v>
      </c>
      <c r="C45" s="13">
        <v>-1.1000000000000001</v>
      </c>
      <c r="D45" s="112">
        <v>0.81805555555555554</v>
      </c>
      <c r="E45" s="31">
        <v>2599.6788161412205</v>
      </c>
      <c r="F45" s="39">
        <v>38995.18224211831</v>
      </c>
      <c r="G45" s="114">
        <v>15</v>
      </c>
      <c r="H45" s="37"/>
      <c r="I45" s="31">
        <v>1451.1657784691124</v>
      </c>
      <c r="J45" s="39">
        <v>18269.805057136775</v>
      </c>
      <c r="K45" s="114">
        <v>12.589743589743589</v>
      </c>
      <c r="L45" s="37"/>
      <c r="M45" s="31" t="s">
        <v>11</v>
      </c>
      <c r="N45" s="39" t="s">
        <v>11</v>
      </c>
      <c r="O45" s="39"/>
      <c r="P45" s="37"/>
      <c r="Q45" s="31">
        <f>+E45+I45</f>
        <v>4050.8445946103329</v>
      </c>
      <c r="R45" s="39">
        <f>+F45+J45</f>
        <v>57264.987299255081</v>
      </c>
    </row>
    <row r="46" spans="1:18" x14ac:dyDescent="0.25">
      <c r="A46" s="38">
        <v>41672</v>
      </c>
      <c r="B46" s="19">
        <v>41672</v>
      </c>
      <c r="C46" s="13">
        <v>-0.5</v>
      </c>
      <c r="D46" s="112">
        <v>0.84722222222222221</v>
      </c>
      <c r="E46" s="31" t="s">
        <v>11</v>
      </c>
      <c r="F46" s="39" t="s">
        <v>11</v>
      </c>
      <c r="G46" s="114" t="s">
        <v>11</v>
      </c>
      <c r="H46" s="37"/>
      <c r="I46" s="31">
        <v>182.63810096784638</v>
      </c>
      <c r="J46" s="39">
        <v>2739.5715145176955</v>
      </c>
      <c r="K46" s="114">
        <v>14.999999999999998</v>
      </c>
      <c r="L46" s="37"/>
      <c r="M46" s="31" t="s">
        <v>11</v>
      </c>
      <c r="N46" s="39" t="s">
        <v>11</v>
      </c>
      <c r="O46" s="39"/>
      <c r="P46" s="37"/>
      <c r="Q46" s="31">
        <f>+I46</f>
        <v>182.63810096784638</v>
      </c>
      <c r="R46" s="39">
        <f>+J46</f>
        <v>2739.5715145176955</v>
      </c>
    </row>
    <row r="47" spans="1:18" x14ac:dyDescent="0.25">
      <c r="A47" s="162"/>
      <c r="B47" s="162"/>
      <c r="C47" s="162"/>
      <c r="D47" s="163"/>
      <c r="E47" s="35">
        <f>SUM(E45:E46)</f>
        <v>2599.6788161412205</v>
      </c>
      <c r="F47" s="36">
        <f>SUM(F45:F46)</f>
        <v>38995.18224211831</v>
      </c>
      <c r="G47" s="115">
        <f>+F47/E47</f>
        <v>15</v>
      </c>
      <c r="H47" s="34"/>
      <c r="I47" s="35">
        <f>SUM(I43:I46)</f>
        <v>4084.2401656138923</v>
      </c>
      <c r="J47" s="36">
        <f>SUM(J43:J46)</f>
        <v>57662.811205753038</v>
      </c>
      <c r="K47" s="115">
        <f>+J47/I47</f>
        <v>14.118369358204937</v>
      </c>
      <c r="L47" s="34">
        <v>124.32</v>
      </c>
      <c r="M47" s="35"/>
      <c r="N47" s="36"/>
      <c r="O47" s="36"/>
      <c r="P47" s="34"/>
      <c r="Q47" s="35">
        <f>SUM(Q43:Q46)</f>
        <v>6683.9189817551123</v>
      </c>
      <c r="R47" s="36">
        <f>SUM(R43:R46)</f>
        <v>96657.99344787134</v>
      </c>
    </row>
    <row r="48" spans="1:18" x14ac:dyDescent="0.25">
      <c r="A48" s="38">
        <v>41697</v>
      </c>
      <c r="B48" s="19">
        <v>41697</v>
      </c>
      <c r="C48" s="13">
        <v>-0.7</v>
      </c>
      <c r="D48" s="112">
        <v>0.71111111111111114</v>
      </c>
      <c r="E48" s="31" t="s">
        <v>11</v>
      </c>
      <c r="F48" s="39" t="s">
        <v>11</v>
      </c>
      <c r="G48" s="114" t="s">
        <v>11</v>
      </c>
      <c r="H48" s="37"/>
      <c r="I48" s="31">
        <v>1526.4368325945477</v>
      </c>
      <c r="J48" s="39">
        <v>22836.692220973335</v>
      </c>
      <c r="K48" s="114">
        <v>14.960784313725492</v>
      </c>
      <c r="L48" s="37"/>
      <c r="M48" s="31" t="s">
        <v>11</v>
      </c>
      <c r="N48" s="39" t="s">
        <v>11</v>
      </c>
      <c r="O48" s="39"/>
      <c r="P48" s="37"/>
      <c r="Q48" s="31">
        <f>+I48</f>
        <v>1526.4368325945477</v>
      </c>
      <c r="R48" s="39">
        <f>+J48</f>
        <v>22836.692220973335</v>
      </c>
    </row>
    <row r="49" spans="1:18" x14ac:dyDescent="0.25">
      <c r="A49" s="38">
        <v>41698</v>
      </c>
      <c r="B49" s="19">
        <v>41698</v>
      </c>
      <c r="C49" s="13">
        <v>-0.8</v>
      </c>
      <c r="D49" s="112">
        <v>0.74236111111111114</v>
      </c>
      <c r="E49" s="31" t="s">
        <v>11</v>
      </c>
      <c r="F49" s="39" t="s">
        <v>11</v>
      </c>
      <c r="G49" s="114" t="s">
        <v>11</v>
      </c>
      <c r="H49" s="37"/>
      <c r="I49" s="31">
        <v>2733.2417075142439</v>
      </c>
      <c r="J49" s="39">
        <v>41076.718232928353</v>
      </c>
      <c r="K49" s="114">
        <v>15.028571428571428</v>
      </c>
      <c r="L49" s="37"/>
      <c r="M49" s="31" t="s">
        <v>11</v>
      </c>
      <c r="N49" s="39" t="s">
        <v>11</v>
      </c>
      <c r="O49" s="39"/>
      <c r="P49" s="37"/>
      <c r="Q49" s="31">
        <f>+I49</f>
        <v>2733.2417075142439</v>
      </c>
      <c r="R49" s="39">
        <f>+J49</f>
        <v>41076.718232928353</v>
      </c>
    </row>
    <row r="50" spans="1:18" x14ac:dyDescent="0.25">
      <c r="A50" s="38">
        <v>41699</v>
      </c>
      <c r="B50" s="19">
        <v>41699</v>
      </c>
      <c r="C50" s="13">
        <v>-0.7</v>
      </c>
      <c r="D50" s="112">
        <v>0.77222222222222225</v>
      </c>
      <c r="E50" s="31">
        <v>5525.1705094836461</v>
      </c>
      <c r="F50" s="39">
        <v>82427.834461250211</v>
      </c>
      <c r="G50" s="114">
        <v>14.918604651162791</v>
      </c>
      <c r="H50" s="37"/>
      <c r="I50" s="31">
        <v>2883.5208636981943</v>
      </c>
      <c r="J50" s="39">
        <v>37903.122932032842</v>
      </c>
      <c r="K50" s="114">
        <v>13.144736842105264</v>
      </c>
      <c r="L50" s="37"/>
      <c r="M50" s="31" t="s">
        <v>11</v>
      </c>
      <c r="N50" s="39" t="s">
        <v>11</v>
      </c>
      <c r="O50" s="39"/>
      <c r="P50" s="37"/>
      <c r="Q50" s="31">
        <f>+E50+I50</f>
        <v>8408.6913731818404</v>
      </c>
      <c r="R50" s="39">
        <f>+F50+J50</f>
        <v>120330.95739328305</v>
      </c>
    </row>
    <row r="51" spans="1:18" x14ac:dyDescent="0.25">
      <c r="A51" s="38">
        <v>41700</v>
      </c>
      <c r="B51" s="19">
        <v>41700</v>
      </c>
      <c r="C51" s="13">
        <v>-0.3</v>
      </c>
      <c r="D51" s="112">
        <v>0.80069444444444438</v>
      </c>
      <c r="E51" s="31" t="s">
        <v>11</v>
      </c>
      <c r="F51" s="39" t="s">
        <v>11</v>
      </c>
      <c r="G51" s="114" t="s">
        <v>11</v>
      </c>
      <c r="H51" s="37"/>
      <c r="I51" s="31">
        <v>476.42158375660358</v>
      </c>
      <c r="J51" s="39">
        <v>6720.0518129878819</v>
      </c>
      <c r="K51" s="114">
        <v>14.105263157894736</v>
      </c>
      <c r="L51" s="37"/>
      <c r="M51" s="31" t="s">
        <v>11</v>
      </c>
      <c r="N51" s="39" t="s">
        <v>11</v>
      </c>
      <c r="O51" s="39"/>
      <c r="P51" s="37"/>
      <c r="Q51" s="31">
        <f>+I51</f>
        <v>476.42158375660358</v>
      </c>
      <c r="R51" s="39">
        <f>+J51</f>
        <v>6720.0518129878819</v>
      </c>
    </row>
    <row r="52" spans="1:18" x14ac:dyDescent="0.25">
      <c r="A52" s="162"/>
      <c r="B52" s="162"/>
      <c r="C52" s="162"/>
      <c r="D52" s="163"/>
      <c r="E52" s="35">
        <f>SUM(E50:E51)</f>
        <v>5525.1705094836461</v>
      </c>
      <c r="F52" s="36">
        <f>SUM(F50:F51)</f>
        <v>82427.834461250211</v>
      </c>
      <c r="G52" s="115">
        <f>+F52/E52</f>
        <v>14.918604651162791</v>
      </c>
      <c r="H52" s="34">
        <v>125.47</v>
      </c>
      <c r="I52" s="35">
        <f>SUM(I48:I51)</f>
        <v>7619.6209875635896</v>
      </c>
      <c r="J52" s="36">
        <f>SUM(J48:J51)</f>
        <v>108536.5851989224</v>
      </c>
      <c r="K52" s="115">
        <f>+J52/I52</f>
        <v>14.244354853879353</v>
      </c>
      <c r="L52" s="34">
        <v>115.5</v>
      </c>
      <c r="M52" s="35"/>
      <c r="N52" s="36"/>
      <c r="O52" s="36"/>
      <c r="P52" s="34"/>
      <c r="Q52" s="35">
        <f>SUM(Q48:Q51)</f>
        <v>13144.791497047237</v>
      </c>
      <c r="R52" s="36">
        <f>SUM(R48:R51)</f>
        <v>190964.41966017263</v>
      </c>
    </row>
    <row r="53" spans="1:18" x14ac:dyDescent="0.25">
      <c r="A53" s="38">
        <v>41726</v>
      </c>
      <c r="B53" s="19">
        <f t="shared" ref="B53:B55" si="11">+A53</f>
        <v>41726</v>
      </c>
      <c r="C53" s="13">
        <v>0</v>
      </c>
      <c r="D53" s="112">
        <v>0.73472222222222217</v>
      </c>
      <c r="E53" s="31" t="s">
        <v>11</v>
      </c>
      <c r="F53" s="39" t="s">
        <v>11</v>
      </c>
      <c r="G53" s="114" t="s">
        <v>11</v>
      </c>
      <c r="H53" s="37"/>
      <c r="I53" s="31">
        <v>2138.531717730204</v>
      </c>
      <c r="J53" s="39">
        <v>32077.975765953051</v>
      </c>
      <c r="K53" s="114">
        <v>14.999999999999996</v>
      </c>
      <c r="L53" s="37"/>
      <c r="M53" s="31" t="s">
        <v>11</v>
      </c>
      <c r="N53" s="39" t="s">
        <v>11</v>
      </c>
      <c r="O53" s="39"/>
      <c r="P53" s="37"/>
      <c r="Q53" s="31">
        <f t="shared" ref="Q53:R55" si="12">+I53</f>
        <v>2138.531717730204</v>
      </c>
      <c r="R53" s="39">
        <f t="shared" si="12"/>
        <v>32077.975765953051</v>
      </c>
    </row>
    <row r="54" spans="1:18" x14ac:dyDescent="0.25">
      <c r="A54" s="38">
        <v>41727</v>
      </c>
      <c r="B54" s="19">
        <f t="shared" si="11"/>
        <v>41727</v>
      </c>
      <c r="C54" s="13">
        <v>0</v>
      </c>
      <c r="D54" s="112">
        <v>0.76597222222222217</v>
      </c>
      <c r="E54" s="31" t="s">
        <v>11</v>
      </c>
      <c r="F54" s="39" t="s">
        <v>11</v>
      </c>
      <c r="G54" s="114" t="s">
        <v>11</v>
      </c>
      <c r="H54" s="37"/>
      <c r="I54" s="31">
        <v>8271.0700857671382</v>
      </c>
      <c r="J54" s="39">
        <v>56416.1049133669</v>
      </c>
      <c r="K54" s="114">
        <v>6.8208955223880601</v>
      </c>
      <c r="L54" s="37"/>
      <c r="M54" s="31" t="s">
        <v>11</v>
      </c>
      <c r="N54" s="39" t="s">
        <v>11</v>
      </c>
      <c r="O54" s="39"/>
      <c r="P54" s="37"/>
      <c r="Q54" s="31">
        <f t="shared" si="12"/>
        <v>8271.0700857671382</v>
      </c>
      <c r="R54" s="39">
        <f t="shared" si="12"/>
        <v>56416.1049133669</v>
      </c>
    </row>
    <row r="55" spans="1:18" x14ac:dyDescent="0.25">
      <c r="A55" s="38">
        <v>41728</v>
      </c>
      <c r="B55" s="19">
        <f t="shared" si="11"/>
        <v>41728</v>
      </c>
      <c r="C55" s="13">
        <v>-0.1</v>
      </c>
      <c r="D55" s="112">
        <v>0.28680555555555554</v>
      </c>
      <c r="E55" s="31" t="s">
        <v>11</v>
      </c>
      <c r="F55" s="39" t="s">
        <v>11</v>
      </c>
      <c r="G55" s="114" t="s">
        <v>11</v>
      </c>
      <c r="H55" s="37"/>
      <c r="I55" s="31">
        <v>2266.0919190755599</v>
      </c>
      <c r="J55" s="39">
        <v>30296.663700684116</v>
      </c>
      <c r="K55" s="114">
        <v>13.369565217391305</v>
      </c>
      <c r="L55" s="37"/>
      <c r="M55" s="31" t="s">
        <v>11</v>
      </c>
      <c r="N55" s="39" t="s">
        <v>11</v>
      </c>
      <c r="O55" s="39"/>
      <c r="P55" s="37"/>
      <c r="Q55" s="31">
        <f t="shared" si="12"/>
        <v>2266.0919190755599</v>
      </c>
      <c r="R55" s="39">
        <f t="shared" si="12"/>
        <v>30296.663700684116</v>
      </c>
    </row>
    <row r="56" spans="1:18" x14ac:dyDescent="0.25">
      <c r="A56" s="162"/>
      <c r="B56" s="162"/>
      <c r="C56" s="162"/>
      <c r="D56" s="163"/>
      <c r="E56" s="35"/>
      <c r="F56" s="36"/>
      <c r="G56" s="115"/>
      <c r="H56" s="34"/>
      <c r="I56" s="35">
        <f>SUM(I53:I55)</f>
        <v>12675.693722572902</v>
      </c>
      <c r="J56" s="36">
        <f>SUM(J53:J55)</f>
        <v>118790.74438000406</v>
      </c>
      <c r="K56" s="115">
        <f>+J56/I56</f>
        <v>9.3715379197322566</v>
      </c>
      <c r="L56" s="34"/>
      <c r="M56" s="35"/>
      <c r="N56" s="36"/>
      <c r="O56" s="36"/>
      <c r="P56" s="34"/>
      <c r="Q56" s="35">
        <f>SUM(Q53:Q55)</f>
        <v>12675.693722572902</v>
      </c>
      <c r="R56" s="36">
        <f>SUM(R53:R55)</f>
        <v>118790.74438000406</v>
      </c>
    </row>
    <row r="57" spans="1:18" x14ac:dyDescent="0.25">
      <c r="A57" s="38">
        <v>41747</v>
      </c>
      <c r="B57" s="19">
        <v>41747</v>
      </c>
      <c r="C57" s="13">
        <v>-0.8</v>
      </c>
      <c r="D57" s="112">
        <v>0.39305555555555555</v>
      </c>
      <c r="E57" s="31" t="s">
        <v>11</v>
      </c>
      <c r="F57" s="39" t="s">
        <v>11</v>
      </c>
      <c r="G57" s="114" t="s">
        <v>11</v>
      </c>
      <c r="H57" s="37"/>
      <c r="I57" s="31">
        <v>2091.1277863219411</v>
      </c>
      <c r="J57" s="39">
        <v>31366.916794829118</v>
      </c>
      <c r="K57" s="114">
        <v>15</v>
      </c>
      <c r="L57" s="37"/>
      <c r="M57" s="31" t="s">
        <v>11</v>
      </c>
      <c r="N57" s="39" t="s">
        <v>11</v>
      </c>
      <c r="O57" s="39"/>
      <c r="P57" s="37"/>
      <c r="Q57" s="31">
        <f>+I57</f>
        <v>2091.1277863219411</v>
      </c>
      <c r="R57" s="39">
        <f>+J57</f>
        <v>31366.916794829118</v>
      </c>
    </row>
    <row r="58" spans="1:18" x14ac:dyDescent="0.25">
      <c r="A58" s="38">
        <v>41748</v>
      </c>
      <c r="B58" s="19">
        <v>41748</v>
      </c>
      <c r="C58" s="13">
        <v>-0.7</v>
      </c>
      <c r="D58" s="112">
        <v>0.42638888888888887</v>
      </c>
      <c r="E58" s="31">
        <v>4863.2948910071673</v>
      </c>
      <c r="F58" s="39">
        <v>54942.088228135035</v>
      </c>
      <c r="G58" s="114">
        <v>11.2972972972973</v>
      </c>
      <c r="H58" s="37"/>
      <c r="I58" s="31">
        <v>2399.9803649771493</v>
      </c>
      <c r="J58" s="39">
        <v>32718.998370238933</v>
      </c>
      <c r="K58" s="114">
        <v>13.633027522935778</v>
      </c>
      <c r="L58" s="37"/>
      <c r="M58" s="31" t="s">
        <v>11</v>
      </c>
      <c r="N58" s="39" t="s">
        <v>11</v>
      </c>
      <c r="O58" s="39"/>
      <c r="P58" s="37"/>
      <c r="Q58" s="31">
        <f>+E58+I58</f>
        <v>7263.2752559843166</v>
      </c>
      <c r="R58" s="39">
        <f>+F58+J58</f>
        <v>87661.086598373964</v>
      </c>
    </row>
    <row r="59" spans="1:18" x14ac:dyDescent="0.25">
      <c r="A59" s="38">
        <v>41749</v>
      </c>
      <c r="B59" s="19">
        <v>41749</v>
      </c>
      <c r="C59" s="13">
        <v>-0.4</v>
      </c>
      <c r="D59" s="112">
        <v>0.46249999999999997</v>
      </c>
      <c r="E59" s="31">
        <v>4057.3215386772376</v>
      </c>
      <c r="F59" s="39">
        <v>38435.876361933486</v>
      </c>
      <c r="G59" s="114">
        <v>9.4732142857142883</v>
      </c>
      <c r="H59" s="37"/>
      <c r="I59" s="31">
        <v>2348.1208288148027</v>
      </c>
      <c r="J59" s="39">
        <v>34294.922631374095</v>
      </c>
      <c r="K59" s="114">
        <v>14.605263157894738</v>
      </c>
      <c r="L59" s="37"/>
      <c r="M59" s="31" t="s">
        <v>11</v>
      </c>
      <c r="N59" s="39" t="s">
        <v>11</v>
      </c>
      <c r="O59" s="39"/>
      <c r="P59" s="37"/>
      <c r="Q59" s="31">
        <f>+E59+I59</f>
        <v>6405.4423674920399</v>
      </c>
      <c r="R59" s="39">
        <f>+F59+J59</f>
        <v>72730.798993307573</v>
      </c>
    </row>
    <row r="60" spans="1:18" x14ac:dyDescent="0.25">
      <c r="A60" s="162"/>
      <c r="B60" s="162"/>
      <c r="C60" s="162"/>
      <c r="D60" s="163"/>
      <c r="E60" s="35">
        <f>SUM(E58:E59)</f>
        <v>8920.6164296844054</v>
      </c>
      <c r="F60" s="36">
        <f>SUM(F58:F59)</f>
        <v>93377.964590068528</v>
      </c>
      <c r="G60" s="115">
        <f>+F60/E60</f>
        <v>10.467658297619693</v>
      </c>
      <c r="H60" s="34"/>
      <c r="I60" s="35">
        <f>SUM(I57:I59)</f>
        <v>6839.2289801138932</v>
      </c>
      <c r="J60" s="36">
        <f>SUM(J57:J59)</f>
        <v>98380.837796442152</v>
      </c>
      <c r="K60" s="115">
        <f>+J60/I60</f>
        <v>14.38478490521366</v>
      </c>
      <c r="L60" s="34"/>
      <c r="M60" s="35"/>
      <c r="N60" s="36"/>
      <c r="O60" s="36"/>
      <c r="P60" s="34"/>
      <c r="Q60" s="35">
        <f>SUM(Q57:Q59)</f>
        <v>15759.845409798298</v>
      </c>
      <c r="R60" s="36">
        <f>SUM(R57:R59)</f>
        <v>191758.80238651065</v>
      </c>
    </row>
    <row r="61" spans="1:18" x14ac:dyDescent="0.25">
      <c r="A61" s="128">
        <v>41761</v>
      </c>
      <c r="B61" s="19">
        <v>41761</v>
      </c>
      <c r="C61" s="63">
        <v>-0.7</v>
      </c>
      <c r="D61" s="129">
        <v>0.39097222222222222</v>
      </c>
      <c r="E61" s="31" t="s">
        <v>11</v>
      </c>
      <c r="F61" s="39" t="s">
        <v>11</v>
      </c>
      <c r="G61" s="114" t="s">
        <v>11</v>
      </c>
      <c r="H61" s="37"/>
      <c r="I61" s="31">
        <v>1003.4488247293588</v>
      </c>
      <c r="J61" s="39">
        <v>14750.697723521576</v>
      </c>
      <c r="K61" s="114">
        <v>14.700000000000003</v>
      </c>
      <c r="L61" s="37"/>
      <c r="M61" s="31"/>
      <c r="N61" s="39"/>
      <c r="O61" s="39"/>
      <c r="P61" s="37"/>
      <c r="Q61" s="31">
        <f>+I61</f>
        <v>1003.4488247293588</v>
      </c>
      <c r="R61" s="39">
        <f>+J61</f>
        <v>14750.697723521576</v>
      </c>
    </row>
    <row r="62" spans="1:18" x14ac:dyDescent="0.25">
      <c r="A62" s="128">
        <v>41762</v>
      </c>
      <c r="B62" s="19">
        <v>41762</v>
      </c>
      <c r="C62" s="63">
        <v>-0.3</v>
      </c>
      <c r="D62" s="129">
        <v>0.41944444444444445</v>
      </c>
      <c r="E62" s="31" t="s">
        <v>11</v>
      </c>
      <c r="F62" s="39" t="s">
        <v>11</v>
      </c>
      <c r="G62" s="114" t="s">
        <v>11</v>
      </c>
      <c r="H62" s="37"/>
      <c r="I62" s="31">
        <v>2465.4833304174044</v>
      </c>
      <c r="J62" s="39">
        <v>34057.100242206514</v>
      </c>
      <c r="K62" s="114">
        <v>13.813559322033896</v>
      </c>
      <c r="L62" s="37"/>
      <c r="M62" s="31"/>
      <c r="N62" s="39"/>
      <c r="O62" s="39"/>
      <c r="P62" s="37"/>
      <c r="Q62" s="31">
        <f t="shared" ref="Q62:Q63" si="13">+I62</f>
        <v>2465.4833304174044</v>
      </c>
      <c r="R62" s="39">
        <f t="shared" ref="R62:R63" si="14">+J62</f>
        <v>34057.100242206514</v>
      </c>
    </row>
    <row r="63" spans="1:18" x14ac:dyDescent="0.25">
      <c r="A63" s="128">
        <v>41763</v>
      </c>
      <c r="B63" s="19">
        <v>41763</v>
      </c>
      <c r="C63" s="63">
        <v>0.1</v>
      </c>
      <c r="D63" s="129">
        <v>0.44930555555555557</v>
      </c>
      <c r="E63" s="31" t="s">
        <v>11</v>
      </c>
      <c r="F63" s="39" t="s">
        <v>11</v>
      </c>
      <c r="G63" s="114" t="s">
        <v>11</v>
      </c>
      <c r="H63" s="37"/>
      <c r="I63" s="31">
        <v>1192.9298528032537</v>
      </c>
      <c r="J63" s="39">
        <v>10552.841005567243</v>
      </c>
      <c r="K63" s="114">
        <v>8.8461538461538449</v>
      </c>
      <c r="L63" s="37"/>
      <c r="M63" s="31"/>
      <c r="N63" s="39"/>
      <c r="O63" s="39"/>
      <c r="P63" s="37"/>
      <c r="Q63" s="31">
        <f t="shared" si="13"/>
        <v>1192.9298528032537</v>
      </c>
      <c r="R63" s="39">
        <f t="shared" si="14"/>
        <v>10552.841005567243</v>
      </c>
    </row>
    <row r="64" spans="1:18" x14ac:dyDescent="0.25">
      <c r="A64" s="126"/>
      <c r="B64" s="127"/>
      <c r="C64" s="127"/>
      <c r="D64" s="127"/>
      <c r="E64" s="35"/>
      <c r="F64" s="36"/>
      <c r="G64" s="115"/>
      <c r="H64" s="34"/>
      <c r="I64" s="35">
        <v>4661.862007950017</v>
      </c>
      <c r="J64" s="36">
        <v>59360.638971295331</v>
      </c>
      <c r="K64" s="115">
        <v>12.733246687711006</v>
      </c>
      <c r="L64" s="34"/>
      <c r="M64" s="35"/>
      <c r="N64" s="36"/>
      <c r="O64" s="36"/>
      <c r="P64" s="34"/>
      <c r="Q64" s="35">
        <f>SUM(Q61:Q63)</f>
        <v>4661.862007950017</v>
      </c>
      <c r="R64" s="36">
        <f>SUM(R61:R63)</f>
        <v>59360.638971295331</v>
      </c>
    </row>
    <row r="65" spans="1:18" x14ac:dyDescent="0.25">
      <c r="A65" s="38">
        <v>41775</v>
      </c>
      <c r="B65" s="19">
        <v>41775</v>
      </c>
      <c r="C65" s="13">
        <v>-1.7</v>
      </c>
      <c r="D65" s="112">
        <v>0.3520833333333333</v>
      </c>
      <c r="E65" s="31">
        <v>1602.3792133976617</v>
      </c>
      <c r="F65" s="39">
        <v>24085.762551383606</v>
      </c>
      <c r="G65" s="114">
        <v>15.031250000000002</v>
      </c>
      <c r="H65" s="37"/>
      <c r="I65" s="31" t="s">
        <v>11</v>
      </c>
      <c r="J65" s="39" t="s">
        <v>11</v>
      </c>
      <c r="K65" s="114" t="s">
        <v>11</v>
      </c>
      <c r="L65" s="37"/>
      <c r="M65" s="31" t="s">
        <v>11</v>
      </c>
      <c r="N65" s="39" t="s">
        <v>11</v>
      </c>
      <c r="O65" s="39"/>
      <c r="P65" s="37"/>
      <c r="Q65" s="31">
        <f>+E65</f>
        <v>1602.3792133976617</v>
      </c>
      <c r="R65" s="39">
        <f>+F65</f>
        <v>24085.762551383606</v>
      </c>
    </row>
    <row r="66" spans="1:18" x14ac:dyDescent="0.25">
      <c r="A66" s="38">
        <v>41776</v>
      </c>
      <c r="B66" s="19">
        <v>41776</v>
      </c>
      <c r="C66" s="13">
        <v>-1.7</v>
      </c>
      <c r="D66" s="112">
        <v>0.3833333333333333</v>
      </c>
      <c r="E66" s="31">
        <v>3576.1977735191713</v>
      </c>
      <c r="F66" s="39">
        <v>54313.503685322423</v>
      </c>
      <c r="G66" s="114">
        <v>15.187500000000002</v>
      </c>
      <c r="H66" s="37"/>
      <c r="I66" s="31">
        <v>1126.418181948158</v>
      </c>
      <c r="J66" s="39">
        <v>16896.272729222372</v>
      </c>
      <c r="K66" s="114">
        <v>15.000000000000002</v>
      </c>
      <c r="L66" s="37"/>
      <c r="M66" s="31" t="s">
        <v>11</v>
      </c>
      <c r="N66" s="39" t="s">
        <v>11</v>
      </c>
      <c r="O66" s="39"/>
      <c r="P66" s="37"/>
      <c r="Q66" s="31">
        <f>+E66+I66</f>
        <v>4702.6159554673295</v>
      </c>
      <c r="R66" s="39">
        <f>+F66+J66</f>
        <v>71209.776414544787</v>
      </c>
    </row>
    <row r="67" spans="1:18" x14ac:dyDescent="0.25">
      <c r="A67" s="38">
        <v>41777</v>
      </c>
      <c r="B67" s="19">
        <v>41777</v>
      </c>
      <c r="C67" s="13">
        <v>-1.5</v>
      </c>
      <c r="D67" s="112">
        <v>0.41597222222222219</v>
      </c>
      <c r="E67" s="31">
        <v>2232.0499974184227</v>
      </c>
      <c r="F67" s="39">
        <v>33480.749961276335</v>
      </c>
      <c r="G67" s="114">
        <v>14.999999999999998</v>
      </c>
      <c r="H67" s="37"/>
      <c r="I67" s="31">
        <v>1400.9596058563534</v>
      </c>
      <c r="J67" s="39">
        <v>21014.394087845296</v>
      </c>
      <c r="K67" s="114">
        <v>14.999999999999996</v>
      </c>
      <c r="L67" s="37"/>
      <c r="M67" s="31" t="s">
        <v>11</v>
      </c>
      <c r="N67" s="39" t="s">
        <v>11</v>
      </c>
      <c r="O67" s="39"/>
      <c r="P67" s="37"/>
      <c r="Q67" s="31">
        <f>+E67+I67</f>
        <v>3633.0096032747761</v>
      </c>
      <c r="R67" s="39">
        <f>+F67+J67</f>
        <v>54495.144049121634</v>
      </c>
    </row>
    <row r="68" spans="1:18" x14ac:dyDescent="0.25">
      <c r="A68" s="162"/>
      <c r="B68" s="162"/>
      <c r="C68" s="162"/>
      <c r="D68" s="163"/>
      <c r="E68" s="35">
        <f>SUM(E65:E67)</f>
        <v>7410.6269843352547</v>
      </c>
      <c r="F68" s="36">
        <f>SUM(F65:F67)</f>
        <v>111880.01619798236</v>
      </c>
      <c r="G68" s="115">
        <f>+F68/E68</f>
        <v>15.09724027865345</v>
      </c>
      <c r="H68" s="34"/>
      <c r="I68" s="35">
        <f>SUM(I66:I67)</f>
        <v>2527.3777878045112</v>
      </c>
      <c r="J68" s="36">
        <f>SUM(J66:J67)</f>
        <v>37910.666817067671</v>
      </c>
      <c r="K68" s="115">
        <f>+J68/I68</f>
        <v>15.000000000000002</v>
      </c>
      <c r="L68" s="34"/>
      <c r="M68" s="35"/>
      <c r="N68" s="36"/>
      <c r="O68" s="36"/>
      <c r="P68" s="34"/>
      <c r="Q68" s="35">
        <f>SUM(Q65:Q67)</f>
        <v>9938.0047721397677</v>
      </c>
      <c r="R68" s="36">
        <f>SUM(R65:R67)</f>
        <v>149790.68301505002</v>
      </c>
    </row>
    <row r="69" spans="1:18" x14ac:dyDescent="0.25">
      <c r="A69" s="38">
        <v>41788</v>
      </c>
      <c r="B69" s="19">
        <v>41788</v>
      </c>
      <c r="C69" s="13">
        <v>-1.4</v>
      </c>
      <c r="D69" s="112">
        <v>0.30902777777777779</v>
      </c>
      <c r="E69" s="31">
        <v>1020.7227705064894</v>
      </c>
      <c r="F69" s="39">
        <v>15310.841557597343</v>
      </c>
      <c r="G69" s="114">
        <v>15.000000000000002</v>
      </c>
      <c r="H69" s="37"/>
      <c r="I69" s="31">
        <v>376.28008440135443</v>
      </c>
      <c r="J69" s="39">
        <v>5644.2012660203163</v>
      </c>
      <c r="K69" s="114">
        <v>15</v>
      </c>
      <c r="L69" s="37"/>
      <c r="M69" s="31" t="s">
        <v>11</v>
      </c>
      <c r="N69" s="39" t="s">
        <v>11</v>
      </c>
      <c r="O69" s="39"/>
      <c r="P69" s="37"/>
      <c r="Q69" s="31">
        <f t="shared" ref="Q69:Q72" si="15">+E69+I69</f>
        <v>1397.0028549078438</v>
      </c>
      <c r="R69" s="39">
        <f t="shared" ref="R69:R72" si="16">+F69+J69</f>
        <v>20955.042823617659</v>
      </c>
    </row>
    <row r="70" spans="1:18" x14ac:dyDescent="0.25">
      <c r="A70" s="38">
        <v>41789</v>
      </c>
      <c r="B70" s="19">
        <v>41789</v>
      </c>
      <c r="C70" s="13">
        <v>-1.3</v>
      </c>
      <c r="D70" s="112">
        <v>0.34930555555555554</v>
      </c>
      <c r="E70" s="31">
        <v>1285.9441873842491</v>
      </c>
      <c r="F70" s="39">
        <v>19289.162810763737</v>
      </c>
      <c r="G70" s="114">
        <v>15</v>
      </c>
      <c r="H70" s="37"/>
      <c r="I70" s="31">
        <v>1129.4914329403537</v>
      </c>
      <c r="J70" s="39">
        <v>16942.371494105304</v>
      </c>
      <c r="K70" s="114">
        <v>15</v>
      </c>
      <c r="L70" s="37"/>
      <c r="M70" s="31" t="s">
        <v>11</v>
      </c>
      <c r="N70" s="39" t="s">
        <v>11</v>
      </c>
      <c r="O70" s="39"/>
      <c r="P70" s="37"/>
      <c r="Q70" s="31">
        <f t="shared" si="15"/>
        <v>2415.4356203246025</v>
      </c>
      <c r="R70" s="39">
        <f t="shared" si="16"/>
        <v>36231.534304869041</v>
      </c>
    </row>
    <row r="71" spans="1:18" x14ac:dyDescent="0.25">
      <c r="A71" s="38">
        <v>41790</v>
      </c>
      <c r="B71" s="19">
        <v>41790</v>
      </c>
      <c r="C71" s="13">
        <v>-1</v>
      </c>
      <c r="D71" s="112">
        <v>0.375</v>
      </c>
      <c r="E71" s="31">
        <v>5325.2419124185853</v>
      </c>
      <c r="F71" s="39">
        <v>80273.09105016166</v>
      </c>
      <c r="G71" s="114">
        <v>15.074074074074078</v>
      </c>
      <c r="H71" s="37"/>
      <c r="I71" s="31">
        <v>815.85084751994111</v>
      </c>
      <c r="J71" s="39">
        <v>12225.015043306619</v>
      </c>
      <c r="K71" s="114">
        <v>14.984375000000002</v>
      </c>
      <c r="L71" s="37"/>
      <c r="M71" s="31" t="s">
        <v>11</v>
      </c>
      <c r="N71" s="39" t="s">
        <v>11</v>
      </c>
      <c r="O71" s="39"/>
      <c r="P71" s="37"/>
      <c r="Q71" s="31">
        <f t="shared" si="15"/>
        <v>6141.0927599385268</v>
      </c>
      <c r="R71" s="39">
        <f t="shared" si="16"/>
        <v>92498.106093468276</v>
      </c>
    </row>
    <row r="72" spans="1:18" x14ac:dyDescent="0.25">
      <c r="A72" s="38">
        <v>41791</v>
      </c>
      <c r="B72" s="19">
        <v>41791</v>
      </c>
      <c r="C72" s="13">
        <v>-0.7</v>
      </c>
      <c r="D72" s="112">
        <v>0.40069444444444446</v>
      </c>
      <c r="E72" s="31">
        <v>4719.3756011216483</v>
      </c>
      <c r="F72" s="39">
        <v>70790.634016824712</v>
      </c>
      <c r="G72" s="114">
        <v>14.999999999999996</v>
      </c>
      <c r="H72" s="37"/>
      <c r="I72" s="31">
        <v>1277.6373973468098</v>
      </c>
      <c r="J72" s="39">
        <v>19164.560960202147</v>
      </c>
      <c r="K72" s="114">
        <v>15</v>
      </c>
      <c r="L72" s="37"/>
      <c r="M72" s="31" t="s">
        <v>11</v>
      </c>
      <c r="N72" s="39" t="s">
        <v>11</v>
      </c>
      <c r="O72" s="39"/>
      <c r="P72" s="37"/>
      <c r="Q72" s="31">
        <f t="shared" si="15"/>
        <v>5997.0129984684581</v>
      </c>
      <c r="R72" s="39">
        <f t="shared" si="16"/>
        <v>89955.194977026855</v>
      </c>
    </row>
    <row r="73" spans="1:18" ht="15.75" thickBot="1" x14ac:dyDescent="0.3">
      <c r="A73" s="162"/>
      <c r="B73" s="162"/>
      <c r="C73" s="162"/>
      <c r="D73" s="163"/>
      <c r="E73" s="35">
        <f>SUM(E69:E72)</f>
        <v>12351.284471430972</v>
      </c>
      <c r="F73" s="36">
        <f>SUM(F69:F72)</f>
        <v>185663.72943534746</v>
      </c>
      <c r="G73" s="115"/>
      <c r="H73" s="34"/>
      <c r="I73" s="35">
        <f>SUM(I69:I72)</f>
        <v>3599.2597622084591</v>
      </c>
      <c r="J73" s="36">
        <f>SUM(J69:J72)</f>
        <v>53976.148763634381</v>
      </c>
      <c r="K73" s="115"/>
      <c r="L73" s="34"/>
      <c r="M73" s="35"/>
      <c r="N73" s="36"/>
      <c r="O73" s="36"/>
      <c r="P73" s="34"/>
      <c r="Q73" s="35">
        <f>SUM(Q69:Q72)</f>
        <v>15950.54423363943</v>
      </c>
      <c r="R73" s="36">
        <f>SUM(R69:R72)</f>
        <v>239639.87819898181</v>
      </c>
    </row>
    <row r="74" spans="1:18" ht="15.75" thickTop="1" x14ac:dyDescent="0.25">
      <c r="A74" s="40" t="s">
        <v>38</v>
      </c>
      <c r="B74" s="43"/>
      <c r="C74" s="43"/>
      <c r="D74" s="43"/>
      <c r="E74" s="41">
        <f>+E8+E13+E18+E22+E27+E31+E39+E47+E52+E60+E68+E73</f>
        <v>75197.980600129202</v>
      </c>
      <c r="F74" s="41">
        <f>+F8+F13+F18+F22+F27+F31+F39+F47+F52+F60+F68+F73</f>
        <v>1055153.8422636115</v>
      </c>
      <c r="G74" s="110">
        <f>+F74/E74</f>
        <v>14.031677896704032</v>
      </c>
      <c r="H74" s="42"/>
      <c r="I74" s="41">
        <f>+I8+I13+I18+I22+I27+I31+I39+I42+I47+I52+I56+I60+I68+I73+I64</f>
        <v>74735.910872243505</v>
      </c>
      <c r="J74" s="41">
        <f>+J8+J13+J18+J22+J27+J31+J39+J42+J47+J52+J56+J60+J68+J73+J64</f>
        <v>1012658.4854495933</v>
      </c>
      <c r="K74" s="110">
        <f>+J74/I74</f>
        <v>13.549824624211396</v>
      </c>
      <c r="L74" s="42"/>
      <c r="M74" s="41">
        <f>+M8+M13+M18</f>
        <v>0</v>
      </c>
      <c r="N74" s="41">
        <f>+N8+N13+N18</f>
        <v>0</v>
      </c>
      <c r="O74" s="110"/>
      <c r="P74" s="42"/>
      <c r="Q74" s="41">
        <f>+Q8+Q13+Q18+Q22+Q27+Q31+Q39+Q42+Q47+Q52+Q56+Q68+Q73+Q60+Q64</f>
        <v>149933.89147237269</v>
      </c>
      <c r="R74" s="41">
        <f>+R8+R13+R18+R22+R27+R31+R39+R42+R47+R52+R56+R68+R73+R60+R64</f>
        <v>2067812.3277132048</v>
      </c>
    </row>
    <row r="75" spans="1:18" x14ac:dyDescent="0.25">
      <c r="A75" s="72" t="s">
        <v>37</v>
      </c>
      <c r="B75" s="73"/>
      <c r="C75" s="73"/>
      <c r="D75" s="73"/>
      <c r="E75" s="74"/>
      <c r="F75" s="74">
        <f>+Harvest!J125</f>
        <v>47267.296154988326</v>
      </c>
      <c r="G75" s="74"/>
      <c r="H75" s="75"/>
      <c r="I75" s="74"/>
      <c r="J75" s="74">
        <f>+Harvest!L125</f>
        <v>32033.906587614787</v>
      </c>
      <c r="K75" s="74"/>
      <c r="L75" s="75"/>
      <c r="M75" s="74"/>
      <c r="N75" s="74"/>
      <c r="O75" s="74"/>
      <c r="P75" s="75"/>
      <c r="Q75" s="74"/>
      <c r="R75" s="74">
        <f>+F75+J75+N75</f>
        <v>79301.202742603113</v>
      </c>
    </row>
    <row r="76" spans="1:18" x14ac:dyDescent="0.25">
      <c r="A76" s="82" t="s">
        <v>33</v>
      </c>
      <c r="B76" s="83"/>
      <c r="C76" s="83"/>
      <c r="D76" s="83"/>
      <c r="E76" s="76">
        <f>+E74</f>
        <v>75197.980600129202</v>
      </c>
      <c r="F76" s="76">
        <f>SUM(F74:F75)</f>
        <v>1102421.1384185997</v>
      </c>
      <c r="G76" s="117">
        <f>+G74</f>
        <v>14.031677896704032</v>
      </c>
      <c r="H76" s="77"/>
      <c r="I76" s="76">
        <f>+I74</f>
        <v>74735.910872243505</v>
      </c>
      <c r="J76" s="76">
        <f>SUM(J74:J75)</f>
        <v>1044692.3920372081</v>
      </c>
      <c r="K76" s="117">
        <f>+K74</f>
        <v>13.549824624211396</v>
      </c>
      <c r="L76" s="77"/>
      <c r="M76" s="76">
        <f>+M74</f>
        <v>0</v>
      </c>
      <c r="N76" s="76">
        <f>+N74</f>
        <v>0</v>
      </c>
      <c r="O76" s="76"/>
      <c r="P76" s="77"/>
      <c r="Q76" s="76">
        <f>+Q74</f>
        <v>149933.89147237269</v>
      </c>
      <c r="R76" s="78">
        <f>SUM(R74:R75)</f>
        <v>2147113.5304558077</v>
      </c>
    </row>
    <row r="77" spans="1:18" x14ac:dyDescent="0.25">
      <c r="A77" s="84" t="s">
        <v>16</v>
      </c>
      <c r="B77" s="80"/>
      <c r="C77" s="80"/>
      <c r="D77" s="80"/>
      <c r="E77" s="80"/>
      <c r="F77" s="79">
        <f>+Harvest!J128</f>
        <v>0.78935616752775273</v>
      </c>
      <c r="G77" s="79"/>
      <c r="H77" s="80"/>
      <c r="I77" s="80"/>
      <c r="J77" s="79">
        <f>+Harvest!L128</f>
        <v>0.50017146906615761</v>
      </c>
      <c r="K77" s="79"/>
      <c r="L77" s="80"/>
      <c r="M77" s="80"/>
      <c r="N77" s="79">
        <f>+Harvest!N128</f>
        <v>0</v>
      </c>
      <c r="O77" s="79"/>
      <c r="P77" s="80"/>
      <c r="Q77" s="80"/>
      <c r="R77" s="81"/>
    </row>
  </sheetData>
  <mergeCells count="19">
    <mergeCell ref="A1:R1"/>
    <mergeCell ref="E2:H2"/>
    <mergeCell ref="I2:L2"/>
    <mergeCell ref="M2:P2"/>
    <mergeCell ref="Q2:R2"/>
    <mergeCell ref="A73:D73"/>
    <mergeCell ref="A8:D8"/>
    <mergeCell ref="A27:D27"/>
    <mergeCell ref="A31:D31"/>
    <mergeCell ref="A39:D39"/>
    <mergeCell ref="A22:D22"/>
    <mergeCell ref="A13:D13"/>
    <mergeCell ref="A18:D18"/>
    <mergeCell ref="A56:D56"/>
    <mergeCell ref="A52:D52"/>
    <mergeCell ref="A47:D47"/>
    <mergeCell ref="A42:D42"/>
    <mergeCell ref="A68:D68"/>
    <mergeCell ref="A60:D60"/>
  </mergeCells>
  <pageMargins left="0.7" right="0.7" top="0.75" bottom="0.75" header="0.3" footer="0.3"/>
  <pageSetup scale="54" fitToHeight="0" orientation="portrait" r:id="rId1"/>
  <ignoredErrors>
    <ignoredError sqref="Q15:R15 R1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7"/>
  <sheetViews>
    <sheetView topLeftCell="A236" workbookViewId="0">
      <selection activeCell="C254" sqref="C254:C259"/>
    </sheetView>
  </sheetViews>
  <sheetFormatPr defaultRowHeight="15" x14ac:dyDescent="0.25"/>
  <cols>
    <col min="1" max="1" width="12.5703125" bestFit="1" customWidth="1"/>
    <col min="2" max="2" width="10.140625" bestFit="1" customWidth="1"/>
    <col min="3" max="3" width="8.140625" bestFit="1" customWidth="1"/>
    <col min="4" max="4" width="10.140625" bestFit="1" customWidth="1"/>
    <col min="5" max="5" width="5.5703125" bestFit="1" customWidth="1"/>
    <col min="6" max="6" width="7.85546875" bestFit="1" customWidth="1"/>
    <col min="7" max="7" width="15.85546875" bestFit="1" customWidth="1"/>
  </cols>
  <sheetData>
    <row r="1" spans="1:7" x14ac:dyDescent="0.25">
      <c r="A1" s="101" t="s">
        <v>9</v>
      </c>
      <c r="B1" s="101" t="s">
        <v>8</v>
      </c>
      <c r="C1" s="101" t="s">
        <v>30</v>
      </c>
      <c r="D1" s="101" t="s">
        <v>31</v>
      </c>
      <c r="E1" s="101" t="s">
        <v>10</v>
      </c>
      <c r="F1" s="101" t="s">
        <v>39</v>
      </c>
      <c r="G1" s="101" t="s">
        <v>47</v>
      </c>
    </row>
    <row r="2" spans="1:7" x14ac:dyDescent="0.25">
      <c r="A2" s="102" t="s">
        <v>1</v>
      </c>
      <c r="B2" s="103">
        <v>41536</v>
      </c>
      <c r="C2" s="104">
        <v>3023.03575238347</v>
      </c>
      <c r="D2" s="104">
        <v>45401.518429314703</v>
      </c>
      <c r="E2" s="104">
        <v>15.018518518518519</v>
      </c>
      <c r="F2" s="105">
        <v>781</v>
      </c>
      <c r="G2" s="104">
        <v>0.33563333749771118</v>
      </c>
    </row>
    <row r="3" spans="1:7" x14ac:dyDescent="0.25">
      <c r="A3" s="102" t="s">
        <v>1</v>
      </c>
      <c r="B3" s="103">
        <v>41537</v>
      </c>
      <c r="C3" s="104">
        <v>1669.6209838937152</v>
      </c>
      <c r="D3" s="104">
        <v>21157.228405278172</v>
      </c>
      <c r="E3" s="104">
        <v>12.671875</v>
      </c>
      <c r="F3" s="105">
        <v>782</v>
      </c>
      <c r="G3" s="104">
        <v>0.59235000610351563</v>
      </c>
    </row>
    <row r="4" spans="1:7" x14ac:dyDescent="0.25">
      <c r="A4" s="102" t="s">
        <v>1</v>
      </c>
      <c r="B4" s="103">
        <v>41538</v>
      </c>
      <c r="C4" s="104">
        <v>3341.8734254315673</v>
      </c>
      <c r="D4" s="104">
        <v>49505.040234359141</v>
      </c>
      <c r="E4" s="104">
        <v>14.813559322033898</v>
      </c>
      <c r="F4" s="105">
        <v>783</v>
      </c>
      <c r="G4" s="104">
        <v>0.51243335008621216</v>
      </c>
    </row>
    <row r="5" spans="1:7" x14ac:dyDescent="0.25">
      <c r="A5" s="102" t="s">
        <v>1</v>
      </c>
      <c r="B5" s="103">
        <v>41539</v>
      </c>
      <c r="C5" s="104">
        <v>673.80127170150422</v>
      </c>
      <c r="D5" s="104">
        <v>9128.1002468241513</v>
      </c>
      <c r="E5" s="104">
        <v>13.547169811320755</v>
      </c>
      <c r="F5" s="105">
        <v>784</v>
      </c>
      <c r="G5" s="104">
        <v>0.47909998893737793</v>
      </c>
    </row>
    <row r="6" spans="1:7" x14ac:dyDescent="0.25">
      <c r="A6" s="102" t="s">
        <v>1</v>
      </c>
      <c r="B6" s="103">
        <v>41540</v>
      </c>
      <c r="C6" s="104">
        <v>194.71300888288565</v>
      </c>
      <c r="D6" s="104">
        <v>2336.5561065946281</v>
      </c>
      <c r="E6" s="104">
        <v>12</v>
      </c>
      <c r="F6" s="105">
        <v>785</v>
      </c>
      <c r="G6" s="104">
        <v>0.52824997901916504</v>
      </c>
    </row>
    <row r="8" spans="1:7" x14ac:dyDescent="0.25">
      <c r="A8" s="101" t="s">
        <v>9</v>
      </c>
      <c r="B8" s="101" t="s">
        <v>8</v>
      </c>
      <c r="C8" s="101" t="s">
        <v>30</v>
      </c>
      <c r="D8" s="101" t="s">
        <v>31</v>
      </c>
      <c r="E8" s="101" t="s">
        <v>10</v>
      </c>
      <c r="F8" s="101" t="s">
        <v>39</v>
      </c>
      <c r="G8" s="101" t="s">
        <v>47</v>
      </c>
    </row>
    <row r="9" spans="1:7" x14ac:dyDescent="0.25">
      <c r="A9" s="102" t="s">
        <v>2</v>
      </c>
      <c r="B9" s="103">
        <v>41551</v>
      </c>
      <c r="C9" s="104">
        <v>1984.4408372567459</v>
      </c>
      <c r="D9" s="104">
        <v>29369.724391399839</v>
      </c>
      <c r="E9" s="104">
        <v>14.8</v>
      </c>
      <c r="F9" s="105">
        <v>786</v>
      </c>
      <c r="G9" s="104">
        <v>0.50836664438247681</v>
      </c>
    </row>
    <row r="10" spans="1:7" x14ac:dyDescent="0.25">
      <c r="A10" s="102" t="s">
        <v>2</v>
      </c>
      <c r="B10" s="103">
        <v>41552</v>
      </c>
      <c r="C10" s="104">
        <v>3901.9656946041728</v>
      </c>
      <c r="D10" s="104">
        <v>58529.485419062592</v>
      </c>
      <c r="E10" s="104">
        <v>15</v>
      </c>
      <c r="F10" s="105">
        <v>787</v>
      </c>
      <c r="G10" s="104">
        <v>0.49360001087188721</v>
      </c>
    </row>
    <row r="11" spans="1:7" x14ac:dyDescent="0.25">
      <c r="A11" s="102" t="s">
        <v>48</v>
      </c>
      <c r="B11" s="103">
        <v>41551</v>
      </c>
      <c r="C11" s="104">
        <v>1295.1217182423341</v>
      </c>
      <c r="D11" s="104">
        <v>19426.82577363501</v>
      </c>
      <c r="E11" s="104">
        <v>15</v>
      </c>
      <c r="F11" s="105">
        <v>793</v>
      </c>
      <c r="G11" s="104">
        <v>0.72675001621246338</v>
      </c>
    </row>
    <row r="12" spans="1:7" x14ac:dyDescent="0.25">
      <c r="A12" s="102" t="s">
        <v>48</v>
      </c>
      <c r="B12" s="103">
        <v>41552</v>
      </c>
      <c r="C12" s="104">
        <v>2719.8141808119881</v>
      </c>
      <c r="D12" s="104">
        <v>40797.212712179818</v>
      </c>
      <c r="E12" s="104">
        <v>15</v>
      </c>
      <c r="F12" s="105">
        <v>794</v>
      </c>
      <c r="G12" s="104">
        <v>0.72675001621246338</v>
      </c>
    </row>
    <row r="13" spans="1:7" x14ac:dyDescent="0.25">
      <c r="A13" s="102" t="s">
        <v>48</v>
      </c>
      <c r="B13" s="103">
        <v>41553</v>
      </c>
      <c r="C13" s="104">
        <v>2021.2249971075817</v>
      </c>
      <c r="D13" s="104">
        <v>28329.232895968162</v>
      </c>
      <c r="E13" s="104">
        <v>14.015873015873016</v>
      </c>
      <c r="F13" s="105">
        <v>795</v>
      </c>
      <c r="G13" s="104">
        <v>0.71276664733886719</v>
      </c>
    </row>
    <row r="14" spans="1:7" x14ac:dyDescent="0.25">
      <c r="A14" s="102" t="s">
        <v>48</v>
      </c>
      <c r="B14" s="103">
        <v>41554</v>
      </c>
      <c r="C14" s="104">
        <v>456.73402361127734</v>
      </c>
      <c r="D14" s="104">
        <v>5751.9941098545232</v>
      </c>
      <c r="E14" s="104">
        <v>12.59375</v>
      </c>
      <c r="F14" s="105">
        <v>799</v>
      </c>
      <c r="G14" s="104">
        <v>0.53109997510910034</v>
      </c>
    </row>
    <row r="15" spans="1:7" x14ac:dyDescent="0.25">
      <c r="A15" s="102" t="s">
        <v>3</v>
      </c>
      <c r="B15" s="103">
        <v>41551</v>
      </c>
      <c r="C15" s="104">
        <v>1198.8660215033897</v>
      </c>
      <c r="D15" s="104">
        <v>18271.325188482042</v>
      </c>
      <c r="E15" s="104">
        <v>15.240506329113924</v>
      </c>
      <c r="F15" s="105">
        <v>788</v>
      </c>
      <c r="G15" s="104">
        <v>0.54243332147598267</v>
      </c>
    </row>
    <row r="16" spans="1:7" x14ac:dyDescent="0.25">
      <c r="A16" s="102" t="s">
        <v>3</v>
      </c>
      <c r="B16" s="103">
        <v>41552</v>
      </c>
      <c r="C16" s="104">
        <v>1543.6049156052168</v>
      </c>
      <c r="D16" s="104">
        <v>23154.073734078251</v>
      </c>
      <c r="E16" s="104">
        <v>15</v>
      </c>
      <c r="F16" s="105">
        <v>789</v>
      </c>
      <c r="G16" s="104">
        <v>0.58923333883285522</v>
      </c>
    </row>
    <row r="17" spans="1:7" x14ac:dyDescent="0.25">
      <c r="A17" s="102" t="s">
        <v>3</v>
      </c>
      <c r="B17" s="103">
        <v>41553</v>
      </c>
      <c r="C17" s="104">
        <v>1304.7559762568296</v>
      </c>
      <c r="D17" s="104">
        <v>19208.907428225546</v>
      </c>
      <c r="E17" s="104">
        <v>14.722222222222221</v>
      </c>
      <c r="F17" s="105">
        <v>790</v>
      </c>
      <c r="G17" s="104">
        <v>0.58660000562667847</v>
      </c>
    </row>
    <row r="18" spans="1:7" x14ac:dyDescent="0.25">
      <c r="A18" s="102" t="s">
        <v>3</v>
      </c>
      <c r="B18" s="103">
        <v>41554</v>
      </c>
      <c r="C18" s="104">
        <v>175.01988694491314</v>
      </c>
      <c r="D18" s="104">
        <v>2052.5059468994359</v>
      </c>
      <c r="E18" s="104">
        <v>11.727272727272727</v>
      </c>
      <c r="F18" s="105">
        <v>796</v>
      </c>
      <c r="G18" s="104">
        <v>0.58660000562667847</v>
      </c>
    </row>
    <row r="19" spans="1:7" x14ac:dyDescent="0.25">
      <c r="A19" s="102" t="s">
        <v>1</v>
      </c>
      <c r="B19" s="103">
        <v>41552</v>
      </c>
      <c r="C19" s="104">
        <v>2281.1870987188777</v>
      </c>
      <c r="D19" s="104">
        <v>34217.806480783162</v>
      </c>
      <c r="E19" s="104">
        <v>15</v>
      </c>
      <c r="F19" s="105">
        <v>791</v>
      </c>
      <c r="G19" s="104">
        <v>0.52824997901916504</v>
      </c>
    </row>
    <row r="20" spans="1:7" x14ac:dyDescent="0.25">
      <c r="A20" s="102" t="s">
        <v>1</v>
      </c>
      <c r="B20" s="103">
        <v>41553</v>
      </c>
      <c r="C20" s="104">
        <v>1647.1999999999998</v>
      </c>
      <c r="D20" s="104">
        <v>21782.799999999999</v>
      </c>
      <c r="E20" s="104">
        <v>13.224137931034482</v>
      </c>
      <c r="F20" s="105">
        <v>792</v>
      </c>
      <c r="G20" s="104">
        <v>0.5</v>
      </c>
    </row>
    <row r="21" spans="1:7" x14ac:dyDescent="0.25">
      <c r="A21" s="102" t="s">
        <v>1</v>
      </c>
      <c r="B21" s="103">
        <v>41554</v>
      </c>
      <c r="C21" s="104">
        <v>429.96011632512904</v>
      </c>
      <c r="D21" s="104">
        <v>6306.0817061018915</v>
      </c>
      <c r="E21" s="104">
        <v>14.666666666666666</v>
      </c>
      <c r="F21" s="105">
        <v>797</v>
      </c>
      <c r="G21" s="104">
        <v>0.45135000348091125</v>
      </c>
    </row>
    <row r="22" spans="1:7" x14ac:dyDescent="0.25">
      <c r="A22" s="102" t="s">
        <v>1</v>
      </c>
      <c r="B22" s="103">
        <v>41555</v>
      </c>
      <c r="C22" s="104">
        <v>144.39325962317432</v>
      </c>
      <c r="D22" s="104">
        <v>2165.8988943476152</v>
      </c>
      <c r="E22" s="104">
        <v>15</v>
      </c>
      <c r="F22" s="105">
        <v>798</v>
      </c>
      <c r="G22" s="104">
        <v>0.50367498397827148</v>
      </c>
    </row>
    <row r="24" spans="1:7" x14ac:dyDescent="0.25">
      <c r="A24" s="101" t="s">
        <v>9</v>
      </c>
      <c r="B24" s="101" t="s">
        <v>8</v>
      </c>
      <c r="C24" s="101" t="s">
        <v>30</v>
      </c>
      <c r="D24" s="101" t="s">
        <v>31</v>
      </c>
      <c r="E24" s="101" t="s">
        <v>10</v>
      </c>
      <c r="F24" s="101" t="s">
        <v>39</v>
      </c>
      <c r="G24" s="101" t="s">
        <v>47</v>
      </c>
    </row>
    <row r="25" spans="1:7" x14ac:dyDescent="0.25">
      <c r="A25" s="102" t="s">
        <v>2</v>
      </c>
      <c r="B25" s="103">
        <v>41565</v>
      </c>
      <c r="C25" s="104">
        <v>3251.1530723764149</v>
      </c>
      <c r="D25" s="104">
        <v>46909.494330002555</v>
      </c>
      <c r="E25" s="104">
        <v>14.428571428571429</v>
      </c>
      <c r="F25" s="105">
        <v>803</v>
      </c>
      <c r="G25" s="104">
        <v>0.50836664438247681</v>
      </c>
    </row>
    <row r="26" spans="1:7" x14ac:dyDescent="0.25">
      <c r="A26" s="102" t="s">
        <v>2</v>
      </c>
      <c r="B26" s="103">
        <v>41566</v>
      </c>
      <c r="C26" s="104">
        <v>5650.2728653636022</v>
      </c>
      <c r="D26" s="104">
        <v>84754.092980454036</v>
      </c>
      <c r="E26" s="104">
        <v>15</v>
      </c>
      <c r="F26" s="105">
        <v>805</v>
      </c>
      <c r="G26" s="104">
        <v>0.50836664438247681</v>
      </c>
    </row>
    <row r="27" spans="1:7" x14ac:dyDescent="0.25">
      <c r="A27" s="102" t="s">
        <v>48</v>
      </c>
      <c r="B27" s="103">
        <v>41565</v>
      </c>
      <c r="C27" s="104">
        <v>2489.1640311586089</v>
      </c>
      <c r="D27" s="104">
        <v>37337.46046737914</v>
      </c>
      <c r="E27" s="104">
        <v>15</v>
      </c>
      <c r="F27" s="105">
        <v>811</v>
      </c>
      <c r="G27" s="104">
        <v>0.72675001621246338</v>
      </c>
    </row>
    <row r="28" spans="1:7" x14ac:dyDescent="0.25">
      <c r="A28" s="102" t="s">
        <v>48</v>
      </c>
      <c r="B28" s="103">
        <v>41566</v>
      </c>
      <c r="C28" s="104">
        <v>3646.6981486610748</v>
      </c>
      <c r="D28" s="104">
        <v>53827.758143057072</v>
      </c>
      <c r="E28" s="104">
        <v>14.760683760683762</v>
      </c>
      <c r="F28" s="105">
        <v>812</v>
      </c>
      <c r="G28" s="104">
        <v>0.71276664733886719</v>
      </c>
    </row>
    <row r="29" spans="1:7" x14ac:dyDescent="0.25">
      <c r="A29" s="102" t="s">
        <v>48</v>
      </c>
      <c r="B29" s="103">
        <v>41567</v>
      </c>
      <c r="C29" s="104">
        <v>2754.7299007073166</v>
      </c>
      <c r="D29" s="104">
        <v>41320.948510609749</v>
      </c>
      <c r="E29" s="104">
        <v>15</v>
      </c>
      <c r="F29" s="105">
        <v>813</v>
      </c>
      <c r="G29" s="104">
        <v>0.72675001621246338</v>
      </c>
    </row>
    <row r="30" spans="1:7" x14ac:dyDescent="0.25">
      <c r="A30" s="102" t="s">
        <v>3</v>
      </c>
      <c r="B30" s="103">
        <v>41565</v>
      </c>
      <c r="C30" s="104">
        <v>1026.4303453725004</v>
      </c>
      <c r="D30" s="104">
        <v>15520.12148725889</v>
      </c>
      <c r="E30" s="104">
        <v>15.120481927710843</v>
      </c>
      <c r="F30" s="105">
        <v>802</v>
      </c>
      <c r="G30" s="104">
        <v>0.60364997386932373</v>
      </c>
    </row>
    <row r="31" spans="1:7" x14ac:dyDescent="0.25">
      <c r="A31" s="102" t="s">
        <v>3</v>
      </c>
      <c r="B31" s="103">
        <v>41566</v>
      </c>
      <c r="C31" s="104">
        <v>3004.0914491700296</v>
      </c>
      <c r="D31" s="104">
        <v>44871.92452904422</v>
      </c>
      <c r="E31" s="104">
        <v>14.936936936936936</v>
      </c>
      <c r="F31" s="105">
        <v>806</v>
      </c>
      <c r="G31" s="104">
        <v>0.58399999141693115</v>
      </c>
    </row>
    <row r="32" spans="1:7" x14ac:dyDescent="0.25">
      <c r="A32" s="102" t="s">
        <v>3</v>
      </c>
      <c r="B32" s="103">
        <v>41567</v>
      </c>
      <c r="C32" s="104">
        <v>1510.025427870024</v>
      </c>
      <c r="D32" s="104">
        <v>22650.381418050361</v>
      </c>
      <c r="E32" s="104">
        <v>15</v>
      </c>
      <c r="F32" s="105">
        <v>808</v>
      </c>
      <c r="G32" s="104">
        <v>0.55293333530426025</v>
      </c>
    </row>
    <row r="33" spans="1:7" x14ac:dyDescent="0.25">
      <c r="A33" s="102" t="s">
        <v>3</v>
      </c>
      <c r="B33" s="103">
        <v>41568</v>
      </c>
      <c r="C33" s="104">
        <v>151.72178511133703</v>
      </c>
      <c r="D33" s="104">
        <v>2275.8267766700556</v>
      </c>
      <c r="E33" s="104">
        <v>15</v>
      </c>
      <c r="F33" s="105">
        <v>809</v>
      </c>
      <c r="G33" s="104">
        <v>0.58660000562667847</v>
      </c>
    </row>
    <row r="34" spans="1:7" x14ac:dyDescent="0.25">
      <c r="A34" s="102" t="s">
        <v>1</v>
      </c>
      <c r="B34" s="103">
        <v>41564</v>
      </c>
      <c r="C34" s="104">
        <v>1456.7097963550805</v>
      </c>
      <c r="D34" s="104">
        <v>21850.646945326203</v>
      </c>
      <c r="E34" s="104">
        <v>15</v>
      </c>
      <c r="F34" s="105">
        <v>800</v>
      </c>
      <c r="G34" s="104">
        <v>0.53109997510910034</v>
      </c>
    </row>
    <row r="35" spans="1:7" x14ac:dyDescent="0.25">
      <c r="A35" s="102" t="s">
        <v>1</v>
      </c>
      <c r="B35" s="103">
        <v>41565</v>
      </c>
      <c r="C35" s="104">
        <v>1746.03125</v>
      </c>
      <c r="D35" s="104">
        <v>26190.46875</v>
      </c>
      <c r="E35" s="104">
        <v>15</v>
      </c>
      <c r="F35" s="105">
        <v>801</v>
      </c>
      <c r="G35" s="104">
        <v>0.5</v>
      </c>
    </row>
    <row r="36" spans="1:7" x14ac:dyDescent="0.25">
      <c r="A36" s="102" t="s">
        <v>1</v>
      </c>
      <c r="B36" s="103">
        <v>41566</v>
      </c>
      <c r="C36" s="104">
        <v>2819.4729708209834</v>
      </c>
      <c r="D36" s="104">
        <v>42292.094562314749</v>
      </c>
      <c r="E36" s="104">
        <v>15</v>
      </c>
      <c r="F36" s="105">
        <v>804</v>
      </c>
      <c r="G36" s="104">
        <v>0.49849998950958252</v>
      </c>
    </row>
    <row r="37" spans="1:7" x14ac:dyDescent="0.25">
      <c r="A37" s="102" t="s">
        <v>1</v>
      </c>
      <c r="B37" s="103">
        <v>41567</v>
      </c>
      <c r="C37" s="104">
        <v>1792.5199668676003</v>
      </c>
      <c r="D37" s="104">
        <v>26515.767057060351</v>
      </c>
      <c r="E37" s="104">
        <v>14.79245283018868</v>
      </c>
      <c r="F37" s="105">
        <v>807</v>
      </c>
      <c r="G37" s="104">
        <v>0.47909998893737793</v>
      </c>
    </row>
    <row r="38" spans="1:7" x14ac:dyDescent="0.25">
      <c r="A38" s="102" t="s">
        <v>1</v>
      </c>
      <c r="B38" s="103">
        <v>41568</v>
      </c>
      <c r="C38" s="104">
        <v>379.05405029913402</v>
      </c>
      <c r="D38" s="104">
        <v>4911.2220430061707</v>
      </c>
      <c r="E38" s="104">
        <v>12.956521739130435</v>
      </c>
      <c r="F38" s="105">
        <v>810</v>
      </c>
      <c r="G38" s="104">
        <v>0.52824997901916504</v>
      </c>
    </row>
    <row r="39" spans="1:7" x14ac:dyDescent="0.25">
      <c r="A39" s="102" t="s">
        <v>1</v>
      </c>
      <c r="B39" s="103">
        <v>41569</v>
      </c>
      <c r="C39" s="104">
        <v>140.95127797338674</v>
      </c>
      <c r="D39" s="104">
        <v>1660.0928294643329</v>
      </c>
      <c r="E39" s="104">
        <v>11.777777777777779</v>
      </c>
      <c r="F39" s="105">
        <v>814</v>
      </c>
      <c r="G39" s="104">
        <v>0.4309999942779541</v>
      </c>
    </row>
    <row r="41" spans="1:7" x14ac:dyDescent="0.25">
      <c r="A41" s="101" t="s">
        <v>9</v>
      </c>
      <c r="B41" s="101" t="s">
        <v>8</v>
      </c>
      <c r="C41" s="101" t="s">
        <v>30</v>
      </c>
      <c r="D41" s="101" t="s">
        <v>31</v>
      </c>
      <c r="E41" s="101" t="s">
        <v>10</v>
      </c>
      <c r="F41" s="101" t="s">
        <v>39</v>
      </c>
      <c r="G41" s="101" t="s">
        <v>47</v>
      </c>
    </row>
    <row r="42" spans="1:7" x14ac:dyDescent="0.25">
      <c r="A42" s="102" t="s">
        <v>2</v>
      </c>
      <c r="B42" s="103">
        <v>41580</v>
      </c>
      <c r="C42" s="104">
        <v>1766.8438677618183</v>
      </c>
      <c r="D42" s="104">
        <v>14627.823649376918</v>
      </c>
      <c r="E42" s="104">
        <v>8.279069767441861</v>
      </c>
      <c r="F42" s="105">
        <v>815</v>
      </c>
      <c r="G42" s="104">
        <v>0.44510000944137573</v>
      </c>
    </row>
    <row r="43" spans="1:7" x14ac:dyDescent="0.25">
      <c r="A43" s="102" t="s">
        <v>48</v>
      </c>
      <c r="B43" s="103">
        <v>41580</v>
      </c>
      <c r="C43" s="104">
        <v>2656.3195354464574</v>
      </c>
      <c r="D43" s="104">
        <v>32798.555948196779</v>
      </c>
      <c r="E43" s="104">
        <v>12.347368421052632</v>
      </c>
      <c r="F43" s="105">
        <v>822</v>
      </c>
      <c r="G43" s="104">
        <v>0.70696663856506348</v>
      </c>
    </row>
    <row r="44" spans="1:7" x14ac:dyDescent="0.25">
      <c r="A44" s="102" t="s">
        <v>48</v>
      </c>
      <c r="B44" s="103">
        <v>41581</v>
      </c>
      <c r="C44" s="104">
        <v>1126.1308099872444</v>
      </c>
      <c r="D44" s="104">
        <v>17037.942069621829</v>
      </c>
      <c r="E44" s="104">
        <v>15.12962962962963</v>
      </c>
      <c r="F44" s="105">
        <v>823</v>
      </c>
      <c r="G44" s="104">
        <v>0.72675001621246338</v>
      </c>
    </row>
    <row r="45" spans="1:7" x14ac:dyDescent="0.25">
      <c r="A45" s="102" t="s">
        <v>48</v>
      </c>
      <c r="B45" s="103">
        <v>41582</v>
      </c>
      <c r="C45" s="104">
        <v>945.61102503378424</v>
      </c>
      <c r="D45" s="104">
        <v>9867.2454786134003</v>
      </c>
      <c r="E45" s="104">
        <v>10.434782608695652</v>
      </c>
      <c r="F45" s="105">
        <v>828</v>
      </c>
      <c r="G45" s="104">
        <v>0.71276664733886719</v>
      </c>
    </row>
    <row r="46" spans="1:7" x14ac:dyDescent="0.25">
      <c r="A46" s="102" t="s">
        <v>48</v>
      </c>
      <c r="B46" s="103">
        <v>41583</v>
      </c>
      <c r="C46" s="104">
        <v>347.93996173349922</v>
      </c>
      <c r="D46" s="104">
        <v>4987.1394515134889</v>
      </c>
      <c r="E46" s="104">
        <v>14.333333333333334</v>
      </c>
      <c r="F46" s="105">
        <v>829</v>
      </c>
      <c r="G46" s="104">
        <v>0.71276664733886719</v>
      </c>
    </row>
    <row r="47" spans="1:7" x14ac:dyDescent="0.25">
      <c r="A47" s="102" t="s">
        <v>3</v>
      </c>
      <c r="B47" s="103">
        <v>41579</v>
      </c>
      <c r="C47" s="104">
        <v>1345.2903594906886</v>
      </c>
      <c r="D47" s="104">
        <v>20179.355392360332</v>
      </c>
      <c r="E47" s="104">
        <v>15</v>
      </c>
      <c r="F47" s="105">
        <v>819</v>
      </c>
      <c r="G47" s="104">
        <v>0.54640001058578491</v>
      </c>
    </row>
    <row r="48" spans="1:7" x14ac:dyDescent="0.25">
      <c r="A48" s="102" t="s">
        <v>3</v>
      </c>
      <c r="B48" s="103">
        <v>41580</v>
      </c>
      <c r="C48" s="104">
        <v>871.06432012252992</v>
      </c>
      <c r="D48" s="104">
        <v>12612.285468440798</v>
      </c>
      <c r="E48" s="104">
        <v>14.479166666666666</v>
      </c>
      <c r="F48" s="105">
        <v>820</v>
      </c>
      <c r="G48" s="104">
        <v>0.55105000734329224</v>
      </c>
    </row>
    <row r="49" spans="1:7" x14ac:dyDescent="0.25">
      <c r="A49" s="102" t="s">
        <v>3</v>
      </c>
      <c r="B49" s="103">
        <v>41581</v>
      </c>
      <c r="C49" s="104">
        <v>1079.1968528057596</v>
      </c>
      <c r="D49" s="104">
        <v>16187.952792086395</v>
      </c>
      <c r="E49" s="104">
        <v>15</v>
      </c>
      <c r="F49" s="105">
        <v>821</v>
      </c>
      <c r="G49" s="104">
        <v>0.54605001211166382</v>
      </c>
    </row>
    <row r="50" spans="1:7" x14ac:dyDescent="0.25">
      <c r="A50" s="102" t="s">
        <v>3</v>
      </c>
      <c r="B50" s="103">
        <v>41582</v>
      </c>
      <c r="C50" s="104">
        <v>384.53164921686016</v>
      </c>
      <c r="D50" s="104">
        <v>4982.5483909163368</v>
      </c>
      <c r="E50" s="104">
        <v>12.957446808510639</v>
      </c>
      <c r="F50" s="105">
        <v>826</v>
      </c>
      <c r="G50" s="104">
        <v>0.5812000036239624</v>
      </c>
    </row>
    <row r="51" spans="1:7" x14ac:dyDescent="0.25">
      <c r="A51" s="102" t="s">
        <v>1</v>
      </c>
      <c r="B51" s="103">
        <v>41579</v>
      </c>
      <c r="C51" s="104">
        <v>1266.4458619424356</v>
      </c>
      <c r="D51" s="104">
        <v>18996.687929136533</v>
      </c>
      <c r="E51" s="104">
        <v>15</v>
      </c>
      <c r="F51" s="105">
        <v>816</v>
      </c>
      <c r="G51" s="104">
        <v>0.52824997901916504</v>
      </c>
    </row>
    <row r="52" spans="1:7" x14ac:dyDescent="0.25">
      <c r="A52" s="102" t="s">
        <v>1</v>
      </c>
      <c r="B52" s="103">
        <v>41580</v>
      </c>
      <c r="C52" s="104">
        <v>984.07622225079967</v>
      </c>
      <c r="D52" s="104">
        <v>8249.2315420776904</v>
      </c>
      <c r="E52" s="104">
        <v>8.3827160493827169</v>
      </c>
      <c r="F52" s="105">
        <v>817</v>
      </c>
      <c r="G52" s="104">
        <v>0.53109997510910034</v>
      </c>
    </row>
    <row r="53" spans="1:7" x14ac:dyDescent="0.25">
      <c r="A53" s="102" t="s">
        <v>1</v>
      </c>
      <c r="B53" s="103">
        <v>41581</v>
      </c>
      <c r="C53" s="104">
        <v>540.3486727855983</v>
      </c>
      <c r="D53" s="104">
        <v>7802.6348350240387</v>
      </c>
      <c r="E53" s="104">
        <v>14.44</v>
      </c>
      <c r="F53" s="105">
        <v>818</v>
      </c>
      <c r="G53" s="104">
        <v>0.53109997510910034</v>
      </c>
    </row>
    <row r="54" spans="1:7" x14ac:dyDescent="0.25">
      <c r="A54" s="102" t="s">
        <v>1</v>
      </c>
      <c r="B54" s="103">
        <v>41582</v>
      </c>
      <c r="C54" s="104">
        <v>636.48754646589316</v>
      </c>
      <c r="D54" s="104">
        <v>5569.2660315765652</v>
      </c>
      <c r="E54" s="104">
        <v>8.75</v>
      </c>
      <c r="F54" s="105">
        <v>827</v>
      </c>
      <c r="G54" s="104">
        <v>0.47909998893737793</v>
      </c>
    </row>
    <row r="55" spans="1:7" x14ac:dyDescent="0.25">
      <c r="A55" s="102" t="s">
        <v>1</v>
      </c>
      <c r="B55" s="103">
        <v>41583</v>
      </c>
      <c r="C55" s="104">
        <v>544.50804554774652</v>
      </c>
      <c r="D55" s="104">
        <v>8167.6206832161979</v>
      </c>
      <c r="E55" s="104">
        <v>15</v>
      </c>
      <c r="F55" s="105">
        <v>824</v>
      </c>
      <c r="G55" s="104">
        <v>0.52824997901916504</v>
      </c>
    </row>
    <row r="56" spans="1:7" x14ac:dyDescent="0.25">
      <c r="A56" s="102" t="s">
        <v>1</v>
      </c>
      <c r="B56" s="103">
        <v>41584</v>
      </c>
      <c r="C56" s="104">
        <v>339.55635395457011</v>
      </c>
      <c r="D56" s="104">
        <v>4491.4045000354499</v>
      </c>
      <c r="E56" s="104">
        <v>13.227272727272727</v>
      </c>
      <c r="F56" s="105">
        <v>825</v>
      </c>
      <c r="G56" s="104">
        <v>0.51243335008621216</v>
      </c>
    </row>
    <row r="57" spans="1:7" x14ac:dyDescent="0.25">
      <c r="A57" s="102" t="s">
        <v>1</v>
      </c>
      <c r="B57" s="103">
        <v>41586</v>
      </c>
      <c r="C57" s="104">
        <v>374.90325822404532</v>
      </c>
      <c r="D57" s="104">
        <v>5412.6657906096552</v>
      </c>
      <c r="E57" s="104">
        <v>14.4375</v>
      </c>
      <c r="F57" s="105">
        <v>830</v>
      </c>
      <c r="G57" s="104">
        <v>0.53109997510910034</v>
      </c>
    </row>
    <row r="59" spans="1:7" x14ac:dyDescent="0.25">
      <c r="A59" s="101" t="s">
        <v>9</v>
      </c>
      <c r="B59" s="101" t="s">
        <v>8</v>
      </c>
      <c r="C59" s="101" t="s">
        <v>30</v>
      </c>
      <c r="D59" s="101" t="s">
        <v>31</v>
      </c>
      <c r="E59" s="101" t="s">
        <v>10</v>
      </c>
      <c r="F59" s="101" t="s">
        <v>39</v>
      </c>
      <c r="G59" s="101" t="s">
        <v>47</v>
      </c>
    </row>
    <row r="60" spans="1:7" x14ac:dyDescent="0.25">
      <c r="A60" s="102" t="s">
        <v>2</v>
      </c>
      <c r="B60" s="103">
        <v>41593</v>
      </c>
      <c r="C60" s="104">
        <v>1440.4140117861152</v>
      </c>
      <c r="D60" s="104">
        <v>20057.085673550057</v>
      </c>
      <c r="E60" s="104">
        <v>13.924528301886792</v>
      </c>
      <c r="F60" s="105">
        <v>831</v>
      </c>
      <c r="G60" s="104">
        <v>0.46129998564720154</v>
      </c>
    </row>
    <row r="61" spans="1:7" x14ac:dyDescent="0.25">
      <c r="A61" s="102" t="s">
        <v>2</v>
      </c>
      <c r="B61" s="103">
        <v>41594</v>
      </c>
      <c r="C61" s="104">
        <v>3896.4650379882883</v>
      </c>
      <c r="D61" s="104">
        <v>43395.924344653875</v>
      </c>
      <c r="E61" s="104">
        <v>11.137254901960784</v>
      </c>
      <c r="F61" s="105">
        <v>832</v>
      </c>
      <c r="G61" s="104">
        <v>0.4938499927520752</v>
      </c>
    </row>
    <row r="62" spans="1:7" x14ac:dyDescent="0.25">
      <c r="A62" s="102" t="s">
        <v>48</v>
      </c>
      <c r="B62" s="103">
        <v>41593</v>
      </c>
      <c r="C62" s="104">
        <v>2311.6043515342294</v>
      </c>
      <c r="D62" s="104">
        <v>20804.439163808063</v>
      </c>
      <c r="E62" s="104">
        <v>9</v>
      </c>
      <c r="F62" s="105">
        <v>838</v>
      </c>
      <c r="G62" s="104">
        <v>0.64889997243881226</v>
      </c>
    </row>
    <row r="63" spans="1:7" x14ac:dyDescent="0.25">
      <c r="A63" s="102" t="s">
        <v>48</v>
      </c>
      <c r="B63" s="103">
        <v>41594</v>
      </c>
      <c r="C63" s="104">
        <v>4692.9180217944131</v>
      </c>
      <c r="D63" s="104">
        <v>54007.023791798005</v>
      </c>
      <c r="E63" s="104">
        <v>11.508196721311476</v>
      </c>
      <c r="F63" s="105">
        <v>839</v>
      </c>
      <c r="G63" s="104">
        <v>0.64889997243881226</v>
      </c>
    </row>
    <row r="64" spans="1:7" x14ac:dyDescent="0.25">
      <c r="A64" s="102" t="s">
        <v>48</v>
      </c>
      <c r="B64" s="103">
        <v>41595</v>
      </c>
      <c r="C64" s="104">
        <v>740.28206122903919</v>
      </c>
      <c r="D64" s="104">
        <v>11104.230918435587</v>
      </c>
      <c r="E64" s="104">
        <v>15</v>
      </c>
      <c r="F64" s="105">
        <v>840</v>
      </c>
      <c r="G64" s="104">
        <v>0.72675001621246338</v>
      </c>
    </row>
    <row r="65" spans="1:7" x14ac:dyDescent="0.25">
      <c r="A65" s="102" t="s">
        <v>3</v>
      </c>
      <c r="B65" s="103">
        <v>41593</v>
      </c>
      <c r="C65" s="104">
        <v>524.29220526039649</v>
      </c>
      <c r="D65" s="104">
        <v>7723.719316519011</v>
      </c>
      <c r="E65" s="104">
        <v>14.731707317073171</v>
      </c>
      <c r="F65" s="105">
        <v>833</v>
      </c>
      <c r="G65" s="104">
        <v>0.57220000028610229</v>
      </c>
    </row>
    <row r="66" spans="1:7" x14ac:dyDescent="0.25">
      <c r="A66" s="102" t="s">
        <v>3</v>
      </c>
      <c r="B66" s="103">
        <v>41594</v>
      </c>
      <c r="C66" s="104">
        <v>2660.0179783396334</v>
      </c>
      <c r="D66" s="104">
        <v>38836.262483758648</v>
      </c>
      <c r="E66" s="104">
        <v>14.6</v>
      </c>
      <c r="F66" s="105">
        <v>834</v>
      </c>
      <c r="G66" s="104">
        <v>0.57266664505004883</v>
      </c>
    </row>
    <row r="67" spans="1:7" x14ac:dyDescent="0.25">
      <c r="A67" s="102" t="s">
        <v>3</v>
      </c>
      <c r="B67" s="103">
        <v>41595</v>
      </c>
      <c r="C67" s="104">
        <v>991.05298762639575</v>
      </c>
      <c r="D67" s="104">
        <v>13921.934826180322</v>
      </c>
      <c r="E67" s="104">
        <v>14.047619047619047</v>
      </c>
      <c r="F67" s="105">
        <v>835</v>
      </c>
      <c r="G67" s="104">
        <v>0.5812000036239624</v>
      </c>
    </row>
    <row r="68" spans="1:7" x14ac:dyDescent="0.25">
      <c r="A68" s="102" t="s">
        <v>1</v>
      </c>
      <c r="B68" s="103">
        <v>41593</v>
      </c>
      <c r="C68" s="104">
        <v>668.29813074128094</v>
      </c>
      <c r="D68" s="104">
        <v>9897.1770790732571</v>
      </c>
      <c r="E68" s="104">
        <v>14.80952380952381</v>
      </c>
      <c r="F68" s="105">
        <v>836</v>
      </c>
      <c r="G68" s="104">
        <v>0.45135000348091125</v>
      </c>
    </row>
    <row r="69" spans="1:7" x14ac:dyDescent="0.25">
      <c r="A69" s="102" t="s">
        <v>1</v>
      </c>
      <c r="B69" s="103">
        <v>41594</v>
      </c>
      <c r="C69" s="104">
        <v>1951.9936914691073</v>
      </c>
      <c r="D69" s="104">
        <v>29058.087907096939</v>
      </c>
      <c r="E69" s="104">
        <v>14.886363636363637</v>
      </c>
      <c r="F69" s="105">
        <v>837</v>
      </c>
      <c r="G69" s="104">
        <v>0.51243335008621216</v>
      </c>
    </row>
    <row r="70" spans="1:7" x14ac:dyDescent="0.25">
      <c r="A70" s="102" t="s">
        <v>1</v>
      </c>
      <c r="B70" s="103">
        <v>41596</v>
      </c>
      <c r="C70" s="104">
        <v>45.1892320180769</v>
      </c>
      <c r="D70" s="104">
        <v>34.760947706212995</v>
      </c>
      <c r="E70" s="104">
        <v>0.76923076923076927</v>
      </c>
      <c r="F70" s="105">
        <v>841</v>
      </c>
      <c r="G70" s="104">
        <v>0.53109997510910034</v>
      </c>
    </row>
    <row r="71" spans="1:7" x14ac:dyDescent="0.25">
      <c r="A71" s="102" t="s">
        <v>1</v>
      </c>
      <c r="B71" s="103">
        <v>41597</v>
      </c>
      <c r="C71" s="104">
        <v>137.75829998740974</v>
      </c>
      <c r="D71" s="104">
        <v>2066.3744998111461</v>
      </c>
      <c r="E71" s="104">
        <v>15</v>
      </c>
      <c r="F71" s="105">
        <v>842</v>
      </c>
      <c r="G71" s="104">
        <v>0.47909998893737793</v>
      </c>
    </row>
    <row r="72" spans="1:7" x14ac:dyDescent="0.25">
      <c r="A72" s="102" t="s">
        <v>1</v>
      </c>
      <c r="B72" s="103">
        <v>41598</v>
      </c>
      <c r="C72" s="104">
        <v>71.011650314120843</v>
      </c>
      <c r="D72" s="104">
        <v>1065.1747547118125</v>
      </c>
      <c r="E72" s="104">
        <v>15</v>
      </c>
      <c r="F72" s="105">
        <v>843</v>
      </c>
      <c r="G72" s="104">
        <v>0.53109997510910034</v>
      </c>
    </row>
    <row r="74" spans="1:7" x14ac:dyDescent="0.25">
      <c r="A74" s="101" t="s">
        <v>9</v>
      </c>
      <c r="B74" s="101" t="s">
        <v>8</v>
      </c>
      <c r="C74" s="101" t="s">
        <v>30</v>
      </c>
      <c r="D74" s="101" t="s">
        <v>31</v>
      </c>
      <c r="E74" s="101" t="s">
        <v>10</v>
      </c>
      <c r="F74" s="101" t="s">
        <v>39</v>
      </c>
      <c r="G74" s="101" t="s">
        <v>47</v>
      </c>
    </row>
    <row r="75" spans="1:7" x14ac:dyDescent="0.25">
      <c r="A75" s="102" t="s">
        <v>2</v>
      </c>
      <c r="B75" s="103">
        <v>41608</v>
      </c>
      <c r="C75" s="104">
        <v>2720.2169478734922</v>
      </c>
      <c r="D75" s="104">
        <v>40803.254218102382</v>
      </c>
      <c r="E75" s="104">
        <v>15</v>
      </c>
      <c r="F75" s="105">
        <v>849</v>
      </c>
      <c r="G75" s="104">
        <v>0.49360001087188721</v>
      </c>
    </row>
    <row r="76" spans="1:7" x14ac:dyDescent="0.25">
      <c r="A76" s="102" t="s">
        <v>48</v>
      </c>
      <c r="B76" s="103">
        <v>41608</v>
      </c>
      <c r="C76" s="104">
        <v>3285.7878644349003</v>
      </c>
      <c r="D76" s="104">
        <v>49286.817966523507</v>
      </c>
      <c r="E76" s="104">
        <v>15</v>
      </c>
      <c r="F76" s="105">
        <v>844</v>
      </c>
      <c r="G76" s="104">
        <v>0.71276664733886719</v>
      </c>
    </row>
    <row r="77" spans="1:7" x14ac:dyDescent="0.25">
      <c r="A77" s="102" t="s">
        <v>48</v>
      </c>
      <c r="B77" s="103">
        <v>41609</v>
      </c>
      <c r="C77" s="104">
        <v>1295.1500467886774</v>
      </c>
      <c r="D77" s="104">
        <v>9914.2016855947422</v>
      </c>
      <c r="E77" s="104">
        <v>7.6548672566371678</v>
      </c>
      <c r="F77" s="105">
        <v>845</v>
      </c>
      <c r="G77" s="104">
        <v>0.66972500085830688</v>
      </c>
    </row>
    <row r="78" spans="1:7" x14ac:dyDescent="0.25">
      <c r="A78" s="102" t="s">
        <v>48</v>
      </c>
      <c r="B78" s="103">
        <v>41610</v>
      </c>
      <c r="C78" s="104">
        <v>462.3208703068459</v>
      </c>
      <c r="D78" s="104">
        <v>6703.6526194492662</v>
      </c>
      <c r="E78" s="104">
        <v>14.5</v>
      </c>
      <c r="F78" s="105">
        <v>856</v>
      </c>
      <c r="G78" s="104">
        <v>0.64889997243881226</v>
      </c>
    </row>
    <row r="79" spans="1:7" x14ac:dyDescent="0.25">
      <c r="A79" s="102" t="s">
        <v>48</v>
      </c>
      <c r="B79" s="103">
        <v>41611</v>
      </c>
      <c r="C79" s="104">
        <v>352.2531741164201</v>
      </c>
      <c r="D79" s="104">
        <v>5283.7976117463013</v>
      </c>
      <c r="E79" s="104">
        <v>15</v>
      </c>
      <c r="F79" s="105">
        <v>857</v>
      </c>
      <c r="G79" s="104">
        <v>0.72675001621246338</v>
      </c>
    </row>
    <row r="80" spans="1:7" x14ac:dyDescent="0.25">
      <c r="A80" s="102" t="s">
        <v>48</v>
      </c>
      <c r="B80" s="103">
        <v>41612</v>
      </c>
      <c r="C80" s="104">
        <v>220.15823382276255</v>
      </c>
      <c r="D80" s="104">
        <v>3302.3735073414382</v>
      </c>
      <c r="E80" s="104">
        <v>15</v>
      </c>
      <c r="F80" s="105">
        <v>861</v>
      </c>
      <c r="G80" s="104">
        <v>0.72675001621246338</v>
      </c>
    </row>
    <row r="81" spans="1:7" x14ac:dyDescent="0.25">
      <c r="A81" s="102" t="s">
        <v>3</v>
      </c>
      <c r="B81" s="103">
        <v>41608</v>
      </c>
      <c r="C81" s="104">
        <v>1112.3399721391643</v>
      </c>
      <c r="D81" s="104">
        <v>16685.099582087463</v>
      </c>
      <c r="E81" s="104">
        <v>15</v>
      </c>
      <c r="F81" s="105">
        <v>846</v>
      </c>
      <c r="G81" s="104">
        <v>0.57266664505004883</v>
      </c>
    </row>
    <row r="82" spans="1:7" x14ac:dyDescent="0.25">
      <c r="A82" s="102" t="s">
        <v>3</v>
      </c>
      <c r="B82" s="103">
        <v>41609</v>
      </c>
      <c r="C82" s="104">
        <v>525.61119562619854</v>
      </c>
      <c r="D82" s="104">
        <v>7884.1679343929773</v>
      </c>
      <c r="E82" s="104">
        <v>15</v>
      </c>
      <c r="F82" s="105">
        <v>847</v>
      </c>
      <c r="G82" s="104">
        <v>0.57266664505004883</v>
      </c>
    </row>
    <row r="83" spans="1:7" x14ac:dyDescent="0.25">
      <c r="A83" s="102" t="s">
        <v>3</v>
      </c>
      <c r="B83" s="103">
        <v>41610</v>
      </c>
      <c r="C83" s="104">
        <v>180.66070086939507</v>
      </c>
      <c r="D83" s="104">
        <v>2709.9105130409262</v>
      </c>
      <c r="E83" s="104">
        <v>15</v>
      </c>
      <c r="F83" s="105">
        <v>854</v>
      </c>
      <c r="G83" s="104">
        <v>0.5812000036239624</v>
      </c>
    </row>
    <row r="84" spans="1:7" x14ac:dyDescent="0.25">
      <c r="A84" s="102" t="s">
        <v>3</v>
      </c>
      <c r="B84" s="103">
        <v>41611</v>
      </c>
      <c r="C84" s="104">
        <v>223.67515345734628</v>
      </c>
      <c r="D84" s="104">
        <v>3184.0815962751644</v>
      </c>
      <c r="E84" s="104">
        <v>14.235294117647058</v>
      </c>
      <c r="F84" s="105">
        <v>858</v>
      </c>
      <c r="G84" s="104">
        <v>0.5812000036239624</v>
      </c>
    </row>
    <row r="85" spans="1:7" x14ac:dyDescent="0.25">
      <c r="A85" s="102" t="s">
        <v>1</v>
      </c>
      <c r="B85" s="103">
        <v>41609</v>
      </c>
      <c r="C85" s="104">
        <v>331.28592391630696</v>
      </c>
      <c r="D85" s="104">
        <v>4240.4598261287292</v>
      </c>
      <c r="E85" s="104">
        <v>12.8</v>
      </c>
      <c r="F85" s="105">
        <v>848</v>
      </c>
      <c r="G85" s="104">
        <v>0.53109997510910034</v>
      </c>
    </row>
    <row r="86" spans="1:7" x14ac:dyDescent="0.25">
      <c r="A86" s="102" t="s">
        <v>1</v>
      </c>
      <c r="B86" s="103">
        <v>41610</v>
      </c>
      <c r="C86" s="104">
        <v>286.455033170018</v>
      </c>
      <c r="D86" s="104">
        <v>4304.1704984007829</v>
      </c>
      <c r="E86" s="104">
        <v>15.025641025641026</v>
      </c>
      <c r="F86" s="105">
        <v>855</v>
      </c>
      <c r="G86" s="104">
        <v>0.52713334560394287</v>
      </c>
    </row>
    <row r="87" spans="1:7" x14ac:dyDescent="0.25">
      <c r="A87" s="102" t="s">
        <v>1</v>
      </c>
      <c r="B87" s="103">
        <v>41611</v>
      </c>
      <c r="C87" s="104">
        <v>478.25270552464718</v>
      </c>
      <c r="D87" s="104">
        <v>7173.7905828697076</v>
      </c>
      <c r="E87" s="104">
        <v>15</v>
      </c>
      <c r="F87" s="105">
        <v>859</v>
      </c>
      <c r="G87" s="104">
        <v>0.53109997510910034</v>
      </c>
    </row>
    <row r="88" spans="1:7" x14ac:dyDescent="0.25">
      <c r="A88" s="102" t="s">
        <v>1</v>
      </c>
      <c r="B88" s="103">
        <v>41612</v>
      </c>
      <c r="C88" s="104">
        <v>231.59481409264413</v>
      </c>
      <c r="D88" s="104">
        <v>3473.9222113896617</v>
      </c>
      <c r="E88" s="104">
        <v>15</v>
      </c>
      <c r="F88" s="105">
        <v>860</v>
      </c>
      <c r="G88" s="104">
        <v>0.53109997510910034</v>
      </c>
    </row>
    <row r="89" spans="1:7" x14ac:dyDescent="0.25">
      <c r="A89" s="102" t="s">
        <v>1</v>
      </c>
      <c r="B89" s="103">
        <v>41613</v>
      </c>
      <c r="C89" s="104">
        <v>103.78263532777675</v>
      </c>
      <c r="D89" s="104">
        <v>1463.8813825181139</v>
      </c>
      <c r="E89" s="104">
        <v>14.105263157894736</v>
      </c>
      <c r="F89" s="105">
        <v>862</v>
      </c>
      <c r="G89" s="104">
        <v>0.70850002765655518</v>
      </c>
    </row>
    <row r="90" spans="1:7" x14ac:dyDescent="0.25">
      <c r="A90" s="102" t="s">
        <v>1</v>
      </c>
      <c r="B90" s="103">
        <v>41614</v>
      </c>
      <c r="C90" s="104">
        <v>67.135037642346745</v>
      </c>
      <c r="D90" s="104">
        <v>1007.0255646352011</v>
      </c>
      <c r="E90" s="104">
        <v>15</v>
      </c>
      <c r="F90" s="105">
        <v>863</v>
      </c>
      <c r="G90" s="104">
        <v>0.67610001564025879</v>
      </c>
    </row>
    <row r="91" spans="1:7" x14ac:dyDescent="0.25">
      <c r="A91" s="102" t="s">
        <v>1</v>
      </c>
      <c r="B91" s="103">
        <v>41615</v>
      </c>
      <c r="C91" s="104">
        <v>39.903679880375719</v>
      </c>
      <c r="D91" s="104">
        <v>598.55519820563575</v>
      </c>
      <c r="E91" s="104">
        <v>15</v>
      </c>
      <c r="F91" s="105">
        <v>864</v>
      </c>
      <c r="G91" s="104">
        <v>0.72675001621246338</v>
      </c>
    </row>
    <row r="93" spans="1:7" x14ac:dyDescent="0.25">
      <c r="A93" s="101" t="s">
        <v>9</v>
      </c>
      <c r="B93" s="101" t="s">
        <v>8</v>
      </c>
      <c r="C93" s="101" t="s">
        <v>30</v>
      </c>
      <c r="D93" s="101" t="s">
        <v>31</v>
      </c>
      <c r="E93" s="101" t="s">
        <v>10</v>
      </c>
      <c r="F93" s="101" t="s">
        <v>39</v>
      </c>
      <c r="G93" s="101" t="s">
        <v>47</v>
      </c>
    </row>
    <row r="94" spans="1:7" x14ac:dyDescent="0.25">
      <c r="A94" s="102" t="s">
        <v>2</v>
      </c>
      <c r="B94" s="103">
        <v>41622</v>
      </c>
      <c r="C94" s="104">
        <v>1266.8657957434955</v>
      </c>
      <c r="D94" s="104">
        <v>19002.986936152429</v>
      </c>
      <c r="E94" s="104">
        <v>15</v>
      </c>
      <c r="F94" s="105">
        <v>865</v>
      </c>
      <c r="G94" s="104">
        <v>0.48544999957084656</v>
      </c>
    </row>
    <row r="95" spans="1:7" x14ac:dyDescent="0.25">
      <c r="A95" s="102" t="s">
        <v>48</v>
      </c>
      <c r="B95" s="103">
        <v>41622</v>
      </c>
      <c r="C95" s="104">
        <v>1651.3479405270803</v>
      </c>
      <c r="D95" s="104">
        <v>24770.219107906203</v>
      </c>
      <c r="E95" s="104">
        <v>15</v>
      </c>
      <c r="F95" s="105">
        <v>870</v>
      </c>
      <c r="G95" s="104">
        <v>0.64916664361953735</v>
      </c>
    </row>
    <row r="96" spans="1:7" x14ac:dyDescent="0.25">
      <c r="A96" s="102" t="s">
        <v>48</v>
      </c>
      <c r="B96" s="103">
        <v>41623</v>
      </c>
      <c r="C96" s="104">
        <v>1106.4879496010512</v>
      </c>
      <c r="D96" s="104">
        <v>14190.70795363348</v>
      </c>
      <c r="E96" s="104">
        <v>12.824999999999999</v>
      </c>
      <c r="F96" s="105">
        <v>871</v>
      </c>
      <c r="G96" s="104">
        <v>0.64889997243881226</v>
      </c>
    </row>
    <row r="97" spans="1:7" x14ac:dyDescent="0.25">
      <c r="A97" s="102" t="s">
        <v>48</v>
      </c>
      <c r="B97" s="103">
        <v>41624</v>
      </c>
      <c r="C97" s="104">
        <v>553.69007388590944</v>
      </c>
      <c r="D97" s="104">
        <v>8215.5635287395762</v>
      </c>
      <c r="E97" s="104">
        <v>14.837837837837839</v>
      </c>
      <c r="F97" s="105">
        <v>872</v>
      </c>
      <c r="G97" s="104">
        <v>0.64889997243881226</v>
      </c>
    </row>
    <row r="98" spans="1:7" x14ac:dyDescent="0.25">
      <c r="A98" s="102" t="s">
        <v>3</v>
      </c>
      <c r="B98" s="103">
        <v>41622</v>
      </c>
      <c r="C98" s="104">
        <v>578.58655833989269</v>
      </c>
      <c r="D98" s="104">
        <v>8678.7983750983894</v>
      </c>
      <c r="E98" s="104">
        <v>15</v>
      </c>
      <c r="F98" s="105">
        <v>866</v>
      </c>
      <c r="G98" s="104">
        <v>0.5812000036239624</v>
      </c>
    </row>
    <row r="99" spans="1:7" x14ac:dyDescent="0.25">
      <c r="A99" s="102" t="s">
        <v>3</v>
      </c>
      <c r="B99" s="103">
        <v>41623</v>
      </c>
      <c r="C99" s="104">
        <v>821.63648536346591</v>
      </c>
      <c r="D99" s="104">
        <v>12284.467451897672</v>
      </c>
      <c r="E99" s="104">
        <v>14.951219512195122</v>
      </c>
      <c r="F99" s="105">
        <v>868</v>
      </c>
      <c r="G99" s="104">
        <v>0.57266664505004883</v>
      </c>
    </row>
    <row r="100" spans="1:7" x14ac:dyDescent="0.25">
      <c r="A100" s="102" t="s">
        <v>3</v>
      </c>
      <c r="B100" s="103">
        <v>41624</v>
      </c>
      <c r="C100" s="104">
        <v>295.93943380510433</v>
      </c>
      <c r="D100" s="104">
        <v>4439.0915070765641</v>
      </c>
      <c r="E100" s="104">
        <v>15</v>
      </c>
      <c r="F100" s="105">
        <v>873</v>
      </c>
      <c r="G100" s="104">
        <v>0.5812000036239624</v>
      </c>
    </row>
    <row r="101" spans="1:7" x14ac:dyDescent="0.25">
      <c r="A101" s="102" t="s">
        <v>1</v>
      </c>
      <c r="B101" s="103">
        <v>41622</v>
      </c>
      <c r="C101" s="104">
        <v>906.91382003410945</v>
      </c>
      <c r="D101" s="104">
        <v>13603.707300511642</v>
      </c>
      <c r="E101" s="104">
        <v>15</v>
      </c>
      <c r="F101" s="105">
        <v>867</v>
      </c>
      <c r="G101" s="104">
        <v>0.52713334560394287</v>
      </c>
    </row>
    <row r="102" spans="1:7" x14ac:dyDescent="0.25">
      <c r="A102" s="102" t="s">
        <v>1</v>
      </c>
      <c r="B102" s="103">
        <v>41623</v>
      </c>
      <c r="C102" s="104">
        <v>653.32661417552151</v>
      </c>
      <c r="D102" s="104">
        <v>8574.9118110537202</v>
      </c>
      <c r="E102" s="104">
        <v>13.125</v>
      </c>
      <c r="F102" s="105">
        <v>869</v>
      </c>
      <c r="G102" s="104">
        <v>0.52713334560394287</v>
      </c>
    </row>
    <row r="103" spans="1:7" x14ac:dyDescent="0.25">
      <c r="A103" s="102" t="s">
        <v>1</v>
      </c>
      <c r="B103" s="103">
        <v>41625</v>
      </c>
      <c r="C103" s="104">
        <v>212.76596741844537</v>
      </c>
      <c r="D103" s="104">
        <v>2893.6171568908571</v>
      </c>
      <c r="E103" s="104">
        <v>13.6</v>
      </c>
      <c r="F103" s="105">
        <v>874</v>
      </c>
      <c r="G103" s="104">
        <v>0.53109997510910034</v>
      </c>
    </row>
    <row r="104" spans="1:7" x14ac:dyDescent="0.25">
      <c r="A104" s="102" t="s">
        <v>1</v>
      </c>
      <c r="B104" s="103">
        <v>41626</v>
      </c>
      <c r="C104" s="104">
        <v>88.973027670096371</v>
      </c>
      <c r="D104" s="104">
        <v>1334.5954150514456</v>
      </c>
      <c r="E104" s="104">
        <v>15</v>
      </c>
      <c r="F104" s="105">
        <v>875</v>
      </c>
      <c r="G104" s="104">
        <v>0.52824997901916504</v>
      </c>
    </row>
    <row r="106" spans="1:7" x14ac:dyDescent="0.25">
      <c r="A106" s="101" t="s">
        <v>9</v>
      </c>
      <c r="B106" s="101" t="s">
        <v>8</v>
      </c>
      <c r="C106" s="101" t="s">
        <v>30</v>
      </c>
      <c r="D106" s="101" t="s">
        <v>31</v>
      </c>
      <c r="E106" s="101" t="s">
        <v>10</v>
      </c>
      <c r="F106" s="101" t="s">
        <v>39</v>
      </c>
      <c r="G106" s="101" t="s">
        <v>47</v>
      </c>
    </row>
    <row r="107" spans="1:7" x14ac:dyDescent="0.25">
      <c r="A107" s="102" t="s">
        <v>2</v>
      </c>
      <c r="B107" s="103">
        <v>41637</v>
      </c>
      <c r="C107" s="104">
        <v>3259.2887395126077</v>
      </c>
      <c r="D107" s="104">
        <v>47376.089892201118</v>
      </c>
      <c r="E107" s="104">
        <v>14.535714285714286</v>
      </c>
      <c r="F107" s="105">
        <v>881</v>
      </c>
      <c r="G107" s="104">
        <v>0.49390000104904175</v>
      </c>
    </row>
    <row r="108" spans="1:7" x14ac:dyDescent="0.25">
      <c r="A108" s="102" t="s">
        <v>2</v>
      </c>
      <c r="B108" s="103">
        <v>41638</v>
      </c>
      <c r="C108" s="104">
        <v>5014.0907694910784</v>
      </c>
      <c r="D108" s="104">
        <v>74353.688121269006</v>
      </c>
      <c r="E108" s="104">
        <v>14.828947368421053</v>
      </c>
      <c r="F108" s="105">
        <v>878</v>
      </c>
      <c r="G108" s="104">
        <v>0.46129998564720154</v>
      </c>
    </row>
    <row r="109" spans="1:7" x14ac:dyDescent="0.25">
      <c r="A109" s="102" t="s">
        <v>2</v>
      </c>
      <c r="B109" s="103">
        <v>41639</v>
      </c>
      <c r="C109" s="104">
        <v>2969.1741473879547</v>
      </c>
      <c r="D109" s="104">
        <v>44565.623287681476</v>
      </c>
      <c r="E109" s="104">
        <v>15.009433962264151</v>
      </c>
      <c r="F109" s="105">
        <v>885</v>
      </c>
      <c r="G109" s="104">
        <v>0.51515001058578491</v>
      </c>
    </row>
    <row r="110" spans="1:7" x14ac:dyDescent="0.25">
      <c r="A110" s="102" t="s">
        <v>2</v>
      </c>
      <c r="B110" s="103">
        <v>41643</v>
      </c>
      <c r="C110" s="104">
        <v>1269.4116019079102</v>
      </c>
      <c r="D110" s="104">
        <v>19063.842092938437</v>
      </c>
      <c r="E110" s="104">
        <v>15.017857142857142</v>
      </c>
      <c r="F110" s="105">
        <v>894</v>
      </c>
      <c r="G110" s="104">
        <v>0.49390000104904175</v>
      </c>
    </row>
    <row r="111" spans="1:7" x14ac:dyDescent="0.25">
      <c r="A111" s="102" t="s">
        <v>48</v>
      </c>
      <c r="B111" s="103">
        <v>41637</v>
      </c>
      <c r="C111" s="104">
        <v>3532.7933061596609</v>
      </c>
      <c r="D111" s="104">
        <v>52234.872455360703</v>
      </c>
      <c r="E111" s="104">
        <v>14.785714285714286</v>
      </c>
      <c r="F111" s="105">
        <v>882</v>
      </c>
      <c r="G111" s="104">
        <v>0.66972500085830688</v>
      </c>
    </row>
    <row r="112" spans="1:7" x14ac:dyDescent="0.25">
      <c r="A112" s="102" t="s">
        <v>48</v>
      </c>
      <c r="B112" s="103">
        <v>41638</v>
      </c>
      <c r="C112" s="104">
        <v>4012.9192033138715</v>
      </c>
      <c r="D112" s="104">
        <v>59993.142089542373</v>
      </c>
      <c r="E112" s="104">
        <v>14.95</v>
      </c>
      <c r="F112" s="105">
        <v>877</v>
      </c>
      <c r="G112" s="104">
        <v>0.70696663856506348</v>
      </c>
    </row>
    <row r="113" spans="1:7" x14ac:dyDescent="0.25">
      <c r="A113" s="102" t="s">
        <v>48</v>
      </c>
      <c r="B113" s="103">
        <v>41639</v>
      </c>
      <c r="C113" s="104">
        <v>4080.75221524176</v>
      </c>
      <c r="D113" s="104">
        <v>60850.154714003234</v>
      </c>
      <c r="E113" s="104">
        <v>14.91150442477876</v>
      </c>
      <c r="F113" s="105">
        <v>883</v>
      </c>
      <c r="G113" s="104">
        <v>0.64889997243881226</v>
      </c>
    </row>
    <row r="114" spans="1:7" x14ac:dyDescent="0.25">
      <c r="A114" s="102" t="s">
        <v>48</v>
      </c>
      <c r="B114" s="103">
        <v>41641</v>
      </c>
      <c r="C114" s="104">
        <v>531.15461078524095</v>
      </c>
      <c r="D114" s="104">
        <v>2850.5297445474598</v>
      </c>
      <c r="E114" s="104">
        <v>5.3666666666666663</v>
      </c>
      <c r="F114" s="105">
        <v>887</v>
      </c>
      <c r="G114" s="104">
        <v>0.55739998817443848</v>
      </c>
    </row>
    <row r="115" spans="1:7" x14ac:dyDescent="0.25">
      <c r="A115" s="102" t="s">
        <v>48</v>
      </c>
      <c r="B115" s="103">
        <v>41642</v>
      </c>
      <c r="C115" s="104">
        <v>813.68473174004873</v>
      </c>
      <c r="D115" s="104">
        <v>10866.081521778568</v>
      </c>
      <c r="E115" s="104">
        <v>13.354166666666666</v>
      </c>
      <c r="F115" s="105">
        <v>895</v>
      </c>
      <c r="G115" s="104">
        <v>0.64889997243881226</v>
      </c>
    </row>
    <row r="116" spans="1:7" x14ac:dyDescent="0.25">
      <c r="A116" s="102" t="s">
        <v>3</v>
      </c>
      <c r="B116" s="103">
        <v>41637</v>
      </c>
      <c r="C116" s="104">
        <v>1216.8901275455939</v>
      </c>
      <c r="D116" s="104">
        <v>18253.351913183909</v>
      </c>
      <c r="E116" s="104">
        <v>15</v>
      </c>
      <c r="F116" s="105">
        <v>880</v>
      </c>
      <c r="G116" s="104">
        <v>0.56029999256134033</v>
      </c>
    </row>
    <row r="117" spans="1:7" x14ac:dyDescent="0.25">
      <c r="A117" s="102" t="s">
        <v>3</v>
      </c>
      <c r="B117" s="103">
        <v>41638</v>
      </c>
      <c r="C117" s="104">
        <v>2510.924857729548</v>
      </c>
      <c r="D117" s="104">
        <v>36727.595800349154</v>
      </c>
      <c r="E117" s="104">
        <v>14.627118644067796</v>
      </c>
      <c r="F117" s="105">
        <v>879</v>
      </c>
      <c r="G117" s="104">
        <v>0.55105000734329224</v>
      </c>
    </row>
    <row r="118" spans="1:7" x14ac:dyDescent="0.25">
      <c r="A118" s="102" t="s">
        <v>3</v>
      </c>
      <c r="B118" s="103">
        <v>41639</v>
      </c>
      <c r="C118" s="104">
        <v>1993.9447870968572</v>
      </c>
      <c r="D118" s="104">
        <v>29909.171806452858</v>
      </c>
      <c r="E118" s="104">
        <v>15</v>
      </c>
      <c r="F118" s="105">
        <v>884</v>
      </c>
      <c r="G118" s="104">
        <v>0.57266664505004883</v>
      </c>
    </row>
    <row r="119" spans="1:7" x14ac:dyDescent="0.25">
      <c r="A119" s="102" t="s">
        <v>3</v>
      </c>
      <c r="B119" s="103">
        <v>41640</v>
      </c>
      <c r="C119" s="104">
        <v>2305.0059077295086</v>
      </c>
      <c r="D119" s="104">
        <v>34784.634607554399</v>
      </c>
      <c r="E119" s="104">
        <v>15.090909090909092</v>
      </c>
      <c r="F119" s="105">
        <v>886</v>
      </c>
      <c r="G119" s="104">
        <v>0.57266664505004883</v>
      </c>
    </row>
    <row r="120" spans="1:7" x14ac:dyDescent="0.25">
      <c r="A120" s="102" t="s">
        <v>3</v>
      </c>
      <c r="B120" s="103">
        <v>41641</v>
      </c>
      <c r="C120" s="104">
        <v>254.9626226166977</v>
      </c>
      <c r="D120" s="104">
        <v>2448.8270497836311</v>
      </c>
      <c r="E120" s="104">
        <v>9.604651162790697</v>
      </c>
      <c r="F120" s="105">
        <v>888</v>
      </c>
      <c r="G120" s="104">
        <v>0.56029999256134033</v>
      </c>
    </row>
    <row r="121" spans="1:7" x14ac:dyDescent="0.25">
      <c r="A121" s="102" t="s">
        <v>3</v>
      </c>
      <c r="B121" s="103">
        <v>41642</v>
      </c>
      <c r="C121" s="104">
        <v>886.41280578631176</v>
      </c>
      <c r="D121" s="104">
        <v>13296.192086794676</v>
      </c>
      <c r="E121" s="104">
        <v>15</v>
      </c>
      <c r="F121" s="105">
        <v>891</v>
      </c>
      <c r="G121" s="104">
        <v>0.57266664505004883</v>
      </c>
    </row>
    <row r="122" spans="1:7" x14ac:dyDescent="0.25">
      <c r="A122" s="102" t="s">
        <v>3</v>
      </c>
      <c r="B122" s="103">
        <v>41643</v>
      </c>
      <c r="C122" s="104">
        <v>666.95772793099195</v>
      </c>
      <c r="D122" s="104">
        <v>10004.365918964879</v>
      </c>
      <c r="E122" s="104">
        <v>15</v>
      </c>
      <c r="F122" s="105">
        <v>892</v>
      </c>
      <c r="G122" s="104">
        <v>0.57266664505004883</v>
      </c>
    </row>
    <row r="123" spans="1:7" x14ac:dyDescent="0.25">
      <c r="A123" s="102" t="s">
        <v>1</v>
      </c>
      <c r="B123" s="103">
        <v>41638</v>
      </c>
      <c r="C123" s="104">
        <v>1530.9219322397648</v>
      </c>
      <c r="D123" s="104">
        <v>23210.751875893209</v>
      </c>
      <c r="E123" s="104">
        <v>15.161290322580646</v>
      </c>
      <c r="F123" s="105">
        <v>876</v>
      </c>
      <c r="G123" s="104">
        <v>0.52713334560394287</v>
      </c>
    </row>
    <row r="124" spans="1:7" x14ac:dyDescent="0.25">
      <c r="A124" s="102" t="s">
        <v>1</v>
      </c>
      <c r="B124" s="103">
        <v>41641</v>
      </c>
      <c r="C124" s="104">
        <v>323.97702961465927</v>
      </c>
      <c r="D124" s="104">
        <v>3208.9153409451965</v>
      </c>
      <c r="E124" s="104">
        <v>9.9047619047619051</v>
      </c>
      <c r="F124" s="105">
        <v>889</v>
      </c>
      <c r="G124" s="104">
        <v>0.47909998893737793</v>
      </c>
    </row>
    <row r="125" spans="1:7" x14ac:dyDescent="0.25">
      <c r="A125" s="102" t="s">
        <v>1</v>
      </c>
      <c r="B125" s="103">
        <v>41642</v>
      </c>
      <c r="C125" s="104">
        <v>487.001462565184</v>
      </c>
      <c r="D125" s="104">
        <v>7238.9878418587523</v>
      </c>
      <c r="E125" s="104">
        <v>14.864406779661017</v>
      </c>
      <c r="F125" s="105">
        <v>890</v>
      </c>
      <c r="G125" s="104">
        <v>0.53109997510910034</v>
      </c>
    </row>
    <row r="126" spans="1:7" x14ac:dyDescent="0.25">
      <c r="A126" s="102" t="s">
        <v>1</v>
      </c>
      <c r="B126" s="103">
        <v>41643</v>
      </c>
      <c r="C126" s="104">
        <v>468.68765141415423</v>
      </c>
      <c r="D126" s="104">
        <v>6762.4932561185105</v>
      </c>
      <c r="E126" s="104">
        <v>14.428571428571429</v>
      </c>
      <c r="F126" s="105">
        <v>893</v>
      </c>
      <c r="G126" s="104">
        <v>0.53109997510910034</v>
      </c>
    </row>
    <row r="128" spans="1:7" x14ac:dyDescent="0.25">
      <c r="A128" s="101" t="s">
        <v>9</v>
      </c>
      <c r="B128" s="101" t="s">
        <v>8</v>
      </c>
      <c r="C128" s="101" t="s">
        <v>30</v>
      </c>
      <c r="D128" s="101" t="s">
        <v>31</v>
      </c>
      <c r="E128" s="101" t="s">
        <v>10</v>
      </c>
      <c r="F128" s="101" t="s">
        <v>39</v>
      </c>
      <c r="G128" s="101" t="s">
        <v>47</v>
      </c>
    </row>
    <row r="129" spans="1:7" x14ac:dyDescent="0.25">
      <c r="A129" s="102" t="s">
        <v>48</v>
      </c>
      <c r="B129" s="103">
        <v>41656</v>
      </c>
      <c r="C129" s="104">
        <v>636.25256118407401</v>
      </c>
      <c r="D129" s="104">
        <v>3788.5947961415304</v>
      </c>
      <c r="E129" s="104">
        <v>5.9545454545454541</v>
      </c>
      <c r="F129" s="105">
        <v>902</v>
      </c>
      <c r="G129" s="104">
        <v>0.68739998340606689</v>
      </c>
    </row>
    <row r="130" spans="1:7" x14ac:dyDescent="0.25">
      <c r="A130" s="102" t="s">
        <v>48</v>
      </c>
      <c r="B130" s="103">
        <v>41657</v>
      </c>
      <c r="C130" s="104">
        <v>1373.0793768396709</v>
      </c>
      <c r="D130" s="104">
        <v>12357.714391557038</v>
      </c>
      <c r="E130" s="104">
        <v>9</v>
      </c>
      <c r="F130" s="105">
        <v>903</v>
      </c>
      <c r="G130" s="104">
        <v>0.61269998550415039</v>
      </c>
    </row>
    <row r="131" spans="1:7" x14ac:dyDescent="0.25">
      <c r="A131" s="102" t="s">
        <v>3</v>
      </c>
      <c r="B131" s="103">
        <v>41656</v>
      </c>
      <c r="C131" s="104">
        <v>419.1138866055789</v>
      </c>
      <c r="D131" s="104">
        <v>4009.5228485267044</v>
      </c>
      <c r="E131" s="104">
        <v>9.5666666666666664</v>
      </c>
      <c r="F131" s="105">
        <v>896</v>
      </c>
      <c r="G131" s="104">
        <v>0.54605001211166382</v>
      </c>
    </row>
    <row r="132" spans="1:7" x14ac:dyDescent="0.25">
      <c r="A132" s="102" t="s">
        <v>3</v>
      </c>
      <c r="B132" s="103">
        <v>41657</v>
      </c>
      <c r="C132" s="104">
        <v>966.00307507807975</v>
      </c>
      <c r="D132" s="104">
        <v>10291.648146024158</v>
      </c>
      <c r="E132" s="104">
        <v>10.653846153846153</v>
      </c>
      <c r="F132" s="105">
        <v>897</v>
      </c>
      <c r="G132" s="104">
        <v>0.57266664505004883</v>
      </c>
    </row>
    <row r="133" spans="1:7" x14ac:dyDescent="0.25">
      <c r="A133" s="102" t="s">
        <v>1</v>
      </c>
      <c r="B133" s="103">
        <v>41654</v>
      </c>
      <c r="C133" s="104">
        <v>660.30411680580585</v>
      </c>
      <c r="D133" s="104">
        <v>9691.5604240852153</v>
      </c>
      <c r="E133" s="104">
        <v>14.67741935483871</v>
      </c>
      <c r="F133" s="105">
        <v>898</v>
      </c>
      <c r="G133" s="104">
        <v>0.53109997510910034</v>
      </c>
    </row>
    <row r="134" spans="1:7" x14ac:dyDescent="0.25">
      <c r="A134" s="102" t="s">
        <v>1</v>
      </c>
      <c r="B134" s="103">
        <v>41655</v>
      </c>
      <c r="C134" s="104">
        <v>603.95501020873189</v>
      </c>
      <c r="D134" s="104">
        <v>9079.4569868046037</v>
      </c>
      <c r="E134" s="104">
        <v>15.033333333333333</v>
      </c>
      <c r="F134" s="105">
        <v>899</v>
      </c>
      <c r="G134" s="104">
        <v>0.47909998893737793</v>
      </c>
    </row>
    <row r="135" spans="1:7" x14ac:dyDescent="0.25">
      <c r="A135" s="102" t="s">
        <v>1</v>
      </c>
      <c r="B135" s="103">
        <v>41656</v>
      </c>
      <c r="C135" s="104">
        <v>371.03645581572107</v>
      </c>
      <c r="D135" s="104">
        <v>6712.3867915753162</v>
      </c>
      <c r="E135" s="104">
        <v>18.09090909090909</v>
      </c>
      <c r="F135" s="105">
        <v>900</v>
      </c>
      <c r="G135" s="104">
        <v>0.52824997901916504</v>
      </c>
    </row>
    <row r="136" spans="1:7" x14ac:dyDescent="0.25">
      <c r="A136" s="102" t="s">
        <v>1</v>
      </c>
      <c r="B136" s="103">
        <v>41657</v>
      </c>
      <c r="C136" s="104">
        <v>884.30154980721238</v>
      </c>
      <c r="D136" s="104">
        <v>10197.993679228337</v>
      </c>
      <c r="E136" s="104">
        <v>11.53225806451613</v>
      </c>
      <c r="F136" s="105">
        <v>901</v>
      </c>
      <c r="G136" s="104">
        <v>0.52824997901916504</v>
      </c>
    </row>
    <row r="138" spans="1:7" x14ac:dyDescent="0.25">
      <c r="A138" s="101" t="s">
        <v>9</v>
      </c>
      <c r="B138" s="101" t="s">
        <v>8</v>
      </c>
      <c r="C138" s="101" t="s">
        <v>30</v>
      </c>
      <c r="D138" s="101" t="s">
        <v>31</v>
      </c>
      <c r="E138" s="101" t="s">
        <v>10</v>
      </c>
      <c r="F138" s="101" t="s">
        <v>39</v>
      </c>
      <c r="G138" s="101" t="s">
        <v>47</v>
      </c>
    </row>
    <row r="139" spans="1:7" x14ac:dyDescent="0.25">
      <c r="A139" s="102" t="s">
        <v>2</v>
      </c>
      <c r="B139" s="103">
        <v>41671</v>
      </c>
      <c r="C139" s="104">
        <v>2599.6788161412205</v>
      </c>
      <c r="D139" s="104">
        <v>38995.18224211831</v>
      </c>
      <c r="E139" s="104">
        <v>15</v>
      </c>
      <c r="F139" s="105">
        <v>913</v>
      </c>
      <c r="G139" s="104">
        <v>0.49166667461395264</v>
      </c>
    </row>
    <row r="140" spans="1:7" x14ac:dyDescent="0.25">
      <c r="A140" s="102" t="s">
        <v>48</v>
      </c>
      <c r="B140" s="103">
        <v>41668</v>
      </c>
      <c r="C140" s="104">
        <v>2195.9780028138184</v>
      </c>
      <c r="D140" s="104">
        <v>32973.982198501246</v>
      </c>
      <c r="E140" s="104">
        <v>15.015625</v>
      </c>
      <c r="F140" s="105">
        <v>908</v>
      </c>
      <c r="G140" s="104">
        <v>0.45583334565162659</v>
      </c>
    </row>
    <row r="141" spans="1:7" x14ac:dyDescent="0.25">
      <c r="A141" s="102" t="s">
        <v>48</v>
      </c>
      <c r="B141" s="103">
        <v>41669</v>
      </c>
      <c r="C141" s="104">
        <v>1516.3592466697273</v>
      </c>
      <c r="D141" s="104">
        <v>22745.388700045907</v>
      </c>
      <c r="E141" s="104">
        <v>15</v>
      </c>
      <c r="F141" s="105">
        <v>909</v>
      </c>
      <c r="G141" s="104">
        <v>0.70660001039505005</v>
      </c>
    </row>
    <row r="142" spans="1:7" x14ac:dyDescent="0.25">
      <c r="A142" s="102" t="s">
        <v>48</v>
      </c>
      <c r="B142" s="103">
        <v>41670</v>
      </c>
      <c r="C142" s="104">
        <v>2615.3992269747437</v>
      </c>
      <c r="D142" s="104">
        <v>38626.066134436522</v>
      </c>
      <c r="E142" s="104">
        <v>14.768707482993197</v>
      </c>
      <c r="F142" s="105">
        <v>915</v>
      </c>
      <c r="G142" s="104">
        <v>0.70696663856506348</v>
      </c>
    </row>
    <row r="143" spans="1:7" x14ac:dyDescent="0.25">
      <c r="A143" s="102" t="s">
        <v>48</v>
      </c>
      <c r="B143" s="103">
        <v>41671</v>
      </c>
      <c r="C143" s="104">
        <v>2928.3964547966434</v>
      </c>
      <c r="D143" s="104">
        <v>37699.550476314063</v>
      </c>
      <c r="E143" s="104">
        <v>12.873786407766991</v>
      </c>
      <c r="F143" s="105">
        <v>916</v>
      </c>
      <c r="G143" s="104">
        <v>0.67610001564025879</v>
      </c>
    </row>
    <row r="144" spans="1:7" x14ac:dyDescent="0.25">
      <c r="A144" s="102" t="s">
        <v>3</v>
      </c>
      <c r="B144" s="103">
        <v>41669</v>
      </c>
      <c r="C144" s="104">
        <v>749.12692001209018</v>
      </c>
      <c r="D144" s="104">
        <v>11236.903800181353</v>
      </c>
      <c r="E144" s="104">
        <v>15</v>
      </c>
      <c r="F144" s="105">
        <v>907</v>
      </c>
      <c r="G144" s="104">
        <v>0.57266664505004883</v>
      </c>
    </row>
    <row r="145" spans="1:7" x14ac:dyDescent="0.25">
      <c r="A145" s="102" t="s">
        <v>3</v>
      </c>
      <c r="B145" s="103">
        <v>41670</v>
      </c>
      <c r="C145" s="104">
        <v>1701.3093661648436</v>
      </c>
      <c r="D145" s="104">
        <v>25416.530833917212</v>
      </c>
      <c r="E145" s="104">
        <v>14.939393939393939</v>
      </c>
      <c r="F145" s="105">
        <v>910</v>
      </c>
      <c r="G145" s="104">
        <v>0.54605001211166382</v>
      </c>
    </row>
    <row r="146" spans="1:7" x14ac:dyDescent="0.25">
      <c r="A146" s="102" t="s">
        <v>3</v>
      </c>
      <c r="B146" s="103">
        <v>41671</v>
      </c>
      <c r="C146" s="104">
        <v>1451.1657784691124</v>
      </c>
      <c r="D146" s="104">
        <v>18269.805057136775</v>
      </c>
      <c r="E146" s="104">
        <v>12.589743589743589</v>
      </c>
      <c r="F146" s="105">
        <v>912</v>
      </c>
      <c r="G146" s="104">
        <v>0.54605001211166382</v>
      </c>
    </row>
    <row r="147" spans="1:7" x14ac:dyDescent="0.25">
      <c r="A147" s="102" t="s">
        <v>3</v>
      </c>
      <c r="B147" s="103">
        <v>41672</v>
      </c>
      <c r="C147" s="104">
        <v>182.63810096784638</v>
      </c>
      <c r="D147" s="104">
        <v>2739.5715145176955</v>
      </c>
      <c r="E147" s="104">
        <v>15</v>
      </c>
      <c r="F147" s="105">
        <v>914</v>
      </c>
      <c r="G147" s="104">
        <v>0.44350001215934753</v>
      </c>
    </row>
    <row r="148" spans="1:7" x14ac:dyDescent="0.25">
      <c r="A148" s="102" t="s">
        <v>1</v>
      </c>
      <c r="B148" s="103">
        <v>41667</v>
      </c>
      <c r="C148" s="104">
        <v>1001.0670148448979</v>
      </c>
      <c r="D148" s="104">
        <v>15016.005222673468</v>
      </c>
      <c r="E148" s="104">
        <v>15</v>
      </c>
      <c r="F148" s="105">
        <v>904</v>
      </c>
      <c r="G148" s="104">
        <v>0.53109997510910034</v>
      </c>
    </row>
    <row r="149" spans="1:7" x14ac:dyDescent="0.25">
      <c r="A149" s="102" t="s">
        <v>1</v>
      </c>
      <c r="B149" s="103">
        <v>41668</v>
      </c>
      <c r="C149" s="104">
        <v>850.04173228289653</v>
      </c>
      <c r="D149" s="104">
        <v>12750.625984243448</v>
      </c>
      <c r="E149" s="104">
        <v>15</v>
      </c>
      <c r="F149" s="105">
        <v>905</v>
      </c>
      <c r="G149" s="104">
        <v>0.53109997510910034</v>
      </c>
    </row>
    <row r="150" spans="1:7" x14ac:dyDescent="0.25">
      <c r="A150" s="102" t="s">
        <v>1</v>
      </c>
      <c r="B150" s="103">
        <v>41669</v>
      </c>
      <c r="C150" s="104">
        <v>696.74042210914695</v>
      </c>
      <c r="D150" s="104">
        <v>10451.106331637204</v>
      </c>
      <c r="E150" s="104">
        <v>15</v>
      </c>
      <c r="F150" s="105">
        <v>906</v>
      </c>
      <c r="G150" s="104">
        <v>0.57266664505004883</v>
      </c>
    </row>
    <row r="151" spans="1:7" x14ac:dyDescent="0.25">
      <c r="A151" s="102" t="s">
        <v>1</v>
      </c>
      <c r="B151" s="103">
        <v>41670</v>
      </c>
      <c r="C151" s="104">
        <v>961.90120469759995</v>
      </c>
      <c r="D151" s="104">
        <v>14428.518070463997</v>
      </c>
      <c r="E151" s="104">
        <v>15</v>
      </c>
      <c r="F151" s="105">
        <v>911</v>
      </c>
      <c r="G151" s="104">
        <v>0.52490001916885376</v>
      </c>
    </row>
    <row r="153" spans="1:7" x14ac:dyDescent="0.25">
      <c r="A153" s="101" t="s">
        <v>9</v>
      </c>
      <c r="B153" s="101" t="s">
        <v>8</v>
      </c>
      <c r="C153" s="101" t="s">
        <v>30</v>
      </c>
      <c r="D153" s="101" t="s">
        <v>31</v>
      </c>
      <c r="E153" s="101" t="s">
        <v>10</v>
      </c>
      <c r="F153" s="101" t="s">
        <v>39</v>
      </c>
      <c r="G153" s="101" t="s">
        <v>47</v>
      </c>
    </row>
    <row r="154" spans="1:7" x14ac:dyDescent="0.25">
      <c r="A154" s="102" t="s">
        <v>2</v>
      </c>
      <c r="B154" s="103">
        <v>41699</v>
      </c>
      <c r="C154" s="104">
        <v>5525.1705094836461</v>
      </c>
      <c r="D154" s="104">
        <v>82427.834461250211</v>
      </c>
      <c r="E154" s="104">
        <v>14.918604651162791</v>
      </c>
      <c r="F154" s="105">
        <v>925</v>
      </c>
      <c r="G154" s="104">
        <v>0.49390000104904175</v>
      </c>
    </row>
    <row r="155" spans="1:7" x14ac:dyDescent="0.25">
      <c r="A155" s="102" t="s">
        <v>48</v>
      </c>
      <c r="B155" s="103">
        <v>41697</v>
      </c>
      <c r="C155" s="104">
        <v>2852.4251169661675</v>
      </c>
      <c r="D155" s="104">
        <v>42786.376754492514</v>
      </c>
      <c r="E155" s="104">
        <v>15</v>
      </c>
      <c r="F155" s="105">
        <v>920</v>
      </c>
      <c r="G155" s="104">
        <v>0.72675001621246338</v>
      </c>
    </row>
    <row r="156" spans="1:7" x14ac:dyDescent="0.25">
      <c r="A156" s="102" t="s">
        <v>48</v>
      </c>
      <c r="B156" s="103">
        <v>41698</v>
      </c>
      <c r="C156" s="104">
        <v>5805.2090614862955</v>
      </c>
      <c r="D156" s="104">
        <v>82033.132809336093</v>
      </c>
      <c r="E156" s="104">
        <v>14.130952380952381</v>
      </c>
      <c r="F156" s="105">
        <v>922</v>
      </c>
      <c r="G156" s="104">
        <v>0.64889997243881226</v>
      </c>
    </row>
    <row r="157" spans="1:7" x14ac:dyDescent="0.25">
      <c r="A157" s="102" t="s">
        <v>48</v>
      </c>
      <c r="B157" s="103">
        <v>41699</v>
      </c>
      <c r="C157" s="104">
        <v>5023.7356980431632</v>
      </c>
      <c r="D157" s="104">
        <v>75134.400072204357</v>
      </c>
      <c r="E157" s="104">
        <v>14.955882352941176</v>
      </c>
      <c r="F157" s="105">
        <v>930</v>
      </c>
      <c r="G157" s="104">
        <v>0.72675001621246338</v>
      </c>
    </row>
    <row r="158" spans="1:7" x14ac:dyDescent="0.25">
      <c r="A158" s="102" t="s">
        <v>48</v>
      </c>
      <c r="B158" s="103">
        <v>41700</v>
      </c>
      <c r="C158" s="104">
        <v>250.42999097339242</v>
      </c>
      <c r="D158" s="104">
        <v>25.042999097339241</v>
      </c>
      <c r="E158" s="104">
        <v>0.1</v>
      </c>
      <c r="F158" s="105">
        <v>929</v>
      </c>
      <c r="G158" s="104">
        <v>0.72675001621246338</v>
      </c>
    </row>
    <row r="159" spans="1:7" x14ac:dyDescent="0.25">
      <c r="A159" s="102" t="s">
        <v>3</v>
      </c>
      <c r="B159" s="103">
        <v>41697</v>
      </c>
      <c r="C159" s="104">
        <v>1526.4368325945477</v>
      </c>
      <c r="D159" s="104">
        <v>22836.692220973335</v>
      </c>
      <c r="E159" s="104">
        <v>14.96078431372549</v>
      </c>
      <c r="F159" s="105">
        <v>919</v>
      </c>
      <c r="G159" s="104">
        <v>0.65729999542236328</v>
      </c>
    </row>
    <row r="160" spans="1:7" x14ac:dyDescent="0.25">
      <c r="A160" s="102" t="s">
        <v>3</v>
      </c>
      <c r="B160" s="103">
        <v>41698</v>
      </c>
      <c r="C160" s="104">
        <v>2733.2417075142439</v>
      </c>
      <c r="D160" s="104">
        <v>41076.718232928353</v>
      </c>
      <c r="E160" s="104">
        <v>15.028571428571428</v>
      </c>
      <c r="F160" s="105">
        <v>921</v>
      </c>
      <c r="G160" s="104">
        <v>0.61393332481384277</v>
      </c>
    </row>
    <row r="161" spans="1:7" x14ac:dyDescent="0.25">
      <c r="A161" s="102" t="s">
        <v>3</v>
      </c>
      <c r="B161" s="103">
        <v>41699</v>
      </c>
      <c r="C161" s="104">
        <v>2883.5208636981943</v>
      </c>
      <c r="D161" s="104">
        <v>37903.122932032842</v>
      </c>
      <c r="E161" s="104">
        <v>13.144736842105264</v>
      </c>
      <c r="F161" s="105">
        <v>924</v>
      </c>
      <c r="G161" s="104">
        <v>0.52713334560394287</v>
      </c>
    </row>
    <row r="162" spans="1:7" x14ac:dyDescent="0.25">
      <c r="A162" s="102" t="s">
        <v>3</v>
      </c>
      <c r="B162" s="103">
        <v>41700</v>
      </c>
      <c r="C162" s="104">
        <v>476.42158375660358</v>
      </c>
      <c r="D162" s="104">
        <v>6720.0518129878819</v>
      </c>
      <c r="E162" s="104">
        <v>14.105263157894736</v>
      </c>
      <c r="F162" s="105">
        <v>927</v>
      </c>
      <c r="G162" s="104">
        <v>0.61814999580383301</v>
      </c>
    </row>
    <row r="163" spans="1:7" x14ac:dyDescent="0.25">
      <c r="A163" s="102" t="s">
        <v>1</v>
      </c>
      <c r="B163" s="103">
        <v>41696</v>
      </c>
      <c r="C163" s="104">
        <v>1641.2684040419906</v>
      </c>
      <c r="D163" s="104">
        <v>22274.356911998446</v>
      </c>
      <c r="E163" s="104">
        <v>13.571428571428571</v>
      </c>
      <c r="F163" s="105">
        <v>917</v>
      </c>
      <c r="G163" s="104">
        <v>0.52824997901916504</v>
      </c>
    </row>
    <row r="164" spans="1:7" x14ac:dyDescent="0.25">
      <c r="A164" s="102" t="s">
        <v>1</v>
      </c>
      <c r="B164" s="103">
        <v>41697</v>
      </c>
      <c r="C164" s="104">
        <v>1251.8437164868819</v>
      </c>
      <c r="D164" s="104">
        <v>18111.781430022973</v>
      </c>
      <c r="E164" s="104">
        <v>14.468085106382979</v>
      </c>
      <c r="F164" s="105">
        <v>918</v>
      </c>
      <c r="G164" s="104">
        <v>0.53109997510910034</v>
      </c>
    </row>
    <row r="165" spans="1:7" x14ac:dyDescent="0.25">
      <c r="A165" s="102" t="s">
        <v>1</v>
      </c>
      <c r="B165" s="103">
        <v>41698</v>
      </c>
      <c r="C165" s="104">
        <v>1830.8248521721966</v>
      </c>
      <c r="D165" s="104">
        <v>27462.372782582952</v>
      </c>
      <c r="E165" s="104">
        <v>15</v>
      </c>
      <c r="F165" s="105">
        <v>923</v>
      </c>
      <c r="G165" s="104">
        <v>0.52490001916885376</v>
      </c>
    </row>
    <row r="166" spans="1:7" x14ac:dyDescent="0.25">
      <c r="A166" s="102" t="s">
        <v>1</v>
      </c>
      <c r="B166" s="103">
        <v>41699</v>
      </c>
      <c r="C166" s="104">
        <v>3427.632750752522</v>
      </c>
      <c r="D166" s="104">
        <v>46273.042135159048</v>
      </c>
      <c r="E166" s="104">
        <v>13.5</v>
      </c>
      <c r="F166" s="105">
        <v>926</v>
      </c>
      <c r="G166" s="104">
        <v>0.51243335008621216</v>
      </c>
    </row>
    <row r="167" spans="1:7" x14ac:dyDescent="0.25">
      <c r="A167" s="102" t="s">
        <v>1</v>
      </c>
      <c r="B167" s="103">
        <v>41700</v>
      </c>
      <c r="C167" s="104">
        <v>350.21654814009594</v>
      </c>
      <c r="D167" s="104">
        <v>1267.4503646974902</v>
      </c>
      <c r="E167" s="104">
        <v>3.6190476190476191</v>
      </c>
      <c r="F167" s="105">
        <v>928</v>
      </c>
      <c r="G167" s="104">
        <v>0.53109997510910034</v>
      </c>
    </row>
    <row r="168" spans="1:7" x14ac:dyDescent="0.25">
      <c r="A168" s="102" t="s">
        <v>1</v>
      </c>
      <c r="B168" s="103">
        <v>41701</v>
      </c>
      <c r="C168" s="104">
        <v>201.46865941392616</v>
      </c>
      <c r="D168" s="104">
        <v>2014.6865941392616</v>
      </c>
      <c r="E168" s="104">
        <v>10</v>
      </c>
      <c r="F168" s="105">
        <v>931</v>
      </c>
      <c r="G168" s="104">
        <v>0.53109997510910034</v>
      </c>
    </row>
    <row r="170" spans="1:7" x14ac:dyDescent="0.25">
      <c r="A170" s="130" t="s">
        <v>9</v>
      </c>
      <c r="B170" s="130" t="s">
        <v>8</v>
      </c>
      <c r="C170" s="130" t="s">
        <v>30</v>
      </c>
      <c r="D170" s="130" t="s">
        <v>31</v>
      </c>
      <c r="E170" s="130" t="s">
        <v>10</v>
      </c>
      <c r="F170" s="130" t="s">
        <v>39</v>
      </c>
      <c r="G170" s="130" t="s">
        <v>47</v>
      </c>
    </row>
    <row r="171" spans="1:7" x14ac:dyDescent="0.25">
      <c r="A171" s="131" t="s">
        <v>48</v>
      </c>
      <c r="B171" s="132">
        <v>41726</v>
      </c>
      <c r="C171" s="133">
        <v>4996.3058634015551</v>
      </c>
      <c r="D171" s="133">
        <v>46937.126913927277</v>
      </c>
      <c r="E171" s="133">
        <v>9.3943661971830981</v>
      </c>
      <c r="F171" s="134">
        <v>937</v>
      </c>
      <c r="G171" s="133">
        <v>0.45239999890327454</v>
      </c>
    </row>
    <row r="172" spans="1:7" x14ac:dyDescent="0.25">
      <c r="A172" s="131" t="s">
        <v>48</v>
      </c>
      <c r="B172" s="132">
        <v>41727</v>
      </c>
      <c r="C172" s="133">
        <v>9146.9555833068589</v>
      </c>
      <c r="D172" s="133">
        <v>37937.373156994021</v>
      </c>
      <c r="E172" s="133">
        <v>4.1475409836065573</v>
      </c>
      <c r="F172" s="134">
        <v>938</v>
      </c>
      <c r="G172" s="133">
        <v>0.39684998989105225</v>
      </c>
    </row>
    <row r="173" spans="1:7" x14ac:dyDescent="0.25">
      <c r="A173" s="131" t="s">
        <v>48</v>
      </c>
      <c r="B173" s="132">
        <v>41728</v>
      </c>
      <c r="C173" s="133">
        <v>2761.2783677716725</v>
      </c>
      <c r="D173" s="133">
        <v>21547.024640316657</v>
      </c>
      <c r="E173" s="133">
        <v>7.8032786885245899</v>
      </c>
      <c r="F173" s="134">
        <v>939</v>
      </c>
      <c r="G173" s="133">
        <v>0.55330002307891846</v>
      </c>
    </row>
    <row r="174" spans="1:7" x14ac:dyDescent="0.25">
      <c r="A174" s="131" t="s">
        <v>48</v>
      </c>
      <c r="B174" s="132">
        <v>41729</v>
      </c>
      <c r="C174" s="133">
        <v>1538.1395193933686</v>
      </c>
      <c r="D174" s="133">
        <v>21170.393021468728</v>
      </c>
      <c r="E174" s="133">
        <v>13.763636363636364</v>
      </c>
      <c r="F174" s="134">
        <v>940</v>
      </c>
      <c r="G174" s="133">
        <v>0.55330002307891846</v>
      </c>
    </row>
    <row r="175" spans="1:7" x14ac:dyDescent="0.25">
      <c r="A175" s="131" t="s">
        <v>48</v>
      </c>
      <c r="B175" s="132">
        <v>41730</v>
      </c>
      <c r="C175" s="133">
        <v>2352.9867752386458</v>
      </c>
      <c r="D175" s="133">
        <v>32177.858108133692</v>
      </c>
      <c r="E175" s="133">
        <v>13.675324675324676</v>
      </c>
      <c r="F175" s="134">
        <v>942</v>
      </c>
      <c r="G175" s="133">
        <v>0.49590000510215759</v>
      </c>
    </row>
    <row r="176" spans="1:7" x14ac:dyDescent="0.25">
      <c r="A176" s="131" t="s">
        <v>48</v>
      </c>
      <c r="B176" s="132">
        <v>41731</v>
      </c>
      <c r="C176" s="133">
        <v>2813.6959435879453</v>
      </c>
      <c r="D176" s="133">
        <v>40865.583942586825</v>
      </c>
      <c r="E176" s="133">
        <v>14.523809523809524</v>
      </c>
      <c r="F176" s="134">
        <v>948</v>
      </c>
      <c r="G176" s="133">
        <v>0.53804999589920044</v>
      </c>
    </row>
    <row r="177" spans="1:7" x14ac:dyDescent="0.25">
      <c r="A177" s="131" t="s">
        <v>48</v>
      </c>
      <c r="B177" s="132">
        <v>41732</v>
      </c>
      <c r="C177" s="133">
        <v>1778.7968412807268</v>
      </c>
      <c r="D177" s="133">
        <v>26553.054297378967</v>
      </c>
      <c r="E177" s="133">
        <v>14.927536231884059</v>
      </c>
      <c r="F177" s="134">
        <v>949</v>
      </c>
      <c r="G177" s="133">
        <v>0.55330002307891846</v>
      </c>
    </row>
    <row r="178" spans="1:7" x14ac:dyDescent="0.25">
      <c r="A178" s="131" t="s">
        <v>3</v>
      </c>
      <c r="B178" s="132">
        <v>41726</v>
      </c>
      <c r="C178" s="133">
        <v>2138.531717730204</v>
      </c>
      <c r="D178" s="133">
        <v>32077.975765953051</v>
      </c>
      <c r="E178" s="133">
        <v>15</v>
      </c>
      <c r="F178" s="134">
        <v>934</v>
      </c>
      <c r="G178" s="133">
        <v>0.60275000333786011</v>
      </c>
    </row>
    <row r="179" spans="1:7" x14ac:dyDescent="0.25">
      <c r="A179" s="131" t="s">
        <v>3</v>
      </c>
      <c r="B179" s="132">
        <v>41727</v>
      </c>
      <c r="C179" s="133">
        <v>8271.0700857671382</v>
      </c>
      <c r="D179" s="133">
        <v>56416.1049133669</v>
      </c>
      <c r="E179" s="133">
        <v>6.8208955223880601</v>
      </c>
      <c r="F179" s="134">
        <v>935</v>
      </c>
      <c r="G179" s="133">
        <v>0.43299999833106995</v>
      </c>
    </row>
    <row r="180" spans="1:7" x14ac:dyDescent="0.25">
      <c r="A180" s="131" t="s">
        <v>3</v>
      </c>
      <c r="B180" s="132">
        <v>41728</v>
      </c>
      <c r="C180" s="133">
        <v>2266.0919190755599</v>
      </c>
      <c r="D180" s="133">
        <v>30296.663700684116</v>
      </c>
      <c r="E180" s="133">
        <v>13.369565217391305</v>
      </c>
      <c r="F180" s="134">
        <v>936</v>
      </c>
      <c r="G180" s="133">
        <v>0.5812000036239624</v>
      </c>
    </row>
    <row r="181" spans="1:7" x14ac:dyDescent="0.25">
      <c r="A181" s="131" t="s">
        <v>1</v>
      </c>
      <c r="B181" s="132">
        <v>41724</v>
      </c>
      <c r="C181" s="133">
        <v>1332.4829766290577</v>
      </c>
      <c r="D181" s="133">
        <v>17595.608537537555</v>
      </c>
      <c r="E181" s="133">
        <v>13.205128205128204</v>
      </c>
      <c r="F181" s="134">
        <v>932</v>
      </c>
      <c r="G181" s="133">
        <v>0.40839999914169312</v>
      </c>
    </row>
    <row r="182" spans="1:7" x14ac:dyDescent="0.25">
      <c r="A182" s="131" t="s">
        <v>1</v>
      </c>
      <c r="B182" s="132">
        <v>41725</v>
      </c>
      <c r="C182" s="133">
        <v>1032.8829378148901</v>
      </c>
      <c r="D182" s="133">
        <v>15085.527118085894</v>
      </c>
      <c r="E182" s="133">
        <v>14.605263157894736</v>
      </c>
      <c r="F182" s="134">
        <v>933</v>
      </c>
      <c r="G182" s="133">
        <v>0.53109997510910034</v>
      </c>
    </row>
    <row r="183" spans="1:7" x14ac:dyDescent="0.25">
      <c r="A183" s="131" t="s">
        <v>1</v>
      </c>
      <c r="B183" s="132">
        <v>41726</v>
      </c>
      <c r="C183" s="133">
        <v>1084.5415684338454</v>
      </c>
      <c r="D183" s="133">
        <v>16207.871217150245</v>
      </c>
      <c r="E183" s="133">
        <v>14.944444444444445</v>
      </c>
      <c r="F183" s="134">
        <v>941</v>
      </c>
      <c r="G183" s="133">
        <v>0.53109997510910034</v>
      </c>
    </row>
    <row r="184" spans="1:7" x14ac:dyDescent="0.25">
      <c r="A184" s="131" t="s">
        <v>1</v>
      </c>
      <c r="B184" s="132">
        <v>41728</v>
      </c>
      <c r="C184" s="133">
        <v>2041.3600347856475</v>
      </c>
      <c r="D184" s="133">
        <v>28862.562714052627</v>
      </c>
      <c r="E184" s="133">
        <v>14.138888888888889</v>
      </c>
      <c r="F184" s="134">
        <v>943</v>
      </c>
      <c r="G184" s="133">
        <v>0.51684999465942383</v>
      </c>
    </row>
    <row r="185" spans="1:7" x14ac:dyDescent="0.25">
      <c r="A185" s="131" t="s">
        <v>1</v>
      </c>
      <c r="B185" s="132">
        <v>41729</v>
      </c>
      <c r="C185" s="133">
        <v>1241.0017825936866</v>
      </c>
      <c r="D185" s="133">
        <v>18007.727994231791</v>
      </c>
      <c r="E185" s="133">
        <v>14.51063829787234</v>
      </c>
      <c r="F185" s="134">
        <v>944</v>
      </c>
      <c r="G185" s="133">
        <v>0.51684999465942383</v>
      </c>
    </row>
    <row r="186" spans="1:7" x14ac:dyDescent="0.25">
      <c r="A186" s="131" t="s">
        <v>1</v>
      </c>
      <c r="B186" s="132">
        <v>41730</v>
      </c>
      <c r="C186" s="133">
        <v>951.02780409747083</v>
      </c>
      <c r="D186" s="133">
        <v>14265.417061462063</v>
      </c>
      <c r="E186" s="133">
        <v>15</v>
      </c>
      <c r="F186" s="134">
        <v>945</v>
      </c>
      <c r="G186" s="133">
        <v>0.52784997224807739</v>
      </c>
    </row>
    <row r="187" spans="1:7" x14ac:dyDescent="0.25">
      <c r="A187" s="131" t="s">
        <v>1</v>
      </c>
      <c r="B187" s="132">
        <v>41731</v>
      </c>
      <c r="C187" s="133">
        <v>1586.1649841361577</v>
      </c>
      <c r="D187" s="133">
        <v>23792.474762042362</v>
      </c>
      <c r="E187" s="133">
        <v>15</v>
      </c>
      <c r="F187" s="134">
        <v>946</v>
      </c>
      <c r="G187" s="133">
        <v>0.52784997224807739</v>
      </c>
    </row>
    <row r="188" spans="1:7" x14ac:dyDescent="0.25">
      <c r="A188" s="131" t="s">
        <v>1</v>
      </c>
      <c r="B188" s="132">
        <v>41732</v>
      </c>
      <c r="C188" s="133">
        <v>738.84630198807508</v>
      </c>
      <c r="D188" s="133">
        <v>11082.694529821125</v>
      </c>
      <c r="E188" s="133">
        <v>15</v>
      </c>
      <c r="F188" s="134">
        <v>947</v>
      </c>
      <c r="G188" s="133">
        <v>0.52784997224807739</v>
      </c>
    </row>
    <row r="190" spans="1:7" x14ac:dyDescent="0.25">
      <c r="A190" s="130" t="s">
        <v>9</v>
      </c>
      <c r="B190" s="130" t="s">
        <v>8</v>
      </c>
      <c r="C190" s="130" t="s">
        <v>30</v>
      </c>
      <c r="D190" s="130" t="s">
        <v>31</v>
      </c>
      <c r="E190" s="130" t="s">
        <v>10</v>
      </c>
      <c r="F190" s="130" t="s">
        <v>39</v>
      </c>
      <c r="G190" s="130" t="s">
        <v>47</v>
      </c>
    </row>
    <row r="191" spans="1:7" x14ac:dyDescent="0.25">
      <c r="A191" s="131" t="s">
        <v>2</v>
      </c>
      <c r="B191" s="132">
        <v>41748</v>
      </c>
      <c r="C191" s="133">
        <v>4863.2948910071673</v>
      </c>
      <c r="D191" s="133">
        <v>54942.088228135035</v>
      </c>
      <c r="E191" s="133">
        <v>11.297297297297296</v>
      </c>
      <c r="F191" s="134">
        <v>959</v>
      </c>
      <c r="G191" s="133">
        <v>0.56006664037704468</v>
      </c>
    </row>
    <row r="192" spans="1:7" x14ac:dyDescent="0.25">
      <c r="A192" s="131" t="s">
        <v>2</v>
      </c>
      <c r="B192" s="132">
        <v>41749</v>
      </c>
      <c r="C192" s="133">
        <v>4057.3215386772376</v>
      </c>
      <c r="D192" s="133">
        <v>38435.876361933486</v>
      </c>
      <c r="E192" s="133">
        <v>9.4732142857142865</v>
      </c>
      <c r="F192" s="134">
        <v>960</v>
      </c>
      <c r="G192" s="133">
        <v>0.50483334064483643</v>
      </c>
    </row>
    <row r="193" spans="1:7" x14ac:dyDescent="0.25">
      <c r="A193" s="131" t="s">
        <v>48</v>
      </c>
      <c r="B193" s="132">
        <v>41744</v>
      </c>
      <c r="C193" s="133">
        <v>1404.3014053682314</v>
      </c>
      <c r="D193" s="133">
        <v>21064.521080523467</v>
      </c>
      <c r="E193" s="133">
        <v>15</v>
      </c>
      <c r="F193" s="134">
        <v>952</v>
      </c>
      <c r="G193" s="133">
        <v>0.55330002307891846</v>
      </c>
    </row>
    <row r="194" spans="1:7" x14ac:dyDescent="0.25">
      <c r="A194" s="131" t="s">
        <v>48</v>
      </c>
      <c r="B194" s="132">
        <v>41745</v>
      </c>
      <c r="C194" s="133">
        <v>1294.5149920641759</v>
      </c>
      <c r="D194" s="133">
        <v>19049.457684944384</v>
      </c>
      <c r="E194" s="133">
        <v>14.71551724137931</v>
      </c>
      <c r="F194" s="134">
        <v>953</v>
      </c>
      <c r="G194" s="133">
        <v>0.54026669263839722</v>
      </c>
    </row>
    <row r="195" spans="1:7" x14ac:dyDescent="0.25">
      <c r="A195" s="131" t="s">
        <v>48</v>
      </c>
      <c r="B195" s="132">
        <v>41746</v>
      </c>
      <c r="C195" s="133">
        <v>3103.4956321243621</v>
      </c>
      <c r="D195" s="133">
        <v>46023.429544571511</v>
      </c>
      <c r="E195" s="133">
        <v>14.829545454545455</v>
      </c>
      <c r="F195" s="134">
        <v>956</v>
      </c>
      <c r="G195" s="133">
        <v>0.72853332757949829</v>
      </c>
    </row>
    <row r="196" spans="1:7" x14ac:dyDescent="0.25">
      <c r="A196" s="131" t="s">
        <v>48</v>
      </c>
      <c r="B196" s="132">
        <v>41747</v>
      </c>
      <c r="C196" s="133">
        <v>7855.0242465879992</v>
      </c>
      <c r="D196" s="133">
        <v>118033.90416554356</v>
      </c>
      <c r="E196" s="133">
        <v>15.026548672566372</v>
      </c>
      <c r="F196" s="134">
        <v>957</v>
      </c>
      <c r="G196" s="133">
        <v>0.56193333864212036</v>
      </c>
    </row>
    <row r="197" spans="1:7" x14ac:dyDescent="0.25">
      <c r="A197" s="131" t="s">
        <v>48</v>
      </c>
      <c r="B197" s="132">
        <v>41748</v>
      </c>
      <c r="C197" s="133">
        <v>9032.1966928485544</v>
      </c>
      <c r="D197" s="133">
        <v>105399.33463623273</v>
      </c>
      <c r="E197" s="133">
        <v>11.669291338582678</v>
      </c>
      <c r="F197" s="134">
        <v>958</v>
      </c>
      <c r="G197" s="133">
        <v>0.58829998970031738</v>
      </c>
    </row>
    <row r="198" spans="1:7" x14ac:dyDescent="0.25">
      <c r="A198" s="131" t="s">
        <v>48</v>
      </c>
      <c r="B198" s="132">
        <v>41749</v>
      </c>
      <c r="C198" s="133">
        <v>9428.215215598917</v>
      </c>
      <c r="D198" s="133">
        <v>30419.335884290842</v>
      </c>
      <c r="E198" s="133">
        <v>3.2264150943396226</v>
      </c>
      <c r="F198" s="134">
        <v>961</v>
      </c>
      <c r="G198" s="133">
        <v>0.55683332681655884</v>
      </c>
    </row>
    <row r="199" spans="1:7" x14ac:dyDescent="0.25">
      <c r="A199" s="131" t="s">
        <v>3</v>
      </c>
      <c r="B199" s="132">
        <v>41747</v>
      </c>
      <c r="C199" s="133">
        <v>2091.1277863219411</v>
      </c>
      <c r="D199" s="133">
        <v>31366.916794829118</v>
      </c>
      <c r="E199" s="133">
        <v>15</v>
      </c>
      <c r="F199" s="134">
        <v>962</v>
      </c>
      <c r="G199" s="133">
        <v>0.62984997034072876</v>
      </c>
    </row>
    <row r="200" spans="1:7" x14ac:dyDescent="0.25">
      <c r="A200" s="131" t="s">
        <v>3</v>
      </c>
      <c r="B200" s="132">
        <v>41748</v>
      </c>
      <c r="C200" s="133">
        <v>2399.9803649771493</v>
      </c>
      <c r="D200" s="133">
        <v>32718.998370238933</v>
      </c>
      <c r="E200" s="133">
        <v>13.63302752293578</v>
      </c>
      <c r="F200" s="134">
        <v>963</v>
      </c>
      <c r="G200" s="133">
        <v>0.58063334226608276</v>
      </c>
    </row>
    <row r="201" spans="1:7" x14ac:dyDescent="0.25">
      <c r="A201" s="131" t="s">
        <v>3</v>
      </c>
      <c r="B201" s="132">
        <v>41749</v>
      </c>
      <c r="C201" s="133">
        <v>2348.1208288148027</v>
      </c>
      <c r="D201" s="133">
        <v>34294.922631374095</v>
      </c>
      <c r="E201" s="133">
        <v>14.605263157894736</v>
      </c>
      <c r="F201" s="134">
        <v>966</v>
      </c>
      <c r="G201" s="133">
        <v>0.61330002546310425</v>
      </c>
    </row>
    <row r="202" spans="1:7" x14ac:dyDescent="0.25">
      <c r="A202" s="131" t="s">
        <v>1</v>
      </c>
      <c r="B202" s="132">
        <v>41743</v>
      </c>
      <c r="C202" s="133">
        <v>1015.259430161394</v>
      </c>
      <c r="D202" s="133">
        <v>15228.89145242091</v>
      </c>
      <c r="E202" s="133">
        <v>15</v>
      </c>
      <c r="F202" s="134">
        <v>950</v>
      </c>
      <c r="G202" s="133">
        <v>0.49149999022483826</v>
      </c>
    </row>
    <row r="203" spans="1:7" x14ac:dyDescent="0.25">
      <c r="A203" s="131" t="s">
        <v>1</v>
      </c>
      <c r="B203" s="132">
        <v>41744</v>
      </c>
      <c r="C203" s="133">
        <v>1127.9756073777089</v>
      </c>
      <c r="D203" s="133">
        <v>16919.634110665633</v>
      </c>
      <c r="E203" s="133">
        <v>15</v>
      </c>
      <c r="F203" s="134">
        <v>951</v>
      </c>
      <c r="G203" s="133">
        <v>0.49149999022483826</v>
      </c>
    </row>
    <row r="204" spans="1:7" x14ac:dyDescent="0.25">
      <c r="A204" s="131" t="s">
        <v>1</v>
      </c>
      <c r="B204" s="132">
        <v>41745</v>
      </c>
      <c r="C204" s="133">
        <v>992.87896176104255</v>
      </c>
      <c r="D204" s="133">
        <v>14893.184426415639</v>
      </c>
      <c r="E204" s="133">
        <v>15</v>
      </c>
      <c r="F204" s="134">
        <v>954</v>
      </c>
      <c r="G204" s="133">
        <v>0.49149999022483826</v>
      </c>
    </row>
    <row r="205" spans="1:7" x14ac:dyDescent="0.25">
      <c r="A205" s="131" t="s">
        <v>1</v>
      </c>
      <c r="B205" s="132">
        <v>41746</v>
      </c>
      <c r="C205" s="133">
        <v>1530.7669152120757</v>
      </c>
      <c r="D205" s="133">
        <v>22506.410861496464</v>
      </c>
      <c r="E205" s="133">
        <v>14.702702702702704</v>
      </c>
      <c r="F205" s="134">
        <v>955</v>
      </c>
      <c r="G205" s="133">
        <v>0.32989999651908875</v>
      </c>
    </row>
    <row r="206" spans="1:7" x14ac:dyDescent="0.25">
      <c r="A206" s="131" t="s">
        <v>1</v>
      </c>
      <c r="B206" s="132">
        <v>41747</v>
      </c>
      <c r="C206" s="133">
        <v>2090.9279774767742</v>
      </c>
      <c r="D206" s="133">
        <v>31294.222062902387</v>
      </c>
      <c r="E206" s="133">
        <v>14.966666666666667</v>
      </c>
      <c r="F206" s="134">
        <v>964</v>
      </c>
      <c r="G206" s="133">
        <v>0.58063334226608276</v>
      </c>
    </row>
    <row r="207" spans="1:7" x14ac:dyDescent="0.25">
      <c r="A207" s="131" t="s">
        <v>1</v>
      </c>
      <c r="B207" s="132">
        <v>41749</v>
      </c>
      <c r="C207" s="133">
        <v>3078.639225520868</v>
      </c>
      <c r="D207" s="133">
        <v>30737.524965914698</v>
      </c>
      <c r="E207" s="133">
        <v>9.9841269841269842</v>
      </c>
      <c r="F207" s="134">
        <v>965</v>
      </c>
      <c r="G207" s="133">
        <v>0.45489999651908875</v>
      </c>
    </row>
    <row r="209" spans="1:7" x14ac:dyDescent="0.25">
      <c r="A209" s="130" t="s">
        <v>9</v>
      </c>
      <c r="B209" s="130" t="s">
        <v>8</v>
      </c>
      <c r="C209" s="130" t="s">
        <v>30</v>
      </c>
      <c r="D209" s="130" t="s">
        <v>31</v>
      </c>
      <c r="E209" s="130" t="s">
        <v>10</v>
      </c>
      <c r="F209" s="130" t="s">
        <v>39</v>
      </c>
      <c r="G209" s="130" t="s">
        <v>47</v>
      </c>
    </row>
    <row r="210" spans="1:7" x14ac:dyDescent="0.25">
      <c r="A210" s="131" t="s">
        <v>48</v>
      </c>
      <c r="B210" s="132">
        <v>41757</v>
      </c>
      <c r="C210" s="133">
        <v>552.80182033778806</v>
      </c>
      <c r="D210" s="133">
        <v>8255.9750124360962</v>
      </c>
      <c r="E210" s="133">
        <v>14.934782608695652</v>
      </c>
      <c r="F210" s="134">
        <v>969</v>
      </c>
      <c r="G210" s="133">
        <v>0.59514999389648438</v>
      </c>
    </row>
    <row r="211" spans="1:7" x14ac:dyDescent="0.25">
      <c r="A211" s="131" t="s">
        <v>48</v>
      </c>
      <c r="B211" s="132">
        <v>41758</v>
      </c>
      <c r="C211" s="133">
        <v>1390.2552388749518</v>
      </c>
      <c r="D211" s="133">
        <v>20853.828583124276</v>
      </c>
      <c r="E211" s="133">
        <v>15</v>
      </c>
      <c r="F211" s="134">
        <v>971</v>
      </c>
      <c r="G211" s="133">
        <v>0.53874999284744263</v>
      </c>
    </row>
    <row r="212" spans="1:7" x14ac:dyDescent="0.25">
      <c r="A212" s="131" t="s">
        <v>48</v>
      </c>
      <c r="B212" s="132">
        <v>41759</v>
      </c>
      <c r="C212" s="133">
        <v>1900.5813084177576</v>
      </c>
      <c r="D212" s="133">
        <v>28508.719626266364</v>
      </c>
      <c r="E212" s="133">
        <v>15</v>
      </c>
      <c r="F212" s="134">
        <v>972</v>
      </c>
      <c r="G212" s="133">
        <v>0.56193333864212036</v>
      </c>
    </row>
    <row r="213" spans="1:7" x14ac:dyDescent="0.25">
      <c r="A213" s="131" t="s">
        <v>48</v>
      </c>
      <c r="B213" s="132">
        <v>41760</v>
      </c>
      <c r="C213" s="133">
        <v>1975.9724641861358</v>
      </c>
      <c r="D213" s="133">
        <v>29639.58696279204</v>
      </c>
      <c r="E213" s="133">
        <v>15</v>
      </c>
      <c r="F213" s="134">
        <v>973</v>
      </c>
      <c r="G213" s="133">
        <v>0.59514999389648438</v>
      </c>
    </row>
    <row r="214" spans="1:7" x14ac:dyDescent="0.25">
      <c r="A214" s="131" t="s">
        <v>48</v>
      </c>
      <c r="B214" s="132">
        <v>41761</v>
      </c>
      <c r="C214" s="133">
        <v>2180.860143569892</v>
      </c>
      <c r="D214" s="133">
        <v>31847.48146165556</v>
      </c>
      <c r="E214" s="133">
        <v>14.603174603174603</v>
      </c>
      <c r="F214" s="134">
        <v>974</v>
      </c>
      <c r="G214" s="133">
        <v>0.58829998970031738</v>
      </c>
    </row>
    <row r="215" spans="1:7" x14ac:dyDescent="0.25">
      <c r="A215" s="131" t="s">
        <v>48</v>
      </c>
      <c r="B215" s="132">
        <v>41762</v>
      </c>
      <c r="C215" s="133">
        <v>3096.0766732765715</v>
      </c>
      <c r="D215" s="133">
        <v>39233.889646603115</v>
      </c>
      <c r="E215" s="133">
        <v>12.672131147540984</v>
      </c>
      <c r="F215" s="134">
        <v>982</v>
      </c>
      <c r="G215" s="133">
        <v>0.58829998970031738</v>
      </c>
    </row>
    <row r="216" spans="1:7" x14ac:dyDescent="0.25">
      <c r="A216" s="131" t="s">
        <v>48</v>
      </c>
      <c r="B216" s="132">
        <v>41763</v>
      </c>
      <c r="C216" s="133">
        <v>1282.2075181661849</v>
      </c>
      <c r="D216" s="133">
        <v>9844.0448168887742</v>
      </c>
      <c r="E216" s="133">
        <v>7.67741935483871</v>
      </c>
      <c r="F216" s="134">
        <v>983</v>
      </c>
      <c r="G216" s="133">
        <v>0.56193333864212036</v>
      </c>
    </row>
    <row r="217" spans="1:7" x14ac:dyDescent="0.25">
      <c r="A217" s="131" t="s">
        <v>3</v>
      </c>
      <c r="B217" s="132">
        <v>41761</v>
      </c>
      <c r="C217" s="133">
        <v>1003.4488247293588</v>
      </c>
      <c r="D217" s="133">
        <v>14750.697723521576</v>
      </c>
      <c r="E217" s="133">
        <v>14.7</v>
      </c>
      <c r="F217" s="134">
        <v>975</v>
      </c>
      <c r="G217" s="133">
        <v>0.60890001058578491</v>
      </c>
    </row>
    <row r="218" spans="1:7" x14ac:dyDescent="0.25">
      <c r="A218" s="131" t="s">
        <v>3</v>
      </c>
      <c r="B218" s="132">
        <v>41762</v>
      </c>
      <c r="C218" s="133">
        <v>2465.4833304174044</v>
      </c>
      <c r="D218" s="133">
        <v>34057.100242206514</v>
      </c>
      <c r="E218" s="133">
        <v>13.813559322033898</v>
      </c>
      <c r="F218" s="134">
        <v>979</v>
      </c>
      <c r="G218" s="133">
        <v>0.55769997835159302</v>
      </c>
    </row>
    <row r="219" spans="1:7" x14ac:dyDescent="0.25">
      <c r="A219" s="131" t="s">
        <v>3</v>
      </c>
      <c r="B219" s="132">
        <v>41763</v>
      </c>
      <c r="C219" s="133">
        <v>1192.9298528032537</v>
      </c>
      <c r="D219" s="133">
        <v>10552.841005567243</v>
      </c>
      <c r="E219" s="133">
        <v>8.8461538461538467</v>
      </c>
      <c r="F219" s="134">
        <v>981</v>
      </c>
      <c r="G219" s="133">
        <v>0.60890001058578491</v>
      </c>
    </row>
    <row r="220" spans="1:7" x14ac:dyDescent="0.25">
      <c r="A220" s="131" t="s">
        <v>1</v>
      </c>
      <c r="B220" s="132">
        <v>41756</v>
      </c>
      <c r="C220" s="133">
        <v>710.07122470205718</v>
      </c>
      <c r="D220" s="133">
        <v>10651.068370530857</v>
      </c>
      <c r="E220" s="133">
        <v>15</v>
      </c>
      <c r="F220" s="134">
        <v>967</v>
      </c>
      <c r="G220" s="133">
        <v>0.49149999022483826</v>
      </c>
    </row>
    <row r="221" spans="1:7" x14ac:dyDescent="0.25">
      <c r="A221" s="131" t="s">
        <v>1</v>
      </c>
      <c r="B221" s="132">
        <v>41757</v>
      </c>
      <c r="C221" s="133">
        <v>449.12348003411239</v>
      </c>
      <c r="D221" s="133">
        <v>6672.6917033639565</v>
      </c>
      <c r="E221" s="133">
        <v>14.857142857142858</v>
      </c>
      <c r="F221" s="134">
        <v>968</v>
      </c>
      <c r="G221" s="133">
        <v>0.49149999022483826</v>
      </c>
    </row>
    <row r="222" spans="1:7" x14ac:dyDescent="0.25">
      <c r="A222" s="131" t="s">
        <v>1</v>
      </c>
      <c r="B222" s="132">
        <v>41758</v>
      </c>
      <c r="C222" s="133">
        <v>1057.9857789257012</v>
      </c>
      <c r="D222" s="133">
        <v>15869.786683885515</v>
      </c>
      <c r="E222" s="133">
        <v>15</v>
      </c>
      <c r="F222" s="134">
        <v>970</v>
      </c>
      <c r="G222" s="133">
        <v>0.49149999022483826</v>
      </c>
    </row>
    <row r="223" spans="1:7" x14ac:dyDescent="0.25">
      <c r="A223" s="131" t="s">
        <v>1</v>
      </c>
      <c r="B223" s="132">
        <v>41759</v>
      </c>
      <c r="C223" s="133">
        <v>1193.2734336634703</v>
      </c>
      <c r="D223" s="133">
        <v>17899.101504952054</v>
      </c>
      <c r="E223" s="133">
        <v>15</v>
      </c>
      <c r="F223" s="134">
        <v>976</v>
      </c>
      <c r="G223" s="133">
        <v>0.43410000205039978</v>
      </c>
    </row>
    <row r="224" spans="1:7" x14ac:dyDescent="0.25">
      <c r="A224" s="131" t="s">
        <v>1</v>
      </c>
      <c r="B224" s="132">
        <v>41760</v>
      </c>
      <c r="C224" s="133">
        <v>1921.9532332409826</v>
      </c>
      <c r="D224" s="133">
        <v>28829.298498614735</v>
      </c>
      <c r="E224" s="133">
        <v>15</v>
      </c>
      <c r="F224" s="134">
        <v>977</v>
      </c>
      <c r="G224" s="133">
        <v>0.47920000553131104</v>
      </c>
    </row>
    <row r="225" spans="1:7" x14ac:dyDescent="0.25">
      <c r="A225" s="131" t="s">
        <v>1</v>
      </c>
      <c r="B225" s="132">
        <v>41761</v>
      </c>
      <c r="C225" s="133">
        <v>1562.1948350248751</v>
      </c>
      <c r="D225" s="133">
        <v>23432.922525373124</v>
      </c>
      <c r="E225" s="133">
        <v>15</v>
      </c>
      <c r="F225" s="134">
        <v>978</v>
      </c>
      <c r="G225" s="133">
        <v>0.47920000553131104</v>
      </c>
    </row>
    <row r="226" spans="1:7" x14ac:dyDescent="0.25">
      <c r="A226" s="131" t="s">
        <v>1</v>
      </c>
      <c r="B226" s="132">
        <v>41762</v>
      </c>
      <c r="C226" s="133">
        <v>2123.7573659721843</v>
      </c>
      <c r="D226" s="133">
        <v>31315.010572766325</v>
      </c>
      <c r="E226" s="133">
        <v>14.745098039215685</v>
      </c>
      <c r="F226" s="134">
        <v>980</v>
      </c>
      <c r="G226" s="133">
        <v>0.43410000205039978</v>
      </c>
    </row>
    <row r="227" spans="1:7" x14ac:dyDescent="0.25">
      <c r="A227" s="131" t="s">
        <v>1</v>
      </c>
      <c r="B227" s="132">
        <v>41763</v>
      </c>
      <c r="C227" s="133">
        <v>1431.5430256523214</v>
      </c>
      <c r="D227" s="133">
        <v>12797.994649331755</v>
      </c>
      <c r="E227" s="133">
        <v>8.94</v>
      </c>
      <c r="F227" s="134">
        <v>984</v>
      </c>
      <c r="G227" s="133">
        <v>0.47540000081062317</v>
      </c>
    </row>
    <row r="229" spans="1:7" x14ac:dyDescent="0.25">
      <c r="A229" s="130" t="s">
        <v>9</v>
      </c>
      <c r="B229" s="130" t="s">
        <v>8</v>
      </c>
      <c r="C229" s="130" t="s">
        <v>30</v>
      </c>
      <c r="D229" s="130" t="s">
        <v>31</v>
      </c>
      <c r="E229" s="130" t="s">
        <v>10</v>
      </c>
      <c r="F229" s="130" t="s">
        <v>39</v>
      </c>
      <c r="G229" s="130" t="s">
        <v>47</v>
      </c>
    </row>
    <row r="230" spans="1:7" x14ac:dyDescent="0.25">
      <c r="A230" s="131" t="s">
        <v>2</v>
      </c>
      <c r="B230" s="132">
        <v>41775</v>
      </c>
      <c r="C230" s="133">
        <v>1602.3792133976617</v>
      </c>
      <c r="D230" s="133">
        <v>24085.762551383606</v>
      </c>
      <c r="E230" s="133">
        <v>15.03125</v>
      </c>
      <c r="F230" s="134">
        <v>988</v>
      </c>
      <c r="G230" s="133">
        <v>0.56603330373764038</v>
      </c>
    </row>
    <row r="231" spans="1:7" x14ac:dyDescent="0.25">
      <c r="A231" s="131" t="s">
        <v>2</v>
      </c>
      <c r="B231" s="132">
        <v>41776</v>
      </c>
      <c r="C231" s="133">
        <v>3576.1977735191713</v>
      </c>
      <c r="D231" s="133">
        <v>54313.503685322423</v>
      </c>
      <c r="E231" s="133">
        <v>15.1875</v>
      </c>
      <c r="F231" s="134">
        <v>989</v>
      </c>
      <c r="G231" s="133">
        <v>0.55262500047683716</v>
      </c>
    </row>
    <row r="232" spans="1:7" x14ac:dyDescent="0.25">
      <c r="A232" s="131" t="s">
        <v>2</v>
      </c>
      <c r="B232" s="132">
        <v>41777</v>
      </c>
      <c r="C232" s="133">
        <v>2232.0499974184227</v>
      </c>
      <c r="D232" s="133">
        <v>33480.749961276335</v>
      </c>
      <c r="E232" s="133">
        <v>15</v>
      </c>
      <c r="F232" s="134">
        <v>990</v>
      </c>
      <c r="G232" s="133">
        <v>0.56603330373764038</v>
      </c>
    </row>
    <row r="233" spans="1:7" x14ac:dyDescent="0.25">
      <c r="A233" s="131" t="s">
        <v>48</v>
      </c>
      <c r="B233" s="132">
        <v>41773</v>
      </c>
      <c r="C233" s="133">
        <v>1226.5815466461559</v>
      </c>
      <c r="D233" s="133">
        <v>18398.723199692336</v>
      </c>
      <c r="E233" s="133">
        <v>15</v>
      </c>
      <c r="F233" s="134">
        <v>986</v>
      </c>
      <c r="G233" s="133">
        <v>0.59514999389648438</v>
      </c>
    </row>
    <row r="234" spans="1:7" x14ac:dyDescent="0.25">
      <c r="A234" s="131" t="s">
        <v>48</v>
      </c>
      <c r="B234" s="132">
        <v>41774</v>
      </c>
      <c r="C234" s="133">
        <v>1580.6079220834883</v>
      </c>
      <c r="D234" s="133">
        <v>23709.118831252326</v>
      </c>
      <c r="E234" s="133">
        <v>15</v>
      </c>
      <c r="F234" s="134">
        <v>993</v>
      </c>
      <c r="G234" s="133">
        <v>0.59514999389648438</v>
      </c>
    </row>
    <row r="235" spans="1:7" x14ac:dyDescent="0.25">
      <c r="A235" s="131" t="s">
        <v>48</v>
      </c>
      <c r="B235" s="132">
        <v>41775</v>
      </c>
      <c r="C235" s="133">
        <v>2244.8122552318687</v>
      </c>
      <c r="D235" s="133">
        <v>33672.183828478024</v>
      </c>
      <c r="E235" s="133">
        <v>15</v>
      </c>
      <c r="F235" s="134">
        <v>994</v>
      </c>
      <c r="G235" s="133">
        <v>0.59514999389648438</v>
      </c>
    </row>
    <row r="236" spans="1:7" x14ac:dyDescent="0.25">
      <c r="A236" s="131" t="s">
        <v>48</v>
      </c>
      <c r="B236" s="132">
        <v>41776</v>
      </c>
      <c r="C236" s="133">
        <v>4821.9096643339681</v>
      </c>
      <c r="D236" s="133">
        <v>72328.644965009531</v>
      </c>
      <c r="E236" s="133">
        <v>15</v>
      </c>
      <c r="F236" s="134">
        <v>995</v>
      </c>
      <c r="G236" s="133">
        <v>0.55683332681655884</v>
      </c>
    </row>
    <row r="237" spans="1:7" x14ac:dyDescent="0.25">
      <c r="A237" s="131" t="s">
        <v>48</v>
      </c>
      <c r="B237" s="132">
        <v>41777</v>
      </c>
      <c r="C237" s="133">
        <v>3127.6117245262767</v>
      </c>
      <c r="D237" s="133">
        <v>46914.175867894148</v>
      </c>
      <c r="E237" s="133">
        <v>15</v>
      </c>
      <c r="F237" s="134">
        <v>996</v>
      </c>
      <c r="G237" s="133">
        <v>0.55683332681655884</v>
      </c>
    </row>
    <row r="238" spans="1:7" x14ac:dyDescent="0.25">
      <c r="A238" s="131" t="s">
        <v>3</v>
      </c>
      <c r="B238" s="132">
        <v>41776</v>
      </c>
      <c r="C238" s="133">
        <v>1126.418181948158</v>
      </c>
      <c r="D238" s="133">
        <v>16896.272729222372</v>
      </c>
      <c r="E238" s="133">
        <v>15</v>
      </c>
      <c r="F238" s="134">
        <v>991</v>
      </c>
      <c r="G238" s="133">
        <v>0.61699998378753662</v>
      </c>
    </row>
    <row r="239" spans="1:7" x14ac:dyDescent="0.25">
      <c r="A239" s="131" t="s">
        <v>3</v>
      </c>
      <c r="B239" s="132">
        <v>41777</v>
      </c>
      <c r="C239" s="133">
        <v>1400.9596058563534</v>
      </c>
      <c r="D239" s="133">
        <v>21014.394087845296</v>
      </c>
      <c r="E239" s="133">
        <v>15</v>
      </c>
      <c r="F239" s="134">
        <v>992</v>
      </c>
      <c r="G239" s="133">
        <v>0.62984997034072876</v>
      </c>
    </row>
    <row r="240" spans="1:7" x14ac:dyDescent="0.25">
      <c r="A240" s="131" t="s">
        <v>1</v>
      </c>
      <c r="B240" s="132">
        <v>41772</v>
      </c>
      <c r="C240" s="133">
        <v>518.81994928087261</v>
      </c>
      <c r="D240" s="133">
        <v>7782.29923921309</v>
      </c>
      <c r="E240" s="133">
        <v>15</v>
      </c>
      <c r="F240" s="134">
        <v>985</v>
      </c>
      <c r="G240" s="133">
        <v>0.49149999022483826</v>
      </c>
    </row>
    <row r="241" spans="1:7" x14ac:dyDescent="0.25">
      <c r="A241" s="131" t="s">
        <v>1</v>
      </c>
      <c r="B241" s="132">
        <v>41773</v>
      </c>
      <c r="C241" s="133">
        <v>883.01120779568134</v>
      </c>
      <c r="D241" s="133">
        <v>13245.16811693522</v>
      </c>
      <c r="E241" s="133">
        <v>15</v>
      </c>
      <c r="F241" s="134">
        <v>987</v>
      </c>
      <c r="G241" s="133">
        <v>0.49149999022483826</v>
      </c>
    </row>
    <row r="242" spans="1:7" x14ac:dyDescent="0.25">
      <c r="A242" s="131" t="s">
        <v>1</v>
      </c>
      <c r="B242" s="132">
        <v>41774</v>
      </c>
      <c r="C242" s="133">
        <v>741.76456687188693</v>
      </c>
      <c r="D242" s="133">
        <v>11126.468503078304</v>
      </c>
      <c r="E242" s="133">
        <v>15</v>
      </c>
      <c r="F242" s="134">
        <v>997</v>
      </c>
      <c r="G242" s="133">
        <v>0.43410000205039978</v>
      </c>
    </row>
    <row r="243" spans="1:7" x14ac:dyDescent="0.25">
      <c r="A243" s="131" t="s">
        <v>1</v>
      </c>
      <c r="B243" s="132">
        <v>41775</v>
      </c>
      <c r="C243" s="133">
        <v>1220.8457281519577</v>
      </c>
      <c r="D243" s="133">
        <v>18312.685922279365</v>
      </c>
      <c r="E243" s="133">
        <v>15</v>
      </c>
      <c r="F243" s="134">
        <v>998</v>
      </c>
      <c r="G243" s="133">
        <v>0.48163333535194397</v>
      </c>
    </row>
    <row r="244" spans="1:7" x14ac:dyDescent="0.25">
      <c r="A244" s="131" t="s">
        <v>1</v>
      </c>
      <c r="B244" s="132">
        <v>41776</v>
      </c>
      <c r="C244" s="133">
        <v>2585.6170413253353</v>
      </c>
      <c r="D244" s="133">
        <v>38784.25561988003</v>
      </c>
      <c r="E244" s="133">
        <v>15</v>
      </c>
      <c r="F244" s="134">
        <v>999</v>
      </c>
      <c r="G244" s="133">
        <v>0.45489999651908875</v>
      </c>
    </row>
    <row r="245" spans="1:7" x14ac:dyDescent="0.25">
      <c r="A245" s="131" t="s">
        <v>1</v>
      </c>
      <c r="B245" s="132">
        <v>41777</v>
      </c>
      <c r="C245" s="133">
        <v>2454.0901219233392</v>
      </c>
      <c r="D245" s="133">
        <v>36593.210484679126</v>
      </c>
      <c r="E245" s="133">
        <v>14.911111111111111</v>
      </c>
      <c r="F245" s="134">
        <v>1000</v>
      </c>
      <c r="G245" s="133">
        <v>0.47920000553131104</v>
      </c>
    </row>
    <row r="246" spans="1:7" x14ac:dyDescent="0.25">
      <c r="A246" s="131" t="s">
        <v>1</v>
      </c>
      <c r="B246" s="132">
        <v>41778</v>
      </c>
      <c r="C246" s="133">
        <v>1353.7268958419666</v>
      </c>
      <c r="D246" s="133">
        <v>20305.903437629499</v>
      </c>
      <c r="E246" s="133">
        <v>15</v>
      </c>
      <c r="F246" s="134">
        <v>1001</v>
      </c>
      <c r="G246" s="133">
        <v>0.48163333535194397</v>
      </c>
    </row>
    <row r="247" spans="1:7" x14ac:dyDescent="0.25">
      <c r="A247" s="131" t="s">
        <v>1</v>
      </c>
      <c r="B247" s="132">
        <v>41779</v>
      </c>
      <c r="C247" s="133">
        <v>1097.6627586153711</v>
      </c>
      <c r="D247" s="133">
        <v>16401.614681618143</v>
      </c>
      <c r="E247" s="133">
        <v>14.942307692307692</v>
      </c>
      <c r="F247" s="134">
        <v>1002</v>
      </c>
      <c r="G247" s="133">
        <v>0.47920000553131104</v>
      </c>
    </row>
    <row r="249" spans="1:7" x14ac:dyDescent="0.25">
      <c r="A249" s="130" t="s">
        <v>9</v>
      </c>
      <c r="B249" s="130" t="s">
        <v>8</v>
      </c>
      <c r="C249" s="130" t="s">
        <v>30</v>
      </c>
      <c r="D249" s="130" t="s">
        <v>31</v>
      </c>
      <c r="E249" s="130" t="s">
        <v>10</v>
      </c>
      <c r="F249" s="130" t="s">
        <v>39</v>
      </c>
      <c r="G249" s="130" t="s">
        <v>47</v>
      </c>
    </row>
    <row r="250" spans="1:7" x14ac:dyDescent="0.25">
      <c r="A250" s="131" t="s">
        <v>2</v>
      </c>
      <c r="B250" s="132">
        <v>41788</v>
      </c>
      <c r="C250" s="133">
        <v>1020.7227705064894</v>
      </c>
      <c r="D250" s="133">
        <v>15310.841557597343</v>
      </c>
      <c r="E250" s="133">
        <v>15</v>
      </c>
      <c r="F250" s="134">
        <v>1006</v>
      </c>
      <c r="G250" s="133">
        <v>0.58389997482299805</v>
      </c>
    </row>
    <row r="251" spans="1:7" x14ac:dyDescent="0.25">
      <c r="A251" s="131" t="s">
        <v>2</v>
      </c>
      <c r="B251" s="132">
        <v>41789</v>
      </c>
      <c r="C251" s="133">
        <v>1285.9441873842491</v>
      </c>
      <c r="D251" s="133">
        <v>19289.162810763737</v>
      </c>
      <c r="E251" s="133">
        <v>15</v>
      </c>
      <c r="F251" s="134">
        <v>1007</v>
      </c>
      <c r="G251" s="133">
        <v>0.50483334064483643</v>
      </c>
    </row>
    <row r="252" spans="1:7" x14ac:dyDescent="0.25">
      <c r="A252" s="131" t="s">
        <v>2</v>
      </c>
      <c r="B252" s="132">
        <v>41790</v>
      </c>
      <c r="C252" s="133">
        <v>5325.2419124185853</v>
      </c>
      <c r="D252" s="133">
        <v>80273.09105016166</v>
      </c>
      <c r="E252" s="133">
        <v>15.074074074074074</v>
      </c>
      <c r="F252" s="134">
        <v>1008</v>
      </c>
      <c r="G252" s="133">
        <v>0.52582502365112305</v>
      </c>
    </row>
    <row r="253" spans="1:7" x14ac:dyDescent="0.25">
      <c r="A253" s="131" t="s">
        <v>2</v>
      </c>
      <c r="B253" s="132">
        <v>41791</v>
      </c>
      <c r="C253" s="133">
        <v>4719.3756011216483</v>
      </c>
      <c r="D253" s="133">
        <v>70790.634016824712</v>
      </c>
      <c r="E253" s="133">
        <v>15</v>
      </c>
      <c r="F253" s="134">
        <v>1009</v>
      </c>
      <c r="G253" s="133">
        <v>0.55262500047683716</v>
      </c>
    </row>
    <row r="254" spans="1:7" x14ac:dyDescent="0.25">
      <c r="A254" s="131" t="s">
        <v>48</v>
      </c>
      <c r="B254" s="132">
        <v>41786</v>
      </c>
      <c r="C254" s="133">
        <v>770.01221023341054</v>
      </c>
      <c r="D254" s="133">
        <v>11550.183153501159</v>
      </c>
      <c r="E254" s="133">
        <v>15</v>
      </c>
      <c r="F254" s="134">
        <v>1015</v>
      </c>
      <c r="G254" s="133">
        <v>0.49219998717308044</v>
      </c>
    </row>
    <row r="255" spans="1:7" x14ac:dyDescent="0.25">
      <c r="A255" s="131" t="s">
        <v>48</v>
      </c>
      <c r="B255" s="132">
        <v>41787</v>
      </c>
      <c r="C255" s="133">
        <v>1379.3874755753204</v>
      </c>
      <c r="D255" s="133">
        <v>20690.812133629806</v>
      </c>
      <c r="E255" s="133">
        <v>15</v>
      </c>
      <c r="F255" s="134">
        <v>1016</v>
      </c>
      <c r="G255" s="133">
        <v>0.44729998707771301</v>
      </c>
    </row>
    <row r="256" spans="1:7" x14ac:dyDescent="0.25">
      <c r="A256" s="131" t="s">
        <v>48</v>
      </c>
      <c r="B256" s="132">
        <v>41788</v>
      </c>
      <c r="C256" s="133">
        <v>1633.6457313927917</v>
      </c>
      <c r="D256" s="133">
        <v>24504.685970891875</v>
      </c>
      <c r="E256" s="133">
        <v>15</v>
      </c>
      <c r="F256" s="134">
        <v>1017</v>
      </c>
      <c r="G256" s="133">
        <v>0.56193333864212036</v>
      </c>
    </row>
    <row r="257" spans="1:7" x14ac:dyDescent="0.25">
      <c r="A257" s="131" t="s">
        <v>48</v>
      </c>
      <c r="B257" s="132">
        <v>41789</v>
      </c>
      <c r="C257" s="133">
        <v>1042.7820020033535</v>
      </c>
      <c r="D257" s="133">
        <v>15417.130829618811</v>
      </c>
      <c r="E257" s="133">
        <v>14.784615384615385</v>
      </c>
      <c r="F257" s="134">
        <v>1018</v>
      </c>
      <c r="G257" s="133">
        <v>0.59514999389648438</v>
      </c>
    </row>
    <row r="258" spans="1:7" x14ac:dyDescent="0.25">
      <c r="A258" s="131" t="s">
        <v>48</v>
      </c>
      <c r="B258" s="132">
        <v>41790</v>
      </c>
      <c r="C258" s="133">
        <v>5068.8425160759289</v>
      </c>
      <c r="D258" s="133">
        <v>76032.63774113894</v>
      </c>
      <c r="E258" s="133">
        <v>15</v>
      </c>
      <c r="F258" s="134">
        <v>1019</v>
      </c>
      <c r="G258" s="133">
        <v>0.58829998970031738</v>
      </c>
    </row>
    <row r="259" spans="1:7" x14ac:dyDescent="0.25">
      <c r="A259" s="131" t="s">
        <v>48</v>
      </c>
      <c r="B259" s="132">
        <v>41791</v>
      </c>
      <c r="C259" s="133">
        <v>6557.717342246664</v>
      </c>
      <c r="D259" s="133">
        <v>98365.760133699965</v>
      </c>
      <c r="E259" s="133">
        <v>15</v>
      </c>
      <c r="F259" s="134">
        <v>1020</v>
      </c>
      <c r="G259" s="133">
        <v>0.56193333864212036</v>
      </c>
    </row>
    <row r="260" spans="1:7" x14ac:dyDescent="0.25">
      <c r="A260" s="131" t="s">
        <v>3</v>
      </c>
      <c r="B260" s="132">
        <v>41788</v>
      </c>
      <c r="C260" s="133">
        <v>376.28008440135443</v>
      </c>
      <c r="D260" s="133">
        <v>5644.2012660203163</v>
      </c>
      <c r="E260" s="133">
        <v>15</v>
      </c>
      <c r="F260" s="134">
        <v>1003</v>
      </c>
      <c r="G260" s="133">
        <v>0.62984997034072876</v>
      </c>
    </row>
    <row r="261" spans="1:7" x14ac:dyDescent="0.25">
      <c r="A261" s="131" t="s">
        <v>3</v>
      </c>
      <c r="B261" s="132">
        <v>41789</v>
      </c>
      <c r="C261" s="133">
        <v>1129.4914329403537</v>
      </c>
      <c r="D261" s="133">
        <v>16942.371494105304</v>
      </c>
      <c r="E261" s="133">
        <v>15</v>
      </c>
      <c r="F261" s="134">
        <v>1004</v>
      </c>
      <c r="G261" s="133">
        <v>0.62063330411911011</v>
      </c>
    </row>
    <row r="262" spans="1:7" x14ac:dyDescent="0.25">
      <c r="A262" s="131" t="s">
        <v>3</v>
      </c>
      <c r="B262" s="132">
        <v>41790</v>
      </c>
      <c r="C262" s="133">
        <v>815.85084751994111</v>
      </c>
      <c r="D262" s="133">
        <v>12225.015043306619</v>
      </c>
      <c r="E262" s="133">
        <v>14.984375</v>
      </c>
      <c r="F262" s="134">
        <v>1005</v>
      </c>
      <c r="G262" s="133">
        <v>0.55769997835159302</v>
      </c>
    </row>
    <row r="263" spans="1:7" x14ac:dyDescent="0.25">
      <c r="A263" s="131" t="s">
        <v>1</v>
      </c>
      <c r="B263" s="132">
        <v>41787</v>
      </c>
      <c r="C263" s="133">
        <v>767.0396897211333</v>
      </c>
      <c r="D263" s="133">
        <v>11505.595345817001</v>
      </c>
      <c r="E263" s="133">
        <v>15</v>
      </c>
      <c r="F263" s="134">
        <v>1010</v>
      </c>
      <c r="G263" s="133">
        <v>0.49149999022483826</v>
      </c>
    </row>
    <row r="264" spans="1:7" x14ac:dyDescent="0.25">
      <c r="A264" s="131" t="s">
        <v>1</v>
      </c>
      <c r="B264" s="132">
        <v>41788</v>
      </c>
      <c r="C264" s="133">
        <v>1426.390458889116</v>
      </c>
      <c r="D264" s="133">
        <v>21395.856883336739</v>
      </c>
      <c r="E264" s="133">
        <v>15</v>
      </c>
      <c r="F264" s="134">
        <v>1011</v>
      </c>
      <c r="G264" s="133">
        <v>0.47920000553131104</v>
      </c>
    </row>
    <row r="265" spans="1:7" x14ac:dyDescent="0.25">
      <c r="A265" s="131" t="s">
        <v>1</v>
      </c>
      <c r="B265" s="132">
        <v>41789</v>
      </c>
      <c r="C265" s="133">
        <v>1424.2487314733667</v>
      </c>
      <c r="D265" s="133">
        <v>21363.7309721005</v>
      </c>
      <c r="E265" s="133">
        <v>15</v>
      </c>
      <c r="F265" s="134">
        <v>1012</v>
      </c>
      <c r="G265" s="133">
        <v>0.47920000553131104</v>
      </c>
    </row>
    <row r="266" spans="1:7" x14ac:dyDescent="0.25">
      <c r="A266" s="131" t="s">
        <v>1</v>
      </c>
      <c r="B266" s="132">
        <v>41790</v>
      </c>
      <c r="C266" s="133">
        <v>3259.6175842351549</v>
      </c>
      <c r="D266" s="133">
        <v>48894.263763527328</v>
      </c>
      <c r="E266" s="133">
        <v>15</v>
      </c>
      <c r="F266" s="134">
        <v>1013</v>
      </c>
      <c r="G266" s="133">
        <v>0.43410000205039978</v>
      </c>
    </row>
    <row r="267" spans="1:7" x14ac:dyDescent="0.25">
      <c r="A267" s="131" t="s">
        <v>1</v>
      </c>
      <c r="B267" s="132">
        <v>41791</v>
      </c>
      <c r="C267" s="133">
        <v>2545.6144402309474</v>
      </c>
      <c r="D267" s="133">
        <v>38184.216603464207</v>
      </c>
      <c r="E267" s="133">
        <v>15</v>
      </c>
      <c r="F267" s="134">
        <v>1014</v>
      </c>
      <c r="G267" s="133">
        <v>0.45489999651908875</v>
      </c>
    </row>
  </sheetData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"/>
  <sheetViews>
    <sheetView tabSelected="1" workbookViewId="0">
      <selection activeCell="C16" sqref="C16"/>
    </sheetView>
  </sheetViews>
  <sheetFormatPr defaultRowHeight="15" x14ac:dyDescent="0.25"/>
  <cols>
    <col min="1" max="1" width="21.5703125" customWidth="1"/>
    <col min="2" max="2" width="12" bestFit="1" customWidth="1"/>
    <col min="3" max="4" width="10.5703125" bestFit="1" customWidth="1"/>
    <col min="5" max="5" width="13.28515625" bestFit="1" customWidth="1"/>
  </cols>
  <sheetData>
    <row r="1" spans="1:5" x14ac:dyDescent="0.25">
      <c r="A1" s="3" t="s">
        <v>35</v>
      </c>
      <c r="B1" s="3"/>
      <c r="C1" s="3"/>
    </row>
    <row r="2" spans="1:5" x14ac:dyDescent="0.25">
      <c r="A2" s="3"/>
      <c r="B2" s="3"/>
      <c r="C2" s="3"/>
    </row>
    <row r="3" spans="1:5" ht="15.75" thickBot="1" x14ac:dyDescent="0.3">
      <c r="A3" s="3"/>
      <c r="B3" s="1" t="s">
        <v>46</v>
      </c>
      <c r="C3" s="1" t="s">
        <v>44</v>
      </c>
      <c r="D3" s="1" t="s">
        <v>43</v>
      </c>
      <c r="E3" s="1" t="s">
        <v>42</v>
      </c>
    </row>
    <row r="4" spans="1:5" x14ac:dyDescent="0.25">
      <c r="A4" s="45" t="s">
        <v>20</v>
      </c>
      <c r="B4" s="46">
        <v>2881223.2800000003</v>
      </c>
      <c r="C4" s="46">
        <v>1847952.1349999998</v>
      </c>
      <c r="D4" s="46">
        <v>1094641.4136540764</v>
      </c>
      <c r="E4" s="46">
        <v>1276247.6927039789</v>
      </c>
    </row>
    <row r="5" spans="1:5" x14ac:dyDescent="0.25">
      <c r="A5" s="47" t="s">
        <v>21</v>
      </c>
      <c r="B5" s="48">
        <f>5744410.73323314*0.4</f>
        <v>2297764.2932932558</v>
      </c>
      <c r="C5" s="48">
        <v>1881783.2000000002</v>
      </c>
      <c r="D5" s="48">
        <v>616314.30636927264</v>
      </c>
      <c r="E5" s="48">
        <v>845427.66684737173</v>
      </c>
    </row>
    <row r="6" spans="1:5" x14ac:dyDescent="0.25">
      <c r="A6" s="47" t="s">
        <v>22</v>
      </c>
      <c r="B6" s="154">
        <f>(2615522*0.5)-(161153)+250000</f>
        <v>1396608</v>
      </c>
      <c r="C6" s="48">
        <v>1072689.5999999999</v>
      </c>
      <c r="D6" s="48">
        <v>371373.03795949166</v>
      </c>
      <c r="E6" s="48">
        <v>683167.40704835602</v>
      </c>
    </row>
    <row r="7" spans="1:5" x14ac:dyDescent="0.25">
      <c r="A7" s="47" t="s">
        <v>23</v>
      </c>
      <c r="B7" s="48">
        <v>2088668.5</v>
      </c>
      <c r="C7" s="48">
        <v>909667.35</v>
      </c>
      <c r="D7" s="48">
        <v>605830.70008886908</v>
      </c>
      <c r="E7" s="48">
        <v>545586.68998891278</v>
      </c>
    </row>
    <row r="8" spans="1:5" ht="15.75" thickBot="1" x14ac:dyDescent="0.3">
      <c r="A8" s="49" t="s">
        <v>24</v>
      </c>
      <c r="B8" s="50">
        <f>1033285.9456848*0.254*0.5</f>
        <v>131227.31510196961</v>
      </c>
      <c r="C8" s="50">
        <v>113543.20699999999</v>
      </c>
      <c r="D8" s="50">
        <v>144560.51050788548</v>
      </c>
      <c r="E8" s="50">
        <v>258924.12448845015</v>
      </c>
    </row>
    <row r="9" spans="1:5" ht="16.5" thickBot="1" x14ac:dyDescent="0.3">
      <c r="A9" s="51" t="s">
        <v>34</v>
      </c>
      <c r="B9" s="52">
        <f>SUM(B4:B8)</f>
        <v>8795491.3883952256</v>
      </c>
      <c r="C9" s="52">
        <f>SUM(C4:C8)</f>
        <v>5825635.4919999996</v>
      </c>
      <c r="D9" s="52">
        <f>SUM(D4:D8)</f>
        <v>2832719.968579595</v>
      </c>
      <c r="E9" s="52">
        <f>SUM(E4:E8)</f>
        <v>3609353.5810770695</v>
      </c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topLeftCell="A25" workbookViewId="0">
      <selection sqref="A1:E50"/>
    </sheetView>
  </sheetViews>
  <sheetFormatPr defaultRowHeight="15" x14ac:dyDescent="0.25"/>
  <cols>
    <col min="1" max="1" width="9.42578125" style="3" bestFit="1" customWidth="1"/>
    <col min="2" max="2" width="12.5703125" style="3" bestFit="1" customWidth="1"/>
    <col min="3" max="3" width="10.140625" style="96" bestFit="1" customWidth="1"/>
    <col min="4" max="4" width="14.7109375" style="3" bestFit="1" customWidth="1"/>
    <col min="5" max="5" width="16.7109375" bestFit="1" customWidth="1"/>
  </cols>
  <sheetData>
    <row r="1" spans="1:7" x14ac:dyDescent="0.25">
      <c r="A1" s="135" t="s">
        <v>39</v>
      </c>
      <c r="B1" s="135" t="s">
        <v>9</v>
      </c>
      <c r="C1" s="135" t="s">
        <v>8</v>
      </c>
      <c r="D1" s="135" t="s">
        <v>40</v>
      </c>
      <c r="E1" s="135" t="s">
        <v>41</v>
      </c>
    </row>
    <row r="2" spans="1:7" x14ac:dyDescent="0.25">
      <c r="A2" s="136">
        <v>781</v>
      </c>
      <c r="B2" s="137" t="s">
        <v>1</v>
      </c>
      <c r="C2" s="138">
        <v>41536</v>
      </c>
      <c r="D2" s="136">
        <v>1816</v>
      </c>
      <c r="E2" s="139">
        <v>45401.518429314703</v>
      </c>
      <c r="F2" s="8"/>
      <c r="G2" s="89"/>
    </row>
    <row r="3" spans="1:7" x14ac:dyDescent="0.25">
      <c r="A3" s="136">
        <v>783</v>
      </c>
      <c r="B3" s="137" t="s">
        <v>1</v>
      </c>
      <c r="C3" s="138">
        <v>41538</v>
      </c>
      <c r="D3" s="136">
        <v>1980</v>
      </c>
      <c r="E3" s="139">
        <v>49505.040234359141</v>
      </c>
    </row>
    <row r="4" spans="1:7" x14ac:dyDescent="0.25">
      <c r="A4" s="136">
        <v>791</v>
      </c>
      <c r="B4" s="137" t="s">
        <v>1</v>
      </c>
      <c r="C4" s="138">
        <v>41552</v>
      </c>
      <c r="D4" s="136">
        <v>1027</v>
      </c>
      <c r="E4" s="139">
        <v>34217.806480783162</v>
      </c>
    </row>
    <row r="5" spans="1:7" x14ac:dyDescent="0.25">
      <c r="A5" s="136">
        <v>800</v>
      </c>
      <c r="B5" s="137" t="s">
        <v>1</v>
      </c>
      <c r="C5" s="138">
        <v>41564</v>
      </c>
      <c r="D5" s="136">
        <v>1312</v>
      </c>
      <c r="E5" s="139">
        <v>21850.646945326203</v>
      </c>
    </row>
    <row r="6" spans="1:7" x14ac:dyDescent="0.25">
      <c r="A6" s="136">
        <v>801</v>
      </c>
      <c r="B6" s="137" t="s">
        <v>1</v>
      </c>
      <c r="C6" s="138">
        <v>41565</v>
      </c>
      <c r="D6" s="136">
        <v>655</v>
      </c>
      <c r="E6" s="139">
        <v>26190.46875</v>
      </c>
    </row>
    <row r="7" spans="1:7" x14ac:dyDescent="0.25">
      <c r="A7" s="136">
        <v>816</v>
      </c>
      <c r="B7" s="137" t="s">
        <v>1</v>
      </c>
      <c r="C7" s="138">
        <v>41579</v>
      </c>
      <c r="D7" s="136">
        <v>823</v>
      </c>
      <c r="E7" s="139">
        <v>18996.687929136533</v>
      </c>
    </row>
    <row r="8" spans="1:7" x14ac:dyDescent="0.25">
      <c r="A8" s="136">
        <v>818</v>
      </c>
      <c r="B8" s="137" t="s">
        <v>1</v>
      </c>
      <c r="C8" s="138">
        <v>41581</v>
      </c>
      <c r="D8" s="136">
        <v>195</v>
      </c>
      <c r="E8" s="139">
        <v>7802.6348350240387</v>
      </c>
    </row>
    <row r="9" spans="1:7" x14ac:dyDescent="0.25">
      <c r="A9" s="136">
        <v>836</v>
      </c>
      <c r="B9" s="137" t="s">
        <v>1</v>
      </c>
      <c r="C9" s="138">
        <v>41593</v>
      </c>
      <c r="D9" s="136">
        <v>198</v>
      </c>
      <c r="E9" s="139">
        <v>9897.1770790732571</v>
      </c>
    </row>
    <row r="10" spans="1:7" x14ac:dyDescent="0.25">
      <c r="A10" s="136">
        <v>859</v>
      </c>
      <c r="B10" s="137" t="s">
        <v>1</v>
      </c>
      <c r="C10" s="138">
        <v>41611</v>
      </c>
      <c r="D10" s="136">
        <v>216</v>
      </c>
      <c r="E10" s="139">
        <v>7173.7905828697076</v>
      </c>
    </row>
    <row r="11" spans="1:7" x14ac:dyDescent="0.25">
      <c r="A11" s="136">
        <v>867</v>
      </c>
      <c r="B11" s="137" t="s">
        <v>1</v>
      </c>
      <c r="C11" s="138">
        <v>41622</v>
      </c>
      <c r="D11" s="136">
        <v>68</v>
      </c>
      <c r="E11" s="139">
        <v>13603.707300511642</v>
      </c>
    </row>
    <row r="12" spans="1:7" x14ac:dyDescent="0.25">
      <c r="A12" s="136">
        <v>876</v>
      </c>
      <c r="B12" s="137" t="s">
        <v>1</v>
      </c>
      <c r="C12" s="138">
        <v>41638</v>
      </c>
      <c r="D12" s="136">
        <v>463</v>
      </c>
      <c r="E12" s="139">
        <v>23210.751875893209</v>
      </c>
    </row>
    <row r="13" spans="1:7" x14ac:dyDescent="0.25">
      <c r="A13" s="136">
        <v>904</v>
      </c>
      <c r="B13" s="137" t="s">
        <v>1</v>
      </c>
      <c r="C13" s="138">
        <v>41667</v>
      </c>
      <c r="D13" s="136">
        <v>249</v>
      </c>
      <c r="E13" s="139">
        <v>15016.005222673468</v>
      </c>
    </row>
    <row r="14" spans="1:7" x14ac:dyDescent="0.25">
      <c r="A14" s="136">
        <v>905</v>
      </c>
      <c r="B14" s="137" t="s">
        <v>1</v>
      </c>
      <c r="C14" s="138">
        <v>41668</v>
      </c>
      <c r="D14" s="136">
        <v>382</v>
      </c>
      <c r="E14" s="139">
        <v>12750.625984243448</v>
      </c>
    </row>
    <row r="15" spans="1:7" x14ac:dyDescent="0.25">
      <c r="A15" s="136">
        <v>906</v>
      </c>
      <c r="B15" s="137" t="s">
        <v>1</v>
      </c>
      <c r="C15" s="138">
        <v>41669</v>
      </c>
      <c r="D15" s="136">
        <v>0</v>
      </c>
      <c r="E15" s="139">
        <v>10451.106331637204</v>
      </c>
    </row>
    <row r="16" spans="1:7" x14ac:dyDescent="0.25">
      <c r="A16" s="136">
        <v>911</v>
      </c>
      <c r="B16" s="137" t="s">
        <v>1</v>
      </c>
      <c r="C16" s="138">
        <v>41670</v>
      </c>
      <c r="D16" s="136">
        <v>145</v>
      </c>
      <c r="E16" s="139">
        <v>14428.518070463997</v>
      </c>
    </row>
    <row r="17" spans="1:5" x14ac:dyDescent="0.25">
      <c r="A17" s="136">
        <v>917</v>
      </c>
      <c r="B17" s="137" t="s">
        <v>1</v>
      </c>
      <c r="C17" s="138">
        <v>41696</v>
      </c>
      <c r="D17" s="136">
        <v>334</v>
      </c>
      <c r="E17" s="139">
        <v>22274.356911998446</v>
      </c>
    </row>
    <row r="18" spans="1:5" x14ac:dyDescent="0.25">
      <c r="A18" s="136">
        <v>918</v>
      </c>
      <c r="B18" s="137" t="s">
        <v>1</v>
      </c>
      <c r="C18" s="138">
        <v>41697</v>
      </c>
      <c r="D18" s="136">
        <v>452</v>
      </c>
      <c r="E18" s="139">
        <v>18111.781430022973</v>
      </c>
    </row>
    <row r="19" spans="1:5" x14ac:dyDescent="0.25">
      <c r="A19" s="136">
        <v>923</v>
      </c>
      <c r="B19" s="137" t="s">
        <v>1</v>
      </c>
      <c r="C19" s="138">
        <v>41698</v>
      </c>
      <c r="D19" s="136">
        <v>458</v>
      </c>
      <c r="E19" s="139">
        <v>27462.372782582952</v>
      </c>
    </row>
    <row r="20" spans="1:5" x14ac:dyDescent="0.25">
      <c r="A20" s="136">
        <v>926</v>
      </c>
      <c r="B20" s="137" t="s">
        <v>1</v>
      </c>
      <c r="C20" s="138">
        <v>41699</v>
      </c>
      <c r="D20" s="136">
        <v>926</v>
      </c>
      <c r="E20" s="139">
        <v>46273.042135159048</v>
      </c>
    </row>
    <row r="21" spans="1:5" x14ac:dyDescent="0.25">
      <c r="A21" s="136">
        <v>933</v>
      </c>
      <c r="B21" s="137" t="s">
        <v>1</v>
      </c>
      <c r="C21" s="138">
        <v>41725</v>
      </c>
      <c r="D21" s="136">
        <v>603</v>
      </c>
      <c r="E21" s="139">
        <v>15085.527118085894</v>
      </c>
    </row>
    <row r="22" spans="1:5" x14ac:dyDescent="0.25">
      <c r="A22" s="136">
        <v>941</v>
      </c>
      <c r="B22" s="137" t="s">
        <v>1</v>
      </c>
      <c r="C22" s="138">
        <v>41726</v>
      </c>
      <c r="D22" s="136">
        <v>324</v>
      </c>
      <c r="E22" s="139">
        <v>16207.871217150245</v>
      </c>
    </row>
    <row r="23" spans="1:5" x14ac:dyDescent="0.25">
      <c r="A23" s="136">
        <v>943</v>
      </c>
      <c r="B23" s="137" t="s">
        <v>1</v>
      </c>
      <c r="C23" s="138">
        <v>41728</v>
      </c>
      <c r="D23" s="136">
        <v>1443</v>
      </c>
      <c r="E23" s="139">
        <v>28862.562714052627</v>
      </c>
    </row>
    <row r="24" spans="1:5" x14ac:dyDescent="0.25">
      <c r="A24" s="136">
        <v>944</v>
      </c>
      <c r="B24" s="137" t="s">
        <v>1</v>
      </c>
      <c r="C24" s="138">
        <v>41729</v>
      </c>
      <c r="D24" s="136">
        <v>541</v>
      </c>
      <c r="E24" s="139">
        <v>18007.727994231791</v>
      </c>
    </row>
    <row r="25" spans="1:5" x14ac:dyDescent="0.25">
      <c r="A25" s="136">
        <v>945</v>
      </c>
      <c r="B25" s="137" t="s">
        <v>1</v>
      </c>
      <c r="C25" s="138">
        <v>41730</v>
      </c>
      <c r="D25" s="136">
        <v>285</v>
      </c>
      <c r="E25" s="139">
        <v>14265.417061462063</v>
      </c>
    </row>
    <row r="26" spans="1:5" x14ac:dyDescent="0.25">
      <c r="A26" s="136">
        <v>946</v>
      </c>
      <c r="B26" s="137" t="s">
        <v>1</v>
      </c>
      <c r="C26" s="138">
        <v>41731</v>
      </c>
      <c r="D26" s="136">
        <v>1190</v>
      </c>
      <c r="E26" s="139">
        <v>23792.474762042362</v>
      </c>
    </row>
    <row r="27" spans="1:5" x14ac:dyDescent="0.25">
      <c r="A27" s="136">
        <v>947</v>
      </c>
      <c r="B27" s="137" t="s">
        <v>1</v>
      </c>
      <c r="C27" s="138">
        <v>41732</v>
      </c>
      <c r="D27" s="136">
        <v>221</v>
      </c>
      <c r="E27" s="139">
        <v>11082.694529821125</v>
      </c>
    </row>
    <row r="28" spans="1:5" x14ac:dyDescent="0.25">
      <c r="A28" s="136">
        <v>950</v>
      </c>
      <c r="B28" s="137" t="s">
        <v>1</v>
      </c>
      <c r="C28" s="138">
        <v>41743</v>
      </c>
      <c r="D28" s="136">
        <v>610</v>
      </c>
      <c r="E28" s="139">
        <v>15228.89145242091</v>
      </c>
    </row>
    <row r="29" spans="1:5" x14ac:dyDescent="0.25">
      <c r="A29" s="136">
        <v>951</v>
      </c>
      <c r="B29" s="137" t="s">
        <v>1</v>
      </c>
      <c r="C29" s="138">
        <v>41744</v>
      </c>
      <c r="D29" s="136">
        <v>395</v>
      </c>
      <c r="E29" s="139">
        <v>16919.634110665633</v>
      </c>
    </row>
    <row r="30" spans="1:5" x14ac:dyDescent="0.25">
      <c r="A30" s="136">
        <v>954</v>
      </c>
      <c r="B30" s="137" t="s">
        <v>1</v>
      </c>
      <c r="C30" s="138">
        <v>41745</v>
      </c>
      <c r="D30" s="136">
        <v>505</v>
      </c>
      <c r="E30" s="139">
        <v>14893.184426415639</v>
      </c>
    </row>
    <row r="31" spans="1:5" x14ac:dyDescent="0.25">
      <c r="A31" s="136">
        <v>964</v>
      </c>
      <c r="B31" s="137" t="s">
        <v>1</v>
      </c>
      <c r="C31" s="138">
        <v>41747</v>
      </c>
      <c r="D31" s="136">
        <v>1252</v>
      </c>
      <c r="E31" s="139">
        <v>31294.222062902387</v>
      </c>
    </row>
    <row r="32" spans="1:5" x14ac:dyDescent="0.25">
      <c r="A32" s="136">
        <v>965</v>
      </c>
      <c r="B32" s="137" t="s">
        <v>1</v>
      </c>
      <c r="C32" s="138">
        <v>41749</v>
      </c>
      <c r="D32" s="136">
        <v>1229</v>
      </c>
      <c r="E32" s="139">
        <v>30737.524965914698</v>
      </c>
    </row>
    <row r="33" spans="1:5" x14ac:dyDescent="0.25">
      <c r="A33" s="136">
        <v>967</v>
      </c>
      <c r="B33" s="137" t="s">
        <v>1</v>
      </c>
      <c r="C33" s="138">
        <v>41756</v>
      </c>
      <c r="D33" s="136">
        <v>214</v>
      </c>
      <c r="E33" s="139">
        <v>10651.068370530857</v>
      </c>
    </row>
    <row r="34" spans="1:5" x14ac:dyDescent="0.25">
      <c r="A34" s="136">
        <v>970</v>
      </c>
      <c r="B34" s="137" t="s">
        <v>1</v>
      </c>
      <c r="C34" s="138">
        <v>41758</v>
      </c>
      <c r="D34" s="136">
        <v>741</v>
      </c>
      <c r="E34" s="139">
        <v>15869.786683885515</v>
      </c>
    </row>
    <row r="35" spans="1:5" x14ac:dyDescent="0.25">
      <c r="A35" s="136">
        <v>976</v>
      </c>
      <c r="B35" s="137" t="s">
        <v>1</v>
      </c>
      <c r="C35" s="138">
        <v>41759</v>
      </c>
      <c r="D35" s="136">
        <v>447</v>
      </c>
      <c r="E35" s="139">
        <v>17899.101504952054</v>
      </c>
    </row>
    <row r="36" spans="1:5" x14ac:dyDescent="0.25">
      <c r="A36" s="136">
        <v>977</v>
      </c>
      <c r="B36" s="137" t="s">
        <v>1</v>
      </c>
      <c r="C36" s="138">
        <v>41760</v>
      </c>
      <c r="D36" s="136">
        <v>1538</v>
      </c>
      <c r="E36" s="139">
        <v>28829.298498614735</v>
      </c>
    </row>
    <row r="37" spans="1:5" x14ac:dyDescent="0.25">
      <c r="A37" s="136">
        <v>978</v>
      </c>
      <c r="B37" s="137" t="s">
        <v>1</v>
      </c>
      <c r="C37" s="138">
        <v>41761</v>
      </c>
      <c r="D37" s="136">
        <v>469</v>
      </c>
      <c r="E37" s="139">
        <v>23432.922525373124</v>
      </c>
    </row>
    <row r="38" spans="1:5" x14ac:dyDescent="0.25">
      <c r="A38" s="136">
        <v>985</v>
      </c>
      <c r="B38" s="137" t="s">
        <v>1</v>
      </c>
      <c r="C38" s="138">
        <v>41772</v>
      </c>
      <c r="D38" s="136">
        <v>272</v>
      </c>
      <c r="E38" s="139">
        <v>7782.29923921309</v>
      </c>
    </row>
    <row r="39" spans="1:5" x14ac:dyDescent="0.25">
      <c r="A39" s="136">
        <v>987</v>
      </c>
      <c r="B39" s="137" t="s">
        <v>1</v>
      </c>
      <c r="C39" s="138">
        <v>41773</v>
      </c>
      <c r="D39" s="136">
        <v>132</v>
      </c>
      <c r="E39" s="139">
        <v>13245.16811693522</v>
      </c>
    </row>
    <row r="40" spans="1:5" x14ac:dyDescent="0.25">
      <c r="A40" s="136">
        <v>997</v>
      </c>
      <c r="B40" s="137" t="s">
        <v>1</v>
      </c>
      <c r="C40" s="138">
        <v>41774</v>
      </c>
      <c r="D40" s="136">
        <v>556</v>
      </c>
      <c r="E40" s="139">
        <v>11126.468503078304</v>
      </c>
    </row>
    <row r="41" spans="1:5" x14ac:dyDescent="0.25">
      <c r="A41" s="136">
        <v>998</v>
      </c>
      <c r="B41" s="137" t="s">
        <v>1</v>
      </c>
      <c r="C41" s="138">
        <v>41775</v>
      </c>
      <c r="D41" s="136">
        <v>1318</v>
      </c>
      <c r="E41" s="139">
        <v>18312.685922279365</v>
      </c>
    </row>
    <row r="42" spans="1:5" x14ac:dyDescent="0.25">
      <c r="A42" s="136">
        <v>999</v>
      </c>
      <c r="B42" s="137" t="s">
        <v>1</v>
      </c>
      <c r="C42" s="138">
        <v>41776</v>
      </c>
      <c r="D42" s="136">
        <v>1810</v>
      </c>
      <c r="E42" s="139">
        <v>38784.25561988003</v>
      </c>
    </row>
    <row r="43" spans="1:5" x14ac:dyDescent="0.25">
      <c r="A43" s="136">
        <v>1000</v>
      </c>
      <c r="B43" s="137" t="s">
        <v>1</v>
      </c>
      <c r="C43" s="138">
        <v>41777</v>
      </c>
      <c r="D43" s="136">
        <v>1463</v>
      </c>
      <c r="E43" s="139">
        <v>36593.210484679126</v>
      </c>
    </row>
    <row r="44" spans="1:5" x14ac:dyDescent="0.25">
      <c r="A44" s="136">
        <v>1001</v>
      </c>
      <c r="B44" s="137" t="s">
        <v>1</v>
      </c>
      <c r="C44" s="138">
        <v>41778</v>
      </c>
      <c r="D44" s="136">
        <v>1116</v>
      </c>
      <c r="E44" s="139">
        <v>20305.903437629499</v>
      </c>
    </row>
    <row r="45" spans="1:5" x14ac:dyDescent="0.25">
      <c r="A45" s="136">
        <v>1002</v>
      </c>
      <c r="B45" s="137" t="s">
        <v>1</v>
      </c>
      <c r="C45" s="138">
        <v>41779</v>
      </c>
      <c r="D45" s="136">
        <v>1312</v>
      </c>
      <c r="E45" s="139">
        <v>16401.614681618143</v>
      </c>
    </row>
    <row r="46" spans="1:5" x14ac:dyDescent="0.25">
      <c r="A46" s="136">
        <v>1010</v>
      </c>
      <c r="B46" s="137" t="s">
        <v>1</v>
      </c>
      <c r="C46" s="138">
        <v>41787</v>
      </c>
      <c r="D46" s="136">
        <v>1841</v>
      </c>
      <c r="E46" s="139">
        <v>11505.595345817001</v>
      </c>
    </row>
    <row r="47" spans="1:5" x14ac:dyDescent="0.25">
      <c r="A47" s="136">
        <v>1011</v>
      </c>
      <c r="B47" s="137" t="s">
        <v>1</v>
      </c>
      <c r="C47" s="138">
        <v>41788</v>
      </c>
      <c r="D47" s="136">
        <v>642</v>
      </c>
      <c r="E47" s="139">
        <v>21395.856883336739</v>
      </c>
    </row>
    <row r="48" spans="1:5" x14ac:dyDescent="0.25">
      <c r="A48" s="136">
        <v>1012</v>
      </c>
      <c r="B48" s="137" t="s">
        <v>1</v>
      </c>
      <c r="C48" s="138">
        <v>41789</v>
      </c>
      <c r="D48" s="136">
        <v>1174</v>
      </c>
      <c r="E48" s="139">
        <v>21363.7309721005</v>
      </c>
    </row>
    <row r="49" spans="1:6" x14ac:dyDescent="0.25">
      <c r="A49" s="136">
        <v>1013</v>
      </c>
      <c r="B49" s="137" t="s">
        <v>1</v>
      </c>
      <c r="C49" s="138">
        <v>41790</v>
      </c>
      <c r="D49" s="136">
        <v>2282</v>
      </c>
      <c r="E49" s="139">
        <v>48894.263763527328</v>
      </c>
    </row>
    <row r="50" spans="1:6" x14ac:dyDescent="0.25">
      <c r="A50" s="136">
        <v>1014</v>
      </c>
      <c r="B50" s="137" t="s">
        <v>1</v>
      </c>
      <c r="C50" s="138">
        <v>41791</v>
      </c>
      <c r="D50" s="136">
        <v>1527</v>
      </c>
      <c r="E50" s="139">
        <v>38184.216603464207</v>
      </c>
    </row>
    <row r="51" spans="1:6" x14ac:dyDescent="0.25">
      <c r="A51" s="140"/>
      <c r="B51" s="141"/>
      <c r="C51" s="142"/>
      <c r="D51" s="136"/>
      <c r="E51" s="143"/>
    </row>
    <row r="52" spans="1:6" x14ac:dyDescent="0.25">
      <c r="A52" s="140"/>
      <c r="B52" s="141"/>
      <c r="C52" s="142"/>
      <c r="D52" s="136"/>
      <c r="E52" s="143"/>
    </row>
    <row r="53" spans="1:6" x14ac:dyDescent="0.25">
      <c r="A53" s="140"/>
      <c r="B53" s="141"/>
      <c r="C53" s="142"/>
      <c r="D53" s="136"/>
      <c r="E53" s="143"/>
    </row>
    <row r="54" spans="1:6" x14ac:dyDescent="0.25">
      <c r="A54" s="140"/>
      <c r="B54" s="141"/>
      <c r="C54" s="142"/>
      <c r="D54" s="136"/>
      <c r="E54" s="143"/>
    </row>
    <row r="55" spans="1:6" x14ac:dyDescent="0.25">
      <c r="D55" s="94">
        <f>SUM(D2:D45)</f>
        <v>31685</v>
      </c>
      <c r="E55" s="10">
        <f>SUM(E2:E45)</f>
        <v>920229.55531490757</v>
      </c>
      <c r="F55" s="98">
        <f>+D55/E55</f>
        <v>3.4431626127414718E-2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>
      <selection activeCell="C28" sqref="C28"/>
    </sheetView>
  </sheetViews>
  <sheetFormatPr defaultRowHeight="15" x14ac:dyDescent="0.25"/>
  <cols>
    <col min="1" max="1" width="7.85546875" style="3" bestFit="1" customWidth="1"/>
    <col min="2" max="2" width="11.5703125" style="3" bestFit="1" customWidth="1"/>
    <col min="3" max="3" width="10.140625" style="3" bestFit="1" customWidth="1"/>
    <col min="4" max="4" width="14.7109375" style="3" bestFit="1" customWidth="1"/>
    <col min="5" max="5" width="16.7109375" style="3" bestFit="1" customWidth="1"/>
  </cols>
  <sheetData>
    <row r="1" spans="1:5" x14ac:dyDescent="0.25">
      <c r="A1" s="144" t="s">
        <v>39</v>
      </c>
      <c r="B1" s="144" t="s">
        <v>9</v>
      </c>
      <c r="C1" s="144" t="s">
        <v>8</v>
      </c>
      <c r="D1" s="144" t="s">
        <v>40</v>
      </c>
      <c r="E1" s="144" t="s">
        <v>41</v>
      </c>
    </row>
    <row r="2" spans="1:5" x14ac:dyDescent="0.25">
      <c r="A2" s="145">
        <v>793</v>
      </c>
      <c r="B2" s="146" t="s">
        <v>48</v>
      </c>
      <c r="C2" s="147">
        <v>41551</v>
      </c>
      <c r="D2" s="145">
        <v>130</v>
      </c>
      <c r="E2" s="148">
        <v>19426.82577363501</v>
      </c>
    </row>
    <row r="3" spans="1:5" x14ac:dyDescent="0.25">
      <c r="A3" s="145">
        <v>811</v>
      </c>
      <c r="B3" s="146" t="s">
        <v>48</v>
      </c>
      <c r="C3" s="147">
        <v>41565</v>
      </c>
      <c r="D3" s="145">
        <v>373</v>
      </c>
      <c r="E3" s="148">
        <v>37337.46046737914</v>
      </c>
    </row>
    <row r="4" spans="1:5" x14ac:dyDescent="0.25">
      <c r="A4" s="145">
        <v>812</v>
      </c>
      <c r="B4" s="146" t="s">
        <v>48</v>
      </c>
      <c r="C4" s="147">
        <v>41566</v>
      </c>
      <c r="D4" s="145">
        <v>806</v>
      </c>
      <c r="E4" s="148">
        <v>53827.758143057072</v>
      </c>
    </row>
    <row r="5" spans="1:5" x14ac:dyDescent="0.25">
      <c r="A5" s="145">
        <v>844</v>
      </c>
      <c r="B5" s="146" t="s">
        <v>48</v>
      </c>
      <c r="C5" s="147">
        <v>41608</v>
      </c>
      <c r="D5" s="145">
        <v>1725</v>
      </c>
      <c r="E5" s="148">
        <v>49286.817966523507</v>
      </c>
    </row>
    <row r="6" spans="1:5" x14ac:dyDescent="0.25">
      <c r="A6" s="145">
        <v>877</v>
      </c>
      <c r="B6" s="146" t="s">
        <v>48</v>
      </c>
      <c r="C6" s="147">
        <v>41638</v>
      </c>
      <c r="D6" s="145">
        <v>2401</v>
      </c>
      <c r="E6" s="148">
        <v>59993.142089542373</v>
      </c>
    </row>
    <row r="7" spans="1:5" x14ac:dyDescent="0.25">
      <c r="A7" s="145">
        <v>920</v>
      </c>
      <c r="B7" s="146" t="s">
        <v>48</v>
      </c>
      <c r="C7" s="147">
        <v>41697</v>
      </c>
      <c r="D7" s="145">
        <v>676</v>
      </c>
      <c r="E7" s="148">
        <v>42786.376754492514</v>
      </c>
    </row>
    <row r="8" spans="1:5" x14ac:dyDescent="0.25">
      <c r="A8" s="145">
        <v>930</v>
      </c>
      <c r="B8" s="146" t="s">
        <v>48</v>
      </c>
      <c r="C8" s="147">
        <v>41699</v>
      </c>
      <c r="D8" s="145">
        <v>1504</v>
      </c>
      <c r="E8" s="148">
        <v>75134.400072204357</v>
      </c>
    </row>
    <row r="9" spans="1:5" x14ac:dyDescent="0.25">
      <c r="A9" s="145">
        <v>940</v>
      </c>
      <c r="B9" s="146" t="s">
        <v>48</v>
      </c>
      <c r="C9" s="147">
        <v>41729</v>
      </c>
      <c r="D9" s="145">
        <v>211</v>
      </c>
      <c r="E9" s="148">
        <v>21170.393021468728</v>
      </c>
    </row>
    <row r="10" spans="1:5" x14ac:dyDescent="0.25">
      <c r="A10" s="145">
        <v>952</v>
      </c>
      <c r="B10" s="146" t="s">
        <v>48</v>
      </c>
      <c r="C10" s="147">
        <v>41744</v>
      </c>
      <c r="D10" s="145">
        <v>842</v>
      </c>
      <c r="E10" s="148">
        <v>21064.521080523467</v>
      </c>
    </row>
    <row r="11" spans="1:5" x14ac:dyDescent="0.25">
      <c r="A11" s="145">
        <v>953</v>
      </c>
      <c r="B11" s="146" t="s">
        <v>48</v>
      </c>
      <c r="C11" s="147">
        <v>41745</v>
      </c>
      <c r="D11" s="145">
        <v>380</v>
      </c>
      <c r="E11" s="148">
        <v>19049.457684944384</v>
      </c>
    </row>
    <row r="12" spans="1:5" x14ac:dyDescent="0.25">
      <c r="A12" s="145">
        <v>957</v>
      </c>
      <c r="B12" s="146" t="s">
        <v>48</v>
      </c>
      <c r="C12" s="147">
        <v>41747</v>
      </c>
      <c r="D12" s="145">
        <v>0</v>
      </c>
      <c r="E12" s="148">
        <v>118033.90416554356</v>
      </c>
    </row>
    <row r="13" spans="1:5" x14ac:dyDescent="0.25">
      <c r="A13" s="145">
        <v>972</v>
      </c>
      <c r="B13" s="146" t="s">
        <v>48</v>
      </c>
      <c r="C13" s="147">
        <v>41759</v>
      </c>
      <c r="D13" s="145">
        <v>0</v>
      </c>
      <c r="E13" s="148">
        <v>28508.719626266364</v>
      </c>
    </row>
    <row r="14" spans="1:5" x14ac:dyDescent="0.25">
      <c r="A14" s="145">
        <v>986</v>
      </c>
      <c r="B14" s="146" t="s">
        <v>48</v>
      </c>
      <c r="C14" s="147">
        <v>41773</v>
      </c>
      <c r="D14" s="145">
        <v>2331</v>
      </c>
      <c r="E14" s="148">
        <v>18398.723199692336</v>
      </c>
    </row>
    <row r="15" spans="1:5" x14ac:dyDescent="0.25">
      <c r="A15" s="145">
        <v>993</v>
      </c>
      <c r="B15" s="146" t="s">
        <v>48</v>
      </c>
      <c r="C15" s="147">
        <v>41774</v>
      </c>
      <c r="D15" s="145">
        <v>2213</v>
      </c>
      <c r="E15" s="148">
        <v>23709.118831252326</v>
      </c>
    </row>
    <row r="16" spans="1:5" x14ac:dyDescent="0.25">
      <c r="A16" s="145">
        <v>994</v>
      </c>
      <c r="B16" s="146" t="s">
        <v>48</v>
      </c>
      <c r="C16" s="147">
        <v>41775</v>
      </c>
      <c r="D16" s="145">
        <v>3592</v>
      </c>
      <c r="E16" s="148">
        <v>33672.183828478024</v>
      </c>
    </row>
    <row r="17" spans="1:6" x14ac:dyDescent="0.25">
      <c r="A17" s="145">
        <v>995</v>
      </c>
      <c r="B17" s="146" t="s">
        <v>48</v>
      </c>
      <c r="C17" s="147">
        <v>41776</v>
      </c>
      <c r="D17" s="145">
        <v>8680</v>
      </c>
      <c r="E17" s="148">
        <v>72328.644965009531</v>
      </c>
    </row>
    <row r="18" spans="1:6" x14ac:dyDescent="0.25">
      <c r="A18" s="145">
        <v>1017</v>
      </c>
      <c r="B18" s="146" t="s">
        <v>48</v>
      </c>
      <c r="C18" s="147">
        <v>41788</v>
      </c>
      <c r="D18" s="145">
        <v>2288</v>
      </c>
      <c r="E18" s="148">
        <v>24504.685970891875</v>
      </c>
    </row>
    <row r="19" spans="1:6" x14ac:dyDescent="0.25">
      <c r="A19" s="145">
        <v>1018</v>
      </c>
      <c r="B19" s="146" t="s">
        <v>48</v>
      </c>
      <c r="C19" s="147">
        <v>41789</v>
      </c>
      <c r="D19" s="145">
        <v>1028</v>
      </c>
      <c r="E19" s="148">
        <v>15417.130829618811</v>
      </c>
    </row>
    <row r="20" spans="1:6" x14ac:dyDescent="0.25">
      <c r="A20" s="145">
        <v>1019</v>
      </c>
      <c r="B20" s="146" t="s">
        <v>48</v>
      </c>
      <c r="C20" s="147">
        <v>41790</v>
      </c>
      <c r="D20" s="145">
        <v>11026</v>
      </c>
      <c r="E20" s="148">
        <v>76032.63774113894</v>
      </c>
    </row>
    <row r="21" spans="1:6" x14ac:dyDescent="0.25">
      <c r="A21" s="90"/>
      <c r="B21" s="91"/>
      <c r="C21" s="92"/>
      <c r="D21" s="93"/>
      <c r="E21" s="99"/>
    </row>
    <row r="22" spans="1:6" x14ac:dyDescent="0.25">
      <c r="D22" s="100">
        <f>SUM(D2:D21)</f>
        <v>40206</v>
      </c>
      <c r="E22" s="99">
        <f>SUM(E2:E21)</f>
        <v>809682.90221166215</v>
      </c>
      <c r="F22" s="98">
        <f>+D22/E22</f>
        <v>4.9656476492435063E-2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2"/>
  <sheetViews>
    <sheetView workbookViewId="0">
      <selection activeCell="D20" sqref="D20"/>
    </sheetView>
  </sheetViews>
  <sheetFormatPr defaultRowHeight="15" x14ac:dyDescent="0.25"/>
  <cols>
    <col min="1" max="2" width="14.28515625" customWidth="1"/>
    <col min="3" max="3" width="14.28515625" style="97" customWidth="1"/>
    <col min="4" max="4" width="14.28515625" customWidth="1"/>
    <col min="5" max="5" width="16.7109375" bestFit="1" customWidth="1"/>
  </cols>
  <sheetData>
    <row r="1" spans="1:5" x14ac:dyDescent="0.25">
      <c r="A1" s="155" t="s">
        <v>39</v>
      </c>
      <c r="B1" s="155" t="s">
        <v>9</v>
      </c>
      <c r="C1" s="155" t="s">
        <v>8</v>
      </c>
      <c r="D1" s="155" t="s">
        <v>40</v>
      </c>
      <c r="E1" s="155" t="s">
        <v>41</v>
      </c>
    </row>
    <row r="2" spans="1:5" x14ac:dyDescent="0.25">
      <c r="A2" s="156">
        <v>786</v>
      </c>
      <c r="B2" s="157" t="s">
        <v>2</v>
      </c>
      <c r="C2" s="158">
        <v>41551</v>
      </c>
      <c r="D2" s="156">
        <v>735</v>
      </c>
      <c r="E2" s="159">
        <v>29369.724391399839</v>
      </c>
    </row>
    <row r="3" spans="1:5" x14ac:dyDescent="0.25">
      <c r="A3" s="156">
        <v>787</v>
      </c>
      <c r="B3" s="157" t="s">
        <v>2</v>
      </c>
      <c r="C3" s="158">
        <v>41552</v>
      </c>
      <c r="D3" s="156">
        <v>2925</v>
      </c>
      <c r="E3" s="159">
        <v>58529.485419062592</v>
      </c>
    </row>
    <row r="4" spans="1:5" x14ac:dyDescent="0.25">
      <c r="A4" s="156">
        <v>803</v>
      </c>
      <c r="B4" s="157" t="s">
        <v>2</v>
      </c>
      <c r="C4" s="158">
        <v>41565</v>
      </c>
      <c r="D4" s="156">
        <v>3753</v>
      </c>
      <c r="E4" s="159">
        <v>46909.494330002555</v>
      </c>
    </row>
    <row r="5" spans="1:5" x14ac:dyDescent="0.25">
      <c r="A5" s="156">
        <v>805</v>
      </c>
      <c r="B5" s="157" t="s">
        <v>2</v>
      </c>
      <c r="C5" s="158">
        <v>41566</v>
      </c>
      <c r="D5" s="156">
        <v>3956</v>
      </c>
      <c r="E5" s="159">
        <v>84754.092980454036</v>
      </c>
    </row>
    <row r="6" spans="1:5" x14ac:dyDescent="0.25">
      <c r="A6" s="156">
        <v>865</v>
      </c>
      <c r="B6" s="157" t="s">
        <v>2</v>
      </c>
      <c r="C6" s="158">
        <v>41622</v>
      </c>
      <c r="D6" s="156">
        <v>0</v>
      </c>
      <c r="E6" s="159">
        <v>19002.986936152429</v>
      </c>
    </row>
    <row r="7" spans="1:5" x14ac:dyDescent="0.25">
      <c r="A7" s="156">
        <v>885</v>
      </c>
      <c r="B7" s="157" t="s">
        <v>2</v>
      </c>
      <c r="C7" s="158">
        <v>41639</v>
      </c>
      <c r="D7" s="156">
        <v>892</v>
      </c>
      <c r="E7" s="159">
        <v>44565.623287681476</v>
      </c>
    </row>
    <row r="8" spans="1:5" x14ac:dyDescent="0.25">
      <c r="A8" s="156">
        <v>988</v>
      </c>
      <c r="B8" s="157" t="s">
        <v>2</v>
      </c>
      <c r="C8" s="158">
        <v>41775</v>
      </c>
      <c r="D8" s="156">
        <v>843</v>
      </c>
      <c r="E8" s="159">
        <v>24085.762551383606</v>
      </c>
    </row>
    <row r="9" spans="1:5" x14ac:dyDescent="0.25">
      <c r="A9" s="156">
        <v>989</v>
      </c>
      <c r="B9" s="157" t="s">
        <v>2</v>
      </c>
      <c r="C9" s="158">
        <v>41776</v>
      </c>
      <c r="D9" s="156">
        <v>2420</v>
      </c>
      <c r="E9" s="159">
        <v>54313.503685322423</v>
      </c>
    </row>
    <row r="10" spans="1:5" x14ac:dyDescent="0.25">
      <c r="A10" s="156">
        <v>990</v>
      </c>
      <c r="B10" s="157" t="s">
        <v>2</v>
      </c>
      <c r="C10" s="158">
        <v>41777</v>
      </c>
      <c r="D10" s="156">
        <v>1674</v>
      </c>
      <c r="E10" s="159">
        <v>33480.749961276335</v>
      </c>
    </row>
    <row r="11" spans="1:5" x14ac:dyDescent="0.25">
      <c r="A11" s="156">
        <v>1006</v>
      </c>
      <c r="B11" s="157" t="s">
        <v>2</v>
      </c>
      <c r="C11" s="158">
        <v>41788</v>
      </c>
      <c r="D11" s="156">
        <v>765</v>
      </c>
      <c r="E11" s="159">
        <v>15310.841557597343</v>
      </c>
    </row>
    <row r="12" spans="1:5" x14ac:dyDescent="0.25">
      <c r="A12" s="156">
        <v>1008</v>
      </c>
      <c r="B12" s="157" t="s">
        <v>2</v>
      </c>
      <c r="C12" s="158">
        <v>41790</v>
      </c>
      <c r="D12" s="156">
        <v>4014</v>
      </c>
      <c r="E12" s="159">
        <v>80273.09105016166</v>
      </c>
    </row>
    <row r="13" spans="1:5" x14ac:dyDescent="0.25">
      <c r="A13" s="3"/>
      <c r="B13" s="3"/>
      <c r="C13" s="96"/>
      <c r="D13" s="3"/>
      <c r="E13" s="10"/>
    </row>
    <row r="14" spans="1:5" x14ac:dyDescent="0.25">
      <c r="A14" s="3"/>
      <c r="B14" s="3"/>
      <c r="C14" s="96"/>
      <c r="D14" s="3"/>
      <c r="E14" s="10"/>
    </row>
    <row r="15" spans="1:5" x14ac:dyDescent="0.25">
      <c r="A15" s="3"/>
      <c r="B15" s="3"/>
      <c r="C15" s="96"/>
      <c r="D15" s="3"/>
      <c r="E15" s="10"/>
    </row>
    <row r="16" spans="1:5" x14ac:dyDescent="0.25">
      <c r="A16" s="3"/>
      <c r="B16" s="3"/>
      <c r="C16" s="96"/>
      <c r="D16" s="3"/>
      <c r="E16" s="10"/>
    </row>
    <row r="17" spans="1:6" x14ac:dyDescent="0.25">
      <c r="A17" s="3"/>
      <c r="B17" s="3"/>
      <c r="C17" s="96"/>
      <c r="D17" s="3"/>
      <c r="E17" s="10"/>
    </row>
    <row r="18" spans="1:6" x14ac:dyDescent="0.25">
      <c r="A18" s="3"/>
      <c r="B18" s="3"/>
      <c r="C18" s="96"/>
      <c r="D18" s="3"/>
      <c r="E18" s="10"/>
    </row>
    <row r="19" spans="1:6" x14ac:dyDescent="0.25">
      <c r="A19" s="3"/>
      <c r="B19" s="3"/>
      <c r="C19" s="96"/>
      <c r="D19" s="3"/>
      <c r="E19" s="10"/>
    </row>
    <row r="20" spans="1:6" x14ac:dyDescent="0.25">
      <c r="A20" s="3"/>
      <c r="B20" s="3"/>
      <c r="C20" s="96"/>
      <c r="D20" s="3"/>
      <c r="E20" s="10"/>
    </row>
    <row r="21" spans="1:6" x14ac:dyDescent="0.25">
      <c r="A21" s="3"/>
      <c r="B21" s="3"/>
      <c r="C21" s="96"/>
      <c r="D21" s="3"/>
      <c r="E21" s="10"/>
    </row>
    <row r="22" spans="1:6" x14ac:dyDescent="0.25">
      <c r="A22" s="3"/>
      <c r="B22" s="3"/>
      <c r="C22" s="96"/>
      <c r="D22" s="94">
        <f>SUM(D2:D21)</f>
        <v>21977</v>
      </c>
      <c r="E22" s="10">
        <f>SUM(E2:E21)</f>
        <v>490595.35615049431</v>
      </c>
      <c r="F22" s="98">
        <f>+D22/E22</f>
        <v>4.47965919866114E-2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2"/>
  <sheetViews>
    <sheetView workbookViewId="0">
      <selection activeCell="H19" sqref="H19"/>
    </sheetView>
  </sheetViews>
  <sheetFormatPr defaultRowHeight="15" x14ac:dyDescent="0.25"/>
  <cols>
    <col min="1" max="2" width="15.140625" customWidth="1"/>
    <col min="3" max="3" width="15.140625" style="97" customWidth="1"/>
    <col min="4" max="4" width="15.140625" customWidth="1"/>
    <col min="5" max="5" width="16.7109375" bestFit="1" customWidth="1"/>
  </cols>
  <sheetData>
    <row r="1" spans="1:5" x14ac:dyDescent="0.25">
      <c r="A1" s="149" t="s">
        <v>39</v>
      </c>
      <c r="B1" s="149" t="s">
        <v>9</v>
      </c>
      <c r="C1" s="149" t="s">
        <v>8</v>
      </c>
      <c r="D1" s="149" t="s">
        <v>40</v>
      </c>
      <c r="E1" s="149" t="s">
        <v>41</v>
      </c>
    </row>
    <row r="2" spans="1:5" x14ac:dyDescent="0.25">
      <c r="A2" s="150">
        <v>788</v>
      </c>
      <c r="B2" s="151" t="s">
        <v>3</v>
      </c>
      <c r="C2" s="152">
        <v>41551</v>
      </c>
      <c r="D2" s="150">
        <v>1187</v>
      </c>
      <c r="E2" s="153">
        <v>18271.325188482042</v>
      </c>
    </row>
    <row r="3" spans="1:5" x14ac:dyDescent="0.25">
      <c r="A3" s="150">
        <v>789</v>
      </c>
      <c r="B3" s="151" t="s">
        <v>3</v>
      </c>
      <c r="C3" s="152">
        <v>41552</v>
      </c>
      <c r="D3" s="150">
        <v>2316</v>
      </c>
      <c r="E3" s="153">
        <v>23154.073734078251</v>
      </c>
    </row>
    <row r="4" spans="1:5" x14ac:dyDescent="0.25">
      <c r="A4" s="150">
        <v>802</v>
      </c>
      <c r="B4" s="151" t="s">
        <v>3</v>
      </c>
      <c r="C4" s="152">
        <v>41565</v>
      </c>
      <c r="D4" s="150">
        <v>77</v>
      </c>
      <c r="E4" s="153">
        <v>15520.12148725889</v>
      </c>
    </row>
    <row r="5" spans="1:5" x14ac:dyDescent="0.25">
      <c r="A5" s="150">
        <v>806</v>
      </c>
      <c r="B5" s="151" t="s">
        <v>3</v>
      </c>
      <c r="C5" s="152">
        <v>41566</v>
      </c>
      <c r="D5" s="150">
        <v>1346</v>
      </c>
      <c r="E5" s="153">
        <v>44871.92452904422</v>
      </c>
    </row>
    <row r="6" spans="1:5" x14ac:dyDescent="0.25">
      <c r="A6" s="150">
        <v>808</v>
      </c>
      <c r="B6" s="151" t="s">
        <v>3</v>
      </c>
      <c r="C6" s="152">
        <v>41567</v>
      </c>
      <c r="D6" s="150">
        <v>226</v>
      </c>
      <c r="E6" s="153">
        <v>22650.381418050361</v>
      </c>
    </row>
    <row r="7" spans="1:5" x14ac:dyDescent="0.25">
      <c r="A7" s="150">
        <v>819</v>
      </c>
      <c r="B7" s="151" t="s">
        <v>3</v>
      </c>
      <c r="C7" s="152">
        <v>41579</v>
      </c>
      <c r="D7" s="150">
        <v>505</v>
      </c>
      <c r="E7" s="153">
        <v>20179.355392360332</v>
      </c>
    </row>
    <row r="8" spans="1:5" x14ac:dyDescent="0.25">
      <c r="A8" s="150">
        <v>846</v>
      </c>
      <c r="B8" s="151" t="s">
        <v>3</v>
      </c>
      <c r="C8" s="152">
        <v>41608</v>
      </c>
      <c r="D8" s="150">
        <v>0</v>
      </c>
      <c r="E8" s="153">
        <v>16685.099582087463</v>
      </c>
    </row>
    <row r="9" spans="1:5" x14ac:dyDescent="0.25">
      <c r="A9" s="150">
        <v>880</v>
      </c>
      <c r="B9" s="151" t="s">
        <v>3</v>
      </c>
      <c r="C9" s="152">
        <v>41637</v>
      </c>
      <c r="D9" s="150">
        <v>912</v>
      </c>
      <c r="E9" s="153">
        <v>18253.351913183909</v>
      </c>
    </row>
    <row r="10" spans="1:5" x14ac:dyDescent="0.25">
      <c r="A10" s="150">
        <v>879</v>
      </c>
      <c r="B10" s="151" t="s">
        <v>3</v>
      </c>
      <c r="C10" s="152">
        <v>41638</v>
      </c>
      <c r="D10" s="150">
        <v>368</v>
      </c>
      <c r="E10" s="153">
        <v>36727.595800349154</v>
      </c>
    </row>
    <row r="11" spans="1:5" x14ac:dyDescent="0.25">
      <c r="A11" s="150">
        <v>884</v>
      </c>
      <c r="B11" s="151" t="s">
        <v>3</v>
      </c>
      <c r="C11" s="152">
        <v>41639</v>
      </c>
      <c r="D11" s="150">
        <v>1196</v>
      </c>
      <c r="E11" s="153">
        <v>29909.171806452858</v>
      </c>
    </row>
    <row r="12" spans="1:5" x14ac:dyDescent="0.25">
      <c r="A12" s="150">
        <v>886</v>
      </c>
      <c r="B12" s="151" t="s">
        <v>3</v>
      </c>
      <c r="C12" s="152">
        <v>41640</v>
      </c>
      <c r="D12" s="150">
        <v>696</v>
      </c>
      <c r="E12" s="153">
        <v>34784.634607554399</v>
      </c>
    </row>
    <row r="13" spans="1:5" x14ac:dyDescent="0.25">
      <c r="A13" s="150">
        <v>919</v>
      </c>
      <c r="B13" s="151" t="s">
        <v>3</v>
      </c>
      <c r="C13" s="152">
        <v>41697</v>
      </c>
      <c r="D13" s="150">
        <v>229</v>
      </c>
      <c r="E13" s="153">
        <v>22836.692220973335</v>
      </c>
    </row>
    <row r="14" spans="1:5" x14ac:dyDescent="0.25">
      <c r="A14" s="150">
        <v>921</v>
      </c>
      <c r="B14" s="151" t="s">
        <v>3</v>
      </c>
      <c r="C14" s="152">
        <v>41698</v>
      </c>
      <c r="D14" s="150">
        <v>1438</v>
      </c>
      <c r="E14" s="153">
        <v>41076.718232928353</v>
      </c>
    </row>
    <row r="15" spans="1:5" x14ac:dyDescent="0.25">
      <c r="A15" s="150">
        <v>934</v>
      </c>
      <c r="B15" s="151" t="s">
        <v>3</v>
      </c>
      <c r="C15" s="152">
        <v>41726</v>
      </c>
      <c r="D15" s="150">
        <v>964</v>
      </c>
      <c r="E15" s="153">
        <v>32077.975765953051</v>
      </c>
    </row>
    <row r="16" spans="1:5" x14ac:dyDescent="0.25">
      <c r="A16" s="150">
        <v>962</v>
      </c>
      <c r="B16" s="151" t="s">
        <v>3</v>
      </c>
      <c r="C16" s="152">
        <v>41747</v>
      </c>
      <c r="D16" s="150">
        <v>731</v>
      </c>
      <c r="E16" s="153">
        <v>31366.916794829118</v>
      </c>
    </row>
    <row r="17" spans="1:6" x14ac:dyDescent="0.25">
      <c r="A17" s="150">
        <v>963</v>
      </c>
      <c r="B17" s="151" t="s">
        <v>3</v>
      </c>
      <c r="C17" s="152">
        <v>41748</v>
      </c>
      <c r="D17" s="150">
        <v>132</v>
      </c>
      <c r="E17" s="153">
        <v>32718.998370238933</v>
      </c>
    </row>
    <row r="18" spans="1:6" x14ac:dyDescent="0.25">
      <c r="A18" s="150">
        <v>992</v>
      </c>
      <c r="B18" s="151" t="s">
        <v>3</v>
      </c>
      <c r="C18" s="152">
        <v>41777</v>
      </c>
      <c r="D18" s="150">
        <v>841</v>
      </c>
      <c r="E18" s="153">
        <v>21014.394087845296</v>
      </c>
    </row>
    <row r="19" spans="1:6" x14ac:dyDescent="0.25">
      <c r="A19" s="150">
        <v>1003</v>
      </c>
      <c r="B19" s="151" t="s">
        <v>3</v>
      </c>
      <c r="C19" s="152">
        <v>41788</v>
      </c>
      <c r="D19" s="150">
        <v>111</v>
      </c>
      <c r="E19" s="153">
        <v>5644.2012660203163</v>
      </c>
    </row>
    <row r="20" spans="1:6" x14ac:dyDescent="0.25">
      <c r="A20" s="150">
        <v>1004</v>
      </c>
      <c r="B20" s="151" t="s">
        <v>3</v>
      </c>
      <c r="C20" s="152">
        <v>41789</v>
      </c>
      <c r="D20" s="150">
        <v>1525</v>
      </c>
      <c r="E20" s="153">
        <v>16942.371494105304</v>
      </c>
    </row>
    <row r="21" spans="1:6" x14ac:dyDescent="0.25">
      <c r="A21" s="150">
        <v>1005</v>
      </c>
      <c r="B21" s="151" t="s">
        <v>3</v>
      </c>
      <c r="C21" s="152">
        <v>41790</v>
      </c>
      <c r="D21" s="150">
        <v>919</v>
      </c>
      <c r="E21" s="153">
        <v>12225.015043306619</v>
      </c>
    </row>
    <row r="22" spans="1:6" x14ac:dyDescent="0.25">
      <c r="A22" s="3"/>
      <c r="B22" s="3"/>
      <c r="C22" s="96"/>
      <c r="D22" s="94">
        <f>SUM(D2:D21)</f>
        <v>15719</v>
      </c>
      <c r="E22" s="10">
        <f>SUM(E2:E21)</f>
        <v>496910.31873510219</v>
      </c>
      <c r="F22" s="98">
        <f>+D22/E22</f>
        <v>3.1633474708299705E-2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5DFC7247A834468B68F53E17E77B58" ma:contentTypeVersion="0" ma:contentTypeDescription="Create a new document." ma:contentTypeScope="" ma:versionID="be37b145ad5d1ea89c8963a27abedd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A2BE4B-6FB4-4A0D-9149-84B781DA68FD}"/>
</file>

<file path=customXml/itemProps2.xml><?xml version="1.0" encoding="utf-8"?>
<ds:datastoreItem xmlns:ds="http://schemas.openxmlformats.org/officeDocument/2006/customXml" ds:itemID="{7D958623-B4D9-42D3-94D6-1581E2A18F2B}"/>
</file>

<file path=customXml/itemProps3.xml><?xml version="1.0" encoding="utf-8"?>
<ds:datastoreItem xmlns:ds="http://schemas.openxmlformats.org/officeDocument/2006/customXml" ds:itemID="{90B22E1A-A5E5-495B-A4C7-A15ED70B76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Harvest</vt:lpstr>
      <vt:lpstr>Effort</vt:lpstr>
      <vt:lpstr>CPUE</vt:lpstr>
      <vt:lpstr>Summary Table</vt:lpstr>
      <vt:lpstr>Tribal update</vt:lpstr>
      <vt:lpstr>Copy Sheet</vt:lpstr>
      <vt:lpstr>TAC</vt:lpstr>
      <vt:lpstr>TH Wastage</vt:lpstr>
      <vt:lpstr>LB Wastage</vt:lpstr>
      <vt:lpstr>Cop Wastage</vt:lpstr>
      <vt:lpstr>Moc Wastage</vt:lpstr>
      <vt:lpstr>'Summary Table'!Print_Area</vt:lpstr>
    </vt:vector>
  </TitlesOfParts>
  <Company>WDFW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John Deibert</dc:creator>
  <cp:lastModifiedBy>George, Matthew (DFW)</cp:lastModifiedBy>
  <cp:lastPrinted>2014-10-14T18:19:29Z</cp:lastPrinted>
  <dcterms:created xsi:type="dcterms:W3CDTF">2009-10-21T21:07:28Z</dcterms:created>
  <dcterms:modified xsi:type="dcterms:W3CDTF">2023-11-16T18:49:14Z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2023-11-16T18:49:14Z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47dda0df-ef3d-49bf-8591-5e11815f2a49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0x010100245DFC7247A834468B68F53E17E77B58</vt:lpwstr>
  </property>
  <property fmtid="{D5CDD505-2E9C-101B-9397-08002B2CF9AE}" pid="10" name="_SourceUrl">
    <vt:lpwstr/>
  </property>
  <property fmtid="{D5CDD505-2E9C-101B-9397-08002B2CF9AE}" pid="11" name="_SharedFileIndex">
    <vt:lpwstr/>
  </property>
  <property fmtid="{D5CDD505-2E9C-101B-9397-08002B2CF9AE}" pid="12" name="ComplianceAssetId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</Properties>
</file>