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an Ayres/Ayres Data/A) RAZOR CLAM/1) Harvest. Recreational/2016-17/"/>
    </mc:Choice>
  </mc:AlternateContent>
  <xr:revisionPtr revIDLastSave="2" documentId="11_525ED5CB15E9A6192DE7FACA63FE799798EEC2D9" xr6:coauthVersionLast="47" xr6:coauthVersionMax="47" xr10:uidLastSave="{4824A148-3CEA-4218-8643-5802A1549EE2}"/>
  <bookViews>
    <workbookView xWindow="-120" yWindow="-120" windowWidth="29040" windowHeight="15840" activeTab="2" xr2:uid="{00000000-000D-0000-FFFF-FFFF00000000}"/>
  </bookViews>
  <sheets>
    <sheet name="Harvest" sheetId="1" r:id="rId1"/>
    <sheet name="Effort" sheetId="3" r:id="rId2"/>
    <sheet name="CPUE" sheetId="2" r:id="rId3"/>
    <sheet name="Summary Table" sheetId="4" r:id="rId4"/>
    <sheet name="Copy Sheet" sheetId="5" r:id="rId5"/>
    <sheet name="Tide Info" sheetId="13" r:id="rId6"/>
    <sheet name="Tribal update" sheetId="12" r:id="rId7"/>
    <sheet name="TAC" sheetId="6" r:id="rId8"/>
    <sheet name="TH Wastage" sheetId="8" r:id="rId9"/>
    <sheet name="LB Wastage" sheetId="9" r:id="rId10"/>
    <sheet name="Cop Wastage" sheetId="10" r:id="rId11"/>
    <sheet name="Moc Wastage" sheetId="11" r:id="rId12"/>
    <sheet name="Summary By Month" sheetId="15" r:id="rId13"/>
    <sheet name="Sheet1" sheetId="14" r:id="rId14"/>
  </sheets>
  <definedNames>
    <definedName name="_xlnm.Print_Area" localSheetId="1">Effort!$A$1:$O$98</definedName>
    <definedName name="_xlnm.Print_Area" localSheetId="12">'Summary By Month'!$A$1:$W$15</definedName>
    <definedName name="_xlnm.Print_Area" localSheetId="3">'Summary Table'!$A$1:$U$97</definedName>
    <definedName name="_xlnm.Print_Area" localSheetId="6">'Tribal update'!$A$1:$R$75</definedName>
    <definedName name="_xlnm.Print_Titles" localSheetId="12">'Summary By Month'!$1:$1</definedName>
    <definedName name="_xlnm.Print_Titles" localSheetId="3">'Summary Table'!$1:$1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3" l="1"/>
  <c r="Q2" i="1"/>
  <c r="V14" i="15"/>
  <c r="L85" i="3"/>
  <c r="J85" i="3"/>
  <c r="F85" i="3"/>
  <c r="S12" i="15"/>
  <c r="W10" i="15"/>
  <c r="W11" i="15"/>
  <c r="V11" i="15"/>
  <c r="W9" i="15"/>
  <c r="V9" i="15"/>
  <c r="V7" i="15"/>
  <c r="W7" i="15"/>
  <c r="W8" i="15"/>
  <c r="V8" i="15"/>
  <c r="V6" i="15"/>
  <c r="V5" i="15"/>
  <c r="V4" i="15"/>
  <c r="V17" i="15" s="1"/>
  <c r="W6" i="15"/>
  <c r="W4" i="15"/>
  <c r="O12" i="15"/>
  <c r="K12" i="15"/>
  <c r="K14" i="15" s="1"/>
  <c r="G12" i="15"/>
  <c r="H12" i="15" s="1"/>
  <c r="I12" i="15"/>
  <c r="F12" i="15"/>
  <c r="C14" i="15"/>
  <c r="O14" i="15"/>
  <c r="U12" i="15"/>
  <c r="R12" i="15"/>
  <c r="T12" i="15" s="1"/>
  <c r="Q12" i="15"/>
  <c r="N12" i="15"/>
  <c r="P12" i="15" s="1"/>
  <c r="M12" i="15"/>
  <c r="J12" i="15"/>
  <c r="C12" i="15"/>
  <c r="B12" i="15"/>
  <c r="D12" i="15" l="1"/>
  <c r="W12" i="15"/>
  <c r="L12" i="15"/>
  <c r="G14" i="15"/>
  <c r="V12" i="15"/>
  <c r="W14" i="15"/>
  <c r="T14" i="15"/>
  <c r="H14" i="15"/>
  <c r="Q14" i="15"/>
  <c r="M14" i="15"/>
  <c r="I14" i="15"/>
  <c r="E12" i="15"/>
  <c r="S89" i="4" l="1"/>
  <c r="R89" i="4"/>
  <c r="Q89" i="4"/>
  <c r="U89" i="4"/>
  <c r="T89" i="4"/>
  <c r="M89" i="4"/>
  <c r="L89" i="4"/>
  <c r="K89" i="4"/>
  <c r="J89" i="4"/>
  <c r="I89" i="4"/>
  <c r="H89" i="4"/>
  <c r="G89" i="4"/>
  <c r="F89" i="4"/>
  <c r="E89" i="4"/>
  <c r="S88" i="4"/>
  <c r="R88" i="4"/>
  <c r="Q88" i="4"/>
  <c r="O90" i="4"/>
  <c r="T88" i="4"/>
  <c r="M88" i="4"/>
  <c r="L88" i="4"/>
  <c r="K88" i="4"/>
  <c r="J88" i="4"/>
  <c r="I88" i="4"/>
  <c r="H88" i="4"/>
  <c r="G88" i="4"/>
  <c r="F88" i="4"/>
  <c r="E88" i="4"/>
  <c r="B89" i="4"/>
  <c r="B88" i="4"/>
  <c r="N90" i="4" l="1"/>
  <c r="T90" i="4"/>
  <c r="U88" i="4"/>
  <c r="U90" i="4" s="1"/>
  <c r="F84" i="1"/>
  <c r="R62" i="12" l="1"/>
  <c r="R61" i="12"/>
  <c r="R60" i="12"/>
  <c r="R59" i="12"/>
  <c r="R63" i="12" s="1"/>
  <c r="Q62" i="12"/>
  <c r="Q61" i="12"/>
  <c r="Q60" i="12"/>
  <c r="Q59" i="12"/>
  <c r="Q63" i="12" s="1"/>
  <c r="I63" i="12"/>
  <c r="J63" i="12"/>
  <c r="K63" i="12" s="1"/>
  <c r="E63" i="12"/>
  <c r="F63" i="12"/>
  <c r="G63" i="12" s="1"/>
  <c r="B62" i="12"/>
  <c r="B61" i="12"/>
  <c r="B60" i="12"/>
  <c r="B59" i="12"/>
  <c r="H83" i="3" l="1"/>
  <c r="H83" i="1" l="1"/>
  <c r="H85" i="3"/>
  <c r="G86" i="4"/>
  <c r="F83" i="2"/>
  <c r="G85" i="4" s="1"/>
  <c r="F82" i="2"/>
  <c r="G84" i="4" s="1"/>
  <c r="F81" i="2"/>
  <c r="G83" i="4" s="1"/>
  <c r="F80" i="2"/>
  <c r="G82" i="4" s="1"/>
  <c r="J85" i="4"/>
  <c r="H82" i="2"/>
  <c r="J84" i="4" s="1"/>
  <c r="H81" i="2"/>
  <c r="J83" i="4" s="1"/>
  <c r="H80" i="2"/>
  <c r="J82" i="4" s="1"/>
  <c r="H79" i="2"/>
  <c r="J81" i="4" s="1"/>
  <c r="L82" i="2"/>
  <c r="P84" i="4" s="1"/>
  <c r="L80" i="2"/>
  <c r="P82" i="4" s="1"/>
  <c r="J83" i="2"/>
  <c r="M85" i="4" s="1"/>
  <c r="J81" i="2"/>
  <c r="M83" i="4" s="1"/>
  <c r="S86" i="4"/>
  <c r="R86" i="4"/>
  <c r="Q86" i="4"/>
  <c r="P86" i="4"/>
  <c r="O86" i="4"/>
  <c r="N86" i="4"/>
  <c r="M86" i="4"/>
  <c r="L86" i="4"/>
  <c r="K86" i="4"/>
  <c r="J86" i="4"/>
  <c r="I86" i="4"/>
  <c r="H86" i="4"/>
  <c r="F86" i="4"/>
  <c r="U86" i="4" s="1"/>
  <c r="E86" i="4"/>
  <c r="T86" i="4" s="1"/>
  <c r="S85" i="4"/>
  <c r="R85" i="4"/>
  <c r="Q85" i="4"/>
  <c r="P85" i="4"/>
  <c r="O85" i="4"/>
  <c r="N85" i="4"/>
  <c r="L85" i="4"/>
  <c r="K85" i="4"/>
  <c r="I85" i="4"/>
  <c r="H85" i="4"/>
  <c r="F85" i="4"/>
  <c r="E85" i="4"/>
  <c r="S84" i="4"/>
  <c r="R84" i="4"/>
  <c r="Q84" i="4"/>
  <c r="O84" i="4"/>
  <c r="N84" i="4"/>
  <c r="M84" i="4"/>
  <c r="L84" i="4"/>
  <c r="K84" i="4"/>
  <c r="I84" i="4"/>
  <c r="H84" i="4"/>
  <c r="F84" i="4"/>
  <c r="E84" i="4"/>
  <c r="S83" i="4"/>
  <c r="R83" i="4"/>
  <c r="Q83" i="4"/>
  <c r="P83" i="4"/>
  <c r="O83" i="4"/>
  <c r="N83" i="4"/>
  <c r="L83" i="4"/>
  <c r="K83" i="4"/>
  <c r="I83" i="4"/>
  <c r="H83" i="4"/>
  <c r="F83" i="4"/>
  <c r="E83" i="4"/>
  <c r="S82" i="4"/>
  <c r="R82" i="4"/>
  <c r="Q82" i="4"/>
  <c r="O82" i="4"/>
  <c r="N82" i="4"/>
  <c r="M82" i="4"/>
  <c r="L82" i="4"/>
  <c r="K82" i="4"/>
  <c r="I82" i="4"/>
  <c r="H82" i="4"/>
  <c r="F82" i="4"/>
  <c r="E82" i="4"/>
  <c r="S81" i="4"/>
  <c r="R81" i="4"/>
  <c r="Q81" i="4"/>
  <c r="P81" i="4"/>
  <c r="O81" i="4"/>
  <c r="N81" i="4"/>
  <c r="M81" i="4"/>
  <c r="L81" i="4"/>
  <c r="K81" i="4"/>
  <c r="I81" i="4"/>
  <c r="H81" i="4"/>
  <c r="F81" i="4"/>
  <c r="E81" i="4"/>
  <c r="O84" i="1"/>
  <c r="O83" i="1"/>
  <c r="O82" i="1"/>
  <c r="O81" i="1"/>
  <c r="O80" i="1"/>
  <c r="O79" i="1"/>
  <c r="O84" i="3"/>
  <c r="O83" i="3"/>
  <c r="O82" i="3"/>
  <c r="O81" i="3"/>
  <c r="O80" i="3"/>
  <c r="O79" i="3"/>
  <c r="B84" i="2"/>
  <c r="B83" i="2"/>
  <c r="B82" i="2"/>
  <c r="B81" i="2"/>
  <c r="B80" i="2"/>
  <c r="B79" i="2"/>
  <c r="B84" i="1"/>
  <c r="B83" i="1"/>
  <c r="B82" i="1"/>
  <c r="B81" i="1"/>
  <c r="B80" i="1"/>
  <c r="B79" i="1"/>
  <c r="B84" i="3"/>
  <c r="B83" i="3"/>
  <c r="B82" i="3"/>
  <c r="B81" i="3"/>
  <c r="B80" i="3"/>
  <c r="E87" i="4" l="1"/>
  <c r="O87" i="4"/>
  <c r="P87" i="4" s="1"/>
  <c r="L87" i="4"/>
  <c r="K87" i="4"/>
  <c r="H87" i="4"/>
  <c r="F87" i="4"/>
  <c r="N87" i="4"/>
  <c r="U84" i="4"/>
  <c r="U82" i="4"/>
  <c r="I87" i="4"/>
  <c r="J87" i="4" s="1"/>
  <c r="T82" i="4"/>
  <c r="T85" i="4"/>
  <c r="T81" i="4"/>
  <c r="T84" i="4"/>
  <c r="U85" i="4"/>
  <c r="U81" i="4"/>
  <c r="U83" i="4"/>
  <c r="T83" i="4"/>
  <c r="G87" i="4" l="1"/>
  <c r="M87" i="4"/>
  <c r="U87" i="4"/>
  <c r="T87" i="4"/>
  <c r="F79" i="2"/>
  <c r="G81" i="4" s="1"/>
  <c r="B79" i="3"/>
  <c r="R57" i="12" l="1"/>
  <c r="R56" i="12"/>
  <c r="R55" i="12"/>
  <c r="R54" i="12"/>
  <c r="Q57" i="12"/>
  <c r="Q56" i="12"/>
  <c r="Q55" i="12"/>
  <c r="Q54" i="12"/>
  <c r="I58" i="12"/>
  <c r="J58" i="12"/>
  <c r="K58" i="12" s="1"/>
  <c r="E58" i="12"/>
  <c r="F58" i="12"/>
  <c r="G58" i="12" s="1"/>
  <c r="E53" i="12"/>
  <c r="F53" i="12"/>
  <c r="G53" i="12" s="1"/>
  <c r="B57" i="12"/>
  <c r="B56" i="12"/>
  <c r="B55" i="12"/>
  <c r="B54" i="12"/>
  <c r="R52" i="12"/>
  <c r="R51" i="12"/>
  <c r="R50" i="12"/>
  <c r="R49" i="12"/>
  <c r="Q52" i="12"/>
  <c r="Q51" i="12"/>
  <c r="Q50" i="12"/>
  <c r="Q49" i="12"/>
  <c r="I53" i="12"/>
  <c r="J53" i="12"/>
  <c r="K53" i="12" s="1"/>
  <c r="B52" i="12"/>
  <c r="B51" i="12"/>
  <c r="B50" i="12"/>
  <c r="B49" i="12"/>
  <c r="R53" i="12" l="1"/>
  <c r="Q53" i="12"/>
  <c r="R58" i="12"/>
  <c r="Q58" i="12"/>
  <c r="O7" i="3"/>
  <c r="O6" i="3"/>
  <c r="O5" i="3"/>
  <c r="O4" i="3"/>
  <c r="O7" i="1"/>
  <c r="O6" i="1"/>
  <c r="O5" i="1"/>
  <c r="O77" i="3"/>
  <c r="O76" i="3"/>
  <c r="O75" i="3"/>
  <c r="O74" i="3"/>
  <c r="O73" i="3"/>
  <c r="O77" i="1"/>
  <c r="O76" i="1"/>
  <c r="O75" i="1"/>
  <c r="O74" i="1"/>
  <c r="O73" i="1"/>
  <c r="F79" i="4" l="1"/>
  <c r="E79" i="4"/>
  <c r="H77" i="2" l="1"/>
  <c r="H76" i="2"/>
  <c r="H75" i="2"/>
  <c r="H74" i="2"/>
  <c r="F77" i="2"/>
  <c r="G79" i="4" s="1"/>
  <c r="F76" i="2"/>
  <c r="F75" i="2"/>
  <c r="F74" i="2"/>
  <c r="L77" i="2" l="1"/>
  <c r="L75" i="2"/>
  <c r="J76" i="2"/>
  <c r="J74" i="2"/>
  <c r="F73" i="2" l="1"/>
  <c r="H73" i="2"/>
  <c r="S79" i="4" l="1"/>
  <c r="R79" i="4"/>
  <c r="Q79" i="4"/>
  <c r="P79" i="4"/>
  <c r="O79" i="4"/>
  <c r="N79" i="4"/>
  <c r="M79" i="4"/>
  <c r="L79" i="4"/>
  <c r="K79" i="4"/>
  <c r="J79" i="4"/>
  <c r="I79" i="4"/>
  <c r="H79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T75" i="4" s="1"/>
  <c r="S73" i="4"/>
  <c r="R73" i="4"/>
  <c r="Q73" i="4"/>
  <c r="P73" i="4"/>
  <c r="O73" i="4"/>
  <c r="N73" i="4"/>
  <c r="M73" i="4"/>
  <c r="L73" i="4"/>
  <c r="K73" i="4"/>
  <c r="I73" i="4"/>
  <c r="U73" i="4" s="1"/>
  <c r="H73" i="4"/>
  <c r="T73" i="4" s="1"/>
  <c r="G73" i="4"/>
  <c r="F73" i="4"/>
  <c r="E73" i="4"/>
  <c r="S72" i="4"/>
  <c r="R72" i="4"/>
  <c r="Q72" i="4"/>
  <c r="P72" i="4"/>
  <c r="O72" i="4"/>
  <c r="N72" i="4"/>
  <c r="M72" i="4"/>
  <c r="L72" i="4"/>
  <c r="K72" i="4"/>
  <c r="I72" i="4"/>
  <c r="U72" i="4" s="1"/>
  <c r="H72" i="4"/>
  <c r="T72" i="4" s="1"/>
  <c r="G72" i="4"/>
  <c r="F72" i="4"/>
  <c r="E72" i="4"/>
  <c r="S71" i="4"/>
  <c r="R71" i="4"/>
  <c r="Q71" i="4"/>
  <c r="P71" i="4"/>
  <c r="O71" i="4"/>
  <c r="N71" i="4"/>
  <c r="M71" i="4"/>
  <c r="L71" i="4"/>
  <c r="K71" i="4"/>
  <c r="J71" i="4"/>
  <c r="I71" i="4"/>
  <c r="U71" i="4" s="1"/>
  <c r="H71" i="4"/>
  <c r="T71" i="4" s="1"/>
  <c r="G71" i="4"/>
  <c r="F71" i="4"/>
  <c r="E71" i="4"/>
  <c r="S70" i="4"/>
  <c r="R70" i="4"/>
  <c r="Q70" i="4"/>
  <c r="P70" i="4"/>
  <c r="O70" i="4"/>
  <c r="N70" i="4"/>
  <c r="M70" i="4"/>
  <c r="L70" i="4"/>
  <c r="K70" i="4"/>
  <c r="I70" i="4"/>
  <c r="U70" i="4" s="1"/>
  <c r="H70" i="4"/>
  <c r="G70" i="4"/>
  <c r="F70" i="4"/>
  <c r="E70" i="4"/>
  <c r="S69" i="4"/>
  <c r="R69" i="4"/>
  <c r="Q69" i="4"/>
  <c r="P69" i="4"/>
  <c r="O69" i="4"/>
  <c r="N69" i="4"/>
  <c r="M69" i="4"/>
  <c r="L69" i="4"/>
  <c r="K69" i="4"/>
  <c r="I69" i="4"/>
  <c r="U69" i="4" s="1"/>
  <c r="H69" i="4"/>
  <c r="T69" i="4" s="1"/>
  <c r="G69" i="4"/>
  <c r="F69" i="4"/>
  <c r="E69" i="4"/>
  <c r="L64" i="2"/>
  <c r="P66" i="4" s="1"/>
  <c r="L62" i="2"/>
  <c r="J65" i="2"/>
  <c r="M67" i="4" s="1"/>
  <c r="J63" i="2"/>
  <c r="M65" i="4" s="1"/>
  <c r="S67" i="4"/>
  <c r="R67" i="4"/>
  <c r="Q67" i="4"/>
  <c r="P67" i="4"/>
  <c r="O67" i="4"/>
  <c r="N67" i="4"/>
  <c r="L67" i="4"/>
  <c r="U67" i="4" s="1"/>
  <c r="K67" i="4"/>
  <c r="T67" i="4" s="1"/>
  <c r="J67" i="4"/>
  <c r="I67" i="4"/>
  <c r="H67" i="4"/>
  <c r="G67" i="4"/>
  <c r="F67" i="4"/>
  <c r="E67" i="4"/>
  <c r="S66" i="4"/>
  <c r="R66" i="4"/>
  <c r="Q66" i="4"/>
  <c r="O66" i="4"/>
  <c r="U66" i="4" s="1"/>
  <c r="N66" i="4"/>
  <c r="T66" i="4" s="1"/>
  <c r="M66" i="4"/>
  <c r="L66" i="4"/>
  <c r="K66" i="4"/>
  <c r="J66" i="4"/>
  <c r="I66" i="4"/>
  <c r="H66" i="4"/>
  <c r="G66" i="4"/>
  <c r="F66" i="4"/>
  <c r="E66" i="4"/>
  <c r="S65" i="4"/>
  <c r="R65" i="4"/>
  <c r="Q65" i="4"/>
  <c r="P65" i="4"/>
  <c r="O65" i="4"/>
  <c r="N65" i="4"/>
  <c r="L65" i="4"/>
  <c r="U65" i="4" s="1"/>
  <c r="K65" i="4"/>
  <c r="J65" i="4"/>
  <c r="I65" i="4"/>
  <c r="H65" i="4"/>
  <c r="G65" i="4"/>
  <c r="F65" i="4"/>
  <c r="E65" i="4"/>
  <c r="S64" i="4"/>
  <c r="R64" i="4"/>
  <c r="Q64" i="4"/>
  <c r="P64" i="4"/>
  <c r="O64" i="4"/>
  <c r="U64" i="4" s="1"/>
  <c r="N64" i="4"/>
  <c r="T64" i="4" s="1"/>
  <c r="M64" i="4"/>
  <c r="L64" i="4"/>
  <c r="K64" i="4"/>
  <c r="J64" i="4"/>
  <c r="I64" i="4"/>
  <c r="H64" i="4"/>
  <c r="G64" i="4"/>
  <c r="F64" i="4"/>
  <c r="E64" i="4"/>
  <c r="H71" i="2"/>
  <c r="J73" i="4" s="1"/>
  <c r="H70" i="2"/>
  <c r="J72" i="4" s="1"/>
  <c r="H68" i="2"/>
  <c r="J70" i="4" s="1"/>
  <c r="H67" i="2"/>
  <c r="J69" i="4" s="1"/>
  <c r="O65" i="3"/>
  <c r="O64" i="3"/>
  <c r="O63" i="3"/>
  <c r="O62" i="3"/>
  <c r="O65" i="1"/>
  <c r="O64" i="1"/>
  <c r="O63" i="1"/>
  <c r="O62" i="1"/>
  <c r="B65" i="2"/>
  <c r="B64" i="2"/>
  <c r="B63" i="2"/>
  <c r="B62" i="2"/>
  <c r="B65" i="3"/>
  <c r="B64" i="3"/>
  <c r="B63" i="3"/>
  <c r="B62" i="3"/>
  <c r="O71" i="1"/>
  <c r="B71" i="1"/>
  <c r="O70" i="1"/>
  <c r="B70" i="1"/>
  <c r="O69" i="1"/>
  <c r="B69" i="1"/>
  <c r="O68" i="1"/>
  <c r="B68" i="1"/>
  <c r="O67" i="1"/>
  <c r="B67" i="1"/>
  <c r="O68" i="4" l="1"/>
  <c r="U76" i="4"/>
  <c r="L80" i="4"/>
  <c r="K68" i="4"/>
  <c r="M68" i="4" s="1"/>
  <c r="K80" i="4"/>
  <c r="U79" i="4"/>
  <c r="H74" i="4"/>
  <c r="T65" i="4"/>
  <c r="T68" i="4" s="1"/>
  <c r="L68" i="4"/>
  <c r="U74" i="4"/>
  <c r="U68" i="4"/>
  <c r="O80" i="4"/>
  <c r="T79" i="4"/>
  <c r="N68" i="4"/>
  <c r="P68" i="4" s="1"/>
  <c r="T78" i="4"/>
  <c r="T77" i="4"/>
  <c r="U78" i="4"/>
  <c r="T70" i="4"/>
  <c r="T74" i="4" s="1"/>
  <c r="I74" i="4"/>
  <c r="T76" i="4"/>
  <c r="U77" i="4"/>
  <c r="E80" i="4"/>
  <c r="E94" i="4" s="1"/>
  <c r="F80" i="4"/>
  <c r="F94" i="4" s="1"/>
  <c r="U75" i="4"/>
  <c r="I80" i="4"/>
  <c r="H80" i="4"/>
  <c r="N80" i="4"/>
  <c r="B71" i="2"/>
  <c r="B70" i="2"/>
  <c r="B69" i="2"/>
  <c r="B68" i="2"/>
  <c r="B67" i="2"/>
  <c r="O71" i="3"/>
  <c r="B71" i="3"/>
  <c r="O70" i="3"/>
  <c r="B70" i="3"/>
  <c r="O69" i="3"/>
  <c r="B69" i="3"/>
  <c r="O68" i="3"/>
  <c r="B68" i="3"/>
  <c r="O67" i="3"/>
  <c r="Q83" i="3" s="1"/>
  <c r="B67" i="3"/>
  <c r="B65" i="1"/>
  <c r="B64" i="1"/>
  <c r="B63" i="1"/>
  <c r="B62" i="1"/>
  <c r="J74" i="4" l="1"/>
  <c r="M80" i="4"/>
  <c r="P80" i="4"/>
  <c r="T80" i="4"/>
  <c r="U80" i="4"/>
  <c r="G94" i="4"/>
  <c r="G80" i="4"/>
  <c r="J80" i="4"/>
  <c r="R43" i="12"/>
  <c r="Q43" i="12"/>
  <c r="E44" i="12"/>
  <c r="F44" i="12"/>
  <c r="R47" i="12" l="1"/>
  <c r="R46" i="12"/>
  <c r="R45" i="12"/>
  <c r="Q47" i="12"/>
  <c r="Q46" i="12"/>
  <c r="Q45" i="12"/>
  <c r="Q48" i="12" s="1"/>
  <c r="G48" i="12"/>
  <c r="I48" i="12"/>
  <c r="J48" i="12"/>
  <c r="E48" i="12"/>
  <c r="F48" i="12"/>
  <c r="R42" i="12"/>
  <c r="R41" i="12"/>
  <c r="R40" i="12"/>
  <c r="Q42" i="12"/>
  <c r="Q41" i="12"/>
  <c r="Q40" i="12"/>
  <c r="G44" i="12"/>
  <c r="I44" i="12"/>
  <c r="J44" i="12"/>
  <c r="K44" i="12" s="1"/>
  <c r="R38" i="12"/>
  <c r="Q38" i="12"/>
  <c r="R37" i="12"/>
  <c r="Q37" i="12"/>
  <c r="R36" i="12"/>
  <c r="Q36" i="12"/>
  <c r="I39" i="12"/>
  <c r="J39" i="12"/>
  <c r="K39" i="12" s="1"/>
  <c r="E39" i="12"/>
  <c r="F39" i="12"/>
  <c r="G39" i="12" s="1"/>
  <c r="R34" i="12"/>
  <c r="Q34" i="12"/>
  <c r="R33" i="12"/>
  <c r="Q33" i="12"/>
  <c r="R32" i="12"/>
  <c r="Q32" i="12"/>
  <c r="R31" i="12"/>
  <c r="Q31" i="12"/>
  <c r="R30" i="12"/>
  <c r="Q30" i="12"/>
  <c r="R29" i="12"/>
  <c r="Q29" i="12"/>
  <c r="I35" i="12"/>
  <c r="J35" i="12"/>
  <c r="K35" i="12" s="1"/>
  <c r="E35" i="12"/>
  <c r="F35" i="12"/>
  <c r="G35" i="12" s="1"/>
  <c r="L60" i="2"/>
  <c r="P62" i="4" s="1"/>
  <c r="L58" i="2"/>
  <c r="P60" i="4" s="1"/>
  <c r="J59" i="2"/>
  <c r="M61" i="4" s="1"/>
  <c r="O60" i="3"/>
  <c r="O59" i="3"/>
  <c r="O58" i="3"/>
  <c r="S62" i="4"/>
  <c r="R62" i="4"/>
  <c r="Q62" i="4"/>
  <c r="O62" i="4"/>
  <c r="U62" i="4" s="1"/>
  <c r="N62" i="4"/>
  <c r="T62" i="4" s="1"/>
  <c r="M62" i="4"/>
  <c r="L62" i="4"/>
  <c r="K62" i="4"/>
  <c r="J62" i="4"/>
  <c r="I62" i="4"/>
  <c r="H62" i="4"/>
  <c r="G62" i="4"/>
  <c r="F62" i="4"/>
  <c r="E62" i="4"/>
  <c r="S61" i="4"/>
  <c r="R61" i="4"/>
  <c r="Q61" i="4"/>
  <c r="P61" i="4"/>
  <c r="O61" i="4"/>
  <c r="N61" i="4"/>
  <c r="L61" i="4"/>
  <c r="U61" i="4" s="1"/>
  <c r="K61" i="4"/>
  <c r="T61" i="4" s="1"/>
  <c r="J61" i="4"/>
  <c r="I61" i="4"/>
  <c r="H61" i="4"/>
  <c r="G61" i="4"/>
  <c r="F61" i="4"/>
  <c r="E61" i="4"/>
  <c r="S60" i="4"/>
  <c r="R60" i="4"/>
  <c r="Q60" i="4"/>
  <c r="O60" i="4"/>
  <c r="U60" i="4" s="1"/>
  <c r="N60" i="4"/>
  <c r="T60" i="4" s="1"/>
  <c r="M60" i="4"/>
  <c r="L60" i="4"/>
  <c r="K60" i="4"/>
  <c r="J60" i="4"/>
  <c r="I60" i="4"/>
  <c r="H60" i="4"/>
  <c r="G60" i="4"/>
  <c r="F60" i="4"/>
  <c r="E60" i="4"/>
  <c r="O60" i="1"/>
  <c r="O59" i="1"/>
  <c r="O58" i="1"/>
  <c r="B60" i="2"/>
  <c r="B59" i="2"/>
  <c r="B58" i="2"/>
  <c r="B60" i="3"/>
  <c r="B59" i="3"/>
  <c r="B58" i="3"/>
  <c r="B60" i="1"/>
  <c r="B59" i="1"/>
  <c r="B58" i="1"/>
  <c r="Q39" i="12" l="1"/>
  <c r="R44" i="12"/>
  <c r="Q35" i="12"/>
  <c r="R35" i="12"/>
  <c r="R48" i="12"/>
  <c r="Q44" i="12"/>
  <c r="K48" i="12"/>
  <c r="R39" i="12"/>
  <c r="K63" i="4"/>
  <c r="L63" i="4"/>
  <c r="N63" i="4"/>
  <c r="T63" i="4"/>
  <c r="O63" i="4"/>
  <c r="U63" i="4"/>
  <c r="H56" i="2"/>
  <c r="J58" i="4" s="1"/>
  <c r="H55" i="2"/>
  <c r="J57" i="4" s="1"/>
  <c r="H54" i="2"/>
  <c r="J56" i="4" s="1"/>
  <c r="H53" i="2"/>
  <c r="J55" i="4" s="1"/>
  <c r="H52" i="2"/>
  <c r="J54" i="4" s="1"/>
  <c r="H51" i="2"/>
  <c r="J53" i="4" s="1"/>
  <c r="H50" i="2"/>
  <c r="H96" i="1"/>
  <c r="O56" i="3"/>
  <c r="O55" i="3"/>
  <c r="O54" i="3"/>
  <c r="O53" i="3"/>
  <c r="O52" i="3"/>
  <c r="O51" i="3"/>
  <c r="O50" i="3"/>
  <c r="O56" i="1"/>
  <c r="O55" i="1"/>
  <c r="O54" i="1"/>
  <c r="O53" i="1"/>
  <c r="O52" i="1"/>
  <c r="O51" i="1"/>
  <c r="O50" i="1"/>
  <c r="L54" i="2"/>
  <c r="P56" i="4" s="1"/>
  <c r="L52" i="2"/>
  <c r="P54" i="4" s="1"/>
  <c r="J55" i="2"/>
  <c r="M57" i="4" s="1"/>
  <c r="J53" i="2"/>
  <c r="M55" i="4" s="1"/>
  <c r="S58" i="4"/>
  <c r="R58" i="4"/>
  <c r="Q58" i="4"/>
  <c r="P58" i="4"/>
  <c r="O58" i="4"/>
  <c r="N58" i="4"/>
  <c r="M58" i="4"/>
  <c r="L58" i="4"/>
  <c r="K58" i="4"/>
  <c r="I58" i="4"/>
  <c r="U58" i="4" s="1"/>
  <c r="H58" i="4"/>
  <c r="T58" i="4" s="1"/>
  <c r="G58" i="4"/>
  <c r="F58" i="4"/>
  <c r="E58" i="4"/>
  <c r="S57" i="4"/>
  <c r="R57" i="4"/>
  <c r="Q57" i="4"/>
  <c r="P57" i="4"/>
  <c r="O57" i="4"/>
  <c r="N57" i="4"/>
  <c r="L57" i="4"/>
  <c r="K57" i="4"/>
  <c r="I57" i="4"/>
  <c r="H57" i="4"/>
  <c r="G57" i="4"/>
  <c r="F57" i="4"/>
  <c r="E57" i="4"/>
  <c r="S56" i="4"/>
  <c r="R56" i="4"/>
  <c r="Q56" i="4"/>
  <c r="O56" i="4"/>
  <c r="N56" i="4"/>
  <c r="M56" i="4"/>
  <c r="L56" i="4"/>
  <c r="K56" i="4"/>
  <c r="I56" i="4"/>
  <c r="H56" i="4"/>
  <c r="G56" i="4"/>
  <c r="F56" i="4"/>
  <c r="E56" i="4"/>
  <c r="S55" i="4"/>
  <c r="R55" i="4"/>
  <c r="Q55" i="4"/>
  <c r="P55" i="4"/>
  <c r="O55" i="4"/>
  <c r="N55" i="4"/>
  <c r="L55" i="4"/>
  <c r="K55" i="4"/>
  <c r="I55" i="4"/>
  <c r="H55" i="4"/>
  <c r="G55" i="4"/>
  <c r="F55" i="4"/>
  <c r="E55" i="4"/>
  <c r="S54" i="4"/>
  <c r="R54" i="4"/>
  <c r="Q54" i="4"/>
  <c r="O54" i="4"/>
  <c r="N54" i="4"/>
  <c r="M54" i="4"/>
  <c r="L54" i="4"/>
  <c r="K54" i="4"/>
  <c r="I54" i="4"/>
  <c r="H54" i="4"/>
  <c r="G54" i="4"/>
  <c r="F54" i="4"/>
  <c r="E54" i="4"/>
  <c r="S53" i="4"/>
  <c r="R53" i="4"/>
  <c r="Q53" i="4"/>
  <c r="P53" i="4"/>
  <c r="O53" i="4"/>
  <c r="N53" i="4"/>
  <c r="M53" i="4"/>
  <c r="L53" i="4"/>
  <c r="K53" i="4"/>
  <c r="I53" i="4"/>
  <c r="U53" i="4" s="1"/>
  <c r="H53" i="4"/>
  <c r="T53" i="4" s="1"/>
  <c r="G53" i="4"/>
  <c r="F53" i="4"/>
  <c r="E53" i="4"/>
  <c r="S52" i="4"/>
  <c r="R52" i="4"/>
  <c r="Q52" i="4"/>
  <c r="P52" i="4"/>
  <c r="O52" i="4"/>
  <c r="N52" i="4"/>
  <c r="M52" i="4"/>
  <c r="L52" i="4"/>
  <c r="K52" i="4"/>
  <c r="J52" i="4"/>
  <c r="I52" i="4"/>
  <c r="U52" i="4" s="1"/>
  <c r="H52" i="4"/>
  <c r="T52" i="4" s="1"/>
  <c r="G52" i="4"/>
  <c r="F52" i="4"/>
  <c r="E52" i="4"/>
  <c r="B56" i="2"/>
  <c r="B55" i="2"/>
  <c r="B54" i="2"/>
  <c r="B53" i="2"/>
  <c r="B52" i="2"/>
  <c r="B51" i="2"/>
  <c r="B50" i="2"/>
  <c r="B56" i="3"/>
  <c r="B55" i="3"/>
  <c r="B54" i="3"/>
  <c r="B53" i="3"/>
  <c r="B52" i="3"/>
  <c r="B51" i="3"/>
  <c r="B50" i="3"/>
  <c r="B56" i="1"/>
  <c r="B55" i="1"/>
  <c r="B54" i="1"/>
  <c r="B53" i="1"/>
  <c r="B52" i="1"/>
  <c r="B51" i="1"/>
  <c r="B50" i="1"/>
  <c r="Q63" i="3" l="1"/>
  <c r="M63" i="4"/>
  <c r="T57" i="4"/>
  <c r="N59" i="4"/>
  <c r="U56" i="4"/>
  <c r="T55" i="4"/>
  <c r="O59" i="4"/>
  <c r="P63" i="4"/>
  <c r="K59" i="4"/>
  <c r="U54" i="4"/>
  <c r="U59" i="4" s="1"/>
  <c r="L59" i="4"/>
  <c r="U55" i="4"/>
  <c r="I59" i="4"/>
  <c r="T54" i="4"/>
  <c r="T59" i="4" s="1"/>
  <c r="U57" i="4"/>
  <c r="T56" i="4"/>
  <c r="H59" i="4"/>
  <c r="H48" i="2"/>
  <c r="H47" i="2"/>
  <c r="O48" i="1"/>
  <c r="O47" i="1"/>
  <c r="B48" i="2"/>
  <c r="B47" i="2"/>
  <c r="B48" i="1"/>
  <c r="B47" i="1"/>
  <c r="O48" i="3"/>
  <c r="O47" i="3"/>
  <c r="O46" i="3"/>
  <c r="O45" i="3"/>
  <c r="O44" i="3"/>
  <c r="O43" i="3"/>
  <c r="B48" i="3"/>
  <c r="B47" i="3"/>
  <c r="M59" i="4" l="1"/>
  <c r="P59" i="4"/>
  <c r="J59" i="4"/>
  <c r="E40" i="10"/>
  <c r="F40" i="10"/>
  <c r="G40" i="10"/>
  <c r="E40" i="11"/>
  <c r="F40" i="11"/>
  <c r="G40" i="11"/>
  <c r="E40" i="8"/>
  <c r="F40" i="8"/>
  <c r="G40" i="8"/>
  <c r="H40" i="8" s="1"/>
  <c r="H97" i="1" s="1"/>
  <c r="H40" i="11" l="1"/>
  <c r="L97" i="1" s="1"/>
  <c r="H40" i="10"/>
  <c r="J97" i="1" s="1"/>
  <c r="S50" i="4"/>
  <c r="R50" i="4"/>
  <c r="Q50" i="4"/>
  <c r="P50" i="4"/>
  <c r="O50" i="4"/>
  <c r="N50" i="4"/>
  <c r="M50" i="4"/>
  <c r="L50" i="4"/>
  <c r="K50" i="4"/>
  <c r="J50" i="4"/>
  <c r="I50" i="4"/>
  <c r="H50" i="4"/>
  <c r="T50" i="4" s="1"/>
  <c r="G50" i="4"/>
  <c r="F50" i="4"/>
  <c r="E50" i="4"/>
  <c r="S49" i="4"/>
  <c r="R49" i="4"/>
  <c r="Q49" i="4"/>
  <c r="P49" i="4"/>
  <c r="O49" i="4"/>
  <c r="N49" i="4"/>
  <c r="M49" i="4"/>
  <c r="L49" i="4"/>
  <c r="K49" i="4"/>
  <c r="J49" i="4"/>
  <c r="I49" i="4"/>
  <c r="U49" i="4" s="1"/>
  <c r="H49" i="4"/>
  <c r="G49" i="4"/>
  <c r="F49" i="4"/>
  <c r="E49" i="4"/>
  <c r="O46" i="1"/>
  <c r="O45" i="1"/>
  <c r="O44" i="1"/>
  <c r="O43" i="1"/>
  <c r="U50" i="4"/>
  <c r="S48" i="4"/>
  <c r="R48" i="4"/>
  <c r="Q48" i="4"/>
  <c r="O48" i="4"/>
  <c r="N48" i="4"/>
  <c r="L48" i="4"/>
  <c r="K48" i="4"/>
  <c r="I48" i="4"/>
  <c r="H48" i="4"/>
  <c r="G48" i="4"/>
  <c r="F48" i="4"/>
  <c r="E48" i="4"/>
  <c r="S47" i="4"/>
  <c r="R47" i="4"/>
  <c r="Q47" i="4"/>
  <c r="O47" i="4"/>
  <c r="N47" i="4"/>
  <c r="L47" i="4"/>
  <c r="K47" i="4"/>
  <c r="I47" i="4"/>
  <c r="H47" i="4"/>
  <c r="G47" i="4"/>
  <c r="F47" i="4"/>
  <c r="E47" i="4"/>
  <c r="S46" i="4"/>
  <c r="R46" i="4"/>
  <c r="Q46" i="4"/>
  <c r="O46" i="4"/>
  <c r="N46" i="4"/>
  <c r="L46" i="4"/>
  <c r="K46" i="4"/>
  <c r="I46" i="4"/>
  <c r="H46" i="4"/>
  <c r="G46" i="4"/>
  <c r="F46" i="4"/>
  <c r="E46" i="4"/>
  <c r="S45" i="4"/>
  <c r="R45" i="4"/>
  <c r="Q45" i="4"/>
  <c r="P45" i="4"/>
  <c r="O45" i="4"/>
  <c r="N45" i="4"/>
  <c r="M45" i="4"/>
  <c r="L45" i="4"/>
  <c r="K45" i="4"/>
  <c r="I45" i="4"/>
  <c r="U45" i="4" s="1"/>
  <c r="H45" i="4"/>
  <c r="T45" i="4" s="1"/>
  <c r="G45" i="4"/>
  <c r="F45" i="4"/>
  <c r="E45" i="4"/>
  <c r="J46" i="2"/>
  <c r="M48" i="4" s="1"/>
  <c r="J45" i="2"/>
  <c r="M47" i="4" s="1"/>
  <c r="J44" i="2"/>
  <c r="M46" i="4" s="1"/>
  <c r="H46" i="2"/>
  <c r="J48" i="4" s="1"/>
  <c r="H45" i="2"/>
  <c r="J47" i="4" s="1"/>
  <c r="H44" i="2"/>
  <c r="J46" i="4" s="1"/>
  <c r="H43" i="2"/>
  <c r="J45" i="4" s="1"/>
  <c r="L46" i="2"/>
  <c r="P48" i="4" s="1"/>
  <c r="L45" i="2"/>
  <c r="P47" i="4" s="1"/>
  <c r="L44" i="2"/>
  <c r="P46" i="4" s="1"/>
  <c r="B46" i="2"/>
  <c r="B45" i="2"/>
  <c r="B44" i="2"/>
  <c r="B43" i="2"/>
  <c r="B46" i="3"/>
  <c r="B45" i="3"/>
  <c r="B44" i="3"/>
  <c r="B43" i="3"/>
  <c r="B44" i="1"/>
  <c r="B45" i="1"/>
  <c r="B46" i="1"/>
  <c r="B43" i="1"/>
  <c r="T48" i="4" l="1"/>
  <c r="U48" i="4"/>
  <c r="L51" i="4"/>
  <c r="O51" i="4"/>
  <c r="T46" i="4"/>
  <c r="K51" i="4"/>
  <c r="N51" i="4"/>
  <c r="U46" i="4"/>
  <c r="T47" i="4"/>
  <c r="H51" i="4"/>
  <c r="U47" i="4"/>
  <c r="T49" i="4"/>
  <c r="I51" i="4"/>
  <c r="O41" i="3"/>
  <c r="O40" i="3"/>
  <c r="O39" i="3"/>
  <c r="O38" i="3"/>
  <c r="O37" i="3"/>
  <c r="O36" i="3"/>
  <c r="O41" i="1"/>
  <c r="O40" i="1"/>
  <c r="O39" i="1"/>
  <c r="O38" i="1"/>
  <c r="S43" i="4"/>
  <c r="R43" i="4"/>
  <c r="Q43" i="4"/>
  <c r="O43" i="4"/>
  <c r="N43" i="4"/>
  <c r="M43" i="4"/>
  <c r="L43" i="4"/>
  <c r="K43" i="4"/>
  <c r="I43" i="4"/>
  <c r="H43" i="4"/>
  <c r="G43" i="4"/>
  <c r="F43" i="4"/>
  <c r="E43" i="4"/>
  <c r="S42" i="4"/>
  <c r="R42" i="4"/>
  <c r="Q42" i="4"/>
  <c r="O42" i="4"/>
  <c r="N42" i="4"/>
  <c r="M42" i="4"/>
  <c r="L42" i="4"/>
  <c r="K42" i="4"/>
  <c r="I42" i="4"/>
  <c r="H42" i="4"/>
  <c r="G42" i="4"/>
  <c r="F42" i="4"/>
  <c r="E42" i="4"/>
  <c r="S41" i="4"/>
  <c r="R41" i="4"/>
  <c r="Q41" i="4"/>
  <c r="O41" i="4"/>
  <c r="N41" i="4"/>
  <c r="M41" i="4"/>
  <c r="L41" i="4"/>
  <c r="K41" i="4"/>
  <c r="I41" i="4"/>
  <c r="H41" i="4"/>
  <c r="G41" i="4"/>
  <c r="F41" i="4"/>
  <c r="E41" i="4"/>
  <c r="S40" i="4"/>
  <c r="R40" i="4"/>
  <c r="Q40" i="4"/>
  <c r="O40" i="4"/>
  <c r="N40" i="4"/>
  <c r="L40" i="4"/>
  <c r="K40" i="4"/>
  <c r="I40" i="4"/>
  <c r="H40" i="4"/>
  <c r="G40" i="4"/>
  <c r="F40" i="4"/>
  <c r="E40" i="4"/>
  <c r="B38" i="2"/>
  <c r="B38" i="3"/>
  <c r="Q48" i="3" l="1"/>
  <c r="M51" i="4"/>
  <c r="T51" i="4"/>
  <c r="U51" i="4"/>
  <c r="P51" i="4"/>
  <c r="T40" i="4"/>
  <c r="T41" i="4"/>
  <c r="T42" i="4"/>
  <c r="J51" i="4"/>
  <c r="U43" i="4"/>
  <c r="U40" i="4"/>
  <c r="U42" i="4"/>
  <c r="U41" i="4"/>
  <c r="T43" i="4"/>
  <c r="S39" i="4"/>
  <c r="R39" i="4"/>
  <c r="Q39" i="4"/>
  <c r="O39" i="4"/>
  <c r="N39" i="4"/>
  <c r="L39" i="4"/>
  <c r="K39" i="4"/>
  <c r="I39" i="4"/>
  <c r="H39" i="4"/>
  <c r="G39" i="4"/>
  <c r="F39" i="4"/>
  <c r="E39" i="4"/>
  <c r="L41" i="2"/>
  <c r="P43" i="4" s="1"/>
  <c r="H41" i="2"/>
  <c r="J43" i="4" s="1"/>
  <c r="L40" i="2"/>
  <c r="P42" i="4" s="1"/>
  <c r="H40" i="2"/>
  <c r="J42" i="4" s="1"/>
  <c r="L39" i="2"/>
  <c r="P41" i="4" s="1"/>
  <c r="H39" i="2"/>
  <c r="J41" i="4" s="1"/>
  <c r="L38" i="2"/>
  <c r="P40" i="4" s="1"/>
  <c r="J38" i="2"/>
  <c r="M40" i="4" s="1"/>
  <c r="H38" i="2"/>
  <c r="J40" i="4" s="1"/>
  <c r="L37" i="2"/>
  <c r="P39" i="4" s="1"/>
  <c r="J37" i="2"/>
  <c r="M39" i="4" s="1"/>
  <c r="H37" i="2"/>
  <c r="J39" i="4" s="1"/>
  <c r="B37" i="2"/>
  <c r="B37" i="3"/>
  <c r="O37" i="1"/>
  <c r="O36" i="1"/>
  <c r="T39" i="4" l="1"/>
  <c r="U39" i="4"/>
  <c r="S38" i="4"/>
  <c r="R38" i="4"/>
  <c r="Q38" i="4"/>
  <c r="O38" i="4"/>
  <c r="O44" i="4" s="1"/>
  <c r="N38" i="4"/>
  <c r="N44" i="4" s="1"/>
  <c r="L38" i="4"/>
  <c r="L44" i="4" s="1"/>
  <c r="K38" i="4"/>
  <c r="K44" i="4" s="1"/>
  <c r="I38" i="4"/>
  <c r="I44" i="4" s="1"/>
  <c r="H38" i="4"/>
  <c r="H44" i="4" s="1"/>
  <c r="G38" i="4"/>
  <c r="F38" i="4"/>
  <c r="E38" i="4"/>
  <c r="L36" i="2"/>
  <c r="P38" i="4" s="1"/>
  <c r="J36" i="2"/>
  <c r="M38" i="4" s="1"/>
  <c r="H36" i="2"/>
  <c r="J38" i="4" s="1"/>
  <c r="B41" i="2"/>
  <c r="B40" i="2"/>
  <c r="B39" i="2"/>
  <c r="B36" i="2"/>
  <c r="B41" i="3"/>
  <c r="B40" i="3"/>
  <c r="B39" i="3"/>
  <c r="B36" i="3"/>
  <c r="B41" i="1"/>
  <c r="B40" i="1"/>
  <c r="B39" i="1"/>
  <c r="B38" i="1"/>
  <c r="B37" i="1"/>
  <c r="B36" i="1"/>
  <c r="P44" i="4" l="1"/>
  <c r="J44" i="4"/>
  <c r="M44" i="4"/>
  <c r="U38" i="4"/>
  <c r="U44" i="4" s="1"/>
  <c r="T38" i="4"/>
  <c r="T44" i="4" s="1"/>
  <c r="R27" i="12"/>
  <c r="Q27" i="12"/>
  <c r="R26" i="12"/>
  <c r="Q26" i="12"/>
  <c r="R25" i="12"/>
  <c r="Q25" i="12"/>
  <c r="R24" i="12"/>
  <c r="R23" i="12"/>
  <c r="Q24" i="12"/>
  <c r="Q23" i="12"/>
  <c r="I28" i="12"/>
  <c r="J28" i="12"/>
  <c r="E28" i="12"/>
  <c r="F28" i="12"/>
  <c r="G28" i="12" s="1"/>
  <c r="B27" i="12"/>
  <c r="R21" i="12"/>
  <c r="Q21" i="12"/>
  <c r="R20" i="12"/>
  <c r="Q20" i="12"/>
  <c r="R19" i="12"/>
  <c r="Q19" i="12"/>
  <c r="I22" i="12"/>
  <c r="J22" i="12"/>
  <c r="K22" i="12" s="1"/>
  <c r="E22" i="12"/>
  <c r="F22" i="12"/>
  <c r="Q17" i="12"/>
  <c r="R17" i="12"/>
  <c r="R16" i="12"/>
  <c r="Q16" i="12"/>
  <c r="N18" i="12"/>
  <c r="N72" i="12" s="1"/>
  <c r="M18" i="12"/>
  <c r="M72" i="12" s="1"/>
  <c r="R14" i="12"/>
  <c r="Q14" i="12"/>
  <c r="R13" i="12"/>
  <c r="R15" i="12" s="1"/>
  <c r="Q13" i="12"/>
  <c r="J15" i="12"/>
  <c r="I15" i="12"/>
  <c r="F15" i="12"/>
  <c r="E15" i="12"/>
  <c r="I12" i="12"/>
  <c r="J12" i="12"/>
  <c r="E12" i="12"/>
  <c r="F12" i="12"/>
  <c r="R11" i="12"/>
  <c r="Q11" i="12"/>
  <c r="R10" i="12"/>
  <c r="Q10" i="12"/>
  <c r="R6" i="12"/>
  <c r="R8" i="12"/>
  <c r="Q8" i="12"/>
  <c r="R7" i="12"/>
  <c r="Q7" i="12"/>
  <c r="Q6" i="12"/>
  <c r="I9" i="12"/>
  <c r="J9" i="12"/>
  <c r="E9" i="12"/>
  <c r="F9" i="12"/>
  <c r="I5" i="12"/>
  <c r="I72" i="12" s="1"/>
  <c r="J5" i="12"/>
  <c r="J72" i="12" s="1"/>
  <c r="E5" i="12"/>
  <c r="F5" i="12"/>
  <c r="R4" i="12"/>
  <c r="R5" i="12" s="1"/>
  <c r="Q4" i="12"/>
  <c r="Q5" i="12" s="1"/>
  <c r="F72" i="12" l="1"/>
  <c r="E72" i="12"/>
  <c r="G5" i="12"/>
  <c r="K9" i="12"/>
  <c r="Q12" i="12"/>
  <c r="Q9" i="12"/>
  <c r="Q22" i="12"/>
  <c r="K5" i="12"/>
  <c r="G12" i="12"/>
  <c r="R18" i="12"/>
  <c r="K28" i="12"/>
  <c r="G9" i="12"/>
  <c r="G22" i="12"/>
  <c r="O72" i="12"/>
  <c r="R9" i="12"/>
  <c r="R72" i="12" s="1"/>
  <c r="K12" i="12"/>
  <c r="Q15" i="12"/>
  <c r="Q18" i="12"/>
  <c r="Q28" i="12"/>
  <c r="R12" i="12"/>
  <c r="R28" i="12"/>
  <c r="R22" i="12"/>
  <c r="O18" i="12"/>
  <c r="K15" i="12"/>
  <c r="G15" i="12"/>
  <c r="Q72" i="12" l="1"/>
  <c r="G72" i="12"/>
  <c r="K72" i="12"/>
  <c r="L34" i="2" l="1"/>
  <c r="J34" i="2"/>
  <c r="O34" i="1"/>
  <c r="O33" i="1"/>
  <c r="O32" i="1"/>
  <c r="O31" i="1"/>
  <c r="O30" i="1"/>
  <c r="O34" i="3"/>
  <c r="O33" i="3"/>
  <c r="O32" i="3"/>
  <c r="O31" i="3"/>
  <c r="O30" i="3"/>
  <c r="B34" i="2"/>
  <c r="B34" i="3"/>
  <c r="B34" i="1"/>
  <c r="S36" i="4" l="1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B36" i="4"/>
  <c r="S35" i="4"/>
  <c r="R35" i="4"/>
  <c r="Q35" i="4"/>
  <c r="O35" i="4"/>
  <c r="N35" i="4"/>
  <c r="L35" i="4"/>
  <c r="K35" i="4"/>
  <c r="J35" i="4"/>
  <c r="I35" i="4"/>
  <c r="H35" i="4"/>
  <c r="G35" i="4"/>
  <c r="F35" i="4"/>
  <c r="E35" i="4"/>
  <c r="S34" i="4"/>
  <c r="R34" i="4"/>
  <c r="Q34" i="4"/>
  <c r="O34" i="4"/>
  <c r="N34" i="4"/>
  <c r="L34" i="4"/>
  <c r="K34" i="4"/>
  <c r="J34" i="4"/>
  <c r="I34" i="4"/>
  <c r="H34" i="4"/>
  <c r="G34" i="4"/>
  <c r="F34" i="4"/>
  <c r="E34" i="4"/>
  <c r="S33" i="4"/>
  <c r="R33" i="4"/>
  <c r="Q33" i="4"/>
  <c r="P33" i="4"/>
  <c r="O33" i="4"/>
  <c r="N33" i="4"/>
  <c r="L33" i="4"/>
  <c r="U33" i="4" s="1"/>
  <c r="K33" i="4"/>
  <c r="T33" i="4" s="1"/>
  <c r="J33" i="4"/>
  <c r="I33" i="4"/>
  <c r="H33" i="4"/>
  <c r="G33" i="4"/>
  <c r="F33" i="4"/>
  <c r="E33" i="4"/>
  <c r="S32" i="4"/>
  <c r="R32" i="4"/>
  <c r="Q32" i="4"/>
  <c r="P32" i="4"/>
  <c r="O32" i="4"/>
  <c r="N32" i="4"/>
  <c r="L32" i="4"/>
  <c r="U32" i="4" s="1"/>
  <c r="K32" i="4"/>
  <c r="T32" i="4" s="1"/>
  <c r="J32" i="4"/>
  <c r="I32" i="4"/>
  <c r="H32" i="4"/>
  <c r="G32" i="4"/>
  <c r="F32" i="4"/>
  <c r="E32" i="4"/>
  <c r="L33" i="2"/>
  <c r="P35" i="4" s="1"/>
  <c r="L32" i="2"/>
  <c r="P34" i="4" s="1"/>
  <c r="J33" i="2"/>
  <c r="M35" i="4" s="1"/>
  <c r="J32" i="2"/>
  <c r="M34" i="4" s="1"/>
  <c r="J31" i="2"/>
  <c r="M33" i="4" s="1"/>
  <c r="J30" i="2"/>
  <c r="M32" i="4" s="1"/>
  <c r="B33" i="2"/>
  <c r="B32" i="2"/>
  <c r="B31" i="2"/>
  <c r="B30" i="2"/>
  <c r="B33" i="3"/>
  <c r="B32" i="3"/>
  <c r="B31" i="3"/>
  <c r="B30" i="3"/>
  <c r="B33" i="1"/>
  <c r="B32" i="1"/>
  <c r="B31" i="1"/>
  <c r="B30" i="1"/>
  <c r="T34" i="4" l="1"/>
  <c r="U35" i="4"/>
  <c r="T36" i="4"/>
  <c r="T35" i="4"/>
  <c r="N37" i="4"/>
  <c r="U34" i="4"/>
  <c r="K37" i="4"/>
  <c r="O37" i="4"/>
  <c r="L37" i="4"/>
  <c r="U36" i="4"/>
  <c r="S30" i="4"/>
  <c r="R30" i="4"/>
  <c r="Q30" i="4"/>
  <c r="O30" i="4"/>
  <c r="N30" i="4"/>
  <c r="L30" i="4"/>
  <c r="K30" i="4"/>
  <c r="J30" i="4"/>
  <c r="I30" i="4"/>
  <c r="H30" i="4"/>
  <c r="G30" i="4"/>
  <c r="F30" i="4"/>
  <c r="E30" i="4"/>
  <c r="S29" i="4"/>
  <c r="R29" i="4"/>
  <c r="Q29" i="4"/>
  <c r="O29" i="4"/>
  <c r="N29" i="4"/>
  <c r="L29" i="4"/>
  <c r="K29" i="4"/>
  <c r="J29" i="4"/>
  <c r="I29" i="4"/>
  <c r="H29" i="4"/>
  <c r="G29" i="4"/>
  <c r="F29" i="4"/>
  <c r="E29" i="4"/>
  <c r="S28" i="4"/>
  <c r="R28" i="4"/>
  <c r="Q28" i="4"/>
  <c r="O28" i="4"/>
  <c r="N28" i="4"/>
  <c r="L28" i="4"/>
  <c r="K28" i="4"/>
  <c r="J28" i="4"/>
  <c r="I28" i="4"/>
  <c r="H28" i="4"/>
  <c r="G28" i="4"/>
  <c r="F28" i="4"/>
  <c r="E28" i="4"/>
  <c r="L28" i="2"/>
  <c r="P30" i="4" s="1"/>
  <c r="J28" i="2"/>
  <c r="M30" i="4" s="1"/>
  <c r="L27" i="2"/>
  <c r="P29" i="4" s="1"/>
  <c r="J27" i="2"/>
  <c r="M29" i="4" s="1"/>
  <c r="L26" i="2"/>
  <c r="P28" i="4" s="1"/>
  <c r="J26" i="2"/>
  <c r="M28" i="4" s="1"/>
  <c r="O28" i="3"/>
  <c r="O27" i="3"/>
  <c r="O26" i="3"/>
  <c r="O28" i="1"/>
  <c r="O27" i="1"/>
  <c r="O26" i="1"/>
  <c r="T37" i="4" l="1"/>
  <c r="N31" i="4"/>
  <c r="T28" i="4"/>
  <c r="T31" i="4" s="1"/>
  <c r="P37" i="4"/>
  <c r="T29" i="4"/>
  <c r="U30" i="4"/>
  <c r="M37" i="4"/>
  <c r="U29" i="4"/>
  <c r="U37" i="4"/>
  <c r="U28" i="4"/>
  <c r="O31" i="4"/>
  <c r="T30" i="4"/>
  <c r="K31" i="4"/>
  <c r="L31" i="4"/>
  <c r="O23" i="3"/>
  <c r="Q34" i="3" s="1"/>
  <c r="D39" i="5"/>
  <c r="E39" i="5" s="1"/>
  <c r="C39" i="5"/>
  <c r="N24" i="2"/>
  <c r="S26" i="4" s="1"/>
  <c r="O24" i="1"/>
  <c r="O23" i="1"/>
  <c r="O24" i="3"/>
  <c r="R26" i="4"/>
  <c r="U26" i="4" s="1"/>
  <c r="Q26" i="4"/>
  <c r="T26" i="4" s="1"/>
  <c r="P26" i="4"/>
  <c r="O26" i="4"/>
  <c r="N26" i="4"/>
  <c r="M26" i="4"/>
  <c r="L26" i="4"/>
  <c r="K26" i="4"/>
  <c r="J26" i="4"/>
  <c r="I26" i="4"/>
  <c r="H26" i="4"/>
  <c r="G26" i="4"/>
  <c r="F26" i="4"/>
  <c r="E26" i="4"/>
  <c r="R25" i="4"/>
  <c r="U25" i="4" s="1"/>
  <c r="Q25" i="4"/>
  <c r="T25" i="4" s="1"/>
  <c r="P25" i="4"/>
  <c r="O25" i="4"/>
  <c r="N25" i="4"/>
  <c r="M25" i="4"/>
  <c r="L25" i="4"/>
  <c r="K25" i="4"/>
  <c r="J25" i="4"/>
  <c r="I25" i="4"/>
  <c r="H25" i="4"/>
  <c r="G25" i="4"/>
  <c r="F25" i="4"/>
  <c r="E25" i="4"/>
  <c r="U31" i="4" l="1"/>
  <c r="P31" i="4"/>
  <c r="M31" i="4"/>
  <c r="T27" i="4"/>
  <c r="U27" i="4"/>
  <c r="R27" i="4"/>
  <c r="R94" i="4" s="1"/>
  <c r="S25" i="4"/>
  <c r="Q27" i="4"/>
  <c r="L21" i="2"/>
  <c r="J21" i="2"/>
  <c r="M23" i="4" s="1"/>
  <c r="L20" i="2"/>
  <c r="P22" i="4" s="1"/>
  <c r="J20" i="2"/>
  <c r="M22" i="4" s="1"/>
  <c r="O21" i="3"/>
  <c r="O20" i="3"/>
  <c r="O18" i="3"/>
  <c r="O17" i="3"/>
  <c r="Q21" i="3" s="1"/>
  <c r="O15" i="3"/>
  <c r="O14" i="3"/>
  <c r="O13" i="3"/>
  <c r="O21" i="1"/>
  <c r="O20" i="1"/>
  <c r="S23" i="4"/>
  <c r="R23" i="4"/>
  <c r="Q23" i="4"/>
  <c r="P23" i="4"/>
  <c r="O23" i="4"/>
  <c r="N23" i="4"/>
  <c r="L23" i="4"/>
  <c r="K23" i="4"/>
  <c r="J23" i="4"/>
  <c r="I23" i="4"/>
  <c r="H23" i="4"/>
  <c r="G23" i="4"/>
  <c r="F23" i="4"/>
  <c r="E23" i="4"/>
  <c r="S22" i="4"/>
  <c r="R22" i="4"/>
  <c r="Q22" i="4"/>
  <c r="O22" i="4"/>
  <c r="N22" i="4"/>
  <c r="L22" i="4"/>
  <c r="K22" i="4"/>
  <c r="J22" i="4"/>
  <c r="I22" i="4"/>
  <c r="H22" i="4"/>
  <c r="G22" i="4"/>
  <c r="F22" i="4"/>
  <c r="E22" i="4"/>
  <c r="J17" i="2"/>
  <c r="L17" i="2"/>
  <c r="J18" i="2"/>
  <c r="L18" i="2"/>
  <c r="L24" i="4" l="1"/>
  <c r="T22" i="4"/>
  <c r="U22" i="4"/>
  <c r="O24" i="4"/>
  <c r="K24" i="4"/>
  <c r="U23" i="4"/>
  <c r="T23" i="4"/>
  <c r="Q94" i="4"/>
  <c r="S94" i="4" s="1"/>
  <c r="S27" i="4"/>
  <c r="N24" i="4"/>
  <c r="O18" i="1"/>
  <c r="O17" i="1"/>
  <c r="O15" i="1"/>
  <c r="O14" i="1"/>
  <c r="O13" i="1"/>
  <c r="O11" i="1"/>
  <c r="O10" i="1"/>
  <c r="O4" i="1"/>
  <c r="O3" i="1"/>
  <c r="O2" i="1"/>
  <c r="O9" i="1"/>
  <c r="M24" i="4" l="1"/>
  <c r="P24" i="4"/>
  <c r="H15" i="2"/>
  <c r="H14" i="2"/>
  <c r="H13" i="2"/>
  <c r="L11" i="2" l="1"/>
  <c r="J11" i="2"/>
  <c r="H11" i="2"/>
  <c r="L10" i="2"/>
  <c r="J10" i="2"/>
  <c r="H10" i="2"/>
  <c r="O11" i="3"/>
  <c r="O10" i="3"/>
  <c r="L9" i="2" l="1"/>
  <c r="J9" i="2"/>
  <c r="H9" i="2"/>
  <c r="O9" i="3"/>
  <c r="Q15" i="3" s="1"/>
  <c r="S20" i="4" l="1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S17" i="4"/>
  <c r="R17" i="4"/>
  <c r="Q17" i="4"/>
  <c r="P17" i="4"/>
  <c r="O17" i="4"/>
  <c r="N17" i="4"/>
  <c r="M17" i="4"/>
  <c r="L17" i="4"/>
  <c r="K17" i="4"/>
  <c r="J17" i="4"/>
  <c r="I17" i="4"/>
  <c r="U17" i="4" s="1"/>
  <c r="H17" i="4"/>
  <c r="T17" i="4" s="1"/>
  <c r="G17" i="4"/>
  <c r="F17" i="4"/>
  <c r="E17" i="4"/>
  <c r="S16" i="4"/>
  <c r="R16" i="4"/>
  <c r="Q16" i="4"/>
  <c r="P16" i="4"/>
  <c r="O16" i="4"/>
  <c r="N16" i="4"/>
  <c r="M16" i="4"/>
  <c r="L16" i="4"/>
  <c r="K16" i="4"/>
  <c r="J16" i="4"/>
  <c r="I16" i="4"/>
  <c r="H16" i="4"/>
  <c r="T16" i="4" s="1"/>
  <c r="G16" i="4"/>
  <c r="F16" i="4"/>
  <c r="E16" i="4"/>
  <c r="S15" i="4"/>
  <c r="R15" i="4"/>
  <c r="Q15" i="4"/>
  <c r="P15" i="4"/>
  <c r="O15" i="4"/>
  <c r="N15" i="4"/>
  <c r="M15" i="4"/>
  <c r="L15" i="4"/>
  <c r="K15" i="4"/>
  <c r="J15" i="4"/>
  <c r="I15" i="4"/>
  <c r="U15" i="4" s="1"/>
  <c r="H15" i="4"/>
  <c r="G15" i="4"/>
  <c r="F15" i="4"/>
  <c r="E15" i="4"/>
  <c r="U19" i="4" l="1"/>
  <c r="T20" i="4"/>
  <c r="K21" i="4"/>
  <c r="T19" i="4"/>
  <c r="T21" i="4" s="1"/>
  <c r="U20" i="4"/>
  <c r="U24" i="4"/>
  <c r="N21" i="4"/>
  <c r="H18" i="4"/>
  <c r="T15" i="4"/>
  <c r="T18" i="4" s="1"/>
  <c r="I18" i="4"/>
  <c r="U16" i="4"/>
  <c r="U18" i="4" s="1"/>
  <c r="O21" i="4"/>
  <c r="L21" i="4"/>
  <c r="H7" i="2"/>
  <c r="H6" i="2"/>
  <c r="H5" i="2"/>
  <c r="U21" i="4" l="1"/>
  <c r="J18" i="4"/>
  <c r="M21" i="4"/>
  <c r="T24" i="4"/>
  <c r="P21" i="4"/>
  <c r="B9" i="6"/>
  <c r="L4" i="2" l="1"/>
  <c r="J4" i="2"/>
  <c r="H4" i="2"/>
  <c r="S13" i="4" l="1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S9" i="4"/>
  <c r="R9" i="4"/>
  <c r="Q9" i="4"/>
  <c r="P9" i="4"/>
  <c r="O9" i="4"/>
  <c r="N9" i="4"/>
  <c r="M9" i="4"/>
  <c r="L9" i="4"/>
  <c r="K9" i="4"/>
  <c r="J9" i="4"/>
  <c r="I9" i="4"/>
  <c r="U9" i="4" s="1"/>
  <c r="H9" i="4"/>
  <c r="T9" i="4" s="1"/>
  <c r="G9" i="4"/>
  <c r="F9" i="4"/>
  <c r="E9" i="4"/>
  <c r="S8" i="4"/>
  <c r="R8" i="4"/>
  <c r="Q8" i="4"/>
  <c r="P8" i="4"/>
  <c r="O8" i="4"/>
  <c r="N8" i="4"/>
  <c r="M8" i="4"/>
  <c r="L8" i="4"/>
  <c r="K8" i="4"/>
  <c r="J8" i="4"/>
  <c r="I8" i="4"/>
  <c r="U8" i="4" s="1"/>
  <c r="H8" i="4"/>
  <c r="T8" i="4" s="1"/>
  <c r="G8" i="4"/>
  <c r="F8" i="4"/>
  <c r="E8" i="4"/>
  <c r="S7" i="4"/>
  <c r="R7" i="4"/>
  <c r="Q7" i="4"/>
  <c r="P7" i="4"/>
  <c r="O7" i="4"/>
  <c r="N7" i="4"/>
  <c r="M7" i="4"/>
  <c r="L7" i="4"/>
  <c r="K7" i="4"/>
  <c r="J7" i="4"/>
  <c r="I7" i="4"/>
  <c r="U7" i="4" s="1"/>
  <c r="H7" i="4"/>
  <c r="T7" i="4" s="1"/>
  <c r="G7" i="4"/>
  <c r="F7" i="4"/>
  <c r="E7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U13" i="4" l="1"/>
  <c r="T13" i="4"/>
  <c r="U12" i="4"/>
  <c r="T12" i="4"/>
  <c r="O14" i="4"/>
  <c r="L14" i="4"/>
  <c r="N14" i="4"/>
  <c r="K14" i="4"/>
  <c r="H14" i="4"/>
  <c r="T11" i="4"/>
  <c r="I14" i="4"/>
  <c r="U11" i="4"/>
  <c r="T5" i="4"/>
  <c r="U6" i="4"/>
  <c r="T6" i="4"/>
  <c r="U5" i="4"/>
  <c r="T14" i="4" l="1"/>
  <c r="M14" i="4"/>
  <c r="U14" i="4"/>
  <c r="J14" i="4"/>
  <c r="P14" i="4"/>
  <c r="E100" i="9" l="1"/>
  <c r="F100" i="9"/>
  <c r="G100" i="9"/>
  <c r="H100" i="9" l="1"/>
  <c r="F97" i="1" s="1"/>
  <c r="E100" i="11" l="1"/>
  <c r="F100" i="11"/>
  <c r="G100" i="11"/>
  <c r="E100" i="10"/>
  <c r="F100" i="10"/>
  <c r="G100" i="10"/>
  <c r="H100" i="11" l="1"/>
  <c r="H100" i="10"/>
  <c r="F96" i="1" l="1"/>
  <c r="F98" i="1" s="1"/>
  <c r="F95" i="4" s="1"/>
  <c r="J96" i="1"/>
  <c r="L96" i="1"/>
  <c r="C9" i="6" l="1"/>
  <c r="O96" i="1"/>
  <c r="E4" i="4" l="1"/>
  <c r="F4" i="4"/>
  <c r="H4" i="4"/>
  <c r="I4" i="4"/>
  <c r="I10" i="4" l="1"/>
  <c r="I94" i="4" s="1"/>
  <c r="H10" i="4"/>
  <c r="H94" i="4" s="1"/>
  <c r="E96" i="4"/>
  <c r="J10" i="4" l="1"/>
  <c r="J94" i="4"/>
  <c r="H96" i="4"/>
  <c r="D9" i="6" l="1"/>
  <c r="G4" i="4"/>
  <c r="E6" i="6" l="1"/>
  <c r="N74" i="12" l="1"/>
  <c r="M74" i="12"/>
  <c r="I74" i="12" l="1"/>
  <c r="E74" i="12"/>
  <c r="Q74" i="12" l="1"/>
  <c r="K74" i="12"/>
  <c r="G74" i="12"/>
  <c r="J4" i="4" l="1"/>
  <c r="E5" i="6" l="1"/>
  <c r="E8" i="6"/>
  <c r="F9" i="6"/>
  <c r="G9" i="6"/>
  <c r="H9" i="6"/>
  <c r="O95" i="3" l="1"/>
  <c r="E9" i="6" l="1"/>
  <c r="L98" i="1" l="1"/>
  <c r="O95" i="4" s="1"/>
  <c r="J73" i="12" l="1"/>
  <c r="J74" i="12" s="1"/>
  <c r="H95" i="3"/>
  <c r="J95" i="3"/>
  <c r="L95" i="3"/>
  <c r="N95" i="3"/>
  <c r="S4" i="4" l="1"/>
  <c r="R4" i="4"/>
  <c r="Q4" i="4"/>
  <c r="P4" i="4"/>
  <c r="O4" i="4"/>
  <c r="O10" i="4" s="1"/>
  <c r="O94" i="4" s="1"/>
  <c r="N4" i="4"/>
  <c r="N10" i="4" s="1"/>
  <c r="N94" i="4" s="1"/>
  <c r="L4" i="4"/>
  <c r="K4" i="4"/>
  <c r="T4" i="4" s="1"/>
  <c r="N96" i="1"/>
  <c r="N97" i="2" s="1"/>
  <c r="U4" i="4" l="1"/>
  <c r="P94" i="4"/>
  <c r="L10" i="4"/>
  <c r="L94" i="4" s="1"/>
  <c r="U10" i="4"/>
  <c r="U94" i="4" s="1"/>
  <c r="K10" i="4"/>
  <c r="K94" i="4" s="1"/>
  <c r="T10" i="4"/>
  <c r="T94" i="4" s="1"/>
  <c r="P10" i="4"/>
  <c r="J98" i="1"/>
  <c r="L95" i="4" s="1"/>
  <c r="N99" i="1"/>
  <c r="L99" i="1"/>
  <c r="L97" i="2"/>
  <c r="J97" i="2"/>
  <c r="N101" i="1" l="1"/>
  <c r="N102" i="1"/>
  <c r="L101" i="1"/>
  <c r="L102" i="1"/>
  <c r="J75" i="12"/>
  <c r="M94" i="4"/>
  <c r="M10" i="4"/>
  <c r="N75" i="12"/>
  <c r="F73" i="12"/>
  <c r="J99" i="1"/>
  <c r="K96" i="4"/>
  <c r="R96" i="4"/>
  <c r="J101" i="1" l="1"/>
  <c r="J102" i="1"/>
  <c r="F75" i="12"/>
  <c r="R73" i="12"/>
  <c r="R74" i="12" s="1"/>
  <c r="F74" i="12"/>
  <c r="O97" i="4"/>
  <c r="R97" i="4"/>
  <c r="L96" i="4"/>
  <c r="N96" i="4"/>
  <c r="O96" i="4"/>
  <c r="P96" i="4" l="1"/>
  <c r="L97" i="4"/>
  <c r="F95" i="3"/>
  <c r="M4" i="4" l="1"/>
  <c r="T96" i="4" l="1"/>
  <c r="H98" i="1" l="1"/>
  <c r="I95" i="4" s="1"/>
  <c r="I96" i="4" s="1"/>
  <c r="H97" i="2"/>
  <c r="H99" i="1" l="1"/>
  <c r="H101" i="1" l="1"/>
  <c r="H102" i="1"/>
  <c r="I97" i="4"/>
  <c r="F97" i="2" l="1"/>
  <c r="F96" i="4"/>
  <c r="O98" i="1" l="1"/>
  <c r="O99" i="1" s="1"/>
  <c r="F99" i="1"/>
  <c r="F101" i="1" l="1"/>
  <c r="F102" i="1"/>
  <c r="O101" i="1"/>
  <c r="O102" i="1"/>
  <c r="F97" i="4"/>
  <c r="U95" i="4"/>
  <c r="U9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F7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Harvest is estimated to be 15% less than harvest reported on Saturday April 15. Observation made by Zack Forster.</t>
        </r>
      </text>
    </comment>
    <comment ref="F8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No count was done this day. Harvest is an estimate based on observations made by WDFW biologist Zach Forster.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</authors>
  <commentList>
    <comment ref="F7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Harvest is estimated to be 15% less than harvest reported on Saturday April 15. Observation made by Zach Forster.
</t>
        </r>
      </text>
    </comment>
    <comment ref="F8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No count was done this day. Harvest is an estimate based on observations made by WDFW biologist Zach Forster.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Dan L. Ayres</author>
  </authors>
  <commentList>
    <comment ref="F7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Harvest is estimated to be 15% less than harvest reported on Saturday April 15. Observation made by Zack Forster.</t>
        </r>
      </text>
    </comment>
    <comment ref="F79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F80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F81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F82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F83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F84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L. Ayres</author>
  </authors>
  <commentList>
    <comment ref="G8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G8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G8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G8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G85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G8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G87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WDFW</author>
    <author>Deibert, John R (DFW)</author>
    <author>Ayres, Daniel L (DFW)</author>
  </authors>
  <commentList>
    <comment ref="D4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E4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D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E5" authorId="1" shapeId="0" xr:uid="{00000000-0006-0000-07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D6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minus the agreed to 161,153 payback to QIN
37% exploitation rate</t>
        </r>
      </text>
    </comment>
    <comment ref="E6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D7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40% exploitation rate</t>
        </r>
      </text>
    </comment>
    <comment ref="E7" authorId="1" shapeId="0" xr:uid="{00000000-0006-0000-0700-000008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D8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WDFW:</t>
        </r>
        <r>
          <rPr>
            <sz val="9"/>
            <color indexed="81"/>
            <rFont val="Tahoma"/>
            <family val="2"/>
          </rPr>
          <t xml:space="preserve">
25.4% exploitation rate</t>
        </r>
      </text>
    </comment>
    <comment ref="E8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L. Ayres</author>
  </authors>
  <commentList>
    <comment ref="B4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R4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working with ONP to come to agreeement on an opening date</t>
        </r>
      </text>
    </comment>
    <comment ref="B5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R5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working with ONP to come to agreeement on an opening date</t>
        </r>
      </text>
    </comment>
    <comment ref="B6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F6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R6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working with ONP to come to agreeement on an opening date</t>
        </r>
      </text>
    </comment>
    <comment ref="B7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F7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B8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R8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Unprecedented high mortality event reduced populations to very low levels. Joint decision with ONP to close and wait for results from summer stock assessment to make decisions about future openings.</t>
        </r>
      </text>
    </comment>
    <comment ref="B9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F9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elevated levels of domoic acid</t>
        </r>
      </text>
    </comment>
    <comment ref="R9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Unprecedented high mortality event reduced populations to very low levels. Joint decision with ONP to close and wait for results from summer stock assessment to make decisions about future openings.</t>
        </r>
      </text>
    </comment>
    <comment ref="D10" authorId="0" shapeId="0" xr:uid="{00000000-0006-0000-0C00-00000F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R10" authorId="0" shapeId="0" xr:uid="{00000000-0006-0000-0C00-000010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Unprecedented high mortality event reduced populations to very low levels. Joint decision with ONP to close and wait for results from summer stock assessment to make decisions about future openings.</t>
        </r>
      </text>
    </comment>
    <comment ref="D11" authorId="0" shapeId="0" xr:uid="{00000000-0006-0000-0C00-000011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temporary raise in daily bag limit to 25 clams.</t>
        </r>
      </text>
    </comment>
    <comment ref="R11" authorId="0" shapeId="0" xr:uid="{00000000-0006-0000-0C00-000012000000}">
      <text>
        <r>
          <rPr>
            <b/>
            <sz val="9"/>
            <color indexed="81"/>
            <rFont val="Tahoma"/>
            <family val="2"/>
          </rPr>
          <t>Dan L. Ayres:</t>
        </r>
        <r>
          <rPr>
            <sz val="9"/>
            <color indexed="81"/>
            <rFont val="Tahoma"/>
            <family val="2"/>
          </rPr>
          <t xml:space="preserve">
Unprecedented high mortality event reduced populations to very low levels. Joint decision with ONP to close and wait for results from summer stock assessment to make decisions about future openings.</t>
        </r>
      </text>
    </comment>
  </commentList>
</comments>
</file>

<file path=xl/sharedStrings.xml><?xml version="1.0" encoding="utf-8"?>
<sst xmlns="http://schemas.openxmlformats.org/spreadsheetml/2006/main" count="1447" uniqueCount="89">
  <si>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</si>
  <si>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</si>
  <si>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</si>
  <si>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</si>
  <si>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</si>
  <si>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</si>
  <si>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</si>
  <si>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</si>
  <si>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</si>
  <si>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</si>
  <si>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CPUE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</si>
  <si>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</si>
  <si>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</si>
  <si>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</si>
  <si>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</si>
  <si>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</si>
  <si>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</si>
  <si>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</si>
  <si>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</si>
  <si>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</si>
  <si>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</si>
  <si>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</si>
  <si>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</si>
  <si>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</si>
  <si>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</si>
  <si>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</si>
  <si>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</si>
  <si>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</si>
  <si>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</si>
  <si>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</si>
  <si>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</si>
  <si>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</si>
  <si>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</si>
  <si>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</si>
  <si>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Size (mm)</t>
  </si>
  <si>
    <t>WASTAGE</t>
  </si>
  <si>
    <t>SEASON SUBTOTALS:</t>
  </si>
  <si>
    <t>EventID</t>
  </si>
  <si>
    <t>2010 - 2011</t>
  </si>
  <si>
    <t>2011 - 2012</t>
  </si>
  <si>
    <t>2012 - 2013</t>
  </si>
  <si>
    <t>2013 - 2014</t>
  </si>
  <si>
    <t>2014 - 2015</t>
  </si>
  <si>
    <t>TideDate</t>
  </si>
  <si>
    <t>TideTime</t>
  </si>
  <si>
    <t>TideHeight</t>
  </si>
  <si>
    <t>Sunrise</t>
  </si>
  <si>
    <t>Sunset</t>
  </si>
  <si>
    <t>CorrectionFactor</t>
  </si>
  <si>
    <t>NON-TRIBAL TOTAL ALLOWABLE CATCH (TAC)</t>
  </si>
  <si>
    <t xml:space="preserve">FALL 2014 - SPRING 2015 SEASON TOTALS: </t>
  </si>
  <si>
    <t>2015 - 2016</t>
  </si>
  <si>
    <t>** - No beach count. Used data from another day with similar conditions to estimate count.</t>
  </si>
  <si>
    <t># - Tide is not low enough for decent digging opportunity</t>
  </si>
  <si>
    <t>LocationID</t>
  </si>
  <si>
    <t>NHoles</t>
  </si>
  <si>
    <t>NClams</t>
  </si>
  <si>
    <t>NMorts</t>
  </si>
  <si>
    <t>Closed</t>
  </si>
  <si>
    <t>+</t>
  </si>
  <si>
    <t>2016 - 2017</t>
  </si>
  <si>
    <t>Fall 2016 / Spring 2017 Harvest Rate (clams/day):</t>
  </si>
  <si>
    <t>2016-2017 State (non-Indian) Recreational Razor Clam Effort, Harvest and CPUE totals.</t>
  </si>
  <si>
    <t>CLOSED</t>
  </si>
  <si>
    <t>*</t>
  </si>
  <si>
    <t>41400</t>
  </si>
  <si>
    <t>21200</t>
  </si>
  <si>
    <t>42600</t>
  </si>
  <si>
    <t>32009</t>
  </si>
  <si>
    <t>LongBeach</t>
  </si>
  <si>
    <t>31005</t>
  </si>
  <si>
    <t>.</t>
  </si>
  <si>
    <t>33012</t>
  </si>
  <si>
    <t>12500</t>
  </si>
  <si>
    <t>41300</t>
  </si>
  <si>
    <t>22309</t>
  </si>
  <si>
    <t>22307</t>
  </si>
  <si>
    <t>DAYS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</si>
  <si>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</si>
  <si>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</si>
  <si>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</si>
  <si>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</si>
  <si>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</si>
  <si>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</si>
  <si>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</si>
  <si>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</si>
  <si>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</si>
  <si>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2016-2017 State (non-Indian) Recreational Razor Clam Effort, Harvest and CPUE totals by month.</t>
  </si>
  <si>
    <t>2016-2017 State (non-Indian) Recreational Razor Clam Effort, Harvest and CPUE totals.FINAL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</si>
</sst>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  <numFmt numFmtId="171" formatCode="dd\-mmm\-yy"/>
    <numFmt numFmtId="172" formatCode="#,##0.0"/>
    <numFmt numFmtId="173" formatCode="[$-409]h:mm\ AM/PM;@"/>
    <numFmt numFmtId="174" formatCode="#,##0.00000000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9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0"/>
      </top>
      <bottom/>
      <diagonal/>
    </border>
    <border>
      <left style="thick">
        <color indexed="0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0"/>
      </left>
      <right/>
      <top style="thick">
        <color indexed="0"/>
      </top>
      <bottom style="thin">
        <color indexed="64"/>
      </bottom>
      <diagonal/>
    </border>
    <border>
      <left/>
      <right/>
      <top style="thick">
        <color indexed="0"/>
      </top>
      <bottom style="thin">
        <color indexed="64"/>
      </bottom>
      <diagonal/>
    </border>
    <border>
      <left/>
      <right style="thick">
        <color indexed="0"/>
      </right>
      <top style="thick">
        <color indexed="0"/>
      </top>
      <bottom style="thin">
        <color indexed="64"/>
      </bottom>
      <diagonal/>
    </border>
    <border>
      <left style="thick">
        <color indexed="0"/>
      </left>
      <right/>
      <top style="thin">
        <color indexed="64"/>
      </top>
      <bottom style="thick">
        <color indexed="0"/>
      </bottom>
      <diagonal/>
    </border>
    <border>
      <left style="thin">
        <color indexed="64"/>
      </left>
      <right style="thick">
        <color indexed="0"/>
      </right>
      <top style="thin">
        <color indexed="64"/>
      </top>
      <bottom style="thick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0"/>
      </bottom>
      <diagonal/>
    </border>
    <border>
      <left style="thick">
        <color indexed="0"/>
      </left>
      <right style="thin">
        <color indexed="64"/>
      </right>
      <top/>
      <bottom style="thick">
        <color indexed="0"/>
      </bottom>
      <diagonal/>
    </border>
    <border>
      <left style="thick">
        <color indexed="0"/>
      </left>
      <right style="thin">
        <color indexed="64"/>
      </right>
      <top style="thin">
        <color indexed="0"/>
      </top>
      <bottom/>
      <diagonal/>
    </border>
    <border>
      <left/>
      <right style="thin">
        <color indexed="64"/>
      </right>
      <top/>
      <bottom style="thick">
        <color indexed="0"/>
      </bottom>
      <diagonal/>
    </border>
    <border>
      <left style="thick">
        <color indexed="0"/>
      </left>
      <right style="thin">
        <color indexed="64"/>
      </right>
      <top style="thin">
        <color indexed="64"/>
      </top>
      <bottom style="thick">
        <color indexed="0"/>
      </bottom>
      <diagonal/>
    </border>
    <border>
      <left style="thin">
        <color indexed="64"/>
      </left>
      <right style="thick">
        <color indexed="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0"/>
      </bottom>
      <diagonal/>
    </border>
    <border>
      <left style="thin">
        <color indexed="64"/>
      </left>
      <right style="medium">
        <color indexed="64"/>
      </right>
      <top style="thick">
        <color indexed="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0"/>
      </top>
      <bottom/>
      <diagonal/>
    </border>
    <border>
      <left style="medium">
        <color indexed="64"/>
      </left>
      <right style="medium">
        <color indexed="64"/>
      </right>
      <top style="thick">
        <color indexed="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0"/>
      </top>
      <bottom/>
      <diagonal/>
    </border>
    <border>
      <left style="thick">
        <color indexed="0"/>
      </left>
      <right/>
      <top style="thin">
        <color indexed="64"/>
      </top>
      <bottom/>
      <diagonal/>
    </border>
    <border>
      <left style="thick">
        <color indexed="0"/>
      </left>
      <right style="thin">
        <color indexed="64"/>
      </right>
      <top style="thin">
        <color indexed="64"/>
      </top>
      <bottom/>
      <diagonal/>
    </border>
    <border>
      <left style="thick">
        <color indexed="0"/>
      </left>
      <right/>
      <top/>
      <bottom style="thin">
        <color indexed="64"/>
      </bottom>
      <diagonal/>
    </border>
    <border>
      <left style="thick">
        <color indexed="0"/>
      </left>
      <right style="thin">
        <color indexed="64"/>
      </right>
      <top/>
      <bottom style="thin">
        <color indexed="64"/>
      </bottom>
      <diagonal/>
    </border>
    <border>
      <left style="thick">
        <color indexed="0"/>
      </left>
      <right/>
      <top style="thin">
        <color indexed="64"/>
      </top>
      <bottom style="thin">
        <color indexed="64"/>
      </bottom>
      <diagonal/>
    </border>
    <border>
      <left style="thick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0"/>
      </top>
      <bottom/>
      <diagonal/>
    </border>
    <border>
      <left style="medium">
        <color indexed="64"/>
      </left>
      <right/>
      <top/>
      <bottom style="thick">
        <color indexed="0"/>
      </bottom>
      <diagonal/>
    </border>
    <border>
      <left style="medium">
        <color indexed="64"/>
      </left>
      <right/>
      <top style="thin">
        <color indexed="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0"/>
      </left>
      <right/>
      <top style="thin">
        <color indexed="0"/>
      </top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5" fillId="0" borderId="0"/>
    <xf numFmtId="0" fontId="17" fillId="0" borderId="0"/>
    <xf numFmtId="0" fontId="19" fillId="0" borderId="0"/>
    <xf numFmtId="0" fontId="19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23" fillId="0" borderId="0"/>
    <xf numFmtId="0" fontId="15" fillId="0" borderId="0"/>
    <xf numFmtId="0" fontId="25" fillId="0" borderId="0"/>
    <xf numFmtId="0" fontId="27" fillId="0" borderId="0"/>
    <xf numFmtId="0" fontId="29" fillId="0" borderId="0"/>
    <xf numFmtId="0" fontId="31" fillId="0" borderId="0"/>
    <xf numFmtId="0" fontId="33" fillId="0" borderId="0"/>
    <xf numFmtId="0" fontId="35" fillId="0" borderId="0"/>
  </cellStyleXfs>
  <cellXfs count="3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65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5" fillId="0" borderId="3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8" fontId="5" fillId="0" borderId="8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16" fontId="9" fillId="0" borderId="3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center"/>
    </xf>
    <xf numFmtId="168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7" fillId="0" borderId="18" xfId="0" applyFont="1" applyBorder="1" applyAlignment="1"/>
    <xf numFmtId="3" fontId="0" fillId="0" borderId="19" xfId="0" applyNumberFormat="1" applyBorder="1" applyAlignment="1"/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0" fillId="0" borderId="0" xfId="0" applyFont="1" applyBorder="1" applyAlignment="1"/>
    <xf numFmtId="0" fontId="11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16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3" fontId="9" fillId="0" borderId="21" xfId="0" applyNumberFormat="1" applyFont="1" applyFill="1" applyBorder="1" applyAlignment="1">
      <alignment horizontal="center"/>
    </xf>
    <xf numFmtId="168" fontId="9" fillId="0" borderId="21" xfId="0" applyNumberFormat="1" applyFont="1" applyFill="1" applyBorder="1" applyAlignment="1">
      <alignment horizontal="center"/>
    </xf>
    <xf numFmtId="3" fontId="9" fillId="0" borderId="22" xfId="0" applyNumberFormat="1" applyFont="1" applyFill="1" applyBorder="1" applyAlignment="1">
      <alignment horizontal="center"/>
    </xf>
    <xf numFmtId="16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/>
    <xf numFmtId="0" fontId="9" fillId="0" borderId="25" xfId="0" applyFont="1" applyBorder="1" applyAlignment="1"/>
    <xf numFmtId="16" fontId="9" fillId="0" borderId="20" xfId="0" applyNumberFormat="1" applyFont="1" applyFill="1" applyBorder="1" applyAlignment="1">
      <alignment horizontal="left"/>
    </xf>
    <xf numFmtId="0" fontId="9" fillId="0" borderId="21" xfId="0" applyFont="1" applyFill="1" applyBorder="1" applyAlignment="1"/>
    <xf numFmtId="0" fontId="8" fillId="0" borderId="23" xfId="0" applyFont="1" applyBorder="1" applyAlignment="1">
      <alignment horizontal="left"/>
    </xf>
    <xf numFmtId="168" fontId="0" fillId="0" borderId="0" xfId="0" applyNumberFormat="1" applyBorder="1" applyAlignment="1">
      <alignment horizontal="center"/>
    </xf>
    <xf numFmtId="1" fontId="0" fillId="0" borderId="0" xfId="0" applyNumberFormat="1"/>
    <xf numFmtId="37" fontId="3" fillId="0" borderId="1" xfId="1" applyNumberFormat="1" applyFont="1" applyFill="1" applyBorder="1" applyAlignment="1">
      <alignment horizontal="right"/>
    </xf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3" fontId="0" fillId="0" borderId="0" xfId="0" applyNumberFormat="1" applyAlignment="1"/>
    <xf numFmtId="166" fontId="0" fillId="0" borderId="0" xfId="1" applyNumberFormat="1" applyFont="1" applyAlignment="1"/>
    <xf numFmtId="18" fontId="0" fillId="0" borderId="0" xfId="0" applyNumberFormat="1"/>
    <xf numFmtId="172" fontId="9" fillId="0" borderId="3" xfId="0" applyNumberFormat="1" applyFont="1" applyFill="1" applyBorder="1" applyAlignment="1">
      <alignment horizontal="center"/>
    </xf>
    <xf numFmtId="173" fontId="5" fillId="0" borderId="8" xfId="0" applyNumberFormat="1" applyFont="1" applyBorder="1" applyAlignment="1"/>
    <xf numFmtId="172" fontId="5" fillId="0" borderId="0" xfId="0" applyNumberFormat="1" applyFont="1" applyFill="1" applyBorder="1" applyAlignment="1">
      <alignment horizontal="center"/>
    </xf>
    <xf numFmtId="172" fontId="9" fillId="0" borderId="9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2" fontId="9" fillId="0" borderId="21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3" fontId="9" fillId="0" borderId="27" xfId="0" applyNumberFormat="1" applyFont="1" applyFill="1" applyBorder="1" applyAlignment="1">
      <alignment horizontal="center"/>
    </xf>
    <xf numFmtId="3" fontId="9" fillId="0" borderId="28" xfId="0" applyNumberFormat="1" applyFont="1" applyFill="1" applyBorder="1" applyAlignment="1">
      <alignment horizontal="center"/>
    </xf>
    <xf numFmtId="168" fontId="9" fillId="0" borderId="29" xfId="0" applyNumberFormat="1" applyFont="1" applyFill="1" applyBorder="1" applyAlignment="1">
      <alignment horizontal="center"/>
    </xf>
    <xf numFmtId="0" fontId="14" fillId="0" borderId="1" xfId="3" applyFont="1" applyFill="1" applyBorder="1" applyAlignment="1">
      <alignment horizontal="right" wrapText="1"/>
    </xf>
    <xf numFmtId="0" fontId="14" fillId="0" borderId="1" xfId="3" applyFont="1" applyFill="1" applyBorder="1" applyAlignment="1">
      <alignment wrapText="1"/>
    </xf>
    <xf numFmtId="171" fontId="14" fillId="0" borderId="1" xfId="3" applyNumberFormat="1" applyFont="1" applyFill="1" applyBorder="1" applyAlignment="1">
      <alignment horizontal="right" wrapText="1"/>
    </xf>
    <xf numFmtId="4" fontId="14" fillId="0" borderId="1" xfId="3" applyNumberFormat="1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wrapText="1"/>
    </xf>
    <xf numFmtId="171" fontId="14" fillId="0" borderId="0" xfId="3" applyNumberFormat="1" applyFont="1" applyFill="1" applyBorder="1" applyAlignment="1">
      <alignment horizontal="right" wrapText="1"/>
    </xf>
    <xf numFmtId="4" fontId="14" fillId="0" borderId="0" xfId="3" applyNumberFormat="1" applyFont="1" applyFill="1" applyBorder="1" applyAlignment="1">
      <alignment horizontal="right" wrapText="1"/>
    </xf>
    <xf numFmtId="0" fontId="14" fillId="0" borderId="1" xfId="4" applyFont="1" applyFill="1" applyBorder="1" applyAlignment="1">
      <alignment horizontal="right" wrapText="1"/>
    </xf>
    <xf numFmtId="0" fontId="14" fillId="0" borderId="1" xfId="4" applyFont="1" applyFill="1" applyBorder="1" applyAlignment="1">
      <alignment wrapText="1"/>
    </xf>
    <xf numFmtId="171" fontId="14" fillId="0" borderId="1" xfId="4" applyNumberFormat="1" applyFont="1" applyFill="1" applyBorder="1" applyAlignment="1">
      <alignment horizontal="right" wrapText="1"/>
    </xf>
    <xf numFmtId="4" fontId="14" fillId="0" borderId="1" xfId="4" applyNumberFormat="1" applyFont="1" applyFill="1" applyBorder="1" applyAlignment="1">
      <alignment horizontal="right" wrapText="1"/>
    </xf>
    <xf numFmtId="3" fontId="16" fillId="3" borderId="0" xfId="0" applyNumberFormat="1" applyFont="1" applyFill="1" applyAlignment="1">
      <alignment horizontal="center"/>
    </xf>
    <xf numFmtId="3" fontId="0" fillId="3" borderId="15" xfId="0" applyNumberFormat="1" applyFill="1" applyBorder="1" applyAlignment="1"/>
    <xf numFmtId="0" fontId="3" fillId="2" borderId="2" xfId="5" applyFont="1" applyFill="1" applyBorder="1" applyAlignment="1">
      <alignment horizontal="center"/>
    </xf>
    <xf numFmtId="0" fontId="5" fillId="0" borderId="5" xfId="0" applyFont="1" applyBorder="1" applyAlignment="1"/>
    <xf numFmtId="168" fontId="3" fillId="0" borderId="0" xfId="5" applyNumberFormat="1" applyFont="1" applyFill="1" applyBorder="1" applyAlignment="1">
      <alignment horizontal="center" wrapText="1"/>
    </xf>
    <xf numFmtId="173" fontId="3" fillId="0" borderId="0" xfId="5" applyNumberFormat="1" applyFont="1" applyFill="1" applyBorder="1" applyAlignment="1">
      <alignment horizontal="center" wrapText="1"/>
    </xf>
    <xf numFmtId="0" fontId="0" fillId="0" borderId="0" xfId="0" applyFont="1" applyFill="1"/>
    <xf numFmtId="0" fontId="18" fillId="0" borderId="1" xfId="6" applyFont="1" applyFill="1" applyBorder="1" applyAlignment="1">
      <alignment horizontal="right" wrapText="1"/>
    </xf>
    <xf numFmtId="0" fontId="18" fillId="0" borderId="1" xfId="6" applyFont="1" applyFill="1" applyBorder="1" applyAlignment="1">
      <alignment wrapText="1"/>
    </xf>
    <xf numFmtId="171" fontId="18" fillId="0" borderId="1" xfId="6" applyNumberFormat="1" applyFont="1" applyFill="1" applyBorder="1" applyAlignment="1">
      <alignment horizontal="right" wrapText="1"/>
    </xf>
    <xf numFmtId="4" fontId="18" fillId="0" borderId="1" xfId="6" applyNumberFormat="1" applyFont="1" applyFill="1" applyBorder="1" applyAlignment="1">
      <alignment horizontal="right" wrapText="1"/>
    </xf>
    <xf numFmtId="0" fontId="18" fillId="0" borderId="1" xfId="7" applyFont="1" applyFill="1" applyBorder="1" applyAlignment="1">
      <alignment horizontal="right" wrapText="1"/>
    </xf>
    <xf numFmtId="0" fontId="18" fillId="0" borderId="1" xfId="7" applyFont="1" applyFill="1" applyBorder="1" applyAlignment="1">
      <alignment wrapText="1"/>
    </xf>
    <xf numFmtId="171" fontId="18" fillId="0" borderId="1" xfId="7" applyNumberFormat="1" applyFont="1" applyFill="1" applyBorder="1" applyAlignment="1">
      <alignment horizontal="right" wrapText="1"/>
    </xf>
    <xf numFmtId="4" fontId="18" fillId="0" borderId="1" xfId="7" applyNumberFormat="1" applyFont="1" applyFill="1" applyBorder="1" applyAlignment="1">
      <alignment horizontal="right" wrapText="1"/>
    </xf>
    <xf numFmtId="164" fontId="0" fillId="0" borderId="0" xfId="0" applyNumberFormat="1" applyFill="1" applyBorder="1"/>
    <xf numFmtId="37" fontId="0" fillId="0" borderId="0" xfId="1" applyNumberFormat="1" applyFont="1" applyFill="1" applyBorder="1" applyAlignment="1">
      <alignment horizontal="center"/>
    </xf>
    <xf numFmtId="168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0" fillId="0" borderId="0" xfId="0" applyFill="1"/>
    <xf numFmtId="37" fontId="0" fillId="0" borderId="0" xfId="0" applyNumberFormat="1" applyFill="1"/>
    <xf numFmtId="3" fontId="0" fillId="0" borderId="0" xfId="0" applyNumberFormat="1" applyFill="1" applyAlignment="1">
      <alignment horizontal="center"/>
    </xf>
    <xf numFmtId="18" fontId="0" fillId="0" borderId="0" xfId="0" applyNumberForma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ont="1" applyAlignment="1">
      <alignment horizontal="right"/>
    </xf>
    <xf numFmtId="0" fontId="0" fillId="3" borderId="0" xfId="0" applyFill="1" applyAlignment="1"/>
    <xf numFmtId="170" fontId="0" fillId="3" borderId="0" xfId="0" applyNumberFormat="1" applyFill="1" applyAlignment="1"/>
    <xf numFmtId="37" fontId="3" fillId="3" borderId="1" xfId="1" applyNumberFormat="1" applyFont="1" applyFill="1" applyBorder="1" applyAlignment="1">
      <alignment horizontal="right"/>
    </xf>
    <xf numFmtId="0" fontId="3" fillId="3" borderId="1" xfId="8" applyFont="1" applyFill="1" applyBorder="1" applyAlignment="1">
      <alignment horizontal="right" wrapText="1"/>
    </xf>
    <xf numFmtId="10" fontId="0" fillId="3" borderId="0" xfId="0" applyNumberFormat="1" applyFill="1"/>
    <xf numFmtId="3" fontId="0" fillId="3" borderId="0" xfId="0" applyNumberFormat="1" applyFill="1"/>
    <xf numFmtId="0" fontId="3" fillId="2" borderId="2" xfId="9" applyFont="1" applyFill="1" applyBorder="1" applyAlignment="1">
      <alignment horizontal="center"/>
    </xf>
    <xf numFmtId="0" fontId="3" fillId="0" borderId="1" xfId="9" applyFont="1" applyFill="1" applyBorder="1" applyAlignment="1">
      <alignment horizontal="right" wrapText="1"/>
    </xf>
    <xf numFmtId="0" fontId="3" fillId="0" borderId="1" xfId="9" applyFont="1" applyFill="1" applyBorder="1" applyAlignment="1">
      <alignment wrapText="1"/>
    </xf>
    <xf numFmtId="171" fontId="3" fillId="0" borderId="1" xfId="9" applyNumberFormat="1" applyFont="1" applyFill="1" applyBorder="1" applyAlignment="1">
      <alignment horizontal="right" wrapText="1"/>
    </xf>
    <xf numFmtId="174" fontId="0" fillId="0" borderId="0" xfId="0" applyNumberFormat="1"/>
    <xf numFmtId="0" fontId="21" fillId="0" borderId="1" xfId="10" applyFont="1" applyFill="1" applyBorder="1" applyAlignment="1">
      <alignment horizontal="right" wrapText="1"/>
    </xf>
    <xf numFmtId="0" fontId="21" fillId="0" borderId="1" xfId="10" applyFont="1" applyFill="1" applyBorder="1" applyAlignment="1">
      <alignment wrapText="1"/>
    </xf>
    <xf numFmtId="171" fontId="21" fillId="0" borderId="1" xfId="10" applyNumberFormat="1" applyFont="1" applyFill="1" applyBorder="1" applyAlignment="1">
      <alignment horizontal="right" wrapText="1"/>
    </xf>
    <xf numFmtId="0" fontId="21" fillId="0" borderId="1" xfId="11" applyFont="1" applyFill="1" applyBorder="1" applyAlignment="1">
      <alignment horizontal="right" wrapText="1"/>
    </xf>
    <xf numFmtId="0" fontId="21" fillId="0" borderId="1" xfId="11" applyFont="1" applyFill="1" applyBorder="1" applyAlignment="1">
      <alignment wrapText="1"/>
    </xf>
    <xf numFmtId="171" fontId="21" fillId="0" borderId="1" xfId="11" applyNumberFormat="1" applyFont="1" applyFill="1" applyBorder="1" applyAlignment="1">
      <alignment horizontal="right" wrapText="1"/>
    </xf>
    <xf numFmtId="167" fontId="0" fillId="0" borderId="0" xfId="0" applyNumberFormat="1" applyFont="1"/>
    <xf numFmtId="0" fontId="2" fillId="0" borderId="0" xfId="0" applyFont="1" applyBorder="1" applyAlignment="1">
      <alignment horizontal="right"/>
    </xf>
    <xf numFmtId="37" fontId="2" fillId="0" borderId="0" xfId="1" applyNumberFormat="1" applyFont="1" applyBorder="1" applyAlignment="1">
      <alignment horizontal="right"/>
    </xf>
    <xf numFmtId="0" fontId="22" fillId="2" borderId="2" xfId="12" applyFont="1" applyFill="1" applyBorder="1" applyAlignment="1">
      <alignment horizontal="center"/>
    </xf>
    <xf numFmtId="0" fontId="22" fillId="0" borderId="1" xfId="12" applyFont="1" applyFill="1" applyBorder="1" applyAlignment="1">
      <alignment wrapText="1"/>
    </xf>
    <xf numFmtId="171" fontId="22" fillId="0" borderId="1" xfId="12" applyNumberFormat="1" applyFont="1" applyFill="1" applyBorder="1" applyAlignment="1">
      <alignment horizontal="right" wrapText="1"/>
    </xf>
    <xf numFmtId="4" fontId="22" fillId="0" borderId="1" xfId="12" applyNumberFormat="1" applyFont="1" applyFill="1" applyBorder="1" applyAlignment="1">
      <alignment horizontal="right" wrapText="1"/>
    </xf>
    <xf numFmtId="0" fontId="22" fillId="0" borderId="1" xfId="12" applyFont="1" applyFill="1" applyBorder="1" applyAlignment="1">
      <alignment horizontal="right" wrapText="1"/>
    </xf>
    <xf numFmtId="37" fontId="0" fillId="0" borderId="0" xfId="0" applyNumberFormat="1" applyFont="1" applyBorder="1"/>
    <xf numFmtId="0" fontId="0" fillId="0" borderId="0" xfId="0" applyBorder="1"/>
    <xf numFmtId="3" fontId="0" fillId="0" borderId="0" xfId="0" applyNumberFormat="1" applyBorder="1" applyAlignment="1">
      <alignment horizontal="center"/>
    </xf>
    <xf numFmtId="37" fontId="0" fillId="0" borderId="0" xfId="0" applyNumberFormat="1" applyBorder="1"/>
    <xf numFmtId="18" fontId="0" fillId="0" borderId="0" xfId="0" applyNumberFormat="1" applyBorder="1"/>
    <xf numFmtId="0" fontId="0" fillId="0" borderId="0" xfId="0" applyFill="1" applyBorder="1"/>
    <xf numFmtId="168" fontId="0" fillId="0" borderId="0" xfId="0" applyNumberFormat="1" applyFill="1" applyBorder="1" applyAlignment="1">
      <alignment horizontal="center"/>
    </xf>
    <xf numFmtId="18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37" fontId="0" fillId="0" borderId="0" xfId="0" applyNumberFormat="1" applyFont="1" applyFill="1" applyBorder="1"/>
    <xf numFmtId="0" fontId="0" fillId="0" borderId="0" xfId="0" applyFont="1" applyFill="1" applyBorder="1" applyAlignment="1">
      <alignment horizontal="right"/>
    </xf>
    <xf numFmtId="37" fontId="0" fillId="0" borderId="0" xfId="0" applyNumberFormat="1" applyFill="1" applyBorder="1"/>
    <xf numFmtId="0" fontId="2" fillId="0" borderId="24" xfId="0" applyFont="1" applyBorder="1" applyAlignment="1">
      <alignment horizontal="center"/>
    </xf>
    <xf numFmtId="0" fontId="3" fillId="2" borderId="2" xfId="13" applyFont="1" applyFill="1" applyBorder="1" applyAlignment="1">
      <alignment horizontal="center"/>
    </xf>
    <xf numFmtId="0" fontId="3" fillId="0" borderId="1" xfId="13" applyFont="1" applyFill="1" applyBorder="1" applyAlignment="1">
      <alignment wrapText="1"/>
    </xf>
    <xf numFmtId="171" fontId="3" fillId="0" borderId="1" xfId="13" applyNumberFormat="1" applyFont="1" applyFill="1" applyBorder="1" applyAlignment="1">
      <alignment horizontal="right" wrapText="1"/>
    </xf>
    <xf numFmtId="4" fontId="3" fillId="0" borderId="1" xfId="13" applyNumberFormat="1" applyFont="1" applyFill="1" applyBorder="1" applyAlignment="1">
      <alignment horizontal="right" wrapText="1"/>
    </xf>
    <xf numFmtId="0" fontId="3" fillId="0" borderId="1" xfId="13" applyFont="1" applyFill="1" applyBorder="1" applyAlignment="1">
      <alignment horizontal="right" wrapText="1"/>
    </xf>
    <xf numFmtId="0" fontId="24" fillId="2" borderId="2" xfId="14" applyFont="1" applyFill="1" applyBorder="1" applyAlignment="1">
      <alignment horizontal="center"/>
    </xf>
    <xf numFmtId="0" fontId="24" fillId="0" borderId="1" xfId="14" applyFont="1" applyFill="1" applyBorder="1" applyAlignment="1">
      <alignment wrapText="1"/>
    </xf>
    <xf numFmtId="171" fontId="24" fillId="0" borderId="1" xfId="14" applyNumberFormat="1" applyFont="1" applyFill="1" applyBorder="1" applyAlignment="1">
      <alignment horizontal="right" wrapText="1"/>
    </xf>
    <xf numFmtId="4" fontId="24" fillId="0" borderId="1" xfId="14" applyNumberFormat="1" applyFont="1" applyFill="1" applyBorder="1" applyAlignment="1">
      <alignment horizontal="right" wrapText="1"/>
    </xf>
    <xf numFmtId="0" fontId="24" fillId="0" borderId="1" xfId="14" applyFont="1" applyFill="1" applyBorder="1" applyAlignment="1">
      <alignment horizontal="right" wrapText="1"/>
    </xf>
    <xf numFmtId="4" fontId="0" fillId="0" borderId="0" xfId="0" applyNumberFormat="1"/>
    <xf numFmtId="167" fontId="0" fillId="0" borderId="0" xfId="0" applyNumberFormat="1" applyFill="1" applyBorder="1"/>
    <xf numFmtId="167" fontId="0" fillId="0" borderId="0" xfId="0" applyNumberFormat="1" applyBorder="1" applyAlignment="1">
      <alignment horizontal="right"/>
    </xf>
    <xf numFmtId="167" fontId="0" fillId="0" borderId="0" xfId="0" applyNumberFormat="1" applyBorder="1"/>
    <xf numFmtId="167" fontId="0" fillId="0" borderId="0" xfId="0" applyNumberFormat="1"/>
    <xf numFmtId="0" fontId="26" fillId="2" borderId="2" xfId="15" applyFont="1" applyFill="1" applyBorder="1" applyAlignment="1">
      <alignment horizontal="center"/>
    </xf>
    <xf numFmtId="0" fontId="26" fillId="0" borderId="1" xfId="15" applyFont="1" applyFill="1" applyBorder="1" applyAlignment="1">
      <alignment wrapText="1"/>
    </xf>
    <xf numFmtId="171" fontId="26" fillId="0" borderId="1" xfId="15" applyNumberFormat="1" applyFont="1" applyFill="1" applyBorder="1" applyAlignment="1">
      <alignment horizontal="right" wrapText="1"/>
    </xf>
    <xf numFmtId="4" fontId="26" fillId="0" borderId="1" xfId="15" applyNumberFormat="1" applyFont="1" applyFill="1" applyBorder="1" applyAlignment="1">
      <alignment horizontal="right" wrapText="1"/>
    </xf>
    <xf numFmtId="0" fontId="26" fillId="0" borderId="1" xfId="15" applyFont="1" applyFill="1" applyBorder="1" applyAlignment="1">
      <alignment horizontal="right" wrapText="1"/>
    </xf>
    <xf numFmtId="0" fontId="28" fillId="2" borderId="2" xfId="16" applyFont="1" applyFill="1" applyBorder="1" applyAlignment="1">
      <alignment horizontal="center"/>
    </xf>
    <xf numFmtId="0" fontId="28" fillId="0" borderId="1" xfId="16" applyFont="1" applyFill="1" applyBorder="1" applyAlignment="1">
      <alignment wrapText="1"/>
    </xf>
    <xf numFmtId="171" fontId="28" fillId="0" borderId="1" xfId="16" applyNumberFormat="1" applyFont="1" applyFill="1" applyBorder="1" applyAlignment="1">
      <alignment horizontal="right" wrapText="1"/>
    </xf>
    <xf numFmtId="4" fontId="28" fillId="0" borderId="1" xfId="16" applyNumberFormat="1" applyFont="1" applyFill="1" applyBorder="1" applyAlignment="1">
      <alignment horizontal="right" wrapText="1"/>
    </xf>
    <xf numFmtId="0" fontId="28" fillId="0" borderId="1" xfId="16" applyFont="1" applyFill="1" applyBorder="1" applyAlignment="1">
      <alignment horizontal="right" wrapText="1"/>
    </xf>
    <xf numFmtId="3" fontId="14" fillId="0" borderId="1" xfId="3" applyNumberFormat="1" applyFont="1" applyFill="1" applyBorder="1" applyAlignment="1">
      <alignment horizontal="right" wrapText="1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167" fontId="0" fillId="0" borderId="0" xfId="1" applyNumberFormat="1" applyFont="1" applyFill="1" applyBorder="1" applyAlignment="1">
      <alignment horizontal="center"/>
    </xf>
    <xf numFmtId="0" fontId="30" fillId="2" borderId="2" xfId="17" applyFont="1" applyFill="1" applyBorder="1" applyAlignment="1">
      <alignment horizontal="center"/>
    </xf>
    <xf numFmtId="0" fontId="30" fillId="0" borderId="1" xfId="17" applyFont="1" applyFill="1" applyBorder="1" applyAlignment="1">
      <alignment wrapText="1"/>
    </xf>
    <xf numFmtId="171" fontId="30" fillId="0" borderId="1" xfId="17" applyNumberFormat="1" applyFont="1" applyFill="1" applyBorder="1" applyAlignment="1">
      <alignment horizontal="right" wrapText="1"/>
    </xf>
    <xf numFmtId="4" fontId="30" fillId="0" borderId="1" xfId="17" applyNumberFormat="1" applyFont="1" applyFill="1" applyBorder="1" applyAlignment="1">
      <alignment horizontal="right" wrapText="1"/>
    </xf>
    <xf numFmtId="0" fontId="30" fillId="0" borderId="1" xfId="17" applyFont="1" applyFill="1" applyBorder="1" applyAlignment="1">
      <alignment horizontal="right" wrapText="1"/>
    </xf>
    <xf numFmtId="16" fontId="9" fillId="0" borderId="0" xfId="0" applyNumberFormat="1" applyFont="1" applyFill="1" applyBorder="1" applyAlignment="1">
      <alignment horizontal="center"/>
    </xf>
    <xf numFmtId="16" fontId="9" fillId="0" borderId="8" xfId="0" applyNumberFormat="1" applyFont="1" applyFill="1" applyBorder="1" applyAlignment="1">
      <alignment horizontal="center"/>
    </xf>
    <xf numFmtId="3" fontId="9" fillId="0" borderId="7" xfId="0" applyNumberFormat="1" applyFont="1" applyFill="1" applyBorder="1" applyAlignment="1">
      <alignment horizontal="center"/>
    </xf>
    <xf numFmtId="3" fontId="30" fillId="0" borderId="1" xfId="17" applyNumberFormat="1" applyFont="1" applyFill="1" applyBorder="1" applyAlignment="1">
      <alignment horizontal="right" wrapText="1"/>
    </xf>
    <xf numFmtId="0" fontId="32" fillId="2" borderId="2" xfId="18" applyFont="1" applyFill="1" applyBorder="1" applyAlignment="1">
      <alignment horizontal="center"/>
    </xf>
    <xf numFmtId="0" fontId="32" fillId="0" borderId="1" xfId="18" applyFont="1" applyFill="1" applyBorder="1" applyAlignment="1">
      <alignment wrapText="1"/>
    </xf>
    <xf numFmtId="171" fontId="32" fillId="0" borderId="1" xfId="18" applyNumberFormat="1" applyFont="1" applyFill="1" applyBorder="1" applyAlignment="1">
      <alignment horizontal="right" wrapText="1"/>
    </xf>
    <xf numFmtId="4" fontId="32" fillId="0" borderId="1" xfId="18" applyNumberFormat="1" applyFont="1" applyFill="1" applyBorder="1" applyAlignment="1">
      <alignment horizontal="right" wrapText="1"/>
    </xf>
    <xf numFmtId="0" fontId="32" fillId="0" borderId="1" xfId="18" applyFont="1" applyFill="1" applyBorder="1" applyAlignment="1">
      <alignment horizontal="right" wrapText="1"/>
    </xf>
    <xf numFmtId="0" fontId="34" fillId="2" borderId="2" xfId="19" applyFont="1" applyFill="1" applyBorder="1" applyAlignment="1">
      <alignment horizontal="center"/>
    </xf>
    <xf numFmtId="0" fontId="34" fillId="0" borderId="1" xfId="19" applyFont="1" applyFill="1" applyBorder="1" applyAlignment="1">
      <alignment wrapText="1"/>
    </xf>
    <xf numFmtId="171" fontId="34" fillId="0" borderId="1" xfId="19" applyNumberFormat="1" applyFont="1" applyFill="1" applyBorder="1" applyAlignment="1">
      <alignment horizontal="right" wrapText="1"/>
    </xf>
    <xf numFmtId="4" fontId="34" fillId="0" borderId="1" xfId="19" applyNumberFormat="1" applyFont="1" applyFill="1" applyBorder="1" applyAlignment="1">
      <alignment horizontal="right" wrapText="1"/>
    </xf>
    <xf numFmtId="0" fontId="34" fillId="0" borderId="1" xfId="19" applyFont="1" applyFill="1" applyBorder="1" applyAlignment="1">
      <alignment horizontal="right" wrapText="1"/>
    </xf>
    <xf numFmtId="0" fontId="3" fillId="2" borderId="2" xfId="8" applyFont="1" applyFill="1" applyBorder="1" applyAlignment="1">
      <alignment horizontal="center"/>
    </xf>
    <xf numFmtId="0" fontId="3" fillId="0" borderId="1" xfId="8" applyFont="1" applyFill="1" applyBorder="1" applyAlignment="1">
      <alignment horizontal="right" wrapText="1"/>
    </xf>
    <xf numFmtId="0" fontId="3" fillId="0" borderId="1" xfId="8" applyFont="1" applyFill="1" applyBorder="1" applyAlignment="1">
      <alignment wrapText="1"/>
    </xf>
    <xf numFmtId="171" fontId="3" fillId="0" borderId="1" xfId="8" applyNumberFormat="1" applyFont="1" applyFill="1" applyBorder="1" applyAlignment="1">
      <alignment horizontal="right" wrapText="1"/>
    </xf>
    <xf numFmtId="0" fontId="3" fillId="2" borderId="2" xfId="3" applyFont="1" applyFill="1" applyBorder="1" applyAlignment="1">
      <alignment horizontal="center"/>
    </xf>
    <xf numFmtId="0" fontId="3" fillId="0" borderId="1" xfId="3" applyFont="1" applyFill="1" applyBorder="1" applyAlignment="1">
      <alignment horizontal="right" wrapText="1"/>
    </xf>
    <xf numFmtId="0" fontId="3" fillId="0" borderId="1" xfId="3" applyFont="1" applyFill="1" applyBorder="1" applyAlignment="1">
      <alignment wrapText="1"/>
    </xf>
    <xf numFmtId="171" fontId="3" fillId="0" borderId="1" xfId="3" applyNumberFormat="1" applyFont="1" applyFill="1" applyBorder="1" applyAlignment="1">
      <alignment horizontal="right" wrapText="1"/>
    </xf>
    <xf numFmtId="0" fontId="2" fillId="0" borderId="0" xfId="0" applyFont="1" applyFill="1" applyAlignment="1">
      <alignment horizontal="right"/>
    </xf>
    <xf numFmtId="0" fontId="3" fillId="2" borderId="2" xfId="4" applyFont="1" applyFill="1" applyBorder="1" applyAlignment="1">
      <alignment horizontal="center"/>
    </xf>
    <xf numFmtId="0" fontId="3" fillId="0" borderId="1" xfId="4" applyFont="1" applyFill="1" applyBorder="1" applyAlignment="1">
      <alignment horizontal="center" wrapText="1"/>
    </xf>
    <xf numFmtId="171" fontId="3" fillId="0" borderId="1" xfId="4" applyNumberFormat="1" applyFont="1" applyFill="1" applyBorder="1" applyAlignment="1">
      <alignment horizontal="center" wrapText="1"/>
    </xf>
    <xf numFmtId="172" fontId="9" fillId="0" borderId="0" xfId="0" applyNumberFormat="1" applyFont="1" applyFill="1" applyBorder="1" applyAlignment="1">
      <alignment horizontal="center"/>
    </xf>
    <xf numFmtId="0" fontId="9" fillId="0" borderId="0" xfId="0" applyFont="1" applyBorder="1" applyAlignment="1"/>
    <xf numFmtId="169" fontId="9" fillId="0" borderId="0" xfId="0" applyNumberFormat="1" applyFont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168" fontId="9" fillId="0" borderId="34" xfId="0" applyNumberFormat="1" applyFont="1" applyFill="1" applyBorder="1" applyAlignment="1">
      <alignment horizontal="center"/>
    </xf>
    <xf numFmtId="168" fontId="5" fillId="0" borderId="34" xfId="0" applyNumberFormat="1" applyFont="1" applyFill="1" applyBorder="1" applyAlignment="1">
      <alignment horizontal="center"/>
    </xf>
    <xf numFmtId="168" fontId="9" fillId="0" borderId="35" xfId="0" applyNumberFormat="1" applyFont="1" applyFill="1" applyBorder="1" applyAlignment="1">
      <alignment horizontal="center"/>
    </xf>
    <xf numFmtId="168" fontId="9" fillId="0" borderId="22" xfId="0" applyNumberFormat="1" applyFont="1" applyFill="1" applyBorder="1" applyAlignment="1">
      <alignment horizontal="center"/>
    </xf>
    <xf numFmtId="3" fontId="9" fillId="0" borderId="35" xfId="0" applyNumberFormat="1" applyFont="1" applyFill="1" applyBorder="1" applyAlignment="1">
      <alignment horizontal="center"/>
    </xf>
    <xf numFmtId="3" fontId="9" fillId="0" borderId="34" xfId="0" applyNumberFormat="1" applyFont="1" applyFill="1" applyBorder="1" applyAlignment="1">
      <alignment horizontal="center"/>
    </xf>
    <xf numFmtId="1" fontId="9" fillId="0" borderId="50" xfId="0" applyNumberFormat="1" applyFont="1" applyFill="1" applyBorder="1" applyAlignment="1">
      <alignment horizontal="center"/>
    </xf>
    <xf numFmtId="1" fontId="9" fillId="0" borderId="51" xfId="0" applyNumberFormat="1" applyFont="1" applyFill="1" applyBorder="1" applyAlignment="1">
      <alignment horizontal="center"/>
    </xf>
    <xf numFmtId="1" fontId="9" fillId="0" borderId="52" xfId="0" applyNumberFormat="1" applyFont="1" applyFill="1" applyBorder="1" applyAlignment="1">
      <alignment horizontal="center"/>
    </xf>
    <xf numFmtId="3" fontId="9" fillId="0" borderId="54" xfId="0" applyNumberFormat="1" applyFont="1" applyFill="1" applyBorder="1" applyAlignment="1">
      <alignment horizontal="center"/>
    </xf>
    <xf numFmtId="3" fontId="9" fillId="0" borderId="55" xfId="0" applyNumberFormat="1" applyFont="1" applyFill="1" applyBorder="1" applyAlignment="1">
      <alignment horizontal="center"/>
    </xf>
    <xf numFmtId="3" fontId="9" fillId="0" borderId="63" xfId="0" applyNumberFormat="1" applyFont="1" applyFill="1" applyBorder="1" applyAlignment="1">
      <alignment horizontal="center"/>
    </xf>
    <xf numFmtId="3" fontId="5" fillId="0" borderId="67" xfId="0" applyNumberFormat="1" applyFont="1" applyFill="1" applyBorder="1" applyAlignment="1">
      <alignment horizontal="center"/>
    </xf>
    <xf numFmtId="168" fontId="5" fillId="0" borderId="25" xfId="0" applyNumberFormat="1" applyFont="1" applyFill="1" applyBorder="1" applyAlignment="1">
      <alignment horizontal="center"/>
    </xf>
    <xf numFmtId="1" fontId="5" fillId="0" borderId="24" xfId="0" applyNumberFormat="1" applyFont="1" applyFill="1" applyBorder="1" applyAlignment="1">
      <alignment horizontal="center"/>
    </xf>
    <xf numFmtId="3" fontId="9" fillId="0" borderId="71" xfId="0" applyNumberFormat="1" applyFont="1" applyFill="1" applyBorder="1" applyAlignment="1">
      <alignment horizontal="center"/>
    </xf>
    <xf numFmtId="3" fontId="9" fillId="0" borderId="72" xfId="0" applyNumberFormat="1" applyFont="1" applyFill="1" applyBorder="1" applyAlignment="1">
      <alignment horizontal="center"/>
    </xf>
    <xf numFmtId="0" fontId="9" fillId="0" borderId="73" xfId="0" applyFont="1" applyBorder="1" applyAlignment="1"/>
    <xf numFmtId="0" fontId="9" fillId="0" borderId="76" xfId="0" applyFont="1" applyBorder="1" applyAlignment="1"/>
    <xf numFmtId="1" fontId="9" fillId="0" borderId="75" xfId="0" applyNumberFormat="1" applyFont="1" applyBorder="1" applyAlignment="1"/>
    <xf numFmtId="0" fontId="9" fillId="0" borderId="77" xfId="0" applyFont="1" applyBorder="1" applyAlignment="1"/>
    <xf numFmtId="1" fontId="9" fillId="0" borderId="77" xfId="0" applyNumberFormat="1" applyFont="1" applyBorder="1" applyAlignment="1"/>
    <xf numFmtId="0" fontId="9" fillId="0" borderId="78" xfId="0" applyFont="1" applyBorder="1" applyAlignment="1"/>
    <xf numFmtId="0" fontId="9" fillId="0" borderId="5" xfId="0" applyFont="1" applyFill="1" applyBorder="1" applyAlignment="1">
      <alignment horizontal="center"/>
    </xf>
    <xf numFmtId="0" fontId="9" fillId="0" borderId="41" xfId="0" applyFont="1" applyFill="1" applyBorder="1" applyAlignment="1">
      <alignment horizontal="center"/>
    </xf>
    <xf numFmtId="0" fontId="9" fillId="0" borderId="33" xfId="0" applyFont="1" applyFill="1" applyBorder="1" applyAlignment="1">
      <alignment horizontal="center"/>
    </xf>
    <xf numFmtId="0" fontId="9" fillId="0" borderId="48" xfId="0" applyFont="1" applyFill="1" applyBorder="1" applyAlignment="1">
      <alignment horizontal="center"/>
    </xf>
    <xf numFmtId="0" fontId="9" fillId="0" borderId="49" xfId="0" applyFont="1" applyFill="1" applyBorder="1" applyAlignment="1">
      <alignment horizontal="center"/>
    </xf>
    <xf numFmtId="0" fontId="9" fillId="0" borderId="60" xfId="0" applyFont="1" applyFill="1" applyBorder="1" applyAlignment="1">
      <alignment horizontal="center"/>
    </xf>
    <xf numFmtId="0" fontId="9" fillId="0" borderId="61" xfId="0" applyFont="1" applyFill="1" applyBorder="1" applyAlignment="1">
      <alignment horizontal="center"/>
    </xf>
    <xf numFmtId="0" fontId="9" fillId="0" borderId="47" xfId="0" applyFont="1" applyFill="1" applyBorder="1" applyAlignment="1">
      <alignment horizontal="center"/>
    </xf>
    <xf numFmtId="0" fontId="9" fillId="0" borderId="42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46" xfId="0" applyFont="1" applyFill="1" applyBorder="1" applyAlignment="1">
      <alignment horizontal="center"/>
    </xf>
    <xf numFmtId="0" fontId="9" fillId="0" borderId="44" xfId="0" applyFont="1" applyFill="1" applyBorder="1" applyAlignment="1">
      <alignment horizontal="center"/>
    </xf>
    <xf numFmtId="3" fontId="9" fillId="0" borderId="62" xfId="0" applyNumberFormat="1" applyFont="1" applyFill="1" applyBorder="1" applyAlignment="1">
      <alignment horizontal="center"/>
    </xf>
    <xf numFmtId="3" fontId="5" fillId="0" borderId="31" xfId="0" applyNumberFormat="1" applyFont="1" applyFill="1" applyBorder="1" applyAlignment="1">
      <alignment horizontal="center"/>
    </xf>
    <xf numFmtId="168" fontId="5" fillId="0" borderId="64" xfId="0" applyNumberFormat="1" applyFont="1" applyFill="1" applyBorder="1" applyAlignment="1">
      <alignment horizontal="center"/>
    </xf>
    <xf numFmtId="1" fontId="5" fillId="0" borderId="30" xfId="0" applyNumberFormat="1" applyFont="1" applyFill="1" applyBorder="1" applyAlignment="1">
      <alignment horizontal="center"/>
    </xf>
    <xf numFmtId="3" fontId="5" fillId="0" borderId="45" xfId="0" applyNumberFormat="1" applyFont="1" applyFill="1" applyBorder="1" applyAlignment="1">
      <alignment horizontal="center"/>
    </xf>
    <xf numFmtId="3" fontId="5" fillId="0" borderId="65" xfId="0" applyNumberFormat="1" applyFont="1" applyFill="1" applyBorder="1" applyAlignment="1">
      <alignment horizontal="center"/>
    </xf>
    <xf numFmtId="168" fontId="5" fillId="0" borderId="22" xfId="0" applyNumberFormat="1" applyFont="1" applyFill="1" applyBorder="1" applyAlignment="1">
      <alignment horizontal="center"/>
    </xf>
    <xf numFmtId="1" fontId="5" fillId="0" borderId="21" xfId="0" applyNumberFormat="1" applyFont="1" applyFill="1" applyBorder="1" applyAlignment="1">
      <alignment horizontal="center"/>
    </xf>
    <xf numFmtId="3" fontId="5" fillId="0" borderId="66" xfId="0" applyNumberFormat="1" applyFont="1" applyFill="1" applyBorder="1" applyAlignment="1">
      <alignment horizontal="center"/>
    </xf>
    <xf numFmtId="3" fontId="5" fillId="0" borderId="69" xfId="0" applyNumberFormat="1" applyFont="1" applyFill="1" applyBorder="1" applyAlignment="1">
      <alignment horizontal="center"/>
    </xf>
    <xf numFmtId="168" fontId="5" fillId="0" borderId="36" xfId="0" applyNumberFormat="1" applyFont="1" applyFill="1" applyBorder="1" applyAlignment="1">
      <alignment horizontal="center"/>
    </xf>
    <xf numFmtId="1" fontId="5" fillId="0" borderId="27" xfId="0" applyNumberFormat="1" applyFont="1" applyFill="1" applyBorder="1" applyAlignment="1">
      <alignment horizontal="center"/>
    </xf>
    <xf numFmtId="3" fontId="5" fillId="0" borderId="70" xfId="0" applyNumberFormat="1" applyFont="1" applyFill="1" applyBorder="1" applyAlignment="1">
      <alignment horizontal="center"/>
    </xf>
    <xf numFmtId="3" fontId="5" fillId="0" borderId="68" xfId="0" applyNumberFormat="1" applyFont="1" applyFill="1" applyBorder="1" applyAlignment="1">
      <alignment horizontal="center"/>
    </xf>
    <xf numFmtId="3" fontId="5" fillId="0" borderId="71" xfId="0" applyNumberFormat="1" applyFont="1" applyFill="1" applyBorder="1" applyAlignment="1">
      <alignment horizontal="center"/>
    </xf>
    <xf numFmtId="1" fontId="5" fillId="0" borderId="51" xfId="0" applyNumberFormat="1" applyFont="1" applyFill="1" applyBorder="1" applyAlignment="1">
      <alignment horizontal="center"/>
    </xf>
    <xf numFmtId="3" fontId="5" fillId="0" borderId="34" xfId="0" applyNumberFormat="1" applyFont="1" applyFill="1" applyBorder="1" applyAlignment="1">
      <alignment horizontal="center"/>
    </xf>
    <xf numFmtId="3" fontId="5" fillId="0" borderId="54" xfId="0" applyNumberFormat="1" applyFont="1" applyFill="1" applyBorder="1" applyAlignment="1">
      <alignment horizontal="center"/>
    </xf>
    <xf numFmtId="0" fontId="9" fillId="0" borderId="43" xfId="0" applyFont="1" applyFill="1" applyBorder="1" applyAlignment="1">
      <alignment horizontal="center"/>
    </xf>
    <xf numFmtId="3" fontId="5" fillId="0" borderId="80" xfId="0" applyNumberFormat="1" applyFont="1" applyFill="1" applyBorder="1" applyAlignment="1">
      <alignment horizontal="center"/>
    </xf>
    <xf numFmtId="3" fontId="5" fillId="0" borderId="81" xfId="0" applyNumberFormat="1" applyFont="1" applyFill="1" applyBorder="1" applyAlignment="1">
      <alignment horizontal="center"/>
    </xf>
    <xf numFmtId="3" fontId="5" fillId="0" borderId="32" xfId="0" applyNumberFormat="1" applyFont="1" applyFill="1" applyBorder="1" applyAlignment="1">
      <alignment horizontal="center"/>
    </xf>
    <xf numFmtId="3" fontId="5" fillId="0" borderId="37" xfId="0" applyNumberFormat="1" applyFont="1" applyFill="1" applyBorder="1" applyAlignment="1">
      <alignment horizontal="center"/>
    </xf>
    <xf numFmtId="3" fontId="5" fillId="0" borderId="82" xfId="0" applyNumberFormat="1" applyFont="1" applyFill="1" applyBorder="1" applyAlignment="1">
      <alignment horizontal="center"/>
    </xf>
    <xf numFmtId="3" fontId="9" fillId="0" borderId="83" xfId="0" applyNumberFormat="1" applyFont="1" applyFill="1" applyBorder="1" applyAlignment="1">
      <alignment horizontal="center"/>
    </xf>
    <xf numFmtId="3" fontId="9" fillId="0" borderId="82" xfId="0" applyNumberFormat="1" applyFont="1" applyFill="1" applyBorder="1" applyAlignment="1">
      <alignment horizontal="center"/>
    </xf>
    <xf numFmtId="3" fontId="9" fillId="0" borderId="81" xfId="0" applyNumberFormat="1" applyFont="1" applyFill="1" applyBorder="1" applyAlignment="1">
      <alignment horizontal="center"/>
    </xf>
    <xf numFmtId="169" fontId="9" fillId="0" borderId="84" xfId="0" applyNumberFormat="1" applyFont="1" applyBorder="1" applyAlignment="1">
      <alignment horizontal="center"/>
    </xf>
    <xf numFmtId="3" fontId="5" fillId="0" borderId="50" xfId="0" applyNumberFormat="1" applyFont="1" applyFill="1" applyBorder="1" applyAlignment="1">
      <alignment horizontal="center"/>
    </xf>
    <xf numFmtId="3" fontId="5" fillId="0" borderId="52" xfId="0" applyNumberFormat="1" applyFont="1" applyFill="1" applyBorder="1" applyAlignment="1">
      <alignment horizontal="center"/>
    </xf>
    <xf numFmtId="3" fontId="5" fillId="0" borderId="15" xfId="0" applyNumberFormat="1" applyFont="1" applyFill="1" applyBorder="1" applyAlignment="1">
      <alignment horizontal="center"/>
    </xf>
    <xf numFmtId="3" fontId="5" fillId="0" borderId="53" xfId="0" applyNumberFormat="1" applyFont="1" applyFill="1" applyBorder="1" applyAlignment="1">
      <alignment horizontal="center"/>
    </xf>
    <xf numFmtId="0" fontId="9" fillId="0" borderId="85" xfId="0" applyFont="1" applyFill="1" applyBorder="1" applyAlignment="1"/>
    <xf numFmtId="0" fontId="9" fillId="0" borderId="86" xfId="0" applyFont="1" applyFill="1" applyBorder="1" applyAlignment="1">
      <alignment horizontal="center"/>
    </xf>
    <xf numFmtId="16" fontId="5" fillId="0" borderId="87" xfId="0" applyNumberFormat="1" applyFont="1" applyFill="1" applyBorder="1" applyAlignment="1">
      <alignment horizontal="center"/>
    </xf>
    <xf numFmtId="16" fontId="5" fillId="0" borderId="88" xfId="0" applyNumberFormat="1" applyFont="1" applyFill="1" applyBorder="1" applyAlignment="1">
      <alignment horizontal="center"/>
    </xf>
    <xf numFmtId="16" fontId="5" fillId="0" borderId="89" xfId="0" applyNumberFormat="1" applyFont="1" applyFill="1" applyBorder="1" applyAlignment="1">
      <alignment horizontal="center"/>
    </xf>
    <xf numFmtId="16" fontId="5" fillId="0" borderId="90" xfId="0" applyNumberFormat="1" applyFont="1" applyFill="1" applyBorder="1" applyAlignment="1">
      <alignment horizontal="center"/>
    </xf>
    <xf numFmtId="16" fontId="5" fillId="0" borderId="57" xfId="0" applyNumberFormat="1" applyFont="1" applyFill="1" applyBorder="1" applyAlignment="1">
      <alignment horizontal="center"/>
    </xf>
    <xf numFmtId="16" fontId="9" fillId="0" borderId="56" xfId="0" applyNumberFormat="1" applyFont="1" applyFill="1" applyBorder="1" applyAlignment="1">
      <alignment horizontal="left"/>
    </xf>
    <xf numFmtId="16" fontId="9" fillId="0" borderId="57" xfId="0" applyNumberFormat="1" applyFont="1" applyFill="1" applyBorder="1" applyAlignment="1">
      <alignment horizontal="left"/>
    </xf>
    <xf numFmtId="16" fontId="9" fillId="0" borderId="58" xfId="0" applyNumberFormat="1" applyFont="1" applyFill="1" applyBorder="1" applyAlignment="1">
      <alignment horizontal="left"/>
    </xf>
    <xf numFmtId="0" fontId="8" fillId="0" borderId="59" xfId="0" applyFont="1" applyBorder="1" applyAlignment="1">
      <alignment horizontal="left"/>
    </xf>
    <xf numFmtId="0" fontId="0" fillId="0" borderId="74" xfId="0" applyBorder="1"/>
    <xf numFmtId="0" fontId="36" fillId="0" borderId="5" xfId="0" applyFont="1" applyBorder="1" applyAlignment="1">
      <alignment horizontal="left" vertical="center"/>
    </xf>
    <xf numFmtId="3" fontId="5" fillId="0" borderId="91" xfId="0" applyNumberFormat="1" applyFont="1" applyFill="1" applyBorder="1" applyAlignment="1">
      <alignment horizontal="center"/>
    </xf>
    <xf numFmtId="169" fontId="9" fillId="0" borderId="37" xfId="0" applyNumberFormat="1" applyFont="1" applyBorder="1" applyAlignment="1">
      <alignment horizontal="center"/>
    </xf>
    <xf numFmtId="3" fontId="9" fillId="0" borderId="52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6" fontId="9" fillId="0" borderId="26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6" fontId="5" fillId="0" borderId="4" xfId="0" applyNumberFormat="1" applyFont="1" applyFill="1" applyBorder="1" applyAlignment="1">
      <alignment horizontal="center"/>
    </xf>
    <xf numFmtId="16" fontId="5" fillId="0" borderId="3" xfId="0" applyNumberFormat="1" applyFont="1" applyFill="1" applyBorder="1" applyAlignment="1">
      <alignment horizontal="center"/>
    </xf>
    <xf numFmtId="16" fontId="5" fillId="0" borderId="11" xfId="0" applyNumberFormat="1" applyFont="1" applyFill="1" applyBorder="1" applyAlignment="1">
      <alignment horizontal="center"/>
    </xf>
    <xf numFmtId="3" fontId="9" fillId="0" borderId="38" xfId="0" applyNumberFormat="1" applyFont="1" applyFill="1" applyBorder="1" applyAlignment="1">
      <alignment horizontal="center"/>
    </xf>
    <xf numFmtId="3" fontId="9" fillId="0" borderId="79" xfId="0" applyNumberFormat="1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9" fillId="0" borderId="39" xfId="0" applyFont="1" applyFill="1" applyBorder="1" applyAlignment="1">
      <alignment horizontal="center"/>
    </xf>
    <xf numFmtId="0" fontId="9" fillId="0" borderId="40" xfId="0" applyFont="1" applyFill="1" applyBorder="1" applyAlignment="1">
      <alignment horizontal="center"/>
    </xf>
    <xf numFmtId="16" fontId="9" fillId="0" borderId="38" xfId="0" applyNumberFormat="1" applyFont="1" applyFill="1" applyBorder="1" applyAlignment="1">
      <alignment horizontal="center"/>
    </xf>
    <xf numFmtId="16" fontId="9" fillId="0" borderId="39" xfId="0" applyNumberFormat="1" applyFont="1" applyFill="1" applyBorder="1" applyAlignment="1">
      <alignment horizontal="center"/>
    </xf>
    <xf numFmtId="16" fontId="9" fillId="0" borderId="40" xfId="0" applyNumberFormat="1" applyFont="1" applyFill="1" applyBorder="1" applyAlignment="1">
      <alignment horizontal="center"/>
    </xf>
  </cellXfs>
  <cellStyles count="20">
    <cellStyle name="Comma" xfId="1" builtinId="3"/>
    <cellStyle name="Normal" xfId="0" builtinId="0"/>
    <cellStyle name="Normal_Cop Wastage" xfId="8" xr:uid="{00000000-0005-0000-0000-000002000000}"/>
    <cellStyle name="Normal_Cop Wastage_2" xfId="11" xr:uid="{00000000-0005-0000-0000-000003000000}"/>
    <cellStyle name="Normal_Copy Sheet" xfId="12" xr:uid="{00000000-0005-0000-0000-000004000000}"/>
    <cellStyle name="Normal_Copy Sheet_1" xfId="13" xr:uid="{00000000-0005-0000-0000-000005000000}"/>
    <cellStyle name="Normal_Copy Sheet_2" xfId="14" xr:uid="{00000000-0005-0000-0000-000006000000}"/>
    <cellStyle name="Normal_Copy Sheet_3" xfId="15" xr:uid="{00000000-0005-0000-0000-000007000000}"/>
    <cellStyle name="Normal_Copy Sheet_4" xfId="16" xr:uid="{00000000-0005-0000-0000-000008000000}"/>
    <cellStyle name="Normal_Copy Sheet_5" xfId="17" xr:uid="{00000000-0005-0000-0000-000009000000}"/>
    <cellStyle name="Normal_Copy Sheet_6" xfId="18" xr:uid="{00000000-0005-0000-0000-00000A000000}"/>
    <cellStyle name="Normal_Copy Sheet_7" xfId="19" xr:uid="{00000000-0005-0000-0000-00000B000000}"/>
    <cellStyle name="Normal_LB Wastage" xfId="6" xr:uid="{00000000-0005-0000-0000-00000C000000}"/>
    <cellStyle name="Normal_LB Wastage_1" xfId="9" xr:uid="{00000000-0005-0000-0000-00000D000000}"/>
    <cellStyle name="Normal_Moc Wastage" xfId="4" xr:uid="{00000000-0005-0000-0000-00000E000000}"/>
    <cellStyle name="Normal_Moc Wastage_1" xfId="10" xr:uid="{00000000-0005-0000-0000-00000F000000}"/>
    <cellStyle name="Normal_Sheet3" xfId="5" xr:uid="{00000000-0005-0000-0000-000010000000}"/>
    <cellStyle name="Normal_TH Wastage" xfId="3" xr:uid="{00000000-0005-0000-0000-000011000000}"/>
    <cellStyle name="Normal_TH Wastage_2" xfId="7" xr:uid="{00000000-0005-0000-0000-000012000000}"/>
    <cellStyle name="Percent" xfId="2" builtinId="5"/>
  </cellStyles>
  <dxfs count="0"/>
  <tableStyles count="0" defaultTableStyle="TableStyleMedium9" defaultPivotStyle="PivotStyleLight16"/>
  <colors>
    <mruColors>
      <color rgb="FF99FFCC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05"/>
  <sheetViews>
    <sheetView zoomScaleNormal="100" workbookViewId="0">
      <selection activeCell="Q3" sqref="Q3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8.28515625" bestFit="1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8.140625" bestFit="1" customWidth="1"/>
    <col min="16" max="16" width="17.42578125" bestFit="1" customWidth="1"/>
  </cols>
  <sheetData>
    <row r="1" spans="1:17" x14ac:dyDescent="0.25">
      <c r="A1" s="174" t="s">
        <v>8</v>
      </c>
      <c r="B1" s="174" t="s">
        <v>5</v>
      </c>
      <c r="C1" s="174" t="s">
        <v>6</v>
      </c>
      <c r="D1" s="174" t="s">
        <v>7</v>
      </c>
      <c r="E1" s="324" t="s">
        <v>0</v>
      </c>
      <c r="F1" s="324"/>
      <c r="G1" s="324" t="s">
        <v>1</v>
      </c>
      <c r="H1" s="324"/>
      <c r="I1" s="324" t="s">
        <v>2</v>
      </c>
      <c r="J1" s="324"/>
      <c r="K1" s="324" t="s">
        <v>3</v>
      </c>
      <c r="L1" s="324"/>
      <c r="M1" s="324" t="s">
        <v>4</v>
      </c>
      <c r="N1" s="324"/>
      <c r="O1" s="174" t="s">
        <v>11</v>
      </c>
    </row>
    <row r="2" spans="1:17" x14ac:dyDescent="0.25">
      <c r="A2" s="4">
        <v>42657</v>
      </c>
      <c r="B2" s="5">
        <v>42657</v>
      </c>
      <c r="C2" s="78">
        <v>0.2</v>
      </c>
      <c r="D2" s="6">
        <v>0.74652777777777779</v>
      </c>
      <c r="E2" s="53"/>
      <c r="F2" s="8" t="s">
        <v>58</v>
      </c>
      <c r="G2" s="155" t="s">
        <v>59</v>
      </c>
      <c r="H2" s="8">
        <v>0</v>
      </c>
      <c r="I2" s="155" t="s">
        <v>59</v>
      </c>
      <c r="J2" s="8">
        <v>0</v>
      </c>
      <c r="K2" s="155" t="s">
        <v>59</v>
      </c>
      <c r="L2" s="8">
        <v>0</v>
      </c>
      <c r="M2" s="55"/>
      <c r="N2" s="8" t="s">
        <v>58</v>
      </c>
      <c r="O2" s="162">
        <f t="shared" ref="O2:O4" si="0">+H2+J2+L2</f>
        <v>0</v>
      </c>
      <c r="Q2" s="15">
        <f>SUM(O2:O7)</f>
        <v>38959.262504650651</v>
      </c>
    </row>
    <row r="3" spans="1:17" x14ac:dyDescent="0.25">
      <c r="A3" s="4">
        <v>42658</v>
      </c>
      <c r="B3" s="5">
        <v>42658</v>
      </c>
      <c r="C3" s="78">
        <v>-0.6</v>
      </c>
      <c r="D3" s="6">
        <v>0.77916666666666667</v>
      </c>
      <c r="E3" s="54"/>
      <c r="F3" s="8" t="s">
        <v>58</v>
      </c>
      <c r="G3" s="155" t="s">
        <v>59</v>
      </c>
      <c r="H3" s="8">
        <v>0</v>
      </c>
      <c r="I3" s="155" t="s">
        <v>59</v>
      </c>
      <c r="J3" s="8">
        <v>0</v>
      </c>
      <c r="K3" s="155" t="s">
        <v>59</v>
      </c>
      <c r="L3" s="8">
        <v>0</v>
      </c>
      <c r="M3" s="55"/>
      <c r="N3" s="8" t="s">
        <v>58</v>
      </c>
      <c r="O3" s="162">
        <f t="shared" si="0"/>
        <v>0</v>
      </c>
    </row>
    <row r="4" spans="1:17" x14ac:dyDescent="0.25">
      <c r="A4" s="4">
        <v>42659</v>
      </c>
      <c r="B4" s="5">
        <v>42659</v>
      </c>
      <c r="C4" s="78">
        <v>-1.1000000000000001</v>
      </c>
      <c r="D4" s="6">
        <v>0.81111111111111112</v>
      </c>
      <c r="E4" s="135"/>
      <c r="F4" s="8" t="s">
        <v>58</v>
      </c>
      <c r="G4" s="8"/>
      <c r="H4" s="8">
        <v>5239.2730336810346</v>
      </c>
      <c r="I4" s="8"/>
      <c r="J4" s="8">
        <v>3931.0174425583086</v>
      </c>
      <c r="K4" s="7"/>
      <c r="L4" s="8">
        <v>3976.3840602871824</v>
      </c>
      <c r="M4" s="55"/>
      <c r="N4" s="8" t="s">
        <v>58</v>
      </c>
      <c r="O4" s="162">
        <f t="shared" si="0"/>
        <v>13146.674536526525</v>
      </c>
    </row>
    <row r="5" spans="1:17" x14ac:dyDescent="0.25">
      <c r="A5" s="4">
        <v>42660</v>
      </c>
      <c r="B5" s="5">
        <v>42660</v>
      </c>
      <c r="C5" s="78">
        <v>-1.4</v>
      </c>
      <c r="D5" s="6">
        <v>0.84444444444444444</v>
      </c>
      <c r="E5" s="54"/>
      <c r="F5" s="8" t="s">
        <v>58</v>
      </c>
      <c r="G5" s="8"/>
      <c r="H5" s="8">
        <v>14382.964745305237</v>
      </c>
      <c r="I5" s="8"/>
      <c r="J5" s="8" t="s">
        <v>58</v>
      </c>
      <c r="K5" s="7"/>
      <c r="L5" s="8" t="s">
        <v>58</v>
      </c>
      <c r="M5" s="55"/>
      <c r="N5" s="8" t="s">
        <v>58</v>
      </c>
      <c r="O5" s="162">
        <f>+H5</f>
        <v>14382.964745305237</v>
      </c>
    </row>
    <row r="6" spans="1:17" x14ac:dyDescent="0.25">
      <c r="A6" s="4">
        <v>42661</v>
      </c>
      <c r="B6" s="5">
        <v>42661</v>
      </c>
      <c r="C6" s="113">
        <v>-1.4</v>
      </c>
      <c r="D6" s="114">
        <v>0.87777777777777777</v>
      </c>
      <c r="E6" s="54"/>
      <c r="F6" s="8" t="s">
        <v>58</v>
      </c>
      <c r="G6" s="8"/>
      <c r="H6" s="8">
        <v>9038.1747323356722</v>
      </c>
      <c r="I6" s="8"/>
      <c r="J6" s="8" t="s">
        <v>58</v>
      </c>
      <c r="K6" s="7"/>
      <c r="L6" s="8" t="s">
        <v>58</v>
      </c>
      <c r="M6" s="55"/>
      <c r="N6" s="8" t="s">
        <v>58</v>
      </c>
      <c r="O6" s="162">
        <f>+H6</f>
        <v>9038.1747323356722</v>
      </c>
    </row>
    <row r="7" spans="1:17" x14ac:dyDescent="0.25">
      <c r="A7" s="4">
        <v>42662</v>
      </c>
      <c r="B7" s="5">
        <v>42662</v>
      </c>
      <c r="C7" s="113">
        <v>-1.1000000000000001</v>
      </c>
      <c r="D7" s="114">
        <v>0.91319444444444442</v>
      </c>
      <c r="E7" s="54"/>
      <c r="F7" s="8" t="s">
        <v>58</v>
      </c>
      <c r="G7" s="8"/>
      <c r="H7" s="8">
        <v>2391.4484904832107</v>
      </c>
      <c r="I7" s="8"/>
      <c r="J7" s="8" t="s">
        <v>58</v>
      </c>
      <c r="K7" s="7"/>
      <c r="L7" s="8" t="s">
        <v>58</v>
      </c>
      <c r="M7" s="55"/>
      <c r="N7" s="8" t="s">
        <v>58</v>
      </c>
      <c r="O7" s="162">
        <f>+H7</f>
        <v>2391.4484904832107</v>
      </c>
    </row>
    <row r="8" spans="1:17" x14ac:dyDescent="0.25">
      <c r="A8" s="4"/>
      <c r="B8" s="5"/>
      <c r="C8" s="113"/>
      <c r="D8" s="114"/>
      <c r="E8" s="54"/>
      <c r="F8" s="8"/>
      <c r="G8" s="135"/>
      <c r="H8" s="8"/>
      <c r="I8" s="8"/>
      <c r="J8" s="8"/>
      <c r="K8" s="8"/>
      <c r="L8" s="8"/>
      <c r="M8" s="55"/>
      <c r="N8" s="8"/>
      <c r="O8" s="162"/>
    </row>
    <row r="9" spans="1:17" x14ac:dyDescent="0.25">
      <c r="A9" s="4">
        <v>42691</v>
      </c>
      <c r="B9" s="91">
        <v>42691</v>
      </c>
      <c r="C9" s="78">
        <v>-1.3</v>
      </c>
      <c r="D9" s="6">
        <v>0.85902777777777772</v>
      </c>
      <c r="E9" s="135"/>
      <c r="F9" s="8" t="s">
        <v>58</v>
      </c>
      <c r="G9" s="135"/>
      <c r="H9" s="8">
        <v>10852.81633260984</v>
      </c>
      <c r="I9" s="163"/>
      <c r="J9" s="8">
        <v>10315.007917916242</v>
      </c>
      <c r="K9" s="163"/>
      <c r="L9" s="8">
        <v>7736.0590115831055</v>
      </c>
      <c r="M9" s="55"/>
      <c r="N9" s="8" t="s">
        <v>58</v>
      </c>
      <c r="O9" s="162">
        <f>+H9+J9+L9</f>
        <v>28903.883262109186</v>
      </c>
    </row>
    <row r="10" spans="1:17" x14ac:dyDescent="0.25">
      <c r="A10" s="4">
        <v>42692</v>
      </c>
      <c r="B10" s="91">
        <v>42692</v>
      </c>
      <c r="C10" s="78">
        <v>-0.8</v>
      </c>
      <c r="D10" s="6">
        <v>0.89444444444444449</v>
      </c>
      <c r="E10" s="135"/>
      <c r="F10" s="8" t="s">
        <v>58</v>
      </c>
      <c r="G10" s="163"/>
      <c r="H10" s="8">
        <v>12110.145899334613</v>
      </c>
      <c r="I10" s="163"/>
      <c r="J10" s="8">
        <v>10774.460177750552</v>
      </c>
      <c r="K10" s="163"/>
      <c r="L10" s="8">
        <v>6406.8844998739114</v>
      </c>
      <c r="M10" s="55"/>
      <c r="N10" s="8" t="s">
        <v>58</v>
      </c>
      <c r="O10" s="162">
        <f t="shared" ref="O10:O11" si="1">+H10+J10+L10</f>
        <v>29291.490576959077</v>
      </c>
    </row>
    <row r="11" spans="1:17" x14ac:dyDescent="0.25">
      <c r="A11" s="4">
        <v>42693</v>
      </c>
      <c r="B11" s="91">
        <v>42693</v>
      </c>
      <c r="C11" s="78">
        <v>-0.1</v>
      </c>
      <c r="D11" s="6">
        <v>0.93194444444444446</v>
      </c>
      <c r="E11" s="135"/>
      <c r="F11" s="8" t="s">
        <v>58</v>
      </c>
      <c r="G11" s="135"/>
      <c r="H11" s="8">
        <v>252.8658882389625</v>
      </c>
      <c r="I11" s="163"/>
      <c r="J11" s="8">
        <v>261.92821381863996</v>
      </c>
      <c r="K11" s="163"/>
      <c r="L11" s="8">
        <v>159.50036286555007</v>
      </c>
      <c r="M11" s="55"/>
      <c r="N11" s="8" t="s">
        <v>58</v>
      </c>
      <c r="O11" s="162">
        <f t="shared" si="1"/>
        <v>674.29446492315253</v>
      </c>
    </row>
    <row r="12" spans="1:17" x14ac:dyDescent="0.25">
      <c r="A12" s="4"/>
      <c r="B12" s="5"/>
      <c r="C12" s="113"/>
      <c r="D12" s="114"/>
      <c r="E12" s="135"/>
      <c r="F12" s="8"/>
      <c r="G12" s="163"/>
      <c r="H12" s="164"/>
      <c r="I12" s="163"/>
      <c r="J12" s="8"/>
      <c r="K12" s="163"/>
      <c r="L12" s="8"/>
      <c r="M12" s="163"/>
      <c r="N12" s="8"/>
      <c r="O12" s="162"/>
    </row>
    <row r="13" spans="1:17" x14ac:dyDescent="0.25">
      <c r="A13" s="4">
        <v>42700</v>
      </c>
      <c r="B13" s="91">
        <v>42700</v>
      </c>
      <c r="C13" s="78">
        <v>0.5</v>
      </c>
      <c r="D13" s="6">
        <v>0.69930555555555551</v>
      </c>
      <c r="E13" s="135"/>
      <c r="F13" s="8" t="s">
        <v>58</v>
      </c>
      <c r="G13" s="163"/>
      <c r="H13" s="8">
        <v>34508.144194681423</v>
      </c>
      <c r="I13" s="163"/>
      <c r="J13" s="8" t="s">
        <v>58</v>
      </c>
      <c r="K13" s="163"/>
      <c r="L13" s="8" t="s">
        <v>58</v>
      </c>
      <c r="M13" s="163"/>
      <c r="N13" s="8" t="s">
        <v>58</v>
      </c>
      <c r="O13" s="162">
        <f>+H13</f>
        <v>34508.144194681423</v>
      </c>
    </row>
    <row r="14" spans="1:17" x14ac:dyDescent="0.25">
      <c r="A14" s="4">
        <v>42701</v>
      </c>
      <c r="B14" s="91">
        <v>42701</v>
      </c>
      <c r="C14" s="78">
        <v>0.2</v>
      </c>
      <c r="D14" s="6">
        <v>0.72499999999999998</v>
      </c>
      <c r="E14" s="135"/>
      <c r="F14" s="8" t="s">
        <v>58</v>
      </c>
      <c r="G14" s="163"/>
      <c r="H14" s="8">
        <v>3289.6565049527526</v>
      </c>
      <c r="I14" s="163"/>
      <c r="J14" s="8" t="s">
        <v>58</v>
      </c>
      <c r="K14" s="163"/>
      <c r="L14" s="8" t="s">
        <v>58</v>
      </c>
      <c r="M14" s="163"/>
      <c r="N14" s="8" t="s">
        <v>58</v>
      </c>
      <c r="O14" s="165">
        <f>+H14</f>
        <v>3289.6565049527526</v>
      </c>
    </row>
    <row r="15" spans="1:17" x14ac:dyDescent="0.25">
      <c r="A15" s="4">
        <v>42702</v>
      </c>
      <c r="B15" s="91">
        <v>42702</v>
      </c>
      <c r="C15" s="78">
        <v>-0.1</v>
      </c>
      <c r="D15" s="6">
        <v>0.74930555555555556</v>
      </c>
      <c r="E15" s="135"/>
      <c r="F15" s="8" t="s">
        <v>58</v>
      </c>
      <c r="G15" s="135" t="s">
        <v>64</v>
      </c>
      <c r="H15" s="8">
        <v>3300</v>
      </c>
      <c r="I15" s="163"/>
      <c r="J15" s="8" t="s">
        <v>58</v>
      </c>
      <c r="K15" s="163"/>
      <c r="L15" s="8" t="s">
        <v>58</v>
      </c>
      <c r="M15" s="163"/>
      <c r="N15" s="8" t="s">
        <v>58</v>
      </c>
      <c r="O15" s="162">
        <f>+H15</f>
        <v>3300</v>
      </c>
    </row>
    <row r="16" spans="1:17" x14ac:dyDescent="0.25">
      <c r="A16" s="4"/>
      <c r="B16" s="5"/>
      <c r="C16" s="113"/>
      <c r="D16" s="114"/>
      <c r="E16" s="135"/>
      <c r="F16" s="8"/>
      <c r="G16" s="163"/>
      <c r="H16" s="8"/>
      <c r="I16" s="163"/>
      <c r="J16" s="8"/>
      <c r="K16" s="163"/>
      <c r="L16" s="8"/>
      <c r="M16" s="163"/>
      <c r="N16" s="8"/>
      <c r="O16" s="162"/>
    </row>
    <row r="17" spans="1:15" x14ac:dyDescent="0.25">
      <c r="A17" s="4">
        <v>42714</v>
      </c>
      <c r="B17" s="5">
        <v>42714</v>
      </c>
      <c r="C17" s="78">
        <v>0.5</v>
      </c>
      <c r="D17" s="166">
        <v>0.64444444444444449</v>
      </c>
      <c r="E17" s="135"/>
      <c r="F17" s="8" t="s">
        <v>58</v>
      </c>
      <c r="G17" s="163"/>
      <c r="H17" s="8" t="s">
        <v>58</v>
      </c>
      <c r="I17" s="163"/>
      <c r="J17" s="8">
        <v>16813.559855365605</v>
      </c>
      <c r="K17" s="163"/>
      <c r="L17" s="8">
        <v>22186.181340751555</v>
      </c>
      <c r="M17" s="163"/>
      <c r="N17" s="8" t="s">
        <v>58</v>
      </c>
      <c r="O17" s="162">
        <f>+J17+L17</f>
        <v>38999.74119611716</v>
      </c>
    </row>
    <row r="18" spans="1:15" x14ac:dyDescent="0.25">
      <c r="A18" s="4">
        <v>42715</v>
      </c>
      <c r="B18" s="5">
        <v>42715</v>
      </c>
      <c r="C18" s="78">
        <v>-0.5</v>
      </c>
      <c r="D18" s="166">
        <v>0.68125000000000002</v>
      </c>
      <c r="E18" s="135"/>
      <c r="F18" s="8" t="s">
        <v>58</v>
      </c>
      <c r="G18" s="163"/>
      <c r="H18" s="8" t="s">
        <v>58</v>
      </c>
      <c r="I18" s="163"/>
      <c r="J18" s="8">
        <v>14427.833629642417</v>
      </c>
      <c r="K18" s="163"/>
      <c r="L18" s="8">
        <v>13865.988193450265</v>
      </c>
      <c r="M18" s="163"/>
      <c r="N18" s="8" t="s">
        <v>58</v>
      </c>
      <c r="O18" s="162">
        <f>+J18+L18</f>
        <v>28293.82182309268</v>
      </c>
    </row>
    <row r="19" spans="1:15" x14ac:dyDescent="0.25">
      <c r="A19" s="4"/>
      <c r="B19" s="5"/>
      <c r="C19" s="78"/>
      <c r="D19" s="166"/>
      <c r="E19" s="135"/>
      <c r="F19" s="8"/>
      <c r="G19" s="163"/>
      <c r="H19" s="8"/>
      <c r="I19" s="163"/>
      <c r="J19" s="8"/>
      <c r="K19" s="163"/>
      <c r="L19" s="8"/>
      <c r="M19" s="163"/>
      <c r="N19" s="8"/>
      <c r="O19" s="162"/>
    </row>
    <row r="20" spans="1:15" x14ac:dyDescent="0.25">
      <c r="A20" s="124">
        <v>42734</v>
      </c>
      <c r="B20" s="91">
        <v>42734</v>
      </c>
      <c r="C20" s="168">
        <v>-0.4</v>
      </c>
      <c r="D20" s="169">
        <v>0.80694444444444446</v>
      </c>
      <c r="E20" s="135"/>
      <c r="F20" s="8" t="s">
        <v>58</v>
      </c>
      <c r="G20" s="163"/>
      <c r="H20" s="8" t="s">
        <v>58</v>
      </c>
      <c r="I20" s="163"/>
      <c r="J20" s="8">
        <v>33206.836715319048</v>
      </c>
      <c r="K20" s="163"/>
      <c r="L20" s="8">
        <v>19052.495025003464</v>
      </c>
      <c r="M20" s="163"/>
      <c r="N20" s="8" t="s">
        <v>58</v>
      </c>
      <c r="O20" s="165">
        <f>+J20+L20</f>
        <v>52259.331740322508</v>
      </c>
    </row>
    <row r="21" spans="1:15" x14ac:dyDescent="0.25">
      <c r="A21" s="124">
        <v>42735</v>
      </c>
      <c r="B21" s="91">
        <v>42735</v>
      </c>
      <c r="C21" s="168">
        <v>-0.4</v>
      </c>
      <c r="D21" s="169">
        <v>0.83125000000000004</v>
      </c>
      <c r="E21" s="135"/>
      <c r="F21" s="8" t="s">
        <v>58</v>
      </c>
      <c r="G21" s="135"/>
      <c r="H21" s="8" t="s">
        <v>58</v>
      </c>
      <c r="I21" s="167"/>
      <c r="J21" s="8">
        <v>16361.610801374662</v>
      </c>
      <c r="K21" s="163"/>
      <c r="L21" s="8">
        <v>7057.4573439003798</v>
      </c>
      <c r="M21" s="163"/>
      <c r="N21" s="8" t="s">
        <v>58</v>
      </c>
      <c r="O21" s="165">
        <f>+J21+L21</f>
        <v>23419.068145275043</v>
      </c>
    </row>
    <row r="22" spans="1:15" x14ac:dyDescent="0.25">
      <c r="A22" s="4"/>
      <c r="B22" s="5"/>
      <c r="C22" s="78"/>
      <c r="D22" s="166"/>
      <c r="E22" s="135"/>
      <c r="F22" s="8"/>
      <c r="G22" s="163"/>
      <c r="H22" s="8"/>
      <c r="I22" s="167"/>
      <c r="J22" s="8"/>
      <c r="K22" s="163"/>
      <c r="L22" s="8"/>
      <c r="M22" s="163"/>
      <c r="N22" s="8"/>
      <c r="O22" s="162"/>
    </row>
    <row r="23" spans="1:15" x14ac:dyDescent="0.25">
      <c r="A23" s="4">
        <v>42743</v>
      </c>
      <c r="B23" s="5">
        <v>42743</v>
      </c>
      <c r="C23" s="78">
        <v>0.4</v>
      </c>
      <c r="D23" s="166">
        <v>0.63263888888888886</v>
      </c>
      <c r="E23" s="135"/>
      <c r="F23" s="8" t="s">
        <v>58</v>
      </c>
      <c r="G23" s="163"/>
      <c r="H23" s="8" t="s">
        <v>58</v>
      </c>
      <c r="I23" s="167"/>
      <c r="J23" s="8" t="s">
        <v>58</v>
      </c>
      <c r="K23" s="163"/>
      <c r="L23" s="8" t="s">
        <v>58</v>
      </c>
      <c r="M23" s="163"/>
      <c r="N23" s="8">
        <v>55.977518427518426</v>
      </c>
      <c r="O23" s="162">
        <f>+N23</f>
        <v>55.977518427518426</v>
      </c>
    </row>
    <row r="24" spans="1:15" x14ac:dyDescent="0.25">
      <c r="A24" s="4">
        <v>42744</v>
      </c>
      <c r="B24" s="91">
        <v>42744</v>
      </c>
      <c r="C24" s="78">
        <v>-0.4</v>
      </c>
      <c r="D24" s="166">
        <v>0.67222222222222228</v>
      </c>
      <c r="E24" s="135"/>
      <c r="F24" s="8" t="s">
        <v>58</v>
      </c>
      <c r="G24" s="163"/>
      <c r="H24" s="8" t="s">
        <v>58</v>
      </c>
      <c r="I24" s="167"/>
      <c r="J24" s="8" t="s">
        <v>58</v>
      </c>
      <c r="K24" s="163"/>
      <c r="L24" s="8" t="s">
        <v>58</v>
      </c>
      <c r="M24" s="163"/>
      <c r="N24" s="8">
        <v>1354.090909090909</v>
      </c>
      <c r="O24" s="162">
        <f>+N24</f>
        <v>1354.090909090909</v>
      </c>
    </row>
    <row r="25" spans="1:15" x14ac:dyDescent="0.25">
      <c r="A25" s="124"/>
      <c r="B25" s="91"/>
      <c r="C25" s="168"/>
      <c r="D25" s="169"/>
      <c r="E25" s="135"/>
      <c r="F25" s="8"/>
      <c r="G25" s="163"/>
      <c r="H25" s="8"/>
      <c r="I25" s="167"/>
      <c r="J25" s="8"/>
      <c r="K25" s="163"/>
      <c r="L25" s="8"/>
      <c r="M25" s="163"/>
      <c r="N25" s="8"/>
      <c r="O25" s="162"/>
    </row>
    <row r="26" spans="1:15" x14ac:dyDescent="0.25">
      <c r="A26" s="4">
        <v>42748</v>
      </c>
      <c r="B26" s="91">
        <v>42748</v>
      </c>
      <c r="C26" s="78">
        <v>-1.4</v>
      </c>
      <c r="D26" s="166">
        <v>0.80347222222222225</v>
      </c>
      <c r="E26" s="135"/>
      <c r="F26" s="8" t="s">
        <v>58</v>
      </c>
      <c r="G26" s="163"/>
      <c r="H26" s="8" t="s">
        <v>58</v>
      </c>
      <c r="I26" s="167"/>
      <c r="J26" s="8">
        <v>19953.335690545307</v>
      </c>
      <c r="K26" s="167"/>
      <c r="L26" s="8">
        <v>7541.2773868833756</v>
      </c>
      <c r="M26" s="167"/>
      <c r="N26" s="8" t="s">
        <v>58</v>
      </c>
      <c r="O26" s="162">
        <f>+J26+L26</f>
        <v>27494.613077428683</v>
      </c>
    </row>
    <row r="27" spans="1:15" x14ac:dyDescent="0.25">
      <c r="A27" s="4">
        <v>42749</v>
      </c>
      <c r="B27" s="91">
        <v>42749</v>
      </c>
      <c r="C27" s="78">
        <v>-1</v>
      </c>
      <c r="D27" s="166">
        <v>0.83263888888888893</v>
      </c>
      <c r="E27" s="135"/>
      <c r="F27" s="8" t="s">
        <v>58</v>
      </c>
      <c r="G27" s="163"/>
      <c r="H27" s="8" t="s">
        <v>58</v>
      </c>
      <c r="I27" s="167"/>
      <c r="J27" s="8">
        <v>29519.205484448401</v>
      </c>
      <c r="K27" s="167"/>
      <c r="L27" s="8">
        <v>11707.678650987373</v>
      </c>
      <c r="M27" s="167"/>
      <c r="N27" s="8" t="s">
        <v>58</v>
      </c>
      <c r="O27" s="162">
        <f>+J27+L27</f>
        <v>41226.884135435772</v>
      </c>
    </row>
    <row r="28" spans="1:15" x14ac:dyDescent="0.25">
      <c r="A28" s="4">
        <v>42750</v>
      </c>
      <c r="B28" s="91">
        <v>42750</v>
      </c>
      <c r="C28" s="78">
        <v>-0.4</v>
      </c>
      <c r="D28" s="166">
        <v>0.86111111111111116</v>
      </c>
      <c r="E28" s="170"/>
      <c r="F28" s="8" t="s">
        <v>58</v>
      </c>
      <c r="G28" s="163"/>
      <c r="H28" s="8" t="s">
        <v>58</v>
      </c>
      <c r="I28" s="167"/>
      <c r="J28" s="8">
        <v>10379.858004868165</v>
      </c>
      <c r="K28" s="167"/>
      <c r="L28" s="8">
        <v>6457.2727304601403</v>
      </c>
      <c r="M28" s="167"/>
      <c r="N28" s="8" t="s">
        <v>58</v>
      </c>
      <c r="O28" s="162">
        <f>+J28+L28</f>
        <v>16837.130735328305</v>
      </c>
    </row>
    <row r="29" spans="1:15" x14ac:dyDescent="0.25">
      <c r="A29" s="124"/>
      <c r="B29" s="91"/>
      <c r="C29" s="168"/>
      <c r="D29" s="169"/>
      <c r="E29" s="170"/>
      <c r="F29" s="125"/>
      <c r="G29" s="163"/>
      <c r="H29" s="8"/>
      <c r="I29" s="167"/>
      <c r="J29" s="8"/>
      <c r="K29" s="167"/>
      <c r="L29" s="8"/>
      <c r="M29" s="167"/>
      <c r="N29" s="8"/>
      <c r="O29" s="162"/>
    </row>
    <row r="30" spans="1:15" x14ac:dyDescent="0.25">
      <c r="A30" s="4">
        <v>42762</v>
      </c>
      <c r="B30" s="91">
        <f>+A30</f>
        <v>42762</v>
      </c>
      <c r="C30" s="168">
        <v>-0.5</v>
      </c>
      <c r="D30" s="169">
        <v>0.7680555555555556</v>
      </c>
      <c r="E30" s="170"/>
      <c r="F30" s="8" t="s">
        <v>58</v>
      </c>
      <c r="G30" s="163"/>
      <c r="H30" s="8" t="s">
        <v>58</v>
      </c>
      <c r="I30" s="163"/>
      <c r="J30" s="8">
        <v>41084.519799466674</v>
      </c>
      <c r="K30" s="135"/>
      <c r="L30" s="8" t="s">
        <v>58</v>
      </c>
      <c r="M30" s="163"/>
      <c r="N30" s="8" t="s">
        <v>58</v>
      </c>
      <c r="O30" s="173">
        <f>+J30</f>
        <v>41084.519799466674</v>
      </c>
    </row>
    <row r="31" spans="1:15" x14ac:dyDescent="0.25">
      <c r="A31" s="4">
        <v>42763</v>
      </c>
      <c r="B31" s="91">
        <f t="shared" ref="B31:B43" si="2">+A31</f>
        <v>42763</v>
      </c>
      <c r="C31" s="168">
        <v>-0.6</v>
      </c>
      <c r="D31" s="169">
        <v>0.79236111111111107</v>
      </c>
      <c r="E31" s="170"/>
      <c r="F31" s="8" t="s">
        <v>58</v>
      </c>
      <c r="G31" s="163"/>
      <c r="H31" s="8" t="s">
        <v>58</v>
      </c>
      <c r="I31" s="163"/>
      <c r="J31" s="8">
        <v>60122.957496258452</v>
      </c>
      <c r="K31" s="163"/>
      <c r="L31" s="8" t="s">
        <v>58</v>
      </c>
      <c r="M31" s="163"/>
      <c r="N31" s="8" t="s">
        <v>58</v>
      </c>
      <c r="O31" s="173">
        <f>+J31</f>
        <v>60122.957496258452</v>
      </c>
    </row>
    <row r="32" spans="1:15" x14ac:dyDescent="0.25">
      <c r="A32" s="4">
        <v>42764</v>
      </c>
      <c r="B32" s="91">
        <f t="shared" si="2"/>
        <v>42764</v>
      </c>
      <c r="C32" s="168">
        <v>-0.5</v>
      </c>
      <c r="D32" s="169">
        <v>0.81736111111111109</v>
      </c>
      <c r="E32" s="170"/>
      <c r="F32" s="8" t="s">
        <v>58</v>
      </c>
      <c r="G32" s="163"/>
      <c r="H32" s="8" t="s">
        <v>58</v>
      </c>
      <c r="I32" s="163"/>
      <c r="J32" s="8">
        <v>7517.0823001428107</v>
      </c>
      <c r="K32" s="163"/>
      <c r="L32" s="8">
        <v>7038.8011866866691</v>
      </c>
      <c r="M32" s="163"/>
      <c r="N32" s="8" t="s">
        <v>58</v>
      </c>
      <c r="O32" s="173">
        <f>+J32+L32</f>
        <v>14555.88348682948</v>
      </c>
    </row>
    <row r="33" spans="1:16" x14ac:dyDescent="0.25">
      <c r="A33" s="4">
        <v>42765</v>
      </c>
      <c r="B33" s="91">
        <f t="shared" si="2"/>
        <v>42765</v>
      </c>
      <c r="C33" s="13">
        <v>-0.3</v>
      </c>
      <c r="D33" s="86">
        <v>0.84236111111111101</v>
      </c>
      <c r="E33" s="127"/>
      <c r="F33" s="8" t="s">
        <v>58</v>
      </c>
      <c r="G33" s="163"/>
      <c r="H33" s="8" t="s">
        <v>58</v>
      </c>
      <c r="J33" s="8">
        <v>6733.1876496551349</v>
      </c>
      <c r="L33" s="8">
        <v>3902.1458467770308</v>
      </c>
      <c r="N33" s="8" t="s">
        <v>58</v>
      </c>
      <c r="O33" s="173">
        <f t="shared" ref="O33:O34" si="3">+J33+L33</f>
        <v>10635.333496432166</v>
      </c>
    </row>
    <row r="34" spans="1:16" x14ac:dyDescent="0.25">
      <c r="A34" s="4">
        <v>42766</v>
      </c>
      <c r="B34" s="91">
        <f t="shared" si="2"/>
        <v>42766</v>
      </c>
      <c r="C34" s="13">
        <v>0.2</v>
      </c>
      <c r="D34" s="86">
        <v>0.86805555555555547</v>
      </c>
      <c r="E34" s="127"/>
      <c r="F34" s="8" t="s">
        <v>58</v>
      </c>
      <c r="G34" s="163"/>
      <c r="H34" s="8" t="s">
        <v>58</v>
      </c>
      <c r="J34" s="8">
        <v>3819.7609189234026</v>
      </c>
      <c r="L34" s="8">
        <v>1201.5435689454055</v>
      </c>
      <c r="N34" s="8" t="s">
        <v>58</v>
      </c>
      <c r="O34" s="173">
        <f t="shared" si="3"/>
        <v>5021.3044878688079</v>
      </c>
    </row>
    <row r="35" spans="1:16" x14ac:dyDescent="0.25">
      <c r="A35" s="4"/>
      <c r="B35" s="91"/>
      <c r="C35" s="13"/>
      <c r="D35" s="86"/>
      <c r="F35" s="8"/>
      <c r="G35" s="2"/>
      <c r="H35" s="8"/>
      <c r="J35" s="8"/>
      <c r="L35" s="8"/>
      <c r="N35" s="8"/>
      <c r="O35" s="15"/>
    </row>
    <row r="36" spans="1:16" x14ac:dyDescent="0.25">
      <c r="A36" s="4">
        <v>42773</v>
      </c>
      <c r="B36" s="91">
        <f t="shared" si="2"/>
        <v>42773</v>
      </c>
      <c r="C36" s="13">
        <v>-0.1</v>
      </c>
      <c r="D36" s="86">
        <v>0.66180555555555554</v>
      </c>
      <c r="F36" s="8" t="s">
        <v>58</v>
      </c>
      <c r="G36" s="2"/>
      <c r="H36" s="8">
        <v>10833.885901190672</v>
      </c>
      <c r="J36" s="8">
        <v>11402.082065170591</v>
      </c>
      <c r="L36" s="8">
        <v>7811.4949299808341</v>
      </c>
      <c r="N36" s="8" t="s">
        <v>58</v>
      </c>
      <c r="O36" s="15">
        <f>+H36+J36+L36</f>
        <v>30047.462896342098</v>
      </c>
    </row>
    <row r="37" spans="1:16" x14ac:dyDescent="0.25">
      <c r="A37" s="4">
        <v>42774</v>
      </c>
      <c r="B37" s="91">
        <f t="shared" si="2"/>
        <v>42774</v>
      </c>
      <c r="C37" s="13">
        <v>-0.6</v>
      </c>
      <c r="D37" s="86">
        <v>0.69861111111111107</v>
      </c>
      <c r="F37" s="8" t="s">
        <v>58</v>
      </c>
      <c r="G37" s="2"/>
      <c r="H37" s="8">
        <v>8621.2793990843093</v>
      </c>
      <c r="J37" s="8">
        <v>7546.1727839431951</v>
      </c>
      <c r="L37" s="8">
        <v>6552.5502733831199</v>
      </c>
      <c r="N37" s="8" t="s">
        <v>58</v>
      </c>
      <c r="O37" s="15">
        <f>+H37+J37+L37</f>
        <v>22720.002456410624</v>
      </c>
    </row>
    <row r="38" spans="1:16" x14ac:dyDescent="0.25">
      <c r="A38" s="4">
        <v>42775</v>
      </c>
      <c r="B38" s="91">
        <f t="shared" si="2"/>
        <v>42775</v>
      </c>
      <c r="C38" s="13">
        <v>-0.9</v>
      </c>
      <c r="D38" s="86">
        <v>0.73125000000000007</v>
      </c>
      <c r="F38" s="8" t="s">
        <v>58</v>
      </c>
      <c r="G38" s="2"/>
      <c r="H38" s="8">
        <v>5333.4717188645018</v>
      </c>
      <c r="J38" s="8">
        <v>4994.2372180042657</v>
      </c>
      <c r="L38" s="8">
        <v>978.8792872026961</v>
      </c>
      <c r="N38" s="8" t="s">
        <v>58</v>
      </c>
      <c r="O38" s="15">
        <f>+H38+J38+L38</f>
        <v>11306.588224071464</v>
      </c>
    </row>
    <row r="39" spans="1:16" x14ac:dyDescent="0.25">
      <c r="A39" s="4">
        <v>42776</v>
      </c>
      <c r="B39" s="91">
        <f t="shared" si="2"/>
        <v>42776</v>
      </c>
      <c r="C39" s="13">
        <v>-1</v>
      </c>
      <c r="D39" s="86">
        <v>0.76111111111111107</v>
      </c>
      <c r="F39" s="8" t="s">
        <v>58</v>
      </c>
      <c r="H39" s="8">
        <v>13987.284432604336</v>
      </c>
      <c r="J39" s="8" t="s">
        <v>58</v>
      </c>
      <c r="L39" s="8">
        <v>11802.751991764928</v>
      </c>
      <c r="N39" s="8" t="s">
        <v>58</v>
      </c>
      <c r="O39" s="15">
        <f>+H39+L39</f>
        <v>25790.036424369264</v>
      </c>
    </row>
    <row r="40" spans="1:16" x14ac:dyDescent="0.25">
      <c r="A40" s="4">
        <v>42777</v>
      </c>
      <c r="B40" s="91">
        <f t="shared" si="2"/>
        <v>42777</v>
      </c>
      <c r="C40" s="13">
        <v>-0.8</v>
      </c>
      <c r="D40" s="86">
        <v>0.7895833333333333</v>
      </c>
      <c r="F40" s="8" t="s">
        <v>58</v>
      </c>
      <c r="G40" s="2"/>
      <c r="H40" s="8">
        <v>45902.945224081544</v>
      </c>
      <c r="J40" s="8" t="s">
        <v>58</v>
      </c>
      <c r="L40" s="8">
        <v>49446.359736375234</v>
      </c>
      <c r="N40" s="8" t="s">
        <v>58</v>
      </c>
      <c r="O40" s="15">
        <f>+H40+L40</f>
        <v>95349.304960456779</v>
      </c>
    </row>
    <row r="41" spans="1:16" x14ac:dyDescent="0.25">
      <c r="A41" s="4">
        <v>42778</v>
      </c>
      <c r="B41" s="91">
        <f t="shared" si="2"/>
        <v>42778</v>
      </c>
      <c r="C41" s="13">
        <v>-0.5</v>
      </c>
      <c r="D41" s="86">
        <v>0.81527777777777777</v>
      </c>
      <c r="F41" s="8" t="s">
        <v>58</v>
      </c>
      <c r="G41" s="2"/>
      <c r="H41" s="8">
        <v>18791.496390591929</v>
      </c>
      <c r="J41" s="8" t="s">
        <v>58</v>
      </c>
      <c r="L41" s="8">
        <v>6302.3529485865183</v>
      </c>
      <c r="N41" s="8" t="s">
        <v>58</v>
      </c>
      <c r="O41" s="15">
        <f>+H41+L41</f>
        <v>25093.849339178447</v>
      </c>
    </row>
    <row r="42" spans="1:16" x14ac:dyDescent="0.25">
      <c r="A42" s="4"/>
      <c r="B42" s="91"/>
      <c r="C42" s="13"/>
      <c r="D42" s="86"/>
      <c r="F42" s="8"/>
      <c r="G42" s="2"/>
      <c r="H42" s="8"/>
      <c r="J42" s="8"/>
      <c r="L42" s="8"/>
      <c r="N42" s="8"/>
      <c r="O42" s="15"/>
    </row>
    <row r="43" spans="1:16" x14ac:dyDescent="0.25">
      <c r="A43" s="4">
        <v>42789</v>
      </c>
      <c r="B43" s="91">
        <f t="shared" si="2"/>
        <v>42789</v>
      </c>
      <c r="C43" s="13">
        <v>0.3</v>
      </c>
      <c r="D43" s="86">
        <v>0.6958333333333333</v>
      </c>
      <c r="F43" s="8" t="s">
        <v>58</v>
      </c>
      <c r="G43" s="2"/>
      <c r="H43" s="8">
        <v>30768.198037360155</v>
      </c>
      <c r="J43" s="8" t="s">
        <v>58</v>
      </c>
      <c r="L43" s="8" t="s">
        <v>58</v>
      </c>
      <c r="N43" s="8" t="s">
        <v>58</v>
      </c>
      <c r="O43" s="15">
        <f>+H43</f>
        <v>30768.198037360155</v>
      </c>
    </row>
    <row r="44" spans="1:16" x14ac:dyDescent="0.25">
      <c r="A44" s="4">
        <v>42790</v>
      </c>
      <c r="B44" s="91">
        <f t="shared" ref="B44:B65" si="4">+A44</f>
        <v>42790</v>
      </c>
      <c r="C44" s="13">
        <v>-0.1</v>
      </c>
      <c r="D44" s="86">
        <v>0.72291666666666676</v>
      </c>
      <c r="F44" s="8" t="s">
        <v>58</v>
      </c>
      <c r="G44" s="2"/>
      <c r="H44" s="8">
        <v>30879.445933825322</v>
      </c>
      <c r="J44" s="8">
        <v>36368.680805073491</v>
      </c>
      <c r="L44" s="8">
        <v>21031.351095981139</v>
      </c>
      <c r="N44" s="8" t="s">
        <v>58</v>
      </c>
      <c r="O44" s="15">
        <f>+H44+J44+L44</f>
        <v>88279.477834879945</v>
      </c>
    </row>
    <row r="45" spans="1:16" x14ac:dyDescent="0.25">
      <c r="A45" s="4">
        <v>42791</v>
      </c>
      <c r="B45" s="91">
        <f t="shared" si="4"/>
        <v>42791</v>
      </c>
      <c r="C45" s="13">
        <v>-0.3</v>
      </c>
      <c r="D45" s="86">
        <v>0.74861111111111101</v>
      </c>
      <c r="F45" s="8" t="s">
        <v>58</v>
      </c>
      <c r="G45" s="2"/>
      <c r="H45" s="8">
        <v>70266.780038423341</v>
      </c>
      <c r="J45" s="8">
        <v>108102.10369881128</v>
      </c>
      <c r="L45" s="8">
        <v>66871.303717414165</v>
      </c>
      <c r="N45" s="8" t="s">
        <v>58</v>
      </c>
      <c r="O45" s="15">
        <f t="shared" ref="O45:O46" si="5">+H45+J45+L45</f>
        <v>245240.18745464878</v>
      </c>
    </row>
    <row r="46" spans="1:16" x14ac:dyDescent="0.25">
      <c r="A46" s="4">
        <v>42792</v>
      </c>
      <c r="B46" s="91">
        <f t="shared" si="4"/>
        <v>42792</v>
      </c>
      <c r="C46" s="13">
        <v>-0.4</v>
      </c>
      <c r="D46" s="86">
        <v>0.77361111111111114</v>
      </c>
      <c r="F46" s="8" t="s">
        <v>58</v>
      </c>
      <c r="H46" s="8">
        <v>23539.1</v>
      </c>
      <c r="J46" s="8">
        <v>18158.717313278368</v>
      </c>
      <c r="L46" s="8">
        <v>10016.960671585199</v>
      </c>
      <c r="N46" s="8" t="s">
        <v>58</v>
      </c>
      <c r="O46" s="15">
        <f t="shared" si="5"/>
        <v>51714.777984863569</v>
      </c>
    </row>
    <row r="47" spans="1:16" x14ac:dyDescent="0.25">
      <c r="A47" s="124">
        <v>42793</v>
      </c>
      <c r="B47" s="91">
        <f t="shared" si="4"/>
        <v>42793</v>
      </c>
      <c r="C47" s="126">
        <v>-0.3</v>
      </c>
      <c r="D47" s="131">
        <v>0.7993055555555556</v>
      </c>
      <c r="E47" s="127"/>
      <c r="F47" s="8" t="s">
        <v>58</v>
      </c>
      <c r="G47" s="128"/>
      <c r="H47" s="125">
        <v>4876.5298966269893</v>
      </c>
      <c r="I47" s="128"/>
      <c r="J47" s="8" t="s">
        <v>58</v>
      </c>
      <c r="L47" s="8" t="s">
        <v>58</v>
      </c>
      <c r="N47" s="8" t="s">
        <v>58</v>
      </c>
      <c r="O47" s="129">
        <f>+H47</f>
        <v>4876.5298966269893</v>
      </c>
      <c r="P47" s="128"/>
    </row>
    <row r="48" spans="1:16" x14ac:dyDescent="0.25">
      <c r="A48" s="4">
        <v>42794</v>
      </c>
      <c r="B48" s="91">
        <f t="shared" si="4"/>
        <v>42794</v>
      </c>
      <c r="C48" s="13">
        <v>0</v>
      </c>
      <c r="D48" s="86">
        <v>0.82500000000000007</v>
      </c>
      <c r="E48" s="127"/>
      <c r="F48" s="8" t="s">
        <v>58</v>
      </c>
      <c r="G48" s="128"/>
      <c r="H48" s="130">
        <v>5388.9176957052605</v>
      </c>
      <c r="I48" s="128"/>
      <c r="J48" s="8" t="s">
        <v>58</v>
      </c>
      <c r="K48" s="128"/>
      <c r="L48" s="8" t="s">
        <v>58</v>
      </c>
      <c r="M48" s="128"/>
      <c r="N48" s="8" t="s">
        <v>58</v>
      </c>
      <c r="O48" s="129">
        <f>+H48</f>
        <v>5388.9176957052605</v>
      </c>
      <c r="P48" s="128"/>
    </row>
    <row r="49" spans="1:16" x14ac:dyDescent="0.25">
      <c r="A49" s="124"/>
      <c r="B49" s="91"/>
      <c r="C49" s="126"/>
      <c r="D49" s="131"/>
      <c r="E49" s="127"/>
      <c r="F49" s="130"/>
      <c r="G49" s="128"/>
      <c r="H49" s="125"/>
      <c r="I49" s="128"/>
      <c r="J49" s="8"/>
      <c r="L49" s="8"/>
      <c r="N49" s="8"/>
      <c r="O49" s="133"/>
      <c r="P49" s="128"/>
    </row>
    <row r="50" spans="1:16" x14ac:dyDescent="0.25">
      <c r="A50" s="124">
        <v>42801</v>
      </c>
      <c r="B50" s="91">
        <f t="shared" si="4"/>
        <v>42801</v>
      </c>
      <c r="C50" s="126">
        <v>0.5</v>
      </c>
      <c r="D50" s="131">
        <v>0.60625000000000007</v>
      </c>
      <c r="E50" s="127"/>
      <c r="F50" s="8" t="s">
        <v>58</v>
      </c>
      <c r="G50" s="128"/>
      <c r="H50" s="125">
        <v>5883.6919952472927</v>
      </c>
      <c r="I50" s="128"/>
      <c r="J50" s="8" t="s">
        <v>58</v>
      </c>
      <c r="L50" s="8" t="s">
        <v>58</v>
      </c>
      <c r="N50" s="8" t="s">
        <v>58</v>
      </c>
      <c r="O50" s="133">
        <f>+H50</f>
        <v>5883.6919952472927</v>
      </c>
      <c r="P50" s="128"/>
    </row>
    <row r="51" spans="1:16" x14ac:dyDescent="0.25">
      <c r="A51" s="124">
        <v>42802</v>
      </c>
      <c r="B51" s="91">
        <f t="shared" si="4"/>
        <v>42802</v>
      </c>
      <c r="C51" s="126">
        <v>0.1</v>
      </c>
      <c r="D51" s="131">
        <v>0.64930555555555558</v>
      </c>
      <c r="E51" s="127"/>
      <c r="F51" s="8" t="s">
        <v>58</v>
      </c>
      <c r="G51" s="128"/>
      <c r="H51" s="125">
        <v>12598.635855688428</v>
      </c>
      <c r="I51" s="128"/>
      <c r="J51" s="8" t="s">
        <v>58</v>
      </c>
      <c r="L51" s="8" t="s">
        <v>58</v>
      </c>
      <c r="N51" s="8" t="s">
        <v>58</v>
      </c>
      <c r="O51" s="133">
        <f>+H51</f>
        <v>12598.635855688428</v>
      </c>
      <c r="P51" s="128"/>
    </row>
    <row r="52" spans="1:16" x14ac:dyDescent="0.25">
      <c r="A52" s="124">
        <v>42803</v>
      </c>
      <c r="B52" s="91">
        <f t="shared" si="4"/>
        <v>42803</v>
      </c>
      <c r="C52" s="126">
        <v>-0.1</v>
      </c>
      <c r="D52" s="131">
        <v>0.68611111111111101</v>
      </c>
      <c r="E52" s="127"/>
      <c r="F52" s="8" t="s">
        <v>58</v>
      </c>
      <c r="G52" s="128"/>
      <c r="H52" s="125">
        <v>7764.6108722076651</v>
      </c>
      <c r="I52" s="128"/>
      <c r="J52" s="8" t="s">
        <v>58</v>
      </c>
      <c r="L52" s="8">
        <v>7426.9137238652056</v>
      </c>
      <c r="N52" s="8" t="s">
        <v>58</v>
      </c>
      <c r="O52" s="133">
        <f>+H52+L52</f>
        <v>15191.524596072872</v>
      </c>
      <c r="P52" s="128"/>
    </row>
    <row r="53" spans="1:16" x14ac:dyDescent="0.25">
      <c r="A53" s="124">
        <v>42804</v>
      </c>
      <c r="B53" s="91">
        <f t="shared" si="4"/>
        <v>42804</v>
      </c>
      <c r="C53" s="126">
        <v>-0.3</v>
      </c>
      <c r="D53" s="131">
        <v>0.71736111111111101</v>
      </c>
      <c r="E53" s="127"/>
      <c r="F53" s="8" t="s">
        <v>58</v>
      </c>
      <c r="G53" s="128"/>
      <c r="H53" s="125">
        <v>44464.520024809295</v>
      </c>
      <c r="I53" s="128"/>
      <c r="J53" s="125">
        <v>36252.189774972321</v>
      </c>
      <c r="K53" s="128"/>
      <c r="L53" s="8" t="s">
        <v>58</v>
      </c>
      <c r="M53" s="128"/>
      <c r="N53" s="8" t="s">
        <v>58</v>
      </c>
      <c r="O53" s="133">
        <f>+H53+J53</f>
        <v>80716.709799781616</v>
      </c>
      <c r="P53" s="128"/>
    </row>
    <row r="54" spans="1:16" x14ac:dyDescent="0.25">
      <c r="A54" s="124">
        <v>42805</v>
      </c>
      <c r="B54" s="91">
        <f t="shared" si="4"/>
        <v>42805</v>
      </c>
      <c r="C54" s="126">
        <v>-0.3</v>
      </c>
      <c r="D54" s="131">
        <v>0.74583333333333324</v>
      </c>
      <c r="E54" s="127"/>
      <c r="F54" s="8" t="s">
        <v>58</v>
      </c>
      <c r="G54" s="128"/>
      <c r="H54" s="125">
        <v>42966.083962624325</v>
      </c>
      <c r="I54" s="128"/>
      <c r="J54" s="8" t="s">
        <v>58</v>
      </c>
      <c r="K54" s="128"/>
      <c r="L54" s="125">
        <v>17676.780757716329</v>
      </c>
      <c r="M54" s="128"/>
      <c r="N54" s="8" t="s">
        <v>58</v>
      </c>
      <c r="O54" s="133">
        <f>+H54+L54</f>
        <v>60642.864720340658</v>
      </c>
      <c r="P54" s="128"/>
    </row>
    <row r="55" spans="1:16" x14ac:dyDescent="0.25">
      <c r="A55" s="124">
        <v>42806</v>
      </c>
      <c r="B55" s="91">
        <f t="shared" si="4"/>
        <v>42806</v>
      </c>
      <c r="C55" s="126">
        <v>-0.1</v>
      </c>
      <c r="D55" s="131">
        <v>0.81319444444444444</v>
      </c>
      <c r="E55" s="127"/>
      <c r="F55" s="8" t="s">
        <v>58</v>
      </c>
      <c r="G55" s="128"/>
      <c r="H55" s="125">
        <v>23389.708465794018</v>
      </c>
      <c r="I55" s="128"/>
      <c r="J55" s="8">
        <v>20615.605529024302</v>
      </c>
      <c r="K55" s="128"/>
      <c r="L55" s="8" t="s">
        <v>58</v>
      </c>
      <c r="M55" s="128"/>
      <c r="N55" s="8" t="s">
        <v>58</v>
      </c>
      <c r="O55" s="133">
        <f>+H55+J55</f>
        <v>44005.313994818323</v>
      </c>
      <c r="P55" s="128"/>
    </row>
    <row r="56" spans="1:16" x14ac:dyDescent="0.25">
      <c r="A56" s="124">
        <v>42807</v>
      </c>
      <c r="B56" s="91">
        <f t="shared" si="4"/>
        <v>42807</v>
      </c>
      <c r="C56" s="126">
        <v>0.3</v>
      </c>
      <c r="D56" s="131">
        <v>0.83750000000000002</v>
      </c>
      <c r="E56" s="127"/>
      <c r="F56" s="8" t="s">
        <v>58</v>
      </c>
      <c r="G56" s="128"/>
      <c r="H56" s="125">
        <v>6956.9335465447693</v>
      </c>
      <c r="I56" s="128"/>
      <c r="J56" s="8" t="s">
        <v>58</v>
      </c>
      <c r="K56" s="128"/>
      <c r="L56" s="8" t="s">
        <v>58</v>
      </c>
      <c r="M56" s="128"/>
      <c r="N56" s="8" t="s">
        <v>58</v>
      </c>
      <c r="O56" s="133">
        <f>+H56</f>
        <v>6956.9335465447693</v>
      </c>
      <c r="P56" s="128"/>
    </row>
    <row r="57" spans="1:16" x14ac:dyDescent="0.25">
      <c r="A57" s="124"/>
      <c r="B57" s="91"/>
      <c r="C57" s="126"/>
      <c r="D57" s="131"/>
      <c r="E57" s="127"/>
      <c r="F57" s="130"/>
      <c r="G57" s="128"/>
      <c r="H57" s="125"/>
      <c r="I57" s="128"/>
      <c r="J57" s="125"/>
      <c r="K57" s="128"/>
      <c r="L57" s="125"/>
      <c r="M57" s="128"/>
      <c r="N57" s="125"/>
      <c r="O57" s="133"/>
      <c r="P57" s="128"/>
    </row>
    <row r="58" spans="1:16" x14ac:dyDescent="0.25">
      <c r="A58" s="124">
        <v>42818</v>
      </c>
      <c r="B58" s="91">
        <f t="shared" si="4"/>
        <v>42818</v>
      </c>
      <c r="C58" s="126">
        <v>0.5</v>
      </c>
      <c r="D58" s="131">
        <v>0.7090277777777777</v>
      </c>
      <c r="E58" s="127"/>
      <c r="F58" s="8" t="s">
        <v>58</v>
      </c>
      <c r="G58" s="128"/>
      <c r="H58" s="8" t="s">
        <v>58</v>
      </c>
      <c r="I58" s="128"/>
      <c r="J58" s="8" t="s">
        <v>58</v>
      </c>
      <c r="K58" s="128"/>
      <c r="L58" s="125">
        <v>840.9627732765889</v>
      </c>
      <c r="M58" s="128"/>
      <c r="N58" s="8" t="s">
        <v>58</v>
      </c>
      <c r="O58" s="133">
        <f>+L58</f>
        <v>840.9627732765889</v>
      </c>
      <c r="P58" s="128"/>
    </row>
    <row r="59" spans="1:16" x14ac:dyDescent="0.25">
      <c r="A59" s="124">
        <v>42819</v>
      </c>
      <c r="B59" s="91">
        <f t="shared" si="4"/>
        <v>42819</v>
      </c>
      <c r="C59" s="126">
        <v>0.2</v>
      </c>
      <c r="D59" s="131">
        <v>0.73888888888888893</v>
      </c>
      <c r="E59" s="127"/>
      <c r="F59" s="8" t="s">
        <v>58</v>
      </c>
      <c r="G59" s="128"/>
      <c r="H59" s="8" t="s">
        <v>58</v>
      </c>
      <c r="I59" s="128"/>
      <c r="J59" s="125">
        <v>81823.468743703794</v>
      </c>
      <c r="K59" s="128"/>
      <c r="L59" s="8" t="s">
        <v>58</v>
      </c>
      <c r="M59" s="128"/>
      <c r="N59" s="8" t="s">
        <v>58</v>
      </c>
      <c r="O59" s="133">
        <f>+J59</f>
        <v>81823.468743703794</v>
      </c>
      <c r="P59" s="128"/>
    </row>
    <row r="60" spans="1:16" x14ac:dyDescent="0.25">
      <c r="A60" s="124">
        <v>42820</v>
      </c>
      <c r="B60" s="91">
        <f t="shared" si="4"/>
        <v>42820</v>
      </c>
      <c r="C60" s="126">
        <v>0</v>
      </c>
      <c r="D60" s="131">
        <v>0.76666666666666661</v>
      </c>
      <c r="E60" s="127"/>
      <c r="F60" s="8" t="s">
        <v>58</v>
      </c>
      <c r="G60" s="128"/>
      <c r="H60" s="8" t="s">
        <v>58</v>
      </c>
      <c r="I60" s="128"/>
      <c r="J60" s="8" t="s">
        <v>58</v>
      </c>
      <c r="K60" s="128"/>
      <c r="L60" s="125">
        <v>8567.5414700308411</v>
      </c>
      <c r="M60" s="128"/>
      <c r="N60" s="8" t="s">
        <v>58</v>
      </c>
      <c r="O60" s="133">
        <f>+L60</f>
        <v>8567.5414700308411</v>
      </c>
      <c r="P60" s="128"/>
    </row>
    <row r="61" spans="1:16" x14ac:dyDescent="0.25">
      <c r="A61" s="124"/>
      <c r="B61" s="91"/>
      <c r="C61" s="126"/>
      <c r="D61" s="131"/>
      <c r="E61" s="127"/>
      <c r="F61" s="130"/>
      <c r="G61" s="128"/>
      <c r="H61" s="125"/>
      <c r="I61" s="128"/>
      <c r="J61" s="125"/>
      <c r="K61" s="128"/>
      <c r="L61" s="125"/>
      <c r="M61" s="128"/>
      <c r="N61" s="125"/>
      <c r="O61" s="133"/>
      <c r="P61" s="128"/>
    </row>
    <row r="62" spans="1:16" x14ac:dyDescent="0.25">
      <c r="A62" s="124">
        <v>42824</v>
      </c>
      <c r="B62" s="91">
        <f t="shared" si="4"/>
        <v>42824</v>
      </c>
      <c r="C62" s="126">
        <v>-0.6</v>
      </c>
      <c r="D62" s="131">
        <v>0.37361111111111112</v>
      </c>
      <c r="E62" s="127"/>
      <c r="F62" s="8" t="s">
        <v>58</v>
      </c>
      <c r="G62" s="128"/>
      <c r="H62" s="8" t="s">
        <v>58</v>
      </c>
      <c r="I62" s="128"/>
      <c r="J62" s="8" t="s">
        <v>58</v>
      </c>
      <c r="K62" s="128"/>
      <c r="L62" s="8">
        <v>11500.759365058349</v>
      </c>
      <c r="M62" s="128"/>
      <c r="N62" s="8" t="s">
        <v>58</v>
      </c>
      <c r="O62" s="133">
        <f>+L62</f>
        <v>11500.759365058349</v>
      </c>
      <c r="P62" s="128"/>
    </row>
    <row r="63" spans="1:16" x14ac:dyDescent="0.25">
      <c r="A63" s="124">
        <v>42825</v>
      </c>
      <c r="B63" s="91">
        <f t="shared" si="4"/>
        <v>42825</v>
      </c>
      <c r="C63" s="126">
        <v>-0.6</v>
      </c>
      <c r="D63" s="131">
        <v>0.40763888888888888</v>
      </c>
      <c r="E63" s="127"/>
      <c r="F63" s="8" t="s">
        <v>58</v>
      </c>
      <c r="G63" s="128"/>
      <c r="H63" s="8" t="s">
        <v>58</v>
      </c>
      <c r="I63" s="128"/>
      <c r="J63" s="8">
        <v>55801.702200161948</v>
      </c>
      <c r="K63" s="128"/>
      <c r="L63" s="8" t="s">
        <v>58</v>
      </c>
      <c r="M63" s="128"/>
      <c r="N63" s="8" t="s">
        <v>58</v>
      </c>
      <c r="O63" s="133">
        <f>+J63</f>
        <v>55801.702200161948</v>
      </c>
      <c r="P63" s="128"/>
    </row>
    <row r="64" spans="1:16" x14ac:dyDescent="0.25">
      <c r="A64" s="124">
        <v>42826</v>
      </c>
      <c r="B64" s="91">
        <f t="shared" si="4"/>
        <v>42826</v>
      </c>
      <c r="C64" s="126">
        <v>-0.5</v>
      </c>
      <c r="D64" s="131">
        <v>0.44444444444444442</v>
      </c>
      <c r="E64" s="127"/>
      <c r="F64" s="8" t="s">
        <v>58</v>
      </c>
      <c r="G64" s="128"/>
      <c r="H64" s="8" t="s">
        <v>58</v>
      </c>
      <c r="I64" s="128"/>
      <c r="J64" s="8" t="s">
        <v>58</v>
      </c>
      <c r="K64" s="128"/>
      <c r="L64" s="8">
        <v>98845.706670059881</v>
      </c>
      <c r="M64" s="128"/>
      <c r="N64" s="8" t="s">
        <v>58</v>
      </c>
      <c r="O64" s="133">
        <f>+L64</f>
        <v>98845.706670059881</v>
      </c>
      <c r="P64" s="128"/>
    </row>
    <row r="65" spans="1:16" x14ac:dyDescent="0.25">
      <c r="A65" s="124">
        <v>42827</v>
      </c>
      <c r="B65" s="91">
        <f t="shared" si="4"/>
        <v>42827</v>
      </c>
      <c r="C65" s="126">
        <v>-0.1</v>
      </c>
      <c r="D65" s="131">
        <v>0.48541666666666666</v>
      </c>
      <c r="E65" s="127"/>
      <c r="F65" s="8" t="s">
        <v>58</v>
      </c>
      <c r="G65" s="128"/>
      <c r="H65" s="8" t="s">
        <v>58</v>
      </c>
      <c r="I65" s="128"/>
      <c r="J65" s="8">
        <v>66125.820753857421</v>
      </c>
      <c r="K65" s="128"/>
      <c r="L65" s="8" t="s">
        <v>58</v>
      </c>
      <c r="M65" s="128"/>
      <c r="N65" s="8" t="s">
        <v>58</v>
      </c>
      <c r="O65" s="133">
        <f>+J65</f>
        <v>66125.820753857421</v>
      </c>
      <c r="P65" s="128"/>
    </row>
    <row r="66" spans="1:16" x14ac:dyDescent="0.25">
      <c r="A66" s="124"/>
      <c r="B66" s="91"/>
      <c r="C66" s="126"/>
      <c r="D66" s="131"/>
      <c r="E66" s="127"/>
      <c r="F66" s="8"/>
      <c r="G66" s="128"/>
      <c r="H66" s="125"/>
      <c r="I66" s="128"/>
      <c r="J66" s="8"/>
      <c r="K66" s="128"/>
      <c r="L66" s="8"/>
      <c r="M66" s="128"/>
      <c r="N66" s="8"/>
      <c r="O66" s="133"/>
      <c r="P66" s="128"/>
    </row>
    <row r="67" spans="1:16" x14ac:dyDescent="0.25">
      <c r="A67" s="124">
        <v>42830</v>
      </c>
      <c r="B67" s="91">
        <f t="shared" ref="B67:B71" si="6">+A67</f>
        <v>42830</v>
      </c>
      <c r="C67" s="126">
        <v>0.5</v>
      </c>
      <c r="D67" s="131">
        <v>0.62916666666666665</v>
      </c>
      <c r="E67" s="127"/>
      <c r="F67" s="8" t="s">
        <v>58</v>
      </c>
      <c r="G67" s="128"/>
      <c r="H67" s="125">
        <v>7287.7015404989306</v>
      </c>
      <c r="I67" s="128"/>
      <c r="J67" s="8" t="s">
        <v>58</v>
      </c>
      <c r="K67" s="128"/>
      <c r="L67" s="8" t="s">
        <v>58</v>
      </c>
      <c r="M67" s="128"/>
      <c r="N67" s="8" t="s">
        <v>58</v>
      </c>
      <c r="O67" s="133">
        <f t="shared" ref="O67:O71" si="7">+H67</f>
        <v>7287.7015404989306</v>
      </c>
      <c r="P67" s="128"/>
    </row>
    <row r="68" spans="1:16" x14ac:dyDescent="0.25">
      <c r="A68" s="124">
        <v>42831</v>
      </c>
      <c r="B68" s="91">
        <f t="shared" si="6"/>
        <v>42831</v>
      </c>
      <c r="C68" s="126">
        <v>0.4</v>
      </c>
      <c r="D68" s="131">
        <v>0.67222222222222217</v>
      </c>
      <c r="E68" s="127"/>
      <c r="F68" s="8" t="s">
        <v>58</v>
      </c>
      <c r="G68" s="128"/>
      <c r="H68" s="125">
        <v>10239.398884884165</v>
      </c>
      <c r="I68" s="128"/>
      <c r="J68" s="8" t="s">
        <v>58</v>
      </c>
      <c r="K68" s="128"/>
      <c r="L68" s="8" t="s">
        <v>58</v>
      </c>
      <c r="M68" s="128"/>
      <c r="N68" s="8" t="s">
        <v>58</v>
      </c>
      <c r="O68" s="133">
        <f t="shared" si="7"/>
        <v>10239.398884884165</v>
      </c>
      <c r="P68" s="128"/>
    </row>
    <row r="69" spans="1:16" x14ac:dyDescent="0.25">
      <c r="A69" s="124">
        <v>42832</v>
      </c>
      <c r="B69" s="91">
        <f t="shared" si="6"/>
        <v>42832</v>
      </c>
      <c r="C69" s="126">
        <v>0.4</v>
      </c>
      <c r="D69" s="131">
        <v>0.7090277777777777</v>
      </c>
      <c r="E69" s="127"/>
      <c r="F69" s="8" t="s">
        <v>58</v>
      </c>
      <c r="G69" s="128"/>
      <c r="H69" s="125">
        <v>0</v>
      </c>
      <c r="I69" s="128"/>
      <c r="J69" s="8" t="s">
        <v>58</v>
      </c>
      <c r="K69" s="128"/>
      <c r="L69" s="8" t="s">
        <v>58</v>
      </c>
      <c r="M69" s="128"/>
      <c r="N69" s="8" t="s">
        <v>58</v>
      </c>
      <c r="O69" s="133">
        <f t="shared" si="7"/>
        <v>0</v>
      </c>
      <c r="P69" s="128"/>
    </row>
    <row r="70" spans="1:16" x14ac:dyDescent="0.25">
      <c r="A70" s="124">
        <v>42833</v>
      </c>
      <c r="B70" s="91">
        <f t="shared" si="6"/>
        <v>42833</v>
      </c>
      <c r="C70" s="126">
        <v>0.4</v>
      </c>
      <c r="D70" s="131">
        <v>0.7402777777777777</v>
      </c>
      <c r="E70" s="127"/>
      <c r="F70" s="8" t="s">
        <v>58</v>
      </c>
      <c r="G70" s="128"/>
      <c r="H70" s="125">
        <v>17054.892056946552</v>
      </c>
      <c r="I70" s="128"/>
      <c r="J70" s="8" t="s">
        <v>58</v>
      </c>
      <c r="K70" s="128"/>
      <c r="L70" s="8" t="s">
        <v>58</v>
      </c>
      <c r="M70" s="128"/>
      <c r="N70" s="8" t="s">
        <v>58</v>
      </c>
      <c r="O70" s="133">
        <f t="shared" si="7"/>
        <v>17054.892056946552</v>
      </c>
      <c r="P70" s="128"/>
    </row>
    <row r="71" spans="1:16" x14ac:dyDescent="0.25">
      <c r="A71" s="124">
        <v>42834</v>
      </c>
      <c r="B71" s="91">
        <f t="shared" si="6"/>
        <v>42834</v>
      </c>
      <c r="C71" s="126">
        <v>0.5</v>
      </c>
      <c r="D71" s="131">
        <v>0.2673611111111111</v>
      </c>
      <c r="E71" s="127"/>
      <c r="F71" s="8" t="s">
        <v>58</v>
      </c>
      <c r="G71" s="128"/>
      <c r="H71" s="125">
        <v>4798.5758838389738</v>
      </c>
      <c r="I71" s="128"/>
      <c r="J71" s="8" t="s">
        <v>58</v>
      </c>
      <c r="K71" s="128"/>
      <c r="L71" s="8" t="s">
        <v>58</v>
      </c>
      <c r="M71" s="128"/>
      <c r="N71" s="8" t="s">
        <v>58</v>
      </c>
      <c r="O71" s="133">
        <f t="shared" si="7"/>
        <v>4798.5758838389738</v>
      </c>
      <c r="P71" s="128"/>
    </row>
    <row r="72" spans="1:16" x14ac:dyDescent="0.25">
      <c r="A72" s="124"/>
      <c r="B72" s="91"/>
      <c r="C72" s="126"/>
      <c r="D72" s="131"/>
      <c r="E72" s="127"/>
      <c r="F72" s="130"/>
      <c r="G72" s="128"/>
      <c r="H72" s="125"/>
      <c r="I72" s="128"/>
      <c r="J72" s="125"/>
      <c r="K72" s="128"/>
      <c r="L72" s="125"/>
      <c r="M72" s="128"/>
      <c r="N72" s="125"/>
      <c r="O72" s="133"/>
      <c r="P72" s="128"/>
    </row>
    <row r="73" spans="1:16" x14ac:dyDescent="0.25">
      <c r="A73" s="124">
        <v>42837</v>
      </c>
      <c r="B73" s="91">
        <v>42837</v>
      </c>
      <c r="C73" s="126">
        <v>0</v>
      </c>
      <c r="D73" s="86">
        <v>0.33888888888888885</v>
      </c>
      <c r="E73" s="127"/>
      <c r="F73" s="130">
        <v>6549.0747847671992</v>
      </c>
      <c r="G73" s="128"/>
      <c r="H73" s="125">
        <v>3447.8283139441714</v>
      </c>
      <c r="I73" s="128"/>
      <c r="J73" s="8" t="s">
        <v>58</v>
      </c>
      <c r="K73" s="128"/>
      <c r="L73" s="8" t="s">
        <v>58</v>
      </c>
      <c r="M73" s="128"/>
      <c r="N73" s="8" t="s">
        <v>58</v>
      </c>
      <c r="O73" s="133">
        <f>+F73+H73</f>
        <v>9996.9030987113711</v>
      </c>
      <c r="P73" s="128"/>
    </row>
    <row r="74" spans="1:16" x14ac:dyDescent="0.25">
      <c r="A74" s="124">
        <v>42838</v>
      </c>
      <c r="B74" s="91">
        <v>42838</v>
      </c>
      <c r="C74" s="126">
        <v>0</v>
      </c>
      <c r="D74" s="86">
        <v>0.36319444444444443</v>
      </c>
      <c r="E74" s="127"/>
      <c r="F74" s="130">
        <v>13606.796173595394</v>
      </c>
      <c r="G74" s="128"/>
      <c r="H74" s="125">
        <v>10437.436626709323</v>
      </c>
      <c r="I74" s="128"/>
      <c r="J74" s="125">
        <v>8083.6693215101041</v>
      </c>
      <c r="K74" s="128"/>
      <c r="L74" s="8" t="s">
        <v>58</v>
      </c>
      <c r="M74" s="128"/>
      <c r="N74" s="8" t="s">
        <v>58</v>
      </c>
      <c r="O74" s="133">
        <f>+F74+H74+J74</f>
        <v>32127.902121814819</v>
      </c>
      <c r="P74" s="128"/>
    </row>
    <row r="75" spans="1:16" x14ac:dyDescent="0.25">
      <c r="A75" s="124">
        <v>42839</v>
      </c>
      <c r="B75" s="91">
        <v>42839</v>
      </c>
      <c r="C75" s="126">
        <v>0.1</v>
      </c>
      <c r="D75" s="86">
        <v>0.38750000000000001</v>
      </c>
      <c r="E75" s="127"/>
      <c r="F75" s="130">
        <v>25828.65929972292</v>
      </c>
      <c r="G75" s="128"/>
      <c r="H75" s="125">
        <v>16543.310137884648</v>
      </c>
      <c r="I75" s="128"/>
      <c r="J75" s="8" t="s">
        <v>58</v>
      </c>
      <c r="K75" s="128"/>
      <c r="L75" s="125">
        <v>21229.560613009184</v>
      </c>
      <c r="M75" s="128"/>
      <c r="N75" s="8" t="s">
        <v>58</v>
      </c>
      <c r="O75" s="133">
        <f>+F75+H75+L75</f>
        <v>63601.530050616748</v>
      </c>
      <c r="P75" s="128"/>
    </row>
    <row r="76" spans="1:16" x14ac:dyDescent="0.25">
      <c r="A76" s="124">
        <v>42840</v>
      </c>
      <c r="B76" s="91">
        <v>42840</v>
      </c>
      <c r="C76" s="126">
        <v>0.3</v>
      </c>
      <c r="D76" s="86">
        <v>0.41319444444444442</v>
      </c>
      <c r="E76" s="127"/>
      <c r="F76" s="130">
        <v>116077.1426376671</v>
      </c>
      <c r="G76" s="128"/>
      <c r="H76" s="125">
        <v>31117.950459165484</v>
      </c>
      <c r="I76" s="128"/>
      <c r="J76" s="125">
        <v>45358.707572713232</v>
      </c>
      <c r="K76" s="128"/>
      <c r="L76" s="8" t="s">
        <v>58</v>
      </c>
      <c r="M76" s="128"/>
      <c r="N76" s="8" t="s">
        <v>58</v>
      </c>
      <c r="O76" s="133">
        <f>+F76+H76+J76</f>
        <v>192553.8006695458</v>
      </c>
      <c r="P76" s="128"/>
    </row>
    <row r="77" spans="1:16" x14ac:dyDescent="0.25">
      <c r="A77" s="124">
        <v>42841</v>
      </c>
      <c r="B77" s="91">
        <v>42841</v>
      </c>
      <c r="C77" s="126">
        <v>0.5</v>
      </c>
      <c r="D77" s="86">
        <v>0.44166666666666665</v>
      </c>
      <c r="E77" s="127" t="s">
        <v>64</v>
      </c>
      <c r="F77" s="38">
        <v>98665.571242017031</v>
      </c>
      <c r="G77" s="128"/>
      <c r="H77" s="125">
        <v>35829.366599330999</v>
      </c>
      <c r="I77" s="128"/>
      <c r="J77" s="8" t="s">
        <v>58</v>
      </c>
      <c r="K77" s="128"/>
      <c r="L77" s="125">
        <v>42244.052373235689</v>
      </c>
      <c r="M77" s="128"/>
      <c r="N77" s="8" t="s">
        <v>58</v>
      </c>
      <c r="O77" s="133">
        <f>+F77+H77+L77</f>
        <v>176738.99021458373</v>
      </c>
      <c r="P77" s="128"/>
    </row>
    <row r="78" spans="1:16" x14ac:dyDescent="0.25">
      <c r="A78" s="124"/>
      <c r="B78" s="91"/>
      <c r="C78" s="126"/>
      <c r="D78" s="131"/>
      <c r="E78" s="127"/>
      <c r="F78" s="130"/>
      <c r="G78" s="128"/>
      <c r="H78" s="125"/>
      <c r="I78" s="128"/>
      <c r="O78" s="133"/>
      <c r="P78" s="128"/>
    </row>
    <row r="79" spans="1:16" x14ac:dyDescent="0.25">
      <c r="A79" s="4">
        <v>42851</v>
      </c>
      <c r="B79" s="91">
        <f>+A79</f>
        <v>42851</v>
      </c>
      <c r="C79" s="13">
        <v>-1.1000000000000001</v>
      </c>
      <c r="D79" s="86">
        <v>0.29791666666666666</v>
      </c>
      <c r="E79" s="127"/>
      <c r="F79" s="130">
        <v>48489.35912478195</v>
      </c>
      <c r="G79" s="128"/>
      <c r="H79" s="125">
        <v>12108.537308231014</v>
      </c>
      <c r="I79" s="128"/>
      <c r="J79" s="8" t="s">
        <v>58</v>
      </c>
      <c r="K79" s="128"/>
      <c r="L79" s="8" t="s">
        <v>58</v>
      </c>
      <c r="M79" s="128"/>
      <c r="N79" s="8" t="s">
        <v>58</v>
      </c>
      <c r="O79" s="133">
        <f>+F79+H79</f>
        <v>60597.896433012967</v>
      </c>
      <c r="P79" s="128"/>
    </row>
    <row r="80" spans="1:16" x14ac:dyDescent="0.25">
      <c r="A80" s="4">
        <v>42852</v>
      </c>
      <c r="B80" s="91">
        <f t="shared" ref="B80:B84" si="8">+A80</f>
        <v>42852</v>
      </c>
      <c r="C80" s="13">
        <v>-1.5</v>
      </c>
      <c r="D80" s="86">
        <v>0.3298611111111111</v>
      </c>
      <c r="E80" s="127"/>
      <c r="F80" s="130">
        <v>169649.84558076045</v>
      </c>
      <c r="G80" s="128"/>
      <c r="H80" s="125">
        <v>21096.142059463626</v>
      </c>
      <c r="I80" s="128"/>
      <c r="J80" s="125" t="s">
        <v>58</v>
      </c>
      <c r="K80" s="128"/>
      <c r="L80" s="125">
        <v>41270.553283595684</v>
      </c>
      <c r="M80" s="128"/>
      <c r="N80" s="125" t="s">
        <v>58</v>
      </c>
      <c r="O80" s="133">
        <f>+F80+H80+L80</f>
        <v>232016.54092381976</v>
      </c>
      <c r="P80" s="128"/>
    </row>
    <row r="81" spans="1:16" x14ac:dyDescent="0.25">
      <c r="A81" s="4">
        <v>42853</v>
      </c>
      <c r="B81" s="91">
        <f t="shared" si="8"/>
        <v>42853</v>
      </c>
      <c r="C81" s="13">
        <v>-1.8</v>
      </c>
      <c r="D81" s="86">
        <v>0.36249999999999999</v>
      </c>
      <c r="E81" s="127"/>
      <c r="F81" s="130">
        <v>285761.23778589931</v>
      </c>
      <c r="G81" s="128"/>
      <c r="H81" s="125">
        <v>30389.205794402187</v>
      </c>
      <c r="I81" s="128"/>
      <c r="J81" s="125">
        <v>85279.363963370517</v>
      </c>
      <c r="K81" s="128"/>
      <c r="L81" s="125" t="s">
        <v>58</v>
      </c>
      <c r="M81" s="128"/>
      <c r="N81" s="125" t="s">
        <v>58</v>
      </c>
      <c r="O81" s="133">
        <f>+F81+H81+J81</f>
        <v>401429.80754367198</v>
      </c>
      <c r="P81" s="128"/>
    </row>
    <row r="82" spans="1:16" x14ac:dyDescent="0.25">
      <c r="A82" s="4">
        <v>42854</v>
      </c>
      <c r="B82" s="91">
        <f t="shared" si="8"/>
        <v>42854</v>
      </c>
      <c r="C82" s="13">
        <v>-1.7</v>
      </c>
      <c r="D82" s="86">
        <v>0.3972222222222222</v>
      </c>
      <c r="E82" s="127"/>
      <c r="F82" s="130">
        <v>352438.37904077541</v>
      </c>
      <c r="G82" s="128"/>
      <c r="H82" s="125">
        <v>64236.307350350544</v>
      </c>
      <c r="I82" s="128"/>
      <c r="J82" s="125" t="s">
        <v>58</v>
      </c>
      <c r="K82" s="128"/>
      <c r="L82" s="125">
        <v>137921.58180235676</v>
      </c>
      <c r="M82" s="128"/>
      <c r="N82" s="125" t="s">
        <v>58</v>
      </c>
      <c r="O82" s="133">
        <f>+F82+H82+L82</f>
        <v>554596.26819348265</v>
      </c>
      <c r="P82" s="128"/>
    </row>
    <row r="83" spans="1:16" x14ac:dyDescent="0.25">
      <c r="A83" s="4">
        <v>42855</v>
      </c>
      <c r="B83" s="91">
        <f t="shared" si="8"/>
        <v>42855</v>
      </c>
      <c r="C83" s="13">
        <v>-1.3</v>
      </c>
      <c r="D83" s="86">
        <v>0.43333333333333335</v>
      </c>
      <c r="E83" s="127"/>
      <c r="F83" s="130">
        <v>275547.35474378045</v>
      </c>
      <c r="G83" s="231" t="s">
        <v>64</v>
      </c>
      <c r="H83" s="130">
        <f>+Effort!H83*CPUE!H83</f>
        <v>60920.700102917341</v>
      </c>
      <c r="I83" s="128"/>
      <c r="J83" s="125">
        <v>169058.48986111421</v>
      </c>
      <c r="K83" s="128"/>
      <c r="L83" s="132" t="s">
        <v>58</v>
      </c>
      <c r="M83" s="128"/>
      <c r="N83" s="132" t="s">
        <v>58</v>
      </c>
      <c r="O83" s="133">
        <f>+F83+H83+J83</f>
        <v>505526.54470781202</v>
      </c>
      <c r="P83" s="128"/>
    </row>
    <row r="84" spans="1:16" x14ac:dyDescent="0.25">
      <c r="A84" s="4">
        <v>42856</v>
      </c>
      <c r="B84" s="91">
        <f t="shared" si="8"/>
        <v>42856</v>
      </c>
      <c r="C84" s="13">
        <v>-0.8</v>
      </c>
      <c r="D84" s="86">
        <v>0.47222222222222227</v>
      </c>
      <c r="E84" s="127"/>
      <c r="F84" s="130">
        <f>+Effort!F84*CPUE!F84</f>
        <v>162500</v>
      </c>
      <c r="G84" s="128"/>
      <c r="H84" s="125" t="s">
        <v>58</v>
      </c>
      <c r="I84" s="128"/>
      <c r="J84" s="8" t="s">
        <v>58</v>
      </c>
      <c r="K84" s="128"/>
      <c r="L84" s="125" t="s">
        <v>58</v>
      </c>
      <c r="M84" s="128"/>
      <c r="N84" s="125" t="s">
        <v>58</v>
      </c>
      <c r="O84" s="133">
        <f>+F84</f>
        <v>162500</v>
      </c>
      <c r="P84" s="128"/>
    </row>
    <row r="85" spans="1:16" x14ac:dyDescent="0.25">
      <c r="A85" s="124"/>
      <c r="B85" s="91"/>
      <c r="C85" s="126"/>
      <c r="D85" s="131"/>
      <c r="E85" s="127"/>
      <c r="F85" s="130"/>
      <c r="G85" s="128"/>
      <c r="H85" s="125"/>
      <c r="I85" s="128"/>
      <c r="J85" s="125"/>
      <c r="K85" s="128"/>
      <c r="L85" s="125"/>
      <c r="M85" s="128"/>
      <c r="N85" s="125"/>
      <c r="O85" s="133"/>
      <c r="P85" s="128"/>
    </row>
    <row r="86" spans="1:16" x14ac:dyDescent="0.25">
      <c r="A86" s="124">
        <v>42868</v>
      </c>
      <c r="B86" s="91">
        <v>42868</v>
      </c>
      <c r="C86" s="126">
        <v>-0.6</v>
      </c>
      <c r="D86" s="131">
        <v>0.37083333333333335</v>
      </c>
      <c r="E86" s="127"/>
      <c r="F86" s="8" t="s">
        <v>58</v>
      </c>
      <c r="G86" s="128"/>
      <c r="H86" s="8" t="s">
        <v>58</v>
      </c>
      <c r="I86" s="128"/>
      <c r="J86" s="8" t="s">
        <v>58</v>
      </c>
      <c r="K86" s="128"/>
      <c r="L86" s="125"/>
      <c r="M86" s="128"/>
      <c r="N86" s="8" t="s">
        <v>58</v>
      </c>
      <c r="O86" s="133"/>
      <c r="P86" s="128"/>
    </row>
    <row r="87" spans="1:16" x14ac:dyDescent="0.25">
      <c r="A87" s="124">
        <v>42869</v>
      </c>
      <c r="B87" s="91">
        <v>42869</v>
      </c>
      <c r="C87" s="126">
        <v>-0.4</v>
      </c>
      <c r="D87" s="131">
        <v>0.39583333333333331</v>
      </c>
      <c r="E87" s="127"/>
      <c r="F87" s="8" t="s">
        <v>58</v>
      </c>
      <c r="G87" s="128"/>
      <c r="H87" s="8" t="s">
        <v>58</v>
      </c>
      <c r="I87" s="128"/>
      <c r="J87" s="8" t="s">
        <v>58</v>
      </c>
      <c r="K87" s="128"/>
      <c r="L87" s="125"/>
      <c r="M87" s="128"/>
      <c r="N87" s="8" t="s">
        <v>58</v>
      </c>
      <c r="O87" s="133"/>
      <c r="P87" s="128"/>
    </row>
    <row r="88" spans="1:16" x14ac:dyDescent="0.25">
      <c r="A88" s="124"/>
      <c r="B88" s="91"/>
      <c r="C88" s="126"/>
      <c r="D88" s="131"/>
      <c r="E88" s="127"/>
      <c r="F88" s="130"/>
      <c r="G88" s="128"/>
      <c r="H88" s="125"/>
      <c r="I88" s="128"/>
      <c r="J88" s="125"/>
      <c r="K88" s="128"/>
      <c r="L88" s="125"/>
      <c r="M88" s="128"/>
      <c r="N88" s="125"/>
      <c r="O88" s="133"/>
      <c r="P88" s="128"/>
    </row>
    <row r="89" spans="1:16" x14ac:dyDescent="0.25">
      <c r="A89" s="124"/>
      <c r="B89" s="91"/>
      <c r="C89" s="126"/>
      <c r="D89" s="131"/>
      <c r="E89" s="127"/>
      <c r="F89" s="130"/>
      <c r="G89" s="128"/>
      <c r="H89" s="125"/>
      <c r="I89" s="128"/>
      <c r="J89" s="125"/>
      <c r="K89" s="128"/>
      <c r="L89" s="125"/>
      <c r="M89" s="128"/>
      <c r="N89" s="125"/>
      <c r="O89" s="133"/>
      <c r="P89" s="128"/>
    </row>
    <row r="90" spans="1:16" x14ac:dyDescent="0.25">
      <c r="A90" s="124"/>
      <c r="B90" s="91"/>
      <c r="C90" s="126"/>
      <c r="D90" s="131"/>
      <c r="E90" s="127"/>
      <c r="F90" s="130"/>
      <c r="G90" s="128"/>
      <c r="H90" s="125"/>
      <c r="I90" s="128"/>
      <c r="J90" s="125"/>
      <c r="K90" s="128"/>
      <c r="L90" s="125"/>
      <c r="M90" s="128"/>
      <c r="N90" s="125"/>
      <c r="O90" s="133"/>
      <c r="P90" s="128"/>
    </row>
    <row r="91" spans="1:16" x14ac:dyDescent="0.25">
      <c r="A91" s="124"/>
      <c r="B91" s="91"/>
      <c r="C91" s="126"/>
      <c r="D91" s="131"/>
      <c r="E91" s="127"/>
      <c r="F91" s="130"/>
      <c r="G91" s="128"/>
      <c r="H91" s="125"/>
      <c r="I91" s="128"/>
      <c r="J91" s="125"/>
      <c r="K91" s="128"/>
      <c r="L91" s="125"/>
      <c r="M91" s="128"/>
      <c r="N91" s="125"/>
      <c r="O91" s="133"/>
      <c r="P91" s="128"/>
    </row>
    <row r="92" spans="1:16" x14ac:dyDescent="0.25">
      <c r="A92" s="124"/>
      <c r="B92" s="91"/>
      <c r="C92" s="126"/>
      <c r="D92" s="131"/>
      <c r="E92" s="127"/>
      <c r="F92" s="130"/>
      <c r="G92" s="128"/>
      <c r="H92" s="125"/>
      <c r="I92" s="128"/>
      <c r="J92" s="125"/>
      <c r="K92" s="128"/>
      <c r="L92" s="125"/>
      <c r="M92" s="128"/>
      <c r="N92" s="125"/>
      <c r="O92" s="133"/>
      <c r="P92" s="128"/>
    </row>
    <row r="93" spans="1:16" x14ac:dyDescent="0.25">
      <c r="A93" s="4"/>
      <c r="B93" s="91"/>
      <c r="C93" s="126"/>
      <c r="D93" s="131"/>
      <c r="E93" s="127"/>
      <c r="F93" s="8"/>
      <c r="G93" s="128"/>
      <c r="H93" s="8"/>
      <c r="I93" s="128"/>
      <c r="J93" s="8"/>
      <c r="K93" s="128"/>
      <c r="L93" s="130"/>
      <c r="M93" s="128"/>
      <c r="N93" s="8"/>
      <c r="O93" s="15"/>
    </row>
    <row r="94" spans="1:16" x14ac:dyDescent="0.25">
      <c r="A94" s="124"/>
      <c r="B94" s="91"/>
      <c r="C94" s="126"/>
      <c r="D94" s="131"/>
      <c r="E94" s="127"/>
      <c r="F94" s="130"/>
      <c r="G94" s="128"/>
      <c r="H94" s="130"/>
      <c r="I94" s="128"/>
      <c r="J94" s="130"/>
      <c r="K94" s="127"/>
      <c r="L94" s="130"/>
      <c r="M94" s="128"/>
      <c r="N94" s="132"/>
    </row>
    <row r="95" spans="1:16" x14ac:dyDescent="0.25">
      <c r="A95" s="4"/>
      <c r="B95" s="91"/>
      <c r="C95" s="13"/>
      <c r="D95" s="86"/>
    </row>
    <row r="96" spans="1:16" x14ac:dyDescent="0.25">
      <c r="A96" s="59" t="s">
        <v>50</v>
      </c>
      <c r="C96"/>
      <c r="D96" s="86"/>
      <c r="E96" s="136"/>
      <c r="F96" s="63">
        <f>SUM(F2:F94)</f>
        <v>1555113.420413767</v>
      </c>
      <c r="G96" s="56"/>
      <c r="H96" s="63">
        <f>SUM(H2:H94)</f>
        <v>834086.36233146477</v>
      </c>
      <c r="I96" s="56"/>
      <c r="J96" s="63">
        <f>SUM(J2:J94)</f>
        <v>1040193.1737027628</v>
      </c>
      <c r="K96" s="56"/>
      <c r="L96" s="63">
        <f>SUM(L2:L94)</f>
        <v>686628.08669293381</v>
      </c>
      <c r="M96" s="56"/>
      <c r="N96" s="63">
        <f>SUM(N3:N53)</f>
        <v>1410.0684275184274</v>
      </c>
      <c r="O96" s="60">
        <f>SUM(O2:O94)</f>
        <v>4117431.1115684477</v>
      </c>
      <c r="P96" s="147"/>
    </row>
    <row r="97" spans="1:15" x14ac:dyDescent="0.25">
      <c r="A97" s="61" t="s">
        <v>12</v>
      </c>
      <c r="B97" s="58"/>
      <c r="C97" s="56"/>
      <c r="D97" s="56"/>
      <c r="E97" s="136"/>
      <c r="F97" s="202">
        <f>+'LB Wastage'!H100</f>
        <v>0.03</v>
      </c>
      <c r="G97" s="58"/>
      <c r="H97" s="202">
        <f>+'TH Wastage'!H40</f>
        <v>0.04</v>
      </c>
      <c r="I97" s="58"/>
      <c r="J97" s="202">
        <f>+'Cop Wastage'!H40</f>
        <v>5.2276559865092748E-2</v>
      </c>
      <c r="K97" s="115"/>
      <c r="L97" s="202">
        <f>+'Moc Wastage'!H40</f>
        <v>2.8333333333333332E-2</v>
      </c>
      <c r="M97" s="58"/>
      <c r="N97" s="202"/>
      <c r="O97" s="58"/>
    </row>
    <row r="98" spans="1:15" x14ac:dyDescent="0.25">
      <c r="A98" s="59" t="s">
        <v>13</v>
      </c>
      <c r="B98" s="58"/>
      <c r="C98" s="56"/>
      <c r="D98" s="56"/>
      <c r="E98" s="136"/>
      <c r="F98" s="63">
        <f>+F96*F97</f>
        <v>46653.402612413011</v>
      </c>
      <c r="G98" s="58"/>
      <c r="H98" s="63">
        <f>+H96*H97</f>
        <v>33363.454493258592</v>
      </c>
      <c r="I98" s="58"/>
      <c r="J98" s="63">
        <f>+J96*J97</f>
        <v>54377.720716333301</v>
      </c>
      <c r="K98" s="58"/>
      <c r="L98" s="63">
        <f>+L96*L97</f>
        <v>19454.462456299789</v>
      </c>
      <c r="M98" s="58"/>
      <c r="N98" s="63"/>
      <c r="O98" s="60">
        <f>F98+H98+J98+L98+N98</f>
        <v>153849.04027830469</v>
      </c>
    </row>
    <row r="99" spans="1:15" x14ac:dyDescent="0.25">
      <c r="A99" s="61" t="s">
        <v>14</v>
      </c>
      <c r="B99" s="58"/>
      <c r="C99" s="56"/>
      <c r="D99" s="56"/>
      <c r="E99" s="136"/>
      <c r="F99" s="63">
        <f>F96+F98</f>
        <v>1601766.82302618</v>
      </c>
      <c r="G99" s="58"/>
      <c r="H99" s="63">
        <f>H96+H98</f>
        <v>867449.81682472338</v>
      </c>
      <c r="I99" s="58"/>
      <c r="J99" s="63">
        <f>J96+J98</f>
        <v>1094570.8944190962</v>
      </c>
      <c r="K99" s="58"/>
      <c r="L99" s="63">
        <f>L96+L98</f>
        <v>706082.54914923362</v>
      </c>
      <c r="M99" s="58"/>
      <c r="N99" s="63">
        <f>N96+N98</f>
        <v>1410.0684275184274</v>
      </c>
      <c r="O99" s="60">
        <f>O96+O98</f>
        <v>4271280.1518467525</v>
      </c>
    </row>
    <row r="100" spans="1:15" x14ac:dyDescent="0.25">
      <c r="A100" s="62" t="s">
        <v>61</v>
      </c>
      <c r="B100" s="58"/>
      <c r="C100" s="56"/>
      <c r="D100" s="56"/>
      <c r="E100" s="136"/>
      <c r="F100" s="63"/>
      <c r="G100" s="58"/>
      <c r="H100" s="63"/>
      <c r="I100" s="58"/>
      <c r="J100" s="63"/>
      <c r="K100" s="58"/>
      <c r="L100" s="63"/>
      <c r="M100" s="58"/>
      <c r="N100" s="63"/>
      <c r="O100" s="63"/>
    </row>
    <row r="101" spans="1:15" x14ac:dyDescent="0.25">
      <c r="A101" s="62" t="s">
        <v>15</v>
      </c>
      <c r="B101" s="58"/>
      <c r="C101" s="56"/>
      <c r="D101" s="56"/>
      <c r="E101" s="136"/>
      <c r="F101" s="64">
        <f>F99/TAC!B4</f>
        <v>0.32718340990771505</v>
      </c>
      <c r="G101" s="58"/>
      <c r="H101" s="64">
        <f>H99/TAC!B5</f>
        <v>0.45736354342238461</v>
      </c>
      <c r="I101" s="58"/>
      <c r="J101" s="64">
        <f>+J99/TAC!B6</f>
        <v>1.243023374802307</v>
      </c>
      <c r="K101" s="58"/>
      <c r="L101" s="64">
        <f>L99/TAC!B7</f>
        <v>0.74962111287146282</v>
      </c>
      <c r="M101" s="58"/>
      <c r="N101" s="64">
        <f>N99/TAC!B8</f>
        <v>1.9425421224819122E-3</v>
      </c>
      <c r="O101" s="64">
        <f>O99/TAC!B9</f>
        <v>0.45727949922003214</v>
      </c>
    </row>
    <row r="102" spans="1:15" x14ac:dyDescent="0.25">
      <c r="A102" s="62" t="s">
        <v>16</v>
      </c>
      <c r="B102" s="58"/>
      <c r="C102" s="56"/>
      <c r="D102" s="56"/>
      <c r="E102" s="136"/>
      <c r="F102" s="63">
        <f>+TAC!B4-Harvest!F99</f>
        <v>3293856.7768316865</v>
      </c>
      <c r="G102" s="58"/>
      <c r="H102" s="63">
        <f>TAC!B5-Harvest!H99</f>
        <v>1029181.0565801027</v>
      </c>
      <c r="I102" s="58"/>
      <c r="J102" s="63">
        <f>+TAC!B6-Harvest!J99</f>
        <v>-213999.44531567197</v>
      </c>
      <c r="K102" s="58"/>
      <c r="L102" s="63">
        <f>TAC!B7-L99</f>
        <v>235836.69115143979</v>
      </c>
      <c r="M102" s="58"/>
      <c r="N102" s="63">
        <f>TAC!B8-N99</f>
        <v>724478.14331269159</v>
      </c>
      <c r="O102" s="63">
        <f>TAC!B9-Harvest!O99</f>
        <v>5069353.2225602483</v>
      </c>
    </row>
    <row r="103" spans="1:15" x14ac:dyDescent="0.25">
      <c r="A103" s="62"/>
      <c r="B103" s="58"/>
      <c r="C103" s="56"/>
      <c r="D103" s="56"/>
      <c r="E103" s="136"/>
      <c r="F103" s="58"/>
      <c r="G103" s="58"/>
      <c r="H103" s="58"/>
      <c r="I103" s="58"/>
      <c r="J103" s="58"/>
      <c r="K103" s="58"/>
      <c r="L103" s="58"/>
      <c r="M103" s="58"/>
      <c r="N103" s="58"/>
      <c r="O103" s="58"/>
    </row>
    <row r="104" spans="1:15" x14ac:dyDescent="0.25">
      <c r="A104" s="59" t="s">
        <v>17</v>
      </c>
      <c r="B104" s="58"/>
      <c r="C104" s="56"/>
      <c r="D104" s="56"/>
      <c r="J104" s="10"/>
    </row>
    <row r="105" spans="1:15" x14ac:dyDescent="0.25">
      <c r="A105" s="93" t="s">
        <v>52</v>
      </c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paperSize="3" scale="74" orientation="portrait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99 O59 O63 O81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98"/>
  <sheetViews>
    <sheetView zoomScaleNormal="100" workbookViewId="0">
      <selection activeCell="S9" sqref="S9"/>
    </sheetView>
  </sheetViews>
  <sheetFormatPr defaultRowHeight="15" x14ac:dyDescent="0.25"/>
  <cols>
    <col min="1" max="1" width="18.7109375" customWidth="1"/>
    <col min="2" max="2" width="6" bestFit="1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8.140625" bestFit="1" customWidth="1"/>
  </cols>
  <sheetData>
    <row r="1" spans="1:17" x14ac:dyDescent="0.25">
      <c r="A1" s="11" t="s">
        <v>8</v>
      </c>
      <c r="B1" s="11" t="s">
        <v>5</v>
      </c>
      <c r="C1" s="134" t="s">
        <v>6</v>
      </c>
      <c r="D1" s="134" t="s">
        <v>7</v>
      </c>
      <c r="E1" s="325" t="s">
        <v>0</v>
      </c>
      <c r="F1" s="325"/>
      <c r="G1" s="325" t="s">
        <v>1</v>
      </c>
      <c r="H1" s="325"/>
      <c r="I1" s="325" t="s">
        <v>2</v>
      </c>
      <c r="J1" s="325"/>
      <c r="K1" s="325" t="s">
        <v>3</v>
      </c>
      <c r="L1" s="325"/>
      <c r="M1" s="325" t="s">
        <v>4</v>
      </c>
      <c r="N1" s="325"/>
      <c r="O1" s="14" t="s">
        <v>11</v>
      </c>
    </row>
    <row r="2" spans="1:17" x14ac:dyDescent="0.25">
      <c r="A2" s="4">
        <v>42657</v>
      </c>
      <c r="B2" s="5">
        <v>42657</v>
      </c>
      <c r="C2" s="78">
        <v>0.2</v>
      </c>
      <c r="D2" s="6">
        <v>0.74652777777777779</v>
      </c>
      <c r="E2" s="53"/>
      <c r="F2" s="8" t="s">
        <v>58</v>
      </c>
      <c r="G2" s="155" t="s">
        <v>59</v>
      </c>
      <c r="H2" s="8">
        <v>0</v>
      </c>
      <c r="I2" s="155" t="s">
        <v>59</v>
      </c>
      <c r="J2" s="8">
        <v>0</v>
      </c>
      <c r="K2" s="155" t="s">
        <v>59</v>
      </c>
      <c r="L2" s="8">
        <v>0</v>
      </c>
      <c r="M2" s="55"/>
      <c r="N2" s="8" t="s">
        <v>58</v>
      </c>
      <c r="O2" s="171"/>
    </row>
    <row r="3" spans="1:17" x14ac:dyDescent="0.25">
      <c r="A3" s="4">
        <v>42658</v>
      </c>
      <c r="B3" s="5">
        <v>42658</v>
      </c>
      <c r="C3" s="78">
        <v>-0.6</v>
      </c>
      <c r="D3" s="6">
        <v>0.77916666666666667</v>
      </c>
      <c r="E3" s="54"/>
      <c r="F3" s="8" t="s">
        <v>58</v>
      </c>
      <c r="G3" s="155" t="s">
        <v>59</v>
      </c>
      <c r="H3" s="8">
        <v>0</v>
      </c>
      <c r="I3" s="155" t="s">
        <v>59</v>
      </c>
      <c r="J3" s="8">
        <v>0</v>
      </c>
      <c r="K3" s="155" t="s">
        <v>59</v>
      </c>
      <c r="L3" s="8">
        <v>0</v>
      </c>
      <c r="M3" s="55"/>
      <c r="N3" s="8" t="s">
        <v>58</v>
      </c>
      <c r="O3" s="171"/>
    </row>
    <row r="4" spans="1:17" x14ac:dyDescent="0.25">
      <c r="A4" s="4">
        <v>42659</v>
      </c>
      <c r="B4" s="5">
        <v>42659</v>
      </c>
      <c r="C4" s="78">
        <v>-1.1000000000000001</v>
      </c>
      <c r="D4" s="6">
        <v>0.81111111111111112</v>
      </c>
      <c r="E4" s="135"/>
      <c r="F4" s="8" t="s">
        <v>58</v>
      </c>
      <c r="G4" s="8"/>
      <c r="H4" s="8">
        <v>554.15387856241705</v>
      </c>
      <c r="I4" s="8"/>
      <c r="J4" s="8">
        <v>307.453878188918</v>
      </c>
      <c r="K4" s="7"/>
      <c r="L4" s="8">
        <v>296.48477642492151</v>
      </c>
      <c r="M4" s="55"/>
      <c r="N4" s="8" t="s">
        <v>58</v>
      </c>
      <c r="O4" s="171">
        <f>+H4+J4+L4</f>
        <v>1158.0925331762564</v>
      </c>
    </row>
    <row r="5" spans="1:17" x14ac:dyDescent="0.25">
      <c r="A5" s="4">
        <v>42660</v>
      </c>
      <c r="B5" s="5">
        <v>42660</v>
      </c>
      <c r="C5" s="78">
        <v>-1.4</v>
      </c>
      <c r="D5" s="6">
        <v>0.84444444444444444</v>
      </c>
      <c r="E5" s="172"/>
      <c r="F5" s="8" t="s">
        <v>58</v>
      </c>
      <c r="G5" s="125"/>
      <c r="H5" s="125">
        <v>1012.0209735502617</v>
      </c>
      <c r="I5" s="125"/>
      <c r="J5" s="8" t="s">
        <v>58</v>
      </c>
      <c r="K5" s="7"/>
      <c r="L5" s="8" t="s">
        <v>58</v>
      </c>
      <c r="M5" s="55"/>
      <c r="N5" s="8" t="s">
        <v>58</v>
      </c>
      <c r="O5" s="171">
        <f>+H5</f>
        <v>1012.0209735502617</v>
      </c>
      <c r="Q5" s="15"/>
    </row>
    <row r="6" spans="1:17" x14ac:dyDescent="0.25">
      <c r="A6" s="4">
        <v>42661</v>
      </c>
      <c r="B6" s="5">
        <v>42661</v>
      </c>
      <c r="C6" s="113">
        <v>-1.4</v>
      </c>
      <c r="D6" s="114">
        <v>0.87777777777777777</v>
      </c>
      <c r="E6" s="172"/>
      <c r="F6" s="8" t="s">
        <v>58</v>
      </c>
      <c r="G6" s="125"/>
      <c r="H6" s="8">
        <v>677.86310492517532</v>
      </c>
      <c r="I6" s="125"/>
      <c r="J6" s="8" t="s">
        <v>58</v>
      </c>
      <c r="K6" s="7"/>
      <c r="L6" s="8" t="s">
        <v>58</v>
      </c>
      <c r="M6" s="55"/>
      <c r="N6" s="8" t="s">
        <v>58</v>
      </c>
      <c r="O6" s="171">
        <f>+H6</f>
        <v>677.86310492517532</v>
      </c>
    </row>
    <row r="7" spans="1:17" x14ac:dyDescent="0.25">
      <c r="A7" s="4">
        <v>42662</v>
      </c>
      <c r="B7" s="5">
        <v>42662</v>
      </c>
      <c r="C7" s="113">
        <v>-1.1000000000000001</v>
      </c>
      <c r="D7" s="114">
        <v>0.91319444444444442</v>
      </c>
      <c r="E7" s="172"/>
      <c r="F7" s="8" t="s">
        <v>58</v>
      </c>
      <c r="G7" s="125"/>
      <c r="H7" s="8">
        <v>159.42989936554739</v>
      </c>
      <c r="I7" s="125"/>
      <c r="J7" s="8" t="s">
        <v>58</v>
      </c>
      <c r="K7" s="7"/>
      <c r="L7" s="8" t="s">
        <v>58</v>
      </c>
      <c r="M7" s="55"/>
      <c r="N7" s="8" t="s">
        <v>58</v>
      </c>
      <c r="O7" s="171">
        <f>+H7</f>
        <v>159.42989936554739</v>
      </c>
      <c r="Q7" s="15">
        <f>SUM(O4:O7)</f>
        <v>3007.406511017241</v>
      </c>
    </row>
    <row r="8" spans="1:17" x14ac:dyDescent="0.25">
      <c r="A8" s="4"/>
      <c r="B8" s="5"/>
      <c r="C8" s="113"/>
      <c r="D8" s="114"/>
      <c r="E8" s="170"/>
      <c r="F8" s="125"/>
      <c r="G8" s="170"/>
      <c r="H8" s="8"/>
      <c r="I8" s="125"/>
      <c r="J8" s="8"/>
      <c r="K8" s="125"/>
      <c r="L8" s="8"/>
      <c r="M8" s="55"/>
      <c r="N8" s="8"/>
      <c r="O8" s="171"/>
    </row>
    <row r="9" spans="1:17" x14ac:dyDescent="0.25">
      <c r="A9" s="4">
        <v>42691</v>
      </c>
      <c r="B9" s="91">
        <v>42691</v>
      </c>
      <c r="C9" s="78">
        <v>-1.3</v>
      </c>
      <c r="D9" s="6">
        <v>0.85902777777777772</v>
      </c>
      <c r="E9" s="135"/>
      <c r="F9" s="8" t="s">
        <v>58</v>
      </c>
      <c r="G9" s="135"/>
      <c r="H9" s="8">
        <v>809.65455179787705</v>
      </c>
      <c r="I9" s="163"/>
      <c r="J9" s="8">
        <v>698.17739182402511</v>
      </c>
      <c r="K9" s="163"/>
      <c r="L9" s="8">
        <v>546.07475375880756</v>
      </c>
      <c r="M9" s="55"/>
      <c r="N9" s="8" t="s">
        <v>58</v>
      </c>
      <c r="O9" s="171">
        <f>+H9+J9+L9</f>
        <v>2053.9066973807098</v>
      </c>
    </row>
    <row r="10" spans="1:17" x14ac:dyDescent="0.25">
      <c r="A10" s="4">
        <v>42692</v>
      </c>
      <c r="B10" s="91">
        <v>42692</v>
      </c>
      <c r="C10" s="78">
        <v>-0.8</v>
      </c>
      <c r="D10" s="6">
        <v>0.89444444444444449</v>
      </c>
      <c r="E10" s="135"/>
      <c r="F10" s="8" t="s">
        <v>58</v>
      </c>
      <c r="G10" s="163"/>
      <c r="H10" s="8">
        <v>895.90365071608107</v>
      </c>
      <c r="I10" s="163"/>
      <c r="J10" s="8">
        <v>908.0980104254453</v>
      </c>
      <c r="K10" s="163"/>
      <c r="L10" s="8">
        <v>842.59275060376501</v>
      </c>
      <c r="M10" s="55"/>
      <c r="N10" s="8" t="s">
        <v>58</v>
      </c>
      <c r="O10" s="171">
        <f>+H10+J10+L10</f>
        <v>2646.5944117452914</v>
      </c>
    </row>
    <row r="11" spans="1:17" x14ac:dyDescent="0.25">
      <c r="A11" s="4">
        <v>42693</v>
      </c>
      <c r="B11" s="91">
        <v>42693</v>
      </c>
      <c r="C11" s="78">
        <v>-0.1</v>
      </c>
      <c r="D11" s="6">
        <v>0.93194444444444446</v>
      </c>
      <c r="E11" s="135"/>
      <c r="F11" s="8" t="s">
        <v>58</v>
      </c>
      <c r="G11" s="135"/>
      <c r="H11" s="8">
        <v>416.48499239358534</v>
      </c>
      <c r="I11" s="163"/>
      <c r="J11" s="8">
        <v>654.82053454659979</v>
      </c>
      <c r="K11" s="163"/>
      <c r="L11" s="8">
        <v>595.46802136472024</v>
      </c>
      <c r="M11" s="55"/>
      <c r="N11" s="8" t="s">
        <v>58</v>
      </c>
      <c r="O11" s="171">
        <f>+H11+J11+L11</f>
        <v>1666.7735483049055</v>
      </c>
    </row>
    <row r="12" spans="1:17" x14ac:dyDescent="0.25">
      <c r="A12" s="4"/>
      <c r="B12" s="5"/>
      <c r="C12" s="113"/>
      <c r="D12" s="114"/>
      <c r="E12" s="135"/>
      <c r="F12" s="8"/>
      <c r="G12" s="163"/>
      <c r="H12" s="164"/>
      <c r="I12" s="163"/>
      <c r="J12" s="8"/>
      <c r="K12" s="163"/>
      <c r="L12" s="8"/>
      <c r="M12" s="163"/>
      <c r="N12" s="8"/>
      <c r="O12" s="173"/>
    </row>
    <row r="13" spans="1:17" x14ac:dyDescent="0.25">
      <c r="A13" s="4">
        <v>42700</v>
      </c>
      <c r="B13" s="91">
        <v>42700</v>
      </c>
      <c r="C13" s="78">
        <v>0.5</v>
      </c>
      <c r="D13" s="6">
        <v>0.69930555555555551</v>
      </c>
      <c r="E13" s="135"/>
      <c r="F13" s="8" t="s">
        <v>58</v>
      </c>
      <c r="G13" s="163"/>
      <c r="H13" s="8">
        <v>4386.0818789501618</v>
      </c>
      <c r="I13" s="163"/>
      <c r="J13" s="8" t="s">
        <v>58</v>
      </c>
      <c r="K13" s="163"/>
      <c r="L13" s="8" t="s">
        <v>58</v>
      </c>
      <c r="M13" s="163"/>
      <c r="N13" s="8" t="s">
        <v>58</v>
      </c>
      <c r="O13" s="173">
        <f>+H13</f>
        <v>4386.0818789501618</v>
      </c>
    </row>
    <row r="14" spans="1:17" x14ac:dyDescent="0.25">
      <c r="A14" s="4">
        <v>42701</v>
      </c>
      <c r="B14" s="91">
        <v>42701</v>
      </c>
      <c r="C14" s="78">
        <v>0.2</v>
      </c>
      <c r="D14" s="6">
        <v>0.72499999999999998</v>
      </c>
      <c r="E14" s="135"/>
      <c r="F14" s="8" t="s">
        <v>58</v>
      </c>
      <c r="G14" s="163"/>
      <c r="H14" s="8">
        <v>455.99199078553005</v>
      </c>
      <c r="I14" s="163"/>
      <c r="J14" s="8" t="s">
        <v>58</v>
      </c>
      <c r="K14" s="163"/>
      <c r="L14" s="8" t="s">
        <v>58</v>
      </c>
      <c r="M14" s="163"/>
      <c r="N14" s="8" t="s">
        <v>58</v>
      </c>
      <c r="O14" s="173">
        <f>+H14</f>
        <v>455.99199078553005</v>
      </c>
    </row>
    <row r="15" spans="1:17" x14ac:dyDescent="0.25">
      <c r="A15" s="4">
        <v>42702</v>
      </c>
      <c r="B15" s="91">
        <v>42702</v>
      </c>
      <c r="C15" s="78">
        <v>-0.1</v>
      </c>
      <c r="D15" s="6">
        <v>0.74930555555555556</v>
      </c>
      <c r="E15" s="135"/>
      <c r="F15" s="8" t="s">
        <v>58</v>
      </c>
      <c r="G15" s="135" t="s">
        <v>64</v>
      </c>
      <c r="H15" s="8">
        <v>460</v>
      </c>
      <c r="I15" s="163"/>
      <c r="J15" s="8" t="s">
        <v>58</v>
      </c>
      <c r="K15" s="163"/>
      <c r="L15" s="8" t="s">
        <v>58</v>
      </c>
      <c r="M15" s="163"/>
      <c r="N15" s="8" t="s">
        <v>58</v>
      </c>
      <c r="O15" s="173">
        <f>+H15</f>
        <v>460</v>
      </c>
      <c r="Q15" s="15">
        <f>SUM(O9:O15)</f>
        <v>11669.348527166598</v>
      </c>
    </row>
    <row r="16" spans="1:17" x14ac:dyDescent="0.25">
      <c r="A16" s="4"/>
      <c r="B16" s="5"/>
      <c r="C16" s="113"/>
      <c r="D16" s="114"/>
      <c r="E16" s="135"/>
      <c r="F16" s="8"/>
      <c r="G16" s="163"/>
      <c r="H16" s="8"/>
      <c r="I16" s="163"/>
      <c r="J16" s="8"/>
      <c r="K16" s="163"/>
      <c r="L16" s="8"/>
      <c r="M16" s="163"/>
      <c r="N16" s="8"/>
      <c r="O16" s="173"/>
    </row>
    <row r="17" spans="1:17" x14ac:dyDescent="0.25">
      <c r="A17" s="4">
        <v>42714</v>
      </c>
      <c r="B17" s="5">
        <v>42714</v>
      </c>
      <c r="C17" s="78">
        <v>0.5</v>
      </c>
      <c r="D17" s="166">
        <v>0.64444444444444449</v>
      </c>
      <c r="E17" s="135"/>
      <c r="F17" s="8" t="s">
        <v>58</v>
      </c>
      <c r="G17" s="163"/>
      <c r="H17" s="8" t="s">
        <v>58</v>
      </c>
      <c r="I17" s="163"/>
      <c r="J17" s="8">
        <v>1730.2544817602191</v>
      </c>
      <c r="K17" s="163"/>
      <c r="L17" s="8">
        <v>1897.729352630382</v>
      </c>
      <c r="M17" s="163"/>
      <c r="N17" s="8" t="s">
        <v>58</v>
      </c>
      <c r="O17" s="173">
        <f>+J17+L17</f>
        <v>3627.9838343906013</v>
      </c>
    </row>
    <row r="18" spans="1:17" x14ac:dyDescent="0.25">
      <c r="A18" s="4">
        <v>42715</v>
      </c>
      <c r="B18" s="5">
        <v>42715</v>
      </c>
      <c r="C18" s="78">
        <v>-0.5</v>
      </c>
      <c r="D18" s="166">
        <v>0.68125000000000002</v>
      </c>
      <c r="E18" s="135"/>
      <c r="F18" s="8" t="s">
        <v>58</v>
      </c>
      <c r="G18" s="163"/>
      <c r="H18" s="8" t="s">
        <v>58</v>
      </c>
      <c r="I18" s="163"/>
      <c r="J18" s="8">
        <v>961.8555753094945</v>
      </c>
      <c r="K18" s="163"/>
      <c r="L18" s="8">
        <v>924.39921289668416</v>
      </c>
      <c r="M18" s="163"/>
      <c r="N18" s="8" t="s">
        <v>58</v>
      </c>
      <c r="O18" s="173">
        <f>+J18+L18</f>
        <v>1886.2547882061785</v>
      </c>
    </row>
    <row r="19" spans="1:17" x14ac:dyDescent="0.25">
      <c r="A19" s="4"/>
      <c r="B19" s="5"/>
      <c r="C19" s="78"/>
      <c r="D19" s="166"/>
      <c r="E19" s="135"/>
      <c r="F19" s="8"/>
      <c r="G19" s="163"/>
      <c r="H19" s="8"/>
      <c r="I19" s="163"/>
      <c r="J19" s="8"/>
      <c r="K19" s="163"/>
      <c r="L19" s="8"/>
      <c r="M19" s="163"/>
      <c r="N19" s="8"/>
      <c r="O19" s="173"/>
    </row>
    <row r="20" spans="1:17" x14ac:dyDescent="0.25">
      <c r="A20" s="4">
        <v>42734</v>
      </c>
      <c r="B20" s="5">
        <v>42734</v>
      </c>
      <c r="C20" s="78">
        <v>-0.4</v>
      </c>
      <c r="D20" s="166">
        <v>0.80694444444444446</v>
      </c>
      <c r="E20" s="135"/>
      <c r="F20" s="8" t="s">
        <v>58</v>
      </c>
      <c r="G20" s="163"/>
      <c r="H20" s="8" t="s">
        <v>58</v>
      </c>
      <c r="I20" s="163"/>
      <c r="J20" s="8">
        <v>2584.6268847794859</v>
      </c>
      <c r="K20" s="163"/>
      <c r="L20" s="8">
        <v>1621.0631271273953</v>
      </c>
      <c r="M20" s="163"/>
      <c r="N20" s="8" t="s">
        <v>58</v>
      </c>
      <c r="O20" s="173">
        <f>+J20+L20</f>
        <v>4205.6900119068814</v>
      </c>
    </row>
    <row r="21" spans="1:17" x14ac:dyDescent="0.25">
      <c r="A21" s="4">
        <v>42735</v>
      </c>
      <c r="B21" s="5">
        <v>42735</v>
      </c>
      <c r="C21" s="78">
        <v>-0.4</v>
      </c>
      <c r="D21" s="166">
        <v>0.83125000000000004</v>
      </c>
      <c r="E21" s="135"/>
      <c r="F21" s="8" t="s">
        <v>58</v>
      </c>
      <c r="G21" s="163"/>
      <c r="H21" s="8" t="s">
        <v>58</v>
      </c>
      <c r="I21" s="163"/>
      <c r="J21" s="8">
        <v>1417.8172271555168</v>
      </c>
      <c r="K21" s="163"/>
      <c r="L21" s="8">
        <v>849.15930608427016</v>
      </c>
      <c r="M21" s="163"/>
      <c r="N21" s="8" t="s">
        <v>58</v>
      </c>
      <c r="O21" s="173">
        <f>+J21+L21</f>
        <v>2266.9765332397869</v>
      </c>
      <c r="Q21" s="15">
        <f>SUM(O17:O21)</f>
        <v>11986.905167743449</v>
      </c>
    </row>
    <row r="22" spans="1:17" x14ac:dyDescent="0.25">
      <c r="A22" s="4"/>
      <c r="B22" s="5"/>
      <c r="C22" s="78"/>
      <c r="D22" s="166"/>
      <c r="E22" s="135"/>
      <c r="F22" s="8"/>
      <c r="G22" s="163"/>
      <c r="H22" s="8"/>
      <c r="I22" s="167"/>
      <c r="J22" s="8"/>
      <c r="K22" s="163"/>
      <c r="L22" s="8"/>
      <c r="M22" s="163"/>
      <c r="N22" s="8"/>
      <c r="O22" s="173"/>
    </row>
    <row r="23" spans="1:17" x14ac:dyDescent="0.25">
      <c r="A23" s="4">
        <v>42743</v>
      </c>
      <c r="B23" s="5">
        <v>42743</v>
      </c>
      <c r="C23" s="78">
        <v>0.4</v>
      </c>
      <c r="D23" s="166">
        <v>0.63263888888888886</v>
      </c>
      <c r="E23" s="135"/>
      <c r="F23" s="8" t="s">
        <v>58</v>
      </c>
      <c r="G23" s="163"/>
      <c r="H23" s="8" t="s">
        <v>58</v>
      </c>
      <c r="I23" s="167"/>
      <c r="J23" s="8" t="s">
        <v>58</v>
      </c>
      <c r="K23" s="163"/>
      <c r="L23" s="8" t="s">
        <v>58</v>
      </c>
      <c r="M23" s="163"/>
      <c r="N23" s="8">
        <v>424.70810810810815</v>
      </c>
      <c r="O23" s="173">
        <f>+N23</f>
        <v>424.70810810810815</v>
      </c>
    </row>
    <row r="24" spans="1:17" x14ac:dyDescent="0.25">
      <c r="A24" s="4">
        <v>42744</v>
      </c>
      <c r="B24" s="91">
        <v>42744</v>
      </c>
      <c r="C24" s="78">
        <v>-0.4</v>
      </c>
      <c r="D24" s="166">
        <v>0.67222222222222228</v>
      </c>
      <c r="E24" s="135"/>
      <c r="F24" s="8" t="s">
        <v>58</v>
      </c>
      <c r="G24" s="163"/>
      <c r="H24" s="8" t="s">
        <v>58</v>
      </c>
      <c r="I24" s="167"/>
      <c r="J24" s="8" t="s">
        <v>58</v>
      </c>
      <c r="K24" s="163"/>
      <c r="L24" s="8" t="s">
        <v>58</v>
      </c>
      <c r="M24" s="163"/>
      <c r="N24" s="8">
        <v>212.72727272727275</v>
      </c>
      <c r="O24" s="173">
        <f>+N24</f>
        <v>212.72727272727275</v>
      </c>
    </row>
    <row r="25" spans="1:17" x14ac:dyDescent="0.25">
      <c r="A25" s="124"/>
      <c r="B25" s="91"/>
      <c r="C25" s="168"/>
      <c r="D25" s="169"/>
      <c r="E25" s="135"/>
      <c r="F25" s="8"/>
      <c r="G25" s="163"/>
      <c r="H25" s="8"/>
      <c r="I25" s="167"/>
      <c r="J25" s="8"/>
      <c r="K25" s="163"/>
      <c r="L25" s="8"/>
      <c r="M25" s="163"/>
      <c r="N25" s="8"/>
      <c r="O25" s="173"/>
    </row>
    <row r="26" spans="1:17" x14ac:dyDescent="0.25">
      <c r="A26" s="4">
        <v>42748</v>
      </c>
      <c r="B26" s="91">
        <v>42748</v>
      </c>
      <c r="C26" s="78">
        <v>-1.4</v>
      </c>
      <c r="D26" s="166">
        <v>0.80347222222222225</v>
      </c>
      <c r="E26" s="135"/>
      <c r="F26" s="8" t="s">
        <v>58</v>
      </c>
      <c r="G26" s="163"/>
      <c r="H26" s="8" t="s">
        <v>58</v>
      </c>
      <c r="I26" s="167"/>
      <c r="J26" s="8">
        <v>1360.4547061735436</v>
      </c>
      <c r="K26" s="167"/>
      <c r="L26" s="8">
        <v>528.84133147849752</v>
      </c>
      <c r="M26" s="167"/>
      <c r="N26" s="8" t="s">
        <v>58</v>
      </c>
      <c r="O26" s="162">
        <f>+J26+L26</f>
        <v>1889.2960376520412</v>
      </c>
    </row>
    <row r="27" spans="1:17" x14ac:dyDescent="0.25">
      <c r="A27" s="4">
        <v>42749</v>
      </c>
      <c r="B27" s="91">
        <v>42749</v>
      </c>
      <c r="C27" s="78">
        <v>-1</v>
      </c>
      <c r="D27" s="166">
        <v>0.83263888888888893</v>
      </c>
      <c r="E27" s="135"/>
      <c r="F27" s="8" t="s">
        <v>58</v>
      </c>
      <c r="G27" s="163"/>
      <c r="H27" s="8" t="s">
        <v>58</v>
      </c>
      <c r="I27" s="167"/>
      <c r="J27" s="8">
        <v>2076.1589535097978</v>
      </c>
      <c r="K27" s="167"/>
      <c r="L27" s="8">
        <v>1249.2064069291739</v>
      </c>
      <c r="M27" s="167"/>
      <c r="N27" s="8" t="s">
        <v>58</v>
      </c>
      <c r="O27" s="162">
        <f>+J27+L27</f>
        <v>3325.3653604389719</v>
      </c>
    </row>
    <row r="28" spans="1:17" x14ac:dyDescent="0.25">
      <c r="A28" s="4">
        <v>42750</v>
      </c>
      <c r="B28" s="91">
        <v>42750</v>
      </c>
      <c r="C28" s="78">
        <v>-0.4</v>
      </c>
      <c r="D28" s="166">
        <v>0.86111111111111116</v>
      </c>
      <c r="E28" s="135"/>
      <c r="F28" s="8" t="s">
        <v>58</v>
      </c>
      <c r="G28" s="163"/>
      <c r="H28" s="8" t="s">
        <v>58</v>
      </c>
      <c r="I28" s="167"/>
      <c r="J28" s="8">
        <v>827.08031911300122</v>
      </c>
      <c r="K28" s="167"/>
      <c r="L28" s="8">
        <v>789.73839149512537</v>
      </c>
      <c r="M28" s="167"/>
      <c r="N28" s="8" t="s">
        <v>58</v>
      </c>
      <c r="O28" s="162">
        <f>+J28+L28</f>
        <v>1616.8187106081266</v>
      </c>
    </row>
    <row r="29" spans="1:17" x14ac:dyDescent="0.25">
      <c r="A29" s="124"/>
      <c r="B29" s="91"/>
      <c r="C29" s="168"/>
      <c r="D29" s="169"/>
      <c r="E29" s="170"/>
      <c r="F29" s="125"/>
      <c r="G29" s="163"/>
      <c r="H29" s="8"/>
      <c r="I29" s="167"/>
      <c r="J29" s="8"/>
      <c r="K29" s="167"/>
      <c r="L29" s="8"/>
      <c r="M29" s="167"/>
      <c r="N29" s="8"/>
      <c r="O29" s="173"/>
    </row>
    <row r="30" spans="1:17" x14ac:dyDescent="0.25">
      <c r="A30" s="4">
        <v>42762</v>
      </c>
      <c r="B30" s="91">
        <f>+A30</f>
        <v>42762</v>
      </c>
      <c r="C30" s="168">
        <v>-0.5</v>
      </c>
      <c r="D30" s="169">
        <v>0.7680555555555556</v>
      </c>
      <c r="E30" s="170"/>
      <c r="F30" s="8" t="s">
        <v>58</v>
      </c>
      <c r="G30" s="163"/>
      <c r="H30" s="8" t="s">
        <v>58</v>
      </c>
      <c r="I30" s="163"/>
      <c r="J30" s="8">
        <v>3378.4056923947078</v>
      </c>
      <c r="K30" s="135"/>
      <c r="L30" s="8" t="s">
        <v>58</v>
      </c>
      <c r="M30" s="163"/>
      <c r="N30" s="8" t="s">
        <v>58</v>
      </c>
      <c r="O30" s="173">
        <f>+J30</f>
        <v>3378.4056923947078</v>
      </c>
    </row>
    <row r="31" spans="1:17" x14ac:dyDescent="0.25">
      <c r="A31" s="4">
        <v>42763</v>
      </c>
      <c r="B31" s="91">
        <f t="shared" ref="B31:B34" si="0">+A31</f>
        <v>42763</v>
      </c>
      <c r="C31" s="168">
        <v>-0.6</v>
      </c>
      <c r="D31" s="169">
        <v>0.79236111111111107</v>
      </c>
      <c r="E31" s="170"/>
      <c r="F31" s="8" t="s">
        <v>58</v>
      </c>
      <c r="G31" s="163"/>
      <c r="H31" s="8" t="s">
        <v>58</v>
      </c>
      <c r="I31" s="163"/>
      <c r="J31" s="8">
        <v>5779.7760245021936</v>
      </c>
      <c r="K31" s="163"/>
      <c r="L31" s="8" t="s">
        <v>58</v>
      </c>
      <c r="M31" s="163"/>
      <c r="N31" s="8" t="s">
        <v>58</v>
      </c>
      <c r="O31" s="173">
        <f>+J31</f>
        <v>5779.7760245021936</v>
      </c>
    </row>
    <row r="32" spans="1:17" x14ac:dyDescent="0.25">
      <c r="A32" s="4">
        <v>42764</v>
      </c>
      <c r="B32" s="91">
        <f t="shared" si="0"/>
        <v>42764</v>
      </c>
      <c r="C32" s="168">
        <v>-0.5</v>
      </c>
      <c r="D32" s="169">
        <v>0.81736111111111109</v>
      </c>
      <c r="E32" s="170"/>
      <c r="F32" s="8" t="s">
        <v>58</v>
      </c>
      <c r="G32" s="163"/>
      <c r="H32" s="8" t="s">
        <v>58</v>
      </c>
      <c r="I32" s="163"/>
      <c r="J32" s="8">
        <v>528.97986556560511</v>
      </c>
      <c r="K32" s="163"/>
      <c r="L32" s="8">
        <v>476.58549701524316</v>
      </c>
      <c r="M32" s="163"/>
      <c r="N32" s="8" t="s">
        <v>58</v>
      </c>
      <c r="O32" s="173">
        <f>+J32+L32</f>
        <v>1005.5653625808483</v>
      </c>
    </row>
    <row r="33" spans="1:17" x14ac:dyDescent="0.25">
      <c r="A33" s="4">
        <v>42765</v>
      </c>
      <c r="B33" s="91">
        <f t="shared" si="0"/>
        <v>42765</v>
      </c>
      <c r="C33" s="13">
        <v>-0.3</v>
      </c>
      <c r="D33" s="86">
        <v>0.84236111111111101</v>
      </c>
      <c r="E33" s="127"/>
      <c r="F33" s="8" t="s">
        <v>58</v>
      </c>
      <c r="G33" s="163"/>
      <c r="H33" s="8" t="s">
        <v>58</v>
      </c>
      <c r="J33" s="8">
        <v>448.87917664367563</v>
      </c>
      <c r="L33" s="8">
        <v>271.73717595940326</v>
      </c>
      <c r="N33" s="8" t="s">
        <v>58</v>
      </c>
      <c r="O33" s="173">
        <f t="shared" ref="O33:O34" si="1">+J33+L33</f>
        <v>720.61635260307889</v>
      </c>
    </row>
    <row r="34" spans="1:17" x14ac:dyDescent="0.25">
      <c r="A34" s="4">
        <v>42766</v>
      </c>
      <c r="B34" s="91">
        <f t="shared" si="0"/>
        <v>42766</v>
      </c>
      <c r="C34" s="13">
        <v>0.2</v>
      </c>
      <c r="D34" s="86">
        <v>0.86805555555555547</v>
      </c>
      <c r="E34" s="127"/>
      <c r="F34" s="8" t="s">
        <v>58</v>
      </c>
      <c r="G34" s="163"/>
      <c r="H34" s="8" t="s">
        <v>58</v>
      </c>
      <c r="J34" s="8">
        <v>254.65072792822684</v>
      </c>
      <c r="L34" s="8">
        <v>80.102904596360361</v>
      </c>
      <c r="N34" s="8" t="s">
        <v>58</v>
      </c>
      <c r="O34" s="173">
        <f t="shared" si="1"/>
        <v>334.7536325245872</v>
      </c>
      <c r="Q34" s="15">
        <f>SUM(O23:O34)</f>
        <v>18688.032554139936</v>
      </c>
    </row>
    <row r="35" spans="1:17" x14ac:dyDescent="0.25">
      <c r="A35" s="4"/>
      <c r="B35" s="91"/>
      <c r="C35" s="13"/>
      <c r="D35" s="86"/>
      <c r="F35" s="8"/>
      <c r="G35" s="2"/>
      <c r="H35" s="8"/>
      <c r="J35" s="8"/>
      <c r="L35" s="8"/>
      <c r="N35" s="8"/>
      <c r="O35" s="129"/>
    </row>
    <row r="36" spans="1:17" x14ac:dyDescent="0.25">
      <c r="A36" s="4">
        <v>42773</v>
      </c>
      <c r="B36" s="91">
        <f t="shared" ref="B36:B41" si="2">+A36</f>
        <v>42773</v>
      </c>
      <c r="C36" s="13">
        <v>-0.1</v>
      </c>
      <c r="D36" s="86">
        <v>0.66180555555555554</v>
      </c>
      <c r="F36" s="8" t="s">
        <v>58</v>
      </c>
      <c r="G36" s="2"/>
      <c r="H36" s="8">
        <v>734.50073906377429</v>
      </c>
      <c r="J36" s="8">
        <v>760.13880434470593</v>
      </c>
      <c r="L36" s="8">
        <v>537.04027643618247</v>
      </c>
      <c r="N36" s="8" t="s">
        <v>58</v>
      </c>
      <c r="O36" s="15">
        <f>+H36+J36+L36</f>
        <v>2031.6798198446627</v>
      </c>
    </row>
    <row r="37" spans="1:17" x14ac:dyDescent="0.25">
      <c r="A37" s="4">
        <v>42774</v>
      </c>
      <c r="B37" s="91">
        <f t="shared" si="2"/>
        <v>42774</v>
      </c>
      <c r="C37" s="13">
        <v>-0.6</v>
      </c>
      <c r="D37" s="86">
        <v>0.69861111111111107</v>
      </c>
      <c r="F37" s="8" t="s">
        <v>58</v>
      </c>
      <c r="G37" s="2"/>
      <c r="H37" s="8">
        <v>581.59424517632237</v>
      </c>
      <c r="J37" s="8">
        <v>552.5440322970959</v>
      </c>
      <c r="L37" s="8">
        <v>458.04234920736371</v>
      </c>
      <c r="N37" s="8" t="s">
        <v>58</v>
      </c>
      <c r="O37" s="15">
        <f>+H37+J37+L37</f>
        <v>1592.1806266807821</v>
      </c>
    </row>
    <row r="38" spans="1:17" x14ac:dyDescent="0.25">
      <c r="A38" s="4">
        <v>42775</v>
      </c>
      <c r="B38" s="91">
        <f t="shared" si="2"/>
        <v>42775</v>
      </c>
      <c r="C38" s="13">
        <v>-0.9</v>
      </c>
      <c r="D38" s="86">
        <v>0.73125000000000007</v>
      </c>
      <c r="F38" s="8" t="s">
        <v>58</v>
      </c>
      <c r="G38" s="2"/>
      <c r="H38" s="8">
        <v>599.10230266697147</v>
      </c>
      <c r="J38" s="8">
        <v>688.09490559169888</v>
      </c>
      <c r="L38" s="8">
        <v>549.78151747000743</v>
      </c>
      <c r="N38" s="8" t="s">
        <v>58</v>
      </c>
      <c r="O38" s="15">
        <f>+H38+J38+L38</f>
        <v>1836.9787257286778</v>
      </c>
    </row>
    <row r="39" spans="1:17" x14ac:dyDescent="0.25">
      <c r="A39" s="4">
        <v>42776</v>
      </c>
      <c r="B39" s="91">
        <f t="shared" si="2"/>
        <v>42776</v>
      </c>
      <c r="C39" s="13">
        <v>-1</v>
      </c>
      <c r="D39" s="86">
        <v>0.76111111111111107</v>
      </c>
      <c r="F39" s="8" t="s">
        <v>58</v>
      </c>
      <c r="H39" s="8">
        <v>973.02848226812773</v>
      </c>
      <c r="J39" s="8" t="s">
        <v>58</v>
      </c>
      <c r="L39" s="8">
        <v>1468.6682342693912</v>
      </c>
      <c r="N39" s="8" t="s">
        <v>58</v>
      </c>
      <c r="O39" s="15">
        <f>+H39+L39</f>
        <v>2441.696716537519</v>
      </c>
    </row>
    <row r="40" spans="1:17" x14ac:dyDescent="0.25">
      <c r="A40" s="4">
        <v>42777</v>
      </c>
      <c r="B40" s="91">
        <f t="shared" si="2"/>
        <v>42777</v>
      </c>
      <c r="C40" s="13">
        <v>-0.8</v>
      </c>
      <c r="D40" s="86">
        <v>0.7895833333333333</v>
      </c>
      <c r="F40" s="8" t="s">
        <v>58</v>
      </c>
      <c r="G40" s="2"/>
      <c r="H40" s="8">
        <v>3616.0800222863131</v>
      </c>
      <c r="J40" s="8" t="s">
        <v>58</v>
      </c>
      <c r="L40" s="8">
        <v>4451.6083789766672</v>
      </c>
      <c r="N40" s="8" t="s">
        <v>58</v>
      </c>
      <c r="O40" s="15">
        <f>+H40+L40</f>
        <v>8067.6884012629798</v>
      </c>
    </row>
    <row r="41" spans="1:17" x14ac:dyDescent="0.25">
      <c r="A41" s="4">
        <v>42778</v>
      </c>
      <c r="B41" s="91">
        <f t="shared" si="2"/>
        <v>42778</v>
      </c>
      <c r="C41" s="13">
        <v>-0.5</v>
      </c>
      <c r="D41" s="86">
        <v>0.81527777777777777</v>
      </c>
      <c r="F41" s="8" t="s">
        <v>58</v>
      </c>
      <c r="G41" s="2"/>
      <c r="H41" s="8">
        <v>1320.6322499976759</v>
      </c>
      <c r="J41" s="8" t="s">
        <v>58</v>
      </c>
      <c r="L41" s="8">
        <v>716.17647143028626</v>
      </c>
      <c r="N41" s="8" t="s">
        <v>58</v>
      </c>
      <c r="O41" s="15">
        <f>+H41+L41</f>
        <v>2036.8087214279622</v>
      </c>
    </row>
    <row r="42" spans="1:17" x14ac:dyDescent="0.25">
      <c r="A42" s="4"/>
      <c r="B42" s="91"/>
      <c r="C42" s="13"/>
      <c r="D42" s="86"/>
      <c r="F42" s="8"/>
      <c r="G42" s="2"/>
      <c r="H42" s="8"/>
      <c r="J42" s="8"/>
      <c r="L42" s="8"/>
      <c r="N42" s="8"/>
      <c r="O42" s="129"/>
    </row>
    <row r="43" spans="1:17" x14ac:dyDescent="0.25">
      <c r="A43" s="4">
        <v>42789</v>
      </c>
      <c r="B43" s="91">
        <f t="shared" ref="B43:B48" si="3">+A43</f>
        <v>42789</v>
      </c>
      <c r="C43" s="13">
        <v>0.3</v>
      </c>
      <c r="D43" s="86">
        <v>0.6958333333333333</v>
      </c>
      <c r="F43" s="8" t="s">
        <v>58</v>
      </c>
      <c r="G43" s="2"/>
      <c r="H43" s="8">
        <v>2118.2924638457935</v>
      </c>
      <c r="J43" s="8" t="s">
        <v>58</v>
      </c>
      <c r="L43" s="8" t="s">
        <v>58</v>
      </c>
      <c r="N43" s="8" t="s">
        <v>58</v>
      </c>
      <c r="O43" s="129">
        <f>+H43</f>
        <v>2118.2924638457935</v>
      </c>
    </row>
    <row r="44" spans="1:17" x14ac:dyDescent="0.25">
      <c r="A44" s="4">
        <v>42790</v>
      </c>
      <c r="B44" s="91">
        <f t="shared" si="3"/>
        <v>42790</v>
      </c>
      <c r="C44" s="13">
        <v>-0.1</v>
      </c>
      <c r="D44" s="86">
        <v>0.72291666666666676</v>
      </c>
      <c r="F44" s="8" t="s">
        <v>58</v>
      </c>
      <c r="G44" s="2"/>
      <c r="H44" s="8">
        <v>2110.9955089896484</v>
      </c>
      <c r="J44" s="8">
        <v>2424.5787203382324</v>
      </c>
      <c r="L44" s="8">
        <v>1438.6266222006643</v>
      </c>
      <c r="N44" s="8" t="s">
        <v>58</v>
      </c>
      <c r="O44" s="129">
        <f>+H44+J44+L44</f>
        <v>5974.2008515285452</v>
      </c>
    </row>
    <row r="45" spans="1:17" x14ac:dyDescent="0.25">
      <c r="A45" s="4">
        <v>42791</v>
      </c>
      <c r="B45" s="91">
        <f t="shared" si="3"/>
        <v>42791</v>
      </c>
      <c r="C45" s="13">
        <v>-0.3</v>
      </c>
      <c r="D45" s="86">
        <v>0.74861111111111101</v>
      </c>
      <c r="F45" s="8" t="s">
        <v>58</v>
      </c>
      <c r="G45" s="2"/>
      <c r="H45" s="8">
        <v>4832.7588891055348</v>
      </c>
      <c r="J45" s="8">
        <v>8177.9369228415162</v>
      </c>
      <c r="L45" s="8">
        <v>4819.9750055239037</v>
      </c>
      <c r="N45" s="8" t="s">
        <v>58</v>
      </c>
      <c r="O45" s="129">
        <f>+H45+J45+L45</f>
        <v>17830.670817470957</v>
      </c>
    </row>
    <row r="46" spans="1:17" x14ac:dyDescent="0.25">
      <c r="A46" s="4">
        <v>42792</v>
      </c>
      <c r="B46" s="91">
        <f t="shared" si="3"/>
        <v>42792</v>
      </c>
      <c r="C46" s="13">
        <v>-0.4</v>
      </c>
      <c r="D46" s="86">
        <v>0.77361111111111114</v>
      </c>
      <c r="F46" s="8" t="s">
        <v>58</v>
      </c>
      <c r="H46" s="8">
        <v>1906</v>
      </c>
      <c r="J46" s="8">
        <v>1607.6658288969238</v>
      </c>
      <c r="L46" s="8">
        <v>783.21914716098252</v>
      </c>
      <c r="N46" s="8" t="s">
        <v>58</v>
      </c>
      <c r="O46" s="129">
        <f>+H46+J46+L46</f>
        <v>4296.884976057906</v>
      </c>
    </row>
    <row r="47" spans="1:17" x14ac:dyDescent="0.25">
      <c r="A47" s="124">
        <v>42793</v>
      </c>
      <c r="B47" s="91">
        <f t="shared" si="3"/>
        <v>42793</v>
      </c>
      <c r="C47" s="126">
        <v>-0.3</v>
      </c>
      <c r="D47" s="131">
        <v>0.7993055555555556</v>
      </c>
      <c r="E47" s="127"/>
      <c r="F47" s="8" t="s">
        <v>58</v>
      </c>
      <c r="G47" s="128"/>
      <c r="H47" s="125">
        <v>714.23922728375089</v>
      </c>
      <c r="I47" s="128"/>
      <c r="J47" s="8" t="s">
        <v>58</v>
      </c>
      <c r="L47" s="8" t="s">
        <v>58</v>
      </c>
      <c r="N47" s="8" t="s">
        <v>58</v>
      </c>
      <c r="O47" s="129">
        <f>+H47</f>
        <v>714.23922728375089</v>
      </c>
    </row>
    <row r="48" spans="1:17" x14ac:dyDescent="0.25">
      <c r="A48" s="4">
        <v>42794</v>
      </c>
      <c r="B48" s="91">
        <f t="shared" si="3"/>
        <v>42794</v>
      </c>
      <c r="C48" s="13">
        <v>0</v>
      </c>
      <c r="D48" s="86">
        <v>0.82500000000000007</v>
      </c>
      <c r="E48" s="127"/>
      <c r="F48" s="8" t="s">
        <v>58</v>
      </c>
      <c r="G48" s="128"/>
      <c r="H48" s="8">
        <v>447.00699780043635</v>
      </c>
      <c r="I48" s="128"/>
      <c r="J48" s="8" t="s">
        <v>58</v>
      </c>
      <c r="K48" s="128"/>
      <c r="L48" s="8" t="s">
        <v>58</v>
      </c>
      <c r="M48" s="128"/>
      <c r="N48" s="8" t="s">
        <v>58</v>
      </c>
      <c r="O48" s="129">
        <f>+H48</f>
        <v>447.00699780043635</v>
      </c>
      <c r="Q48" s="15">
        <f>SUM(O36:O48)</f>
        <v>49388.32834546997</v>
      </c>
    </row>
    <row r="49" spans="1:17" x14ac:dyDescent="0.25">
      <c r="A49" s="4"/>
      <c r="B49" s="91"/>
      <c r="C49" s="13"/>
      <c r="D49" s="86"/>
      <c r="E49" s="127"/>
      <c r="F49" s="130"/>
      <c r="G49" s="128"/>
      <c r="H49" s="125"/>
      <c r="I49" s="128"/>
      <c r="J49" s="8"/>
      <c r="L49" s="8"/>
      <c r="N49" s="8"/>
      <c r="O49" s="129"/>
    </row>
    <row r="50" spans="1:17" x14ac:dyDescent="0.25">
      <c r="A50" s="124">
        <v>42801</v>
      </c>
      <c r="B50" s="91">
        <f t="shared" ref="B50:B56" si="4">+A50</f>
        <v>42801</v>
      </c>
      <c r="C50" s="126">
        <v>0.5</v>
      </c>
      <c r="D50" s="131">
        <v>0.60625000000000007</v>
      </c>
      <c r="E50" s="127"/>
      <c r="F50" s="8" t="s">
        <v>58</v>
      </c>
      <c r="G50" s="128"/>
      <c r="H50" s="125">
        <v>392.24613301648617</v>
      </c>
      <c r="I50" s="128"/>
      <c r="J50" s="8" t="s">
        <v>58</v>
      </c>
      <c r="L50" s="8" t="s">
        <v>58</v>
      </c>
      <c r="N50" s="8" t="s">
        <v>58</v>
      </c>
      <c r="O50" s="133">
        <f>+H50</f>
        <v>392.24613301648617</v>
      </c>
    </row>
    <row r="51" spans="1:17" x14ac:dyDescent="0.25">
      <c r="A51" s="124">
        <v>42802</v>
      </c>
      <c r="B51" s="91">
        <f t="shared" si="4"/>
        <v>42802</v>
      </c>
      <c r="C51" s="126">
        <v>0.1</v>
      </c>
      <c r="D51" s="131">
        <v>0.64930555555555558</v>
      </c>
      <c r="E51" s="127"/>
      <c r="F51" s="8" t="s">
        <v>58</v>
      </c>
      <c r="G51" s="128"/>
      <c r="H51" s="125">
        <v>869.72831350906313</v>
      </c>
      <c r="I51" s="128"/>
      <c r="J51" s="8" t="s">
        <v>58</v>
      </c>
      <c r="L51" s="8" t="s">
        <v>58</v>
      </c>
      <c r="N51" s="8" t="s">
        <v>58</v>
      </c>
      <c r="O51" s="133">
        <f>+H51</f>
        <v>869.72831350906313</v>
      </c>
    </row>
    <row r="52" spans="1:17" x14ac:dyDescent="0.25">
      <c r="A52" s="124">
        <v>42803</v>
      </c>
      <c r="B52" s="91">
        <f t="shared" si="4"/>
        <v>42803</v>
      </c>
      <c r="C52" s="126">
        <v>-0.1</v>
      </c>
      <c r="D52" s="131">
        <v>0.68611111111111101</v>
      </c>
      <c r="E52" s="127"/>
      <c r="F52" s="8" t="s">
        <v>58</v>
      </c>
      <c r="G52" s="128"/>
      <c r="H52" s="125">
        <v>656.16429905980272</v>
      </c>
      <c r="I52" s="128"/>
      <c r="J52" s="8" t="s">
        <v>58</v>
      </c>
      <c r="L52" s="8">
        <v>571.30105568193881</v>
      </c>
      <c r="N52" s="8" t="s">
        <v>58</v>
      </c>
      <c r="O52" s="133">
        <f>+H52+L52</f>
        <v>1227.4653547417415</v>
      </c>
    </row>
    <row r="53" spans="1:17" x14ac:dyDescent="0.25">
      <c r="A53" s="124">
        <v>42804</v>
      </c>
      <c r="B53" s="91">
        <f t="shared" si="4"/>
        <v>42804</v>
      </c>
      <c r="C53" s="126">
        <v>-0.3</v>
      </c>
      <c r="D53" s="131">
        <v>0.71736111111111101</v>
      </c>
      <c r="E53" s="127"/>
      <c r="F53" s="8" t="s">
        <v>58</v>
      </c>
      <c r="G53" s="128"/>
      <c r="H53" s="125">
        <v>2986.4229867409231</v>
      </c>
      <c r="I53" s="128"/>
      <c r="J53" s="125">
        <v>2564.7807731953208</v>
      </c>
      <c r="K53" s="128"/>
      <c r="L53" s="8" t="s">
        <v>58</v>
      </c>
      <c r="M53" s="128"/>
      <c r="N53" s="8" t="s">
        <v>58</v>
      </c>
      <c r="O53" s="133">
        <f>+H53+J53</f>
        <v>5551.2037599362438</v>
      </c>
    </row>
    <row r="54" spans="1:17" x14ac:dyDescent="0.25">
      <c r="A54" s="124">
        <v>42805</v>
      </c>
      <c r="B54" s="91">
        <f t="shared" si="4"/>
        <v>42805</v>
      </c>
      <c r="C54" s="126">
        <v>-0.3</v>
      </c>
      <c r="D54" s="131">
        <v>0.74583333333333324</v>
      </c>
      <c r="E54" s="127"/>
      <c r="F54" s="8" t="s">
        <v>58</v>
      </c>
      <c r="G54" s="128"/>
      <c r="H54" s="125">
        <v>3147.9007530457411</v>
      </c>
      <c r="I54" s="128"/>
      <c r="J54" s="8" t="s">
        <v>58</v>
      </c>
      <c r="K54" s="128"/>
      <c r="L54" s="125">
        <v>2865.1924854540198</v>
      </c>
      <c r="M54" s="128"/>
      <c r="N54" s="8" t="s">
        <v>58</v>
      </c>
      <c r="O54" s="133">
        <f>+H54+L54</f>
        <v>6013.0932384997614</v>
      </c>
    </row>
    <row r="55" spans="1:17" x14ac:dyDescent="0.25">
      <c r="A55" s="124">
        <v>42806</v>
      </c>
      <c r="B55" s="91">
        <f t="shared" si="4"/>
        <v>42806</v>
      </c>
      <c r="C55" s="126">
        <v>-0.1</v>
      </c>
      <c r="D55" s="131">
        <v>0.81319444444444444</v>
      </c>
      <c r="E55" s="127"/>
      <c r="F55" s="8" t="s">
        <v>58</v>
      </c>
      <c r="G55" s="128"/>
      <c r="H55" s="125">
        <v>1559.3138977196013</v>
      </c>
      <c r="I55" s="128"/>
      <c r="J55" s="125">
        <v>1374.3737019349537</v>
      </c>
      <c r="K55" s="128"/>
      <c r="L55" s="8" t="s">
        <v>58</v>
      </c>
      <c r="M55" s="128"/>
      <c r="N55" s="8" t="s">
        <v>58</v>
      </c>
      <c r="O55" s="133">
        <f>+H55+J55</f>
        <v>2933.687599654555</v>
      </c>
    </row>
    <row r="56" spans="1:17" x14ac:dyDescent="0.25">
      <c r="A56" s="124">
        <v>42807</v>
      </c>
      <c r="B56" s="91">
        <f t="shared" si="4"/>
        <v>42807</v>
      </c>
      <c r="C56" s="126">
        <v>0.3</v>
      </c>
      <c r="D56" s="131">
        <v>0.83750000000000002</v>
      </c>
      <c r="E56" s="127"/>
      <c r="F56" s="8" t="s">
        <v>58</v>
      </c>
      <c r="G56" s="128"/>
      <c r="H56" s="125">
        <v>463.79556976965131</v>
      </c>
      <c r="I56" s="128"/>
      <c r="J56" s="8" t="s">
        <v>58</v>
      </c>
      <c r="K56" s="128"/>
      <c r="L56" s="8" t="s">
        <v>58</v>
      </c>
      <c r="M56" s="128"/>
      <c r="N56" s="8" t="s">
        <v>58</v>
      </c>
      <c r="O56" s="133">
        <f>+H56</f>
        <v>463.79556976965131</v>
      </c>
    </row>
    <row r="57" spans="1:17" x14ac:dyDescent="0.25">
      <c r="A57" s="4"/>
      <c r="B57" s="91"/>
      <c r="C57" s="13"/>
      <c r="D57" s="86"/>
      <c r="E57" s="127"/>
      <c r="F57" s="130"/>
      <c r="G57" s="128"/>
      <c r="H57" s="8"/>
      <c r="I57" s="128"/>
      <c r="J57" s="8"/>
      <c r="K57" s="128"/>
      <c r="L57" s="8"/>
      <c r="M57" s="128"/>
      <c r="N57" s="8"/>
      <c r="O57" s="129"/>
    </row>
    <row r="58" spans="1:17" x14ac:dyDescent="0.25">
      <c r="A58" s="124">
        <v>42818</v>
      </c>
      <c r="B58" s="91">
        <f t="shared" ref="B58:B60" si="5">+A58</f>
        <v>42818</v>
      </c>
      <c r="C58" s="126">
        <v>0.5</v>
      </c>
      <c r="D58" s="131">
        <v>0.7090277777777777</v>
      </c>
      <c r="E58" s="127"/>
      <c r="F58" s="8" t="s">
        <v>58</v>
      </c>
      <c r="G58" s="128"/>
      <c r="H58" s="8" t="s">
        <v>58</v>
      </c>
      <c r="I58" s="128"/>
      <c r="J58" s="8" t="s">
        <v>58</v>
      </c>
      <c r="K58" s="128"/>
      <c r="L58" s="125">
        <v>1536.9319649537661</v>
      </c>
      <c r="M58" s="128"/>
      <c r="N58" s="8" t="s">
        <v>58</v>
      </c>
      <c r="O58" s="129">
        <f>+L58</f>
        <v>1536.9319649537661</v>
      </c>
    </row>
    <row r="59" spans="1:17" x14ac:dyDescent="0.25">
      <c r="A59" s="124">
        <v>42819</v>
      </c>
      <c r="B59" s="91">
        <f t="shared" si="5"/>
        <v>42819</v>
      </c>
      <c r="C59" s="126">
        <v>0.2</v>
      </c>
      <c r="D59" s="131">
        <v>0.73888888888888893</v>
      </c>
      <c r="E59" s="127"/>
      <c r="F59" s="8" t="s">
        <v>58</v>
      </c>
      <c r="G59" s="128"/>
      <c r="H59" s="8" t="s">
        <v>58</v>
      </c>
      <c r="I59" s="128"/>
      <c r="J59" s="125">
        <v>9039.5451183520399</v>
      </c>
      <c r="K59" s="128"/>
      <c r="L59" s="8" t="s">
        <v>58</v>
      </c>
      <c r="M59" s="128"/>
      <c r="N59" s="8" t="s">
        <v>58</v>
      </c>
      <c r="O59" s="129">
        <f>+J59</f>
        <v>9039.5451183520399</v>
      </c>
    </row>
    <row r="60" spans="1:17" x14ac:dyDescent="0.25">
      <c r="A60" s="124">
        <v>42820</v>
      </c>
      <c r="B60" s="91">
        <f t="shared" si="5"/>
        <v>42820</v>
      </c>
      <c r="C60" s="126">
        <v>0</v>
      </c>
      <c r="D60" s="131">
        <v>0.76666666666666661</v>
      </c>
      <c r="E60" s="127"/>
      <c r="F60" s="8" t="s">
        <v>58</v>
      </c>
      <c r="G60" s="128"/>
      <c r="H60" s="8" t="s">
        <v>58</v>
      </c>
      <c r="I60" s="128"/>
      <c r="J60" s="8" t="s">
        <v>58</v>
      </c>
      <c r="K60" s="128"/>
      <c r="L60" s="125">
        <v>1164.5201998100172</v>
      </c>
      <c r="M60" s="128"/>
      <c r="N60" s="8" t="s">
        <v>58</v>
      </c>
      <c r="O60" s="129">
        <f>+L60</f>
        <v>1164.5201998100172</v>
      </c>
    </row>
    <row r="61" spans="1:17" x14ac:dyDescent="0.25">
      <c r="A61" s="4"/>
      <c r="B61" s="91"/>
      <c r="C61" s="13"/>
      <c r="D61" s="86"/>
      <c r="E61" s="127"/>
      <c r="F61" s="130"/>
      <c r="G61" s="128"/>
      <c r="H61" s="8"/>
      <c r="I61" s="128"/>
      <c r="J61" s="8"/>
      <c r="K61" s="128"/>
      <c r="L61" s="8"/>
      <c r="M61" s="128"/>
      <c r="N61" s="8"/>
      <c r="O61" s="129"/>
    </row>
    <row r="62" spans="1:17" x14ac:dyDescent="0.25">
      <c r="A62" s="124">
        <v>42824</v>
      </c>
      <c r="B62" s="91">
        <f t="shared" ref="B62:B65" si="6">+A62</f>
        <v>42824</v>
      </c>
      <c r="C62" s="126">
        <v>-0.6</v>
      </c>
      <c r="D62" s="131">
        <v>0.37361111111111112</v>
      </c>
      <c r="E62" s="127"/>
      <c r="F62" s="8" t="s">
        <v>58</v>
      </c>
      <c r="G62" s="128"/>
      <c r="H62" s="8" t="s">
        <v>58</v>
      </c>
      <c r="I62" s="128"/>
      <c r="J62" s="8" t="s">
        <v>58</v>
      </c>
      <c r="K62" s="128"/>
      <c r="L62" s="8">
        <v>1290.9015613841007</v>
      </c>
      <c r="M62" s="128"/>
      <c r="N62" s="8" t="s">
        <v>58</v>
      </c>
      <c r="O62" s="129">
        <f>+L62</f>
        <v>1290.9015613841007</v>
      </c>
    </row>
    <row r="63" spans="1:17" x14ac:dyDescent="0.25">
      <c r="A63" s="124">
        <v>42825</v>
      </c>
      <c r="B63" s="91">
        <f t="shared" si="6"/>
        <v>42825</v>
      </c>
      <c r="C63" s="126">
        <v>-0.6</v>
      </c>
      <c r="D63" s="131">
        <v>0.40763888888888888</v>
      </c>
      <c r="E63" s="127"/>
      <c r="F63" s="8" t="s">
        <v>58</v>
      </c>
      <c r="G63" s="128"/>
      <c r="H63" s="8" t="s">
        <v>58</v>
      </c>
      <c r="I63" s="128"/>
      <c r="J63" s="8">
        <v>3720.1134800107961</v>
      </c>
      <c r="K63" s="128"/>
      <c r="L63" s="8" t="s">
        <v>58</v>
      </c>
      <c r="M63" s="128"/>
      <c r="N63" s="8" t="s">
        <v>58</v>
      </c>
      <c r="O63" s="129">
        <f>+J63</f>
        <v>3720.1134800107961</v>
      </c>
      <c r="Q63" s="10">
        <f>SUM(O50:O63)</f>
        <v>34203.232293638219</v>
      </c>
    </row>
    <row r="64" spans="1:17" x14ac:dyDescent="0.25">
      <c r="A64" s="124">
        <v>42826</v>
      </c>
      <c r="B64" s="91">
        <f t="shared" si="6"/>
        <v>42826</v>
      </c>
      <c r="C64" s="126">
        <v>-0.5</v>
      </c>
      <c r="D64" s="131">
        <v>0.44444444444444442</v>
      </c>
      <c r="E64" s="127"/>
      <c r="F64" s="8" t="s">
        <v>58</v>
      </c>
      <c r="G64" s="128"/>
      <c r="H64" s="8" t="s">
        <v>58</v>
      </c>
      <c r="I64" s="128"/>
      <c r="J64" s="8" t="s">
        <v>58</v>
      </c>
      <c r="K64" s="128"/>
      <c r="L64" s="8">
        <v>6877.1156250197428</v>
      </c>
      <c r="M64" s="128"/>
      <c r="N64" s="8" t="s">
        <v>58</v>
      </c>
      <c r="O64" s="129">
        <f>+L64</f>
        <v>6877.1156250197428</v>
      </c>
    </row>
    <row r="65" spans="1:15" x14ac:dyDescent="0.25">
      <c r="A65" s="124">
        <v>42827</v>
      </c>
      <c r="B65" s="91">
        <f t="shared" si="6"/>
        <v>42827</v>
      </c>
      <c r="C65" s="126">
        <v>-0.1</v>
      </c>
      <c r="D65" s="131">
        <v>0.48541666666666666</v>
      </c>
      <c r="E65" s="127"/>
      <c r="F65" s="8" t="s">
        <v>58</v>
      </c>
      <c r="G65" s="128"/>
      <c r="H65" s="8" t="s">
        <v>58</v>
      </c>
      <c r="I65" s="128"/>
      <c r="J65" s="8">
        <v>6049.8091327997226</v>
      </c>
      <c r="K65" s="128"/>
      <c r="L65" s="8" t="s">
        <v>58</v>
      </c>
      <c r="M65" s="128"/>
      <c r="N65" s="8" t="s">
        <v>58</v>
      </c>
      <c r="O65" s="129">
        <f>+J65</f>
        <v>6049.8091327997226</v>
      </c>
    </row>
    <row r="66" spans="1:15" x14ac:dyDescent="0.25">
      <c r="A66" s="4"/>
      <c r="B66" s="91"/>
      <c r="C66" s="13"/>
      <c r="D66" s="86"/>
      <c r="E66" s="127"/>
      <c r="F66" s="130"/>
      <c r="G66" s="128"/>
      <c r="H66" s="8"/>
      <c r="I66" s="128"/>
      <c r="J66" s="8"/>
      <c r="K66" s="128"/>
      <c r="L66" s="8"/>
      <c r="M66" s="128"/>
      <c r="N66" s="8"/>
      <c r="O66" s="129"/>
    </row>
    <row r="67" spans="1:15" x14ac:dyDescent="0.25">
      <c r="A67" s="124">
        <v>42830</v>
      </c>
      <c r="B67" s="91">
        <f t="shared" ref="B67:B71" si="7">+A67</f>
        <v>42830</v>
      </c>
      <c r="C67" s="126">
        <v>0.5</v>
      </c>
      <c r="D67" s="131">
        <v>0.62916666666666665</v>
      </c>
      <c r="E67" s="127"/>
      <c r="F67" s="8" t="s">
        <v>58</v>
      </c>
      <c r="G67" s="128"/>
      <c r="H67" s="125">
        <v>485.84676936659537</v>
      </c>
      <c r="I67" s="128"/>
      <c r="J67" s="8" t="s">
        <v>58</v>
      </c>
      <c r="K67" s="128"/>
      <c r="L67" s="8" t="s">
        <v>58</v>
      </c>
      <c r="M67" s="128"/>
      <c r="N67" s="8" t="s">
        <v>58</v>
      </c>
      <c r="O67" s="133">
        <f t="shared" ref="O67:O71" si="8">+H67</f>
        <v>485.84676936659537</v>
      </c>
    </row>
    <row r="68" spans="1:15" x14ac:dyDescent="0.25">
      <c r="A68" s="124">
        <v>42831</v>
      </c>
      <c r="B68" s="91">
        <f t="shared" si="7"/>
        <v>42831</v>
      </c>
      <c r="C68" s="126">
        <v>0.4</v>
      </c>
      <c r="D68" s="131">
        <v>0.67222222222222217</v>
      </c>
      <c r="E68" s="127"/>
      <c r="F68" s="8" t="s">
        <v>58</v>
      </c>
      <c r="G68" s="128"/>
      <c r="H68" s="125">
        <v>1098.647949021906</v>
      </c>
      <c r="I68" s="128"/>
      <c r="J68" s="8" t="s">
        <v>58</v>
      </c>
      <c r="K68" s="128"/>
      <c r="L68" s="8" t="s">
        <v>58</v>
      </c>
      <c r="M68" s="128"/>
      <c r="N68" s="8" t="s">
        <v>58</v>
      </c>
      <c r="O68" s="133">
        <f t="shared" si="8"/>
        <v>1098.647949021906</v>
      </c>
    </row>
    <row r="69" spans="1:15" x14ac:dyDescent="0.25">
      <c r="A69" s="124">
        <v>42832</v>
      </c>
      <c r="B69" s="91">
        <f t="shared" si="7"/>
        <v>42832</v>
      </c>
      <c r="C69" s="126">
        <v>0.4</v>
      </c>
      <c r="D69" s="131">
        <v>0.7090277777777777</v>
      </c>
      <c r="E69" s="127"/>
      <c r="F69" s="8" t="s">
        <v>58</v>
      </c>
      <c r="G69" s="128"/>
      <c r="H69" s="125">
        <v>0</v>
      </c>
      <c r="I69" s="128"/>
      <c r="J69" s="8" t="s">
        <v>58</v>
      </c>
      <c r="K69" s="128"/>
      <c r="L69" s="8" t="s">
        <v>58</v>
      </c>
      <c r="M69" s="128"/>
      <c r="N69" s="8" t="s">
        <v>58</v>
      </c>
      <c r="O69" s="133">
        <f t="shared" si="8"/>
        <v>0</v>
      </c>
    </row>
    <row r="70" spans="1:15" x14ac:dyDescent="0.25">
      <c r="A70" s="124">
        <v>42833</v>
      </c>
      <c r="B70" s="91">
        <f t="shared" si="7"/>
        <v>42833</v>
      </c>
      <c r="C70" s="126">
        <v>0.4</v>
      </c>
      <c r="D70" s="131">
        <v>0.7402777777777777</v>
      </c>
      <c r="E70" s="127"/>
      <c r="F70" s="8" t="s">
        <v>58</v>
      </c>
      <c r="G70" s="128"/>
      <c r="H70" s="125">
        <v>1424.8390832385728</v>
      </c>
      <c r="I70" s="128"/>
      <c r="J70" s="8" t="s">
        <v>58</v>
      </c>
      <c r="K70" s="128"/>
      <c r="L70" s="8" t="s">
        <v>58</v>
      </c>
      <c r="M70" s="128"/>
      <c r="N70" s="8" t="s">
        <v>58</v>
      </c>
      <c r="O70" s="133">
        <f t="shared" si="8"/>
        <v>1424.8390832385728</v>
      </c>
    </row>
    <row r="71" spans="1:15" x14ac:dyDescent="0.25">
      <c r="A71" s="124">
        <v>42834</v>
      </c>
      <c r="B71" s="91">
        <f t="shared" si="7"/>
        <v>42834</v>
      </c>
      <c r="C71" s="126">
        <v>0.5</v>
      </c>
      <c r="D71" s="131">
        <v>0.2673611111111111</v>
      </c>
      <c r="E71" s="127"/>
      <c r="F71" s="8" t="s">
        <v>58</v>
      </c>
      <c r="G71" s="128"/>
      <c r="H71" s="125">
        <v>543.23500571761963</v>
      </c>
      <c r="I71" s="128"/>
      <c r="J71" s="8" t="s">
        <v>58</v>
      </c>
      <c r="K71" s="128"/>
      <c r="L71" s="8" t="s">
        <v>58</v>
      </c>
      <c r="M71" s="128"/>
      <c r="N71" s="8" t="s">
        <v>58</v>
      </c>
      <c r="O71" s="133">
        <f t="shared" si="8"/>
        <v>543.23500571761963</v>
      </c>
    </row>
    <row r="72" spans="1:15" x14ac:dyDescent="0.25">
      <c r="A72" s="4"/>
      <c r="B72" s="91"/>
      <c r="C72" s="13"/>
      <c r="D72" s="86"/>
      <c r="E72" s="127"/>
      <c r="F72" s="130"/>
      <c r="G72" s="128"/>
      <c r="H72" s="8"/>
      <c r="I72" s="128"/>
      <c r="J72" s="8"/>
      <c r="K72" s="128"/>
      <c r="L72" s="8"/>
      <c r="M72" s="128"/>
      <c r="N72" s="8"/>
      <c r="O72" s="129"/>
    </row>
    <row r="73" spans="1:15" x14ac:dyDescent="0.25">
      <c r="A73" s="4">
        <v>42837</v>
      </c>
      <c r="B73" s="91">
        <v>42837</v>
      </c>
      <c r="C73" s="13">
        <v>0</v>
      </c>
      <c r="D73" s="86">
        <v>0.33888888888888885</v>
      </c>
      <c r="E73" s="127"/>
      <c r="F73" s="130">
        <v>475.51038041213985</v>
      </c>
      <c r="G73" s="128"/>
      <c r="H73" s="8">
        <v>248.17273210909204</v>
      </c>
      <c r="I73" s="128"/>
      <c r="J73" s="8" t="s">
        <v>58</v>
      </c>
      <c r="K73" s="128"/>
      <c r="L73" s="8" t="s">
        <v>58</v>
      </c>
      <c r="M73" s="128"/>
      <c r="N73" s="8" t="s">
        <v>58</v>
      </c>
      <c r="O73" s="133">
        <f>+F73+H73</f>
        <v>723.68311252123192</v>
      </c>
    </row>
    <row r="74" spans="1:15" x14ac:dyDescent="0.25">
      <c r="A74" s="4">
        <v>42838</v>
      </c>
      <c r="B74" s="91">
        <v>42838</v>
      </c>
      <c r="C74" s="13">
        <v>0</v>
      </c>
      <c r="D74" s="86">
        <v>0.36319444444444443</v>
      </c>
      <c r="E74" s="127"/>
      <c r="F74" s="130">
        <v>929.79773852901849</v>
      </c>
      <c r="G74" s="128"/>
      <c r="H74" s="8">
        <v>695.82910844728804</v>
      </c>
      <c r="I74" s="128"/>
      <c r="J74" s="125">
        <v>785.91229514681561</v>
      </c>
      <c r="K74" s="128"/>
      <c r="L74" s="8" t="s">
        <v>58</v>
      </c>
      <c r="M74" s="128"/>
      <c r="N74" s="8" t="s">
        <v>58</v>
      </c>
      <c r="O74" s="133">
        <f>+F74+H74+J74</f>
        <v>2411.539142123122</v>
      </c>
    </row>
    <row r="75" spans="1:15" x14ac:dyDescent="0.25">
      <c r="A75" s="4">
        <v>42839</v>
      </c>
      <c r="B75" s="91">
        <v>42839</v>
      </c>
      <c r="C75" s="13">
        <v>0.1</v>
      </c>
      <c r="D75" s="86">
        <v>0.38750000000000001</v>
      </c>
      <c r="E75" s="127"/>
      <c r="F75" s="130">
        <v>1721.9106199815278</v>
      </c>
      <c r="G75" s="128"/>
      <c r="H75" s="8">
        <v>1167.289523111082</v>
      </c>
      <c r="I75" s="128"/>
      <c r="J75" s="8" t="s">
        <v>58</v>
      </c>
      <c r="K75" s="128"/>
      <c r="L75" s="125">
        <v>1700.8846781936143</v>
      </c>
      <c r="M75" s="128"/>
      <c r="N75" s="8" t="s">
        <v>58</v>
      </c>
      <c r="O75" s="133">
        <f>+F75+H75+L75</f>
        <v>4590.0848212862238</v>
      </c>
    </row>
    <row r="76" spans="1:15" x14ac:dyDescent="0.25">
      <c r="A76" s="4">
        <v>42840</v>
      </c>
      <c r="B76" s="91">
        <v>42840</v>
      </c>
      <c r="C76" s="13">
        <v>0.3</v>
      </c>
      <c r="D76" s="86">
        <v>0.41319444444444442</v>
      </c>
      <c r="E76" s="127"/>
      <c r="F76" s="130">
        <v>8162.5022676715671</v>
      </c>
      <c r="G76" s="128"/>
      <c r="H76" s="8">
        <v>2222.7107470832489</v>
      </c>
      <c r="I76" s="128"/>
      <c r="J76" s="125">
        <v>3489.1313517471722</v>
      </c>
      <c r="K76" s="128"/>
      <c r="L76" s="8" t="s">
        <v>58</v>
      </c>
      <c r="M76" s="128"/>
      <c r="N76" s="8" t="s">
        <v>58</v>
      </c>
      <c r="O76" s="133">
        <f>+F76+H76+J76</f>
        <v>13874.344366501988</v>
      </c>
    </row>
    <row r="77" spans="1:15" x14ac:dyDescent="0.25">
      <c r="A77" s="4">
        <v>42841</v>
      </c>
      <c r="B77" s="91">
        <v>42841</v>
      </c>
      <c r="C77" s="13">
        <v>0.5</v>
      </c>
      <c r="D77" s="86">
        <v>0.44166666666666665</v>
      </c>
      <c r="E77" s="127" t="s">
        <v>64</v>
      </c>
      <c r="F77" s="130">
        <v>6938.1269275208315</v>
      </c>
      <c r="G77" s="128"/>
      <c r="H77" s="8">
        <v>2535.0966933488917</v>
      </c>
      <c r="I77" s="128"/>
      <c r="J77" s="8" t="s">
        <v>58</v>
      </c>
      <c r="K77" s="128"/>
      <c r="L77" s="125">
        <v>3700.2089669987467</v>
      </c>
      <c r="M77" s="128"/>
      <c r="N77" s="8" t="s">
        <v>58</v>
      </c>
      <c r="O77" s="133">
        <f>+F77+H77+L77</f>
        <v>13173.43258786847</v>
      </c>
    </row>
    <row r="78" spans="1:15" x14ac:dyDescent="0.25">
      <c r="A78" s="4"/>
      <c r="B78" s="91"/>
      <c r="C78" s="13"/>
      <c r="D78" s="86"/>
      <c r="E78" s="127"/>
      <c r="F78" s="130"/>
      <c r="G78" s="128"/>
      <c r="H78" s="8"/>
      <c r="I78" s="128"/>
      <c r="J78" s="8"/>
      <c r="K78" s="128"/>
      <c r="L78" s="8"/>
      <c r="M78" s="128"/>
      <c r="N78" s="8"/>
      <c r="O78" s="129"/>
    </row>
    <row r="79" spans="1:15" x14ac:dyDescent="0.25">
      <c r="A79" s="4">
        <v>42851</v>
      </c>
      <c r="B79" s="91">
        <f>+A79</f>
        <v>42851</v>
      </c>
      <c r="C79" s="13">
        <v>-1.1000000000000001</v>
      </c>
      <c r="D79" s="86">
        <v>0.29791666666666666</v>
      </c>
      <c r="E79" s="127"/>
      <c r="F79" s="130">
        <v>2083.7471400893519</v>
      </c>
      <c r="G79" s="128"/>
      <c r="H79" s="8">
        <v>807.23582054873418</v>
      </c>
      <c r="I79" s="128"/>
      <c r="J79" s="8" t="s">
        <v>58</v>
      </c>
      <c r="K79" s="128"/>
      <c r="L79" s="8" t="s">
        <v>58</v>
      </c>
      <c r="M79" s="128"/>
      <c r="N79" s="8" t="s">
        <v>58</v>
      </c>
      <c r="O79" s="133">
        <f>+F79+H79</f>
        <v>2890.9829606380863</v>
      </c>
    </row>
    <row r="80" spans="1:15" x14ac:dyDescent="0.25">
      <c r="A80" s="4">
        <v>42852</v>
      </c>
      <c r="B80" s="91">
        <f t="shared" ref="B80:B84" si="9">+A80</f>
        <v>42852</v>
      </c>
      <c r="C80" s="13">
        <v>-1.5</v>
      </c>
      <c r="D80" s="86">
        <v>0.3298611111111111</v>
      </c>
      <c r="E80" s="127"/>
      <c r="F80" s="130">
        <v>6785.9938232304175</v>
      </c>
      <c r="G80" s="128"/>
      <c r="H80" s="8">
        <v>1414.2665067796845</v>
      </c>
      <c r="I80" s="128"/>
      <c r="J80" s="8" t="s">
        <v>58</v>
      </c>
      <c r="K80" s="128"/>
      <c r="L80" s="8">
        <v>2755.3634993402052</v>
      </c>
      <c r="M80" s="128"/>
      <c r="N80" s="8" t="s">
        <v>58</v>
      </c>
      <c r="O80" s="133">
        <f>+F80+H80+L80</f>
        <v>10955.623829350307</v>
      </c>
    </row>
    <row r="81" spans="1:17" x14ac:dyDescent="0.25">
      <c r="A81" s="4">
        <v>42853</v>
      </c>
      <c r="B81" s="91">
        <f t="shared" si="9"/>
        <v>42853</v>
      </c>
      <c r="C81" s="13">
        <v>-1.8</v>
      </c>
      <c r="D81" s="86">
        <v>0.36249999999999999</v>
      </c>
      <c r="E81" s="127"/>
      <c r="F81" s="130">
        <v>11829.401888864337</v>
      </c>
      <c r="G81" s="128"/>
      <c r="H81" s="8">
        <v>2048.7105029934055</v>
      </c>
      <c r="I81" s="128"/>
      <c r="J81" s="8">
        <v>5685.2909308913686</v>
      </c>
      <c r="K81" s="128"/>
      <c r="L81" s="8" t="s">
        <v>58</v>
      </c>
      <c r="M81" s="128"/>
      <c r="N81" s="8" t="s">
        <v>58</v>
      </c>
      <c r="O81" s="133">
        <f>+F81+H81+J81</f>
        <v>19563.403322749113</v>
      </c>
    </row>
    <row r="82" spans="1:17" x14ac:dyDescent="0.25">
      <c r="A82" s="4">
        <v>42854</v>
      </c>
      <c r="B82" s="91">
        <f t="shared" si="9"/>
        <v>42854</v>
      </c>
      <c r="C82" s="13">
        <v>-1.7</v>
      </c>
      <c r="D82" s="86">
        <v>0.3972222222222222</v>
      </c>
      <c r="E82" s="127"/>
      <c r="F82" s="130">
        <v>14567.453000352047</v>
      </c>
      <c r="G82" s="128"/>
      <c r="H82" s="8">
        <v>4282.4204900233699</v>
      </c>
      <c r="I82" s="128"/>
      <c r="J82" s="8" t="s">
        <v>58</v>
      </c>
      <c r="K82" s="128"/>
      <c r="L82" s="8">
        <v>9302.8789705797572</v>
      </c>
      <c r="M82" s="128"/>
      <c r="N82" s="8" t="s">
        <v>58</v>
      </c>
      <c r="O82" s="133">
        <f>+F82+H82+L82</f>
        <v>28152.752460955173</v>
      </c>
    </row>
    <row r="83" spans="1:17" x14ac:dyDescent="0.25">
      <c r="A83" s="4">
        <v>42855</v>
      </c>
      <c r="B83" s="91">
        <f t="shared" si="9"/>
        <v>42855</v>
      </c>
      <c r="C83" s="13">
        <v>-1.3</v>
      </c>
      <c r="D83" s="86">
        <v>0.43333333333333335</v>
      </c>
      <c r="E83" s="127"/>
      <c r="F83" s="130">
        <v>17783.842628122329</v>
      </c>
      <c r="G83" s="127" t="s">
        <v>64</v>
      </c>
      <c r="H83" s="8">
        <f>+J83*H81/J81</f>
        <v>4061.3800068611558</v>
      </c>
      <c r="I83" s="128"/>
      <c r="J83" s="8">
        <v>11270.565990740946</v>
      </c>
      <c r="K83" s="128"/>
      <c r="L83" s="8" t="s">
        <v>58</v>
      </c>
      <c r="M83" s="128"/>
      <c r="N83" s="8" t="s">
        <v>58</v>
      </c>
      <c r="O83" s="133">
        <f>+F83+H83+J83</f>
        <v>33115.788625724432</v>
      </c>
      <c r="Q83" s="15">
        <f>SUM(O64:O83)</f>
        <v>145931.1287948823</v>
      </c>
    </row>
    <row r="84" spans="1:17" x14ac:dyDescent="0.25">
      <c r="A84" s="4">
        <v>42856</v>
      </c>
      <c r="B84" s="91">
        <f t="shared" si="9"/>
        <v>42856</v>
      </c>
      <c r="C84" s="13">
        <v>-0.8</v>
      </c>
      <c r="D84" s="86">
        <v>0.47222222222222227</v>
      </c>
      <c r="E84" s="127" t="s">
        <v>64</v>
      </c>
      <c r="F84" s="130">
        <v>6500</v>
      </c>
      <c r="G84" s="128"/>
      <c r="H84" s="8" t="s">
        <v>58</v>
      </c>
      <c r="I84" s="128"/>
      <c r="J84" s="8" t="s">
        <v>58</v>
      </c>
      <c r="K84" s="128"/>
      <c r="L84" s="8" t="s">
        <v>58</v>
      </c>
      <c r="M84" s="128"/>
      <c r="N84" s="8" t="s">
        <v>58</v>
      </c>
      <c r="O84" s="133">
        <f>+F84</f>
        <v>6500</v>
      </c>
    </row>
    <row r="85" spans="1:17" x14ac:dyDescent="0.25">
      <c r="A85" s="4"/>
      <c r="B85" s="91"/>
      <c r="C85" s="13"/>
      <c r="D85" s="86"/>
      <c r="E85" s="127"/>
      <c r="F85" s="130">
        <f>SUM(F64:F83)</f>
        <v>71278.286414773582</v>
      </c>
      <c r="G85" s="128"/>
      <c r="H85" s="130">
        <f>SUM(H64:H83)</f>
        <v>23035.680938650647</v>
      </c>
      <c r="I85" s="128"/>
      <c r="J85" s="130">
        <f>SUM(J64:J83)</f>
        <v>27280.709701326025</v>
      </c>
      <c r="K85" s="128"/>
      <c r="L85" s="130">
        <f>SUM(L64:L83)</f>
        <v>24336.451740132066</v>
      </c>
      <c r="M85" s="128"/>
      <c r="N85" s="8"/>
      <c r="O85" s="129"/>
    </row>
    <row r="86" spans="1:17" x14ac:dyDescent="0.25">
      <c r="A86" s="124">
        <v>42868</v>
      </c>
      <c r="B86" s="91">
        <v>42868</v>
      </c>
      <c r="C86" s="126">
        <v>-0.6</v>
      </c>
      <c r="D86" s="131">
        <v>0.37083333333333335</v>
      </c>
      <c r="E86" s="127"/>
      <c r="F86" s="8" t="s">
        <v>58</v>
      </c>
      <c r="G86" s="128"/>
      <c r="H86" s="8" t="s">
        <v>58</v>
      </c>
      <c r="I86" s="128"/>
      <c r="J86" s="8" t="s">
        <v>58</v>
      </c>
      <c r="K86" s="128"/>
      <c r="L86" s="125"/>
      <c r="M86" s="128"/>
      <c r="N86" s="8" t="s">
        <v>58</v>
      </c>
      <c r="O86" s="129"/>
    </row>
    <row r="87" spans="1:17" x14ac:dyDescent="0.25">
      <c r="A87" s="124">
        <v>42869</v>
      </c>
      <c r="B87" s="91">
        <v>42869</v>
      </c>
      <c r="C87" s="126">
        <v>-0.4</v>
      </c>
      <c r="D87" s="131">
        <v>0.39583333333333331</v>
      </c>
      <c r="E87" s="127"/>
      <c r="F87" s="8" t="s">
        <v>58</v>
      </c>
      <c r="G87" s="128"/>
      <c r="H87" s="8" t="s">
        <v>58</v>
      </c>
      <c r="I87" s="128"/>
      <c r="J87" s="8" t="s">
        <v>58</v>
      </c>
      <c r="K87" s="128"/>
      <c r="L87" s="125"/>
      <c r="M87" s="128"/>
      <c r="N87" s="8" t="s">
        <v>58</v>
      </c>
      <c r="O87" s="129"/>
    </row>
    <row r="88" spans="1:17" x14ac:dyDescent="0.25">
      <c r="A88" s="4"/>
      <c r="B88" s="91"/>
      <c r="C88" s="13"/>
      <c r="D88" s="86"/>
      <c r="E88" s="127"/>
      <c r="F88" s="130"/>
      <c r="G88" s="128"/>
      <c r="H88" s="130"/>
      <c r="I88" s="128"/>
      <c r="J88" s="132"/>
      <c r="K88" s="128"/>
      <c r="L88" s="132"/>
      <c r="M88" s="128"/>
      <c r="N88" s="132"/>
      <c r="O88" s="133"/>
    </row>
    <row r="89" spans="1:17" x14ac:dyDescent="0.25">
      <c r="A89" s="4"/>
      <c r="B89" s="91"/>
      <c r="C89" s="13"/>
      <c r="D89" s="86"/>
      <c r="E89" s="127"/>
      <c r="F89" s="130"/>
      <c r="G89" s="128"/>
      <c r="H89" s="8"/>
      <c r="I89" s="128"/>
      <c r="J89" s="8"/>
      <c r="K89" s="128"/>
      <c r="L89" s="8"/>
      <c r="M89" s="128"/>
      <c r="N89" s="8"/>
      <c r="O89" s="133"/>
    </row>
    <row r="90" spans="1:17" x14ac:dyDescent="0.25">
      <c r="A90" s="4"/>
      <c r="B90" s="91"/>
      <c r="C90" s="13"/>
      <c r="D90" s="86"/>
      <c r="E90" s="127"/>
      <c r="F90" s="130"/>
      <c r="G90" s="128"/>
      <c r="H90" s="8"/>
      <c r="I90" s="128"/>
      <c r="J90" s="8"/>
      <c r="K90" s="128"/>
      <c r="L90" s="8"/>
      <c r="M90" s="128"/>
      <c r="N90" s="8"/>
      <c r="O90" s="133"/>
    </row>
    <row r="91" spans="1:17" x14ac:dyDescent="0.25">
      <c r="A91" s="4"/>
      <c r="B91" s="91"/>
      <c r="C91" s="13"/>
      <c r="D91" s="86"/>
      <c r="E91" s="127"/>
      <c r="F91" s="130"/>
      <c r="G91" s="128"/>
      <c r="H91" s="8"/>
      <c r="I91" s="128"/>
      <c r="J91" s="8"/>
      <c r="K91" s="128"/>
      <c r="L91" s="8"/>
      <c r="M91" s="128"/>
      <c r="N91" s="8"/>
      <c r="O91" s="133"/>
    </row>
    <row r="92" spans="1:17" x14ac:dyDescent="0.25">
      <c r="A92" s="4"/>
      <c r="B92" s="91"/>
      <c r="C92" s="126"/>
      <c r="D92" s="131"/>
      <c r="E92" s="127"/>
      <c r="F92" s="8"/>
      <c r="G92" s="128"/>
      <c r="H92" s="8"/>
      <c r="I92" s="128"/>
      <c r="J92" s="8"/>
      <c r="K92" s="128"/>
      <c r="L92" s="130"/>
      <c r="M92" s="128"/>
      <c r="N92" s="8"/>
      <c r="O92" s="133"/>
    </row>
    <row r="93" spans="1:17" x14ac:dyDescent="0.25">
      <c r="A93" s="124"/>
      <c r="B93" s="91"/>
      <c r="C93" s="126"/>
      <c r="D93" s="131"/>
      <c r="E93" s="127"/>
      <c r="F93" s="130"/>
      <c r="G93" s="128"/>
      <c r="H93" s="130"/>
      <c r="I93" s="128"/>
      <c r="J93" s="130"/>
      <c r="K93" s="127"/>
      <c r="L93" s="130"/>
      <c r="M93" s="128"/>
      <c r="N93" s="132"/>
      <c r="O93" s="133"/>
    </row>
    <row r="94" spans="1:17" x14ac:dyDescent="0.25">
      <c r="A94" s="4"/>
      <c r="B94" s="91"/>
      <c r="C94" s="13"/>
      <c r="D94" s="86"/>
    </row>
    <row r="95" spans="1:17" x14ac:dyDescent="0.25">
      <c r="A95" s="17" t="s">
        <v>18</v>
      </c>
      <c r="F95" s="15">
        <f>SUM(F2:F94)</f>
        <v>149056.57282954716</v>
      </c>
      <c r="H95" s="15">
        <f>SUM(H2:H94)</f>
        <v>85928.749879693525</v>
      </c>
      <c r="J95" s="15">
        <f>SUM(J2:J94)</f>
        <v>109388.68114027579</v>
      </c>
      <c r="L95" s="15">
        <f>SUM(L3:L94)</f>
        <v>82294.071758588179</v>
      </c>
      <c r="N95" s="15">
        <f>SUM(N3:N94)</f>
        <v>637.4353808353809</v>
      </c>
      <c r="O95" s="15">
        <f>SUM(O2:O94)</f>
        <v>281374.38219405763</v>
      </c>
    </row>
    <row r="96" spans="1:17" x14ac:dyDescent="0.25">
      <c r="A96" s="16" t="s">
        <v>17</v>
      </c>
    </row>
    <row r="97" spans="1:1" x14ac:dyDescent="0.25">
      <c r="A97" s="93" t="s">
        <v>52</v>
      </c>
    </row>
    <row r="98" spans="1:1" x14ac:dyDescent="0.25">
      <c r="A98" t="s">
        <v>53</v>
      </c>
    </row>
  </sheetData>
  <mergeCells count="5">
    <mergeCell ref="E1:F1"/>
    <mergeCell ref="G1:H1"/>
    <mergeCell ref="I1:J1"/>
    <mergeCell ref="K1:L1"/>
    <mergeCell ref="M1:N1"/>
  </mergeCells>
  <pageMargins left="0.25" right="0.25" top="0.75" bottom="0.75" header="0.3" footer="0.3"/>
  <pageSetup paperSize="3" scale="78" orientation="portrait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  <ignoredErrors>
    <ignoredError sqref="O59 O63 O75 O81:O82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99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2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</cols>
  <sheetData>
    <row r="1" spans="1:14" x14ac:dyDescent="0.25">
      <c r="A1" s="11" t="s">
        <v>8</v>
      </c>
      <c r="B1" s="11" t="s">
        <v>5</v>
      </c>
      <c r="C1" s="11" t="s">
        <v>6</v>
      </c>
      <c r="D1" s="11" t="s">
        <v>7</v>
      </c>
      <c r="E1" s="325" t="s">
        <v>0</v>
      </c>
      <c r="F1" s="325"/>
      <c r="G1" s="325" t="s">
        <v>1</v>
      </c>
      <c r="H1" s="325"/>
      <c r="I1" s="325" t="s">
        <v>2</v>
      </c>
      <c r="J1" s="325"/>
      <c r="K1" s="325" t="s">
        <v>3</v>
      </c>
      <c r="L1" s="325"/>
      <c r="M1" s="325" t="s">
        <v>4</v>
      </c>
      <c r="N1" s="325"/>
    </row>
    <row r="2" spans="1:14" x14ac:dyDescent="0.25">
      <c r="A2" s="4">
        <v>42657</v>
      </c>
      <c r="B2" s="5">
        <v>42657</v>
      </c>
      <c r="C2" s="78">
        <v>0.2</v>
      </c>
      <c r="D2" s="6">
        <v>0.74652777777777779</v>
      </c>
      <c r="E2" s="53"/>
      <c r="F2" s="8" t="s">
        <v>58</v>
      </c>
      <c r="G2" s="155" t="s">
        <v>59</v>
      </c>
      <c r="H2" s="8">
        <v>0</v>
      </c>
      <c r="I2" s="155" t="s">
        <v>59</v>
      </c>
      <c r="J2" s="8">
        <v>0</v>
      </c>
      <c r="K2" s="155" t="s">
        <v>59</v>
      </c>
      <c r="L2" s="8">
        <v>0</v>
      </c>
      <c r="M2" s="55"/>
      <c r="N2" s="8" t="s">
        <v>58</v>
      </c>
    </row>
    <row r="3" spans="1:14" x14ac:dyDescent="0.25">
      <c r="A3" s="4">
        <v>42658</v>
      </c>
      <c r="B3" s="5">
        <v>42658</v>
      </c>
      <c r="C3" s="78">
        <v>-0.6</v>
      </c>
      <c r="D3" s="6">
        <v>0.77916666666666667</v>
      </c>
      <c r="E3" s="54"/>
      <c r="F3" s="8" t="s">
        <v>58</v>
      </c>
      <c r="G3" s="156" t="s">
        <v>59</v>
      </c>
      <c r="H3" s="8">
        <v>0</v>
      </c>
      <c r="I3" s="156" t="s">
        <v>59</v>
      </c>
      <c r="J3" s="8">
        <v>0</v>
      </c>
      <c r="K3" s="156" t="s">
        <v>59</v>
      </c>
      <c r="L3" s="8">
        <v>0</v>
      </c>
      <c r="M3" s="55"/>
      <c r="N3" s="8" t="s">
        <v>58</v>
      </c>
    </row>
    <row r="4" spans="1:14" x14ac:dyDescent="0.25">
      <c r="A4" s="4">
        <v>42659</v>
      </c>
      <c r="B4" s="5">
        <v>42659</v>
      </c>
      <c r="C4" s="78">
        <v>-1.1000000000000001</v>
      </c>
      <c r="D4" s="6">
        <v>0.81111111111111112</v>
      </c>
      <c r="E4" s="135"/>
      <c r="F4" s="8" t="s">
        <v>58</v>
      </c>
      <c r="G4" s="8"/>
      <c r="H4" s="9">
        <f>+Harvest!H4/Effort!H4</f>
        <v>9.454545454545455</v>
      </c>
      <c r="I4" s="8"/>
      <c r="J4" s="9">
        <f>+Harvest!J4/Effort!J4</f>
        <v>12.785714285714285</v>
      </c>
      <c r="K4" s="7"/>
      <c r="L4" s="9">
        <f>+Harvest!L4/Effort!L4</f>
        <v>13.411764705882351</v>
      </c>
      <c r="M4" s="55"/>
      <c r="N4" s="8" t="s">
        <v>58</v>
      </c>
    </row>
    <row r="5" spans="1:14" x14ac:dyDescent="0.25">
      <c r="A5" s="4">
        <v>42660</v>
      </c>
      <c r="B5" s="5">
        <v>42660</v>
      </c>
      <c r="C5" s="78">
        <v>-1.4</v>
      </c>
      <c r="D5" s="6">
        <v>0.84444444444444444</v>
      </c>
      <c r="E5" s="54"/>
      <c r="F5" s="8" t="s">
        <v>58</v>
      </c>
      <c r="G5" s="8"/>
      <c r="H5" s="9">
        <f>+Harvest!H5/Effort!H5</f>
        <v>14.212121212121215</v>
      </c>
      <c r="I5" s="8"/>
      <c r="J5" s="8" t="s">
        <v>58</v>
      </c>
      <c r="K5" s="7"/>
      <c r="L5" s="8" t="s">
        <v>58</v>
      </c>
      <c r="M5" s="55"/>
      <c r="N5" s="8" t="s">
        <v>58</v>
      </c>
    </row>
    <row r="6" spans="1:14" x14ac:dyDescent="0.25">
      <c r="A6" s="4">
        <v>42661</v>
      </c>
      <c r="B6" s="5">
        <v>42661</v>
      </c>
      <c r="C6" s="113">
        <v>-1.4</v>
      </c>
      <c r="D6" s="114">
        <v>0.87777777777777777</v>
      </c>
      <c r="E6" s="54"/>
      <c r="F6" s="8" t="s">
        <v>58</v>
      </c>
      <c r="G6" s="8"/>
      <c r="H6" s="9">
        <f>+Harvest!H6/Effort!H6</f>
        <v>13.333333333333336</v>
      </c>
      <c r="I6" s="125"/>
      <c r="J6" s="8" t="s">
        <v>58</v>
      </c>
      <c r="K6" s="7"/>
      <c r="L6" s="8" t="s">
        <v>58</v>
      </c>
      <c r="M6" s="55"/>
      <c r="N6" s="8" t="s">
        <v>58</v>
      </c>
    </row>
    <row r="7" spans="1:14" x14ac:dyDescent="0.25">
      <c r="A7" s="4">
        <v>42662</v>
      </c>
      <c r="B7" s="5">
        <v>42662</v>
      </c>
      <c r="C7" s="113">
        <v>-1.1000000000000001</v>
      </c>
      <c r="D7" s="114">
        <v>0.91319444444444442</v>
      </c>
      <c r="E7" s="135"/>
      <c r="F7" s="8" t="s">
        <v>58</v>
      </c>
      <c r="G7" s="8"/>
      <c r="H7" s="9">
        <f>+Harvest!H7/Effort!H7</f>
        <v>15</v>
      </c>
      <c r="I7" s="125"/>
      <c r="J7" s="8" t="s">
        <v>58</v>
      </c>
      <c r="K7" s="7"/>
      <c r="L7" s="8" t="s">
        <v>58</v>
      </c>
      <c r="M7" s="55"/>
      <c r="N7" s="8" t="s">
        <v>58</v>
      </c>
    </row>
    <row r="8" spans="1:14" x14ac:dyDescent="0.25">
      <c r="A8" s="4"/>
      <c r="B8" s="5"/>
      <c r="C8" s="113"/>
      <c r="D8" s="114"/>
      <c r="E8" s="135"/>
      <c r="F8" s="9"/>
      <c r="G8" s="8"/>
      <c r="H8" s="8"/>
      <c r="I8" s="125"/>
      <c r="J8" s="8"/>
      <c r="K8" s="7"/>
      <c r="L8" s="8"/>
      <c r="M8" s="55"/>
      <c r="N8" s="8"/>
    </row>
    <row r="9" spans="1:14" x14ac:dyDescent="0.25">
      <c r="A9" s="4">
        <v>42691</v>
      </c>
      <c r="B9" s="91">
        <v>42691</v>
      </c>
      <c r="C9" s="78">
        <v>-1.3</v>
      </c>
      <c r="D9" s="6">
        <v>0.85902777777777772</v>
      </c>
      <c r="E9" s="135"/>
      <c r="F9" s="8" t="s">
        <v>58</v>
      </c>
      <c r="G9" s="135"/>
      <c r="H9" s="9">
        <f>+Harvest!H9/Effort!H9</f>
        <v>13.404255319148934</v>
      </c>
      <c r="I9" s="8"/>
      <c r="J9" s="9">
        <f>+Harvest!J9/Effort!J9</f>
        <v>14.774193548387098</v>
      </c>
      <c r="K9" s="7"/>
      <c r="L9" s="9">
        <f>+Harvest!L9/Effort!L9</f>
        <v>14.166666666666664</v>
      </c>
      <c r="M9" s="55"/>
      <c r="N9" s="8" t="s">
        <v>58</v>
      </c>
    </row>
    <row r="10" spans="1:14" x14ac:dyDescent="0.25">
      <c r="A10" s="4">
        <v>42692</v>
      </c>
      <c r="B10" s="91">
        <v>42692</v>
      </c>
      <c r="C10" s="78">
        <v>-0.8</v>
      </c>
      <c r="D10" s="6">
        <v>0.89444444444444449</v>
      </c>
      <c r="E10" s="135"/>
      <c r="F10" s="8" t="s">
        <v>58</v>
      </c>
      <c r="G10" s="163"/>
      <c r="H10" s="9">
        <f>+Harvest!H10/Effort!H10</f>
        <v>13.517241379310345</v>
      </c>
      <c r="I10" s="8"/>
      <c r="J10" s="9">
        <f>+Harvest!J10/Effort!J10</f>
        <v>11.864864864864863</v>
      </c>
      <c r="K10" s="7"/>
      <c r="L10" s="9">
        <f>+Harvest!L10/Effort!L10</f>
        <v>7.6037735849056602</v>
      </c>
      <c r="M10" s="55"/>
      <c r="N10" s="8" t="s">
        <v>58</v>
      </c>
    </row>
    <row r="11" spans="1:14" x14ac:dyDescent="0.25">
      <c r="A11" s="4">
        <v>42693</v>
      </c>
      <c r="B11" s="91">
        <v>42693</v>
      </c>
      <c r="C11" s="78">
        <v>-0.1</v>
      </c>
      <c r="D11" s="6">
        <v>0.93194444444444446</v>
      </c>
      <c r="E11" s="135"/>
      <c r="F11" s="8" t="s">
        <v>58</v>
      </c>
      <c r="G11" s="135"/>
      <c r="H11" s="9">
        <f>+Harvest!H11/Effort!H11</f>
        <v>0.6071428571428571</v>
      </c>
      <c r="I11" s="8"/>
      <c r="J11" s="9">
        <f>+Harvest!J11/Effort!J11</f>
        <v>0.40000000000000008</v>
      </c>
      <c r="K11" s="7"/>
      <c r="L11" s="9">
        <f>+Harvest!L11/Effort!L11</f>
        <v>0.26785714285714285</v>
      </c>
      <c r="M11" s="55"/>
      <c r="N11" s="8" t="s">
        <v>58</v>
      </c>
    </row>
    <row r="12" spans="1:14" x14ac:dyDescent="0.25">
      <c r="A12" s="4"/>
      <c r="B12" s="5"/>
      <c r="C12" s="113"/>
      <c r="D12" s="114"/>
      <c r="E12" s="135"/>
      <c r="F12" s="8"/>
      <c r="G12" s="163"/>
      <c r="H12" s="164"/>
      <c r="I12" s="163"/>
      <c r="J12" s="8"/>
      <c r="K12" s="163"/>
      <c r="L12" s="8"/>
      <c r="M12" s="163"/>
      <c r="N12" s="8"/>
    </row>
    <row r="13" spans="1:14" x14ac:dyDescent="0.25">
      <c r="A13" s="4">
        <v>42700</v>
      </c>
      <c r="B13" s="91">
        <v>42700</v>
      </c>
      <c r="C13" s="78">
        <v>0.5</v>
      </c>
      <c r="D13" s="6">
        <v>0.69930555555555551</v>
      </c>
      <c r="E13" s="135"/>
      <c r="F13" s="8" t="s">
        <v>58</v>
      </c>
      <c r="G13" s="163"/>
      <c r="H13" s="9">
        <f>+Harvest!H13/Effort!H13</f>
        <v>7.8676470588235299</v>
      </c>
      <c r="I13" s="163"/>
      <c r="J13" s="8" t="s">
        <v>58</v>
      </c>
      <c r="K13" s="163"/>
      <c r="L13" s="8" t="s">
        <v>58</v>
      </c>
      <c r="M13" s="163"/>
      <c r="N13" s="8" t="s">
        <v>58</v>
      </c>
    </row>
    <row r="14" spans="1:14" x14ac:dyDescent="0.25">
      <c r="A14" s="4">
        <v>42701</v>
      </c>
      <c r="B14" s="91">
        <v>42701</v>
      </c>
      <c r="C14" s="78">
        <v>0.2</v>
      </c>
      <c r="D14" s="6">
        <v>0.72499999999999998</v>
      </c>
      <c r="E14" s="135"/>
      <c r="F14" s="8" t="s">
        <v>58</v>
      </c>
      <c r="G14" s="163"/>
      <c r="H14" s="9">
        <f>+Harvest!H14/Effort!H14</f>
        <v>7.2142857142857144</v>
      </c>
      <c r="I14" s="163"/>
      <c r="J14" s="8" t="s">
        <v>58</v>
      </c>
      <c r="K14" s="163"/>
      <c r="L14" s="8" t="s">
        <v>58</v>
      </c>
      <c r="M14" s="163"/>
      <c r="N14" s="8" t="s">
        <v>58</v>
      </c>
    </row>
    <row r="15" spans="1:14" x14ac:dyDescent="0.25">
      <c r="A15" s="4">
        <v>42702</v>
      </c>
      <c r="B15" s="91">
        <v>42702</v>
      </c>
      <c r="C15" s="78">
        <v>-0.1</v>
      </c>
      <c r="D15" s="6">
        <v>0.74930555555555556</v>
      </c>
      <c r="E15" s="135"/>
      <c r="F15" s="8" t="s">
        <v>58</v>
      </c>
      <c r="G15" s="163"/>
      <c r="H15" s="9">
        <f>+Harvest!H15/Effort!H15</f>
        <v>7.1739130434782608</v>
      </c>
      <c r="I15" s="163"/>
      <c r="J15" s="8" t="s">
        <v>58</v>
      </c>
      <c r="K15" s="163"/>
      <c r="L15" s="8" t="s">
        <v>58</v>
      </c>
      <c r="M15" s="163"/>
      <c r="N15" s="8" t="s">
        <v>58</v>
      </c>
    </row>
    <row r="16" spans="1:14" x14ac:dyDescent="0.25">
      <c r="A16" s="4"/>
      <c r="B16" s="5"/>
      <c r="C16" s="113"/>
      <c r="D16" s="114"/>
      <c r="E16" s="135"/>
      <c r="F16" s="8"/>
      <c r="G16" s="163"/>
      <c r="H16" s="8"/>
      <c r="I16" s="163"/>
      <c r="J16" s="8"/>
      <c r="K16" s="163"/>
      <c r="L16" s="8"/>
      <c r="M16" s="163"/>
      <c r="N16" s="8"/>
    </row>
    <row r="17" spans="1:14" x14ac:dyDescent="0.25">
      <c r="A17" s="4">
        <v>42714</v>
      </c>
      <c r="B17" s="5">
        <v>42714</v>
      </c>
      <c r="C17" s="78">
        <v>0.5</v>
      </c>
      <c r="D17" s="166">
        <v>0.64444444444444449</v>
      </c>
      <c r="E17" s="135"/>
      <c r="F17" s="8" t="s">
        <v>58</v>
      </c>
      <c r="G17" s="163"/>
      <c r="H17" s="8" t="s">
        <v>58</v>
      </c>
      <c r="I17" s="163"/>
      <c r="J17" s="9">
        <f>+Harvest!J17/Effort!J17</f>
        <v>9.7173913043478262</v>
      </c>
      <c r="K17" s="7"/>
      <c r="L17" s="9">
        <f>+Harvest!L17/Effort!L17</f>
        <v>11.69090909090909</v>
      </c>
      <c r="M17" s="163"/>
      <c r="N17" s="8" t="s">
        <v>58</v>
      </c>
    </row>
    <row r="18" spans="1:14" x14ac:dyDescent="0.25">
      <c r="A18" s="4">
        <v>42715</v>
      </c>
      <c r="B18" s="5">
        <v>42715</v>
      </c>
      <c r="C18" s="78">
        <v>-0.5</v>
      </c>
      <c r="D18" s="166">
        <v>0.68125000000000002</v>
      </c>
      <c r="E18" s="135"/>
      <c r="F18" s="8" t="s">
        <v>58</v>
      </c>
      <c r="G18" s="163"/>
      <c r="H18" s="8" t="s">
        <v>58</v>
      </c>
      <c r="I18" s="163"/>
      <c r="J18" s="9">
        <f>+Harvest!J18/Effort!J18</f>
        <v>15</v>
      </c>
      <c r="K18" s="7"/>
      <c r="L18" s="9">
        <f>+Harvest!L18/Effort!L18</f>
        <v>15.000000000000002</v>
      </c>
      <c r="M18" s="163"/>
      <c r="N18" s="8" t="s">
        <v>58</v>
      </c>
    </row>
    <row r="19" spans="1:14" x14ac:dyDescent="0.25">
      <c r="A19" s="4"/>
      <c r="B19" s="5"/>
      <c r="C19" s="78"/>
      <c r="D19" s="166"/>
      <c r="E19" s="135"/>
      <c r="F19" s="8"/>
      <c r="G19" s="163"/>
      <c r="H19" s="8"/>
      <c r="I19" s="163"/>
      <c r="J19" s="8"/>
      <c r="K19" s="163"/>
      <c r="L19" s="8"/>
      <c r="M19" s="163"/>
      <c r="N19" s="8"/>
    </row>
    <row r="20" spans="1:14" x14ac:dyDescent="0.25">
      <c r="A20" s="124">
        <v>42734</v>
      </c>
      <c r="B20" s="91">
        <v>42734</v>
      </c>
      <c r="C20" s="168">
        <v>-0.4</v>
      </c>
      <c r="D20" s="169">
        <v>0.80694444444444446</v>
      </c>
      <c r="E20" s="135"/>
      <c r="F20" s="8" t="s">
        <v>58</v>
      </c>
      <c r="G20" s="163"/>
      <c r="H20" s="8" t="s">
        <v>58</v>
      </c>
      <c r="I20" s="167"/>
      <c r="J20" s="9">
        <f>+Harvest!J20/Effort!J20</f>
        <v>12.847826086956523</v>
      </c>
      <c r="K20" s="7"/>
      <c r="L20" s="9">
        <f>+Harvest!L20/Effort!L20</f>
        <v>11.753086419753087</v>
      </c>
      <c r="M20" s="167"/>
      <c r="N20" s="8" t="s">
        <v>58</v>
      </c>
    </row>
    <row r="21" spans="1:14" x14ac:dyDescent="0.25">
      <c r="A21" s="124">
        <v>42735</v>
      </c>
      <c r="B21" s="91">
        <v>42735</v>
      </c>
      <c r="C21" s="168">
        <v>-0.4</v>
      </c>
      <c r="D21" s="169">
        <v>0.83125000000000004</v>
      </c>
      <c r="E21" s="170"/>
      <c r="F21" s="8" t="s">
        <v>58</v>
      </c>
      <c r="G21" s="163"/>
      <c r="H21" s="8" t="s">
        <v>58</v>
      </c>
      <c r="I21" s="167"/>
      <c r="J21" s="9">
        <f>+Harvest!J21/Effort!J21</f>
        <v>11.54</v>
      </c>
      <c r="K21" s="7"/>
      <c r="L21" s="9">
        <f>+Harvest!L21/Effort!L21</f>
        <v>8.3111111111111118</v>
      </c>
      <c r="M21" s="167"/>
      <c r="N21" s="8" t="s">
        <v>58</v>
      </c>
    </row>
    <row r="22" spans="1:14" x14ac:dyDescent="0.25">
      <c r="A22" s="4"/>
      <c r="B22" s="5"/>
      <c r="C22" s="78"/>
      <c r="D22" s="166"/>
      <c r="E22" s="135"/>
      <c r="F22" s="8"/>
      <c r="G22" s="163"/>
      <c r="H22" s="8"/>
      <c r="I22" s="167"/>
      <c r="J22" s="8"/>
      <c r="K22" s="163"/>
      <c r="L22" s="8"/>
      <c r="M22" s="163"/>
      <c r="N22" s="8"/>
    </row>
    <row r="23" spans="1:14" x14ac:dyDescent="0.25">
      <c r="A23" s="4">
        <v>42743</v>
      </c>
      <c r="B23" s="5">
        <v>42743</v>
      </c>
      <c r="C23" s="78">
        <v>0.4</v>
      </c>
      <c r="D23" s="166">
        <v>0.63263888888888886</v>
      </c>
      <c r="E23" s="135"/>
      <c r="F23" s="8" t="s">
        <v>58</v>
      </c>
      <c r="G23" s="163"/>
      <c r="H23" s="8" t="s">
        <v>58</v>
      </c>
      <c r="I23" s="167"/>
      <c r="J23" s="8" t="s">
        <v>58</v>
      </c>
      <c r="K23" s="163"/>
      <c r="L23" s="8" t="s">
        <v>58</v>
      </c>
      <c r="M23" s="163"/>
      <c r="N23" s="9">
        <v>0.13180233049205059</v>
      </c>
    </row>
    <row r="24" spans="1:14" x14ac:dyDescent="0.25">
      <c r="A24" s="4">
        <v>42744</v>
      </c>
      <c r="B24" s="91">
        <v>42744</v>
      </c>
      <c r="C24" s="78">
        <v>-0.4</v>
      </c>
      <c r="D24" s="166">
        <v>0.67222222222222228</v>
      </c>
      <c r="E24" s="135"/>
      <c r="F24" s="8" t="s">
        <v>58</v>
      </c>
      <c r="G24" s="163"/>
      <c r="H24" s="8" t="s">
        <v>58</v>
      </c>
      <c r="I24" s="167"/>
      <c r="J24" s="8" t="s">
        <v>58</v>
      </c>
      <c r="K24" s="163"/>
      <c r="L24" s="8" t="s">
        <v>58</v>
      </c>
      <c r="M24" s="163"/>
      <c r="N24" s="9">
        <f>+Harvest!N24/Effort!N24</f>
        <v>6.3653846153846141</v>
      </c>
    </row>
    <row r="25" spans="1:14" x14ac:dyDescent="0.25">
      <c r="A25" s="124"/>
      <c r="B25" s="91"/>
      <c r="C25" s="168"/>
      <c r="D25" s="169"/>
      <c r="E25" s="135"/>
      <c r="F25" s="8"/>
      <c r="G25" s="163"/>
      <c r="H25" s="8"/>
      <c r="I25" s="167"/>
      <c r="J25" s="8"/>
      <c r="K25" s="163"/>
      <c r="L25" s="8"/>
      <c r="M25" s="163"/>
      <c r="N25" s="8"/>
    </row>
    <row r="26" spans="1:14" x14ac:dyDescent="0.25">
      <c r="A26" s="4">
        <v>42748</v>
      </c>
      <c r="B26" s="91">
        <v>42748</v>
      </c>
      <c r="C26" s="78">
        <v>-1.4</v>
      </c>
      <c r="D26" s="166">
        <v>0.80347222222222225</v>
      </c>
      <c r="E26" s="135"/>
      <c r="F26" s="8" t="s">
        <v>58</v>
      </c>
      <c r="G26" s="163"/>
      <c r="H26" s="8" t="s">
        <v>58</v>
      </c>
      <c r="I26" s="167"/>
      <c r="J26" s="9">
        <f>+Harvest!J26/Effort!J26</f>
        <v>14.666666666666668</v>
      </c>
      <c r="K26" s="186"/>
      <c r="L26" s="9">
        <f>+Harvest!L26/Effort!L26</f>
        <v>14.260000000000002</v>
      </c>
      <c r="M26" s="167"/>
      <c r="N26" s="8" t="s">
        <v>58</v>
      </c>
    </row>
    <row r="27" spans="1:14" x14ac:dyDescent="0.25">
      <c r="A27" s="4">
        <v>42749</v>
      </c>
      <c r="B27" s="91">
        <v>42749</v>
      </c>
      <c r="C27" s="78">
        <v>-1</v>
      </c>
      <c r="D27" s="166">
        <v>0.83263888888888893</v>
      </c>
      <c r="E27" s="135"/>
      <c r="F27" s="8" t="s">
        <v>58</v>
      </c>
      <c r="G27" s="163"/>
      <c r="H27" s="8" t="s">
        <v>58</v>
      </c>
      <c r="I27" s="167"/>
      <c r="J27" s="9">
        <f>+Harvest!J27/Effort!J27</f>
        <v>14.21818181818182</v>
      </c>
      <c r="K27" s="186"/>
      <c r="L27" s="9">
        <f>+Harvest!L27/Effort!L27</f>
        <v>9.3720930232558128</v>
      </c>
      <c r="M27" s="167"/>
      <c r="N27" s="8" t="s">
        <v>58</v>
      </c>
    </row>
    <row r="28" spans="1:14" x14ac:dyDescent="0.25">
      <c r="A28" s="4">
        <v>42750</v>
      </c>
      <c r="B28" s="91">
        <v>42750</v>
      </c>
      <c r="C28" s="78">
        <v>-0.4</v>
      </c>
      <c r="D28" s="166">
        <v>0.86111111111111116</v>
      </c>
      <c r="E28" s="170"/>
      <c r="F28" s="8" t="s">
        <v>58</v>
      </c>
      <c r="G28" s="163"/>
      <c r="H28" s="8" t="s">
        <v>58</v>
      </c>
      <c r="I28" s="167"/>
      <c r="J28" s="9">
        <f>+Harvest!J28/Effort!J28</f>
        <v>12.549999999999999</v>
      </c>
      <c r="K28" s="186"/>
      <c r="L28" s="9">
        <f>+Harvest!L28/Effort!L28</f>
        <v>8.1764705882352917</v>
      </c>
      <c r="M28" s="167"/>
      <c r="N28" s="8" t="s">
        <v>58</v>
      </c>
    </row>
    <row r="29" spans="1:14" x14ac:dyDescent="0.25">
      <c r="A29" s="124"/>
      <c r="B29" s="91"/>
      <c r="C29" s="168"/>
      <c r="D29" s="169"/>
      <c r="E29" s="170"/>
      <c r="F29" s="125"/>
      <c r="G29" s="163"/>
      <c r="H29" s="8"/>
      <c r="I29" s="167"/>
      <c r="J29" s="9"/>
      <c r="K29" s="186"/>
      <c r="L29" s="9"/>
      <c r="M29" s="167"/>
      <c r="N29" s="8"/>
    </row>
    <row r="30" spans="1:14" x14ac:dyDescent="0.25">
      <c r="A30" s="4">
        <v>42762</v>
      </c>
      <c r="B30" s="91">
        <f>+A30</f>
        <v>42762</v>
      </c>
      <c r="C30" s="168">
        <v>-0.5</v>
      </c>
      <c r="D30" s="169">
        <v>0.7680555555555556</v>
      </c>
      <c r="E30" s="170"/>
      <c r="F30" s="8" t="s">
        <v>58</v>
      </c>
      <c r="G30" s="163"/>
      <c r="H30" s="8" t="s">
        <v>58</v>
      </c>
      <c r="I30" s="163"/>
      <c r="J30" s="9">
        <f>+Harvest!J30/Effort!J30</f>
        <v>12.160919540229884</v>
      </c>
      <c r="K30" s="187"/>
      <c r="L30" s="9" t="s">
        <v>58</v>
      </c>
      <c r="M30" s="163"/>
      <c r="N30" s="8" t="s">
        <v>58</v>
      </c>
    </row>
    <row r="31" spans="1:14" x14ac:dyDescent="0.25">
      <c r="A31" s="4">
        <v>42763</v>
      </c>
      <c r="B31" s="91">
        <f t="shared" ref="B31:B34" si="0">+A31</f>
        <v>42763</v>
      </c>
      <c r="C31" s="168">
        <v>-0.6</v>
      </c>
      <c r="D31" s="169">
        <v>0.79236111111111107</v>
      </c>
      <c r="E31" s="170"/>
      <c r="F31" s="8" t="s">
        <v>58</v>
      </c>
      <c r="G31" s="163"/>
      <c r="H31" s="8" t="s">
        <v>58</v>
      </c>
      <c r="I31" s="163"/>
      <c r="J31" s="9">
        <f>+Harvest!J31/Effort!J31</f>
        <v>10.402298850574713</v>
      </c>
      <c r="K31" s="188"/>
      <c r="L31" s="9" t="s">
        <v>58</v>
      </c>
      <c r="M31" s="163"/>
      <c r="N31" s="8" t="s">
        <v>58</v>
      </c>
    </row>
    <row r="32" spans="1:14" x14ac:dyDescent="0.25">
      <c r="A32" s="4">
        <v>42764</v>
      </c>
      <c r="B32" s="91">
        <f t="shared" si="0"/>
        <v>42764</v>
      </c>
      <c r="C32" s="168">
        <v>-0.5</v>
      </c>
      <c r="D32" s="169">
        <v>0.81736111111111109</v>
      </c>
      <c r="E32" s="170"/>
      <c r="F32" s="8" t="s">
        <v>58</v>
      </c>
      <c r="G32" s="163"/>
      <c r="H32" s="8" t="s">
        <v>58</v>
      </c>
      <c r="I32" s="163"/>
      <c r="J32" s="9">
        <f>+Harvest!J32/Effort!J32</f>
        <v>14.210526315789476</v>
      </c>
      <c r="K32" s="188"/>
      <c r="L32" s="9">
        <f>+Harvest!L32/Effort!L32</f>
        <v>14.769230769230772</v>
      </c>
      <c r="M32" s="163"/>
      <c r="N32" s="8" t="s">
        <v>58</v>
      </c>
    </row>
    <row r="33" spans="1:14" x14ac:dyDescent="0.25">
      <c r="A33" s="4">
        <v>42765</v>
      </c>
      <c r="B33" s="91">
        <f t="shared" si="0"/>
        <v>42765</v>
      </c>
      <c r="C33" s="13">
        <v>-0.3</v>
      </c>
      <c r="D33" s="86">
        <v>0.84236111111111101</v>
      </c>
      <c r="E33" s="127"/>
      <c r="F33" s="8" t="s">
        <v>58</v>
      </c>
      <c r="G33" s="163"/>
      <c r="H33" s="8" t="s">
        <v>58</v>
      </c>
      <c r="J33" s="9">
        <f>+Harvest!J33/Effort!J33</f>
        <v>15</v>
      </c>
      <c r="K33" s="189"/>
      <c r="L33" s="9">
        <f>+Harvest!L33/Effort!L33</f>
        <v>14.36</v>
      </c>
      <c r="N33" s="8" t="s">
        <v>58</v>
      </c>
    </row>
    <row r="34" spans="1:14" x14ac:dyDescent="0.25">
      <c r="A34" s="4">
        <v>42766</v>
      </c>
      <c r="B34" s="91">
        <f t="shared" si="0"/>
        <v>42766</v>
      </c>
      <c r="C34" s="13">
        <v>0.2</v>
      </c>
      <c r="D34" s="86">
        <v>0.86805555555555547</v>
      </c>
      <c r="E34" s="127"/>
      <c r="F34" s="8" t="s">
        <v>58</v>
      </c>
      <c r="G34" s="163"/>
      <c r="H34" s="8" t="s">
        <v>58</v>
      </c>
      <c r="J34" s="9">
        <f>+Harvest!J34/Effort!J34</f>
        <v>15</v>
      </c>
      <c r="K34" s="189"/>
      <c r="L34" s="9">
        <f>+Harvest!L34/Effort!L34</f>
        <v>15</v>
      </c>
      <c r="N34" s="8" t="s">
        <v>58</v>
      </c>
    </row>
    <row r="35" spans="1:14" x14ac:dyDescent="0.25">
      <c r="A35" s="4"/>
      <c r="B35" s="91"/>
      <c r="C35" s="13"/>
      <c r="D35" s="86"/>
      <c r="F35" s="8"/>
      <c r="G35" s="2"/>
      <c r="H35" s="8"/>
      <c r="J35" s="8"/>
      <c r="L35" s="8"/>
      <c r="N35" s="8"/>
    </row>
    <row r="36" spans="1:14" x14ac:dyDescent="0.25">
      <c r="A36" s="4">
        <v>42773</v>
      </c>
      <c r="B36" s="91">
        <f t="shared" ref="B36:B41" si="1">+A36</f>
        <v>42773</v>
      </c>
      <c r="C36" s="13">
        <v>-0.1</v>
      </c>
      <c r="D36" s="86">
        <v>0.66180555555555554</v>
      </c>
      <c r="F36" s="8" t="s">
        <v>58</v>
      </c>
      <c r="G36" s="2"/>
      <c r="H36" s="9">
        <f>+Harvest!H36/Effort!H36</f>
        <v>14.750000000000002</v>
      </c>
      <c r="I36" s="9"/>
      <c r="J36" s="9">
        <f>+Harvest!J36/Effort!J36</f>
        <v>15.000000000000002</v>
      </c>
      <c r="L36" s="9">
        <f>+Harvest!L36/Effort!L36</f>
        <v>14.545454545454541</v>
      </c>
      <c r="N36" s="8" t="s">
        <v>58</v>
      </c>
    </row>
    <row r="37" spans="1:14" x14ac:dyDescent="0.25">
      <c r="A37" s="4">
        <v>42774</v>
      </c>
      <c r="B37" s="91">
        <f t="shared" si="1"/>
        <v>42774</v>
      </c>
      <c r="C37" s="13">
        <v>-0.6</v>
      </c>
      <c r="D37" s="86">
        <v>0.69861111111111107</v>
      </c>
      <c r="F37" s="8" t="s">
        <v>58</v>
      </c>
      <c r="G37" s="2"/>
      <c r="H37" s="9">
        <f>+Harvest!H37/Effort!H37</f>
        <v>14.823529411764708</v>
      </c>
      <c r="I37" s="9"/>
      <c r="J37" s="9">
        <f>+Harvest!J37/Effort!J37</f>
        <v>13.657142857142857</v>
      </c>
      <c r="L37" s="9">
        <f>+Harvest!L37/Effort!L37</f>
        <v>14.305555555555555</v>
      </c>
      <c r="N37" s="8" t="s">
        <v>58</v>
      </c>
    </row>
    <row r="38" spans="1:14" x14ac:dyDescent="0.25">
      <c r="A38" s="4">
        <v>42775</v>
      </c>
      <c r="B38" s="91">
        <f t="shared" si="1"/>
        <v>42775</v>
      </c>
      <c r="C38" s="13">
        <v>-0.9</v>
      </c>
      <c r="D38" s="86">
        <v>0.73125000000000007</v>
      </c>
      <c r="F38" s="8" t="s">
        <v>58</v>
      </c>
      <c r="G38" s="2"/>
      <c r="H38" s="9">
        <f>+Harvest!H38/Effort!H38</f>
        <v>8.9024390243902438</v>
      </c>
      <c r="I38" s="9"/>
      <c r="J38" s="9">
        <f>+Harvest!J38/Effort!J38</f>
        <v>7.258064516129032</v>
      </c>
      <c r="L38" s="9">
        <f>+Harvest!L38/Effort!L38</f>
        <v>1.7804878048780486</v>
      </c>
      <c r="N38" s="8" t="s">
        <v>58</v>
      </c>
    </row>
    <row r="39" spans="1:14" x14ac:dyDescent="0.25">
      <c r="A39" s="4">
        <v>42776</v>
      </c>
      <c r="B39" s="91">
        <f t="shared" si="1"/>
        <v>42776</v>
      </c>
      <c r="C39" s="13">
        <v>-1</v>
      </c>
      <c r="D39" s="86">
        <v>0.76111111111111107</v>
      </c>
      <c r="F39" s="8" t="s">
        <v>58</v>
      </c>
      <c r="H39" s="9">
        <f>+Harvest!H39/Effort!H39</f>
        <v>14.375</v>
      </c>
      <c r="I39" s="9"/>
      <c r="J39" s="8" t="s">
        <v>58</v>
      </c>
      <c r="L39" s="9">
        <f>+Harvest!L39/Effort!L39</f>
        <v>8.0363636363636388</v>
      </c>
      <c r="N39" s="8" t="s">
        <v>58</v>
      </c>
    </row>
    <row r="40" spans="1:14" x14ac:dyDescent="0.25">
      <c r="A40" s="4">
        <v>42777</v>
      </c>
      <c r="B40" s="91">
        <f t="shared" si="1"/>
        <v>42777</v>
      </c>
      <c r="C40" s="13">
        <v>-0.8</v>
      </c>
      <c r="D40" s="86">
        <v>0.7895833333333333</v>
      </c>
      <c r="F40" s="8" t="s">
        <v>58</v>
      </c>
      <c r="G40" s="2"/>
      <c r="H40" s="9">
        <f>+Harvest!H40/Effort!H40</f>
        <v>12.694117647058821</v>
      </c>
      <c r="I40" s="9"/>
      <c r="J40" s="8" t="s">
        <v>58</v>
      </c>
      <c r="L40" s="9">
        <f>+Harvest!L40/Effort!L40</f>
        <v>11.10752688172043</v>
      </c>
      <c r="N40" s="8" t="s">
        <v>58</v>
      </c>
    </row>
    <row r="41" spans="1:14" x14ac:dyDescent="0.25">
      <c r="A41" s="4">
        <v>42778</v>
      </c>
      <c r="B41" s="91">
        <f t="shared" si="1"/>
        <v>42778</v>
      </c>
      <c r="C41" s="13">
        <v>-0.5</v>
      </c>
      <c r="D41" s="86">
        <v>0.81527777777777777</v>
      </c>
      <c r="F41" s="8" t="s">
        <v>58</v>
      </c>
      <c r="G41" s="2"/>
      <c r="H41" s="9">
        <f>+Harvest!H41/Effort!H41</f>
        <v>14.229166666666666</v>
      </c>
      <c r="I41" s="9"/>
      <c r="J41" s="8" t="s">
        <v>58</v>
      </c>
      <c r="L41" s="9">
        <f>+Harvest!L41/Effort!L41</f>
        <v>8.7999999999999989</v>
      </c>
      <c r="N41" s="8" t="s">
        <v>58</v>
      </c>
    </row>
    <row r="42" spans="1:14" x14ac:dyDescent="0.25">
      <c r="A42" s="4"/>
      <c r="B42" s="91"/>
      <c r="C42" s="13"/>
      <c r="D42" s="86"/>
      <c r="F42" s="8"/>
      <c r="G42" s="2"/>
      <c r="H42" s="9"/>
      <c r="I42" s="9"/>
      <c r="J42" s="9"/>
      <c r="L42" s="9"/>
      <c r="N42" s="8"/>
    </row>
    <row r="43" spans="1:14" x14ac:dyDescent="0.25">
      <c r="A43" s="4">
        <v>42789</v>
      </c>
      <c r="B43" s="91">
        <f t="shared" ref="B43:B48" si="2">+A43</f>
        <v>42789</v>
      </c>
      <c r="C43" s="13">
        <v>0.3</v>
      </c>
      <c r="D43" s="86">
        <v>0.6958333333333333</v>
      </c>
      <c r="F43" s="8" t="s">
        <v>58</v>
      </c>
      <c r="G43" s="2"/>
      <c r="H43" s="9">
        <f>+Harvest!H43/Effort!H43</f>
        <v>14.525000000000002</v>
      </c>
      <c r="J43" s="8" t="s">
        <v>58</v>
      </c>
      <c r="L43" s="8" t="s">
        <v>58</v>
      </c>
      <c r="N43" s="8" t="s">
        <v>58</v>
      </c>
    </row>
    <row r="44" spans="1:14" x14ac:dyDescent="0.25">
      <c r="A44" s="4">
        <v>42790</v>
      </c>
      <c r="B44" s="91">
        <f t="shared" si="2"/>
        <v>42790</v>
      </c>
      <c r="C44" s="13">
        <v>-0.1</v>
      </c>
      <c r="D44" s="86">
        <v>0.72291666666666676</v>
      </c>
      <c r="F44" s="8" t="s">
        <v>58</v>
      </c>
      <c r="G44" s="2"/>
      <c r="H44" s="9">
        <f>+Harvest!H44/Effort!H44</f>
        <v>14.627906976744185</v>
      </c>
      <c r="J44" s="9">
        <f>+Harvest!J44/Effort!J44</f>
        <v>15.000000000000002</v>
      </c>
      <c r="L44" s="9">
        <f>+Harvest!L44/Effort!L44</f>
        <v>14.619047619047619</v>
      </c>
      <c r="N44" s="8" t="s">
        <v>58</v>
      </c>
    </row>
    <row r="45" spans="1:14" x14ac:dyDescent="0.25">
      <c r="A45" s="4">
        <v>42791</v>
      </c>
      <c r="B45" s="91">
        <f t="shared" si="2"/>
        <v>42791</v>
      </c>
      <c r="C45" s="13">
        <v>-0.3</v>
      </c>
      <c r="D45" s="86">
        <v>0.74861111111111101</v>
      </c>
      <c r="F45" s="8" t="s">
        <v>58</v>
      </c>
      <c r="G45" s="2"/>
      <c r="H45" s="9">
        <f>+Harvest!H45/Effort!H45</f>
        <v>14.539682539682541</v>
      </c>
      <c r="J45" s="9">
        <f>+Harvest!J45/Effort!J45</f>
        <v>13.218749999999998</v>
      </c>
      <c r="L45" s="9">
        <f>+Harvest!L45/Effort!L45</f>
        <v>13.873786407766991</v>
      </c>
      <c r="N45" s="8" t="s">
        <v>58</v>
      </c>
    </row>
    <row r="46" spans="1:14" x14ac:dyDescent="0.25">
      <c r="A46" s="4">
        <v>42792</v>
      </c>
      <c r="B46" s="91">
        <f t="shared" si="2"/>
        <v>42792</v>
      </c>
      <c r="C46" s="13">
        <v>-0.4</v>
      </c>
      <c r="D46" s="86">
        <v>0.77361111111111114</v>
      </c>
      <c r="F46" s="8" t="s">
        <v>58</v>
      </c>
      <c r="H46" s="9">
        <f>+Harvest!H46/Effort!H46</f>
        <v>12.35</v>
      </c>
      <c r="J46" s="9">
        <f>+Harvest!J46/Effort!J46</f>
        <v>11.295081967213115</v>
      </c>
      <c r="L46" s="9">
        <f>+Harvest!L46/Effort!L46</f>
        <v>12.789473684210527</v>
      </c>
      <c r="N46" s="8" t="s">
        <v>58</v>
      </c>
    </row>
    <row r="47" spans="1:14" x14ac:dyDescent="0.25">
      <c r="A47" s="124">
        <v>42793</v>
      </c>
      <c r="B47" s="91">
        <f t="shared" si="2"/>
        <v>42793</v>
      </c>
      <c r="C47" s="126">
        <v>-0.3</v>
      </c>
      <c r="D47" s="131">
        <v>0.7993055555555556</v>
      </c>
      <c r="E47" s="127"/>
      <c r="F47" s="8" t="s">
        <v>58</v>
      </c>
      <c r="G47" s="128"/>
      <c r="H47" s="9">
        <f>+Harvest!H47/Effort!H47</f>
        <v>6.8275862068965525</v>
      </c>
      <c r="I47" s="128"/>
      <c r="J47" s="8" t="s">
        <v>58</v>
      </c>
      <c r="L47" s="8" t="s">
        <v>58</v>
      </c>
      <c r="N47" s="8" t="s">
        <v>58</v>
      </c>
    </row>
    <row r="48" spans="1:14" x14ac:dyDescent="0.25">
      <c r="A48" s="4">
        <v>42794</v>
      </c>
      <c r="B48" s="91">
        <f t="shared" si="2"/>
        <v>42794</v>
      </c>
      <c r="C48" s="13">
        <v>0</v>
      </c>
      <c r="D48" s="86">
        <v>0.82500000000000007</v>
      </c>
      <c r="E48" s="127"/>
      <c r="F48" s="8" t="s">
        <v>58</v>
      </c>
      <c r="G48" s="128"/>
      <c r="H48" s="9">
        <f>+Harvest!H48/Effort!H48</f>
        <v>12.055555555555555</v>
      </c>
      <c r="I48" s="128"/>
      <c r="J48" s="8" t="s">
        <v>58</v>
      </c>
      <c r="L48" s="8" t="s">
        <v>58</v>
      </c>
      <c r="N48" s="8" t="s">
        <v>58</v>
      </c>
    </row>
    <row r="49" spans="1:14" x14ac:dyDescent="0.25">
      <c r="A49" s="4"/>
      <c r="B49" s="91"/>
      <c r="C49" s="13"/>
      <c r="D49" s="86"/>
      <c r="E49" s="127"/>
      <c r="F49" s="130"/>
      <c r="G49" s="128"/>
      <c r="H49" s="203"/>
      <c r="I49" s="128"/>
      <c r="J49" s="8"/>
      <c r="L49" s="8"/>
      <c r="N49" s="8"/>
    </row>
    <row r="50" spans="1:14" x14ac:dyDescent="0.25">
      <c r="A50" s="124">
        <v>42801</v>
      </c>
      <c r="B50" s="91">
        <f t="shared" ref="B50:B56" si="3">+A50</f>
        <v>42801</v>
      </c>
      <c r="C50" s="126">
        <v>0.5</v>
      </c>
      <c r="D50" s="131">
        <v>0.60625000000000007</v>
      </c>
      <c r="E50" s="127"/>
      <c r="F50" s="8" t="s">
        <v>58</v>
      </c>
      <c r="G50" s="128"/>
      <c r="H50" s="9">
        <f>+Harvest!H50/Effort!H50</f>
        <v>15</v>
      </c>
      <c r="I50" s="128"/>
      <c r="J50" s="8" t="s">
        <v>58</v>
      </c>
      <c r="L50" s="8" t="s">
        <v>58</v>
      </c>
      <c r="N50" s="8" t="s">
        <v>58</v>
      </c>
    </row>
    <row r="51" spans="1:14" x14ac:dyDescent="0.25">
      <c r="A51" s="124">
        <v>42802</v>
      </c>
      <c r="B51" s="91">
        <f t="shared" si="3"/>
        <v>42802</v>
      </c>
      <c r="C51" s="126">
        <v>0.1</v>
      </c>
      <c r="D51" s="131">
        <v>0.64930555555555558</v>
      </c>
      <c r="E51" s="127"/>
      <c r="F51" s="8" t="s">
        <v>58</v>
      </c>
      <c r="G51" s="128"/>
      <c r="H51" s="9">
        <f>+Harvest!H51/Effort!H51</f>
        <v>14.485714285714284</v>
      </c>
      <c r="I51" s="128"/>
      <c r="J51" s="8" t="s">
        <v>58</v>
      </c>
      <c r="L51" s="8" t="s">
        <v>58</v>
      </c>
      <c r="N51" s="8" t="s">
        <v>58</v>
      </c>
    </row>
    <row r="52" spans="1:14" x14ac:dyDescent="0.25">
      <c r="A52" s="124">
        <v>42803</v>
      </c>
      <c r="B52" s="91">
        <f t="shared" si="3"/>
        <v>42803</v>
      </c>
      <c r="C52" s="126">
        <v>-0.1</v>
      </c>
      <c r="D52" s="131">
        <v>0.68611111111111101</v>
      </c>
      <c r="E52" s="127"/>
      <c r="F52" s="8" t="s">
        <v>58</v>
      </c>
      <c r="G52" s="128"/>
      <c r="H52" s="9">
        <f>+Harvest!H52/Effort!H52</f>
        <v>11.833333333333332</v>
      </c>
      <c r="I52" s="128"/>
      <c r="J52" s="8" t="s">
        <v>58</v>
      </c>
      <c r="L52" s="9">
        <f>+Harvest!L52/Effort!L52</f>
        <v>13.000000000000002</v>
      </c>
      <c r="N52" s="8" t="s">
        <v>58</v>
      </c>
    </row>
    <row r="53" spans="1:14" x14ac:dyDescent="0.25">
      <c r="A53" s="124">
        <v>42804</v>
      </c>
      <c r="B53" s="91">
        <f t="shared" si="3"/>
        <v>42804</v>
      </c>
      <c r="C53" s="126">
        <v>-0.3</v>
      </c>
      <c r="D53" s="131">
        <v>0.71736111111111101</v>
      </c>
      <c r="E53" s="127"/>
      <c r="F53" s="8" t="s">
        <v>58</v>
      </c>
      <c r="G53" s="128"/>
      <c r="H53" s="9">
        <f>+Harvest!H53/Effort!H53</f>
        <v>14.888888888888888</v>
      </c>
      <c r="I53" s="128"/>
      <c r="J53" s="9">
        <f>+Harvest!J53/Effort!J53</f>
        <v>14.134615384615385</v>
      </c>
      <c r="K53" s="128"/>
      <c r="L53" s="8" t="s">
        <v>58</v>
      </c>
      <c r="M53" s="128"/>
      <c r="N53" s="8" t="s">
        <v>58</v>
      </c>
    </row>
    <row r="54" spans="1:14" x14ac:dyDescent="0.25">
      <c r="A54" s="124">
        <v>42805</v>
      </c>
      <c r="B54" s="91">
        <f t="shared" si="3"/>
        <v>42805</v>
      </c>
      <c r="C54" s="126">
        <v>-0.3</v>
      </c>
      <c r="D54" s="131">
        <v>0.74583333333333324</v>
      </c>
      <c r="E54" s="127"/>
      <c r="F54" s="8" t="s">
        <v>58</v>
      </c>
      <c r="G54" s="128"/>
      <c r="H54" s="9">
        <f>+Harvest!H54/Effort!H54</f>
        <v>13.649122807017543</v>
      </c>
      <c r="I54" s="128"/>
      <c r="J54" s="8" t="s">
        <v>58</v>
      </c>
      <c r="K54" s="128"/>
      <c r="L54" s="9">
        <f>+Harvest!L54/Effort!L54</f>
        <v>6.1694915254237301</v>
      </c>
      <c r="M54" s="128"/>
      <c r="N54" s="8" t="s">
        <v>58</v>
      </c>
    </row>
    <row r="55" spans="1:14" x14ac:dyDescent="0.25">
      <c r="A55" s="124">
        <v>42806</v>
      </c>
      <c r="B55" s="91">
        <f t="shared" si="3"/>
        <v>42806</v>
      </c>
      <c r="C55" s="126">
        <v>-0.1</v>
      </c>
      <c r="D55" s="131">
        <v>0.81319444444444444</v>
      </c>
      <c r="E55" s="127"/>
      <c r="F55" s="8" t="s">
        <v>58</v>
      </c>
      <c r="G55" s="128"/>
      <c r="H55" s="9">
        <f>+Harvest!H55/Effort!H55</f>
        <v>14.999999999999998</v>
      </c>
      <c r="I55" s="128"/>
      <c r="J55" s="9">
        <f>+Harvest!J55/Effort!J55</f>
        <v>14.999999999999998</v>
      </c>
      <c r="K55" s="128"/>
      <c r="L55" s="8" t="s">
        <v>58</v>
      </c>
      <c r="M55" s="128"/>
      <c r="N55" s="8" t="s">
        <v>58</v>
      </c>
    </row>
    <row r="56" spans="1:14" x14ac:dyDescent="0.25">
      <c r="A56" s="124">
        <v>42807</v>
      </c>
      <c r="B56" s="91">
        <f t="shared" si="3"/>
        <v>42807</v>
      </c>
      <c r="C56" s="126">
        <v>0.3</v>
      </c>
      <c r="D56" s="131">
        <v>0.83750000000000002</v>
      </c>
      <c r="E56" s="127"/>
      <c r="F56" s="8" t="s">
        <v>58</v>
      </c>
      <c r="G56" s="128"/>
      <c r="H56" s="9">
        <f>+Harvest!H56/Effort!H56</f>
        <v>15</v>
      </c>
      <c r="I56" s="128"/>
      <c r="J56" s="8" t="s">
        <v>58</v>
      </c>
      <c r="K56" s="128"/>
      <c r="L56" s="8" t="s">
        <v>58</v>
      </c>
      <c r="M56" s="128"/>
      <c r="N56" s="8" t="s">
        <v>58</v>
      </c>
    </row>
    <row r="57" spans="1:14" x14ac:dyDescent="0.25">
      <c r="A57" s="4"/>
      <c r="B57" s="91"/>
      <c r="C57" s="13"/>
      <c r="D57" s="86"/>
      <c r="E57" s="127"/>
      <c r="F57" s="9"/>
      <c r="G57" s="128"/>
      <c r="H57" s="8"/>
      <c r="I57" s="128"/>
      <c r="J57" s="8"/>
      <c r="K57" s="128"/>
      <c r="L57" s="8"/>
      <c r="M57" s="128"/>
      <c r="N57" s="8"/>
    </row>
    <row r="58" spans="1:14" x14ac:dyDescent="0.25">
      <c r="A58" s="124">
        <v>42818</v>
      </c>
      <c r="B58" s="91">
        <f t="shared" ref="B58:B60" si="4">+A58</f>
        <v>42818</v>
      </c>
      <c r="C58" s="126">
        <v>0.5</v>
      </c>
      <c r="D58" s="131">
        <v>0.7090277777777777</v>
      </c>
      <c r="E58" s="127"/>
      <c r="F58" s="8" t="s">
        <v>58</v>
      </c>
      <c r="G58" s="128"/>
      <c r="H58" s="8" t="s">
        <v>58</v>
      </c>
      <c r="I58" s="128"/>
      <c r="J58" s="8" t="s">
        <v>58</v>
      </c>
      <c r="K58" s="128"/>
      <c r="L58" s="9">
        <f>+Harvest!L58/Effort!L58</f>
        <v>0.54716981132075471</v>
      </c>
      <c r="M58" s="128"/>
      <c r="N58" s="8" t="s">
        <v>58</v>
      </c>
    </row>
    <row r="59" spans="1:14" x14ac:dyDescent="0.25">
      <c r="A59" s="124">
        <v>42819</v>
      </c>
      <c r="B59" s="91">
        <f t="shared" si="4"/>
        <v>42819</v>
      </c>
      <c r="C59" s="126">
        <v>0.2</v>
      </c>
      <c r="D59" s="131">
        <v>0.73888888888888893</v>
      </c>
      <c r="E59" s="127"/>
      <c r="F59" s="8" t="s">
        <v>58</v>
      </c>
      <c r="G59" s="128"/>
      <c r="H59" s="8" t="s">
        <v>58</v>
      </c>
      <c r="I59" s="128"/>
      <c r="J59" s="9">
        <f>+Harvest!J59/Effort!J59</f>
        <v>9.051724137931032</v>
      </c>
      <c r="K59" s="128"/>
      <c r="L59" s="8" t="s">
        <v>58</v>
      </c>
      <c r="M59" s="128"/>
      <c r="N59" s="8" t="s">
        <v>58</v>
      </c>
    </row>
    <row r="60" spans="1:14" x14ac:dyDescent="0.25">
      <c r="A60" s="124">
        <v>42820</v>
      </c>
      <c r="B60" s="91">
        <f t="shared" si="4"/>
        <v>42820</v>
      </c>
      <c r="C60" s="126">
        <v>0</v>
      </c>
      <c r="D60" s="131">
        <v>0.76666666666666661</v>
      </c>
      <c r="E60" s="127"/>
      <c r="F60" s="8" t="s">
        <v>58</v>
      </c>
      <c r="G60" s="128"/>
      <c r="H60" s="8" t="s">
        <v>58</v>
      </c>
      <c r="I60" s="128"/>
      <c r="J60" s="8" t="s">
        <v>58</v>
      </c>
      <c r="K60" s="128"/>
      <c r="L60" s="9">
        <f>+Harvest!L60/Effort!L60</f>
        <v>7.3571428571428577</v>
      </c>
      <c r="M60" s="128"/>
      <c r="N60" s="8" t="s">
        <v>58</v>
      </c>
    </row>
    <row r="61" spans="1:14" x14ac:dyDescent="0.25">
      <c r="A61" s="4"/>
      <c r="B61" s="91"/>
      <c r="C61" s="13"/>
      <c r="D61" s="131"/>
      <c r="E61" s="127"/>
      <c r="F61" s="9"/>
      <c r="G61" s="128"/>
      <c r="H61" s="8"/>
      <c r="I61" s="128"/>
      <c r="J61" s="8"/>
      <c r="K61" s="128"/>
      <c r="L61" s="8"/>
      <c r="M61" s="128"/>
      <c r="N61" s="8"/>
    </row>
    <row r="62" spans="1:14" x14ac:dyDescent="0.25">
      <c r="A62" s="124">
        <v>42824</v>
      </c>
      <c r="B62" s="91">
        <f t="shared" ref="B62:B65" si="5">+A62</f>
        <v>42824</v>
      </c>
      <c r="C62" s="126">
        <v>-0.6</v>
      </c>
      <c r="D62" s="131">
        <v>0.37361111111111112</v>
      </c>
      <c r="E62" s="127"/>
      <c r="F62" s="8" t="s">
        <v>58</v>
      </c>
      <c r="G62" s="128"/>
      <c r="H62" s="8" t="s">
        <v>58</v>
      </c>
      <c r="I62" s="128"/>
      <c r="J62" s="8" t="s">
        <v>58</v>
      </c>
      <c r="K62" s="128"/>
      <c r="L62" s="9">
        <f>+Harvest!L62/Effort!L62</f>
        <v>8.9090909090909083</v>
      </c>
      <c r="M62" s="128"/>
      <c r="N62" s="8" t="s">
        <v>58</v>
      </c>
    </row>
    <row r="63" spans="1:14" x14ac:dyDescent="0.25">
      <c r="A63" s="124">
        <v>42825</v>
      </c>
      <c r="B63" s="91">
        <f t="shared" si="5"/>
        <v>42825</v>
      </c>
      <c r="C63" s="126">
        <v>-0.6</v>
      </c>
      <c r="D63" s="131">
        <v>0.40763888888888888</v>
      </c>
      <c r="E63" s="127"/>
      <c r="F63" s="8" t="s">
        <v>58</v>
      </c>
      <c r="G63" s="128"/>
      <c r="H63" s="8" t="s">
        <v>58</v>
      </c>
      <c r="I63" s="128"/>
      <c r="J63" s="9">
        <f>+Harvest!J63/Effort!J63</f>
        <v>15.000000000000002</v>
      </c>
      <c r="K63" s="128"/>
      <c r="L63" s="8" t="s">
        <v>58</v>
      </c>
      <c r="M63" s="128"/>
      <c r="N63" s="8" t="s">
        <v>58</v>
      </c>
    </row>
    <row r="64" spans="1:14" x14ac:dyDescent="0.25">
      <c r="A64" s="124">
        <v>42826</v>
      </c>
      <c r="B64" s="91">
        <f t="shared" si="5"/>
        <v>42826</v>
      </c>
      <c r="C64" s="126">
        <v>-0.5</v>
      </c>
      <c r="D64" s="131">
        <v>0.44444444444444442</v>
      </c>
      <c r="E64" s="127"/>
      <c r="F64" s="8" t="s">
        <v>58</v>
      </c>
      <c r="G64" s="128"/>
      <c r="H64" s="8" t="s">
        <v>58</v>
      </c>
      <c r="I64" s="128"/>
      <c r="J64" s="8" t="s">
        <v>58</v>
      </c>
      <c r="K64" s="128"/>
      <c r="L64" s="9">
        <f>+Harvest!L64/Effort!L64</f>
        <v>14.373134328358208</v>
      </c>
      <c r="M64" s="128"/>
      <c r="N64" s="8" t="s">
        <v>58</v>
      </c>
    </row>
    <row r="65" spans="1:15" x14ac:dyDescent="0.25">
      <c r="A65" s="124">
        <v>42827</v>
      </c>
      <c r="B65" s="91">
        <f t="shared" si="5"/>
        <v>42827</v>
      </c>
      <c r="C65" s="126">
        <v>-0.1</v>
      </c>
      <c r="D65" s="131">
        <v>0.48541666666666666</v>
      </c>
      <c r="E65" s="127"/>
      <c r="F65" s="8" t="s">
        <v>58</v>
      </c>
      <c r="G65" s="128"/>
      <c r="H65" s="8" t="s">
        <v>58</v>
      </c>
      <c r="I65" s="128"/>
      <c r="J65" s="9">
        <f>+Harvest!J65/Effort!J65</f>
        <v>10.930232558139533</v>
      </c>
      <c r="K65" s="128"/>
      <c r="L65" s="8" t="s">
        <v>58</v>
      </c>
      <c r="M65" s="128"/>
      <c r="N65" s="8" t="s">
        <v>58</v>
      </c>
    </row>
    <row r="66" spans="1:15" x14ac:dyDescent="0.25">
      <c r="A66" s="4"/>
      <c r="B66" s="91"/>
      <c r="C66" s="13"/>
      <c r="D66" s="131"/>
      <c r="E66" s="127"/>
      <c r="F66" s="9"/>
      <c r="G66" s="128"/>
      <c r="H66" s="8"/>
      <c r="I66" s="128"/>
      <c r="J66" s="8"/>
      <c r="K66" s="128"/>
      <c r="L66" s="8"/>
      <c r="M66" s="128"/>
      <c r="N66" s="8"/>
    </row>
    <row r="67" spans="1:15" x14ac:dyDescent="0.25">
      <c r="A67" s="124">
        <v>42830</v>
      </c>
      <c r="B67" s="91">
        <f t="shared" ref="B67:B71" si="6">+A67</f>
        <v>42830</v>
      </c>
      <c r="C67" s="126">
        <v>0.5</v>
      </c>
      <c r="D67" s="131">
        <v>0.62916666666666665</v>
      </c>
      <c r="E67" s="127"/>
      <c r="F67" s="8" t="s">
        <v>58</v>
      </c>
      <c r="G67" s="128"/>
      <c r="H67" s="9">
        <f>+Harvest!H67/Effort!H67</f>
        <v>15</v>
      </c>
      <c r="I67" s="128"/>
      <c r="J67" s="8" t="s">
        <v>58</v>
      </c>
      <c r="K67" s="128"/>
      <c r="L67" s="8" t="s">
        <v>58</v>
      </c>
      <c r="M67" s="128"/>
      <c r="N67" s="8" t="s">
        <v>58</v>
      </c>
      <c r="O67" s="133"/>
    </row>
    <row r="68" spans="1:15" x14ac:dyDescent="0.25">
      <c r="A68" s="124">
        <v>42831</v>
      </c>
      <c r="B68" s="91">
        <f t="shared" si="6"/>
        <v>42831</v>
      </c>
      <c r="C68" s="126">
        <v>0.4</v>
      </c>
      <c r="D68" s="131">
        <v>0.67222222222222217</v>
      </c>
      <c r="E68" s="127"/>
      <c r="F68" s="8" t="s">
        <v>58</v>
      </c>
      <c r="G68" s="128"/>
      <c r="H68" s="9">
        <f>+Harvest!H68/Effort!H68</f>
        <v>9.3200000000000021</v>
      </c>
      <c r="I68" s="128"/>
      <c r="J68" s="8" t="s">
        <v>58</v>
      </c>
      <c r="K68" s="128"/>
      <c r="L68" s="8" t="s">
        <v>58</v>
      </c>
      <c r="M68" s="128"/>
      <c r="N68" s="8" t="s">
        <v>58</v>
      </c>
      <c r="O68" s="133"/>
    </row>
    <row r="69" spans="1:15" x14ac:dyDescent="0.25">
      <c r="A69" s="124">
        <v>42832</v>
      </c>
      <c r="B69" s="91">
        <f t="shared" si="6"/>
        <v>42832</v>
      </c>
      <c r="C69" s="126">
        <v>0.4</v>
      </c>
      <c r="D69" s="131">
        <v>0.7090277777777777</v>
      </c>
      <c r="E69" s="127"/>
      <c r="F69" s="8" t="s">
        <v>58</v>
      </c>
      <c r="G69" s="128"/>
      <c r="H69" s="9">
        <v>0</v>
      </c>
      <c r="I69" s="128"/>
      <c r="J69" s="8" t="s">
        <v>58</v>
      </c>
      <c r="K69" s="128"/>
      <c r="L69" s="8" t="s">
        <v>58</v>
      </c>
      <c r="M69" s="128"/>
      <c r="N69" s="8" t="s">
        <v>58</v>
      </c>
      <c r="O69" s="133"/>
    </row>
    <row r="70" spans="1:15" x14ac:dyDescent="0.25">
      <c r="A70" s="124">
        <v>42833</v>
      </c>
      <c r="B70" s="91">
        <f t="shared" si="6"/>
        <v>42833</v>
      </c>
      <c r="C70" s="126">
        <v>0.4</v>
      </c>
      <c r="D70" s="131">
        <v>0.7402777777777777</v>
      </c>
      <c r="E70" s="127"/>
      <c r="F70" s="8" t="s">
        <v>58</v>
      </c>
      <c r="G70" s="128"/>
      <c r="H70" s="9">
        <f>+Harvest!H70/Effort!H70</f>
        <v>11.969696969696969</v>
      </c>
      <c r="I70" s="128"/>
      <c r="J70" s="8" t="s">
        <v>58</v>
      </c>
      <c r="K70" s="128"/>
      <c r="L70" s="8" t="s">
        <v>58</v>
      </c>
      <c r="M70" s="128"/>
      <c r="N70" s="8" t="s">
        <v>58</v>
      </c>
      <c r="O70" s="133"/>
    </row>
    <row r="71" spans="1:15" x14ac:dyDescent="0.25">
      <c r="A71" s="124">
        <v>42834</v>
      </c>
      <c r="B71" s="91">
        <f t="shared" si="6"/>
        <v>42834</v>
      </c>
      <c r="C71" s="126">
        <v>0.5</v>
      </c>
      <c r="D71" s="131">
        <v>0.2673611111111111</v>
      </c>
      <c r="E71" s="127"/>
      <c r="F71" s="8" t="s">
        <v>58</v>
      </c>
      <c r="G71" s="128"/>
      <c r="H71" s="9">
        <f>+Harvest!H71/Effort!H71</f>
        <v>8.8333333333333339</v>
      </c>
      <c r="I71" s="128"/>
      <c r="J71" s="8" t="s">
        <v>58</v>
      </c>
      <c r="K71" s="128"/>
      <c r="L71" s="8" t="s">
        <v>58</v>
      </c>
      <c r="M71" s="128"/>
      <c r="N71" s="8" t="s">
        <v>58</v>
      </c>
      <c r="O71" s="133"/>
    </row>
    <row r="72" spans="1:15" x14ac:dyDescent="0.25">
      <c r="A72" s="4"/>
      <c r="B72" s="91"/>
      <c r="C72" s="13"/>
      <c r="D72" s="86"/>
      <c r="E72" s="127"/>
      <c r="F72" s="9"/>
      <c r="G72" s="128"/>
      <c r="H72" s="8"/>
      <c r="I72" s="128"/>
      <c r="J72" s="8"/>
      <c r="K72" s="128"/>
      <c r="L72" s="8"/>
      <c r="M72" s="128"/>
      <c r="N72" s="8"/>
    </row>
    <row r="73" spans="1:15" x14ac:dyDescent="0.25">
      <c r="A73" s="4">
        <v>42837</v>
      </c>
      <c r="B73" s="91">
        <v>42837</v>
      </c>
      <c r="C73" s="13">
        <v>0</v>
      </c>
      <c r="D73" s="86">
        <v>0.33888888888888885</v>
      </c>
      <c r="E73" s="127"/>
      <c r="F73" s="9">
        <f>+Harvest!F73/Effort!F73</f>
        <v>13.772727272727273</v>
      </c>
      <c r="G73" s="128"/>
      <c r="H73" s="9">
        <f>+Harvest!H73/Effort!H73</f>
        <v>13.892857142857142</v>
      </c>
      <c r="I73" s="128"/>
      <c r="J73" s="8" t="s">
        <v>58</v>
      </c>
      <c r="K73" s="128"/>
      <c r="L73" s="8" t="s">
        <v>58</v>
      </c>
      <c r="M73" s="128"/>
      <c r="N73" s="8" t="s">
        <v>58</v>
      </c>
    </row>
    <row r="74" spans="1:15" x14ac:dyDescent="0.25">
      <c r="A74" s="4">
        <v>42838</v>
      </c>
      <c r="B74" s="91">
        <v>42838</v>
      </c>
      <c r="C74" s="13">
        <v>0</v>
      </c>
      <c r="D74" s="86">
        <v>0.36319444444444443</v>
      </c>
      <c r="E74" s="127"/>
      <c r="F74" s="9">
        <f>+Harvest!F74/Effort!F74</f>
        <v>14.634146341463417</v>
      </c>
      <c r="G74" s="128"/>
      <c r="H74" s="9">
        <f>+Harvest!H74/Effort!H74</f>
        <v>15.000000000000004</v>
      </c>
      <c r="I74" s="128"/>
      <c r="J74" s="203">
        <f>+Harvest!J74/Effort!J74</f>
        <v>10.285714285714286</v>
      </c>
      <c r="K74" s="128"/>
      <c r="L74" s="8" t="s">
        <v>58</v>
      </c>
      <c r="M74" s="128"/>
      <c r="N74" s="8" t="s">
        <v>58</v>
      </c>
    </row>
    <row r="75" spans="1:15" x14ac:dyDescent="0.25">
      <c r="A75" s="4">
        <v>42839</v>
      </c>
      <c r="B75" s="91">
        <v>42839</v>
      </c>
      <c r="C75" s="13">
        <v>0.1</v>
      </c>
      <c r="D75" s="86">
        <v>0.38750000000000001</v>
      </c>
      <c r="E75" s="127"/>
      <c r="F75" s="9">
        <f>+Harvest!F75/Effort!F75</f>
        <v>15.000000000000002</v>
      </c>
      <c r="G75" s="128"/>
      <c r="H75" s="9">
        <f>+Harvest!H75/Effort!H75</f>
        <v>14.172413793103452</v>
      </c>
      <c r="I75" s="128"/>
      <c r="J75" s="8" t="s">
        <v>58</v>
      </c>
      <c r="K75" s="128"/>
      <c r="L75" s="203">
        <f>+Harvest!L75/Effort!L75</f>
        <v>12.481481481481481</v>
      </c>
      <c r="M75" s="128"/>
      <c r="N75" s="8" t="s">
        <v>58</v>
      </c>
    </row>
    <row r="76" spans="1:15" x14ac:dyDescent="0.25">
      <c r="A76" s="4">
        <v>42840</v>
      </c>
      <c r="B76" s="91">
        <v>42840</v>
      </c>
      <c r="C76" s="13">
        <v>0.3</v>
      </c>
      <c r="D76" s="86">
        <v>0.41319444444444442</v>
      </c>
      <c r="E76" s="127"/>
      <c r="F76" s="9">
        <f>+Harvest!F76/Effort!F76</f>
        <v>14.220779220779223</v>
      </c>
      <c r="G76" s="128"/>
      <c r="H76" s="9">
        <f>+Harvest!H76/Effort!H76</f>
        <v>14</v>
      </c>
      <c r="I76" s="128"/>
      <c r="J76" s="203">
        <f>+Harvest!J76/Effort!J76</f>
        <v>12.999999999999998</v>
      </c>
      <c r="K76" s="128"/>
      <c r="L76" s="8" t="s">
        <v>58</v>
      </c>
      <c r="M76" s="128"/>
      <c r="N76" s="8" t="s">
        <v>58</v>
      </c>
    </row>
    <row r="77" spans="1:15" x14ac:dyDescent="0.25">
      <c r="A77" s="4">
        <v>42841</v>
      </c>
      <c r="B77" s="91">
        <v>42841</v>
      </c>
      <c r="C77" s="13">
        <v>0.5</v>
      </c>
      <c r="D77" s="86">
        <v>0.44166666666666665</v>
      </c>
      <c r="E77" s="127" t="s">
        <v>64</v>
      </c>
      <c r="F77" s="9">
        <f>+Harvest!F77/Effort!F77</f>
        <v>14.220779220779223</v>
      </c>
      <c r="G77" s="128"/>
      <c r="H77" s="9">
        <f>+Harvest!H77/Effort!H77</f>
        <v>14.133333333333331</v>
      </c>
      <c r="I77" s="128"/>
      <c r="J77" s="8" t="s">
        <v>58</v>
      </c>
      <c r="K77" s="128"/>
      <c r="L77" s="203">
        <f>+Harvest!L77/Effort!L77</f>
        <v>11.416666666666666</v>
      </c>
      <c r="M77" s="128"/>
      <c r="N77" s="8" t="s">
        <v>58</v>
      </c>
    </row>
    <row r="78" spans="1:15" x14ac:dyDescent="0.25">
      <c r="A78" s="4"/>
      <c r="B78" s="91"/>
      <c r="C78" s="13"/>
      <c r="D78" s="86"/>
      <c r="E78" s="127"/>
      <c r="F78" s="9"/>
      <c r="G78" s="128"/>
      <c r="H78" s="8"/>
      <c r="I78" s="128"/>
      <c r="J78" s="8"/>
      <c r="K78" s="128"/>
      <c r="L78" s="8"/>
      <c r="M78" s="128"/>
      <c r="N78" s="8" t="s">
        <v>58</v>
      </c>
    </row>
    <row r="79" spans="1:15" x14ac:dyDescent="0.25">
      <c r="A79" s="4">
        <v>42851</v>
      </c>
      <c r="B79" s="91">
        <f>+A79</f>
        <v>42851</v>
      </c>
      <c r="C79" s="13">
        <v>-1.1000000000000001</v>
      </c>
      <c r="D79" s="86">
        <v>0.29791666666666666</v>
      </c>
      <c r="E79" s="127"/>
      <c r="F79" s="9">
        <f>+Harvest!F79/Effort!F79</f>
        <v>23.270270270270274</v>
      </c>
      <c r="G79" s="128"/>
      <c r="H79" s="9">
        <f>+Harvest!H79/Effort!H79</f>
        <v>15.000000000000002</v>
      </c>
      <c r="I79" s="128"/>
      <c r="J79" s="8" t="s">
        <v>58</v>
      </c>
      <c r="K79" s="128"/>
      <c r="L79" s="8" t="s">
        <v>58</v>
      </c>
      <c r="M79" s="128"/>
      <c r="N79" s="8" t="s">
        <v>58</v>
      </c>
    </row>
    <row r="80" spans="1:15" x14ac:dyDescent="0.25">
      <c r="A80" s="4">
        <v>42852</v>
      </c>
      <c r="B80" s="91">
        <f t="shared" ref="B80:B84" si="7">+A80</f>
        <v>42852</v>
      </c>
      <c r="C80" s="13">
        <v>-1.5</v>
      </c>
      <c r="D80" s="86">
        <v>0.3298611111111111</v>
      </c>
      <c r="E80" s="127"/>
      <c r="F80" s="9">
        <f>+Harvest!F80/Effort!F80</f>
        <v>25</v>
      </c>
      <c r="G80" s="128"/>
      <c r="H80" s="9">
        <f>+Harvest!H80/Effort!H80</f>
        <v>14.916666666666666</v>
      </c>
      <c r="I80" s="128"/>
      <c r="J80" s="8" t="s">
        <v>58</v>
      </c>
      <c r="K80" s="128"/>
      <c r="L80" s="8">
        <f>+Harvest!L80/Effort!L80</f>
        <v>14.978260869565219</v>
      </c>
      <c r="M80" s="128"/>
      <c r="N80" s="8" t="s">
        <v>58</v>
      </c>
    </row>
    <row r="81" spans="1:14" x14ac:dyDescent="0.25">
      <c r="A81" s="4">
        <v>42853</v>
      </c>
      <c r="B81" s="91">
        <f t="shared" si="7"/>
        <v>42853</v>
      </c>
      <c r="C81" s="13">
        <v>-1.8</v>
      </c>
      <c r="D81" s="86">
        <v>0.36249999999999999</v>
      </c>
      <c r="E81" s="127"/>
      <c r="F81" s="9">
        <f>+Harvest!F81/Effort!F81</f>
        <v>24.156862745098042</v>
      </c>
      <c r="G81" s="128"/>
      <c r="H81" s="9">
        <f>+Harvest!H81/Effort!H81</f>
        <v>14.833333333333336</v>
      </c>
      <c r="I81" s="128"/>
      <c r="J81" s="8">
        <f>+Harvest!J81/Effort!J81</f>
        <v>14.999999999999998</v>
      </c>
      <c r="K81" s="128"/>
      <c r="L81" s="9" t="s">
        <v>58</v>
      </c>
      <c r="M81" s="128"/>
      <c r="N81" s="8" t="s">
        <v>58</v>
      </c>
    </row>
    <row r="82" spans="1:14" x14ac:dyDescent="0.25">
      <c r="A82" s="4">
        <v>42854</v>
      </c>
      <c r="B82" s="91">
        <f t="shared" si="7"/>
        <v>42854</v>
      </c>
      <c r="C82" s="13">
        <v>-1.7</v>
      </c>
      <c r="D82" s="86">
        <v>0.3972222222222222</v>
      </c>
      <c r="E82" s="127"/>
      <c r="F82" s="9">
        <f>+Harvest!F82/Effort!F82</f>
        <v>24.193548387096779</v>
      </c>
      <c r="G82" s="128"/>
      <c r="H82" s="9">
        <f>+Harvest!H82/Effort!H82</f>
        <v>14.999999999999998</v>
      </c>
      <c r="I82" s="128"/>
      <c r="J82" s="8" t="s">
        <v>58</v>
      </c>
      <c r="K82" s="128"/>
      <c r="L82" s="9">
        <f>+Harvest!L82/Effort!L82</f>
        <v>14.825688073394494</v>
      </c>
      <c r="M82" s="128"/>
      <c r="N82" s="8" t="s">
        <v>58</v>
      </c>
    </row>
    <row r="83" spans="1:14" x14ac:dyDescent="0.25">
      <c r="A83" s="4">
        <v>42855</v>
      </c>
      <c r="B83" s="91">
        <f t="shared" si="7"/>
        <v>42855</v>
      </c>
      <c r="C83" s="13">
        <v>-1.3</v>
      </c>
      <c r="D83" s="86">
        <v>0.43333333333333335</v>
      </c>
      <c r="E83" s="127"/>
      <c r="F83" s="9">
        <f>+Harvest!F83/Effort!F83</f>
        <v>15.494252873563218</v>
      </c>
      <c r="G83" s="127" t="s">
        <v>64</v>
      </c>
      <c r="H83" s="9">
        <v>15</v>
      </c>
      <c r="I83" s="128"/>
      <c r="J83" s="8">
        <f>+Harvest!J83/Effort!J83</f>
        <v>15.000000000000002</v>
      </c>
      <c r="K83" s="128"/>
      <c r="L83" s="9" t="s">
        <v>58</v>
      </c>
      <c r="M83" s="128"/>
      <c r="N83" s="8" t="s">
        <v>58</v>
      </c>
    </row>
    <row r="84" spans="1:14" x14ac:dyDescent="0.25">
      <c r="A84" s="4">
        <v>42856</v>
      </c>
      <c r="B84" s="91">
        <f t="shared" si="7"/>
        <v>42856</v>
      </c>
      <c r="C84" s="13">
        <v>-0.8</v>
      </c>
      <c r="D84" s="86">
        <v>0.47222222222222227</v>
      </c>
      <c r="E84" s="127"/>
      <c r="F84" s="9">
        <v>25</v>
      </c>
      <c r="G84" s="128"/>
      <c r="H84" s="8" t="s">
        <v>58</v>
      </c>
      <c r="I84" s="128"/>
      <c r="J84" s="8" t="s">
        <v>58</v>
      </c>
      <c r="K84" s="128"/>
      <c r="L84" s="8" t="s">
        <v>58</v>
      </c>
      <c r="M84" s="128"/>
      <c r="N84" s="8" t="s">
        <v>58</v>
      </c>
    </row>
    <row r="85" spans="1:14" x14ac:dyDescent="0.25">
      <c r="A85" s="4"/>
      <c r="B85" s="91"/>
      <c r="C85" s="13"/>
      <c r="D85" s="86"/>
      <c r="E85" s="127"/>
      <c r="F85" s="9"/>
      <c r="G85" s="128"/>
      <c r="H85" s="8"/>
      <c r="I85" s="128"/>
      <c r="J85" s="8"/>
      <c r="K85" s="128"/>
      <c r="L85" s="8"/>
      <c r="M85" s="128"/>
      <c r="N85" s="8"/>
    </row>
    <row r="86" spans="1:14" x14ac:dyDescent="0.25">
      <c r="A86" s="124">
        <v>42868</v>
      </c>
      <c r="B86" s="91">
        <v>42868</v>
      </c>
      <c r="C86" s="126">
        <v>-0.6</v>
      </c>
      <c r="D86" s="131">
        <v>0.37083333333333335</v>
      </c>
      <c r="E86" s="127"/>
      <c r="F86" s="8" t="s">
        <v>58</v>
      </c>
      <c r="G86" s="128"/>
      <c r="H86" s="8" t="s">
        <v>58</v>
      </c>
      <c r="I86" s="128"/>
      <c r="J86" s="8" t="s">
        <v>58</v>
      </c>
      <c r="K86" s="128"/>
      <c r="L86" s="125"/>
      <c r="M86" s="128"/>
      <c r="N86" s="8" t="s">
        <v>58</v>
      </c>
    </row>
    <row r="87" spans="1:14" x14ac:dyDescent="0.25">
      <c r="A87" s="124">
        <v>42869</v>
      </c>
      <c r="B87" s="91">
        <v>42869</v>
      </c>
      <c r="C87" s="126">
        <v>-0.4</v>
      </c>
      <c r="D87" s="131">
        <v>0.39583333333333331</v>
      </c>
      <c r="E87" s="127"/>
      <c r="F87" s="8" t="s">
        <v>58</v>
      </c>
      <c r="G87" s="128"/>
      <c r="H87" s="8" t="s">
        <v>58</v>
      </c>
      <c r="I87" s="128"/>
      <c r="J87" s="8" t="s">
        <v>58</v>
      </c>
      <c r="K87" s="128"/>
      <c r="L87" s="125"/>
      <c r="M87" s="128"/>
      <c r="N87" s="8" t="s">
        <v>58</v>
      </c>
    </row>
    <row r="88" spans="1:14" x14ac:dyDescent="0.25">
      <c r="A88" s="4"/>
      <c r="B88" s="91"/>
      <c r="C88" s="13"/>
      <c r="D88" s="86"/>
      <c r="E88" s="127"/>
      <c r="F88" s="9"/>
      <c r="G88" s="58"/>
      <c r="H88" s="9"/>
      <c r="I88" s="58"/>
      <c r="J88" s="8"/>
      <c r="K88" s="58"/>
      <c r="L88" s="8"/>
      <c r="M88" s="58"/>
      <c r="N88" s="8"/>
    </row>
    <row r="89" spans="1:14" x14ac:dyDescent="0.25">
      <c r="A89" s="4"/>
      <c r="B89" s="91"/>
      <c r="C89" s="13"/>
      <c r="D89" s="86"/>
      <c r="E89" s="127"/>
      <c r="F89" s="9"/>
      <c r="G89" s="58"/>
      <c r="H89" s="8"/>
      <c r="I89" s="128"/>
      <c r="J89" s="8"/>
      <c r="K89" s="128"/>
      <c r="L89" s="8"/>
      <c r="M89" s="128"/>
      <c r="N89" s="8"/>
    </row>
    <row r="90" spans="1:14" x14ac:dyDescent="0.25">
      <c r="A90" s="4"/>
      <c r="B90" s="91"/>
      <c r="C90" s="13"/>
      <c r="D90" s="86"/>
      <c r="E90" s="127"/>
      <c r="F90" s="9"/>
      <c r="G90" s="58"/>
      <c r="H90" s="8"/>
      <c r="I90" s="128"/>
      <c r="J90" s="8"/>
      <c r="K90" s="128"/>
      <c r="L90" s="8"/>
      <c r="M90" s="128"/>
      <c r="N90" s="8"/>
    </row>
    <row r="91" spans="1:14" x14ac:dyDescent="0.25">
      <c r="A91" s="4"/>
      <c r="B91" s="91"/>
      <c r="C91" s="13"/>
      <c r="D91" s="86"/>
      <c r="F91" s="9"/>
      <c r="G91" s="58"/>
      <c r="H91" s="8"/>
      <c r="I91" s="128"/>
      <c r="J91" s="8"/>
      <c r="K91" s="128"/>
      <c r="L91" s="8"/>
      <c r="M91" s="128"/>
      <c r="N91" s="8"/>
    </row>
    <row r="92" spans="1:14" x14ac:dyDescent="0.25">
      <c r="A92" s="52"/>
      <c r="B92" s="5"/>
      <c r="C92" s="56"/>
      <c r="D92" s="57"/>
      <c r="F92" s="8"/>
      <c r="G92" s="58"/>
      <c r="H92" s="8"/>
      <c r="I92" s="58"/>
      <c r="J92" s="9"/>
      <c r="K92" s="128"/>
      <c r="L92" s="9"/>
      <c r="M92" s="58"/>
      <c r="N92" s="8"/>
    </row>
    <row r="93" spans="1:14" x14ac:dyDescent="0.25">
      <c r="A93" s="52"/>
      <c r="B93" s="5"/>
      <c r="C93" s="56"/>
      <c r="D93" s="57"/>
      <c r="F93" s="8"/>
      <c r="G93" s="58"/>
      <c r="H93" s="8"/>
      <c r="I93" s="58"/>
      <c r="J93" s="9"/>
      <c r="K93" s="154"/>
      <c r="L93" s="9"/>
      <c r="M93" s="58"/>
      <c r="N93" s="8"/>
    </row>
    <row r="94" spans="1:14" x14ac:dyDescent="0.25">
      <c r="A94" s="52"/>
      <c r="B94" s="5"/>
      <c r="C94" s="56"/>
      <c r="D94" s="57"/>
      <c r="F94" s="8"/>
      <c r="G94" s="58"/>
      <c r="H94" s="8"/>
      <c r="I94" s="58"/>
      <c r="J94" s="8"/>
      <c r="K94" s="58"/>
      <c r="L94" s="9"/>
      <c r="M94" s="58"/>
      <c r="N94" s="8"/>
    </row>
    <row r="95" spans="1:14" x14ac:dyDescent="0.25">
      <c r="A95" s="52"/>
      <c r="B95" s="5"/>
      <c r="C95" s="56"/>
      <c r="D95" s="57"/>
      <c r="F95" s="8"/>
      <c r="G95" s="58"/>
      <c r="H95" s="9"/>
      <c r="I95" s="58"/>
      <c r="J95" s="8"/>
      <c r="K95" s="58"/>
      <c r="L95" s="8"/>
      <c r="M95" s="58"/>
      <c r="N95" s="8"/>
    </row>
    <row r="96" spans="1:14" x14ac:dyDescent="0.25">
      <c r="A96" s="52"/>
      <c r="B96" s="5"/>
      <c r="C96" s="56"/>
      <c r="D96" s="57"/>
      <c r="F96" s="8"/>
      <c r="G96" s="58"/>
      <c r="H96" s="9"/>
      <c r="I96" s="58"/>
      <c r="J96" s="8"/>
      <c r="K96" s="58"/>
      <c r="L96" s="8"/>
      <c r="M96" s="58"/>
      <c r="N96" s="8"/>
    </row>
    <row r="97" spans="1:14" x14ac:dyDescent="0.25">
      <c r="A97" s="17" t="s">
        <v>18</v>
      </c>
      <c r="F97" s="43">
        <f>Harvest!F96/Effort!F95</f>
        <v>10.433041568667411</v>
      </c>
      <c r="H97" s="43">
        <f>Harvest!H96/Effort!H95</f>
        <v>9.7067205504472724</v>
      </c>
      <c r="J97" s="43">
        <f>Harvest!J96/Effort!J95</f>
        <v>9.5091481390918275</v>
      </c>
      <c r="L97" s="43">
        <f>Harvest!L96/Effort!L95</f>
        <v>8.3435911241234404</v>
      </c>
      <c r="N97" s="43">
        <f>Harvest!N96/Effort!N95</f>
        <v>2.2120962687550922</v>
      </c>
    </row>
    <row r="98" spans="1:14" x14ac:dyDescent="0.25">
      <c r="A98" s="16" t="s">
        <v>17</v>
      </c>
    </row>
    <row r="99" spans="1:14" x14ac:dyDescent="0.25">
      <c r="A99" s="93" t="s">
        <v>52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35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TJ97"/>
  <sheetViews>
    <sheetView showRuler="0" view="pageLayout" zoomScaleNormal="100" workbookViewId="0">
      <selection activeCell="Q96" sqref="Q96"/>
    </sheetView>
  </sheetViews>
  <sheetFormatPr defaultRowHeight="15" x14ac:dyDescent="0.25"/>
  <cols>
    <col min="1" max="1" width="8" customWidth="1"/>
    <col min="2" max="2" width="6.8554687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9.5703125" customWidth="1"/>
    <col min="8" max="8" width="7.42578125" bestFit="1" customWidth="1"/>
    <col min="9" max="9" width="8.85546875" bestFit="1" customWidth="1"/>
    <col min="10" max="10" width="7" customWidth="1"/>
    <col min="11" max="11" width="7.5703125" bestFit="1" customWidth="1"/>
    <col min="12" max="12" width="8.85546875" bestFit="1" customWidth="1"/>
    <col min="13" max="14" width="7.5703125" bestFit="1" customWidth="1"/>
    <col min="15" max="15" width="8.85546875" bestFit="1" customWidth="1"/>
    <col min="16" max="19" width="7.5703125" bestFit="1" customWidth="1"/>
    <col min="22" max="22" width="21.140625" bestFit="1" customWidth="1"/>
  </cols>
  <sheetData>
    <row r="1" spans="1:21" ht="15.75" thickBot="1" x14ac:dyDescent="0.3">
      <c r="A1" s="112" t="s">
        <v>88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</row>
    <row r="2" spans="1:21" ht="15.75" thickTop="1" x14ac:dyDescent="0.25">
      <c r="A2" s="23"/>
      <c r="B2" s="23"/>
      <c r="C2" s="23"/>
      <c r="D2" s="23"/>
      <c r="E2" s="330" t="s">
        <v>19</v>
      </c>
      <c r="F2" s="331"/>
      <c r="G2" s="332"/>
      <c r="H2" s="330" t="s">
        <v>20</v>
      </c>
      <c r="I2" s="331"/>
      <c r="J2" s="332"/>
      <c r="K2" s="330" t="s">
        <v>21</v>
      </c>
      <c r="L2" s="331"/>
      <c r="M2" s="332"/>
      <c r="N2" s="330" t="s">
        <v>22</v>
      </c>
      <c r="O2" s="331"/>
      <c r="P2" s="332"/>
      <c r="Q2" s="333" t="s">
        <v>23</v>
      </c>
      <c r="R2" s="334"/>
      <c r="S2" s="335"/>
      <c r="T2" s="328" t="s">
        <v>24</v>
      </c>
      <c r="U2" s="329"/>
    </row>
    <row r="3" spans="1:21" ht="15.75" thickBot="1" x14ac:dyDescent="0.3">
      <c r="A3" s="24" t="s">
        <v>25</v>
      </c>
      <c r="B3" s="24" t="s">
        <v>26</v>
      </c>
      <c r="C3" s="24" t="s">
        <v>27</v>
      </c>
      <c r="D3" s="24" t="s">
        <v>28</v>
      </c>
      <c r="E3" s="25" t="s">
        <v>29</v>
      </c>
      <c r="F3" s="24" t="s">
        <v>30</v>
      </c>
      <c r="G3" s="24" t="s">
        <v>10</v>
      </c>
      <c r="H3" s="25" t="s">
        <v>29</v>
      </c>
      <c r="I3" s="24" t="s">
        <v>30</v>
      </c>
      <c r="J3" s="24" t="s">
        <v>10</v>
      </c>
      <c r="K3" s="25" t="s">
        <v>29</v>
      </c>
      <c r="L3" s="24" t="s">
        <v>30</v>
      </c>
      <c r="M3" s="24" t="s">
        <v>10</v>
      </c>
      <c r="N3" s="25" t="s">
        <v>29</v>
      </c>
      <c r="O3" s="24" t="s">
        <v>30</v>
      </c>
      <c r="P3" s="24" t="s">
        <v>10</v>
      </c>
      <c r="Q3" s="25" t="s">
        <v>29</v>
      </c>
      <c r="R3" s="24" t="s">
        <v>30</v>
      </c>
      <c r="S3" s="24" t="s">
        <v>10</v>
      </c>
      <c r="T3" s="25" t="s">
        <v>29</v>
      </c>
      <c r="U3" s="26" t="s">
        <v>30</v>
      </c>
    </row>
    <row r="4" spans="1:21" ht="15.75" thickTop="1" x14ac:dyDescent="0.25">
      <c r="A4" s="27">
        <v>42657</v>
      </c>
      <c r="B4" s="18">
        <v>42657</v>
      </c>
      <c r="C4" s="19">
        <v>0.2</v>
      </c>
      <c r="D4" s="20">
        <v>0.74652777777777779</v>
      </c>
      <c r="E4" s="30" t="str">
        <f>Effort!F2</f>
        <v>Closed</v>
      </c>
      <c r="F4" s="31" t="str">
        <f>Harvest!F2</f>
        <v>Closed</v>
      </c>
      <c r="G4" s="28" t="str">
        <f>CPUE!F2</f>
        <v>Closed</v>
      </c>
      <c r="H4" s="30">
        <f>Effort!H2</f>
        <v>0</v>
      </c>
      <c r="I4" s="31">
        <f>Harvest!H2</f>
        <v>0</v>
      </c>
      <c r="J4" s="28">
        <f>CPUE!H2</f>
        <v>0</v>
      </c>
      <c r="K4" s="30">
        <f>Effort!J2</f>
        <v>0</v>
      </c>
      <c r="L4" s="31">
        <f>Harvest!J2</f>
        <v>0</v>
      </c>
      <c r="M4" s="28">
        <f>CPUE!J2</f>
        <v>0</v>
      </c>
      <c r="N4" s="30">
        <f>Effort!L2</f>
        <v>0</v>
      </c>
      <c r="O4" s="31">
        <f>Harvest!L2</f>
        <v>0</v>
      </c>
      <c r="P4" s="28">
        <f>CPUE!L2</f>
        <v>0</v>
      </c>
      <c r="Q4" s="30" t="str">
        <f>Effort!N2</f>
        <v>Closed</v>
      </c>
      <c r="R4" s="31" t="str">
        <f>Harvest!N2</f>
        <v>Closed</v>
      </c>
      <c r="S4" s="32" t="str">
        <f>CPUE!N2</f>
        <v>Closed</v>
      </c>
      <c r="T4" s="30">
        <f>+H4+K4+N4</f>
        <v>0</v>
      </c>
      <c r="U4" s="31">
        <f t="shared" ref="U4:U5" si="0">+I4+L4+O4</f>
        <v>0</v>
      </c>
    </row>
    <row r="5" spans="1:21" x14ac:dyDescent="0.25">
      <c r="A5" s="27">
        <v>42658</v>
      </c>
      <c r="B5" s="18">
        <v>42658</v>
      </c>
      <c r="C5" s="19">
        <v>-0.6</v>
      </c>
      <c r="D5" s="20">
        <v>0.77916666666666667</v>
      </c>
      <c r="E5" s="30" t="str">
        <f>Effort!F3</f>
        <v>Closed</v>
      </c>
      <c r="F5" s="31" t="str">
        <f>Harvest!F3</f>
        <v>Closed</v>
      </c>
      <c r="G5" s="28" t="str">
        <f>CPUE!F3</f>
        <v>Closed</v>
      </c>
      <c r="H5" s="30">
        <f>Effort!H3</f>
        <v>0</v>
      </c>
      <c r="I5" s="31">
        <f>Harvest!H3</f>
        <v>0</v>
      </c>
      <c r="J5" s="28">
        <f>CPUE!H3</f>
        <v>0</v>
      </c>
      <c r="K5" s="30">
        <f>Effort!J3</f>
        <v>0</v>
      </c>
      <c r="L5" s="31">
        <f>Harvest!J3</f>
        <v>0</v>
      </c>
      <c r="M5" s="28">
        <f>CPUE!J3</f>
        <v>0</v>
      </c>
      <c r="N5" s="30">
        <f>Effort!L3</f>
        <v>0</v>
      </c>
      <c r="O5" s="31">
        <f>Harvest!L3</f>
        <v>0</v>
      </c>
      <c r="P5" s="28">
        <f>CPUE!L3</f>
        <v>0</v>
      </c>
      <c r="Q5" s="30" t="str">
        <f>Effort!N3</f>
        <v>Closed</v>
      </c>
      <c r="R5" s="31" t="str">
        <f>Harvest!N3</f>
        <v>Closed</v>
      </c>
      <c r="S5" s="32" t="str">
        <f>CPUE!N3</f>
        <v>Closed</v>
      </c>
      <c r="T5" s="30">
        <f>+H5+K5+N5</f>
        <v>0</v>
      </c>
      <c r="U5" s="31">
        <f t="shared" si="0"/>
        <v>0</v>
      </c>
    </row>
    <row r="6" spans="1:21" x14ac:dyDescent="0.25">
      <c r="A6" s="27">
        <v>42659</v>
      </c>
      <c r="B6" s="18">
        <v>42659</v>
      </c>
      <c r="C6" s="19">
        <v>-1.1000000000000001</v>
      </c>
      <c r="D6" s="20">
        <v>0.81111111111111112</v>
      </c>
      <c r="E6" s="30" t="str">
        <f>Effort!F4</f>
        <v>Closed</v>
      </c>
      <c r="F6" s="31" t="str">
        <f>Harvest!F4</f>
        <v>Closed</v>
      </c>
      <c r="G6" s="28" t="str">
        <f>CPUE!F4</f>
        <v>Closed</v>
      </c>
      <c r="H6" s="30">
        <f>Effort!H4</f>
        <v>554.15387856241705</v>
      </c>
      <c r="I6" s="31">
        <f>Harvest!H4</f>
        <v>5239.2730336810346</v>
      </c>
      <c r="J6" s="28">
        <f>CPUE!H4</f>
        <v>9.454545454545455</v>
      </c>
      <c r="K6" s="30">
        <f>Effort!J4</f>
        <v>307.453878188918</v>
      </c>
      <c r="L6" s="31">
        <f>Harvest!J4</f>
        <v>3931.0174425583086</v>
      </c>
      <c r="M6" s="28">
        <f>CPUE!J4</f>
        <v>12.785714285714285</v>
      </c>
      <c r="N6" s="30">
        <f>Effort!L4</f>
        <v>296.48477642492151</v>
      </c>
      <c r="O6" s="31">
        <f>Harvest!L4</f>
        <v>3976.3840602871824</v>
      </c>
      <c r="P6" s="28">
        <f>CPUE!L4</f>
        <v>13.411764705882351</v>
      </c>
      <c r="Q6" s="30" t="str">
        <f>Effort!N4</f>
        <v>Closed</v>
      </c>
      <c r="R6" s="31" t="str">
        <f>Harvest!N4</f>
        <v>Closed</v>
      </c>
      <c r="S6" s="32" t="str">
        <f>CPUE!N4</f>
        <v>Closed</v>
      </c>
      <c r="T6" s="30">
        <f>+H6+K6+N6</f>
        <v>1158.0925331762564</v>
      </c>
      <c r="U6" s="31">
        <f>+I6+L6+O6</f>
        <v>13146.674536526525</v>
      </c>
    </row>
    <row r="7" spans="1:21" x14ac:dyDescent="0.25">
      <c r="A7" s="27">
        <v>42660</v>
      </c>
      <c r="B7" s="18">
        <v>42660</v>
      </c>
      <c r="C7" s="19">
        <v>-1.4</v>
      </c>
      <c r="D7" s="20">
        <v>0.84444444444444444</v>
      </c>
      <c r="E7" s="30" t="str">
        <f>Effort!F5</f>
        <v>Closed</v>
      </c>
      <c r="F7" s="31" t="str">
        <f>Harvest!F5</f>
        <v>Closed</v>
      </c>
      <c r="G7" s="28" t="str">
        <f>CPUE!F5</f>
        <v>Closed</v>
      </c>
      <c r="H7" s="30">
        <f>Effort!H5</f>
        <v>1012.0209735502617</v>
      </c>
      <c r="I7" s="31">
        <f>Harvest!H5</f>
        <v>14382.964745305237</v>
      </c>
      <c r="J7" s="28">
        <f>CPUE!H5</f>
        <v>14.212121212121215</v>
      </c>
      <c r="K7" s="30" t="str">
        <f>Effort!J5</f>
        <v>Closed</v>
      </c>
      <c r="L7" s="31" t="str">
        <f>Harvest!J5</f>
        <v>Closed</v>
      </c>
      <c r="M7" s="28" t="str">
        <f>CPUE!J5</f>
        <v>Closed</v>
      </c>
      <c r="N7" s="30" t="str">
        <f>Effort!L5</f>
        <v>Closed</v>
      </c>
      <c r="O7" s="31" t="str">
        <f>Harvest!L5</f>
        <v>Closed</v>
      </c>
      <c r="P7" s="28" t="str">
        <f>CPUE!L5</f>
        <v>Closed</v>
      </c>
      <c r="Q7" s="30" t="str">
        <f>Effort!N5</f>
        <v>Closed</v>
      </c>
      <c r="R7" s="31" t="str">
        <f>Harvest!N5</f>
        <v>Closed</v>
      </c>
      <c r="S7" s="32" t="str">
        <f>CPUE!N5</f>
        <v>Closed</v>
      </c>
      <c r="T7" s="30">
        <f>+H7</f>
        <v>1012.0209735502617</v>
      </c>
      <c r="U7" s="31">
        <f>+I7</f>
        <v>14382.964745305237</v>
      </c>
    </row>
    <row r="8" spans="1:21" x14ac:dyDescent="0.25">
      <c r="A8" s="27">
        <v>42661</v>
      </c>
      <c r="B8" s="18">
        <v>42661</v>
      </c>
      <c r="C8" s="19">
        <v>-1.4</v>
      </c>
      <c r="D8" s="20">
        <v>0.87777777777777777</v>
      </c>
      <c r="E8" s="30" t="str">
        <f>Effort!F6</f>
        <v>Closed</v>
      </c>
      <c r="F8" s="31" t="str">
        <f>Harvest!F6</f>
        <v>Closed</v>
      </c>
      <c r="G8" s="28" t="str">
        <f>CPUE!F6</f>
        <v>Closed</v>
      </c>
      <c r="H8" s="30">
        <f>Effort!H6</f>
        <v>677.86310492517532</v>
      </c>
      <c r="I8" s="31">
        <f>Harvest!H6</f>
        <v>9038.1747323356722</v>
      </c>
      <c r="J8" s="28">
        <f>CPUE!H6</f>
        <v>13.333333333333336</v>
      </c>
      <c r="K8" s="30" t="str">
        <f>Effort!J6</f>
        <v>Closed</v>
      </c>
      <c r="L8" s="31" t="str">
        <f>Harvest!J6</f>
        <v>Closed</v>
      </c>
      <c r="M8" s="28" t="str">
        <f>CPUE!J6</f>
        <v>Closed</v>
      </c>
      <c r="N8" s="30" t="str">
        <f>Effort!L6</f>
        <v>Closed</v>
      </c>
      <c r="O8" s="31" t="str">
        <f>Harvest!L6</f>
        <v>Closed</v>
      </c>
      <c r="P8" s="28" t="str">
        <f>CPUE!L6</f>
        <v>Closed</v>
      </c>
      <c r="Q8" s="30" t="str">
        <f>Effort!N6</f>
        <v>Closed</v>
      </c>
      <c r="R8" s="31" t="str">
        <f>Harvest!N6</f>
        <v>Closed</v>
      </c>
      <c r="S8" s="32" t="str">
        <f>CPUE!N6</f>
        <v>Closed</v>
      </c>
      <c r="T8" s="30">
        <f t="shared" ref="T8:T9" si="1">+H8</f>
        <v>677.86310492517532</v>
      </c>
      <c r="U8" s="31">
        <f t="shared" ref="U8:U9" si="2">+I8</f>
        <v>9038.1747323356722</v>
      </c>
    </row>
    <row r="9" spans="1:21" x14ac:dyDescent="0.25">
      <c r="A9" s="27">
        <v>42662</v>
      </c>
      <c r="B9" s="18">
        <v>42662</v>
      </c>
      <c r="C9" s="19">
        <v>-1.1000000000000001</v>
      </c>
      <c r="D9" s="20">
        <v>0.91319444444444442</v>
      </c>
      <c r="E9" s="30" t="str">
        <f>Effort!F7</f>
        <v>Closed</v>
      </c>
      <c r="F9" s="31" t="str">
        <f>Harvest!F7</f>
        <v>Closed</v>
      </c>
      <c r="G9" s="28" t="str">
        <f>CPUE!F7</f>
        <v>Closed</v>
      </c>
      <c r="H9" s="30">
        <f>Effort!H7</f>
        <v>159.42989936554739</v>
      </c>
      <c r="I9" s="31">
        <f>Harvest!H7</f>
        <v>2391.4484904832107</v>
      </c>
      <c r="J9" s="28">
        <f>CPUE!H7</f>
        <v>15</v>
      </c>
      <c r="K9" s="30" t="str">
        <f>Effort!J7</f>
        <v>Closed</v>
      </c>
      <c r="L9" s="31" t="str">
        <f>Harvest!J7</f>
        <v>Closed</v>
      </c>
      <c r="M9" s="28" t="str">
        <f>CPUE!J7</f>
        <v>Closed</v>
      </c>
      <c r="N9" s="30" t="str">
        <f>Effort!L7</f>
        <v>Closed</v>
      </c>
      <c r="O9" s="31" t="str">
        <f>Harvest!L7</f>
        <v>Closed</v>
      </c>
      <c r="P9" s="28" t="str">
        <f>CPUE!L7</f>
        <v>Closed</v>
      </c>
      <c r="Q9" s="30" t="str">
        <f>Effort!N7</f>
        <v>Closed</v>
      </c>
      <c r="R9" s="31" t="str">
        <f>Harvest!N7</f>
        <v>Closed</v>
      </c>
      <c r="S9" s="32" t="str">
        <f>CPUE!N7</f>
        <v>Closed</v>
      </c>
      <c r="T9" s="30">
        <f t="shared" si="1"/>
        <v>159.42989936554739</v>
      </c>
      <c r="U9" s="31">
        <f t="shared" si="2"/>
        <v>2391.4484904832107</v>
      </c>
    </row>
    <row r="10" spans="1:21" x14ac:dyDescent="0.25">
      <c r="A10" s="326" t="s">
        <v>31</v>
      </c>
      <c r="B10" s="326"/>
      <c r="C10" s="326"/>
      <c r="D10" s="327"/>
      <c r="E10" s="34"/>
      <c r="F10" s="35"/>
      <c r="G10" s="33"/>
      <c r="H10" s="34">
        <f>SUM(H4:H9)</f>
        <v>2403.4678564034016</v>
      </c>
      <c r="I10" s="35">
        <f>SUM(I4:I9)</f>
        <v>31051.861001805155</v>
      </c>
      <c r="J10" s="33">
        <f>+I10/H10</f>
        <v>12.919607357791667</v>
      </c>
      <c r="K10" s="34">
        <f>SUM(K4:K9)</f>
        <v>307.453878188918</v>
      </c>
      <c r="L10" s="35">
        <f>SUM(L4:L9)</f>
        <v>3931.0174425583086</v>
      </c>
      <c r="M10" s="33">
        <f>+L10/K10</f>
        <v>12.785714285714285</v>
      </c>
      <c r="N10" s="34">
        <f>SUM(N4:N9)</f>
        <v>296.48477642492151</v>
      </c>
      <c r="O10" s="35">
        <f>SUM(O4:O9)</f>
        <v>3976.3840602871824</v>
      </c>
      <c r="P10" s="33">
        <f>+O10/N10</f>
        <v>13.411764705882351</v>
      </c>
      <c r="Q10" s="34"/>
      <c r="R10" s="35"/>
      <c r="S10" s="33"/>
      <c r="T10" s="34">
        <f>SUM(T4:T9)</f>
        <v>3007.406511017241</v>
      </c>
      <c r="U10" s="35">
        <f>SUM(U4:U9)</f>
        <v>38959.262504650651</v>
      </c>
    </row>
    <row r="11" spans="1:21" x14ac:dyDescent="0.25">
      <c r="A11" s="27">
        <v>42691</v>
      </c>
      <c r="B11" s="18">
        <v>42691</v>
      </c>
      <c r="C11" s="19">
        <v>-1.3</v>
      </c>
      <c r="D11" s="20">
        <v>0.85902777777777772</v>
      </c>
      <c r="E11" s="30" t="str">
        <f>Effort!F9</f>
        <v>Closed</v>
      </c>
      <c r="F11" s="38" t="str">
        <f>Harvest!F9</f>
        <v>Closed</v>
      </c>
      <c r="G11" s="36" t="str">
        <f>CPUE!F9</f>
        <v>Closed</v>
      </c>
      <c r="H11" s="30">
        <f>Effort!H9</f>
        <v>809.65455179787705</v>
      </c>
      <c r="I11" s="38">
        <f>Harvest!H9</f>
        <v>10852.81633260984</v>
      </c>
      <c r="J11" s="36">
        <f>CPUE!H9</f>
        <v>13.404255319148934</v>
      </c>
      <c r="K11" s="30">
        <f>Effort!J9</f>
        <v>698.17739182402511</v>
      </c>
      <c r="L11" s="38">
        <f>Harvest!J9</f>
        <v>10315.007917916242</v>
      </c>
      <c r="M11" s="36">
        <f>CPUE!J9</f>
        <v>14.774193548387098</v>
      </c>
      <c r="N11" s="30">
        <f>Effort!L9</f>
        <v>546.07475375880756</v>
      </c>
      <c r="O11" s="38">
        <f>Harvest!L9</f>
        <v>7736.0590115831055</v>
      </c>
      <c r="P11" s="36">
        <f>CPUE!L9</f>
        <v>14.166666666666664</v>
      </c>
      <c r="Q11" s="30" t="str">
        <f>Effort!N9</f>
        <v>Closed</v>
      </c>
      <c r="R11" s="38" t="str">
        <f>Harvest!N9</f>
        <v>Closed</v>
      </c>
      <c r="S11" s="36" t="str">
        <f>CPUE!N9</f>
        <v>Closed</v>
      </c>
      <c r="T11" s="30">
        <f>+H11+K11+N11</f>
        <v>2053.9066973807098</v>
      </c>
      <c r="U11" s="31">
        <f>+I11+L11+O11</f>
        <v>28903.883262109186</v>
      </c>
    </row>
    <row r="12" spans="1:21" x14ac:dyDescent="0.25">
      <c r="A12" s="27">
        <v>42692</v>
      </c>
      <c r="B12" s="18">
        <v>42692</v>
      </c>
      <c r="C12" s="21">
        <v>-0.8</v>
      </c>
      <c r="D12" s="22">
        <v>0.89444444444444449</v>
      </c>
      <c r="E12" s="30" t="str">
        <f>Effort!F10</f>
        <v>Closed</v>
      </c>
      <c r="F12" s="38" t="str">
        <f>Harvest!F10</f>
        <v>Closed</v>
      </c>
      <c r="G12" s="36" t="str">
        <f>CPUE!F10</f>
        <v>Closed</v>
      </c>
      <c r="H12" s="30">
        <f>Effort!H10</f>
        <v>895.90365071608107</v>
      </c>
      <c r="I12" s="38">
        <f>Harvest!H10</f>
        <v>12110.145899334613</v>
      </c>
      <c r="J12" s="36">
        <f>CPUE!H10</f>
        <v>13.517241379310345</v>
      </c>
      <c r="K12" s="30">
        <f>Effort!J10</f>
        <v>908.0980104254453</v>
      </c>
      <c r="L12" s="38">
        <f>Harvest!J10</f>
        <v>10774.460177750552</v>
      </c>
      <c r="M12" s="36">
        <f>CPUE!J10</f>
        <v>11.864864864864863</v>
      </c>
      <c r="N12" s="30">
        <f>Effort!L10</f>
        <v>842.59275060376501</v>
      </c>
      <c r="O12" s="38">
        <f>Harvest!L10</f>
        <v>6406.8844998739114</v>
      </c>
      <c r="P12" s="36">
        <f>CPUE!L10</f>
        <v>7.6037735849056602</v>
      </c>
      <c r="Q12" s="30" t="str">
        <f>Effort!N10</f>
        <v>Closed</v>
      </c>
      <c r="R12" s="38" t="str">
        <f>Harvest!N10</f>
        <v>Closed</v>
      </c>
      <c r="S12" s="36" t="str">
        <f>CPUE!N10</f>
        <v>Closed</v>
      </c>
      <c r="T12" s="30">
        <f t="shared" ref="T12:T13" si="3">+H12+K12+N12</f>
        <v>2646.5944117452914</v>
      </c>
      <c r="U12" s="31">
        <f t="shared" ref="U12:U13" si="4">+I12+L12+O12</f>
        <v>29291.490576959077</v>
      </c>
    </row>
    <row r="13" spans="1:21" x14ac:dyDescent="0.25">
      <c r="A13" s="27">
        <v>42693</v>
      </c>
      <c r="B13" s="18">
        <v>42693</v>
      </c>
      <c r="C13" s="21">
        <v>-0.1</v>
      </c>
      <c r="D13" s="22">
        <v>0.93194444444444446</v>
      </c>
      <c r="E13" s="30" t="str">
        <f>Effort!F11</f>
        <v>Closed</v>
      </c>
      <c r="F13" s="38" t="str">
        <f>Harvest!F11</f>
        <v>Closed</v>
      </c>
      <c r="G13" s="36" t="str">
        <f>CPUE!F11</f>
        <v>Closed</v>
      </c>
      <c r="H13" s="30">
        <f>Effort!H11</f>
        <v>416.48499239358534</v>
      </c>
      <c r="I13" s="38">
        <f>Harvest!H11</f>
        <v>252.8658882389625</v>
      </c>
      <c r="J13" s="36">
        <f>CPUE!H11</f>
        <v>0.6071428571428571</v>
      </c>
      <c r="K13" s="30">
        <f>Effort!J11</f>
        <v>654.82053454659979</v>
      </c>
      <c r="L13" s="38">
        <f>Harvest!J11</f>
        <v>261.92821381863996</v>
      </c>
      <c r="M13" s="36">
        <f>CPUE!J11</f>
        <v>0.40000000000000008</v>
      </c>
      <c r="N13" s="30">
        <f>Effort!L11</f>
        <v>595.46802136472024</v>
      </c>
      <c r="O13" s="38">
        <f>Harvest!L11</f>
        <v>159.50036286555007</v>
      </c>
      <c r="P13" s="36">
        <f>CPUE!L11</f>
        <v>0.26785714285714285</v>
      </c>
      <c r="Q13" s="30" t="str">
        <f>Effort!N11</f>
        <v>Closed</v>
      </c>
      <c r="R13" s="38" t="str">
        <f>Harvest!N11</f>
        <v>Closed</v>
      </c>
      <c r="S13" s="36" t="str">
        <f>CPUE!N11</f>
        <v>Closed</v>
      </c>
      <c r="T13" s="30">
        <f t="shared" si="3"/>
        <v>1666.7735483049055</v>
      </c>
      <c r="U13" s="31">
        <f t="shared" si="4"/>
        <v>674.29446492315253</v>
      </c>
    </row>
    <row r="14" spans="1:21" x14ac:dyDescent="0.25">
      <c r="A14" s="326" t="s">
        <v>31</v>
      </c>
      <c r="B14" s="326"/>
      <c r="C14" s="326"/>
      <c r="D14" s="327"/>
      <c r="E14" s="34"/>
      <c r="F14" s="35"/>
      <c r="G14" s="33"/>
      <c r="H14" s="34">
        <f>SUM(H11:H13)</f>
        <v>2122.0431949075437</v>
      </c>
      <c r="I14" s="35">
        <f>SUM(I11:I13)</f>
        <v>23215.828120183414</v>
      </c>
      <c r="J14" s="33">
        <f>+I14/H14</f>
        <v>10.940318357277791</v>
      </c>
      <c r="K14" s="34">
        <f>SUM(K11:K13)</f>
        <v>2261.0959367960704</v>
      </c>
      <c r="L14" s="35">
        <f>SUM(L11:L13)</f>
        <v>21351.396309485433</v>
      </c>
      <c r="M14" s="33">
        <f>+L14/K14</f>
        <v>9.4429413462835878</v>
      </c>
      <c r="N14" s="34">
        <f>SUM(N11:N13)</f>
        <v>1984.1355257272928</v>
      </c>
      <c r="O14" s="35">
        <f>SUM(O11:O13)</f>
        <v>14302.443874322567</v>
      </c>
      <c r="P14" s="33">
        <f>+O14/N14</f>
        <v>7.2084006807347238</v>
      </c>
      <c r="Q14" s="34"/>
      <c r="R14" s="35"/>
      <c r="S14" s="33"/>
      <c r="T14" s="34">
        <f>SUM(T11:T13)</f>
        <v>6367.2746574309067</v>
      </c>
      <c r="U14" s="35">
        <f>SUM(U11:U13)</f>
        <v>58869.668303991413</v>
      </c>
    </row>
    <row r="15" spans="1:21" x14ac:dyDescent="0.25">
      <c r="A15" s="37">
        <v>42700</v>
      </c>
      <c r="B15" s="18">
        <v>42700</v>
      </c>
      <c r="C15" s="28">
        <v>0.5</v>
      </c>
      <c r="D15" s="29">
        <v>0.69930555555555551</v>
      </c>
      <c r="E15" s="30" t="str">
        <f>Effort!F13</f>
        <v>Closed</v>
      </c>
      <c r="F15" s="38" t="str">
        <f>Harvest!F13</f>
        <v>Closed</v>
      </c>
      <c r="G15" s="36" t="str">
        <f>CPUE!F13</f>
        <v>Closed</v>
      </c>
      <c r="H15" s="30">
        <f>Effort!H13</f>
        <v>4386.0818789501618</v>
      </c>
      <c r="I15" s="38">
        <f>Harvest!H13</f>
        <v>34508.144194681423</v>
      </c>
      <c r="J15" s="36">
        <f>CPUE!H13</f>
        <v>7.8676470588235299</v>
      </c>
      <c r="K15" s="30" t="str">
        <f>Effort!J13</f>
        <v>Closed</v>
      </c>
      <c r="L15" s="38" t="str">
        <f>Harvest!J13</f>
        <v>Closed</v>
      </c>
      <c r="M15" s="36" t="str">
        <f>CPUE!J13</f>
        <v>Closed</v>
      </c>
      <c r="N15" s="30" t="str">
        <f>Effort!L13</f>
        <v>Closed</v>
      </c>
      <c r="O15" s="38" t="str">
        <f>Harvest!L13</f>
        <v>Closed</v>
      </c>
      <c r="P15" s="36" t="str">
        <f>CPUE!L13</f>
        <v>Closed</v>
      </c>
      <c r="Q15" s="30" t="str">
        <f>Effort!N13</f>
        <v>Closed</v>
      </c>
      <c r="R15" s="38" t="str">
        <f>Harvest!N13</f>
        <v>Closed</v>
      </c>
      <c r="S15" s="36" t="str">
        <f>CPUE!N13</f>
        <v>Closed</v>
      </c>
      <c r="T15" s="30">
        <f t="shared" ref="T15:U17" si="5">+H15</f>
        <v>4386.0818789501618</v>
      </c>
      <c r="U15" s="31">
        <f t="shared" si="5"/>
        <v>34508.144194681423</v>
      </c>
    </row>
    <row r="16" spans="1:21" x14ac:dyDescent="0.25">
      <c r="A16" s="37">
        <v>42701</v>
      </c>
      <c r="B16" s="18">
        <v>42701</v>
      </c>
      <c r="C16" s="28">
        <v>0.2</v>
      </c>
      <c r="D16" s="29">
        <v>0.72499999999999998</v>
      </c>
      <c r="E16" s="30" t="str">
        <f>Effort!F14</f>
        <v>Closed</v>
      </c>
      <c r="F16" s="38" t="str">
        <f>Harvest!F14</f>
        <v>Closed</v>
      </c>
      <c r="G16" s="36" t="str">
        <f>CPUE!F14</f>
        <v>Closed</v>
      </c>
      <c r="H16" s="30">
        <f>Effort!H14</f>
        <v>455.99199078553005</v>
      </c>
      <c r="I16" s="38">
        <f>Harvest!H14</f>
        <v>3289.6565049527526</v>
      </c>
      <c r="J16" s="36">
        <f>CPUE!H14</f>
        <v>7.2142857142857144</v>
      </c>
      <c r="K16" s="30" t="str">
        <f>Effort!J14</f>
        <v>Closed</v>
      </c>
      <c r="L16" s="38" t="str">
        <f>Harvest!J14</f>
        <v>Closed</v>
      </c>
      <c r="M16" s="36" t="str">
        <f>CPUE!J14</f>
        <v>Closed</v>
      </c>
      <c r="N16" s="30" t="str">
        <f>Effort!L14</f>
        <v>Closed</v>
      </c>
      <c r="O16" s="38" t="str">
        <f>Harvest!L14</f>
        <v>Closed</v>
      </c>
      <c r="P16" s="36" t="str">
        <f>CPUE!L14</f>
        <v>Closed</v>
      </c>
      <c r="Q16" s="30" t="str">
        <f>Effort!N14</f>
        <v>Closed</v>
      </c>
      <c r="R16" s="38" t="str">
        <f>Harvest!N14</f>
        <v>Closed</v>
      </c>
      <c r="S16" s="36" t="str">
        <f>CPUE!N14</f>
        <v>Closed</v>
      </c>
      <c r="T16" s="30">
        <f t="shared" si="5"/>
        <v>455.99199078553005</v>
      </c>
      <c r="U16" s="31">
        <f t="shared" si="5"/>
        <v>3289.6565049527526</v>
      </c>
    </row>
    <row r="17" spans="1:530" x14ac:dyDescent="0.25">
      <c r="A17" s="37">
        <v>42702</v>
      </c>
      <c r="B17" s="18">
        <v>42702</v>
      </c>
      <c r="C17" s="28">
        <v>-0.1</v>
      </c>
      <c r="D17" s="29">
        <v>0.74930555555555556</v>
      </c>
      <c r="E17" s="30" t="str">
        <f>Effort!F15</f>
        <v>Closed</v>
      </c>
      <c r="F17" s="38" t="str">
        <f>Harvest!F15</f>
        <v>Closed</v>
      </c>
      <c r="G17" s="36" t="str">
        <f>CPUE!F15</f>
        <v>Closed</v>
      </c>
      <c r="H17" s="30">
        <f>Effort!H15</f>
        <v>460</v>
      </c>
      <c r="I17" s="38">
        <f>Harvest!H15</f>
        <v>3300</v>
      </c>
      <c r="J17" s="36">
        <f>CPUE!H15</f>
        <v>7.1739130434782608</v>
      </c>
      <c r="K17" s="30" t="str">
        <f>Effort!J15</f>
        <v>Closed</v>
      </c>
      <c r="L17" s="38" t="str">
        <f>Harvest!J15</f>
        <v>Closed</v>
      </c>
      <c r="M17" s="36" t="str">
        <f>CPUE!J15</f>
        <v>Closed</v>
      </c>
      <c r="N17" s="30" t="str">
        <f>Effort!L15</f>
        <v>Closed</v>
      </c>
      <c r="O17" s="38" t="str">
        <f>Harvest!L15</f>
        <v>Closed</v>
      </c>
      <c r="P17" s="36" t="str">
        <f>CPUE!L15</f>
        <v>Closed</v>
      </c>
      <c r="Q17" s="30" t="str">
        <f>Effort!N15</f>
        <v>Closed</v>
      </c>
      <c r="R17" s="38" t="str">
        <f>Harvest!N15</f>
        <v>Closed</v>
      </c>
      <c r="S17" s="36" t="str">
        <f>CPUE!N15</f>
        <v>Closed</v>
      </c>
      <c r="T17" s="30">
        <f t="shared" si="5"/>
        <v>460</v>
      </c>
      <c r="U17" s="31">
        <f t="shared" si="5"/>
        <v>3300</v>
      </c>
    </row>
    <row r="18" spans="1:530" x14ac:dyDescent="0.25">
      <c r="A18" s="326" t="s">
        <v>31</v>
      </c>
      <c r="B18" s="326"/>
      <c r="C18" s="326"/>
      <c r="D18" s="327"/>
      <c r="E18" s="34"/>
      <c r="F18" s="35"/>
      <c r="G18" s="33"/>
      <c r="H18" s="34">
        <f>SUM(H15:H17)</f>
        <v>5302.0738697356919</v>
      </c>
      <c r="I18" s="35">
        <f>SUM(I15:I17)</f>
        <v>41097.800699634172</v>
      </c>
      <c r="J18" s="33">
        <f>+I18/H18</f>
        <v>7.7512689768848686</v>
      </c>
      <c r="K18" s="34"/>
      <c r="L18" s="35"/>
      <c r="M18" s="33"/>
      <c r="N18" s="34"/>
      <c r="O18" s="35"/>
      <c r="P18" s="33"/>
      <c r="Q18" s="34"/>
      <c r="R18" s="35"/>
      <c r="S18" s="33"/>
      <c r="T18" s="34">
        <f>SUM(T15:T17)</f>
        <v>5302.0738697356919</v>
      </c>
      <c r="U18" s="35">
        <f>SUM(U15:U17)</f>
        <v>41097.800699634172</v>
      </c>
    </row>
    <row r="19" spans="1:530" x14ac:dyDescent="0.25">
      <c r="A19" s="37">
        <v>42714</v>
      </c>
      <c r="B19" s="18">
        <v>42714</v>
      </c>
      <c r="C19" s="28">
        <v>0.5</v>
      </c>
      <c r="D19" s="29">
        <v>0.64444444444444449</v>
      </c>
      <c r="E19" s="30" t="str">
        <f>Effort!F17</f>
        <v>Closed</v>
      </c>
      <c r="F19" s="38" t="str">
        <f>Harvest!F17</f>
        <v>Closed</v>
      </c>
      <c r="G19" s="36" t="str">
        <f>CPUE!F17</f>
        <v>Closed</v>
      </c>
      <c r="H19" s="30" t="str">
        <f>Effort!H17</f>
        <v>Closed</v>
      </c>
      <c r="I19" s="38" t="str">
        <f>Harvest!H17</f>
        <v>Closed</v>
      </c>
      <c r="J19" s="36" t="str">
        <f>CPUE!H17</f>
        <v>Closed</v>
      </c>
      <c r="K19" s="30">
        <f>Effort!J17</f>
        <v>1730.2544817602191</v>
      </c>
      <c r="L19" s="38">
        <f>Harvest!J17</f>
        <v>16813.559855365605</v>
      </c>
      <c r="M19" s="36">
        <f>CPUE!J17</f>
        <v>9.7173913043478262</v>
      </c>
      <c r="N19" s="30">
        <f>Effort!L17</f>
        <v>1897.729352630382</v>
      </c>
      <c r="O19" s="38">
        <f>Harvest!L17</f>
        <v>22186.181340751555</v>
      </c>
      <c r="P19" s="36">
        <f>CPUE!L17</f>
        <v>11.69090909090909</v>
      </c>
      <c r="Q19" s="30" t="str">
        <f>Effort!N17</f>
        <v>Closed</v>
      </c>
      <c r="R19" s="38" t="str">
        <f>Harvest!N17</f>
        <v>Closed</v>
      </c>
      <c r="S19" s="36" t="str">
        <f>CPUE!N17</f>
        <v>Closed</v>
      </c>
      <c r="T19" s="30">
        <f>+K19+N19</f>
        <v>3627.9838343906013</v>
      </c>
      <c r="U19" s="38">
        <f>+L19+O19</f>
        <v>38999.74119611716</v>
      </c>
    </row>
    <row r="20" spans="1:530" x14ac:dyDescent="0.25">
      <c r="A20" s="37">
        <v>42715</v>
      </c>
      <c r="B20" s="18">
        <v>42715</v>
      </c>
      <c r="C20" s="28">
        <v>-0.5</v>
      </c>
      <c r="D20" s="29">
        <v>0.68125000000000002</v>
      </c>
      <c r="E20" s="30" t="str">
        <f>Effort!F18</f>
        <v>Closed</v>
      </c>
      <c r="F20" s="38" t="str">
        <f>Harvest!F18</f>
        <v>Closed</v>
      </c>
      <c r="G20" s="36" t="str">
        <f>CPUE!F18</f>
        <v>Closed</v>
      </c>
      <c r="H20" s="30" t="str">
        <f>Effort!H18</f>
        <v>Closed</v>
      </c>
      <c r="I20" s="38" t="str">
        <f>Harvest!H18</f>
        <v>Closed</v>
      </c>
      <c r="J20" s="36" t="str">
        <f>CPUE!H18</f>
        <v>Closed</v>
      </c>
      <c r="K20" s="30">
        <f>Effort!J18</f>
        <v>961.8555753094945</v>
      </c>
      <c r="L20" s="38">
        <f>Harvest!J18</f>
        <v>14427.833629642417</v>
      </c>
      <c r="M20" s="36">
        <f>CPUE!J18</f>
        <v>15</v>
      </c>
      <c r="N20" s="30">
        <f>Effort!L18</f>
        <v>924.39921289668416</v>
      </c>
      <c r="O20" s="38">
        <f>Harvest!L18</f>
        <v>13865.988193450265</v>
      </c>
      <c r="P20" s="36">
        <f>CPUE!L18</f>
        <v>15.000000000000002</v>
      </c>
      <c r="Q20" s="30" t="str">
        <f>Effort!N18</f>
        <v>Closed</v>
      </c>
      <c r="R20" s="38" t="str">
        <f>Harvest!N18</f>
        <v>Closed</v>
      </c>
      <c r="S20" s="36" t="str">
        <f>CPUE!N18</f>
        <v>Closed</v>
      </c>
      <c r="T20" s="30">
        <f>+K20+N20</f>
        <v>1886.2547882061785</v>
      </c>
      <c r="U20" s="38">
        <f>+L20+O20</f>
        <v>28293.82182309268</v>
      </c>
    </row>
    <row r="21" spans="1:530" x14ac:dyDescent="0.25">
      <c r="A21" s="326" t="s">
        <v>31</v>
      </c>
      <c r="B21" s="326"/>
      <c r="C21" s="326"/>
      <c r="D21" s="327"/>
      <c r="E21" s="34"/>
      <c r="F21" s="35"/>
      <c r="G21" s="33"/>
      <c r="H21" s="34"/>
      <c r="I21" s="35"/>
      <c r="J21" s="33"/>
      <c r="K21" s="34">
        <f>SUM(K19:K20)</f>
        <v>2692.1100570697135</v>
      </c>
      <c r="L21" s="35">
        <f>SUM(L19:L20)</f>
        <v>31241.393485008022</v>
      </c>
      <c r="M21" s="33">
        <f>+L21/K21</f>
        <v>11.604798029324776</v>
      </c>
      <c r="N21" s="34">
        <f>SUM(N19:N20)</f>
        <v>2822.1285655270663</v>
      </c>
      <c r="O21" s="35">
        <f>SUM(O19:O20)</f>
        <v>36052.169534201821</v>
      </c>
      <c r="P21" s="33">
        <f>+O21/N21</f>
        <v>12.774814717723055</v>
      </c>
      <c r="Q21" s="34"/>
      <c r="R21" s="35"/>
      <c r="S21" s="33"/>
      <c r="T21" s="34">
        <f>SUM(T19:T20)</f>
        <v>5514.2386225967803</v>
      </c>
      <c r="U21" s="35">
        <f>SUM(U19:U20)</f>
        <v>67293.563019209832</v>
      </c>
    </row>
    <row r="22" spans="1:530" x14ac:dyDescent="0.25">
      <c r="A22" s="37">
        <v>42734</v>
      </c>
      <c r="B22" s="18">
        <v>42734</v>
      </c>
      <c r="C22" s="13">
        <v>-0.4</v>
      </c>
      <c r="D22" s="88">
        <v>0.80694444444444446</v>
      </c>
      <c r="E22" s="30" t="str">
        <f>Effort!F20</f>
        <v>Closed</v>
      </c>
      <c r="F22" s="38" t="str">
        <f>Harvest!F20</f>
        <v>Closed</v>
      </c>
      <c r="G22" s="36" t="str">
        <f>CPUE!F20</f>
        <v>Closed</v>
      </c>
      <c r="H22" s="30" t="str">
        <f>Effort!H20</f>
        <v>Closed</v>
      </c>
      <c r="I22" s="38" t="str">
        <f>Harvest!H20</f>
        <v>Closed</v>
      </c>
      <c r="J22" s="36" t="str">
        <f>CPUE!H20</f>
        <v>Closed</v>
      </c>
      <c r="K22" s="30">
        <f>Effort!J20</f>
        <v>2584.6268847794859</v>
      </c>
      <c r="L22" s="38">
        <f>Harvest!J20</f>
        <v>33206.836715319048</v>
      </c>
      <c r="M22" s="36">
        <f>CPUE!J20</f>
        <v>12.847826086956523</v>
      </c>
      <c r="N22" s="30">
        <f>Effort!L20</f>
        <v>1621.0631271273953</v>
      </c>
      <c r="O22" s="38">
        <f>Harvest!L20</f>
        <v>19052.495025003464</v>
      </c>
      <c r="P22" s="36">
        <f>CPUE!L20</f>
        <v>11.753086419753087</v>
      </c>
      <c r="Q22" s="30" t="str">
        <f>Effort!N20</f>
        <v>Closed</v>
      </c>
      <c r="R22" s="38" t="str">
        <f>Harvest!N20</f>
        <v>Closed</v>
      </c>
      <c r="S22" s="36" t="str">
        <f>CPUE!N20</f>
        <v>Closed</v>
      </c>
      <c r="T22" s="30">
        <f>+K22+N22</f>
        <v>4205.6900119068814</v>
      </c>
      <c r="U22" s="38">
        <f>+L22+O22</f>
        <v>52259.331740322508</v>
      </c>
    </row>
    <row r="23" spans="1:530" x14ac:dyDescent="0.25">
      <c r="A23" s="37">
        <v>42735</v>
      </c>
      <c r="B23" s="18">
        <v>42735</v>
      </c>
      <c r="C23" s="13">
        <v>-0.4</v>
      </c>
      <c r="D23" s="88">
        <v>0.83125000000000004</v>
      </c>
      <c r="E23" s="30" t="str">
        <f>Effort!F21</f>
        <v>Closed</v>
      </c>
      <c r="F23" s="38" t="str">
        <f>Harvest!F21</f>
        <v>Closed</v>
      </c>
      <c r="G23" s="36" t="str">
        <f>CPUE!F21</f>
        <v>Closed</v>
      </c>
      <c r="H23" s="30" t="str">
        <f>Effort!H21</f>
        <v>Closed</v>
      </c>
      <c r="I23" s="38" t="str">
        <f>Harvest!H21</f>
        <v>Closed</v>
      </c>
      <c r="J23" s="36" t="str">
        <f>CPUE!H21</f>
        <v>Closed</v>
      </c>
      <c r="K23" s="30">
        <f>Effort!J21</f>
        <v>1417.8172271555168</v>
      </c>
      <c r="L23" s="38">
        <f>Harvest!J21</f>
        <v>16361.610801374662</v>
      </c>
      <c r="M23" s="36">
        <f>CPUE!J21</f>
        <v>11.54</v>
      </c>
      <c r="N23" s="30">
        <f>Effort!L21</f>
        <v>849.15930608427016</v>
      </c>
      <c r="O23" s="38">
        <f>Harvest!L21</f>
        <v>7057.4573439003798</v>
      </c>
      <c r="P23" s="36">
        <f>CPUE!L21</f>
        <v>8.3111111111111118</v>
      </c>
      <c r="Q23" s="30" t="str">
        <f>Effort!N21</f>
        <v>Closed</v>
      </c>
      <c r="R23" s="38" t="str">
        <f>Harvest!N21</f>
        <v>Closed</v>
      </c>
      <c r="S23" s="36" t="str">
        <f>CPUE!N21</f>
        <v>Closed</v>
      </c>
      <c r="T23" s="30">
        <f>+K23+N23</f>
        <v>2266.9765332397869</v>
      </c>
      <c r="U23" s="38">
        <f>+L23+O23</f>
        <v>23419.068145275043</v>
      </c>
    </row>
    <row r="24" spans="1:530" x14ac:dyDescent="0.25">
      <c r="A24" s="326" t="s">
        <v>31</v>
      </c>
      <c r="B24" s="326"/>
      <c r="C24" s="326"/>
      <c r="D24" s="327"/>
      <c r="E24" s="34"/>
      <c r="F24" s="35"/>
      <c r="G24" s="33"/>
      <c r="H24" s="34"/>
      <c r="I24" s="35"/>
      <c r="J24" s="33"/>
      <c r="K24" s="34">
        <f>SUM(K22:K23)</f>
        <v>4002.4441119350026</v>
      </c>
      <c r="L24" s="35">
        <f>SUM(L22:L23)</f>
        <v>49568.447516693712</v>
      </c>
      <c r="M24" s="33">
        <f>+L24/K24</f>
        <v>12.384544575871564</v>
      </c>
      <c r="N24" s="34">
        <f>SUM(N22:N23)</f>
        <v>2470.2224332116657</v>
      </c>
      <c r="O24" s="35">
        <f>SUM(O22:O23)</f>
        <v>26109.952368903843</v>
      </c>
      <c r="P24" s="33">
        <f>+O24/N24</f>
        <v>10.569879059416088</v>
      </c>
      <c r="Q24" s="34"/>
      <c r="R24" s="35"/>
      <c r="S24" s="33"/>
      <c r="T24" s="34">
        <f>SUM(T22:T23)</f>
        <v>6472.6665451466688</v>
      </c>
      <c r="U24" s="35">
        <f>SUM(U22:U23)</f>
        <v>75678.399885597551</v>
      </c>
    </row>
    <row r="25" spans="1:530" x14ac:dyDescent="0.25">
      <c r="A25" s="37">
        <v>42743</v>
      </c>
      <c r="B25" s="18">
        <v>42743</v>
      </c>
      <c r="C25" s="13">
        <v>0.4</v>
      </c>
      <c r="D25" s="88">
        <v>0.63263888888888886</v>
      </c>
      <c r="E25" s="30" t="str">
        <f>Effort!F23</f>
        <v>Closed</v>
      </c>
      <c r="F25" s="38" t="str">
        <f>Harvest!F23</f>
        <v>Closed</v>
      </c>
      <c r="G25" s="36" t="str">
        <f>CPUE!F23</f>
        <v>Closed</v>
      </c>
      <c r="H25" s="30" t="str">
        <f>Effort!H23</f>
        <v>Closed</v>
      </c>
      <c r="I25" s="38" t="str">
        <f>Harvest!H23</f>
        <v>Closed</v>
      </c>
      <c r="J25" s="36" t="str">
        <f>CPUE!H23</f>
        <v>Closed</v>
      </c>
      <c r="K25" s="30" t="str">
        <f>Effort!J23</f>
        <v>Closed</v>
      </c>
      <c r="L25" s="38" t="str">
        <f>Harvest!J23</f>
        <v>Closed</v>
      </c>
      <c r="M25" s="36" t="str">
        <f>CPUE!J23</f>
        <v>Closed</v>
      </c>
      <c r="N25" s="30" t="str">
        <f>Effort!L23</f>
        <v>Closed</v>
      </c>
      <c r="O25" s="38" t="str">
        <f>Harvest!L23</f>
        <v>Closed</v>
      </c>
      <c r="P25" s="36" t="str">
        <f>CPUE!L23</f>
        <v>Closed</v>
      </c>
      <c r="Q25" s="30">
        <f>Effort!N23</f>
        <v>424.70810810810815</v>
      </c>
      <c r="R25" s="38">
        <f>Harvest!N23</f>
        <v>55.977518427518426</v>
      </c>
      <c r="S25" s="36">
        <f>CPUE!N23</f>
        <v>0.13180233049205059</v>
      </c>
      <c r="T25" s="30">
        <f>+Q25</f>
        <v>424.70810810810815</v>
      </c>
      <c r="U25" s="38">
        <f>+R25</f>
        <v>55.977518427518426</v>
      </c>
    </row>
    <row r="26" spans="1:530" x14ac:dyDescent="0.25">
      <c r="A26" s="37">
        <v>42744</v>
      </c>
      <c r="B26" s="18">
        <v>42744</v>
      </c>
      <c r="C26" s="13">
        <v>-0.4</v>
      </c>
      <c r="D26" s="88">
        <v>0.67222222222222228</v>
      </c>
      <c r="E26" s="30" t="str">
        <f>Effort!F24</f>
        <v>Closed</v>
      </c>
      <c r="F26" s="38" t="str">
        <f>Harvest!F24</f>
        <v>Closed</v>
      </c>
      <c r="G26" s="36" t="str">
        <f>CPUE!F24</f>
        <v>Closed</v>
      </c>
      <c r="H26" s="30" t="str">
        <f>Effort!H24</f>
        <v>Closed</v>
      </c>
      <c r="I26" s="38" t="str">
        <f>Harvest!H24</f>
        <v>Closed</v>
      </c>
      <c r="J26" s="36" t="str">
        <f>CPUE!H24</f>
        <v>Closed</v>
      </c>
      <c r="K26" s="30" t="str">
        <f>Effort!J24</f>
        <v>Closed</v>
      </c>
      <c r="L26" s="38" t="str">
        <f>Harvest!J24</f>
        <v>Closed</v>
      </c>
      <c r="M26" s="36" t="str">
        <f>CPUE!J24</f>
        <v>Closed</v>
      </c>
      <c r="N26" s="30" t="str">
        <f>Effort!L24</f>
        <v>Closed</v>
      </c>
      <c r="O26" s="38" t="str">
        <f>Harvest!L24</f>
        <v>Closed</v>
      </c>
      <c r="P26" s="36" t="str">
        <f>CPUE!L24</f>
        <v>Closed</v>
      </c>
      <c r="Q26" s="30">
        <f>Effort!N24</f>
        <v>212.72727272727275</v>
      </c>
      <c r="R26" s="38">
        <f>Harvest!N24</f>
        <v>1354.090909090909</v>
      </c>
      <c r="S26" s="36">
        <f>CPUE!N24</f>
        <v>6.3653846153846141</v>
      </c>
      <c r="T26" s="30">
        <f>+Q26</f>
        <v>212.72727272727275</v>
      </c>
      <c r="U26" s="38">
        <f>+R26</f>
        <v>1354.090909090909</v>
      </c>
    </row>
    <row r="27" spans="1:530" x14ac:dyDescent="0.25">
      <c r="A27" s="326" t="s">
        <v>31</v>
      </c>
      <c r="B27" s="326"/>
      <c r="C27" s="326"/>
      <c r="D27" s="327"/>
      <c r="E27" s="34"/>
      <c r="F27" s="35"/>
      <c r="G27" s="33"/>
      <c r="H27" s="34"/>
      <c r="I27" s="35"/>
      <c r="J27" s="33"/>
      <c r="K27" s="34"/>
      <c r="L27" s="35"/>
      <c r="M27" s="33"/>
      <c r="N27" s="34"/>
      <c r="O27" s="35"/>
      <c r="P27" s="33"/>
      <c r="Q27" s="34">
        <f>SUM(Q25:Q26)</f>
        <v>637.4353808353809</v>
      </c>
      <c r="R27" s="35">
        <f>SUM(R25:R26)</f>
        <v>1410.0684275184274</v>
      </c>
      <c r="S27" s="33">
        <f>+R27/Q27</f>
        <v>2.2120962687550922</v>
      </c>
      <c r="T27" s="34">
        <f>SUM(T25:T26)</f>
        <v>637.4353808353809</v>
      </c>
      <c r="U27" s="35">
        <f>SUM(U25:U26)</f>
        <v>1410.0684275184274</v>
      </c>
    </row>
    <row r="28" spans="1:530" x14ac:dyDescent="0.25">
      <c r="A28" s="37">
        <v>42748</v>
      </c>
      <c r="B28" s="18">
        <v>42748</v>
      </c>
      <c r="C28" s="13">
        <v>-1.4</v>
      </c>
      <c r="D28" s="88">
        <v>0.80347222222222225</v>
      </c>
      <c r="E28" s="30" t="str">
        <f>Effort!F26</f>
        <v>Closed</v>
      </c>
      <c r="F28" s="38" t="str">
        <f>Harvest!F26</f>
        <v>Closed</v>
      </c>
      <c r="G28" s="36" t="str">
        <f>CPUE!F26</f>
        <v>Closed</v>
      </c>
      <c r="H28" s="30" t="str">
        <f>Effort!H26</f>
        <v>Closed</v>
      </c>
      <c r="I28" s="38" t="str">
        <f>Harvest!H26</f>
        <v>Closed</v>
      </c>
      <c r="J28" s="36" t="str">
        <f>CPUE!H26</f>
        <v>Closed</v>
      </c>
      <c r="K28" s="30">
        <f>Effort!J26</f>
        <v>1360.4547061735436</v>
      </c>
      <c r="L28" s="38">
        <f>Harvest!J26</f>
        <v>19953.335690545307</v>
      </c>
      <c r="M28" s="36">
        <f>CPUE!J26</f>
        <v>14.666666666666668</v>
      </c>
      <c r="N28" s="30">
        <f>Effort!L26</f>
        <v>528.84133147849752</v>
      </c>
      <c r="O28" s="38">
        <f>Harvest!L26</f>
        <v>7541.2773868833756</v>
      </c>
      <c r="P28" s="36">
        <f>CPUE!L26</f>
        <v>14.260000000000002</v>
      </c>
      <c r="Q28" s="30" t="str">
        <f>Effort!N26</f>
        <v>Closed</v>
      </c>
      <c r="R28" s="38" t="str">
        <f>Harvest!N26</f>
        <v>Closed</v>
      </c>
      <c r="S28" s="36" t="str">
        <f>CPUE!N26</f>
        <v>Closed</v>
      </c>
      <c r="T28" s="30">
        <f t="shared" ref="T28:U30" si="6">+K28+N28</f>
        <v>1889.2960376520412</v>
      </c>
      <c r="U28" s="38">
        <f t="shared" si="6"/>
        <v>27494.613077428683</v>
      </c>
    </row>
    <row r="29" spans="1:530" x14ac:dyDescent="0.25">
      <c r="A29" s="37">
        <v>42749</v>
      </c>
      <c r="B29" s="18">
        <v>42749</v>
      </c>
      <c r="C29" s="13">
        <v>-1</v>
      </c>
      <c r="D29" s="88">
        <v>0.83263888888888893</v>
      </c>
      <c r="E29" s="30" t="str">
        <f>Effort!F27</f>
        <v>Closed</v>
      </c>
      <c r="F29" s="38" t="str">
        <f>Harvest!F27</f>
        <v>Closed</v>
      </c>
      <c r="G29" s="36" t="str">
        <f>CPUE!F27</f>
        <v>Closed</v>
      </c>
      <c r="H29" s="30" t="str">
        <f>Effort!H27</f>
        <v>Closed</v>
      </c>
      <c r="I29" s="38" t="str">
        <f>Harvest!H27</f>
        <v>Closed</v>
      </c>
      <c r="J29" s="36" t="str">
        <f>CPUE!H27</f>
        <v>Closed</v>
      </c>
      <c r="K29" s="30">
        <f>Effort!J27</f>
        <v>2076.1589535097978</v>
      </c>
      <c r="L29" s="38">
        <f>Harvest!J27</f>
        <v>29519.205484448401</v>
      </c>
      <c r="M29" s="36">
        <f>CPUE!J27</f>
        <v>14.21818181818182</v>
      </c>
      <c r="N29" s="30">
        <f>Effort!L27</f>
        <v>1249.2064069291739</v>
      </c>
      <c r="O29" s="38">
        <f>Harvest!L27</f>
        <v>11707.678650987373</v>
      </c>
      <c r="P29" s="36">
        <f>CPUE!L27</f>
        <v>9.3720930232558128</v>
      </c>
      <c r="Q29" s="30" t="str">
        <f>Effort!N27</f>
        <v>Closed</v>
      </c>
      <c r="R29" s="38" t="str">
        <f>Harvest!N27</f>
        <v>Closed</v>
      </c>
      <c r="S29" s="36" t="str">
        <f>CPUE!N27</f>
        <v>Closed</v>
      </c>
      <c r="T29" s="30">
        <f t="shared" si="6"/>
        <v>3325.3653604389719</v>
      </c>
      <c r="U29" s="38">
        <f t="shared" si="6"/>
        <v>41226.884135435772</v>
      </c>
      <c r="TJ29" t="s">
        <v>59</v>
      </c>
    </row>
    <row r="30" spans="1:530" x14ac:dyDescent="0.25">
      <c r="A30" s="37">
        <v>42750</v>
      </c>
      <c r="B30" s="18">
        <v>42750</v>
      </c>
      <c r="C30" s="13">
        <v>-0.4</v>
      </c>
      <c r="D30" s="88">
        <v>0.86111111111111116</v>
      </c>
      <c r="E30" s="30" t="str">
        <f>Effort!F28</f>
        <v>Closed</v>
      </c>
      <c r="F30" s="38" t="str">
        <f>Harvest!F28</f>
        <v>Closed</v>
      </c>
      <c r="G30" s="36" t="str">
        <f>CPUE!F28</f>
        <v>Closed</v>
      </c>
      <c r="H30" s="30" t="str">
        <f>Effort!H28</f>
        <v>Closed</v>
      </c>
      <c r="I30" s="38" t="str">
        <f>Harvest!H28</f>
        <v>Closed</v>
      </c>
      <c r="J30" s="36" t="str">
        <f>CPUE!H28</f>
        <v>Closed</v>
      </c>
      <c r="K30" s="30">
        <f>Effort!J28</f>
        <v>827.08031911300122</v>
      </c>
      <c r="L30" s="38">
        <f>Harvest!J28</f>
        <v>10379.858004868165</v>
      </c>
      <c r="M30" s="36">
        <f>CPUE!J28</f>
        <v>12.549999999999999</v>
      </c>
      <c r="N30" s="30">
        <f>Effort!L28</f>
        <v>789.73839149512537</v>
      </c>
      <c r="O30" s="38">
        <f>Harvest!L28</f>
        <v>6457.2727304601403</v>
      </c>
      <c r="P30" s="36">
        <f>CPUE!L28</f>
        <v>8.1764705882352917</v>
      </c>
      <c r="Q30" s="30" t="str">
        <f>Effort!N28</f>
        <v>Closed</v>
      </c>
      <c r="R30" s="38" t="str">
        <f>Harvest!N28</f>
        <v>Closed</v>
      </c>
      <c r="S30" s="36" t="str">
        <f>CPUE!N28</f>
        <v>Closed</v>
      </c>
      <c r="T30" s="30">
        <f t="shared" si="6"/>
        <v>1616.8187106081266</v>
      </c>
      <c r="U30" s="38">
        <f t="shared" si="6"/>
        <v>16837.130735328305</v>
      </c>
    </row>
    <row r="31" spans="1:530" x14ac:dyDescent="0.25">
      <c r="A31" s="326" t="s">
        <v>31</v>
      </c>
      <c r="B31" s="326"/>
      <c r="C31" s="326"/>
      <c r="D31" s="327"/>
      <c r="E31" s="34"/>
      <c r="F31" s="35"/>
      <c r="G31" s="33"/>
      <c r="H31" s="34"/>
      <c r="I31" s="35"/>
      <c r="J31" s="33"/>
      <c r="K31" s="34">
        <f>SUM(K28:K30)</f>
        <v>4263.693978796342</v>
      </c>
      <c r="L31" s="35">
        <f>SUM(L28:L30)</f>
        <v>59852.399179861866</v>
      </c>
      <c r="M31" s="33">
        <f>+L31/K31</f>
        <v>14.037686446896087</v>
      </c>
      <c r="N31" s="34">
        <f>SUM(N28:N30)</f>
        <v>2567.7861299027968</v>
      </c>
      <c r="O31" s="35">
        <f>SUM(O28:O30)</f>
        <v>25706.228768330886</v>
      </c>
      <c r="P31" s="33">
        <f>+O31/N31</f>
        <v>10.011047442375581</v>
      </c>
      <c r="Q31" s="34"/>
      <c r="R31" s="35"/>
      <c r="S31" s="33"/>
      <c r="T31" s="34">
        <f>SUM(T28:T30)</f>
        <v>6831.4801086991401</v>
      </c>
      <c r="U31" s="35">
        <f>SUM(U28:U30)</f>
        <v>85558.627948192763</v>
      </c>
    </row>
    <row r="32" spans="1:530" x14ac:dyDescent="0.25">
      <c r="A32" s="37">
        <v>42762</v>
      </c>
      <c r="B32" s="18">
        <v>42762</v>
      </c>
      <c r="C32" s="13">
        <v>-0.5</v>
      </c>
      <c r="D32" s="88">
        <v>0.7680555555555556</v>
      </c>
      <c r="E32" s="30" t="str">
        <f>Effort!F30</f>
        <v>Closed</v>
      </c>
      <c r="F32" s="38" t="str">
        <f>Harvest!F30</f>
        <v>Closed</v>
      </c>
      <c r="G32" s="36" t="str">
        <f>CPUE!F30</f>
        <v>Closed</v>
      </c>
      <c r="H32" s="30" t="str">
        <f>Effort!H30</f>
        <v>Closed</v>
      </c>
      <c r="I32" s="38" t="str">
        <f>Harvest!H30</f>
        <v>Closed</v>
      </c>
      <c r="J32" s="36" t="str">
        <f>CPUE!H30</f>
        <v>Closed</v>
      </c>
      <c r="K32" s="30">
        <f>Effort!J30</f>
        <v>3378.4056923947078</v>
      </c>
      <c r="L32" s="38">
        <f>Harvest!J30</f>
        <v>41084.519799466674</v>
      </c>
      <c r="M32" s="36">
        <f>CPUE!J30</f>
        <v>12.160919540229884</v>
      </c>
      <c r="N32" s="30" t="str">
        <f>Effort!L30</f>
        <v>Closed</v>
      </c>
      <c r="O32" s="38" t="str">
        <f>Harvest!L30</f>
        <v>Closed</v>
      </c>
      <c r="P32" s="36" t="str">
        <f>CPUE!L30</f>
        <v>Closed</v>
      </c>
      <c r="Q32" s="30" t="str">
        <f>Effort!N30</f>
        <v>Closed</v>
      </c>
      <c r="R32" s="38" t="str">
        <f>Harvest!N30</f>
        <v>Closed</v>
      </c>
      <c r="S32" s="36" t="str">
        <f>CPUE!N30</f>
        <v>Closed</v>
      </c>
      <c r="T32" s="30">
        <f>+K32</f>
        <v>3378.4056923947078</v>
      </c>
      <c r="U32" s="38">
        <f t="shared" ref="U32:U33" si="7">+L32</f>
        <v>41084.519799466674</v>
      </c>
    </row>
    <row r="33" spans="1:21" x14ac:dyDescent="0.25">
      <c r="A33" s="37">
        <v>42763</v>
      </c>
      <c r="B33" s="18">
        <v>42763</v>
      </c>
      <c r="C33" s="13">
        <v>-0.6</v>
      </c>
      <c r="D33" s="88">
        <v>0.79236111111111107</v>
      </c>
      <c r="E33" s="30" t="str">
        <f>Effort!F31</f>
        <v>Closed</v>
      </c>
      <c r="F33" s="38" t="str">
        <f>Harvest!F31</f>
        <v>Closed</v>
      </c>
      <c r="G33" s="36" t="str">
        <f>CPUE!F31</f>
        <v>Closed</v>
      </c>
      <c r="H33" s="30" t="str">
        <f>Effort!H31</f>
        <v>Closed</v>
      </c>
      <c r="I33" s="38" t="str">
        <f>Harvest!H31</f>
        <v>Closed</v>
      </c>
      <c r="J33" s="36" t="str">
        <f>CPUE!H31</f>
        <v>Closed</v>
      </c>
      <c r="K33" s="30">
        <f>Effort!J31</f>
        <v>5779.7760245021936</v>
      </c>
      <c r="L33" s="38">
        <f>Harvest!J31</f>
        <v>60122.957496258452</v>
      </c>
      <c r="M33" s="36">
        <f>CPUE!J31</f>
        <v>10.402298850574713</v>
      </c>
      <c r="N33" s="30" t="str">
        <f>Effort!L31</f>
        <v>Closed</v>
      </c>
      <c r="O33" s="38" t="str">
        <f>Harvest!L31</f>
        <v>Closed</v>
      </c>
      <c r="P33" s="36" t="str">
        <f>CPUE!L31</f>
        <v>Closed</v>
      </c>
      <c r="Q33" s="30" t="str">
        <f>Effort!N31</f>
        <v>Closed</v>
      </c>
      <c r="R33" s="38" t="str">
        <f>Harvest!N31</f>
        <v>Closed</v>
      </c>
      <c r="S33" s="36" t="str">
        <f>CPUE!N31</f>
        <v>Closed</v>
      </c>
      <c r="T33" s="30">
        <f>+K33</f>
        <v>5779.7760245021936</v>
      </c>
      <c r="U33" s="38">
        <f t="shared" si="7"/>
        <v>60122.957496258452</v>
      </c>
    </row>
    <row r="34" spans="1:21" x14ac:dyDescent="0.25">
      <c r="A34" s="37">
        <v>42764</v>
      </c>
      <c r="B34" s="18">
        <v>42764</v>
      </c>
      <c r="C34" s="13">
        <v>-0.5</v>
      </c>
      <c r="D34" s="88">
        <v>0.81736111111111109</v>
      </c>
      <c r="E34" s="30" t="str">
        <f>Effort!F32</f>
        <v>Closed</v>
      </c>
      <c r="F34" s="38" t="str">
        <f>Harvest!F32</f>
        <v>Closed</v>
      </c>
      <c r="G34" s="36" t="str">
        <f>CPUE!F32</f>
        <v>Closed</v>
      </c>
      <c r="H34" s="30" t="str">
        <f>Effort!H32</f>
        <v>Closed</v>
      </c>
      <c r="I34" s="38" t="str">
        <f>Harvest!H32</f>
        <v>Closed</v>
      </c>
      <c r="J34" s="36" t="str">
        <f>CPUE!H32</f>
        <v>Closed</v>
      </c>
      <c r="K34" s="30">
        <f>Effort!J32</f>
        <v>528.97986556560511</v>
      </c>
      <c r="L34" s="38">
        <f>Harvest!J32</f>
        <v>7517.0823001428107</v>
      </c>
      <c r="M34" s="36">
        <f>CPUE!J32</f>
        <v>14.210526315789476</v>
      </c>
      <c r="N34" s="30">
        <f>Effort!L32</f>
        <v>476.58549701524316</v>
      </c>
      <c r="O34" s="38">
        <f>Harvest!L32</f>
        <v>7038.8011866866691</v>
      </c>
      <c r="P34" s="36">
        <f>CPUE!L32</f>
        <v>14.769230769230772</v>
      </c>
      <c r="Q34" s="30" t="str">
        <f>Effort!N32</f>
        <v>Closed</v>
      </c>
      <c r="R34" s="38" t="str">
        <f>Harvest!N32</f>
        <v>Closed</v>
      </c>
      <c r="S34" s="36" t="str">
        <f>CPUE!N32</f>
        <v>Closed</v>
      </c>
      <c r="T34" s="30">
        <f>+K34+N34</f>
        <v>1005.5653625808483</v>
      </c>
      <c r="U34" s="38">
        <f t="shared" ref="U34:U35" si="8">+L34+O34</f>
        <v>14555.88348682948</v>
      </c>
    </row>
    <row r="35" spans="1:21" x14ac:dyDescent="0.25">
      <c r="A35" s="37">
        <v>42765</v>
      </c>
      <c r="B35" s="18">
        <v>42765</v>
      </c>
      <c r="C35" s="13">
        <v>-0.3</v>
      </c>
      <c r="D35" s="88">
        <v>0.84236111111111101</v>
      </c>
      <c r="E35" s="30" t="str">
        <f>Effort!F33</f>
        <v>Closed</v>
      </c>
      <c r="F35" s="38" t="str">
        <f>Harvest!F33</f>
        <v>Closed</v>
      </c>
      <c r="G35" s="36" t="str">
        <f>CPUE!F33</f>
        <v>Closed</v>
      </c>
      <c r="H35" s="30" t="str">
        <f>Effort!H33</f>
        <v>Closed</v>
      </c>
      <c r="I35" s="38" t="str">
        <f>Harvest!H33</f>
        <v>Closed</v>
      </c>
      <c r="J35" s="36" t="str">
        <f>CPUE!H33</f>
        <v>Closed</v>
      </c>
      <c r="K35" s="30">
        <f>Effort!J33</f>
        <v>448.87917664367563</v>
      </c>
      <c r="L35" s="38">
        <f>Harvest!J33</f>
        <v>6733.1876496551349</v>
      </c>
      <c r="M35" s="36">
        <f>CPUE!J33</f>
        <v>15</v>
      </c>
      <c r="N35" s="30">
        <f>Effort!L33</f>
        <v>271.73717595940326</v>
      </c>
      <c r="O35" s="38">
        <f>Harvest!L33</f>
        <v>3902.1458467770308</v>
      </c>
      <c r="P35" s="36">
        <f>CPUE!L33</f>
        <v>14.36</v>
      </c>
      <c r="Q35" s="30" t="str">
        <f>Effort!N33</f>
        <v>Closed</v>
      </c>
      <c r="R35" s="38" t="str">
        <f>Harvest!N33</f>
        <v>Closed</v>
      </c>
      <c r="S35" s="36" t="str">
        <f>CPUE!N33</f>
        <v>Closed</v>
      </c>
      <c r="T35" s="30">
        <f>+K35+N35</f>
        <v>720.61635260307889</v>
      </c>
      <c r="U35" s="38">
        <f t="shared" si="8"/>
        <v>10635.333496432166</v>
      </c>
    </row>
    <row r="36" spans="1:21" x14ac:dyDescent="0.25">
      <c r="A36" s="37">
        <v>42766</v>
      </c>
      <c r="B36" s="18">
        <f>+A36</f>
        <v>42766</v>
      </c>
      <c r="C36" s="13">
        <v>0.2</v>
      </c>
      <c r="D36" s="88">
        <v>0.86805555555555547</v>
      </c>
      <c r="E36" s="30" t="str">
        <f>Effort!F34</f>
        <v>Closed</v>
      </c>
      <c r="F36" s="38" t="str">
        <f>Harvest!F34</f>
        <v>Closed</v>
      </c>
      <c r="G36" s="36" t="str">
        <f>CPUE!F34</f>
        <v>Closed</v>
      </c>
      <c r="H36" s="30" t="str">
        <f>Effort!H34</f>
        <v>Closed</v>
      </c>
      <c r="I36" s="38" t="str">
        <f>Harvest!H34</f>
        <v>Closed</v>
      </c>
      <c r="J36" s="36" t="str">
        <f>CPUE!H34</f>
        <v>Closed</v>
      </c>
      <c r="K36" s="30">
        <f>Effort!J34</f>
        <v>254.65072792822684</v>
      </c>
      <c r="L36" s="38">
        <f>Harvest!J34</f>
        <v>3819.7609189234026</v>
      </c>
      <c r="M36" s="36">
        <f>CPUE!J34</f>
        <v>15</v>
      </c>
      <c r="N36" s="30">
        <f>Effort!L34</f>
        <v>80.102904596360361</v>
      </c>
      <c r="O36" s="38">
        <f>Harvest!L34</f>
        <v>1201.5435689454055</v>
      </c>
      <c r="P36" s="36">
        <f>CPUE!L34</f>
        <v>15</v>
      </c>
      <c r="Q36" s="30" t="str">
        <f>Effort!N34</f>
        <v>Closed</v>
      </c>
      <c r="R36" s="38" t="str">
        <f>Harvest!N34</f>
        <v>Closed</v>
      </c>
      <c r="S36" s="36" t="str">
        <f>CPUE!N34</f>
        <v>Closed</v>
      </c>
      <c r="T36" s="30">
        <f>+K36+N36</f>
        <v>334.7536325245872</v>
      </c>
      <c r="U36" s="38">
        <f t="shared" ref="U36" si="9">+L36+O36</f>
        <v>5021.3044878688079</v>
      </c>
    </row>
    <row r="37" spans="1:21" x14ac:dyDescent="0.25">
      <c r="A37" s="326" t="s">
        <v>31</v>
      </c>
      <c r="B37" s="326"/>
      <c r="C37" s="326"/>
      <c r="D37" s="327"/>
      <c r="E37" s="34"/>
      <c r="F37" s="35"/>
      <c r="G37" s="33"/>
      <c r="H37" s="34"/>
      <c r="I37" s="35"/>
      <c r="J37" s="33"/>
      <c r="K37" s="34">
        <f>SUM(K32:K36)</f>
        <v>10390.691487034408</v>
      </c>
      <c r="L37" s="35">
        <f>SUM(L32:L36)</f>
        <v>119277.50816444648</v>
      </c>
      <c r="M37" s="33">
        <f>+L37/K37</f>
        <v>11.479265678639575</v>
      </c>
      <c r="N37" s="34">
        <f>SUM(N34:N36)</f>
        <v>828.42557757100667</v>
      </c>
      <c r="O37" s="35">
        <f>SUM(O34:O36)</f>
        <v>12142.490602409107</v>
      </c>
      <c r="P37" s="33">
        <f>+O37/N37</f>
        <v>14.657310120737236</v>
      </c>
      <c r="Q37" s="34"/>
      <c r="R37" s="35"/>
      <c r="S37" s="33"/>
      <c r="T37" s="34">
        <f>SUM(T32:T36)</f>
        <v>11219.117064605416</v>
      </c>
      <c r="U37" s="35">
        <f>SUM(U32:U36)</f>
        <v>131419.99876685557</v>
      </c>
    </row>
    <row r="38" spans="1:21" x14ac:dyDescent="0.25">
      <c r="A38" s="37">
        <v>42773</v>
      </c>
      <c r="B38" s="18">
        <v>42773</v>
      </c>
      <c r="C38" s="13">
        <v>-0.1</v>
      </c>
      <c r="D38" s="88">
        <v>0.66180555555555554</v>
      </c>
      <c r="E38" s="30" t="str">
        <f>Effort!F36</f>
        <v>Closed</v>
      </c>
      <c r="F38" s="38" t="str">
        <f>Harvest!F36</f>
        <v>Closed</v>
      </c>
      <c r="G38" s="36" t="str">
        <f>CPUE!F36</f>
        <v>Closed</v>
      </c>
      <c r="H38" s="30">
        <f>Effort!H36</f>
        <v>734.50073906377429</v>
      </c>
      <c r="I38" s="38">
        <f>Harvest!H36</f>
        <v>10833.885901190672</v>
      </c>
      <c r="J38" s="36">
        <f>CPUE!H36</f>
        <v>14.750000000000002</v>
      </c>
      <c r="K38" s="30">
        <f>Effort!J36</f>
        <v>760.13880434470593</v>
      </c>
      <c r="L38" s="38">
        <f>Harvest!J36</f>
        <v>11402.082065170591</v>
      </c>
      <c r="M38" s="36">
        <f>CPUE!J36</f>
        <v>15.000000000000002</v>
      </c>
      <c r="N38" s="30">
        <f>Effort!L36</f>
        <v>537.04027643618247</v>
      </c>
      <c r="O38" s="38">
        <f>Harvest!L36</f>
        <v>7811.4949299808341</v>
      </c>
      <c r="P38" s="36">
        <f>CPUE!L36</f>
        <v>14.545454545454541</v>
      </c>
      <c r="Q38" s="30" t="str">
        <f>Effort!N36</f>
        <v>Closed</v>
      </c>
      <c r="R38" s="38" t="str">
        <f>Harvest!N36</f>
        <v>Closed</v>
      </c>
      <c r="S38" s="36" t="str">
        <f>CPUE!N36</f>
        <v>Closed</v>
      </c>
      <c r="T38" s="30">
        <f t="shared" ref="T38:U40" si="10">+H38+K38+N38</f>
        <v>2031.6798198446627</v>
      </c>
      <c r="U38" s="38">
        <f t="shared" si="10"/>
        <v>30047.462896342098</v>
      </c>
    </row>
    <row r="39" spans="1:21" x14ac:dyDescent="0.25">
      <c r="A39" s="37">
        <v>42774</v>
      </c>
      <c r="B39" s="18">
        <v>42774</v>
      </c>
      <c r="C39" s="13">
        <v>-0.6</v>
      </c>
      <c r="D39" s="88">
        <v>0.69861111111111107</v>
      </c>
      <c r="E39" s="30" t="str">
        <f>Effort!F37</f>
        <v>Closed</v>
      </c>
      <c r="F39" s="38" t="str">
        <f>Harvest!F37</f>
        <v>Closed</v>
      </c>
      <c r="G39" s="36" t="str">
        <f>CPUE!F37</f>
        <v>Closed</v>
      </c>
      <c r="H39" s="30">
        <f>Effort!H37</f>
        <v>581.59424517632237</v>
      </c>
      <c r="I39" s="38">
        <f>Harvest!H37</f>
        <v>8621.2793990843093</v>
      </c>
      <c r="J39" s="36">
        <f>CPUE!H37</f>
        <v>14.823529411764708</v>
      </c>
      <c r="K39" s="30">
        <f>Effort!J37</f>
        <v>552.5440322970959</v>
      </c>
      <c r="L39" s="38">
        <f>Harvest!J37</f>
        <v>7546.1727839431951</v>
      </c>
      <c r="M39" s="36">
        <f>CPUE!J37</f>
        <v>13.657142857142857</v>
      </c>
      <c r="N39" s="30">
        <f>Effort!L37</f>
        <v>458.04234920736371</v>
      </c>
      <c r="O39" s="38">
        <f>Harvest!L37</f>
        <v>6552.5502733831199</v>
      </c>
      <c r="P39" s="36">
        <f>CPUE!L37</f>
        <v>14.305555555555555</v>
      </c>
      <c r="Q39" s="30" t="str">
        <f>Effort!N37</f>
        <v>Closed</v>
      </c>
      <c r="R39" s="38" t="str">
        <f>Harvest!N37</f>
        <v>Closed</v>
      </c>
      <c r="S39" s="36" t="str">
        <f>CPUE!N37</f>
        <v>Closed</v>
      </c>
      <c r="T39" s="30">
        <f t="shared" si="10"/>
        <v>1592.1806266807821</v>
      </c>
      <c r="U39" s="38">
        <f t="shared" si="10"/>
        <v>22720.002456410624</v>
      </c>
    </row>
    <row r="40" spans="1:21" x14ac:dyDescent="0.25">
      <c r="A40" s="37">
        <v>42775</v>
      </c>
      <c r="B40" s="18">
        <v>42775</v>
      </c>
      <c r="C40" s="13">
        <v>-0.9</v>
      </c>
      <c r="D40" s="88">
        <v>0.73125000000000007</v>
      </c>
      <c r="E40" s="30" t="str">
        <f>Effort!F38</f>
        <v>Closed</v>
      </c>
      <c r="F40" s="38" t="str">
        <f>Harvest!F38</f>
        <v>Closed</v>
      </c>
      <c r="G40" s="36" t="str">
        <f>CPUE!F38</f>
        <v>Closed</v>
      </c>
      <c r="H40" s="30">
        <f>Effort!H38</f>
        <v>599.10230266697147</v>
      </c>
      <c r="I40" s="38">
        <f>Harvest!H38</f>
        <v>5333.4717188645018</v>
      </c>
      <c r="J40" s="36">
        <f>CPUE!H38</f>
        <v>8.9024390243902438</v>
      </c>
      <c r="K40" s="30">
        <f>Effort!J38</f>
        <v>688.09490559169888</v>
      </c>
      <c r="L40" s="38">
        <f>Harvest!J38</f>
        <v>4994.2372180042657</v>
      </c>
      <c r="M40" s="36">
        <f>CPUE!J38</f>
        <v>7.258064516129032</v>
      </c>
      <c r="N40" s="30">
        <f>Effort!L38</f>
        <v>549.78151747000743</v>
      </c>
      <c r="O40" s="38">
        <f>Harvest!L38</f>
        <v>978.8792872026961</v>
      </c>
      <c r="P40" s="36">
        <f>CPUE!L38</f>
        <v>1.7804878048780486</v>
      </c>
      <c r="Q40" s="30" t="str">
        <f>Effort!N38</f>
        <v>Closed</v>
      </c>
      <c r="R40" s="38" t="str">
        <f>Harvest!N38</f>
        <v>Closed</v>
      </c>
      <c r="S40" s="36" t="str">
        <f>CPUE!N38</f>
        <v>Closed</v>
      </c>
      <c r="T40" s="30">
        <f t="shared" si="10"/>
        <v>1836.9787257286778</v>
      </c>
      <c r="U40" s="38">
        <f t="shared" si="10"/>
        <v>11306.588224071464</v>
      </c>
    </row>
    <row r="41" spans="1:21" x14ac:dyDescent="0.25">
      <c r="A41" s="37">
        <v>42776</v>
      </c>
      <c r="B41" s="18">
        <v>42776</v>
      </c>
      <c r="C41" s="13">
        <v>-1</v>
      </c>
      <c r="D41" s="88">
        <v>0.76111111111111107</v>
      </c>
      <c r="E41" s="30" t="str">
        <f>Effort!F39</f>
        <v>Closed</v>
      </c>
      <c r="F41" s="38" t="str">
        <f>Harvest!F39</f>
        <v>Closed</v>
      </c>
      <c r="G41" s="36" t="str">
        <f>CPUE!F39</f>
        <v>Closed</v>
      </c>
      <c r="H41" s="30">
        <f>Effort!H39</f>
        <v>973.02848226812773</v>
      </c>
      <c r="I41" s="38">
        <f>Harvest!H39</f>
        <v>13987.284432604336</v>
      </c>
      <c r="J41" s="36">
        <f>CPUE!H39</f>
        <v>14.375</v>
      </c>
      <c r="K41" s="30" t="str">
        <f>Effort!J39</f>
        <v>Closed</v>
      </c>
      <c r="L41" s="38" t="str">
        <f>Harvest!J39</f>
        <v>Closed</v>
      </c>
      <c r="M41" s="36" t="str">
        <f>CPUE!J39</f>
        <v>Closed</v>
      </c>
      <c r="N41" s="30">
        <f>Effort!L39</f>
        <v>1468.6682342693912</v>
      </c>
      <c r="O41" s="38">
        <f>Harvest!L39</f>
        <v>11802.751991764928</v>
      </c>
      <c r="P41" s="36">
        <f>CPUE!L39</f>
        <v>8.0363636363636388</v>
      </c>
      <c r="Q41" s="30" t="str">
        <f>Effort!N39</f>
        <v>Closed</v>
      </c>
      <c r="R41" s="38" t="str">
        <f>Harvest!N39</f>
        <v>Closed</v>
      </c>
      <c r="S41" s="36" t="str">
        <f>CPUE!N39</f>
        <v>Closed</v>
      </c>
      <c r="T41" s="30">
        <f t="shared" ref="T41:U43" si="11">+H41+N41</f>
        <v>2441.696716537519</v>
      </c>
      <c r="U41" s="38">
        <f t="shared" si="11"/>
        <v>25790.036424369264</v>
      </c>
    </row>
    <row r="42" spans="1:21" x14ac:dyDescent="0.25">
      <c r="A42" s="37">
        <v>42777</v>
      </c>
      <c r="B42" s="18">
        <v>42777</v>
      </c>
      <c r="C42" s="13">
        <v>-0.8</v>
      </c>
      <c r="D42" s="88">
        <v>0.7895833333333333</v>
      </c>
      <c r="E42" s="30" t="str">
        <f>Effort!F40</f>
        <v>Closed</v>
      </c>
      <c r="F42" s="38" t="str">
        <f>Harvest!F40</f>
        <v>Closed</v>
      </c>
      <c r="G42" s="36" t="str">
        <f>CPUE!F40</f>
        <v>Closed</v>
      </c>
      <c r="H42" s="30">
        <f>Effort!H40</f>
        <v>3616.0800222863131</v>
      </c>
      <c r="I42" s="38">
        <f>Harvest!H40</f>
        <v>45902.945224081544</v>
      </c>
      <c r="J42" s="36">
        <f>CPUE!H40</f>
        <v>12.694117647058821</v>
      </c>
      <c r="K42" s="30" t="str">
        <f>Effort!J40</f>
        <v>Closed</v>
      </c>
      <c r="L42" s="38" t="str">
        <f>Harvest!J40</f>
        <v>Closed</v>
      </c>
      <c r="M42" s="36" t="str">
        <f>CPUE!J40</f>
        <v>Closed</v>
      </c>
      <c r="N42" s="30">
        <f>Effort!L40</f>
        <v>4451.6083789766672</v>
      </c>
      <c r="O42" s="38">
        <f>Harvest!L40</f>
        <v>49446.359736375234</v>
      </c>
      <c r="P42" s="36">
        <f>CPUE!L40</f>
        <v>11.10752688172043</v>
      </c>
      <c r="Q42" s="30" t="str">
        <f>Effort!N40</f>
        <v>Closed</v>
      </c>
      <c r="R42" s="38" t="str">
        <f>Harvest!N40</f>
        <v>Closed</v>
      </c>
      <c r="S42" s="36" t="str">
        <f>CPUE!N40</f>
        <v>Closed</v>
      </c>
      <c r="T42" s="30">
        <f t="shared" si="11"/>
        <v>8067.6884012629798</v>
      </c>
      <c r="U42" s="38">
        <f t="shared" si="11"/>
        <v>95349.304960456779</v>
      </c>
    </row>
    <row r="43" spans="1:21" x14ac:dyDescent="0.25">
      <c r="A43" s="37">
        <v>42778</v>
      </c>
      <c r="B43" s="18">
        <v>42778</v>
      </c>
      <c r="C43" s="13">
        <v>-0.5</v>
      </c>
      <c r="D43" s="88">
        <v>0.81527777777777777</v>
      </c>
      <c r="E43" s="30" t="str">
        <f>Effort!F41</f>
        <v>Closed</v>
      </c>
      <c r="F43" s="38" t="str">
        <f>Harvest!F41</f>
        <v>Closed</v>
      </c>
      <c r="G43" s="36" t="str">
        <f>CPUE!F41</f>
        <v>Closed</v>
      </c>
      <c r="H43" s="30">
        <f>Effort!H41</f>
        <v>1320.6322499976759</v>
      </c>
      <c r="I43" s="38">
        <f>Harvest!H41</f>
        <v>18791.496390591929</v>
      </c>
      <c r="J43" s="36">
        <f>CPUE!H41</f>
        <v>14.229166666666666</v>
      </c>
      <c r="K43" s="30" t="str">
        <f>Effort!J41</f>
        <v>Closed</v>
      </c>
      <c r="L43" s="38" t="str">
        <f>Harvest!J41</f>
        <v>Closed</v>
      </c>
      <c r="M43" s="36" t="str">
        <f>CPUE!J41</f>
        <v>Closed</v>
      </c>
      <c r="N43" s="30">
        <f>Effort!L41</f>
        <v>716.17647143028626</v>
      </c>
      <c r="O43" s="38">
        <f>Harvest!L41</f>
        <v>6302.3529485865183</v>
      </c>
      <c r="P43" s="36">
        <f>CPUE!L41</f>
        <v>8.7999999999999989</v>
      </c>
      <c r="Q43" s="30" t="str">
        <f>Effort!N41</f>
        <v>Closed</v>
      </c>
      <c r="R43" s="38" t="str">
        <f>Harvest!N41</f>
        <v>Closed</v>
      </c>
      <c r="S43" s="36" t="str">
        <f>CPUE!N41</f>
        <v>Closed</v>
      </c>
      <c r="T43" s="30">
        <f t="shared" si="11"/>
        <v>2036.8087214279622</v>
      </c>
      <c r="U43" s="38">
        <f t="shared" si="11"/>
        <v>25093.849339178447</v>
      </c>
    </row>
    <row r="44" spans="1:21" x14ac:dyDescent="0.25">
      <c r="A44" s="326" t="s">
        <v>31</v>
      </c>
      <c r="B44" s="326"/>
      <c r="C44" s="326"/>
      <c r="D44" s="327"/>
      <c r="E44" s="34"/>
      <c r="F44" s="35"/>
      <c r="G44" s="33"/>
      <c r="H44" s="34">
        <f>SUM(H38:H43)</f>
        <v>7824.9380414591851</v>
      </c>
      <c r="I44" s="35">
        <f>SUM(I38:I43)</f>
        <v>103470.36306641728</v>
      </c>
      <c r="J44" s="33">
        <f>+I44/H44</f>
        <v>13.223154294410522</v>
      </c>
      <c r="K44" s="34">
        <f>SUM(K38:K43)</f>
        <v>2000.7777422335007</v>
      </c>
      <c r="L44" s="35">
        <f>SUM(L38:L43)</f>
        <v>23942.492067118052</v>
      </c>
      <c r="M44" s="33">
        <f>+L44/K44</f>
        <v>11.966592571342112</v>
      </c>
      <c r="N44" s="34">
        <f>SUM(N38:N43)</f>
        <v>8181.3172277898984</v>
      </c>
      <c r="O44" s="35">
        <f>SUM(O38:O43)</f>
        <v>82894.389167293324</v>
      </c>
      <c r="P44" s="33">
        <f>+O44/N44</f>
        <v>10.132156822586186</v>
      </c>
      <c r="Q44" s="34"/>
      <c r="R44" s="35"/>
      <c r="S44" s="33"/>
      <c r="T44" s="34">
        <f>SUM(T38:T43)</f>
        <v>18007.033011482585</v>
      </c>
      <c r="U44" s="35">
        <f>SUM(U38:U43)</f>
        <v>210307.24430082869</v>
      </c>
    </row>
    <row r="45" spans="1:21" x14ac:dyDescent="0.25">
      <c r="A45" s="37">
        <v>42789</v>
      </c>
      <c r="B45" s="18">
        <v>42789</v>
      </c>
      <c r="C45" s="13">
        <v>0.3</v>
      </c>
      <c r="D45" s="88">
        <v>0.6958333333333333</v>
      </c>
      <c r="E45" s="30" t="str">
        <f>Effort!F43</f>
        <v>Closed</v>
      </c>
      <c r="F45" s="38" t="str">
        <f>Harvest!F43</f>
        <v>Closed</v>
      </c>
      <c r="G45" s="36" t="str">
        <f>CPUE!F43</f>
        <v>Closed</v>
      </c>
      <c r="H45" s="30">
        <f>Effort!H43</f>
        <v>2118.2924638457935</v>
      </c>
      <c r="I45" s="38">
        <f>Harvest!H43</f>
        <v>30768.198037360155</v>
      </c>
      <c r="J45" s="36">
        <f>CPUE!H43</f>
        <v>14.525000000000002</v>
      </c>
      <c r="K45" s="30" t="str">
        <f>Effort!J43</f>
        <v>Closed</v>
      </c>
      <c r="L45" s="38" t="str">
        <f>Harvest!J43</f>
        <v>Closed</v>
      </c>
      <c r="M45" s="36" t="str">
        <f>CPUE!J43</f>
        <v>Closed</v>
      </c>
      <c r="N45" s="30" t="str">
        <f>Effort!L43</f>
        <v>Closed</v>
      </c>
      <c r="O45" s="38" t="str">
        <f>Harvest!L43</f>
        <v>Closed</v>
      </c>
      <c r="P45" s="36" t="str">
        <f>CPUE!L43</f>
        <v>Closed</v>
      </c>
      <c r="Q45" s="30" t="str">
        <f>Effort!N43</f>
        <v>Closed</v>
      </c>
      <c r="R45" s="38" t="str">
        <f>Harvest!N43</f>
        <v>Closed</v>
      </c>
      <c r="S45" s="36" t="str">
        <f>CPUE!N43</f>
        <v>Closed</v>
      </c>
      <c r="T45" s="30">
        <f>+H45</f>
        <v>2118.2924638457935</v>
      </c>
      <c r="U45" s="38">
        <f>+I45</f>
        <v>30768.198037360155</v>
      </c>
    </row>
    <row r="46" spans="1:21" x14ac:dyDescent="0.25">
      <c r="A46" s="37">
        <v>42790</v>
      </c>
      <c r="B46" s="18">
        <v>42790</v>
      </c>
      <c r="C46" s="13">
        <v>-0.1</v>
      </c>
      <c r="D46" s="88">
        <v>0.72291666666666676</v>
      </c>
      <c r="E46" s="30" t="str">
        <f>Effort!F44</f>
        <v>Closed</v>
      </c>
      <c r="F46" s="38" t="str">
        <f>Harvest!F44</f>
        <v>Closed</v>
      </c>
      <c r="G46" s="36" t="str">
        <f>CPUE!F44</f>
        <v>Closed</v>
      </c>
      <c r="H46" s="30">
        <f>Effort!H44</f>
        <v>2110.9955089896484</v>
      </c>
      <c r="I46" s="38">
        <f>Harvest!H44</f>
        <v>30879.445933825322</v>
      </c>
      <c r="J46" s="36">
        <f>CPUE!H44</f>
        <v>14.627906976744185</v>
      </c>
      <c r="K46" s="30">
        <f>Effort!J44</f>
        <v>2424.5787203382324</v>
      </c>
      <c r="L46" s="38">
        <f>Harvest!J44</f>
        <v>36368.680805073491</v>
      </c>
      <c r="M46" s="36">
        <f>CPUE!J44</f>
        <v>15.000000000000002</v>
      </c>
      <c r="N46" s="30">
        <f>Effort!L44</f>
        <v>1438.6266222006643</v>
      </c>
      <c r="O46" s="38">
        <f>Harvest!L44</f>
        <v>21031.351095981139</v>
      </c>
      <c r="P46" s="36">
        <f>CPUE!L44</f>
        <v>14.619047619047619</v>
      </c>
      <c r="Q46" s="30" t="str">
        <f>Effort!N44</f>
        <v>Closed</v>
      </c>
      <c r="R46" s="38" t="str">
        <f>Harvest!N44</f>
        <v>Closed</v>
      </c>
      <c r="S46" s="36" t="str">
        <f>CPUE!N44</f>
        <v>Closed</v>
      </c>
      <c r="T46" s="30">
        <f>+H46+K46+N46</f>
        <v>5974.2008515285452</v>
      </c>
      <c r="U46" s="38">
        <f>+I46+L46+O46</f>
        <v>88279.477834879945</v>
      </c>
    </row>
    <row r="47" spans="1:21" x14ac:dyDescent="0.25">
      <c r="A47" s="37">
        <v>42791</v>
      </c>
      <c r="B47" s="18">
        <v>42791</v>
      </c>
      <c r="C47" s="13">
        <v>-0.3</v>
      </c>
      <c r="D47" s="88">
        <v>0.74861111111111101</v>
      </c>
      <c r="E47" s="30" t="str">
        <f>Effort!F45</f>
        <v>Closed</v>
      </c>
      <c r="F47" s="38" t="str">
        <f>Harvest!F45</f>
        <v>Closed</v>
      </c>
      <c r="G47" s="36" t="str">
        <f>CPUE!F45</f>
        <v>Closed</v>
      </c>
      <c r="H47" s="30">
        <f>Effort!H45</f>
        <v>4832.7588891055348</v>
      </c>
      <c r="I47" s="38">
        <f>Harvest!H45</f>
        <v>70266.780038423341</v>
      </c>
      <c r="J47" s="36">
        <f>CPUE!H45</f>
        <v>14.539682539682541</v>
      </c>
      <c r="K47" s="30">
        <f>Effort!J45</f>
        <v>8177.9369228415162</v>
      </c>
      <c r="L47" s="38">
        <f>Harvest!J45</f>
        <v>108102.10369881128</v>
      </c>
      <c r="M47" s="36">
        <f>CPUE!J45</f>
        <v>13.218749999999998</v>
      </c>
      <c r="N47" s="30">
        <f>Effort!L45</f>
        <v>4819.9750055239037</v>
      </c>
      <c r="O47" s="38">
        <f>Harvest!L45</f>
        <v>66871.303717414165</v>
      </c>
      <c r="P47" s="36">
        <f>CPUE!L45</f>
        <v>13.873786407766991</v>
      </c>
      <c r="Q47" s="30" t="str">
        <f>Effort!N45</f>
        <v>Closed</v>
      </c>
      <c r="R47" s="38" t="str">
        <f>Harvest!N45</f>
        <v>Closed</v>
      </c>
      <c r="S47" s="36" t="str">
        <f>CPUE!N45</f>
        <v>Closed</v>
      </c>
      <c r="T47" s="30">
        <f t="shared" ref="T47:U48" si="12">+H47+K47+N47</f>
        <v>17830.670817470957</v>
      </c>
      <c r="U47" s="38">
        <f t="shared" si="12"/>
        <v>245240.18745464878</v>
      </c>
    </row>
    <row r="48" spans="1:21" x14ac:dyDescent="0.25">
      <c r="A48" s="37">
        <v>42792</v>
      </c>
      <c r="B48" s="18">
        <v>42792</v>
      </c>
      <c r="C48" s="13">
        <v>-0.4</v>
      </c>
      <c r="D48" s="88">
        <v>0.77361111111111114</v>
      </c>
      <c r="E48" s="30" t="str">
        <f>Effort!F46</f>
        <v>Closed</v>
      </c>
      <c r="F48" s="38" t="str">
        <f>Harvest!F46</f>
        <v>Closed</v>
      </c>
      <c r="G48" s="36" t="str">
        <f>CPUE!F46</f>
        <v>Closed</v>
      </c>
      <c r="H48" s="30">
        <f>Effort!H46</f>
        <v>1906</v>
      </c>
      <c r="I48" s="38">
        <f>Harvest!H46</f>
        <v>23539.1</v>
      </c>
      <c r="J48" s="36">
        <f>CPUE!H46</f>
        <v>12.35</v>
      </c>
      <c r="K48" s="30">
        <f>Effort!J46</f>
        <v>1607.6658288969238</v>
      </c>
      <c r="L48" s="38">
        <f>Harvest!J46</f>
        <v>18158.717313278368</v>
      </c>
      <c r="M48" s="36">
        <f>CPUE!J46</f>
        <v>11.295081967213115</v>
      </c>
      <c r="N48" s="30">
        <f>Effort!L46</f>
        <v>783.21914716098252</v>
      </c>
      <c r="O48" s="38">
        <f>Harvest!L46</f>
        <v>10016.960671585199</v>
      </c>
      <c r="P48" s="36">
        <f>CPUE!L46</f>
        <v>12.789473684210527</v>
      </c>
      <c r="Q48" s="30" t="str">
        <f>Effort!N46</f>
        <v>Closed</v>
      </c>
      <c r="R48" s="38" t="str">
        <f>Harvest!N46</f>
        <v>Closed</v>
      </c>
      <c r="S48" s="36" t="str">
        <f>CPUE!N46</f>
        <v>Closed</v>
      </c>
      <c r="T48" s="30">
        <f t="shared" si="12"/>
        <v>4296.884976057906</v>
      </c>
      <c r="U48" s="38">
        <f t="shared" si="12"/>
        <v>51714.777984863569</v>
      </c>
    </row>
    <row r="49" spans="1:530" x14ac:dyDescent="0.25">
      <c r="A49" s="37">
        <v>42793</v>
      </c>
      <c r="B49" s="18"/>
      <c r="C49" s="13"/>
      <c r="D49" s="88"/>
      <c r="E49" s="30" t="str">
        <f>Effort!F47</f>
        <v>Closed</v>
      </c>
      <c r="F49" s="38" t="str">
        <f>Harvest!F47</f>
        <v>Closed</v>
      </c>
      <c r="G49" s="36" t="str">
        <f>CPUE!F47</f>
        <v>Closed</v>
      </c>
      <c r="H49" s="30">
        <f>Effort!H47</f>
        <v>714.23922728375089</v>
      </c>
      <c r="I49" s="38">
        <f>Harvest!H47</f>
        <v>4876.5298966269893</v>
      </c>
      <c r="J49" s="36">
        <f>CPUE!H47</f>
        <v>6.8275862068965525</v>
      </c>
      <c r="K49" s="30" t="str">
        <f>Effort!J47</f>
        <v>Closed</v>
      </c>
      <c r="L49" s="38" t="str">
        <f>Harvest!J47</f>
        <v>Closed</v>
      </c>
      <c r="M49" s="36" t="str">
        <f>CPUE!J47</f>
        <v>Closed</v>
      </c>
      <c r="N49" s="30" t="str">
        <f>Effort!L47</f>
        <v>Closed</v>
      </c>
      <c r="O49" s="38" t="str">
        <f>Harvest!L47</f>
        <v>Closed</v>
      </c>
      <c r="P49" s="36" t="str">
        <f>CPUE!L47</f>
        <v>Closed</v>
      </c>
      <c r="Q49" s="30" t="str">
        <f>Effort!N47</f>
        <v>Closed</v>
      </c>
      <c r="R49" s="38" t="str">
        <f>Harvest!N47</f>
        <v>Closed</v>
      </c>
      <c r="S49" s="36" t="str">
        <f>CPUE!N47</f>
        <v>Closed</v>
      </c>
      <c r="T49" s="30">
        <f t="shared" ref="T49:U50" si="13">+H49</f>
        <v>714.23922728375089</v>
      </c>
      <c r="U49" s="38">
        <f t="shared" si="13"/>
        <v>4876.5298966269893</v>
      </c>
    </row>
    <row r="50" spans="1:530" x14ac:dyDescent="0.25">
      <c r="A50" s="37">
        <v>42794</v>
      </c>
      <c r="B50" s="18"/>
      <c r="C50" s="13"/>
      <c r="D50" s="88"/>
      <c r="E50" s="30" t="str">
        <f>Effort!F48</f>
        <v>Closed</v>
      </c>
      <c r="F50" s="38" t="str">
        <f>Harvest!F48</f>
        <v>Closed</v>
      </c>
      <c r="G50" s="36" t="str">
        <f>CPUE!F48</f>
        <v>Closed</v>
      </c>
      <c r="H50" s="30">
        <f>Effort!H48</f>
        <v>447.00699780043635</v>
      </c>
      <c r="I50" s="38">
        <f>Harvest!H48</f>
        <v>5388.9176957052605</v>
      </c>
      <c r="J50" s="36">
        <f>CPUE!H48</f>
        <v>12.055555555555555</v>
      </c>
      <c r="K50" s="30" t="str">
        <f>Effort!J48</f>
        <v>Closed</v>
      </c>
      <c r="L50" s="38" t="str">
        <f>Harvest!J48</f>
        <v>Closed</v>
      </c>
      <c r="M50" s="36" t="str">
        <f>CPUE!J48</f>
        <v>Closed</v>
      </c>
      <c r="N50" s="30" t="str">
        <f>Effort!L48</f>
        <v>Closed</v>
      </c>
      <c r="O50" s="38" t="str">
        <f>Harvest!L48</f>
        <v>Closed</v>
      </c>
      <c r="P50" s="36" t="str">
        <f>CPUE!L48</f>
        <v>Closed</v>
      </c>
      <c r="Q50" s="30" t="str">
        <f>Effort!N48</f>
        <v>Closed</v>
      </c>
      <c r="R50" s="38" t="str">
        <f>Harvest!N48</f>
        <v>Closed</v>
      </c>
      <c r="S50" s="36" t="str">
        <f>CPUE!N48</f>
        <v>Closed</v>
      </c>
      <c r="T50" s="30">
        <f t="shared" si="13"/>
        <v>447.00699780043635</v>
      </c>
      <c r="U50" s="38">
        <f t="shared" si="13"/>
        <v>5388.9176957052605</v>
      </c>
    </row>
    <row r="51" spans="1:530" x14ac:dyDescent="0.25">
      <c r="A51" s="326" t="s">
        <v>31</v>
      </c>
      <c r="B51" s="326"/>
      <c r="C51" s="326"/>
      <c r="D51" s="327"/>
      <c r="E51" s="34"/>
      <c r="F51" s="35"/>
      <c r="G51" s="33"/>
      <c r="H51" s="34">
        <f>SUM(H45:H50)</f>
        <v>12129.293087025164</v>
      </c>
      <c r="I51" s="35">
        <f>SUM(I45:I50)</f>
        <v>165718.97160194104</v>
      </c>
      <c r="J51" s="33">
        <f>+I51/H51</f>
        <v>13.662706508363</v>
      </c>
      <c r="K51" s="34">
        <f>SUM(K46:K50)</f>
        <v>12210.181472076671</v>
      </c>
      <c r="L51" s="35">
        <f>SUM(L46:L50)</f>
        <v>162629.50181716314</v>
      </c>
      <c r="M51" s="33">
        <f>+L51/K51</f>
        <v>13.319171560969732</v>
      </c>
      <c r="N51" s="34">
        <f>SUM(N46:N50)</f>
        <v>7041.8207748855502</v>
      </c>
      <c r="O51" s="35">
        <f>SUM(O46:O50)</f>
        <v>97919.615484980503</v>
      </c>
      <c r="P51" s="33">
        <f>+O51/N51</f>
        <v>13.905439887679046</v>
      </c>
      <c r="Q51" s="34"/>
      <c r="R51" s="35"/>
      <c r="S51" s="33"/>
      <c r="T51" s="34">
        <f>SUM(T45:T50)</f>
        <v>31381.295333987389</v>
      </c>
      <c r="U51" s="35">
        <f>SUM(U45:U50)</f>
        <v>426268.0889040847</v>
      </c>
    </row>
    <row r="52" spans="1:530" x14ac:dyDescent="0.25">
      <c r="A52" s="37">
        <v>42801</v>
      </c>
      <c r="B52" s="18">
        <v>42801</v>
      </c>
      <c r="C52" s="13">
        <v>0.5</v>
      </c>
      <c r="D52" s="88">
        <v>0.60625000000000007</v>
      </c>
      <c r="E52" s="30" t="str">
        <f>Effort!F50</f>
        <v>Closed</v>
      </c>
      <c r="F52" s="38" t="str">
        <f>Harvest!F50</f>
        <v>Closed</v>
      </c>
      <c r="G52" s="36" t="str">
        <f>CPUE!F50</f>
        <v>Closed</v>
      </c>
      <c r="H52" s="30">
        <f>Effort!H50</f>
        <v>392.24613301648617</v>
      </c>
      <c r="I52" s="38">
        <f>Harvest!H50</f>
        <v>5883.6919952472927</v>
      </c>
      <c r="J52" s="36">
        <f>CPUE!H50</f>
        <v>15</v>
      </c>
      <c r="K52" s="30" t="str">
        <f>Effort!J50</f>
        <v>Closed</v>
      </c>
      <c r="L52" s="38" t="str">
        <f>Harvest!J50</f>
        <v>Closed</v>
      </c>
      <c r="M52" s="36" t="str">
        <f>CPUE!J50</f>
        <v>Closed</v>
      </c>
      <c r="N52" s="30" t="str">
        <f>Effort!L50</f>
        <v>Closed</v>
      </c>
      <c r="O52" s="38" t="str">
        <f>Harvest!L50</f>
        <v>Closed</v>
      </c>
      <c r="P52" s="36" t="str">
        <f>CPUE!L50</f>
        <v>Closed</v>
      </c>
      <c r="Q52" s="30" t="str">
        <f>Effort!N50</f>
        <v>Closed</v>
      </c>
      <c r="R52" s="38" t="str">
        <f>Harvest!N50</f>
        <v>Closed</v>
      </c>
      <c r="S52" s="36" t="str">
        <f>CPUE!N50</f>
        <v>Closed</v>
      </c>
      <c r="T52" s="30">
        <f>+H52</f>
        <v>392.24613301648617</v>
      </c>
      <c r="U52" s="38">
        <f>+I52</f>
        <v>5883.6919952472927</v>
      </c>
    </row>
    <row r="53" spans="1:530" x14ac:dyDescent="0.25">
      <c r="A53" s="37">
        <v>42802</v>
      </c>
      <c r="B53" s="18">
        <v>42802</v>
      </c>
      <c r="C53" s="13">
        <v>0.1</v>
      </c>
      <c r="D53" s="88">
        <v>0.64930555555555558</v>
      </c>
      <c r="E53" s="30" t="str">
        <f>Effort!F51</f>
        <v>Closed</v>
      </c>
      <c r="F53" s="38" t="str">
        <f>Harvest!F51</f>
        <v>Closed</v>
      </c>
      <c r="G53" s="36" t="str">
        <f>CPUE!F51</f>
        <v>Closed</v>
      </c>
      <c r="H53" s="30">
        <f>Effort!H51</f>
        <v>869.72831350906313</v>
      </c>
      <c r="I53" s="38">
        <f>Harvest!H51</f>
        <v>12598.635855688428</v>
      </c>
      <c r="J53" s="36">
        <f>CPUE!H51</f>
        <v>14.485714285714284</v>
      </c>
      <c r="K53" s="30" t="str">
        <f>Effort!J51</f>
        <v>Closed</v>
      </c>
      <c r="L53" s="38" t="str">
        <f>Harvest!J51</f>
        <v>Closed</v>
      </c>
      <c r="M53" s="36" t="str">
        <f>CPUE!J51</f>
        <v>Closed</v>
      </c>
      <c r="N53" s="30" t="str">
        <f>Effort!L51</f>
        <v>Closed</v>
      </c>
      <c r="O53" s="38" t="str">
        <f>Harvest!L51</f>
        <v>Closed</v>
      </c>
      <c r="P53" s="36" t="str">
        <f>CPUE!L51</f>
        <v>Closed</v>
      </c>
      <c r="Q53" s="30" t="str">
        <f>Effort!N51</f>
        <v>Closed</v>
      </c>
      <c r="R53" s="38" t="str">
        <f>Harvest!N51</f>
        <v>Closed</v>
      </c>
      <c r="S53" s="36" t="str">
        <f>CPUE!N51</f>
        <v>Closed</v>
      </c>
      <c r="T53" s="30">
        <f>+H53</f>
        <v>869.72831350906313</v>
      </c>
      <c r="U53" s="38">
        <f>+I53</f>
        <v>12598.635855688428</v>
      </c>
    </row>
    <row r="54" spans="1:530" x14ac:dyDescent="0.25">
      <c r="A54" s="37">
        <v>42803</v>
      </c>
      <c r="B54" s="18">
        <v>42803</v>
      </c>
      <c r="C54" s="13">
        <v>-0.1</v>
      </c>
      <c r="D54" s="88">
        <v>0.68611111111111101</v>
      </c>
      <c r="E54" s="30" t="str">
        <f>Effort!F52</f>
        <v>Closed</v>
      </c>
      <c r="F54" s="38" t="str">
        <f>Harvest!F52</f>
        <v>Closed</v>
      </c>
      <c r="G54" s="36" t="str">
        <f>CPUE!F52</f>
        <v>Closed</v>
      </c>
      <c r="H54" s="30">
        <f>Effort!H52</f>
        <v>656.16429905980272</v>
      </c>
      <c r="I54" s="38">
        <f>Harvest!H52</f>
        <v>7764.6108722076651</v>
      </c>
      <c r="J54" s="36">
        <f>CPUE!H52</f>
        <v>11.833333333333332</v>
      </c>
      <c r="K54" s="30" t="str">
        <f>Effort!J52</f>
        <v>Closed</v>
      </c>
      <c r="L54" s="38" t="str">
        <f>Harvest!J52</f>
        <v>Closed</v>
      </c>
      <c r="M54" s="36" t="str">
        <f>CPUE!J52</f>
        <v>Closed</v>
      </c>
      <c r="N54" s="30">
        <f>Effort!L52</f>
        <v>571.30105568193881</v>
      </c>
      <c r="O54" s="38">
        <f>Harvest!L52</f>
        <v>7426.9137238652056</v>
      </c>
      <c r="P54" s="36">
        <f>CPUE!L52</f>
        <v>13.000000000000002</v>
      </c>
      <c r="Q54" s="30" t="str">
        <f>Effort!N52</f>
        <v>Closed</v>
      </c>
      <c r="R54" s="38" t="str">
        <f>Harvest!N52</f>
        <v>Closed</v>
      </c>
      <c r="S54" s="36" t="str">
        <f>CPUE!N52</f>
        <v>Closed</v>
      </c>
      <c r="T54" s="30">
        <f>+H54+N54</f>
        <v>1227.4653547417415</v>
      </c>
      <c r="U54" s="38">
        <f>+I54+O54</f>
        <v>15191.524596072872</v>
      </c>
    </row>
    <row r="55" spans="1:530" x14ac:dyDescent="0.25">
      <c r="A55" s="37">
        <v>42804</v>
      </c>
      <c r="B55" s="18">
        <v>42804</v>
      </c>
      <c r="C55" s="13">
        <v>-0.3</v>
      </c>
      <c r="D55" s="88">
        <v>0.71736111111111101</v>
      </c>
      <c r="E55" s="30" t="str">
        <f>Effort!F53</f>
        <v>Closed</v>
      </c>
      <c r="F55" s="38" t="str">
        <f>Harvest!F53</f>
        <v>Closed</v>
      </c>
      <c r="G55" s="36" t="str">
        <f>CPUE!F53</f>
        <v>Closed</v>
      </c>
      <c r="H55" s="30">
        <f>Effort!H53</f>
        <v>2986.4229867409231</v>
      </c>
      <c r="I55" s="38">
        <f>Harvest!H53</f>
        <v>44464.520024809295</v>
      </c>
      <c r="J55" s="36">
        <f>CPUE!H53</f>
        <v>14.888888888888888</v>
      </c>
      <c r="K55" s="30">
        <f>Effort!J53</f>
        <v>2564.7807731953208</v>
      </c>
      <c r="L55" s="38">
        <f>Harvest!J53</f>
        <v>36252.189774972321</v>
      </c>
      <c r="M55" s="36">
        <f>CPUE!J53</f>
        <v>14.134615384615385</v>
      </c>
      <c r="N55" s="30" t="str">
        <f>Effort!L53</f>
        <v>Closed</v>
      </c>
      <c r="O55" s="38" t="str">
        <f>Harvest!L53</f>
        <v>Closed</v>
      </c>
      <c r="P55" s="36" t="str">
        <f>CPUE!L53</f>
        <v>Closed</v>
      </c>
      <c r="Q55" s="30" t="str">
        <f>Effort!N53</f>
        <v>Closed</v>
      </c>
      <c r="R55" s="38" t="str">
        <f>Harvest!N53</f>
        <v>Closed</v>
      </c>
      <c r="S55" s="36" t="str">
        <f>CPUE!N53</f>
        <v>Closed</v>
      </c>
      <c r="T55" s="30">
        <f>+H55+K55</f>
        <v>5551.2037599362438</v>
      </c>
      <c r="U55" s="38">
        <f>+I55+L55</f>
        <v>80716.709799781616</v>
      </c>
    </row>
    <row r="56" spans="1:530" x14ac:dyDescent="0.25">
      <c r="A56" s="37">
        <v>42805</v>
      </c>
      <c r="B56" s="18">
        <v>42805</v>
      </c>
      <c r="C56" s="13">
        <v>-0.3</v>
      </c>
      <c r="D56" s="88">
        <v>0.74583333333333324</v>
      </c>
      <c r="E56" s="30" t="str">
        <f>Effort!F54</f>
        <v>Closed</v>
      </c>
      <c r="F56" s="38" t="str">
        <f>Harvest!F54</f>
        <v>Closed</v>
      </c>
      <c r="G56" s="36" t="str">
        <f>CPUE!F54</f>
        <v>Closed</v>
      </c>
      <c r="H56" s="30">
        <f>Effort!H54</f>
        <v>3147.9007530457411</v>
      </c>
      <c r="I56" s="38">
        <f>Harvest!H54</f>
        <v>42966.083962624325</v>
      </c>
      <c r="J56" s="36">
        <f>CPUE!H54</f>
        <v>13.649122807017543</v>
      </c>
      <c r="K56" s="30" t="str">
        <f>Effort!J54</f>
        <v>Closed</v>
      </c>
      <c r="L56" s="38" t="str">
        <f>Harvest!J54</f>
        <v>Closed</v>
      </c>
      <c r="M56" s="36" t="str">
        <f>CPUE!J54</f>
        <v>Closed</v>
      </c>
      <c r="N56" s="30">
        <f>Effort!L54</f>
        <v>2865.1924854540198</v>
      </c>
      <c r="O56" s="38">
        <f>Harvest!L54</f>
        <v>17676.780757716329</v>
      </c>
      <c r="P56" s="36">
        <f>CPUE!L54</f>
        <v>6.1694915254237301</v>
      </c>
      <c r="Q56" s="30" t="str">
        <f>Effort!N54</f>
        <v>Closed</v>
      </c>
      <c r="R56" s="38" t="str">
        <f>Harvest!N54</f>
        <v>Closed</v>
      </c>
      <c r="S56" s="36" t="str">
        <f>CPUE!N54</f>
        <v>Closed</v>
      </c>
      <c r="T56" s="30">
        <f>+H56+N56</f>
        <v>6013.0932384997614</v>
      </c>
      <c r="U56" s="38">
        <f>+I56+O56</f>
        <v>60642.864720340658</v>
      </c>
    </row>
    <row r="57" spans="1:530" x14ac:dyDescent="0.25">
      <c r="A57" s="37">
        <v>42806</v>
      </c>
      <c r="B57" s="18">
        <v>42806</v>
      </c>
      <c r="C57" s="13">
        <v>-0.1</v>
      </c>
      <c r="D57" s="88">
        <v>0.81319444444444444</v>
      </c>
      <c r="E57" s="30" t="str">
        <f>Effort!F55</f>
        <v>Closed</v>
      </c>
      <c r="F57" s="38" t="str">
        <f>Harvest!F55</f>
        <v>Closed</v>
      </c>
      <c r="G57" s="36" t="str">
        <f>CPUE!F55</f>
        <v>Closed</v>
      </c>
      <c r="H57" s="30">
        <f>Effort!H55</f>
        <v>1559.3138977196013</v>
      </c>
      <c r="I57" s="38">
        <f>Harvest!H55</f>
        <v>23389.708465794018</v>
      </c>
      <c r="J57" s="36">
        <f>CPUE!H55</f>
        <v>14.999999999999998</v>
      </c>
      <c r="K57" s="30">
        <f>Effort!J55</f>
        <v>1374.3737019349537</v>
      </c>
      <c r="L57" s="38">
        <f>Harvest!J55</f>
        <v>20615.605529024302</v>
      </c>
      <c r="M57" s="36">
        <f>CPUE!J55</f>
        <v>14.999999999999998</v>
      </c>
      <c r="N57" s="30" t="str">
        <f>Effort!L55</f>
        <v>Closed</v>
      </c>
      <c r="O57" s="38" t="str">
        <f>Harvest!L55</f>
        <v>Closed</v>
      </c>
      <c r="P57" s="36" t="str">
        <f>CPUE!L55</f>
        <v>Closed</v>
      </c>
      <c r="Q57" s="30" t="str">
        <f>Effort!N55</f>
        <v>Closed</v>
      </c>
      <c r="R57" s="38" t="str">
        <f>Harvest!N55</f>
        <v>Closed</v>
      </c>
      <c r="S57" s="36" t="str">
        <f>CPUE!N55</f>
        <v>Closed</v>
      </c>
      <c r="T57" s="30">
        <f>+H57+K57</f>
        <v>2933.687599654555</v>
      </c>
      <c r="U57" s="38">
        <f>+I57+L57</f>
        <v>44005.313994818323</v>
      </c>
    </row>
    <row r="58" spans="1:530" x14ac:dyDescent="0.25">
      <c r="A58" s="37">
        <v>42807</v>
      </c>
      <c r="B58" s="18">
        <v>42807</v>
      </c>
      <c r="C58" s="13">
        <v>0.3</v>
      </c>
      <c r="D58" s="88">
        <v>0.83750000000000002</v>
      </c>
      <c r="E58" s="30" t="str">
        <f>Effort!F56</f>
        <v>Closed</v>
      </c>
      <c r="F58" s="38" t="str">
        <f>Harvest!F56</f>
        <v>Closed</v>
      </c>
      <c r="G58" s="36" t="str">
        <f>CPUE!F56</f>
        <v>Closed</v>
      </c>
      <c r="H58" s="30">
        <f>Effort!H56</f>
        <v>463.79556976965131</v>
      </c>
      <c r="I58" s="38">
        <f>Harvest!H56</f>
        <v>6956.9335465447693</v>
      </c>
      <c r="J58" s="36">
        <f>CPUE!H56</f>
        <v>15</v>
      </c>
      <c r="K58" s="30" t="str">
        <f>Effort!J56</f>
        <v>Closed</v>
      </c>
      <c r="L58" s="38" t="str">
        <f>Harvest!J56</f>
        <v>Closed</v>
      </c>
      <c r="M58" s="36" t="str">
        <f>CPUE!J56</f>
        <v>Closed</v>
      </c>
      <c r="N58" s="30" t="str">
        <f>Effort!L56</f>
        <v>Closed</v>
      </c>
      <c r="O58" s="38" t="str">
        <f>Harvest!L56</f>
        <v>Closed</v>
      </c>
      <c r="P58" s="36" t="str">
        <f>CPUE!L56</f>
        <v>Closed</v>
      </c>
      <c r="Q58" s="30" t="str">
        <f>Effort!N56</f>
        <v>Closed</v>
      </c>
      <c r="R58" s="38" t="str">
        <f>Harvest!N56</f>
        <v>Closed</v>
      </c>
      <c r="S58" s="36" t="str">
        <f>CPUE!N56</f>
        <v>Closed</v>
      </c>
      <c r="T58" s="30">
        <f>+H58</f>
        <v>463.79556976965131</v>
      </c>
      <c r="U58" s="38">
        <f>+I58</f>
        <v>6956.9335465447693</v>
      </c>
    </row>
    <row r="59" spans="1:530" x14ac:dyDescent="0.25">
      <c r="A59" s="326" t="s">
        <v>31</v>
      </c>
      <c r="B59" s="326"/>
      <c r="C59" s="326"/>
      <c r="D59" s="327"/>
      <c r="E59" s="34"/>
      <c r="F59" s="35"/>
      <c r="G59" s="33"/>
      <c r="H59" s="34">
        <f>SUM(H52:H58)</f>
        <v>10075.571952861268</v>
      </c>
      <c r="I59" s="35">
        <f>SUM(I52:I58)</f>
        <v>144024.18472291582</v>
      </c>
      <c r="J59" s="33">
        <f>+I59/H59</f>
        <v>14.294392953247257</v>
      </c>
      <c r="K59" s="34">
        <f>SUM(K55:K58)</f>
        <v>3939.1544751302745</v>
      </c>
      <c r="L59" s="35">
        <f>SUM(L55:L58)</f>
        <v>56867.795303996623</v>
      </c>
      <c r="M59" s="33">
        <f>+L59/K59</f>
        <v>14.436548671302338</v>
      </c>
      <c r="N59" s="34">
        <f>SUM(N54:N58)</f>
        <v>3436.4935411359584</v>
      </c>
      <c r="O59" s="35">
        <f>SUM(O54:O58)</f>
        <v>25103.694481581537</v>
      </c>
      <c r="P59" s="33">
        <f>+O59/N59</f>
        <v>7.3050317659794946</v>
      </c>
      <c r="Q59" s="34"/>
      <c r="R59" s="35"/>
      <c r="S59" s="33"/>
      <c r="T59" s="34">
        <f>SUM(T52:T58)</f>
        <v>17451.219969127502</v>
      </c>
      <c r="U59" s="35">
        <f>SUM(U52:U58)</f>
        <v>225995.67450849395</v>
      </c>
    </row>
    <row r="60" spans="1:530" x14ac:dyDescent="0.25">
      <c r="A60" s="37">
        <v>42818</v>
      </c>
      <c r="B60" s="18">
        <v>42818</v>
      </c>
      <c r="C60" s="13">
        <v>0.5</v>
      </c>
      <c r="D60" s="88">
        <v>0.7090277777777777</v>
      </c>
      <c r="E60" s="30" t="str">
        <f>Effort!F58</f>
        <v>Closed</v>
      </c>
      <c r="F60" s="38" t="str">
        <f>Harvest!F58</f>
        <v>Closed</v>
      </c>
      <c r="G60" s="36" t="str">
        <f>CPUE!F58</f>
        <v>Closed</v>
      </c>
      <c r="H60" s="30" t="str">
        <f>Effort!H58</f>
        <v>Closed</v>
      </c>
      <c r="I60" s="38" t="str">
        <f>Harvest!H58</f>
        <v>Closed</v>
      </c>
      <c r="J60" s="36" t="str">
        <f>CPUE!H58</f>
        <v>Closed</v>
      </c>
      <c r="K60" s="30" t="str">
        <f>Effort!J58</f>
        <v>Closed</v>
      </c>
      <c r="L60" s="38" t="str">
        <f>Harvest!J58</f>
        <v>Closed</v>
      </c>
      <c r="M60" s="36" t="str">
        <f>CPUE!J58</f>
        <v>Closed</v>
      </c>
      <c r="N60" s="30">
        <f>Effort!L58</f>
        <v>1536.9319649537661</v>
      </c>
      <c r="O60" s="38">
        <f>Harvest!L58</f>
        <v>840.9627732765889</v>
      </c>
      <c r="P60" s="36">
        <f>CPUE!L58</f>
        <v>0.54716981132075471</v>
      </c>
      <c r="Q60" s="30" t="str">
        <f>Effort!N58</f>
        <v>Closed</v>
      </c>
      <c r="R60" s="38" t="str">
        <f>Harvest!N58</f>
        <v>Closed</v>
      </c>
      <c r="S60" s="36" t="str">
        <f>CPUE!N58</f>
        <v>Closed</v>
      </c>
      <c r="T60" s="30">
        <f>+N60</f>
        <v>1536.9319649537661</v>
      </c>
      <c r="U60" s="38">
        <f>+O60</f>
        <v>840.9627732765889</v>
      </c>
    </row>
    <row r="61" spans="1:530" x14ac:dyDescent="0.25">
      <c r="A61" s="37">
        <v>42819</v>
      </c>
      <c r="B61" s="18">
        <v>42819</v>
      </c>
      <c r="C61" s="13">
        <v>0.2</v>
      </c>
      <c r="D61" s="88">
        <v>0.73888888888888893</v>
      </c>
      <c r="E61" s="30" t="str">
        <f>Effort!F59</f>
        <v>Closed</v>
      </c>
      <c r="F61" s="38" t="str">
        <f>Harvest!F59</f>
        <v>Closed</v>
      </c>
      <c r="G61" s="36" t="str">
        <f>CPUE!F59</f>
        <v>Closed</v>
      </c>
      <c r="H61" s="30" t="str">
        <f>Effort!H59</f>
        <v>Closed</v>
      </c>
      <c r="I61" s="38" t="str">
        <f>Harvest!H59</f>
        <v>Closed</v>
      </c>
      <c r="J61" s="36" t="str">
        <f>CPUE!H59</f>
        <v>Closed</v>
      </c>
      <c r="K61" s="30">
        <f>Effort!J59</f>
        <v>9039.5451183520399</v>
      </c>
      <c r="L61" s="38">
        <f>Harvest!J59</f>
        <v>81823.468743703794</v>
      </c>
      <c r="M61" s="36">
        <f>CPUE!J59</f>
        <v>9.051724137931032</v>
      </c>
      <c r="N61" s="30" t="str">
        <f>Effort!L59</f>
        <v>Closed</v>
      </c>
      <c r="O61" s="38" t="str">
        <f>Harvest!L59</f>
        <v>Closed</v>
      </c>
      <c r="P61" s="36" t="str">
        <f>CPUE!L59</f>
        <v>Closed</v>
      </c>
      <c r="Q61" s="30" t="str">
        <f>Effort!N59</f>
        <v>Closed</v>
      </c>
      <c r="R61" s="38" t="str">
        <f>Harvest!N59</f>
        <v>Closed</v>
      </c>
      <c r="S61" s="36" t="str">
        <f>CPUE!N59</f>
        <v>Closed</v>
      </c>
      <c r="T61" s="30">
        <f>+K61</f>
        <v>9039.5451183520399</v>
      </c>
      <c r="U61" s="38">
        <f>+L61</f>
        <v>81823.468743703794</v>
      </c>
    </row>
    <row r="62" spans="1:530" x14ac:dyDescent="0.25">
      <c r="A62" s="37">
        <v>42820</v>
      </c>
      <c r="B62" s="18">
        <v>42820</v>
      </c>
      <c r="C62" s="13">
        <v>0</v>
      </c>
      <c r="D62" s="88">
        <v>0.76666666666666661</v>
      </c>
      <c r="E62" s="30" t="str">
        <f>Effort!F60</f>
        <v>Closed</v>
      </c>
      <c r="F62" s="38" t="str">
        <f>Harvest!F60</f>
        <v>Closed</v>
      </c>
      <c r="G62" s="36" t="str">
        <f>CPUE!F60</f>
        <v>Closed</v>
      </c>
      <c r="H62" s="30" t="str">
        <f>Effort!H60</f>
        <v>Closed</v>
      </c>
      <c r="I62" s="38" t="str">
        <f>Harvest!H60</f>
        <v>Closed</v>
      </c>
      <c r="J62" s="36" t="str">
        <f>CPUE!H60</f>
        <v>Closed</v>
      </c>
      <c r="K62" s="30" t="str">
        <f>Effort!J60</f>
        <v>Closed</v>
      </c>
      <c r="L62" s="38" t="str">
        <f>Harvest!J60</f>
        <v>Closed</v>
      </c>
      <c r="M62" s="36" t="str">
        <f>CPUE!J60</f>
        <v>Closed</v>
      </c>
      <c r="N62" s="30">
        <f>Effort!L60</f>
        <v>1164.5201998100172</v>
      </c>
      <c r="O62" s="38">
        <f>Harvest!L60</f>
        <v>8567.5414700308411</v>
      </c>
      <c r="P62" s="36">
        <f>CPUE!L60</f>
        <v>7.3571428571428577</v>
      </c>
      <c r="Q62" s="30" t="str">
        <f>Effort!N60</f>
        <v>Closed</v>
      </c>
      <c r="R62" s="38" t="str">
        <f>Harvest!N60</f>
        <v>Closed</v>
      </c>
      <c r="S62" s="36" t="str">
        <f>CPUE!N60</f>
        <v>Closed</v>
      </c>
      <c r="T62" s="30">
        <f>+N62</f>
        <v>1164.5201998100172</v>
      </c>
      <c r="U62" s="38">
        <f>+O62</f>
        <v>8567.5414700308411</v>
      </c>
    </row>
    <row r="63" spans="1:530" x14ac:dyDescent="0.25">
      <c r="A63" s="326" t="s">
        <v>31</v>
      </c>
      <c r="B63" s="326"/>
      <c r="C63" s="326"/>
      <c r="D63" s="327"/>
      <c r="E63" s="34"/>
      <c r="F63" s="35"/>
      <c r="G63" s="33"/>
      <c r="H63" s="34"/>
      <c r="I63" s="35"/>
      <c r="J63" s="33"/>
      <c r="K63" s="34">
        <f>SUM(K61:K62)</f>
        <v>9039.5451183520399</v>
      </c>
      <c r="L63" s="35">
        <f>SUM(L61:L62)</f>
        <v>81823.468743703794</v>
      </c>
      <c r="M63" s="33">
        <f>+L63/K63</f>
        <v>9.051724137931032</v>
      </c>
      <c r="N63" s="34">
        <f>SUM(N60:N62)</f>
        <v>2701.452164763783</v>
      </c>
      <c r="O63" s="35">
        <f>SUM(O60:O62)</f>
        <v>9408.5042433074304</v>
      </c>
      <c r="P63" s="33">
        <f>+O63/N63</f>
        <v>3.4827580388158075</v>
      </c>
      <c r="Q63" s="34"/>
      <c r="R63" s="35"/>
      <c r="S63" s="33"/>
      <c r="T63" s="34">
        <f>SUM(T60:T62)</f>
        <v>11740.997283115823</v>
      </c>
      <c r="U63" s="35">
        <f>SUM(U60:U62)</f>
        <v>91231.972987011235</v>
      </c>
    </row>
    <row r="64" spans="1:530" x14ac:dyDescent="0.25">
      <c r="A64" s="37">
        <v>3</v>
      </c>
      <c r="B64" s="18">
        <v>42824</v>
      </c>
      <c r="C64" s="13">
        <v>-0.6</v>
      </c>
      <c r="D64" s="88">
        <v>0.37361111111111112</v>
      </c>
      <c r="E64" s="30" t="str">
        <f>Effort!F62</f>
        <v>Closed</v>
      </c>
      <c r="F64" s="38" t="str">
        <f>Harvest!F62</f>
        <v>Closed</v>
      </c>
      <c r="G64" s="36" t="str">
        <f>CPUE!F62</f>
        <v>Closed</v>
      </c>
      <c r="H64" s="30" t="str">
        <f>Effort!H62</f>
        <v>Closed</v>
      </c>
      <c r="I64" s="38" t="str">
        <f>Harvest!H62</f>
        <v>Closed</v>
      </c>
      <c r="J64" s="36" t="str">
        <f>CPUE!H62</f>
        <v>Closed</v>
      </c>
      <c r="K64" s="30" t="str">
        <f>Effort!J62</f>
        <v>Closed</v>
      </c>
      <c r="L64" s="38" t="str">
        <f>Harvest!J62</f>
        <v>Closed</v>
      </c>
      <c r="M64" s="36" t="str">
        <f>CPUE!J62</f>
        <v>Closed</v>
      </c>
      <c r="N64" s="30">
        <f>Effort!L62</f>
        <v>1290.9015613841007</v>
      </c>
      <c r="O64" s="38">
        <f>Harvest!L62</f>
        <v>11500.759365058349</v>
      </c>
      <c r="P64" s="36">
        <f>CPUE!L62</f>
        <v>8.9090909090909083</v>
      </c>
      <c r="Q64" s="30" t="str">
        <f>Effort!N62</f>
        <v>Closed</v>
      </c>
      <c r="R64" s="38" t="str">
        <f>Harvest!N62</f>
        <v>Closed</v>
      </c>
      <c r="S64" s="36" t="str">
        <f>CPUE!N62</f>
        <v>Closed</v>
      </c>
      <c r="T64" s="30">
        <f>+N64</f>
        <v>1290.9015613841007</v>
      </c>
      <c r="U64" s="38">
        <f>+O64</f>
        <v>11500.759365058349</v>
      </c>
      <c r="TJ64" t="s">
        <v>71</v>
      </c>
    </row>
    <row r="65" spans="1:21" x14ac:dyDescent="0.25">
      <c r="A65" s="37">
        <v>42825</v>
      </c>
      <c r="B65" s="18">
        <v>42825</v>
      </c>
      <c r="C65" s="13">
        <v>-0.6</v>
      </c>
      <c r="D65" s="88">
        <v>0.40763888888888888</v>
      </c>
      <c r="E65" s="30" t="str">
        <f>Effort!F63</f>
        <v>Closed</v>
      </c>
      <c r="F65" s="38" t="str">
        <f>Harvest!F63</f>
        <v>Closed</v>
      </c>
      <c r="G65" s="36" t="str">
        <f>CPUE!F63</f>
        <v>Closed</v>
      </c>
      <c r="H65" s="30" t="str">
        <f>Effort!H63</f>
        <v>Closed</v>
      </c>
      <c r="I65" s="38" t="str">
        <f>Harvest!H63</f>
        <v>Closed</v>
      </c>
      <c r="J65" s="36" t="str">
        <f>CPUE!H63</f>
        <v>Closed</v>
      </c>
      <c r="K65" s="30">
        <f>Effort!J63</f>
        <v>3720.1134800107961</v>
      </c>
      <c r="L65" s="38">
        <f>Harvest!J63</f>
        <v>55801.702200161948</v>
      </c>
      <c r="M65" s="36">
        <f>CPUE!J63</f>
        <v>15.000000000000002</v>
      </c>
      <c r="N65" s="30" t="str">
        <f>Effort!L63</f>
        <v>Closed</v>
      </c>
      <c r="O65" s="38" t="str">
        <f>Harvest!L63</f>
        <v>Closed</v>
      </c>
      <c r="P65" s="36" t="str">
        <f>CPUE!L63</f>
        <v>Closed</v>
      </c>
      <c r="Q65" s="30" t="str">
        <f>Effort!N63</f>
        <v>Closed</v>
      </c>
      <c r="R65" s="38" t="str">
        <f>Harvest!N63</f>
        <v>Closed</v>
      </c>
      <c r="S65" s="36" t="str">
        <f>CPUE!N63</f>
        <v>Closed</v>
      </c>
      <c r="T65" s="30">
        <f>+K65</f>
        <v>3720.1134800107961</v>
      </c>
      <c r="U65" s="38">
        <f>+L65</f>
        <v>55801.702200161948</v>
      </c>
    </row>
    <row r="66" spans="1:21" x14ac:dyDescent="0.25">
      <c r="A66" s="37">
        <v>42826</v>
      </c>
      <c r="B66" s="18">
        <v>42826</v>
      </c>
      <c r="C66" s="13">
        <v>-0.5</v>
      </c>
      <c r="D66" s="88">
        <v>0.44444444444444442</v>
      </c>
      <c r="E66" s="30" t="str">
        <f>Effort!F64</f>
        <v>Closed</v>
      </c>
      <c r="F66" s="38" t="str">
        <f>Harvest!F64</f>
        <v>Closed</v>
      </c>
      <c r="G66" s="36" t="str">
        <f>CPUE!F64</f>
        <v>Closed</v>
      </c>
      <c r="H66" s="30" t="str">
        <f>Effort!H64</f>
        <v>Closed</v>
      </c>
      <c r="I66" s="38" t="str">
        <f>Harvest!H64</f>
        <v>Closed</v>
      </c>
      <c r="J66" s="36" t="str">
        <f>CPUE!H64</f>
        <v>Closed</v>
      </c>
      <c r="K66" s="30" t="str">
        <f>Effort!J64</f>
        <v>Closed</v>
      </c>
      <c r="L66" s="38" t="str">
        <f>Harvest!J64</f>
        <v>Closed</v>
      </c>
      <c r="M66" s="36" t="str">
        <f>CPUE!J64</f>
        <v>Closed</v>
      </c>
      <c r="N66" s="30">
        <f>Effort!L64</f>
        <v>6877.1156250197428</v>
      </c>
      <c r="O66" s="38">
        <f>Harvest!L64</f>
        <v>98845.706670059881</v>
      </c>
      <c r="P66" s="36">
        <f>CPUE!L64</f>
        <v>14.373134328358208</v>
      </c>
      <c r="Q66" s="30" t="str">
        <f>Effort!N64</f>
        <v>Closed</v>
      </c>
      <c r="R66" s="38" t="str">
        <f>Harvest!N64</f>
        <v>Closed</v>
      </c>
      <c r="S66" s="36" t="str">
        <f>CPUE!N64</f>
        <v>Closed</v>
      </c>
      <c r="T66" s="30">
        <f>+N66</f>
        <v>6877.1156250197428</v>
      </c>
      <c r="U66" s="38">
        <f>+O66</f>
        <v>98845.706670059881</v>
      </c>
    </row>
    <row r="67" spans="1:21" x14ac:dyDescent="0.25">
      <c r="A67" s="37">
        <v>42827</v>
      </c>
      <c r="B67" s="18">
        <v>42827</v>
      </c>
      <c r="C67" s="13">
        <v>-0.1</v>
      </c>
      <c r="D67" s="88">
        <v>0.48541666666666666</v>
      </c>
      <c r="E67" s="30" t="str">
        <f>Effort!F65</f>
        <v>Closed</v>
      </c>
      <c r="F67" s="38" t="str">
        <f>Harvest!F65</f>
        <v>Closed</v>
      </c>
      <c r="G67" s="36" t="str">
        <f>CPUE!F65</f>
        <v>Closed</v>
      </c>
      <c r="H67" s="30" t="str">
        <f>Effort!H65</f>
        <v>Closed</v>
      </c>
      <c r="I67" s="38" t="str">
        <f>Harvest!H65</f>
        <v>Closed</v>
      </c>
      <c r="J67" s="36" t="str">
        <f>CPUE!H65</f>
        <v>Closed</v>
      </c>
      <c r="K67" s="30">
        <f>Effort!J65</f>
        <v>6049.8091327997226</v>
      </c>
      <c r="L67" s="38">
        <f>Harvest!J65</f>
        <v>66125.820753857421</v>
      </c>
      <c r="M67" s="36">
        <f>CPUE!J65</f>
        <v>10.930232558139533</v>
      </c>
      <c r="N67" s="30" t="str">
        <f>Effort!L65</f>
        <v>Closed</v>
      </c>
      <c r="O67" s="38" t="str">
        <f>Harvest!L65</f>
        <v>Closed</v>
      </c>
      <c r="P67" s="36" t="str">
        <f>CPUE!L65</f>
        <v>Closed</v>
      </c>
      <c r="Q67" s="30" t="str">
        <f>Effort!N65</f>
        <v>Closed</v>
      </c>
      <c r="R67" s="38" t="str">
        <f>Harvest!N65</f>
        <v>Closed</v>
      </c>
      <c r="S67" s="36" t="str">
        <f>CPUE!N65</f>
        <v>Closed</v>
      </c>
      <c r="T67" s="30">
        <f>+K67</f>
        <v>6049.8091327997226</v>
      </c>
      <c r="U67" s="38">
        <f>+L67</f>
        <v>66125.820753857421</v>
      </c>
    </row>
    <row r="68" spans="1:21" x14ac:dyDescent="0.25">
      <c r="A68" s="326" t="s">
        <v>31</v>
      </c>
      <c r="B68" s="326"/>
      <c r="C68" s="326"/>
      <c r="D68" s="327"/>
      <c r="E68" s="34"/>
      <c r="F68" s="35"/>
      <c r="G68" s="33"/>
      <c r="H68" s="34"/>
      <c r="I68" s="35"/>
      <c r="J68" s="33"/>
      <c r="K68" s="34">
        <f>SUM(K65:K67)</f>
        <v>9769.9226128105183</v>
      </c>
      <c r="L68" s="35">
        <f>SUM(L65:L67)</f>
        <v>121927.52295401937</v>
      </c>
      <c r="M68" s="33">
        <f>+L68/K68</f>
        <v>12.479886257660379</v>
      </c>
      <c r="N68" s="34">
        <f>SUM(N64:N67)</f>
        <v>8168.0171864038439</v>
      </c>
      <c r="O68" s="35">
        <f>SUM(O64:O67)</f>
        <v>110346.46603511822</v>
      </c>
      <c r="P68" s="33">
        <f>+O68/N68</f>
        <v>13.509578091828278</v>
      </c>
      <c r="Q68" s="34"/>
      <c r="R68" s="35"/>
      <c r="S68" s="33"/>
      <c r="T68" s="34">
        <f>SUM(T64:T67)</f>
        <v>17937.939799214364</v>
      </c>
      <c r="U68" s="35">
        <f>SUM(U64:U67)</f>
        <v>232273.98898913758</v>
      </c>
    </row>
    <row r="69" spans="1:21" x14ac:dyDescent="0.25">
      <c r="A69" s="37">
        <v>42830</v>
      </c>
      <c r="B69" s="18">
        <v>42830</v>
      </c>
      <c r="C69" s="13">
        <v>0.5</v>
      </c>
      <c r="D69" s="88">
        <v>0.62916666666666665</v>
      </c>
      <c r="E69" s="30" t="str">
        <f>Effort!F67</f>
        <v>Closed</v>
      </c>
      <c r="F69" s="38" t="str">
        <f>Harvest!F67</f>
        <v>Closed</v>
      </c>
      <c r="G69" s="36" t="str">
        <f>CPUE!F67</f>
        <v>Closed</v>
      </c>
      <c r="H69" s="30">
        <f>Effort!H67</f>
        <v>485.84676936659537</v>
      </c>
      <c r="I69" s="38">
        <f>Harvest!H67</f>
        <v>7287.7015404989306</v>
      </c>
      <c r="J69" s="36">
        <f>CPUE!H67</f>
        <v>15</v>
      </c>
      <c r="K69" s="30" t="str">
        <f>Effort!J67</f>
        <v>Closed</v>
      </c>
      <c r="L69" s="38" t="str">
        <f>Harvest!J67</f>
        <v>Closed</v>
      </c>
      <c r="M69" s="36" t="str">
        <f>CPUE!J67</f>
        <v>Closed</v>
      </c>
      <c r="N69" s="30" t="str">
        <f>Effort!L67</f>
        <v>Closed</v>
      </c>
      <c r="O69" s="38" t="str">
        <f>Harvest!L67</f>
        <v>Closed</v>
      </c>
      <c r="P69" s="36" t="str">
        <f>CPUE!L67</f>
        <v>Closed</v>
      </c>
      <c r="Q69" s="30" t="str">
        <f>Effort!N67</f>
        <v>Closed</v>
      </c>
      <c r="R69" s="38" t="str">
        <f>Harvest!N67</f>
        <v>Closed</v>
      </c>
      <c r="S69" s="36" t="str">
        <f>CPUE!N67</f>
        <v>Closed</v>
      </c>
      <c r="T69" s="30">
        <f>+H69</f>
        <v>485.84676936659537</v>
      </c>
      <c r="U69" s="38">
        <f>+I69</f>
        <v>7287.7015404989306</v>
      </c>
    </row>
    <row r="70" spans="1:21" x14ac:dyDescent="0.25">
      <c r="A70" s="37">
        <v>42831</v>
      </c>
      <c r="B70" s="18">
        <v>42831</v>
      </c>
      <c r="C70" s="13">
        <v>0.4</v>
      </c>
      <c r="D70" s="88">
        <v>0.67222222222222217</v>
      </c>
      <c r="E70" s="30" t="str">
        <f>Effort!F68</f>
        <v>Closed</v>
      </c>
      <c r="F70" s="38" t="str">
        <f>Harvest!F68</f>
        <v>Closed</v>
      </c>
      <c r="G70" s="36" t="str">
        <f>CPUE!F68</f>
        <v>Closed</v>
      </c>
      <c r="H70" s="30">
        <f>Effort!H68</f>
        <v>1098.647949021906</v>
      </c>
      <c r="I70" s="38">
        <f>Harvest!H68</f>
        <v>10239.398884884165</v>
      </c>
      <c r="J70" s="36">
        <f>CPUE!H68</f>
        <v>9.3200000000000021</v>
      </c>
      <c r="K70" s="30" t="str">
        <f>Effort!J68</f>
        <v>Closed</v>
      </c>
      <c r="L70" s="38" t="str">
        <f>Harvest!J68</f>
        <v>Closed</v>
      </c>
      <c r="M70" s="36" t="str">
        <f>CPUE!J68</f>
        <v>Closed</v>
      </c>
      <c r="N70" s="30" t="str">
        <f>Effort!L68</f>
        <v>Closed</v>
      </c>
      <c r="O70" s="38" t="str">
        <f>Harvest!L68</f>
        <v>Closed</v>
      </c>
      <c r="P70" s="36" t="str">
        <f>CPUE!L68</f>
        <v>Closed</v>
      </c>
      <c r="Q70" s="30" t="str">
        <f>Effort!N68</f>
        <v>Closed</v>
      </c>
      <c r="R70" s="38" t="str">
        <f>Harvest!N68</f>
        <v>Closed</v>
      </c>
      <c r="S70" s="36" t="str">
        <f>CPUE!N68</f>
        <v>Closed</v>
      </c>
      <c r="T70" s="30">
        <f t="shared" ref="T70:U73" si="14">+H70</f>
        <v>1098.647949021906</v>
      </c>
      <c r="U70" s="38">
        <f t="shared" si="14"/>
        <v>10239.398884884165</v>
      </c>
    </row>
    <row r="71" spans="1:21" x14ac:dyDescent="0.25">
      <c r="A71" s="37">
        <v>42832</v>
      </c>
      <c r="B71" s="18">
        <v>42832</v>
      </c>
      <c r="C71" s="13">
        <v>0.4</v>
      </c>
      <c r="D71" s="88">
        <v>0.7090277777777777</v>
      </c>
      <c r="E71" s="30" t="str">
        <f>Effort!F69</f>
        <v>Closed</v>
      </c>
      <c r="F71" s="38" t="str">
        <f>Harvest!F69</f>
        <v>Closed</v>
      </c>
      <c r="G71" s="36" t="str">
        <f>CPUE!F69</f>
        <v>Closed</v>
      </c>
      <c r="H71" s="30">
        <f>Effort!H69</f>
        <v>0</v>
      </c>
      <c r="I71" s="38">
        <f>Harvest!H69</f>
        <v>0</v>
      </c>
      <c r="J71" s="36">
        <f>CPUE!H69</f>
        <v>0</v>
      </c>
      <c r="K71" s="30" t="str">
        <f>Effort!J69</f>
        <v>Closed</v>
      </c>
      <c r="L71" s="38" t="str">
        <f>Harvest!J69</f>
        <v>Closed</v>
      </c>
      <c r="M71" s="36" t="str">
        <f>CPUE!J69</f>
        <v>Closed</v>
      </c>
      <c r="N71" s="30" t="str">
        <f>Effort!L69</f>
        <v>Closed</v>
      </c>
      <c r="O71" s="38" t="str">
        <f>Harvest!L69</f>
        <v>Closed</v>
      </c>
      <c r="P71" s="36" t="str">
        <f>CPUE!L69</f>
        <v>Closed</v>
      </c>
      <c r="Q71" s="30" t="str">
        <f>Effort!N69</f>
        <v>Closed</v>
      </c>
      <c r="R71" s="38" t="str">
        <f>Harvest!N69</f>
        <v>Closed</v>
      </c>
      <c r="S71" s="36" t="str">
        <f>CPUE!N69</f>
        <v>Closed</v>
      </c>
      <c r="T71" s="30">
        <f t="shared" si="14"/>
        <v>0</v>
      </c>
      <c r="U71" s="38">
        <f t="shared" si="14"/>
        <v>0</v>
      </c>
    </row>
    <row r="72" spans="1:21" x14ac:dyDescent="0.25">
      <c r="A72" s="37">
        <v>42833</v>
      </c>
      <c r="B72" s="18">
        <v>42833</v>
      </c>
      <c r="C72" s="13">
        <v>0.4</v>
      </c>
      <c r="D72" s="88">
        <v>0.7402777777777777</v>
      </c>
      <c r="E72" s="30" t="str">
        <f>Effort!F70</f>
        <v>Closed</v>
      </c>
      <c r="F72" s="38" t="str">
        <f>Harvest!F70</f>
        <v>Closed</v>
      </c>
      <c r="G72" s="36" t="str">
        <f>CPUE!F70</f>
        <v>Closed</v>
      </c>
      <c r="H72" s="30">
        <f>Effort!H70</f>
        <v>1424.8390832385728</v>
      </c>
      <c r="I72" s="38">
        <f>Harvest!H70</f>
        <v>17054.892056946552</v>
      </c>
      <c r="J72" s="36">
        <f>CPUE!H70</f>
        <v>11.969696969696969</v>
      </c>
      <c r="K72" s="30" t="str">
        <f>Effort!J70</f>
        <v>Closed</v>
      </c>
      <c r="L72" s="38" t="str">
        <f>Harvest!J70</f>
        <v>Closed</v>
      </c>
      <c r="M72" s="36" t="str">
        <f>CPUE!J70</f>
        <v>Closed</v>
      </c>
      <c r="N72" s="30" t="str">
        <f>Effort!L70</f>
        <v>Closed</v>
      </c>
      <c r="O72" s="38" t="str">
        <f>Harvest!L70</f>
        <v>Closed</v>
      </c>
      <c r="P72" s="36" t="str">
        <f>CPUE!L70</f>
        <v>Closed</v>
      </c>
      <c r="Q72" s="30" t="str">
        <f>Effort!N70</f>
        <v>Closed</v>
      </c>
      <c r="R72" s="38" t="str">
        <f>Harvest!N70</f>
        <v>Closed</v>
      </c>
      <c r="S72" s="36" t="str">
        <f>CPUE!N70</f>
        <v>Closed</v>
      </c>
      <c r="T72" s="30">
        <f t="shared" si="14"/>
        <v>1424.8390832385728</v>
      </c>
      <c r="U72" s="38">
        <f t="shared" si="14"/>
        <v>17054.892056946552</v>
      </c>
    </row>
    <row r="73" spans="1:21" x14ac:dyDescent="0.25">
      <c r="A73" s="37">
        <v>42834</v>
      </c>
      <c r="B73" s="18">
        <v>42834</v>
      </c>
      <c r="C73" s="13">
        <v>0.5</v>
      </c>
      <c r="D73" s="88">
        <v>0.2673611111111111</v>
      </c>
      <c r="E73" s="30" t="str">
        <f>Effort!F71</f>
        <v>Closed</v>
      </c>
      <c r="F73" s="38" t="str">
        <f>Harvest!F71</f>
        <v>Closed</v>
      </c>
      <c r="G73" s="36" t="str">
        <f>CPUE!F71</f>
        <v>Closed</v>
      </c>
      <c r="H73" s="30">
        <f>Effort!H71</f>
        <v>543.23500571761963</v>
      </c>
      <c r="I73" s="38">
        <f>Harvest!H71</f>
        <v>4798.5758838389738</v>
      </c>
      <c r="J73" s="36">
        <f>CPUE!H71</f>
        <v>8.8333333333333339</v>
      </c>
      <c r="K73" s="30" t="str">
        <f>Effort!J71</f>
        <v>Closed</v>
      </c>
      <c r="L73" s="38" t="str">
        <f>Harvest!J71</f>
        <v>Closed</v>
      </c>
      <c r="M73" s="36" t="str">
        <f>CPUE!J71</f>
        <v>Closed</v>
      </c>
      <c r="N73" s="30" t="str">
        <f>Effort!L71</f>
        <v>Closed</v>
      </c>
      <c r="O73" s="38" t="str">
        <f>Harvest!L71</f>
        <v>Closed</v>
      </c>
      <c r="P73" s="36" t="str">
        <f>CPUE!L71</f>
        <v>Closed</v>
      </c>
      <c r="Q73" s="30" t="str">
        <f>Effort!N71</f>
        <v>Closed</v>
      </c>
      <c r="R73" s="38" t="str">
        <f>Harvest!N71</f>
        <v>Closed</v>
      </c>
      <c r="S73" s="36" t="str">
        <f>CPUE!N71</f>
        <v>Closed</v>
      </c>
      <c r="T73" s="30">
        <f t="shared" si="14"/>
        <v>543.23500571761963</v>
      </c>
      <c r="U73" s="38">
        <f t="shared" si="14"/>
        <v>4798.5758838389738</v>
      </c>
    </row>
    <row r="74" spans="1:21" x14ac:dyDescent="0.25">
      <c r="A74" s="326" t="s">
        <v>31</v>
      </c>
      <c r="B74" s="326"/>
      <c r="C74" s="326"/>
      <c r="D74" s="327"/>
      <c r="E74" s="34"/>
      <c r="F74" s="35"/>
      <c r="G74" s="33"/>
      <c r="H74" s="34">
        <f>SUM(H69:H73)</f>
        <v>3552.5688073446941</v>
      </c>
      <c r="I74" s="35">
        <f>SUM(I69:I73)</f>
        <v>39380.56836616862</v>
      </c>
      <c r="J74" s="33">
        <f>+I74/H74</f>
        <v>11.085096588348121</v>
      </c>
      <c r="K74" s="34"/>
      <c r="L74" s="35"/>
      <c r="M74" s="33"/>
      <c r="N74" s="34"/>
      <c r="O74" s="35"/>
      <c r="P74" s="33"/>
      <c r="Q74" s="34"/>
      <c r="R74" s="35"/>
      <c r="S74" s="33"/>
      <c r="T74" s="34">
        <f>SUM(T69:T73)</f>
        <v>3552.5688073446941</v>
      </c>
      <c r="U74" s="35">
        <f>SUM(U69:U73)</f>
        <v>39380.56836616862</v>
      </c>
    </row>
    <row r="75" spans="1:21" x14ac:dyDescent="0.25">
      <c r="A75" s="37">
        <v>42837</v>
      </c>
      <c r="B75" s="18">
        <v>42837</v>
      </c>
      <c r="C75" s="13">
        <v>0</v>
      </c>
      <c r="D75" s="88">
        <v>0.33888888888888885</v>
      </c>
      <c r="E75" s="30">
        <f>Effort!F73</f>
        <v>475.51038041213985</v>
      </c>
      <c r="F75" s="38">
        <f>Harvest!F73</f>
        <v>6549.0747847671992</v>
      </c>
      <c r="G75" s="36">
        <f>CPUE!F73</f>
        <v>13.772727272727273</v>
      </c>
      <c r="H75" s="30">
        <f>Effort!H73</f>
        <v>248.17273210909204</v>
      </c>
      <c r="I75" s="38">
        <f>Harvest!H73</f>
        <v>3447.8283139441714</v>
      </c>
      <c r="J75" s="36">
        <f>CPUE!H73</f>
        <v>13.892857142857142</v>
      </c>
      <c r="K75" s="30" t="str">
        <f>Effort!J73</f>
        <v>Closed</v>
      </c>
      <c r="L75" s="38" t="str">
        <f>Harvest!J73</f>
        <v>Closed</v>
      </c>
      <c r="M75" s="36" t="str">
        <f>CPUE!J73</f>
        <v>Closed</v>
      </c>
      <c r="N75" s="30" t="str">
        <f>Effort!L73</f>
        <v>Closed</v>
      </c>
      <c r="O75" s="38" t="str">
        <f>Harvest!L73</f>
        <v>Closed</v>
      </c>
      <c r="P75" s="36" t="str">
        <f>CPUE!L73</f>
        <v>Closed</v>
      </c>
      <c r="Q75" s="30" t="str">
        <f>Effort!N73</f>
        <v>Closed</v>
      </c>
      <c r="R75" s="38" t="str">
        <f>Harvest!N73</f>
        <v>Closed</v>
      </c>
      <c r="S75" s="36" t="str">
        <f>CPUE!N73</f>
        <v>Closed</v>
      </c>
      <c r="T75" s="30">
        <f>+E75+H75</f>
        <v>723.68311252123192</v>
      </c>
      <c r="U75" s="38">
        <f>+F75+I75</f>
        <v>9996.9030987113711</v>
      </c>
    </row>
    <row r="76" spans="1:21" x14ac:dyDescent="0.25">
      <c r="A76" s="37">
        <v>42838</v>
      </c>
      <c r="B76" s="18">
        <v>42838</v>
      </c>
      <c r="C76" s="13">
        <v>0</v>
      </c>
      <c r="D76" s="88">
        <v>0.36319444444444443</v>
      </c>
      <c r="E76" s="30">
        <f>Effort!F74</f>
        <v>929.79773852901849</v>
      </c>
      <c r="F76" s="38">
        <f>Harvest!F74</f>
        <v>13606.796173595394</v>
      </c>
      <c r="G76" s="36">
        <f>CPUE!F74</f>
        <v>14.634146341463417</v>
      </c>
      <c r="H76" s="30">
        <f>Effort!H74</f>
        <v>695.82910844728804</v>
      </c>
      <c r="I76" s="38">
        <f>Harvest!H74</f>
        <v>10437.436626709323</v>
      </c>
      <c r="J76" s="36">
        <f>CPUE!H74</f>
        <v>15.000000000000004</v>
      </c>
      <c r="K76" s="30">
        <f>Effort!J74</f>
        <v>785.91229514681561</v>
      </c>
      <c r="L76" s="38">
        <f>Harvest!J74</f>
        <v>8083.6693215101041</v>
      </c>
      <c r="M76" s="36">
        <f>CPUE!J74</f>
        <v>10.285714285714286</v>
      </c>
      <c r="N76" s="30" t="str">
        <f>Effort!L74</f>
        <v>Closed</v>
      </c>
      <c r="O76" s="38" t="str">
        <f>Harvest!L74</f>
        <v>Closed</v>
      </c>
      <c r="P76" s="36" t="str">
        <f>CPUE!L74</f>
        <v>Closed</v>
      </c>
      <c r="Q76" s="30" t="str">
        <f>Effort!N74</f>
        <v>Closed</v>
      </c>
      <c r="R76" s="38" t="str">
        <f>Harvest!N74</f>
        <v>Closed</v>
      </c>
      <c r="S76" s="36" t="str">
        <f>CPUE!N74</f>
        <v>Closed</v>
      </c>
      <c r="T76" s="30">
        <f>+E76+H76+K76</f>
        <v>2411.539142123122</v>
      </c>
      <c r="U76" s="38">
        <f>+F76+I76+L76</f>
        <v>32127.902121814819</v>
      </c>
    </row>
    <row r="77" spans="1:21" x14ac:dyDescent="0.25">
      <c r="A77" s="37">
        <v>42839</v>
      </c>
      <c r="B77" s="18">
        <v>42839</v>
      </c>
      <c r="C77" s="13">
        <v>0.1</v>
      </c>
      <c r="D77" s="88">
        <v>0.38750000000000001</v>
      </c>
      <c r="E77" s="30">
        <f>Effort!F75</f>
        <v>1721.9106199815278</v>
      </c>
      <c r="F77" s="38">
        <f>Harvest!F75</f>
        <v>25828.65929972292</v>
      </c>
      <c r="G77" s="36">
        <f>CPUE!F75</f>
        <v>15.000000000000002</v>
      </c>
      <c r="H77" s="30">
        <f>Effort!H75</f>
        <v>1167.289523111082</v>
      </c>
      <c r="I77" s="38">
        <f>Harvest!H75</f>
        <v>16543.310137884648</v>
      </c>
      <c r="J77" s="36">
        <f>CPUE!H75</f>
        <v>14.172413793103452</v>
      </c>
      <c r="K77" s="30" t="str">
        <f>Effort!J75</f>
        <v>Closed</v>
      </c>
      <c r="L77" s="38" t="str">
        <f>Harvest!J75</f>
        <v>Closed</v>
      </c>
      <c r="M77" s="36" t="str">
        <f>CPUE!J75</f>
        <v>Closed</v>
      </c>
      <c r="N77" s="30">
        <f>Effort!L75</f>
        <v>1700.8846781936143</v>
      </c>
      <c r="O77" s="38">
        <f>Harvest!L75</f>
        <v>21229.560613009184</v>
      </c>
      <c r="P77" s="36">
        <f>CPUE!L75</f>
        <v>12.481481481481481</v>
      </c>
      <c r="Q77" s="30" t="str">
        <f>Effort!N75</f>
        <v>Closed</v>
      </c>
      <c r="R77" s="38" t="str">
        <f>Harvest!N75</f>
        <v>Closed</v>
      </c>
      <c r="S77" s="36" t="str">
        <f>CPUE!N75</f>
        <v>Closed</v>
      </c>
      <c r="T77" s="30">
        <f>+E77+H77+N77</f>
        <v>4590.0848212862238</v>
      </c>
      <c r="U77" s="38">
        <f>+F77+I77+O77</f>
        <v>63601.530050616748</v>
      </c>
    </row>
    <row r="78" spans="1:21" x14ac:dyDescent="0.25">
      <c r="A78" s="37">
        <v>42840</v>
      </c>
      <c r="B78" s="18">
        <v>42840</v>
      </c>
      <c r="C78" s="13">
        <v>0.3</v>
      </c>
      <c r="D78" s="88">
        <v>0.41319444444444442</v>
      </c>
      <c r="E78" s="30">
        <f>Effort!F76</f>
        <v>8162.5022676715671</v>
      </c>
      <c r="F78" s="38">
        <f>Harvest!F76</f>
        <v>116077.1426376671</v>
      </c>
      <c r="G78" s="36">
        <f>CPUE!F76</f>
        <v>14.220779220779223</v>
      </c>
      <c r="H78" s="30">
        <f>Effort!H76</f>
        <v>2222.7107470832489</v>
      </c>
      <c r="I78" s="38">
        <f>Harvest!H76</f>
        <v>31117.950459165484</v>
      </c>
      <c r="J78" s="36">
        <f>CPUE!H76</f>
        <v>14</v>
      </c>
      <c r="K78" s="30">
        <f>Effort!J76</f>
        <v>3489.1313517471722</v>
      </c>
      <c r="L78" s="38">
        <f>Harvest!J76</f>
        <v>45358.707572713232</v>
      </c>
      <c r="M78" s="36">
        <f>CPUE!J76</f>
        <v>12.999999999999998</v>
      </c>
      <c r="N78" s="30" t="str">
        <f>Effort!L76</f>
        <v>Closed</v>
      </c>
      <c r="O78" s="38" t="str">
        <f>Harvest!L76</f>
        <v>Closed</v>
      </c>
      <c r="P78" s="36" t="str">
        <f>CPUE!L76</f>
        <v>Closed</v>
      </c>
      <c r="Q78" s="30" t="str">
        <f>Effort!N76</f>
        <v>Closed</v>
      </c>
      <c r="R78" s="38" t="str">
        <f>Harvest!N76</f>
        <v>Closed</v>
      </c>
      <c r="S78" s="36" t="str">
        <f>CPUE!N76</f>
        <v>Closed</v>
      </c>
      <c r="T78" s="30">
        <f>+E78+H78+K78</f>
        <v>13874.344366501988</v>
      </c>
      <c r="U78" s="38">
        <f>+F78+I78+L78</f>
        <v>192553.8006695458</v>
      </c>
    </row>
    <row r="79" spans="1:21" x14ac:dyDescent="0.25">
      <c r="A79" s="37">
        <v>42841</v>
      </c>
      <c r="B79" s="18">
        <v>42841</v>
      </c>
      <c r="C79" s="13">
        <v>0.5</v>
      </c>
      <c r="D79" s="88">
        <v>0.44166666666666665</v>
      </c>
      <c r="E79" s="30">
        <f>Effort!F77</f>
        <v>6938.1269275208315</v>
      </c>
      <c r="F79" s="38">
        <f>Harvest!F77</f>
        <v>98665.571242017031</v>
      </c>
      <c r="G79" s="36">
        <f>CPUE!F77</f>
        <v>14.220779220779223</v>
      </c>
      <c r="H79" s="30">
        <f>Effort!H77</f>
        <v>2535.0966933488917</v>
      </c>
      <c r="I79" s="38">
        <f>Harvest!H77</f>
        <v>35829.366599330999</v>
      </c>
      <c r="J79" s="36">
        <f>CPUE!H77</f>
        <v>14.133333333333331</v>
      </c>
      <c r="K79" s="30" t="str">
        <f>Effort!J77</f>
        <v>Closed</v>
      </c>
      <c r="L79" s="38" t="str">
        <f>Harvest!J77</f>
        <v>Closed</v>
      </c>
      <c r="M79" s="36" t="str">
        <f>CPUE!J77</f>
        <v>Closed</v>
      </c>
      <c r="N79" s="30">
        <f>Effort!L77</f>
        <v>3700.2089669987467</v>
      </c>
      <c r="O79" s="38">
        <f>Harvest!L77</f>
        <v>42244.052373235689</v>
      </c>
      <c r="P79" s="36">
        <f>CPUE!L77</f>
        <v>11.416666666666666</v>
      </c>
      <c r="Q79" s="30" t="str">
        <f>Effort!N77</f>
        <v>Closed</v>
      </c>
      <c r="R79" s="38" t="str">
        <f>Harvest!N77</f>
        <v>Closed</v>
      </c>
      <c r="S79" s="36" t="str">
        <f>CPUE!N77</f>
        <v>Closed</v>
      </c>
      <c r="T79" s="30">
        <f>+E79+H79+N79</f>
        <v>13173.43258786847</v>
      </c>
      <c r="U79" s="38">
        <f>+F79+I79+O79</f>
        <v>176738.99021458373</v>
      </c>
    </row>
    <row r="80" spans="1:21" x14ac:dyDescent="0.25">
      <c r="A80" s="326" t="s">
        <v>31</v>
      </c>
      <c r="B80" s="326"/>
      <c r="C80" s="326"/>
      <c r="D80" s="327"/>
      <c r="E80" s="34">
        <f>SUM(E75:E79)</f>
        <v>18227.847934115085</v>
      </c>
      <c r="F80" s="35">
        <f>SUM(F75:F79)</f>
        <v>260727.24413776965</v>
      </c>
      <c r="G80" s="33">
        <f>+F80/E80</f>
        <v>14.303786441502771</v>
      </c>
      <c r="H80" s="34">
        <f>SUM(H75:H79)</f>
        <v>6869.0988040996026</v>
      </c>
      <c r="I80" s="35">
        <f>SUM(I75:I79)</f>
        <v>97375.892137034622</v>
      </c>
      <c r="J80" s="33">
        <f>+I80/H80</f>
        <v>14.175934123835709</v>
      </c>
      <c r="K80" s="34">
        <f>SUM(K76:K79)</f>
        <v>4275.0436468939879</v>
      </c>
      <c r="L80" s="35">
        <f>SUM(L76:L79)</f>
        <v>53442.376894223336</v>
      </c>
      <c r="M80" s="33">
        <f>+L80/K80</f>
        <v>12.501013161129158</v>
      </c>
      <c r="N80" s="34">
        <f>SUM(N77:N79)</f>
        <v>5401.0936451923608</v>
      </c>
      <c r="O80" s="35">
        <f>SUM(O77:O79)</f>
        <v>63473.612986244872</v>
      </c>
      <c r="P80" s="33">
        <f>+O80/N80</f>
        <v>11.751992680731284</v>
      </c>
      <c r="Q80" s="34"/>
      <c r="R80" s="35"/>
      <c r="S80" s="33"/>
      <c r="T80" s="34">
        <f>SUM(T75:T79)</f>
        <v>34773.084030301034</v>
      </c>
      <c r="U80" s="35">
        <f>SUM(U75:U79)</f>
        <v>475019.12615527248</v>
      </c>
    </row>
    <row r="81" spans="1:23" x14ac:dyDescent="0.25">
      <c r="A81" s="37">
        <v>42851</v>
      </c>
      <c r="B81" s="18">
        <v>42851</v>
      </c>
      <c r="C81" s="13">
        <v>-1.1000000000000001</v>
      </c>
      <c r="D81" s="88">
        <v>0.29791666666666666</v>
      </c>
      <c r="E81" s="30">
        <f>Effort!F79</f>
        <v>2083.7471400893519</v>
      </c>
      <c r="F81" s="38">
        <f>Harvest!F79</f>
        <v>48489.35912478195</v>
      </c>
      <c r="G81" s="36">
        <f>CPUE!F79</f>
        <v>23.270270270270274</v>
      </c>
      <c r="H81" s="30">
        <f>Effort!H79</f>
        <v>807.23582054873418</v>
      </c>
      <c r="I81" s="38">
        <f>Harvest!H79</f>
        <v>12108.537308231014</v>
      </c>
      <c r="J81" s="36">
        <f>CPUE!H79</f>
        <v>15.000000000000002</v>
      </c>
      <c r="K81" s="30" t="str">
        <f>Effort!J79</f>
        <v>Closed</v>
      </c>
      <c r="L81" s="38" t="str">
        <f>Harvest!J79</f>
        <v>Closed</v>
      </c>
      <c r="M81" s="36" t="str">
        <f>CPUE!J79</f>
        <v>Closed</v>
      </c>
      <c r="N81" s="30" t="str">
        <f>Effort!L79</f>
        <v>Closed</v>
      </c>
      <c r="O81" s="38" t="str">
        <f>Harvest!L79</f>
        <v>Closed</v>
      </c>
      <c r="P81" s="36" t="str">
        <f>CPUE!L79</f>
        <v>Closed</v>
      </c>
      <c r="Q81" s="30" t="str">
        <f>Effort!N79</f>
        <v>Closed</v>
      </c>
      <c r="R81" s="38" t="str">
        <f>Harvest!N79</f>
        <v>Closed</v>
      </c>
      <c r="S81" s="36" t="str">
        <f>CPUE!N79</f>
        <v>Closed</v>
      </c>
      <c r="T81" s="30">
        <f>+E81+H81</f>
        <v>2890.9829606380863</v>
      </c>
      <c r="U81" s="38">
        <f>+F81+I81</f>
        <v>60597.896433012967</v>
      </c>
    </row>
    <row r="82" spans="1:23" x14ac:dyDescent="0.25">
      <c r="A82" s="37">
        <v>42852</v>
      </c>
      <c r="B82" s="18">
        <v>42852</v>
      </c>
      <c r="C82" s="13">
        <v>-1.5</v>
      </c>
      <c r="D82" s="88">
        <v>0.3298611111111111</v>
      </c>
      <c r="E82" s="30">
        <f>Effort!F80</f>
        <v>6785.9938232304175</v>
      </c>
      <c r="F82" s="38">
        <f>Harvest!F80</f>
        <v>169649.84558076045</v>
      </c>
      <c r="G82" s="36">
        <f>CPUE!F80</f>
        <v>25</v>
      </c>
      <c r="H82" s="30">
        <f>Effort!H80</f>
        <v>1414.2665067796845</v>
      </c>
      <c r="I82" s="38">
        <f>Harvest!H80</f>
        <v>21096.142059463626</v>
      </c>
      <c r="J82" s="36">
        <f>CPUE!H80</f>
        <v>14.916666666666666</v>
      </c>
      <c r="K82" s="30" t="str">
        <f>Effort!J80</f>
        <v>Closed</v>
      </c>
      <c r="L82" s="38" t="str">
        <f>Harvest!J80</f>
        <v>Closed</v>
      </c>
      <c r="M82" s="36" t="str">
        <f>CPUE!J80</f>
        <v>Closed</v>
      </c>
      <c r="N82" s="30">
        <f>Effort!L80</f>
        <v>2755.3634993402052</v>
      </c>
      <c r="O82" s="38">
        <f>Harvest!L80</f>
        <v>41270.553283595684</v>
      </c>
      <c r="P82" s="36">
        <f>CPUE!L80</f>
        <v>14.978260869565219</v>
      </c>
      <c r="Q82" s="30" t="str">
        <f>Effort!N80</f>
        <v>Closed</v>
      </c>
      <c r="R82" s="38" t="str">
        <f>Harvest!N80</f>
        <v>Closed</v>
      </c>
      <c r="S82" s="36" t="str">
        <f>CPUE!N80</f>
        <v>Closed</v>
      </c>
      <c r="T82" s="30">
        <f>+E82+H82+N82</f>
        <v>10955.623829350307</v>
      </c>
      <c r="U82" s="38">
        <f>+F82+I82+O82</f>
        <v>232016.54092381976</v>
      </c>
    </row>
    <row r="83" spans="1:23" x14ac:dyDescent="0.25">
      <c r="A83" s="37">
        <v>42853</v>
      </c>
      <c r="B83" s="18">
        <v>42853</v>
      </c>
      <c r="C83" s="13">
        <v>-1.8</v>
      </c>
      <c r="D83" s="88">
        <v>0.36249999999999999</v>
      </c>
      <c r="E83" s="30">
        <f>Effort!F81</f>
        <v>11829.401888864337</v>
      </c>
      <c r="F83" s="38">
        <f>Harvest!F81</f>
        <v>285761.23778589931</v>
      </c>
      <c r="G83" s="36">
        <f>CPUE!F81</f>
        <v>24.156862745098042</v>
      </c>
      <c r="H83" s="30">
        <f>Effort!H81</f>
        <v>2048.7105029934055</v>
      </c>
      <c r="I83" s="38">
        <f>Harvest!H81</f>
        <v>30389.205794402187</v>
      </c>
      <c r="J83" s="36">
        <f>CPUE!H81</f>
        <v>14.833333333333336</v>
      </c>
      <c r="K83" s="30">
        <f>Effort!J81</f>
        <v>5685.2909308913686</v>
      </c>
      <c r="L83" s="38">
        <f>Harvest!J81</f>
        <v>85279.363963370517</v>
      </c>
      <c r="M83" s="36">
        <f>CPUE!J81</f>
        <v>14.999999999999998</v>
      </c>
      <c r="N83" s="30" t="str">
        <f>Effort!L81</f>
        <v>Closed</v>
      </c>
      <c r="O83" s="38" t="str">
        <f>Harvest!L81</f>
        <v>Closed</v>
      </c>
      <c r="P83" s="36" t="str">
        <f>CPUE!L81</f>
        <v>Closed</v>
      </c>
      <c r="Q83" s="30" t="str">
        <f>Effort!N81</f>
        <v>Closed</v>
      </c>
      <c r="R83" s="38" t="str">
        <f>Harvest!N81</f>
        <v>Closed</v>
      </c>
      <c r="S83" s="36" t="str">
        <f>CPUE!N81</f>
        <v>Closed</v>
      </c>
      <c r="T83" s="30">
        <f>+E83+H83+K83</f>
        <v>19563.403322749113</v>
      </c>
      <c r="U83" s="38">
        <f>+F83+I83+L83</f>
        <v>401429.80754367198</v>
      </c>
    </row>
    <row r="84" spans="1:23" x14ac:dyDescent="0.25">
      <c r="A84" s="37">
        <v>42854</v>
      </c>
      <c r="B84" s="18">
        <v>42854</v>
      </c>
      <c r="C84" s="13">
        <v>-1.7</v>
      </c>
      <c r="D84" s="88">
        <v>0.3972222222222222</v>
      </c>
      <c r="E84" s="30">
        <f>Effort!F82</f>
        <v>14567.453000352047</v>
      </c>
      <c r="F84" s="38">
        <f>Harvest!F82</f>
        <v>352438.37904077541</v>
      </c>
      <c r="G84" s="36">
        <f>CPUE!F82</f>
        <v>24.193548387096779</v>
      </c>
      <c r="H84" s="30">
        <f>Effort!H82</f>
        <v>4282.4204900233699</v>
      </c>
      <c r="I84" s="38">
        <f>Harvest!H82</f>
        <v>64236.307350350544</v>
      </c>
      <c r="J84" s="36">
        <f>CPUE!H82</f>
        <v>14.999999999999998</v>
      </c>
      <c r="K84" s="30" t="str">
        <f>Effort!J82</f>
        <v>Closed</v>
      </c>
      <c r="L84" s="38" t="str">
        <f>Harvest!J82</f>
        <v>Closed</v>
      </c>
      <c r="M84" s="36" t="str">
        <f>CPUE!J82</f>
        <v>Closed</v>
      </c>
      <c r="N84" s="30">
        <f>Effort!L82</f>
        <v>9302.8789705797572</v>
      </c>
      <c r="O84" s="38">
        <f>Harvest!L82</f>
        <v>137921.58180235676</v>
      </c>
      <c r="P84" s="36">
        <f>CPUE!L82</f>
        <v>14.825688073394494</v>
      </c>
      <c r="Q84" s="30" t="str">
        <f>Effort!N82</f>
        <v>Closed</v>
      </c>
      <c r="R84" s="38" t="str">
        <f>Harvest!N82</f>
        <v>Closed</v>
      </c>
      <c r="S84" s="36" t="str">
        <f>CPUE!N82</f>
        <v>Closed</v>
      </c>
      <c r="T84" s="30">
        <f>+E84+H84+N84</f>
        <v>28152.752460955173</v>
      </c>
      <c r="U84" s="38">
        <f>+F84+I84+O84</f>
        <v>554596.26819348265</v>
      </c>
    </row>
    <row r="85" spans="1:23" x14ac:dyDescent="0.25">
      <c r="A85" s="37">
        <v>42855</v>
      </c>
      <c r="B85" s="18">
        <v>42855</v>
      </c>
      <c r="C85" s="13">
        <v>-1.3</v>
      </c>
      <c r="D85" s="88">
        <v>0.43333333333333335</v>
      </c>
      <c r="E85" s="30">
        <f>Effort!F83</f>
        <v>17783.842628122329</v>
      </c>
      <c r="F85" s="38">
        <f>Harvest!F83</f>
        <v>275547.35474378045</v>
      </c>
      <c r="G85" s="36">
        <f>CPUE!F83</f>
        <v>15.494252873563218</v>
      </c>
      <c r="H85" s="30">
        <f>Effort!H83</f>
        <v>4061.3800068611558</v>
      </c>
      <c r="I85" s="38">
        <f>Harvest!H83</f>
        <v>60920.700102917341</v>
      </c>
      <c r="J85" s="36">
        <f>CPUE!H83</f>
        <v>15</v>
      </c>
      <c r="K85" s="30">
        <f>Effort!J83</f>
        <v>11270.565990740946</v>
      </c>
      <c r="L85" s="38">
        <f>Harvest!J83</f>
        <v>169058.48986111421</v>
      </c>
      <c r="M85" s="36">
        <f>CPUE!J83</f>
        <v>15.000000000000002</v>
      </c>
      <c r="N85" s="30" t="str">
        <f>Effort!L83</f>
        <v>Closed</v>
      </c>
      <c r="O85" s="38" t="str">
        <f>Harvest!L83</f>
        <v>Closed</v>
      </c>
      <c r="P85" s="36" t="str">
        <f>CPUE!L83</f>
        <v>Closed</v>
      </c>
      <c r="Q85" s="30" t="str">
        <f>Effort!N83</f>
        <v>Closed</v>
      </c>
      <c r="R85" s="38" t="str">
        <f>Harvest!N83</f>
        <v>Closed</v>
      </c>
      <c r="S85" s="36" t="str">
        <f>CPUE!N83</f>
        <v>Closed</v>
      </c>
      <c r="T85" s="30">
        <f>+E85+H85+K85</f>
        <v>33115.788625724432</v>
      </c>
      <c r="U85" s="38">
        <f>+F85+I85+L85</f>
        <v>505526.54470781202</v>
      </c>
    </row>
    <row r="86" spans="1:23" x14ac:dyDescent="0.25">
      <c r="A86" s="37">
        <v>42856</v>
      </c>
      <c r="B86" s="18">
        <v>42856</v>
      </c>
      <c r="C86" s="13">
        <v>-0.8</v>
      </c>
      <c r="D86" s="88">
        <v>0.47222222222222227</v>
      </c>
      <c r="E86" s="30">
        <f>Effort!F84</f>
        <v>6500</v>
      </c>
      <c r="F86" s="38">
        <f>Harvest!F84</f>
        <v>162500</v>
      </c>
      <c r="G86" s="36">
        <f>CPUE!F84</f>
        <v>25</v>
      </c>
      <c r="H86" s="30" t="str">
        <f>Effort!H84</f>
        <v>Closed</v>
      </c>
      <c r="I86" s="38" t="str">
        <f>Harvest!H84</f>
        <v>Closed</v>
      </c>
      <c r="J86" s="36" t="str">
        <f>CPUE!H84</f>
        <v>Closed</v>
      </c>
      <c r="K86" s="30" t="str">
        <f>Effort!J84</f>
        <v>Closed</v>
      </c>
      <c r="L86" s="38" t="str">
        <f>Harvest!J84</f>
        <v>Closed</v>
      </c>
      <c r="M86" s="36" t="str">
        <f>CPUE!J84</f>
        <v>Closed</v>
      </c>
      <c r="N86" s="30" t="str">
        <f>Effort!L84</f>
        <v>Closed</v>
      </c>
      <c r="O86" s="38" t="str">
        <f>Harvest!L84</f>
        <v>Closed</v>
      </c>
      <c r="P86" s="36" t="str">
        <f>CPUE!L84</f>
        <v>Closed</v>
      </c>
      <c r="Q86" s="30" t="str">
        <f>Effort!N84</f>
        <v>Closed</v>
      </c>
      <c r="R86" s="38" t="str">
        <f>Harvest!N84</f>
        <v>Closed</v>
      </c>
      <c r="S86" s="36" t="str">
        <f>CPUE!N84</f>
        <v>Closed</v>
      </c>
      <c r="T86" s="30">
        <f>+E86</f>
        <v>6500</v>
      </c>
      <c r="U86" s="38">
        <f>+F86</f>
        <v>162500</v>
      </c>
    </row>
    <row r="87" spans="1:23" x14ac:dyDescent="0.25">
      <c r="A87" s="326" t="s">
        <v>31</v>
      </c>
      <c r="B87" s="326"/>
      <c r="C87" s="326"/>
      <c r="D87" s="327"/>
      <c r="E87" s="34">
        <f>SUM(E81:E86)</f>
        <v>59550.438480658486</v>
      </c>
      <c r="F87" s="35">
        <f>SUM(F81:F86)</f>
        <v>1294386.1762759974</v>
      </c>
      <c r="G87" s="33">
        <f>+F87/E87</f>
        <v>21.735963819920553</v>
      </c>
      <c r="H87" s="34">
        <f>SUM(H81:H86)</f>
        <v>12614.01332720635</v>
      </c>
      <c r="I87" s="35">
        <f>SUM(I81:I86)</f>
        <v>188750.89261536469</v>
      </c>
      <c r="J87" s="33">
        <f>+I87/H87</f>
        <v>14.963587537065628</v>
      </c>
      <c r="K87" s="34">
        <f>SUM(K83:K86)</f>
        <v>16955.856921632316</v>
      </c>
      <c r="L87" s="35">
        <f>SUM(L83:L86)</f>
        <v>254337.85382448474</v>
      </c>
      <c r="M87" s="33">
        <f>+L87/K87</f>
        <v>15</v>
      </c>
      <c r="N87" s="34">
        <f>SUM(N82:N86)</f>
        <v>12058.242469919962</v>
      </c>
      <c r="O87" s="35">
        <f>SUM(O82:O86)</f>
        <v>179192.13508595244</v>
      </c>
      <c r="P87" s="33">
        <f>+O87/N87</f>
        <v>14.860551654435412</v>
      </c>
      <c r="Q87" s="34"/>
      <c r="R87" s="35"/>
      <c r="S87" s="33"/>
      <c r="T87" s="34">
        <f>SUM(T81:T86)</f>
        <v>101178.55119941712</v>
      </c>
      <c r="U87" s="35">
        <f>SUM(U81:U86)</f>
        <v>1916667.0578017994</v>
      </c>
    </row>
    <row r="88" spans="1:23" x14ac:dyDescent="0.25">
      <c r="A88" s="37">
        <v>42868</v>
      </c>
      <c r="B88" s="18">
        <f>+A88</f>
        <v>42868</v>
      </c>
      <c r="C88" s="13">
        <v>-0.6</v>
      </c>
      <c r="D88" s="88">
        <v>0.37083333333333335</v>
      </c>
      <c r="E88" s="30" t="str">
        <f>Effort!F86</f>
        <v>Closed</v>
      </c>
      <c r="F88" s="38" t="str">
        <f>Harvest!F86</f>
        <v>Closed</v>
      </c>
      <c r="G88" s="36" t="str">
        <f>CPUE!F86</f>
        <v>Closed</v>
      </c>
      <c r="H88" s="30" t="str">
        <f>Effort!H86</f>
        <v>Closed</v>
      </c>
      <c r="I88" s="38" t="str">
        <f>Harvest!H86</f>
        <v>Closed</v>
      </c>
      <c r="J88" s="36" t="str">
        <f>CPUE!H86</f>
        <v>Closed</v>
      </c>
      <c r="K88" s="30" t="str">
        <f>Effort!J86</f>
        <v>Closed</v>
      </c>
      <c r="L88" s="38" t="str">
        <f>Harvest!J86</f>
        <v>Closed</v>
      </c>
      <c r="M88" s="36" t="str">
        <f>CPUE!J86</f>
        <v>Closed</v>
      </c>
      <c r="N88" s="30" t="s">
        <v>58</v>
      </c>
      <c r="O88" s="38" t="s">
        <v>58</v>
      </c>
      <c r="P88" s="36" t="s">
        <v>58</v>
      </c>
      <c r="Q88" s="30" t="str">
        <f>Effort!N86</f>
        <v>Closed</v>
      </c>
      <c r="R88" s="38" t="str">
        <f>Harvest!N86</f>
        <v>Closed</v>
      </c>
      <c r="S88" s="36" t="str">
        <f>CPUE!N86</f>
        <v>Closed</v>
      </c>
      <c r="T88" s="30" t="str">
        <f>+N88</f>
        <v>Closed</v>
      </c>
      <c r="U88" s="38" t="str">
        <f>+O88</f>
        <v>Closed</v>
      </c>
    </row>
    <row r="89" spans="1:23" x14ac:dyDescent="0.25">
      <c r="A89" s="37">
        <v>42869</v>
      </c>
      <c r="B89" s="18">
        <f>+A89</f>
        <v>42869</v>
      </c>
      <c r="C89" s="13">
        <v>-0.4</v>
      </c>
      <c r="D89" s="88">
        <v>0.39583333333333331</v>
      </c>
      <c r="E89" s="30" t="str">
        <f>Effort!F87</f>
        <v>Closed</v>
      </c>
      <c r="F89" s="38" t="str">
        <f>Harvest!F87</f>
        <v>Closed</v>
      </c>
      <c r="G89" s="36" t="str">
        <f>CPUE!F87</f>
        <v>Closed</v>
      </c>
      <c r="H89" s="30" t="str">
        <f>Effort!H87</f>
        <v>Closed</v>
      </c>
      <c r="I89" s="38" t="str">
        <f>Harvest!H87</f>
        <v>Closed</v>
      </c>
      <c r="J89" s="36" t="str">
        <f>CPUE!H87</f>
        <v>Closed</v>
      </c>
      <c r="K89" s="30" t="str">
        <f>Effort!J87</f>
        <v>Closed</v>
      </c>
      <c r="L89" s="38" t="str">
        <f>Harvest!J87</f>
        <v>Closed</v>
      </c>
      <c r="M89" s="36" t="str">
        <f>CPUE!J87</f>
        <v>Closed</v>
      </c>
      <c r="N89" s="30" t="s">
        <v>58</v>
      </c>
      <c r="O89" s="38" t="s">
        <v>58</v>
      </c>
      <c r="P89" s="36" t="s">
        <v>58</v>
      </c>
      <c r="Q89" s="30" t="str">
        <f>Effort!N87</f>
        <v>Closed</v>
      </c>
      <c r="R89" s="38" t="str">
        <f>Harvest!N87</f>
        <v>Closed</v>
      </c>
      <c r="S89" s="36" t="str">
        <f>CPUE!N87</f>
        <v>Closed</v>
      </c>
      <c r="T89" s="30" t="str">
        <f>+N89</f>
        <v>Closed</v>
      </c>
      <c r="U89" s="38" t="str">
        <f>+O89</f>
        <v>Closed</v>
      </c>
    </row>
    <row r="90" spans="1:23" x14ac:dyDescent="0.25">
      <c r="A90" s="326" t="s">
        <v>31</v>
      </c>
      <c r="B90" s="326"/>
      <c r="C90" s="326"/>
      <c r="D90" s="327"/>
      <c r="E90" s="34"/>
      <c r="F90" s="35"/>
      <c r="G90" s="33"/>
      <c r="H90" s="34"/>
      <c r="I90" s="35"/>
      <c r="J90" s="33"/>
      <c r="K90" s="34"/>
      <c r="L90" s="35"/>
      <c r="M90" s="33"/>
      <c r="N90" s="34">
        <f>SUM(N88:N89)</f>
        <v>0</v>
      </c>
      <c r="O90" s="35">
        <f>SUM(O88:O89)</f>
        <v>0</v>
      </c>
      <c r="P90" s="33"/>
      <c r="Q90" s="34"/>
      <c r="R90" s="35"/>
      <c r="S90" s="33"/>
      <c r="T90" s="34">
        <f>SUM(T88:T89)</f>
        <v>0</v>
      </c>
      <c r="U90" s="35">
        <f>SUM(U88:U89)</f>
        <v>0</v>
      </c>
    </row>
    <row r="91" spans="1:23" x14ac:dyDescent="0.25">
      <c r="A91" s="209"/>
      <c r="B91" s="209"/>
      <c r="C91" s="209"/>
      <c r="D91" s="210"/>
      <c r="E91" s="211"/>
      <c r="F91" s="67"/>
      <c r="G91" s="68"/>
      <c r="H91" s="211"/>
      <c r="I91" s="67"/>
      <c r="J91" s="68"/>
      <c r="K91" s="211"/>
      <c r="L91" s="67"/>
      <c r="M91" s="68"/>
      <c r="N91" s="211"/>
      <c r="O91" s="67"/>
      <c r="P91" s="68"/>
      <c r="Q91" s="211"/>
      <c r="R91" s="67"/>
      <c r="S91" s="68"/>
      <c r="T91" s="211"/>
      <c r="U91" s="67"/>
    </row>
    <row r="92" spans="1:23" x14ac:dyDescent="0.25">
      <c r="A92" s="37"/>
      <c r="B92" s="18"/>
      <c r="C92" s="13"/>
      <c r="D92" s="88"/>
      <c r="E92" s="30"/>
      <c r="F92" s="38"/>
      <c r="G92" s="36"/>
      <c r="H92" s="30"/>
      <c r="I92" s="38"/>
      <c r="J92" s="36"/>
      <c r="K92" s="30"/>
      <c r="L92" s="38"/>
      <c r="M92" s="36"/>
      <c r="N92" s="30"/>
      <c r="O92" s="38"/>
      <c r="P92" s="36"/>
      <c r="Q92" s="30"/>
      <c r="R92" s="38"/>
      <c r="S92" s="36"/>
      <c r="T92" s="30"/>
      <c r="U92" s="38"/>
      <c r="V92" s="10"/>
    </row>
    <row r="93" spans="1:23" ht="15.75" thickBot="1" x14ac:dyDescent="0.3">
      <c r="A93" s="326" t="s">
        <v>31</v>
      </c>
      <c r="B93" s="326"/>
      <c r="C93" s="326"/>
      <c r="D93" s="327"/>
      <c r="E93" s="95"/>
      <c r="F93" s="94"/>
      <c r="G93" s="96"/>
      <c r="H93" s="95"/>
      <c r="I93" s="94"/>
      <c r="J93" s="96"/>
      <c r="K93" s="95"/>
      <c r="L93" s="94"/>
      <c r="M93" s="96"/>
      <c r="N93" s="95"/>
      <c r="O93" s="94"/>
      <c r="P93" s="96"/>
      <c r="Q93" s="95"/>
      <c r="R93" s="94"/>
      <c r="S93" s="96"/>
      <c r="T93" s="94"/>
      <c r="U93" s="94"/>
    </row>
    <row r="94" spans="1:23" ht="15.75" thickTop="1" x14ac:dyDescent="0.25">
      <c r="A94" s="39" t="s">
        <v>36</v>
      </c>
      <c r="B94" s="42"/>
      <c r="C94" s="42"/>
      <c r="D94" s="42"/>
      <c r="E94" s="40">
        <f>+E80+E87</f>
        <v>77778.286414773567</v>
      </c>
      <c r="F94" s="40">
        <f>+F80+F87</f>
        <v>1555113.420413767</v>
      </c>
      <c r="G94" s="41">
        <f>+F94/E94</f>
        <v>19.99418465097968</v>
      </c>
      <c r="H94" s="40">
        <f>+H10+H14+H18+H44+H51+H59+H74+H80+H87</f>
        <v>62893.068941042904</v>
      </c>
      <c r="I94" s="40">
        <f>+I10+I14+I18+I44+I51+I59+I74+I80+I87</f>
        <v>834086.36233146465</v>
      </c>
      <c r="J94" s="41">
        <f>+I94/H94</f>
        <v>13.261975864357204</v>
      </c>
      <c r="K94" s="40">
        <f>+K10+K14+K21+K24+K31+K37+K44+K51+K59+K63+K68+K80+K87</f>
        <v>82107.971438949753</v>
      </c>
      <c r="L94" s="40">
        <f>+L10+L14+L21+L24+L31+L37+L44+L51+L59+L63+L68+L80+L87</f>
        <v>1040193.1737027629</v>
      </c>
      <c r="M94" s="41">
        <f>+L94/K94</f>
        <v>12.668601543471137</v>
      </c>
      <c r="N94" s="40">
        <f>+N10+N14+N21+N24+N31+N37+N44+N51+N59+N63+N68+N80+N87+N90</f>
        <v>57957.620018456102</v>
      </c>
      <c r="O94" s="40">
        <f>+O10+O14+O21+O24+O31+O37+O44+O51+O59+O63+O68+O80+O87+O90</f>
        <v>686628.08669293381</v>
      </c>
      <c r="P94" s="41">
        <f>+O94/N94</f>
        <v>11.847071816860026</v>
      </c>
      <c r="Q94" s="40">
        <f>+Q10+Q14+Q18+Q21+Q24+Q27</f>
        <v>637.4353808353809</v>
      </c>
      <c r="R94" s="40">
        <f>+R10+R14+R18+R21+R24+R27</f>
        <v>1410.0684275184274</v>
      </c>
      <c r="S94" s="41">
        <f>+R94/Q94</f>
        <v>2.2120962687550922</v>
      </c>
      <c r="T94" s="40">
        <f>T10+T14+T18+T21+T24+T27+T31+T37+T44+T51+T59+T63+T68+T74+T80+T87</f>
        <v>281374.38219405769</v>
      </c>
      <c r="U94" s="40">
        <f>U10+U14+U18+U21+U24+U27+U31+U37+U44+U51+U59+U63+U68+U74+U80+U87</f>
        <v>4117431.1115684467</v>
      </c>
      <c r="V94" s="15"/>
      <c r="W94" s="10"/>
    </row>
    <row r="95" spans="1:23" x14ac:dyDescent="0.25">
      <c r="A95" s="65" t="s">
        <v>35</v>
      </c>
      <c r="B95" s="66"/>
      <c r="C95" s="66"/>
      <c r="D95" s="66"/>
      <c r="E95" s="67"/>
      <c r="F95" s="67">
        <f>+Harvest!F98</f>
        <v>46653.402612413011</v>
      </c>
      <c r="G95" s="68"/>
      <c r="H95" s="67"/>
      <c r="I95" s="67">
        <f>+Harvest!H98</f>
        <v>33363.454493258592</v>
      </c>
      <c r="J95" s="68"/>
      <c r="K95" s="67"/>
      <c r="L95" s="67">
        <f>+Harvest!J98</f>
        <v>54377.720716333301</v>
      </c>
      <c r="M95" s="68"/>
      <c r="N95" s="67"/>
      <c r="O95" s="67">
        <f>+Harvest!L98</f>
        <v>19454.462456299789</v>
      </c>
      <c r="P95" s="68"/>
      <c r="Q95" s="67"/>
      <c r="R95" s="67"/>
      <c r="S95" s="68"/>
      <c r="T95" s="67"/>
      <c r="U95" s="67">
        <f>F95+I95+L95+O95+R95</f>
        <v>153849.04027830469</v>
      </c>
    </row>
    <row r="96" spans="1:23" x14ac:dyDescent="0.25">
      <c r="A96" s="75" t="s">
        <v>32</v>
      </c>
      <c r="B96" s="76"/>
      <c r="C96" s="76"/>
      <c r="D96" s="76"/>
      <c r="E96" s="69">
        <f>E94</f>
        <v>77778.286414773567</v>
      </c>
      <c r="F96" s="69">
        <f>F94+F95</f>
        <v>1601766.82302618</v>
      </c>
      <c r="G96" s="70"/>
      <c r="H96" s="69">
        <f>H94</f>
        <v>62893.068941042904</v>
      </c>
      <c r="I96" s="69">
        <f>I94+I95</f>
        <v>867449.81682472327</v>
      </c>
      <c r="J96" s="70"/>
      <c r="K96" s="69">
        <f>K94</f>
        <v>82107.971438949753</v>
      </c>
      <c r="L96" s="69">
        <f>L94+L95</f>
        <v>1094570.8944190962</v>
      </c>
      <c r="M96" s="70"/>
      <c r="N96" s="69">
        <f>N94</f>
        <v>57957.620018456102</v>
      </c>
      <c r="O96" s="69">
        <f>O94+O95</f>
        <v>706082.54914923362</v>
      </c>
      <c r="P96" s="70">
        <f>+O96/N96</f>
        <v>12.182738851671061</v>
      </c>
      <c r="Q96" s="69"/>
      <c r="R96" s="69">
        <f>R94+R95</f>
        <v>1410.0684275184274</v>
      </c>
      <c r="S96" s="70"/>
      <c r="T96" s="69">
        <f>SUM(T94:T95)</f>
        <v>281374.38219405769</v>
      </c>
      <c r="U96" s="71">
        <f>SUM(U94:U95)</f>
        <v>4271280.1518467516</v>
      </c>
    </row>
    <row r="97" spans="1:21" x14ac:dyDescent="0.25">
      <c r="A97" s="77" t="s">
        <v>15</v>
      </c>
      <c r="B97" s="73"/>
      <c r="C97" s="73"/>
      <c r="D97" s="73"/>
      <c r="E97" s="73"/>
      <c r="F97" s="72">
        <f>Harvest!F101</f>
        <v>0.32718340990771505</v>
      </c>
      <c r="G97" s="73"/>
      <c r="H97" s="73"/>
      <c r="I97" s="72">
        <f>Harvest!H101</f>
        <v>0.45736354342238461</v>
      </c>
      <c r="J97" s="73"/>
      <c r="K97" s="73"/>
      <c r="L97" s="72">
        <f>Harvest!J101</f>
        <v>1.243023374802307</v>
      </c>
      <c r="M97" s="73"/>
      <c r="N97" s="73"/>
      <c r="O97" s="72">
        <f>Harvest!L101</f>
        <v>0.74962111287146282</v>
      </c>
      <c r="P97" s="73"/>
      <c r="Q97" s="73"/>
      <c r="R97" s="72">
        <f>Harvest!N101</f>
        <v>1.9425421224819122E-3</v>
      </c>
      <c r="S97" s="73"/>
      <c r="T97" s="73"/>
      <c r="U97" s="74"/>
    </row>
  </sheetData>
  <mergeCells count="24">
    <mergeCell ref="A93:D93"/>
    <mergeCell ref="A51:D51"/>
    <mergeCell ref="A24:D24"/>
    <mergeCell ref="A44:D44"/>
    <mergeCell ref="A59:D59"/>
    <mergeCell ref="A63:D63"/>
    <mergeCell ref="A68:D68"/>
    <mergeCell ref="A74:D74"/>
    <mergeCell ref="A80:D80"/>
    <mergeCell ref="A87:D87"/>
    <mergeCell ref="A90:D90"/>
    <mergeCell ref="T2:U2"/>
    <mergeCell ref="N2:P2"/>
    <mergeCell ref="K2:M2"/>
    <mergeCell ref="H2:J2"/>
    <mergeCell ref="E2:G2"/>
    <mergeCell ref="Q2:S2"/>
    <mergeCell ref="A10:D10"/>
    <mergeCell ref="A37:D37"/>
    <mergeCell ref="A31:D31"/>
    <mergeCell ref="A14:D14"/>
    <mergeCell ref="A18:D18"/>
    <mergeCell ref="A21:D21"/>
    <mergeCell ref="A27:D27"/>
  </mergeCells>
  <pageMargins left="0.25" right="0.25" top="0.75" bottom="0.75" header="0.3" footer="0.3"/>
  <pageSetup paperSize="3" scale="78" fitToWidth="0" orientation="portrait" r:id="rId1"/>
  <headerFooter>
    <oddHeader>&amp;L&amp;KFF0000FINAL ESTIMATE&amp;C&amp;KFF0000Page &amp;P</oddHeader>
  </headerFooter>
  <ignoredErrors>
    <ignoredError sqref="M24 M21 T21:U21 S27 M94 M31 M44 J44 M51 T55:U56 U51 T61:U61 T65:U65 T63:U63 G80 T83:U83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G157"/>
  <sheetViews>
    <sheetView workbookViewId="0">
      <selection activeCell="D154" sqref="D154:D157"/>
    </sheetView>
  </sheetViews>
  <sheetFormatPr defaultRowHeight="15" x14ac:dyDescent="0.25"/>
  <cols>
    <col min="1" max="1" width="12.5703125" bestFit="1" customWidth="1"/>
    <col min="2" max="2" width="10" bestFit="1" customWidth="1"/>
    <col min="3" max="3" width="9.140625" bestFit="1" customWidth="1"/>
    <col min="4" max="4" width="10.140625" bestFit="1" customWidth="1"/>
    <col min="5" max="5" width="5.5703125" bestFit="1" customWidth="1"/>
    <col min="6" max="6" width="7.85546875" bestFit="1" customWidth="1"/>
    <col min="7" max="7" width="15.85546875" bestFit="1" customWidth="1"/>
  </cols>
  <sheetData>
    <row r="1" spans="1:7" x14ac:dyDescent="0.25">
      <c r="A1" s="157" t="s">
        <v>9</v>
      </c>
      <c r="B1" s="157" t="s">
        <v>8</v>
      </c>
      <c r="C1" s="157" t="s">
        <v>29</v>
      </c>
      <c r="D1" s="157" t="s">
        <v>30</v>
      </c>
      <c r="E1" s="157" t="s">
        <v>10</v>
      </c>
      <c r="F1" s="157" t="s">
        <v>37</v>
      </c>
      <c r="G1" s="157" t="s">
        <v>48</v>
      </c>
    </row>
    <row r="2" spans="1:7" x14ac:dyDescent="0.25">
      <c r="A2" s="158" t="s">
        <v>2</v>
      </c>
      <c r="B2" s="159">
        <v>42659</v>
      </c>
      <c r="C2" s="160">
        <v>307.453878188918</v>
      </c>
      <c r="D2" s="160">
        <v>3931.0174425583086</v>
      </c>
      <c r="E2" s="160">
        <v>12.785714285714286</v>
      </c>
      <c r="F2" s="161">
        <v>1329</v>
      </c>
      <c r="G2" s="160">
        <v>0.5035666823387146</v>
      </c>
    </row>
    <row r="3" spans="1:7" x14ac:dyDescent="0.25">
      <c r="A3" s="158" t="s">
        <v>3</v>
      </c>
      <c r="B3" s="159">
        <v>42659</v>
      </c>
      <c r="C3" s="160">
        <v>296.48477642492151</v>
      </c>
      <c r="D3" s="160">
        <v>3976.3840602871824</v>
      </c>
      <c r="E3" s="160">
        <v>13.411764705882353</v>
      </c>
      <c r="F3" s="161">
        <v>1328</v>
      </c>
      <c r="G3" s="160">
        <v>0.56326669454574585</v>
      </c>
    </row>
    <row r="4" spans="1:7" x14ac:dyDescent="0.25">
      <c r="A4" s="158" t="s">
        <v>1</v>
      </c>
      <c r="B4" s="159">
        <v>42659</v>
      </c>
      <c r="C4" s="160">
        <v>554.15387856241705</v>
      </c>
      <c r="D4" s="160">
        <v>5239.2730336810346</v>
      </c>
      <c r="E4" s="160">
        <v>9.454545454545455</v>
      </c>
      <c r="F4" s="161">
        <v>1330</v>
      </c>
      <c r="G4" s="160">
        <v>0.53109997510910034</v>
      </c>
    </row>
    <row r="5" spans="1:7" x14ac:dyDescent="0.25">
      <c r="A5" s="158" t="s">
        <v>1</v>
      </c>
      <c r="B5" s="159">
        <v>42660</v>
      </c>
      <c r="C5" s="160">
        <v>1012.0209735502617</v>
      </c>
      <c r="D5" s="160">
        <v>14382.964745305237</v>
      </c>
      <c r="E5" s="160">
        <v>14.212121212121213</v>
      </c>
      <c r="F5" s="161">
        <v>1331</v>
      </c>
      <c r="G5" s="160">
        <v>0.38405001163482666</v>
      </c>
    </row>
    <row r="6" spans="1:7" x14ac:dyDescent="0.25">
      <c r="A6" s="158" t="s">
        <v>1</v>
      </c>
      <c r="B6" s="159">
        <v>42661</v>
      </c>
      <c r="C6" s="160">
        <v>677.86310492517532</v>
      </c>
      <c r="D6" s="160">
        <v>9038.1747323356722</v>
      </c>
      <c r="E6" s="160">
        <v>13.333333333333334</v>
      </c>
      <c r="F6" s="161">
        <v>1332</v>
      </c>
      <c r="G6" s="160">
        <v>0.38405001163482666</v>
      </c>
    </row>
    <row r="7" spans="1:7" x14ac:dyDescent="0.25">
      <c r="A7" s="158" t="s">
        <v>1</v>
      </c>
      <c r="B7" s="159">
        <v>42662</v>
      </c>
      <c r="C7" s="160">
        <v>159.42989936554739</v>
      </c>
      <c r="D7" s="160">
        <v>2391.4484904832107</v>
      </c>
      <c r="E7" s="160">
        <v>15</v>
      </c>
      <c r="F7" s="161">
        <v>1333</v>
      </c>
      <c r="G7" s="160">
        <v>0.4309999942779541</v>
      </c>
    </row>
    <row r="9" spans="1:7" x14ac:dyDescent="0.25">
      <c r="A9" s="157" t="s">
        <v>9</v>
      </c>
      <c r="B9" s="157" t="s">
        <v>8</v>
      </c>
      <c r="C9" s="157" t="s">
        <v>29</v>
      </c>
      <c r="D9" s="157" t="s">
        <v>30</v>
      </c>
      <c r="E9" s="157" t="s">
        <v>10</v>
      </c>
      <c r="F9" s="157" t="s">
        <v>37</v>
      </c>
      <c r="G9" s="157" t="s">
        <v>48</v>
      </c>
    </row>
    <row r="10" spans="1:7" x14ac:dyDescent="0.25">
      <c r="A10" s="158" t="s">
        <v>2</v>
      </c>
      <c r="B10" s="159">
        <v>42691</v>
      </c>
      <c r="C10" s="160">
        <v>698.17739182402511</v>
      </c>
      <c r="D10" s="160">
        <v>10315.007917916242</v>
      </c>
      <c r="E10" s="160">
        <v>14.774193548387096</v>
      </c>
      <c r="F10" s="161">
        <v>1334</v>
      </c>
      <c r="G10" s="160">
        <v>0.47889998555183411</v>
      </c>
    </row>
    <row r="11" spans="1:7" x14ac:dyDescent="0.25">
      <c r="A11" s="158" t="s">
        <v>2</v>
      </c>
      <c r="B11" s="159">
        <v>42692</v>
      </c>
      <c r="C11" s="160">
        <v>908.0980104254453</v>
      </c>
      <c r="D11" s="160">
        <v>10774.460177750552</v>
      </c>
      <c r="E11" s="160">
        <v>11.864864864864865</v>
      </c>
      <c r="F11" s="161">
        <v>1339</v>
      </c>
      <c r="G11" s="160">
        <v>0.46496665477752686</v>
      </c>
    </row>
    <row r="12" spans="1:7" x14ac:dyDescent="0.25">
      <c r="A12" s="158" t="s">
        <v>2</v>
      </c>
      <c r="B12" s="159">
        <v>42693</v>
      </c>
      <c r="C12" s="160">
        <v>654.82053454659979</v>
      </c>
      <c r="D12" s="160">
        <v>261.92821381863996</v>
      </c>
      <c r="E12" s="160">
        <v>0.4</v>
      </c>
      <c r="F12" s="161">
        <v>1340</v>
      </c>
      <c r="G12" s="160">
        <v>0.51429998874664307</v>
      </c>
    </row>
    <row r="13" spans="1:7" x14ac:dyDescent="0.25">
      <c r="A13" s="158" t="s">
        <v>3</v>
      </c>
      <c r="B13" s="159">
        <v>42691</v>
      </c>
      <c r="C13" s="160">
        <v>546.07475375880756</v>
      </c>
      <c r="D13" s="160">
        <v>7736.0590115831055</v>
      </c>
      <c r="E13" s="160">
        <v>14.166666666666666</v>
      </c>
      <c r="F13" s="161">
        <v>1335</v>
      </c>
      <c r="G13" s="160">
        <v>0.55113333463668823</v>
      </c>
    </row>
    <row r="14" spans="1:7" x14ac:dyDescent="0.25">
      <c r="A14" s="158" t="s">
        <v>3</v>
      </c>
      <c r="B14" s="159">
        <v>42692</v>
      </c>
      <c r="C14" s="160">
        <v>842.59275060376501</v>
      </c>
      <c r="D14" s="160">
        <v>6406.8844998739114</v>
      </c>
      <c r="E14" s="160">
        <v>7.6037735849056602</v>
      </c>
      <c r="F14" s="161">
        <v>1337</v>
      </c>
      <c r="G14" s="160">
        <v>0.55113333463668823</v>
      </c>
    </row>
    <row r="15" spans="1:7" x14ac:dyDescent="0.25">
      <c r="A15" s="158" t="s">
        <v>3</v>
      </c>
      <c r="B15" s="159">
        <v>42693</v>
      </c>
      <c r="C15" s="160">
        <v>595.46802136472024</v>
      </c>
      <c r="D15" s="160">
        <v>159.50036286555007</v>
      </c>
      <c r="E15" s="160">
        <v>0.26785714285714285</v>
      </c>
      <c r="F15" s="161">
        <v>1342</v>
      </c>
      <c r="G15" s="160">
        <v>0.5507500171661377</v>
      </c>
    </row>
    <row r="16" spans="1:7" x14ac:dyDescent="0.25">
      <c r="A16" s="158" t="s">
        <v>1</v>
      </c>
      <c r="B16" s="159">
        <v>42691</v>
      </c>
      <c r="C16" s="160">
        <v>809.65455179787705</v>
      </c>
      <c r="D16" s="160">
        <v>10852.81633260984</v>
      </c>
      <c r="E16" s="160">
        <v>13.404255319148936</v>
      </c>
      <c r="F16" s="161">
        <v>1336</v>
      </c>
      <c r="G16" s="160">
        <v>0.52824997901916504</v>
      </c>
    </row>
    <row r="17" spans="1:7" x14ac:dyDescent="0.25">
      <c r="A17" s="158" t="s">
        <v>1</v>
      </c>
      <c r="B17" s="159">
        <v>42692</v>
      </c>
      <c r="C17" s="160">
        <v>895.90365071608107</v>
      </c>
      <c r="D17" s="160">
        <v>12110.145899334613</v>
      </c>
      <c r="E17" s="160">
        <v>13.517241379310345</v>
      </c>
      <c r="F17" s="161">
        <v>1338</v>
      </c>
      <c r="G17" s="160">
        <v>0.51243335008621216</v>
      </c>
    </row>
    <row r="18" spans="1:7" x14ac:dyDescent="0.25">
      <c r="A18" s="158" t="s">
        <v>1</v>
      </c>
      <c r="B18" s="159">
        <v>42693</v>
      </c>
      <c r="C18" s="160">
        <v>416.48499239358534</v>
      </c>
      <c r="D18" s="160">
        <v>252.8658882389625</v>
      </c>
      <c r="E18" s="160">
        <v>0.6071428571428571</v>
      </c>
      <c r="F18" s="161">
        <v>1341</v>
      </c>
      <c r="G18" s="160">
        <v>0.47396665811538696</v>
      </c>
    </row>
    <row r="20" spans="1:7" x14ac:dyDescent="0.25">
      <c r="A20" s="157" t="s">
        <v>9</v>
      </c>
      <c r="B20" s="157" t="s">
        <v>8</v>
      </c>
      <c r="C20" s="157" t="s">
        <v>29</v>
      </c>
      <c r="D20" s="157" t="s">
        <v>30</v>
      </c>
      <c r="E20" s="157" t="s">
        <v>10</v>
      </c>
      <c r="F20" s="157" t="s">
        <v>37</v>
      </c>
      <c r="G20" s="157" t="s">
        <v>48</v>
      </c>
    </row>
    <row r="21" spans="1:7" x14ac:dyDescent="0.25">
      <c r="A21" s="158" t="s">
        <v>1</v>
      </c>
      <c r="B21" s="159">
        <v>42700</v>
      </c>
      <c r="C21" s="160">
        <v>4386.0818789501618</v>
      </c>
      <c r="D21" s="160">
        <v>34508.144194681423</v>
      </c>
      <c r="E21" s="160">
        <v>7.867647058823529</v>
      </c>
      <c r="F21" s="161">
        <v>1343</v>
      </c>
      <c r="G21" s="160">
        <v>0.43947499990463257</v>
      </c>
    </row>
    <row r="22" spans="1:7" x14ac:dyDescent="0.25">
      <c r="A22" s="158" t="s">
        <v>1</v>
      </c>
      <c r="B22" s="159">
        <v>42701</v>
      </c>
      <c r="C22" s="160">
        <v>455.99199078553005</v>
      </c>
      <c r="D22" s="160">
        <v>3289.6565049527526</v>
      </c>
      <c r="E22" s="160">
        <v>7.2142857142857144</v>
      </c>
      <c r="F22" s="161">
        <v>1344</v>
      </c>
      <c r="G22" s="160">
        <v>0.47396665811538696</v>
      </c>
    </row>
    <row r="24" spans="1:7" x14ac:dyDescent="0.25">
      <c r="A24" s="175" t="s">
        <v>9</v>
      </c>
      <c r="B24" s="175" t="s">
        <v>8</v>
      </c>
      <c r="C24" s="175" t="s">
        <v>29</v>
      </c>
      <c r="D24" s="175" t="s">
        <v>30</v>
      </c>
      <c r="E24" s="175" t="s">
        <v>10</v>
      </c>
      <c r="F24" s="175" t="s">
        <v>37</v>
      </c>
      <c r="G24" s="175" t="s">
        <v>48</v>
      </c>
    </row>
    <row r="25" spans="1:7" x14ac:dyDescent="0.25">
      <c r="A25" s="176" t="s">
        <v>2</v>
      </c>
      <c r="B25" s="177">
        <v>42714</v>
      </c>
      <c r="C25" s="178">
        <v>1730.2544817602191</v>
      </c>
      <c r="D25" s="178">
        <v>16813.559855365605</v>
      </c>
      <c r="E25" s="178">
        <v>9.7173913043478262</v>
      </c>
      <c r="F25" s="179">
        <v>1345</v>
      </c>
      <c r="G25" s="178">
        <v>0.46496665477752686</v>
      </c>
    </row>
    <row r="26" spans="1:7" x14ac:dyDescent="0.25">
      <c r="A26" s="176" t="s">
        <v>2</v>
      </c>
      <c r="B26" s="177">
        <v>42715</v>
      </c>
      <c r="C26" s="178">
        <v>961.8555753094945</v>
      </c>
      <c r="D26" s="178">
        <v>14427.833629642417</v>
      </c>
      <c r="E26" s="178">
        <v>15</v>
      </c>
      <c r="F26" s="179">
        <v>1347</v>
      </c>
      <c r="G26" s="178">
        <v>0.46496665477752686</v>
      </c>
    </row>
    <row r="27" spans="1:7" x14ac:dyDescent="0.25">
      <c r="A27" s="176" t="s">
        <v>3</v>
      </c>
      <c r="B27" s="177">
        <v>42714</v>
      </c>
      <c r="C27" s="178">
        <v>1897.729352630382</v>
      </c>
      <c r="D27" s="178">
        <v>22186.181340751555</v>
      </c>
      <c r="E27" s="178">
        <v>11.690909090909091</v>
      </c>
      <c r="F27" s="179">
        <v>1346</v>
      </c>
      <c r="G27" s="178">
        <v>0.56365001201629639</v>
      </c>
    </row>
    <row r="28" spans="1:7" x14ac:dyDescent="0.25">
      <c r="A28" s="176" t="s">
        <v>3</v>
      </c>
      <c r="B28" s="177">
        <v>42715</v>
      </c>
      <c r="C28" s="178">
        <v>924.39921289668416</v>
      </c>
      <c r="D28" s="178">
        <v>13865.988193450265</v>
      </c>
      <c r="E28" s="178">
        <v>15</v>
      </c>
      <c r="F28" s="179">
        <v>1348</v>
      </c>
      <c r="G28" s="178">
        <v>0.57010000944137573</v>
      </c>
    </row>
    <row r="30" spans="1:7" x14ac:dyDescent="0.25">
      <c r="A30" s="180" t="s">
        <v>9</v>
      </c>
      <c r="B30" s="180" t="s">
        <v>8</v>
      </c>
      <c r="C30" s="180" t="s">
        <v>29</v>
      </c>
      <c r="D30" s="180" t="s">
        <v>30</v>
      </c>
      <c r="E30" s="180" t="s">
        <v>10</v>
      </c>
      <c r="F30" s="180" t="s">
        <v>37</v>
      </c>
      <c r="G30" s="180" t="s">
        <v>48</v>
      </c>
    </row>
    <row r="31" spans="1:7" x14ac:dyDescent="0.25">
      <c r="A31" s="181" t="s">
        <v>2</v>
      </c>
      <c r="B31" s="182">
        <v>42734</v>
      </c>
      <c r="C31" s="183">
        <v>2584.6268847794859</v>
      </c>
      <c r="D31" s="183">
        <v>33206.836715319048</v>
      </c>
      <c r="E31" s="183">
        <v>12.847826086956522</v>
      </c>
      <c r="F31" s="184">
        <v>1349</v>
      </c>
      <c r="G31" s="183">
        <v>0.47889998555183411</v>
      </c>
    </row>
    <row r="32" spans="1:7" x14ac:dyDescent="0.25">
      <c r="A32" s="181" t="s">
        <v>2</v>
      </c>
      <c r="B32" s="182">
        <v>42735</v>
      </c>
      <c r="C32" s="183">
        <v>1417.8172271555168</v>
      </c>
      <c r="D32" s="183">
        <v>16361.610801374662</v>
      </c>
      <c r="E32" s="183">
        <v>11.54</v>
      </c>
      <c r="F32" s="184">
        <v>1350</v>
      </c>
      <c r="G32" s="183">
        <v>0.5035666823387146</v>
      </c>
    </row>
    <row r="33" spans="1:7" x14ac:dyDescent="0.25">
      <c r="A33" s="181" t="s">
        <v>3</v>
      </c>
      <c r="B33" s="182">
        <v>42734</v>
      </c>
      <c r="C33" s="183">
        <v>1621.0631271273953</v>
      </c>
      <c r="D33" s="183">
        <v>19052.495025003464</v>
      </c>
      <c r="E33" s="183">
        <v>11.753086419753087</v>
      </c>
      <c r="F33" s="184">
        <v>1351</v>
      </c>
      <c r="G33" s="183">
        <v>0.55113333463668823</v>
      </c>
    </row>
    <row r="34" spans="1:7" x14ac:dyDescent="0.25">
      <c r="A34" s="181" t="s">
        <v>3</v>
      </c>
      <c r="B34" s="182">
        <v>42735</v>
      </c>
      <c r="C34" s="183">
        <v>849.15930608427016</v>
      </c>
      <c r="D34" s="183">
        <v>7057.4573439003798</v>
      </c>
      <c r="E34" s="183">
        <v>8.3111111111111118</v>
      </c>
      <c r="F34" s="184">
        <v>1352</v>
      </c>
      <c r="G34" s="183">
        <v>0.55113333463668823</v>
      </c>
    </row>
    <row r="36" spans="1:7" x14ac:dyDescent="0.25">
      <c r="A36" s="180" t="s">
        <v>9</v>
      </c>
      <c r="B36" s="180" t="s">
        <v>8</v>
      </c>
      <c r="C36" s="180" t="s">
        <v>29</v>
      </c>
      <c r="D36" s="180" t="s">
        <v>30</v>
      </c>
      <c r="E36" s="180" t="s">
        <v>10</v>
      </c>
      <c r="F36" s="180" t="s">
        <v>37</v>
      </c>
      <c r="G36" s="180" t="s">
        <v>48</v>
      </c>
    </row>
    <row r="37" spans="1:7" x14ac:dyDescent="0.25">
      <c r="A37" s="181" t="s">
        <v>4</v>
      </c>
      <c r="B37" s="182">
        <v>42743</v>
      </c>
      <c r="C37" s="183">
        <v>419.41621621621624</v>
      </c>
      <c r="D37" s="183">
        <v>43.545945945945945</v>
      </c>
      <c r="E37" s="183">
        <v>0.10382513661202186</v>
      </c>
      <c r="F37" s="184">
        <v>1353</v>
      </c>
      <c r="G37" s="183">
        <v>1</v>
      </c>
    </row>
    <row r="38" spans="1:7" x14ac:dyDescent="0.25">
      <c r="A38" s="181" t="s">
        <v>4</v>
      </c>
      <c r="B38" s="182">
        <v>42743</v>
      </c>
      <c r="C38" s="183">
        <v>430</v>
      </c>
      <c r="D38" s="183">
        <v>68.409090909090907</v>
      </c>
      <c r="E38" s="183">
        <v>0.15909090909090909</v>
      </c>
      <c r="F38" s="184">
        <v>1355</v>
      </c>
      <c r="G38" s="183">
        <v>1</v>
      </c>
    </row>
    <row r="39" spans="1:7" x14ac:dyDescent="0.25">
      <c r="C39" s="185">
        <f>AVERAGE(C37:C38)</f>
        <v>424.70810810810815</v>
      </c>
      <c r="D39" s="185">
        <f>AVERAGE(D37:D38)</f>
        <v>55.977518427518426</v>
      </c>
      <c r="E39" s="185">
        <f>+D39/C39</f>
        <v>0.13180233049205059</v>
      </c>
    </row>
    <row r="40" spans="1:7" x14ac:dyDescent="0.25">
      <c r="A40" s="181" t="s">
        <v>4</v>
      </c>
      <c r="B40" s="182">
        <v>42744</v>
      </c>
      <c r="C40" s="183">
        <v>212.72727272727275</v>
      </c>
      <c r="D40" s="183">
        <v>1354.090909090909</v>
      </c>
      <c r="E40" s="183">
        <v>6.365384615384615</v>
      </c>
      <c r="F40" s="184">
        <v>1354</v>
      </c>
      <c r="G40" s="183">
        <v>1</v>
      </c>
    </row>
    <row r="42" spans="1:7" x14ac:dyDescent="0.25">
      <c r="A42" s="180" t="s">
        <v>9</v>
      </c>
      <c r="B42" s="180" t="s">
        <v>8</v>
      </c>
      <c r="C42" s="180" t="s">
        <v>29</v>
      </c>
      <c r="D42" s="180" t="s">
        <v>30</v>
      </c>
      <c r="E42" s="180" t="s">
        <v>10</v>
      </c>
      <c r="F42" s="180" t="s">
        <v>37</v>
      </c>
      <c r="G42" s="180" t="s">
        <v>48</v>
      </c>
    </row>
    <row r="43" spans="1:7" x14ac:dyDescent="0.25">
      <c r="A43" s="181" t="s">
        <v>2</v>
      </c>
      <c r="B43" s="182">
        <v>42748</v>
      </c>
      <c r="C43" s="183">
        <v>1360.4547061735436</v>
      </c>
      <c r="D43" s="183">
        <v>19953.335690545307</v>
      </c>
      <c r="E43" s="183">
        <v>14.666666666666666</v>
      </c>
      <c r="F43" s="184">
        <v>1356</v>
      </c>
      <c r="G43" s="183">
        <v>0.47889998555183411</v>
      </c>
    </row>
    <row r="44" spans="1:7" x14ac:dyDescent="0.25">
      <c r="A44" s="181" t="s">
        <v>2</v>
      </c>
      <c r="B44" s="182">
        <v>42749</v>
      </c>
      <c r="C44" s="183">
        <v>2076.1589535097978</v>
      </c>
      <c r="D44" s="183">
        <v>29519.205484448401</v>
      </c>
      <c r="E44" s="183">
        <v>14.218181818181819</v>
      </c>
      <c r="F44" s="184">
        <v>1357</v>
      </c>
      <c r="G44" s="183">
        <v>0.50333333015441895</v>
      </c>
    </row>
    <row r="45" spans="1:7" x14ac:dyDescent="0.25">
      <c r="A45" s="181" t="s">
        <v>2</v>
      </c>
      <c r="B45" s="182">
        <v>42750</v>
      </c>
      <c r="C45" s="183">
        <v>827.08031911300122</v>
      </c>
      <c r="D45" s="183">
        <v>10379.858004868165</v>
      </c>
      <c r="E45" s="183">
        <v>12.55</v>
      </c>
      <c r="F45" s="184">
        <v>1358</v>
      </c>
      <c r="G45" s="183">
        <v>0.49500000476837158</v>
      </c>
    </row>
    <row r="46" spans="1:7" x14ac:dyDescent="0.25">
      <c r="A46" s="181" t="s">
        <v>3</v>
      </c>
      <c r="B46" s="182">
        <v>42748</v>
      </c>
      <c r="C46" s="183">
        <v>528.84133147849752</v>
      </c>
      <c r="D46" s="183">
        <v>7541.2773868833756</v>
      </c>
      <c r="E46" s="183">
        <v>14.26</v>
      </c>
      <c r="F46" s="184">
        <v>1359</v>
      </c>
      <c r="G46" s="183">
        <v>0.537850022315979</v>
      </c>
    </row>
    <row r="47" spans="1:7" x14ac:dyDescent="0.25">
      <c r="A47" s="181" t="s">
        <v>3</v>
      </c>
      <c r="B47" s="182">
        <v>42749</v>
      </c>
      <c r="C47" s="183">
        <v>1249.2064069291739</v>
      </c>
      <c r="D47" s="183">
        <v>11707.678650987373</v>
      </c>
      <c r="E47" s="183">
        <v>9.3720930232558146</v>
      </c>
      <c r="F47" s="184">
        <v>1360</v>
      </c>
      <c r="G47" s="183">
        <v>0.56326669454574585</v>
      </c>
    </row>
    <row r="48" spans="1:7" x14ac:dyDescent="0.25">
      <c r="A48" s="181" t="s">
        <v>3</v>
      </c>
      <c r="B48" s="182">
        <v>42750</v>
      </c>
      <c r="C48" s="183">
        <v>789.73839149512537</v>
      </c>
      <c r="D48" s="183">
        <v>6457.2727304601403</v>
      </c>
      <c r="E48" s="183">
        <v>8.1764705882352935</v>
      </c>
      <c r="F48" s="184">
        <v>1361</v>
      </c>
      <c r="G48" s="183">
        <v>0.56326669454574585</v>
      </c>
    </row>
    <row r="50" spans="1:7" x14ac:dyDescent="0.25">
      <c r="A50" s="180" t="s">
        <v>9</v>
      </c>
      <c r="B50" s="180" t="s">
        <v>8</v>
      </c>
      <c r="C50" s="180" t="s">
        <v>29</v>
      </c>
      <c r="D50" s="180" t="s">
        <v>30</v>
      </c>
      <c r="E50" s="180" t="s">
        <v>10</v>
      </c>
      <c r="F50" s="180" t="s">
        <v>37</v>
      </c>
      <c r="G50" s="180" t="s">
        <v>48</v>
      </c>
    </row>
    <row r="51" spans="1:7" x14ac:dyDescent="0.25">
      <c r="A51" s="181" t="s">
        <v>2</v>
      </c>
      <c r="B51" s="182">
        <v>42762</v>
      </c>
      <c r="C51" s="183">
        <v>3378.4056923947078</v>
      </c>
      <c r="D51" s="183">
        <v>41084.519799466674</v>
      </c>
      <c r="E51" s="183">
        <v>12.160919540229886</v>
      </c>
      <c r="F51" s="184">
        <v>1362</v>
      </c>
      <c r="G51" s="183">
        <v>0.64770001173019409</v>
      </c>
    </row>
    <row r="52" spans="1:7" x14ac:dyDescent="0.25">
      <c r="A52" s="181" t="s">
        <v>2</v>
      </c>
      <c r="B52" s="182">
        <v>42763</v>
      </c>
      <c r="C52" s="183">
        <v>5779.7760245021936</v>
      </c>
      <c r="D52" s="183">
        <v>60122.957496258452</v>
      </c>
      <c r="E52" s="183">
        <v>10.402298850574713</v>
      </c>
      <c r="F52" s="184">
        <v>1363</v>
      </c>
      <c r="G52" s="183">
        <v>0.52060002088546753</v>
      </c>
    </row>
    <row r="53" spans="1:7" x14ac:dyDescent="0.25">
      <c r="A53" s="181" t="s">
        <v>2</v>
      </c>
      <c r="B53" s="182">
        <v>42764</v>
      </c>
      <c r="C53" s="183">
        <v>528.97986556560511</v>
      </c>
      <c r="D53" s="183">
        <v>7517.0823001428107</v>
      </c>
      <c r="E53" s="183">
        <v>14.210526315789474</v>
      </c>
      <c r="F53" s="184">
        <v>1364</v>
      </c>
      <c r="G53" s="183">
        <v>0.51223331689834595</v>
      </c>
    </row>
    <row r="54" spans="1:7" x14ac:dyDescent="0.25">
      <c r="A54" s="181" t="s">
        <v>2</v>
      </c>
      <c r="B54" s="182">
        <v>42765</v>
      </c>
      <c r="C54" s="183">
        <v>448.87917664367563</v>
      </c>
      <c r="D54" s="183">
        <v>6733.1876496551349</v>
      </c>
      <c r="E54" s="183">
        <v>15</v>
      </c>
      <c r="F54" s="184">
        <v>1366</v>
      </c>
      <c r="G54" s="183">
        <v>0.45056667923927307</v>
      </c>
    </row>
    <row r="55" spans="1:7" x14ac:dyDescent="0.25">
      <c r="A55" s="181" t="s">
        <v>2</v>
      </c>
      <c r="B55" s="182">
        <v>42766</v>
      </c>
      <c r="C55" s="183">
        <v>254.65072792822684</v>
      </c>
      <c r="D55" s="183">
        <v>3819.7609189234026</v>
      </c>
      <c r="E55" s="183">
        <v>15</v>
      </c>
      <c r="F55" s="184">
        <v>1368</v>
      </c>
      <c r="G55" s="183">
        <v>0.5411333441734314</v>
      </c>
    </row>
    <row r="56" spans="1:7" x14ac:dyDescent="0.25">
      <c r="A56" s="181" t="s">
        <v>3</v>
      </c>
      <c r="B56" s="182">
        <v>42764</v>
      </c>
      <c r="C56" s="183">
        <v>476.58549701524316</v>
      </c>
      <c r="D56" s="183">
        <v>7038.8011866866691</v>
      </c>
      <c r="E56" s="183">
        <v>14.76923076923077</v>
      </c>
      <c r="F56" s="184">
        <v>1365</v>
      </c>
      <c r="G56" s="183">
        <v>0.57010000944137573</v>
      </c>
    </row>
    <row r="57" spans="1:7" x14ac:dyDescent="0.25">
      <c r="A57" s="181" t="s">
        <v>3</v>
      </c>
      <c r="B57" s="182">
        <v>42765</v>
      </c>
      <c r="C57" s="183">
        <v>271.73717595940326</v>
      </c>
      <c r="D57" s="183">
        <v>3902.1458467770308</v>
      </c>
      <c r="E57" s="183">
        <v>14.36</v>
      </c>
      <c r="F57" s="184">
        <v>1367</v>
      </c>
      <c r="G57" s="183">
        <v>0.537850022315979</v>
      </c>
    </row>
    <row r="58" spans="1:7" x14ac:dyDescent="0.25">
      <c r="A58" s="181" t="s">
        <v>3</v>
      </c>
      <c r="B58" s="182">
        <v>42766</v>
      </c>
      <c r="C58" s="183">
        <v>80.102904596360361</v>
      </c>
      <c r="D58" s="183">
        <v>1201.5435689454055</v>
      </c>
      <c r="E58" s="183">
        <v>15</v>
      </c>
      <c r="F58" s="184">
        <v>1369</v>
      </c>
      <c r="G58" s="183">
        <v>0.57010000944137573</v>
      </c>
    </row>
    <row r="60" spans="1:7" x14ac:dyDescent="0.25">
      <c r="A60" s="190" t="s">
        <v>9</v>
      </c>
      <c r="B60" s="190" t="s">
        <v>8</v>
      </c>
      <c r="C60" s="190" t="s">
        <v>29</v>
      </c>
      <c r="D60" s="190" t="s">
        <v>30</v>
      </c>
      <c r="E60" s="190" t="s">
        <v>10</v>
      </c>
      <c r="F60" s="190" t="s">
        <v>37</v>
      </c>
      <c r="G60" s="190" t="s">
        <v>48</v>
      </c>
    </row>
    <row r="61" spans="1:7" x14ac:dyDescent="0.25">
      <c r="A61" s="191" t="s">
        <v>2</v>
      </c>
      <c r="B61" s="192">
        <v>42773</v>
      </c>
      <c r="C61" s="193">
        <v>760.13880434470593</v>
      </c>
      <c r="D61" s="193">
        <v>11402.082065170591</v>
      </c>
      <c r="E61" s="193">
        <v>15</v>
      </c>
      <c r="F61" s="194">
        <v>1371</v>
      </c>
      <c r="G61" s="193">
        <v>0.51223331689834595</v>
      </c>
    </row>
    <row r="62" spans="1:7" x14ac:dyDescent="0.25">
      <c r="A62" s="191" t="s">
        <v>2</v>
      </c>
      <c r="B62" s="192">
        <v>42774</v>
      </c>
      <c r="C62" s="193">
        <v>552.5440322970959</v>
      </c>
      <c r="D62" s="193">
        <v>7546.1727839431951</v>
      </c>
      <c r="E62" s="193">
        <v>13.657142857142857</v>
      </c>
      <c r="F62" s="194">
        <v>1374</v>
      </c>
      <c r="G62" s="193">
        <v>0.5411333441734314</v>
      </c>
    </row>
    <row r="63" spans="1:7" x14ac:dyDescent="0.25">
      <c r="A63" s="191" t="s">
        <v>3</v>
      </c>
      <c r="B63" s="192">
        <v>42773</v>
      </c>
      <c r="C63" s="193">
        <v>537.04027643618247</v>
      </c>
      <c r="D63" s="193">
        <v>7811.4949299808341</v>
      </c>
      <c r="E63" s="193">
        <v>14.545454545454545</v>
      </c>
      <c r="F63" s="194">
        <v>1372</v>
      </c>
      <c r="G63" s="193">
        <v>0.57010000944137573</v>
      </c>
    </row>
    <row r="64" spans="1:7" x14ac:dyDescent="0.25">
      <c r="A64" s="191" t="s">
        <v>3</v>
      </c>
      <c r="B64" s="192">
        <v>42774</v>
      </c>
      <c r="C64" s="193">
        <v>458.04234920736371</v>
      </c>
      <c r="D64" s="193">
        <v>6552.5502733831199</v>
      </c>
      <c r="E64" s="193">
        <v>14.305555555555555</v>
      </c>
      <c r="F64" s="194">
        <v>1375</v>
      </c>
      <c r="G64" s="193">
        <v>0.56326669454574585</v>
      </c>
    </row>
    <row r="65" spans="1:7" x14ac:dyDescent="0.25">
      <c r="A65" s="191" t="s">
        <v>1</v>
      </c>
      <c r="B65" s="192">
        <v>42773</v>
      </c>
      <c r="C65" s="193">
        <v>734.50073906377429</v>
      </c>
      <c r="D65" s="193">
        <v>10833.885901190672</v>
      </c>
      <c r="E65" s="193">
        <v>14.75</v>
      </c>
      <c r="F65" s="194">
        <v>1370</v>
      </c>
      <c r="G65" s="193">
        <v>0.52824997901916504</v>
      </c>
    </row>
    <row r="66" spans="1:7" x14ac:dyDescent="0.25">
      <c r="A66" s="191" t="s">
        <v>1</v>
      </c>
      <c r="B66" s="192">
        <v>42774</v>
      </c>
      <c r="C66" s="193">
        <v>581.59424517632237</v>
      </c>
      <c r="D66" s="193">
        <v>8621.2793990843093</v>
      </c>
      <c r="E66" s="193">
        <v>14.823529411764707</v>
      </c>
      <c r="F66" s="194">
        <v>1373</v>
      </c>
      <c r="G66" s="193">
        <v>0.48980000615119934</v>
      </c>
    </row>
    <row r="68" spans="1:7" x14ac:dyDescent="0.25">
      <c r="A68" s="175" t="s">
        <v>9</v>
      </c>
      <c r="B68" s="175" t="s">
        <v>8</v>
      </c>
      <c r="C68" s="175" t="s">
        <v>29</v>
      </c>
      <c r="D68" s="175" t="s">
        <v>30</v>
      </c>
      <c r="E68" s="175" t="s">
        <v>10</v>
      </c>
      <c r="F68" s="175" t="s">
        <v>37</v>
      </c>
      <c r="G68" s="175" t="s">
        <v>48</v>
      </c>
    </row>
    <row r="69" spans="1:7" x14ac:dyDescent="0.25">
      <c r="A69" s="176" t="s">
        <v>2</v>
      </c>
      <c r="B69" s="177">
        <v>42775</v>
      </c>
      <c r="C69" s="178">
        <v>688.09490559169888</v>
      </c>
      <c r="D69" s="178">
        <v>4994.2372180042657</v>
      </c>
      <c r="E69" s="178">
        <v>7.258064516129032</v>
      </c>
      <c r="F69" s="179">
        <v>1376</v>
      </c>
      <c r="G69" s="178">
        <v>0.52060002088546753</v>
      </c>
    </row>
    <row r="70" spans="1:7" x14ac:dyDescent="0.25">
      <c r="A70" s="176" t="s">
        <v>3</v>
      </c>
      <c r="B70" s="177">
        <v>42775</v>
      </c>
      <c r="C70" s="178">
        <v>549.78151747000743</v>
      </c>
      <c r="D70" s="178">
        <v>978.8792872026961</v>
      </c>
      <c r="E70" s="178">
        <v>1.7804878048780488</v>
      </c>
      <c r="F70" s="179">
        <v>1377</v>
      </c>
      <c r="G70" s="178">
        <v>0.56996667385101318</v>
      </c>
    </row>
    <row r="71" spans="1:7" x14ac:dyDescent="0.25">
      <c r="A71" s="176" t="s">
        <v>3</v>
      </c>
      <c r="B71" s="177">
        <v>42776</v>
      </c>
      <c r="C71" s="178">
        <v>1468.6682342693912</v>
      </c>
      <c r="D71" s="178">
        <v>11802.751991764928</v>
      </c>
      <c r="E71" s="178">
        <v>8.036363636363637</v>
      </c>
      <c r="F71" s="179">
        <v>1378</v>
      </c>
      <c r="G71" s="178">
        <v>0.66116666793823242</v>
      </c>
    </row>
    <row r="72" spans="1:7" x14ac:dyDescent="0.25">
      <c r="A72" s="176" t="s">
        <v>3</v>
      </c>
      <c r="B72" s="177">
        <v>42777</v>
      </c>
      <c r="C72" s="178">
        <v>4451.6083789766672</v>
      </c>
      <c r="D72" s="178">
        <v>49446.359736375234</v>
      </c>
      <c r="E72" s="178">
        <v>11.10752688172043</v>
      </c>
      <c r="F72" s="179">
        <v>1379</v>
      </c>
      <c r="G72" s="178">
        <v>0.56996667385101318</v>
      </c>
    </row>
    <row r="73" spans="1:7" x14ac:dyDescent="0.25">
      <c r="A73" s="176" t="s">
        <v>3</v>
      </c>
      <c r="B73" s="177">
        <v>42778</v>
      </c>
      <c r="C73" s="178">
        <v>716.17647143028626</v>
      </c>
      <c r="D73" s="178">
        <v>6302.3529485865183</v>
      </c>
      <c r="E73" s="178">
        <v>8.8000000000000007</v>
      </c>
      <c r="F73" s="179">
        <v>1380</v>
      </c>
      <c r="G73" s="178">
        <v>0.56996667385101318</v>
      </c>
    </row>
    <row r="74" spans="1:7" x14ac:dyDescent="0.25">
      <c r="A74" s="176" t="s">
        <v>1</v>
      </c>
      <c r="B74" s="177">
        <v>42775</v>
      </c>
      <c r="C74" s="178">
        <v>599.10230266697147</v>
      </c>
      <c r="D74" s="178">
        <v>5333.4717188645018</v>
      </c>
      <c r="E74" s="178">
        <v>8.9024390243902438</v>
      </c>
      <c r="F74" s="179">
        <v>1381</v>
      </c>
      <c r="G74" s="178">
        <v>0.51243335008621216</v>
      </c>
    </row>
    <row r="75" spans="1:7" x14ac:dyDescent="0.25">
      <c r="A75" s="176" t="s">
        <v>1</v>
      </c>
      <c r="B75" s="177">
        <v>42776</v>
      </c>
      <c r="C75" s="178">
        <v>973.02848226812773</v>
      </c>
      <c r="D75" s="178">
        <v>13987.284432604336</v>
      </c>
      <c r="E75" s="178">
        <v>14.375</v>
      </c>
      <c r="F75" s="179">
        <v>1382</v>
      </c>
      <c r="G75" s="178">
        <v>0.51243335008621216</v>
      </c>
    </row>
    <row r="76" spans="1:7" x14ac:dyDescent="0.25">
      <c r="A76" s="176" t="s">
        <v>1</v>
      </c>
      <c r="B76" s="177">
        <v>42777</v>
      </c>
      <c r="C76" s="178">
        <v>3616.0800222863131</v>
      </c>
      <c r="D76" s="178">
        <v>45902.945224081544</v>
      </c>
      <c r="E76" s="178">
        <v>12.694117647058823</v>
      </c>
      <c r="F76" s="179">
        <v>1383</v>
      </c>
      <c r="G76" s="178">
        <v>0.51243335008621216</v>
      </c>
    </row>
    <row r="77" spans="1:7" x14ac:dyDescent="0.25">
      <c r="A77" s="176" t="s">
        <v>1</v>
      </c>
      <c r="B77" s="177">
        <v>42778</v>
      </c>
      <c r="C77" s="178">
        <v>1320.6322499976759</v>
      </c>
      <c r="D77" s="178">
        <v>18791.496390591929</v>
      </c>
      <c r="E77" s="178">
        <v>14.229166666666666</v>
      </c>
      <c r="F77" s="179">
        <v>1384</v>
      </c>
      <c r="G77" s="178">
        <v>0.53109997510910034</v>
      </c>
    </row>
    <row r="79" spans="1:7" x14ac:dyDescent="0.25">
      <c r="A79" s="195" t="s">
        <v>9</v>
      </c>
      <c r="B79" s="195" t="s">
        <v>8</v>
      </c>
      <c r="C79" s="195" t="s">
        <v>29</v>
      </c>
      <c r="D79" s="195" t="s">
        <v>30</v>
      </c>
      <c r="E79" s="195" t="s">
        <v>10</v>
      </c>
      <c r="F79" s="195" t="s">
        <v>37</v>
      </c>
      <c r="G79" s="195" t="s">
        <v>48</v>
      </c>
    </row>
    <row r="80" spans="1:7" x14ac:dyDescent="0.25">
      <c r="A80" s="196" t="s">
        <v>2</v>
      </c>
      <c r="B80" s="197">
        <v>42790</v>
      </c>
      <c r="C80" s="198">
        <v>2424.5787203382324</v>
      </c>
      <c r="D80" s="198">
        <v>36368.680805073491</v>
      </c>
      <c r="E80" s="198">
        <v>15</v>
      </c>
      <c r="F80" s="199">
        <v>1385</v>
      </c>
      <c r="G80" s="198">
        <v>0.51223331689834595</v>
      </c>
    </row>
    <row r="81" spans="1:7" x14ac:dyDescent="0.25">
      <c r="A81" s="196" t="s">
        <v>2</v>
      </c>
      <c r="B81" s="197">
        <v>42791</v>
      </c>
      <c r="C81" s="198">
        <v>8177.9369228415162</v>
      </c>
      <c r="D81" s="198">
        <v>108102.10369881128</v>
      </c>
      <c r="E81" s="198">
        <v>13.21875</v>
      </c>
      <c r="F81" s="199">
        <v>1386</v>
      </c>
      <c r="G81" s="198">
        <v>0.45056667923927307</v>
      </c>
    </row>
    <row r="82" spans="1:7" x14ac:dyDescent="0.25">
      <c r="A82" s="196" t="s">
        <v>2</v>
      </c>
      <c r="B82" s="197">
        <v>42792</v>
      </c>
      <c r="C82" s="198">
        <v>1607.6658288969238</v>
      </c>
      <c r="D82" s="198">
        <v>18158.717313278368</v>
      </c>
      <c r="E82" s="198">
        <v>11.295081967213115</v>
      </c>
      <c r="F82" s="199">
        <v>1387</v>
      </c>
      <c r="G82" s="198">
        <v>0.51223331689834595</v>
      </c>
    </row>
    <row r="83" spans="1:7" x14ac:dyDescent="0.25">
      <c r="A83" s="196" t="s">
        <v>3</v>
      </c>
      <c r="B83" s="197">
        <v>42790</v>
      </c>
      <c r="C83" s="198">
        <v>1438.6266222006643</v>
      </c>
      <c r="D83" s="198">
        <v>21031.351095981139</v>
      </c>
      <c r="E83" s="198">
        <v>14.619047619047619</v>
      </c>
      <c r="F83" s="199">
        <v>1388</v>
      </c>
      <c r="G83" s="198">
        <v>0.56996667385101318</v>
      </c>
    </row>
    <row r="84" spans="1:7" x14ac:dyDescent="0.25">
      <c r="A84" s="196" t="s">
        <v>3</v>
      </c>
      <c r="B84" s="197">
        <v>42791</v>
      </c>
      <c r="C84" s="198">
        <v>4819.9750055239037</v>
      </c>
      <c r="D84" s="198">
        <v>66871.303717414165</v>
      </c>
      <c r="E84" s="198">
        <v>13.873786407766991</v>
      </c>
      <c r="F84" s="199">
        <v>1389</v>
      </c>
      <c r="G84" s="198">
        <v>0.55923330783843994</v>
      </c>
    </row>
    <row r="85" spans="1:7" x14ac:dyDescent="0.25">
      <c r="A85" s="196" t="s">
        <v>3</v>
      </c>
      <c r="B85" s="197">
        <v>42792</v>
      </c>
      <c r="C85" s="198">
        <v>783.21914716098252</v>
      </c>
      <c r="D85" s="198">
        <v>10016.960671585199</v>
      </c>
      <c r="E85" s="198">
        <v>12.789473684210526</v>
      </c>
      <c r="F85" s="199">
        <v>1390</v>
      </c>
      <c r="G85" s="198">
        <v>0.53485000133514404</v>
      </c>
    </row>
    <row r="86" spans="1:7" x14ac:dyDescent="0.25">
      <c r="A86" s="196" t="s">
        <v>1</v>
      </c>
      <c r="B86" s="197">
        <v>42789</v>
      </c>
      <c r="C86" s="198">
        <v>2118.2924638457935</v>
      </c>
      <c r="D86" s="198">
        <v>30768.198037360155</v>
      </c>
      <c r="E86" s="198">
        <v>14.525</v>
      </c>
      <c r="F86" s="199">
        <v>1391</v>
      </c>
      <c r="G86" s="198">
        <v>0.47396665811538696</v>
      </c>
    </row>
    <row r="87" spans="1:7" x14ac:dyDescent="0.25">
      <c r="A87" s="196" t="s">
        <v>1</v>
      </c>
      <c r="B87" s="197">
        <v>42790</v>
      </c>
      <c r="C87" s="198">
        <v>2110.9955089896484</v>
      </c>
      <c r="D87" s="198">
        <v>30879.445933825322</v>
      </c>
      <c r="E87" s="198">
        <v>14.627906976744185</v>
      </c>
      <c r="F87" s="199">
        <v>1392</v>
      </c>
      <c r="G87" s="198">
        <v>0.52824997901916504</v>
      </c>
    </row>
    <row r="88" spans="1:7" x14ac:dyDescent="0.25">
      <c r="A88" s="196" t="s">
        <v>1</v>
      </c>
      <c r="B88" s="197">
        <v>42791</v>
      </c>
      <c r="C88" s="198">
        <v>4832.7588891055348</v>
      </c>
      <c r="D88" s="198">
        <v>70266.780038423341</v>
      </c>
      <c r="E88" s="198">
        <v>14.53968253968254</v>
      </c>
      <c r="F88" s="199">
        <v>1393</v>
      </c>
      <c r="G88" s="198">
        <v>0.43947499990463257</v>
      </c>
    </row>
    <row r="89" spans="1:7" x14ac:dyDescent="0.25">
      <c r="A89" s="196" t="s">
        <v>1</v>
      </c>
      <c r="B89" s="197">
        <v>42792</v>
      </c>
      <c r="C89" s="198">
        <v>1906</v>
      </c>
      <c r="D89" s="198">
        <v>23539.1</v>
      </c>
      <c r="E89" s="198">
        <v>12.35</v>
      </c>
      <c r="F89" s="199">
        <v>1394</v>
      </c>
      <c r="G89" s="198">
        <v>0.5</v>
      </c>
    </row>
    <row r="90" spans="1:7" x14ac:dyDescent="0.25">
      <c r="A90" s="196" t="s">
        <v>1</v>
      </c>
      <c r="B90" s="197">
        <v>42793</v>
      </c>
      <c r="C90" s="198">
        <v>714.23922728375089</v>
      </c>
      <c r="D90" s="198">
        <v>4876.5298966269893</v>
      </c>
      <c r="E90" s="198">
        <v>6.8275862068965516</v>
      </c>
      <c r="F90" s="199">
        <v>1395</v>
      </c>
      <c r="G90" s="198">
        <v>0.51243335008621216</v>
      </c>
    </row>
    <row r="91" spans="1:7" x14ac:dyDescent="0.25">
      <c r="A91" s="196" t="s">
        <v>1</v>
      </c>
      <c r="B91" s="197">
        <v>42794</v>
      </c>
      <c r="C91" s="198">
        <v>447.00699780043635</v>
      </c>
      <c r="D91" s="198">
        <v>5388.9176957052605</v>
      </c>
      <c r="E91" s="198">
        <v>12.055555555555555</v>
      </c>
      <c r="F91" s="199">
        <v>1396</v>
      </c>
      <c r="G91" s="198">
        <v>0.53109997510910034</v>
      </c>
    </row>
    <row r="93" spans="1:7" x14ac:dyDescent="0.25">
      <c r="A93" s="175" t="s">
        <v>9</v>
      </c>
      <c r="B93" s="175" t="s">
        <v>8</v>
      </c>
      <c r="C93" s="175" t="s">
        <v>29</v>
      </c>
      <c r="D93" s="175" t="s">
        <v>30</v>
      </c>
      <c r="E93" s="175" t="s">
        <v>10</v>
      </c>
      <c r="F93" s="175" t="s">
        <v>37</v>
      </c>
      <c r="G93" s="175" t="s">
        <v>48</v>
      </c>
    </row>
    <row r="94" spans="1:7" x14ac:dyDescent="0.25">
      <c r="A94" s="176" t="s">
        <v>2</v>
      </c>
      <c r="B94" s="177">
        <v>42804</v>
      </c>
      <c r="C94" s="178">
        <v>2564.7807731953208</v>
      </c>
      <c r="D94" s="178">
        <v>36252.189774972321</v>
      </c>
      <c r="E94" s="178">
        <v>14.134615384615385</v>
      </c>
      <c r="F94" s="179">
        <v>1400</v>
      </c>
      <c r="G94" s="178">
        <v>0.47435000538825989</v>
      </c>
    </row>
    <row r="95" spans="1:7" x14ac:dyDescent="0.25">
      <c r="A95" s="176" t="s">
        <v>2</v>
      </c>
      <c r="B95" s="177">
        <v>42806</v>
      </c>
      <c r="C95" s="178">
        <v>1374.3737019349537</v>
      </c>
      <c r="D95" s="178">
        <v>20615.605529024302</v>
      </c>
      <c r="E95" s="178">
        <v>15</v>
      </c>
      <c r="F95" s="179">
        <v>1401</v>
      </c>
      <c r="G95" s="178">
        <v>0.51223331689834595</v>
      </c>
    </row>
    <row r="96" spans="1:7" x14ac:dyDescent="0.25">
      <c r="A96" s="176" t="s">
        <v>3</v>
      </c>
      <c r="B96" s="177">
        <v>42803</v>
      </c>
      <c r="C96" s="178">
        <v>571.30105568193881</v>
      </c>
      <c r="D96" s="178">
        <v>7426.9137238652056</v>
      </c>
      <c r="E96" s="178">
        <v>13</v>
      </c>
      <c r="F96" s="179">
        <v>1398</v>
      </c>
      <c r="G96" s="178">
        <v>0.56012499332427979</v>
      </c>
    </row>
    <row r="97" spans="1:7" x14ac:dyDescent="0.25">
      <c r="A97" s="176" t="s">
        <v>3</v>
      </c>
      <c r="B97" s="177">
        <v>42805</v>
      </c>
      <c r="C97" s="178">
        <v>2865.1924854540198</v>
      </c>
      <c r="D97" s="178">
        <v>17676.780757716329</v>
      </c>
      <c r="E97" s="178">
        <v>6.1694915254237293</v>
      </c>
      <c r="F97" s="179">
        <v>1399</v>
      </c>
      <c r="G97" s="178">
        <v>0.56012499332427979</v>
      </c>
    </row>
    <row r="98" spans="1:7" x14ac:dyDescent="0.25">
      <c r="A98" s="176" t="s">
        <v>1</v>
      </c>
      <c r="B98" s="177">
        <v>42801</v>
      </c>
      <c r="C98" s="178">
        <v>392.24613301648617</v>
      </c>
      <c r="D98" s="178">
        <v>5883.6919952472927</v>
      </c>
      <c r="E98" s="178">
        <v>15</v>
      </c>
      <c r="F98" s="179">
        <v>1402</v>
      </c>
      <c r="G98" s="178">
        <v>0.51243335008621216</v>
      </c>
    </row>
    <row r="99" spans="1:7" x14ac:dyDescent="0.25">
      <c r="A99" s="176" t="s">
        <v>1</v>
      </c>
      <c r="B99" s="177">
        <v>42802</v>
      </c>
      <c r="C99" s="178">
        <v>869.72831350906313</v>
      </c>
      <c r="D99" s="178">
        <v>12598.635855688428</v>
      </c>
      <c r="E99" s="178">
        <v>14.485714285714286</v>
      </c>
      <c r="F99" s="179">
        <v>1403</v>
      </c>
      <c r="G99" s="178">
        <v>0.47396665811538696</v>
      </c>
    </row>
    <row r="100" spans="1:7" x14ac:dyDescent="0.25">
      <c r="A100" s="176" t="s">
        <v>1</v>
      </c>
      <c r="B100" s="177">
        <v>42803</v>
      </c>
      <c r="C100" s="178">
        <v>656.16429905980272</v>
      </c>
      <c r="D100" s="178">
        <v>7764.6108722076651</v>
      </c>
      <c r="E100" s="178">
        <v>11.833333333333334</v>
      </c>
      <c r="F100" s="179">
        <v>1404</v>
      </c>
      <c r="G100" s="178">
        <v>0.47396665811538696</v>
      </c>
    </row>
    <row r="101" spans="1:7" x14ac:dyDescent="0.25">
      <c r="A101" s="176" t="s">
        <v>1</v>
      </c>
      <c r="B101" s="177">
        <v>42804</v>
      </c>
      <c r="C101" s="178">
        <v>2986.4229867409231</v>
      </c>
      <c r="D101" s="178">
        <v>44464.520024809295</v>
      </c>
      <c r="E101" s="178">
        <v>14.888888888888889</v>
      </c>
      <c r="F101" s="179">
        <v>1405</v>
      </c>
      <c r="G101" s="178">
        <v>0.37727499008178711</v>
      </c>
    </row>
    <row r="102" spans="1:7" x14ac:dyDescent="0.25">
      <c r="A102" s="176" t="s">
        <v>1</v>
      </c>
      <c r="B102" s="177">
        <v>42805</v>
      </c>
      <c r="C102" s="178">
        <v>3147.9007530457411</v>
      </c>
      <c r="D102" s="178">
        <v>42966.083962624325</v>
      </c>
      <c r="E102" s="178">
        <v>13.649122807017545</v>
      </c>
      <c r="F102" s="179">
        <v>1406</v>
      </c>
      <c r="G102" s="178">
        <v>0.47396665811538696</v>
      </c>
    </row>
    <row r="103" spans="1:7" x14ac:dyDescent="0.25">
      <c r="A103" s="176" t="s">
        <v>1</v>
      </c>
      <c r="B103" s="177">
        <v>42806</v>
      </c>
      <c r="C103" s="178">
        <v>1559.3138977196013</v>
      </c>
      <c r="D103" s="178">
        <v>23389.708465794018</v>
      </c>
      <c r="E103" s="178">
        <v>15</v>
      </c>
      <c r="F103" s="179">
        <v>1407</v>
      </c>
      <c r="G103" s="178">
        <v>0.51243335008621216</v>
      </c>
    </row>
    <row r="104" spans="1:7" x14ac:dyDescent="0.25">
      <c r="A104" s="176" t="s">
        <v>1</v>
      </c>
      <c r="B104" s="177">
        <v>42807</v>
      </c>
      <c r="C104" s="178">
        <v>463.79556976965131</v>
      </c>
      <c r="D104" s="178">
        <v>6956.9335465447693</v>
      </c>
      <c r="E104" s="178">
        <v>15</v>
      </c>
      <c r="F104" s="179">
        <v>1408</v>
      </c>
      <c r="G104" s="178">
        <v>0.52824997901916504</v>
      </c>
    </row>
    <row r="106" spans="1:7" x14ac:dyDescent="0.25">
      <c r="A106" s="204" t="s">
        <v>9</v>
      </c>
      <c r="B106" s="204" t="s">
        <v>8</v>
      </c>
      <c r="C106" s="204" t="s">
        <v>29</v>
      </c>
      <c r="D106" s="204" t="s">
        <v>30</v>
      </c>
      <c r="E106" s="204" t="s">
        <v>10</v>
      </c>
      <c r="F106" s="204" t="s">
        <v>37</v>
      </c>
      <c r="G106" s="204" t="s">
        <v>48</v>
      </c>
    </row>
    <row r="107" spans="1:7" x14ac:dyDescent="0.25">
      <c r="A107" s="205" t="s">
        <v>2</v>
      </c>
      <c r="B107" s="206">
        <v>42819</v>
      </c>
      <c r="C107" s="207">
        <v>9039.5451183520399</v>
      </c>
      <c r="D107" s="207">
        <v>81823.468743703794</v>
      </c>
      <c r="E107" s="207">
        <v>9.0517241379310338</v>
      </c>
      <c r="F107" s="208">
        <v>1410</v>
      </c>
      <c r="G107" s="207">
        <v>0.43669998645782471</v>
      </c>
    </row>
    <row r="108" spans="1:7" x14ac:dyDescent="0.25">
      <c r="A108" s="205" t="s">
        <v>3</v>
      </c>
      <c r="B108" s="206">
        <v>42818</v>
      </c>
      <c r="C108" s="207">
        <v>1536.9319649537661</v>
      </c>
      <c r="D108" s="207">
        <v>840.9627732765889</v>
      </c>
      <c r="E108" s="207">
        <v>0.54716981132075471</v>
      </c>
      <c r="F108" s="208">
        <v>1409</v>
      </c>
      <c r="G108" s="207">
        <v>0.56996667385101318</v>
      </c>
    </row>
    <row r="109" spans="1:7" x14ac:dyDescent="0.25">
      <c r="A109" s="205" t="s">
        <v>3</v>
      </c>
      <c r="B109" s="206">
        <v>42820</v>
      </c>
      <c r="C109" s="207">
        <v>1164.5201998100172</v>
      </c>
      <c r="D109" s="207">
        <v>8567.5414700308411</v>
      </c>
      <c r="E109" s="207">
        <v>7.3571428571428568</v>
      </c>
      <c r="F109" s="208">
        <v>1411</v>
      </c>
      <c r="G109" s="207">
        <v>0.56996667385101318</v>
      </c>
    </row>
    <row r="111" spans="1:7" x14ac:dyDescent="0.25">
      <c r="A111" s="204" t="s">
        <v>9</v>
      </c>
      <c r="B111" s="204" t="s">
        <v>8</v>
      </c>
      <c r="C111" s="204" t="s">
        <v>29</v>
      </c>
      <c r="D111" s="204" t="s">
        <v>30</v>
      </c>
      <c r="E111" s="204" t="s">
        <v>10</v>
      </c>
      <c r="F111" s="204" t="s">
        <v>37</v>
      </c>
      <c r="G111" s="204" t="s">
        <v>48</v>
      </c>
    </row>
    <row r="112" spans="1:7" x14ac:dyDescent="0.25">
      <c r="A112" s="205" t="s">
        <v>2</v>
      </c>
      <c r="B112" s="206">
        <v>42825</v>
      </c>
      <c r="C112" s="212">
        <v>3720.1134800107961</v>
      </c>
      <c r="D112" s="212">
        <v>55801.702200161948</v>
      </c>
      <c r="E112" s="207">
        <v>15</v>
      </c>
      <c r="F112" s="208">
        <v>1413</v>
      </c>
      <c r="G112" s="207">
        <v>0.56676667928695679</v>
      </c>
    </row>
    <row r="113" spans="1:7" x14ac:dyDescent="0.25">
      <c r="A113" s="205" t="s">
        <v>2</v>
      </c>
      <c r="B113" s="206">
        <v>42827</v>
      </c>
      <c r="C113" s="212">
        <v>6049.8091327997226</v>
      </c>
      <c r="D113" s="212">
        <v>66125.820753857421</v>
      </c>
      <c r="E113" s="207">
        <v>10.930232558139535</v>
      </c>
      <c r="F113" s="208">
        <v>1415</v>
      </c>
      <c r="G113" s="207">
        <v>0.55872499942779541</v>
      </c>
    </row>
    <row r="114" spans="1:7" x14ac:dyDescent="0.25">
      <c r="A114" s="205" t="s">
        <v>3</v>
      </c>
      <c r="B114" s="206">
        <v>42824</v>
      </c>
      <c r="C114" s="212">
        <v>1290.9015613841007</v>
      </c>
      <c r="D114" s="212">
        <v>11500.759365058349</v>
      </c>
      <c r="E114" s="207">
        <v>8.9090909090909083</v>
      </c>
      <c r="F114" s="208">
        <v>1412</v>
      </c>
      <c r="G114" s="207">
        <v>0.57627499103546143</v>
      </c>
    </row>
    <row r="115" spans="1:7" x14ac:dyDescent="0.25">
      <c r="A115" s="205" t="s">
        <v>3</v>
      </c>
      <c r="B115" s="206">
        <v>42826</v>
      </c>
      <c r="C115" s="212">
        <v>6877.1156250197428</v>
      </c>
      <c r="D115" s="212">
        <v>98845.706670059881</v>
      </c>
      <c r="E115" s="207">
        <v>14.373134328358208</v>
      </c>
      <c r="F115" s="208">
        <v>1414</v>
      </c>
      <c r="G115" s="207">
        <v>0.56397998332977295</v>
      </c>
    </row>
    <row r="117" spans="1:7" x14ac:dyDescent="0.25">
      <c r="A117" s="213" t="s">
        <v>9</v>
      </c>
      <c r="B117" s="213" t="s">
        <v>8</v>
      </c>
      <c r="C117" s="213" t="s">
        <v>29</v>
      </c>
      <c r="D117" s="213" t="s">
        <v>30</v>
      </c>
      <c r="E117" s="213" t="s">
        <v>10</v>
      </c>
      <c r="F117" s="213" t="s">
        <v>37</v>
      </c>
      <c r="G117" s="213" t="s">
        <v>48</v>
      </c>
    </row>
    <row r="118" spans="1:7" x14ac:dyDescent="0.25">
      <c r="A118" s="214" t="s">
        <v>2</v>
      </c>
      <c r="B118" s="215">
        <v>42825</v>
      </c>
      <c r="C118" s="216">
        <v>3720.1134800107961</v>
      </c>
      <c r="D118" s="216">
        <v>55801.702200161948</v>
      </c>
      <c r="E118" s="216">
        <v>15</v>
      </c>
      <c r="F118" s="217">
        <v>1413</v>
      </c>
      <c r="G118" s="216">
        <v>0.56676667928695679</v>
      </c>
    </row>
    <row r="119" spans="1:7" x14ac:dyDescent="0.25">
      <c r="A119" s="214" t="s">
        <v>2</v>
      </c>
      <c r="B119" s="215">
        <v>42827</v>
      </c>
      <c r="C119" s="216">
        <v>6049.8091327997226</v>
      </c>
      <c r="D119" s="216">
        <v>66125.820753857421</v>
      </c>
      <c r="E119" s="216">
        <v>10.930232558139535</v>
      </c>
      <c r="F119" s="217">
        <v>1415</v>
      </c>
      <c r="G119" s="216">
        <v>0.55872499942779541</v>
      </c>
    </row>
    <row r="120" spans="1:7" x14ac:dyDescent="0.25">
      <c r="A120" s="214" t="s">
        <v>3</v>
      </c>
      <c r="B120" s="215">
        <v>42824</v>
      </c>
      <c r="C120" s="216">
        <v>1290.9015613841007</v>
      </c>
      <c r="D120" s="216">
        <v>11500.759365058349</v>
      </c>
      <c r="E120" s="216">
        <v>8.9090909090909083</v>
      </c>
      <c r="F120" s="217">
        <v>1412</v>
      </c>
      <c r="G120" s="216">
        <v>0.57627499103546143</v>
      </c>
    </row>
    <row r="121" spans="1:7" x14ac:dyDescent="0.25">
      <c r="A121" s="214" t="s">
        <v>3</v>
      </c>
      <c r="B121" s="215">
        <v>42826</v>
      </c>
      <c r="C121" s="216">
        <v>6877.1156250197428</v>
      </c>
      <c r="D121" s="216">
        <v>98845.706670059881</v>
      </c>
      <c r="E121" s="216">
        <v>14.373134328358208</v>
      </c>
      <c r="F121" s="217">
        <v>1414</v>
      </c>
      <c r="G121" s="216">
        <v>0.56397998332977295</v>
      </c>
    </row>
    <row r="123" spans="1:7" x14ac:dyDescent="0.25">
      <c r="A123" s="213" t="s">
        <v>9</v>
      </c>
      <c r="B123" s="213" t="s">
        <v>8</v>
      </c>
      <c r="C123" s="213" t="s">
        <v>29</v>
      </c>
      <c r="D123" s="213" t="s">
        <v>30</v>
      </c>
      <c r="E123" s="213" t="s">
        <v>10</v>
      </c>
      <c r="F123" s="213" t="s">
        <v>37</v>
      </c>
      <c r="G123" s="213" t="s">
        <v>48</v>
      </c>
    </row>
    <row r="124" spans="1:7" x14ac:dyDescent="0.25">
      <c r="A124" s="214" t="s">
        <v>1</v>
      </c>
      <c r="B124" s="215">
        <v>42830</v>
      </c>
      <c r="C124" s="216">
        <v>485.84676936659537</v>
      </c>
      <c r="D124" s="216">
        <v>7287.7015404989306</v>
      </c>
      <c r="E124" s="216">
        <v>15</v>
      </c>
      <c r="F124" s="217">
        <v>1416</v>
      </c>
      <c r="G124" s="216">
        <v>0.48163333535194397</v>
      </c>
    </row>
    <row r="125" spans="1:7" x14ac:dyDescent="0.25">
      <c r="A125" s="214" t="s">
        <v>1</v>
      </c>
      <c r="B125" s="215">
        <v>42831</v>
      </c>
      <c r="C125" s="216">
        <v>1098.647949021906</v>
      </c>
      <c r="D125" s="216">
        <v>10239.398884884165</v>
      </c>
      <c r="E125" s="216">
        <v>9.32</v>
      </c>
      <c r="F125" s="217">
        <v>1417</v>
      </c>
      <c r="G125" s="216">
        <v>0.43410000205039978</v>
      </c>
    </row>
    <row r="126" spans="1:7" x14ac:dyDescent="0.25">
      <c r="A126" s="214" t="s">
        <v>1</v>
      </c>
      <c r="B126" s="215">
        <v>42833</v>
      </c>
      <c r="C126" s="216">
        <v>1424.8390832385728</v>
      </c>
      <c r="D126" s="216">
        <v>17054.892056946552</v>
      </c>
      <c r="E126" s="216">
        <v>11.969696969696969</v>
      </c>
      <c r="F126" s="217">
        <v>1418</v>
      </c>
      <c r="G126" s="216">
        <v>0.48163333535194397</v>
      </c>
    </row>
    <row r="127" spans="1:7" x14ac:dyDescent="0.25">
      <c r="A127" s="214" t="s">
        <v>1</v>
      </c>
      <c r="B127" s="215">
        <v>42834</v>
      </c>
      <c r="C127" s="216">
        <v>543.23500571761963</v>
      </c>
      <c r="D127" s="216">
        <v>4798.5758838389738</v>
      </c>
      <c r="E127" s="216">
        <v>8.8333333333333339</v>
      </c>
      <c r="F127" s="217">
        <v>1419</v>
      </c>
      <c r="G127" s="216">
        <v>0.49149999022483826</v>
      </c>
    </row>
    <row r="129" spans="1:7" x14ac:dyDescent="0.25">
      <c r="A129" s="218" t="s">
        <v>9</v>
      </c>
      <c r="B129" s="218" t="s">
        <v>8</v>
      </c>
      <c r="C129" s="218" t="s">
        <v>29</v>
      </c>
      <c r="D129" s="218" t="s">
        <v>30</v>
      </c>
      <c r="E129" s="218" t="s">
        <v>10</v>
      </c>
      <c r="F129" s="218" t="s">
        <v>37</v>
      </c>
      <c r="G129" s="218" t="s">
        <v>48</v>
      </c>
    </row>
    <row r="130" spans="1:7" x14ac:dyDescent="0.25">
      <c r="A130" s="219" t="s">
        <v>2</v>
      </c>
      <c r="B130" s="220">
        <v>42838</v>
      </c>
      <c r="C130" s="221">
        <v>785.91229514681561</v>
      </c>
      <c r="D130" s="221">
        <v>8083.6693215101041</v>
      </c>
      <c r="E130" s="221">
        <v>10.285714285714286</v>
      </c>
      <c r="F130" s="222">
        <v>1422</v>
      </c>
      <c r="G130" s="221">
        <v>0.56963330507278442</v>
      </c>
    </row>
    <row r="131" spans="1:7" x14ac:dyDescent="0.25">
      <c r="A131" s="219" t="s">
        <v>2</v>
      </c>
      <c r="B131" s="220">
        <v>42840</v>
      </c>
      <c r="C131" s="221">
        <v>3489.1313517471722</v>
      </c>
      <c r="D131" s="221">
        <v>45358.707572713232</v>
      </c>
      <c r="E131" s="221">
        <v>13</v>
      </c>
      <c r="F131" s="222">
        <v>1424</v>
      </c>
      <c r="G131" s="221">
        <v>0.56963330507278442</v>
      </c>
    </row>
    <row r="132" spans="1:7" x14ac:dyDescent="0.25">
      <c r="A132" s="219" t="s">
        <v>69</v>
      </c>
      <c r="B132" s="220">
        <v>42837</v>
      </c>
      <c r="C132" s="221">
        <v>475.51038041213985</v>
      </c>
      <c r="D132" s="221">
        <v>6549.0747847671992</v>
      </c>
      <c r="E132" s="221">
        <v>13.772727272727273</v>
      </c>
      <c r="F132" s="222">
        <v>1420</v>
      </c>
      <c r="G132" s="221">
        <v>0.59514999389648438</v>
      </c>
    </row>
    <row r="133" spans="1:7" x14ac:dyDescent="0.25">
      <c r="A133" s="219" t="s">
        <v>69</v>
      </c>
      <c r="B133" s="220">
        <v>42838</v>
      </c>
      <c r="C133" s="221">
        <v>929.79773852901849</v>
      </c>
      <c r="D133" s="221">
        <v>13606.796173595394</v>
      </c>
      <c r="E133" s="221">
        <v>14.634146341463415</v>
      </c>
      <c r="F133" s="222">
        <v>1430</v>
      </c>
      <c r="G133" s="221">
        <v>0.58829998970031738</v>
      </c>
    </row>
    <row r="134" spans="1:7" x14ac:dyDescent="0.25">
      <c r="A134" s="219" t="s">
        <v>69</v>
      </c>
      <c r="B134" s="220">
        <v>42839</v>
      </c>
      <c r="C134" s="221">
        <v>1721.9106199815278</v>
      </c>
      <c r="D134" s="221">
        <v>25828.65929972292</v>
      </c>
      <c r="E134" s="221">
        <v>15</v>
      </c>
      <c r="F134" s="222">
        <v>1431</v>
      </c>
      <c r="G134" s="221">
        <v>0.58829998970031738</v>
      </c>
    </row>
    <row r="135" spans="1:7" x14ac:dyDescent="0.25">
      <c r="A135" s="219" t="s">
        <v>69</v>
      </c>
      <c r="B135" s="220">
        <v>42840</v>
      </c>
      <c r="C135" s="221">
        <v>8162.5022676715671</v>
      </c>
      <c r="D135" s="221">
        <v>116077.1426376671</v>
      </c>
      <c r="E135" s="221">
        <v>14.220779220779221</v>
      </c>
      <c r="F135" s="222">
        <v>1432</v>
      </c>
      <c r="G135" s="221">
        <v>0.58829998970031738</v>
      </c>
    </row>
    <row r="136" spans="1:7" x14ac:dyDescent="0.25">
      <c r="A136" s="219" t="s">
        <v>3</v>
      </c>
      <c r="B136" s="220">
        <v>42839</v>
      </c>
      <c r="C136" s="221">
        <v>1700.8846781936143</v>
      </c>
      <c r="D136" s="221">
        <v>21229.560613009184</v>
      </c>
      <c r="E136" s="221">
        <v>12.481481481481481</v>
      </c>
      <c r="F136" s="222">
        <v>1423</v>
      </c>
      <c r="G136" s="221">
        <v>0.59909999370574951</v>
      </c>
    </row>
    <row r="137" spans="1:7" x14ac:dyDescent="0.25">
      <c r="A137" s="219" t="s">
        <v>3</v>
      </c>
      <c r="B137" s="220">
        <v>42841</v>
      </c>
      <c r="C137" s="221">
        <v>3700.2089669987467</v>
      </c>
      <c r="D137" s="221">
        <v>42244.052373235689</v>
      </c>
      <c r="E137" s="221">
        <v>11.416666666666666</v>
      </c>
      <c r="F137" s="222">
        <v>1425</v>
      </c>
      <c r="G137" s="221">
        <v>0.58736664056777954</v>
      </c>
    </row>
    <row r="138" spans="1:7" x14ac:dyDescent="0.25">
      <c r="A138" s="219" t="s">
        <v>1</v>
      </c>
      <c r="B138" s="220">
        <v>42837</v>
      </c>
      <c r="C138" s="221">
        <v>248.17273210909204</v>
      </c>
      <c r="D138" s="221">
        <v>3447.8283139441714</v>
      </c>
      <c r="E138" s="221">
        <v>13.892857142857142</v>
      </c>
      <c r="F138" s="222">
        <v>1421</v>
      </c>
      <c r="G138" s="221">
        <v>0.59514999389648438</v>
      </c>
    </row>
    <row r="139" spans="1:7" x14ac:dyDescent="0.25">
      <c r="A139" s="219" t="s">
        <v>1</v>
      </c>
      <c r="B139" s="220">
        <v>42838</v>
      </c>
      <c r="C139" s="221">
        <v>695.82910844728804</v>
      </c>
      <c r="D139" s="221">
        <v>10437.436626709323</v>
      </c>
      <c r="E139" s="221">
        <v>15</v>
      </c>
      <c r="F139" s="222">
        <v>1426</v>
      </c>
      <c r="G139" s="221">
        <v>0.49149999022483826</v>
      </c>
    </row>
    <row r="140" spans="1:7" x14ac:dyDescent="0.25">
      <c r="A140" s="219" t="s">
        <v>1</v>
      </c>
      <c r="B140" s="220">
        <v>42839</v>
      </c>
      <c r="C140" s="221">
        <v>1167.289523111082</v>
      </c>
      <c r="D140" s="221">
        <v>16543.310137884648</v>
      </c>
      <c r="E140" s="221">
        <v>14.172413793103448</v>
      </c>
      <c r="F140" s="222">
        <v>1427</v>
      </c>
      <c r="G140" s="221">
        <v>0.45489999651908875</v>
      </c>
    </row>
    <row r="141" spans="1:7" x14ac:dyDescent="0.25">
      <c r="A141" s="219" t="s">
        <v>1</v>
      </c>
      <c r="B141" s="220">
        <v>42840</v>
      </c>
      <c r="C141" s="221">
        <v>2222.7107470832489</v>
      </c>
      <c r="D141" s="221">
        <v>31117.950459165484</v>
      </c>
      <c r="E141" s="221">
        <v>14</v>
      </c>
      <c r="F141" s="222">
        <v>1428</v>
      </c>
      <c r="G141" s="221">
        <v>0.45489999651908875</v>
      </c>
    </row>
    <row r="142" spans="1:7" x14ac:dyDescent="0.25">
      <c r="A142" s="219" t="s">
        <v>1</v>
      </c>
      <c r="B142" s="220">
        <v>42841</v>
      </c>
      <c r="C142" s="221">
        <v>2535.0966933488917</v>
      </c>
      <c r="D142" s="221">
        <v>35829.366599330999</v>
      </c>
      <c r="E142" s="221">
        <v>14.133333333333333</v>
      </c>
      <c r="F142" s="222">
        <v>1429</v>
      </c>
      <c r="G142" s="221">
        <v>0.49149999022483826</v>
      </c>
    </row>
    <row r="144" spans="1:7" x14ac:dyDescent="0.25">
      <c r="A144" s="175" t="s">
        <v>9</v>
      </c>
      <c r="B144" s="175" t="s">
        <v>8</v>
      </c>
      <c r="C144" s="175" t="s">
        <v>29</v>
      </c>
      <c r="D144" s="175" t="s">
        <v>30</v>
      </c>
      <c r="E144" s="175" t="s">
        <v>10</v>
      </c>
      <c r="F144" s="175" t="s">
        <v>37</v>
      </c>
      <c r="G144" s="175" t="s">
        <v>48</v>
      </c>
    </row>
    <row r="145" spans="1:7" x14ac:dyDescent="0.25">
      <c r="A145" s="176" t="s">
        <v>2</v>
      </c>
      <c r="B145" s="177">
        <v>42853</v>
      </c>
      <c r="C145" s="178">
        <v>5685.2909308913686</v>
      </c>
      <c r="D145" s="178">
        <v>85279.363963370517</v>
      </c>
      <c r="E145" s="178">
        <v>15</v>
      </c>
      <c r="F145" s="179">
        <v>1435</v>
      </c>
      <c r="G145" s="178">
        <v>0.43849998712539673</v>
      </c>
    </row>
    <row r="146" spans="1:7" x14ac:dyDescent="0.25">
      <c r="A146" s="176" t="s">
        <v>2</v>
      </c>
      <c r="B146" s="177">
        <v>42855</v>
      </c>
      <c r="C146" s="178">
        <v>11270.565990740946</v>
      </c>
      <c r="D146" s="178">
        <v>169058.48986111421</v>
      </c>
      <c r="E146" s="178">
        <v>15</v>
      </c>
      <c r="F146" s="179">
        <v>1437</v>
      </c>
      <c r="G146" s="178">
        <v>0.53127998113632202</v>
      </c>
    </row>
    <row r="147" spans="1:7" x14ac:dyDescent="0.25">
      <c r="A147" s="176" t="s">
        <v>69</v>
      </c>
      <c r="B147" s="177">
        <v>42851</v>
      </c>
      <c r="C147" s="178">
        <v>2083.7471400893519</v>
      </c>
      <c r="D147" s="178">
        <v>48489.35912478195</v>
      </c>
      <c r="E147" s="178">
        <v>23.27027027027027</v>
      </c>
      <c r="F147" s="179">
        <v>1433</v>
      </c>
      <c r="G147" s="178">
        <v>0.58829998970031738</v>
      </c>
    </row>
    <row r="148" spans="1:7" x14ac:dyDescent="0.25">
      <c r="A148" s="176" t="s">
        <v>69</v>
      </c>
      <c r="B148" s="177">
        <v>42852</v>
      </c>
      <c r="C148" s="178">
        <v>6785.9938232304175</v>
      </c>
      <c r="D148" s="178">
        <v>169649.84558076045</v>
      </c>
      <c r="E148" s="178">
        <v>25</v>
      </c>
      <c r="F148" s="179">
        <v>1438</v>
      </c>
      <c r="G148" s="178">
        <v>0.39759999513626099</v>
      </c>
    </row>
    <row r="149" spans="1:7" x14ac:dyDescent="0.25">
      <c r="A149" s="176" t="s">
        <v>69</v>
      </c>
      <c r="B149" s="177">
        <v>42853</v>
      </c>
      <c r="C149" s="178">
        <v>11829.401888864337</v>
      </c>
      <c r="D149" s="178">
        <v>285761.23778589931</v>
      </c>
      <c r="E149" s="178">
        <v>24.156862745098039</v>
      </c>
      <c r="F149" s="179">
        <v>1439</v>
      </c>
      <c r="G149" s="178">
        <v>0.49294999241828918</v>
      </c>
    </row>
    <row r="150" spans="1:7" x14ac:dyDescent="0.25">
      <c r="A150" s="176" t="s">
        <v>69</v>
      </c>
      <c r="B150" s="177">
        <v>42854</v>
      </c>
      <c r="C150" s="178">
        <v>14567.453000352047</v>
      </c>
      <c r="D150" s="178">
        <v>352438.37904077541</v>
      </c>
      <c r="E150" s="178">
        <v>24.193548387096776</v>
      </c>
      <c r="F150" s="179">
        <v>1440</v>
      </c>
      <c r="G150" s="178">
        <v>0.56193333864212036</v>
      </c>
    </row>
    <row r="151" spans="1:7" x14ac:dyDescent="0.25">
      <c r="A151" s="176" t="s">
        <v>69</v>
      </c>
      <c r="B151" s="177">
        <v>42855</v>
      </c>
      <c r="C151" s="178">
        <v>17783.842628122329</v>
      </c>
      <c r="D151" s="178">
        <v>275547.35474378045</v>
      </c>
      <c r="E151" s="178">
        <v>15.494252873563218</v>
      </c>
      <c r="F151" s="179">
        <v>1441</v>
      </c>
      <c r="G151" s="178">
        <v>0.54960000514984131</v>
      </c>
    </row>
    <row r="152" spans="1:7" x14ac:dyDescent="0.25">
      <c r="A152" s="176" t="s">
        <v>3</v>
      </c>
      <c r="B152" s="177">
        <v>42852</v>
      </c>
      <c r="C152" s="178">
        <v>2755.3634993402052</v>
      </c>
      <c r="D152" s="178">
        <v>41270.553283595684</v>
      </c>
      <c r="E152" s="178">
        <v>14.978260869565217</v>
      </c>
      <c r="F152" s="179">
        <v>1434</v>
      </c>
      <c r="G152" s="178">
        <v>0.58736664056777954</v>
      </c>
    </row>
    <row r="153" spans="1:7" x14ac:dyDescent="0.25">
      <c r="A153" s="176" t="s">
        <v>3</v>
      </c>
      <c r="B153" s="177">
        <v>42854</v>
      </c>
      <c r="C153" s="178">
        <v>9302.8789705797572</v>
      </c>
      <c r="D153" s="178">
        <v>137921.58180235676</v>
      </c>
      <c r="E153" s="178">
        <v>14.825688073394495</v>
      </c>
      <c r="F153" s="179">
        <v>1436</v>
      </c>
      <c r="G153" s="178">
        <v>0.56230002641677856</v>
      </c>
    </row>
    <row r="154" spans="1:7" x14ac:dyDescent="0.25">
      <c r="A154" s="176" t="s">
        <v>1</v>
      </c>
      <c r="B154" s="177">
        <v>42851</v>
      </c>
      <c r="C154" s="178">
        <v>807.23582054873418</v>
      </c>
      <c r="D154" s="178">
        <v>12108.537308231014</v>
      </c>
      <c r="E154" s="178">
        <v>15</v>
      </c>
      <c r="F154" s="179">
        <v>1442</v>
      </c>
      <c r="G154" s="178">
        <v>0.47817501425743103</v>
      </c>
    </row>
    <row r="155" spans="1:7" x14ac:dyDescent="0.25">
      <c r="A155" s="176" t="s">
        <v>1</v>
      </c>
      <c r="B155" s="177">
        <v>42852</v>
      </c>
      <c r="C155" s="178">
        <v>1414.2665067796845</v>
      </c>
      <c r="D155" s="178">
        <v>21096.142059463626</v>
      </c>
      <c r="E155" s="178">
        <v>14.916666666666666</v>
      </c>
      <c r="F155" s="179">
        <v>1443</v>
      </c>
      <c r="G155" s="178">
        <v>0.48163333535194397</v>
      </c>
    </row>
    <row r="156" spans="1:7" x14ac:dyDescent="0.25">
      <c r="A156" s="176" t="s">
        <v>1</v>
      </c>
      <c r="B156" s="177">
        <v>42853</v>
      </c>
      <c r="C156" s="178">
        <v>2048.7105029934055</v>
      </c>
      <c r="D156" s="178">
        <v>30389.205794402187</v>
      </c>
      <c r="E156" s="178">
        <v>14.833333333333334</v>
      </c>
      <c r="F156" s="179">
        <v>1444</v>
      </c>
      <c r="G156" s="178">
        <v>0.48163333535194397</v>
      </c>
    </row>
    <row r="157" spans="1:7" x14ac:dyDescent="0.25">
      <c r="A157" s="176" t="s">
        <v>1</v>
      </c>
      <c r="B157" s="177">
        <v>42855</v>
      </c>
      <c r="C157" s="178">
        <v>4282.4204900233699</v>
      </c>
      <c r="D157" s="178">
        <v>64236.307350350544</v>
      </c>
      <c r="E157" s="178">
        <v>15</v>
      </c>
      <c r="F157" s="179">
        <v>1445</v>
      </c>
      <c r="G157" s="178">
        <v>0.47817501425743103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1"/>
  <sheetViews>
    <sheetView zoomScaleNormal="100" workbookViewId="0">
      <selection activeCell="A17" sqref="A17"/>
    </sheetView>
  </sheetViews>
  <sheetFormatPr defaultRowHeight="15" x14ac:dyDescent="0.25"/>
  <cols>
    <col min="1" max="2" width="18.5703125" bestFit="1" customWidth="1"/>
    <col min="3" max="3" width="10.7109375" bestFit="1" customWidth="1"/>
    <col min="4" max="4" width="11.5703125" bestFit="1" customWidth="1"/>
    <col min="5" max="5" width="10.5703125" bestFit="1" customWidth="1"/>
    <col min="6" max="6" width="10.42578125" bestFit="1" customWidth="1"/>
  </cols>
  <sheetData>
    <row r="1" spans="1:6" x14ac:dyDescent="0.25">
      <c r="A1" s="111" t="s">
        <v>43</v>
      </c>
      <c r="B1" s="111" t="s">
        <v>43</v>
      </c>
      <c r="C1" s="111" t="s">
        <v>45</v>
      </c>
      <c r="D1" s="111" t="s">
        <v>44</v>
      </c>
      <c r="E1" s="111" t="s">
        <v>46</v>
      </c>
      <c r="F1" s="111" t="s">
        <v>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S77"/>
  <sheetViews>
    <sheetView workbookViewId="0">
      <selection activeCell="T10" sqref="T10"/>
    </sheetView>
  </sheetViews>
  <sheetFormatPr defaultRowHeight="15" x14ac:dyDescent="0.25"/>
  <cols>
    <col min="1" max="1" width="18.7109375" customWidth="1"/>
  </cols>
  <sheetData>
    <row r="1" spans="1:18" ht="15.75" thickBot="1" x14ac:dyDescent="0.3">
      <c r="A1" s="112" t="s">
        <v>62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</row>
    <row r="2" spans="1:18" ht="15.75" thickTop="1" x14ac:dyDescent="0.25">
      <c r="A2" s="23"/>
      <c r="B2" s="23"/>
      <c r="C2" s="23"/>
      <c r="D2" s="23"/>
      <c r="E2" s="330" t="s">
        <v>21</v>
      </c>
      <c r="F2" s="331"/>
      <c r="G2" s="331"/>
      <c r="H2" s="332"/>
      <c r="I2" s="330" t="s">
        <v>22</v>
      </c>
      <c r="J2" s="331"/>
      <c r="K2" s="331"/>
      <c r="L2" s="332"/>
      <c r="M2" s="333" t="s">
        <v>23</v>
      </c>
      <c r="N2" s="334"/>
      <c r="O2" s="334"/>
      <c r="P2" s="335"/>
      <c r="Q2" s="328" t="s">
        <v>24</v>
      </c>
      <c r="R2" s="329"/>
    </row>
    <row r="3" spans="1:18" ht="15.75" thickBot="1" x14ac:dyDescent="0.3">
      <c r="A3" s="24" t="s">
        <v>25</v>
      </c>
      <c r="B3" s="24" t="s">
        <v>26</v>
      </c>
      <c r="C3" s="24" t="s">
        <v>27</v>
      </c>
      <c r="D3" s="24" t="s">
        <v>28</v>
      </c>
      <c r="E3" s="25" t="s">
        <v>29</v>
      </c>
      <c r="F3" s="24" t="s">
        <v>30</v>
      </c>
      <c r="G3" s="24" t="s">
        <v>10</v>
      </c>
      <c r="H3" s="24" t="s">
        <v>34</v>
      </c>
      <c r="I3" s="25" t="s">
        <v>29</v>
      </c>
      <c r="J3" s="24" t="s">
        <v>30</v>
      </c>
      <c r="K3" s="24" t="s">
        <v>10</v>
      </c>
      <c r="L3" s="24" t="s">
        <v>34</v>
      </c>
      <c r="M3" s="25" t="s">
        <v>29</v>
      </c>
      <c r="N3" s="24" t="s">
        <v>30</v>
      </c>
      <c r="O3" s="24" t="s">
        <v>10</v>
      </c>
      <c r="P3" s="24" t="s">
        <v>34</v>
      </c>
      <c r="Q3" s="25" t="s">
        <v>29</v>
      </c>
      <c r="R3" s="26" t="s">
        <v>30</v>
      </c>
    </row>
    <row r="4" spans="1:18" ht="15.75" thickTop="1" x14ac:dyDescent="0.25">
      <c r="A4" s="4">
        <v>42659</v>
      </c>
      <c r="B4" s="5">
        <v>42659</v>
      </c>
      <c r="C4" s="13">
        <v>-1.1000000000000001</v>
      </c>
      <c r="D4" s="12">
        <v>0.81111111111111112</v>
      </c>
      <c r="E4" s="30">
        <v>307.453878188918</v>
      </c>
      <c r="F4" s="31">
        <v>3931.0174425583086</v>
      </c>
      <c r="G4" s="28">
        <v>12.785714285714285</v>
      </c>
      <c r="H4" s="28"/>
      <c r="I4" s="30">
        <v>296.48477642492151</v>
      </c>
      <c r="J4" s="31">
        <v>3976.3840602871824</v>
      </c>
      <c r="K4" s="28">
        <v>13.411764705882351</v>
      </c>
      <c r="L4" s="28"/>
      <c r="M4" s="30" t="s">
        <v>63</v>
      </c>
      <c r="N4" s="31" t="s">
        <v>63</v>
      </c>
      <c r="O4" s="28" t="s">
        <v>63</v>
      </c>
      <c r="P4" s="28"/>
      <c r="Q4" s="30">
        <f>+E4+I4</f>
        <v>603.9386546138395</v>
      </c>
      <c r="R4" s="31">
        <f>+F4+J4</f>
        <v>7907.4015028454905</v>
      </c>
    </row>
    <row r="5" spans="1:18" x14ac:dyDescent="0.25">
      <c r="A5" s="326" t="s">
        <v>31</v>
      </c>
      <c r="B5" s="326"/>
      <c r="C5" s="326"/>
      <c r="D5" s="327"/>
      <c r="E5" s="34">
        <f>SUM(E4)</f>
        <v>307.453878188918</v>
      </c>
      <c r="F5" s="35">
        <f>SUM(F4)</f>
        <v>3931.0174425583086</v>
      </c>
      <c r="G5" s="33">
        <f>+F5/E5</f>
        <v>12.785714285714285</v>
      </c>
      <c r="H5" s="33"/>
      <c r="I5" s="34">
        <f>SUM(I4)</f>
        <v>296.48477642492151</v>
      </c>
      <c r="J5" s="35">
        <f>SUM(J4)</f>
        <v>3976.3840602871824</v>
      </c>
      <c r="K5" s="33">
        <f>+J5/I5</f>
        <v>13.411764705882351</v>
      </c>
      <c r="L5" s="33"/>
      <c r="M5" s="34"/>
      <c r="N5" s="35"/>
      <c r="O5" s="35"/>
      <c r="P5" s="33"/>
      <c r="Q5" s="34">
        <f>SUM(Q4)</f>
        <v>603.9386546138395</v>
      </c>
      <c r="R5" s="35">
        <f>SUM(R4)</f>
        <v>7907.4015028454905</v>
      </c>
    </row>
    <row r="6" spans="1:18" x14ac:dyDescent="0.25">
      <c r="A6" s="4">
        <v>42691</v>
      </c>
      <c r="B6" s="5">
        <v>42691</v>
      </c>
      <c r="C6" s="13">
        <v>-1.3</v>
      </c>
      <c r="D6" s="12">
        <v>0.85902777777777772</v>
      </c>
      <c r="E6" s="30">
        <v>698.17739182402511</v>
      </c>
      <c r="F6" s="38">
        <v>10315.007917916242</v>
      </c>
      <c r="G6" s="89">
        <v>14.774193548387098</v>
      </c>
      <c r="H6" s="36"/>
      <c r="I6" s="30">
        <v>546.07475375880756</v>
      </c>
      <c r="J6" s="38">
        <v>7736.0590115831055</v>
      </c>
      <c r="K6" s="89">
        <v>14.166666666666664</v>
      </c>
      <c r="L6" s="36"/>
      <c r="M6" s="30" t="s">
        <v>63</v>
      </c>
      <c r="N6" s="31" t="s">
        <v>63</v>
      </c>
      <c r="O6" s="28" t="s">
        <v>63</v>
      </c>
      <c r="P6" s="36"/>
      <c r="Q6" s="30">
        <f t="shared" ref="Q6:R8" si="0">+E6+I6</f>
        <v>1244.2521455828328</v>
      </c>
      <c r="R6" s="38">
        <f t="shared" si="0"/>
        <v>18051.066929499349</v>
      </c>
    </row>
    <row r="7" spans="1:18" x14ac:dyDescent="0.25">
      <c r="A7" s="4">
        <v>42692</v>
      </c>
      <c r="B7" s="5">
        <v>42692</v>
      </c>
      <c r="C7" s="13">
        <v>-0.8</v>
      </c>
      <c r="D7" s="12">
        <v>0.89444444444444449</v>
      </c>
      <c r="E7" s="30">
        <v>908.0980104254453</v>
      </c>
      <c r="F7" s="38">
        <v>10774.460177750552</v>
      </c>
      <c r="G7" s="89">
        <v>11.864864864864863</v>
      </c>
      <c r="H7" s="36"/>
      <c r="I7" s="30">
        <v>842.59275060376501</v>
      </c>
      <c r="J7" s="38">
        <v>6406.8844998739114</v>
      </c>
      <c r="K7" s="89">
        <v>7.6037735849056602</v>
      </c>
      <c r="L7" s="36"/>
      <c r="M7" s="30" t="s">
        <v>63</v>
      </c>
      <c r="N7" s="31" t="s">
        <v>63</v>
      </c>
      <c r="O7" s="28" t="s">
        <v>63</v>
      </c>
      <c r="P7" s="36"/>
      <c r="Q7" s="30">
        <f t="shared" si="0"/>
        <v>1750.6907610292103</v>
      </c>
      <c r="R7" s="38">
        <f t="shared" si="0"/>
        <v>17181.344677624464</v>
      </c>
    </row>
    <row r="8" spans="1:18" x14ac:dyDescent="0.25">
      <c r="A8" s="4">
        <v>42693</v>
      </c>
      <c r="B8" s="5">
        <v>42693</v>
      </c>
      <c r="C8" s="13">
        <v>-0.1</v>
      </c>
      <c r="D8" s="12">
        <v>0.93194444444444446</v>
      </c>
      <c r="E8" s="30">
        <v>654.82053454659979</v>
      </c>
      <c r="F8" s="38">
        <v>261.92821381863996</v>
      </c>
      <c r="G8" s="89">
        <v>0.40000000000000008</v>
      </c>
      <c r="H8" s="36"/>
      <c r="I8" s="30">
        <v>595.46802136472024</v>
      </c>
      <c r="J8" s="38">
        <v>159.50036286555007</v>
      </c>
      <c r="K8" s="89">
        <v>0.26785714285714285</v>
      </c>
      <c r="L8" s="36"/>
      <c r="M8" s="30" t="s">
        <v>63</v>
      </c>
      <c r="N8" s="31" t="s">
        <v>63</v>
      </c>
      <c r="O8" s="28" t="s">
        <v>63</v>
      </c>
      <c r="P8" s="36"/>
      <c r="Q8" s="30">
        <f t="shared" si="0"/>
        <v>1250.2885559113201</v>
      </c>
      <c r="R8" s="38">
        <f t="shared" si="0"/>
        <v>421.42857668419003</v>
      </c>
    </row>
    <row r="9" spans="1:18" x14ac:dyDescent="0.25">
      <c r="A9" s="326" t="s">
        <v>31</v>
      </c>
      <c r="B9" s="326"/>
      <c r="C9" s="326"/>
      <c r="D9" s="327"/>
      <c r="E9" s="34">
        <f>SUM(E6:E8)</f>
        <v>2261.0959367960704</v>
      </c>
      <c r="F9" s="35">
        <f>SUM(F6:F8)</f>
        <v>21351.396309485433</v>
      </c>
      <c r="G9" s="33">
        <f>+F9/E9</f>
        <v>9.4429413462835878</v>
      </c>
      <c r="H9" s="33"/>
      <c r="I9" s="34">
        <f>SUM(I6:I8)</f>
        <v>1984.1355257272928</v>
      </c>
      <c r="J9" s="35">
        <f>SUM(J6:J8)</f>
        <v>14302.443874322567</v>
      </c>
      <c r="K9" s="33">
        <f>+J9/I9</f>
        <v>7.2084006807347238</v>
      </c>
      <c r="L9" s="33"/>
      <c r="M9" s="34"/>
      <c r="N9" s="35"/>
      <c r="O9" s="35"/>
      <c r="P9" s="33"/>
      <c r="Q9" s="34">
        <f>SUM(Q6:Q8)</f>
        <v>4245.231462523363</v>
      </c>
      <c r="R9" s="35">
        <f>SUM(R6:R8)</f>
        <v>35653.840183808003</v>
      </c>
    </row>
    <row r="10" spans="1:18" x14ac:dyDescent="0.25">
      <c r="A10" s="4">
        <v>42714</v>
      </c>
      <c r="B10" s="5">
        <v>42714</v>
      </c>
      <c r="C10" s="13">
        <v>0.5</v>
      </c>
      <c r="D10" s="12">
        <v>0.64444444444444449</v>
      </c>
      <c r="E10" s="30">
        <v>1730.2544817602191</v>
      </c>
      <c r="F10" s="38">
        <v>16813.559855365605</v>
      </c>
      <c r="G10" s="89">
        <v>9.7173913043478262</v>
      </c>
      <c r="H10" s="36"/>
      <c r="I10" s="30">
        <v>1897.729352630382</v>
      </c>
      <c r="J10" s="38">
        <v>22186.181340751555</v>
      </c>
      <c r="K10" s="89">
        <v>11.69090909090909</v>
      </c>
      <c r="L10" s="36"/>
      <c r="M10" s="30" t="s">
        <v>63</v>
      </c>
      <c r="N10" s="31" t="s">
        <v>63</v>
      </c>
      <c r="O10" s="28" t="s">
        <v>63</v>
      </c>
      <c r="P10" s="36"/>
      <c r="Q10" s="30">
        <f>+E10+I10</f>
        <v>3627.9838343906013</v>
      </c>
      <c r="R10" s="38">
        <f>+F10+J10</f>
        <v>38999.74119611716</v>
      </c>
    </row>
    <row r="11" spans="1:18" x14ac:dyDescent="0.25">
      <c r="A11" s="4">
        <v>42715</v>
      </c>
      <c r="B11" s="5">
        <v>42715</v>
      </c>
      <c r="C11" s="13">
        <v>-0.5</v>
      </c>
      <c r="D11" s="12">
        <v>0.68125000000000002</v>
      </c>
      <c r="E11" s="30">
        <v>961.8555753094945</v>
      </c>
      <c r="F11" s="38">
        <v>14427.833629642417</v>
      </c>
      <c r="G11" s="89">
        <v>15</v>
      </c>
      <c r="H11" s="36"/>
      <c r="I11" s="30">
        <v>924.39921289668416</v>
      </c>
      <c r="J11" s="38">
        <v>13865.988193450265</v>
      </c>
      <c r="K11" s="89">
        <v>15.000000000000002</v>
      </c>
      <c r="L11" s="36"/>
      <c r="M11" s="30" t="s">
        <v>63</v>
      </c>
      <c r="N11" s="31" t="s">
        <v>63</v>
      </c>
      <c r="O11" s="28" t="s">
        <v>63</v>
      </c>
      <c r="P11" s="36"/>
      <c r="Q11" s="30">
        <f>+E11+I11</f>
        <v>1886.2547882061785</v>
      </c>
      <c r="R11" s="38">
        <f>+F11+J11</f>
        <v>28293.82182309268</v>
      </c>
    </row>
    <row r="12" spans="1:18" x14ac:dyDescent="0.25">
      <c r="A12" s="326" t="s">
        <v>31</v>
      </c>
      <c r="B12" s="326"/>
      <c r="C12" s="326"/>
      <c r="D12" s="327"/>
      <c r="E12" s="34">
        <f>SUM(E10:E11)</f>
        <v>2692.1100570697135</v>
      </c>
      <c r="F12" s="35">
        <f>SUM(F10:F11)</f>
        <v>31241.393485008022</v>
      </c>
      <c r="G12" s="33">
        <f>+F12/E12</f>
        <v>11.604798029324776</v>
      </c>
      <c r="H12" s="33"/>
      <c r="I12" s="34">
        <f>SUM(I10:I11)</f>
        <v>2822.1285655270663</v>
      </c>
      <c r="J12" s="35">
        <f>SUM(J10:J11)</f>
        <v>36052.169534201821</v>
      </c>
      <c r="K12" s="33">
        <f>+J12/I12</f>
        <v>12.774814717723055</v>
      </c>
      <c r="L12" s="33"/>
      <c r="M12" s="34"/>
      <c r="N12" s="35"/>
      <c r="O12" s="35"/>
      <c r="P12" s="33"/>
      <c r="Q12" s="34">
        <f>SUM(Q10:Q11)</f>
        <v>5514.2386225967803</v>
      </c>
      <c r="R12" s="35">
        <f>SUM(R10:R11)</f>
        <v>67293.563019209832</v>
      </c>
    </row>
    <row r="13" spans="1:18" x14ac:dyDescent="0.25">
      <c r="A13" s="4">
        <v>42734</v>
      </c>
      <c r="B13" s="5">
        <v>42734</v>
      </c>
      <c r="C13" s="13">
        <v>-0.4</v>
      </c>
      <c r="D13" s="12">
        <v>0.80694444444444446</v>
      </c>
      <c r="E13" s="30">
        <v>2584.6268847794859</v>
      </c>
      <c r="F13" s="38">
        <v>33206.836715319048</v>
      </c>
      <c r="G13" s="89">
        <v>12.847826086956523</v>
      </c>
      <c r="H13" s="36"/>
      <c r="I13" s="30">
        <v>1621.0631271273953</v>
      </c>
      <c r="J13" s="38">
        <v>19052.495025003464</v>
      </c>
      <c r="K13" s="89">
        <v>11.753086419753087</v>
      </c>
      <c r="L13" s="36"/>
      <c r="M13" s="30" t="s">
        <v>63</v>
      </c>
      <c r="N13" s="31" t="s">
        <v>63</v>
      </c>
      <c r="O13" s="28" t="s">
        <v>63</v>
      </c>
      <c r="P13" s="36"/>
      <c r="Q13" s="30">
        <f>+E13+I13</f>
        <v>4205.6900119068814</v>
      </c>
      <c r="R13" s="38">
        <f>+F13+J13</f>
        <v>52259.331740322508</v>
      </c>
    </row>
    <row r="14" spans="1:18" x14ac:dyDescent="0.25">
      <c r="A14" s="4">
        <v>42735</v>
      </c>
      <c r="B14" s="5">
        <v>42735</v>
      </c>
      <c r="C14" s="13">
        <v>-0.4</v>
      </c>
      <c r="D14" s="12">
        <v>0.83125000000000004</v>
      </c>
      <c r="E14" s="30">
        <v>1417.8172271555168</v>
      </c>
      <c r="F14" s="38">
        <v>16361.610801374662</v>
      </c>
      <c r="G14" s="89">
        <v>11.54</v>
      </c>
      <c r="H14" s="36"/>
      <c r="I14" s="30">
        <v>849.15930608427016</v>
      </c>
      <c r="J14" s="38">
        <v>7057.4573439003798</v>
      </c>
      <c r="K14" s="89">
        <v>8.3111111111111118</v>
      </c>
      <c r="L14" s="36"/>
      <c r="M14" s="30" t="s">
        <v>63</v>
      </c>
      <c r="N14" s="31" t="s">
        <v>63</v>
      </c>
      <c r="O14" s="28" t="s">
        <v>63</v>
      </c>
      <c r="P14" s="36"/>
      <c r="Q14" s="30">
        <f>+E14+I14</f>
        <v>2266.9765332397869</v>
      </c>
      <c r="R14" s="38">
        <f>+F14+J14</f>
        <v>23419.068145275043</v>
      </c>
    </row>
    <row r="15" spans="1:18" x14ac:dyDescent="0.25">
      <c r="A15" s="326" t="s">
        <v>31</v>
      </c>
      <c r="B15" s="326"/>
      <c r="C15" s="326"/>
      <c r="D15" s="327"/>
      <c r="E15" s="34">
        <f>SUM(E13:E14)</f>
        <v>4002.4441119350026</v>
      </c>
      <c r="F15" s="35">
        <f>SUM(F13:F14)</f>
        <v>49568.447516693712</v>
      </c>
      <c r="G15" s="33">
        <f>+F15/E15</f>
        <v>12.384544575871564</v>
      </c>
      <c r="H15" s="33"/>
      <c r="I15" s="34">
        <f>SUM(I13:I14)</f>
        <v>2470.2224332116657</v>
      </c>
      <c r="J15" s="35">
        <f>SUM(J13:J14)</f>
        <v>26109.952368903843</v>
      </c>
      <c r="K15" s="33">
        <f>+J15/I15</f>
        <v>10.569879059416088</v>
      </c>
      <c r="L15" s="33"/>
      <c r="M15" s="34"/>
      <c r="N15" s="35"/>
      <c r="O15" s="35"/>
      <c r="P15" s="33"/>
      <c r="Q15" s="34">
        <f>SUM(Q13:Q14)</f>
        <v>6472.6665451466688</v>
      </c>
      <c r="R15" s="35">
        <f>SUM(R13:R14)</f>
        <v>75678.399885597551</v>
      </c>
    </row>
    <row r="16" spans="1:18" x14ac:dyDescent="0.25">
      <c r="A16" s="4">
        <v>42743</v>
      </c>
      <c r="B16" s="18">
        <v>42743</v>
      </c>
      <c r="C16" s="28">
        <v>0.4</v>
      </c>
      <c r="D16" s="29">
        <v>0.63263888888888886</v>
      </c>
      <c r="E16" s="30" t="s">
        <v>63</v>
      </c>
      <c r="F16" s="38" t="s">
        <v>63</v>
      </c>
      <c r="G16" s="89" t="s">
        <v>63</v>
      </c>
      <c r="H16" s="36"/>
      <c r="I16" s="30" t="s">
        <v>63</v>
      </c>
      <c r="J16" s="38" t="s">
        <v>63</v>
      </c>
      <c r="K16" s="89" t="s">
        <v>63</v>
      </c>
      <c r="L16" s="36"/>
      <c r="M16" s="30">
        <v>424.70810810810815</v>
      </c>
      <c r="N16" s="31">
        <v>55.977518427518426</v>
      </c>
      <c r="O16" s="28">
        <v>0.13180233049205059</v>
      </c>
      <c r="P16" s="36"/>
      <c r="Q16" s="30">
        <f>+M16</f>
        <v>424.70810810810815</v>
      </c>
      <c r="R16" s="38">
        <f>+N16</f>
        <v>55.977518427518426</v>
      </c>
    </row>
    <row r="17" spans="1:18" x14ac:dyDescent="0.25">
      <c r="A17" s="4">
        <v>42744</v>
      </c>
      <c r="B17" s="18">
        <v>42744</v>
      </c>
      <c r="C17" s="28">
        <v>-0.4</v>
      </c>
      <c r="D17" s="29">
        <v>0.67222222222222228</v>
      </c>
      <c r="E17" s="30" t="s">
        <v>63</v>
      </c>
      <c r="F17" s="38" t="s">
        <v>63</v>
      </c>
      <c r="G17" s="89" t="s">
        <v>63</v>
      </c>
      <c r="H17" s="36"/>
      <c r="I17" s="30" t="s">
        <v>63</v>
      </c>
      <c r="J17" s="38" t="s">
        <v>63</v>
      </c>
      <c r="K17" s="89" t="s">
        <v>63</v>
      </c>
      <c r="L17" s="36"/>
      <c r="M17" s="30">
        <v>212.72727272727275</v>
      </c>
      <c r="N17" s="31">
        <v>1354.090909090909</v>
      </c>
      <c r="O17" s="28">
        <v>6.3653846153846141</v>
      </c>
      <c r="P17" s="36"/>
      <c r="Q17" s="30">
        <f>+M17</f>
        <v>212.72727272727275</v>
      </c>
      <c r="R17" s="38">
        <f>+N17</f>
        <v>1354.090909090909</v>
      </c>
    </row>
    <row r="18" spans="1:18" x14ac:dyDescent="0.25">
      <c r="A18" s="326" t="s">
        <v>31</v>
      </c>
      <c r="B18" s="326"/>
      <c r="C18" s="326"/>
      <c r="D18" s="327"/>
      <c r="E18" s="34"/>
      <c r="F18" s="35"/>
      <c r="G18" s="90"/>
      <c r="H18" s="33"/>
      <c r="I18" s="34"/>
      <c r="J18" s="35"/>
      <c r="K18" s="33"/>
      <c r="L18" s="33"/>
      <c r="M18" s="34">
        <f>SUM(M16:M17)</f>
        <v>637.4353808353809</v>
      </c>
      <c r="N18" s="35">
        <f>SUM(N16:N17)</f>
        <v>1410.0684275184274</v>
      </c>
      <c r="O18" s="33">
        <f>+N18/M18</f>
        <v>2.2120962687550922</v>
      </c>
      <c r="P18" s="33"/>
      <c r="Q18" s="34">
        <f>SUM(Q16:Q17)</f>
        <v>637.4353808353809</v>
      </c>
      <c r="R18" s="35">
        <f>SUM(R16:R17)</f>
        <v>1410.0684275184274</v>
      </c>
    </row>
    <row r="19" spans="1:18" x14ac:dyDescent="0.25">
      <c r="A19" s="4">
        <v>42748</v>
      </c>
      <c r="B19" s="18">
        <v>42748</v>
      </c>
      <c r="C19" s="13">
        <v>-1.4</v>
      </c>
      <c r="D19" s="88">
        <v>0.80347222222222225</v>
      </c>
      <c r="E19" s="30">
        <v>1360.4547061735436</v>
      </c>
      <c r="F19" s="38">
        <v>19953.335690545307</v>
      </c>
      <c r="G19" s="89">
        <v>14.666666666666668</v>
      </c>
      <c r="H19" s="36"/>
      <c r="I19" s="30">
        <v>528.84133147849752</v>
      </c>
      <c r="J19" s="38">
        <v>7541.2773868833756</v>
      </c>
      <c r="K19" s="89">
        <v>14.260000000000002</v>
      </c>
      <c r="L19" s="36"/>
      <c r="M19" s="30" t="s">
        <v>63</v>
      </c>
      <c r="N19" s="31" t="s">
        <v>63</v>
      </c>
      <c r="O19" s="28" t="s">
        <v>63</v>
      </c>
      <c r="P19" s="36"/>
      <c r="Q19" s="30">
        <f t="shared" ref="Q19:R21" si="1">+E19+I19</f>
        <v>1889.2960376520412</v>
      </c>
      <c r="R19" s="38">
        <f t="shared" si="1"/>
        <v>27494.613077428683</v>
      </c>
    </row>
    <row r="20" spans="1:18" x14ac:dyDescent="0.25">
      <c r="A20" s="4">
        <v>42749</v>
      </c>
      <c r="B20" s="18">
        <v>42749</v>
      </c>
      <c r="C20" s="13">
        <v>-1</v>
      </c>
      <c r="D20" s="88">
        <v>0.83263888888888893</v>
      </c>
      <c r="E20" s="30">
        <v>2076.1589535097978</v>
      </c>
      <c r="F20" s="38">
        <v>29519.205484448401</v>
      </c>
      <c r="G20" s="89">
        <v>14.21818181818182</v>
      </c>
      <c r="H20" s="36"/>
      <c r="I20" s="30">
        <v>1249.2064069291739</v>
      </c>
      <c r="J20" s="38">
        <v>11707.678650987373</v>
      </c>
      <c r="K20" s="89">
        <v>9.3720930232558128</v>
      </c>
      <c r="L20" s="36"/>
      <c r="M20" s="30" t="s">
        <v>63</v>
      </c>
      <c r="N20" s="31" t="s">
        <v>63</v>
      </c>
      <c r="O20" s="28" t="s">
        <v>63</v>
      </c>
      <c r="P20" s="36"/>
      <c r="Q20" s="30">
        <f t="shared" si="1"/>
        <v>3325.3653604389719</v>
      </c>
      <c r="R20" s="38">
        <f t="shared" si="1"/>
        <v>41226.884135435772</v>
      </c>
    </row>
    <row r="21" spans="1:18" x14ac:dyDescent="0.25">
      <c r="A21" s="4">
        <v>42750</v>
      </c>
      <c r="B21" s="18">
        <v>42750</v>
      </c>
      <c r="C21" s="13">
        <v>-0.4</v>
      </c>
      <c r="D21" s="88">
        <v>0.86111111111111116</v>
      </c>
      <c r="E21" s="30">
        <v>827.08031911300122</v>
      </c>
      <c r="F21" s="38">
        <v>10379.858004868165</v>
      </c>
      <c r="G21" s="89">
        <v>12.549999999999999</v>
      </c>
      <c r="H21" s="36"/>
      <c r="I21" s="30">
        <v>789.73839149512537</v>
      </c>
      <c r="J21" s="38">
        <v>6457.2727304601403</v>
      </c>
      <c r="K21" s="89">
        <v>8.1764705882352917</v>
      </c>
      <c r="L21" s="36"/>
      <c r="M21" s="30" t="s">
        <v>63</v>
      </c>
      <c r="N21" s="31" t="s">
        <v>63</v>
      </c>
      <c r="O21" s="28" t="s">
        <v>63</v>
      </c>
      <c r="P21" s="36"/>
      <c r="Q21" s="30">
        <f t="shared" si="1"/>
        <v>1616.8187106081266</v>
      </c>
      <c r="R21" s="38">
        <f t="shared" si="1"/>
        <v>16837.130735328305</v>
      </c>
    </row>
    <row r="22" spans="1:18" x14ac:dyDescent="0.25">
      <c r="A22" s="326" t="s">
        <v>31</v>
      </c>
      <c r="B22" s="326"/>
      <c r="C22" s="326"/>
      <c r="D22" s="327"/>
      <c r="E22" s="34">
        <f>SUM(E19:E21)</f>
        <v>4263.693978796342</v>
      </c>
      <c r="F22" s="35">
        <f>SUM(F19:F21)</f>
        <v>59852.399179861866</v>
      </c>
      <c r="G22" s="33">
        <f>+F22/E22</f>
        <v>14.037686446896087</v>
      </c>
      <c r="H22" s="33"/>
      <c r="I22" s="34">
        <f>SUM(I19:I21)</f>
        <v>2567.7861299027968</v>
      </c>
      <c r="J22" s="35">
        <f>SUM(J19:J21)</f>
        <v>25706.228768330886</v>
      </c>
      <c r="K22" s="33">
        <f>+J22/I22</f>
        <v>10.011047442375581</v>
      </c>
      <c r="L22" s="33"/>
      <c r="M22" s="34"/>
      <c r="N22" s="35"/>
      <c r="O22" s="35"/>
      <c r="P22" s="33"/>
      <c r="Q22" s="34">
        <f>SUM(Q19:Q21)</f>
        <v>6831.4801086991401</v>
      </c>
      <c r="R22" s="35">
        <f>SUM(R19:R21)</f>
        <v>85558.627948192763</v>
      </c>
    </row>
    <row r="23" spans="1:18" x14ac:dyDescent="0.25">
      <c r="A23" s="4">
        <v>42762</v>
      </c>
      <c r="B23" s="18">
        <v>42762</v>
      </c>
      <c r="C23" s="13">
        <v>-0.5</v>
      </c>
      <c r="D23" s="88">
        <v>0.7680555555555556</v>
      </c>
      <c r="E23" s="30">
        <v>3378.4056923947078</v>
      </c>
      <c r="F23" s="38">
        <v>41084.519799466674</v>
      </c>
      <c r="G23" s="89">
        <v>12.160919540229884</v>
      </c>
      <c r="H23" s="36"/>
      <c r="I23" s="30" t="s">
        <v>58</v>
      </c>
      <c r="J23" s="38" t="s">
        <v>58</v>
      </c>
      <c r="K23" s="89" t="s">
        <v>58</v>
      </c>
      <c r="L23" s="36"/>
      <c r="M23" s="30" t="s">
        <v>63</v>
      </c>
      <c r="N23" s="31" t="s">
        <v>63</v>
      </c>
      <c r="O23" s="28" t="s">
        <v>63</v>
      </c>
      <c r="P23" s="36"/>
      <c r="Q23" s="30">
        <f>+E23</f>
        <v>3378.4056923947078</v>
      </c>
      <c r="R23" s="38">
        <f>+F23</f>
        <v>41084.519799466674</v>
      </c>
    </row>
    <row r="24" spans="1:18" x14ac:dyDescent="0.25">
      <c r="A24" s="4">
        <v>42763</v>
      </c>
      <c r="B24" s="18">
        <v>42763</v>
      </c>
      <c r="C24" s="13">
        <v>-0.6</v>
      </c>
      <c r="D24" s="88">
        <v>0.79236111111111107</v>
      </c>
      <c r="E24" s="30">
        <v>5779.7760245021936</v>
      </c>
      <c r="F24" s="38">
        <v>60122.957496258452</v>
      </c>
      <c r="G24" s="89">
        <v>10.402298850574713</v>
      </c>
      <c r="H24" s="36"/>
      <c r="I24" s="30" t="s">
        <v>58</v>
      </c>
      <c r="J24" s="38" t="s">
        <v>58</v>
      </c>
      <c r="K24" s="89" t="s">
        <v>58</v>
      </c>
      <c r="L24" s="36"/>
      <c r="M24" s="30" t="s">
        <v>63</v>
      </c>
      <c r="N24" s="31" t="s">
        <v>63</v>
      </c>
      <c r="O24" s="28" t="s">
        <v>63</v>
      </c>
      <c r="P24" s="36"/>
      <c r="Q24" s="30">
        <f>+E24</f>
        <v>5779.7760245021936</v>
      </c>
      <c r="R24" s="38">
        <f>+F24</f>
        <v>60122.957496258452</v>
      </c>
    </row>
    <row r="25" spans="1:18" x14ac:dyDescent="0.25">
      <c r="A25" s="4">
        <v>42764</v>
      </c>
      <c r="B25" s="18">
        <v>42764</v>
      </c>
      <c r="C25" s="13">
        <v>-0.5</v>
      </c>
      <c r="D25" s="88">
        <v>0.81736111111111109</v>
      </c>
      <c r="E25" s="30">
        <v>528.97986556560511</v>
      </c>
      <c r="F25" s="38">
        <v>7517.0823001428107</v>
      </c>
      <c r="G25" s="89">
        <v>14.210526315789476</v>
      </c>
      <c r="H25" s="36"/>
      <c r="I25" s="30">
        <v>476.58549701524316</v>
      </c>
      <c r="J25" s="38">
        <v>7038.8011866866691</v>
      </c>
      <c r="K25" s="89">
        <v>14.769230769230772</v>
      </c>
      <c r="L25" s="36"/>
      <c r="M25" s="30" t="s">
        <v>63</v>
      </c>
      <c r="N25" s="31" t="s">
        <v>63</v>
      </c>
      <c r="O25" s="28" t="s">
        <v>63</v>
      </c>
      <c r="P25" s="36"/>
      <c r="Q25" s="30">
        <f t="shared" ref="Q25:R27" si="2">+E25+I25</f>
        <v>1005.5653625808483</v>
      </c>
      <c r="R25" s="38">
        <f t="shared" si="2"/>
        <v>14555.88348682948</v>
      </c>
    </row>
    <row r="26" spans="1:18" x14ac:dyDescent="0.25">
      <c r="A26" s="4">
        <v>42765</v>
      </c>
      <c r="B26" s="18">
        <v>42765</v>
      </c>
      <c r="C26" s="13">
        <v>-0.3</v>
      </c>
      <c r="D26" s="88">
        <v>0.84236111111111101</v>
      </c>
      <c r="E26" s="30">
        <v>448.87917664367563</v>
      </c>
      <c r="F26" s="38">
        <v>6733.1876496551349</v>
      </c>
      <c r="G26" s="89">
        <v>15</v>
      </c>
      <c r="H26" s="36"/>
      <c r="I26" s="30">
        <v>271.73717595940326</v>
      </c>
      <c r="J26" s="38">
        <v>3902.1458467770308</v>
      </c>
      <c r="K26" s="89">
        <v>14.36</v>
      </c>
      <c r="L26" s="36"/>
      <c r="M26" s="30" t="s">
        <v>63</v>
      </c>
      <c r="N26" s="31" t="s">
        <v>63</v>
      </c>
      <c r="O26" s="28" t="s">
        <v>63</v>
      </c>
      <c r="P26" s="36"/>
      <c r="Q26" s="30">
        <f t="shared" si="2"/>
        <v>720.61635260307889</v>
      </c>
      <c r="R26" s="38">
        <f t="shared" si="2"/>
        <v>10635.333496432166</v>
      </c>
    </row>
    <row r="27" spans="1:18" x14ac:dyDescent="0.25">
      <c r="A27" s="4">
        <v>42766</v>
      </c>
      <c r="B27" s="18">
        <f>+A27</f>
        <v>42766</v>
      </c>
      <c r="C27" s="13">
        <v>0.2</v>
      </c>
      <c r="D27" s="88">
        <v>0.86805555555555547</v>
      </c>
      <c r="E27" s="30">
        <v>254.65072792822684</v>
      </c>
      <c r="F27" s="38">
        <v>3819.7609189234026</v>
      </c>
      <c r="G27" s="89">
        <v>15</v>
      </c>
      <c r="H27" s="68"/>
      <c r="I27" s="30">
        <v>80.102904596360361</v>
      </c>
      <c r="J27" s="38">
        <v>1201.5435689454055</v>
      </c>
      <c r="K27" s="36">
        <v>15</v>
      </c>
      <c r="L27" s="68"/>
      <c r="M27" s="30" t="s">
        <v>63</v>
      </c>
      <c r="N27" s="38" t="s">
        <v>63</v>
      </c>
      <c r="O27" s="38" t="s">
        <v>63</v>
      </c>
      <c r="P27" s="68"/>
      <c r="Q27" s="30">
        <f t="shared" si="2"/>
        <v>334.7536325245872</v>
      </c>
      <c r="R27" s="38">
        <f t="shared" si="2"/>
        <v>5021.3044878688079</v>
      </c>
    </row>
    <row r="28" spans="1:18" x14ac:dyDescent="0.25">
      <c r="A28" s="326" t="s">
        <v>31</v>
      </c>
      <c r="B28" s="326"/>
      <c r="C28" s="326"/>
      <c r="D28" s="327"/>
      <c r="E28" s="34">
        <f>SUM(E23:E27)</f>
        <v>10390.691487034408</v>
      </c>
      <c r="F28" s="35">
        <f>SUM(F23:F27)</f>
        <v>119277.50816444648</v>
      </c>
      <c r="G28" s="90">
        <f>+F28/E28</f>
        <v>11.479265678639575</v>
      </c>
      <c r="H28" s="33"/>
      <c r="I28" s="34">
        <f>SUM(I25:I27)</f>
        <v>828.42557757100667</v>
      </c>
      <c r="J28" s="35">
        <f>SUM(J25:J27)</f>
        <v>12142.490602409107</v>
      </c>
      <c r="K28" s="33">
        <f>+J28/I28</f>
        <v>14.657310120737236</v>
      </c>
      <c r="L28" s="33"/>
      <c r="M28" s="34"/>
      <c r="N28" s="35"/>
      <c r="O28" s="35"/>
      <c r="P28" s="33"/>
      <c r="Q28" s="34">
        <f>SUM(Q23:Q27)</f>
        <v>11219.117064605416</v>
      </c>
      <c r="R28" s="35">
        <f>SUM(R23:R27)</f>
        <v>131419.99876685557</v>
      </c>
    </row>
    <row r="29" spans="1:18" x14ac:dyDescent="0.25">
      <c r="A29" s="4">
        <v>42773</v>
      </c>
      <c r="B29" s="18">
        <v>42773</v>
      </c>
      <c r="C29" s="13">
        <v>-0.1</v>
      </c>
      <c r="D29" s="88">
        <v>0.66180555555555554</v>
      </c>
      <c r="E29" s="30">
        <v>760.13880434470593</v>
      </c>
      <c r="F29" s="38">
        <v>11402.082065170591</v>
      </c>
      <c r="G29" s="89">
        <v>15.000000000000002</v>
      </c>
      <c r="H29" s="68"/>
      <c r="I29" s="30">
        <v>537.04027643618247</v>
      </c>
      <c r="J29" s="38">
        <v>7811.4949299808341</v>
      </c>
      <c r="K29" s="36">
        <v>14.545454545454541</v>
      </c>
      <c r="L29" s="68"/>
      <c r="M29" s="30" t="s">
        <v>58</v>
      </c>
      <c r="N29" s="38" t="s">
        <v>58</v>
      </c>
      <c r="O29" s="38" t="s">
        <v>58</v>
      </c>
      <c r="P29" s="68"/>
      <c r="Q29" s="30">
        <f t="shared" ref="Q29:Q31" si="3">+E29+I29</f>
        <v>1297.1790807808884</v>
      </c>
      <c r="R29" s="38">
        <f t="shared" ref="R29:R31" si="4">+F29+J29</f>
        <v>19213.576995151423</v>
      </c>
    </row>
    <row r="30" spans="1:18" x14ac:dyDescent="0.25">
      <c r="A30" s="4">
        <v>42774</v>
      </c>
      <c r="B30" s="18">
        <v>42774</v>
      </c>
      <c r="C30" s="13">
        <v>-0.6</v>
      </c>
      <c r="D30" s="88">
        <v>0.69861111111111107</v>
      </c>
      <c r="E30" s="30">
        <v>552.5440322970959</v>
      </c>
      <c r="F30" s="38">
        <v>7546.1727839431951</v>
      </c>
      <c r="G30" s="89">
        <v>13.657142857142857</v>
      </c>
      <c r="H30" s="68"/>
      <c r="I30" s="30">
        <v>458.04234920736371</v>
      </c>
      <c r="J30" s="38">
        <v>6552.5502733831199</v>
      </c>
      <c r="K30" s="36">
        <v>14.305555555555555</v>
      </c>
      <c r="L30" s="68"/>
      <c r="M30" s="30" t="s">
        <v>58</v>
      </c>
      <c r="N30" s="38" t="s">
        <v>58</v>
      </c>
      <c r="O30" s="38" t="s">
        <v>58</v>
      </c>
      <c r="P30" s="68"/>
      <c r="Q30" s="30">
        <f t="shared" si="3"/>
        <v>1010.5863815044596</v>
      </c>
      <c r="R30" s="38">
        <f t="shared" si="4"/>
        <v>14098.723057326315</v>
      </c>
    </row>
    <row r="31" spans="1:18" x14ac:dyDescent="0.25">
      <c r="A31" s="4">
        <v>42775</v>
      </c>
      <c r="B31" s="18">
        <v>42775</v>
      </c>
      <c r="C31" s="13">
        <v>-0.9</v>
      </c>
      <c r="D31" s="88">
        <v>0.73125000000000007</v>
      </c>
      <c r="E31" s="30">
        <v>688.09490559169888</v>
      </c>
      <c r="F31" s="38">
        <v>4994.2372180042657</v>
      </c>
      <c r="G31" s="89">
        <v>7.258064516129032</v>
      </c>
      <c r="H31" s="68"/>
      <c r="I31" s="30">
        <v>549.78151747000743</v>
      </c>
      <c r="J31" s="38">
        <v>978.8792872026961</v>
      </c>
      <c r="K31" s="36">
        <v>1.7804878048780486</v>
      </c>
      <c r="L31" s="68"/>
      <c r="M31" s="30" t="s">
        <v>58</v>
      </c>
      <c r="N31" s="38" t="s">
        <v>58</v>
      </c>
      <c r="O31" s="38" t="s">
        <v>58</v>
      </c>
      <c r="P31" s="68"/>
      <c r="Q31" s="30">
        <f t="shared" si="3"/>
        <v>1237.8764230617062</v>
      </c>
      <c r="R31" s="38">
        <f t="shared" si="4"/>
        <v>5973.1165052069618</v>
      </c>
    </row>
    <row r="32" spans="1:18" x14ac:dyDescent="0.25">
      <c r="A32" s="4">
        <v>42776</v>
      </c>
      <c r="B32" s="18">
        <v>42776</v>
      </c>
      <c r="C32" s="13">
        <v>-1</v>
      </c>
      <c r="D32" s="88">
        <v>0.76111111111111107</v>
      </c>
      <c r="E32" s="30" t="s">
        <v>58</v>
      </c>
      <c r="F32" s="38" t="s">
        <v>58</v>
      </c>
      <c r="G32" s="89" t="s">
        <v>58</v>
      </c>
      <c r="H32" s="68"/>
      <c r="I32" s="30">
        <v>1468.6682342693912</v>
      </c>
      <c r="J32" s="38">
        <v>11802.751991764928</v>
      </c>
      <c r="K32" s="36">
        <v>8.0363636363636388</v>
      </c>
      <c r="L32" s="68"/>
      <c r="M32" s="30" t="s">
        <v>58</v>
      </c>
      <c r="N32" s="38" t="s">
        <v>58</v>
      </c>
      <c r="O32" s="38" t="s">
        <v>58</v>
      </c>
      <c r="P32" s="68"/>
      <c r="Q32" s="30">
        <f>+I32</f>
        <v>1468.6682342693912</v>
      </c>
      <c r="R32" s="38">
        <f>+J32</f>
        <v>11802.751991764928</v>
      </c>
    </row>
    <row r="33" spans="1:18" x14ac:dyDescent="0.25">
      <c r="A33" s="4">
        <v>42777</v>
      </c>
      <c r="B33" s="18">
        <v>42777</v>
      </c>
      <c r="C33" s="13">
        <v>-0.8</v>
      </c>
      <c r="D33" s="88">
        <v>0.7895833333333333</v>
      </c>
      <c r="E33" s="30" t="s">
        <v>58</v>
      </c>
      <c r="F33" s="38" t="s">
        <v>58</v>
      </c>
      <c r="G33" s="89" t="s">
        <v>58</v>
      </c>
      <c r="H33" s="68"/>
      <c r="I33" s="30">
        <v>4451.6083789766672</v>
      </c>
      <c r="J33" s="38">
        <v>49446.359736375234</v>
      </c>
      <c r="K33" s="36">
        <v>11.10752688172043</v>
      </c>
      <c r="L33" s="68"/>
      <c r="M33" s="30" t="s">
        <v>58</v>
      </c>
      <c r="N33" s="38" t="s">
        <v>58</v>
      </c>
      <c r="O33" s="38" t="s">
        <v>58</v>
      </c>
      <c r="P33" s="68"/>
      <c r="Q33" s="30">
        <f t="shared" ref="Q33:Q34" si="5">+I33</f>
        <v>4451.6083789766672</v>
      </c>
      <c r="R33" s="38">
        <f t="shared" ref="R33:R34" si="6">+J33</f>
        <v>49446.359736375234</v>
      </c>
    </row>
    <row r="34" spans="1:18" x14ac:dyDescent="0.25">
      <c r="A34" s="4">
        <v>42778</v>
      </c>
      <c r="B34" s="18">
        <v>42778</v>
      </c>
      <c r="C34" s="13">
        <v>-0.5</v>
      </c>
      <c r="D34" s="88">
        <v>0.81527777777777777</v>
      </c>
      <c r="E34" s="30" t="s">
        <v>58</v>
      </c>
      <c r="F34" s="38" t="s">
        <v>58</v>
      </c>
      <c r="G34" s="89" t="s">
        <v>58</v>
      </c>
      <c r="H34" s="68"/>
      <c r="I34" s="30">
        <v>716.17647143028626</v>
      </c>
      <c r="J34" s="38">
        <v>6302.3529485865183</v>
      </c>
      <c r="K34" s="36">
        <v>8.7999999999999989</v>
      </c>
      <c r="L34" s="68"/>
      <c r="M34" s="30" t="s">
        <v>58</v>
      </c>
      <c r="N34" s="38" t="s">
        <v>58</v>
      </c>
      <c r="O34" s="38" t="s">
        <v>58</v>
      </c>
      <c r="P34" s="68"/>
      <c r="Q34" s="30">
        <f t="shared" si="5"/>
        <v>716.17647143028626</v>
      </c>
      <c r="R34" s="38">
        <f t="shared" si="6"/>
        <v>6302.3529485865183</v>
      </c>
    </row>
    <row r="35" spans="1:18" x14ac:dyDescent="0.25">
      <c r="A35" s="326" t="s">
        <v>31</v>
      </c>
      <c r="B35" s="326"/>
      <c r="C35" s="326"/>
      <c r="D35" s="327"/>
      <c r="E35" s="34">
        <f>SUM(E29:E34)</f>
        <v>2000.7777422335007</v>
      </c>
      <c r="F35" s="35">
        <f>SUM(F29:F34)</f>
        <v>23942.492067118052</v>
      </c>
      <c r="G35" s="90">
        <f>+F35/E35</f>
        <v>11.966592571342112</v>
      </c>
      <c r="H35" s="33"/>
      <c r="I35" s="34">
        <f>SUM(I29:I34)</f>
        <v>8181.3172277898984</v>
      </c>
      <c r="J35" s="35">
        <f>SUM(J29:J34)</f>
        <v>82894.389167293324</v>
      </c>
      <c r="K35" s="33">
        <f>+J35/I35</f>
        <v>10.132156822586186</v>
      </c>
      <c r="L35" s="33"/>
      <c r="M35" s="34"/>
      <c r="N35" s="35"/>
      <c r="O35" s="35"/>
      <c r="P35" s="33"/>
      <c r="Q35" s="34">
        <f>SUM(Q29:Q34)</f>
        <v>10182.0949700234</v>
      </c>
      <c r="R35" s="35">
        <f>SUM(R29:R34)</f>
        <v>106836.88123441138</v>
      </c>
    </row>
    <row r="36" spans="1:18" x14ac:dyDescent="0.25">
      <c r="A36" s="4">
        <v>42790</v>
      </c>
      <c r="B36" s="18">
        <v>42790</v>
      </c>
      <c r="C36" s="13">
        <v>-0.1</v>
      </c>
      <c r="D36" s="88">
        <v>0.72291666666666676</v>
      </c>
      <c r="E36" s="30">
        <v>2424.5787203382324</v>
      </c>
      <c r="F36" s="38">
        <v>36368.680805073491</v>
      </c>
      <c r="G36" s="36">
        <v>15.000000000000002</v>
      </c>
      <c r="H36" s="36"/>
      <c r="I36" s="30">
        <v>1438.6266222006643</v>
      </c>
      <c r="J36" s="38">
        <v>21031.351095981139</v>
      </c>
      <c r="K36" s="36">
        <v>14.619047619047619</v>
      </c>
      <c r="L36" s="68"/>
      <c r="M36" s="30" t="s">
        <v>58</v>
      </c>
      <c r="N36" s="38" t="s">
        <v>58</v>
      </c>
      <c r="O36" s="38" t="s">
        <v>58</v>
      </c>
      <c r="P36" s="68"/>
      <c r="Q36" s="30">
        <f t="shared" ref="Q36:Q38" si="7">+E36+I36</f>
        <v>3863.2053425388967</v>
      </c>
      <c r="R36" s="38">
        <f t="shared" ref="R36:R38" si="8">+F36+J36</f>
        <v>57400.03190105463</v>
      </c>
    </row>
    <row r="37" spans="1:18" x14ac:dyDescent="0.25">
      <c r="A37" s="4">
        <v>42791</v>
      </c>
      <c r="B37" s="18">
        <v>42791</v>
      </c>
      <c r="C37" s="13">
        <v>-0.3</v>
      </c>
      <c r="D37" s="88">
        <v>0.74861111111111101</v>
      </c>
      <c r="E37" s="30">
        <v>8177.9369228415162</v>
      </c>
      <c r="F37" s="38">
        <v>108102.10369881128</v>
      </c>
      <c r="G37" s="36">
        <v>13.218749999999998</v>
      </c>
      <c r="H37" s="36"/>
      <c r="I37" s="30">
        <v>4819.9750055239037</v>
      </c>
      <c r="J37" s="38">
        <v>66871.303717414165</v>
      </c>
      <c r="K37" s="36">
        <v>13.873786407766991</v>
      </c>
      <c r="L37" s="68"/>
      <c r="M37" s="30" t="s">
        <v>58</v>
      </c>
      <c r="N37" s="38" t="s">
        <v>58</v>
      </c>
      <c r="O37" s="38" t="s">
        <v>58</v>
      </c>
      <c r="P37" s="68"/>
      <c r="Q37" s="30">
        <f t="shared" si="7"/>
        <v>12997.91192836542</v>
      </c>
      <c r="R37" s="38">
        <f t="shared" si="8"/>
        <v>174973.40741622544</v>
      </c>
    </row>
    <row r="38" spans="1:18" x14ac:dyDescent="0.25">
      <c r="A38" s="4">
        <v>42792</v>
      </c>
      <c r="B38" s="18">
        <v>42792</v>
      </c>
      <c r="C38" s="13">
        <v>-0.4</v>
      </c>
      <c r="D38" s="88">
        <v>0.77361111111111114</v>
      </c>
      <c r="E38" s="30">
        <v>1607.6658288969238</v>
      </c>
      <c r="F38" s="38">
        <v>18158.717313278368</v>
      </c>
      <c r="G38" s="36">
        <v>11.295081967213115</v>
      </c>
      <c r="H38" s="36"/>
      <c r="I38" s="30">
        <v>783.21914716098252</v>
      </c>
      <c r="J38" s="38">
        <v>10016.960671585199</v>
      </c>
      <c r="K38" s="36">
        <v>12.789473684210527</v>
      </c>
      <c r="L38" s="68"/>
      <c r="M38" s="30" t="s">
        <v>58</v>
      </c>
      <c r="N38" s="38" t="s">
        <v>58</v>
      </c>
      <c r="O38" s="38" t="s">
        <v>58</v>
      </c>
      <c r="P38" s="68"/>
      <c r="Q38" s="30">
        <f t="shared" si="7"/>
        <v>2390.8849760579064</v>
      </c>
      <c r="R38" s="38">
        <f t="shared" si="8"/>
        <v>28175.677984863567</v>
      </c>
    </row>
    <row r="39" spans="1:18" x14ac:dyDescent="0.25">
      <c r="A39" s="326" t="s">
        <v>31</v>
      </c>
      <c r="B39" s="326"/>
      <c r="C39" s="326"/>
      <c r="D39" s="327"/>
      <c r="E39" s="34">
        <f>SUM(E36:E38)</f>
        <v>12210.181472076671</v>
      </c>
      <c r="F39" s="35">
        <f>SUM(F36:F38)</f>
        <v>162629.50181716314</v>
      </c>
      <c r="G39" s="90">
        <f>+F39/E39</f>
        <v>13.319171560969732</v>
      </c>
      <c r="H39" s="33"/>
      <c r="I39" s="34">
        <f>SUM(I36:I38)</f>
        <v>7041.8207748855502</v>
      </c>
      <c r="J39" s="35">
        <f>SUM(J36:J38)</f>
        <v>97919.615484980503</v>
      </c>
      <c r="K39" s="33">
        <f>+J39/I39</f>
        <v>13.905439887679046</v>
      </c>
      <c r="L39" s="33"/>
      <c r="M39" s="34"/>
      <c r="N39" s="35"/>
      <c r="O39" s="35"/>
      <c r="P39" s="33"/>
      <c r="Q39" s="34">
        <f>SUM(Q36:Q38)</f>
        <v>19252.002246962224</v>
      </c>
      <c r="R39" s="35">
        <f>SUM(R36:R38)</f>
        <v>260549.11730214366</v>
      </c>
    </row>
    <row r="40" spans="1:18" x14ac:dyDescent="0.25">
      <c r="A40" s="4">
        <v>42803</v>
      </c>
      <c r="B40" s="18">
        <v>42803</v>
      </c>
      <c r="C40" s="13">
        <v>-0.1</v>
      </c>
      <c r="D40" s="88">
        <v>0.68611111111111101</v>
      </c>
      <c r="E40" s="30" t="s">
        <v>58</v>
      </c>
      <c r="F40" s="38" t="s">
        <v>58</v>
      </c>
      <c r="G40" s="36" t="s">
        <v>58</v>
      </c>
      <c r="H40" s="68"/>
      <c r="I40" s="30">
        <v>571.30105568193881</v>
      </c>
      <c r="J40" s="38">
        <v>7426.9137238652056</v>
      </c>
      <c r="K40" s="36">
        <v>13.000000000000002</v>
      </c>
      <c r="L40" s="68"/>
      <c r="M40" s="30" t="s">
        <v>58</v>
      </c>
      <c r="N40" s="38" t="s">
        <v>58</v>
      </c>
      <c r="O40" s="38" t="s">
        <v>58</v>
      </c>
      <c r="P40" s="68"/>
      <c r="Q40" s="30">
        <f>+I40</f>
        <v>571.30105568193881</v>
      </c>
      <c r="R40" s="38">
        <f>+J40</f>
        <v>7426.9137238652056</v>
      </c>
    </row>
    <row r="41" spans="1:18" x14ac:dyDescent="0.25">
      <c r="A41" s="4">
        <v>42804</v>
      </c>
      <c r="B41" s="18">
        <v>42804</v>
      </c>
      <c r="C41" s="13">
        <v>-0.3</v>
      </c>
      <c r="D41" s="88">
        <v>0.71736111111111101</v>
      </c>
      <c r="E41" s="30">
        <v>2564.7807731953208</v>
      </c>
      <c r="F41" s="38">
        <v>36252.189774972321</v>
      </c>
      <c r="G41" s="36">
        <v>14.134615384615385</v>
      </c>
      <c r="H41" s="68"/>
      <c r="I41" s="30" t="s">
        <v>58</v>
      </c>
      <c r="J41" s="38" t="s">
        <v>58</v>
      </c>
      <c r="K41" s="36" t="s">
        <v>58</v>
      </c>
      <c r="L41" s="68"/>
      <c r="M41" s="30" t="s">
        <v>58</v>
      </c>
      <c r="N41" s="38" t="s">
        <v>58</v>
      </c>
      <c r="O41" s="38" t="s">
        <v>58</v>
      </c>
      <c r="P41" s="68"/>
      <c r="Q41" s="30">
        <f>+E41</f>
        <v>2564.7807731953208</v>
      </c>
      <c r="R41" s="38">
        <f>+F41</f>
        <v>36252.189774972321</v>
      </c>
    </row>
    <row r="42" spans="1:18" x14ac:dyDescent="0.25">
      <c r="A42" s="4">
        <v>42805</v>
      </c>
      <c r="B42" s="18">
        <v>42805</v>
      </c>
      <c r="C42" s="13">
        <v>-0.3</v>
      </c>
      <c r="D42" s="88">
        <v>0.74583333333333324</v>
      </c>
      <c r="E42" s="30" t="s">
        <v>58</v>
      </c>
      <c r="F42" s="38" t="s">
        <v>58</v>
      </c>
      <c r="G42" s="36" t="s">
        <v>58</v>
      </c>
      <c r="H42" s="68"/>
      <c r="I42" s="30">
        <v>2865.1924854540198</v>
      </c>
      <c r="J42" s="38">
        <v>17676.780757716329</v>
      </c>
      <c r="K42" s="36">
        <v>6.1694915254237301</v>
      </c>
      <c r="L42" s="68"/>
      <c r="M42" s="30" t="s">
        <v>58</v>
      </c>
      <c r="N42" s="38" t="s">
        <v>58</v>
      </c>
      <c r="O42" s="38" t="s">
        <v>58</v>
      </c>
      <c r="P42" s="68"/>
      <c r="Q42" s="30">
        <f>+I42</f>
        <v>2865.1924854540198</v>
      </c>
      <c r="R42" s="38">
        <f>+J42</f>
        <v>17676.780757716329</v>
      </c>
    </row>
    <row r="43" spans="1:18" x14ac:dyDescent="0.25">
      <c r="A43" s="4">
        <v>42806</v>
      </c>
      <c r="B43" s="18">
        <v>42806</v>
      </c>
      <c r="C43" s="13">
        <v>-0.1</v>
      </c>
      <c r="D43" s="88">
        <v>0.81319444444444444</v>
      </c>
      <c r="E43" s="30">
        <v>1374.3737019349537</v>
      </c>
      <c r="F43" s="38">
        <v>20615.605529024302</v>
      </c>
      <c r="G43" s="36">
        <v>14.999999999999998</v>
      </c>
      <c r="H43" s="68"/>
      <c r="I43" s="30" t="s">
        <v>58</v>
      </c>
      <c r="J43" s="38" t="s">
        <v>58</v>
      </c>
      <c r="K43" s="36" t="s">
        <v>58</v>
      </c>
      <c r="L43" s="68"/>
      <c r="M43" s="30"/>
      <c r="N43" s="38"/>
      <c r="O43" s="38"/>
      <c r="P43" s="68"/>
      <c r="Q43" s="30">
        <f>+E43</f>
        <v>1374.3737019349537</v>
      </c>
      <c r="R43" s="38">
        <f>+F43</f>
        <v>20615.605529024302</v>
      </c>
    </row>
    <row r="44" spans="1:18" x14ac:dyDescent="0.25">
      <c r="A44" s="326" t="s">
        <v>31</v>
      </c>
      <c r="B44" s="326"/>
      <c r="C44" s="326"/>
      <c r="D44" s="327"/>
      <c r="E44" s="34">
        <f>SUM(E41:E43)</f>
        <v>3939.1544751302745</v>
      </c>
      <c r="F44" s="35">
        <f>SUM(F41:F43)</f>
        <v>56867.795303996623</v>
      </c>
      <c r="G44" s="90">
        <f>+F44/E44</f>
        <v>14.436548671302338</v>
      </c>
      <c r="H44" s="33"/>
      <c r="I44" s="34">
        <f>SUM(I40:I42)</f>
        <v>3436.4935411359584</v>
      </c>
      <c r="J44" s="35">
        <f>SUM(J40:J42)</f>
        <v>25103.694481581537</v>
      </c>
      <c r="K44" s="33">
        <f>+J44/I44</f>
        <v>7.3050317659794946</v>
      </c>
      <c r="L44" s="33"/>
      <c r="M44" s="34"/>
      <c r="N44" s="35"/>
      <c r="O44" s="35"/>
      <c r="P44" s="33"/>
      <c r="Q44" s="34">
        <f>SUM(Q40:Q43)</f>
        <v>7375.6480162662338</v>
      </c>
      <c r="R44" s="35">
        <f>SUM(R40:R43)</f>
        <v>81971.48978557816</v>
      </c>
    </row>
    <row r="45" spans="1:18" x14ac:dyDescent="0.25">
      <c r="A45" s="4">
        <v>42818</v>
      </c>
      <c r="B45" s="18">
        <v>42818</v>
      </c>
      <c r="C45" s="13">
        <v>0.5</v>
      </c>
      <c r="D45" s="88">
        <v>0.7090277777777777</v>
      </c>
      <c r="E45" s="30" t="s">
        <v>58</v>
      </c>
      <c r="F45" s="38" t="s">
        <v>58</v>
      </c>
      <c r="G45" s="36" t="s">
        <v>58</v>
      </c>
      <c r="H45" s="36"/>
      <c r="I45" s="30">
        <v>1536.9319649537661</v>
      </c>
      <c r="J45" s="38">
        <v>840.9627732765889</v>
      </c>
      <c r="K45" s="36">
        <v>0.54716981132075471</v>
      </c>
      <c r="L45" s="68"/>
      <c r="M45" s="30" t="s">
        <v>58</v>
      </c>
      <c r="N45" s="38" t="s">
        <v>58</v>
      </c>
      <c r="O45" s="38" t="s">
        <v>58</v>
      </c>
      <c r="P45" s="68"/>
      <c r="Q45" s="30">
        <f>+I45</f>
        <v>1536.9319649537661</v>
      </c>
      <c r="R45" s="38">
        <f>+J45</f>
        <v>840.9627732765889</v>
      </c>
    </row>
    <row r="46" spans="1:18" x14ac:dyDescent="0.25">
      <c r="A46" s="4">
        <v>42819</v>
      </c>
      <c r="B46" s="18">
        <v>42819</v>
      </c>
      <c r="C46" s="13">
        <v>0.2</v>
      </c>
      <c r="D46" s="88">
        <v>0.73888888888888893</v>
      </c>
      <c r="E46" s="30">
        <v>9039.5451183520399</v>
      </c>
      <c r="F46" s="38">
        <v>81823.468743703794</v>
      </c>
      <c r="G46" s="36">
        <v>9.051724137931032</v>
      </c>
      <c r="H46" s="36"/>
      <c r="I46" s="30" t="s">
        <v>58</v>
      </c>
      <c r="J46" s="38" t="s">
        <v>58</v>
      </c>
      <c r="K46" s="36" t="s">
        <v>58</v>
      </c>
      <c r="L46" s="68"/>
      <c r="M46" s="30" t="s">
        <v>58</v>
      </c>
      <c r="N46" s="38" t="s">
        <v>58</v>
      </c>
      <c r="O46" s="38" t="s">
        <v>58</v>
      </c>
      <c r="P46" s="68"/>
      <c r="Q46" s="30">
        <f>+E46</f>
        <v>9039.5451183520399</v>
      </c>
      <c r="R46" s="38">
        <f>+F46</f>
        <v>81823.468743703794</v>
      </c>
    </row>
    <row r="47" spans="1:18" x14ac:dyDescent="0.25">
      <c r="A47" s="4">
        <v>42820</v>
      </c>
      <c r="B47" s="18">
        <v>42820</v>
      </c>
      <c r="C47" s="13">
        <v>0</v>
      </c>
      <c r="D47" s="88">
        <v>0.76666666666666661</v>
      </c>
      <c r="E47" s="30" t="s">
        <v>58</v>
      </c>
      <c r="F47" s="38" t="s">
        <v>58</v>
      </c>
      <c r="G47" s="36" t="s">
        <v>58</v>
      </c>
      <c r="H47" s="36"/>
      <c r="I47" s="30">
        <v>1164.5201998100172</v>
      </c>
      <c r="J47" s="38">
        <v>8567.5414700308411</v>
      </c>
      <c r="K47" s="36">
        <v>7.3571428571428577</v>
      </c>
      <c r="L47" s="68"/>
      <c r="M47" s="30" t="s">
        <v>58</v>
      </c>
      <c r="N47" s="38" t="s">
        <v>58</v>
      </c>
      <c r="O47" s="38" t="s">
        <v>58</v>
      </c>
      <c r="P47" s="68"/>
      <c r="Q47" s="30">
        <f>+I47</f>
        <v>1164.5201998100172</v>
      </c>
      <c r="R47" s="38">
        <f>+J47</f>
        <v>8567.5414700308411</v>
      </c>
    </row>
    <row r="48" spans="1:18" x14ac:dyDescent="0.25">
      <c r="A48" s="326" t="s">
        <v>31</v>
      </c>
      <c r="B48" s="326"/>
      <c r="C48" s="326"/>
      <c r="D48" s="327"/>
      <c r="E48" s="34">
        <f>SUM(E46:E47)</f>
        <v>9039.5451183520399</v>
      </c>
      <c r="F48" s="35">
        <f>SUM(F46:F47)</f>
        <v>81823.468743703794</v>
      </c>
      <c r="G48" s="90">
        <f>+F48/E48</f>
        <v>9.051724137931032</v>
      </c>
      <c r="H48" s="33"/>
      <c r="I48" s="34">
        <f>SUM(I45:I47)</f>
        <v>2701.452164763783</v>
      </c>
      <c r="J48" s="35">
        <f>SUM(J45:J47)</f>
        <v>9408.5042433074304</v>
      </c>
      <c r="K48" s="90">
        <f>+J48/I48</f>
        <v>3.4827580388158075</v>
      </c>
      <c r="L48" s="33"/>
      <c r="M48" s="34"/>
      <c r="N48" s="35"/>
      <c r="O48" s="35"/>
      <c r="P48" s="33"/>
      <c r="Q48" s="34">
        <f>SUM(Q45:Q47)</f>
        <v>11740.997283115823</v>
      </c>
      <c r="R48" s="35">
        <f>SUM(R45:R47)</f>
        <v>91231.972987011235</v>
      </c>
    </row>
    <row r="49" spans="1:18" x14ac:dyDescent="0.25">
      <c r="A49" s="4">
        <v>42824</v>
      </c>
      <c r="B49" s="18">
        <f>+A49</f>
        <v>42824</v>
      </c>
      <c r="C49" s="13">
        <v>-0.6</v>
      </c>
      <c r="D49" s="88">
        <v>0.37361111111111112</v>
      </c>
      <c r="E49" s="30" t="s">
        <v>58</v>
      </c>
      <c r="F49" s="38" t="s">
        <v>58</v>
      </c>
      <c r="G49" s="36" t="s">
        <v>58</v>
      </c>
      <c r="H49" s="68"/>
      <c r="I49" s="30">
        <v>1290.9015613841007</v>
      </c>
      <c r="J49" s="38">
        <v>11500.759365058349</v>
      </c>
      <c r="K49" s="36">
        <v>8.9090909090909083</v>
      </c>
      <c r="L49" s="68"/>
      <c r="M49" s="30" t="s">
        <v>58</v>
      </c>
      <c r="N49" s="38" t="s">
        <v>58</v>
      </c>
      <c r="O49" s="38" t="s">
        <v>58</v>
      </c>
      <c r="P49" s="68"/>
      <c r="Q49" s="30">
        <f>+I49</f>
        <v>1290.9015613841007</v>
      </c>
      <c r="R49" s="38">
        <f>+J49</f>
        <v>11500.759365058349</v>
      </c>
    </row>
    <row r="50" spans="1:18" x14ac:dyDescent="0.25">
      <c r="A50" s="4">
        <v>42825</v>
      </c>
      <c r="B50" s="18">
        <f t="shared" ref="B50:B52" si="9">+A50</f>
        <v>42825</v>
      </c>
      <c r="C50" s="13">
        <v>-0.6</v>
      </c>
      <c r="D50" s="88">
        <v>0.40763888888888888</v>
      </c>
      <c r="E50" s="30">
        <v>3720.1134800107961</v>
      </c>
      <c r="F50" s="38">
        <v>55801.702200161948</v>
      </c>
      <c r="G50" s="36">
        <v>15.000000000000002</v>
      </c>
      <c r="H50" s="68"/>
      <c r="I50" s="30" t="s">
        <v>58</v>
      </c>
      <c r="J50" s="38" t="s">
        <v>58</v>
      </c>
      <c r="K50" s="36" t="s">
        <v>58</v>
      </c>
      <c r="L50" s="68"/>
      <c r="M50" s="30" t="s">
        <v>58</v>
      </c>
      <c r="N50" s="38" t="s">
        <v>58</v>
      </c>
      <c r="O50" s="38" t="s">
        <v>58</v>
      </c>
      <c r="P50" s="68"/>
      <c r="Q50" s="30">
        <f>+E50</f>
        <v>3720.1134800107961</v>
      </c>
      <c r="R50" s="38">
        <f>+F50</f>
        <v>55801.702200161948</v>
      </c>
    </row>
    <row r="51" spans="1:18" x14ac:dyDescent="0.25">
      <c r="A51" s="4">
        <v>42826</v>
      </c>
      <c r="B51" s="18">
        <f t="shared" si="9"/>
        <v>42826</v>
      </c>
      <c r="C51" s="13">
        <v>-0.5</v>
      </c>
      <c r="D51" s="88">
        <v>0.44444444444444442</v>
      </c>
      <c r="E51" s="30" t="s">
        <v>58</v>
      </c>
      <c r="F51" s="38" t="s">
        <v>58</v>
      </c>
      <c r="G51" s="36" t="s">
        <v>58</v>
      </c>
      <c r="H51" s="68"/>
      <c r="I51" s="30">
        <v>6877.1156250197428</v>
      </c>
      <c r="J51" s="38">
        <v>98845.706670059881</v>
      </c>
      <c r="K51" s="36">
        <v>14.373134328358208</v>
      </c>
      <c r="L51" s="68"/>
      <c r="M51" s="30" t="s">
        <v>58</v>
      </c>
      <c r="N51" s="38" t="s">
        <v>58</v>
      </c>
      <c r="O51" s="38" t="s">
        <v>58</v>
      </c>
      <c r="P51" s="68"/>
      <c r="Q51" s="30">
        <f>+I51</f>
        <v>6877.1156250197428</v>
      </c>
      <c r="R51" s="38">
        <f>+J51</f>
        <v>98845.706670059881</v>
      </c>
    </row>
    <row r="52" spans="1:18" x14ac:dyDescent="0.25">
      <c r="A52" s="4">
        <v>42827</v>
      </c>
      <c r="B52" s="18">
        <f t="shared" si="9"/>
        <v>42827</v>
      </c>
      <c r="C52" s="13">
        <v>-0.1</v>
      </c>
      <c r="D52" s="88">
        <v>0.48541666666666666</v>
      </c>
      <c r="E52" s="30">
        <v>6049.8091327997226</v>
      </c>
      <c r="F52" s="38">
        <v>66125.820753857421</v>
      </c>
      <c r="G52" s="36">
        <v>10.930232558139533</v>
      </c>
      <c r="H52" s="68"/>
      <c r="I52" s="30" t="s">
        <v>58</v>
      </c>
      <c r="J52" s="38" t="s">
        <v>58</v>
      </c>
      <c r="K52" s="36" t="s">
        <v>58</v>
      </c>
      <c r="L52" s="68"/>
      <c r="M52" s="30" t="s">
        <v>58</v>
      </c>
      <c r="N52" s="38" t="s">
        <v>58</v>
      </c>
      <c r="O52" s="38" t="s">
        <v>58</v>
      </c>
      <c r="P52" s="68"/>
      <c r="Q52" s="30">
        <f>+E52</f>
        <v>6049.8091327997226</v>
      </c>
      <c r="R52" s="38">
        <f>+F52</f>
        <v>66125.820753857421</v>
      </c>
    </row>
    <row r="53" spans="1:18" x14ac:dyDescent="0.25">
      <c r="A53" s="326" t="s">
        <v>31</v>
      </c>
      <c r="B53" s="326"/>
      <c r="C53" s="326"/>
      <c r="D53" s="327"/>
      <c r="E53" s="34">
        <f>SUM(E50:E52)</f>
        <v>9769.9226128105183</v>
      </c>
      <c r="F53" s="35">
        <f>SUM(F50:F52)</f>
        <v>121927.52295401937</v>
      </c>
      <c r="G53" s="90">
        <f>+F53/E53</f>
        <v>12.479886257660379</v>
      </c>
      <c r="H53" s="33"/>
      <c r="I53" s="34">
        <f>SUM(I49:I52)</f>
        <v>8168.0171864038439</v>
      </c>
      <c r="J53" s="35">
        <f>SUM(J49:J52)</f>
        <v>110346.46603511822</v>
      </c>
      <c r="K53" s="90">
        <f>+J53/I53</f>
        <v>13.509578091828278</v>
      </c>
      <c r="L53" s="33"/>
      <c r="M53" s="34"/>
      <c r="N53" s="35"/>
      <c r="O53" s="35"/>
      <c r="P53" s="33"/>
      <c r="Q53" s="34">
        <f>SUM(Q49:Q52)</f>
        <v>17937.939799214364</v>
      </c>
      <c r="R53" s="35">
        <f>SUM(R49:R52)</f>
        <v>232273.98898913758</v>
      </c>
    </row>
    <row r="54" spans="1:18" x14ac:dyDescent="0.25">
      <c r="A54" s="4">
        <v>42838</v>
      </c>
      <c r="B54" s="18">
        <f t="shared" ref="B54:B62" si="10">+A54</f>
        <v>42838</v>
      </c>
      <c r="C54" s="13">
        <v>0</v>
      </c>
      <c r="D54" s="88">
        <v>0.36319444444444443</v>
      </c>
      <c r="E54" s="30">
        <v>785.91229514681561</v>
      </c>
      <c r="F54" s="38">
        <v>8083.6693215101041</v>
      </c>
      <c r="G54" s="36">
        <v>10.285714285714286</v>
      </c>
      <c r="H54" s="68"/>
      <c r="I54" s="30" t="s">
        <v>58</v>
      </c>
      <c r="J54" s="38" t="s">
        <v>58</v>
      </c>
      <c r="K54" s="36" t="s">
        <v>58</v>
      </c>
      <c r="L54" s="68"/>
      <c r="M54" s="30" t="s">
        <v>58</v>
      </c>
      <c r="N54" s="38" t="s">
        <v>58</v>
      </c>
      <c r="O54" s="38" t="s">
        <v>58</v>
      </c>
      <c r="P54" s="68"/>
      <c r="Q54" s="30">
        <f>+E54</f>
        <v>785.91229514681561</v>
      </c>
      <c r="R54" s="38">
        <f>+F54</f>
        <v>8083.6693215101041</v>
      </c>
    </row>
    <row r="55" spans="1:18" x14ac:dyDescent="0.25">
      <c r="A55" s="4">
        <v>42839</v>
      </c>
      <c r="B55" s="18">
        <f t="shared" si="10"/>
        <v>42839</v>
      </c>
      <c r="C55" s="13">
        <v>0.1</v>
      </c>
      <c r="D55" s="88">
        <v>0.38750000000000001</v>
      </c>
      <c r="E55" s="30" t="s">
        <v>58</v>
      </c>
      <c r="F55" s="38" t="s">
        <v>58</v>
      </c>
      <c r="G55" s="36" t="s">
        <v>58</v>
      </c>
      <c r="H55" s="68"/>
      <c r="I55" s="30">
        <v>1700.8846781936143</v>
      </c>
      <c r="J55" s="38">
        <v>21229.560613009184</v>
      </c>
      <c r="K55" s="36">
        <v>12.481481481481481</v>
      </c>
      <c r="L55" s="68"/>
      <c r="M55" s="30" t="s">
        <v>58</v>
      </c>
      <c r="N55" s="38" t="s">
        <v>58</v>
      </c>
      <c r="O55" s="38" t="s">
        <v>58</v>
      </c>
      <c r="P55" s="68"/>
      <c r="Q55" s="30">
        <f>+I55</f>
        <v>1700.8846781936143</v>
      </c>
      <c r="R55" s="38">
        <f>+J55</f>
        <v>21229.560613009184</v>
      </c>
    </row>
    <row r="56" spans="1:18" x14ac:dyDescent="0.25">
      <c r="A56" s="4">
        <v>42840</v>
      </c>
      <c r="B56" s="18">
        <f t="shared" si="10"/>
        <v>42840</v>
      </c>
      <c r="C56" s="13">
        <v>0.3</v>
      </c>
      <c r="D56" s="88">
        <v>0.41319444444444442</v>
      </c>
      <c r="E56" s="30">
        <v>3489.1313517471722</v>
      </c>
      <c r="F56" s="38">
        <v>45358.707572713232</v>
      </c>
      <c r="G56" s="36">
        <v>12.999999999999998</v>
      </c>
      <c r="H56" s="68"/>
      <c r="I56" s="30" t="s">
        <v>58</v>
      </c>
      <c r="J56" s="38" t="s">
        <v>58</v>
      </c>
      <c r="K56" s="36" t="s">
        <v>58</v>
      </c>
      <c r="L56" s="68"/>
      <c r="M56" s="30" t="s">
        <v>58</v>
      </c>
      <c r="N56" s="38" t="s">
        <v>58</v>
      </c>
      <c r="O56" s="38" t="s">
        <v>58</v>
      </c>
      <c r="P56" s="68"/>
      <c r="Q56" s="30">
        <f>+E56</f>
        <v>3489.1313517471722</v>
      </c>
      <c r="R56" s="38">
        <f>+F56</f>
        <v>45358.707572713232</v>
      </c>
    </row>
    <row r="57" spans="1:18" x14ac:dyDescent="0.25">
      <c r="A57" s="4">
        <v>42841</v>
      </c>
      <c r="B57" s="18">
        <f t="shared" si="10"/>
        <v>42841</v>
      </c>
      <c r="C57" s="13">
        <v>0.5</v>
      </c>
      <c r="D57" s="88">
        <v>0.44166666666666665</v>
      </c>
      <c r="E57" s="30" t="s">
        <v>58</v>
      </c>
      <c r="F57" s="38" t="s">
        <v>58</v>
      </c>
      <c r="G57" s="36" t="s">
        <v>58</v>
      </c>
      <c r="H57" s="68"/>
      <c r="I57" s="30">
        <v>3700.2089669987467</v>
      </c>
      <c r="J57" s="38">
        <v>42244.052373235689</v>
      </c>
      <c r="K57" s="36">
        <v>11.416666666666666</v>
      </c>
      <c r="L57" s="68"/>
      <c r="M57" s="30" t="s">
        <v>58</v>
      </c>
      <c r="N57" s="38" t="s">
        <v>58</v>
      </c>
      <c r="O57" s="38" t="s">
        <v>58</v>
      </c>
      <c r="P57" s="68"/>
      <c r="Q57" s="30">
        <f>+I57</f>
        <v>3700.2089669987467</v>
      </c>
      <c r="R57" s="38">
        <f>+J57</f>
        <v>42244.052373235689</v>
      </c>
    </row>
    <row r="58" spans="1:18" x14ac:dyDescent="0.25">
      <c r="A58" s="326" t="s">
        <v>31</v>
      </c>
      <c r="B58" s="326"/>
      <c r="C58" s="326"/>
      <c r="D58" s="327"/>
      <c r="E58" s="34">
        <f>SUM(E54:E57)</f>
        <v>4275.0436468939879</v>
      </c>
      <c r="F58" s="35">
        <f>SUM(F54:F57)</f>
        <v>53442.376894223336</v>
      </c>
      <c r="G58" s="90">
        <f>+F58/E58</f>
        <v>12.501013161129158</v>
      </c>
      <c r="H58" s="33"/>
      <c r="I58" s="34">
        <f>SUM(I55:I57)</f>
        <v>5401.0936451923608</v>
      </c>
      <c r="J58" s="35">
        <f>SUM(J55:J57)</f>
        <v>63473.612986244872</v>
      </c>
      <c r="K58" s="90">
        <f>+J58/I58</f>
        <v>11.751992680731284</v>
      </c>
      <c r="L58" s="33"/>
      <c r="M58" s="34"/>
      <c r="N58" s="35"/>
      <c r="O58" s="35"/>
      <c r="P58" s="33"/>
      <c r="Q58" s="34">
        <f>SUM(Q54:Q57)</f>
        <v>9676.1372920863487</v>
      </c>
      <c r="R58" s="35">
        <f>SUM(R54:R57)</f>
        <v>116915.9898804682</v>
      </c>
    </row>
    <row r="59" spans="1:18" x14ac:dyDescent="0.25">
      <c r="A59" s="4">
        <v>42852</v>
      </c>
      <c r="B59" s="18">
        <f t="shared" si="10"/>
        <v>42852</v>
      </c>
      <c r="C59" s="13">
        <v>-1.5</v>
      </c>
      <c r="D59" s="88">
        <v>0.3298611111111111</v>
      </c>
      <c r="E59" s="30" t="s">
        <v>58</v>
      </c>
      <c r="F59" s="38" t="s">
        <v>58</v>
      </c>
      <c r="G59" s="89" t="s">
        <v>58</v>
      </c>
      <c r="H59" s="68"/>
      <c r="I59" s="30">
        <v>2755.3634993402052</v>
      </c>
      <c r="J59" s="38">
        <v>41270.553283595684</v>
      </c>
      <c r="K59" s="89">
        <v>14.978260869565219</v>
      </c>
      <c r="L59" s="68"/>
      <c r="M59" s="30" t="s">
        <v>58</v>
      </c>
      <c r="N59" s="38" t="s">
        <v>58</v>
      </c>
      <c r="O59" s="38" t="s">
        <v>58</v>
      </c>
      <c r="P59" s="68"/>
      <c r="Q59" s="30">
        <f>+I59</f>
        <v>2755.3634993402052</v>
      </c>
      <c r="R59" s="38">
        <f>+J59</f>
        <v>41270.553283595684</v>
      </c>
    </row>
    <row r="60" spans="1:18" x14ac:dyDescent="0.25">
      <c r="A60" s="4">
        <v>42853</v>
      </c>
      <c r="B60" s="18">
        <f t="shared" si="10"/>
        <v>42853</v>
      </c>
      <c r="C60" s="13">
        <v>-1.8</v>
      </c>
      <c r="D60" s="88">
        <v>0.36249999999999999</v>
      </c>
      <c r="E60" s="30">
        <v>5685.2909308913686</v>
      </c>
      <c r="F60" s="38">
        <v>85279.363963370517</v>
      </c>
      <c r="G60" s="89">
        <v>14.999999999999998</v>
      </c>
      <c r="H60" s="68"/>
      <c r="I60" s="30" t="s">
        <v>58</v>
      </c>
      <c r="J60" s="38" t="s">
        <v>58</v>
      </c>
      <c r="K60" s="89" t="s">
        <v>58</v>
      </c>
      <c r="L60" s="68"/>
      <c r="M60" s="30" t="s">
        <v>58</v>
      </c>
      <c r="N60" s="38" t="s">
        <v>58</v>
      </c>
      <c r="O60" s="38" t="s">
        <v>58</v>
      </c>
      <c r="P60" s="68"/>
      <c r="Q60" s="30">
        <f>+E60</f>
        <v>5685.2909308913686</v>
      </c>
      <c r="R60" s="38">
        <f>+F60</f>
        <v>85279.363963370517</v>
      </c>
    </row>
    <row r="61" spans="1:18" x14ac:dyDescent="0.25">
      <c r="A61" s="4">
        <v>42854</v>
      </c>
      <c r="B61" s="18">
        <f t="shared" si="10"/>
        <v>42854</v>
      </c>
      <c r="C61" s="13">
        <v>-1.7</v>
      </c>
      <c r="D61" s="88">
        <v>0.3972222222222222</v>
      </c>
      <c r="E61" s="30" t="s">
        <v>58</v>
      </c>
      <c r="F61" s="38" t="s">
        <v>58</v>
      </c>
      <c r="G61" s="89" t="s">
        <v>58</v>
      </c>
      <c r="H61" s="68"/>
      <c r="I61" s="30">
        <v>9302.8789705797572</v>
      </c>
      <c r="J61" s="38">
        <v>137921.58180235676</v>
      </c>
      <c r="K61" s="89">
        <v>14.825688073394494</v>
      </c>
      <c r="L61" s="68"/>
      <c r="M61" s="30" t="s">
        <v>58</v>
      </c>
      <c r="N61" s="38" t="s">
        <v>58</v>
      </c>
      <c r="O61" s="38" t="s">
        <v>58</v>
      </c>
      <c r="P61" s="68"/>
      <c r="Q61" s="30">
        <f>+I61</f>
        <v>9302.8789705797572</v>
      </c>
      <c r="R61" s="38">
        <f>+J61</f>
        <v>137921.58180235676</v>
      </c>
    </row>
    <row r="62" spans="1:18" x14ac:dyDescent="0.25">
      <c r="A62" s="4">
        <v>42855</v>
      </c>
      <c r="B62" s="18">
        <f t="shared" si="10"/>
        <v>42855</v>
      </c>
      <c r="C62" s="13">
        <v>-1.3</v>
      </c>
      <c r="D62" s="88">
        <v>0.43333333333333335</v>
      </c>
      <c r="E62" s="30">
        <v>11270.565990740946</v>
      </c>
      <c r="F62" s="38">
        <v>169058.48986111421</v>
      </c>
      <c r="G62" s="89">
        <v>15.000000000000002</v>
      </c>
      <c r="H62" s="68"/>
      <c r="I62" s="30" t="s">
        <v>58</v>
      </c>
      <c r="J62" s="38" t="s">
        <v>58</v>
      </c>
      <c r="K62" s="89" t="s">
        <v>58</v>
      </c>
      <c r="L62" s="68"/>
      <c r="M62" s="30" t="s">
        <v>58</v>
      </c>
      <c r="N62" s="38" t="s">
        <v>58</v>
      </c>
      <c r="O62" s="38" t="s">
        <v>58</v>
      </c>
      <c r="P62" s="68"/>
      <c r="Q62" s="30">
        <f>+E62</f>
        <v>11270.565990740946</v>
      </c>
      <c r="R62" s="38">
        <f>+F62</f>
        <v>169058.48986111421</v>
      </c>
    </row>
    <row r="63" spans="1:18" x14ac:dyDescent="0.25">
      <c r="A63" s="326" t="s">
        <v>31</v>
      </c>
      <c r="B63" s="326"/>
      <c r="C63" s="326"/>
      <c r="D63" s="327"/>
      <c r="E63" s="34">
        <f>SUM(E60:E62)</f>
        <v>16955.856921632316</v>
      </c>
      <c r="F63" s="35">
        <f>SUM(F60:F62)</f>
        <v>254337.85382448474</v>
      </c>
      <c r="G63" s="90">
        <f>+F63/E63</f>
        <v>15</v>
      </c>
      <c r="H63" s="33"/>
      <c r="I63" s="34">
        <f>SUM(I59:I62)</f>
        <v>12058.242469919962</v>
      </c>
      <c r="J63" s="35">
        <f>SUM(J59:J62)</f>
        <v>179192.13508595244</v>
      </c>
      <c r="K63" s="90">
        <f>+J63/I63</f>
        <v>14.860551654435412</v>
      </c>
      <c r="L63" s="33"/>
      <c r="M63" s="34"/>
      <c r="N63" s="35"/>
      <c r="O63" s="35"/>
      <c r="P63" s="33"/>
      <c r="Q63" s="34">
        <f>SUM(Q59:Q62)</f>
        <v>29014.099391552278</v>
      </c>
      <c r="R63" s="35">
        <f>SUM(R59:R62)</f>
        <v>433529.98891043721</v>
      </c>
    </row>
    <row r="64" spans="1:18" x14ac:dyDescent="0.25">
      <c r="A64" s="209"/>
      <c r="B64" s="209"/>
      <c r="C64" s="209"/>
      <c r="D64" s="210"/>
      <c r="E64" s="211"/>
      <c r="F64" s="67"/>
      <c r="G64" s="235"/>
      <c r="H64" s="68"/>
      <c r="I64" s="211"/>
      <c r="J64" s="67"/>
      <c r="K64" s="235"/>
      <c r="L64" s="68"/>
      <c r="M64" s="211"/>
      <c r="N64" s="67"/>
      <c r="O64" s="67"/>
      <c r="P64" s="68"/>
      <c r="Q64" s="211"/>
      <c r="R64" s="67"/>
    </row>
    <row r="65" spans="1:19" x14ac:dyDescent="0.25">
      <c r="A65" s="209"/>
      <c r="B65" s="209"/>
      <c r="C65" s="209"/>
      <c r="D65" s="210"/>
      <c r="E65" s="211"/>
      <c r="F65" s="67"/>
      <c r="G65" s="235"/>
      <c r="H65" s="68"/>
      <c r="I65" s="211"/>
      <c r="J65" s="67"/>
      <c r="K65" s="235"/>
      <c r="L65" s="68"/>
      <c r="M65" s="211"/>
      <c r="N65" s="67"/>
      <c r="O65" s="67"/>
      <c r="P65" s="68"/>
      <c r="Q65" s="211"/>
      <c r="R65" s="67"/>
    </row>
    <row r="66" spans="1:19" x14ac:dyDescent="0.25">
      <c r="A66" s="326" t="s">
        <v>31</v>
      </c>
      <c r="B66" s="326"/>
      <c r="C66" s="326"/>
      <c r="D66" s="327"/>
      <c r="E66" s="34"/>
      <c r="F66" s="35"/>
      <c r="G66" s="90"/>
      <c r="H66" s="33"/>
      <c r="I66" s="34"/>
      <c r="J66" s="35"/>
      <c r="K66" s="90"/>
      <c r="L66" s="33"/>
      <c r="M66" s="34"/>
      <c r="N66" s="35"/>
      <c r="O66" s="35"/>
      <c r="P66" s="33"/>
      <c r="Q66" s="34"/>
      <c r="R66" s="35"/>
      <c r="S66" s="238"/>
    </row>
    <row r="67" spans="1:19" x14ac:dyDescent="0.25">
      <c r="A67" s="209"/>
      <c r="B67" s="209"/>
      <c r="C67" s="209"/>
      <c r="D67" s="210"/>
      <c r="E67" s="211"/>
      <c r="F67" s="67"/>
      <c r="G67" s="68"/>
      <c r="H67" s="68"/>
      <c r="I67" s="211"/>
      <c r="J67" s="67"/>
      <c r="K67" s="68"/>
      <c r="L67" s="68"/>
      <c r="M67" s="211"/>
      <c r="N67" s="67"/>
      <c r="O67" s="67"/>
      <c r="P67" s="68"/>
      <c r="Q67" s="211"/>
      <c r="R67" s="67"/>
    </row>
    <row r="68" spans="1:19" x14ac:dyDescent="0.25">
      <c r="A68" s="209"/>
      <c r="B68" s="209"/>
      <c r="C68" s="209"/>
      <c r="D68" s="210"/>
      <c r="E68" s="211"/>
      <c r="F68" s="67"/>
      <c r="G68" s="68"/>
      <c r="H68" s="68"/>
      <c r="I68" s="211"/>
      <c r="J68" s="67"/>
      <c r="K68" s="68"/>
      <c r="L68" s="68"/>
      <c r="M68" s="211"/>
      <c r="N68" s="67"/>
      <c r="O68" s="67"/>
      <c r="P68" s="68"/>
      <c r="Q68" s="211"/>
      <c r="R68" s="67"/>
    </row>
    <row r="69" spans="1:19" x14ac:dyDescent="0.25">
      <c r="A69" s="209"/>
      <c r="B69" s="209"/>
      <c r="C69" s="209"/>
      <c r="D69" s="210"/>
      <c r="E69" s="211"/>
      <c r="F69" s="67"/>
      <c r="G69" s="68"/>
      <c r="H69" s="68"/>
      <c r="I69" s="211"/>
      <c r="J69" s="67"/>
      <c r="K69" s="68"/>
      <c r="L69" s="68"/>
      <c r="M69" s="211"/>
      <c r="N69" s="67"/>
      <c r="O69" s="67"/>
      <c r="P69" s="68"/>
      <c r="Q69" s="211"/>
      <c r="R69" s="67"/>
    </row>
    <row r="70" spans="1:19" x14ac:dyDescent="0.25">
      <c r="A70" s="37"/>
      <c r="B70" s="18"/>
      <c r="C70" s="13"/>
      <c r="D70" s="88"/>
      <c r="E70" s="30"/>
      <c r="F70" s="38"/>
      <c r="G70" s="89"/>
      <c r="H70" s="36"/>
      <c r="I70" s="30"/>
      <c r="J70" s="38"/>
      <c r="K70" s="89"/>
      <c r="L70" s="36"/>
      <c r="M70" s="30"/>
      <c r="N70" s="38"/>
      <c r="O70" s="38"/>
      <c r="P70" s="36"/>
      <c r="Q70" s="30"/>
      <c r="R70" s="38"/>
    </row>
    <row r="71" spans="1:19" ht="15.75" thickBot="1" x14ac:dyDescent="0.3">
      <c r="A71" s="326"/>
      <c r="B71" s="326"/>
      <c r="C71" s="326"/>
      <c r="D71" s="327"/>
      <c r="E71" s="34"/>
      <c r="F71" s="35"/>
      <c r="G71" s="90"/>
      <c r="H71" s="33"/>
      <c r="I71" s="34"/>
      <c r="J71" s="35"/>
      <c r="K71" s="90"/>
      <c r="L71" s="33"/>
      <c r="M71" s="34"/>
      <c r="N71" s="35"/>
      <c r="O71" s="35"/>
      <c r="P71" s="33"/>
      <c r="Q71" s="34"/>
      <c r="R71" s="35"/>
    </row>
    <row r="72" spans="1:19" ht="15.75" thickTop="1" x14ac:dyDescent="0.25">
      <c r="A72" s="39" t="s">
        <v>36</v>
      </c>
      <c r="B72" s="42"/>
      <c r="C72" s="42"/>
      <c r="D72" s="42"/>
      <c r="E72" s="40">
        <f>+E5+E9+E12+E15+E22+E28+E35+E39+E44+E48+E53+E58+E63</f>
        <v>82107.971438949753</v>
      </c>
      <c r="F72" s="40">
        <f>+F5+F9+F12+F15+F22+F28+F35+F39+F44+F48+F53+F58+F63</f>
        <v>1040193.1737027629</v>
      </c>
      <c r="G72" s="87">
        <f>+F72/E72</f>
        <v>12.668601543471137</v>
      </c>
      <c r="H72" s="41"/>
      <c r="I72" s="40">
        <f>+I5+I9+I12+I15+I22+I28+I35+I39+I44+I48+I53+I58+I63</f>
        <v>57957.620018456102</v>
      </c>
      <c r="J72" s="40">
        <f>+J5+J9+J12+J15+J22+J28+J35+J39+J44+J48+J53+J58+J63</f>
        <v>686628.08669293381</v>
      </c>
      <c r="K72" s="87">
        <f>+J72/I72</f>
        <v>11.847071816860026</v>
      </c>
      <c r="L72" s="41"/>
      <c r="M72" s="40">
        <f>+M18</f>
        <v>637.4353808353809</v>
      </c>
      <c r="N72" s="40">
        <f>+N18</f>
        <v>1410.0684275184274</v>
      </c>
      <c r="O72" s="87">
        <f>+N72/M72</f>
        <v>2.2120962687550922</v>
      </c>
      <c r="P72" s="41"/>
      <c r="Q72" s="40">
        <f>+Q5+Q9+Q12+Q15+Q18+Q22+Q28+Q35+Q39+Q44+Q48+Q53+Q58+Q63</f>
        <v>140703.02683824126</v>
      </c>
      <c r="R72" s="40">
        <f>+R5+R9+R12+R15+R18+R22+R28+R35+R39+R44+R48+R53+R58+R63</f>
        <v>1728231.3288232149</v>
      </c>
    </row>
    <row r="73" spans="1:19" x14ac:dyDescent="0.25">
      <c r="A73" s="65" t="s">
        <v>35</v>
      </c>
      <c r="B73" s="66"/>
      <c r="C73" s="66"/>
      <c r="D73" s="66"/>
      <c r="E73" s="67"/>
      <c r="F73" s="67">
        <f>+Harvest!J98</f>
        <v>54377.720716333301</v>
      </c>
      <c r="G73" s="67"/>
      <c r="H73" s="68"/>
      <c r="I73" s="67"/>
      <c r="J73" s="67">
        <f>+Harvest!L98</f>
        <v>19454.462456299789</v>
      </c>
      <c r="K73" s="67"/>
      <c r="L73" s="68"/>
      <c r="M73" s="67"/>
      <c r="N73" s="67"/>
      <c r="O73" s="67"/>
      <c r="P73" s="68"/>
      <c r="Q73" s="67"/>
      <c r="R73" s="67">
        <f>+F73+J73+N73</f>
        <v>73832.183172633086</v>
      </c>
    </row>
    <row r="74" spans="1:19" x14ac:dyDescent="0.25">
      <c r="A74" s="75" t="s">
        <v>32</v>
      </c>
      <c r="B74" s="76"/>
      <c r="C74" s="76"/>
      <c r="D74" s="76"/>
      <c r="E74" s="69">
        <f>+E72</f>
        <v>82107.971438949753</v>
      </c>
      <c r="F74" s="69">
        <f>SUM(F72:F73)</f>
        <v>1094570.8944190962</v>
      </c>
      <c r="G74" s="92">
        <f>+G72</f>
        <v>12.668601543471137</v>
      </c>
      <c r="H74" s="70"/>
      <c r="I74" s="69">
        <f>+I72</f>
        <v>57957.620018456102</v>
      </c>
      <c r="J74" s="69">
        <f>SUM(J72:J73)</f>
        <v>706082.54914923362</v>
      </c>
      <c r="K74" s="92">
        <f>+K72</f>
        <v>11.847071816860026</v>
      </c>
      <c r="L74" s="70"/>
      <c r="M74" s="69">
        <f>+M72</f>
        <v>637.4353808353809</v>
      </c>
      <c r="N74" s="69">
        <f>+N72</f>
        <v>1410.0684275184274</v>
      </c>
      <c r="O74" s="69"/>
      <c r="P74" s="70"/>
      <c r="Q74" s="69">
        <f>+Q72</f>
        <v>140703.02683824126</v>
      </c>
      <c r="R74" s="71">
        <f>SUM(R72:R73)</f>
        <v>1802063.511995848</v>
      </c>
    </row>
    <row r="75" spans="1:19" x14ac:dyDescent="0.25">
      <c r="A75" s="77" t="s">
        <v>15</v>
      </c>
      <c r="B75" s="73"/>
      <c r="C75" s="73"/>
      <c r="D75" s="73"/>
      <c r="E75" s="236"/>
      <c r="F75" s="237">
        <f>+Harvest!J101</f>
        <v>1.243023374802307</v>
      </c>
      <c r="G75" s="237"/>
      <c r="H75" s="236"/>
      <c r="I75" s="236"/>
      <c r="J75" s="237">
        <f>+Harvest!L101</f>
        <v>0.74962111287146282</v>
      </c>
      <c r="K75" s="237"/>
      <c r="L75" s="236"/>
      <c r="M75" s="73"/>
      <c r="N75" s="72">
        <f>+Harvest!N101</f>
        <v>1.9425421224819122E-3</v>
      </c>
      <c r="O75" s="72"/>
      <c r="P75" s="73"/>
      <c r="Q75" s="73"/>
      <c r="R75" s="74"/>
    </row>
    <row r="76" spans="1:19" x14ac:dyDescent="0.25">
      <c r="Q76" s="10"/>
    </row>
    <row r="77" spans="1:19" x14ac:dyDescent="0.25">
      <c r="F77" s="10"/>
      <c r="J77" s="10"/>
    </row>
  </sheetData>
  <mergeCells count="20">
    <mergeCell ref="Q2:R2"/>
    <mergeCell ref="A22:D22"/>
    <mergeCell ref="A12:D12"/>
    <mergeCell ref="A18:D18"/>
    <mergeCell ref="A5:D5"/>
    <mergeCell ref="A9:D9"/>
    <mergeCell ref="A15:D15"/>
    <mergeCell ref="A71:D71"/>
    <mergeCell ref="E2:H2"/>
    <mergeCell ref="I2:L2"/>
    <mergeCell ref="M2:P2"/>
    <mergeCell ref="A35:D35"/>
    <mergeCell ref="A28:D28"/>
    <mergeCell ref="A39:D39"/>
    <mergeCell ref="A44:D44"/>
    <mergeCell ref="A48:D48"/>
    <mergeCell ref="A53:D53"/>
    <mergeCell ref="A58:D58"/>
    <mergeCell ref="A63:D63"/>
    <mergeCell ref="A66:D66"/>
  </mergeCells>
  <pageMargins left="0.25" right="0.25" top="0.75" bottom="0.75" header="0.3" footer="0.3"/>
  <pageSetup scale="76" fitToHeight="0" orientation="landscape" r:id="rId1"/>
  <ignoredErrors>
    <ignoredError sqref="F74 J74 Q41:R41 Q46:R46 Q28:R28 Q5:R5 Q9:R9 Q12:R12 Q42:R4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"/>
  <sheetViews>
    <sheetView workbookViewId="0">
      <selection activeCell="F9" sqref="B9:F9"/>
    </sheetView>
  </sheetViews>
  <sheetFormatPr defaultRowHeight="15" x14ac:dyDescent="0.25"/>
  <cols>
    <col min="1" max="1" width="21.5703125" customWidth="1"/>
    <col min="2" max="3" width="10.7109375" customWidth="1"/>
    <col min="4" max="4" width="10.5703125" bestFit="1" customWidth="1"/>
    <col min="5" max="5" width="12" bestFit="1" customWidth="1"/>
    <col min="6" max="7" width="10.5703125" bestFit="1" customWidth="1"/>
    <col min="8" max="8" width="13.28515625" bestFit="1" customWidth="1"/>
  </cols>
  <sheetData>
    <row r="1" spans="1:8" x14ac:dyDescent="0.25">
      <c r="A1" s="3" t="s">
        <v>49</v>
      </c>
      <c r="B1" s="3"/>
      <c r="C1" s="3"/>
      <c r="D1" s="3"/>
      <c r="E1" s="3"/>
      <c r="F1" s="3"/>
    </row>
    <row r="2" spans="1:8" x14ac:dyDescent="0.25">
      <c r="A2" s="3"/>
      <c r="B2" s="3"/>
      <c r="C2" s="3"/>
      <c r="D2" s="3"/>
      <c r="E2" s="3"/>
      <c r="F2" s="3"/>
    </row>
    <row r="3" spans="1:8" ht="15.75" thickBot="1" x14ac:dyDescent="0.3">
      <c r="A3" s="3"/>
      <c r="B3" s="3" t="s">
        <v>60</v>
      </c>
      <c r="C3" s="1" t="s">
        <v>51</v>
      </c>
      <c r="D3" s="3" t="s">
        <v>42</v>
      </c>
      <c r="E3" s="1" t="s">
        <v>41</v>
      </c>
      <c r="F3" s="1" t="s">
        <v>40</v>
      </c>
      <c r="G3" s="1" t="s">
        <v>39</v>
      </c>
      <c r="H3" s="1" t="s">
        <v>38</v>
      </c>
    </row>
    <row r="4" spans="1:8" x14ac:dyDescent="0.25">
      <c r="A4" s="44" t="s">
        <v>19</v>
      </c>
      <c r="B4" s="45">
        <v>4895623.5998578668</v>
      </c>
      <c r="C4" s="45">
        <v>4768605</v>
      </c>
      <c r="D4" s="45">
        <v>3885491.5446236241</v>
      </c>
      <c r="E4" s="45">
        <v>2881223.2800000003</v>
      </c>
      <c r="F4" s="45">
        <v>1847952.1349999998</v>
      </c>
      <c r="G4" s="45">
        <v>1094641.4136540764</v>
      </c>
      <c r="H4" s="45">
        <v>1276247.6927039789</v>
      </c>
    </row>
    <row r="5" spans="1:8" x14ac:dyDescent="0.25">
      <c r="A5" s="46" t="s">
        <v>20</v>
      </c>
      <c r="B5" s="47">
        <v>1896630.873404826</v>
      </c>
      <c r="C5" s="47">
        <v>1198600</v>
      </c>
      <c r="D5" s="47">
        <v>2662860.8000000003</v>
      </c>
      <c r="E5" s="47">
        <f>5744410.73323314*0.4</f>
        <v>2297764.2932932558</v>
      </c>
      <c r="F5" s="47">
        <v>1881783.2000000002</v>
      </c>
      <c r="G5" s="47">
        <v>616314.30636927264</v>
      </c>
      <c r="H5" s="47">
        <v>845427.66684737173</v>
      </c>
    </row>
    <row r="6" spans="1:8" x14ac:dyDescent="0.25">
      <c r="A6" s="46" t="s">
        <v>21</v>
      </c>
      <c r="B6" s="47">
        <v>880571.44910342421</v>
      </c>
      <c r="C6" s="47">
        <v>1094781</v>
      </c>
      <c r="D6" s="110">
        <v>889827.43342746096</v>
      </c>
      <c r="E6" s="109">
        <f>(2615522*0.5)-(161153)+250000</f>
        <v>1396608</v>
      </c>
      <c r="F6" s="47">
        <v>1072689.5999999999</v>
      </c>
      <c r="G6" s="47">
        <v>371373.03795949166</v>
      </c>
      <c r="H6" s="47">
        <v>683167.40704835602</v>
      </c>
    </row>
    <row r="7" spans="1:8" x14ac:dyDescent="0.25">
      <c r="A7" s="46" t="s">
        <v>22</v>
      </c>
      <c r="B7" s="47">
        <v>941919.24030067341</v>
      </c>
      <c r="C7" s="47">
        <v>1695074</v>
      </c>
      <c r="D7" s="47">
        <v>2240308.7479108246</v>
      </c>
      <c r="E7" s="47">
        <v>2088668.5</v>
      </c>
      <c r="F7" s="47">
        <v>909667.35</v>
      </c>
      <c r="G7" s="47">
        <v>605830.70008886908</v>
      </c>
      <c r="H7" s="47">
        <v>545586.68998891278</v>
      </c>
    </row>
    <row r="8" spans="1:8" ht="15.75" thickBot="1" x14ac:dyDescent="0.3">
      <c r="A8" s="48" t="s">
        <v>23</v>
      </c>
      <c r="B8" s="49">
        <v>725888.21174021007</v>
      </c>
      <c r="C8" s="49">
        <v>63740</v>
      </c>
      <c r="D8" s="49">
        <v>125735.12787535199</v>
      </c>
      <c r="E8" s="49">
        <f>1033285.9456848*0.254*0.5</f>
        <v>131227.31510196961</v>
      </c>
      <c r="F8" s="49">
        <v>113543.20699999999</v>
      </c>
      <c r="G8" s="49">
        <v>144560.51050788548</v>
      </c>
      <c r="H8" s="49">
        <v>258924.12448845015</v>
      </c>
    </row>
    <row r="9" spans="1:8" ht="16.5" thickBot="1" x14ac:dyDescent="0.3">
      <c r="A9" s="50" t="s">
        <v>33</v>
      </c>
      <c r="B9" s="51">
        <f>SUM(B4:B8)</f>
        <v>9340633.3744070008</v>
      </c>
      <c r="C9" s="51">
        <f t="shared" ref="C9:H9" si="0">SUM(C4:C8)</f>
        <v>8820800</v>
      </c>
      <c r="D9" s="51">
        <f t="shared" si="0"/>
        <v>9804223.6538372617</v>
      </c>
      <c r="E9" s="51">
        <f t="shared" si="0"/>
        <v>8795491.3883952256</v>
      </c>
      <c r="F9" s="51">
        <f t="shared" si="0"/>
        <v>5825635.4919999996</v>
      </c>
      <c r="G9" s="51">
        <f t="shared" si="0"/>
        <v>2832719.968579595</v>
      </c>
      <c r="H9" s="51">
        <f t="shared" si="0"/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100"/>
  <sheetViews>
    <sheetView topLeftCell="A16" workbookViewId="0">
      <selection sqref="A1:G11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81" bestFit="1" customWidth="1"/>
    <col min="4" max="4" width="14.7109375" style="3" bestFit="1" customWidth="1"/>
    <col min="5" max="5" width="16.7109375" bestFit="1" customWidth="1"/>
  </cols>
  <sheetData>
    <row r="1" spans="1:7" x14ac:dyDescent="0.25">
      <c r="A1" s="227" t="s">
        <v>37</v>
      </c>
      <c r="B1" s="227" t="s">
        <v>9</v>
      </c>
      <c r="C1" s="227" t="s">
        <v>8</v>
      </c>
      <c r="D1" s="227" t="s">
        <v>54</v>
      </c>
      <c r="E1" s="227" t="s">
        <v>55</v>
      </c>
      <c r="F1" s="227" t="s">
        <v>56</v>
      </c>
      <c r="G1" s="227" t="s">
        <v>57</v>
      </c>
    </row>
    <row r="2" spans="1:7" x14ac:dyDescent="0.25">
      <c r="A2" s="228">
        <v>1391</v>
      </c>
      <c r="B2" s="229" t="s">
        <v>1</v>
      </c>
      <c r="C2" s="230">
        <v>42789</v>
      </c>
      <c r="D2" s="229" t="s">
        <v>66</v>
      </c>
      <c r="E2" s="228">
        <v>100</v>
      </c>
      <c r="F2" s="228">
        <v>2</v>
      </c>
      <c r="G2" s="228">
        <v>2</v>
      </c>
    </row>
    <row r="3" spans="1:7" x14ac:dyDescent="0.25">
      <c r="A3" s="228">
        <v>1392</v>
      </c>
      <c r="B3" s="229" t="s">
        <v>1</v>
      </c>
      <c r="C3" s="230">
        <v>42790</v>
      </c>
      <c r="D3" s="229" t="s">
        <v>66</v>
      </c>
      <c r="E3" s="228">
        <v>100</v>
      </c>
      <c r="F3" s="228">
        <v>6</v>
      </c>
      <c r="G3" s="228">
        <v>6</v>
      </c>
    </row>
    <row r="4" spans="1:7" x14ac:dyDescent="0.25">
      <c r="A4" s="228">
        <v>1408</v>
      </c>
      <c r="B4" s="229" t="s">
        <v>1</v>
      </c>
      <c r="C4" s="230">
        <v>42807</v>
      </c>
      <c r="D4" s="229" t="s">
        <v>66</v>
      </c>
      <c r="E4" s="228">
        <v>100</v>
      </c>
      <c r="F4" s="228">
        <v>5</v>
      </c>
      <c r="G4" s="228">
        <v>5</v>
      </c>
    </row>
    <row r="5" spans="1:7" x14ac:dyDescent="0.25">
      <c r="A5" s="228">
        <v>1426</v>
      </c>
      <c r="B5" s="229" t="s">
        <v>1</v>
      </c>
      <c r="C5" s="230">
        <v>42838</v>
      </c>
      <c r="D5" s="229" t="s">
        <v>66</v>
      </c>
      <c r="E5" s="228">
        <v>100</v>
      </c>
      <c r="F5" s="228">
        <v>3</v>
      </c>
      <c r="G5" s="228">
        <v>3</v>
      </c>
    </row>
    <row r="6" spans="1:7" x14ac:dyDescent="0.25">
      <c r="A6" s="228">
        <v>1428</v>
      </c>
      <c r="B6" s="229" t="s">
        <v>1</v>
      </c>
      <c r="C6" s="230">
        <v>42840</v>
      </c>
      <c r="D6" s="229" t="s">
        <v>66</v>
      </c>
      <c r="E6" s="228">
        <v>100</v>
      </c>
      <c r="F6" s="228">
        <v>2</v>
      </c>
      <c r="G6" s="228">
        <v>2</v>
      </c>
    </row>
    <row r="7" spans="1:7" x14ac:dyDescent="0.25">
      <c r="A7" s="228">
        <v>1442</v>
      </c>
      <c r="B7" s="229" t="s">
        <v>1</v>
      </c>
      <c r="C7" s="230">
        <v>42851</v>
      </c>
      <c r="D7" s="229" t="s">
        <v>66</v>
      </c>
      <c r="E7" s="228">
        <v>100</v>
      </c>
      <c r="F7" s="228">
        <v>5</v>
      </c>
      <c r="G7" s="228">
        <v>5</v>
      </c>
    </row>
    <row r="8" spans="1:7" x14ac:dyDescent="0.25">
      <c r="A8" s="228">
        <v>1442</v>
      </c>
      <c r="B8" s="229" t="s">
        <v>1</v>
      </c>
      <c r="C8" s="230">
        <v>42851</v>
      </c>
      <c r="D8" s="229" t="s">
        <v>75</v>
      </c>
      <c r="E8" s="228">
        <v>100</v>
      </c>
      <c r="F8" s="228">
        <v>2</v>
      </c>
      <c r="G8" s="228">
        <v>2</v>
      </c>
    </row>
    <row r="9" spans="1:7" x14ac:dyDescent="0.25">
      <c r="A9" s="228">
        <v>1443</v>
      </c>
      <c r="B9" s="229" t="s">
        <v>1</v>
      </c>
      <c r="C9" s="230">
        <v>42852</v>
      </c>
      <c r="D9" s="229" t="s">
        <v>75</v>
      </c>
      <c r="E9" s="228">
        <v>100</v>
      </c>
      <c r="F9" s="228">
        <v>2</v>
      </c>
      <c r="G9" s="228">
        <v>2</v>
      </c>
    </row>
    <row r="10" spans="1:7" x14ac:dyDescent="0.25">
      <c r="A10" s="228">
        <v>1444</v>
      </c>
      <c r="B10" s="229" t="s">
        <v>1</v>
      </c>
      <c r="C10" s="230">
        <v>42853</v>
      </c>
      <c r="D10" s="229" t="s">
        <v>66</v>
      </c>
      <c r="E10" s="228">
        <v>100</v>
      </c>
      <c r="F10" s="228">
        <v>11</v>
      </c>
      <c r="G10" s="228">
        <v>11</v>
      </c>
    </row>
    <row r="11" spans="1:7" x14ac:dyDescent="0.25">
      <c r="A11" s="228">
        <v>1444</v>
      </c>
      <c r="B11" s="229" t="s">
        <v>1</v>
      </c>
      <c r="C11" s="230">
        <v>42853</v>
      </c>
      <c r="D11" s="229" t="s">
        <v>76</v>
      </c>
      <c r="E11" s="228">
        <v>100</v>
      </c>
      <c r="F11" s="228">
        <v>2</v>
      </c>
      <c r="G11" s="228">
        <v>2</v>
      </c>
    </row>
    <row r="12" spans="1:7" x14ac:dyDescent="0.25">
      <c r="A12" s="120"/>
      <c r="B12" s="121"/>
      <c r="C12" s="122"/>
      <c r="D12" s="120"/>
      <c r="E12" s="123"/>
      <c r="F12" s="8"/>
      <c r="G12" s="79"/>
    </row>
    <row r="13" spans="1:7" x14ac:dyDescent="0.25">
      <c r="A13" s="120"/>
      <c r="B13" s="121"/>
      <c r="C13" s="122"/>
      <c r="D13" s="120"/>
      <c r="E13" s="123"/>
      <c r="F13" s="8"/>
      <c r="G13" s="79"/>
    </row>
    <row r="14" spans="1:7" x14ac:dyDescent="0.25">
      <c r="A14" s="120"/>
      <c r="B14" s="121"/>
      <c r="C14" s="122"/>
      <c r="D14" s="120"/>
      <c r="E14" s="123"/>
      <c r="F14" s="8"/>
      <c r="G14" s="79"/>
    </row>
    <row r="15" spans="1:7" x14ac:dyDescent="0.25">
      <c r="A15" s="120"/>
      <c r="B15" s="121"/>
      <c r="C15" s="122"/>
      <c r="D15" s="120"/>
      <c r="E15" s="123"/>
      <c r="F15" s="8"/>
      <c r="G15" s="79"/>
    </row>
    <row r="16" spans="1:7" x14ac:dyDescent="0.25">
      <c r="A16" s="120"/>
      <c r="B16" s="121"/>
      <c r="C16" s="122"/>
      <c r="D16" s="120"/>
      <c r="E16" s="123"/>
      <c r="F16" s="8"/>
      <c r="G16" s="79"/>
    </row>
    <row r="17" spans="1:7" x14ac:dyDescent="0.25">
      <c r="A17" s="120"/>
      <c r="B17" s="121"/>
      <c r="C17" s="122"/>
      <c r="D17" s="120"/>
      <c r="E17" s="123"/>
      <c r="F17" s="8"/>
      <c r="G17" s="79"/>
    </row>
    <row r="18" spans="1:7" x14ac:dyDescent="0.25">
      <c r="A18" s="120"/>
      <c r="B18" s="121"/>
      <c r="C18" s="122"/>
      <c r="D18" s="120"/>
      <c r="E18" s="123"/>
      <c r="F18" s="8"/>
      <c r="G18" s="79"/>
    </row>
    <row r="19" spans="1:7" x14ac:dyDescent="0.25">
      <c r="A19" s="120"/>
      <c r="B19" s="121"/>
      <c r="C19" s="122"/>
      <c r="D19" s="120"/>
      <c r="E19" s="123"/>
      <c r="F19" s="8"/>
      <c r="G19" s="79"/>
    </row>
    <row r="20" spans="1:7" x14ac:dyDescent="0.25">
      <c r="A20" s="120"/>
      <c r="B20" s="121"/>
      <c r="C20" s="122"/>
      <c r="D20" s="120"/>
      <c r="E20" s="123"/>
      <c r="F20" s="8"/>
      <c r="G20" s="79"/>
    </row>
    <row r="21" spans="1:7" x14ac:dyDescent="0.25">
      <c r="A21" s="120"/>
      <c r="B21" s="121"/>
      <c r="C21" s="122"/>
      <c r="D21" s="120"/>
      <c r="E21" s="123"/>
      <c r="F21" s="8"/>
      <c r="G21" s="79"/>
    </row>
    <row r="22" spans="1:7" x14ac:dyDescent="0.25">
      <c r="A22" s="120"/>
      <c r="B22" s="121"/>
      <c r="C22" s="122"/>
      <c r="D22" s="120"/>
      <c r="E22" s="123"/>
      <c r="F22" s="8"/>
      <c r="G22" s="79"/>
    </row>
    <row r="23" spans="1:7" x14ac:dyDescent="0.25">
      <c r="A23" s="120"/>
      <c r="B23" s="121"/>
      <c r="C23" s="122"/>
      <c r="D23" s="120"/>
      <c r="E23" s="123"/>
      <c r="F23" s="8"/>
      <c r="G23" s="79"/>
    </row>
    <row r="24" spans="1:7" x14ac:dyDescent="0.25">
      <c r="A24" s="120"/>
      <c r="B24" s="121"/>
      <c r="C24" s="122"/>
      <c r="D24" s="120"/>
      <c r="E24" s="123"/>
      <c r="F24" s="8"/>
      <c r="G24" s="79"/>
    </row>
    <row r="25" spans="1:7" x14ac:dyDescent="0.25">
      <c r="A25" s="120"/>
      <c r="B25" s="121"/>
      <c r="C25" s="122"/>
      <c r="D25" s="120"/>
      <c r="E25" s="123"/>
      <c r="F25" s="8"/>
      <c r="G25" s="79"/>
    </row>
    <row r="26" spans="1:7" x14ac:dyDescent="0.25">
      <c r="A26" s="97"/>
      <c r="B26" s="98"/>
      <c r="C26" s="99"/>
      <c r="D26" s="97"/>
      <c r="E26" s="100"/>
      <c r="F26" s="8"/>
      <c r="G26" s="79"/>
    </row>
    <row r="27" spans="1:7" x14ac:dyDescent="0.25">
      <c r="A27" s="97"/>
      <c r="B27" s="98"/>
      <c r="C27" s="99"/>
      <c r="D27" s="97"/>
      <c r="E27" s="100"/>
      <c r="F27" s="8"/>
      <c r="G27" s="79"/>
    </row>
    <row r="28" spans="1:7" x14ac:dyDescent="0.25">
      <c r="A28" s="97"/>
      <c r="B28" s="98"/>
      <c r="C28" s="99"/>
      <c r="D28" s="97"/>
      <c r="E28" s="100"/>
      <c r="F28" s="8"/>
      <c r="G28" s="79"/>
    </row>
    <row r="29" spans="1:7" x14ac:dyDescent="0.25">
      <c r="A29" s="97"/>
      <c r="B29" s="98"/>
      <c r="C29" s="99"/>
      <c r="D29" s="97"/>
      <c r="E29" s="100"/>
      <c r="F29" s="8"/>
      <c r="G29" s="79"/>
    </row>
    <row r="30" spans="1:7" x14ac:dyDescent="0.25">
      <c r="A30" s="97"/>
      <c r="B30" s="98"/>
      <c r="C30" s="99"/>
      <c r="D30" s="97"/>
      <c r="E30" s="100"/>
      <c r="F30" s="8"/>
      <c r="G30" s="79"/>
    </row>
    <row r="31" spans="1:7" x14ac:dyDescent="0.25">
      <c r="A31" s="97"/>
      <c r="B31" s="98"/>
      <c r="C31" s="99"/>
      <c r="D31" s="97"/>
      <c r="E31" s="100"/>
      <c r="F31" s="8"/>
      <c r="G31" s="79"/>
    </row>
    <row r="32" spans="1:7" x14ac:dyDescent="0.25">
      <c r="A32" s="97"/>
      <c r="B32" s="98"/>
      <c r="C32" s="99"/>
      <c r="D32" s="97"/>
      <c r="E32" s="100"/>
      <c r="F32" s="8"/>
      <c r="G32" s="79"/>
    </row>
    <row r="33" spans="1:8" x14ac:dyDescent="0.25">
      <c r="A33" s="97"/>
      <c r="B33" s="98"/>
      <c r="C33" s="99"/>
      <c r="D33" s="97"/>
      <c r="E33" s="100"/>
      <c r="F33" s="8"/>
      <c r="G33" s="79"/>
    </row>
    <row r="34" spans="1:8" x14ac:dyDescent="0.25">
      <c r="A34" s="97"/>
      <c r="B34" s="98"/>
      <c r="C34" s="99"/>
      <c r="D34" s="97"/>
      <c r="E34" s="100"/>
      <c r="F34" s="8"/>
      <c r="G34" s="79"/>
    </row>
    <row r="35" spans="1:8" x14ac:dyDescent="0.25">
      <c r="A35" s="97"/>
      <c r="B35" s="98"/>
      <c r="C35" s="99"/>
      <c r="D35" s="97"/>
      <c r="E35" s="100"/>
      <c r="F35" s="8"/>
      <c r="G35" s="79"/>
    </row>
    <row r="36" spans="1:8" x14ac:dyDescent="0.25">
      <c r="A36" s="97"/>
      <c r="B36" s="98"/>
      <c r="C36" s="99"/>
      <c r="D36" s="97"/>
      <c r="E36" s="100"/>
      <c r="F36" s="8"/>
      <c r="G36" s="79"/>
    </row>
    <row r="37" spans="1:8" x14ac:dyDescent="0.25">
      <c r="A37" s="97"/>
      <c r="B37" s="98"/>
      <c r="C37" s="99"/>
      <c r="D37" s="97"/>
      <c r="E37" s="100"/>
      <c r="F37" s="8"/>
      <c r="G37" s="79"/>
    </row>
    <row r="38" spans="1:8" x14ac:dyDescent="0.25">
      <c r="A38" s="97"/>
      <c r="B38" s="98"/>
      <c r="C38" s="99"/>
      <c r="D38" s="97"/>
      <c r="E38" s="100"/>
      <c r="F38" s="8"/>
      <c r="G38" s="79"/>
    </row>
    <row r="39" spans="1:8" x14ac:dyDescent="0.25">
      <c r="A39" s="97"/>
      <c r="B39" s="98"/>
      <c r="C39" s="99"/>
      <c r="D39" s="97"/>
      <c r="E39" s="100"/>
      <c r="F39" s="8"/>
      <c r="G39" s="79"/>
    </row>
    <row r="40" spans="1:8" x14ac:dyDescent="0.25">
      <c r="A40" s="97"/>
      <c r="B40" s="98"/>
      <c r="C40" s="99"/>
      <c r="D40" s="97"/>
      <c r="E40" s="200">
        <f>SUM(E2:E39)</f>
        <v>1000</v>
      </c>
      <c r="F40" s="8">
        <f>SUM(F2:F39)</f>
        <v>40</v>
      </c>
      <c r="G40" s="79">
        <f>SUM(G2:G39)</f>
        <v>40</v>
      </c>
      <c r="H40" s="201">
        <f>+G40/E40</f>
        <v>0.04</v>
      </c>
    </row>
    <row r="41" spans="1:8" x14ac:dyDescent="0.25">
      <c r="A41" s="97"/>
      <c r="B41" s="98"/>
      <c r="C41" s="99"/>
      <c r="D41" s="97"/>
      <c r="E41" s="100"/>
      <c r="F41" s="8"/>
      <c r="G41" s="79"/>
    </row>
    <row r="42" spans="1:8" x14ac:dyDescent="0.25">
      <c r="A42" s="97"/>
      <c r="B42" s="98"/>
      <c r="C42" s="99"/>
      <c r="D42" s="97"/>
      <c r="E42" s="100"/>
      <c r="F42" s="8"/>
      <c r="G42" s="79"/>
    </row>
    <row r="43" spans="1:8" x14ac:dyDescent="0.25">
      <c r="A43" s="97"/>
      <c r="B43" s="98"/>
      <c r="C43" s="99"/>
      <c r="D43" s="97"/>
      <c r="E43" s="100"/>
      <c r="F43" s="8"/>
      <c r="G43" s="79"/>
    </row>
    <row r="44" spans="1:8" x14ac:dyDescent="0.25">
      <c r="A44" s="97"/>
      <c r="B44" s="98"/>
      <c r="C44" s="99"/>
      <c r="D44" s="97"/>
      <c r="E44" s="100"/>
      <c r="F44" s="8"/>
      <c r="G44" s="79"/>
    </row>
    <row r="45" spans="1:8" x14ac:dyDescent="0.25">
      <c r="A45" s="97"/>
      <c r="B45" s="98"/>
      <c r="C45" s="99"/>
      <c r="D45" s="97"/>
      <c r="E45" s="100"/>
      <c r="F45" s="8"/>
      <c r="G45" s="79"/>
    </row>
    <row r="46" spans="1:8" x14ac:dyDescent="0.25">
      <c r="A46" s="97"/>
      <c r="B46" s="98"/>
      <c r="C46" s="99"/>
      <c r="D46" s="97"/>
      <c r="E46" s="100"/>
      <c r="F46" s="8"/>
      <c r="G46" s="79"/>
    </row>
    <row r="47" spans="1:8" x14ac:dyDescent="0.25">
      <c r="A47" s="97"/>
      <c r="B47" s="98"/>
      <c r="C47" s="99"/>
      <c r="D47" s="97"/>
      <c r="E47" s="100"/>
      <c r="F47" s="8"/>
      <c r="G47" s="79"/>
    </row>
    <row r="48" spans="1:8" x14ac:dyDescent="0.25">
      <c r="A48" s="97"/>
      <c r="B48" s="98"/>
      <c r="C48" s="99"/>
      <c r="D48" s="97"/>
      <c r="E48" s="100"/>
    </row>
    <row r="49" spans="1:5" x14ac:dyDescent="0.25">
      <c r="A49" s="97"/>
      <c r="B49" s="98"/>
      <c r="C49" s="99"/>
      <c r="D49" s="97"/>
      <c r="E49" s="100"/>
    </row>
    <row r="50" spans="1:5" x14ac:dyDescent="0.25">
      <c r="A50" s="97"/>
      <c r="B50" s="98"/>
      <c r="C50" s="99"/>
      <c r="D50" s="97"/>
      <c r="E50" s="100"/>
    </row>
    <row r="51" spans="1:5" x14ac:dyDescent="0.25">
      <c r="A51" s="97"/>
      <c r="B51" s="98"/>
      <c r="C51" s="99"/>
      <c r="D51" s="97"/>
      <c r="E51" s="100"/>
    </row>
    <row r="52" spans="1:5" x14ac:dyDescent="0.25">
      <c r="A52" s="97"/>
      <c r="B52" s="98"/>
      <c r="C52" s="99"/>
      <c r="D52" s="97"/>
      <c r="E52" s="100"/>
    </row>
    <row r="53" spans="1:5" x14ac:dyDescent="0.25">
      <c r="A53" s="97"/>
      <c r="B53" s="98"/>
      <c r="C53" s="99"/>
      <c r="D53" s="97"/>
      <c r="E53" s="100"/>
    </row>
    <row r="54" spans="1:5" x14ac:dyDescent="0.25">
      <c r="A54" s="97"/>
      <c r="B54" s="98"/>
      <c r="C54" s="99"/>
      <c r="D54" s="97"/>
      <c r="E54" s="100"/>
    </row>
    <row r="55" spans="1:5" x14ac:dyDescent="0.25">
      <c r="A55" s="97"/>
      <c r="B55" s="98"/>
      <c r="C55" s="99"/>
      <c r="D55" s="97"/>
      <c r="E55" s="100"/>
    </row>
    <row r="56" spans="1:5" x14ac:dyDescent="0.25">
      <c r="A56" s="97"/>
      <c r="B56" s="98"/>
      <c r="C56" s="99"/>
      <c r="D56" s="97"/>
      <c r="E56" s="100"/>
    </row>
    <row r="57" spans="1:5" x14ac:dyDescent="0.25">
      <c r="A57" s="97"/>
      <c r="B57" s="98"/>
      <c r="C57" s="99"/>
      <c r="D57" s="97"/>
      <c r="E57" s="100"/>
    </row>
    <row r="58" spans="1:5" x14ac:dyDescent="0.25">
      <c r="A58" s="97"/>
      <c r="B58" s="98"/>
      <c r="C58" s="99"/>
      <c r="D58" s="97"/>
      <c r="E58" s="100"/>
    </row>
    <row r="59" spans="1:5" x14ac:dyDescent="0.25">
      <c r="A59" s="97"/>
      <c r="B59" s="98"/>
      <c r="C59" s="99"/>
      <c r="D59" s="97"/>
      <c r="E59" s="100"/>
    </row>
    <row r="60" spans="1:5" x14ac:dyDescent="0.25">
      <c r="A60" s="97"/>
      <c r="B60" s="98"/>
      <c r="C60" s="99"/>
      <c r="D60" s="97"/>
      <c r="E60" s="100"/>
    </row>
    <row r="61" spans="1:5" x14ac:dyDescent="0.25">
      <c r="A61" s="97"/>
      <c r="B61" s="98"/>
      <c r="C61" s="99"/>
      <c r="D61" s="97"/>
      <c r="E61" s="100"/>
    </row>
    <row r="62" spans="1:5" x14ac:dyDescent="0.25">
      <c r="A62" s="97"/>
      <c r="B62" s="98"/>
      <c r="C62" s="99"/>
      <c r="D62" s="97"/>
      <c r="E62" s="100"/>
    </row>
    <row r="63" spans="1:5" x14ac:dyDescent="0.25">
      <c r="A63" s="97"/>
      <c r="B63" s="98"/>
      <c r="C63" s="99"/>
      <c r="D63" s="97"/>
      <c r="E63" s="100"/>
    </row>
    <row r="64" spans="1:5" x14ac:dyDescent="0.25">
      <c r="A64" s="97"/>
      <c r="B64" s="98"/>
      <c r="C64" s="99"/>
      <c r="D64" s="97"/>
      <c r="E64" s="100"/>
    </row>
    <row r="65" spans="1:5" x14ac:dyDescent="0.25">
      <c r="A65" s="97"/>
      <c r="B65" s="98"/>
      <c r="C65" s="99"/>
      <c r="D65" s="97"/>
      <c r="E65" s="100"/>
    </row>
    <row r="66" spans="1:5" x14ac:dyDescent="0.25">
      <c r="A66" s="97"/>
      <c r="B66" s="98"/>
      <c r="C66" s="99"/>
      <c r="D66" s="97"/>
      <c r="E66" s="100"/>
    </row>
    <row r="67" spans="1:5" x14ac:dyDescent="0.25">
      <c r="A67" s="97"/>
      <c r="B67" s="98"/>
      <c r="C67" s="99"/>
      <c r="D67" s="97"/>
      <c r="E67" s="100"/>
    </row>
    <row r="68" spans="1:5" x14ac:dyDescent="0.25">
      <c r="A68" s="97"/>
      <c r="B68" s="98"/>
      <c r="C68" s="99"/>
      <c r="D68" s="97"/>
      <c r="E68" s="100"/>
    </row>
    <row r="69" spans="1:5" x14ac:dyDescent="0.25">
      <c r="A69" s="97"/>
      <c r="B69" s="98"/>
      <c r="C69" s="99"/>
      <c r="D69" s="97"/>
      <c r="E69" s="100"/>
    </row>
    <row r="70" spans="1:5" x14ac:dyDescent="0.25">
      <c r="A70" s="97"/>
      <c r="B70" s="98"/>
      <c r="C70" s="99"/>
      <c r="D70" s="97"/>
      <c r="E70" s="100"/>
    </row>
    <row r="71" spans="1:5" x14ac:dyDescent="0.25">
      <c r="A71" s="97"/>
      <c r="B71" s="98"/>
      <c r="C71" s="99"/>
      <c r="D71" s="97"/>
      <c r="E71" s="100"/>
    </row>
    <row r="72" spans="1:5" x14ac:dyDescent="0.25">
      <c r="A72" s="97"/>
      <c r="B72" s="98"/>
      <c r="C72" s="99"/>
      <c r="D72" s="97"/>
      <c r="E72" s="100"/>
    </row>
    <row r="73" spans="1:5" x14ac:dyDescent="0.25">
      <c r="A73" s="97"/>
      <c r="B73" s="98"/>
      <c r="C73" s="99"/>
      <c r="D73" s="97"/>
      <c r="E73" s="100"/>
    </row>
    <row r="74" spans="1:5" x14ac:dyDescent="0.25">
      <c r="A74" s="97"/>
      <c r="B74" s="98"/>
      <c r="C74" s="99"/>
      <c r="D74" s="97"/>
      <c r="E74" s="100"/>
    </row>
    <row r="75" spans="1:5" x14ac:dyDescent="0.25">
      <c r="A75" s="97"/>
      <c r="B75" s="98"/>
      <c r="C75" s="99"/>
      <c r="D75" s="97"/>
      <c r="E75" s="100"/>
    </row>
    <row r="76" spans="1:5" x14ac:dyDescent="0.25">
      <c r="A76" s="97"/>
      <c r="B76" s="98"/>
      <c r="C76" s="99"/>
      <c r="D76" s="97"/>
      <c r="E76" s="100"/>
    </row>
    <row r="77" spans="1:5" x14ac:dyDescent="0.25">
      <c r="A77" s="97"/>
      <c r="B77" s="98"/>
      <c r="C77" s="99"/>
      <c r="D77" s="97"/>
      <c r="E77" s="100"/>
    </row>
    <row r="78" spans="1:5" x14ac:dyDescent="0.25">
      <c r="A78" s="97"/>
      <c r="B78" s="98"/>
      <c r="C78" s="99"/>
      <c r="D78" s="97"/>
      <c r="E78" s="100"/>
    </row>
    <row r="79" spans="1:5" x14ac:dyDescent="0.25">
      <c r="A79" s="97"/>
      <c r="B79" s="98"/>
      <c r="C79" s="99"/>
      <c r="D79" s="97"/>
      <c r="E79" s="100"/>
    </row>
    <row r="80" spans="1:5" x14ac:dyDescent="0.25">
      <c r="A80" s="97"/>
      <c r="B80" s="98"/>
      <c r="C80" s="99"/>
      <c r="D80" s="97"/>
      <c r="E80" s="100"/>
    </row>
    <row r="81" spans="1:5" x14ac:dyDescent="0.25">
      <c r="A81" s="97"/>
      <c r="B81" s="98"/>
      <c r="C81" s="99"/>
      <c r="D81" s="97"/>
      <c r="E81" s="100"/>
    </row>
    <row r="82" spans="1:5" x14ac:dyDescent="0.25">
      <c r="A82" s="97"/>
      <c r="B82" s="98"/>
      <c r="C82" s="99"/>
      <c r="D82" s="97"/>
      <c r="E82" s="100"/>
    </row>
    <row r="83" spans="1:5" x14ac:dyDescent="0.25">
      <c r="A83" s="97"/>
      <c r="B83" s="98"/>
      <c r="C83" s="99"/>
      <c r="D83" s="97"/>
      <c r="E83" s="100"/>
    </row>
    <row r="84" spans="1:5" x14ac:dyDescent="0.25">
      <c r="A84" s="97"/>
      <c r="B84" s="98"/>
      <c r="C84" s="99"/>
      <c r="D84" s="97"/>
      <c r="E84" s="100"/>
    </row>
    <row r="85" spans="1:5" x14ac:dyDescent="0.25">
      <c r="A85" s="97"/>
      <c r="B85" s="98"/>
      <c r="C85" s="99"/>
      <c r="D85" s="97"/>
      <c r="E85" s="100"/>
    </row>
    <row r="86" spans="1:5" x14ac:dyDescent="0.25">
      <c r="A86" s="97"/>
      <c r="B86" s="98"/>
      <c r="C86" s="99"/>
      <c r="D86" s="97"/>
      <c r="E86" s="100"/>
    </row>
    <row r="87" spans="1:5" x14ac:dyDescent="0.25">
      <c r="A87" s="97"/>
      <c r="B87" s="98"/>
      <c r="C87" s="99"/>
      <c r="D87" s="97"/>
      <c r="E87" s="100"/>
    </row>
    <row r="88" spans="1:5" x14ac:dyDescent="0.25">
      <c r="A88" s="97"/>
      <c r="B88" s="98"/>
      <c r="C88" s="99"/>
      <c r="D88" s="97"/>
      <c r="E88" s="100"/>
    </row>
    <row r="89" spans="1:5" x14ac:dyDescent="0.25">
      <c r="A89" s="97"/>
      <c r="B89" s="98"/>
      <c r="C89" s="99"/>
      <c r="D89" s="97"/>
      <c r="E89" s="100"/>
    </row>
    <row r="90" spans="1:5" x14ac:dyDescent="0.25">
      <c r="A90" s="97"/>
      <c r="B90" s="98"/>
      <c r="C90" s="99"/>
      <c r="D90" s="97"/>
      <c r="E90" s="100"/>
    </row>
    <row r="91" spans="1:5" x14ac:dyDescent="0.25">
      <c r="A91" s="97"/>
      <c r="B91" s="98"/>
      <c r="C91" s="99"/>
      <c r="D91" s="97"/>
      <c r="E91" s="100"/>
    </row>
    <row r="92" spans="1:5" x14ac:dyDescent="0.25">
      <c r="A92" s="97"/>
      <c r="B92" s="98"/>
      <c r="C92" s="99"/>
      <c r="D92" s="97"/>
      <c r="E92" s="100"/>
    </row>
    <row r="93" spans="1:5" x14ac:dyDescent="0.25">
      <c r="A93" s="97"/>
      <c r="B93" s="98"/>
      <c r="C93" s="99"/>
      <c r="D93" s="97"/>
      <c r="E93" s="100"/>
    </row>
    <row r="94" spans="1:5" x14ac:dyDescent="0.25">
      <c r="A94" s="97"/>
      <c r="B94" s="98"/>
      <c r="C94" s="99"/>
      <c r="D94" s="97"/>
      <c r="E94" s="100"/>
    </row>
    <row r="95" spans="1:5" x14ac:dyDescent="0.25">
      <c r="A95" s="97"/>
      <c r="B95" s="98"/>
      <c r="C95" s="99"/>
      <c r="D95" s="97"/>
      <c r="E95" s="100"/>
    </row>
    <row r="96" spans="1:5" x14ac:dyDescent="0.25">
      <c r="A96" s="101"/>
      <c r="B96" s="102"/>
      <c r="C96" s="103"/>
      <c r="D96" s="97"/>
      <c r="E96" s="104"/>
    </row>
    <row r="97" spans="1:6" x14ac:dyDescent="0.25">
      <c r="A97" s="101"/>
      <c r="B97" s="102"/>
      <c r="C97" s="103"/>
      <c r="D97" s="97"/>
      <c r="E97" s="104"/>
    </row>
    <row r="98" spans="1:6" x14ac:dyDescent="0.25">
      <c r="A98" s="101"/>
      <c r="B98" s="102"/>
      <c r="C98" s="103"/>
      <c r="D98" s="97"/>
      <c r="E98" s="104"/>
    </row>
    <row r="99" spans="1:6" x14ac:dyDescent="0.25">
      <c r="A99" s="101"/>
      <c r="B99" s="102"/>
      <c r="C99" s="103"/>
      <c r="D99" s="97"/>
      <c r="E99" s="104"/>
    </row>
    <row r="100" spans="1:6" x14ac:dyDescent="0.25">
      <c r="D100" s="80"/>
      <c r="E100" s="10"/>
      <c r="F100" s="8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100"/>
  <sheetViews>
    <sheetView topLeftCell="A79" workbookViewId="0">
      <selection sqref="A1:G2"/>
    </sheetView>
  </sheetViews>
  <sheetFormatPr defaultRowHeight="15" x14ac:dyDescent="0.25"/>
  <cols>
    <col min="1" max="1" width="7.85546875" style="3" bestFit="1" customWidth="1"/>
    <col min="2" max="2" width="11.5703125" style="3" bestFit="1" customWidth="1"/>
    <col min="3" max="3" width="10.140625" style="3" bestFit="1" customWidth="1"/>
    <col min="4" max="4" width="14.7109375" style="3" bestFit="1" customWidth="1"/>
    <col min="5" max="5" width="16.7109375" style="3" bestFit="1" customWidth="1"/>
  </cols>
  <sheetData>
    <row r="1" spans="1:7" x14ac:dyDescent="0.25">
      <c r="A1" s="143" t="s">
        <v>37</v>
      </c>
      <c r="B1" s="143" t="s">
        <v>9</v>
      </c>
      <c r="C1" s="143" t="s">
        <v>8</v>
      </c>
      <c r="D1" s="143" t="s">
        <v>54</v>
      </c>
      <c r="E1" s="143" t="s">
        <v>55</v>
      </c>
      <c r="F1" s="143" t="s">
        <v>56</v>
      </c>
      <c r="G1" s="143" t="s">
        <v>57</v>
      </c>
    </row>
    <row r="2" spans="1:7" x14ac:dyDescent="0.25">
      <c r="A2" s="144">
        <v>1439</v>
      </c>
      <c r="B2" s="145" t="s">
        <v>69</v>
      </c>
      <c r="C2" s="146">
        <v>42853</v>
      </c>
      <c r="D2" s="145" t="s">
        <v>73</v>
      </c>
      <c r="E2" s="144">
        <v>100</v>
      </c>
      <c r="F2" s="144">
        <v>3</v>
      </c>
      <c r="G2" s="144">
        <v>3</v>
      </c>
    </row>
    <row r="3" spans="1:7" x14ac:dyDescent="0.25">
      <c r="A3" s="144"/>
      <c r="B3" s="145"/>
      <c r="C3" s="146"/>
      <c r="D3" s="145"/>
      <c r="E3" s="144"/>
      <c r="F3" s="144"/>
      <c r="G3" s="144"/>
    </row>
    <row r="4" spans="1:7" x14ac:dyDescent="0.25">
      <c r="A4" s="144"/>
      <c r="B4" s="145"/>
      <c r="C4" s="146"/>
      <c r="D4" s="145"/>
      <c r="E4" s="144"/>
      <c r="F4" s="144"/>
      <c r="G4" s="144"/>
    </row>
    <row r="5" spans="1:7" x14ac:dyDescent="0.25">
      <c r="A5" s="144"/>
      <c r="B5" s="145"/>
      <c r="C5" s="146"/>
      <c r="D5" s="145"/>
      <c r="E5" s="144"/>
      <c r="F5" s="144"/>
      <c r="G5" s="144"/>
    </row>
    <row r="6" spans="1:7" x14ac:dyDescent="0.25">
      <c r="A6" s="144"/>
      <c r="B6" s="145"/>
      <c r="C6" s="146"/>
      <c r="D6" s="145"/>
      <c r="E6" s="144"/>
      <c r="F6" s="144"/>
      <c r="G6" s="144"/>
    </row>
    <row r="7" spans="1:7" x14ac:dyDescent="0.25">
      <c r="A7" s="144"/>
      <c r="B7" s="145"/>
      <c r="C7" s="146"/>
      <c r="D7" s="145"/>
      <c r="E7" s="144"/>
      <c r="F7" s="144"/>
      <c r="G7" s="144"/>
    </row>
    <row r="8" spans="1:7" x14ac:dyDescent="0.25">
      <c r="A8" s="144"/>
      <c r="B8" s="145"/>
      <c r="C8" s="146"/>
      <c r="D8" s="145"/>
      <c r="E8" s="144"/>
      <c r="F8" s="144"/>
      <c r="G8" s="144"/>
    </row>
    <row r="9" spans="1:7" x14ac:dyDescent="0.25">
      <c r="A9" s="144"/>
      <c r="B9" s="145"/>
      <c r="C9" s="146"/>
      <c r="D9" s="145"/>
      <c r="E9" s="144"/>
      <c r="F9" s="144"/>
      <c r="G9" s="144"/>
    </row>
    <row r="10" spans="1:7" x14ac:dyDescent="0.25">
      <c r="A10" s="116"/>
      <c r="B10" s="117"/>
      <c r="C10" s="118"/>
      <c r="D10" s="116"/>
      <c r="E10" s="119"/>
    </row>
    <row r="11" spans="1:7" x14ac:dyDescent="0.25">
      <c r="A11" s="116"/>
      <c r="B11" s="117"/>
      <c r="C11" s="118"/>
      <c r="D11" s="116"/>
      <c r="E11" s="119"/>
    </row>
    <row r="100" spans="4:8" x14ac:dyDescent="0.25">
      <c r="D100" s="85"/>
      <c r="E100" s="84">
        <f>SUM(E2:E99)</f>
        <v>100</v>
      </c>
      <c r="F100" s="83">
        <f>SUM(F2:F99)</f>
        <v>3</v>
      </c>
      <c r="G100">
        <f>SUM(G2:G99)</f>
        <v>3</v>
      </c>
      <c r="H100" s="83">
        <f>+G100/E100</f>
        <v>0.03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00"/>
  <sheetViews>
    <sheetView workbookViewId="0">
      <selection sqref="A1:G7"/>
    </sheetView>
  </sheetViews>
  <sheetFormatPr defaultRowHeight="15" x14ac:dyDescent="0.25"/>
  <cols>
    <col min="1" max="2" width="14.28515625" customWidth="1"/>
    <col min="3" max="3" width="14.28515625" style="82" customWidth="1"/>
    <col min="4" max="4" width="14.28515625" customWidth="1"/>
    <col min="5" max="5" width="16.7109375" bestFit="1" customWidth="1"/>
  </cols>
  <sheetData>
    <row r="1" spans="1:7" x14ac:dyDescent="0.25">
      <c r="A1" s="223" t="s">
        <v>37</v>
      </c>
      <c r="B1" s="223" t="s">
        <v>9</v>
      </c>
      <c r="C1" s="223" t="s">
        <v>8</v>
      </c>
      <c r="D1" s="223" t="s">
        <v>54</v>
      </c>
      <c r="E1" s="223" t="s">
        <v>55</v>
      </c>
      <c r="F1" s="223" t="s">
        <v>56</v>
      </c>
      <c r="G1" s="223" t="s">
        <v>57</v>
      </c>
    </row>
    <row r="2" spans="1:7" x14ac:dyDescent="0.25">
      <c r="A2" s="224">
        <v>1386</v>
      </c>
      <c r="B2" s="225" t="s">
        <v>2</v>
      </c>
      <c r="C2" s="226">
        <v>42791</v>
      </c>
      <c r="D2" s="225" t="s">
        <v>68</v>
      </c>
      <c r="E2" s="224">
        <v>93</v>
      </c>
      <c r="F2" s="224">
        <v>1</v>
      </c>
      <c r="G2" s="224">
        <v>1</v>
      </c>
    </row>
    <row r="3" spans="1:7" x14ac:dyDescent="0.25">
      <c r="A3" s="224">
        <v>1413</v>
      </c>
      <c r="B3" s="225" t="s">
        <v>2</v>
      </c>
      <c r="C3" s="226">
        <v>42825</v>
      </c>
      <c r="D3" s="225" t="s">
        <v>68</v>
      </c>
      <c r="E3" s="224">
        <v>100</v>
      </c>
      <c r="F3" s="224">
        <v>5</v>
      </c>
      <c r="G3" s="224">
        <v>5</v>
      </c>
    </row>
    <row r="4" spans="1:7" x14ac:dyDescent="0.25">
      <c r="A4" s="224">
        <v>1424</v>
      </c>
      <c r="B4" s="225" t="s">
        <v>2</v>
      </c>
      <c r="C4" s="226">
        <v>42840</v>
      </c>
      <c r="D4" s="225" t="s">
        <v>70</v>
      </c>
      <c r="E4" s="224">
        <v>100</v>
      </c>
      <c r="F4" s="224">
        <v>3</v>
      </c>
      <c r="G4" s="224">
        <v>3</v>
      </c>
    </row>
    <row r="5" spans="1:7" x14ac:dyDescent="0.25">
      <c r="A5" s="224">
        <v>1435</v>
      </c>
      <c r="B5" s="225" t="s">
        <v>2</v>
      </c>
      <c r="C5" s="226">
        <v>42853</v>
      </c>
      <c r="D5" s="225" t="s">
        <v>72</v>
      </c>
      <c r="E5" s="224">
        <v>100</v>
      </c>
      <c r="F5" s="224">
        <v>6</v>
      </c>
      <c r="G5" s="224">
        <v>6</v>
      </c>
    </row>
    <row r="6" spans="1:7" x14ac:dyDescent="0.25">
      <c r="A6" s="224">
        <v>1435</v>
      </c>
      <c r="B6" s="225" t="s">
        <v>2</v>
      </c>
      <c r="C6" s="226">
        <v>42853</v>
      </c>
      <c r="D6" s="225" t="s">
        <v>68</v>
      </c>
      <c r="E6" s="224">
        <v>100</v>
      </c>
      <c r="F6" s="224">
        <v>13</v>
      </c>
      <c r="G6" s="224">
        <v>13</v>
      </c>
    </row>
    <row r="7" spans="1:7" x14ac:dyDescent="0.25">
      <c r="A7" s="224">
        <v>1437</v>
      </c>
      <c r="B7" s="225" t="s">
        <v>2</v>
      </c>
      <c r="C7" s="226">
        <v>42855</v>
      </c>
      <c r="D7" s="225" t="s">
        <v>70</v>
      </c>
      <c r="E7" s="224">
        <v>100</v>
      </c>
      <c r="F7" s="224">
        <v>3</v>
      </c>
      <c r="G7" s="224">
        <v>3</v>
      </c>
    </row>
    <row r="8" spans="1:7" x14ac:dyDescent="0.25">
      <c r="A8" s="151"/>
      <c r="B8" s="152"/>
      <c r="C8" s="153"/>
      <c r="D8" s="152"/>
      <c r="E8" s="151"/>
      <c r="F8" s="151"/>
      <c r="G8" s="151"/>
    </row>
    <row r="9" spans="1:7" x14ac:dyDescent="0.25">
      <c r="A9" s="151"/>
      <c r="B9" s="152"/>
      <c r="C9" s="153"/>
      <c r="D9" s="152"/>
      <c r="E9" s="151"/>
      <c r="F9" s="151"/>
      <c r="G9" s="151"/>
    </row>
    <row r="10" spans="1:7" x14ac:dyDescent="0.25">
      <c r="A10" s="151"/>
      <c r="B10" s="152"/>
      <c r="C10" s="153"/>
      <c r="D10" s="152"/>
      <c r="E10" s="151"/>
      <c r="F10" s="151"/>
      <c r="G10" s="151"/>
    </row>
    <row r="11" spans="1:7" x14ac:dyDescent="0.25">
      <c r="A11" s="151"/>
      <c r="B11" s="152"/>
      <c r="C11" s="153"/>
      <c r="D11" s="152"/>
      <c r="E11" s="151"/>
      <c r="F11" s="151"/>
      <c r="G11" s="151"/>
    </row>
    <row r="12" spans="1:7" x14ac:dyDescent="0.25">
      <c r="A12" s="151"/>
      <c r="B12" s="152"/>
      <c r="C12" s="153"/>
      <c r="D12" s="152"/>
      <c r="E12" s="151"/>
      <c r="F12" s="151"/>
      <c r="G12" s="151"/>
    </row>
    <row r="13" spans="1:7" x14ac:dyDescent="0.25">
      <c r="A13" s="3"/>
      <c r="B13" s="3"/>
      <c r="C13" s="81"/>
      <c r="D13" s="3"/>
      <c r="E13" s="10"/>
    </row>
    <row r="14" spans="1:7" x14ac:dyDescent="0.25">
      <c r="A14" s="3"/>
      <c r="B14" s="3"/>
      <c r="C14" s="81"/>
      <c r="D14" s="3"/>
      <c r="E14" s="10"/>
    </row>
    <row r="15" spans="1:7" x14ac:dyDescent="0.25">
      <c r="A15" s="3"/>
      <c r="B15" s="3"/>
      <c r="C15" s="81"/>
      <c r="D15" s="3"/>
      <c r="E15" s="10"/>
    </row>
    <row r="16" spans="1:7" x14ac:dyDescent="0.25">
      <c r="A16" s="3"/>
      <c r="B16" s="3"/>
      <c r="C16" s="81"/>
      <c r="D16" s="3"/>
      <c r="E16" s="10"/>
    </row>
    <row r="17" spans="1:5" x14ac:dyDescent="0.25">
      <c r="A17" s="3"/>
      <c r="B17" s="3"/>
      <c r="C17" s="81"/>
      <c r="D17" s="3"/>
      <c r="E17" s="10"/>
    </row>
    <row r="18" spans="1:5" x14ac:dyDescent="0.25">
      <c r="A18" s="3"/>
      <c r="B18" s="3"/>
      <c r="C18" s="81"/>
      <c r="D18" s="3"/>
      <c r="E18" s="10"/>
    </row>
    <row r="19" spans="1:5" x14ac:dyDescent="0.25">
      <c r="A19" s="3"/>
      <c r="B19" s="3"/>
      <c r="C19" s="81"/>
      <c r="D19" s="3"/>
      <c r="E19" s="10"/>
    </row>
    <row r="20" spans="1:5" x14ac:dyDescent="0.25">
      <c r="A20" s="3"/>
      <c r="B20" s="3"/>
      <c r="C20" s="81"/>
      <c r="D20" s="3"/>
      <c r="E20" s="10"/>
    </row>
    <row r="21" spans="1:5" x14ac:dyDescent="0.25">
      <c r="A21" s="3"/>
      <c r="B21" s="3"/>
      <c r="C21" s="81"/>
      <c r="D21" s="3"/>
      <c r="E21" s="10"/>
    </row>
    <row r="22" spans="1:5" x14ac:dyDescent="0.25">
      <c r="A22" s="3"/>
      <c r="B22" s="3"/>
      <c r="C22" s="81"/>
      <c r="D22" s="3"/>
      <c r="E22" s="10"/>
    </row>
    <row r="23" spans="1:5" x14ac:dyDescent="0.25">
      <c r="A23" s="3"/>
      <c r="B23" s="3"/>
      <c r="C23" s="81"/>
      <c r="D23" s="3"/>
      <c r="E23" s="10"/>
    </row>
    <row r="24" spans="1:5" x14ac:dyDescent="0.25">
      <c r="A24" s="3"/>
      <c r="B24" s="3"/>
      <c r="C24" s="81"/>
      <c r="D24" s="3"/>
      <c r="E24" s="10"/>
    </row>
    <row r="25" spans="1:5" x14ac:dyDescent="0.25">
      <c r="A25" s="3"/>
      <c r="B25" s="3"/>
      <c r="C25" s="81"/>
      <c r="D25" s="3"/>
      <c r="E25" s="10"/>
    </row>
    <row r="26" spans="1:5" x14ac:dyDescent="0.25">
      <c r="A26" s="3"/>
      <c r="B26" s="3"/>
      <c r="C26" s="81"/>
      <c r="D26" s="3"/>
      <c r="E26" s="10"/>
    </row>
    <row r="27" spans="1:5" x14ac:dyDescent="0.25">
      <c r="A27" s="3"/>
      <c r="B27" s="3"/>
      <c r="C27" s="81"/>
      <c r="D27" s="3"/>
      <c r="E27" s="10"/>
    </row>
    <row r="28" spans="1:5" x14ac:dyDescent="0.25">
      <c r="A28" s="3"/>
      <c r="B28" s="3"/>
      <c r="C28" s="81"/>
      <c r="D28" s="3"/>
      <c r="E28" s="10"/>
    </row>
    <row r="29" spans="1:5" x14ac:dyDescent="0.25">
      <c r="A29" s="3"/>
      <c r="B29" s="3"/>
      <c r="C29" s="81"/>
      <c r="D29" s="3"/>
      <c r="E29" s="10"/>
    </row>
    <row r="30" spans="1:5" x14ac:dyDescent="0.25">
      <c r="A30" s="3"/>
      <c r="B30" s="3"/>
      <c r="C30" s="81"/>
      <c r="D30" s="3"/>
      <c r="E30" s="10"/>
    </row>
    <row r="31" spans="1:5" x14ac:dyDescent="0.25">
      <c r="A31" s="3"/>
      <c r="B31" s="3"/>
      <c r="C31" s="81"/>
      <c r="D31" s="3"/>
      <c r="E31" s="10"/>
    </row>
    <row r="32" spans="1:5" x14ac:dyDescent="0.25">
      <c r="A32" s="3"/>
      <c r="B32" s="3"/>
      <c r="C32" s="81"/>
      <c r="D32" s="3"/>
      <c r="E32" s="10"/>
    </row>
    <row r="33" spans="1:8" x14ac:dyDescent="0.25">
      <c r="A33" s="3"/>
      <c r="B33" s="3"/>
      <c r="C33" s="81"/>
      <c r="D33" s="3"/>
      <c r="E33" s="10"/>
    </row>
    <row r="34" spans="1:8" x14ac:dyDescent="0.25">
      <c r="A34" s="3"/>
      <c r="B34" s="3"/>
      <c r="C34" s="81"/>
      <c r="D34" s="3"/>
      <c r="E34" s="10"/>
    </row>
    <row r="35" spans="1:8" x14ac:dyDescent="0.25">
      <c r="A35" s="3"/>
      <c r="B35" s="3"/>
      <c r="C35" s="81"/>
      <c r="D35" s="3"/>
      <c r="E35" s="10"/>
    </row>
    <row r="36" spans="1:8" x14ac:dyDescent="0.25">
      <c r="A36" s="3"/>
      <c r="B36" s="3"/>
      <c r="C36" s="81"/>
      <c r="D36" s="3"/>
      <c r="E36" s="10"/>
    </row>
    <row r="37" spans="1:8" x14ac:dyDescent="0.25">
      <c r="A37" s="3"/>
      <c r="B37" s="3"/>
      <c r="C37" s="81"/>
      <c r="D37" s="3"/>
      <c r="E37" s="10"/>
    </row>
    <row r="38" spans="1:8" x14ac:dyDescent="0.25">
      <c r="A38" s="3"/>
      <c r="B38" s="3"/>
      <c r="C38" s="81"/>
      <c r="D38" s="3"/>
      <c r="E38" s="10"/>
    </row>
    <row r="39" spans="1:8" x14ac:dyDescent="0.25">
      <c r="A39" s="3"/>
      <c r="B39" s="3"/>
      <c r="C39" s="81"/>
      <c r="D39" s="3"/>
      <c r="E39" s="10"/>
    </row>
    <row r="40" spans="1:8" x14ac:dyDescent="0.25">
      <c r="A40" s="3"/>
      <c r="B40" s="3"/>
      <c r="C40" s="81"/>
      <c r="D40" s="3"/>
      <c r="E40" s="10">
        <f>SUM(E2:E39)</f>
        <v>593</v>
      </c>
      <c r="F40">
        <f>SUM(F2:F39)</f>
        <v>31</v>
      </c>
      <c r="G40">
        <f>SUM(G2:G39)</f>
        <v>31</v>
      </c>
      <c r="H40" s="201">
        <f>+G40/E40</f>
        <v>5.2276559865092748E-2</v>
      </c>
    </row>
    <row r="41" spans="1:8" x14ac:dyDescent="0.25">
      <c r="A41" s="3"/>
      <c r="B41" s="3"/>
      <c r="C41" s="81"/>
      <c r="D41" s="3"/>
      <c r="E41" s="10"/>
    </row>
    <row r="42" spans="1:8" x14ac:dyDescent="0.25">
      <c r="A42" s="3"/>
      <c r="B42" s="3"/>
      <c r="C42" s="81"/>
      <c r="D42" s="3"/>
      <c r="E42" s="10"/>
    </row>
    <row r="43" spans="1:8" x14ac:dyDescent="0.25">
      <c r="A43" s="3"/>
      <c r="B43" s="3"/>
      <c r="C43" s="81"/>
      <c r="D43" s="3"/>
      <c r="E43" s="10"/>
    </row>
    <row r="44" spans="1:8" x14ac:dyDescent="0.25">
      <c r="A44" s="3"/>
      <c r="B44" s="3"/>
      <c r="C44" s="81"/>
      <c r="D44" s="3"/>
      <c r="E44" s="10"/>
    </row>
    <row r="45" spans="1:8" x14ac:dyDescent="0.25">
      <c r="A45" s="3"/>
      <c r="B45" s="3"/>
      <c r="C45" s="81"/>
      <c r="D45" s="3"/>
      <c r="E45" s="10"/>
    </row>
    <row r="46" spans="1:8" x14ac:dyDescent="0.25">
      <c r="A46" s="3"/>
      <c r="B46" s="3"/>
      <c r="C46" s="81"/>
      <c r="D46" s="3"/>
      <c r="E46" s="10"/>
    </row>
    <row r="47" spans="1:8" x14ac:dyDescent="0.25">
      <c r="A47" s="3"/>
      <c r="B47" s="3"/>
      <c r="C47" s="81"/>
      <c r="D47" s="3"/>
      <c r="E47" s="10"/>
    </row>
    <row r="48" spans="1:8" x14ac:dyDescent="0.25">
      <c r="A48" s="3"/>
      <c r="B48" s="3"/>
      <c r="C48" s="81"/>
      <c r="D48" s="3"/>
      <c r="E48" s="10"/>
    </row>
    <row r="49" spans="1:5" x14ac:dyDescent="0.25">
      <c r="A49" s="3"/>
      <c r="B49" s="3"/>
      <c r="C49" s="81"/>
      <c r="D49" s="3"/>
      <c r="E49" s="10"/>
    </row>
    <row r="50" spans="1:5" x14ac:dyDescent="0.25">
      <c r="A50" s="3"/>
      <c r="B50" s="3"/>
      <c r="C50" s="81"/>
      <c r="D50" s="3"/>
      <c r="E50" s="10"/>
    </row>
    <row r="51" spans="1:5" x14ac:dyDescent="0.25">
      <c r="A51" s="3"/>
      <c r="B51" s="3"/>
      <c r="C51" s="81"/>
      <c r="D51" s="3"/>
      <c r="E51" s="10"/>
    </row>
    <row r="52" spans="1:5" x14ac:dyDescent="0.25">
      <c r="A52" s="3"/>
      <c r="B52" s="3"/>
      <c r="C52" s="81"/>
      <c r="D52" s="3"/>
      <c r="E52" s="10"/>
    </row>
    <row r="53" spans="1:5" x14ac:dyDescent="0.25">
      <c r="A53" s="3"/>
      <c r="B53" s="3"/>
      <c r="C53" s="81"/>
      <c r="D53" s="3"/>
      <c r="E53" s="10"/>
    </row>
    <row r="54" spans="1:5" x14ac:dyDescent="0.25">
      <c r="A54" s="3"/>
      <c r="B54" s="3"/>
      <c r="C54" s="81"/>
      <c r="D54" s="3"/>
      <c r="E54" s="10"/>
    </row>
    <row r="55" spans="1:5" x14ac:dyDescent="0.25">
      <c r="A55" s="3"/>
      <c r="B55" s="3"/>
      <c r="C55" s="81"/>
      <c r="D55" s="3"/>
      <c r="E55" s="10"/>
    </row>
    <row r="56" spans="1:5" x14ac:dyDescent="0.25">
      <c r="A56" s="3"/>
      <c r="B56" s="3"/>
      <c r="C56" s="81"/>
      <c r="D56" s="3"/>
      <c r="E56" s="10"/>
    </row>
    <row r="57" spans="1:5" x14ac:dyDescent="0.25">
      <c r="A57" s="3"/>
      <c r="B57" s="3"/>
      <c r="C57" s="81"/>
      <c r="D57" s="3"/>
      <c r="E57" s="10"/>
    </row>
    <row r="58" spans="1:5" x14ac:dyDescent="0.25">
      <c r="A58" s="3"/>
      <c r="B58" s="3"/>
      <c r="C58" s="81"/>
      <c r="D58" s="3"/>
      <c r="E58" s="10"/>
    </row>
    <row r="59" spans="1:5" x14ac:dyDescent="0.25">
      <c r="A59" s="3"/>
      <c r="B59" s="3"/>
      <c r="C59" s="81"/>
      <c r="D59" s="3"/>
      <c r="E59" s="10"/>
    </row>
    <row r="60" spans="1:5" x14ac:dyDescent="0.25">
      <c r="A60" s="3"/>
      <c r="B60" s="3"/>
      <c r="C60" s="81"/>
      <c r="D60" s="3"/>
      <c r="E60" s="10"/>
    </row>
    <row r="61" spans="1:5" x14ac:dyDescent="0.25">
      <c r="A61" s="3"/>
      <c r="B61" s="3"/>
      <c r="C61" s="81"/>
      <c r="D61" s="3"/>
      <c r="E61" s="10"/>
    </row>
    <row r="62" spans="1:5" x14ac:dyDescent="0.25">
      <c r="A62" s="3"/>
      <c r="B62" s="3"/>
      <c r="C62" s="81"/>
      <c r="D62" s="3"/>
      <c r="E62" s="10"/>
    </row>
    <row r="63" spans="1:5" x14ac:dyDescent="0.25">
      <c r="A63" s="3"/>
      <c r="B63" s="3"/>
      <c r="C63" s="81"/>
      <c r="D63" s="3"/>
      <c r="E63" s="10"/>
    </row>
    <row r="64" spans="1:5" x14ac:dyDescent="0.25">
      <c r="A64" s="3"/>
      <c r="B64" s="3"/>
      <c r="C64" s="81"/>
      <c r="D64" s="3"/>
      <c r="E64" s="10"/>
    </row>
    <row r="65" spans="1:5" x14ac:dyDescent="0.25">
      <c r="A65" s="3"/>
      <c r="B65" s="3"/>
      <c r="C65" s="81"/>
      <c r="D65" s="3"/>
      <c r="E65" s="10"/>
    </row>
    <row r="66" spans="1:5" x14ac:dyDescent="0.25">
      <c r="A66" s="3"/>
      <c r="B66" s="3"/>
      <c r="C66" s="81"/>
      <c r="D66" s="3"/>
      <c r="E66" s="10"/>
    </row>
    <row r="67" spans="1:5" x14ac:dyDescent="0.25">
      <c r="A67" s="3"/>
      <c r="B67" s="3"/>
      <c r="C67" s="81"/>
      <c r="D67" s="3"/>
      <c r="E67" s="10"/>
    </row>
    <row r="68" spans="1:5" x14ac:dyDescent="0.25">
      <c r="A68" s="3"/>
      <c r="B68" s="3"/>
      <c r="C68" s="81"/>
      <c r="D68" s="3"/>
      <c r="E68" s="10"/>
    </row>
    <row r="69" spans="1:5" x14ac:dyDescent="0.25">
      <c r="A69" s="3"/>
      <c r="B69" s="3"/>
      <c r="C69" s="81"/>
      <c r="D69" s="3"/>
      <c r="E69" s="10"/>
    </row>
    <row r="70" spans="1:5" x14ac:dyDescent="0.25">
      <c r="A70" s="3"/>
      <c r="B70" s="3"/>
      <c r="C70" s="81"/>
      <c r="D70" s="3"/>
      <c r="E70" s="10"/>
    </row>
    <row r="71" spans="1:5" x14ac:dyDescent="0.25">
      <c r="A71" s="3"/>
      <c r="B71" s="3"/>
      <c r="C71" s="81"/>
      <c r="D71" s="3"/>
      <c r="E71" s="10"/>
    </row>
    <row r="72" spans="1:5" x14ac:dyDescent="0.25">
      <c r="A72" s="3"/>
      <c r="B72" s="3"/>
      <c r="C72" s="81"/>
      <c r="D72" s="3"/>
      <c r="E72" s="10"/>
    </row>
    <row r="73" spans="1:5" x14ac:dyDescent="0.25">
      <c r="A73" s="3"/>
      <c r="B73" s="3"/>
      <c r="C73" s="81"/>
      <c r="D73" s="3"/>
      <c r="E73" s="10"/>
    </row>
    <row r="74" spans="1:5" x14ac:dyDescent="0.25">
      <c r="A74" s="3"/>
      <c r="B74" s="3"/>
      <c r="C74" s="81"/>
      <c r="D74" s="3"/>
      <c r="E74" s="10"/>
    </row>
    <row r="75" spans="1:5" x14ac:dyDescent="0.25">
      <c r="A75" s="3"/>
      <c r="B75" s="3"/>
      <c r="C75" s="81"/>
      <c r="D75" s="3"/>
      <c r="E75" s="10"/>
    </row>
    <row r="76" spans="1:5" x14ac:dyDescent="0.25">
      <c r="A76" s="3"/>
      <c r="B76" s="3"/>
      <c r="C76" s="81"/>
      <c r="D76" s="3"/>
      <c r="E76" s="10"/>
    </row>
    <row r="77" spans="1:5" x14ac:dyDescent="0.25">
      <c r="A77" s="3"/>
      <c r="B77" s="3"/>
      <c r="C77" s="81"/>
      <c r="D77" s="3"/>
      <c r="E77" s="10"/>
    </row>
    <row r="78" spans="1:5" x14ac:dyDescent="0.25">
      <c r="A78" s="3"/>
      <c r="B78" s="3"/>
      <c r="C78" s="81"/>
      <c r="D78" s="3"/>
      <c r="E78" s="10"/>
    </row>
    <row r="79" spans="1:5" x14ac:dyDescent="0.25">
      <c r="A79" s="3"/>
      <c r="B79" s="3"/>
      <c r="C79" s="81"/>
      <c r="D79" s="3"/>
      <c r="E79" s="10"/>
    </row>
    <row r="80" spans="1:5" x14ac:dyDescent="0.25">
      <c r="A80" s="3"/>
      <c r="B80" s="3"/>
      <c r="C80" s="81"/>
      <c r="D80" s="3"/>
      <c r="E80" s="10"/>
    </row>
    <row r="81" spans="1:5" x14ac:dyDescent="0.25">
      <c r="A81" s="3"/>
      <c r="B81" s="3"/>
      <c r="C81" s="81"/>
      <c r="D81" s="3"/>
      <c r="E81" s="10"/>
    </row>
    <row r="82" spans="1:5" x14ac:dyDescent="0.25">
      <c r="A82" s="3"/>
      <c r="B82" s="3"/>
      <c r="C82" s="81"/>
      <c r="D82" s="3"/>
      <c r="E82" s="10"/>
    </row>
    <row r="83" spans="1:5" x14ac:dyDescent="0.25">
      <c r="A83" s="3"/>
      <c r="B83" s="3"/>
      <c r="C83" s="81"/>
      <c r="D83" s="3"/>
      <c r="E83" s="10"/>
    </row>
    <row r="84" spans="1:5" x14ac:dyDescent="0.25">
      <c r="A84" s="3"/>
      <c r="B84" s="3"/>
      <c r="C84" s="81"/>
      <c r="D84" s="3"/>
      <c r="E84" s="10"/>
    </row>
    <row r="85" spans="1:5" x14ac:dyDescent="0.25">
      <c r="A85" s="3"/>
      <c r="B85" s="3"/>
      <c r="C85" s="81"/>
      <c r="D85" s="3"/>
      <c r="E85" s="10"/>
    </row>
    <row r="86" spans="1:5" x14ac:dyDescent="0.25">
      <c r="A86" s="3"/>
      <c r="B86" s="3"/>
      <c r="C86" s="81"/>
      <c r="D86" s="3"/>
      <c r="E86" s="10"/>
    </row>
    <row r="87" spans="1:5" x14ac:dyDescent="0.25">
      <c r="A87" s="3"/>
      <c r="B87" s="3"/>
      <c r="C87" s="81"/>
      <c r="D87" s="3"/>
      <c r="E87" s="10"/>
    </row>
    <row r="88" spans="1:5" x14ac:dyDescent="0.25">
      <c r="A88" s="3"/>
      <c r="B88" s="3"/>
      <c r="C88" s="81"/>
      <c r="D88" s="3"/>
      <c r="E88" s="10"/>
    </row>
    <row r="89" spans="1:5" x14ac:dyDescent="0.25">
      <c r="A89" s="3"/>
      <c r="B89" s="3"/>
      <c r="C89" s="81"/>
      <c r="D89" s="3"/>
      <c r="E89" s="10"/>
    </row>
    <row r="90" spans="1:5" x14ac:dyDescent="0.25">
      <c r="A90" s="3"/>
      <c r="B90" s="3"/>
      <c r="C90" s="81"/>
      <c r="D90" s="3"/>
      <c r="E90" s="10"/>
    </row>
    <row r="91" spans="1:5" x14ac:dyDescent="0.25">
      <c r="A91" s="3"/>
      <c r="B91" s="3"/>
      <c r="C91" s="81"/>
      <c r="D91" s="3"/>
      <c r="E91" s="10"/>
    </row>
    <row r="92" spans="1:5" x14ac:dyDescent="0.25">
      <c r="A92" s="3"/>
      <c r="B92" s="3"/>
      <c r="C92" s="81"/>
      <c r="D92" s="3"/>
      <c r="E92" s="10"/>
    </row>
    <row r="93" spans="1:5" x14ac:dyDescent="0.25">
      <c r="A93" s="3"/>
      <c r="B93" s="3"/>
      <c r="C93" s="81"/>
      <c r="D93" s="3"/>
      <c r="E93" s="10"/>
    </row>
    <row r="94" spans="1:5" x14ac:dyDescent="0.25">
      <c r="A94" s="3"/>
      <c r="B94" s="3"/>
      <c r="C94" s="81"/>
      <c r="D94" s="3"/>
      <c r="E94" s="10"/>
    </row>
    <row r="95" spans="1:5" x14ac:dyDescent="0.25">
      <c r="A95" s="3"/>
      <c r="B95" s="3"/>
      <c r="C95" s="81"/>
      <c r="D95" s="3"/>
      <c r="E95" s="10"/>
    </row>
    <row r="96" spans="1:5" x14ac:dyDescent="0.25">
      <c r="A96" s="3"/>
      <c r="B96" s="3"/>
      <c r="C96" s="81"/>
      <c r="D96" s="3"/>
      <c r="E96" s="10"/>
    </row>
    <row r="97" spans="1:8" x14ac:dyDescent="0.25">
      <c r="A97" s="3"/>
      <c r="B97" s="3"/>
      <c r="C97" s="81"/>
      <c r="D97" s="3"/>
      <c r="E97" s="10"/>
    </row>
    <row r="98" spans="1:8" x14ac:dyDescent="0.25">
      <c r="A98" s="3"/>
      <c r="B98" s="3"/>
      <c r="C98" s="81"/>
      <c r="D98" s="3"/>
      <c r="E98" s="10"/>
    </row>
    <row r="99" spans="1:8" x14ac:dyDescent="0.25">
      <c r="A99" s="3"/>
      <c r="B99" s="3"/>
      <c r="C99" s="81"/>
      <c r="D99" s="3"/>
      <c r="E99" s="10"/>
    </row>
    <row r="100" spans="1:8" x14ac:dyDescent="0.25">
      <c r="A100" s="137"/>
      <c r="B100" s="137"/>
      <c r="C100" s="138"/>
      <c r="D100" s="139"/>
      <c r="E100" s="140">
        <f>SUM(E2:E99)</f>
        <v>1186</v>
      </c>
      <c r="F100" s="140">
        <f>SUM(F2:F99)</f>
        <v>62</v>
      </c>
      <c r="G100" s="140">
        <f>SUM(G2:G99)</f>
        <v>62</v>
      </c>
      <c r="H100" s="141">
        <f>+G100/E100</f>
        <v>5.2276559865092748E-2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100"/>
  <sheetViews>
    <sheetView topLeftCell="A22" workbookViewId="0">
      <selection activeCell="D13" sqref="D13"/>
    </sheetView>
  </sheetViews>
  <sheetFormatPr defaultRowHeight="15" x14ac:dyDescent="0.25"/>
  <cols>
    <col min="1" max="2" width="15.140625" customWidth="1"/>
    <col min="3" max="3" width="15.140625" style="82" customWidth="1"/>
    <col min="4" max="4" width="15.140625" customWidth="1"/>
    <col min="5" max="5" width="16.7109375" bestFit="1" customWidth="1"/>
  </cols>
  <sheetData>
    <row r="1" spans="1:7" x14ac:dyDescent="0.25">
      <c r="A1" s="232" t="s">
        <v>37</v>
      </c>
      <c r="B1" s="232" t="s">
        <v>9</v>
      </c>
      <c r="C1" s="232" t="s">
        <v>8</v>
      </c>
      <c r="D1" s="232" t="s">
        <v>54</v>
      </c>
      <c r="E1" s="232" t="s">
        <v>55</v>
      </c>
      <c r="F1" s="232" t="s">
        <v>56</v>
      </c>
      <c r="G1" s="232" t="s">
        <v>57</v>
      </c>
    </row>
    <row r="2" spans="1:7" x14ac:dyDescent="0.25">
      <c r="A2" s="233">
        <v>1372</v>
      </c>
      <c r="B2" s="233" t="s">
        <v>3</v>
      </c>
      <c r="C2" s="234">
        <v>42773</v>
      </c>
      <c r="D2" s="233" t="s">
        <v>65</v>
      </c>
      <c r="E2" s="233">
        <v>100</v>
      </c>
      <c r="F2" s="233">
        <v>0</v>
      </c>
      <c r="G2" s="233">
        <v>0</v>
      </c>
    </row>
    <row r="3" spans="1:7" x14ac:dyDescent="0.25">
      <c r="A3" s="233">
        <v>1388</v>
      </c>
      <c r="B3" s="233" t="s">
        <v>3</v>
      </c>
      <c r="C3" s="234">
        <v>42790</v>
      </c>
      <c r="D3" s="233" t="s">
        <v>67</v>
      </c>
      <c r="E3" s="233">
        <v>100</v>
      </c>
      <c r="F3" s="233">
        <v>4</v>
      </c>
      <c r="G3" s="233">
        <v>4</v>
      </c>
    </row>
    <row r="4" spans="1:7" x14ac:dyDescent="0.25">
      <c r="A4" s="233">
        <v>1434</v>
      </c>
      <c r="B4" s="233" t="s">
        <v>3</v>
      </c>
      <c r="C4" s="234">
        <v>42852</v>
      </c>
      <c r="D4" s="233" t="s">
        <v>67</v>
      </c>
      <c r="E4" s="233">
        <v>100</v>
      </c>
      <c r="F4" s="233">
        <v>2</v>
      </c>
      <c r="G4" s="233">
        <v>2</v>
      </c>
    </row>
    <row r="5" spans="1:7" x14ac:dyDescent="0.25">
      <c r="A5" s="233">
        <v>1434</v>
      </c>
      <c r="B5" s="233" t="s">
        <v>3</v>
      </c>
      <c r="C5" s="234">
        <v>42852</v>
      </c>
      <c r="D5" s="233" t="s">
        <v>65</v>
      </c>
      <c r="E5" s="233">
        <v>100</v>
      </c>
      <c r="F5" s="233">
        <v>5</v>
      </c>
      <c r="G5" s="233">
        <v>5</v>
      </c>
    </row>
    <row r="6" spans="1:7" x14ac:dyDescent="0.25">
      <c r="A6" s="233">
        <v>1436</v>
      </c>
      <c r="B6" s="233" t="s">
        <v>3</v>
      </c>
      <c r="C6" s="234">
        <v>42854</v>
      </c>
      <c r="D6" s="233" t="s">
        <v>74</v>
      </c>
      <c r="E6" s="233">
        <v>100</v>
      </c>
      <c r="F6" s="233">
        <v>4</v>
      </c>
      <c r="G6" s="233">
        <v>4</v>
      </c>
    </row>
    <row r="7" spans="1:7" x14ac:dyDescent="0.25">
      <c r="A7" s="233">
        <v>1436</v>
      </c>
      <c r="B7" s="233" t="s">
        <v>3</v>
      </c>
      <c r="C7" s="234">
        <v>42854</v>
      </c>
      <c r="D7" s="233" t="s">
        <v>65</v>
      </c>
      <c r="E7" s="233">
        <v>100</v>
      </c>
      <c r="F7" s="233">
        <v>2</v>
      </c>
      <c r="G7" s="233">
        <v>2</v>
      </c>
    </row>
    <row r="8" spans="1:7" x14ac:dyDescent="0.25">
      <c r="A8" s="148"/>
      <c r="B8" s="149"/>
      <c r="C8" s="150"/>
      <c r="D8" s="149"/>
      <c r="E8" s="148"/>
      <c r="F8" s="148"/>
      <c r="G8" s="148"/>
    </row>
    <row r="9" spans="1:7" x14ac:dyDescent="0.25">
      <c r="A9" s="148"/>
      <c r="B9" s="149"/>
      <c r="C9" s="150"/>
      <c r="D9" s="149"/>
      <c r="E9" s="148"/>
      <c r="F9" s="148"/>
      <c r="G9" s="148"/>
    </row>
    <row r="10" spans="1:7" x14ac:dyDescent="0.25">
      <c r="A10" s="148"/>
      <c r="B10" s="149"/>
      <c r="C10" s="150"/>
      <c r="D10" s="149"/>
      <c r="E10" s="148"/>
      <c r="F10" s="148"/>
      <c r="G10" s="148"/>
    </row>
    <row r="11" spans="1:7" x14ac:dyDescent="0.25">
      <c r="A11" s="148"/>
      <c r="B11" s="149"/>
      <c r="C11" s="150"/>
      <c r="D11" s="149"/>
      <c r="E11" s="148"/>
      <c r="F11" s="148"/>
      <c r="G11" s="148"/>
    </row>
    <row r="12" spans="1:7" x14ac:dyDescent="0.25">
      <c r="A12" s="148"/>
      <c r="B12" s="149"/>
      <c r="C12" s="150"/>
      <c r="D12" s="149"/>
      <c r="E12" s="148"/>
      <c r="F12" s="148"/>
      <c r="G12" s="148"/>
    </row>
    <row r="13" spans="1:7" x14ac:dyDescent="0.25">
      <c r="A13" s="148"/>
      <c r="B13" s="149"/>
      <c r="C13" s="150"/>
      <c r="D13" s="149"/>
      <c r="E13" s="148"/>
      <c r="F13" s="148"/>
      <c r="G13" s="148"/>
    </row>
    <row r="14" spans="1:7" x14ac:dyDescent="0.25">
      <c r="A14" s="148"/>
      <c r="B14" s="149"/>
      <c r="C14" s="150"/>
      <c r="D14" s="149"/>
      <c r="E14" s="148"/>
      <c r="F14" s="148"/>
      <c r="G14" s="148"/>
    </row>
    <row r="15" spans="1:7" x14ac:dyDescent="0.25">
      <c r="A15" s="148"/>
      <c r="B15" s="149"/>
      <c r="C15" s="150"/>
      <c r="D15" s="149"/>
      <c r="E15" s="148"/>
      <c r="F15" s="148"/>
      <c r="G15" s="148"/>
    </row>
    <row r="16" spans="1:7" x14ac:dyDescent="0.25">
      <c r="A16" s="148"/>
      <c r="B16" s="149"/>
      <c r="C16" s="150"/>
      <c r="D16" s="149"/>
      <c r="E16" s="148"/>
      <c r="F16" s="148"/>
      <c r="G16" s="148"/>
    </row>
    <row r="17" spans="1:7" x14ac:dyDescent="0.25">
      <c r="A17" s="148"/>
      <c r="B17" s="149"/>
      <c r="C17" s="150"/>
      <c r="D17" s="149"/>
      <c r="E17" s="148"/>
      <c r="F17" s="148"/>
      <c r="G17" s="148"/>
    </row>
    <row r="18" spans="1:7" x14ac:dyDescent="0.25">
      <c r="A18" s="148"/>
      <c r="B18" s="149"/>
      <c r="C18" s="150"/>
      <c r="D18" s="149"/>
      <c r="E18" s="148"/>
      <c r="F18" s="148"/>
      <c r="G18" s="148"/>
    </row>
    <row r="19" spans="1:7" x14ac:dyDescent="0.25">
      <c r="A19" s="148"/>
      <c r="B19" s="149"/>
      <c r="C19" s="150"/>
      <c r="D19" s="149"/>
      <c r="E19" s="148"/>
      <c r="F19" s="148"/>
      <c r="G19" s="148"/>
    </row>
    <row r="20" spans="1:7" x14ac:dyDescent="0.25">
      <c r="A20" s="105"/>
      <c r="B20" s="106"/>
      <c r="C20" s="107"/>
      <c r="D20" s="105"/>
      <c r="E20" s="108"/>
    </row>
    <row r="21" spans="1:7" x14ac:dyDescent="0.25">
      <c r="A21" s="105"/>
      <c r="B21" s="106"/>
      <c r="C21" s="107"/>
      <c r="D21" s="105"/>
      <c r="E21" s="108"/>
    </row>
    <row r="22" spans="1:7" x14ac:dyDescent="0.25">
      <c r="A22" s="105"/>
      <c r="B22" s="106"/>
      <c r="C22" s="107"/>
      <c r="D22" s="105"/>
      <c r="E22" s="108"/>
    </row>
    <row r="23" spans="1:7" x14ac:dyDescent="0.25">
      <c r="A23" s="105"/>
      <c r="B23" s="106"/>
      <c r="C23" s="107"/>
      <c r="D23" s="105"/>
      <c r="E23" s="108"/>
    </row>
    <row r="24" spans="1:7" x14ac:dyDescent="0.25">
      <c r="A24" s="105"/>
      <c r="B24" s="106"/>
      <c r="C24" s="107"/>
      <c r="D24" s="105"/>
      <c r="E24" s="108"/>
    </row>
    <row r="25" spans="1:7" x14ac:dyDescent="0.25">
      <c r="A25" s="105"/>
      <c r="B25" s="106"/>
      <c r="C25" s="107"/>
      <c r="D25" s="105"/>
      <c r="E25" s="108"/>
    </row>
    <row r="26" spans="1:7" x14ac:dyDescent="0.25">
      <c r="A26" s="105"/>
      <c r="B26" s="106"/>
      <c r="C26" s="107"/>
      <c r="D26" s="105"/>
      <c r="E26" s="108"/>
    </row>
    <row r="27" spans="1:7" x14ac:dyDescent="0.25">
      <c r="A27" s="105"/>
      <c r="B27" s="106"/>
      <c r="C27" s="107"/>
      <c r="D27" s="105"/>
      <c r="E27" s="108"/>
    </row>
    <row r="28" spans="1:7" x14ac:dyDescent="0.25">
      <c r="A28" s="105"/>
      <c r="B28" s="106"/>
      <c r="C28" s="107"/>
      <c r="D28" s="105"/>
      <c r="E28" s="108"/>
    </row>
    <row r="29" spans="1:7" x14ac:dyDescent="0.25">
      <c r="A29" s="105"/>
      <c r="B29" s="106"/>
      <c r="C29" s="107"/>
      <c r="D29" s="105"/>
      <c r="E29" s="108"/>
    </row>
    <row r="30" spans="1:7" x14ac:dyDescent="0.25">
      <c r="A30" s="105"/>
      <c r="B30" s="106"/>
      <c r="C30" s="107"/>
      <c r="D30" s="105"/>
      <c r="E30" s="108"/>
    </row>
    <row r="31" spans="1:7" x14ac:dyDescent="0.25">
      <c r="A31" s="105"/>
      <c r="B31" s="106"/>
      <c r="C31" s="107"/>
      <c r="D31" s="105"/>
      <c r="E31" s="108"/>
    </row>
    <row r="32" spans="1:7" x14ac:dyDescent="0.25">
      <c r="A32" s="105"/>
      <c r="B32" s="106"/>
      <c r="C32" s="107"/>
      <c r="D32" s="105"/>
      <c r="E32" s="108"/>
    </row>
    <row r="33" spans="1:8" x14ac:dyDescent="0.25">
      <c r="A33" s="105"/>
      <c r="B33" s="106"/>
      <c r="C33" s="107"/>
      <c r="D33" s="105"/>
      <c r="E33" s="108"/>
    </row>
    <row r="34" spans="1:8" x14ac:dyDescent="0.25">
      <c r="A34" s="105"/>
      <c r="B34" s="106"/>
      <c r="C34" s="107"/>
      <c r="D34" s="105"/>
      <c r="E34" s="108"/>
    </row>
    <row r="35" spans="1:8" x14ac:dyDescent="0.25">
      <c r="A35" s="105"/>
      <c r="B35" s="106"/>
      <c r="C35" s="107"/>
      <c r="D35" s="105"/>
      <c r="E35" s="108"/>
    </row>
    <row r="36" spans="1:8" x14ac:dyDescent="0.25">
      <c r="A36" s="105"/>
      <c r="B36" s="106"/>
      <c r="C36" s="107"/>
      <c r="D36" s="105"/>
      <c r="E36" s="108"/>
    </row>
    <row r="37" spans="1:8" x14ac:dyDescent="0.25">
      <c r="A37" s="105"/>
      <c r="B37" s="106"/>
      <c r="C37" s="107"/>
      <c r="D37" s="105"/>
      <c r="E37" s="108"/>
    </row>
    <row r="38" spans="1:8" x14ac:dyDescent="0.25">
      <c r="A38" s="105"/>
      <c r="B38" s="106"/>
      <c r="C38" s="107"/>
      <c r="D38" s="105"/>
      <c r="E38" s="108"/>
    </row>
    <row r="39" spans="1:8" x14ac:dyDescent="0.25">
      <c r="A39" s="105"/>
      <c r="B39" s="106"/>
      <c r="C39" s="107"/>
      <c r="D39" s="105"/>
      <c r="E39" s="108"/>
    </row>
    <row r="40" spans="1:8" x14ac:dyDescent="0.25">
      <c r="A40" s="105"/>
      <c r="B40" s="106"/>
      <c r="C40" s="107"/>
      <c r="D40" s="105"/>
      <c r="E40" s="108">
        <f>SUM(E2:E39)</f>
        <v>600</v>
      </c>
      <c r="F40">
        <f>SUM(F2:F39)</f>
        <v>17</v>
      </c>
      <c r="G40">
        <f>SUM(G2:G39)</f>
        <v>17</v>
      </c>
      <c r="H40" s="201">
        <f>+G40/E40</f>
        <v>2.8333333333333332E-2</v>
      </c>
    </row>
    <row r="41" spans="1:8" x14ac:dyDescent="0.25">
      <c r="A41" s="105"/>
      <c r="B41" s="106"/>
      <c r="C41" s="107"/>
      <c r="D41" s="105"/>
      <c r="E41" s="108"/>
    </row>
    <row r="42" spans="1:8" x14ac:dyDescent="0.25">
      <c r="A42" s="105"/>
      <c r="B42" s="106"/>
      <c r="C42" s="107"/>
      <c r="D42" s="105"/>
      <c r="E42" s="108"/>
    </row>
    <row r="43" spans="1:8" x14ac:dyDescent="0.25">
      <c r="A43" s="105"/>
      <c r="B43" s="106"/>
      <c r="C43" s="107"/>
      <c r="D43" s="105"/>
      <c r="E43" s="108"/>
    </row>
    <row r="44" spans="1:8" x14ac:dyDescent="0.25">
      <c r="A44" s="105"/>
      <c r="B44" s="106"/>
      <c r="C44" s="107"/>
      <c r="D44" s="105"/>
      <c r="E44" s="108"/>
    </row>
    <row r="45" spans="1:8" x14ac:dyDescent="0.25">
      <c r="A45" s="105"/>
      <c r="B45" s="106"/>
      <c r="C45" s="107"/>
      <c r="D45" s="105"/>
      <c r="E45" s="108"/>
    </row>
    <row r="46" spans="1:8" x14ac:dyDescent="0.25">
      <c r="A46" s="105"/>
      <c r="B46" s="106"/>
      <c r="C46" s="107"/>
      <c r="D46" s="105"/>
      <c r="E46" s="108"/>
    </row>
    <row r="47" spans="1:8" x14ac:dyDescent="0.25">
      <c r="A47" s="105"/>
      <c r="B47" s="106"/>
      <c r="C47" s="107"/>
      <c r="D47" s="105"/>
      <c r="E47" s="108"/>
    </row>
    <row r="48" spans="1:8" x14ac:dyDescent="0.25">
      <c r="A48" s="105"/>
      <c r="B48" s="106"/>
      <c r="C48" s="107"/>
      <c r="D48" s="105"/>
      <c r="E48" s="108"/>
    </row>
    <row r="49" spans="1:5" x14ac:dyDescent="0.25">
      <c r="A49" s="105"/>
      <c r="B49" s="106"/>
      <c r="C49" s="107"/>
      <c r="D49" s="105"/>
      <c r="E49" s="108"/>
    </row>
    <row r="50" spans="1:5" x14ac:dyDescent="0.25">
      <c r="A50" s="105"/>
      <c r="B50" s="106"/>
      <c r="C50" s="107"/>
      <c r="D50" s="105"/>
      <c r="E50" s="108"/>
    </row>
    <row r="51" spans="1:5" x14ac:dyDescent="0.25">
      <c r="A51" s="105"/>
      <c r="B51" s="106"/>
      <c r="C51" s="107"/>
      <c r="D51" s="105"/>
      <c r="E51" s="108"/>
    </row>
    <row r="52" spans="1:5" x14ac:dyDescent="0.25">
      <c r="A52" s="105"/>
      <c r="B52" s="106"/>
      <c r="C52" s="107"/>
      <c r="D52" s="105"/>
      <c r="E52" s="108"/>
    </row>
    <row r="53" spans="1:5" x14ac:dyDescent="0.25">
      <c r="A53" s="105"/>
      <c r="B53" s="106"/>
      <c r="C53" s="107"/>
      <c r="D53" s="105"/>
      <c r="E53" s="108"/>
    </row>
    <row r="54" spans="1:5" x14ac:dyDescent="0.25">
      <c r="A54" s="105"/>
      <c r="B54" s="106"/>
      <c r="C54" s="107"/>
      <c r="D54" s="105"/>
      <c r="E54" s="108"/>
    </row>
    <row r="55" spans="1:5" x14ac:dyDescent="0.25">
      <c r="A55" s="105"/>
      <c r="B55" s="106"/>
      <c r="C55" s="107"/>
      <c r="D55" s="105"/>
      <c r="E55" s="108"/>
    </row>
    <row r="56" spans="1:5" x14ac:dyDescent="0.25">
      <c r="A56" s="105"/>
      <c r="B56" s="106"/>
      <c r="C56" s="107"/>
      <c r="D56" s="105"/>
      <c r="E56" s="108"/>
    </row>
    <row r="57" spans="1:5" x14ac:dyDescent="0.25">
      <c r="A57" s="105"/>
      <c r="B57" s="106"/>
      <c r="C57" s="107"/>
      <c r="D57" s="105"/>
      <c r="E57" s="108"/>
    </row>
    <row r="58" spans="1:5" x14ac:dyDescent="0.25">
      <c r="A58" s="105"/>
      <c r="B58" s="106"/>
      <c r="C58" s="107"/>
      <c r="D58" s="105"/>
      <c r="E58" s="108"/>
    </row>
    <row r="59" spans="1:5" x14ac:dyDescent="0.25">
      <c r="A59" s="105"/>
      <c r="B59" s="106"/>
      <c r="C59" s="107"/>
      <c r="D59" s="105"/>
      <c r="E59" s="108"/>
    </row>
    <row r="60" spans="1:5" x14ac:dyDescent="0.25">
      <c r="A60" s="105"/>
      <c r="B60" s="106"/>
      <c r="C60" s="107"/>
      <c r="D60" s="105"/>
      <c r="E60" s="108"/>
    </row>
    <row r="61" spans="1:5" x14ac:dyDescent="0.25">
      <c r="A61" s="105"/>
      <c r="B61" s="106"/>
      <c r="C61" s="107"/>
      <c r="D61" s="105"/>
      <c r="E61" s="108"/>
    </row>
    <row r="62" spans="1:5" x14ac:dyDescent="0.25">
      <c r="A62" s="105"/>
      <c r="B62" s="106"/>
      <c r="C62" s="107"/>
      <c r="D62" s="105"/>
      <c r="E62" s="108"/>
    </row>
    <row r="63" spans="1:5" x14ac:dyDescent="0.25">
      <c r="A63" s="105"/>
      <c r="B63" s="106"/>
      <c r="C63" s="107"/>
      <c r="D63" s="105"/>
      <c r="E63" s="108"/>
    </row>
    <row r="64" spans="1:5" x14ac:dyDescent="0.25">
      <c r="A64" s="105"/>
      <c r="B64" s="106"/>
      <c r="C64" s="107"/>
      <c r="D64" s="105"/>
      <c r="E64" s="108"/>
    </row>
    <row r="65" spans="1:5" x14ac:dyDescent="0.25">
      <c r="A65" s="105"/>
      <c r="B65" s="106"/>
      <c r="C65" s="107"/>
      <c r="D65" s="105"/>
      <c r="E65" s="108"/>
    </row>
    <row r="66" spans="1:5" x14ac:dyDescent="0.25">
      <c r="A66" s="105"/>
      <c r="B66" s="106"/>
      <c r="C66" s="107"/>
      <c r="D66" s="105"/>
      <c r="E66" s="108"/>
    </row>
    <row r="67" spans="1:5" x14ac:dyDescent="0.25">
      <c r="A67" s="105"/>
      <c r="B67" s="106"/>
      <c r="C67" s="107"/>
      <c r="D67" s="105"/>
      <c r="E67" s="108"/>
    </row>
    <row r="68" spans="1:5" x14ac:dyDescent="0.25">
      <c r="A68" s="105"/>
      <c r="B68" s="106"/>
      <c r="C68" s="107"/>
      <c r="D68" s="105"/>
      <c r="E68" s="108"/>
    </row>
    <row r="69" spans="1:5" x14ac:dyDescent="0.25">
      <c r="A69" s="105"/>
      <c r="B69" s="106"/>
      <c r="C69" s="107"/>
      <c r="D69" s="105"/>
      <c r="E69" s="108"/>
    </row>
    <row r="70" spans="1:5" x14ac:dyDescent="0.25">
      <c r="A70" s="105"/>
      <c r="B70" s="106"/>
      <c r="C70" s="107"/>
      <c r="D70" s="105"/>
      <c r="E70" s="108"/>
    </row>
    <row r="71" spans="1:5" x14ac:dyDescent="0.25">
      <c r="A71" s="105"/>
      <c r="B71" s="106"/>
      <c r="C71" s="107"/>
      <c r="D71" s="105"/>
      <c r="E71" s="108"/>
    </row>
    <row r="72" spans="1:5" x14ac:dyDescent="0.25">
      <c r="A72" s="105"/>
      <c r="B72" s="106"/>
      <c r="C72" s="107"/>
      <c r="D72" s="105"/>
      <c r="E72" s="108"/>
    </row>
    <row r="73" spans="1:5" x14ac:dyDescent="0.25">
      <c r="A73" s="105"/>
      <c r="B73" s="106"/>
      <c r="C73" s="107"/>
      <c r="D73" s="105"/>
      <c r="E73" s="108"/>
    </row>
    <row r="74" spans="1:5" x14ac:dyDescent="0.25">
      <c r="A74" s="105"/>
      <c r="B74" s="106"/>
      <c r="C74" s="107"/>
      <c r="D74" s="105"/>
      <c r="E74" s="108"/>
    </row>
    <row r="75" spans="1:5" x14ac:dyDescent="0.25">
      <c r="A75" s="105"/>
      <c r="B75" s="106"/>
      <c r="C75" s="107"/>
      <c r="D75" s="105"/>
      <c r="E75" s="108"/>
    </row>
    <row r="76" spans="1:5" x14ac:dyDescent="0.25">
      <c r="A76" s="105"/>
      <c r="B76" s="106"/>
      <c r="C76" s="107"/>
      <c r="D76" s="105"/>
      <c r="E76" s="108"/>
    </row>
    <row r="77" spans="1:5" x14ac:dyDescent="0.25">
      <c r="A77" s="105"/>
      <c r="B77" s="106"/>
      <c r="C77" s="107"/>
      <c r="D77" s="105"/>
      <c r="E77" s="108"/>
    </row>
    <row r="78" spans="1:5" x14ac:dyDescent="0.25">
      <c r="A78" s="105"/>
      <c r="B78" s="106"/>
      <c r="C78" s="107"/>
      <c r="D78" s="105"/>
      <c r="E78" s="108"/>
    </row>
    <row r="79" spans="1:5" x14ac:dyDescent="0.25">
      <c r="A79" s="105"/>
      <c r="B79" s="106"/>
      <c r="C79" s="107"/>
      <c r="D79" s="105"/>
      <c r="E79" s="108"/>
    </row>
    <row r="80" spans="1:5" x14ac:dyDescent="0.25">
      <c r="A80" s="105"/>
      <c r="B80" s="106"/>
      <c r="C80" s="107"/>
      <c r="D80" s="105"/>
      <c r="E80" s="108"/>
    </row>
    <row r="81" spans="1:5" x14ac:dyDescent="0.25">
      <c r="A81" s="105"/>
      <c r="B81" s="106"/>
      <c r="C81" s="107"/>
      <c r="D81" s="105"/>
      <c r="E81" s="108"/>
    </row>
    <row r="82" spans="1:5" x14ac:dyDescent="0.25">
      <c r="A82" s="105"/>
      <c r="B82" s="106"/>
      <c r="C82" s="107"/>
      <c r="D82" s="105"/>
      <c r="E82" s="108"/>
    </row>
    <row r="83" spans="1:5" x14ac:dyDescent="0.25">
      <c r="A83" s="105"/>
      <c r="B83" s="106"/>
      <c r="C83" s="107"/>
      <c r="D83" s="105"/>
      <c r="E83" s="108"/>
    </row>
    <row r="84" spans="1:5" x14ac:dyDescent="0.25">
      <c r="A84" s="105"/>
      <c r="B84" s="106"/>
      <c r="C84" s="107"/>
      <c r="D84" s="105"/>
      <c r="E84" s="108"/>
    </row>
    <row r="85" spans="1:5" x14ac:dyDescent="0.25">
      <c r="A85" s="105"/>
      <c r="B85" s="106"/>
      <c r="C85" s="107"/>
      <c r="D85" s="105"/>
      <c r="E85" s="108"/>
    </row>
    <row r="86" spans="1:5" x14ac:dyDescent="0.25">
      <c r="A86" s="105"/>
      <c r="B86" s="106"/>
      <c r="C86" s="107"/>
      <c r="D86" s="105"/>
      <c r="E86" s="108"/>
    </row>
    <row r="87" spans="1:5" x14ac:dyDescent="0.25">
      <c r="A87" s="105"/>
      <c r="B87" s="106"/>
      <c r="C87" s="107"/>
      <c r="D87" s="105"/>
      <c r="E87" s="108"/>
    </row>
    <row r="88" spans="1:5" x14ac:dyDescent="0.25">
      <c r="A88" s="105"/>
      <c r="B88" s="106"/>
      <c r="C88" s="107"/>
      <c r="D88" s="105"/>
      <c r="E88" s="108"/>
    </row>
    <row r="89" spans="1:5" x14ac:dyDescent="0.25">
      <c r="A89" s="105"/>
      <c r="B89" s="106"/>
      <c r="C89" s="107"/>
      <c r="D89" s="105"/>
      <c r="E89" s="108"/>
    </row>
    <row r="90" spans="1:5" x14ac:dyDescent="0.25">
      <c r="A90" s="105"/>
      <c r="B90" s="106"/>
      <c r="C90" s="107"/>
      <c r="D90" s="105"/>
      <c r="E90" s="108"/>
    </row>
    <row r="91" spans="1:5" x14ac:dyDescent="0.25">
      <c r="A91" s="105"/>
      <c r="B91" s="106"/>
      <c r="C91" s="107"/>
      <c r="D91" s="105"/>
      <c r="E91" s="108"/>
    </row>
    <row r="92" spans="1:5" x14ac:dyDescent="0.25">
      <c r="A92" s="105"/>
      <c r="B92" s="106"/>
      <c r="C92" s="107"/>
      <c r="D92" s="105"/>
      <c r="E92" s="108"/>
    </row>
    <row r="93" spans="1:5" x14ac:dyDescent="0.25">
      <c r="A93" s="105"/>
      <c r="B93" s="106"/>
      <c r="C93" s="107"/>
      <c r="D93" s="105"/>
      <c r="E93" s="108"/>
    </row>
    <row r="94" spans="1:5" x14ac:dyDescent="0.25">
      <c r="A94" s="105"/>
      <c r="B94" s="106"/>
      <c r="C94" s="107"/>
      <c r="D94" s="105"/>
      <c r="E94" s="108"/>
    </row>
    <row r="95" spans="1:5" x14ac:dyDescent="0.25">
      <c r="A95" s="105"/>
      <c r="B95" s="106"/>
      <c r="C95" s="107"/>
      <c r="D95" s="105"/>
      <c r="E95" s="108"/>
    </row>
    <row r="96" spans="1:5" x14ac:dyDescent="0.25">
      <c r="A96" s="105"/>
      <c r="B96" s="106"/>
      <c r="C96" s="107"/>
      <c r="D96" s="105"/>
      <c r="E96" s="108"/>
    </row>
    <row r="97" spans="1:8" x14ac:dyDescent="0.25">
      <c r="A97" s="105"/>
      <c r="B97" s="106"/>
      <c r="C97" s="107"/>
      <c r="D97" s="105"/>
      <c r="E97" s="108"/>
    </row>
    <row r="98" spans="1:8" x14ac:dyDescent="0.25">
      <c r="A98" s="105"/>
      <c r="B98" s="106"/>
      <c r="C98" s="107"/>
      <c r="D98" s="105"/>
      <c r="E98" s="108"/>
    </row>
    <row r="99" spans="1:8" x14ac:dyDescent="0.25">
      <c r="A99" s="105"/>
      <c r="B99" s="106"/>
      <c r="C99" s="107"/>
      <c r="D99" s="105"/>
      <c r="E99" s="108"/>
    </row>
    <row r="100" spans="1:8" x14ac:dyDescent="0.25">
      <c r="A100" s="137"/>
      <c r="B100" s="137"/>
      <c r="C100" s="138"/>
      <c r="D100" s="139"/>
      <c r="E100" s="142">
        <f>SUM(E2:E99)</f>
        <v>1200</v>
      </c>
      <c r="F100" s="142">
        <f>SUM(F2:F99)</f>
        <v>34</v>
      </c>
      <c r="G100" s="142">
        <f>SUM(G2:G99)</f>
        <v>34</v>
      </c>
      <c r="H100" s="141">
        <f>+G100/E100</f>
        <v>2.8333333333333332E-2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Y17"/>
  <sheetViews>
    <sheetView showRuler="0" view="pageLayout" zoomScaleNormal="100" workbookViewId="0">
      <selection activeCell="V15" sqref="V15"/>
    </sheetView>
  </sheetViews>
  <sheetFormatPr defaultRowHeight="15" x14ac:dyDescent="0.25"/>
  <cols>
    <col min="1" max="1" width="18.140625" customWidth="1"/>
    <col min="2" max="2" width="7.5703125" bestFit="1" customWidth="1"/>
    <col min="3" max="3" width="8.85546875" bestFit="1" customWidth="1"/>
    <col min="4" max="5" width="9.5703125" customWidth="1"/>
    <col min="6" max="6" width="7.42578125" bestFit="1" customWidth="1"/>
    <col min="7" max="7" width="8.85546875" bestFit="1" customWidth="1"/>
    <col min="8" max="9" width="7" customWidth="1"/>
    <col min="10" max="10" width="7.5703125" bestFit="1" customWidth="1"/>
    <col min="11" max="11" width="8.85546875" bestFit="1" customWidth="1"/>
    <col min="12" max="14" width="7.5703125" bestFit="1" customWidth="1"/>
    <col min="15" max="15" width="8.85546875" bestFit="1" customWidth="1"/>
    <col min="16" max="21" width="7.5703125" bestFit="1" customWidth="1"/>
    <col min="24" max="24" width="21.140625" bestFit="1" customWidth="1"/>
  </cols>
  <sheetData>
    <row r="1" spans="1:25" ht="27" customHeight="1" thickBot="1" x14ac:dyDescent="0.3">
      <c r="A1" s="320" t="s">
        <v>87</v>
      </c>
      <c r="B1" s="320"/>
      <c r="C1" s="320"/>
      <c r="D1" s="320"/>
      <c r="E1" s="320"/>
      <c r="F1" s="320"/>
      <c r="G1" s="320"/>
      <c r="H1" s="320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25" ht="15.75" thickTop="1" x14ac:dyDescent="0.25">
      <c r="A2" s="308"/>
      <c r="B2" s="338" t="s">
        <v>19</v>
      </c>
      <c r="C2" s="339"/>
      <c r="D2" s="339"/>
      <c r="E2" s="340"/>
      <c r="F2" s="338" t="s">
        <v>20</v>
      </c>
      <c r="G2" s="339"/>
      <c r="H2" s="339"/>
      <c r="I2" s="340"/>
      <c r="J2" s="341" t="s">
        <v>21</v>
      </c>
      <c r="K2" s="342"/>
      <c r="L2" s="342"/>
      <c r="M2" s="343"/>
      <c r="N2" s="338" t="s">
        <v>22</v>
      </c>
      <c r="O2" s="339"/>
      <c r="P2" s="339"/>
      <c r="Q2" s="340"/>
      <c r="R2" s="344" t="s">
        <v>23</v>
      </c>
      <c r="S2" s="345"/>
      <c r="T2" s="345"/>
      <c r="U2" s="346"/>
      <c r="V2" s="336" t="s">
        <v>24</v>
      </c>
      <c r="W2" s="337"/>
    </row>
    <row r="3" spans="1:25" ht="15.75" thickBot="1" x14ac:dyDescent="0.3">
      <c r="A3" s="309" t="s">
        <v>78</v>
      </c>
      <c r="B3" s="265" t="s">
        <v>29</v>
      </c>
      <c r="C3" s="294" t="s">
        <v>30</v>
      </c>
      <c r="D3" s="266" t="s">
        <v>10</v>
      </c>
      <c r="E3" s="267" t="s">
        <v>77</v>
      </c>
      <c r="F3" s="265" t="s">
        <v>29</v>
      </c>
      <c r="G3" s="294" t="s">
        <v>30</v>
      </c>
      <c r="H3" s="266" t="s">
        <v>10</v>
      </c>
      <c r="I3" s="268" t="s">
        <v>77</v>
      </c>
      <c r="J3" s="269" t="s">
        <v>29</v>
      </c>
      <c r="K3" s="270" t="s">
        <v>30</v>
      </c>
      <c r="L3" s="266" t="s">
        <v>10</v>
      </c>
      <c r="M3" s="264" t="s">
        <v>77</v>
      </c>
      <c r="N3" s="271" t="s">
        <v>29</v>
      </c>
      <c r="O3" s="294" t="s">
        <v>30</v>
      </c>
      <c r="P3" s="266" t="s">
        <v>10</v>
      </c>
      <c r="Q3" s="272" t="s">
        <v>77</v>
      </c>
      <c r="R3" s="273" t="s">
        <v>29</v>
      </c>
      <c r="S3" s="294" t="s">
        <v>30</v>
      </c>
      <c r="T3" s="274" t="s">
        <v>10</v>
      </c>
      <c r="U3" s="264" t="s">
        <v>77</v>
      </c>
      <c r="V3" s="275" t="s">
        <v>29</v>
      </c>
      <c r="W3" s="276" t="s">
        <v>30</v>
      </c>
    </row>
    <row r="4" spans="1:25" ht="15.75" thickTop="1" x14ac:dyDescent="0.25">
      <c r="A4" s="310" t="s">
        <v>79</v>
      </c>
      <c r="B4" s="277" t="s">
        <v>58</v>
      </c>
      <c r="C4" s="295"/>
      <c r="D4" s="278"/>
      <c r="E4" s="239">
        <v>0</v>
      </c>
      <c r="F4" s="277">
        <v>2403.4678564034016</v>
      </c>
      <c r="G4" s="295">
        <v>31051.861001805155</v>
      </c>
      <c r="H4" s="278">
        <v>12.919607357791667</v>
      </c>
      <c r="I4" s="279">
        <v>6</v>
      </c>
      <c r="J4" s="30">
        <v>307.453878188918</v>
      </c>
      <c r="K4" s="299">
        <v>3931.0174425583086</v>
      </c>
      <c r="L4" s="278">
        <v>12.785714285714285</v>
      </c>
      <c r="M4" s="279">
        <v>3</v>
      </c>
      <c r="N4" s="277">
        <v>296.48477642492151</v>
      </c>
      <c r="O4" s="295">
        <v>3976.3840602871824</v>
      </c>
      <c r="P4" s="278">
        <v>13.411764705882351</v>
      </c>
      <c r="Q4" s="279">
        <v>3</v>
      </c>
      <c r="R4" s="277" t="s">
        <v>58</v>
      </c>
      <c r="S4" s="295"/>
      <c r="T4" s="278"/>
      <c r="U4" s="279">
        <v>0</v>
      </c>
      <c r="V4" s="280">
        <f>F4+J4+N4</f>
        <v>3007.4065110172414</v>
      </c>
      <c r="W4" s="304">
        <f>G4+K4+O4</f>
        <v>38959.262504650644</v>
      </c>
    </row>
    <row r="5" spans="1:25" x14ac:dyDescent="0.25">
      <c r="A5" s="311" t="s">
        <v>80</v>
      </c>
      <c r="B5" s="277" t="s">
        <v>58</v>
      </c>
      <c r="C5" s="296"/>
      <c r="D5" s="282"/>
      <c r="E5" s="283">
        <v>0</v>
      </c>
      <c r="F5" s="281">
        <v>7424.1170646432356</v>
      </c>
      <c r="G5" s="296">
        <v>64313.62881981759</v>
      </c>
      <c r="H5" s="282">
        <v>8.6627983179449188</v>
      </c>
      <c r="I5" s="283">
        <v>6</v>
      </c>
      <c r="J5" s="281">
        <v>2261.0959367960704</v>
      </c>
      <c r="K5" s="296">
        <v>21351.396309485433</v>
      </c>
      <c r="L5" s="282">
        <v>9.4429413462835878</v>
      </c>
      <c r="M5" s="283">
        <v>3</v>
      </c>
      <c r="N5" s="281">
        <v>1984.1355257272928</v>
      </c>
      <c r="O5" s="296">
        <v>14302.443874322567</v>
      </c>
      <c r="P5" s="282">
        <v>7.2084006807347238</v>
      </c>
      <c r="Q5" s="283">
        <v>3</v>
      </c>
      <c r="R5" s="277" t="s">
        <v>58</v>
      </c>
      <c r="S5" s="296"/>
      <c r="T5" s="282"/>
      <c r="U5" s="283">
        <v>0</v>
      </c>
      <c r="V5" s="284">
        <f>F5+J5+N5</f>
        <v>11669.3485271666</v>
      </c>
      <c r="W5" s="305">
        <v>99967.469003625592</v>
      </c>
    </row>
    <row r="6" spans="1:25" x14ac:dyDescent="0.25">
      <c r="A6" s="312" t="s">
        <v>81</v>
      </c>
      <c r="B6" s="277" t="s">
        <v>58</v>
      </c>
      <c r="C6" s="297"/>
      <c r="D6" s="286"/>
      <c r="E6" s="287">
        <v>0</v>
      </c>
      <c r="F6" s="277" t="s">
        <v>58</v>
      </c>
      <c r="G6" s="297"/>
      <c r="H6" s="286"/>
      <c r="I6" s="287">
        <v>0</v>
      </c>
      <c r="J6" s="285">
        <v>6694.5541690047157</v>
      </c>
      <c r="K6" s="297">
        <v>80809.84100170173</v>
      </c>
      <c r="L6" s="286">
        <v>12.070981720611844</v>
      </c>
      <c r="M6" s="287">
        <v>4</v>
      </c>
      <c r="N6" s="285">
        <v>5292.3509987387315</v>
      </c>
      <c r="O6" s="297">
        <v>62162.121903105668</v>
      </c>
      <c r="P6" s="286">
        <v>11.745653664679477</v>
      </c>
      <c r="Q6" s="287">
        <v>4</v>
      </c>
      <c r="R6" s="277" t="s">
        <v>58</v>
      </c>
      <c r="S6" s="297"/>
      <c r="T6" s="286"/>
      <c r="U6" s="287">
        <v>0</v>
      </c>
      <c r="V6" s="288">
        <f>J6+N6</f>
        <v>11986.905167743447</v>
      </c>
      <c r="W6" s="306">
        <f>K6+O6</f>
        <v>142971.96290480741</v>
      </c>
    </row>
    <row r="7" spans="1:25" x14ac:dyDescent="0.25">
      <c r="A7" s="312" t="s">
        <v>82</v>
      </c>
      <c r="B7" s="277" t="s">
        <v>58</v>
      </c>
      <c r="C7" s="297"/>
      <c r="D7" s="286"/>
      <c r="E7" s="287">
        <v>0</v>
      </c>
      <c r="F7" s="277" t="s">
        <v>58</v>
      </c>
      <c r="G7" s="297"/>
      <c r="H7" s="286"/>
      <c r="I7" s="287">
        <v>0</v>
      </c>
      <c r="J7" s="285">
        <v>14654.38546583075</v>
      </c>
      <c r="K7" s="297">
        <v>179129.90734430833</v>
      </c>
      <c r="L7" s="286">
        <v>12.223638293259098</v>
      </c>
      <c r="M7" s="287">
        <v>8</v>
      </c>
      <c r="N7" s="285">
        <v>3396.2117074738035</v>
      </c>
      <c r="O7" s="297">
        <v>37848.719370739993</v>
      </c>
      <c r="P7" s="286">
        <v>11.144393409706758</v>
      </c>
      <c r="Q7" s="287">
        <v>6</v>
      </c>
      <c r="R7" s="285">
        <v>637.4353808353809</v>
      </c>
      <c r="S7" s="297">
        <v>1410.0684275184274</v>
      </c>
      <c r="T7" s="286">
        <v>2.2120962687550922</v>
      </c>
      <c r="U7" s="287">
        <v>2</v>
      </c>
      <c r="V7" s="288">
        <f>J7+N7+R7</f>
        <v>18688.032554139932</v>
      </c>
      <c r="W7" s="306">
        <f>K7+O7+S7</f>
        <v>218388.69514256675</v>
      </c>
    </row>
    <row r="8" spans="1:25" x14ac:dyDescent="0.25">
      <c r="A8" s="312" t="s">
        <v>83</v>
      </c>
      <c r="B8" s="277" t="s">
        <v>58</v>
      </c>
      <c r="C8" s="297"/>
      <c r="D8" s="286"/>
      <c r="E8" s="287">
        <v>0</v>
      </c>
      <c r="F8" s="285">
        <v>19954.231128484349</v>
      </c>
      <c r="G8" s="297">
        <v>269189.33466835832</v>
      </c>
      <c r="H8" s="286">
        <v>13.490338612150023</v>
      </c>
      <c r="I8" s="287">
        <v>12</v>
      </c>
      <c r="J8" s="285">
        <v>14210.959214310171</v>
      </c>
      <c r="K8" s="297">
        <v>186571.9938842812</v>
      </c>
      <c r="L8" s="286">
        <v>13.128740366548</v>
      </c>
      <c r="M8" s="287">
        <v>6</v>
      </c>
      <c r="N8" s="285">
        <v>15223.138002675449</v>
      </c>
      <c r="O8" s="297">
        <v>180814.00465227384</v>
      </c>
      <c r="P8" s="286">
        <v>11.877577712328167</v>
      </c>
      <c r="Q8" s="287">
        <v>9</v>
      </c>
      <c r="R8" s="277" t="s">
        <v>58</v>
      </c>
      <c r="S8" s="297"/>
      <c r="T8" s="286"/>
      <c r="U8" s="287">
        <v>0</v>
      </c>
      <c r="V8" s="288">
        <f>F8+J8+N8</f>
        <v>49388.32834546997</v>
      </c>
      <c r="W8" s="306">
        <f>G8+K8+O8</f>
        <v>636575.33320491342</v>
      </c>
    </row>
    <row r="9" spans="1:25" x14ac:dyDescent="0.25">
      <c r="A9" s="313" t="s">
        <v>84</v>
      </c>
      <c r="B9" s="321" t="s">
        <v>58</v>
      </c>
      <c r="C9" s="298"/>
      <c r="D9" s="254"/>
      <c r="E9" s="255">
        <v>0</v>
      </c>
      <c r="F9" s="288">
        <v>10075.571952861268</v>
      </c>
      <c r="G9" s="298">
        <v>144024.18472291582</v>
      </c>
      <c r="H9" s="254">
        <v>14.294392953247257</v>
      </c>
      <c r="I9" s="255">
        <v>7</v>
      </c>
      <c r="J9" s="253">
        <v>16698.813073493111</v>
      </c>
      <c r="K9" s="298">
        <v>194492.96624786238</v>
      </c>
      <c r="L9" s="254">
        <v>11.6471132045062</v>
      </c>
      <c r="M9" s="255">
        <v>4</v>
      </c>
      <c r="N9" s="253">
        <v>7428.8472672838416</v>
      </c>
      <c r="O9" s="298">
        <v>46012.958089947315</v>
      </c>
      <c r="P9" s="254">
        <v>6.1938220607368493</v>
      </c>
      <c r="Q9" s="255">
        <v>5</v>
      </c>
      <c r="R9" s="277" t="s">
        <v>58</v>
      </c>
      <c r="S9" s="298"/>
      <c r="T9" s="254"/>
      <c r="U9" s="255">
        <v>0</v>
      </c>
      <c r="V9" s="289">
        <f>F9+J9+N9</f>
        <v>34203.232293638219</v>
      </c>
      <c r="W9" s="307">
        <f>G9+K9+O9</f>
        <v>384530.10906072549</v>
      </c>
    </row>
    <row r="10" spans="1:25" x14ac:dyDescent="0.25">
      <c r="A10" s="313" t="s">
        <v>85</v>
      </c>
      <c r="B10" s="253">
        <v>71278.286414773582</v>
      </c>
      <c r="C10" s="298">
        <v>1392613.420413767</v>
      </c>
      <c r="D10" s="254">
        <v>19.537695004479307</v>
      </c>
      <c r="E10" s="255">
        <v>10</v>
      </c>
      <c r="F10" s="253">
        <v>23036</v>
      </c>
      <c r="G10" s="298">
        <v>325507.35311856796</v>
      </c>
      <c r="H10" s="254">
        <v>14.130572219048764</v>
      </c>
      <c r="I10" s="255">
        <v>15</v>
      </c>
      <c r="J10" s="253">
        <v>27280.709701326025</v>
      </c>
      <c r="K10" s="298">
        <v>373906.05147256551</v>
      </c>
      <c r="L10" s="254">
        <v>14.49680524503874</v>
      </c>
      <c r="M10" s="255">
        <v>5</v>
      </c>
      <c r="N10" s="253">
        <v>24336.451740132066</v>
      </c>
      <c r="O10" s="298">
        <v>341511.45474225719</v>
      </c>
      <c r="P10" s="254">
        <v>13.89891038652681</v>
      </c>
      <c r="Q10" s="255">
        <v>5</v>
      </c>
      <c r="R10" s="277" t="s">
        <v>58</v>
      </c>
      <c r="S10" s="298"/>
      <c r="T10" s="254"/>
      <c r="U10" s="255"/>
      <c r="V10" s="289">
        <v>145931.1287948823</v>
      </c>
      <c r="W10" s="307">
        <f>C10+G10+K10+O10</f>
        <v>2433538.2797471574</v>
      </c>
    </row>
    <row r="11" spans="1:25" ht="15.75" thickBot="1" x14ac:dyDescent="0.3">
      <c r="A11" s="314" t="s">
        <v>86</v>
      </c>
      <c r="B11" s="38">
        <v>6500</v>
      </c>
      <c r="C11" s="299">
        <v>162500</v>
      </c>
      <c r="D11" s="242">
        <v>25</v>
      </c>
      <c r="E11" s="239">
        <v>1</v>
      </c>
      <c r="F11" s="30"/>
      <c r="G11" s="299"/>
      <c r="H11" s="242"/>
      <c r="I11" s="239">
        <v>0</v>
      </c>
      <c r="J11" s="290"/>
      <c r="K11" s="299"/>
      <c r="L11" s="242"/>
      <c r="M11" s="291">
        <v>0</v>
      </c>
      <c r="N11" s="38"/>
      <c r="O11" s="299"/>
      <c r="P11" s="242"/>
      <c r="Q11" s="239">
        <v>0</v>
      </c>
      <c r="R11" s="277" t="s">
        <v>58</v>
      </c>
      <c r="S11" s="299"/>
      <c r="T11" s="242"/>
      <c r="U11" s="291">
        <v>0</v>
      </c>
      <c r="V11" s="292">
        <f>B11</f>
        <v>6500</v>
      </c>
      <c r="W11" s="293">
        <f>C11</f>
        <v>162500</v>
      </c>
    </row>
    <row r="12" spans="1:25" ht="15.75" thickTop="1" x14ac:dyDescent="0.25">
      <c r="A12" s="315" t="s">
        <v>36</v>
      </c>
      <c r="B12" s="40">
        <f>SUM(B4:B11)</f>
        <v>77778.286414773582</v>
      </c>
      <c r="C12" s="300">
        <f>SUM(C10:C11)</f>
        <v>1555113.420413767</v>
      </c>
      <c r="D12" s="243">
        <f>C12/B12</f>
        <v>19.994184650979676</v>
      </c>
      <c r="E12" s="247">
        <f>SUM(E4:E11)</f>
        <v>11</v>
      </c>
      <c r="F12" s="40">
        <f>SUM(F4:F11)</f>
        <v>62893.388002392254</v>
      </c>
      <c r="G12" s="300">
        <f>SUM(G4:G11)</f>
        <v>834086.36233146489</v>
      </c>
      <c r="H12" s="243">
        <f>G12/F12</f>
        <v>13.261908585680565</v>
      </c>
      <c r="I12" s="247">
        <f>SUM(I4:I11)</f>
        <v>46</v>
      </c>
      <c r="J12" s="40">
        <f>SUM(J4:J11)</f>
        <v>82107.971438949753</v>
      </c>
      <c r="K12" s="300">
        <f>SUM(K4:K11)</f>
        <v>1040193.1737027629</v>
      </c>
      <c r="L12" s="243">
        <f>K12/J12</f>
        <v>12.668601543471137</v>
      </c>
      <c r="M12" s="247">
        <f>SUM(M4:M11)</f>
        <v>33</v>
      </c>
      <c r="N12" s="40">
        <f>SUM(N4:N11)</f>
        <v>57957.620018456102</v>
      </c>
      <c r="O12" s="300">
        <f>SUM(O4:O11)</f>
        <v>686628.08669293369</v>
      </c>
      <c r="P12" s="243">
        <f>O12/N12</f>
        <v>11.847071816860025</v>
      </c>
      <c r="Q12" s="247">
        <f>SUM(Q4:Q11)</f>
        <v>35</v>
      </c>
      <c r="R12" s="40">
        <f>SUM(R4:R11)</f>
        <v>637.4353808353809</v>
      </c>
      <c r="S12" s="300">
        <f>S7</f>
        <v>1410.0684275184274</v>
      </c>
      <c r="T12" s="243">
        <f>S12/R12</f>
        <v>2.2120962687550922</v>
      </c>
      <c r="U12" s="247">
        <f>SUM(U4:U11)</f>
        <v>2</v>
      </c>
      <c r="V12" s="245">
        <f>B12+F12+J12+N12+R12</f>
        <v>281374.70125540707</v>
      </c>
      <c r="W12" s="251">
        <f>C12+G12+K12+O12+S12</f>
        <v>4117431.1115684467</v>
      </c>
      <c r="X12" s="15">
        <v>-60990.196978088934</v>
      </c>
      <c r="Y12" s="10"/>
    </row>
    <row r="13" spans="1:25" x14ac:dyDescent="0.25">
      <c r="A13" s="316" t="s">
        <v>35</v>
      </c>
      <c r="B13" s="67"/>
      <c r="C13" s="301">
        <v>46653.402612413011</v>
      </c>
      <c r="D13" s="241"/>
      <c r="E13" s="248"/>
      <c r="F13" s="67"/>
      <c r="G13" s="301">
        <v>33363.454493258592</v>
      </c>
      <c r="H13" s="241"/>
      <c r="I13" s="240"/>
      <c r="J13" s="257"/>
      <c r="K13" s="301">
        <v>54377.720716333301</v>
      </c>
      <c r="L13" s="241"/>
      <c r="M13" s="248"/>
      <c r="N13" s="67"/>
      <c r="O13" s="301">
        <v>19454.462456299789</v>
      </c>
      <c r="P13" s="241"/>
      <c r="Q13" s="248"/>
      <c r="R13" s="67"/>
      <c r="S13" s="301"/>
      <c r="T13" s="241"/>
      <c r="U13" s="248"/>
      <c r="V13" s="246"/>
      <c r="W13" s="250">
        <v>153849.04027830469</v>
      </c>
    </row>
    <row r="14" spans="1:25" x14ac:dyDescent="0.25">
      <c r="A14" s="317" t="s">
        <v>32</v>
      </c>
      <c r="B14" s="69">
        <v>77778.286414773567</v>
      </c>
      <c r="C14" s="323">
        <f>C12+C13</f>
        <v>1601766.82302618</v>
      </c>
      <c r="D14" s="244">
        <v>20.594010190509071</v>
      </c>
      <c r="E14" s="249"/>
      <c r="F14" s="69">
        <v>62893.068941042904</v>
      </c>
      <c r="G14" s="323">
        <f>G12+G13</f>
        <v>867449.8168247235</v>
      </c>
      <c r="H14" s="244">
        <f>G14/F14</f>
        <v>13.792454898931496</v>
      </c>
      <c r="I14" s="249">
        <f>I12</f>
        <v>46</v>
      </c>
      <c r="J14" s="256">
        <v>82107.971438949753</v>
      </c>
      <c r="K14" s="252">
        <f>K12+K13</f>
        <v>1094570.8944190962</v>
      </c>
      <c r="L14" s="244">
        <v>13.330872450465412</v>
      </c>
      <c r="M14" s="249">
        <f>M12</f>
        <v>33</v>
      </c>
      <c r="N14" s="69">
        <v>57957.620018456102</v>
      </c>
      <c r="O14" s="302">
        <f>O12+O13</f>
        <v>706082.5491492335</v>
      </c>
      <c r="P14" s="244">
        <v>12.182738851671061</v>
      </c>
      <c r="Q14" s="249">
        <f>Q12</f>
        <v>35</v>
      </c>
      <c r="R14" s="69">
        <v>637.4353808353809</v>
      </c>
      <c r="S14" s="302">
        <v>1410.0684275184274</v>
      </c>
      <c r="T14" s="244">
        <f>S14/R14</f>
        <v>2.2120962687550922</v>
      </c>
      <c r="U14" s="249">
        <v>2</v>
      </c>
      <c r="V14" s="71">
        <f>B14+F14+J14+N14+R14</f>
        <v>281374.38219405775</v>
      </c>
      <c r="W14" s="252">
        <f>W12+W13</f>
        <v>4271280.1518467516</v>
      </c>
    </row>
    <row r="15" spans="1:25" ht="15.75" thickBot="1" x14ac:dyDescent="0.3">
      <c r="A15" s="318" t="s">
        <v>15</v>
      </c>
      <c r="B15" s="258"/>
      <c r="C15" s="303">
        <v>0.32718340990771505</v>
      </c>
      <c r="D15" s="259"/>
      <c r="E15" s="260"/>
      <c r="F15" s="261"/>
      <c r="G15" s="303">
        <v>0.45736354342238461</v>
      </c>
      <c r="H15" s="259"/>
      <c r="I15" s="262"/>
      <c r="J15" s="258"/>
      <c r="K15" s="303">
        <v>1.243023374802307</v>
      </c>
      <c r="L15" s="259"/>
      <c r="M15" s="260"/>
      <c r="N15" s="261"/>
      <c r="O15" s="322">
        <v>0.74962111287146282</v>
      </c>
      <c r="P15" s="259"/>
      <c r="Q15" s="260"/>
      <c r="R15" s="261"/>
      <c r="S15" s="303">
        <v>1.9425421224819122E-3</v>
      </c>
      <c r="T15" s="259"/>
      <c r="U15" s="260"/>
      <c r="V15" s="259"/>
      <c r="W15" s="263"/>
    </row>
    <row r="16" spans="1:25" x14ac:dyDescent="0.25">
      <c r="A16" s="319"/>
      <c r="J16" s="163"/>
    </row>
    <row r="17" spans="22:22" x14ac:dyDescent="0.25">
      <c r="V17" s="10">
        <f>SUM(V4:V11)</f>
        <v>281374.38219405769</v>
      </c>
    </row>
  </sheetData>
  <mergeCells count="6">
    <mergeCell ref="V2:W2"/>
    <mergeCell ref="B2:E2"/>
    <mergeCell ref="F2:I2"/>
    <mergeCell ref="J2:M2"/>
    <mergeCell ref="N2:Q2"/>
    <mergeCell ref="R2:U2"/>
  </mergeCells>
  <pageMargins left="0.25" right="0.25" top="0.75" bottom="0.75" header="0.3" footer="0.3"/>
  <pageSetup scale="61" fitToHeight="0" orientation="landscape" r:id="rId1"/>
  <headerFooter>
    <oddHeader>&amp;L&amp;KFF0000FINAL ESTIMATE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40FFA2-7EA0-41A4-959B-84212EFBF42D}"/>
</file>

<file path=customXml/itemProps2.xml><?xml version="1.0" encoding="utf-8"?>
<ds:datastoreItem xmlns:ds="http://schemas.openxmlformats.org/officeDocument/2006/customXml" ds:itemID="{B3D1B3F9-B7CC-42DD-B19F-47D5F4B809D4}"/>
</file>

<file path=customXml/itemProps3.xml><?xml version="1.0" encoding="utf-8"?>
<ds:datastoreItem xmlns:ds="http://schemas.openxmlformats.org/officeDocument/2006/customXml" ds:itemID="{78A04A5C-C3F6-45FA-9AF0-8ED5B3419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Harvest</vt:lpstr>
      <vt:lpstr>Effort</vt:lpstr>
      <vt:lpstr>CPUE</vt:lpstr>
      <vt:lpstr>Summary Table</vt:lpstr>
      <vt:lpstr>Copy Sheet</vt:lpstr>
      <vt:lpstr>Tide Info</vt:lpstr>
      <vt:lpstr>Tribal update</vt:lpstr>
      <vt:lpstr>TAC</vt:lpstr>
      <vt:lpstr>TH Wastage</vt:lpstr>
      <vt:lpstr>LB Wastage</vt:lpstr>
      <vt:lpstr>Cop Wastage</vt:lpstr>
      <vt:lpstr>Moc Wastage</vt:lpstr>
      <vt:lpstr>Summary By Month</vt:lpstr>
      <vt:lpstr>Sheet1</vt:lpstr>
      <vt:lpstr>Effort!Print_Area</vt:lpstr>
      <vt:lpstr>'Summary By Month'!Print_Area</vt:lpstr>
      <vt:lpstr>'Summary Table'!Print_Area</vt:lpstr>
      <vt:lpstr>'Tribal update'!Print_Area</vt:lpstr>
      <vt:lpstr>'Summary By Month'!Print_Titles</vt:lpstr>
      <vt:lpstr>'Summary Table'!Print_Titles</vt:lpstr>
    </vt:vector>
  </TitlesOfParts>
  <Company>WDFW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Deibert</dc:creator>
  <cp:lastModifiedBy>George, Matthew (DFW)</cp:lastModifiedBy>
  <cp:lastPrinted>2017-08-25T00:28:44Z</cp:lastPrinted>
  <dcterms:created xsi:type="dcterms:W3CDTF">2009-10-21T21:07:28Z</dcterms:created>
  <dcterms:modified xsi:type="dcterms:W3CDTF">2023-11-15T23:19:18Z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2023-11-15T23:19:18Z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d3d7d920-f879-47af-8dac-1873040d9364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Order">
    <vt:r8>2815800</vt:r8>
  </property>
  <property fmtid="{D5CDD505-2E9C-101B-9397-08002B2CF9AE}" pid="11" name="TriggerFlowInfo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</Properties>
</file>