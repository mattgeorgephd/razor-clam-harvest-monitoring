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375" yWindow="825" windowWidth="9360" windowHeight="4110" activeTab="3"/>
  </bookViews>
  <sheets>
    <sheet name="harvest" sheetId="1" r:id="rId1"/>
    <sheet name="cpue" sheetId="2" r:id="rId2"/>
    <sheet name="effort" sheetId="3" r:id="rId3"/>
    <sheet name="table" sheetId="4" r:id="rId4"/>
    <sheet name="State-Tribal Update" sheetId="5" r:id="rId5"/>
    <sheet name="LB - Wastage" sheetId="6" r:id="rId6"/>
    <sheet name="Sheet1" sheetId="7" r:id="rId7"/>
    <sheet name="TH - Wastage" sheetId="8" r:id="rId8"/>
    <sheet name="Cop - Wastage" sheetId="9" r:id="rId9"/>
    <sheet name="Moc - Wastage" sheetId="10" r:id="rId10"/>
    <sheet name="Wastage" sheetId="11" r:id="rId11"/>
    <sheet name="2008-2009 TAC" sheetId="12" r:id="rId12"/>
  </sheets>
  <calcPr calcId="145621"/>
</workbook>
</file>

<file path=xl/calcChain.xml><?xml version="1.0" encoding="utf-8"?>
<calcChain xmlns="http://schemas.openxmlformats.org/spreadsheetml/2006/main">
  <c r="I18" i="4" l="1"/>
  <c r="M46" i="1" l="1"/>
  <c r="F8" i="10"/>
  <c r="M45" i="1" s="1"/>
  <c r="E8" i="10"/>
  <c r="K46" i="1"/>
  <c r="G46" i="1"/>
  <c r="G45" i="1"/>
  <c r="F7" i="6"/>
  <c r="D7" i="6"/>
  <c r="E7" i="6"/>
  <c r="I45" i="1"/>
  <c r="I46" i="1"/>
  <c r="F8" i="8"/>
  <c r="D8" i="8"/>
  <c r="E8" i="8"/>
  <c r="K19" i="3"/>
  <c r="I40" i="3"/>
  <c r="I37" i="3"/>
  <c r="I36" i="3"/>
  <c r="I30" i="3"/>
  <c r="I29" i="3"/>
  <c r="I26" i="3"/>
  <c r="I22" i="3"/>
  <c r="I19" i="3"/>
  <c r="I17" i="3"/>
  <c r="I15" i="3"/>
  <c r="I12" i="3"/>
  <c r="I7" i="3"/>
  <c r="I5" i="2"/>
  <c r="I5" i="3"/>
  <c r="I40" i="1"/>
  <c r="I30" i="1"/>
  <c r="I29" i="1"/>
  <c r="I22" i="1"/>
  <c r="I19" i="1"/>
  <c r="I17" i="1"/>
  <c r="I15" i="1"/>
  <c r="I12" i="1"/>
  <c r="I7" i="1"/>
  <c r="I5" i="1"/>
  <c r="M19" i="3" l="1"/>
  <c r="M7" i="3"/>
  <c r="M19" i="1"/>
  <c r="K19" i="1"/>
  <c r="M17" i="3"/>
  <c r="M15" i="3"/>
  <c r="M17" i="1"/>
  <c r="M15" i="1"/>
  <c r="M7" i="1"/>
  <c r="F9" i="9" l="1"/>
  <c r="K45" i="1" s="1"/>
  <c r="E9" i="9"/>
  <c r="K44" i="1"/>
  <c r="Q41" i="1"/>
  <c r="G41" i="2"/>
  <c r="I41" i="2"/>
  <c r="Q41" i="3"/>
  <c r="M40" i="2"/>
  <c r="P39" i="4" s="1"/>
  <c r="K39" i="5" s="1"/>
  <c r="K40" i="2"/>
  <c r="M39" i="4" s="1"/>
  <c r="G39" i="5" s="1"/>
  <c r="J39" i="4"/>
  <c r="G40" i="2"/>
  <c r="S40" i="4"/>
  <c r="R40" i="4"/>
  <c r="Q40" i="4"/>
  <c r="P40" i="4"/>
  <c r="K40" i="5" s="1"/>
  <c r="O40" i="4"/>
  <c r="J40" i="5" s="1"/>
  <c r="N40" i="4"/>
  <c r="M40" i="4"/>
  <c r="G40" i="5" s="1"/>
  <c r="L40" i="4"/>
  <c r="F40" i="5" s="1"/>
  <c r="K40" i="4"/>
  <c r="E40" i="5" s="1"/>
  <c r="J40" i="4"/>
  <c r="I40" i="4"/>
  <c r="H40" i="4"/>
  <c r="G40" i="4"/>
  <c r="F40" i="4"/>
  <c r="E40" i="4"/>
  <c r="S39" i="4"/>
  <c r="R39" i="4"/>
  <c r="R41" i="4" s="1"/>
  <c r="Q39" i="4"/>
  <c r="O39" i="4"/>
  <c r="J39" i="5" s="1"/>
  <c r="J41" i="5" s="1"/>
  <c r="N39" i="4"/>
  <c r="I39" i="5" s="1"/>
  <c r="L39" i="4"/>
  <c r="F39" i="5" s="1"/>
  <c r="F41" i="5" s="1"/>
  <c r="K39" i="4"/>
  <c r="E39" i="5" s="1"/>
  <c r="E41" i="5" s="1"/>
  <c r="G39" i="4"/>
  <c r="F39" i="4"/>
  <c r="E39" i="4"/>
  <c r="B9" i="12"/>
  <c r="A2" i="2"/>
  <c r="N2" i="2"/>
  <c r="K5" i="2"/>
  <c r="M5" i="2"/>
  <c r="P4" i="4" s="1"/>
  <c r="K4" i="5" s="1"/>
  <c r="G6" i="2"/>
  <c r="I6" i="2"/>
  <c r="J5" i="4" s="1"/>
  <c r="K6" i="2"/>
  <c r="M6" i="2"/>
  <c r="P5" i="4" s="1"/>
  <c r="K5" i="5" s="1"/>
  <c r="G7" i="2"/>
  <c r="G6" i="4" s="1"/>
  <c r="I7" i="2"/>
  <c r="J6" i="4" s="1"/>
  <c r="K7" i="2"/>
  <c r="M7" i="2"/>
  <c r="P6" i="4" s="1"/>
  <c r="K6" i="5" s="1"/>
  <c r="K9" i="2"/>
  <c r="M8" i="4" s="1"/>
  <c r="G8" i="5" s="1"/>
  <c r="M9" i="2"/>
  <c r="P8" i="4" s="1"/>
  <c r="K8" i="5" s="1"/>
  <c r="G10" i="2"/>
  <c r="I10" i="2"/>
  <c r="J9" i="4" s="1"/>
  <c r="K10" i="2"/>
  <c r="M9" i="4" s="1"/>
  <c r="G9" i="5" s="1"/>
  <c r="M10" i="2"/>
  <c r="P9" i="4" s="1"/>
  <c r="K9" i="5" s="1"/>
  <c r="G11" i="2"/>
  <c r="G10" i="4" s="1"/>
  <c r="I11" i="2"/>
  <c r="J10" i="4" s="1"/>
  <c r="K11" i="2"/>
  <c r="M11" i="2"/>
  <c r="P10" i="4" s="1"/>
  <c r="K10" i="5" s="1"/>
  <c r="G12" i="2"/>
  <c r="I12" i="2"/>
  <c r="J11" i="4" s="1"/>
  <c r="K12" i="2"/>
  <c r="M11" i="4" s="1"/>
  <c r="G11" i="5" s="1"/>
  <c r="M12" i="2"/>
  <c r="P11" i="4" s="1"/>
  <c r="K11" i="5" s="1"/>
  <c r="K14" i="2"/>
  <c r="M13" i="4" s="1"/>
  <c r="G13" i="5" s="1"/>
  <c r="M14" i="2"/>
  <c r="G15" i="2"/>
  <c r="I15" i="2"/>
  <c r="J14" i="4" s="1"/>
  <c r="K15" i="2"/>
  <c r="M14" i="4" s="1"/>
  <c r="G14" i="5" s="1"/>
  <c r="M15" i="2"/>
  <c r="P14" i="4" s="1"/>
  <c r="K14" i="5" s="1"/>
  <c r="G16" i="2"/>
  <c r="G15" i="4" s="1"/>
  <c r="I16" i="2"/>
  <c r="J15" i="4" s="1"/>
  <c r="K16" i="2"/>
  <c r="M15" i="4" s="1"/>
  <c r="G15" i="5" s="1"/>
  <c r="M16" i="2"/>
  <c r="G17" i="2"/>
  <c r="I17" i="2"/>
  <c r="J16" i="4" s="1"/>
  <c r="K17" i="2"/>
  <c r="M16" i="4" s="1"/>
  <c r="G16" i="5" s="1"/>
  <c r="M17" i="2"/>
  <c r="P16" i="4" s="1"/>
  <c r="K16" i="5" s="1"/>
  <c r="I19" i="2"/>
  <c r="J18" i="4" s="1"/>
  <c r="K19" i="2"/>
  <c r="M18" i="4" s="1"/>
  <c r="G18" i="5" s="1"/>
  <c r="M19" i="2"/>
  <c r="G20" i="2"/>
  <c r="G19" i="4" s="1"/>
  <c r="I20" i="2"/>
  <c r="J19" i="4" s="1"/>
  <c r="K20" i="2"/>
  <c r="M19" i="4" s="1"/>
  <c r="G19" i="5" s="1"/>
  <c r="M20" i="2"/>
  <c r="G21" i="2"/>
  <c r="G20" i="4" s="1"/>
  <c r="I21" i="2"/>
  <c r="J20" i="4" s="1"/>
  <c r="K21" i="2"/>
  <c r="M21" i="2"/>
  <c r="P20" i="4" s="1"/>
  <c r="K20" i="5" s="1"/>
  <c r="G22" i="2"/>
  <c r="G21" i="4" s="1"/>
  <c r="I22" i="2"/>
  <c r="J21" i="4" s="1"/>
  <c r="K22" i="2"/>
  <c r="M21" i="4" s="1"/>
  <c r="G21" i="5" s="1"/>
  <c r="M22" i="2"/>
  <c r="I24" i="2"/>
  <c r="J23" i="4" s="1"/>
  <c r="K24" i="2"/>
  <c r="M23" i="4" s="1"/>
  <c r="G23" i="5" s="1"/>
  <c r="M24" i="2"/>
  <c r="P23" i="4" s="1"/>
  <c r="K23" i="5" s="1"/>
  <c r="G25" i="2"/>
  <c r="G24" i="4" s="1"/>
  <c r="I25" i="2"/>
  <c r="J24" i="4" s="1"/>
  <c r="K25" i="2"/>
  <c r="M24" i="4" s="1"/>
  <c r="G24" i="5" s="1"/>
  <c r="M25" i="2"/>
  <c r="G26" i="2"/>
  <c r="G25" i="4" s="1"/>
  <c r="K26" i="2"/>
  <c r="M25" i="4" s="1"/>
  <c r="G25" i="5" s="1"/>
  <c r="M26" i="2"/>
  <c r="P25" i="4" s="1"/>
  <c r="K25" i="5" s="1"/>
  <c r="I28" i="2"/>
  <c r="J27" i="4" s="1"/>
  <c r="M28" i="2"/>
  <c r="G29" i="2"/>
  <c r="G28" i="4" s="1"/>
  <c r="K29" i="2"/>
  <c r="M28" i="4" s="1"/>
  <c r="G28" i="5" s="1"/>
  <c r="M29" i="2"/>
  <c r="P28" i="4" s="1"/>
  <c r="K28" i="5" s="1"/>
  <c r="G30" i="2"/>
  <c r="G29" i="4" s="1"/>
  <c r="K30" i="2"/>
  <c r="M29" i="4" s="1"/>
  <c r="G29" i="5" s="1"/>
  <c r="M30" i="2"/>
  <c r="P29" i="4" s="1"/>
  <c r="K29" i="5" s="1"/>
  <c r="I32" i="2"/>
  <c r="J31" i="4" s="1"/>
  <c r="G33" i="2"/>
  <c r="G32" i="4" s="1"/>
  <c r="I33" i="2"/>
  <c r="G34" i="2"/>
  <c r="G33" i="4" s="1"/>
  <c r="I34" i="2"/>
  <c r="J33" i="4" s="1"/>
  <c r="G36" i="2"/>
  <c r="G35" i="4" s="1"/>
  <c r="K36" i="2"/>
  <c r="M36" i="2"/>
  <c r="P35" i="4" s="1"/>
  <c r="K35" i="5" s="1"/>
  <c r="K37" i="2"/>
  <c r="M36" i="4" s="1"/>
  <c r="G36" i="5" s="1"/>
  <c r="M37" i="2"/>
  <c r="P36" i="4" s="1"/>
  <c r="K36" i="5" s="1"/>
  <c r="G38" i="2"/>
  <c r="I38" i="2"/>
  <c r="J37" i="4" s="1"/>
  <c r="K38" i="2"/>
  <c r="M38" i="2"/>
  <c r="P37" i="4" s="1"/>
  <c r="K37" i="5" s="1"/>
  <c r="A2" i="3"/>
  <c r="N2" i="3"/>
  <c r="Q6" i="3"/>
  <c r="Q7" i="3"/>
  <c r="Q9" i="3"/>
  <c r="Q10" i="3"/>
  <c r="Q11" i="3"/>
  <c r="Q12" i="3"/>
  <c r="Q14" i="3"/>
  <c r="Q15" i="3"/>
  <c r="Q16" i="3"/>
  <c r="Q17" i="3"/>
  <c r="Q19" i="3"/>
  <c r="Q20" i="3"/>
  <c r="Q21" i="3"/>
  <c r="Q22" i="3"/>
  <c r="Q24" i="3"/>
  <c r="Q25" i="3"/>
  <c r="Q26" i="3"/>
  <c r="Q28" i="3"/>
  <c r="Q29" i="3"/>
  <c r="Q30" i="3"/>
  <c r="Q32" i="3"/>
  <c r="Q33" i="3"/>
  <c r="Q34" i="3"/>
  <c r="Q36" i="3"/>
  <c r="G37" i="3"/>
  <c r="Q38" i="3"/>
  <c r="G44" i="3"/>
  <c r="K44" i="3"/>
  <c r="K44" i="2" s="1"/>
  <c r="M44" i="3"/>
  <c r="O44" i="3"/>
  <c r="O2" i="1"/>
  <c r="Q5" i="1"/>
  <c r="Q6" i="1"/>
  <c r="Q6" i="2" s="1"/>
  <c r="Q7" i="1"/>
  <c r="Q9" i="1"/>
  <c r="Q9" i="2" s="1"/>
  <c r="Q10" i="1"/>
  <c r="Q10" i="2" s="1"/>
  <c r="Q11" i="1"/>
  <c r="Q12" i="1"/>
  <c r="Q14" i="1"/>
  <c r="Q14" i="2" s="1"/>
  <c r="Q15" i="1"/>
  <c r="Q15" i="2" s="1"/>
  <c r="Q16" i="1"/>
  <c r="Q17" i="1"/>
  <c r="Q17" i="2" s="1"/>
  <c r="Q19" i="1"/>
  <c r="Q19" i="2" s="1"/>
  <c r="Q20" i="1"/>
  <c r="Q20" i="2" s="1"/>
  <c r="Q21" i="1"/>
  <c r="Q21" i="2" s="1"/>
  <c r="Q22" i="1"/>
  <c r="Q24" i="1"/>
  <c r="Q25" i="1"/>
  <c r="Q25" i="2" s="1"/>
  <c r="I26" i="1"/>
  <c r="Q28" i="1"/>
  <c r="Q29" i="1"/>
  <c r="Q30" i="1"/>
  <c r="Q32" i="1"/>
  <c r="Q32" i="2" s="1"/>
  <c r="Q33" i="1"/>
  <c r="Q34" i="1"/>
  <c r="Q34" i="2" s="1"/>
  <c r="I36" i="1"/>
  <c r="I36" i="2" s="1"/>
  <c r="J35" i="4" s="1"/>
  <c r="G37" i="1"/>
  <c r="G37" i="2" s="1"/>
  <c r="G36" i="4" s="1"/>
  <c r="I37" i="1"/>
  <c r="I37" i="2" s="1"/>
  <c r="J36" i="4" s="1"/>
  <c r="Q38" i="1"/>
  <c r="M44" i="1"/>
  <c r="M44" i="2" s="1"/>
  <c r="O44" i="1"/>
  <c r="O44" i="2" s="1"/>
  <c r="M17" i="5"/>
  <c r="N17" i="5"/>
  <c r="M42" i="5"/>
  <c r="N42" i="5"/>
  <c r="N43" i="5"/>
  <c r="N44" i="5"/>
  <c r="E4" i="4"/>
  <c r="F4" i="4"/>
  <c r="G4" i="4"/>
  <c r="I4" i="4"/>
  <c r="K4" i="4"/>
  <c r="E4" i="5" s="1"/>
  <c r="L4" i="4"/>
  <c r="F4" i="5" s="1"/>
  <c r="M4" i="4"/>
  <c r="G4" i="5" s="1"/>
  <c r="N4" i="4"/>
  <c r="I4" i="5" s="1"/>
  <c r="O4" i="4"/>
  <c r="J4" i="5" s="1"/>
  <c r="Q4" i="4"/>
  <c r="R4" i="4"/>
  <c r="S4" i="4"/>
  <c r="E5" i="4"/>
  <c r="F5" i="4"/>
  <c r="G5" i="4"/>
  <c r="H5" i="4"/>
  <c r="I5" i="4"/>
  <c r="K5" i="4"/>
  <c r="E5" i="5" s="1"/>
  <c r="L5" i="4"/>
  <c r="F5" i="5" s="1"/>
  <c r="M5" i="4"/>
  <c r="G5" i="5" s="1"/>
  <c r="N5" i="4"/>
  <c r="I5" i="5" s="1"/>
  <c r="O5" i="4"/>
  <c r="J5" i="5" s="1"/>
  <c r="Q5" i="4"/>
  <c r="R5" i="4"/>
  <c r="S5" i="4"/>
  <c r="E6" i="4"/>
  <c r="F6" i="4"/>
  <c r="H6" i="4"/>
  <c r="I6" i="4"/>
  <c r="K6" i="4"/>
  <c r="E6" i="5" s="1"/>
  <c r="L6" i="4"/>
  <c r="F6" i="5" s="1"/>
  <c r="M6" i="4"/>
  <c r="G6" i="5" s="1"/>
  <c r="N6" i="4"/>
  <c r="I6" i="5" s="1"/>
  <c r="O6" i="4"/>
  <c r="J6" i="5" s="1"/>
  <c r="Q6" i="4"/>
  <c r="R6" i="4"/>
  <c r="S6" i="4"/>
  <c r="E8" i="4"/>
  <c r="F8" i="4"/>
  <c r="G8" i="4"/>
  <c r="H8" i="4"/>
  <c r="I8" i="4"/>
  <c r="J8" i="4"/>
  <c r="K8" i="4"/>
  <c r="E8" i="5" s="1"/>
  <c r="L8" i="4"/>
  <c r="F8" i="5" s="1"/>
  <c r="N8" i="4"/>
  <c r="I8" i="5" s="1"/>
  <c r="O8" i="4"/>
  <c r="J8" i="5" s="1"/>
  <c r="Q8" i="4"/>
  <c r="R8" i="4"/>
  <c r="S8" i="4"/>
  <c r="E9" i="4"/>
  <c r="F9" i="4"/>
  <c r="G9" i="4"/>
  <c r="H9" i="4"/>
  <c r="I9" i="4"/>
  <c r="K9" i="4"/>
  <c r="E9" i="5" s="1"/>
  <c r="L9" i="4"/>
  <c r="F9" i="5" s="1"/>
  <c r="N9" i="4"/>
  <c r="I9" i="5" s="1"/>
  <c r="O9" i="4"/>
  <c r="J9" i="5" s="1"/>
  <c r="Q9" i="4"/>
  <c r="R9" i="4"/>
  <c r="S9" i="4"/>
  <c r="E10" i="4"/>
  <c r="F10" i="4"/>
  <c r="H10" i="4"/>
  <c r="I10" i="4"/>
  <c r="K10" i="4"/>
  <c r="E10" i="5" s="1"/>
  <c r="L10" i="4"/>
  <c r="F10" i="5" s="1"/>
  <c r="M10" i="4"/>
  <c r="G10" i="5" s="1"/>
  <c r="N10" i="4"/>
  <c r="I10" i="5" s="1"/>
  <c r="O10" i="4"/>
  <c r="J10" i="5" s="1"/>
  <c r="Q10" i="4"/>
  <c r="R10" i="4"/>
  <c r="S10" i="4"/>
  <c r="E11" i="4"/>
  <c r="F11" i="4"/>
  <c r="G11" i="4"/>
  <c r="H11" i="4"/>
  <c r="I11" i="4"/>
  <c r="K11" i="4"/>
  <c r="E11" i="5" s="1"/>
  <c r="L11" i="4"/>
  <c r="F11" i="5" s="1"/>
  <c r="N11" i="4"/>
  <c r="I11" i="5" s="1"/>
  <c r="O11" i="4"/>
  <c r="J11" i="5" s="1"/>
  <c r="Q11" i="4"/>
  <c r="R11" i="4"/>
  <c r="S11" i="4"/>
  <c r="E12" i="4"/>
  <c r="O12" i="4"/>
  <c r="E13" i="4"/>
  <c r="F13" i="4"/>
  <c r="G13" i="4"/>
  <c r="H13" i="4"/>
  <c r="I13" i="4"/>
  <c r="J13" i="4"/>
  <c r="K13" i="4"/>
  <c r="L13" i="4"/>
  <c r="F13" i="5" s="1"/>
  <c r="N13" i="4"/>
  <c r="I13" i="5" s="1"/>
  <c r="O13" i="4"/>
  <c r="P13" i="4"/>
  <c r="K13" i="5" s="1"/>
  <c r="Q13" i="4"/>
  <c r="R13" i="4"/>
  <c r="S13" i="4"/>
  <c r="E14" i="4"/>
  <c r="F14" i="4"/>
  <c r="F17" i="4" s="1"/>
  <c r="G14" i="4"/>
  <c r="H14" i="4"/>
  <c r="I14" i="4"/>
  <c r="K14" i="4"/>
  <c r="E14" i="5" s="1"/>
  <c r="L14" i="4"/>
  <c r="F14" i="5" s="1"/>
  <c r="N14" i="4"/>
  <c r="I14" i="5" s="1"/>
  <c r="O14" i="4"/>
  <c r="J14" i="5" s="1"/>
  <c r="Q14" i="4"/>
  <c r="R14" i="4"/>
  <c r="S14" i="4"/>
  <c r="E15" i="4"/>
  <c r="F15" i="4"/>
  <c r="H15" i="4"/>
  <c r="I15" i="4"/>
  <c r="K15" i="4"/>
  <c r="E15" i="5" s="1"/>
  <c r="L15" i="4"/>
  <c r="F15" i="5" s="1"/>
  <c r="N15" i="4"/>
  <c r="I15" i="5" s="1"/>
  <c r="O15" i="4"/>
  <c r="J15" i="5" s="1"/>
  <c r="P15" i="4"/>
  <c r="K15" i="5" s="1"/>
  <c r="Q15" i="4"/>
  <c r="R15" i="4"/>
  <c r="S15" i="4"/>
  <c r="E16" i="4"/>
  <c r="F16" i="4"/>
  <c r="G16" i="4"/>
  <c r="H16" i="4"/>
  <c r="I16" i="4"/>
  <c r="K16" i="4"/>
  <c r="E16" i="5" s="1"/>
  <c r="L16" i="4"/>
  <c r="F16" i="5" s="1"/>
  <c r="N16" i="4"/>
  <c r="I16" i="5" s="1"/>
  <c r="O16" i="4"/>
  <c r="J16" i="5" s="1"/>
  <c r="Q16" i="4"/>
  <c r="R16" i="4"/>
  <c r="S16" i="4"/>
  <c r="E18" i="4"/>
  <c r="F18" i="4"/>
  <c r="G18" i="4"/>
  <c r="H18" i="4"/>
  <c r="K18" i="4"/>
  <c r="E18" i="5" s="1"/>
  <c r="L18" i="4"/>
  <c r="F18" i="5" s="1"/>
  <c r="N18" i="4"/>
  <c r="I18" i="5" s="1"/>
  <c r="O18" i="4"/>
  <c r="J18" i="5" s="1"/>
  <c r="P18" i="4"/>
  <c r="K18" i="5" s="1"/>
  <c r="Q18" i="4"/>
  <c r="R18" i="4"/>
  <c r="S18" i="4"/>
  <c r="E19" i="4"/>
  <c r="F19" i="4"/>
  <c r="H19" i="4"/>
  <c r="I19" i="4"/>
  <c r="K19" i="4"/>
  <c r="E19" i="5" s="1"/>
  <c r="L19" i="4"/>
  <c r="F19" i="5" s="1"/>
  <c r="N19" i="4"/>
  <c r="I19" i="5" s="1"/>
  <c r="Q19" i="5" s="1"/>
  <c r="O19" i="4"/>
  <c r="J19" i="5" s="1"/>
  <c r="P19" i="4"/>
  <c r="K19" i="5" s="1"/>
  <c r="Q19" i="4"/>
  <c r="R19" i="4"/>
  <c r="S19" i="4"/>
  <c r="F20" i="4"/>
  <c r="H20" i="4"/>
  <c r="I20" i="4"/>
  <c r="K20" i="4"/>
  <c r="E20" i="5" s="1"/>
  <c r="L20" i="4"/>
  <c r="F20" i="5" s="1"/>
  <c r="M20" i="4"/>
  <c r="G20" i="5" s="1"/>
  <c r="N20" i="4"/>
  <c r="O20" i="4"/>
  <c r="J20" i="5" s="1"/>
  <c r="Q20" i="4"/>
  <c r="R20" i="4"/>
  <c r="S20" i="4"/>
  <c r="E21" i="4"/>
  <c r="F21" i="4"/>
  <c r="H21" i="4"/>
  <c r="I21" i="4"/>
  <c r="K21" i="4"/>
  <c r="E21" i="5" s="1"/>
  <c r="L21" i="4"/>
  <c r="F21" i="5" s="1"/>
  <c r="N21" i="4"/>
  <c r="I21" i="5" s="1"/>
  <c r="O21" i="4"/>
  <c r="J21" i="5" s="1"/>
  <c r="P21" i="4"/>
  <c r="K21" i="5" s="1"/>
  <c r="Q21" i="4"/>
  <c r="R21" i="4"/>
  <c r="S21" i="4"/>
  <c r="E23" i="4"/>
  <c r="F23" i="4"/>
  <c r="G23" i="4"/>
  <c r="H23" i="4"/>
  <c r="I23" i="4"/>
  <c r="K23" i="4"/>
  <c r="E23" i="5" s="1"/>
  <c r="L23" i="4"/>
  <c r="F23" i="5" s="1"/>
  <c r="N23" i="4"/>
  <c r="I23" i="5" s="1"/>
  <c r="O23" i="4"/>
  <c r="J23" i="5" s="1"/>
  <c r="Q23" i="4"/>
  <c r="R23" i="4"/>
  <c r="S23" i="4"/>
  <c r="E24" i="4"/>
  <c r="F24" i="4"/>
  <c r="H24" i="4"/>
  <c r="I24" i="4"/>
  <c r="K24" i="4"/>
  <c r="E24" i="5" s="1"/>
  <c r="L24" i="4"/>
  <c r="F24" i="5" s="1"/>
  <c r="N24" i="4"/>
  <c r="O24" i="4"/>
  <c r="J24" i="5" s="1"/>
  <c r="P24" i="4"/>
  <c r="K24" i="5" s="1"/>
  <c r="Q24" i="4"/>
  <c r="R24" i="4"/>
  <c r="S24" i="4"/>
  <c r="E25" i="4"/>
  <c r="F25" i="4"/>
  <c r="H25" i="4"/>
  <c r="I25" i="4"/>
  <c r="K25" i="4"/>
  <c r="E25" i="5" s="1"/>
  <c r="L25" i="4"/>
  <c r="N25" i="4"/>
  <c r="I25" i="5" s="1"/>
  <c r="O25" i="4"/>
  <c r="J25" i="5" s="1"/>
  <c r="Q25" i="4"/>
  <c r="R25" i="4"/>
  <c r="S25" i="4"/>
  <c r="E27" i="4"/>
  <c r="F27" i="4"/>
  <c r="G27" i="4"/>
  <c r="H27" i="4"/>
  <c r="I27" i="4"/>
  <c r="K27" i="4"/>
  <c r="L27" i="4"/>
  <c r="F27" i="5" s="1"/>
  <c r="M27" i="4"/>
  <c r="G27" i="5" s="1"/>
  <c r="N27" i="4"/>
  <c r="I27" i="5" s="1"/>
  <c r="Q27" i="5" s="1"/>
  <c r="O27" i="4"/>
  <c r="J27" i="5" s="1"/>
  <c r="P27" i="4"/>
  <c r="K27" i="5" s="1"/>
  <c r="Q27" i="4"/>
  <c r="R27" i="4"/>
  <c r="S27" i="4"/>
  <c r="E28" i="4"/>
  <c r="F28" i="4"/>
  <c r="H28" i="4"/>
  <c r="J28" i="4"/>
  <c r="K28" i="4"/>
  <c r="E28" i="5" s="1"/>
  <c r="L28" i="4"/>
  <c r="F28" i="5" s="1"/>
  <c r="N28" i="4"/>
  <c r="I28" i="5" s="1"/>
  <c r="O28" i="4"/>
  <c r="J28" i="5" s="1"/>
  <c r="Q28" i="4"/>
  <c r="R28" i="4"/>
  <c r="S28" i="4"/>
  <c r="E29" i="4"/>
  <c r="F29" i="4"/>
  <c r="I29" i="4"/>
  <c r="J29" i="4"/>
  <c r="K29" i="4"/>
  <c r="E29" i="5" s="1"/>
  <c r="L29" i="4"/>
  <c r="N29" i="4"/>
  <c r="I29" i="5" s="1"/>
  <c r="O29" i="4"/>
  <c r="J29" i="5" s="1"/>
  <c r="Q29" i="4"/>
  <c r="R29" i="4"/>
  <c r="S29" i="4"/>
  <c r="E31" i="4"/>
  <c r="F31" i="4"/>
  <c r="G31" i="4"/>
  <c r="H31" i="4"/>
  <c r="T31" i="4" s="1"/>
  <c r="I31" i="4"/>
  <c r="K31" i="4"/>
  <c r="E31" i="5" s="1"/>
  <c r="L31" i="4"/>
  <c r="F31" i="5" s="1"/>
  <c r="M31" i="4"/>
  <c r="G31" i="5" s="1"/>
  <c r="N31" i="4"/>
  <c r="I31" i="5" s="1"/>
  <c r="O31" i="4"/>
  <c r="J31" i="5" s="1"/>
  <c r="P31" i="4"/>
  <c r="K31" i="5" s="1"/>
  <c r="Q31" i="4"/>
  <c r="R31" i="4"/>
  <c r="S31" i="4"/>
  <c r="E32" i="4"/>
  <c r="F32" i="4"/>
  <c r="H32" i="4"/>
  <c r="I32" i="4"/>
  <c r="I34" i="4" s="1"/>
  <c r="J32" i="4"/>
  <c r="K32" i="4"/>
  <c r="E32" i="5" s="1"/>
  <c r="L32" i="4"/>
  <c r="F32" i="5" s="1"/>
  <c r="M32" i="4"/>
  <c r="G32" i="5" s="1"/>
  <c r="N32" i="4"/>
  <c r="I32" i="5" s="1"/>
  <c r="O32" i="4"/>
  <c r="J32" i="5" s="1"/>
  <c r="P32" i="4"/>
  <c r="K32" i="5" s="1"/>
  <c r="Q32" i="4"/>
  <c r="R32" i="4"/>
  <c r="S32" i="4"/>
  <c r="E33" i="4"/>
  <c r="F33" i="4"/>
  <c r="H33" i="4"/>
  <c r="I33" i="4"/>
  <c r="K33" i="4"/>
  <c r="E33" i="5" s="1"/>
  <c r="L33" i="4"/>
  <c r="F33" i="5" s="1"/>
  <c r="M33" i="4"/>
  <c r="G33" i="5" s="1"/>
  <c r="N33" i="4"/>
  <c r="I33" i="5" s="1"/>
  <c r="O33" i="4"/>
  <c r="J33" i="5" s="1"/>
  <c r="P33" i="4"/>
  <c r="K33" i="5" s="1"/>
  <c r="Q33" i="4"/>
  <c r="R33" i="4"/>
  <c r="S33" i="4"/>
  <c r="U33" i="4"/>
  <c r="H34" i="4"/>
  <c r="E35" i="4"/>
  <c r="F35" i="4"/>
  <c r="H35" i="4"/>
  <c r="I35" i="4"/>
  <c r="K35" i="4"/>
  <c r="E35" i="5" s="1"/>
  <c r="L35" i="4"/>
  <c r="F35" i="5" s="1"/>
  <c r="M35" i="4"/>
  <c r="G35" i="5" s="1"/>
  <c r="N35" i="4"/>
  <c r="I35" i="5" s="1"/>
  <c r="O35" i="4"/>
  <c r="Q35" i="4"/>
  <c r="R35" i="4"/>
  <c r="S35" i="4"/>
  <c r="E36" i="4"/>
  <c r="F36" i="4"/>
  <c r="H36" i="4"/>
  <c r="I36" i="4"/>
  <c r="K36" i="4"/>
  <c r="L36" i="4"/>
  <c r="F36" i="5" s="1"/>
  <c r="N36" i="4"/>
  <c r="O36" i="4"/>
  <c r="J36" i="5" s="1"/>
  <c r="Q36" i="4"/>
  <c r="R36" i="4"/>
  <c r="S36" i="4"/>
  <c r="E37" i="4"/>
  <c r="F37" i="4"/>
  <c r="G37" i="4"/>
  <c r="H37" i="4"/>
  <c r="I37" i="4"/>
  <c r="K37" i="4"/>
  <c r="E37" i="5" s="1"/>
  <c r="L37" i="4"/>
  <c r="F37" i="5" s="1"/>
  <c r="M37" i="4"/>
  <c r="G37" i="5" s="1"/>
  <c r="N37" i="4"/>
  <c r="I37" i="5" s="1"/>
  <c r="O37" i="4"/>
  <c r="J37" i="5" s="1"/>
  <c r="Q37" i="4"/>
  <c r="R37" i="4"/>
  <c r="S37" i="4"/>
  <c r="F5" i="11"/>
  <c r="M5" i="11"/>
  <c r="T5" i="11"/>
  <c r="AA5" i="11"/>
  <c r="AH5" i="11"/>
  <c r="M6" i="11"/>
  <c r="T6" i="11"/>
  <c r="AA6" i="11"/>
  <c r="AH6" i="11"/>
  <c r="M7" i="11"/>
  <c r="T7" i="11"/>
  <c r="AH7" i="11"/>
  <c r="M8" i="11"/>
  <c r="T8" i="11"/>
  <c r="AH8" i="11"/>
  <c r="M9" i="11"/>
  <c r="AH9" i="11"/>
  <c r="C10" i="11"/>
  <c r="D10" i="11"/>
  <c r="E10" i="11"/>
  <c r="F10" i="11" s="1"/>
  <c r="X10" i="11"/>
  <c r="Y10" i="11"/>
  <c r="Z10" i="11"/>
  <c r="AA10" i="11" s="1"/>
  <c r="Q11" i="11"/>
  <c r="R11" i="11"/>
  <c r="S11" i="11"/>
  <c r="T11" i="11" s="1"/>
  <c r="F14" i="11"/>
  <c r="J14" i="11"/>
  <c r="K14" i="11"/>
  <c r="L14" i="11"/>
  <c r="M14" i="11"/>
  <c r="T15" i="11"/>
  <c r="AA15" i="11"/>
  <c r="T16" i="11"/>
  <c r="AA16" i="11"/>
  <c r="AA17" i="11"/>
  <c r="M18" i="11"/>
  <c r="C19" i="11"/>
  <c r="D19" i="11"/>
  <c r="E19" i="11"/>
  <c r="F19" i="11"/>
  <c r="M19" i="11"/>
  <c r="M20" i="11"/>
  <c r="X20" i="11"/>
  <c r="Y20" i="11"/>
  <c r="Z20" i="11"/>
  <c r="AA20" i="11"/>
  <c r="Q21" i="11"/>
  <c r="R21" i="11"/>
  <c r="S21" i="11"/>
  <c r="J23" i="11"/>
  <c r="K23" i="11"/>
  <c r="L23" i="11"/>
  <c r="M23" i="11" s="1"/>
  <c r="T25" i="11"/>
  <c r="T26" i="11"/>
  <c r="M27" i="11"/>
  <c r="T27" i="11"/>
  <c r="M28" i="11"/>
  <c r="T28" i="11"/>
  <c r="M29" i="11"/>
  <c r="T29" i="11"/>
  <c r="M30" i="11"/>
  <c r="X30" i="11"/>
  <c r="Y30" i="11"/>
  <c r="Z30" i="11"/>
  <c r="AA30" i="11"/>
  <c r="Q31" i="11"/>
  <c r="R31" i="11"/>
  <c r="S31" i="11"/>
  <c r="T31" i="11"/>
  <c r="C32" i="11"/>
  <c r="D32" i="11"/>
  <c r="E32" i="11"/>
  <c r="J32" i="11"/>
  <c r="K32" i="11"/>
  <c r="L32" i="11"/>
  <c r="M32" i="11" s="1"/>
  <c r="AE32" i="11"/>
  <c r="AF32" i="11"/>
  <c r="AG32" i="11"/>
  <c r="AH32" i="11" s="1"/>
  <c r="T35" i="11"/>
  <c r="M36" i="11"/>
  <c r="T36" i="11"/>
  <c r="M37" i="11"/>
  <c r="M38" i="11"/>
  <c r="M39" i="11"/>
  <c r="Q40" i="11"/>
  <c r="R40" i="11"/>
  <c r="S40" i="11"/>
  <c r="T40" i="11" s="1"/>
  <c r="J41" i="11"/>
  <c r="K41" i="11"/>
  <c r="L41" i="11"/>
  <c r="M41" i="11" s="1"/>
  <c r="T44" i="11"/>
  <c r="C45" i="11"/>
  <c r="D45" i="11"/>
  <c r="E45" i="11"/>
  <c r="M45" i="11"/>
  <c r="T45" i="11"/>
  <c r="M46" i="11"/>
  <c r="Q49" i="11"/>
  <c r="R49" i="11"/>
  <c r="S49" i="11"/>
  <c r="T49" i="11"/>
  <c r="J50" i="11"/>
  <c r="K50" i="11"/>
  <c r="L50" i="11"/>
  <c r="M50" i="11"/>
  <c r="M54" i="11"/>
  <c r="M55" i="11"/>
  <c r="M56" i="11"/>
  <c r="M57" i="11"/>
  <c r="M58" i="11"/>
  <c r="M59" i="11"/>
  <c r="J60" i="11"/>
  <c r="K60" i="11"/>
  <c r="L60" i="11"/>
  <c r="M60" i="11"/>
  <c r="M64" i="11"/>
  <c r="M65" i="11"/>
  <c r="M66" i="11"/>
  <c r="M67" i="11"/>
  <c r="M68" i="11"/>
  <c r="M69" i="11"/>
  <c r="J70" i="11"/>
  <c r="K70" i="11"/>
  <c r="L70" i="11"/>
  <c r="M70" i="11"/>
  <c r="Q36" i="1"/>
  <c r="Q26" i="1"/>
  <c r="G44" i="1"/>
  <c r="Q37" i="1"/>
  <c r="F30" i="4"/>
  <c r="N30" i="4"/>
  <c r="I20" i="5"/>
  <c r="E27" i="5"/>
  <c r="F25" i="5"/>
  <c r="T18" i="4"/>
  <c r="J13" i="5"/>
  <c r="O17" i="4"/>
  <c r="E13" i="5"/>
  <c r="T13" i="4"/>
  <c r="E34" i="4"/>
  <c r="H26" i="4"/>
  <c r="R12" i="4"/>
  <c r="U31" i="4"/>
  <c r="K30" i="4"/>
  <c r="K26" i="4"/>
  <c r="N17" i="4"/>
  <c r="U15" i="4"/>
  <c r="G44" i="2" l="1"/>
  <c r="Q22" i="2"/>
  <c r="Q12" i="2"/>
  <c r="Q7" i="2"/>
  <c r="Q38" i="2"/>
  <c r="Q40" i="3"/>
  <c r="H39" i="4"/>
  <c r="H41" i="4" s="1"/>
  <c r="J34" i="4"/>
  <c r="Q33" i="2"/>
  <c r="H29" i="4"/>
  <c r="Q28" i="2"/>
  <c r="I26" i="2"/>
  <c r="J25" i="4" s="1"/>
  <c r="Q24" i="2"/>
  <c r="Q16" i="2"/>
  <c r="Q11" i="2"/>
  <c r="Q38" i="4"/>
  <c r="Q37" i="3"/>
  <c r="Q37" i="2" s="1"/>
  <c r="Q30" i="2"/>
  <c r="Q29" i="2"/>
  <c r="T36" i="4"/>
  <c r="Q36" i="2"/>
  <c r="Q26" i="2"/>
  <c r="U11" i="4"/>
  <c r="I38" i="4"/>
  <c r="F38" i="4"/>
  <c r="R38" i="4"/>
  <c r="O38" i="4"/>
  <c r="H38" i="4"/>
  <c r="J38" i="4" s="1"/>
  <c r="E38" i="4"/>
  <c r="E30" i="4"/>
  <c r="F43" i="5"/>
  <c r="L38" i="4"/>
  <c r="F41" i="4"/>
  <c r="N41" i="4"/>
  <c r="L41" i="4"/>
  <c r="U40" i="4"/>
  <c r="G30" i="4"/>
  <c r="U27" i="4"/>
  <c r="K38" i="4"/>
  <c r="N38" i="4"/>
  <c r="P38" i="4" s="1"/>
  <c r="E41" i="4"/>
  <c r="G41" i="4" s="1"/>
  <c r="Q41" i="4"/>
  <c r="T40" i="4"/>
  <c r="Q41" i="2"/>
  <c r="K47" i="1"/>
  <c r="F44" i="5"/>
  <c r="O41" i="4"/>
  <c r="O47" i="1"/>
  <c r="I40" i="5"/>
  <c r="I41" i="5" s="1"/>
  <c r="K41" i="5" s="1"/>
  <c r="K41" i="4"/>
  <c r="M41" i="4" s="1"/>
  <c r="G41" i="5"/>
  <c r="G47" i="1"/>
  <c r="G48" i="1" s="1"/>
  <c r="R39" i="5"/>
  <c r="Q39" i="5"/>
  <c r="U38" i="4"/>
  <c r="E26" i="4"/>
  <c r="E7" i="4"/>
  <c r="U36" i="4"/>
  <c r="N26" i="4"/>
  <c r="R30" i="4"/>
  <c r="R26" i="4"/>
  <c r="U20" i="4"/>
  <c r="T15" i="4"/>
  <c r="I28" i="4"/>
  <c r="I30" i="4" s="1"/>
  <c r="T6" i="4"/>
  <c r="K12" i="4"/>
  <c r="K34" i="4"/>
  <c r="O26" i="4"/>
  <c r="L12" i="4"/>
  <c r="I24" i="5"/>
  <c r="Q34" i="4"/>
  <c r="T32" i="4"/>
  <c r="T21" i="4"/>
  <c r="U9" i="4"/>
  <c r="N7" i="4"/>
  <c r="Q7" i="4"/>
  <c r="R7" i="4"/>
  <c r="U23" i="4"/>
  <c r="Q12" i="4"/>
  <c r="U6" i="4"/>
  <c r="K7" i="4"/>
  <c r="T11" i="4"/>
  <c r="L7" i="4"/>
  <c r="K17" i="4"/>
  <c r="O22" i="4"/>
  <c r="L26" i="4"/>
  <c r="T27" i="4"/>
  <c r="L30" i="4"/>
  <c r="M30" i="4" s="1"/>
  <c r="U37" i="4"/>
  <c r="N34" i="4"/>
  <c r="T34" i="4" s="1"/>
  <c r="R34" i="4"/>
  <c r="T33" i="4"/>
  <c r="T28" i="4"/>
  <c r="Q30" i="4"/>
  <c r="I26" i="4"/>
  <c r="Q24" i="5"/>
  <c r="U24" i="4"/>
  <c r="T20" i="4"/>
  <c r="H22" i="4"/>
  <c r="L17" i="4"/>
  <c r="M17" i="4" s="1"/>
  <c r="U16" i="4"/>
  <c r="Q15" i="5"/>
  <c r="Q11" i="5"/>
  <c r="I12" i="4"/>
  <c r="T9" i="4"/>
  <c r="U8" i="4"/>
  <c r="R8" i="5"/>
  <c r="R5" i="5"/>
  <c r="E17" i="5"/>
  <c r="M26" i="4"/>
  <c r="R37" i="5"/>
  <c r="T37" i="4"/>
  <c r="F34" i="5"/>
  <c r="F34" i="4"/>
  <c r="G34" i="4" s="1"/>
  <c r="U29" i="4"/>
  <c r="H30" i="4"/>
  <c r="J26" i="5"/>
  <c r="T24" i="4"/>
  <c r="F26" i="4"/>
  <c r="G26" i="4" s="1"/>
  <c r="F26" i="5"/>
  <c r="F22" i="4"/>
  <c r="E17" i="4"/>
  <c r="R9" i="5"/>
  <c r="S7" i="4"/>
  <c r="J26" i="4"/>
  <c r="U21" i="4"/>
  <c r="E20" i="4"/>
  <c r="E22" i="4" s="1"/>
  <c r="Q16" i="5"/>
  <c r="H17" i="4"/>
  <c r="T10" i="4"/>
  <c r="T8" i="4"/>
  <c r="I7" i="4"/>
  <c r="T5" i="4"/>
  <c r="F7" i="4"/>
  <c r="O50" i="1"/>
  <c r="N47" i="5" s="1"/>
  <c r="F38" i="5"/>
  <c r="Q35" i="5"/>
  <c r="J34" i="5"/>
  <c r="Q37" i="5"/>
  <c r="R36" i="5"/>
  <c r="E34" i="5"/>
  <c r="Q23" i="5"/>
  <c r="U25" i="4"/>
  <c r="Q26" i="4"/>
  <c r="U19" i="4"/>
  <c r="T16" i="4"/>
  <c r="N22" i="4"/>
  <c r="O34" i="4"/>
  <c r="K50" i="1"/>
  <c r="F47" i="5" s="1"/>
  <c r="T35" i="4"/>
  <c r="P17" i="4"/>
  <c r="K22" i="4"/>
  <c r="R25" i="5"/>
  <c r="I26" i="5"/>
  <c r="U35" i="4"/>
  <c r="L34" i="4"/>
  <c r="U34" i="4" s="1"/>
  <c r="U32" i="4"/>
  <c r="O30" i="4"/>
  <c r="F29" i="5"/>
  <c r="R29" i="5" s="1"/>
  <c r="T29" i="4"/>
  <c r="T23" i="4"/>
  <c r="L22" i="4"/>
  <c r="T19" i="4"/>
  <c r="T14" i="4"/>
  <c r="U13" i="4"/>
  <c r="N12" i="4"/>
  <c r="P12" i="4" s="1"/>
  <c r="U10" i="4"/>
  <c r="O7" i="4"/>
  <c r="U5" i="4"/>
  <c r="J35" i="5"/>
  <c r="J38" i="5" s="1"/>
  <c r="E36" i="5"/>
  <c r="U14" i="4"/>
  <c r="H12" i="4"/>
  <c r="F12" i="4"/>
  <c r="I36" i="5"/>
  <c r="I38" i="5" s="1"/>
  <c r="Q34" i="5"/>
  <c r="R34" i="5"/>
  <c r="I34" i="5"/>
  <c r="K34" i="5" s="1"/>
  <c r="Q20" i="5"/>
  <c r="R15" i="5"/>
  <c r="R10" i="5"/>
  <c r="Q8" i="5"/>
  <c r="J22" i="5"/>
  <c r="F12" i="5"/>
  <c r="Q6" i="5"/>
  <c r="R23" i="5"/>
  <c r="I17" i="5"/>
  <c r="R14" i="5"/>
  <c r="Q13" i="5"/>
  <c r="F17" i="5"/>
  <c r="G17" i="5" s="1"/>
  <c r="R21" i="5"/>
  <c r="R24" i="5"/>
  <c r="R13" i="5"/>
  <c r="I30" i="5"/>
  <c r="R20" i="5"/>
  <c r="R19" i="5"/>
  <c r="I12" i="5"/>
  <c r="Q10" i="5"/>
  <c r="R6" i="5"/>
  <c r="Q5" i="5"/>
  <c r="F30" i="5"/>
  <c r="R28" i="5"/>
  <c r="R27" i="5"/>
  <c r="J30" i="5"/>
  <c r="Q25" i="5"/>
  <c r="Q26" i="5" s="1"/>
  <c r="E26" i="5"/>
  <c r="Q42" i="4"/>
  <c r="Q21" i="5"/>
  <c r="E22" i="5"/>
  <c r="E12" i="5"/>
  <c r="G12" i="5" s="1"/>
  <c r="Q9" i="5"/>
  <c r="G12" i="4"/>
  <c r="G7" i="4"/>
  <c r="R4" i="5"/>
  <c r="F7" i="5"/>
  <c r="J43" i="5"/>
  <c r="I7" i="5"/>
  <c r="Q28" i="5"/>
  <c r="E30" i="5"/>
  <c r="I22" i="5"/>
  <c r="Q18" i="5"/>
  <c r="R18" i="5"/>
  <c r="F22" i="5"/>
  <c r="R16" i="5"/>
  <c r="J17" i="5"/>
  <c r="G17" i="4"/>
  <c r="J12" i="5"/>
  <c r="R11" i="5"/>
  <c r="R12" i="5" s="1"/>
  <c r="Q4" i="5"/>
  <c r="E7" i="5"/>
  <c r="G26" i="5"/>
  <c r="K22" i="5"/>
  <c r="Q29" i="5"/>
  <c r="J7" i="5"/>
  <c r="T25" i="4"/>
  <c r="I17" i="4"/>
  <c r="Q14" i="5"/>
  <c r="U4" i="4"/>
  <c r="U26" i="4" l="1"/>
  <c r="G50" i="1"/>
  <c r="T39" i="4"/>
  <c r="G49" i="1"/>
  <c r="F43" i="4" s="1"/>
  <c r="P41" i="4"/>
  <c r="T38" i="4"/>
  <c r="G38" i="4"/>
  <c r="J42" i="5"/>
  <c r="I42" i="5"/>
  <c r="L42" i="4"/>
  <c r="P7" i="4"/>
  <c r="O42" i="4"/>
  <c r="U7" i="4"/>
  <c r="F42" i="4"/>
  <c r="F42" i="5"/>
  <c r="T30" i="4"/>
  <c r="T17" i="4"/>
  <c r="K42" i="4"/>
  <c r="N42" i="4"/>
  <c r="E42" i="4"/>
  <c r="M38" i="4"/>
  <c r="K49" i="1"/>
  <c r="K48" i="1"/>
  <c r="O48" i="1"/>
  <c r="N45" i="5"/>
  <c r="O49" i="1"/>
  <c r="T41" i="4"/>
  <c r="G34" i="5"/>
  <c r="Q17" i="5"/>
  <c r="K12" i="5"/>
  <c r="K17" i="5"/>
  <c r="G22" i="5"/>
  <c r="R7" i="5"/>
  <c r="R26" i="5"/>
  <c r="U12" i="4"/>
  <c r="K26" i="5"/>
  <c r="P34" i="4"/>
  <c r="T26" i="4"/>
  <c r="G22" i="4"/>
  <c r="M7" i="4"/>
  <c r="R42" i="4"/>
  <c r="S42" i="4" s="1"/>
  <c r="P26" i="4"/>
  <c r="J30" i="4"/>
  <c r="R17" i="5"/>
  <c r="R22" i="5"/>
  <c r="U28" i="4"/>
  <c r="M12" i="4"/>
  <c r="I22" i="4"/>
  <c r="J22" i="4" s="1"/>
  <c r="U18" i="4"/>
  <c r="T12" i="4"/>
  <c r="J12" i="4"/>
  <c r="T22" i="4"/>
  <c r="M34" i="4"/>
  <c r="R35" i="5"/>
  <c r="R38" i="5" s="1"/>
  <c r="R41" i="5" s="1"/>
  <c r="M22" i="4"/>
  <c r="P30" i="4"/>
  <c r="U30" i="4"/>
  <c r="Q7" i="5"/>
  <c r="Q22" i="5"/>
  <c r="Q12" i="5"/>
  <c r="K30" i="5"/>
  <c r="K38" i="5"/>
  <c r="P22" i="4"/>
  <c r="Q36" i="5"/>
  <c r="Q38" i="5" s="1"/>
  <c r="Q41" i="5" s="1"/>
  <c r="E38" i="5"/>
  <c r="E42" i="5" s="1"/>
  <c r="U17" i="4"/>
  <c r="J17" i="4"/>
  <c r="M47" i="1"/>
  <c r="M48" i="1" s="1"/>
  <c r="J44" i="5"/>
  <c r="Q46" i="1"/>
  <c r="Q30" i="5"/>
  <c r="K7" i="5"/>
  <c r="G7" i="5"/>
  <c r="R30" i="5"/>
  <c r="G30" i="5"/>
  <c r="G42" i="4" l="1"/>
  <c r="U22" i="4"/>
  <c r="R42" i="5"/>
  <c r="Q42" i="5"/>
  <c r="F46" i="5"/>
  <c r="L43" i="4"/>
  <c r="N46" i="5"/>
  <c r="R43" i="4"/>
  <c r="P42" i="4"/>
  <c r="M42" i="4"/>
  <c r="G38" i="5"/>
  <c r="F45" i="5"/>
  <c r="G42" i="5"/>
  <c r="J45" i="5"/>
  <c r="K42" i="5"/>
  <c r="M49" i="1"/>
  <c r="M50" i="1"/>
  <c r="J46" i="5" l="1"/>
  <c r="O43" i="4"/>
  <c r="J47" i="5"/>
  <c r="I39" i="4"/>
  <c r="I41" i="4" s="1"/>
  <c r="Q40" i="1"/>
  <c r="Q40" i="2" s="1"/>
  <c r="I44" i="1"/>
  <c r="Q44" i="1" s="1"/>
  <c r="U39" i="4" l="1"/>
  <c r="J41" i="4"/>
  <c r="I42" i="4"/>
  <c r="I47" i="1"/>
  <c r="I48" i="1" s="1"/>
  <c r="U41" i="4"/>
  <c r="I49" i="1" l="1"/>
  <c r="I43" i="4" s="1"/>
  <c r="Q47" i="1"/>
  <c r="Q48" i="1"/>
  <c r="I50" i="1"/>
  <c r="Q50" i="1" s="1"/>
  <c r="U42" i="4"/>
  <c r="Q49" i="1" l="1"/>
  <c r="J4" i="4"/>
  <c r="H4" i="4"/>
  <c r="T4" i="4" l="1"/>
  <c r="H7" i="4"/>
  <c r="I44" i="3"/>
  <c r="I44" i="2" s="1"/>
  <c r="Q5" i="3"/>
  <c r="Q5" i="2" l="1"/>
  <c r="Q44" i="3"/>
  <c r="Q44" i="2" s="1"/>
  <c r="T7" i="4"/>
  <c r="H42" i="4"/>
  <c r="J7" i="4"/>
  <c r="T42" i="4" l="1"/>
  <c r="J42" i="4"/>
</calcChain>
</file>

<file path=xl/comments1.xml><?xml version="1.0" encoding="utf-8"?>
<comments xmlns="http://schemas.openxmlformats.org/spreadsheetml/2006/main">
  <authors>
    <author>John R. Deibert</author>
  </authors>
  <commentList>
    <comment ref="I19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Harvest estimated based on information collected from harvesters that were on the beach on 1/8/09 and 1/9/09. WDFW crews were not able to get to beach on 1/8/09 due to severe floodinig.</t>
        </r>
      </text>
    </comment>
    <comment ref="K19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Harvest estimated based on information collected from harvesters that were on the beach on 1/8/09 and 1/9/09. WDFW crews were not able to get to beach on 1/8/09 due to severe floodinig.</t>
        </r>
      </text>
    </comment>
    <comment ref="M19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Harvest estimated based on information collected from harvesters that were on the beach on 1/8/09 and 1/9/09. WDFW crews were not able to get to beach on 1/8/09 due to severe floodinig.</t>
        </r>
      </text>
    </comment>
    <comment ref="I26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Harvest estimated based on data collected from Copalis and Mocrocks beaches.</t>
        </r>
      </text>
    </comment>
  </commentList>
</comments>
</file>

<file path=xl/comments2.xml><?xml version="1.0" encoding="utf-8"?>
<comments xmlns="http://schemas.openxmlformats.org/spreadsheetml/2006/main">
  <authors>
    <author>Test</author>
  </authors>
  <commentList>
    <comment ref="U42" authorId="0">
      <text>
        <r>
          <rPr>
            <b/>
            <sz val="8"/>
            <color indexed="81"/>
            <rFont val="Tahoma"/>
            <family val="2"/>
          </rPr>
          <t>Test:</t>
        </r>
        <r>
          <rPr>
            <sz val="8"/>
            <color indexed="81"/>
            <rFont val="Tahoma"/>
            <family val="2"/>
          </rPr>
          <t xml:space="preserve">
no wastage included</t>
        </r>
      </text>
    </comment>
  </commentList>
</comments>
</file>

<file path=xl/comments3.xml><?xml version="1.0" encoding="utf-8"?>
<comments xmlns="http://schemas.openxmlformats.org/spreadsheetml/2006/main">
  <authors>
    <author>John R. Deibert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LAST TAC = 1,245,337
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1,180,370
</t>
        </r>
      </text>
    </comment>
    <comment ref="B6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712696
</t>
        </r>
      </text>
    </comment>
    <comment ref="B7" authorId="0">
      <text>
        <r>
          <rPr>
            <b/>
            <sz val="8"/>
            <color indexed="81"/>
            <rFont val="Tahoma"/>
            <family val="2"/>
          </rPr>
          <t>John R. Deibert:
375,464</t>
        </r>
      </text>
    </comment>
    <comment ref="B8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34,527</t>
        </r>
      </text>
    </comment>
    <comment ref="B9" authorId="0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3,548,394</t>
        </r>
      </text>
    </comment>
  </commentList>
</comments>
</file>

<file path=xl/sharedStrings.xml><?xml version="1.0" encoding="utf-8"?>
<sst xmlns="http://schemas.openxmlformats.org/spreadsheetml/2006/main" count="915" uniqueCount="85">
  <si>
    <t>update</t>
  </si>
  <si>
    <t>page 1 of 3</t>
  </si>
  <si>
    <t>LONG BEACH</t>
  </si>
  <si>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</si>
  <si>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</si>
  <si>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</si>
  <si>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</si>
  <si>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</si>
  <si>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</si>
  <si>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</si>
  <si>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</si>
  <si>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</si>
  <si>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</si>
  <si>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TWIN HARBORS</t>
  </si>
  <si>
    <t>COPALIS</t>
  </si>
  <si>
    <t>Sat</t>
  </si>
  <si>
    <t>MOCROCKS</t>
  </si>
  <si>
    <t>Sun</t>
  </si>
  <si>
    <t>KALALOCH</t>
  </si>
  <si>
    <t>October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</si>
  <si>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</si>
  <si>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</si>
  <si>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</si>
  <si>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</si>
  <si>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</si>
  <si>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page 2 of 3</t>
  </si>
  <si>
    <t>page 3 of 3</t>
  </si>
  <si>
    <t>DAILY TOTALS</t>
  </si>
  <si>
    <t>Effort</t>
  </si>
  <si>
    <t>Harvest</t>
  </si>
  <si>
    <t>CPUE</t>
  </si>
  <si>
    <t>Tide Series Totals</t>
  </si>
  <si>
    <t>SEASON TOTALS:</t>
  </si>
  <si>
    <t>ESTIMATED WASTAGE RATE:</t>
  </si>
  <si>
    <t>ESTIMATED TOTAL WASTAGE:</t>
  </si>
  <si>
    <t>COASTWIDE TAC</t>
  </si>
  <si>
    <t>Area</t>
  </si>
  <si>
    <t>Holes Checked</t>
  </si>
  <si>
    <t>Clams found</t>
  </si>
  <si>
    <t># of Mortalities</t>
  </si>
  <si>
    <t>Wastage %</t>
  </si>
  <si>
    <t>Date</t>
  </si>
  <si>
    <t>Totals</t>
  </si>
  <si>
    <t>Fri</t>
  </si>
  <si>
    <t>CLOSED</t>
  </si>
  <si>
    <t>Thu</t>
  </si>
  <si>
    <t>2007 FALL - 2008 SPRING NON-TRIBAL TOTAL ALLOWABLE CATCH (TAC)</t>
  </si>
  <si>
    <t>Estimated Wastage Rate:</t>
  </si>
  <si>
    <t>Estimated Total Wastage:</t>
  </si>
  <si>
    <t>SEASON TOTALS (including wastage):</t>
  </si>
  <si>
    <t>% of State's Share of TAC Harvested</t>
  </si>
  <si>
    <t>Avg. Size</t>
  </si>
  <si>
    <t>Clams remaning in State's Share of TAC</t>
  </si>
  <si>
    <t>2008-2009 State (non-Indian) Recreational Razor Clam Effort, Harvest and CPUE totals.</t>
  </si>
  <si>
    <t>2008 FALL / 2009 SPRING RAZOR CLAM HARVEST TOTALS (number of clams): NON-INDIAN FISHERY</t>
  </si>
  <si>
    <t>2008 FALL / 2009 SPRING RAZOR CLAM CPUE TOTALS (clams per digger trip): NON-INDIAN FISHERY</t>
  </si>
  <si>
    <t>2008 FALL / 2009 SPRING RAZOR CLAM EFFORT TOTALS (number of diggers): NON-INDIAN FISHERY</t>
  </si>
  <si>
    <t>Fall 2008 / Spring 2009 Harvest Rate (clams/day):</t>
  </si>
  <si>
    <t>*</t>
  </si>
  <si>
    <t>November</t>
  </si>
  <si>
    <t>December</t>
  </si>
  <si>
    <t xml:space="preserve">FALL 2008 - SPRING 2009 SEASON TOTALS: </t>
  </si>
  <si>
    <t>January</t>
  </si>
  <si>
    <t>February</t>
  </si>
  <si>
    <t>Wastage for Fall 2008 through Spring 2009 Non - Tribal Razor Clam Fishery</t>
  </si>
  <si>
    <t>BeachName</t>
  </si>
  <si>
    <t>SumOfTotHarvest</t>
  </si>
  <si>
    <t>Wastage%</t>
  </si>
  <si>
    <t>ClamsWasted</t>
  </si>
  <si>
    <t>March</t>
  </si>
  <si>
    <t>April</t>
  </si>
  <si>
    <t>Mon</t>
  </si>
  <si>
    <t>EventID</t>
  </si>
  <si>
    <t>SumOfNHoles</t>
  </si>
  <si>
    <t>SumOfNClams</t>
  </si>
  <si>
    <t>SumOfNMorts</t>
  </si>
  <si>
    <t>2008 - 2009 Non-Indian recreational razor clam effort, harvest and CPUE totals / Co-managed beaches only.</t>
  </si>
  <si>
    <t>LongBeach</t>
  </si>
  <si>
    <t>Sum Of EstCorEffort</t>
  </si>
  <si>
    <t>Sum Of TotHarvest</t>
  </si>
  <si>
    <t>Avg Of CPUE</t>
  </si>
  <si>
    <t>Count Of Spreadsheet</t>
  </si>
  <si>
    <t>May</t>
  </si>
  <si>
    <t>SumOfWastage</t>
  </si>
  <si>
    <t>(FINAL 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</si>
</sst>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0.0"/>
    <numFmt numFmtId="166" formatCode="d\-mmm\-yyyy"/>
    <numFmt numFmtId="167" formatCode="#,##0.0"/>
    <numFmt numFmtId="168" formatCode="_(* #,##0_);_(* \(#,##0\);_(* &quot;-&quot;??_);_(@_)"/>
    <numFmt numFmtId="169" formatCode="ddd"/>
    <numFmt numFmtId="170" formatCode="dd\-mmm\-yy"/>
  </numFmts>
  <fonts count="26" x14ac:knownFonts="1">
    <font>
      <sz val="12"/>
      <name val="Times New Roman"/>
    </font>
    <font>
      <sz val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b/>
      <sz val="1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0"/>
      </bottom>
      <diagonal/>
    </border>
    <border>
      <left/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0"/>
      </bottom>
      <diagonal/>
    </border>
    <border>
      <left/>
      <right style="medium">
        <color indexed="64"/>
      </right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>
      <alignment vertical="top"/>
    </xf>
    <xf numFmtId="43" fontId="12" fillId="0" borderId="0" applyFont="0" applyFill="0" applyBorder="0" applyAlignment="0" applyProtection="0"/>
    <xf numFmtId="0" fontId="14" fillId="0" borderId="0"/>
    <xf numFmtId="0" fontId="12" fillId="0" borderId="0"/>
    <xf numFmtId="9" fontId="1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</cellStyleXfs>
  <cellXfs count="241">
    <xf numFmtId="0" fontId="0" fillId="0" borderId="0" xfId="0" applyAlignment="1"/>
    <xf numFmtId="164" fontId="0" fillId="0" borderId="0" xfId="0" applyNumberFormat="1" applyAlignment="1"/>
    <xf numFmtId="15" fontId="0" fillId="0" borderId="0" xfId="0" applyNumberFormat="1" applyAlignment="1"/>
    <xf numFmtId="165" fontId="2" fillId="0" borderId="0" xfId="0" applyNumberFormat="1" applyFont="1" applyBorder="1" applyAlignment="1">
      <alignment horizontal="center"/>
    </xf>
    <xf numFmtId="165" fontId="0" fillId="0" borderId="0" xfId="0" applyNumberFormat="1" applyAlignme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Alignment="1"/>
    <xf numFmtId="18" fontId="2" fillId="0" borderId="0" xfId="0" applyNumberFormat="1" applyFont="1" applyBorder="1" applyAlignment="1">
      <alignment horizontal="center"/>
    </xf>
    <xf numFmtId="0" fontId="0" fillId="0" borderId="11" xfId="0" applyBorder="1" applyAlignment="1"/>
    <xf numFmtId="3" fontId="0" fillId="0" borderId="12" xfId="0" applyNumberFormat="1" applyBorder="1" applyAlignment="1"/>
    <xf numFmtId="0" fontId="0" fillId="0" borderId="13" xfId="0" applyBorder="1" applyAlignment="1"/>
    <xf numFmtId="3" fontId="0" fillId="0" borderId="14" xfId="0" applyNumberFormat="1" applyBorder="1" applyAlignment="1"/>
    <xf numFmtId="0" fontId="0" fillId="0" borderId="15" xfId="0" applyBorder="1" applyAlignment="1"/>
    <xf numFmtId="3" fontId="0" fillId="0" borderId="16" xfId="0" applyNumberFormat="1" applyBorder="1" applyAlignment="1"/>
    <xf numFmtId="3" fontId="0" fillId="0" borderId="17" xfId="0" applyNumberFormat="1" applyBorder="1" applyAlignment="1"/>
    <xf numFmtId="0" fontId="6" fillId="0" borderId="18" xfId="0" applyFont="1" applyBorder="1" applyAlignment="1"/>
    <xf numFmtId="0" fontId="0" fillId="0" borderId="19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20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6" fillId="0" borderId="0" xfId="0" applyFont="1" applyAlignment="1"/>
    <xf numFmtId="0" fontId="12" fillId="0" borderId="0" xfId="3"/>
    <xf numFmtId="16" fontId="2" fillId="0" borderId="25" xfId="3" applyNumberFormat="1" applyFont="1" applyBorder="1" applyAlignment="1">
      <alignment horizontal="center"/>
    </xf>
    <xf numFmtId="165" fontId="2" fillId="0" borderId="0" xfId="3" applyNumberFormat="1" applyFont="1" applyBorder="1" applyAlignment="1">
      <alignment horizontal="center"/>
    </xf>
    <xf numFmtId="18" fontId="2" fillId="0" borderId="26" xfId="3" applyNumberFormat="1" applyFont="1" applyBorder="1" applyAlignment="1">
      <alignment horizontal="center"/>
    </xf>
    <xf numFmtId="3" fontId="2" fillId="0" borderId="25" xfId="3" applyNumberFormat="1" applyFont="1" applyFill="1" applyBorder="1" applyAlignment="1">
      <alignment horizontal="center"/>
    </xf>
    <xf numFmtId="3" fontId="2" fillId="0" borderId="0" xfId="3" applyNumberFormat="1" applyFont="1" applyBorder="1" applyAlignment="1">
      <alignment horizontal="center"/>
    </xf>
    <xf numFmtId="165" fontId="2" fillId="0" borderId="26" xfId="3" applyNumberFormat="1" applyFont="1" applyBorder="1" applyAlignment="1">
      <alignment horizontal="center"/>
    </xf>
    <xf numFmtId="3" fontId="2" fillId="0" borderId="26" xfId="3" applyNumberFormat="1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167" fontId="2" fillId="0" borderId="0" xfId="3" applyNumberFormat="1" applyFont="1" applyBorder="1" applyAlignment="1">
      <alignment horizontal="center"/>
    </xf>
    <xf numFmtId="165" fontId="2" fillId="0" borderId="26" xfId="3" applyNumberFormat="1" applyFont="1" applyFill="1" applyBorder="1" applyAlignment="1">
      <alignment horizontal="center"/>
    </xf>
    <xf numFmtId="3" fontId="12" fillId="0" borderId="0" xfId="3" applyNumberFormat="1"/>
    <xf numFmtId="0" fontId="12" fillId="0" borderId="0" xfId="3" applyBorder="1"/>
    <xf numFmtId="16" fontId="4" fillId="0" borderId="0" xfId="3" applyNumberFormat="1" applyFont="1" applyBorder="1" applyAlignment="1">
      <alignment horizontal="left"/>
    </xf>
    <xf numFmtId="0" fontId="9" fillId="0" borderId="0" xfId="3" applyFont="1"/>
    <xf numFmtId="16" fontId="2" fillId="0" borderId="0" xfId="3" applyNumberFormat="1" applyFont="1" applyBorder="1" applyAlignment="1">
      <alignment horizontal="center"/>
    </xf>
    <xf numFmtId="2" fontId="2" fillId="0" borderId="0" xfId="3" applyNumberFormat="1" applyFont="1" applyBorder="1" applyAlignment="1">
      <alignment horizontal="center"/>
    </xf>
    <xf numFmtId="3" fontId="4" fillId="2" borderId="27" xfId="3" applyNumberFormat="1" applyFont="1" applyFill="1" applyBorder="1" applyAlignment="1">
      <alignment horizontal="center"/>
    </xf>
    <xf numFmtId="3" fontId="4" fillId="2" borderId="5" xfId="3" applyNumberFormat="1" applyFont="1" applyFill="1" applyBorder="1" applyAlignment="1">
      <alignment horizontal="center"/>
    </xf>
    <xf numFmtId="165" fontId="4" fillId="2" borderId="5" xfId="3" applyNumberFormat="1" applyFont="1" applyFill="1" applyBorder="1" applyAlignment="1">
      <alignment horizontal="center"/>
    </xf>
    <xf numFmtId="165" fontId="4" fillId="2" borderId="28" xfId="3" applyNumberFormat="1" applyFont="1" applyFill="1" applyBorder="1" applyAlignment="1">
      <alignment horizontal="center"/>
    </xf>
    <xf numFmtId="3" fontId="4" fillId="2" borderId="28" xfId="3" applyNumberFormat="1" applyFont="1" applyFill="1" applyBorder="1" applyAlignment="1">
      <alignment horizontal="center"/>
    </xf>
    <xf numFmtId="167" fontId="4" fillId="2" borderId="5" xfId="3" applyNumberFormat="1" applyFont="1" applyFill="1" applyBorder="1" applyAlignment="1">
      <alignment horizontal="center"/>
    </xf>
    <xf numFmtId="3" fontId="4" fillId="2" borderId="29" xfId="3" applyNumberFormat="1" applyFont="1" applyFill="1" applyBorder="1" applyAlignment="1">
      <alignment horizontal="center"/>
    </xf>
    <xf numFmtId="3" fontId="4" fillId="2" borderId="30" xfId="3" applyNumberFormat="1" applyFont="1" applyFill="1" applyBorder="1" applyAlignment="1">
      <alignment horizontal="center"/>
    </xf>
    <xf numFmtId="165" fontId="4" fillId="2" borderId="30" xfId="3" applyNumberFormat="1" applyFont="1" applyFill="1" applyBorder="1" applyAlignment="1">
      <alignment horizontal="center"/>
    </xf>
    <xf numFmtId="165" fontId="4" fillId="2" borderId="31" xfId="3" applyNumberFormat="1" applyFont="1" applyFill="1" applyBorder="1" applyAlignment="1">
      <alignment horizontal="center"/>
    </xf>
    <xf numFmtId="3" fontId="4" fillId="2" borderId="25" xfId="3" applyNumberFormat="1" applyFont="1" applyFill="1" applyBorder="1" applyAlignment="1">
      <alignment horizontal="center"/>
    </xf>
    <xf numFmtId="164" fontId="4" fillId="2" borderId="0" xfId="4" applyNumberFormat="1" applyFont="1" applyFill="1" applyBorder="1" applyAlignment="1">
      <alignment horizontal="center"/>
    </xf>
    <xf numFmtId="165" fontId="4" fillId="2" borderId="0" xfId="3" applyNumberFormat="1" applyFont="1" applyFill="1" applyBorder="1" applyAlignment="1">
      <alignment horizontal="center"/>
    </xf>
    <xf numFmtId="165" fontId="4" fillId="2" borderId="26" xfId="3" applyNumberFormat="1" applyFont="1" applyFill="1" applyBorder="1" applyAlignment="1">
      <alignment horizontal="center"/>
    </xf>
    <xf numFmtId="3" fontId="4" fillId="2" borderId="0" xfId="3" applyNumberFormat="1" applyFont="1" applyFill="1" applyBorder="1" applyAlignment="1">
      <alignment horizontal="center"/>
    </xf>
    <xf numFmtId="9" fontId="4" fillId="2" borderId="0" xfId="4" applyFont="1" applyFill="1" applyBorder="1" applyAlignment="1">
      <alignment horizontal="center"/>
    </xf>
    <xf numFmtId="16" fontId="4" fillId="3" borderId="25" xfId="3" quotePrefix="1" applyNumberFormat="1" applyFont="1" applyFill="1" applyBorder="1" applyAlignment="1">
      <alignment horizontal="centerContinuous"/>
    </xf>
    <xf numFmtId="16" fontId="4" fillId="3" borderId="0" xfId="3" applyNumberFormat="1" applyFont="1" applyFill="1" applyBorder="1" applyAlignment="1">
      <alignment horizontal="centerContinuous"/>
    </xf>
    <xf numFmtId="164" fontId="4" fillId="2" borderId="0" xfId="3" applyNumberFormat="1" applyFont="1" applyFill="1" applyBorder="1" applyAlignment="1">
      <alignment horizontal="center"/>
    </xf>
    <xf numFmtId="0" fontId="6" fillId="4" borderId="32" xfId="3" applyFont="1" applyFill="1" applyBorder="1"/>
    <xf numFmtId="3" fontId="10" fillId="4" borderId="33" xfId="3" applyNumberFormat="1" applyFont="1" applyFill="1" applyBorder="1" applyAlignment="1">
      <alignment horizontal="center"/>
    </xf>
    <xf numFmtId="164" fontId="9" fillId="4" borderId="33" xfId="3" applyNumberFormat="1" applyFont="1" applyFill="1" applyBorder="1" applyAlignment="1">
      <alignment horizontal="center"/>
    </xf>
    <xf numFmtId="0" fontId="6" fillId="4" borderId="33" xfId="3" applyFont="1" applyFill="1" applyBorder="1"/>
    <xf numFmtId="0" fontId="6" fillId="4" borderId="34" xfId="3" applyFont="1" applyFill="1" applyBorder="1"/>
    <xf numFmtId="3" fontId="4" fillId="0" borderId="25" xfId="3" applyNumberFormat="1" applyFont="1" applyFill="1" applyBorder="1" applyAlignment="1">
      <alignment horizontal="center"/>
    </xf>
    <xf numFmtId="3" fontId="4" fillId="0" borderId="26" xfId="3" applyNumberFormat="1" applyFont="1" applyFill="1" applyBorder="1" applyAlignment="1">
      <alignment horizontal="center"/>
    </xf>
    <xf numFmtId="0" fontId="6" fillId="0" borderId="32" xfId="3" applyFont="1" applyFill="1" applyBorder="1"/>
    <xf numFmtId="3" fontId="4" fillId="3" borderId="29" xfId="3" applyNumberFormat="1" applyFont="1" applyFill="1" applyBorder="1" applyAlignment="1">
      <alignment horizontal="center"/>
    </xf>
    <xf numFmtId="3" fontId="4" fillId="3" borderId="31" xfId="3" applyNumberFormat="1" applyFont="1" applyFill="1" applyBorder="1" applyAlignment="1">
      <alignment horizontal="center"/>
    </xf>
    <xf numFmtId="0" fontId="13" fillId="5" borderId="29" xfId="3" applyFont="1" applyFill="1" applyBorder="1"/>
    <xf numFmtId="0" fontId="13" fillId="5" borderId="30" xfId="3" applyFont="1" applyFill="1" applyBorder="1"/>
    <xf numFmtId="0" fontId="13" fillId="5" borderId="31" xfId="3" applyFont="1" applyFill="1" applyBorder="1"/>
    <xf numFmtId="0" fontId="3" fillId="5" borderId="32" xfId="3" applyFont="1" applyFill="1" applyBorder="1" applyAlignment="1">
      <alignment horizontal="center"/>
    </xf>
    <xf numFmtId="0" fontId="3" fillId="5" borderId="33" xfId="3" applyFont="1" applyFill="1" applyBorder="1" applyAlignment="1">
      <alignment horizontal="center"/>
    </xf>
    <xf numFmtId="0" fontId="3" fillId="5" borderId="34" xfId="3" applyFont="1" applyFill="1" applyBorder="1" applyAlignment="1">
      <alignment horizontal="center"/>
    </xf>
    <xf numFmtId="0" fontId="3" fillId="5" borderId="35" xfId="3" applyFont="1" applyFill="1" applyBorder="1" applyAlignment="1">
      <alignment horizontal="center"/>
    </xf>
    <xf numFmtId="0" fontId="3" fillId="5" borderId="4" xfId="3" applyFont="1" applyFill="1" applyBorder="1" applyAlignment="1">
      <alignment horizontal="center"/>
    </xf>
    <xf numFmtId="0" fontId="3" fillId="5" borderId="36" xfId="3" applyFont="1" applyFill="1" applyBorder="1" applyAlignment="1">
      <alignment horizontal="center"/>
    </xf>
    <xf numFmtId="0" fontId="14" fillId="0" borderId="37" xfId="2" applyFont="1" applyFill="1" applyBorder="1" applyAlignment="1">
      <alignment horizontal="center"/>
    </xf>
    <xf numFmtId="0" fontId="0" fillId="0" borderId="0" xfId="0">
      <alignment vertical="top"/>
    </xf>
    <xf numFmtId="0" fontId="14" fillId="0" borderId="1" xfId="2" applyFont="1" applyFill="1" applyBorder="1" applyAlignment="1">
      <alignment horizontal="left"/>
    </xf>
    <xf numFmtId="15" fontId="14" fillId="0" borderId="1" xfId="2" applyNumberFormat="1" applyFont="1" applyFill="1" applyBorder="1" applyAlignment="1">
      <alignment horizontal="right"/>
    </xf>
    <xf numFmtId="0" fontId="14" fillId="0" borderId="1" xfId="2" applyFont="1" applyFill="1" applyBorder="1" applyAlignment="1">
      <alignment horizontal="right"/>
    </xf>
    <xf numFmtId="0" fontId="6" fillId="0" borderId="34" xfId="3" applyFont="1" applyFill="1" applyBorder="1" applyAlignment="1">
      <alignment horizontal="right"/>
    </xf>
    <xf numFmtId="0" fontId="14" fillId="0" borderId="1" xfId="2" applyFont="1" applyFill="1" applyBorder="1" applyAlignment="1">
      <alignment horizontal="left" wrapText="1"/>
    </xf>
    <xf numFmtId="15" fontId="14" fillId="0" borderId="1" xfId="2" applyNumberFormat="1" applyFont="1" applyFill="1" applyBorder="1" applyAlignment="1">
      <alignment horizontal="right" wrapText="1"/>
    </xf>
    <xf numFmtId="0" fontId="14" fillId="0" borderId="1" xfId="2" applyFont="1" applyFill="1" applyBorder="1" applyAlignment="1">
      <alignment horizontal="right" wrapText="1"/>
    </xf>
    <xf numFmtId="0" fontId="0" fillId="0" borderId="0" xfId="0" applyFill="1" applyAlignment="1"/>
    <xf numFmtId="0" fontId="14" fillId="6" borderId="37" xfId="2" applyFont="1" applyFill="1" applyBorder="1" applyAlignment="1">
      <alignment horizontal="center"/>
    </xf>
    <xf numFmtId="4" fontId="14" fillId="0" borderId="1" xfId="2" applyNumberFormat="1" applyFont="1" applyFill="1" applyBorder="1" applyAlignment="1">
      <alignment horizontal="right" wrapText="1"/>
    </xf>
    <xf numFmtId="16" fontId="5" fillId="0" borderId="25" xfId="0" applyNumberFormat="1" applyFont="1" applyFill="1" applyBorder="1" applyAlignment="1">
      <alignment horizontal="left"/>
    </xf>
    <xf numFmtId="0" fontId="15" fillId="7" borderId="37" xfId="5" applyFont="1" applyFill="1" applyBorder="1" applyAlignment="1">
      <alignment horizontal="center"/>
    </xf>
    <xf numFmtId="0" fontId="15" fillId="0" borderId="44" xfId="5" applyFont="1" applyFill="1" applyBorder="1" applyAlignment="1">
      <alignment horizontal="right" wrapText="1"/>
    </xf>
    <xf numFmtId="0" fontId="15" fillId="0" borderId="44" xfId="5" applyFont="1" applyFill="1" applyBorder="1" applyAlignment="1">
      <alignment wrapText="1"/>
    </xf>
    <xf numFmtId="15" fontId="15" fillId="0" borderId="44" xfId="5" applyNumberFormat="1" applyFont="1" applyFill="1" applyBorder="1" applyAlignment="1">
      <alignment horizontal="right" wrapText="1"/>
    </xf>
    <xf numFmtId="168" fontId="15" fillId="0" borderId="44" xfId="1" applyNumberFormat="1" applyFont="1" applyFill="1" applyBorder="1" applyAlignment="1">
      <alignment horizontal="right" wrapText="1"/>
    </xf>
    <xf numFmtId="10" fontId="0" fillId="0" borderId="0" xfId="4" applyNumberFormat="1" applyFont="1" applyAlignment="1"/>
    <xf numFmtId="0" fontId="16" fillId="0" borderId="0" xfId="0" applyFont="1" applyAlignment="1">
      <alignment horizontal="left"/>
    </xf>
    <xf numFmtId="0" fontId="17" fillId="0" borderId="0" xfId="0" applyFont="1" applyBorder="1" applyAlignment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8" fillId="0" borderId="0" xfId="0" applyFont="1" applyBorder="1" applyAlignment="1"/>
    <xf numFmtId="0" fontId="16" fillId="0" borderId="0" xfId="0" applyFont="1" applyAlignment="1">
      <alignment horizontal="center"/>
    </xf>
    <xf numFmtId="3" fontId="17" fillId="0" borderId="0" xfId="0" applyNumberFormat="1" applyFont="1" applyBorder="1" applyAlignment="1"/>
    <xf numFmtId="0" fontId="19" fillId="0" borderId="0" xfId="0" applyFont="1" applyBorder="1" applyAlignment="1"/>
    <xf numFmtId="166" fontId="17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17" fillId="0" borderId="2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left"/>
    </xf>
    <xf numFmtId="3" fontId="17" fillId="0" borderId="2" xfId="0" applyNumberFormat="1" applyFont="1" applyFill="1" applyBorder="1" applyAlignment="1">
      <alignment horizontal="center"/>
    </xf>
    <xf numFmtId="7" fontId="17" fillId="0" borderId="0" xfId="0" applyNumberFormat="1" applyFont="1" applyBorder="1" applyAlignment="1">
      <alignment horizontal="center"/>
    </xf>
    <xf numFmtId="0" fontId="17" fillId="0" borderId="0" xfId="0" applyNumberFormat="1" applyFont="1" applyBorder="1" applyAlignment="1">
      <alignment horizontal="center"/>
    </xf>
    <xf numFmtId="2" fontId="17" fillId="0" borderId="0" xfId="0" applyNumberFormat="1" applyFont="1" applyBorder="1" applyAlignment="1">
      <alignment horizontal="center"/>
    </xf>
    <xf numFmtId="165" fontId="17" fillId="0" borderId="0" xfId="0" applyNumberFormat="1" applyFont="1" applyBorder="1" applyAlignment="1">
      <alignment horizontal="center"/>
    </xf>
    <xf numFmtId="18" fontId="17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3" fontId="17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left"/>
    </xf>
    <xf numFmtId="3" fontId="20" fillId="0" borderId="0" xfId="0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/>
    <xf numFmtId="3" fontId="20" fillId="0" borderId="0" xfId="0" quotePrefix="1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/>
    <xf numFmtId="169" fontId="17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right"/>
    </xf>
    <xf numFmtId="10" fontId="17" fillId="0" borderId="0" xfId="0" applyNumberFormat="1" applyFont="1" applyBorder="1" applyAlignment="1">
      <alignment horizontal="center"/>
    </xf>
    <xf numFmtId="164" fontId="17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1" fontId="17" fillId="0" borderId="0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16" fontId="16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left"/>
    </xf>
    <xf numFmtId="3" fontId="16" fillId="0" borderId="0" xfId="0" applyNumberFormat="1" applyFont="1" applyAlignment="1"/>
    <xf numFmtId="3" fontId="17" fillId="0" borderId="0" xfId="0" applyNumberFormat="1" applyFont="1" applyBorder="1" applyAlignment="1">
      <alignment horizontal="right"/>
    </xf>
    <xf numFmtId="0" fontId="17" fillId="0" borderId="0" xfId="0" applyFont="1" applyBorder="1" applyAlignment="1">
      <alignment horizontal="right"/>
    </xf>
    <xf numFmtId="3" fontId="22" fillId="0" borderId="0" xfId="0" quotePrefix="1" applyNumberFormat="1" applyFont="1" applyBorder="1" applyAlignment="1">
      <alignment horizontal="right"/>
    </xf>
    <xf numFmtId="3" fontId="22" fillId="0" borderId="0" xfId="0" applyNumberFormat="1" applyFont="1" applyBorder="1" applyAlignment="1">
      <alignment horizontal="right"/>
    </xf>
    <xf numFmtId="3" fontId="17" fillId="0" borderId="0" xfId="0" applyNumberFormat="1" applyFont="1" applyFill="1" applyBorder="1" applyAlignment="1">
      <alignment horizontal="center"/>
    </xf>
    <xf numFmtId="165" fontId="17" fillId="0" borderId="0" xfId="0" applyNumberFormat="1" applyFont="1" applyBorder="1" applyAlignment="1"/>
    <xf numFmtId="0" fontId="17" fillId="0" borderId="2" xfId="0" applyFont="1" applyFill="1" applyBorder="1" applyAlignment="1">
      <alignment horizontal="centerContinuous"/>
    </xf>
    <xf numFmtId="165" fontId="17" fillId="0" borderId="2" xfId="0" applyNumberFormat="1" applyFont="1" applyFill="1" applyBorder="1" applyAlignment="1">
      <alignment horizontal="center"/>
    </xf>
    <xf numFmtId="167" fontId="17" fillId="0" borderId="0" xfId="0" applyNumberFormat="1" applyFont="1" applyBorder="1" applyAlignment="1">
      <alignment horizontal="center"/>
    </xf>
    <xf numFmtId="167" fontId="17" fillId="0" borderId="0" xfId="0" applyNumberFormat="1" applyFont="1" applyBorder="1" applyAlignment="1">
      <alignment horizontal="right"/>
    </xf>
    <xf numFmtId="167" fontId="17" fillId="0" borderId="0" xfId="0" applyNumberFormat="1" applyFont="1" applyBorder="1" applyAlignment="1">
      <alignment horizontal="left"/>
    </xf>
    <xf numFmtId="165" fontId="16" fillId="0" borderId="0" xfId="0" applyNumberFormat="1" applyFont="1" applyAlignment="1"/>
    <xf numFmtId="165" fontId="16" fillId="0" borderId="0" xfId="0" applyNumberFormat="1" applyFont="1" applyAlignment="1">
      <alignment horizontal="left"/>
    </xf>
    <xf numFmtId="0" fontId="17" fillId="0" borderId="3" xfId="0" applyFont="1" applyFill="1" applyBorder="1" applyAlignment="1"/>
    <xf numFmtId="0" fontId="17" fillId="0" borderId="6" xfId="0" applyFont="1" applyFill="1" applyBorder="1" applyAlignment="1">
      <alignment horizontal="centerContinuous"/>
    </xf>
    <xf numFmtId="0" fontId="17" fillId="0" borderId="3" xfId="0" applyFont="1" applyFill="1" applyBorder="1" applyAlignment="1">
      <alignment horizontal="centerContinuous"/>
    </xf>
    <xf numFmtId="0" fontId="17" fillId="0" borderId="6" xfId="0" applyFont="1" applyFill="1" applyBorder="1" applyAlignment="1">
      <alignment horizontal="left"/>
    </xf>
    <xf numFmtId="0" fontId="17" fillId="0" borderId="3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left"/>
    </xf>
    <xf numFmtId="16" fontId="17" fillId="0" borderId="6" xfId="0" applyNumberFormat="1" applyFont="1" applyFill="1" applyBorder="1" applyAlignment="1">
      <alignment horizontal="centerContinuous"/>
    </xf>
    <xf numFmtId="0" fontId="16" fillId="0" borderId="3" xfId="0" applyFont="1" applyFill="1" applyBorder="1" applyAlignment="1">
      <alignment horizontal="centerContinuous"/>
    </xf>
    <xf numFmtId="3" fontId="17" fillId="0" borderId="6" xfId="0" applyNumberFormat="1" applyFont="1" applyFill="1" applyBorder="1" applyAlignment="1">
      <alignment horizontal="centerContinuous"/>
    </xf>
    <xf numFmtId="0" fontId="17" fillId="0" borderId="4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3" fontId="17" fillId="0" borderId="4" xfId="0" applyNumberFormat="1" applyFont="1" applyFill="1" applyBorder="1" applyAlignment="1">
      <alignment horizontal="center"/>
    </xf>
    <xf numFmtId="16" fontId="17" fillId="0" borderId="0" xfId="0" applyNumberFormat="1" applyFont="1" applyBorder="1" applyAlignment="1">
      <alignment horizontal="center"/>
    </xf>
    <xf numFmtId="3" fontId="17" fillId="0" borderId="8" xfId="0" applyNumberFormat="1" applyFont="1" applyFill="1" applyBorder="1" applyAlignment="1">
      <alignment horizontal="center"/>
    </xf>
    <xf numFmtId="165" fontId="17" fillId="0" borderId="9" xfId="0" applyNumberFormat="1" applyFont="1" applyFill="1" applyBorder="1" applyAlignment="1">
      <alignment horizontal="center"/>
    </xf>
    <xf numFmtId="16" fontId="22" fillId="0" borderId="5" xfId="0" applyNumberFormat="1" applyFont="1" applyFill="1" applyBorder="1" applyAlignment="1">
      <alignment horizontal="left"/>
    </xf>
    <xf numFmtId="0" fontId="22" fillId="0" borderId="5" xfId="0" applyFont="1" applyFill="1" applyBorder="1" applyAlignment="1">
      <alignment horizontal="center"/>
    </xf>
    <xf numFmtId="165" fontId="22" fillId="0" borderId="5" xfId="0" applyNumberFormat="1" applyFont="1" applyFill="1" applyBorder="1" applyAlignment="1">
      <alignment horizontal="center"/>
    </xf>
    <xf numFmtId="3" fontId="22" fillId="0" borderId="10" xfId="0" applyNumberFormat="1" applyFont="1" applyFill="1" applyBorder="1" applyAlignment="1">
      <alignment horizontal="center"/>
    </xf>
    <xf numFmtId="3" fontId="22" fillId="0" borderId="5" xfId="0" applyNumberFormat="1" applyFont="1" applyFill="1" applyBorder="1" applyAlignment="1">
      <alignment horizontal="center"/>
    </xf>
    <xf numFmtId="165" fontId="17" fillId="0" borderId="0" xfId="0" applyNumberFormat="1" applyFont="1" applyFill="1" applyBorder="1" applyAlignment="1">
      <alignment horizontal="center"/>
    </xf>
    <xf numFmtId="16" fontId="17" fillId="0" borderId="0" xfId="0" applyNumberFormat="1" applyFont="1" applyFill="1" applyBorder="1" applyAlignment="1">
      <alignment horizontal="center"/>
    </xf>
    <xf numFmtId="16" fontId="22" fillId="0" borderId="3" xfId="0" applyNumberFormat="1" applyFont="1" applyFill="1" applyBorder="1" applyAlignment="1">
      <alignment horizontal="left"/>
    </xf>
    <xf numFmtId="0" fontId="20" fillId="0" borderId="3" xfId="0" applyFont="1" applyFill="1" applyBorder="1" applyAlignment="1"/>
    <xf numFmtId="3" fontId="22" fillId="0" borderId="3" xfId="0" applyNumberFormat="1" applyFont="1" applyFill="1" applyBorder="1" applyAlignment="1">
      <alignment horizontal="center"/>
    </xf>
    <xf numFmtId="165" fontId="22" fillId="0" borderId="3" xfId="0" applyNumberFormat="1" applyFont="1" applyFill="1" applyBorder="1" applyAlignment="1">
      <alignment horizontal="center"/>
    </xf>
    <xf numFmtId="3" fontId="22" fillId="0" borderId="6" xfId="0" applyNumberFormat="1" applyFont="1" applyFill="1" applyBorder="1" applyAlignment="1">
      <alignment horizontal="center"/>
    </xf>
    <xf numFmtId="0" fontId="20" fillId="0" borderId="0" xfId="0" applyFont="1" applyAlignment="1"/>
    <xf numFmtId="164" fontId="22" fillId="0" borderId="0" xfId="0" applyNumberFormat="1" applyFont="1" applyAlignment="1">
      <alignment horizontal="center"/>
    </xf>
    <xf numFmtId="0" fontId="23" fillId="0" borderId="0" xfId="0" applyFont="1" applyAlignment="1"/>
    <xf numFmtId="0" fontId="15" fillId="7" borderId="37" xfId="6" applyFont="1" applyFill="1" applyBorder="1" applyAlignment="1">
      <alignment horizontal="center"/>
    </xf>
    <xf numFmtId="0" fontId="15" fillId="0" borderId="44" xfId="6" applyFont="1" applyFill="1" applyBorder="1" applyAlignment="1">
      <alignment horizontal="right"/>
    </xf>
    <xf numFmtId="0" fontId="15" fillId="0" borderId="44" xfId="6" applyFont="1" applyFill="1" applyBorder="1" applyAlignment="1"/>
    <xf numFmtId="170" fontId="15" fillId="0" borderId="44" xfId="6" applyNumberFormat="1" applyFont="1" applyFill="1" applyBorder="1" applyAlignment="1">
      <alignment horizontal="right"/>
    </xf>
    <xf numFmtId="4" fontId="15" fillId="0" borderId="44" xfId="6" applyNumberFormat="1" applyFont="1" applyFill="1" applyBorder="1" applyAlignment="1">
      <alignment horizontal="right"/>
    </xf>
    <xf numFmtId="168" fontId="24" fillId="0" borderId="0" xfId="1" applyNumberFormat="1" applyFont="1" applyAlignment="1"/>
    <xf numFmtId="10" fontId="24" fillId="0" borderId="0" xfId="4" applyNumberFormat="1" applyFont="1" applyAlignment="1"/>
    <xf numFmtId="0" fontId="15" fillId="7" borderId="37" xfId="7" applyFont="1" applyFill="1" applyBorder="1" applyAlignment="1">
      <alignment horizontal="center"/>
    </xf>
    <xf numFmtId="0" fontId="15" fillId="0" borderId="44" xfId="7" applyFont="1" applyFill="1" applyBorder="1" applyAlignment="1">
      <alignment horizontal="right"/>
    </xf>
    <xf numFmtId="0" fontId="15" fillId="0" borderId="44" xfId="7" applyFont="1" applyFill="1" applyBorder="1" applyAlignment="1"/>
    <xf numFmtId="170" fontId="15" fillId="0" borderId="44" xfId="7" applyNumberFormat="1" applyFont="1" applyFill="1" applyBorder="1" applyAlignment="1">
      <alignment horizontal="right"/>
    </xf>
    <xf numFmtId="168" fontId="15" fillId="0" borderId="44" xfId="1" applyNumberFormat="1" applyFont="1" applyFill="1" applyBorder="1" applyAlignment="1">
      <alignment horizontal="right"/>
    </xf>
    <xf numFmtId="168" fontId="25" fillId="0" borderId="0" xfId="1" applyNumberFormat="1" applyFont="1" applyAlignment="1"/>
    <xf numFmtId="0" fontId="15" fillId="7" borderId="37" xfId="8" applyFont="1" applyFill="1" applyBorder="1" applyAlignment="1">
      <alignment horizontal="center"/>
    </xf>
    <xf numFmtId="0" fontId="15" fillId="0" borderId="44" xfId="8" applyFont="1" applyFill="1" applyBorder="1" applyAlignment="1">
      <alignment horizontal="right"/>
    </xf>
    <xf numFmtId="0" fontId="15" fillId="0" borderId="44" xfId="8" applyFont="1" applyFill="1" applyBorder="1" applyAlignment="1"/>
    <xf numFmtId="170" fontId="15" fillId="0" borderId="44" xfId="8" applyNumberFormat="1" applyFont="1" applyFill="1" applyBorder="1" applyAlignment="1">
      <alignment horizontal="right"/>
    </xf>
    <xf numFmtId="168" fontId="21" fillId="0" borderId="0" xfId="1" applyNumberFormat="1" applyFont="1" applyAlignment="1"/>
    <xf numFmtId="166" fontId="17" fillId="0" borderId="0" xfId="0" applyNumberFormat="1" applyFont="1" applyBorder="1" applyAlignment="1">
      <alignment horizontal="center"/>
    </xf>
    <xf numFmtId="16" fontId="10" fillId="2" borderId="27" xfId="3" applyNumberFormat="1" applyFont="1" applyFill="1" applyBorder="1" applyAlignment="1">
      <alignment horizontal="center"/>
    </xf>
    <xf numFmtId="16" fontId="10" fillId="2" borderId="5" xfId="3" applyNumberFormat="1" applyFont="1" applyFill="1" applyBorder="1" applyAlignment="1">
      <alignment horizontal="center"/>
    </xf>
    <xf numFmtId="16" fontId="10" fillId="2" borderId="28" xfId="3" applyNumberFormat="1" applyFont="1" applyFill="1" applyBorder="1" applyAlignment="1">
      <alignment horizontal="center"/>
    </xf>
    <xf numFmtId="0" fontId="11" fillId="0" borderId="39" xfId="3" applyFont="1" applyBorder="1" applyAlignment="1">
      <alignment horizontal="center"/>
    </xf>
    <xf numFmtId="0" fontId="11" fillId="0" borderId="42" xfId="3" applyFont="1" applyBorder="1" applyAlignment="1">
      <alignment horizontal="center"/>
    </xf>
    <xf numFmtId="0" fontId="11" fillId="0" borderId="43" xfId="3" applyFont="1" applyBorder="1" applyAlignment="1">
      <alignment horizontal="center"/>
    </xf>
    <xf numFmtId="0" fontId="3" fillId="5" borderId="29" xfId="3" applyFont="1" applyFill="1" applyBorder="1" applyAlignment="1">
      <alignment horizontal="center"/>
    </xf>
    <xf numFmtId="0" fontId="3" fillId="5" borderId="30" xfId="3" applyFont="1" applyFill="1" applyBorder="1" applyAlignment="1">
      <alignment horizontal="center"/>
    </xf>
    <xf numFmtId="0" fontId="3" fillId="5" borderId="31" xfId="3" applyFont="1" applyFill="1" applyBorder="1" applyAlignment="1">
      <alignment horizontal="center"/>
    </xf>
    <xf numFmtId="16" fontId="3" fillId="5" borderId="29" xfId="3" applyNumberFormat="1" applyFont="1" applyFill="1" applyBorder="1" applyAlignment="1">
      <alignment horizontal="center"/>
    </xf>
    <xf numFmtId="16" fontId="3" fillId="5" borderId="30" xfId="3" applyNumberFormat="1" applyFont="1" applyFill="1" applyBorder="1" applyAlignment="1">
      <alignment horizontal="center"/>
    </xf>
    <xf numFmtId="16" fontId="3" fillId="5" borderId="31" xfId="3" applyNumberFormat="1" applyFont="1" applyFill="1" applyBorder="1" applyAlignment="1">
      <alignment horizontal="center"/>
    </xf>
    <xf numFmtId="0" fontId="9" fillId="4" borderId="32" xfId="3" applyFont="1" applyFill="1" applyBorder="1" applyAlignment="1">
      <alignment horizontal="center"/>
    </xf>
    <xf numFmtId="0" fontId="9" fillId="4" borderId="33" xfId="3" applyFont="1" applyFill="1" applyBorder="1" applyAlignment="1">
      <alignment horizontal="center"/>
    </xf>
    <xf numFmtId="0" fontId="9" fillId="4" borderId="34" xfId="3" applyFont="1" applyFill="1" applyBorder="1" applyAlignment="1">
      <alignment horizontal="center"/>
    </xf>
    <xf numFmtId="16" fontId="4" fillId="2" borderId="29" xfId="3" applyNumberFormat="1" applyFont="1" applyFill="1" applyBorder="1" applyAlignment="1">
      <alignment horizontal="center"/>
    </xf>
    <xf numFmtId="16" fontId="4" fillId="2" borderId="30" xfId="3" applyNumberFormat="1" applyFont="1" applyFill="1" applyBorder="1" applyAlignment="1">
      <alignment horizontal="center"/>
    </xf>
    <xf numFmtId="16" fontId="4" fillId="3" borderId="25" xfId="3" applyNumberFormat="1" applyFont="1" applyFill="1" applyBorder="1" applyAlignment="1">
      <alignment horizontal="center"/>
    </xf>
    <xf numFmtId="16" fontId="4" fillId="3" borderId="0" xfId="3" applyNumberFormat="1" applyFont="1" applyFill="1" applyBorder="1" applyAlignment="1">
      <alignment horizontal="center"/>
    </xf>
    <xf numFmtId="166" fontId="0" fillId="0" borderId="39" xfId="0" applyNumberFormat="1" applyBorder="1" applyAlignment="1">
      <alignment horizontal="center"/>
    </xf>
    <xf numFmtId="166" fontId="0" fillId="0" borderId="40" xfId="0" applyNumberForma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41" xfId="0" applyNumberFormat="1" applyBorder="1" applyAlignment="1">
      <alignment horizontal="center"/>
    </xf>
  </cellXfs>
  <cellStyles count="9">
    <cellStyle name="Comma" xfId="1" builtinId="3"/>
    <cellStyle name="Normal" xfId="0" builtinId="0"/>
    <cellStyle name="Normal_Cop - Wastage" xfId="5"/>
    <cellStyle name="Normal_LB - Wastage" xfId="7"/>
    <cellStyle name="Normal_Moc - Wastage" xfId="8"/>
    <cellStyle name="Normal_Sheet1" xfId="2"/>
    <cellStyle name="Normal_State Razor Clam Harvest Update 2006.07" xfId="3"/>
    <cellStyle name="Normal_TH - Wastage" xfId="6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91"/>
  <sheetViews>
    <sheetView zoomScale="115" zoomScaleNormal="115" workbookViewId="0"/>
  </sheetViews>
  <sheetFormatPr defaultRowHeight="15.75" x14ac:dyDescent="0.25"/>
  <cols>
    <col min="1" max="1" width="9.625" style="110" customWidth="1"/>
    <col min="2" max="2" width="4.125" style="134" customWidth="1"/>
    <col min="3" max="3" width="6.625" style="115" customWidth="1"/>
    <col min="4" max="4" width="7.625" style="115" customWidth="1"/>
    <col min="5" max="5" width="8.625" style="115" customWidth="1"/>
    <col min="6" max="6" width="2.625" style="134" customWidth="1"/>
    <col min="7" max="7" width="10.625" style="134" customWidth="1"/>
    <col min="8" max="8" width="2.625" style="110" customWidth="1"/>
    <col min="9" max="9" width="10.625" style="134" customWidth="1"/>
    <col min="10" max="10" width="2.625" style="115" customWidth="1"/>
    <col min="11" max="11" width="10.625" style="134" customWidth="1"/>
    <col min="12" max="12" width="2.625" style="115" customWidth="1"/>
    <col min="13" max="13" width="10.625" style="134" customWidth="1"/>
    <col min="14" max="14" width="2.625" style="115" customWidth="1"/>
    <col min="15" max="15" width="10.625" style="134" customWidth="1"/>
    <col min="16" max="16" width="2.625" style="115" customWidth="1"/>
    <col min="17" max="17" width="10.625" style="134" customWidth="1"/>
  </cols>
  <sheetData>
    <row r="1" spans="1:18" x14ac:dyDescent="0.25">
      <c r="A1" s="110" t="s">
        <v>54</v>
      </c>
      <c r="B1" s="111"/>
      <c r="C1" s="112"/>
      <c r="D1" s="112"/>
      <c r="E1" s="112"/>
      <c r="F1" s="111"/>
      <c r="G1" s="111"/>
      <c r="H1" s="113"/>
      <c r="I1" s="111"/>
      <c r="J1" s="112"/>
      <c r="K1" s="111"/>
      <c r="L1" s="112"/>
      <c r="M1" s="114"/>
      <c r="O1" s="111"/>
      <c r="P1" s="112"/>
      <c r="Q1" s="116"/>
      <c r="R1" s="2"/>
    </row>
    <row r="2" spans="1:18" x14ac:dyDescent="0.25">
      <c r="A2" s="117" t="s">
        <v>84</v>
      </c>
      <c r="B2" s="111"/>
      <c r="C2" s="112"/>
      <c r="D2" s="112"/>
      <c r="E2" s="112"/>
      <c r="F2" s="111"/>
      <c r="G2" s="111"/>
      <c r="H2" s="111"/>
      <c r="I2" s="111"/>
      <c r="J2" s="112"/>
      <c r="K2" s="111"/>
      <c r="L2" s="112"/>
      <c r="M2" s="111"/>
      <c r="N2" s="112"/>
      <c r="O2" s="118">
        <f ca="1">TODAY()</f>
        <v>41516</v>
      </c>
      <c r="P2" s="111" t="s">
        <v>0</v>
      </c>
      <c r="Q2" s="116"/>
      <c r="R2" s="2"/>
    </row>
    <row r="3" spans="1:18" x14ac:dyDescent="0.25">
      <c r="A3" s="119"/>
      <c r="B3" s="111"/>
      <c r="C3" s="112"/>
      <c r="D3" s="112"/>
      <c r="E3" s="112"/>
      <c r="F3" s="111"/>
      <c r="G3" s="111"/>
      <c r="H3" s="111"/>
      <c r="I3" s="111"/>
      <c r="J3" s="112"/>
      <c r="K3" s="111"/>
      <c r="L3" s="112"/>
      <c r="M3" s="111"/>
      <c r="N3" s="112"/>
      <c r="O3" s="112"/>
      <c r="P3" s="112"/>
      <c r="Q3" s="116"/>
      <c r="R3" s="2"/>
    </row>
    <row r="4" spans="1:18" x14ac:dyDescent="0.25">
      <c r="A4" s="120" t="s">
        <v>3</v>
      </c>
      <c r="B4" s="120"/>
      <c r="C4" s="120" t="s">
        <v>4</v>
      </c>
      <c r="D4" s="120" t="s">
        <v>5</v>
      </c>
      <c r="E4" s="120" t="s">
        <v>6</v>
      </c>
      <c r="F4" s="120"/>
      <c r="G4" s="120" t="s">
        <v>7</v>
      </c>
      <c r="H4" s="121"/>
      <c r="I4" s="120" t="s">
        <v>8</v>
      </c>
      <c r="J4" s="120"/>
      <c r="K4" s="120" t="s">
        <v>9</v>
      </c>
      <c r="L4" s="120"/>
      <c r="M4" s="120" t="s">
        <v>10</v>
      </c>
      <c r="N4" s="120"/>
      <c r="O4" s="120" t="s">
        <v>11</v>
      </c>
      <c r="P4" s="120"/>
      <c r="Q4" s="122" t="s">
        <v>12</v>
      </c>
      <c r="R4" s="1"/>
    </row>
    <row r="5" spans="1:18" x14ac:dyDescent="0.25">
      <c r="A5" s="123" t="s">
        <v>19</v>
      </c>
      <c r="B5" s="124">
        <v>16</v>
      </c>
      <c r="C5" s="125" t="s">
        <v>45</v>
      </c>
      <c r="D5" s="126">
        <v>-1.5</v>
      </c>
      <c r="E5" s="127">
        <v>0.85416666666666663</v>
      </c>
      <c r="F5" s="128"/>
      <c r="G5" s="129" t="s">
        <v>44</v>
      </c>
      <c r="H5" s="130" t="s">
        <v>58</v>
      </c>
      <c r="I5" s="157">
        <f>+K5*I6/K6</f>
        <v>27954.764826268023</v>
      </c>
      <c r="J5" s="129"/>
      <c r="K5" s="129">
        <v>29912</v>
      </c>
      <c r="L5" s="129"/>
      <c r="M5" s="129">
        <v>28766</v>
      </c>
      <c r="N5" s="129"/>
      <c r="O5" s="129" t="s">
        <v>44</v>
      </c>
      <c r="P5" s="129"/>
      <c r="Q5" s="129">
        <f>I5+K5+M5</f>
        <v>86632.764826268016</v>
      </c>
    </row>
    <row r="6" spans="1:18" x14ac:dyDescent="0.25">
      <c r="A6" s="123" t="s">
        <v>19</v>
      </c>
      <c r="B6" s="124">
        <v>17</v>
      </c>
      <c r="C6" s="125" t="s">
        <v>43</v>
      </c>
      <c r="D6" s="126">
        <v>-1.5</v>
      </c>
      <c r="E6" s="127">
        <v>0.88680555555555562</v>
      </c>
      <c r="F6" s="128"/>
      <c r="G6" s="129">
        <v>65673.669568548052</v>
      </c>
      <c r="H6" s="131"/>
      <c r="I6" s="157">
        <v>26913.657310339211</v>
      </c>
      <c r="J6" s="129"/>
      <c r="K6" s="129">
        <v>28798</v>
      </c>
      <c r="L6" s="129"/>
      <c r="M6" s="129">
        <v>15026</v>
      </c>
      <c r="N6" s="129"/>
      <c r="O6" s="129" t="s">
        <v>44</v>
      </c>
      <c r="P6" s="129"/>
      <c r="Q6" s="129">
        <f>G6+I6+K6+M6</f>
        <v>136411.32687888725</v>
      </c>
    </row>
    <row r="7" spans="1:18" x14ac:dyDescent="0.25">
      <c r="A7" s="123" t="s">
        <v>19</v>
      </c>
      <c r="B7" s="124">
        <v>18</v>
      </c>
      <c r="C7" s="112" t="s">
        <v>15</v>
      </c>
      <c r="D7" s="126">
        <v>-1.2</v>
      </c>
      <c r="E7" s="127">
        <v>0.92222222222222217</v>
      </c>
      <c r="F7" s="128"/>
      <c r="G7" s="129">
        <v>94400.280997294554</v>
      </c>
      <c r="H7" s="130" t="s">
        <v>58</v>
      </c>
      <c r="I7" s="157">
        <f>+K7*I6/K6</f>
        <v>35803.257572022194</v>
      </c>
      <c r="J7" s="129"/>
      <c r="K7" s="129">
        <v>38310</v>
      </c>
      <c r="L7" s="129" t="s">
        <v>58</v>
      </c>
      <c r="M7" s="129">
        <f>+(K7)*(M6+M5)/(K5+K6)</f>
        <v>28575.566683699541</v>
      </c>
      <c r="N7" s="129"/>
      <c r="O7" s="129" t="s">
        <v>44</v>
      </c>
      <c r="P7" s="129"/>
      <c r="Q7" s="129">
        <f>G7+I7+K7+M7</f>
        <v>197089.10525301629</v>
      </c>
    </row>
    <row r="8" spans="1:18" x14ac:dyDescent="0.25">
      <c r="A8" s="123"/>
      <c r="B8" s="124"/>
      <c r="C8" s="112"/>
      <c r="D8" s="126"/>
      <c r="E8" s="127"/>
      <c r="F8" s="128"/>
      <c r="G8" s="129"/>
      <c r="H8" s="131"/>
      <c r="I8" s="157"/>
      <c r="J8" s="129"/>
      <c r="K8" s="129"/>
      <c r="L8" s="129"/>
      <c r="M8" s="129"/>
      <c r="N8" s="129"/>
      <c r="O8" s="129"/>
      <c r="P8" s="129"/>
      <c r="Q8" s="129"/>
    </row>
    <row r="9" spans="1:18" x14ac:dyDescent="0.25">
      <c r="A9" s="123" t="s">
        <v>59</v>
      </c>
      <c r="B9" s="124">
        <v>13</v>
      </c>
      <c r="C9" s="125" t="s">
        <v>45</v>
      </c>
      <c r="D9" s="126">
        <v>-1.6</v>
      </c>
      <c r="E9" s="127">
        <v>0.76875000000000004</v>
      </c>
      <c r="F9" s="128"/>
      <c r="G9" s="129" t="s">
        <v>44</v>
      </c>
      <c r="H9" s="131"/>
      <c r="I9" s="157" t="s">
        <v>44</v>
      </c>
      <c r="J9" s="129"/>
      <c r="K9" s="129">
        <v>24384</v>
      </c>
      <c r="L9" s="129"/>
      <c r="M9" s="129">
        <v>14366</v>
      </c>
      <c r="N9" s="129"/>
      <c r="O9" s="129" t="s">
        <v>44</v>
      </c>
      <c r="P9" s="129"/>
      <c r="Q9" s="129">
        <f>K9+M9</f>
        <v>38750</v>
      </c>
    </row>
    <row r="10" spans="1:18" x14ac:dyDescent="0.25">
      <c r="A10" s="123" t="s">
        <v>59</v>
      </c>
      <c r="B10" s="124">
        <v>14</v>
      </c>
      <c r="C10" s="125" t="s">
        <v>43</v>
      </c>
      <c r="D10" s="126">
        <v>-1.8</v>
      </c>
      <c r="E10" s="127">
        <v>0.80208333333333337</v>
      </c>
      <c r="F10" s="128"/>
      <c r="G10" s="129">
        <v>63089.889165523411</v>
      </c>
      <c r="H10" s="131"/>
      <c r="I10" s="157">
        <v>25752.938458705197</v>
      </c>
      <c r="J10" s="129"/>
      <c r="K10" s="129">
        <v>66392</v>
      </c>
      <c r="L10" s="129"/>
      <c r="M10" s="129">
        <v>17157</v>
      </c>
      <c r="N10" s="129"/>
      <c r="O10" s="129" t="s">
        <v>44</v>
      </c>
      <c r="P10" s="129"/>
      <c r="Q10" s="129">
        <f>G10+I10+K10+M10</f>
        <v>172391.82762422861</v>
      </c>
    </row>
    <row r="11" spans="1:18" x14ac:dyDescent="0.25">
      <c r="A11" s="123" t="s">
        <v>59</v>
      </c>
      <c r="B11" s="124">
        <v>15</v>
      </c>
      <c r="C11" s="112" t="s">
        <v>15</v>
      </c>
      <c r="D11" s="126">
        <v>-1.6</v>
      </c>
      <c r="E11" s="127">
        <v>0.83611111111111114</v>
      </c>
      <c r="F11" s="128"/>
      <c r="G11" s="129">
        <v>107131.61396983484</v>
      </c>
      <c r="H11" s="132"/>
      <c r="I11" s="157">
        <v>28247.936732608017</v>
      </c>
      <c r="J11" s="129"/>
      <c r="K11" s="129">
        <v>48480</v>
      </c>
      <c r="L11" s="129"/>
      <c r="M11" s="129">
        <v>32934</v>
      </c>
      <c r="N11" s="129"/>
      <c r="O11" s="129" t="s">
        <v>44</v>
      </c>
      <c r="P11" s="129"/>
      <c r="Q11" s="129">
        <f>G11+I11+K11+M11</f>
        <v>216793.55070244285</v>
      </c>
    </row>
    <row r="12" spans="1:18" x14ac:dyDescent="0.25">
      <c r="A12" s="123" t="s">
        <v>59</v>
      </c>
      <c r="B12" s="124">
        <v>16</v>
      </c>
      <c r="C12" s="112" t="s">
        <v>17</v>
      </c>
      <c r="D12" s="126">
        <v>-1.2</v>
      </c>
      <c r="E12" s="127">
        <v>0.87083333333333324</v>
      </c>
      <c r="F12" s="133" t="s">
        <v>58</v>
      </c>
      <c r="G12" s="129">
        <v>27577.46613005453</v>
      </c>
      <c r="H12" s="133" t="s">
        <v>58</v>
      </c>
      <c r="I12" s="157">
        <f>+(K12+M12)*(I11+I10)/(K10+K11+M10+M11)</f>
        <v>8258.4220663206288</v>
      </c>
      <c r="J12" s="129"/>
      <c r="K12" s="129">
        <v>20170</v>
      </c>
      <c r="L12" s="129"/>
      <c r="M12" s="129">
        <v>5058</v>
      </c>
      <c r="N12" s="129"/>
      <c r="O12" s="129" t="s">
        <v>44</v>
      </c>
      <c r="P12" s="129"/>
      <c r="Q12" s="129">
        <f>G12+I12+K12+M12</f>
        <v>61063.888196375163</v>
      </c>
    </row>
    <row r="13" spans="1:18" x14ac:dyDescent="0.25">
      <c r="A13" s="124"/>
      <c r="B13" s="124"/>
      <c r="C13" s="112"/>
      <c r="D13" s="126"/>
      <c r="E13" s="127"/>
      <c r="G13" s="129"/>
      <c r="H13" s="135"/>
      <c r="I13" s="157"/>
      <c r="J13" s="129"/>
      <c r="K13" s="129"/>
      <c r="L13" s="129"/>
      <c r="M13" s="129"/>
      <c r="N13" s="129"/>
      <c r="O13" s="129"/>
      <c r="P13" s="129"/>
      <c r="Q13" s="129"/>
    </row>
    <row r="14" spans="1:18" x14ac:dyDescent="0.25">
      <c r="A14" s="124" t="s">
        <v>60</v>
      </c>
      <c r="B14" s="124">
        <v>11</v>
      </c>
      <c r="C14" s="126" t="s">
        <v>45</v>
      </c>
      <c r="D14" s="126">
        <v>-1.1000000000000001</v>
      </c>
      <c r="E14" s="127">
        <v>0.72430555555555554</v>
      </c>
      <c r="G14" s="129" t="s">
        <v>44</v>
      </c>
      <c r="H14" s="131"/>
      <c r="I14" s="157" t="s">
        <v>44</v>
      </c>
      <c r="J14" s="129"/>
      <c r="K14" s="129">
        <v>23147</v>
      </c>
      <c r="L14" s="136"/>
      <c r="M14" s="129">
        <v>18702</v>
      </c>
      <c r="N14" s="129"/>
      <c r="O14" s="129" t="s">
        <v>44</v>
      </c>
      <c r="P14" s="129"/>
      <c r="Q14" s="129">
        <f>K14+M14</f>
        <v>41849</v>
      </c>
    </row>
    <row r="15" spans="1:18" x14ac:dyDescent="0.25">
      <c r="A15" s="124" t="s">
        <v>60</v>
      </c>
      <c r="B15" s="112">
        <v>12</v>
      </c>
      <c r="C15" s="125" t="s">
        <v>43</v>
      </c>
      <c r="D15" s="126">
        <v>-1.5</v>
      </c>
      <c r="E15" s="127">
        <v>0.75902777777777775</v>
      </c>
      <c r="F15" s="137"/>
      <c r="G15" s="129">
        <v>734.63158927333632</v>
      </c>
      <c r="H15" s="132" t="s">
        <v>58</v>
      </c>
      <c r="I15" s="157">
        <f>+K15*I16/K16</f>
        <v>51.76206467161861</v>
      </c>
      <c r="J15" s="129"/>
      <c r="K15" s="129">
        <v>229</v>
      </c>
      <c r="L15" s="130" t="s">
        <v>58</v>
      </c>
      <c r="M15" s="129">
        <f>+K15*(M14+M16)/(K14+K16)</f>
        <v>118.35389827984213</v>
      </c>
      <c r="N15" s="129"/>
      <c r="O15" s="129" t="s">
        <v>44</v>
      </c>
      <c r="P15" s="129"/>
      <c r="Q15" s="129">
        <f>G15+I15+K15+M15</f>
        <v>1133.7475522247971</v>
      </c>
    </row>
    <row r="16" spans="1:18" x14ac:dyDescent="0.25">
      <c r="A16" s="124" t="s">
        <v>60</v>
      </c>
      <c r="B16" s="112">
        <v>13</v>
      </c>
      <c r="C16" s="112" t="s">
        <v>15</v>
      </c>
      <c r="D16" s="126">
        <v>-1.6</v>
      </c>
      <c r="E16" s="127">
        <v>0.79305555555555562</v>
      </c>
      <c r="F16" s="137"/>
      <c r="G16" s="129">
        <v>9213.4299821695531</v>
      </c>
      <c r="H16" s="132"/>
      <c r="I16" s="157">
        <v>6909.6705456188174</v>
      </c>
      <c r="J16" s="129"/>
      <c r="K16" s="129">
        <v>30569</v>
      </c>
      <c r="L16" s="136"/>
      <c r="M16" s="129">
        <v>9060</v>
      </c>
      <c r="N16" s="129"/>
      <c r="O16" s="129" t="s">
        <v>44</v>
      </c>
      <c r="P16" s="129"/>
      <c r="Q16" s="129">
        <f>G16+I16+K16+M16</f>
        <v>55752.100527788367</v>
      </c>
    </row>
    <row r="17" spans="1:17" x14ac:dyDescent="0.25">
      <c r="A17" s="124" t="s">
        <v>60</v>
      </c>
      <c r="B17" s="112">
        <v>14</v>
      </c>
      <c r="C17" s="112" t="s">
        <v>17</v>
      </c>
      <c r="D17" s="126">
        <v>-1.4</v>
      </c>
      <c r="E17" s="127">
        <v>0.82638888888888884</v>
      </c>
      <c r="F17" s="128" t="s">
        <v>58</v>
      </c>
      <c r="G17" s="129">
        <v>715.20784201418996</v>
      </c>
      <c r="H17" s="132" t="s">
        <v>58</v>
      </c>
      <c r="I17" s="157">
        <f>+K17*I16/K16</f>
        <v>276.44107027681031</v>
      </c>
      <c r="J17" s="129"/>
      <c r="K17" s="129">
        <v>1223</v>
      </c>
      <c r="L17" s="130" t="s">
        <v>58</v>
      </c>
      <c r="M17" s="129">
        <f>+K17*(M16+M14)/(K16+K14)</f>
        <v>632.08217290937523</v>
      </c>
      <c r="N17" s="129"/>
      <c r="O17" s="129" t="s">
        <v>44</v>
      </c>
      <c r="P17" s="129"/>
      <c r="Q17" s="129">
        <f>G17+I17+K17+M17</f>
        <v>2846.7310852003757</v>
      </c>
    </row>
    <row r="18" spans="1:17" x14ac:dyDescent="0.25">
      <c r="A18" s="124"/>
      <c r="B18" s="112"/>
      <c r="C18" s="112"/>
      <c r="D18" s="126"/>
      <c r="E18" s="127"/>
      <c r="F18" s="128"/>
      <c r="G18" s="129"/>
      <c r="H18" s="132"/>
      <c r="I18" s="157"/>
      <c r="J18" s="129"/>
      <c r="K18" s="129"/>
      <c r="L18" s="130"/>
      <c r="M18" s="129"/>
      <c r="N18" s="129"/>
      <c r="O18" s="129"/>
      <c r="P18" s="129"/>
      <c r="Q18" s="129"/>
    </row>
    <row r="19" spans="1:17" x14ac:dyDescent="0.25">
      <c r="A19" s="124" t="s">
        <v>62</v>
      </c>
      <c r="B19" s="112">
        <v>8</v>
      </c>
      <c r="C19" s="126" t="s">
        <v>45</v>
      </c>
      <c r="D19" s="126">
        <v>-0.2</v>
      </c>
      <c r="E19" s="127">
        <v>0.67569444444444438</v>
      </c>
      <c r="F19" s="128"/>
      <c r="G19" s="129" t="s">
        <v>44</v>
      </c>
      <c r="H19" s="132" t="s">
        <v>58</v>
      </c>
      <c r="I19" s="157">
        <f>+I20/2</f>
        <v>3494.5016094036446</v>
      </c>
      <c r="J19" s="129"/>
      <c r="K19" s="129">
        <f>+K20/2</f>
        <v>11507</v>
      </c>
      <c r="L19" s="130"/>
      <c r="M19" s="129">
        <f>+M20/2</f>
        <v>6686.5</v>
      </c>
      <c r="N19" s="129"/>
      <c r="O19" s="129" t="s">
        <v>44</v>
      </c>
      <c r="P19" s="129"/>
      <c r="Q19" s="129">
        <f>+I19+K19+M19</f>
        <v>21688.001609403644</v>
      </c>
    </row>
    <row r="20" spans="1:17" x14ac:dyDescent="0.25">
      <c r="A20" s="124" t="s">
        <v>62</v>
      </c>
      <c r="B20" s="112">
        <v>9</v>
      </c>
      <c r="C20" s="125" t="s">
        <v>43</v>
      </c>
      <c r="D20" s="126">
        <v>-0.8</v>
      </c>
      <c r="E20" s="127">
        <v>0.71319444444444446</v>
      </c>
      <c r="F20" s="128"/>
      <c r="G20" s="129">
        <v>38254.51871158243</v>
      </c>
      <c r="H20" s="132"/>
      <c r="I20" s="157">
        <v>6989.0032188072892</v>
      </c>
      <c r="J20" s="129"/>
      <c r="K20" s="129">
        <v>23014</v>
      </c>
      <c r="L20" s="130"/>
      <c r="M20" s="129">
        <v>13373</v>
      </c>
      <c r="N20" s="129"/>
      <c r="O20" s="129" t="s">
        <v>44</v>
      </c>
      <c r="P20" s="129"/>
      <c r="Q20" s="129">
        <f>+G20+I20+K20+M20</f>
        <v>81630.521930389717</v>
      </c>
    </row>
    <row r="21" spans="1:17" x14ac:dyDescent="0.25">
      <c r="A21" s="124" t="s">
        <v>62</v>
      </c>
      <c r="B21" s="112">
        <v>10</v>
      </c>
      <c r="C21" s="112" t="s">
        <v>15</v>
      </c>
      <c r="D21" s="126">
        <v>-1.1000000000000001</v>
      </c>
      <c r="E21" s="127">
        <v>0.74861111111111101</v>
      </c>
      <c r="F21" s="128"/>
      <c r="G21" s="129">
        <v>28266.724177961347</v>
      </c>
      <c r="H21" s="132"/>
      <c r="I21" s="157">
        <v>7601.6650292032318</v>
      </c>
      <c r="J21" s="129"/>
      <c r="K21" s="129">
        <v>49358</v>
      </c>
      <c r="L21" s="130"/>
      <c r="M21" s="129">
        <v>24103</v>
      </c>
      <c r="N21" s="129"/>
      <c r="O21" s="129" t="s">
        <v>44</v>
      </c>
      <c r="P21" s="129"/>
      <c r="Q21" s="129">
        <f>+G21+I21+K21+M21</f>
        <v>109329.38920716458</v>
      </c>
    </row>
    <row r="22" spans="1:17" x14ac:dyDescent="0.25">
      <c r="A22" s="124" t="s">
        <v>62</v>
      </c>
      <c r="B22" s="112">
        <v>11</v>
      </c>
      <c r="C22" s="112" t="s">
        <v>17</v>
      </c>
      <c r="D22" s="126">
        <v>-1.2</v>
      </c>
      <c r="E22" s="127">
        <v>0.78125</v>
      </c>
      <c r="F22" s="128" t="s">
        <v>58</v>
      </c>
      <c r="G22" s="129">
        <v>14012.624859484367</v>
      </c>
      <c r="H22" s="132" t="s">
        <v>58</v>
      </c>
      <c r="I22" s="157">
        <f>+(K22+M22)*(I21+I20)/(K20+K21+M20+M21)</f>
        <v>4103.3929992880076</v>
      </c>
      <c r="J22" s="129"/>
      <c r="K22" s="129">
        <v>20928</v>
      </c>
      <c r="L22" s="130"/>
      <c r="M22" s="129">
        <v>9965</v>
      </c>
      <c r="N22" s="129"/>
      <c r="O22" s="129" t="s">
        <v>44</v>
      </c>
      <c r="P22" s="129"/>
      <c r="Q22" s="129">
        <f>+G22+I22+K22+M22</f>
        <v>49009.017858772379</v>
      </c>
    </row>
    <row r="23" spans="1:17" x14ac:dyDescent="0.25">
      <c r="A23" s="124"/>
      <c r="B23" s="112"/>
      <c r="C23" s="112"/>
      <c r="D23" s="126"/>
      <c r="E23" s="127"/>
      <c r="F23" s="128"/>
      <c r="G23" s="129"/>
      <c r="H23" s="132"/>
      <c r="I23" s="157"/>
      <c r="J23" s="129"/>
      <c r="K23" s="129"/>
      <c r="L23" s="130"/>
      <c r="M23" s="129"/>
      <c r="N23" s="129"/>
      <c r="O23" s="129"/>
      <c r="P23" s="129"/>
      <c r="Q23" s="129"/>
    </row>
    <row r="24" spans="1:17" x14ac:dyDescent="0.25">
      <c r="A24" s="124" t="s">
        <v>63</v>
      </c>
      <c r="B24" s="112">
        <v>6</v>
      </c>
      <c r="C24" s="125" t="s">
        <v>43</v>
      </c>
      <c r="D24" s="126">
        <v>-0.1</v>
      </c>
      <c r="E24" s="127">
        <v>0.66319444444444442</v>
      </c>
      <c r="F24" s="128"/>
      <c r="G24" s="129" t="s">
        <v>44</v>
      </c>
      <c r="H24" s="132"/>
      <c r="I24" s="157">
        <v>32532.833486314863</v>
      </c>
      <c r="J24" s="129"/>
      <c r="K24" s="129">
        <v>46064</v>
      </c>
      <c r="L24" s="130"/>
      <c r="M24" s="129">
        <v>36754</v>
      </c>
      <c r="N24" s="129"/>
      <c r="O24" s="129" t="s">
        <v>44</v>
      </c>
      <c r="P24" s="129"/>
      <c r="Q24" s="129">
        <f>+I24+K24+M24</f>
        <v>115350.83348631486</v>
      </c>
    </row>
    <row r="25" spans="1:17" x14ac:dyDescent="0.25">
      <c r="A25" s="124" t="s">
        <v>63</v>
      </c>
      <c r="B25" s="112">
        <v>7</v>
      </c>
      <c r="C25" s="112" t="s">
        <v>15</v>
      </c>
      <c r="D25" s="126">
        <v>-0.4</v>
      </c>
      <c r="E25" s="127">
        <v>0.70138888888888884</v>
      </c>
      <c r="F25" s="128"/>
      <c r="G25" s="129">
        <v>140955.08298873427</v>
      </c>
      <c r="H25" s="132"/>
      <c r="I25" s="157">
        <v>68371.927489803289</v>
      </c>
      <c r="J25" s="129"/>
      <c r="K25" s="129">
        <v>108534</v>
      </c>
      <c r="L25" s="130"/>
      <c r="M25" s="129">
        <v>118708</v>
      </c>
      <c r="N25" s="129"/>
      <c r="O25" s="129" t="s">
        <v>44</v>
      </c>
      <c r="P25" s="129"/>
      <c r="Q25" s="129">
        <f>+G25+I25+K25+M25</f>
        <v>436569.01047853753</v>
      </c>
    </row>
    <row r="26" spans="1:17" x14ac:dyDescent="0.25">
      <c r="A26" s="124" t="s">
        <v>63</v>
      </c>
      <c r="B26" s="112">
        <v>8</v>
      </c>
      <c r="C26" s="112" t="s">
        <v>17</v>
      </c>
      <c r="D26" s="126">
        <v>-0.6</v>
      </c>
      <c r="E26" s="127">
        <v>0.73541666666666661</v>
      </c>
      <c r="F26" s="128"/>
      <c r="G26" s="129">
        <v>62911.148343483117</v>
      </c>
      <c r="H26" s="132" t="s">
        <v>58</v>
      </c>
      <c r="I26" s="157">
        <f>(K26+M26)*(I24+I25)/(K24+K25+M24+M25)</f>
        <v>43330.208347304557</v>
      </c>
      <c r="J26" s="129"/>
      <c r="K26" s="129">
        <v>95622</v>
      </c>
      <c r="L26" s="130"/>
      <c r="M26" s="129">
        <v>37523</v>
      </c>
      <c r="N26" s="129"/>
      <c r="O26" s="129" t="s">
        <v>44</v>
      </c>
      <c r="P26" s="129"/>
      <c r="Q26" s="129">
        <f>+G26+I26+K26+M26</f>
        <v>239386.35669078768</v>
      </c>
    </row>
    <row r="27" spans="1:17" x14ac:dyDescent="0.25">
      <c r="A27" s="112"/>
      <c r="B27" s="112"/>
      <c r="C27" s="112"/>
      <c r="D27" s="134"/>
      <c r="E27" s="134"/>
      <c r="F27" s="111"/>
      <c r="G27" s="129"/>
      <c r="H27" s="132"/>
      <c r="I27" s="157"/>
      <c r="J27" s="129"/>
      <c r="K27" s="129"/>
      <c r="L27" s="129"/>
      <c r="M27" s="129"/>
      <c r="N27" s="129"/>
      <c r="O27" s="129"/>
      <c r="P27" s="129"/>
      <c r="Q27" s="129"/>
    </row>
    <row r="28" spans="1:17" x14ac:dyDescent="0.25">
      <c r="A28" s="112" t="s">
        <v>69</v>
      </c>
      <c r="B28" s="112">
        <v>27</v>
      </c>
      <c r="C28" s="125" t="s">
        <v>43</v>
      </c>
      <c r="D28" s="126">
        <v>0</v>
      </c>
      <c r="E28" s="127">
        <v>0.32569444444444445</v>
      </c>
      <c r="F28" s="111"/>
      <c r="G28" s="129" t="s">
        <v>44</v>
      </c>
      <c r="H28" s="132"/>
      <c r="I28" s="157">
        <v>41438.170524571964</v>
      </c>
      <c r="J28" s="129"/>
      <c r="K28" s="129" t="s">
        <v>44</v>
      </c>
      <c r="L28" s="129"/>
      <c r="M28" s="129">
        <v>44725</v>
      </c>
      <c r="N28" s="129"/>
      <c r="O28" s="129" t="s">
        <v>44</v>
      </c>
      <c r="P28" s="129"/>
      <c r="Q28" s="129">
        <f>I28+M28</f>
        <v>86163.170524571964</v>
      </c>
    </row>
    <row r="29" spans="1:17" x14ac:dyDescent="0.25">
      <c r="A29" s="112" t="s">
        <v>69</v>
      </c>
      <c r="B29" s="112">
        <v>28</v>
      </c>
      <c r="C29" s="112" t="s">
        <v>15</v>
      </c>
      <c r="D29" s="126">
        <v>-0.4</v>
      </c>
      <c r="E29" s="127">
        <v>0.35347222222222219</v>
      </c>
      <c r="F29" s="111"/>
      <c r="G29" s="129">
        <v>62183.76897018656</v>
      </c>
      <c r="H29" s="132" t="s">
        <v>58</v>
      </c>
      <c r="I29" s="157">
        <f>+(K29+M29)*(I25+I24)/(K24+K25+M24+M25)</f>
        <v>61532.508195450857</v>
      </c>
      <c r="J29" s="129"/>
      <c r="K29" s="129">
        <v>112127</v>
      </c>
      <c r="L29" s="129"/>
      <c r="M29" s="129">
        <v>76950</v>
      </c>
      <c r="N29" s="129"/>
      <c r="O29" s="129" t="s">
        <v>44</v>
      </c>
      <c r="P29" s="129"/>
      <c r="Q29" s="129">
        <f>G29+I29+K29+M29</f>
        <v>312793.27716563741</v>
      </c>
    </row>
    <row r="30" spans="1:17" x14ac:dyDescent="0.25">
      <c r="A30" s="112" t="s">
        <v>69</v>
      </c>
      <c r="B30" s="112">
        <v>29</v>
      </c>
      <c r="C30" s="112" t="s">
        <v>17</v>
      </c>
      <c r="D30" s="126">
        <v>-0.6</v>
      </c>
      <c r="E30" s="127">
        <v>0.3833333333333333</v>
      </c>
      <c r="F30" s="111"/>
      <c r="G30" s="129">
        <v>99542.476361486595</v>
      </c>
      <c r="H30" s="132" t="s">
        <v>58</v>
      </c>
      <c r="I30" s="157">
        <f>+(K30+M30)*(I25+I24)/(K24+K25+M24+M25)</f>
        <v>53833.663035120509</v>
      </c>
      <c r="J30" s="129"/>
      <c r="K30" s="129">
        <v>109258</v>
      </c>
      <c r="L30" s="129"/>
      <c r="M30" s="129">
        <v>56162</v>
      </c>
      <c r="N30" s="129"/>
      <c r="O30" s="129" t="s">
        <v>44</v>
      </c>
      <c r="P30" s="129"/>
      <c r="Q30" s="129">
        <f>G30+I30+K30+M30</f>
        <v>318796.13939660712</v>
      </c>
    </row>
    <row r="31" spans="1:17" x14ac:dyDescent="0.25">
      <c r="A31" s="112"/>
      <c r="B31" s="112"/>
      <c r="C31" s="112"/>
      <c r="D31" s="126"/>
      <c r="E31" s="127"/>
      <c r="F31" s="111"/>
      <c r="G31" s="129"/>
      <c r="H31" s="132"/>
      <c r="I31" s="157"/>
      <c r="J31" s="129"/>
      <c r="K31" s="129"/>
      <c r="L31" s="129"/>
      <c r="M31" s="129"/>
      <c r="N31" s="129"/>
      <c r="O31" s="129"/>
      <c r="P31" s="129"/>
      <c r="Q31" s="129"/>
    </row>
    <row r="32" spans="1:17" x14ac:dyDescent="0.25">
      <c r="A32" s="112" t="s">
        <v>70</v>
      </c>
      <c r="B32" s="112">
        <v>10</v>
      </c>
      <c r="C32" s="125" t="s">
        <v>43</v>
      </c>
      <c r="D32" s="126">
        <v>-0.7</v>
      </c>
      <c r="E32" s="127">
        <v>0.32291666666666669</v>
      </c>
      <c r="F32" s="111"/>
      <c r="G32" s="129" t="s">
        <v>44</v>
      </c>
      <c r="H32" s="132"/>
      <c r="I32" s="157">
        <v>44364.701750242501</v>
      </c>
      <c r="J32" s="129"/>
      <c r="K32" s="129" t="s">
        <v>44</v>
      </c>
      <c r="L32" s="129"/>
      <c r="M32" s="129" t="s">
        <v>44</v>
      </c>
      <c r="N32" s="129"/>
      <c r="O32" s="129" t="s">
        <v>44</v>
      </c>
      <c r="P32" s="129"/>
      <c r="Q32" s="129">
        <f>+I32</f>
        <v>44364.701750242501</v>
      </c>
    </row>
    <row r="33" spans="1:17" x14ac:dyDescent="0.25">
      <c r="A33" s="112" t="s">
        <v>70</v>
      </c>
      <c r="B33" s="112">
        <v>11</v>
      </c>
      <c r="C33" s="112" t="s">
        <v>15</v>
      </c>
      <c r="D33" s="126">
        <v>-0.7</v>
      </c>
      <c r="E33" s="127">
        <v>0.35069444444444442</v>
      </c>
      <c r="F33" s="111"/>
      <c r="G33" s="129">
        <v>125791.4570507942</v>
      </c>
      <c r="H33" s="132"/>
      <c r="I33" s="157">
        <v>62187.400018517583</v>
      </c>
      <c r="J33" s="129"/>
      <c r="K33" s="129" t="s">
        <v>44</v>
      </c>
      <c r="L33" s="129"/>
      <c r="M33" s="129" t="s">
        <v>44</v>
      </c>
      <c r="N33" s="129"/>
      <c r="O33" s="129" t="s">
        <v>44</v>
      </c>
      <c r="P33" s="129"/>
      <c r="Q33" s="129">
        <f>+G33+I33</f>
        <v>187978.85706931178</v>
      </c>
    </row>
    <row r="34" spans="1:17" x14ac:dyDescent="0.25">
      <c r="A34" s="112" t="s">
        <v>70</v>
      </c>
      <c r="B34" s="112">
        <v>12</v>
      </c>
      <c r="C34" s="112" t="s">
        <v>17</v>
      </c>
      <c r="D34" s="126">
        <v>-0.5</v>
      </c>
      <c r="E34" s="127">
        <v>0.37847222222222227</v>
      </c>
      <c r="F34" s="111"/>
      <c r="G34" s="129">
        <v>19535.655679736075</v>
      </c>
      <c r="H34" s="132"/>
      <c r="I34" s="157">
        <v>12081.398196761373</v>
      </c>
      <c r="J34" s="129"/>
      <c r="K34" s="129" t="s">
        <v>44</v>
      </c>
      <c r="L34" s="129"/>
      <c r="M34" s="129" t="s">
        <v>44</v>
      </c>
      <c r="N34" s="129"/>
      <c r="O34" s="129" t="s">
        <v>44</v>
      </c>
      <c r="P34" s="129"/>
      <c r="Q34" s="129">
        <f>+G34+I34</f>
        <v>31617.053876497448</v>
      </c>
    </row>
    <row r="35" spans="1:17" x14ac:dyDescent="0.25">
      <c r="A35" s="112"/>
      <c r="B35" s="112"/>
      <c r="C35" s="112"/>
      <c r="D35" s="126"/>
      <c r="E35" s="127"/>
      <c r="F35" s="111"/>
      <c r="G35" s="129"/>
      <c r="H35" s="132"/>
      <c r="I35" s="157"/>
      <c r="J35" s="129"/>
      <c r="K35" s="129"/>
      <c r="L35" s="129"/>
      <c r="M35" s="129"/>
      <c r="N35" s="129"/>
      <c r="O35" s="129"/>
      <c r="P35" s="129"/>
      <c r="Q35" s="129"/>
    </row>
    <row r="36" spans="1:17" x14ac:dyDescent="0.25">
      <c r="A36" s="112" t="s">
        <v>70</v>
      </c>
      <c r="B36" s="112">
        <v>25</v>
      </c>
      <c r="C36" s="138">
        <v>39928</v>
      </c>
      <c r="D36" s="126">
        <v>-1.3</v>
      </c>
      <c r="E36" s="127">
        <v>0.31041666666666667</v>
      </c>
      <c r="F36" s="111"/>
      <c r="G36" s="129">
        <v>101760.96045985553</v>
      </c>
      <c r="H36" s="132" t="s">
        <v>58</v>
      </c>
      <c r="I36" s="157">
        <f>(K36+M36)*I38/(M38+K38)</f>
        <v>56511.052598693248</v>
      </c>
      <c r="J36" s="129"/>
      <c r="K36" s="129">
        <v>144271</v>
      </c>
      <c r="L36" s="129"/>
      <c r="M36" s="129">
        <v>82807</v>
      </c>
      <c r="N36" s="129"/>
      <c r="O36" s="129" t="s">
        <v>44</v>
      </c>
      <c r="P36" s="129"/>
      <c r="Q36" s="129">
        <f>+G36+I36+K36+M36</f>
        <v>385350.01305854879</v>
      </c>
    </row>
    <row r="37" spans="1:17" x14ac:dyDescent="0.25">
      <c r="A37" s="112" t="s">
        <v>70</v>
      </c>
      <c r="B37" s="112">
        <v>26</v>
      </c>
      <c r="C37" s="138">
        <v>39929</v>
      </c>
      <c r="D37" s="126">
        <v>-1.6</v>
      </c>
      <c r="E37" s="127">
        <v>0.34027777777777773</v>
      </c>
      <c r="F37" s="139" t="s">
        <v>58</v>
      </c>
      <c r="G37" s="129">
        <f>(K37+M37)*G36/(K36+M36)</f>
        <v>87264.332385291433</v>
      </c>
      <c r="H37" s="132" t="s">
        <v>58</v>
      </c>
      <c r="I37" s="157">
        <f>(K37+M37)*I38/(K38+M38)</f>
        <v>48460.620410127514</v>
      </c>
      <c r="J37" s="129"/>
      <c r="K37" s="129">
        <v>126966</v>
      </c>
      <c r="L37" s="129"/>
      <c r="M37" s="129">
        <v>67763</v>
      </c>
      <c r="N37" s="129"/>
      <c r="O37" s="129" t="s">
        <v>44</v>
      </c>
      <c r="P37" s="129"/>
      <c r="Q37" s="129">
        <f>+G37+I37+K37+M37</f>
        <v>330453.95279541891</v>
      </c>
    </row>
    <row r="38" spans="1:17" x14ac:dyDescent="0.25">
      <c r="A38" s="112" t="s">
        <v>70</v>
      </c>
      <c r="B38" s="112">
        <v>27</v>
      </c>
      <c r="C38" s="138">
        <v>39930</v>
      </c>
      <c r="D38" s="126">
        <v>-1.7</v>
      </c>
      <c r="E38" s="127">
        <v>0.37152777777777773</v>
      </c>
      <c r="F38" s="111"/>
      <c r="G38" s="129">
        <v>84864.403774636972</v>
      </c>
      <c r="H38" s="132"/>
      <c r="I38" s="157">
        <v>18946.350841753556</v>
      </c>
      <c r="J38" s="129"/>
      <c r="K38" s="129">
        <v>50615</v>
      </c>
      <c r="L38" s="129"/>
      <c r="M38" s="129">
        <v>25517</v>
      </c>
      <c r="N38" s="129"/>
      <c r="O38" s="129" t="s">
        <v>44</v>
      </c>
      <c r="P38" s="129"/>
      <c r="Q38" s="129">
        <f>+G38+I38+K38+M38</f>
        <v>179942.75461639054</v>
      </c>
    </row>
    <row r="39" spans="1:17" x14ac:dyDescent="0.25">
      <c r="A39" s="112"/>
      <c r="B39" s="112"/>
      <c r="C39" s="138"/>
      <c r="D39" s="126"/>
      <c r="E39" s="127"/>
      <c r="F39" s="111"/>
      <c r="G39" s="129"/>
      <c r="H39" s="132"/>
      <c r="I39" s="157"/>
      <c r="J39" s="129"/>
      <c r="K39" s="129"/>
      <c r="L39" s="129"/>
      <c r="M39" s="129"/>
      <c r="N39" s="129"/>
      <c r="O39" s="129"/>
      <c r="P39" s="129"/>
      <c r="Q39" s="129"/>
    </row>
    <row r="40" spans="1:17" x14ac:dyDescent="0.25">
      <c r="A40" s="112" t="s">
        <v>82</v>
      </c>
      <c r="B40" s="112">
        <v>9</v>
      </c>
      <c r="C40" s="138">
        <v>39942</v>
      </c>
      <c r="D40" s="126">
        <v>-1.2</v>
      </c>
      <c r="E40" s="127">
        <v>0.30763888888888891</v>
      </c>
      <c r="F40" s="111"/>
      <c r="G40" s="129">
        <v>63221.911021839216</v>
      </c>
      <c r="H40" s="132" t="s">
        <v>58</v>
      </c>
      <c r="I40" s="157">
        <f>+(K40+M40)*I38/(K38+M38)</f>
        <v>22742.240735481118</v>
      </c>
      <c r="J40" s="129"/>
      <c r="K40" s="129">
        <v>63672</v>
      </c>
      <c r="L40" s="129"/>
      <c r="M40" s="129">
        <v>27713</v>
      </c>
      <c r="N40" s="129"/>
      <c r="O40" s="129" t="s">
        <v>44</v>
      </c>
      <c r="P40" s="129"/>
      <c r="Q40" s="129">
        <f>G40+I40+K40+M40</f>
        <v>177349.15175732033</v>
      </c>
    </row>
    <row r="41" spans="1:17" x14ac:dyDescent="0.25">
      <c r="A41" s="112" t="s">
        <v>82</v>
      </c>
      <c r="B41" s="112">
        <v>10</v>
      </c>
      <c r="C41" s="138">
        <v>39943</v>
      </c>
      <c r="D41" s="126">
        <v>-1.2</v>
      </c>
      <c r="E41" s="127">
        <v>0.3347222222222222</v>
      </c>
      <c r="F41" s="111"/>
      <c r="G41" s="129">
        <v>91926.223303245642</v>
      </c>
      <c r="H41" s="132"/>
      <c r="I41" s="157">
        <v>45905.095705363157</v>
      </c>
      <c r="J41" s="129"/>
      <c r="K41" s="129" t="s">
        <v>44</v>
      </c>
      <c r="L41" s="129"/>
      <c r="M41" s="129" t="s">
        <v>44</v>
      </c>
      <c r="N41" s="129"/>
      <c r="O41" s="129" t="s">
        <v>44</v>
      </c>
      <c r="P41" s="129"/>
      <c r="Q41" s="129">
        <f>G41+I41</f>
        <v>137831.31900860881</v>
      </c>
    </row>
    <row r="42" spans="1:17" x14ac:dyDescent="0.25">
      <c r="A42" s="112"/>
      <c r="B42" s="112"/>
      <c r="C42" s="112"/>
      <c r="D42" s="134"/>
      <c r="E42" s="134"/>
      <c r="F42" s="111"/>
      <c r="G42" s="129"/>
      <c r="H42" s="132"/>
      <c r="I42" s="129"/>
      <c r="J42" s="129"/>
      <c r="K42" s="129"/>
      <c r="L42" s="129"/>
      <c r="M42" s="129"/>
      <c r="N42" s="129"/>
      <c r="O42" s="129"/>
      <c r="P42" s="129"/>
      <c r="Q42" s="129"/>
    </row>
    <row r="43" spans="1:17" x14ac:dyDescent="0.25">
      <c r="A43" s="111"/>
      <c r="B43" s="111"/>
      <c r="C43" s="112"/>
      <c r="D43" s="112"/>
      <c r="E43" s="112"/>
      <c r="F43" s="111"/>
      <c r="G43" s="116"/>
      <c r="H43" s="131"/>
      <c r="I43" s="116"/>
      <c r="J43" s="129"/>
      <c r="K43" s="116"/>
      <c r="L43" s="129"/>
      <c r="M43" s="116"/>
      <c r="N43" s="129"/>
      <c r="O43" s="116"/>
      <c r="P43" s="129"/>
      <c r="Q43" s="116"/>
    </row>
    <row r="44" spans="1:17" x14ac:dyDescent="0.25">
      <c r="A44" s="113" t="s">
        <v>61</v>
      </c>
      <c r="B44" s="112"/>
      <c r="C44" s="112"/>
      <c r="D44" s="112"/>
      <c r="E44" s="112"/>
      <c r="F44" s="112"/>
      <c r="G44" s="129">
        <f>SUM(G5:G43)</f>
        <v>1389027.4773330302</v>
      </c>
      <c r="H44" s="131"/>
      <c r="I44" s="129">
        <f>SUM(I5:I43)</f>
        <v>794595.58483903902</v>
      </c>
      <c r="J44" s="129"/>
      <c r="K44" s="129">
        <f>SUM(K5:K43)</f>
        <v>1273550</v>
      </c>
      <c r="L44" s="129"/>
      <c r="M44" s="129">
        <f>SUM(M5:M43)</f>
        <v>799144.50275488873</v>
      </c>
      <c r="N44" s="129"/>
      <c r="O44" s="129">
        <f>SUM(O5:O43)</f>
        <v>0</v>
      </c>
      <c r="P44" s="129"/>
      <c r="Q44" s="129">
        <f>G44+I44+K44+M44+O44</f>
        <v>4256317.5649269577</v>
      </c>
    </row>
    <row r="45" spans="1:17" x14ac:dyDescent="0.25">
      <c r="A45" s="111" t="s">
        <v>33</v>
      </c>
      <c r="B45" s="112"/>
      <c r="C45" s="112"/>
      <c r="D45" s="112"/>
      <c r="E45" s="112"/>
      <c r="F45" s="112"/>
      <c r="G45" s="140">
        <f>+'LB - Wastage'!F7</f>
        <v>9.5878983251588029E-2</v>
      </c>
      <c r="H45" s="137"/>
      <c r="I45" s="140">
        <f>+'TH - Wastage'!F8</f>
        <v>4.8542127617289044E-2</v>
      </c>
      <c r="J45" s="129"/>
      <c r="K45" s="140">
        <f>+'Cop - Wastage'!F9</f>
        <v>4.3807966503699135E-2</v>
      </c>
      <c r="L45" s="129"/>
      <c r="M45" s="140">
        <f>+'Moc - Wastage'!F8</f>
        <v>7.5847440728228105E-2</v>
      </c>
      <c r="N45" s="129"/>
      <c r="O45" s="141">
        <v>0</v>
      </c>
      <c r="P45" s="112"/>
      <c r="Q45" s="129"/>
    </row>
    <row r="46" spans="1:17" x14ac:dyDescent="0.25">
      <c r="A46" s="113" t="s">
        <v>34</v>
      </c>
      <c r="B46" s="112"/>
      <c r="C46" s="112"/>
      <c r="D46" s="112"/>
      <c r="E46" s="112"/>
      <c r="F46" s="112"/>
      <c r="G46" s="129">
        <f>+'LB - Wastage'!D7</f>
        <v>38768</v>
      </c>
      <c r="H46" s="142"/>
      <c r="I46" s="129">
        <f>+'TH - Wastage'!D8</f>
        <v>10632</v>
      </c>
      <c r="J46" s="112"/>
      <c r="K46" s="129">
        <f>+'Cop - Wastage'!D9</f>
        <v>28448</v>
      </c>
      <c r="L46" s="112"/>
      <c r="M46" s="129">
        <f>+'Moc - Wastage'!D8</f>
        <v>26604</v>
      </c>
      <c r="N46" s="112"/>
      <c r="O46" s="129">
        <v>0</v>
      </c>
      <c r="P46" s="112"/>
      <c r="Q46" s="129">
        <f>G46+I46+K46+M46+O46</f>
        <v>104452</v>
      </c>
    </row>
    <row r="47" spans="1:17" x14ac:dyDescent="0.25">
      <c r="A47" s="111" t="s">
        <v>20</v>
      </c>
      <c r="B47" s="112"/>
      <c r="C47" s="112"/>
      <c r="D47" s="112"/>
      <c r="E47" s="112"/>
      <c r="F47" s="112"/>
      <c r="G47" s="129">
        <f>G44+G46</f>
        <v>1427795.4773330302</v>
      </c>
      <c r="H47" s="137"/>
      <c r="I47" s="129">
        <f>I44+I46</f>
        <v>805227.58483903902</v>
      </c>
      <c r="J47" s="112"/>
      <c r="K47" s="129">
        <f>K44+K46</f>
        <v>1301998</v>
      </c>
      <c r="L47" s="112"/>
      <c r="M47" s="129">
        <f>M44+M46</f>
        <v>825748.50275488873</v>
      </c>
      <c r="N47" s="112"/>
      <c r="O47" s="129">
        <f>O44+O46</f>
        <v>0</v>
      </c>
      <c r="P47" s="112"/>
      <c r="Q47" s="129">
        <f>G47+I47+K47+M47+O47</f>
        <v>4360769.5649269577</v>
      </c>
    </row>
    <row r="48" spans="1:17" x14ac:dyDescent="0.25">
      <c r="A48" s="143" t="s">
        <v>57</v>
      </c>
      <c r="B48" s="112"/>
      <c r="C48" s="112"/>
      <c r="D48" s="112"/>
      <c r="E48" s="112"/>
      <c r="F48" s="112"/>
      <c r="G48" s="129">
        <f>G47/22</f>
        <v>64899.794424228647</v>
      </c>
      <c r="H48" s="136"/>
      <c r="I48" s="129">
        <f>I47/27</f>
        <v>29823.243882927371</v>
      </c>
      <c r="J48" s="112"/>
      <c r="K48" s="129">
        <f>K47/24</f>
        <v>54249.916666666664</v>
      </c>
      <c r="L48" s="112"/>
      <c r="M48" s="129">
        <f>M47/25</f>
        <v>33029.940110195552</v>
      </c>
      <c r="N48" s="112"/>
      <c r="O48" s="129">
        <f>O47/1</f>
        <v>0</v>
      </c>
      <c r="P48" s="112"/>
      <c r="Q48" s="129">
        <f>G48+I48+K48+M48+O48</f>
        <v>182002.89508401824</v>
      </c>
    </row>
    <row r="49" spans="1:17" x14ac:dyDescent="0.25">
      <c r="A49" s="143" t="s">
        <v>21</v>
      </c>
      <c r="B49" s="112"/>
      <c r="C49" s="112"/>
      <c r="D49" s="126"/>
      <c r="E49" s="144"/>
      <c r="F49" s="112"/>
      <c r="G49" s="141">
        <f>G47/'2008-2009 TAC'!B4</f>
        <v>1.3559543062778188</v>
      </c>
      <c r="H49" s="142"/>
      <c r="I49" s="141">
        <f>I47/'2008-2009 TAC'!B5</f>
        <v>1.19736977984889</v>
      </c>
      <c r="J49" s="112"/>
      <c r="K49" s="141">
        <f>K47/'2008-2009 TAC'!B6</f>
        <v>1.3449906253389599</v>
      </c>
      <c r="L49" s="112"/>
      <c r="M49" s="141">
        <f>M47/'2008-2009 TAC'!B7</f>
        <v>1.1767593389256716</v>
      </c>
      <c r="N49" s="112"/>
      <c r="O49" s="141">
        <f>O47/'2008-2009 TAC'!B8</f>
        <v>0</v>
      </c>
      <c r="P49" s="112"/>
      <c r="Q49" s="141">
        <f>Q47/'2008-2009 TAC'!B9</f>
        <v>1.22641316781373</v>
      </c>
    </row>
    <row r="50" spans="1:17" x14ac:dyDescent="0.25">
      <c r="A50" s="143" t="s">
        <v>22</v>
      </c>
      <c r="B50" s="112"/>
      <c r="C50" s="112"/>
      <c r="D50" s="145"/>
      <c r="E50" s="146"/>
      <c r="F50" s="112"/>
      <c r="G50" s="129">
        <f>'2008-2009 TAC'!B4-G47</f>
        <v>-374813.4773330302</v>
      </c>
      <c r="I50" s="129">
        <f>'2008-2009 TAC'!B5-I47</f>
        <v>-132730.58483903902</v>
      </c>
      <c r="K50" s="129">
        <f>'2008-2009 TAC'!B6-K47</f>
        <v>-333963</v>
      </c>
      <c r="M50" s="129">
        <f>'2008-2009 TAC'!B7-M47</f>
        <v>-124034.50275488873</v>
      </c>
      <c r="O50" s="129">
        <f>'2008-2009 TAC'!B8-O47</f>
        <v>160482</v>
      </c>
      <c r="Q50" s="129">
        <f>G50+I50+K50+M50+O50</f>
        <v>-805059.56492695794</v>
      </c>
    </row>
    <row r="51" spans="1:17" x14ac:dyDescent="0.25">
      <c r="A51" s="113" t="s">
        <v>23</v>
      </c>
      <c r="B51" s="115"/>
      <c r="D51" s="145"/>
      <c r="E51" s="146"/>
      <c r="F51" s="115"/>
      <c r="G51" s="115"/>
      <c r="H51" s="111"/>
      <c r="I51" s="129"/>
      <c r="J51" s="112"/>
      <c r="K51" s="129"/>
      <c r="L51" s="112"/>
      <c r="M51" s="129"/>
      <c r="N51" s="112"/>
      <c r="O51" s="129"/>
      <c r="P51" s="112"/>
      <c r="Q51" s="129"/>
    </row>
    <row r="52" spans="1:17" x14ac:dyDescent="0.25">
      <c r="A52" s="119" t="s">
        <v>1</v>
      </c>
      <c r="B52" s="115"/>
      <c r="E52" s="146"/>
      <c r="F52" s="115"/>
      <c r="G52" s="115"/>
      <c r="I52" s="147"/>
      <c r="K52" s="115"/>
      <c r="M52" s="147"/>
      <c r="O52" s="115"/>
      <c r="Q52" s="147"/>
    </row>
    <row r="53" spans="1:17" x14ac:dyDescent="0.25">
      <c r="B53" s="115"/>
      <c r="E53" s="146"/>
      <c r="F53" s="115"/>
      <c r="G53" s="147"/>
      <c r="I53" s="147"/>
      <c r="K53" s="147"/>
      <c r="M53" s="147"/>
      <c r="O53" s="147"/>
      <c r="Q53" s="147"/>
    </row>
    <row r="54" spans="1:17" x14ac:dyDescent="0.25">
      <c r="A54" s="148"/>
      <c r="B54" s="115"/>
      <c r="E54" s="146"/>
      <c r="F54" s="115"/>
      <c r="G54" s="147"/>
      <c r="I54" s="147"/>
      <c r="K54" s="149"/>
      <c r="M54" s="150"/>
      <c r="O54" s="115"/>
      <c r="Q54" s="147"/>
    </row>
    <row r="55" spans="1:17" x14ac:dyDescent="0.25">
      <c r="A55" s="148"/>
      <c r="B55" s="115"/>
      <c r="E55" s="146"/>
      <c r="F55" s="115"/>
      <c r="G55" s="115"/>
      <c r="I55" s="147"/>
      <c r="K55" s="115"/>
      <c r="M55" s="147"/>
      <c r="O55" s="115"/>
      <c r="Q55" s="147"/>
    </row>
    <row r="56" spans="1:17" x14ac:dyDescent="0.25">
      <c r="A56" s="148"/>
      <c r="B56" s="115"/>
      <c r="D56" s="145"/>
      <c r="E56" s="146"/>
      <c r="F56" s="115"/>
      <c r="G56" s="115"/>
      <c r="I56" s="147"/>
      <c r="K56" s="147"/>
      <c r="M56" s="147"/>
      <c r="O56" s="115"/>
      <c r="Q56" s="147"/>
    </row>
    <row r="57" spans="1:17" x14ac:dyDescent="0.25">
      <c r="A57" s="148"/>
      <c r="B57" s="115"/>
      <c r="D57" s="145"/>
      <c r="E57" s="146"/>
      <c r="F57" s="115"/>
      <c r="G57" s="115"/>
      <c r="I57" s="147"/>
      <c r="K57" s="115"/>
      <c r="M57" s="147"/>
      <c r="O57" s="115"/>
      <c r="Q57" s="147"/>
    </row>
    <row r="58" spans="1:17" x14ac:dyDescent="0.25">
      <c r="A58" s="148"/>
      <c r="B58" s="115"/>
      <c r="E58" s="146"/>
      <c r="F58" s="115"/>
      <c r="G58" s="115"/>
      <c r="I58" s="147"/>
      <c r="K58" s="147"/>
      <c r="M58" s="147"/>
      <c r="O58" s="115"/>
      <c r="Q58" s="147"/>
    </row>
    <row r="59" spans="1:17" x14ac:dyDescent="0.25">
      <c r="A59" s="148"/>
      <c r="B59" s="115"/>
      <c r="D59" s="145"/>
      <c r="E59" s="146"/>
      <c r="F59" s="115"/>
      <c r="G59" s="115"/>
      <c r="I59" s="147"/>
      <c r="K59" s="115"/>
      <c r="M59" s="147"/>
      <c r="O59" s="115"/>
      <c r="Q59" s="147"/>
    </row>
    <row r="60" spans="1:17" x14ac:dyDescent="0.25">
      <c r="A60" s="148"/>
      <c r="B60" s="115"/>
      <c r="F60" s="115"/>
      <c r="G60" s="115"/>
      <c r="I60" s="147"/>
      <c r="K60" s="147"/>
      <c r="M60" s="147"/>
      <c r="O60" s="115"/>
      <c r="Q60" s="147"/>
    </row>
    <row r="61" spans="1:17" x14ac:dyDescent="0.25">
      <c r="B61" s="115"/>
      <c r="F61" s="115"/>
      <c r="G61" s="115"/>
      <c r="I61" s="115"/>
      <c r="K61" s="115"/>
      <c r="M61" s="147"/>
      <c r="O61" s="115"/>
      <c r="Q61" s="115"/>
    </row>
    <row r="62" spans="1:17" x14ac:dyDescent="0.25">
      <c r="B62" s="115"/>
      <c r="F62" s="115"/>
      <c r="G62" s="147"/>
      <c r="H62" s="151"/>
      <c r="I62" s="147"/>
      <c r="J62" s="147"/>
      <c r="K62" s="147"/>
      <c r="L62" s="147"/>
      <c r="M62" s="147"/>
      <c r="N62" s="147"/>
      <c r="O62" s="147"/>
      <c r="P62" s="147"/>
      <c r="Q62" s="147"/>
    </row>
    <row r="63" spans="1:17" x14ac:dyDescent="0.25">
      <c r="B63" s="115"/>
      <c r="F63" s="115"/>
      <c r="G63" s="115"/>
      <c r="I63" s="115"/>
      <c r="K63" s="115"/>
      <c r="M63" s="115"/>
      <c r="O63" s="115"/>
      <c r="Q63" s="115"/>
    </row>
    <row r="64" spans="1:17" x14ac:dyDescent="0.25">
      <c r="A64" s="148"/>
      <c r="B64" s="115"/>
      <c r="F64" s="115"/>
      <c r="G64" s="115"/>
      <c r="I64" s="147"/>
      <c r="K64" s="115"/>
      <c r="M64" s="147"/>
      <c r="O64" s="115"/>
      <c r="Q64" s="147"/>
    </row>
    <row r="65" spans="1:20" x14ac:dyDescent="0.25">
      <c r="A65" s="148"/>
      <c r="B65" s="115"/>
      <c r="F65" s="115"/>
      <c r="G65" s="115"/>
      <c r="I65" s="147"/>
      <c r="K65" s="115"/>
      <c r="M65" s="147"/>
      <c r="O65" s="115"/>
      <c r="Q65" s="147"/>
    </row>
    <row r="66" spans="1:20" x14ac:dyDescent="0.25">
      <c r="A66" s="148"/>
      <c r="B66" s="115"/>
      <c r="F66" s="115"/>
      <c r="G66" s="115"/>
      <c r="I66" s="147"/>
      <c r="K66" s="115"/>
      <c r="M66" s="147"/>
      <c r="O66" s="115"/>
      <c r="Q66" s="147"/>
    </row>
    <row r="67" spans="1:20" x14ac:dyDescent="0.25">
      <c r="A67" s="148"/>
      <c r="B67" s="115"/>
      <c r="F67" s="115"/>
      <c r="G67" s="115"/>
      <c r="I67" s="147"/>
      <c r="K67" s="115"/>
      <c r="M67" s="147"/>
      <c r="O67" s="115"/>
      <c r="Q67" s="147"/>
      <c r="R67" s="5"/>
      <c r="S67" s="5"/>
      <c r="T67" s="5"/>
    </row>
    <row r="68" spans="1:20" x14ac:dyDescent="0.25">
      <c r="A68" s="148"/>
      <c r="B68" s="115"/>
      <c r="F68" s="115"/>
      <c r="G68" s="115"/>
      <c r="I68" s="147"/>
      <c r="K68" s="115"/>
      <c r="M68" s="147"/>
      <c r="O68" s="115"/>
      <c r="Q68" s="147"/>
      <c r="R68" s="5"/>
      <c r="S68" s="5"/>
      <c r="T68" s="5"/>
    </row>
    <row r="69" spans="1:20" x14ac:dyDescent="0.25">
      <c r="A69" s="148"/>
      <c r="I69" s="152"/>
      <c r="R69" s="5"/>
      <c r="S69" s="5"/>
      <c r="T69" s="5"/>
    </row>
    <row r="70" spans="1:20" x14ac:dyDescent="0.25">
      <c r="A70" s="148"/>
      <c r="R70" s="5"/>
      <c r="S70" s="5"/>
      <c r="T70" s="5"/>
    </row>
    <row r="71" spans="1:20" x14ac:dyDescent="0.25">
      <c r="A71" s="148"/>
      <c r="R71" s="5"/>
      <c r="S71" s="5"/>
      <c r="T71" s="5"/>
    </row>
    <row r="72" spans="1:20" x14ac:dyDescent="0.25">
      <c r="A72" s="148"/>
      <c r="R72" s="5"/>
      <c r="S72" s="5"/>
      <c r="T72" s="5"/>
    </row>
    <row r="73" spans="1:20" x14ac:dyDescent="0.25">
      <c r="A73" s="148"/>
      <c r="R73" s="5"/>
      <c r="S73" s="5"/>
      <c r="T73" s="5"/>
    </row>
    <row r="74" spans="1:20" x14ac:dyDescent="0.25">
      <c r="A74" s="148"/>
      <c r="R74" s="5"/>
      <c r="S74" s="5"/>
      <c r="T74" s="5"/>
    </row>
    <row r="75" spans="1:20" x14ac:dyDescent="0.25">
      <c r="A75" s="148"/>
      <c r="R75" s="5"/>
      <c r="S75" s="5"/>
      <c r="T75" s="5"/>
    </row>
    <row r="76" spans="1:20" x14ac:dyDescent="0.25">
      <c r="A76" s="148"/>
      <c r="R76" s="5"/>
      <c r="S76" s="5"/>
      <c r="T76" s="5"/>
    </row>
    <row r="77" spans="1:20" x14ac:dyDescent="0.25">
      <c r="A77" s="148"/>
      <c r="R77" s="5"/>
      <c r="S77" s="5"/>
      <c r="T77" s="5"/>
    </row>
    <row r="78" spans="1:20" x14ac:dyDescent="0.25">
      <c r="A78" s="148"/>
      <c r="R78" s="5"/>
      <c r="S78" s="5"/>
      <c r="T78" s="5"/>
    </row>
    <row r="79" spans="1:20" x14ac:dyDescent="0.25">
      <c r="A79" s="148"/>
      <c r="R79" s="5"/>
      <c r="S79" s="5"/>
      <c r="T79" s="5"/>
    </row>
    <row r="80" spans="1:20" x14ac:dyDescent="0.25">
      <c r="A80" s="148"/>
      <c r="R80" s="5"/>
      <c r="S80" s="5"/>
      <c r="T80" s="5"/>
    </row>
    <row r="81" spans="1:20" x14ac:dyDescent="0.25">
      <c r="A81" s="148"/>
      <c r="R81" s="5"/>
      <c r="S81" s="5"/>
      <c r="T81" s="5"/>
    </row>
    <row r="82" spans="1:20" x14ac:dyDescent="0.25">
      <c r="A82" s="148"/>
      <c r="R82" s="5"/>
      <c r="S82" s="5"/>
      <c r="T82" s="5"/>
    </row>
    <row r="83" spans="1:20" x14ac:dyDescent="0.25">
      <c r="A83" s="148"/>
      <c r="R83" s="5"/>
      <c r="S83" s="5"/>
      <c r="T83" s="5"/>
    </row>
    <row r="84" spans="1:20" x14ac:dyDescent="0.25">
      <c r="A84" s="148"/>
      <c r="R84" s="5"/>
      <c r="S84" s="5"/>
      <c r="T84" s="5"/>
    </row>
    <row r="85" spans="1:20" x14ac:dyDescent="0.25">
      <c r="A85" s="148"/>
      <c r="R85" s="5"/>
      <c r="S85" s="5"/>
      <c r="T85" s="5"/>
    </row>
    <row r="86" spans="1:20" x14ac:dyDescent="0.25">
      <c r="A86" s="148"/>
      <c r="R86" s="5"/>
      <c r="S86" s="5"/>
      <c r="T86" s="5"/>
    </row>
    <row r="87" spans="1:20" x14ac:dyDescent="0.25">
      <c r="A87" s="148"/>
      <c r="R87" s="5"/>
      <c r="S87" s="5"/>
      <c r="T87" s="5"/>
    </row>
    <row r="88" spans="1:20" x14ac:dyDescent="0.25">
      <c r="A88" s="148"/>
      <c r="R88" s="5"/>
      <c r="S88" s="5"/>
      <c r="T88" s="5"/>
    </row>
    <row r="89" spans="1:20" x14ac:dyDescent="0.25">
      <c r="R89" s="5"/>
      <c r="S89" s="5"/>
      <c r="T89" s="5"/>
    </row>
    <row r="90" spans="1:20" x14ac:dyDescent="0.25">
      <c r="R90" s="5"/>
      <c r="S90" s="5"/>
      <c r="T90" s="5"/>
    </row>
    <row r="91" spans="1:20" x14ac:dyDescent="0.25">
      <c r="R91" s="5"/>
      <c r="S91" s="5"/>
      <c r="T91" s="5"/>
    </row>
  </sheetData>
  <phoneticPr fontId="1" type="noConversion"/>
  <pageMargins left="0.42" right="0.5" top="0.25" bottom="0.25" header="0.25" footer="0.25"/>
  <pageSetup scale="73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U65"/>
  <sheetViews>
    <sheetView topLeftCell="A19" workbookViewId="0">
      <selection activeCell="C27" sqref="C27"/>
    </sheetView>
  </sheetViews>
  <sheetFormatPr defaultColWidth="8" defaultRowHeight="15.75" x14ac:dyDescent="0.25"/>
  <cols>
    <col min="1" max="1" width="9.625" customWidth="1"/>
    <col min="2" max="2" width="4.125" customWidth="1"/>
    <col min="3" max="3" width="6.625" style="5" customWidth="1"/>
    <col min="4" max="4" width="7.625" style="5" customWidth="1"/>
    <col min="5" max="5" width="8.625" style="5" customWidth="1"/>
    <col min="6" max="6" width="2.625" customWidth="1"/>
    <col min="7" max="7" width="10.625" style="4" customWidth="1"/>
    <col min="8" max="8" width="2.625" customWidth="1"/>
    <col min="9" max="9" width="10.625" customWidth="1"/>
    <col min="10" max="10" width="2.625" customWidth="1"/>
    <col min="11" max="11" width="10.625" customWidth="1"/>
    <col min="12" max="12" width="2.625" customWidth="1"/>
    <col min="13" max="13" width="10.625" customWidth="1"/>
    <col min="14" max="14" width="2.625" customWidth="1"/>
    <col min="15" max="15" width="10.625" customWidth="1"/>
    <col min="16" max="16" width="2.625" style="7" customWidth="1"/>
    <col min="17" max="17" width="10.625" customWidth="1"/>
  </cols>
  <sheetData>
    <row r="1" spans="1:21" x14ac:dyDescent="0.25">
      <c r="A1" s="110" t="s">
        <v>55</v>
      </c>
      <c r="B1" s="111"/>
      <c r="C1" s="112"/>
      <c r="D1" s="112"/>
      <c r="E1" s="112"/>
      <c r="F1" s="111"/>
      <c r="G1" s="158"/>
      <c r="H1" s="113"/>
      <c r="I1" s="111"/>
      <c r="J1" s="113"/>
      <c r="K1" s="111"/>
      <c r="L1" s="113"/>
      <c r="M1" s="114"/>
      <c r="N1" s="134"/>
      <c r="O1" s="111"/>
      <c r="P1" s="111"/>
      <c r="Q1" s="116"/>
    </row>
    <row r="2" spans="1:21" x14ac:dyDescent="0.25">
      <c r="A2" s="117" t="str">
        <f>harvest!A2</f>
        <v>(FINAL  ESTIMATE)</v>
      </c>
      <c r="B2" s="111"/>
      <c r="C2" s="112"/>
      <c r="D2" s="112"/>
      <c r="E2" s="112"/>
      <c r="F2" s="111"/>
      <c r="G2" s="158"/>
      <c r="H2" s="111"/>
      <c r="I2" s="111"/>
      <c r="J2" s="111"/>
      <c r="K2" s="111"/>
      <c r="L2" s="111"/>
      <c r="M2" s="111"/>
      <c r="N2" s="214">
        <f ca="1">TODAY()</f>
        <v>41516</v>
      </c>
      <c r="O2" s="214"/>
      <c r="P2" s="111" t="s">
        <v>0</v>
      </c>
      <c r="Q2" s="116"/>
    </row>
    <row r="3" spans="1:21" x14ac:dyDescent="0.25">
      <c r="A3" s="117"/>
      <c r="B3" s="111"/>
      <c r="C3" s="112"/>
      <c r="D3" s="112"/>
      <c r="E3" s="112"/>
      <c r="F3" s="111"/>
      <c r="G3" s="158"/>
      <c r="H3" s="111"/>
      <c r="I3" s="111"/>
      <c r="J3" s="111"/>
      <c r="K3" s="111"/>
      <c r="L3" s="111"/>
      <c r="M3" s="111"/>
      <c r="N3" s="111"/>
      <c r="O3" s="112"/>
      <c r="P3" s="111"/>
      <c r="Q3" s="116"/>
    </row>
    <row r="4" spans="1:21" x14ac:dyDescent="0.25">
      <c r="A4" s="120" t="s">
        <v>3</v>
      </c>
      <c r="B4" s="159"/>
      <c r="C4" s="120" t="s">
        <v>4</v>
      </c>
      <c r="D4" s="120" t="s">
        <v>5</v>
      </c>
      <c r="E4" s="120" t="s">
        <v>6</v>
      </c>
      <c r="F4" s="120"/>
      <c r="G4" s="160" t="s">
        <v>7</v>
      </c>
      <c r="H4" s="121"/>
      <c r="I4" s="120" t="s">
        <v>8</v>
      </c>
      <c r="J4" s="121"/>
      <c r="K4" s="120" t="s">
        <v>9</v>
      </c>
      <c r="L4" s="121"/>
      <c r="M4" s="120" t="s">
        <v>10</v>
      </c>
      <c r="N4" s="121"/>
      <c r="O4" s="120" t="s">
        <v>11</v>
      </c>
      <c r="P4" s="121"/>
      <c r="Q4" s="122" t="s">
        <v>12</v>
      </c>
    </row>
    <row r="5" spans="1:21" x14ac:dyDescent="0.25">
      <c r="A5" s="123" t="s">
        <v>19</v>
      </c>
      <c r="B5" s="124">
        <v>16</v>
      </c>
      <c r="C5" s="125" t="s">
        <v>45</v>
      </c>
      <c r="D5" s="126">
        <v>-1.5</v>
      </c>
      <c r="E5" s="127">
        <v>0.85416666666666663</v>
      </c>
      <c r="F5" s="154"/>
      <c r="G5" s="161" t="s">
        <v>44</v>
      </c>
      <c r="H5" s="162" t="s">
        <v>58</v>
      </c>
      <c r="I5" s="161">
        <f>harvest!I5/effort!I5</f>
        <v>14.544838905215757</v>
      </c>
      <c r="J5" s="161"/>
      <c r="K5" s="161">
        <f>harvest!K5/effort!K5</f>
        <v>14.69155206286837</v>
      </c>
      <c r="L5" s="161"/>
      <c r="M5" s="161">
        <f>harvest!M5/effort!M5</f>
        <v>14.889233954451345</v>
      </c>
      <c r="N5" s="161"/>
      <c r="O5" s="161" t="s">
        <v>44</v>
      </c>
      <c r="P5" s="161"/>
      <c r="Q5" s="126">
        <f>harvest!Q5/effort!Q5</f>
        <v>14.708520382384377</v>
      </c>
      <c r="R5" s="4"/>
      <c r="S5" s="4"/>
      <c r="T5" s="4"/>
      <c r="U5" s="4"/>
    </row>
    <row r="6" spans="1:21" x14ac:dyDescent="0.25">
      <c r="A6" s="123" t="s">
        <v>19</v>
      </c>
      <c r="B6" s="124">
        <v>17</v>
      </c>
      <c r="C6" s="125" t="s">
        <v>43</v>
      </c>
      <c r="D6" s="126">
        <v>-1.5</v>
      </c>
      <c r="E6" s="127">
        <v>0.88680555555555562</v>
      </c>
      <c r="F6" s="154"/>
      <c r="G6" s="161">
        <f>harvest!G6/effort!G6</f>
        <v>14.577394913405653</v>
      </c>
      <c r="H6" s="163"/>
      <c r="I6" s="161">
        <f>harvest!I6/effort!I6</f>
        <v>14.58333333333333</v>
      </c>
      <c r="J6" s="161"/>
      <c r="K6" s="161">
        <f>harvest!K6/effort!K6</f>
        <v>14.730434782608695</v>
      </c>
      <c r="L6" s="161"/>
      <c r="M6" s="161">
        <f>harvest!M6/effort!M6</f>
        <v>14.996007984031936</v>
      </c>
      <c r="N6" s="161"/>
      <c r="O6" s="161" t="s">
        <v>44</v>
      </c>
      <c r="P6" s="161"/>
      <c r="Q6" s="126">
        <f>harvest!Q6/effort!Q6</f>
        <v>14.655782079429482</v>
      </c>
      <c r="R6" s="4"/>
      <c r="S6" s="4"/>
      <c r="T6" s="4"/>
      <c r="U6" s="4"/>
    </row>
    <row r="7" spans="1:21" x14ac:dyDescent="0.25">
      <c r="A7" s="123" t="s">
        <v>19</v>
      </c>
      <c r="B7" s="124">
        <v>18</v>
      </c>
      <c r="C7" s="112" t="s">
        <v>15</v>
      </c>
      <c r="D7" s="126">
        <v>-1.2</v>
      </c>
      <c r="E7" s="127">
        <v>0.92222222222222217</v>
      </c>
      <c r="F7" s="154"/>
      <c r="G7" s="161">
        <f>harvest!G7/effort!G7</f>
        <v>12.22972972972973</v>
      </c>
      <c r="H7" s="162" t="s">
        <v>58</v>
      </c>
      <c r="I7" s="161">
        <f>harvest!I7/effort!I7</f>
        <v>14.454050185194514</v>
      </c>
      <c r="J7" s="161"/>
      <c r="K7" s="161">
        <f>harvest!K7/effort!K7</f>
        <v>14.59984756097561</v>
      </c>
      <c r="L7" s="162" t="s">
        <v>58</v>
      </c>
      <c r="M7" s="161">
        <f>harvest!M7/effort!M7</f>
        <v>14.813328001947944</v>
      </c>
      <c r="N7" s="161"/>
      <c r="O7" s="161" t="s">
        <v>44</v>
      </c>
      <c r="P7" s="161"/>
      <c r="Q7" s="126">
        <f>harvest!Q7/effort!Q7</f>
        <v>13.362877244347098</v>
      </c>
      <c r="R7" s="4"/>
      <c r="S7" s="4"/>
      <c r="T7" s="4"/>
      <c r="U7" s="4"/>
    </row>
    <row r="8" spans="1:21" x14ac:dyDescent="0.25">
      <c r="A8" s="123"/>
      <c r="B8" s="124"/>
      <c r="C8" s="112"/>
      <c r="D8" s="126"/>
      <c r="E8" s="127"/>
      <c r="F8" s="154"/>
      <c r="G8" s="161"/>
      <c r="H8" s="163"/>
      <c r="I8" s="161"/>
      <c r="J8" s="161"/>
      <c r="K8" s="161"/>
      <c r="L8" s="162"/>
      <c r="M8" s="161"/>
      <c r="N8" s="161"/>
      <c r="O8" s="161"/>
      <c r="P8" s="161"/>
      <c r="Q8" s="126"/>
      <c r="R8" s="4"/>
      <c r="S8" s="4"/>
      <c r="T8" s="4"/>
      <c r="U8" s="4"/>
    </row>
    <row r="9" spans="1:21" x14ac:dyDescent="0.25">
      <c r="A9" s="123" t="s">
        <v>59</v>
      </c>
      <c r="B9" s="124">
        <v>13</v>
      </c>
      <c r="C9" s="125" t="s">
        <v>45</v>
      </c>
      <c r="D9" s="126">
        <v>-1.6</v>
      </c>
      <c r="E9" s="127">
        <v>0.76875000000000004</v>
      </c>
      <c r="F9" s="154"/>
      <c r="G9" s="161" t="s">
        <v>44</v>
      </c>
      <c r="H9" s="162"/>
      <c r="I9" s="161" t="s">
        <v>44</v>
      </c>
      <c r="J9" s="161"/>
      <c r="K9" s="161">
        <f>harvest!K9/effort!K9</f>
        <v>14.99630996309963</v>
      </c>
      <c r="L9" s="162"/>
      <c r="M9" s="161">
        <f>harvest!M9/effort!M9</f>
        <v>14.674157303370787</v>
      </c>
      <c r="N9" s="161"/>
      <c r="O9" s="161" t="s">
        <v>44</v>
      </c>
      <c r="P9" s="161"/>
      <c r="Q9" s="126">
        <f>harvest!Q9/effort!Q9</f>
        <v>14.875239923224568</v>
      </c>
      <c r="R9" s="4"/>
      <c r="S9" s="4"/>
      <c r="T9" s="4"/>
      <c r="U9" s="4"/>
    </row>
    <row r="10" spans="1:21" x14ac:dyDescent="0.25">
      <c r="A10" s="123" t="s">
        <v>59</v>
      </c>
      <c r="B10" s="124">
        <v>14</v>
      </c>
      <c r="C10" s="125" t="s">
        <v>43</v>
      </c>
      <c r="D10" s="126">
        <v>-1.8</v>
      </c>
      <c r="E10" s="127">
        <v>0.80208333333333337</v>
      </c>
      <c r="F10" s="154"/>
      <c r="G10" s="161">
        <f>harvest!G10/effort!G10</f>
        <v>14.569767441860465</v>
      </c>
      <c r="H10" s="163"/>
      <c r="I10" s="161">
        <f>harvest!I10/effort!I10</f>
        <v>13.2275843666669</v>
      </c>
      <c r="J10" s="129"/>
      <c r="K10" s="161">
        <f>harvest!K10/effort!K10</f>
        <v>14.537333041383841</v>
      </c>
      <c r="L10" s="161"/>
      <c r="M10" s="161">
        <f>harvest!M10/effort!M10</f>
        <v>14.321368948247079</v>
      </c>
      <c r="N10" s="129"/>
      <c r="O10" s="161" t="s">
        <v>44</v>
      </c>
      <c r="P10" s="161"/>
      <c r="Q10" s="126">
        <f>harvest!Q10/effort!Q10</f>
        <v>14.315756904522875</v>
      </c>
      <c r="R10" s="4"/>
      <c r="S10" s="4"/>
      <c r="T10" s="4"/>
      <c r="U10" s="4"/>
    </row>
    <row r="11" spans="1:21" x14ac:dyDescent="0.25">
      <c r="A11" s="123" t="s">
        <v>59</v>
      </c>
      <c r="B11" s="124">
        <v>15</v>
      </c>
      <c r="C11" s="112" t="s">
        <v>15</v>
      </c>
      <c r="D11" s="126">
        <v>-1.6</v>
      </c>
      <c r="E11" s="127">
        <v>0.83611111111111114</v>
      </c>
      <c r="F11" s="154"/>
      <c r="G11" s="161">
        <f>harvest!G11/effort!G11</f>
        <v>11.738636363636363</v>
      </c>
      <c r="H11" s="163"/>
      <c r="I11" s="161">
        <f>harvest!I11/effort!I11</f>
        <v>13.895833333333334</v>
      </c>
      <c r="J11" s="129"/>
      <c r="K11" s="161">
        <f>harvest!K11/effort!K11</f>
        <v>15.051226327227569</v>
      </c>
      <c r="L11" s="161"/>
      <c r="M11" s="161">
        <f>harvest!M11/effort!M11</f>
        <v>14.508370044052864</v>
      </c>
      <c r="N11" s="129"/>
      <c r="O11" s="161" t="s">
        <v>44</v>
      </c>
      <c r="P11" s="161"/>
      <c r="Q11" s="126">
        <f>harvest!Q11/effort!Q11</f>
        <v>13.020441684422389</v>
      </c>
      <c r="R11" s="4"/>
      <c r="S11" s="4"/>
      <c r="T11" s="4"/>
      <c r="U11" s="4"/>
    </row>
    <row r="12" spans="1:21" x14ac:dyDescent="0.25">
      <c r="A12" s="123" t="s">
        <v>59</v>
      </c>
      <c r="B12" s="124">
        <v>16</v>
      </c>
      <c r="C12" s="112" t="s">
        <v>17</v>
      </c>
      <c r="D12" s="126">
        <v>-1.2</v>
      </c>
      <c r="E12" s="127">
        <v>0.87083333333333324</v>
      </c>
      <c r="F12" s="154" t="s">
        <v>58</v>
      </c>
      <c r="G12" s="161">
        <f>harvest!G12/effort!G12</f>
        <v>13.248600646628239</v>
      </c>
      <c r="H12" s="156" t="s">
        <v>58</v>
      </c>
      <c r="I12" s="161">
        <f>harvest!I12/effort!I12</f>
        <v>13.886721827259219</v>
      </c>
      <c r="J12" s="129"/>
      <c r="K12" s="161">
        <f>harvest!K12/effort!K12</f>
        <v>14.996282527881041</v>
      </c>
      <c r="L12" s="129"/>
      <c r="M12" s="161">
        <f>harvest!M12/effort!M12</f>
        <v>15.008902077151335</v>
      </c>
      <c r="N12" s="129"/>
      <c r="O12" s="161" t="s">
        <v>44</v>
      </c>
      <c r="P12" s="161"/>
      <c r="Q12" s="126">
        <f>harvest!Q12/effort!Q12</f>
        <v>14.01114377885394</v>
      </c>
      <c r="R12" s="4"/>
      <c r="S12" s="4"/>
      <c r="T12" s="4"/>
      <c r="U12" s="4"/>
    </row>
    <row r="13" spans="1:21" x14ac:dyDescent="0.25">
      <c r="A13" s="124"/>
      <c r="B13" s="124"/>
      <c r="C13" s="112"/>
      <c r="D13" s="126"/>
      <c r="E13" s="127"/>
      <c r="F13" s="112"/>
      <c r="G13" s="161"/>
      <c r="H13" s="155"/>
      <c r="I13" s="161"/>
      <c r="J13" s="129"/>
      <c r="K13" s="161"/>
      <c r="L13" s="129"/>
      <c r="M13" s="161"/>
      <c r="N13" s="129"/>
      <c r="O13" s="161"/>
      <c r="P13" s="161"/>
      <c r="Q13" s="126"/>
      <c r="R13" s="4"/>
      <c r="S13" s="4"/>
      <c r="T13" s="4"/>
      <c r="U13" s="4"/>
    </row>
    <row r="14" spans="1:21" x14ac:dyDescent="0.25">
      <c r="A14" s="124" t="s">
        <v>60</v>
      </c>
      <c r="B14" s="124">
        <v>11</v>
      </c>
      <c r="C14" s="126" t="s">
        <v>45</v>
      </c>
      <c r="D14" s="126">
        <v>-1.1000000000000001</v>
      </c>
      <c r="E14" s="127">
        <v>0.72430555555555554</v>
      </c>
      <c r="F14" s="112"/>
      <c r="G14" s="161" t="s">
        <v>44</v>
      </c>
      <c r="H14" s="162"/>
      <c r="I14" s="161" t="s">
        <v>44</v>
      </c>
      <c r="J14" s="129"/>
      <c r="K14" s="161">
        <f>harvest!K14/effort!K14</f>
        <v>15.001296176279974</v>
      </c>
      <c r="L14" s="153"/>
      <c r="M14" s="161">
        <f>harvest!M14/effort!M14</f>
        <v>14.772511848341232</v>
      </c>
      <c r="N14" s="129"/>
      <c r="O14" s="161" t="s">
        <v>44</v>
      </c>
      <c r="P14" s="161"/>
      <c r="Q14" s="126">
        <f>harvest!Q14/effort!Q14</f>
        <v>14.89818440726237</v>
      </c>
      <c r="R14" s="4"/>
      <c r="S14" s="4"/>
      <c r="T14" s="4"/>
      <c r="U14" s="4"/>
    </row>
    <row r="15" spans="1:21" x14ac:dyDescent="0.25">
      <c r="A15" s="124" t="s">
        <v>60</v>
      </c>
      <c r="B15" s="112">
        <v>12</v>
      </c>
      <c r="C15" s="125" t="s">
        <v>43</v>
      </c>
      <c r="D15" s="126">
        <v>-1.5</v>
      </c>
      <c r="E15" s="127">
        <v>0.75902777777777775</v>
      </c>
      <c r="F15" s="112"/>
      <c r="G15" s="161">
        <f>harvest!G15/effort!G15</f>
        <v>3.6000000000000005</v>
      </c>
      <c r="H15" s="156" t="s">
        <v>58</v>
      </c>
      <c r="I15" s="161">
        <f>harvest!I15/effort!I15</f>
        <v>0.51293586651348877</v>
      </c>
      <c r="J15" s="129"/>
      <c r="K15" s="161">
        <f>harvest!K15/effort!K15</f>
        <v>0.5</v>
      </c>
      <c r="L15" s="153" t="s">
        <v>58</v>
      </c>
      <c r="M15" s="161">
        <f>harvest!M15/effort!M15</f>
        <v>0.5147357645601669</v>
      </c>
      <c r="N15" s="129"/>
      <c r="O15" s="161" t="s">
        <v>44</v>
      </c>
      <c r="P15" s="161"/>
      <c r="Q15" s="126">
        <f>harvest!Q15/effort!Q15</f>
        <v>1.1418443423503435</v>
      </c>
      <c r="R15" s="4"/>
      <c r="S15" s="4"/>
      <c r="T15" s="4"/>
      <c r="U15" s="4"/>
    </row>
    <row r="16" spans="1:21" x14ac:dyDescent="0.25">
      <c r="A16" s="124" t="s">
        <v>60</v>
      </c>
      <c r="B16" s="112">
        <v>13</v>
      </c>
      <c r="C16" s="112" t="s">
        <v>15</v>
      </c>
      <c r="D16" s="126">
        <v>-1.6</v>
      </c>
      <c r="E16" s="127">
        <v>0.79305555555555562</v>
      </c>
      <c r="F16" s="134"/>
      <c r="G16" s="161">
        <f>harvest!G16/effort!G16</f>
        <v>6.4090909090909101</v>
      </c>
      <c r="H16" s="156"/>
      <c r="I16" s="161">
        <f>harvest!I16/effort!I16</f>
        <v>13.115797995358292</v>
      </c>
      <c r="J16" s="129"/>
      <c r="K16" s="161">
        <f>harvest!K16/effort!K16</f>
        <v>12.785027185278127</v>
      </c>
      <c r="L16" s="153"/>
      <c r="M16" s="161">
        <f>harvest!M16/effort!M16</f>
        <v>12.778561354019747</v>
      </c>
      <c r="N16" s="129"/>
      <c r="O16" s="161" t="s">
        <v>44</v>
      </c>
      <c r="P16" s="145"/>
      <c r="Q16" s="126">
        <f>harvest!Q16/effort!Q16</f>
        <v>11.008679184761441</v>
      </c>
      <c r="R16" s="4"/>
      <c r="S16" s="4"/>
      <c r="T16" s="4"/>
      <c r="U16" s="4"/>
    </row>
    <row r="17" spans="1:21" x14ac:dyDescent="0.25">
      <c r="A17" s="124" t="s">
        <v>60</v>
      </c>
      <c r="B17" s="112">
        <v>14</v>
      </c>
      <c r="C17" s="112" t="s">
        <v>17</v>
      </c>
      <c r="D17" s="126">
        <v>-1.4</v>
      </c>
      <c r="E17" s="127">
        <v>0.82638888888888884</v>
      </c>
      <c r="F17" s="133" t="s">
        <v>58</v>
      </c>
      <c r="G17" s="161">
        <f>harvest!G17/effort!G17</f>
        <v>8.2659813446219434</v>
      </c>
      <c r="H17" s="156" t="s">
        <v>58</v>
      </c>
      <c r="I17" s="161">
        <f>harvest!I17/effort!I17</f>
        <v>15.300501579170653</v>
      </c>
      <c r="J17" s="129"/>
      <c r="K17" s="161">
        <f>harvest!K17/effort!K17</f>
        <v>14.914634146341463</v>
      </c>
      <c r="L17" s="153" t="s">
        <v>58</v>
      </c>
      <c r="M17" s="161">
        <f>harvest!M17/effort!M17</f>
        <v>15.354191220904491</v>
      </c>
      <c r="N17" s="129"/>
      <c r="O17" s="161" t="s">
        <v>44</v>
      </c>
      <c r="P17" s="145"/>
      <c r="Q17" s="126">
        <f>harvest!Q17/effort!Q17</f>
        <v>12.498904169603296</v>
      </c>
      <c r="R17" s="4"/>
      <c r="S17" s="4"/>
      <c r="T17" s="4"/>
      <c r="U17" s="4"/>
    </row>
    <row r="18" spans="1:21" x14ac:dyDescent="0.25">
      <c r="A18" s="124"/>
      <c r="B18" s="112"/>
      <c r="C18" s="112"/>
      <c r="D18" s="126"/>
      <c r="E18" s="127"/>
      <c r="F18" s="133"/>
      <c r="G18" s="161"/>
      <c r="H18" s="156"/>
      <c r="I18" s="161"/>
      <c r="J18" s="129"/>
      <c r="K18" s="161"/>
      <c r="L18" s="153"/>
      <c r="M18" s="161"/>
      <c r="N18" s="129"/>
      <c r="O18" s="161"/>
      <c r="P18" s="145"/>
      <c r="Q18" s="126"/>
      <c r="R18" s="4"/>
      <c r="S18" s="4"/>
      <c r="T18" s="4"/>
      <c r="U18" s="4"/>
    </row>
    <row r="19" spans="1:21" x14ac:dyDescent="0.25">
      <c r="A19" s="124" t="s">
        <v>62</v>
      </c>
      <c r="B19" s="112">
        <v>8</v>
      </c>
      <c r="C19" s="126" t="s">
        <v>45</v>
      </c>
      <c r="D19" s="126">
        <v>-0.2</v>
      </c>
      <c r="E19" s="127">
        <v>0.67569444444444438</v>
      </c>
      <c r="F19" s="133"/>
      <c r="G19" s="161" t="s">
        <v>44</v>
      </c>
      <c r="H19" s="156" t="s">
        <v>58</v>
      </c>
      <c r="I19" s="161">
        <f>harvest!I19/effort!I19</f>
        <v>14.470588235294118</v>
      </c>
      <c r="J19" s="129"/>
      <c r="K19" s="161">
        <f>harvest!K19/effort!K19</f>
        <v>14.819059884095299</v>
      </c>
      <c r="L19" s="153"/>
      <c r="M19" s="161">
        <f>harvest!M19/effort!M19</f>
        <v>14.992152466367713</v>
      </c>
      <c r="N19" s="129"/>
      <c r="O19" s="161" t="s">
        <v>44</v>
      </c>
      <c r="P19" s="145"/>
      <c r="Q19" s="126">
        <f>harvest!Q19/effort!Q19</f>
        <v>14.814310460182478</v>
      </c>
      <c r="R19" s="4"/>
      <c r="S19" s="4"/>
      <c r="T19" s="4"/>
      <c r="U19" s="4"/>
    </row>
    <row r="20" spans="1:21" x14ac:dyDescent="0.25">
      <c r="A20" s="124" t="s">
        <v>62</v>
      </c>
      <c r="B20" s="112">
        <v>9</v>
      </c>
      <c r="C20" s="125" t="s">
        <v>43</v>
      </c>
      <c r="D20" s="126">
        <v>-0.8</v>
      </c>
      <c r="E20" s="127">
        <v>0.71319444444444446</v>
      </c>
      <c r="F20" s="133"/>
      <c r="G20" s="161">
        <f>harvest!G20/effort!G20</f>
        <v>14.125000000000002</v>
      </c>
      <c r="H20" s="156"/>
      <c r="I20" s="161">
        <f>harvest!I20/effort!I20</f>
        <v>14.470588235294118</v>
      </c>
      <c r="J20" s="129"/>
      <c r="K20" s="161">
        <f>harvest!K20/effort!K20</f>
        <v>14.819059884095299</v>
      </c>
      <c r="L20" s="153"/>
      <c r="M20" s="161">
        <f>harvest!M20/effort!M20</f>
        <v>14.992152466367713</v>
      </c>
      <c r="N20" s="129"/>
      <c r="O20" s="161" t="s">
        <v>44</v>
      </c>
      <c r="P20" s="145"/>
      <c r="Q20" s="126">
        <f>harvest!Q20/effort!Q20</f>
        <v>14.483089511836713</v>
      </c>
      <c r="R20" s="4"/>
      <c r="S20" s="4"/>
      <c r="T20" s="4"/>
      <c r="U20" s="4"/>
    </row>
    <row r="21" spans="1:21" x14ac:dyDescent="0.25">
      <c r="A21" s="124" t="s">
        <v>62</v>
      </c>
      <c r="B21" s="112">
        <v>10</v>
      </c>
      <c r="C21" s="112" t="s">
        <v>15</v>
      </c>
      <c r="D21" s="126">
        <v>-1.1000000000000001</v>
      </c>
      <c r="E21" s="127">
        <v>0.74861111111111101</v>
      </c>
      <c r="F21" s="133"/>
      <c r="G21" s="161">
        <f>harvest!G21/effort!G21</f>
        <v>6.4038461538461551</v>
      </c>
      <c r="H21" s="156"/>
      <c r="I21" s="161">
        <f>harvest!I21/effort!I21</f>
        <v>7.8181818181818192</v>
      </c>
      <c r="J21" s="129"/>
      <c r="K21" s="161">
        <f>harvest!K21/effort!K21</f>
        <v>13.907579599887292</v>
      </c>
      <c r="L21" s="153"/>
      <c r="M21" s="161">
        <f>harvest!M21/effort!M21</f>
        <v>13.353462603878116</v>
      </c>
      <c r="N21" s="129"/>
      <c r="O21" s="161" t="s">
        <v>44</v>
      </c>
      <c r="P21" s="145"/>
      <c r="Q21" s="126">
        <f>harvest!Q21/effort!Q21</f>
        <v>10.179333365009501</v>
      </c>
      <c r="R21" s="4"/>
      <c r="S21" s="4"/>
      <c r="T21" s="4"/>
      <c r="U21" s="4"/>
    </row>
    <row r="22" spans="1:21" x14ac:dyDescent="0.25">
      <c r="A22" s="124" t="s">
        <v>62</v>
      </c>
      <c r="B22" s="112">
        <v>11</v>
      </c>
      <c r="C22" s="112" t="s">
        <v>17</v>
      </c>
      <c r="D22" s="126">
        <v>-1.2</v>
      </c>
      <c r="E22" s="127">
        <v>0.78125</v>
      </c>
      <c r="F22" s="133"/>
      <c r="G22" s="161">
        <f>harvest!G22/effort!G22</f>
        <v>9.6359107338917447</v>
      </c>
      <c r="H22" s="156" t="s">
        <v>58</v>
      </c>
      <c r="I22" s="161">
        <f>harvest!I22/effort!I22</f>
        <v>10.897140570595642</v>
      </c>
      <c r="J22" s="129"/>
      <c r="K22" s="161">
        <f>harvest!K22/effort!K22</f>
        <v>15.45642540620384</v>
      </c>
      <c r="L22" s="153"/>
      <c r="M22" s="161">
        <f>harvest!M22/effort!M22</f>
        <v>15.007530120481928</v>
      </c>
      <c r="N22" s="129"/>
      <c r="O22" s="161" t="s">
        <v>44</v>
      </c>
      <c r="P22" s="145"/>
      <c r="Q22" s="126">
        <f>harvest!Q22/effort!Q22</f>
        <v>12.733698017332307</v>
      </c>
      <c r="R22" s="4"/>
      <c r="S22" s="4"/>
      <c r="T22" s="4"/>
      <c r="U22" s="4"/>
    </row>
    <row r="23" spans="1:21" x14ac:dyDescent="0.25">
      <c r="A23" s="124"/>
      <c r="B23" s="112"/>
      <c r="C23" s="112"/>
      <c r="D23" s="126"/>
      <c r="E23" s="127"/>
      <c r="F23" s="133"/>
      <c r="G23" s="161"/>
      <c r="H23" s="156"/>
      <c r="I23" s="161"/>
      <c r="J23" s="129"/>
      <c r="K23" s="161"/>
      <c r="L23" s="153"/>
      <c r="M23" s="161"/>
      <c r="N23" s="129"/>
      <c r="O23" s="161"/>
      <c r="P23" s="145"/>
      <c r="Q23" s="126"/>
      <c r="R23" s="4"/>
      <c r="S23" s="4"/>
      <c r="T23" s="4"/>
      <c r="U23" s="4"/>
    </row>
    <row r="24" spans="1:21" x14ac:dyDescent="0.25">
      <c r="A24" s="124" t="s">
        <v>63</v>
      </c>
      <c r="B24" s="112">
        <v>6</v>
      </c>
      <c r="C24" s="125" t="s">
        <v>43</v>
      </c>
      <c r="D24" s="126">
        <v>-0.1</v>
      </c>
      <c r="E24" s="127">
        <v>0.66319444444444442</v>
      </c>
      <c r="F24" s="133"/>
      <c r="G24" s="161" t="s">
        <v>44</v>
      </c>
      <c r="H24" s="156"/>
      <c r="I24" s="161">
        <f>harvest!I24/effort!I24</f>
        <v>15</v>
      </c>
      <c r="J24" s="129"/>
      <c r="K24" s="161">
        <f>harvest!K24/effort!K24</f>
        <v>15.268147166058998</v>
      </c>
      <c r="L24" s="153"/>
      <c r="M24" s="161">
        <f>harvest!M24/effort!M24</f>
        <v>15.001632653061224</v>
      </c>
      <c r="N24" s="129"/>
      <c r="O24" s="161" t="s">
        <v>44</v>
      </c>
      <c r="P24" s="145"/>
      <c r="Q24" s="126">
        <f>harvest!Q24/effort!Q24</f>
        <v>15.106471369579879</v>
      </c>
      <c r="R24" s="4"/>
      <c r="S24" s="4"/>
      <c r="T24" s="4"/>
      <c r="U24" s="4"/>
    </row>
    <row r="25" spans="1:21" x14ac:dyDescent="0.25">
      <c r="A25" s="124" t="s">
        <v>63</v>
      </c>
      <c r="B25" s="112">
        <v>7</v>
      </c>
      <c r="C25" s="112" t="s">
        <v>15</v>
      </c>
      <c r="D25" s="126">
        <v>-0.4</v>
      </c>
      <c r="E25" s="127">
        <v>0.70138888888888884</v>
      </c>
      <c r="F25" s="133"/>
      <c r="G25" s="161">
        <f>harvest!G25/effort!G25</f>
        <v>6.5909090909090908</v>
      </c>
      <c r="H25" s="156"/>
      <c r="I25" s="161">
        <f>harvest!I25/effort!I25</f>
        <v>14.037500000000001</v>
      </c>
      <c r="J25" s="129"/>
      <c r="K25" s="161">
        <f>harvest!K25/effort!K25</f>
        <v>14.222775520901585</v>
      </c>
      <c r="L25" s="153"/>
      <c r="M25" s="161">
        <f>harvest!M25/effort!M25</f>
        <v>14.457191572281086</v>
      </c>
      <c r="N25" s="129"/>
      <c r="O25" s="161" t="s">
        <v>44</v>
      </c>
      <c r="P25" s="145"/>
      <c r="Q25" s="126">
        <f>harvest!Q25/effort!Q25</f>
        <v>10.370068579770113</v>
      </c>
      <c r="R25" s="4"/>
      <c r="S25" s="4"/>
      <c r="T25" s="4"/>
      <c r="U25" s="4"/>
    </row>
    <row r="26" spans="1:21" x14ac:dyDescent="0.25">
      <c r="A26" s="124" t="s">
        <v>63</v>
      </c>
      <c r="B26" s="112">
        <v>8</v>
      </c>
      <c r="C26" s="112" t="s">
        <v>17</v>
      </c>
      <c r="D26" s="126">
        <v>-0.6</v>
      </c>
      <c r="E26" s="127">
        <v>0.73541666666666661</v>
      </c>
      <c r="F26" s="133"/>
      <c r="G26" s="161">
        <f>harvest!G26/effort!G26</f>
        <v>8.5319148936170208</v>
      </c>
      <c r="H26" s="156" t="s">
        <v>58</v>
      </c>
      <c r="I26" s="161">
        <f>harvest!I26/effort!I26</f>
        <v>13.731456120965339</v>
      </c>
      <c r="J26" s="129"/>
      <c r="K26" s="161">
        <f>harvest!K26/effort!K26</f>
        <v>13.582670454545454</v>
      </c>
      <c r="L26" s="153"/>
      <c r="M26" s="161">
        <f>harvest!M26/effort!M26</f>
        <v>14.9375</v>
      </c>
      <c r="N26" s="129"/>
      <c r="O26" s="161" t="s">
        <v>44</v>
      </c>
      <c r="P26" s="145"/>
      <c r="Q26" s="126">
        <f>harvest!Q26/effort!Q26</f>
        <v>11.920937035861883</v>
      </c>
      <c r="R26" s="4"/>
      <c r="S26" s="4"/>
      <c r="T26" s="4"/>
      <c r="U26" s="4"/>
    </row>
    <row r="27" spans="1:21" x14ac:dyDescent="0.25">
      <c r="A27" s="112"/>
      <c r="B27" s="112"/>
      <c r="C27" s="112"/>
      <c r="D27" s="126"/>
      <c r="E27" s="127"/>
      <c r="F27" s="134"/>
      <c r="G27" s="129"/>
      <c r="H27" s="156"/>
      <c r="I27" s="129"/>
      <c r="J27" s="129"/>
      <c r="K27" s="129"/>
      <c r="L27" s="129"/>
      <c r="M27" s="129"/>
      <c r="N27" s="129"/>
      <c r="O27" s="129"/>
      <c r="P27" s="145"/>
      <c r="Q27" s="126"/>
      <c r="R27" s="4"/>
      <c r="S27" s="4"/>
      <c r="T27" s="4"/>
      <c r="U27" s="4"/>
    </row>
    <row r="28" spans="1:21" x14ac:dyDescent="0.25">
      <c r="A28" s="112" t="s">
        <v>69</v>
      </c>
      <c r="B28" s="112">
        <v>27</v>
      </c>
      <c r="C28" s="125" t="s">
        <v>43</v>
      </c>
      <c r="D28" s="126">
        <v>0</v>
      </c>
      <c r="E28" s="127">
        <v>0.32569444444444445</v>
      </c>
      <c r="F28" s="111"/>
      <c r="G28" s="129" t="s">
        <v>44</v>
      </c>
      <c r="H28" s="132"/>
      <c r="I28" s="161">
        <f>harvest!I28/effort!I28</f>
        <v>14.999999999999998</v>
      </c>
      <c r="J28" s="129"/>
      <c r="K28" s="129" t="s">
        <v>44</v>
      </c>
      <c r="L28" s="129"/>
      <c r="M28" s="161">
        <f>harvest!M28/effort!M28</f>
        <v>14.79980145598941</v>
      </c>
      <c r="N28" s="129"/>
      <c r="O28" s="129" t="s">
        <v>44</v>
      </c>
      <c r="P28" s="145"/>
      <c r="Q28" s="126">
        <f>harvest!Q28/effort!Q28</f>
        <v>14.895410956055249</v>
      </c>
      <c r="R28" s="4"/>
      <c r="S28" s="4"/>
      <c r="T28" s="4"/>
      <c r="U28" s="4"/>
    </row>
    <row r="29" spans="1:21" x14ac:dyDescent="0.25">
      <c r="A29" s="112" t="s">
        <v>69</v>
      </c>
      <c r="B29" s="112">
        <v>28</v>
      </c>
      <c r="C29" s="112" t="s">
        <v>15</v>
      </c>
      <c r="D29" s="126">
        <v>-0.4</v>
      </c>
      <c r="E29" s="127">
        <v>0.35347222222222219</v>
      </c>
      <c r="F29" s="111"/>
      <c r="G29" s="161">
        <f>harvest!G29/effort!G29</f>
        <v>3.6739130434782608</v>
      </c>
      <c r="H29" s="132" t="s">
        <v>58</v>
      </c>
      <c r="I29" s="161">
        <v>5.9</v>
      </c>
      <c r="J29" s="129"/>
      <c r="K29" s="161">
        <f>harvest!K29/effort!K29</f>
        <v>8.8975559435010307</v>
      </c>
      <c r="L29" s="129"/>
      <c r="M29" s="161">
        <f>harvest!M29/effort!M29</f>
        <v>13.782912412681354</v>
      </c>
      <c r="N29" s="129"/>
      <c r="O29" s="129" t="s">
        <v>44</v>
      </c>
      <c r="P29" s="145"/>
      <c r="Q29" s="126">
        <f>harvest!Q29/effort!Q29</f>
        <v>7.6071639159715136</v>
      </c>
      <c r="R29" s="4"/>
      <c r="S29" s="4"/>
      <c r="T29" s="4"/>
      <c r="U29" s="4"/>
    </row>
    <row r="30" spans="1:21" x14ac:dyDescent="0.25">
      <c r="A30" s="112" t="s">
        <v>69</v>
      </c>
      <c r="B30" s="112">
        <v>29</v>
      </c>
      <c r="C30" s="112" t="s">
        <v>17</v>
      </c>
      <c r="D30" s="126">
        <v>-0.6</v>
      </c>
      <c r="E30" s="127">
        <v>0.3833333333333333</v>
      </c>
      <c r="F30" s="111"/>
      <c r="G30" s="161">
        <f>harvest!G30/effort!G30</f>
        <v>11.12</v>
      </c>
      <c r="H30" s="132" t="s">
        <v>58</v>
      </c>
      <c r="I30" s="161">
        <v>12.75</v>
      </c>
      <c r="J30" s="129"/>
      <c r="K30" s="161">
        <f>harvest!K30/effort!K30</f>
        <v>14.728767861957401</v>
      </c>
      <c r="L30" s="129"/>
      <c r="M30" s="161">
        <f>harvest!M30/effort!M30</f>
        <v>14.873411016949152</v>
      </c>
      <c r="N30" s="129"/>
      <c r="O30" s="129" t="s">
        <v>44</v>
      </c>
      <c r="P30" s="145"/>
      <c r="Q30" s="126">
        <f>harvest!Q30/effort!Q30</f>
        <v>13.370276048058351</v>
      </c>
      <c r="R30" s="4"/>
      <c r="S30" s="4"/>
      <c r="T30" s="4"/>
      <c r="U30" s="4"/>
    </row>
    <row r="31" spans="1:21" x14ac:dyDescent="0.25">
      <c r="A31" s="112"/>
      <c r="B31" s="112"/>
      <c r="C31" s="112"/>
      <c r="D31" s="126"/>
      <c r="E31" s="127"/>
      <c r="F31" s="111"/>
      <c r="G31" s="129"/>
      <c r="H31" s="132"/>
      <c r="I31" s="129"/>
      <c r="J31" s="129"/>
      <c r="K31" s="129"/>
      <c r="L31" s="129"/>
      <c r="M31" s="129"/>
      <c r="N31" s="129"/>
      <c r="O31" s="129"/>
      <c r="P31" s="145"/>
      <c r="Q31" s="164"/>
      <c r="R31" s="4"/>
      <c r="S31" s="4"/>
      <c r="T31" s="4"/>
      <c r="U31" s="4"/>
    </row>
    <row r="32" spans="1:21" x14ac:dyDescent="0.25">
      <c r="A32" s="112" t="s">
        <v>70</v>
      </c>
      <c r="B32" s="112">
        <v>10</v>
      </c>
      <c r="C32" s="125" t="s">
        <v>43</v>
      </c>
      <c r="D32" s="126">
        <v>-0.7</v>
      </c>
      <c r="E32" s="127">
        <v>0.32291666666666669</v>
      </c>
      <c r="F32" s="111"/>
      <c r="G32" s="129" t="s">
        <v>44</v>
      </c>
      <c r="H32" s="132"/>
      <c r="I32" s="161">
        <f>harvest!I32/effort!I32</f>
        <v>14.999999999999998</v>
      </c>
      <c r="J32" s="129"/>
      <c r="K32" s="129" t="s">
        <v>44</v>
      </c>
      <c r="L32" s="129"/>
      <c r="M32" s="129" t="s">
        <v>44</v>
      </c>
      <c r="N32" s="129"/>
      <c r="O32" s="129" t="s">
        <v>44</v>
      </c>
      <c r="P32" s="145"/>
      <c r="Q32" s="126">
        <f>harvest!Q32/effort!Q32</f>
        <v>14.999999999999998</v>
      </c>
      <c r="R32" s="4"/>
      <c r="S32" s="4"/>
      <c r="T32" s="4"/>
      <c r="U32" s="4"/>
    </row>
    <row r="33" spans="1:21" x14ac:dyDescent="0.25">
      <c r="A33" s="112" t="s">
        <v>70</v>
      </c>
      <c r="B33" s="112">
        <v>11</v>
      </c>
      <c r="C33" s="112" t="s">
        <v>15</v>
      </c>
      <c r="D33" s="126">
        <v>-0.7</v>
      </c>
      <c r="E33" s="127">
        <v>0.35069444444444442</v>
      </c>
      <c r="F33" s="111"/>
      <c r="G33" s="161">
        <f>harvest!G33/effort!G33</f>
        <v>15.000000000000002</v>
      </c>
      <c r="H33" s="132"/>
      <c r="I33" s="161">
        <f>harvest!I33/effort!I33</f>
        <v>14.145454545454545</v>
      </c>
      <c r="J33" s="129"/>
      <c r="K33" s="129" t="s">
        <v>44</v>
      </c>
      <c r="L33" s="129"/>
      <c r="M33" s="129" t="s">
        <v>44</v>
      </c>
      <c r="N33" s="129"/>
      <c r="O33" s="129" t="s">
        <v>44</v>
      </c>
      <c r="P33" s="145"/>
      <c r="Q33" s="126">
        <f>harvest!Q33/effort!Q33</f>
        <v>14.706093640691822</v>
      </c>
      <c r="R33" s="4"/>
      <c r="S33" s="4"/>
      <c r="T33" s="4"/>
      <c r="U33" s="4"/>
    </row>
    <row r="34" spans="1:21" x14ac:dyDescent="0.25">
      <c r="A34" s="112" t="s">
        <v>70</v>
      </c>
      <c r="B34" s="112">
        <v>12</v>
      </c>
      <c r="C34" s="112" t="s">
        <v>17</v>
      </c>
      <c r="D34" s="126">
        <v>-0.5</v>
      </c>
      <c r="E34" s="127">
        <v>0.37847222222222227</v>
      </c>
      <c r="F34" s="111"/>
      <c r="G34" s="161">
        <f>harvest!G34/effort!G34</f>
        <v>7.666666666666667</v>
      </c>
      <c r="H34" s="132"/>
      <c r="I34" s="161">
        <f>harvest!I34/effort!I34</f>
        <v>9.1463414634146343</v>
      </c>
      <c r="J34" s="129"/>
      <c r="K34" s="129" t="s">
        <v>44</v>
      </c>
      <c r="L34" s="129"/>
      <c r="M34" s="129" t="s">
        <v>44</v>
      </c>
      <c r="N34" s="129"/>
      <c r="O34" s="129" t="s">
        <v>44</v>
      </c>
      <c r="P34" s="145"/>
      <c r="Q34" s="126">
        <f>harvest!Q34/effort!Q34</f>
        <v>8.1718326879515502</v>
      </c>
      <c r="R34" s="4"/>
      <c r="S34" s="4"/>
      <c r="T34" s="4"/>
      <c r="U34" s="4"/>
    </row>
    <row r="35" spans="1:21" x14ac:dyDescent="0.25">
      <c r="A35" s="112"/>
      <c r="B35" s="112"/>
      <c r="C35" s="112"/>
      <c r="D35" s="126"/>
      <c r="E35" s="127"/>
      <c r="F35" s="111"/>
      <c r="G35" s="129"/>
      <c r="H35" s="132"/>
      <c r="I35" s="129"/>
      <c r="J35" s="129"/>
      <c r="K35" s="129"/>
      <c r="L35" s="129"/>
      <c r="M35" s="129"/>
      <c r="N35" s="129"/>
      <c r="O35" s="129"/>
      <c r="P35" s="145"/>
      <c r="Q35" s="164"/>
      <c r="R35" s="4"/>
      <c r="S35" s="4"/>
      <c r="T35" s="4"/>
      <c r="U35" s="4"/>
    </row>
    <row r="36" spans="1:21" x14ac:dyDescent="0.25">
      <c r="A36" s="112" t="s">
        <v>70</v>
      </c>
      <c r="B36" s="112">
        <v>25</v>
      </c>
      <c r="C36" s="112" t="s">
        <v>15</v>
      </c>
      <c r="D36" s="126">
        <v>-1.3</v>
      </c>
      <c r="E36" s="127">
        <v>0.31041666666666667</v>
      </c>
      <c r="F36" s="111"/>
      <c r="G36" s="161">
        <f>harvest!G36/effort!G36</f>
        <v>10.441176470588237</v>
      </c>
      <c r="H36" s="132" t="s">
        <v>58</v>
      </c>
      <c r="I36" s="161">
        <f>harvest!I36/effort!I36</f>
        <v>14.984371752347275</v>
      </c>
      <c r="J36" s="129"/>
      <c r="K36" s="161">
        <f>harvest!K36/effort!K36</f>
        <v>15.000103971719692</v>
      </c>
      <c r="L36" s="129"/>
      <c r="M36" s="161">
        <f>harvest!M36/effort!M36</f>
        <v>15.001268115942029</v>
      </c>
      <c r="N36" s="129"/>
      <c r="O36" s="129" t="s">
        <v>44</v>
      </c>
      <c r="P36" s="145"/>
      <c r="Q36" s="126">
        <f>harvest!Q36/effort!Q36</f>
        <v>13.44770273605096</v>
      </c>
      <c r="R36" s="4"/>
      <c r="S36" s="4"/>
      <c r="T36" s="4"/>
      <c r="U36" s="4"/>
    </row>
    <row r="37" spans="1:21" x14ac:dyDescent="0.25">
      <c r="A37" s="112" t="s">
        <v>70</v>
      </c>
      <c r="B37" s="112">
        <v>26</v>
      </c>
      <c r="C37" s="112" t="s">
        <v>17</v>
      </c>
      <c r="D37" s="126">
        <v>-1.6</v>
      </c>
      <c r="E37" s="127">
        <v>0.34027777777777773</v>
      </c>
      <c r="F37" s="111" t="s">
        <v>58</v>
      </c>
      <c r="G37" s="161">
        <f>harvest!G37/effort!G37</f>
        <v>10.331723571073827</v>
      </c>
      <c r="H37" s="132" t="s">
        <v>58</v>
      </c>
      <c r="I37" s="161">
        <f>harvest!I37/effort!I37</f>
        <v>14.827293386674958</v>
      </c>
      <c r="J37" s="129"/>
      <c r="K37" s="161">
        <f>harvest!K37/effort!K37</f>
        <v>14.842880523731587</v>
      </c>
      <c r="L37" s="161"/>
      <c r="M37" s="161">
        <f>harvest!M37/effort!M37</f>
        <v>14.844030668127054</v>
      </c>
      <c r="N37" s="129"/>
      <c r="O37" s="129" t="s">
        <v>44</v>
      </c>
      <c r="P37" s="145"/>
      <c r="Q37" s="126">
        <f>harvest!Q37/effort!Q37</f>
        <v>13.306732984182974</v>
      </c>
      <c r="R37" s="4"/>
      <c r="S37" s="4"/>
      <c r="T37" s="4"/>
      <c r="U37" s="4"/>
    </row>
    <row r="38" spans="1:21" x14ac:dyDescent="0.25">
      <c r="A38" s="112" t="s">
        <v>70</v>
      </c>
      <c r="B38" s="112">
        <v>27</v>
      </c>
      <c r="C38" s="112" t="s">
        <v>71</v>
      </c>
      <c r="D38" s="126">
        <v>-1.7</v>
      </c>
      <c r="E38" s="127">
        <v>0.37152777777777773</v>
      </c>
      <c r="F38" s="111"/>
      <c r="G38" s="161">
        <f>harvest!G38/effort!G38</f>
        <v>12.953846153846156</v>
      </c>
      <c r="H38" s="132"/>
      <c r="I38" s="161">
        <f>harvest!I38/effort!I38</f>
        <v>15</v>
      </c>
      <c r="J38" s="129"/>
      <c r="K38" s="161">
        <f>harvest!K38/effort!K38</f>
        <v>15.023745918670228</v>
      </c>
      <c r="L38" s="161"/>
      <c r="M38" s="161">
        <f>harvest!M38/effort!M38</f>
        <v>15.001175778953558</v>
      </c>
      <c r="N38" s="129"/>
      <c r="O38" s="129" t="s">
        <v>44</v>
      </c>
      <c r="P38" s="145"/>
      <c r="Q38" s="126">
        <f>harvest!Q38/effort!Q38</f>
        <v>13.96596132283455</v>
      </c>
      <c r="R38" s="4"/>
      <c r="S38" s="4"/>
      <c r="T38" s="4"/>
      <c r="U38" s="4"/>
    </row>
    <row r="39" spans="1:21" x14ac:dyDescent="0.25">
      <c r="A39" s="112"/>
      <c r="B39" s="112"/>
      <c r="C39" s="112"/>
      <c r="D39" s="126"/>
      <c r="E39" s="127"/>
      <c r="F39" s="111"/>
      <c r="G39" s="161"/>
      <c r="H39" s="132"/>
      <c r="I39" s="161"/>
      <c r="J39" s="129"/>
      <c r="K39" s="161"/>
      <c r="L39" s="161"/>
      <c r="M39" s="161"/>
      <c r="N39" s="129"/>
      <c r="O39" s="129"/>
      <c r="P39" s="145"/>
      <c r="Q39" s="126"/>
      <c r="R39" s="4"/>
      <c r="S39" s="4"/>
      <c r="T39" s="4"/>
      <c r="U39" s="4"/>
    </row>
    <row r="40" spans="1:21" x14ac:dyDescent="0.25">
      <c r="A40" s="112" t="s">
        <v>82</v>
      </c>
      <c r="B40" s="112">
        <v>9</v>
      </c>
      <c r="C40" s="138">
        <v>39942</v>
      </c>
      <c r="D40" s="126">
        <v>-1.2</v>
      </c>
      <c r="E40" s="127">
        <v>0.30763888888888891</v>
      </c>
      <c r="F40" s="111"/>
      <c r="G40" s="161">
        <f>harvest!G40/effort!G40</f>
        <v>13.796610169491528</v>
      </c>
      <c r="H40" s="132" t="s">
        <v>58</v>
      </c>
      <c r="I40" s="161">
        <v>15</v>
      </c>
      <c r="J40" s="129"/>
      <c r="K40" s="161">
        <f>harvest!K40/effort!K40</f>
        <v>14.999293286219082</v>
      </c>
      <c r="L40" s="161"/>
      <c r="M40" s="161">
        <f>harvest!M40/effort!M40</f>
        <v>14.939622641509434</v>
      </c>
      <c r="N40" s="129"/>
      <c r="O40" s="129" t="s">
        <v>44</v>
      </c>
      <c r="P40" s="145"/>
      <c r="Q40" s="126">
        <f>harvest!Q40/effort!Q40</f>
        <v>14.534292854651158</v>
      </c>
      <c r="R40" s="4"/>
      <c r="S40" s="4"/>
      <c r="T40" s="4"/>
      <c r="U40" s="4"/>
    </row>
    <row r="41" spans="1:21" x14ac:dyDescent="0.25">
      <c r="A41" s="112" t="s">
        <v>82</v>
      </c>
      <c r="B41" s="112">
        <v>10</v>
      </c>
      <c r="C41" s="138">
        <v>39943</v>
      </c>
      <c r="D41" s="126">
        <v>-1.2</v>
      </c>
      <c r="E41" s="127">
        <v>0.3347222222222222</v>
      </c>
      <c r="F41" s="111"/>
      <c r="G41" s="161">
        <f>harvest!G41/effort!G41</f>
        <v>14.176470588235295</v>
      </c>
      <c r="H41" s="132"/>
      <c r="I41" s="161">
        <f>harvest!I41/effort!I41</f>
        <v>15</v>
      </c>
      <c r="J41" s="129"/>
      <c r="K41" s="129" t="s">
        <v>44</v>
      </c>
      <c r="L41" s="129"/>
      <c r="M41" s="129" t="s">
        <v>44</v>
      </c>
      <c r="N41" s="129"/>
      <c r="O41" s="129" t="s">
        <v>44</v>
      </c>
      <c r="P41" s="145"/>
      <c r="Q41" s="126">
        <f>harvest!Q41/effort!Q41</f>
        <v>14.440519051324856</v>
      </c>
      <c r="R41" s="4"/>
      <c r="S41" s="4"/>
      <c r="T41" s="4"/>
      <c r="U41" s="4"/>
    </row>
    <row r="42" spans="1:21" x14ac:dyDescent="0.25">
      <c r="A42" s="134"/>
      <c r="B42" s="134"/>
      <c r="C42" s="115"/>
      <c r="D42" s="115"/>
      <c r="E42" s="115"/>
      <c r="F42" s="134"/>
      <c r="G42" s="164"/>
      <c r="H42" s="164"/>
      <c r="I42" s="129"/>
      <c r="J42" s="164"/>
      <c r="K42" s="129"/>
      <c r="L42" s="164"/>
      <c r="M42" s="129"/>
      <c r="N42" s="164"/>
      <c r="O42" s="129"/>
      <c r="P42" s="145"/>
      <c r="Q42" s="164"/>
      <c r="R42" s="4"/>
      <c r="S42" s="4"/>
      <c r="T42" s="4"/>
      <c r="U42" s="4"/>
    </row>
    <row r="43" spans="1:21" x14ac:dyDescent="0.25">
      <c r="A43" s="134"/>
      <c r="B43" s="134"/>
      <c r="C43" s="115"/>
      <c r="D43" s="115"/>
      <c r="E43" s="115"/>
      <c r="F43" s="134"/>
      <c r="G43" s="164"/>
      <c r="H43" s="164"/>
      <c r="I43" s="129"/>
      <c r="J43" s="164"/>
      <c r="K43" s="129"/>
      <c r="L43" s="164"/>
      <c r="M43" s="129"/>
      <c r="N43" s="164"/>
      <c r="O43" s="129"/>
      <c r="P43" s="145"/>
      <c r="Q43" s="164"/>
      <c r="R43" s="4"/>
      <c r="S43" s="4"/>
      <c r="T43" s="4"/>
      <c r="U43" s="4"/>
    </row>
    <row r="44" spans="1:21" x14ac:dyDescent="0.25">
      <c r="A44" s="111" t="s">
        <v>24</v>
      </c>
      <c r="B44" s="134"/>
      <c r="C44" s="115"/>
      <c r="D44" s="115"/>
      <c r="E44" s="115"/>
      <c r="F44" s="134"/>
      <c r="G44" s="126">
        <f>harvest!G44/effort!G44</f>
        <v>9.9608306361223828</v>
      </c>
      <c r="H44" s="164"/>
      <c r="I44" s="126">
        <f>harvest!I44/effort!I44</f>
        <v>13.757133186441111</v>
      </c>
      <c r="J44" s="164"/>
      <c r="K44" s="126">
        <f>harvest!K44/effort!K44</f>
        <v>13.757028123295292</v>
      </c>
      <c r="L44" s="164"/>
      <c r="M44" s="126">
        <f>harvest!M44/effort!M44</f>
        <v>14.557654226142445</v>
      </c>
      <c r="N44" s="164"/>
      <c r="O44" s="126" t="e">
        <f>harvest!O44/effort!O44</f>
        <v>#DIV/0!</v>
      </c>
      <c r="P44" s="145"/>
      <c r="Q44" s="126">
        <f>harvest!Q47/effort!Q44</f>
        <v>12.651741756319664</v>
      </c>
      <c r="R44" s="4"/>
      <c r="S44" s="4"/>
      <c r="T44" s="4"/>
      <c r="U44" s="4"/>
    </row>
    <row r="45" spans="1:21" x14ac:dyDescent="0.25">
      <c r="A45" s="113" t="s">
        <v>23</v>
      </c>
      <c r="B45" s="115"/>
      <c r="C45" s="115"/>
      <c r="D45" s="145"/>
      <c r="E45" s="146"/>
      <c r="F45" s="115"/>
      <c r="G45" s="115"/>
      <c r="H45" s="134"/>
      <c r="I45" s="164"/>
      <c r="J45" s="164"/>
      <c r="K45" s="164"/>
      <c r="L45" s="164"/>
      <c r="M45" s="164"/>
      <c r="N45" s="164"/>
      <c r="O45" s="164"/>
      <c r="P45" s="165"/>
      <c r="Q45" s="164"/>
      <c r="R45" s="4"/>
      <c r="S45" s="4"/>
      <c r="T45" s="4"/>
      <c r="U45" s="4"/>
    </row>
    <row r="46" spans="1:21" x14ac:dyDescent="0.25">
      <c r="A46" s="119" t="s">
        <v>25</v>
      </c>
      <c r="B46" s="134"/>
      <c r="C46" s="115"/>
      <c r="D46" s="115"/>
      <c r="E46" s="115"/>
      <c r="F46" s="134"/>
      <c r="G46" s="164"/>
      <c r="H46" s="134"/>
      <c r="I46" s="164"/>
      <c r="J46" s="164"/>
      <c r="K46" s="164"/>
      <c r="L46" s="164"/>
      <c r="M46" s="164"/>
      <c r="N46" s="164"/>
      <c r="O46" s="164"/>
      <c r="P46" s="165"/>
      <c r="Q46" s="164"/>
      <c r="R46" s="4"/>
      <c r="S46" s="4"/>
      <c r="T46" s="4"/>
      <c r="U46" s="4"/>
    </row>
    <row r="47" spans="1:21" x14ac:dyDescent="0.25">
      <c r="A47" s="134"/>
      <c r="B47" s="134"/>
      <c r="C47" s="115"/>
      <c r="D47" s="115"/>
      <c r="E47" s="115"/>
      <c r="F47" s="134"/>
      <c r="G47" s="126"/>
      <c r="H47" s="134"/>
      <c r="I47" s="126"/>
      <c r="J47" s="164"/>
      <c r="K47" s="126"/>
      <c r="L47" s="164"/>
      <c r="M47" s="126"/>
      <c r="N47" s="164"/>
      <c r="O47" s="126"/>
      <c r="P47" s="165"/>
      <c r="Q47" s="126"/>
      <c r="R47" s="4"/>
      <c r="S47" s="4"/>
      <c r="T47" s="4"/>
      <c r="U47" s="4"/>
    </row>
    <row r="48" spans="1:21" x14ac:dyDescent="0.25">
      <c r="A48" s="134"/>
      <c r="B48" s="134"/>
      <c r="C48" s="115"/>
      <c r="D48" s="115"/>
      <c r="E48" s="115"/>
      <c r="F48" s="134"/>
      <c r="G48" s="164"/>
      <c r="H48" s="134"/>
      <c r="I48" s="164"/>
      <c r="J48" s="164"/>
      <c r="K48" s="164"/>
      <c r="L48" s="164"/>
      <c r="M48" s="164"/>
      <c r="N48" s="164"/>
      <c r="O48" s="164"/>
      <c r="P48" s="165"/>
      <c r="Q48" s="164"/>
      <c r="R48" s="4"/>
      <c r="S48" s="4"/>
      <c r="T48" s="4"/>
      <c r="U48" s="4"/>
    </row>
    <row r="49" spans="1:21" x14ac:dyDescent="0.25">
      <c r="A49" s="134"/>
      <c r="B49" s="134"/>
      <c r="C49" s="115"/>
      <c r="D49" s="115"/>
      <c r="E49" s="115"/>
      <c r="F49" s="134"/>
      <c r="G49" s="164"/>
      <c r="H49" s="134"/>
      <c r="I49" s="164"/>
      <c r="J49" s="164"/>
      <c r="K49" s="164"/>
      <c r="L49" s="164"/>
      <c r="M49" s="164"/>
      <c r="N49" s="164"/>
      <c r="O49" s="164"/>
      <c r="P49" s="165"/>
      <c r="Q49" s="164"/>
      <c r="R49" s="4"/>
      <c r="S49" s="4"/>
      <c r="T49" s="4"/>
      <c r="U49" s="4"/>
    </row>
    <row r="50" spans="1:21" x14ac:dyDescent="0.25">
      <c r="A50" s="134"/>
      <c r="B50" s="134"/>
      <c r="C50" s="115"/>
      <c r="D50" s="115"/>
      <c r="E50" s="115"/>
      <c r="F50" s="134"/>
      <c r="G50" s="164"/>
      <c r="H50" s="134"/>
      <c r="I50" s="164"/>
      <c r="J50" s="164"/>
      <c r="K50" s="164"/>
      <c r="L50" s="164"/>
      <c r="M50" s="164"/>
      <c r="N50" s="164"/>
      <c r="O50" s="164"/>
      <c r="P50" s="165"/>
      <c r="Q50" s="164"/>
      <c r="R50" s="4"/>
      <c r="S50" s="4"/>
      <c r="T50" s="4"/>
      <c r="U50" s="4"/>
    </row>
    <row r="51" spans="1:21" x14ac:dyDescent="0.25">
      <c r="A51" s="134"/>
      <c r="B51" s="134"/>
      <c r="C51" s="115"/>
      <c r="D51" s="115"/>
      <c r="E51" s="115"/>
      <c r="F51" s="134"/>
      <c r="G51" s="164"/>
      <c r="H51" s="134"/>
      <c r="I51" s="164"/>
      <c r="J51" s="164"/>
      <c r="K51" s="164"/>
      <c r="L51" s="164"/>
      <c r="M51" s="164"/>
      <c r="N51" s="164"/>
      <c r="O51" s="164"/>
      <c r="P51" s="165"/>
      <c r="Q51" s="164"/>
      <c r="R51" s="4"/>
      <c r="S51" s="4"/>
      <c r="T51" s="4"/>
      <c r="U51" s="4"/>
    </row>
    <row r="52" spans="1:21" x14ac:dyDescent="0.25">
      <c r="A52" s="134"/>
      <c r="B52" s="134"/>
      <c r="C52" s="115"/>
      <c r="D52" s="115"/>
      <c r="E52" s="115"/>
      <c r="F52" s="134"/>
      <c r="G52" s="164"/>
      <c r="H52" s="134"/>
      <c r="I52" s="164"/>
      <c r="J52" s="164"/>
      <c r="K52" s="164"/>
      <c r="L52" s="164"/>
      <c r="M52" s="164"/>
      <c r="N52" s="164"/>
      <c r="O52" s="164"/>
      <c r="P52" s="165"/>
      <c r="Q52" s="164"/>
      <c r="R52" s="4"/>
      <c r="S52" s="4"/>
      <c r="T52" s="4"/>
      <c r="U52" s="4"/>
    </row>
    <row r="53" spans="1:21" x14ac:dyDescent="0.25">
      <c r="I53" s="4"/>
      <c r="J53" s="4"/>
      <c r="K53" s="4"/>
      <c r="L53" s="4"/>
      <c r="M53" s="4"/>
      <c r="N53" s="4"/>
      <c r="O53" s="4"/>
      <c r="P53" s="6"/>
      <c r="Q53" s="4"/>
      <c r="R53" s="4"/>
      <c r="S53" s="4"/>
      <c r="T53" s="4"/>
      <c r="U53" s="4"/>
    </row>
    <row r="54" spans="1:21" x14ac:dyDescent="0.25">
      <c r="I54" s="4"/>
      <c r="J54" s="4"/>
      <c r="K54" s="4"/>
      <c r="L54" s="4"/>
      <c r="M54" s="4"/>
      <c r="N54" s="4"/>
      <c r="O54" s="4"/>
      <c r="P54" s="6"/>
      <c r="Q54" s="4"/>
      <c r="R54" s="4"/>
      <c r="S54" s="4"/>
      <c r="T54" s="4"/>
      <c r="U54" s="4"/>
    </row>
    <row r="55" spans="1:21" x14ac:dyDescent="0.25">
      <c r="I55" s="4"/>
      <c r="J55" s="4"/>
      <c r="K55" s="4"/>
      <c r="L55" s="4"/>
      <c r="M55" s="4"/>
      <c r="N55" s="4"/>
      <c r="O55" s="4"/>
      <c r="P55" s="6"/>
      <c r="Q55" s="4"/>
      <c r="R55" s="4"/>
      <c r="S55" s="4"/>
      <c r="T55" s="4"/>
      <c r="U55" s="4"/>
    </row>
    <row r="56" spans="1:21" x14ac:dyDescent="0.25">
      <c r="I56" s="4"/>
      <c r="J56" s="4"/>
      <c r="K56" s="4"/>
      <c r="L56" s="4"/>
      <c r="M56" s="4"/>
      <c r="N56" s="4"/>
      <c r="O56" s="4"/>
      <c r="P56" s="6"/>
      <c r="Q56" s="4"/>
      <c r="R56" s="4"/>
      <c r="S56" s="4"/>
      <c r="T56" s="4"/>
      <c r="U56" s="4"/>
    </row>
    <row r="57" spans="1:21" x14ac:dyDescent="0.25">
      <c r="R57" s="4"/>
      <c r="S57" s="4"/>
      <c r="T57" s="4"/>
      <c r="U57" s="4"/>
    </row>
    <row r="58" spans="1:21" x14ac:dyDescent="0.25">
      <c r="R58" s="4"/>
      <c r="S58" s="4"/>
      <c r="T58" s="4"/>
      <c r="U58" s="4"/>
    </row>
    <row r="59" spans="1:21" x14ac:dyDescent="0.25">
      <c r="R59" s="4"/>
      <c r="S59" s="4"/>
      <c r="T59" s="4"/>
      <c r="U59" s="4"/>
    </row>
    <row r="60" spans="1:21" x14ac:dyDescent="0.25">
      <c r="R60" s="4"/>
      <c r="S60" s="4"/>
      <c r="T60" s="4"/>
      <c r="U60" s="4"/>
    </row>
    <row r="61" spans="1:21" x14ac:dyDescent="0.25">
      <c r="R61" s="4"/>
      <c r="S61" s="4"/>
      <c r="T61" s="4"/>
      <c r="U61" s="4"/>
    </row>
    <row r="62" spans="1:21" x14ac:dyDescent="0.25">
      <c r="R62" s="4"/>
      <c r="S62" s="4"/>
      <c r="T62" s="4"/>
      <c r="U62" s="4"/>
    </row>
    <row r="63" spans="1:21" x14ac:dyDescent="0.25">
      <c r="R63" s="4"/>
      <c r="S63" s="4"/>
      <c r="T63" s="4"/>
      <c r="U63" s="4"/>
    </row>
    <row r="64" spans="1:21" x14ac:dyDescent="0.25">
      <c r="R64" s="4"/>
      <c r="S64" s="4"/>
      <c r="T64" s="4"/>
      <c r="U64" s="4"/>
    </row>
    <row r="65" spans="18:21" x14ac:dyDescent="0.25">
      <c r="R65" s="4"/>
      <c r="S65" s="4"/>
      <c r="T65" s="4"/>
      <c r="U65" s="4"/>
    </row>
  </sheetData>
  <mergeCells count="1">
    <mergeCell ref="N2:O2"/>
  </mergeCells>
  <phoneticPr fontId="1" type="noConversion"/>
  <pageMargins left="0.34" right="0.75" top="0.49" bottom="0.5" header="0.5" footer="0.5"/>
  <pageSetup scale="7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V62"/>
  <sheetViews>
    <sheetView topLeftCell="A13" workbookViewId="0">
      <selection activeCell="G40" sqref="G40:G41"/>
    </sheetView>
  </sheetViews>
  <sheetFormatPr defaultColWidth="8" defaultRowHeight="15.75" x14ac:dyDescent="0.25"/>
  <cols>
    <col min="1" max="1" width="9.625" customWidth="1"/>
    <col min="2" max="2" width="4.125" customWidth="1"/>
    <col min="3" max="3" width="6.625" style="5" customWidth="1"/>
    <col min="4" max="4" width="7.625" style="5" customWidth="1"/>
    <col min="5" max="5" width="8.625" style="5" customWidth="1"/>
    <col min="6" max="6" width="2.625" customWidth="1"/>
    <col min="7" max="7" width="10.625" customWidth="1"/>
    <col min="8" max="8" width="2.625" customWidth="1"/>
    <col min="9" max="9" width="10.625" customWidth="1"/>
    <col min="10" max="10" width="2.625" customWidth="1"/>
    <col min="11" max="11" width="10.625" customWidth="1"/>
    <col min="12" max="12" width="2.625" customWidth="1"/>
    <col min="13" max="13" width="10.625" customWidth="1"/>
    <col min="14" max="14" width="2.625" customWidth="1"/>
    <col min="15" max="15" width="10.625" customWidth="1"/>
    <col min="16" max="16" width="2.625" customWidth="1"/>
    <col min="17" max="17" width="10.625" customWidth="1"/>
  </cols>
  <sheetData>
    <row r="1" spans="1:22" x14ac:dyDescent="0.25">
      <c r="A1" s="134" t="s">
        <v>56</v>
      </c>
      <c r="B1" s="111"/>
      <c r="C1" s="112"/>
      <c r="D1" s="112"/>
      <c r="E1" s="112"/>
      <c r="F1" s="111"/>
      <c r="G1" s="111"/>
      <c r="H1" s="113"/>
      <c r="I1" s="111"/>
      <c r="J1" s="113"/>
      <c r="K1" s="111"/>
      <c r="L1" s="113"/>
      <c r="M1" s="114"/>
      <c r="N1" s="134"/>
      <c r="O1" s="111"/>
      <c r="P1" s="111"/>
      <c r="Q1" s="116"/>
    </row>
    <row r="2" spans="1:22" x14ac:dyDescent="0.25">
      <c r="A2" s="117" t="str">
        <f>harvest!A2</f>
        <v>(FINAL  ESTIMATE)</v>
      </c>
      <c r="B2" s="111"/>
      <c r="C2" s="112"/>
      <c r="D2" s="112"/>
      <c r="E2" s="112"/>
      <c r="F2" s="111"/>
      <c r="G2" s="111"/>
      <c r="H2" s="111"/>
      <c r="I2" s="111"/>
      <c r="J2" s="111"/>
      <c r="K2" s="111"/>
      <c r="L2" s="111"/>
      <c r="M2" s="111"/>
      <c r="N2" s="214">
        <f ca="1">TODAY()</f>
        <v>41516</v>
      </c>
      <c r="O2" s="214"/>
      <c r="P2" s="111" t="s">
        <v>0</v>
      </c>
      <c r="Q2" s="116"/>
    </row>
    <row r="3" spans="1:22" x14ac:dyDescent="0.25">
      <c r="A3" s="117"/>
      <c r="B3" s="111"/>
      <c r="C3" s="112"/>
      <c r="D3" s="112"/>
      <c r="E3" s="112"/>
      <c r="F3" s="111"/>
      <c r="G3" s="111"/>
      <c r="H3" s="111"/>
      <c r="I3" s="111"/>
      <c r="J3" s="111"/>
      <c r="K3" s="111"/>
      <c r="L3" s="111"/>
      <c r="M3" s="111"/>
      <c r="N3" s="111"/>
      <c r="O3" s="112"/>
      <c r="P3" s="111"/>
      <c r="Q3" s="116"/>
    </row>
    <row r="4" spans="1:22" x14ac:dyDescent="0.25">
      <c r="A4" s="120" t="s">
        <v>3</v>
      </c>
      <c r="B4" s="120"/>
      <c r="C4" s="120" t="s">
        <v>4</v>
      </c>
      <c r="D4" s="120" t="s">
        <v>5</v>
      </c>
      <c r="E4" s="120" t="s">
        <v>6</v>
      </c>
      <c r="F4" s="120"/>
      <c r="G4" s="120" t="s">
        <v>7</v>
      </c>
      <c r="H4" s="121"/>
      <c r="I4" s="120" t="s">
        <v>8</v>
      </c>
      <c r="J4" s="121"/>
      <c r="K4" s="120" t="s">
        <v>9</v>
      </c>
      <c r="L4" s="121"/>
      <c r="M4" s="120" t="s">
        <v>10</v>
      </c>
      <c r="N4" s="121"/>
      <c r="O4" s="120" t="s">
        <v>11</v>
      </c>
      <c r="P4" s="121"/>
      <c r="Q4" s="122" t="s">
        <v>12</v>
      </c>
    </row>
    <row r="5" spans="1:22" x14ac:dyDescent="0.25">
      <c r="A5" s="123" t="s">
        <v>19</v>
      </c>
      <c r="B5" s="124">
        <v>16</v>
      </c>
      <c r="C5" s="125" t="s">
        <v>45</v>
      </c>
      <c r="D5" s="126">
        <v>-1.5</v>
      </c>
      <c r="E5" s="127">
        <v>0.85416666666666663</v>
      </c>
      <c r="F5" s="112"/>
      <c r="G5" s="129" t="s">
        <v>44</v>
      </c>
      <c r="H5" s="153" t="s">
        <v>58</v>
      </c>
      <c r="I5" s="129">
        <f>+K5*I6/K6</f>
        <v>1921.9714297587363</v>
      </c>
      <c r="J5" s="129"/>
      <c r="K5" s="129">
        <v>2036</v>
      </c>
      <c r="L5" s="153"/>
      <c r="M5" s="129">
        <v>1932</v>
      </c>
      <c r="N5" s="129"/>
      <c r="O5" s="129" t="s">
        <v>44</v>
      </c>
      <c r="P5" s="129"/>
      <c r="Q5" s="129">
        <f>SUM(G5,I5,K5,M5,O5)</f>
        <v>5889.9714297587361</v>
      </c>
      <c r="R5" s="8"/>
      <c r="S5" s="8"/>
      <c r="T5" s="8"/>
      <c r="U5" s="8"/>
      <c r="V5" s="8"/>
    </row>
    <row r="6" spans="1:22" x14ac:dyDescent="0.25">
      <c r="A6" s="123" t="s">
        <v>19</v>
      </c>
      <c r="B6" s="124">
        <v>17</v>
      </c>
      <c r="C6" s="125" t="s">
        <v>43</v>
      </c>
      <c r="D6" s="126">
        <v>-1.5</v>
      </c>
      <c r="E6" s="127">
        <v>0.88680555555555562</v>
      </c>
      <c r="F6" s="112"/>
      <c r="G6" s="129">
        <v>4505.1718745818762</v>
      </c>
      <c r="H6" s="153"/>
      <c r="I6" s="129">
        <v>1845.5079298518319</v>
      </c>
      <c r="J6" s="129"/>
      <c r="K6" s="129">
        <v>1955</v>
      </c>
      <c r="L6" s="153"/>
      <c r="M6" s="129">
        <v>1002</v>
      </c>
      <c r="N6" s="129"/>
      <c r="O6" s="129" t="s">
        <v>44</v>
      </c>
      <c r="P6" s="129"/>
      <c r="Q6" s="129">
        <f>SUM(G6,I6,K6,M6,O6)</f>
        <v>9307.6798044337083</v>
      </c>
      <c r="R6" s="8"/>
      <c r="S6" s="8"/>
      <c r="T6" s="8"/>
      <c r="U6" s="8"/>
      <c r="V6" s="8"/>
    </row>
    <row r="7" spans="1:22" x14ac:dyDescent="0.25">
      <c r="A7" s="123" t="s">
        <v>19</v>
      </c>
      <c r="B7" s="124">
        <v>18</v>
      </c>
      <c r="C7" s="112" t="s">
        <v>15</v>
      </c>
      <c r="D7" s="126">
        <v>-1.2</v>
      </c>
      <c r="E7" s="127">
        <v>0.92222222222222217</v>
      </c>
      <c r="F7" s="154"/>
      <c r="G7" s="129">
        <v>7718.918004198671</v>
      </c>
      <c r="H7" s="153" t="s">
        <v>58</v>
      </c>
      <c r="I7" s="129">
        <f>+K7*I6/K6</f>
        <v>2477.0397994533027</v>
      </c>
      <c r="J7" s="129"/>
      <c r="K7" s="129">
        <v>2624</v>
      </c>
      <c r="L7" s="153" t="s">
        <v>58</v>
      </c>
      <c r="M7" s="129">
        <f>+(K7)*(M6+M5)/(K5+K6)</f>
        <v>1929.0443497870208</v>
      </c>
      <c r="N7" s="129"/>
      <c r="O7" s="129" t="s">
        <v>44</v>
      </c>
      <c r="P7" s="129"/>
      <c r="Q7" s="129">
        <f>SUM(G7,I7,K7,M7,O7)</f>
        <v>14749.002153438994</v>
      </c>
      <c r="R7" s="8"/>
      <c r="S7" s="8"/>
      <c r="T7" s="8"/>
      <c r="U7" s="8"/>
      <c r="V7" s="8"/>
    </row>
    <row r="8" spans="1:22" x14ac:dyDescent="0.25">
      <c r="A8" s="123"/>
      <c r="B8" s="124"/>
      <c r="C8" s="112"/>
      <c r="D8" s="126"/>
      <c r="E8" s="127"/>
      <c r="F8" s="112"/>
      <c r="G8" s="129"/>
      <c r="H8" s="153"/>
      <c r="I8" s="129"/>
      <c r="J8" s="129"/>
      <c r="K8" s="129"/>
      <c r="L8" s="153"/>
      <c r="M8" s="129"/>
      <c r="N8" s="129"/>
      <c r="O8" s="129"/>
      <c r="P8" s="129"/>
      <c r="Q8" s="129"/>
      <c r="R8" s="8"/>
      <c r="S8" s="8"/>
      <c r="T8" s="8"/>
      <c r="U8" s="8"/>
      <c r="V8" s="8"/>
    </row>
    <row r="9" spans="1:22" x14ac:dyDescent="0.25">
      <c r="A9" s="123" t="s">
        <v>59</v>
      </c>
      <c r="B9" s="124">
        <v>13</v>
      </c>
      <c r="C9" s="125" t="s">
        <v>45</v>
      </c>
      <c r="D9" s="126">
        <v>-1.6</v>
      </c>
      <c r="E9" s="127">
        <v>0.76875000000000004</v>
      </c>
      <c r="F9" s="112"/>
      <c r="G9" s="129" t="s">
        <v>44</v>
      </c>
      <c r="H9" s="153"/>
      <c r="I9" s="129" t="s">
        <v>44</v>
      </c>
      <c r="J9" s="129"/>
      <c r="K9" s="129">
        <v>1626</v>
      </c>
      <c r="L9" s="153"/>
      <c r="M9" s="129">
        <v>979</v>
      </c>
      <c r="N9" s="129"/>
      <c r="O9" s="129" t="s">
        <v>44</v>
      </c>
      <c r="P9" s="129"/>
      <c r="Q9" s="129">
        <f>SUM(G9,I9,K9,M9,O9)</f>
        <v>2605</v>
      </c>
      <c r="R9" s="8"/>
      <c r="S9" s="8"/>
      <c r="T9" s="8"/>
      <c r="U9" s="8"/>
      <c r="V9" s="8"/>
    </row>
    <row r="10" spans="1:22" x14ac:dyDescent="0.25">
      <c r="A10" s="123" t="s">
        <v>59</v>
      </c>
      <c r="B10" s="124">
        <v>14</v>
      </c>
      <c r="C10" s="125" t="s">
        <v>43</v>
      </c>
      <c r="D10" s="126">
        <v>-1.8</v>
      </c>
      <c r="E10" s="127">
        <v>0.80208333333333337</v>
      </c>
      <c r="F10" s="112"/>
      <c r="G10" s="129">
        <v>4330.1919139944239</v>
      </c>
      <c r="H10" s="153"/>
      <c r="I10" s="129">
        <v>1946.9116767534517</v>
      </c>
      <c r="J10" s="129"/>
      <c r="K10" s="129">
        <v>4567</v>
      </c>
      <c r="L10" s="153"/>
      <c r="M10" s="129">
        <v>1198</v>
      </c>
      <c r="N10" s="129"/>
      <c r="O10" s="129" t="s">
        <v>44</v>
      </c>
      <c r="P10" s="129"/>
      <c r="Q10" s="129">
        <f>SUM(G10,I10,K10,M10,O10)</f>
        <v>12042.103590747876</v>
      </c>
      <c r="R10" s="8"/>
      <c r="S10" s="8"/>
      <c r="T10" s="8"/>
      <c r="U10" s="8"/>
      <c r="V10" s="8"/>
    </row>
    <row r="11" spans="1:22" x14ac:dyDescent="0.25">
      <c r="A11" s="123" t="s">
        <v>59</v>
      </c>
      <c r="B11" s="124">
        <v>15</v>
      </c>
      <c r="C11" s="112" t="s">
        <v>15</v>
      </c>
      <c r="D11" s="126">
        <v>-1.6</v>
      </c>
      <c r="E11" s="127">
        <v>0.83611111111111114</v>
      </c>
      <c r="F11" s="112"/>
      <c r="G11" s="129">
        <v>9126.4104833934816</v>
      </c>
      <c r="H11" s="153"/>
      <c r="I11" s="129">
        <v>2032.83502723416</v>
      </c>
      <c r="J11" s="129"/>
      <c r="K11" s="129">
        <v>3221</v>
      </c>
      <c r="L11" s="153"/>
      <c r="M11" s="129">
        <v>2270</v>
      </c>
      <c r="N11" s="129"/>
      <c r="O11" s="129" t="s">
        <v>44</v>
      </c>
      <c r="P11" s="129"/>
      <c r="Q11" s="129">
        <f>SUM(G11,I11,K11,M11,O11)</f>
        <v>16650.245510627639</v>
      </c>
      <c r="R11" s="8"/>
      <c r="S11" s="8"/>
      <c r="T11" s="8"/>
      <c r="U11" s="8"/>
      <c r="V11" s="8"/>
    </row>
    <row r="12" spans="1:22" x14ac:dyDescent="0.25">
      <c r="A12" s="123" t="s">
        <v>59</v>
      </c>
      <c r="B12" s="124">
        <v>16</v>
      </c>
      <c r="C12" s="112" t="s">
        <v>17</v>
      </c>
      <c r="D12" s="126">
        <v>-1.2</v>
      </c>
      <c r="E12" s="127">
        <v>0.87083333333333324</v>
      </c>
      <c r="F12" s="133" t="s">
        <v>58</v>
      </c>
      <c r="G12" s="129">
        <v>2081.5380330052426</v>
      </c>
      <c r="H12" s="153" t="s">
        <v>58</v>
      </c>
      <c r="I12" s="129">
        <f>+(K12+M12)*(I11+I10)/(K10+K11+M10+M11)</f>
        <v>594.69917875863212</v>
      </c>
      <c r="J12" s="129"/>
      <c r="K12" s="129">
        <v>1345</v>
      </c>
      <c r="L12" s="153"/>
      <c r="M12" s="129">
        <v>337</v>
      </c>
      <c r="N12" s="129"/>
      <c r="O12" s="129" t="s">
        <v>44</v>
      </c>
      <c r="P12" s="134"/>
      <c r="Q12" s="129">
        <f>SUM(G12,I12,K12,M12,O12)</f>
        <v>4358.2372117638752</v>
      </c>
      <c r="R12" s="8"/>
      <c r="S12" s="8"/>
      <c r="T12" s="8"/>
      <c r="U12" s="8"/>
      <c r="V12" s="8"/>
    </row>
    <row r="13" spans="1:22" x14ac:dyDescent="0.25">
      <c r="A13" s="124"/>
      <c r="B13" s="124"/>
      <c r="C13" s="112"/>
      <c r="D13" s="126"/>
      <c r="E13" s="127"/>
      <c r="F13" s="134"/>
      <c r="G13" s="129"/>
      <c r="H13" s="155"/>
      <c r="I13" s="129"/>
      <c r="J13" s="129"/>
      <c r="K13" s="129"/>
      <c r="L13" s="129"/>
      <c r="M13" s="129"/>
      <c r="N13" s="129"/>
      <c r="O13" s="129"/>
      <c r="P13" s="134"/>
      <c r="Q13" s="129"/>
      <c r="R13" s="8"/>
      <c r="S13" s="8"/>
      <c r="T13" s="8"/>
      <c r="U13" s="8"/>
      <c r="V13" s="8"/>
    </row>
    <row r="14" spans="1:22" x14ac:dyDescent="0.25">
      <c r="A14" s="124" t="s">
        <v>60</v>
      </c>
      <c r="B14" s="124">
        <v>11</v>
      </c>
      <c r="C14" s="126" t="s">
        <v>45</v>
      </c>
      <c r="D14" s="126">
        <v>-1.1000000000000001</v>
      </c>
      <c r="E14" s="127">
        <v>0.72430555555555554</v>
      </c>
      <c r="F14" s="134"/>
      <c r="G14" s="129" t="s">
        <v>44</v>
      </c>
      <c r="H14" s="153"/>
      <c r="I14" s="129" t="s">
        <v>44</v>
      </c>
      <c r="J14" s="129"/>
      <c r="K14" s="129">
        <v>1543</v>
      </c>
      <c r="L14" s="153"/>
      <c r="M14" s="129">
        <v>1266</v>
      </c>
      <c r="N14" s="129"/>
      <c r="O14" s="129" t="s">
        <v>44</v>
      </c>
      <c r="P14" s="134"/>
      <c r="Q14" s="129">
        <f>SUM(K14,M14)</f>
        <v>2809</v>
      </c>
      <c r="R14" s="8"/>
      <c r="S14" s="8"/>
      <c r="T14" s="8"/>
      <c r="U14" s="8"/>
      <c r="V14" s="8"/>
    </row>
    <row r="15" spans="1:22" x14ac:dyDescent="0.25">
      <c r="A15" s="124" t="s">
        <v>60</v>
      </c>
      <c r="B15" s="112">
        <v>12</v>
      </c>
      <c r="C15" s="125" t="s">
        <v>43</v>
      </c>
      <c r="D15" s="126">
        <v>-1.5</v>
      </c>
      <c r="E15" s="127">
        <v>0.75902777777777775</v>
      </c>
      <c r="F15" s="134"/>
      <c r="G15" s="129">
        <v>204.06433035370449</v>
      </c>
      <c r="H15" s="133" t="s">
        <v>58</v>
      </c>
      <c r="I15" s="129">
        <f>+K15*I16/K16</f>
        <v>100.91332669609177</v>
      </c>
      <c r="J15" s="129"/>
      <c r="K15" s="129">
        <v>458</v>
      </c>
      <c r="L15" s="133" t="s">
        <v>58</v>
      </c>
      <c r="M15" s="129">
        <f>+K15*(M14+M16)/(K14+K16)</f>
        <v>229.93136756481951</v>
      </c>
      <c r="N15" s="129"/>
      <c r="O15" s="129" t="s">
        <v>44</v>
      </c>
      <c r="P15" s="134"/>
      <c r="Q15" s="129">
        <f>G15+I15+K15+M15</f>
        <v>992.90902461461587</v>
      </c>
      <c r="R15" s="8"/>
      <c r="S15" s="8"/>
      <c r="T15" s="8"/>
      <c r="U15" s="8"/>
      <c r="V15" s="8"/>
    </row>
    <row r="16" spans="1:22" x14ac:dyDescent="0.25">
      <c r="A16" s="124" t="s">
        <v>60</v>
      </c>
      <c r="B16" s="112">
        <v>13</v>
      </c>
      <c r="C16" s="112" t="s">
        <v>15</v>
      </c>
      <c r="D16" s="126">
        <v>-1.6</v>
      </c>
      <c r="E16" s="127">
        <v>0.79305555555555562</v>
      </c>
      <c r="F16" s="133"/>
      <c r="G16" s="129">
        <v>1437.5564511186535</v>
      </c>
      <c r="H16" s="156"/>
      <c r="I16" s="129">
        <v>526.82044569946595</v>
      </c>
      <c r="J16" s="129"/>
      <c r="K16" s="129">
        <v>2391</v>
      </c>
      <c r="L16" s="129"/>
      <c r="M16" s="129">
        <v>709</v>
      </c>
      <c r="N16" s="129"/>
      <c r="O16" s="129" t="s">
        <v>44</v>
      </c>
      <c r="P16" s="134"/>
      <c r="Q16" s="129">
        <f>G16+I16+K16+M16</f>
        <v>5064.3768968181193</v>
      </c>
      <c r="R16" s="8"/>
      <c r="S16" s="8"/>
      <c r="T16" s="8"/>
      <c r="U16" s="8"/>
      <c r="V16" s="8"/>
    </row>
    <row r="17" spans="1:22" x14ac:dyDescent="0.25">
      <c r="A17" s="124" t="s">
        <v>60</v>
      </c>
      <c r="B17" s="112">
        <v>14</v>
      </c>
      <c r="C17" s="112" t="s">
        <v>17</v>
      </c>
      <c r="D17" s="126">
        <v>-1.4</v>
      </c>
      <c r="E17" s="127">
        <v>0.82638888888888884</v>
      </c>
      <c r="F17" s="133" t="s">
        <v>58</v>
      </c>
      <c r="G17" s="129">
        <v>86.524250684345219</v>
      </c>
      <c r="H17" s="133" t="s">
        <v>58</v>
      </c>
      <c r="I17" s="129">
        <f>+K17*I16/K16</f>
        <v>18.067451504540447</v>
      </c>
      <c r="J17" s="129"/>
      <c r="K17" s="129">
        <v>82</v>
      </c>
      <c r="L17" s="133" t="s">
        <v>58</v>
      </c>
      <c r="M17" s="129">
        <f>+K17*(M16+M14)/(K16+K14)</f>
        <v>41.166751398068122</v>
      </c>
      <c r="N17" s="129"/>
      <c r="O17" s="129" t="s">
        <v>44</v>
      </c>
      <c r="P17" s="134"/>
      <c r="Q17" s="129">
        <f>G17+I17+K17+M17</f>
        <v>227.75845358695381</v>
      </c>
      <c r="R17" s="8"/>
      <c r="S17" s="8"/>
      <c r="T17" s="8"/>
      <c r="U17" s="8"/>
      <c r="V17" s="8"/>
    </row>
    <row r="18" spans="1:22" x14ac:dyDescent="0.25">
      <c r="A18" s="124"/>
      <c r="B18" s="112"/>
      <c r="C18" s="112"/>
      <c r="D18" s="126"/>
      <c r="E18" s="127"/>
      <c r="F18" s="133"/>
      <c r="G18" s="129"/>
      <c r="H18" s="133"/>
      <c r="I18" s="129"/>
      <c r="J18" s="129"/>
      <c r="K18" s="129"/>
      <c r="L18" s="133"/>
      <c r="M18" s="129"/>
      <c r="N18" s="129"/>
      <c r="O18" s="129"/>
      <c r="P18" s="134"/>
      <c r="Q18" s="129"/>
      <c r="R18" s="8"/>
      <c r="S18" s="8"/>
      <c r="T18" s="8"/>
      <c r="U18" s="8"/>
      <c r="V18" s="8"/>
    </row>
    <row r="19" spans="1:22" x14ac:dyDescent="0.25">
      <c r="A19" s="124" t="s">
        <v>62</v>
      </c>
      <c r="B19" s="112">
        <v>8</v>
      </c>
      <c r="C19" s="126" t="s">
        <v>45</v>
      </c>
      <c r="D19" s="126">
        <v>-0.2</v>
      </c>
      <c r="E19" s="127">
        <v>0.67569444444444438</v>
      </c>
      <c r="F19" s="133"/>
      <c r="G19" s="129" t="s">
        <v>44</v>
      </c>
      <c r="H19" s="133" t="s">
        <v>58</v>
      </c>
      <c r="I19" s="129">
        <f>+I20/2</f>
        <v>241.48994861732504</v>
      </c>
      <c r="J19" s="129"/>
      <c r="K19" s="129">
        <f>+K20/2</f>
        <v>776.5</v>
      </c>
      <c r="L19" s="133"/>
      <c r="M19" s="129">
        <f>+M20/2</f>
        <v>446</v>
      </c>
      <c r="N19" s="129"/>
      <c r="O19" s="129" t="s">
        <v>44</v>
      </c>
      <c r="P19" s="134"/>
      <c r="Q19" s="129">
        <f>I19+K19+M19</f>
        <v>1463.9899486173249</v>
      </c>
      <c r="R19" s="8"/>
      <c r="S19" s="8"/>
      <c r="T19" s="8"/>
      <c r="U19" s="8"/>
      <c r="V19" s="8"/>
    </row>
    <row r="20" spans="1:22" x14ac:dyDescent="0.25">
      <c r="A20" s="124" t="s">
        <v>62</v>
      </c>
      <c r="B20" s="112">
        <v>9</v>
      </c>
      <c r="C20" s="125" t="s">
        <v>43</v>
      </c>
      <c r="D20" s="126">
        <v>-0.8</v>
      </c>
      <c r="E20" s="127">
        <v>0.71319444444444446</v>
      </c>
      <c r="F20" s="133"/>
      <c r="G20" s="129">
        <v>2708.284510554508</v>
      </c>
      <c r="H20" s="133"/>
      <c r="I20" s="129">
        <v>482.97989723465008</v>
      </c>
      <c r="J20" s="129"/>
      <c r="K20" s="129">
        <v>1553</v>
      </c>
      <c r="L20" s="133"/>
      <c r="M20" s="129">
        <v>892</v>
      </c>
      <c r="N20" s="129"/>
      <c r="O20" s="129" t="s">
        <v>44</v>
      </c>
      <c r="P20" s="134"/>
      <c r="Q20" s="129">
        <f>G20+I20+K20+M20</f>
        <v>5636.2644077891582</v>
      </c>
      <c r="R20" s="8"/>
      <c r="S20" s="8"/>
      <c r="T20" s="8"/>
      <c r="U20" s="8"/>
      <c r="V20" s="8"/>
    </row>
    <row r="21" spans="1:22" x14ac:dyDescent="0.25">
      <c r="A21" s="124" t="s">
        <v>62</v>
      </c>
      <c r="B21" s="112">
        <v>10</v>
      </c>
      <c r="C21" s="112" t="s">
        <v>15</v>
      </c>
      <c r="D21" s="126">
        <v>-1.1000000000000001</v>
      </c>
      <c r="E21" s="127">
        <v>0.74861111111111101</v>
      </c>
      <c r="F21" s="133"/>
      <c r="G21" s="129">
        <v>4414.0229947567259</v>
      </c>
      <c r="H21" s="133"/>
      <c r="I21" s="129">
        <v>972.30599210739001</v>
      </c>
      <c r="J21" s="129"/>
      <c r="K21" s="129">
        <v>3549</v>
      </c>
      <c r="L21" s="133"/>
      <c r="M21" s="129">
        <v>1805</v>
      </c>
      <c r="N21" s="129"/>
      <c r="O21" s="129" t="s">
        <v>44</v>
      </c>
      <c r="P21" s="134"/>
      <c r="Q21" s="129">
        <f>G21+I21+K21+M21</f>
        <v>10740.328986864115</v>
      </c>
      <c r="R21" s="8"/>
      <c r="S21" s="8"/>
      <c r="T21" s="8"/>
      <c r="U21" s="8"/>
      <c r="V21" s="8"/>
    </row>
    <row r="22" spans="1:22" x14ac:dyDescent="0.25">
      <c r="A22" s="124" t="s">
        <v>62</v>
      </c>
      <c r="B22" s="112">
        <v>11</v>
      </c>
      <c r="C22" s="112" t="s">
        <v>17</v>
      </c>
      <c r="D22" s="126">
        <v>-1.2</v>
      </c>
      <c r="E22" s="127">
        <v>0.78125</v>
      </c>
      <c r="F22" s="156" t="s">
        <v>58</v>
      </c>
      <c r="G22" s="129">
        <v>1454.2086624151361</v>
      </c>
      <c r="H22" s="156" t="s">
        <v>58</v>
      </c>
      <c r="I22" s="129">
        <f>+(K22+M22)*(I21+I20)/(K20+K21+M20+M21)</f>
        <v>376.55685660882637</v>
      </c>
      <c r="J22" s="129"/>
      <c r="K22" s="129">
        <v>1354</v>
      </c>
      <c r="L22" s="133"/>
      <c r="M22" s="129">
        <v>664</v>
      </c>
      <c r="N22" s="129"/>
      <c r="O22" s="129" t="s">
        <v>44</v>
      </c>
      <c r="P22" s="134"/>
      <c r="Q22" s="129">
        <f>G22+I22+K22+M22</f>
        <v>3848.7655190239625</v>
      </c>
      <c r="R22" s="8"/>
      <c r="S22" s="8"/>
      <c r="T22" s="8"/>
      <c r="U22" s="8"/>
      <c r="V22" s="8"/>
    </row>
    <row r="23" spans="1:22" x14ac:dyDescent="0.25">
      <c r="A23" s="124"/>
      <c r="B23" s="112"/>
      <c r="C23" s="112"/>
      <c r="D23" s="126"/>
      <c r="E23" s="127"/>
      <c r="F23" s="133"/>
      <c r="G23" s="129"/>
      <c r="H23" s="156"/>
      <c r="I23" s="129"/>
      <c r="J23" s="129"/>
      <c r="K23" s="129"/>
      <c r="L23" s="133"/>
      <c r="M23" s="129"/>
      <c r="N23" s="129"/>
      <c r="O23" s="129"/>
      <c r="P23" s="134"/>
      <c r="Q23" s="129"/>
      <c r="R23" s="8"/>
      <c r="S23" s="8"/>
      <c r="T23" s="8"/>
      <c r="U23" s="8"/>
      <c r="V23" s="8"/>
    </row>
    <row r="24" spans="1:22" x14ac:dyDescent="0.25">
      <c r="A24" s="124" t="s">
        <v>63</v>
      </c>
      <c r="B24" s="112">
        <v>6</v>
      </c>
      <c r="C24" s="125" t="s">
        <v>43</v>
      </c>
      <c r="D24" s="126">
        <v>-0.1</v>
      </c>
      <c r="E24" s="127">
        <v>0.66319444444444442</v>
      </c>
      <c r="F24" s="133"/>
      <c r="G24" s="129" t="s">
        <v>44</v>
      </c>
      <c r="H24" s="156"/>
      <c r="I24" s="129">
        <v>2168.8555657543243</v>
      </c>
      <c r="J24" s="129"/>
      <c r="K24" s="129">
        <v>3017</v>
      </c>
      <c r="L24" s="133"/>
      <c r="M24" s="129">
        <v>2450</v>
      </c>
      <c r="N24" s="129"/>
      <c r="O24" s="129" t="s">
        <v>44</v>
      </c>
      <c r="P24" s="134"/>
      <c r="Q24" s="129">
        <f>I24+K24+M24</f>
        <v>7635.8555657543238</v>
      </c>
      <c r="R24" s="8"/>
      <c r="S24" s="8"/>
      <c r="T24" s="8"/>
      <c r="U24" s="8"/>
      <c r="V24" s="8"/>
    </row>
    <row r="25" spans="1:22" x14ac:dyDescent="0.25">
      <c r="A25" s="124" t="s">
        <v>63</v>
      </c>
      <c r="B25" s="112">
        <v>7</v>
      </c>
      <c r="C25" s="112" t="s">
        <v>15</v>
      </c>
      <c r="D25" s="126">
        <v>-0.4</v>
      </c>
      <c r="E25" s="127">
        <v>0.70138888888888884</v>
      </c>
      <c r="F25" s="133"/>
      <c r="G25" s="129">
        <v>21386.28845346313</v>
      </c>
      <c r="H25" s="156"/>
      <c r="I25" s="129">
        <v>4870.6626884988982</v>
      </c>
      <c r="J25" s="129"/>
      <c r="K25" s="129">
        <v>7631</v>
      </c>
      <c r="L25" s="133"/>
      <c r="M25" s="129">
        <v>8211</v>
      </c>
      <c r="N25" s="129"/>
      <c r="O25" s="129" t="s">
        <v>44</v>
      </c>
      <c r="P25" s="134"/>
      <c r="Q25" s="129">
        <f>G25+I25+K25+M25</f>
        <v>42098.951141962025</v>
      </c>
      <c r="R25" s="8"/>
      <c r="S25" s="8"/>
      <c r="T25" s="8"/>
      <c r="U25" s="8"/>
      <c r="V25" s="8"/>
    </row>
    <row r="26" spans="1:22" x14ac:dyDescent="0.25">
      <c r="A26" s="124" t="s">
        <v>63</v>
      </c>
      <c r="B26" s="112">
        <v>8</v>
      </c>
      <c r="C26" s="112" t="s">
        <v>17</v>
      </c>
      <c r="D26" s="126">
        <v>-0.6</v>
      </c>
      <c r="E26" s="127">
        <v>0.73541666666666661</v>
      </c>
      <c r="F26" s="133"/>
      <c r="G26" s="129">
        <v>7373.6258656950286</v>
      </c>
      <c r="H26" s="156" t="s">
        <v>58</v>
      </c>
      <c r="I26" s="129">
        <f>(K26+M26)*(I24+I25)/(K24+K25+M24+M25)</f>
        <v>3155.5435902495087</v>
      </c>
      <c r="J26" s="129"/>
      <c r="K26" s="129">
        <v>7040</v>
      </c>
      <c r="L26" s="133"/>
      <c r="M26" s="129">
        <v>2512</v>
      </c>
      <c r="N26" s="129"/>
      <c r="O26" s="129" t="s">
        <v>44</v>
      </c>
      <c r="P26" s="134"/>
      <c r="Q26" s="129">
        <f>G26+I26+K26+M26</f>
        <v>20081.169455944539</v>
      </c>
      <c r="R26" s="8"/>
      <c r="S26" s="8"/>
      <c r="T26" s="8"/>
      <c r="U26" s="8"/>
      <c r="V26" s="8"/>
    </row>
    <row r="27" spans="1:22" x14ac:dyDescent="0.25">
      <c r="A27" s="112"/>
      <c r="B27" s="112"/>
      <c r="C27" s="112"/>
      <c r="D27" s="126"/>
      <c r="E27" s="127"/>
      <c r="F27" s="134"/>
      <c r="G27" s="129"/>
      <c r="H27" s="156"/>
      <c r="I27" s="129"/>
      <c r="J27" s="129"/>
      <c r="K27" s="129"/>
      <c r="L27" s="129"/>
      <c r="M27" s="129"/>
      <c r="N27" s="129"/>
      <c r="O27" s="129"/>
      <c r="P27" s="134"/>
      <c r="Q27" s="129"/>
      <c r="R27" s="8"/>
      <c r="S27" s="8"/>
      <c r="T27" s="8"/>
      <c r="U27" s="8"/>
      <c r="V27" s="8"/>
    </row>
    <row r="28" spans="1:22" x14ac:dyDescent="0.25">
      <c r="A28" s="112" t="s">
        <v>69</v>
      </c>
      <c r="B28" s="112">
        <v>27</v>
      </c>
      <c r="C28" s="125" t="s">
        <v>43</v>
      </c>
      <c r="D28" s="126">
        <v>0</v>
      </c>
      <c r="E28" s="127">
        <v>0.32569444444444445</v>
      </c>
      <c r="F28" s="111"/>
      <c r="G28" s="129" t="s">
        <v>44</v>
      </c>
      <c r="H28" s="132"/>
      <c r="I28" s="129">
        <v>2762.5447016381313</v>
      </c>
      <c r="J28" s="129"/>
      <c r="K28" s="129" t="s">
        <v>44</v>
      </c>
      <c r="L28" s="129"/>
      <c r="M28" s="129">
        <v>3022</v>
      </c>
      <c r="N28" s="129"/>
      <c r="O28" s="129" t="s">
        <v>44</v>
      </c>
      <c r="P28" s="134"/>
      <c r="Q28" s="129">
        <f>I28+M28</f>
        <v>5784.5447016381313</v>
      </c>
      <c r="R28" s="8"/>
      <c r="S28" s="8"/>
      <c r="T28" s="8"/>
      <c r="U28" s="8"/>
      <c r="V28" s="8"/>
    </row>
    <row r="29" spans="1:22" x14ac:dyDescent="0.25">
      <c r="A29" s="112" t="s">
        <v>69</v>
      </c>
      <c r="B29" s="112">
        <v>28</v>
      </c>
      <c r="C29" s="112" t="s">
        <v>15</v>
      </c>
      <c r="D29" s="126">
        <v>-0.4</v>
      </c>
      <c r="E29" s="127">
        <v>0.35347222222222219</v>
      </c>
      <c r="F29" s="111"/>
      <c r="G29" s="129">
        <v>16925.759601352554</v>
      </c>
      <c r="H29" s="132" t="s">
        <v>58</v>
      </c>
      <c r="I29" s="129">
        <f>+(K29+M29)*(I25+I24)/(K24+K25+M24+M25)</f>
        <v>6007.4916445443168</v>
      </c>
      <c r="J29" s="129"/>
      <c r="K29" s="129">
        <v>12602</v>
      </c>
      <c r="L29" s="129"/>
      <c r="M29" s="129">
        <v>5583</v>
      </c>
      <c r="N29" s="129"/>
      <c r="O29" s="129" t="s">
        <v>44</v>
      </c>
      <c r="P29" s="134"/>
      <c r="Q29" s="129">
        <f>G29+I29+K29+M29</f>
        <v>41118.25124589687</v>
      </c>
      <c r="R29" s="8"/>
      <c r="S29" s="8"/>
      <c r="T29" s="8"/>
      <c r="U29" s="8"/>
      <c r="V29" s="8"/>
    </row>
    <row r="30" spans="1:22" x14ac:dyDescent="0.25">
      <c r="A30" s="112" t="s">
        <v>69</v>
      </c>
      <c r="B30" s="112">
        <v>29</v>
      </c>
      <c r="C30" s="112" t="s">
        <v>17</v>
      </c>
      <c r="D30" s="126">
        <v>-0.6</v>
      </c>
      <c r="E30" s="127">
        <v>0.3833333333333333</v>
      </c>
      <c r="F30" s="111"/>
      <c r="G30" s="129">
        <v>8951.6615432991548</v>
      </c>
      <c r="H30" s="132" t="s">
        <v>58</v>
      </c>
      <c r="I30" s="129">
        <f>+(K30+M30)*(I25+I24)/(K24+K25+M24+M25)</f>
        <v>3697.9852333807576</v>
      </c>
      <c r="J30" s="129"/>
      <c r="K30" s="129">
        <v>7418</v>
      </c>
      <c r="L30" s="129"/>
      <c r="M30" s="129">
        <v>3776</v>
      </c>
      <c r="N30" s="129"/>
      <c r="O30" s="129" t="s">
        <v>44</v>
      </c>
      <c r="P30" s="134"/>
      <c r="Q30" s="129">
        <f>G30+I30+K30+M30</f>
        <v>23843.646776679911</v>
      </c>
      <c r="R30" s="8"/>
      <c r="S30" s="8"/>
      <c r="T30" s="8"/>
      <c r="U30" s="8"/>
      <c r="V30" s="8"/>
    </row>
    <row r="31" spans="1:22" x14ac:dyDescent="0.25">
      <c r="A31" s="112"/>
      <c r="B31" s="112"/>
      <c r="C31" s="112"/>
      <c r="D31" s="126"/>
      <c r="E31" s="127"/>
      <c r="F31" s="111"/>
      <c r="G31" s="129"/>
      <c r="H31" s="132"/>
      <c r="I31" s="129"/>
      <c r="J31" s="129"/>
      <c r="K31" s="129"/>
      <c r="L31" s="129"/>
      <c r="M31" s="129"/>
      <c r="N31" s="129"/>
      <c r="O31" s="129"/>
      <c r="P31" s="134"/>
      <c r="Q31" s="129"/>
      <c r="R31" s="8"/>
      <c r="S31" s="8"/>
      <c r="T31" s="8"/>
      <c r="U31" s="8"/>
      <c r="V31" s="8"/>
    </row>
    <row r="32" spans="1:22" x14ac:dyDescent="0.25">
      <c r="A32" s="112" t="s">
        <v>70</v>
      </c>
      <c r="B32" s="112">
        <v>10</v>
      </c>
      <c r="C32" s="125" t="s">
        <v>43</v>
      </c>
      <c r="D32" s="126">
        <v>-0.7</v>
      </c>
      <c r="E32" s="127">
        <v>0.32291666666666669</v>
      </c>
      <c r="F32" s="111"/>
      <c r="G32" s="129" t="s">
        <v>44</v>
      </c>
      <c r="H32" s="132"/>
      <c r="I32" s="129">
        <v>2957.6467833495003</v>
      </c>
      <c r="J32" s="129"/>
      <c r="K32" s="129" t="s">
        <v>44</v>
      </c>
      <c r="L32" s="129"/>
      <c r="M32" s="129" t="s">
        <v>44</v>
      </c>
      <c r="N32" s="129"/>
      <c r="O32" s="129" t="s">
        <v>44</v>
      </c>
      <c r="P32" s="134"/>
      <c r="Q32" s="129">
        <f>+I32</f>
        <v>2957.6467833495003</v>
      </c>
      <c r="R32" s="8"/>
      <c r="S32" s="8"/>
      <c r="T32" s="8"/>
      <c r="U32" s="8"/>
      <c r="V32" s="8"/>
    </row>
    <row r="33" spans="1:22" x14ac:dyDescent="0.25">
      <c r="A33" s="112" t="s">
        <v>70</v>
      </c>
      <c r="B33" s="112">
        <v>11</v>
      </c>
      <c r="C33" s="112" t="s">
        <v>15</v>
      </c>
      <c r="D33" s="126">
        <v>-0.7</v>
      </c>
      <c r="E33" s="127">
        <v>0.35069444444444442</v>
      </c>
      <c r="F33" s="111"/>
      <c r="G33" s="129">
        <v>8386.0971367196125</v>
      </c>
      <c r="H33" s="132"/>
      <c r="I33" s="129">
        <v>4396.2814923116548</v>
      </c>
      <c r="J33" s="129"/>
      <c r="K33" s="129" t="s">
        <v>44</v>
      </c>
      <c r="L33" s="129"/>
      <c r="M33" s="129" t="s">
        <v>44</v>
      </c>
      <c r="N33" s="129"/>
      <c r="O33" s="129" t="s">
        <v>44</v>
      </c>
      <c r="P33" s="134"/>
      <c r="Q33" s="129">
        <f>+G33+I33</f>
        <v>12782.378629031267</v>
      </c>
      <c r="R33" s="8"/>
      <c r="S33" s="8"/>
      <c r="T33" s="8"/>
      <c r="U33" s="8"/>
      <c r="V33" s="8"/>
    </row>
    <row r="34" spans="1:22" x14ac:dyDescent="0.25">
      <c r="A34" s="112" t="s">
        <v>70</v>
      </c>
      <c r="B34" s="112">
        <v>12</v>
      </c>
      <c r="C34" s="112" t="s">
        <v>17</v>
      </c>
      <c r="D34" s="126">
        <v>-0.5</v>
      </c>
      <c r="E34" s="127">
        <v>0.37847222222222227</v>
      </c>
      <c r="F34" s="111"/>
      <c r="G34" s="129">
        <v>2548.1290017047054</v>
      </c>
      <c r="H34" s="132"/>
      <c r="I34" s="129">
        <v>1320.8995361792433</v>
      </c>
      <c r="J34" s="129"/>
      <c r="K34" s="129" t="s">
        <v>44</v>
      </c>
      <c r="L34" s="129"/>
      <c r="M34" s="129" t="s">
        <v>44</v>
      </c>
      <c r="N34" s="129"/>
      <c r="O34" s="129" t="s">
        <v>44</v>
      </c>
      <c r="P34" s="134"/>
      <c r="Q34" s="129">
        <f>+G34+I34</f>
        <v>3869.028537883949</v>
      </c>
      <c r="R34" s="8"/>
      <c r="S34" s="8"/>
      <c r="T34" s="8"/>
      <c r="U34" s="8"/>
      <c r="V34" s="8"/>
    </row>
    <row r="35" spans="1:22" x14ac:dyDescent="0.25">
      <c r="A35" s="112"/>
      <c r="B35" s="112"/>
      <c r="C35" s="112"/>
      <c r="D35" s="126"/>
      <c r="E35" s="127"/>
      <c r="F35" s="111"/>
      <c r="G35" s="129"/>
      <c r="H35" s="132"/>
      <c r="I35" s="129"/>
      <c r="J35" s="129"/>
      <c r="K35" s="129"/>
      <c r="L35" s="129"/>
      <c r="M35" s="129"/>
      <c r="N35" s="129"/>
      <c r="O35" s="129"/>
      <c r="P35" s="134"/>
      <c r="Q35" s="129"/>
      <c r="R35" s="8"/>
      <c r="S35" s="8"/>
      <c r="T35" s="8"/>
      <c r="U35" s="8"/>
      <c r="V35" s="8"/>
    </row>
    <row r="36" spans="1:22" x14ac:dyDescent="0.25">
      <c r="A36" s="112" t="s">
        <v>70</v>
      </c>
      <c r="B36" s="112">
        <v>25</v>
      </c>
      <c r="C36" s="112" t="s">
        <v>15</v>
      </c>
      <c r="D36" s="126">
        <v>-1.3</v>
      </c>
      <c r="E36" s="127">
        <v>0.31041666666666667</v>
      </c>
      <c r="F36" s="111"/>
      <c r="G36" s="129">
        <v>9746.1201567185562</v>
      </c>
      <c r="H36" s="132" t="s">
        <v>58</v>
      </c>
      <c r="I36" s="129">
        <f>(K36+M36)*I38/(M38+K38)</f>
        <v>3771.3327947727198</v>
      </c>
      <c r="J36" s="129"/>
      <c r="K36" s="129">
        <v>9618</v>
      </c>
      <c r="L36" s="129"/>
      <c r="M36" s="129">
        <v>5520</v>
      </c>
      <c r="N36" s="129"/>
      <c r="O36" s="129" t="s">
        <v>44</v>
      </c>
      <c r="P36" s="134"/>
      <c r="Q36" s="129">
        <f>+G36+I36+K36+M36</f>
        <v>28655.452951491276</v>
      </c>
      <c r="R36" s="8"/>
      <c r="S36" s="8"/>
      <c r="T36" s="8"/>
      <c r="U36" s="8"/>
      <c r="V36" s="8"/>
    </row>
    <row r="37" spans="1:22" x14ac:dyDescent="0.25">
      <c r="A37" s="112" t="s">
        <v>70</v>
      </c>
      <c r="B37" s="112">
        <v>26</v>
      </c>
      <c r="C37" s="112" t="s">
        <v>17</v>
      </c>
      <c r="D37" s="126">
        <v>-1.6</v>
      </c>
      <c r="E37" s="127">
        <v>0.34027777777777773</v>
      </c>
      <c r="F37" s="139" t="s">
        <v>58</v>
      </c>
      <c r="G37" s="129">
        <f>(K37+M37)*G36/(K36+M36)</f>
        <v>8446.2511782263664</v>
      </c>
      <c r="H37" s="132" t="s">
        <v>58</v>
      </c>
      <c r="I37" s="129">
        <f>(K37+M37)*I38/(K38+M38)</f>
        <v>3268.3389440232072</v>
      </c>
      <c r="J37" s="129"/>
      <c r="K37" s="129">
        <v>8554</v>
      </c>
      <c r="L37" s="129"/>
      <c r="M37" s="129">
        <v>4565</v>
      </c>
      <c r="N37" s="129"/>
      <c r="O37" s="129" t="s">
        <v>44</v>
      </c>
      <c r="P37" s="134"/>
      <c r="Q37" s="129">
        <f>+G37+I37+K37+M37</f>
        <v>24833.590122249574</v>
      </c>
      <c r="R37" s="8"/>
      <c r="S37" s="8"/>
      <c r="T37" s="8"/>
      <c r="U37" s="8"/>
      <c r="V37" s="8"/>
    </row>
    <row r="38" spans="1:22" x14ac:dyDescent="0.25">
      <c r="A38" s="112" t="s">
        <v>70</v>
      </c>
      <c r="B38" s="112">
        <v>27</v>
      </c>
      <c r="C38" s="112" t="s">
        <v>71</v>
      </c>
      <c r="D38" s="126">
        <v>-1.7</v>
      </c>
      <c r="E38" s="127">
        <v>0.37152777777777773</v>
      </c>
      <c r="F38" s="111"/>
      <c r="G38" s="129">
        <v>6551.2900776144925</v>
      </c>
      <c r="H38" s="132"/>
      <c r="I38" s="129">
        <v>1263.0900561169037</v>
      </c>
      <c r="J38" s="129"/>
      <c r="K38" s="129">
        <v>3369</v>
      </c>
      <c r="L38" s="129"/>
      <c r="M38" s="129">
        <v>1701</v>
      </c>
      <c r="N38" s="129"/>
      <c r="O38" s="129" t="s">
        <v>44</v>
      </c>
      <c r="P38" s="134"/>
      <c r="Q38" s="129">
        <f>+G38+I38+K38+M38</f>
        <v>12884.380133731396</v>
      </c>
      <c r="R38" s="8"/>
      <c r="S38" s="8"/>
      <c r="T38" s="8"/>
      <c r="U38" s="8"/>
      <c r="V38" s="8"/>
    </row>
    <row r="39" spans="1:22" x14ac:dyDescent="0.25">
      <c r="A39" s="112"/>
      <c r="B39" s="112"/>
      <c r="C39" s="112"/>
      <c r="D39" s="126"/>
      <c r="E39" s="127"/>
      <c r="F39" s="111"/>
      <c r="G39" s="129"/>
      <c r="H39" s="132"/>
      <c r="I39" s="129"/>
      <c r="J39" s="129"/>
      <c r="K39" s="129"/>
      <c r="L39" s="129"/>
      <c r="M39" s="129"/>
      <c r="N39" s="129"/>
      <c r="O39" s="129"/>
      <c r="P39" s="134"/>
      <c r="Q39" s="129"/>
      <c r="R39" s="8"/>
      <c r="S39" s="8"/>
      <c r="T39" s="8"/>
      <c r="U39" s="8"/>
      <c r="V39" s="8"/>
    </row>
    <row r="40" spans="1:22" x14ac:dyDescent="0.25">
      <c r="A40" s="112" t="s">
        <v>82</v>
      </c>
      <c r="B40" s="112">
        <v>9</v>
      </c>
      <c r="C40" s="138">
        <v>39942</v>
      </c>
      <c r="D40" s="126">
        <v>-1.2</v>
      </c>
      <c r="E40" s="127">
        <v>0.30763888888888891</v>
      </c>
      <c r="F40" s="111"/>
      <c r="G40" s="129">
        <v>4582.4235261529648</v>
      </c>
      <c r="H40" s="132" t="s">
        <v>58</v>
      </c>
      <c r="I40" s="129">
        <f>+(K40+M40)*I38/(K38+M38)</f>
        <v>1519.6941503576159</v>
      </c>
      <c r="J40" s="129"/>
      <c r="K40" s="129">
        <v>4245</v>
      </c>
      <c r="L40" s="129"/>
      <c r="M40" s="129">
        <v>1855</v>
      </c>
      <c r="N40" s="129"/>
      <c r="O40" s="129" t="s">
        <v>44</v>
      </c>
      <c r="P40" s="134"/>
      <c r="Q40" s="129">
        <f>G40+I40+K40+M40</f>
        <v>12202.117676510581</v>
      </c>
      <c r="R40" s="8"/>
      <c r="S40" s="8"/>
      <c r="T40" s="8"/>
      <c r="U40" s="8"/>
      <c r="V40" s="8"/>
    </row>
    <row r="41" spans="1:22" x14ac:dyDescent="0.25">
      <c r="A41" s="112" t="s">
        <v>82</v>
      </c>
      <c r="B41" s="112">
        <v>10</v>
      </c>
      <c r="C41" s="138">
        <v>39943</v>
      </c>
      <c r="D41" s="126">
        <v>-1.2</v>
      </c>
      <c r="E41" s="127">
        <v>0.3347222222222222</v>
      </c>
      <c r="F41" s="111"/>
      <c r="G41" s="129">
        <v>6484.4223906853767</v>
      </c>
      <c r="H41" s="132"/>
      <c r="I41" s="129">
        <v>3060.339713690877</v>
      </c>
      <c r="J41" s="129"/>
      <c r="K41" s="129" t="s">
        <v>44</v>
      </c>
      <c r="L41" s="129"/>
      <c r="M41" s="129" t="s">
        <v>44</v>
      </c>
      <c r="N41" s="129"/>
      <c r="O41" s="129" t="s">
        <v>44</v>
      </c>
      <c r="P41" s="134"/>
      <c r="Q41" s="129">
        <f>G41+I41</f>
        <v>9544.7621043762538</v>
      </c>
      <c r="R41" s="8"/>
      <c r="S41" s="8"/>
      <c r="T41" s="8"/>
      <c r="U41" s="8"/>
      <c r="V41" s="8"/>
    </row>
    <row r="42" spans="1:22" x14ac:dyDescent="0.25">
      <c r="A42" s="112"/>
      <c r="B42" s="112"/>
      <c r="C42" s="112"/>
      <c r="D42" s="126"/>
      <c r="E42" s="127"/>
      <c r="F42" s="134"/>
      <c r="G42" s="129"/>
      <c r="H42" s="156"/>
      <c r="I42" s="129"/>
      <c r="J42" s="129"/>
      <c r="K42" s="129"/>
      <c r="L42" s="129"/>
      <c r="M42" s="129"/>
      <c r="N42" s="129"/>
      <c r="O42" s="129"/>
      <c r="P42" s="134"/>
      <c r="Q42" s="129"/>
      <c r="R42" s="8"/>
      <c r="S42" s="8"/>
      <c r="T42" s="8"/>
      <c r="U42" s="8"/>
      <c r="V42" s="8"/>
    </row>
    <row r="43" spans="1:22" x14ac:dyDescent="0.25">
      <c r="A43" s="134"/>
      <c r="B43" s="134"/>
      <c r="C43" s="115"/>
      <c r="D43" s="115"/>
      <c r="E43" s="115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8"/>
      <c r="S43" s="8"/>
      <c r="T43" s="8"/>
      <c r="U43" s="8"/>
      <c r="V43" s="8"/>
    </row>
    <row r="44" spans="1:22" x14ac:dyDescent="0.25">
      <c r="A44" s="111" t="s">
        <v>24</v>
      </c>
      <c r="B44" s="134"/>
      <c r="C44" s="115"/>
      <c r="D44" s="115"/>
      <c r="E44" s="115"/>
      <c r="F44" s="134"/>
      <c r="G44" s="129">
        <f>SUM(G5:G43)</f>
        <v>139448.96044068871</v>
      </c>
      <c r="H44" s="134"/>
      <c r="I44" s="129">
        <f>SUM(I5:I43)</f>
        <v>57758.805855146056</v>
      </c>
      <c r="J44" s="134"/>
      <c r="K44" s="129">
        <f>SUM(K5:K43)</f>
        <v>92574.5</v>
      </c>
      <c r="L44" s="134"/>
      <c r="M44" s="129">
        <f>SUM(M5:M43)</f>
        <v>54895.142468749909</v>
      </c>
      <c r="N44" s="134"/>
      <c r="O44" s="129">
        <f>SUM(O5:O43)</f>
        <v>0</v>
      </c>
      <c r="P44" s="134"/>
      <c r="Q44" s="129">
        <f>SUM(Q5:Q43)</f>
        <v>344677.40876458469</v>
      </c>
      <c r="R44" s="8"/>
      <c r="S44" s="8"/>
      <c r="T44" s="8"/>
      <c r="U44" s="8"/>
      <c r="V44" s="8"/>
    </row>
    <row r="45" spans="1:22" x14ac:dyDescent="0.25">
      <c r="A45" s="113" t="s">
        <v>23</v>
      </c>
      <c r="B45" s="115"/>
      <c r="C45" s="115"/>
      <c r="D45" s="145"/>
      <c r="E45" s="146"/>
      <c r="F45" s="115"/>
      <c r="G45" s="115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8"/>
      <c r="S45" s="8"/>
      <c r="T45" s="8"/>
      <c r="U45" s="8"/>
      <c r="V45" s="8"/>
    </row>
    <row r="46" spans="1:22" x14ac:dyDescent="0.25">
      <c r="A46" s="119" t="s">
        <v>26</v>
      </c>
      <c r="B46" s="134"/>
      <c r="C46" s="115"/>
      <c r="D46" s="115"/>
      <c r="E46" s="115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8"/>
      <c r="S46" s="8"/>
      <c r="T46" s="8"/>
      <c r="U46" s="8"/>
      <c r="V46" s="8"/>
    </row>
    <row r="47" spans="1:22" x14ac:dyDescent="0.25">
      <c r="A47" s="134"/>
      <c r="B47" s="134"/>
      <c r="C47" s="115"/>
      <c r="D47" s="115"/>
      <c r="E47" s="115"/>
      <c r="F47" s="134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</row>
    <row r="49" spans="18:18" x14ac:dyDescent="0.25">
      <c r="R49" s="5"/>
    </row>
    <row r="50" spans="18:18" x14ac:dyDescent="0.25">
      <c r="R50" s="5"/>
    </row>
    <row r="51" spans="18:18" x14ac:dyDescent="0.25">
      <c r="R51" s="5"/>
    </row>
    <row r="52" spans="18:18" x14ac:dyDescent="0.25">
      <c r="R52" s="5"/>
    </row>
    <row r="53" spans="18:18" x14ac:dyDescent="0.25">
      <c r="R53" s="5"/>
    </row>
    <row r="54" spans="18:18" x14ac:dyDescent="0.25">
      <c r="R54" s="5"/>
    </row>
    <row r="55" spans="18:18" x14ac:dyDescent="0.25">
      <c r="R55" s="5"/>
    </row>
    <row r="56" spans="18:18" x14ac:dyDescent="0.25">
      <c r="R56" s="5"/>
    </row>
    <row r="57" spans="18:18" x14ac:dyDescent="0.25">
      <c r="R57" s="5"/>
    </row>
    <row r="58" spans="18:18" x14ac:dyDescent="0.25">
      <c r="R58" s="5"/>
    </row>
    <row r="59" spans="18:18" x14ac:dyDescent="0.25">
      <c r="R59" s="5"/>
    </row>
    <row r="60" spans="18:18" x14ac:dyDescent="0.25">
      <c r="R60" s="5"/>
    </row>
    <row r="61" spans="18:18" x14ac:dyDescent="0.25">
      <c r="R61" s="5"/>
    </row>
    <row r="62" spans="18:18" x14ac:dyDescent="0.25">
      <c r="R62" s="5"/>
    </row>
  </sheetData>
  <mergeCells count="1">
    <mergeCell ref="N2:O2"/>
  </mergeCells>
  <phoneticPr fontId="1" type="noConversion"/>
  <pageMargins left="0.48" right="0.75" top="0.49" bottom="0.5" header="0.5" footer="0.5"/>
  <pageSetup scale="7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V45"/>
  <sheetViews>
    <sheetView tabSelected="1" topLeftCell="A22" workbookViewId="0">
      <selection activeCell="I42" sqref="I42"/>
    </sheetView>
  </sheetViews>
  <sheetFormatPr defaultColWidth="8" defaultRowHeight="15.75" x14ac:dyDescent="0.25"/>
  <cols>
    <col min="1" max="5" width="8" customWidth="1"/>
    <col min="6" max="6" width="8.875" customWidth="1"/>
    <col min="7" max="20" width="8" customWidth="1"/>
    <col min="21" max="21" width="9.5" customWidth="1"/>
  </cols>
  <sheetData>
    <row r="1" spans="1:21" x14ac:dyDescent="0.25">
      <c r="A1" s="111" t="s">
        <v>53</v>
      </c>
      <c r="B1" s="111"/>
      <c r="C1" s="111"/>
      <c r="D1" s="111"/>
      <c r="E1" s="111"/>
      <c r="F1" s="111"/>
      <c r="G1" s="113"/>
      <c r="H1" s="111"/>
      <c r="I1" s="111"/>
      <c r="J1" s="113"/>
      <c r="K1" s="113"/>
      <c r="L1" s="113"/>
      <c r="M1" s="113"/>
      <c r="N1" s="113"/>
      <c r="O1" s="114"/>
      <c r="P1" s="117"/>
      <c r="Q1" s="117"/>
      <c r="R1" s="111"/>
      <c r="S1" s="113"/>
      <c r="T1" s="111"/>
      <c r="U1" s="116"/>
    </row>
    <row r="2" spans="1:21" x14ac:dyDescent="0.25">
      <c r="A2" s="166"/>
      <c r="B2" s="166"/>
      <c r="C2" s="166"/>
      <c r="D2" s="166"/>
      <c r="E2" s="167" t="s">
        <v>2</v>
      </c>
      <c r="F2" s="168"/>
      <c r="G2" s="168"/>
      <c r="H2" s="167" t="s">
        <v>13</v>
      </c>
      <c r="I2" s="168"/>
      <c r="J2" s="168"/>
      <c r="K2" s="167" t="s">
        <v>14</v>
      </c>
      <c r="L2" s="168"/>
      <c r="M2" s="168"/>
      <c r="N2" s="169"/>
      <c r="O2" s="170" t="s">
        <v>16</v>
      </c>
      <c r="P2" s="171"/>
      <c r="Q2" s="172" t="s">
        <v>18</v>
      </c>
      <c r="R2" s="173"/>
      <c r="S2" s="168"/>
      <c r="T2" s="174" t="s">
        <v>27</v>
      </c>
      <c r="U2" s="173"/>
    </row>
    <row r="3" spans="1:21" x14ac:dyDescent="0.25">
      <c r="A3" s="175" t="s">
        <v>3</v>
      </c>
      <c r="B3" s="175" t="s">
        <v>4</v>
      </c>
      <c r="C3" s="175" t="s">
        <v>5</v>
      </c>
      <c r="D3" s="175" t="s">
        <v>6</v>
      </c>
      <c r="E3" s="176" t="s">
        <v>28</v>
      </c>
      <c r="F3" s="175" t="s">
        <v>29</v>
      </c>
      <c r="G3" s="175" t="s">
        <v>30</v>
      </c>
      <c r="H3" s="176" t="s">
        <v>28</v>
      </c>
      <c r="I3" s="175" t="s">
        <v>29</v>
      </c>
      <c r="J3" s="175" t="s">
        <v>30</v>
      </c>
      <c r="K3" s="176" t="s">
        <v>28</v>
      </c>
      <c r="L3" s="175" t="s">
        <v>29</v>
      </c>
      <c r="M3" s="175" t="s">
        <v>30</v>
      </c>
      <c r="N3" s="176" t="s">
        <v>28</v>
      </c>
      <c r="O3" s="175" t="s">
        <v>29</v>
      </c>
      <c r="P3" s="175" t="s">
        <v>30</v>
      </c>
      <c r="Q3" s="176" t="s">
        <v>28</v>
      </c>
      <c r="R3" s="175" t="s">
        <v>29</v>
      </c>
      <c r="S3" s="175" t="s">
        <v>30</v>
      </c>
      <c r="T3" s="176" t="s">
        <v>28</v>
      </c>
      <c r="U3" s="177" t="s">
        <v>29</v>
      </c>
    </row>
    <row r="4" spans="1:21" x14ac:dyDescent="0.25">
      <c r="A4" s="178">
        <v>39737</v>
      </c>
      <c r="B4" s="126" t="s">
        <v>45</v>
      </c>
      <c r="C4" s="126">
        <v>-1.5</v>
      </c>
      <c r="D4" s="127">
        <v>0.85416666666666663</v>
      </c>
      <c r="E4" s="179" t="str">
        <f>effort!G5</f>
        <v>CLOSED</v>
      </c>
      <c r="F4" s="129" t="str">
        <f>harvest!G5</f>
        <v>CLOSED</v>
      </c>
      <c r="G4" s="126" t="str">
        <f>cpue!G5</f>
        <v>CLOSED</v>
      </c>
      <c r="H4" s="179">
        <f>effort!I5</f>
        <v>1921.9714297587363</v>
      </c>
      <c r="I4" s="129">
        <f>harvest!I5</f>
        <v>27954.764826268023</v>
      </c>
      <c r="J4" s="126">
        <f>cpue!I5</f>
        <v>14.544838905215757</v>
      </c>
      <c r="K4" s="179">
        <f>effort!K5</f>
        <v>2036</v>
      </c>
      <c r="L4" s="129">
        <f>harvest!K5</f>
        <v>29912</v>
      </c>
      <c r="M4" s="126">
        <f>cpue!K5</f>
        <v>14.69155206286837</v>
      </c>
      <c r="N4" s="179">
        <f>effort!M5</f>
        <v>1932</v>
      </c>
      <c r="O4" s="129">
        <f>harvest!M5</f>
        <v>28766</v>
      </c>
      <c r="P4" s="126">
        <f>cpue!M5</f>
        <v>14.889233954451345</v>
      </c>
      <c r="Q4" s="179" t="str">
        <f>effort!O5</f>
        <v>CLOSED</v>
      </c>
      <c r="R4" s="129" t="str">
        <f>harvest!O5</f>
        <v>CLOSED</v>
      </c>
      <c r="S4" s="180" t="str">
        <f>cpue!O5</f>
        <v>CLOSED</v>
      </c>
      <c r="T4" s="179">
        <f>+H4+K4+N4</f>
        <v>5889.9714297587361</v>
      </c>
      <c r="U4" s="129">
        <f>+I4+L4+O4</f>
        <v>86632.764826268016</v>
      </c>
    </row>
    <row r="5" spans="1:21" x14ac:dyDescent="0.25">
      <c r="A5" s="178">
        <v>39738</v>
      </c>
      <c r="B5" s="126" t="s">
        <v>43</v>
      </c>
      <c r="C5" s="126">
        <v>-1.5</v>
      </c>
      <c r="D5" s="127">
        <v>0.88680555555555562</v>
      </c>
      <c r="E5" s="179">
        <f>effort!G6</f>
        <v>4505.1718745818762</v>
      </c>
      <c r="F5" s="129">
        <f>harvest!G6</f>
        <v>65673.669568548052</v>
      </c>
      <c r="G5" s="126">
        <f>cpue!G6</f>
        <v>14.577394913405653</v>
      </c>
      <c r="H5" s="179">
        <f>effort!I6</f>
        <v>1845.5079298518319</v>
      </c>
      <c r="I5" s="129">
        <f>harvest!I6</f>
        <v>26913.657310339211</v>
      </c>
      <c r="J5" s="126">
        <f>cpue!I6</f>
        <v>14.58333333333333</v>
      </c>
      <c r="K5" s="179">
        <f>effort!K6</f>
        <v>1955</v>
      </c>
      <c r="L5" s="129">
        <f>harvest!K6</f>
        <v>28798</v>
      </c>
      <c r="M5" s="126">
        <f>cpue!K6</f>
        <v>14.730434782608695</v>
      </c>
      <c r="N5" s="179">
        <f>effort!M6</f>
        <v>1002</v>
      </c>
      <c r="O5" s="129">
        <f>harvest!M6</f>
        <v>15026</v>
      </c>
      <c r="P5" s="126">
        <f>cpue!M6</f>
        <v>14.996007984031936</v>
      </c>
      <c r="Q5" s="179" t="str">
        <f>effort!O6</f>
        <v>CLOSED</v>
      </c>
      <c r="R5" s="129" t="str">
        <f>harvest!O6</f>
        <v>CLOSED</v>
      </c>
      <c r="S5" s="180" t="str">
        <f>cpue!O6</f>
        <v>CLOSED</v>
      </c>
      <c r="T5" s="179">
        <f>E5+H5+K5+N5</f>
        <v>9307.6798044337083</v>
      </c>
      <c r="U5" s="129">
        <f>F5+I5+L5+O5</f>
        <v>136411.32687888725</v>
      </c>
    </row>
    <row r="6" spans="1:21" x14ac:dyDescent="0.25">
      <c r="A6" s="178">
        <v>39739</v>
      </c>
      <c r="B6" s="126" t="s">
        <v>15</v>
      </c>
      <c r="C6" s="126">
        <v>-1.2</v>
      </c>
      <c r="D6" s="127">
        <v>0.92222222222222217</v>
      </c>
      <c r="E6" s="179">
        <f>effort!G7</f>
        <v>7718.918004198671</v>
      </c>
      <c r="F6" s="129">
        <f>harvest!G7</f>
        <v>94400.280997294554</v>
      </c>
      <c r="G6" s="126">
        <f>cpue!G7</f>
        <v>12.22972972972973</v>
      </c>
      <c r="H6" s="179">
        <f>effort!I7</f>
        <v>2477.0397994533027</v>
      </c>
      <c r="I6" s="129">
        <f>harvest!I7</f>
        <v>35803.257572022194</v>
      </c>
      <c r="J6" s="126">
        <f>cpue!I7</f>
        <v>14.454050185194514</v>
      </c>
      <c r="K6" s="179">
        <f>effort!K7</f>
        <v>2624</v>
      </c>
      <c r="L6" s="129">
        <f>harvest!K7</f>
        <v>38310</v>
      </c>
      <c r="M6" s="126">
        <f>cpue!K7</f>
        <v>14.59984756097561</v>
      </c>
      <c r="N6" s="179">
        <f>effort!M7</f>
        <v>1929.0443497870208</v>
      </c>
      <c r="O6" s="129">
        <f>harvest!M7</f>
        <v>28575.566683699541</v>
      </c>
      <c r="P6" s="126">
        <f>cpue!M7</f>
        <v>14.813328001947944</v>
      </c>
      <c r="Q6" s="179" t="str">
        <f>effort!O7</f>
        <v>CLOSED</v>
      </c>
      <c r="R6" s="129" t="str">
        <f>harvest!O7</f>
        <v>CLOSED</v>
      </c>
      <c r="S6" s="180" t="str">
        <f>cpue!O7</f>
        <v>CLOSED</v>
      </c>
      <c r="T6" s="179">
        <f>E6+H6+K6+N6</f>
        <v>14749.002153438994</v>
      </c>
      <c r="U6" s="129">
        <f>F6+I6+L6+O6</f>
        <v>197089.10525301629</v>
      </c>
    </row>
    <row r="7" spans="1:21" x14ac:dyDescent="0.25">
      <c r="A7" s="181" t="s">
        <v>31</v>
      </c>
      <c r="B7" s="182"/>
      <c r="C7" s="183"/>
      <c r="D7" s="182"/>
      <c r="E7" s="184">
        <f>SUM(E4:E6)</f>
        <v>12224.089878780547</v>
      </c>
      <c r="F7" s="185">
        <f>SUM(F4:F6)</f>
        <v>160073.95056584262</v>
      </c>
      <c r="G7" s="183">
        <f>F7/E7</f>
        <v>13.09495857386573</v>
      </c>
      <c r="H7" s="184">
        <f>SUM(H4:H6)</f>
        <v>6244.5191590638715</v>
      </c>
      <c r="I7" s="185">
        <f>SUM(I4:I6)</f>
        <v>90671.679708629425</v>
      </c>
      <c r="J7" s="183">
        <f>I7/H7</f>
        <v>14.520202020202017</v>
      </c>
      <c r="K7" s="184">
        <f>SUM(K4:K6)</f>
        <v>6615</v>
      </c>
      <c r="L7" s="185">
        <f>SUM(L4:L6)</f>
        <v>97020</v>
      </c>
      <c r="M7" s="183">
        <f>L7/K7</f>
        <v>14.666666666666666</v>
      </c>
      <c r="N7" s="184">
        <f>SUM(N4:N6)</f>
        <v>4863.044349787021</v>
      </c>
      <c r="O7" s="185">
        <f>SUM(O4:O6)</f>
        <v>72367.566683699537</v>
      </c>
      <c r="P7" s="183">
        <f>O7/N7</f>
        <v>14.881124143329867</v>
      </c>
      <c r="Q7" s="184">
        <f>SUM(Q4:Q6)</f>
        <v>0</v>
      </c>
      <c r="R7" s="185">
        <f>SUM(R4:R6)</f>
        <v>0</v>
      </c>
      <c r="S7" s="183" t="e">
        <f>R7/Q7</f>
        <v>#DIV/0!</v>
      </c>
      <c r="T7" s="184">
        <f>E7+H7+K7+N7+Q7</f>
        <v>29946.653387631442</v>
      </c>
      <c r="U7" s="185">
        <f>F7+I7+L7+O7+R7</f>
        <v>420133.19695817161</v>
      </c>
    </row>
    <row r="8" spans="1:21" x14ac:dyDescent="0.25">
      <c r="A8" s="178">
        <v>39765</v>
      </c>
      <c r="B8" s="126" t="s">
        <v>45</v>
      </c>
      <c r="C8" s="126">
        <v>-1.6</v>
      </c>
      <c r="D8" s="127">
        <v>0.76875000000000004</v>
      </c>
      <c r="E8" s="179" t="str">
        <f>effort!G9</f>
        <v>CLOSED</v>
      </c>
      <c r="F8" s="129" t="str">
        <f>harvest!G9</f>
        <v>CLOSED</v>
      </c>
      <c r="G8" s="126" t="str">
        <f>cpue!G9</f>
        <v>CLOSED</v>
      </c>
      <c r="H8" s="179" t="str">
        <f>effort!I9</f>
        <v>CLOSED</v>
      </c>
      <c r="I8" s="129" t="str">
        <f>harvest!I9</f>
        <v>CLOSED</v>
      </c>
      <c r="J8" s="126" t="str">
        <f>cpue!I9</f>
        <v>CLOSED</v>
      </c>
      <c r="K8" s="179">
        <f>effort!K9</f>
        <v>1626</v>
      </c>
      <c r="L8" s="129">
        <f>harvest!K9</f>
        <v>24384</v>
      </c>
      <c r="M8" s="126">
        <f>cpue!K9</f>
        <v>14.99630996309963</v>
      </c>
      <c r="N8" s="179">
        <f>effort!M9</f>
        <v>979</v>
      </c>
      <c r="O8" s="129">
        <f>harvest!M9</f>
        <v>14366</v>
      </c>
      <c r="P8" s="126">
        <f>cpue!M9</f>
        <v>14.674157303370787</v>
      </c>
      <c r="Q8" s="179" t="str">
        <f>effort!O9</f>
        <v>CLOSED</v>
      </c>
      <c r="R8" s="129" t="str">
        <f>harvest!O9</f>
        <v>CLOSED</v>
      </c>
      <c r="S8" s="186" t="str">
        <f>cpue!O9</f>
        <v>CLOSED</v>
      </c>
      <c r="T8" s="179">
        <f>K8+N8</f>
        <v>2605</v>
      </c>
      <c r="U8" s="129">
        <f>L8+O8</f>
        <v>38750</v>
      </c>
    </row>
    <row r="9" spans="1:21" x14ac:dyDescent="0.25">
      <c r="A9" s="178">
        <v>39766</v>
      </c>
      <c r="B9" s="126" t="s">
        <v>43</v>
      </c>
      <c r="C9" s="126">
        <v>-1.8</v>
      </c>
      <c r="D9" s="127">
        <v>0.80208333333333337</v>
      </c>
      <c r="E9" s="179">
        <f>effort!G10</f>
        <v>4330.1919139944239</v>
      </c>
      <c r="F9" s="129">
        <f>harvest!G10</f>
        <v>63089.889165523411</v>
      </c>
      <c r="G9" s="126">
        <f>cpue!G10</f>
        <v>14.569767441860465</v>
      </c>
      <c r="H9" s="179">
        <f>effort!I10</f>
        <v>1946.9116767534517</v>
      </c>
      <c r="I9" s="129">
        <f>harvest!I10</f>
        <v>25752.938458705197</v>
      </c>
      <c r="J9" s="126">
        <f>cpue!I10</f>
        <v>13.2275843666669</v>
      </c>
      <c r="K9" s="179">
        <f>effort!K10</f>
        <v>4567</v>
      </c>
      <c r="L9" s="129">
        <f>harvest!K10</f>
        <v>66392</v>
      </c>
      <c r="M9" s="126">
        <f>cpue!K10</f>
        <v>14.537333041383841</v>
      </c>
      <c r="N9" s="179">
        <f>effort!M10</f>
        <v>1198</v>
      </c>
      <c r="O9" s="129">
        <f>harvest!M10</f>
        <v>17157</v>
      </c>
      <c r="P9" s="126">
        <f>cpue!M10</f>
        <v>14.321368948247079</v>
      </c>
      <c r="Q9" s="179" t="str">
        <f>effort!O10</f>
        <v>CLOSED</v>
      </c>
      <c r="R9" s="129" t="str">
        <f>harvest!O10</f>
        <v>CLOSED</v>
      </c>
      <c r="S9" s="186" t="str">
        <f>cpue!O10</f>
        <v>CLOSED</v>
      </c>
      <c r="T9" s="179">
        <f t="shared" ref="T9:U11" si="0">E9+H9+K9+N9</f>
        <v>12042.103590747876</v>
      </c>
      <c r="U9" s="129">
        <f t="shared" si="0"/>
        <v>172391.82762422861</v>
      </c>
    </row>
    <row r="10" spans="1:21" x14ac:dyDescent="0.25">
      <c r="A10" s="178">
        <v>39767</v>
      </c>
      <c r="B10" s="126" t="s">
        <v>15</v>
      </c>
      <c r="C10" s="126">
        <v>-1.6</v>
      </c>
      <c r="D10" s="127">
        <v>0.83611111111111114</v>
      </c>
      <c r="E10" s="179">
        <f>effort!G11</f>
        <v>9126.4104833934816</v>
      </c>
      <c r="F10" s="129">
        <f>harvest!G11</f>
        <v>107131.61396983484</v>
      </c>
      <c r="G10" s="126">
        <f>cpue!G11</f>
        <v>11.738636363636363</v>
      </c>
      <c r="H10" s="179">
        <f>effort!I11</f>
        <v>2032.83502723416</v>
      </c>
      <c r="I10" s="129">
        <f>harvest!I11</f>
        <v>28247.936732608017</v>
      </c>
      <c r="J10" s="126">
        <f>cpue!I11</f>
        <v>13.895833333333334</v>
      </c>
      <c r="K10" s="179">
        <f>effort!K11</f>
        <v>3221</v>
      </c>
      <c r="L10" s="129">
        <f>harvest!K11</f>
        <v>48480</v>
      </c>
      <c r="M10" s="126">
        <f>cpue!K11</f>
        <v>15.051226327227569</v>
      </c>
      <c r="N10" s="179">
        <f>effort!M11</f>
        <v>2270</v>
      </c>
      <c r="O10" s="129">
        <f>harvest!M11</f>
        <v>32934</v>
      </c>
      <c r="P10" s="126">
        <f>cpue!M11</f>
        <v>14.508370044052864</v>
      </c>
      <c r="Q10" s="179" t="str">
        <f>effort!O11</f>
        <v>CLOSED</v>
      </c>
      <c r="R10" s="129" t="str">
        <f>harvest!O11</f>
        <v>CLOSED</v>
      </c>
      <c r="S10" s="186" t="str">
        <f>cpue!O11</f>
        <v>CLOSED</v>
      </c>
      <c r="T10" s="179">
        <f t="shared" si="0"/>
        <v>16650.245510627639</v>
      </c>
      <c r="U10" s="129">
        <f t="shared" si="0"/>
        <v>216793.55070244285</v>
      </c>
    </row>
    <row r="11" spans="1:21" x14ac:dyDescent="0.25">
      <c r="A11" s="178">
        <v>39768</v>
      </c>
      <c r="B11" s="126" t="s">
        <v>17</v>
      </c>
      <c r="C11" s="126">
        <v>-1.2</v>
      </c>
      <c r="D11" s="127">
        <v>0.87083333333333324</v>
      </c>
      <c r="E11" s="179">
        <f>effort!G12</f>
        <v>2081.5380330052426</v>
      </c>
      <c r="F11" s="129">
        <f>harvest!G12</f>
        <v>27577.46613005453</v>
      </c>
      <c r="G11" s="126">
        <f>cpue!G12</f>
        <v>13.248600646628239</v>
      </c>
      <c r="H11" s="179">
        <f>effort!I12</f>
        <v>594.69917875863212</v>
      </c>
      <c r="I11" s="129">
        <f>harvest!I12</f>
        <v>8258.4220663206288</v>
      </c>
      <c r="J11" s="126">
        <f>cpue!I12</f>
        <v>13.886721827259219</v>
      </c>
      <c r="K11" s="179">
        <f>effort!K12</f>
        <v>1345</v>
      </c>
      <c r="L11" s="129">
        <f>harvest!K12</f>
        <v>20170</v>
      </c>
      <c r="M11" s="126">
        <f>cpue!K12</f>
        <v>14.996282527881041</v>
      </c>
      <c r="N11" s="179">
        <f>effort!M12</f>
        <v>337</v>
      </c>
      <c r="O11" s="129">
        <f>harvest!M12</f>
        <v>5058</v>
      </c>
      <c r="P11" s="126">
        <f>cpue!M12</f>
        <v>15.008902077151335</v>
      </c>
      <c r="Q11" s="179" t="str">
        <f>effort!O12</f>
        <v>CLOSED</v>
      </c>
      <c r="R11" s="129" t="str">
        <f>harvest!O12</f>
        <v>CLOSED</v>
      </c>
      <c r="S11" s="186" t="str">
        <f>cpue!O12</f>
        <v>CLOSED</v>
      </c>
      <c r="T11" s="179">
        <f t="shared" si="0"/>
        <v>4358.2372117638752</v>
      </c>
      <c r="U11" s="129">
        <f t="shared" si="0"/>
        <v>61063.888196375163</v>
      </c>
    </row>
    <row r="12" spans="1:21" x14ac:dyDescent="0.25">
      <c r="A12" s="181" t="s">
        <v>31</v>
      </c>
      <c r="B12" s="182"/>
      <c r="C12" s="183"/>
      <c r="D12" s="182"/>
      <c r="E12" s="184">
        <f>SUM(E8:E11)</f>
        <v>15538.140430393149</v>
      </c>
      <c r="F12" s="185">
        <f>SUM(F8:F11)</f>
        <v>197798.96926541277</v>
      </c>
      <c r="G12" s="183">
        <f>F12/E12</f>
        <v>12.729899703989741</v>
      </c>
      <c r="H12" s="184">
        <f>SUM(H8:H11)</f>
        <v>4574.445882746244</v>
      </c>
      <c r="I12" s="185">
        <f>SUM(I8:I11)</f>
        <v>62259.297257633843</v>
      </c>
      <c r="J12" s="183">
        <f>I12/H12</f>
        <v>13.610238016469179</v>
      </c>
      <c r="K12" s="184">
        <f>SUM(K8:K11)</f>
        <v>10759</v>
      </c>
      <c r="L12" s="185">
        <f>SUM(L8:L11)</f>
        <v>159426</v>
      </c>
      <c r="M12" s="183">
        <f>L12/K12</f>
        <v>14.817919881029836</v>
      </c>
      <c r="N12" s="184">
        <f>SUM(N8:N11)</f>
        <v>4784</v>
      </c>
      <c r="O12" s="185">
        <f>SUM(O8:O11)</f>
        <v>69515</v>
      </c>
      <c r="P12" s="183">
        <f>O12/N12</f>
        <v>14.530727424749164</v>
      </c>
      <c r="Q12" s="184">
        <f>SUM(Q8:Q11)</f>
        <v>0</v>
      </c>
      <c r="R12" s="185">
        <f>SUM(R8:R11)</f>
        <v>0</v>
      </c>
      <c r="S12" s="183">
        <v>0</v>
      </c>
      <c r="T12" s="184">
        <f>E12+H12+K12+N12+Q12</f>
        <v>35655.586313139393</v>
      </c>
      <c r="U12" s="185">
        <f>F12+I12+L12+O12+R12</f>
        <v>488999.26652304665</v>
      </c>
    </row>
    <row r="13" spans="1:21" x14ac:dyDescent="0.25">
      <c r="A13" s="178">
        <v>39793</v>
      </c>
      <c r="B13" s="126" t="s">
        <v>45</v>
      </c>
      <c r="C13" s="126">
        <v>-1.1000000000000001</v>
      </c>
      <c r="D13" s="127">
        <v>0.72430555555555554</v>
      </c>
      <c r="E13" s="179" t="str">
        <f>effort!G14</f>
        <v>CLOSED</v>
      </c>
      <c r="F13" s="129" t="str">
        <f>harvest!G14</f>
        <v>CLOSED</v>
      </c>
      <c r="G13" s="126" t="str">
        <f>cpue!G14</f>
        <v>CLOSED</v>
      </c>
      <c r="H13" s="179" t="str">
        <f>effort!I14</f>
        <v>CLOSED</v>
      </c>
      <c r="I13" s="129" t="str">
        <f>harvest!I14</f>
        <v>CLOSED</v>
      </c>
      <c r="J13" s="126" t="str">
        <f>cpue!I14</f>
        <v>CLOSED</v>
      </c>
      <c r="K13" s="179">
        <f>effort!K14</f>
        <v>1543</v>
      </c>
      <c r="L13" s="129">
        <f>harvest!K14</f>
        <v>23147</v>
      </c>
      <c r="M13" s="126">
        <f>cpue!K14</f>
        <v>15.001296176279974</v>
      </c>
      <c r="N13" s="179">
        <f>effort!M14</f>
        <v>1266</v>
      </c>
      <c r="O13" s="129">
        <f>harvest!M14</f>
        <v>18702</v>
      </c>
      <c r="P13" s="126">
        <f>cpue!M14</f>
        <v>14.772511848341232</v>
      </c>
      <c r="Q13" s="179" t="str">
        <f>effort!O14</f>
        <v>CLOSED</v>
      </c>
      <c r="R13" s="129" t="str">
        <f>harvest!O14</f>
        <v>CLOSED</v>
      </c>
      <c r="S13" s="186" t="str">
        <f>cpue!O14</f>
        <v>CLOSED</v>
      </c>
      <c r="T13" s="179">
        <f>K13+N13</f>
        <v>2809</v>
      </c>
      <c r="U13" s="129">
        <f>L13+O13</f>
        <v>41849</v>
      </c>
    </row>
    <row r="14" spans="1:21" x14ac:dyDescent="0.25">
      <c r="A14" s="178">
        <v>39794</v>
      </c>
      <c r="B14" s="126" t="s">
        <v>43</v>
      </c>
      <c r="C14" s="126">
        <v>-1.5</v>
      </c>
      <c r="D14" s="127">
        <v>0.75902777777777775</v>
      </c>
      <c r="E14" s="179">
        <f>effort!G15</f>
        <v>204.06433035370449</v>
      </c>
      <c r="F14" s="129">
        <f>harvest!G15</f>
        <v>734.63158927333632</v>
      </c>
      <c r="G14" s="126">
        <f>cpue!G15</f>
        <v>3.6000000000000005</v>
      </c>
      <c r="H14" s="179">
        <f>effort!I15</f>
        <v>100.91332669609177</v>
      </c>
      <c r="I14" s="129">
        <f>harvest!I15</f>
        <v>51.76206467161861</v>
      </c>
      <c r="J14" s="126">
        <f>cpue!I15</f>
        <v>0.51293586651348877</v>
      </c>
      <c r="K14" s="179">
        <f>effort!K15</f>
        <v>458</v>
      </c>
      <c r="L14" s="129">
        <f>harvest!K15</f>
        <v>229</v>
      </c>
      <c r="M14" s="126">
        <f>cpue!K15</f>
        <v>0.5</v>
      </c>
      <c r="N14" s="179">
        <f>effort!M15</f>
        <v>229.93136756481951</v>
      </c>
      <c r="O14" s="129">
        <f>harvest!M15</f>
        <v>118.35389827984213</v>
      </c>
      <c r="P14" s="126">
        <f>cpue!M15</f>
        <v>0.5147357645601669</v>
      </c>
      <c r="Q14" s="179" t="str">
        <f>effort!O15</f>
        <v>CLOSED</v>
      </c>
      <c r="R14" s="129" t="str">
        <f>harvest!O15</f>
        <v>CLOSED</v>
      </c>
      <c r="S14" s="186" t="str">
        <f>cpue!O15</f>
        <v>CLOSED</v>
      </c>
      <c r="T14" s="179">
        <f t="shared" ref="T14:U16" si="1">E14+H14+K14+N14</f>
        <v>992.90902461461587</v>
      </c>
      <c r="U14" s="129">
        <f t="shared" si="1"/>
        <v>1133.7475522247971</v>
      </c>
    </row>
    <row r="15" spans="1:21" x14ac:dyDescent="0.25">
      <c r="A15" s="178">
        <v>39795</v>
      </c>
      <c r="B15" s="126" t="s">
        <v>15</v>
      </c>
      <c r="C15" s="126">
        <v>-1.6</v>
      </c>
      <c r="D15" s="127">
        <v>0.79305555555555562</v>
      </c>
      <c r="E15" s="179">
        <f>effort!G16</f>
        <v>1437.5564511186535</v>
      </c>
      <c r="F15" s="129">
        <f>harvest!G16</f>
        <v>9213.4299821695531</v>
      </c>
      <c r="G15" s="126">
        <f>cpue!G16</f>
        <v>6.4090909090909101</v>
      </c>
      <c r="H15" s="179">
        <f>effort!I16</f>
        <v>526.82044569946595</v>
      </c>
      <c r="I15" s="129">
        <f>harvest!I16</f>
        <v>6909.6705456188174</v>
      </c>
      <c r="J15" s="126">
        <f>cpue!I16</f>
        <v>13.115797995358292</v>
      </c>
      <c r="K15" s="179">
        <f>effort!K16</f>
        <v>2391</v>
      </c>
      <c r="L15" s="129">
        <f>harvest!K16</f>
        <v>30569</v>
      </c>
      <c r="M15" s="126">
        <f>cpue!K16</f>
        <v>12.785027185278127</v>
      </c>
      <c r="N15" s="179">
        <f>effort!M16</f>
        <v>709</v>
      </c>
      <c r="O15" s="129">
        <f>harvest!M16</f>
        <v>9060</v>
      </c>
      <c r="P15" s="126">
        <f>cpue!M16</f>
        <v>12.778561354019747</v>
      </c>
      <c r="Q15" s="179" t="str">
        <f>effort!O16</f>
        <v>CLOSED</v>
      </c>
      <c r="R15" s="129" t="str">
        <f>harvest!O16</f>
        <v>CLOSED</v>
      </c>
      <c r="S15" s="186" t="str">
        <f>cpue!O16</f>
        <v>CLOSED</v>
      </c>
      <c r="T15" s="179">
        <f t="shared" si="1"/>
        <v>5064.3768968181193</v>
      </c>
      <c r="U15" s="129">
        <f t="shared" si="1"/>
        <v>55752.100527788367</v>
      </c>
    </row>
    <row r="16" spans="1:21" x14ac:dyDescent="0.25">
      <c r="A16" s="178">
        <v>39796</v>
      </c>
      <c r="B16" s="126" t="s">
        <v>17</v>
      </c>
      <c r="C16" s="126">
        <v>-1.4</v>
      </c>
      <c r="D16" s="127">
        <v>0.82638888888888884</v>
      </c>
      <c r="E16" s="179">
        <f>effort!G17</f>
        <v>86.524250684345219</v>
      </c>
      <c r="F16" s="129">
        <f>harvest!G17</f>
        <v>715.20784201418996</v>
      </c>
      <c r="G16" s="126">
        <f>cpue!G17</f>
        <v>8.2659813446219434</v>
      </c>
      <c r="H16" s="179">
        <f>effort!I17</f>
        <v>18.067451504540447</v>
      </c>
      <c r="I16" s="129">
        <f>harvest!I17</f>
        <v>276.44107027681031</v>
      </c>
      <c r="J16" s="126">
        <f>cpue!I17</f>
        <v>15.300501579170653</v>
      </c>
      <c r="K16" s="179">
        <f>effort!K17</f>
        <v>82</v>
      </c>
      <c r="L16" s="129">
        <f>harvest!K17</f>
        <v>1223</v>
      </c>
      <c r="M16" s="126">
        <f>cpue!K17</f>
        <v>14.914634146341463</v>
      </c>
      <c r="N16" s="179">
        <f>effort!M17</f>
        <v>41.166751398068122</v>
      </c>
      <c r="O16" s="129">
        <f>harvest!M17</f>
        <v>632.08217290937523</v>
      </c>
      <c r="P16" s="126">
        <f>cpue!M17</f>
        <v>15.354191220904491</v>
      </c>
      <c r="Q16" s="179" t="str">
        <f>effort!O17</f>
        <v>CLOSED</v>
      </c>
      <c r="R16" s="129" t="str">
        <f>harvest!O17</f>
        <v>CLOSED</v>
      </c>
      <c r="S16" s="186" t="str">
        <f>cpue!O17</f>
        <v>CLOSED</v>
      </c>
      <c r="T16" s="179">
        <f t="shared" si="1"/>
        <v>227.75845358695381</v>
      </c>
      <c r="U16" s="129">
        <f t="shared" si="1"/>
        <v>2846.7310852003757</v>
      </c>
    </row>
    <row r="17" spans="1:22" x14ac:dyDescent="0.25">
      <c r="A17" s="181" t="s">
        <v>31</v>
      </c>
      <c r="B17" s="182"/>
      <c r="C17" s="182"/>
      <c r="D17" s="182"/>
      <c r="E17" s="184">
        <f>SUM(E13:E16)</f>
        <v>1728.1450321567031</v>
      </c>
      <c r="F17" s="185">
        <f>SUM(F13:F16)</f>
        <v>10663.269413457079</v>
      </c>
      <c r="G17" s="183">
        <f>F17/E17</f>
        <v>6.1703556212232105</v>
      </c>
      <c r="H17" s="184">
        <f>SUM(H13:H16)</f>
        <v>645.80122390009819</v>
      </c>
      <c r="I17" s="185">
        <f>SUM(I13:I16)</f>
        <v>7237.8736805672461</v>
      </c>
      <c r="J17" s="183">
        <f>I17/H17</f>
        <v>11.207587432022123</v>
      </c>
      <c r="K17" s="184">
        <f>SUM(K13:K16)</f>
        <v>4474</v>
      </c>
      <c r="L17" s="185">
        <f>SUM(L13:L16)</f>
        <v>55168</v>
      </c>
      <c r="M17" s="183">
        <f>L17/K17</f>
        <v>12.330800178810907</v>
      </c>
      <c r="N17" s="184">
        <f>SUM(N13:N16)</f>
        <v>2246.0981189628878</v>
      </c>
      <c r="O17" s="185">
        <f>SUM(O13:O16)</f>
        <v>28512.436071189219</v>
      </c>
      <c r="P17" s="183">
        <f>O17/N17</f>
        <v>12.694207715357749</v>
      </c>
      <c r="Q17" s="184"/>
      <c r="R17" s="185"/>
      <c r="S17" s="183"/>
      <c r="T17" s="184">
        <f>E17+H17+K17+N17+Q17</f>
        <v>9094.0443750196882</v>
      </c>
      <c r="U17" s="185">
        <f>F17+I17+L17+O17+R17</f>
        <v>101581.57916521355</v>
      </c>
    </row>
    <row r="18" spans="1:22" x14ac:dyDescent="0.25">
      <c r="A18" s="187">
        <v>39821</v>
      </c>
      <c r="B18" s="126" t="s">
        <v>45</v>
      </c>
      <c r="C18" s="126">
        <v>-0.2</v>
      </c>
      <c r="D18" s="127">
        <v>0.67569444444444438</v>
      </c>
      <c r="E18" s="179" t="str">
        <f>effort!G19</f>
        <v>CLOSED</v>
      </c>
      <c r="F18" s="157" t="str">
        <f>harvest!G19</f>
        <v>CLOSED</v>
      </c>
      <c r="G18" s="186" t="str">
        <f>cpue!G19</f>
        <v>CLOSED</v>
      </c>
      <c r="H18" s="179">
        <f>effort!I19</f>
        <v>241.48994861732504</v>
      </c>
      <c r="I18" s="157">
        <f>harvest!I19</f>
        <v>3494.5016094036446</v>
      </c>
      <c r="J18" s="186">
        <f>cpue!I19</f>
        <v>14.470588235294118</v>
      </c>
      <c r="K18" s="179">
        <f>effort!K19</f>
        <v>776.5</v>
      </c>
      <c r="L18" s="157">
        <f>harvest!K19</f>
        <v>11507</v>
      </c>
      <c r="M18" s="186">
        <f>cpue!K19</f>
        <v>14.819059884095299</v>
      </c>
      <c r="N18" s="179">
        <f>effort!M19</f>
        <v>446</v>
      </c>
      <c r="O18" s="157">
        <f>harvest!M19</f>
        <v>6686.5</v>
      </c>
      <c r="P18" s="186">
        <f>cpue!M19</f>
        <v>14.992152466367713</v>
      </c>
      <c r="Q18" s="179" t="str">
        <f>effort!O19</f>
        <v>CLOSED</v>
      </c>
      <c r="R18" s="157" t="str">
        <f>harvest!O19</f>
        <v>CLOSED</v>
      </c>
      <c r="S18" s="186" t="str">
        <f>cpue!O19</f>
        <v>CLOSED</v>
      </c>
      <c r="T18" s="179">
        <f>K18+N18</f>
        <v>1222.5</v>
      </c>
      <c r="U18" s="157">
        <f>I18+L18+O18</f>
        <v>21688.001609403644</v>
      </c>
    </row>
    <row r="19" spans="1:22" x14ac:dyDescent="0.25">
      <c r="A19" s="187">
        <v>39822</v>
      </c>
      <c r="B19" s="126" t="s">
        <v>43</v>
      </c>
      <c r="C19" s="126">
        <v>-0.8</v>
      </c>
      <c r="D19" s="127">
        <v>0.71319444444444446</v>
      </c>
      <c r="E19" s="179">
        <f>effort!G20</f>
        <v>2708.284510554508</v>
      </c>
      <c r="F19" s="157">
        <f>harvest!G20</f>
        <v>38254.51871158243</v>
      </c>
      <c r="G19" s="186">
        <f>cpue!G20</f>
        <v>14.125000000000002</v>
      </c>
      <c r="H19" s="179">
        <f>effort!I20</f>
        <v>482.97989723465008</v>
      </c>
      <c r="I19" s="157">
        <f>harvest!I20</f>
        <v>6989.0032188072892</v>
      </c>
      <c r="J19" s="186">
        <f>cpue!I20</f>
        <v>14.470588235294118</v>
      </c>
      <c r="K19" s="179">
        <f>effort!K20</f>
        <v>1553</v>
      </c>
      <c r="L19" s="157">
        <f>harvest!K20</f>
        <v>23014</v>
      </c>
      <c r="M19" s="186">
        <f>cpue!K20</f>
        <v>14.819059884095299</v>
      </c>
      <c r="N19" s="179">
        <f>effort!M20</f>
        <v>892</v>
      </c>
      <c r="O19" s="157">
        <f>harvest!M20</f>
        <v>13373</v>
      </c>
      <c r="P19" s="186">
        <f>cpue!M20</f>
        <v>14.992152466367713</v>
      </c>
      <c r="Q19" s="179" t="str">
        <f>effort!O20</f>
        <v>CLOSED</v>
      </c>
      <c r="R19" s="157" t="str">
        <f>harvest!O20</f>
        <v>CLOSED</v>
      </c>
      <c r="S19" s="186" t="str">
        <f>cpue!O20</f>
        <v>CLOSED</v>
      </c>
      <c r="T19" s="179">
        <f>E19+H19+K19+N19</f>
        <v>5636.2644077891582</v>
      </c>
      <c r="U19" s="157">
        <f>F19+I19+L19+O19</f>
        <v>81630.521930389717</v>
      </c>
    </row>
    <row r="20" spans="1:22" x14ac:dyDescent="0.25">
      <c r="A20" s="187">
        <v>39823</v>
      </c>
      <c r="B20" s="126" t="s">
        <v>15</v>
      </c>
      <c r="C20" s="126">
        <v>-1.1000000000000001</v>
      </c>
      <c r="D20" s="127">
        <v>0.74861111111111101</v>
      </c>
      <c r="E20" s="179">
        <f>+H20+K20+N20</f>
        <v>6326.30599210739</v>
      </c>
      <c r="F20" s="157">
        <f>harvest!G21</f>
        <v>28266.724177961347</v>
      </c>
      <c r="G20" s="186">
        <f>cpue!G21</f>
        <v>6.4038461538461551</v>
      </c>
      <c r="H20" s="179">
        <f>effort!I21</f>
        <v>972.30599210739001</v>
      </c>
      <c r="I20" s="157">
        <f>harvest!I21</f>
        <v>7601.6650292032318</v>
      </c>
      <c r="J20" s="186">
        <f>cpue!I21</f>
        <v>7.8181818181818192</v>
      </c>
      <c r="K20" s="179">
        <f>effort!K21</f>
        <v>3549</v>
      </c>
      <c r="L20" s="157">
        <f>harvest!K21</f>
        <v>49358</v>
      </c>
      <c r="M20" s="186">
        <f>cpue!K21</f>
        <v>13.907579599887292</v>
      </c>
      <c r="N20" s="179">
        <f>effort!M21</f>
        <v>1805</v>
      </c>
      <c r="O20" s="157">
        <f>harvest!M21</f>
        <v>24103</v>
      </c>
      <c r="P20" s="186">
        <f>cpue!M21</f>
        <v>13.353462603878116</v>
      </c>
      <c r="Q20" s="179" t="str">
        <f>effort!O21</f>
        <v>CLOSED</v>
      </c>
      <c r="R20" s="157" t="str">
        <f>harvest!O21</f>
        <v>CLOSED</v>
      </c>
      <c r="S20" s="186" t="str">
        <f>cpue!O21</f>
        <v>CLOSED</v>
      </c>
      <c r="T20" s="179">
        <f>K20+N20</f>
        <v>5354</v>
      </c>
      <c r="U20" s="157">
        <f>F20+I20+L20+O20</f>
        <v>109329.38920716458</v>
      </c>
    </row>
    <row r="21" spans="1:22" x14ac:dyDescent="0.25">
      <c r="A21" s="187">
        <v>39824</v>
      </c>
      <c r="B21" s="126" t="s">
        <v>17</v>
      </c>
      <c r="C21" s="126">
        <v>-1.2</v>
      </c>
      <c r="D21" s="127">
        <v>0.78125</v>
      </c>
      <c r="E21" s="179">
        <f>effort!G22</f>
        <v>1454.2086624151361</v>
      </c>
      <c r="F21" s="157">
        <f>harvest!G22</f>
        <v>14012.624859484367</v>
      </c>
      <c r="G21" s="186">
        <f>cpue!G22</f>
        <v>9.6359107338917447</v>
      </c>
      <c r="H21" s="179">
        <f>effort!I22</f>
        <v>376.55685660882637</v>
      </c>
      <c r="I21" s="157">
        <f>harvest!I22</f>
        <v>4103.3929992880076</v>
      </c>
      <c r="J21" s="186">
        <f>cpue!I22</f>
        <v>10.897140570595642</v>
      </c>
      <c r="K21" s="179">
        <f>effort!K22</f>
        <v>1354</v>
      </c>
      <c r="L21" s="157">
        <f>harvest!K22</f>
        <v>20928</v>
      </c>
      <c r="M21" s="186">
        <f>cpue!K22</f>
        <v>15.45642540620384</v>
      </c>
      <c r="N21" s="179">
        <f>effort!M22</f>
        <v>664</v>
      </c>
      <c r="O21" s="157">
        <f>harvest!M22</f>
        <v>9965</v>
      </c>
      <c r="P21" s="186">
        <f>cpue!M22</f>
        <v>15.007530120481928</v>
      </c>
      <c r="Q21" s="179" t="str">
        <f>effort!O22</f>
        <v>CLOSED</v>
      </c>
      <c r="R21" s="157" t="str">
        <f>harvest!O22</f>
        <v>CLOSED</v>
      </c>
      <c r="S21" s="186" t="str">
        <f>cpue!O22</f>
        <v>CLOSED</v>
      </c>
      <c r="T21" s="179">
        <f>E21+H21+K21+N21</f>
        <v>3848.7655190239625</v>
      </c>
      <c r="U21" s="157">
        <f>F21+I21+L21+O21</f>
        <v>49009.017858772379</v>
      </c>
    </row>
    <row r="22" spans="1:22" x14ac:dyDescent="0.25">
      <c r="A22" s="181" t="s">
        <v>31</v>
      </c>
      <c r="B22" s="182"/>
      <c r="C22" s="182"/>
      <c r="D22" s="182"/>
      <c r="E22" s="184">
        <f>SUM(E18:E21)</f>
        <v>10488.799165077035</v>
      </c>
      <c r="F22" s="185">
        <f>SUM(F18:F21)</f>
        <v>80533.867749028141</v>
      </c>
      <c r="G22" s="183">
        <f>F22/E22</f>
        <v>7.6780827320223235</v>
      </c>
      <c r="H22" s="184">
        <f>SUM(H18:H21)</f>
        <v>2073.3326945681915</v>
      </c>
      <c r="I22" s="185">
        <f>SUM(I18:I21)</f>
        <v>22188.562856702174</v>
      </c>
      <c r="J22" s="183">
        <f>I22/H22</f>
        <v>10.701882488436492</v>
      </c>
      <c r="K22" s="184">
        <f>SUM(K18:K21)</f>
        <v>7232.5</v>
      </c>
      <c r="L22" s="185">
        <f>SUM(L18:L21)</f>
        <v>104807</v>
      </c>
      <c r="M22" s="183">
        <f>L22/K22</f>
        <v>14.491116488074663</v>
      </c>
      <c r="N22" s="184">
        <f>SUM(N18:N21)</f>
        <v>3807</v>
      </c>
      <c r="O22" s="185">
        <f>SUM(O18:O21)</f>
        <v>54127.5</v>
      </c>
      <c r="P22" s="183">
        <f>O22/N22</f>
        <v>14.217888100866825</v>
      </c>
      <c r="Q22" s="184"/>
      <c r="R22" s="185"/>
      <c r="S22" s="183"/>
      <c r="T22" s="184">
        <f>E22+H22+K22+N22+Q22</f>
        <v>23601.631859645226</v>
      </c>
      <c r="U22" s="185">
        <f>F22+I22+L22+O22+R22</f>
        <v>261656.93060573033</v>
      </c>
    </row>
    <row r="23" spans="1:22" x14ac:dyDescent="0.25">
      <c r="A23" s="187">
        <v>39850</v>
      </c>
      <c r="B23" s="126" t="s">
        <v>43</v>
      </c>
      <c r="C23" s="126">
        <v>-0.1</v>
      </c>
      <c r="D23" s="127">
        <v>0.66319444444444442</v>
      </c>
      <c r="E23" s="179" t="str">
        <f>effort!G24</f>
        <v>CLOSED</v>
      </c>
      <c r="F23" s="157" t="str">
        <f>harvest!G24</f>
        <v>CLOSED</v>
      </c>
      <c r="G23" s="186" t="str">
        <f>cpue!G24</f>
        <v>CLOSED</v>
      </c>
      <c r="H23" s="179">
        <f>effort!I24</f>
        <v>2168.8555657543243</v>
      </c>
      <c r="I23" s="157">
        <f>harvest!I24</f>
        <v>32532.833486314863</v>
      </c>
      <c r="J23" s="186">
        <f>cpue!I24</f>
        <v>15</v>
      </c>
      <c r="K23" s="179">
        <f>effort!K24</f>
        <v>3017</v>
      </c>
      <c r="L23" s="157">
        <f>harvest!K24</f>
        <v>46064</v>
      </c>
      <c r="M23" s="186">
        <f>cpue!K24</f>
        <v>15.268147166058998</v>
      </c>
      <c r="N23" s="179">
        <f>effort!M24</f>
        <v>2450</v>
      </c>
      <c r="O23" s="157">
        <f>harvest!M24</f>
        <v>36754</v>
      </c>
      <c r="P23" s="186">
        <f>cpue!M24</f>
        <v>15.001632653061224</v>
      </c>
      <c r="Q23" s="179" t="str">
        <f>effort!O24</f>
        <v>CLOSED</v>
      </c>
      <c r="R23" s="157" t="str">
        <f>harvest!O24</f>
        <v>CLOSED</v>
      </c>
      <c r="S23" s="186" t="str">
        <f>cpue!O24</f>
        <v>CLOSED</v>
      </c>
      <c r="T23" s="179">
        <f>K23+N23</f>
        <v>5467</v>
      </c>
      <c r="U23" s="157">
        <f>I23+L23+O23</f>
        <v>115350.83348631486</v>
      </c>
    </row>
    <row r="24" spans="1:22" x14ac:dyDescent="0.25">
      <c r="A24" s="187">
        <v>39851</v>
      </c>
      <c r="B24" s="126" t="s">
        <v>15</v>
      </c>
      <c r="C24" s="126">
        <v>-0.4</v>
      </c>
      <c r="D24" s="127">
        <v>0.70138888888888884</v>
      </c>
      <c r="E24" s="179">
        <f>effort!G25</f>
        <v>21386.28845346313</v>
      </c>
      <c r="F24" s="157">
        <f>harvest!G25</f>
        <v>140955.08298873427</v>
      </c>
      <c r="G24" s="186">
        <f>cpue!G25</f>
        <v>6.5909090909090908</v>
      </c>
      <c r="H24" s="179">
        <f>effort!I25</f>
        <v>4870.6626884988982</v>
      </c>
      <c r="I24" s="157">
        <f>harvest!I25</f>
        <v>68371.927489803289</v>
      </c>
      <c r="J24" s="186">
        <f>cpue!I25</f>
        <v>14.037500000000001</v>
      </c>
      <c r="K24" s="179">
        <f>effort!K25</f>
        <v>7631</v>
      </c>
      <c r="L24" s="157">
        <f>harvest!K25</f>
        <v>108534</v>
      </c>
      <c r="M24" s="186">
        <f>cpue!K25</f>
        <v>14.222775520901585</v>
      </c>
      <c r="N24" s="179">
        <f>effort!M25</f>
        <v>8211</v>
      </c>
      <c r="O24" s="157">
        <f>harvest!M25</f>
        <v>118708</v>
      </c>
      <c r="P24" s="186">
        <f>cpue!M25</f>
        <v>14.457191572281086</v>
      </c>
      <c r="Q24" s="179" t="str">
        <f>effort!O25</f>
        <v>CLOSED</v>
      </c>
      <c r="R24" s="157" t="str">
        <f>harvest!O25</f>
        <v>CLOSED</v>
      </c>
      <c r="S24" s="186" t="str">
        <f>cpue!O25</f>
        <v>CLOSED</v>
      </c>
      <c r="T24" s="179">
        <f>E24+H24+K24+N24</f>
        <v>42098.951141962025</v>
      </c>
      <c r="U24" s="157">
        <f>F24+I24+L24+O24</f>
        <v>436569.01047853753</v>
      </c>
    </row>
    <row r="25" spans="1:22" x14ac:dyDescent="0.25">
      <c r="A25" s="187">
        <v>39852</v>
      </c>
      <c r="B25" s="126" t="s">
        <v>17</v>
      </c>
      <c r="C25" s="126">
        <v>-0.6</v>
      </c>
      <c r="D25" s="127">
        <v>0.73541666666666661</v>
      </c>
      <c r="E25" s="179">
        <f>effort!G26</f>
        <v>7373.6258656950286</v>
      </c>
      <c r="F25" s="157">
        <f>harvest!G26</f>
        <v>62911.148343483117</v>
      </c>
      <c r="G25" s="186">
        <f>cpue!G26</f>
        <v>8.5319148936170208</v>
      </c>
      <c r="H25" s="179">
        <f>effort!I26</f>
        <v>3155.5435902495087</v>
      </c>
      <c r="I25" s="157">
        <f>harvest!I26</f>
        <v>43330.208347304557</v>
      </c>
      <c r="J25" s="186">
        <f>cpue!I26</f>
        <v>13.731456120965339</v>
      </c>
      <c r="K25" s="179">
        <f>effort!K26</f>
        <v>7040</v>
      </c>
      <c r="L25" s="157">
        <f>harvest!K26</f>
        <v>95622</v>
      </c>
      <c r="M25" s="186">
        <f>cpue!K26</f>
        <v>13.582670454545454</v>
      </c>
      <c r="N25" s="179">
        <f>effort!M26</f>
        <v>2512</v>
      </c>
      <c r="O25" s="157">
        <f>harvest!M26</f>
        <v>37523</v>
      </c>
      <c r="P25" s="186">
        <f>cpue!M26</f>
        <v>14.9375</v>
      </c>
      <c r="Q25" s="179" t="str">
        <f>effort!O26</f>
        <v>CLOSED</v>
      </c>
      <c r="R25" s="157" t="str">
        <f>harvest!O26</f>
        <v>CLOSED</v>
      </c>
      <c r="S25" s="186" t="str">
        <f>cpue!O26</f>
        <v>CLOSED</v>
      </c>
      <c r="T25" s="179">
        <f>E25+H25+K25+N25</f>
        <v>20081.169455944539</v>
      </c>
      <c r="U25" s="157">
        <f>F25+I25+L25+O25</f>
        <v>239386.35669078768</v>
      </c>
    </row>
    <row r="26" spans="1:22" x14ac:dyDescent="0.25">
      <c r="A26" s="181" t="s">
        <v>31</v>
      </c>
      <c r="B26" s="182"/>
      <c r="C26" s="182"/>
      <c r="D26" s="182"/>
      <c r="E26" s="184">
        <f>SUM(E23:E25)</f>
        <v>28759.914319158161</v>
      </c>
      <c r="F26" s="185">
        <f>SUM(F23:F25)</f>
        <v>203866.2313322174</v>
      </c>
      <c r="G26" s="183">
        <f>F26/E26</f>
        <v>7.0885548917095944</v>
      </c>
      <c r="H26" s="184">
        <f>SUM(H23:H25)</f>
        <v>10195.06184450273</v>
      </c>
      <c r="I26" s="185">
        <f>SUM(I23:I25)</f>
        <v>144234.9693234227</v>
      </c>
      <c r="J26" s="183">
        <f>I26/H26</f>
        <v>14.147532552850134</v>
      </c>
      <c r="K26" s="184">
        <f>SUM(K23:K25)</f>
        <v>17688</v>
      </c>
      <c r="L26" s="185">
        <f>SUM(L23:L25)</f>
        <v>250220</v>
      </c>
      <c r="M26" s="183">
        <f>L26/K26</f>
        <v>14.146313885119856</v>
      </c>
      <c r="N26" s="184">
        <f>SUM(N23:N25)</f>
        <v>13173</v>
      </c>
      <c r="O26" s="185">
        <f>SUM(O23:O25)</f>
        <v>192985</v>
      </c>
      <c r="P26" s="183">
        <f>O26/N26</f>
        <v>14.650041752068626</v>
      </c>
      <c r="Q26" s="184">
        <f>SUM(Q23:Q25)</f>
        <v>0</v>
      </c>
      <c r="R26" s="185">
        <f>SUM(R23:R25)</f>
        <v>0</v>
      </c>
      <c r="S26" s="183"/>
      <c r="T26" s="184">
        <f>E26+H26+K26+N26+Q26</f>
        <v>69815.976163660889</v>
      </c>
      <c r="U26" s="185">
        <f>F26+I26+L26+O26+R26</f>
        <v>791306.2006556401</v>
      </c>
    </row>
    <row r="27" spans="1:22" x14ac:dyDescent="0.25">
      <c r="A27" s="187">
        <v>39899</v>
      </c>
      <c r="B27" s="126" t="s">
        <v>43</v>
      </c>
      <c r="C27" s="126">
        <v>0</v>
      </c>
      <c r="D27" s="127">
        <v>0.32569444444444445</v>
      </c>
      <c r="E27" s="179" t="str">
        <f>effort!G28</f>
        <v>CLOSED</v>
      </c>
      <c r="F27" s="157" t="str">
        <f>harvest!G28</f>
        <v>CLOSED</v>
      </c>
      <c r="G27" s="186" t="str">
        <f>cpue!G28</f>
        <v>CLOSED</v>
      </c>
      <c r="H27" s="179">
        <f>effort!I28</f>
        <v>2762.5447016381313</v>
      </c>
      <c r="I27" s="157">
        <f>harvest!I28</f>
        <v>41438.170524571964</v>
      </c>
      <c r="J27" s="186">
        <f>cpue!I28</f>
        <v>14.999999999999998</v>
      </c>
      <c r="K27" s="179" t="str">
        <f>effort!K28</f>
        <v>CLOSED</v>
      </c>
      <c r="L27" s="157" t="str">
        <f>harvest!K28</f>
        <v>CLOSED</v>
      </c>
      <c r="M27" s="186" t="str">
        <f>cpue!K28</f>
        <v>CLOSED</v>
      </c>
      <c r="N27" s="179">
        <f>effort!M28</f>
        <v>3022</v>
      </c>
      <c r="O27" s="157">
        <f>harvest!M28</f>
        <v>44725</v>
      </c>
      <c r="P27" s="186">
        <f>cpue!M28</f>
        <v>14.79980145598941</v>
      </c>
      <c r="Q27" s="179" t="str">
        <f>effort!O28</f>
        <v>CLOSED</v>
      </c>
      <c r="R27" s="157" t="str">
        <f>harvest!O28</f>
        <v>CLOSED</v>
      </c>
      <c r="S27" s="186" t="str">
        <f>cpue!O28</f>
        <v>CLOSED</v>
      </c>
      <c r="T27" s="179">
        <f>SUM(H27,K27,N27)</f>
        <v>5784.5447016381313</v>
      </c>
      <c r="U27" s="157">
        <f>SUM(I27,O27)</f>
        <v>86163.170524571964</v>
      </c>
    </row>
    <row r="28" spans="1:22" x14ac:dyDescent="0.25">
      <c r="A28" s="187">
        <v>39900</v>
      </c>
      <c r="B28" s="126" t="s">
        <v>15</v>
      </c>
      <c r="C28" s="126">
        <v>-0.4</v>
      </c>
      <c r="D28" s="127">
        <v>0.35347222222222219</v>
      </c>
      <c r="E28" s="179">
        <f>effort!G29</f>
        <v>16925.759601352554</v>
      </c>
      <c r="F28" s="157">
        <f>harvest!G29</f>
        <v>62183.76897018656</v>
      </c>
      <c r="G28" s="186">
        <f>cpue!G29</f>
        <v>3.6739130434782608</v>
      </c>
      <c r="H28" s="179">
        <f>effort!I29</f>
        <v>6007.4916445443168</v>
      </c>
      <c r="I28" s="157">
        <f>harvest!I29</f>
        <v>61532.508195450857</v>
      </c>
      <c r="J28" s="186">
        <f>cpue!I29</f>
        <v>5.9</v>
      </c>
      <c r="K28" s="179">
        <f>effort!K29</f>
        <v>12602</v>
      </c>
      <c r="L28" s="157">
        <f>harvest!K29</f>
        <v>112127</v>
      </c>
      <c r="M28" s="186">
        <f>cpue!K29</f>
        <v>8.8975559435010307</v>
      </c>
      <c r="N28" s="179">
        <f>effort!M29</f>
        <v>5583</v>
      </c>
      <c r="O28" s="157">
        <f>harvest!M29</f>
        <v>76950</v>
      </c>
      <c r="P28" s="186">
        <f>cpue!M29</f>
        <v>13.782912412681354</v>
      </c>
      <c r="Q28" s="179" t="str">
        <f>effort!O29</f>
        <v>CLOSED</v>
      </c>
      <c r="R28" s="157" t="str">
        <f>harvest!O29</f>
        <v>CLOSED</v>
      </c>
      <c r="S28" s="186" t="str">
        <f>cpue!O29</f>
        <v>CLOSED</v>
      </c>
      <c r="T28" s="179">
        <f>SUM(E28,H28,K28,N28)</f>
        <v>41118.25124589687</v>
      </c>
      <c r="U28" s="157">
        <f>SUM(F28,I28,L28,O28)</f>
        <v>312793.27716563741</v>
      </c>
    </row>
    <row r="29" spans="1:22" x14ac:dyDescent="0.25">
      <c r="A29" s="187">
        <v>39901</v>
      </c>
      <c r="B29" s="126" t="s">
        <v>17</v>
      </c>
      <c r="C29" s="126">
        <v>-0.6</v>
      </c>
      <c r="D29" s="127">
        <v>0.3833333333333333</v>
      </c>
      <c r="E29" s="179">
        <f>effort!G30</f>
        <v>8951.6615432991548</v>
      </c>
      <c r="F29" s="157">
        <f>harvest!G30</f>
        <v>99542.476361486595</v>
      </c>
      <c r="G29" s="186">
        <f>cpue!G30</f>
        <v>11.12</v>
      </c>
      <c r="H29" s="179">
        <f>effort!I30</f>
        <v>3697.9852333807576</v>
      </c>
      <c r="I29" s="157">
        <f>harvest!I30</f>
        <v>53833.663035120509</v>
      </c>
      <c r="J29" s="186">
        <f>cpue!I30</f>
        <v>12.75</v>
      </c>
      <c r="K29" s="179">
        <f>effort!K30</f>
        <v>7418</v>
      </c>
      <c r="L29" s="157">
        <f>harvest!K30</f>
        <v>109258</v>
      </c>
      <c r="M29" s="186">
        <f>cpue!K30</f>
        <v>14.728767861957401</v>
      </c>
      <c r="N29" s="179">
        <f>effort!M30</f>
        <v>3776</v>
      </c>
      <c r="O29" s="157">
        <f>harvest!M30</f>
        <v>56162</v>
      </c>
      <c r="P29" s="186">
        <f>cpue!M30</f>
        <v>14.873411016949152</v>
      </c>
      <c r="Q29" s="179" t="str">
        <f>effort!O30</f>
        <v>CLOSED</v>
      </c>
      <c r="R29" s="157" t="str">
        <f>harvest!O30</f>
        <v>CLOSED</v>
      </c>
      <c r="S29" s="186" t="str">
        <f>cpue!O30</f>
        <v>CLOSED</v>
      </c>
      <c r="T29" s="179">
        <f>SUM(E29,H29,K29,N29)</f>
        <v>23843.646776679911</v>
      </c>
      <c r="U29" s="157">
        <f>SUM(F29,I29,L29,O29)</f>
        <v>318796.13939660712</v>
      </c>
    </row>
    <row r="30" spans="1:22" x14ac:dyDescent="0.25">
      <c r="A30" s="181" t="s">
        <v>31</v>
      </c>
      <c r="B30" s="182"/>
      <c r="C30" s="182"/>
      <c r="D30" s="182"/>
      <c r="E30" s="184">
        <f>SUM(E27:E29)</f>
        <v>25877.421144651707</v>
      </c>
      <c r="F30" s="185">
        <f>SUM(F27:F29)</f>
        <v>161726.24533167316</v>
      </c>
      <c r="G30" s="183">
        <f>F30/E30</f>
        <v>6.2497048847194883</v>
      </c>
      <c r="H30" s="184">
        <f>SUM(H27:H29)</f>
        <v>12468.021579563207</v>
      </c>
      <c r="I30" s="185">
        <f>SUM(I27:I29)</f>
        <v>156804.34175514331</v>
      </c>
      <c r="J30" s="183">
        <f>I30/H30</f>
        <v>12.576521523845217</v>
      </c>
      <c r="K30" s="184">
        <f>SUM(K27:K29)</f>
        <v>20020</v>
      </c>
      <c r="L30" s="185">
        <f>SUM(L27:L29)</f>
        <v>221385</v>
      </c>
      <c r="M30" s="183">
        <f>L30/K30</f>
        <v>11.058191808191808</v>
      </c>
      <c r="N30" s="184">
        <f>SUM(N27:N29)</f>
        <v>12381</v>
      </c>
      <c r="O30" s="185">
        <f>SUM(O27:O29)</f>
        <v>177837</v>
      </c>
      <c r="P30" s="183">
        <f>O30/N30</f>
        <v>14.36370244729828</v>
      </c>
      <c r="Q30" s="184">
        <f>SUM(Q27:Q29)</f>
        <v>0</v>
      </c>
      <c r="R30" s="185">
        <f>SUM(R27:R29)</f>
        <v>0</v>
      </c>
      <c r="S30" s="183"/>
      <c r="T30" s="184">
        <f>E30+H30+K30+N30+Q30</f>
        <v>70746.44272421491</v>
      </c>
      <c r="U30" s="185">
        <f>F30+I30+L30+O30+R30</f>
        <v>717752.58708681643</v>
      </c>
      <c r="V30" s="8"/>
    </row>
    <row r="31" spans="1:22" x14ac:dyDescent="0.25">
      <c r="A31" s="187">
        <v>39913</v>
      </c>
      <c r="B31" s="126" t="s">
        <v>43</v>
      </c>
      <c r="C31" s="126">
        <v>-0.1</v>
      </c>
      <c r="D31" s="127">
        <v>0.66319444444444442</v>
      </c>
      <c r="E31" s="179" t="str">
        <f>effort!G32</f>
        <v>CLOSED</v>
      </c>
      <c r="F31" s="157" t="str">
        <f>harvest!G32</f>
        <v>CLOSED</v>
      </c>
      <c r="G31" s="186" t="str">
        <f>cpue!G32</f>
        <v>CLOSED</v>
      </c>
      <c r="H31" s="179">
        <f>effort!I32</f>
        <v>2957.6467833495003</v>
      </c>
      <c r="I31" s="157">
        <f>harvest!I32</f>
        <v>44364.701750242501</v>
      </c>
      <c r="J31" s="186">
        <f>cpue!I32</f>
        <v>14.999999999999998</v>
      </c>
      <c r="K31" s="179" t="str">
        <f>effort!K32</f>
        <v>CLOSED</v>
      </c>
      <c r="L31" s="157" t="str">
        <f>harvest!K32</f>
        <v>CLOSED</v>
      </c>
      <c r="M31" s="186" t="str">
        <f>cpue!K32</f>
        <v>CLOSED</v>
      </c>
      <c r="N31" s="179" t="str">
        <f>effort!M32</f>
        <v>CLOSED</v>
      </c>
      <c r="O31" s="157" t="str">
        <f>harvest!M32</f>
        <v>CLOSED</v>
      </c>
      <c r="P31" s="186" t="str">
        <f>cpue!M32</f>
        <v>CLOSED</v>
      </c>
      <c r="Q31" s="179" t="str">
        <f>effort!O32</f>
        <v>CLOSED</v>
      </c>
      <c r="R31" s="157" t="str">
        <f>harvest!O32</f>
        <v>CLOSED</v>
      </c>
      <c r="S31" s="186" t="str">
        <f>cpue!O32</f>
        <v>CLOSED</v>
      </c>
      <c r="T31" s="179">
        <f>H31</f>
        <v>2957.6467833495003</v>
      </c>
      <c r="U31" s="157">
        <f>I31</f>
        <v>44364.701750242501</v>
      </c>
    </row>
    <row r="32" spans="1:22" x14ac:dyDescent="0.25">
      <c r="A32" s="187">
        <v>39914</v>
      </c>
      <c r="B32" s="126" t="s">
        <v>15</v>
      </c>
      <c r="C32" s="126">
        <v>-0.4</v>
      </c>
      <c r="D32" s="127">
        <v>0.70138888888888884</v>
      </c>
      <c r="E32" s="179">
        <f>effort!G33</f>
        <v>8386.0971367196125</v>
      </c>
      <c r="F32" s="157">
        <f>harvest!G33</f>
        <v>125791.4570507942</v>
      </c>
      <c r="G32" s="186">
        <f>cpue!G33</f>
        <v>15.000000000000002</v>
      </c>
      <c r="H32" s="179">
        <f>effort!I33</f>
        <v>4396.2814923116548</v>
      </c>
      <c r="I32" s="157">
        <f>harvest!I33</f>
        <v>62187.400018517583</v>
      </c>
      <c r="J32" s="186">
        <f>cpue!I33</f>
        <v>14.145454545454545</v>
      </c>
      <c r="K32" s="179" t="str">
        <f>effort!K33</f>
        <v>CLOSED</v>
      </c>
      <c r="L32" s="157" t="str">
        <f>harvest!K33</f>
        <v>CLOSED</v>
      </c>
      <c r="M32" s="186" t="str">
        <f>cpue!K33</f>
        <v>CLOSED</v>
      </c>
      <c r="N32" s="179" t="str">
        <f>effort!M33</f>
        <v>CLOSED</v>
      </c>
      <c r="O32" s="157" t="str">
        <f>harvest!M33</f>
        <v>CLOSED</v>
      </c>
      <c r="P32" s="186" t="str">
        <f>cpue!M33</f>
        <v>CLOSED</v>
      </c>
      <c r="Q32" s="179" t="str">
        <f>effort!O33</f>
        <v>CLOSED</v>
      </c>
      <c r="R32" s="157" t="str">
        <f>harvest!O33</f>
        <v>CLOSED</v>
      </c>
      <c r="S32" s="186" t="str">
        <f>cpue!O33</f>
        <v>CLOSED</v>
      </c>
      <c r="T32" s="179">
        <f>E32+H32</f>
        <v>12782.378629031267</v>
      </c>
      <c r="U32" s="157">
        <f>F32+I32</f>
        <v>187978.85706931178</v>
      </c>
    </row>
    <row r="33" spans="1:21" x14ac:dyDescent="0.25">
      <c r="A33" s="187">
        <v>39915</v>
      </c>
      <c r="B33" s="126" t="s">
        <v>17</v>
      </c>
      <c r="C33" s="126">
        <v>-0.6</v>
      </c>
      <c r="D33" s="127">
        <v>0.73541666666666661</v>
      </c>
      <c r="E33" s="179">
        <f>effort!G34</f>
        <v>2548.1290017047054</v>
      </c>
      <c r="F33" s="157">
        <f>harvest!G34</f>
        <v>19535.655679736075</v>
      </c>
      <c r="G33" s="186">
        <f>cpue!G34</f>
        <v>7.666666666666667</v>
      </c>
      <c r="H33" s="179">
        <f>effort!I34</f>
        <v>1320.8995361792433</v>
      </c>
      <c r="I33" s="157">
        <f>harvest!I34</f>
        <v>12081.398196761373</v>
      </c>
      <c r="J33" s="186">
        <f>cpue!I34</f>
        <v>9.1463414634146343</v>
      </c>
      <c r="K33" s="179" t="str">
        <f>effort!K34</f>
        <v>CLOSED</v>
      </c>
      <c r="L33" s="157" t="str">
        <f>harvest!K34</f>
        <v>CLOSED</v>
      </c>
      <c r="M33" s="186" t="str">
        <f>cpue!K34</f>
        <v>CLOSED</v>
      </c>
      <c r="N33" s="179" t="str">
        <f>effort!M34</f>
        <v>CLOSED</v>
      </c>
      <c r="O33" s="157" t="str">
        <f>harvest!M34</f>
        <v>CLOSED</v>
      </c>
      <c r="P33" s="186" t="str">
        <f>cpue!M34</f>
        <v>CLOSED</v>
      </c>
      <c r="Q33" s="179" t="str">
        <f>effort!O34</f>
        <v>CLOSED</v>
      </c>
      <c r="R33" s="157" t="str">
        <f>harvest!O34</f>
        <v>CLOSED</v>
      </c>
      <c r="S33" s="186" t="str">
        <f>cpue!O34</f>
        <v>CLOSED</v>
      </c>
      <c r="T33" s="179">
        <f>E33+H33</f>
        <v>3869.028537883949</v>
      </c>
      <c r="U33" s="157">
        <f>F33+I33</f>
        <v>31617.053876497448</v>
      </c>
    </row>
    <row r="34" spans="1:21" x14ac:dyDescent="0.25">
      <c r="A34" s="181" t="s">
        <v>31</v>
      </c>
      <c r="B34" s="182"/>
      <c r="C34" s="182"/>
      <c r="D34" s="182"/>
      <c r="E34" s="184">
        <f>SUM(E31:E33)</f>
        <v>10934.226138424317</v>
      </c>
      <c r="F34" s="185">
        <f>SUM(F31:F33)</f>
        <v>145327.11273053027</v>
      </c>
      <c r="G34" s="183">
        <f>F34/E34</f>
        <v>13.291028637118776</v>
      </c>
      <c r="H34" s="184">
        <f>SUM(H31:H33)</f>
        <v>8674.8278118403996</v>
      </c>
      <c r="I34" s="185">
        <f>SUM(I31:I33)</f>
        <v>118633.49996552145</v>
      </c>
      <c r="J34" s="183">
        <f>I34/H34</f>
        <v>13.675602852150776</v>
      </c>
      <c r="K34" s="184">
        <f>SUM(K31:K33)</f>
        <v>0</v>
      </c>
      <c r="L34" s="185">
        <f>SUM(L31:L33)</f>
        <v>0</v>
      </c>
      <c r="M34" s="183" t="e">
        <f>L34/K34</f>
        <v>#DIV/0!</v>
      </c>
      <c r="N34" s="184">
        <f>SUM(N31:N33)</f>
        <v>0</v>
      </c>
      <c r="O34" s="185">
        <f>SUM(O31:O33)</f>
        <v>0</v>
      </c>
      <c r="P34" s="183" t="e">
        <f>O34/N34</f>
        <v>#DIV/0!</v>
      </c>
      <c r="Q34" s="184">
        <f>SUM(Q31:Q33)</f>
        <v>0</v>
      </c>
      <c r="R34" s="185">
        <f>SUM(R31:R33)</f>
        <v>0</v>
      </c>
      <c r="S34" s="183"/>
      <c r="T34" s="184">
        <f>E34+H34+K34+N34+Q34</f>
        <v>19609.053950264715</v>
      </c>
      <c r="U34" s="185">
        <f>F34+I34+L34+O34+R34</f>
        <v>263960.61269605171</v>
      </c>
    </row>
    <row r="35" spans="1:21" x14ac:dyDescent="0.25">
      <c r="A35" s="187">
        <v>39928</v>
      </c>
      <c r="B35" s="126" t="s">
        <v>43</v>
      </c>
      <c r="C35" s="126">
        <v>-0.1</v>
      </c>
      <c r="D35" s="127">
        <v>0.66319444444444442</v>
      </c>
      <c r="E35" s="179">
        <f>effort!G36</f>
        <v>9746.1201567185562</v>
      </c>
      <c r="F35" s="157">
        <f>harvest!G36</f>
        <v>101760.96045985553</v>
      </c>
      <c r="G35" s="186">
        <f>cpue!G36</f>
        <v>10.441176470588237</v>
      </c>
      <c r="H35" s="179">
        <f>effort!I36</f>
        <v>3771.3327947727198</v>
      </c>
      <c r="I35" s="157">
        <f>harvest!I36</f>
        <v>56511.052598693248</v>
      </c>
      <c r="J35" s="186">
        <f>cpue!I36</f>
        <v>14.984371752347275</v>
      </c>
      <c r="K35" s="179">
        <f>effort!K36</f>
        <v>9618</v>
      </c>
      <c r="L35" s="157">
        <f>harvest!K36</f>
        <v>144271</v>
      </c>
      <c r="M35" s="186">
        <f>cpue!K36</f>
        <v>15.000103971719692</v>
      </c>
      <c r="N35" s="179">
        <f>effort!M36</f>
        <v>5520</v>
      </c>
      <c r="O35" s="157">
        <f>harvest!M36</f>
        <v>82807</v>
      </c>
      <c r="P35" s="186">
        <f>cpue!M36</f>
        <v>15.001268115942029</v>
      </c>
      <c r="Q35" s="179" t="str">
        <f>effort!O36</f>
        <v>CLOSED</v>
      </c>
      <c r="R35" s="157" t="str">
        <f>harvest!O36</f>
        <v>CLOSED</v>
      </c>
      <c r="S35" s="186" t="str">
        <f>cpue!O36</f>
        <v>CLOSED</v>
      </c>
      <c r="T35" s="179">
        <f t="shared" ref="T35:U37" si="2">E35+H35+K35+N35</f>
        <v>28655.452951491276</v>
      </c>
      <c r="U35" s="157">
        <f t="shared" si="2"/>
        <v>385350.01305854879</v>
      </c>
    </row>
    <row r="36" spans="1:21" x14ac:dyDescent="0.25">
      <c r="A36" s="187">
        <v>39929</v>
      </c>
      <c r="B36" s="126" t="s">
        <v>15</v>
      </c>
      <c r="C36" s="126">
        <v>-0.4</v>
      </c>
      <c r="D36" s="127">
        <v>0.70138888888888884</v>
      </c>
      <c r="E36" s="179">
        <f>effort!G37</f>
        <v>8446.2511782263664</v>
      </c>
      <c r="F36" s="157">
        <f>harvest!G37</f>
        <v>87264.332385291433</v>
      </c>
      <c r="G36" s="186">
        <f>cpue!G37</f>
        <v>10.331723571073827</v>
      </c>
      <c r="H36" s="179">
        <f>effort!I37</f>
        <v>3268.3389440232072</v>
      </c>
      <c r="I36" s="157">
        <f>harvest!I37</f>
        <v>48460.620410127514</v>
      </c>
      <c r="J36" s="186">
        <f>cpue!I37</f>
        <v>14.827293386674958</v>
      </c>
      <c r="K36" s="179">
        <f>effort!K37</f>
        <v>8554</v>
      </c>
      <c r="L36" s="157">
        <f>harvest!K37</f>
        <v>126966</v>
      </c>
      <c r="M36" s="186">
        <f>cpue!K37</f>
        <v>14.842880523731587</v>
      </c>
      <c r="N36" s="179">
        <f>effort!M37</f>
        <v>4565</v>
      </c>
      <c r="O36" s="157">
        <f>harvest!M37</f>
        <v>67763</v>
      </c>
      <c r="P36" s="186">
        <f>cpue!M37</f>
        <v>14.844030668127054</v>
      </c>
      <c r="Q36" s="179" t="str">
        <f>effort!O37</f>
        <v>CLOSED</v>
      </c>
      <c r="R36" s="157" t="str">
        <f>harvest!O37</f>
        <v>CLOSED</v>
      </c>
      <c r="S36" s="186" t="str">
        <f>cpue!O37</f>
        <v>CLOSED</v>
      </c>
      <c r="T36" s="179">
        <f t="shared" si="2"/>
        <v>24833.590122249574</v>
      </c>
      <c r="U36" s="157">
        <f t="shared" si="2"/>
        <v>330453.95279541891</v>
      </c>
    </row>
    <row r="37" spans="1:21" x14ac:dyDescent="0.25">
      <c r="A37" s="187">
        <v>39930</v>
      </c>
      <c r="B37" s="126" t="s">
        <v>17</v>
      </c>
      <c r="C37" s="126">
        <v>-0.6</v>
      </c>
      <c r="D37" s="127">
        <v>0.73541666666666661</v>
      </c>
      <c r="E37" s="179">
        <f>effort!G38</f>
        <v>6551.2900776144925</v>
      </c>
      <c r="F37" s="157">
        <f>harvest!G38</f>
        <v>84864.403774636972</v>
      </c>
      <c r="G37" s="186">
        <f>cpue!G38</f>
        <v>12.953846153846156</v>
      </c>
      <c r="H37" s="179">
        <f>effort!I38</f>
        <v>1263.0900561169037</v>
      </c>
      <c r="I37" s="157">
        <f>harvest!I38</f>
        <v>18946.350841753556</v>
      </c>
      <c r="J37" s="186">
        <f>cpue!I38</f>
        <v>15</v>
      </c>
      <c r="K37" s="179">
        <f>effort!K38</f>
        <v>3369</v>
      </c>
      <c r="L37" s="157">
        <f>harvest!K38</f>
        <v>50615</v>
      </c>
      <c r="M37" s="186">
        <f>cpue!K38</f>
        <v>15.023745918670228</v>
      </c>
      <c r="N37" s="179">
        <f>effort!M38</f>
        <v>1701</v>
      </c>
      <c r="O37" s="157">
        <f>harvest!M38</f>
        <v>25517</v>
      </c>
      <c r="P37" s="186">
        <f>cpue!M38</f>
        <v>15.001175778953558</v>
      </c>
      <c r="Q37" s="179" t="str">
        <f>effort!O38</f>
        <v>CLOSED</v>
      </c>
      <c r="R37" s="157" t="str">
        <f>harvest!O38</f>
        <v>CLOSED</v>
      </c>
      <c r="S37" s="186" t="str">
        <f>cpue!O38</f>
        <v>CLOSED</v>
      </c>
      <c r="T37" s="179">
        <f t="shared" si="2"/>
        <v>12884.380133731396</v>
      </c>
      <c r="U37" s="157">
        <f t="shared" si="2"/>
        <v>179942.75461639054</v>
      </c>
    </row>
    <row r="38" spans="1:21" x14ac:dyDescent="0.25">
      <c r="A38" s="181" t="s">
        <v>31</v>
      </c>
      <c r="B38" s="182"/>
      <c r="C38" s="182"/>
      <c r="D38" s="182"/>
      <c r="E38" s="184">
        <f>SUM(E35:E37)</f>
        <v>24743.661412559417</v>
      </c>
      <c r="F38" s="185">
        <f>SUM(F35:F37)</f>
        <v>273889.69661978394</v>
      </c>
      <c r="G38" s="183">
        <f>F38/E38</f>
        <v>11.069085211486231</v>
      </c>
      <c r="H38" s="184">
        <f>SUM(H35:H37)</f>
        <v>8302.7617949128307</v>
      </c>
      <c r="I38" s="185">
        <f>SUM(I35:I37)</f>
        <v>123918.02385057433</v>
      </c>
      <c r="J38" s="183">
        <f>I38/H38</f>
        <v>14.924916179878833</v>
      </c>
      <c r="K38" s="184">
        <f>SUM(K35:K37)</f>
        <v>21541</v>
      </c>
      <c r="L38" s="185">
        <f>SUM(L35:L37)</f>
        <v>321852</v>
      </c>
      <c r="M38" s="183">
        <f>L38/K38</f>
        <v>14.941367624529967</v>
      </c>
      <c r="N38" s="184">
        <f>SUM(N35:N37)</f>
        <v>11786</v>
      </c>
      <c r="O38" s="185">
        <f>SUM(O35:O37)</f>
        <v>176087</v>
      </c>
      <c r="P38" s="183">
        <f>O38/N38</f>
        <v>14.940352961140336</v>
      </c>
      <c r="Q38" s="184">
        <f>SUM(Q35:Q37)</f>
        <v>0</v>
      </c>
      <c r="R38" s="185">
        <f>SUM(R35:R37)</f>
        <v>0</v>
      </c>
      <c r="S38" s="183"/>
      <c r="T38" s="184">
        <f>E38+H38+K38+N38+Q38</f>
        <v>66373.423207472253</v>
      </c>
      <c r="U38" s="185">
        <f>F38+I38+L38+O38+R38</f>
        <v>895746.72047035827</v>
      </c>
    </row>
    <row r="39" spans="1:21" x14ac:dyDescent="0.25">
      <c r="A39" s="187">
        <v>39942</v>
      </c>
      <c r="B39" s="126" t="s">
        <v>15</v>
      </c>
      <c r="C39" s="126">
        <v>-1.2</v>
      </c>
      <c r="D39" s="127">
        <v>0.30763888888888891</v>
      </c>
      <c r="E39" s="179">
        <f>effort!G40</f>
        <v>4582.4235261529648</v>
      </c>
      <c r="F39" s="157">
        <f>harvest!G40</f>
        <v>63221.911021839216</v>
      </c>
      <c r="G39" s="186">
        <f>cpue!G40</f>
        <v>13.796610169491528</v>
      </c>
      <c r="H39" s="179">
        <f>effort!I40</f>
        <v>1519.6941503576159</v>
      </c>
      <c r="I39" s="157">
        <f>harvest!I40</f>
        <v>22742.240735481118</v>
      </c>
      <c r="J39" s="186">
        <f>cpue!I40</f>
        <v>15</v>
      </c>
      <c r="K39" s="179">
        <f>effort!K40</f>
        <v>4245</v>
      </c>
      <c r="L39" s="157">
        <f>harvest!K40</f>
        <v>63672</v>
      </c>
      <c r="M39" s="186">
        <f>cpue!K40</f>
        <v>14.999293286219082</v>
      </c>
      <c r="N39" s="179">
        <f>effort!M40</f>
        <v>1855</v>
      </c>
      <c r="O39" s="157">
        <f>harvest!M40</f>
        <v>27713</v>
      </c>
      <c r="P39" s="186">
        <f>cpue!M40</f>
        <v>14.939622641509434</v>
      </c>
      <c r="Q39" s="179" t="str">
        <f>effort!O40</f>
        <v>CLOSED</v>
      </c>
      <c r="R39" s="157" t="str">
        <f>harvest!O40</f>
        <v>CLOSED</v>
      </c>
      <c r="S39" s="186" t="str">
        <f>cpue!O40</f>
        <v>CLOSED</v>
      </c>
      <c r="T39" s="179">
        <f t="shared" ref="T39" si="3">E39+H39+K39+N39</f>
        <v>12202.117676510581</v>
      </c>
      <c r="U39" s="157">
        <f t="shared" ref="U39" si="4">F39+I39+L39+O39</f>
        <v>177349.15175732033</v>
      </c>
    </row>
    <row r="40" spans="1:21" x14ac:dyDescent="0.25">
      <c r="A40" s="187">
        <v>39943</v>
      </c>
      <c r="B40" s="126" t="s">
        <v>17</v>
      </c>
      <c r="C40" s="126">
        <v>-1.2</v>
      </c>
      <c r="D40" s="127">
        <v>0.3347222222222222</v>
      </c>
      <c r="E40" s="179">
        <f>effort!G41</f>
        <v>6484.4223906853767</v>
      </c>
      <c r="F40" s="157">
        <f>harvest!G41</f>
        <v>91926.223303245642</v>
      </c>
      <c r="G40" s="186">
        <f>cpue!G41</f>
        <v>14.176470588235295</v>
      </c>
      <c r="H40" s="179">
        <f>effort!I41</f>
        <v>3060.339713690877</v>
      </c>
      <c r="I40" s="157">
        <f>harvest!I41</f>
        <v>45905.095705363157</v>
      </c>
      <c r="J40" s="186">
        <f>cpue!I41</f>
        <v>15</v>
      </c>
      <c r="K40" s="179" t="str">
        <f>effort!K41</f>
        <v>CLOSED</v>
      </c>
      <c r="L40" s="157" t="str">
        <f>harvest!K41</f>
        <v>CLOSED</v>
      </c>
      <c r="M40" s="186" t="str">
        <f>cpue!K41</f>
        <v>CLOSED</v>
      </c>
      <c r="N40" s="179" t="str">
        <f>effort!M41</f>
        <v>CLOSED</v>
      </c>
      <c r="O40" s="157" t="str">
        <f>harvest!M41</f>
        <v>CLOSED</v>
      </c>
      <c r="P40" s="186" t="str">
        <f>cpue!M41</f>
        <v>CLOSED</v>
      </c>
      <c r="Q40" s="179" t="str">
        <f>effort!O41</f>
        <v>CLOSED</v>
      </c>
      <c r="R40" s="157" t="str">
        <f>harvest!O41</f>
        <v>CLOSED</v>
      </c>
      <c r="S40" s="186" t="str">
        <f>cpue!O41</f>
        <v>CLOSED</v>
      </c>
      <c r="T40" s="179">
        <f>E40+H40</f>
        <v>9544.7621043762538</v>
      </c>
      <c r="U40" s="157">
        <f>F40+I40</f>
        <v>137831.31900860881</v>
      </c>
    </row>
    <row r="41" spans="1:21" ht="16.5" thickBot="1" x14ac:dyDescent="0.3">
      <c r="A41" s="181" t="s">
        <v>31</v>
      </c>
      <c r="B41" s="182"/>
      <c r="C41" s="182"/>
      <c r="D41" s="182"/>
      <c r="E41" s="184">
        <f>SUM(E39:E40)</f>
        <v>11066.845916838342</v>
      </c>
      <c r="F41" s="185">
        <f>SUM(F39:F40)</f>
        <v>155148.13432508486</v>
      </c>
      <c r="G41" s="183">
        <f>F41/E41</f>
        <v>14.019182655197636</v>
      </c>
      <c r="H41" s="184">
        <f>SUM(H39:H40)</f>
        <v>4580.0338640484933</v>
      </c>
      <c r="I41" s="185">
        <f>SUM(I39:I40)</f>
        <v>68647.336440844272</v>
      </c>
      <c r="J41" s="183">
        <f>I41/H41</f>
        <v>14.988390583680941</v>
      </c>
      <c r="K41" s="184">
        <f>SUM(K39:K40)</f>
        <v>4245</v>
      </c>
      <c r="L41" s="185">
        <f>SUM(L39:L40)</f>
        <v>63672</v>
      </c>
      <c r="M41" s="183">
        <f>L41/K41</f>
        <v>14.999293286219082</v>
      </c>
      <c r="N41" s="184">
        <f>SUM(N39:N40)</f>
        <v>1855</v>
      </c>
      <c r="O41" s="185">
        <f>SUM(O39:O40)</f>
        <v>27713</v>
      </c>
      <c r="P41" s="183">
        <f>O41/N41</f>
        <v>14.939622641509434</v>
      </c>
      <c r="Q41" s="184">
        <f>SUM(Q39:Q40)</f>
        <v>0</v>
      </c>
      <c r="R41" s="185">
        <f>SUM(R39:R40)</f>
        <v>0</v>
      </c>
      <c r="S41" s="183"/>
      <c r="T41" s="184">
        <f>E41+H41+K41+N41+Q41</f>
        <v>21746.879780886833</v>
      </c>
      <c r="U41" s="185">
        <f>F41+I41+L41+O41+R41</f>
        <v>315180.47076592915</v>
      </c>
    </row>
    <row r="42" spans="1:21" ht="16.5" thickTop="1" x14ac:dyDescent="0.25">
      <c r="A42" s="188" t="s">
        <v>32</v>
      </c>
      <c r="B42" s="189"/>
      <c r="C42" s="189"/>
      <c r="D42" s="189"/>
      <c r="E42" s="190">
        <f>E7+E12+E17+E22+E26+E30+E34+E38+E41</f>
        <v>141361.24343803938</v>
      </c>
      <c r="F42" s="190">
        <f>F7+F12+F17+F22+F26+F30+F34+F38+F41</f>
        <v>1389027.4773330302</v>
      </c>
      <c r="G42" s="191">
        <f>F42/E42</f>
        <v>9.8260841766142253</v>
      </c>
      <c r="H42" s="190">
        <f>H7+H12+H17+H22+H26+H30+H34+H38+H41</f>
        <v>57758.805855146064</v>
      </c>
      <c r="I42" s="190">
        <f>I7+I12+I17+I22+I26+I30+I34+I38+I41</f>
        <v>794595.58483903878</v>
      </c>
      <c r="J42" s="191">
        <f>I42/H42</f>
        <v>13.757133186441106</v>
      </c>
      <c r="K42" s="190">
        <f>K7+K12+K17+K22+K26+K30+K34+K38+K41</f>
        <v>92574.5</v>
      </c>
      <c r="L42" s="190">
        <f>L7+L12+L17+L22+L26+L30+L34+L38+L41</f>
        <v>1273550</v>
      </c>
      <c r="M42" s="191">
        <f>L42/K42</f>
        <v>13.757028123295292</v>
      </c>
      <c r="N42" s="190">
        <f>N7+N12+N17+N22+N26+N30+N34+N38+N41</f>
        <v>54895.142468749909</v>
      </c>
      <c r="O42" s="190">
        <f>O7+O12+O17+O22+O26+O30+O34+O38+O41</f>
        <v>799144.50275488873</v>
      </c>
      <c r="P42" s="191">
        <f>O42/N42</f>
        <v>14.557654226142445</v>
      </c>
      <c r="Q42" s="190">
        <f>Q7+Q12+Q17+Q22+Q26+Q30+Q34+Q41</f>
        <v>0</v>
      </c>
      <c r="R42" s="190">
        <f>R7+R12+R17+R22+R26+R30+R34+R41</f>
        <v>0</v>
      </c>
      <c r="S42" s="191" t="e">
        <f>R42/Q42</f>
        <v>#DIV/0!</v>
      </c>
      <c r="T42" s="192">
        <f>E42+H42+K42+N42+Q42</f>
        <v>346589.69176193536</v>
      </c>
      <c r="U42" s="190">
        <f>F42+I42+L42+O42+R42</f>
        <v>4256317.5649269577</v>
      </c>
    </row>
    <row r="43" spans="1:21" s="35" customFormat="1" x14ac:dyDescent="0.25">
      <c r="A43" s="119" t="s">
        <v>21</v>
      </c>
      <c r="B43" s="193"/>
      <c r="C43" s="193"/>
      <c r="D43" s="193"/>
      <c r="E43" s="193"/>
      <c r="F43" s="194">
        <f>harvest!G49</f>
        <v>1.3559543062778188</v>
      </c>
      <c r="G43" s="193"/>
      <c r="H43" s="193"/>
      <c r="I43" s="194">
        <f>harvest!I49</f>
        <v>1.19736977984889</v>
      </c>
      <c r="J43" s="193"/>
      <c r="K43" s="193"/>
      <c r="L43" s="194">
        <f>harvest!K49</f>
        <v>1.3449906253389599</v>
      </c>
      <c r="M43" s="193"/>
      <c r="N43" s="193"/>
      <c r="O43" s="194">
        <f>harvest!M49</f>
        <v>1.1767593389256716</v>
      </c>
      <c r="P43" s="193"/>
      <c r="Q43" s="193"/>
      <c r="R43" s="194">
        <f>harvest!O49</f>
        <v>0</v>
      </c>
      <c r="S43" s="193"/>
      <c r="T43" s="193"/>
      <c r="U43" s="193"/>
    </row>
    <row r="44" spans="1:21" x14ac:dyDescent="0.25">
      <c r="A44" s="134"/>
      <c r="B44" s="195"/>
      <c r="C44" s="195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</row>
    <row r="45" spans="1:21" x14ac:dyDescent="0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</row>
  </sheetData>
  <phoneticPr fontId="1" type="noConversion"/>
  <pageMargins left="0.2" right="0.21" top="0.49" bottom="0.5" header="0.5" footer="0.5"/>
  <pageSetup scale="7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4"/>
  <sheetViews>
    <sheetView topLeftCell="A8" workbookViewId="0">
      <selection activeCell="E50" sqref="E50"/>
    </sheetView>
  </sheetViews>
  <sheetFormatPr defaultColWidth="8" defaultRowHeight="12.75" x14ac:dyDescent="0.2"/>
  <cols>
    <col min="1" max="16384" width="8" style="36"/>
  </cols>
  <sheetData>
    <row r="1" spans="1:18" ht="21" thickBot="1" x14ac:dyDescent="0.35">
      <c r="A1" s="218" t="s">
        <v>76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20"/>
    </row>
    <row r="2" spans="1:18" x14ac:dyDescent="0.2">
      <c r="A2" s="82"/>
      <c r="B2" s="83"/>
      <c r="C2" s="83"/>
      <c r="D2" s="84"/>
      <c r="E2" s="221" t="s">
        <v>14</v>
      </c>
      <c r="F2" s="222"/>
      <c r="G2" s="222"/>
      <c r="H2" s="223"/>
      <c r="I2" s="221" t="s">
        <v>16</v>
      </c>
      <c r="J2" s="222"/>
      <c r="K2" s="222"/>
      <c r="L2" s="223"/>
      <c r="M2" s="224" t="s">
        <v>18</v>
      </c>
      <c r="N2" s="225"/>
      <c r="O2" s="225"/>
      <c r="P2" s="226"/>
      <c r="Q2" s="221" t="s">
        <v>27</v>
      </c>
      <c r="R2" s="223"/>
    </row>
    <row r="3" spans="1:18" ht="13.5" thickBot="1" x14ac:dyDescent="0.25">
      <c r="A3" s="85" t="s">
        <v>3</v>
      </c>
      <c r="B3" s="86" t="s">
        <v>4</v>
      </c>
      <c r="C3" s="86" t="s">
        <v>5</v>
      </c>
      <c r="D3" s="87" t="s">
        <v>6</v>
      </c>
      <c r="E3" s="88" t="s">
        <v>28</v>
      </c>
      <c r="F3" s="89" t="s">
        <v>29</v>
      </c>
      <c r="G3" s="89" t="s">
        <v>30</v>
      </c>
      <c r="H3" s="90" t="s">
        <v>51</v>
      </c>
      <c r="I3" s="88" t="s">
        <v>28</v>
      </c>
      <c r="J3" s="89" t="s">
        <v>29</v>
      </c>
      <c r="K3" s="89" t="s">
        <v>30</v>
      </c>
      <c r="L3" s="90" t="s">
        <v>51</v>
      </c>
      <c r="M3" s="88" t="s">
        <v>28</v>
      </c>
      <c r="N3" s="89" t="s">
        <v>29</v>
      </c>
      <c r="O3" s="89" t="s">
        <v>30</v>
      </c>
      <c r="P3" s="90" t="s">
        <v>51</v>
      </c>
      <c r="Q3" s="88" t="s">
        <v>28</v>
      </c>
      <c r="R3" s="90" t="s">
        <v>29</v>
      </c>
    </row>
    <row r="4" spans="1:18" x14ac:dyDescent="0.2">
      <c r="A4" s="37">
        <v>39737</v>
      </c>
      <c r="B4" s="51" t="s">
        <v>45</v>
      </c>
      <c r="C4" s="38">
        <v>-1.5</v>
      </c>
      <c r="D4" s="39">
        <v>0.85416666666666663</v>
      </c>
      <c r="E4" s="40">
        <f>table!K4</f>
        <v>2036</v>
      </c>
      <c r="F4" s="41">
        <f>table!L4</f>
        <v>29912</v>
      </c>
      <c r="G4" s="45">
        <f>table!M4</f>
        <v>14.69155206286837</v>
      </c>
      <c r="H4" s="42"/>
      <c r="I4" s="40">
        <f>table!N4</f>
        <v>1932</v>
      </c>
      <c r="J4" s="41">
        <f>table!O4</f>
        <v>28766</v>
      </c>
      <c r="K4" s="45">
        <f>table!P4</f>
        <v>14.889233954451345</v>
      </c>
      <c r="L4" s="42"/>
      <c r="M4" s="40" t="s">
        <v>44</v>
      </c>
      <c r="N4" s="41" t="s">
        <v>44</v>
      </c>
      <c r="O4" s="45" t="s">
        <v>44</v>
      </c>
      <c r="P4" s="42"/>
      <c r="Q4" s="40">
        <f t="shared" ref="Q4:R6" si="0">E4+I4</f>
        <v>3968</v>
      </c>
      <c r="R4" s="43">
        <f t="shared" si="0"/>
        <v>58678</v>
      </c>
    </row>
    <row r="5" spans="1:18" x14ac:dyDescent="0.2">
      <c r="A5" s="37">
        <v>39738</v>
      </c>
      <c r="B5" s="51" t="s">
        <v>43</v>
      </c>
      <c r="C5" s="38">
        <v>-1.5</v>
      </c>
      <c r="D5" s="39">
        <v>0.88680555555555562</v>
      </c>
      <c r="E5" s="40">
        <f>table!K5</f>
        <v>1955</v>
      </c>
      <c r="F5" s="41">
        <f>table!L5</f>
        <v>28798</v>
      </c>
      <c r="G5" s="45">
        <f>table!M5</f>
        <v>14.730434782608695</v>
      </c>
      <c r="H5" s="42"/>
      <c r="I5" s="40">
        <f>table!N5</f>
        <v>1002</v>
      </c>
      <c r="J5" s="41">
        <f>table!O5</f>
        <v>15026</v>
      </c>
      <c r="K5" s="45">
        <f>table!P5</f>
        <v>14.996007984031936</v>
      </c>
      <c r="L5" s="42"/>
      <c r="M5" s="40" t="s">
        <v>44</v>
      </c>
      <c r="N5" s="41" t="s">
        <v>44</v>
      </c>
      <c r="O5" s="45" t="s">
        <v>44</v>
      </c>
      <c r="P5" s="42"/>
      <c r="Q5" s="40">
        <f t="shared" si="0"/>
        <v>2957</v>
      </c>
      <c r="R5" s="43">
        <f t="shared" si="0"/>
        <v>43824</v>
      </c>
    </row>
    <row r="6" spans="1:18" x14ac:dyDescent="0.2">
      <c r="A6" s="37">
        <v>39739</v>
      </c>
      <c r="B6" s="51" t="s">
        <v>15</v>
      </c>
      <c r="C6" s="38">
        <v>-1.2</v>
      </c>
      <c r="D6" s="39">
        <v>0.92222222222222217</v>
      </c>
      <c r="E6" s="40">
        <f>table!K6</f>
        <v>2624</v>
      </c>
      <c r="F6" s="41">
        <f>table!L6</f>
        <v>38310</v>
      </c>
      <c r="G6" s="45">
        <f>table!M6</f>
        <v>14.59984756097561</v>
      </c>
      <c r="H6" s="42"/>
      <c r="I6" s="40">
        <f>table!N6</f>
        <v>1929.0443497870208</v>
      </c>
      <c r="J6" s="41">
        <f>table!O6</f>
        <v>28575.566683699541</v>
      </c>
      <c r="K6" s="45">
        <f>table!P6</f>
        <v>14.813328001947944</v>
      </c>
      <c r="L6" s="42"/>
      <c r="M6" s="40" t="s">
        <v>44</v>
      </c>
      <c r="N6" s="41" t="s">
        <v>44</v>
      </c>
      <c r="O6" s="45" t="s">
        <v>44</v>
      </c>
      <c r="P6" s="42"/>
      <c r="Q6" s="40">
        <f t="shared" si="0"/>
        <v>4553.044349787021</v>
      </c>
      <c r="R6" s="43">
        <f t="shared" si="0"/>
        <v>66885.566683699537</v>
      </c>
    </row>
    <row r="7" spans="1:18" ht="13.5" x14ac:dyDescent="0.25">
      <c r="A7" s="215" t="s">
        <v>31</v>
      </c>
      <c r="B7" s="216"/>
      <c r="C7" s="216"/>
      <c r="D7" s="217"/>
      <c r="E7" s="53">
        <f>SUM(E4:E6)</f>
        <v>6615</v>
      </c>
      <c r="F7" s="54">
        <f>SUM(F4:F6)</f>
        <v>97020</v>
      </c>
      <c r="G7" s="55">
        <f>F7/E7</f>
        <v>14.666666666666666</v>
      </c>
      <c r="H7" s="56"/>
      <c r="I7" s="53">
        <f>SUM(I4:I6)</f>
        <v>4863.044349787021</v>
      </c>
      <c r="J7" s="54">
        <f>SUM(J4:J6)</f>
        <v>72367.566683699537</v>
      </c>
      <c r="K7" s="55">
        <f>J7/I7</f>
        <v>14.881124143329867</v>
      </c>
      <c r="L7" s="56"/>
      <c r="M7" s="53">
        <v>0</v>
      </c>
      <c r="N7" s="54">
        <v>0</v>
      </c>
      <c r="O7" s="55">
        <v>0</v>
      </c>
      <c r="P7" s="56"/>
      <c r="Q7" s="53">
        <f>SUM(Q4:Q6)</f>
        <v>11478.044349787022</v>
      </c>
      <c r="R7" s="57">
        <f>SUM(R4:R6)</f>
        <v>169387.56668369955</v>
      </c>
    </row>
    <row r="8" spans="1:18" x14ac:dyDescent="0.2">
      <c r="A8" s="37">
        <v>39765</v>
      </c>
      <c r="B8" s="44" t="s">
        <v>45</v>
      </c>
      <c r="C8" s="38">
        <v>-1.6</v>
      </c>
      <c r="D8" s="39">
        <v>0.76875000000000004</v>
      </c>
      <c r="E8" s="40">
        <f>table!K8</f>
        <v>1626</v>
      </c>
      <c r="F8" s="41">
        <f>table!L8</f>
        <v>24384</v>
      </c>
      <c r="G8" s="45">
        <f>table!M8</f>
        <v>14.99630996309963</v>
      </c>
      <c r="H8" s="42"/>
      <c r="I8" s="40">
        <f>table!N8</f>
        <v>979</v>
      </c>
      <c r="J8" s="41">
        <f>table!O8</f>
        <v>14366</v>
      </c>
      <c r="K8" s="45">
        <f>table!P8</f>
        <v>14.674157303370787</v>
      </c>
      <c r="L8" s="42"/>
      <c r="M8" s="40" t="s">
        <v>44</v>
      </c>
      <c r="N8" s="41" t="s">
        <v>44</v>
      </c>
      <c r="O8" s="45" t="s">
        <v>44</v>
      </c>
      <c r="P8" s="42"/>
      <c r="Q8" s="40">
        <f t="shared" ref="Q8:R11" si="1">E8+I8</f>
        <v>2605</v>
      </c>
      <c r="R8" s="43">
        <f t="shared" si="1"/>
        <v>38750</v>
      </c>
    </row>
    <row r="9" spans="1:18" x14ac:dyDescent="0.2">
      <c r="A9" s="37">
        <v>39766</v>
      </c>
      <c r="B9" s="44" t="s">
        <v>43</v>
      </c>
      <c r="C9" s="38">
        <v>-1.8</v>
      </c>
      <c r="D9" s="39">
        <v>0.80208333333333337</v>
      </c>
      <c r="E9" s="40">
        <f>table!K9</f>
        <v>4567</v>
      </c>
      <c r="F9" s="41">
        <f>table!L9</f>
        <v>66392</v>
      </c>
      <c r="G9" s="45">
        <f>table!M9</f>
        <v>14.537333041383841</v>
      </c>
      <c r="H9" s="42"/>
      <c r="I9" s="40">
        <f>table!N9</f>
        <v>1198</v>
      </c>
      <c r="J9" s="41">
        <f>table!O9</f>
        <v>17157</v>
      </c>
      <c r="K9" s="45">
        <f>table!P9</f>
        <v>14.321368948247079</v>
      </c>
      <c r="L9" s="42"/>
      <c r="M9" s="40" t="s">
        <v>44</v>
      </c>
      <c r="N9" s="41" t="s">
        <v>44</v>
      </c>
      <c r="O9" s="45" t="s">
        <v>44</v>
      </c>
      <c r="P9" s="42"/>
      <c r="Q9" s="40">
        <f t="shared" si="1"/>
        <v>5765</v>
      </c>
      <c r="R9" s="43">
        <f t="shared" si="1"/>
        <v>83549</v>
      </c>
    </row>
    <row r="10" spans="1:18" x14ac:dyDescent="0.2">
      <c r="A10" s="37">
        <v>39767</v>
      </c>
      <c r="B10" s="44" t="s">
        <v>15</v>
      </c>
      <c r="C10" s="38">
        <v>-1.6</v>
      </c>
      <c r="D10" s="39">
        <v>0.83611111111111114</v>
      </c>
      <c r="E10" s="40">
        <f>table!K10</f>
        <v>3221</v>
      </c>
      <c r="F10" s="41">
        <f>table!L10</f>
        <v>48480</v>
      </c>
      <c r="G10" s="45">
        <f>table!M10</f>
        <v>15.051226327227569</v>
      </c>
      <c r="H10" s="42"/>
      <c r="I10" s="40">
        <f>table!N10</f>
        <v>2270</v>
      </c>
      <c r="J10" s="41">
        <f>table!O10</f>
        <v>32934</v>
      </c>
      <c r="K10" s="45">
        <f>table!P10</f>
        <v>14.508370044052864</v>
      </c>
      <c r="L10" s="42"/>
      <c r="M10" s="40" t="s">
        <v>44</v>
      </c>
      <c r="N10" s="41" t="s">
        <v>44</v>
      </c>
      <c r="O10" s="45" t="s">
        <v>44</v>
      </c>
      <c r="P10" s="42"/>
      <c r="Q10" s="40">
        <f t="shared" si="1"/>
        <v>5491</v>
      </c>
      <c r="R10" s="43">
        <f t="shared" si="1"/>
        <v>81414</v>
      </c>
    </row>
    <row r="11" spans="1:18" x14ac:dyDescent="0.2">
      <c r="A11" s="37">
        <v>39768</v>
      </c>
      <c r="B11" s="44" t="s">
        <v>17</v>
      </c>
      <c r="C11" s="38">
        <v>-1.2</v>
      </c>
      <c r="D11" s="39">
        <v>0.87083333333333324</v>
      </c>
      <c r="E11" s="40">
        <f>table!K11</f>
        <v>1345</v>
      </c>
      <c r="F11" s="41">
        <f>table!L11</f>
        <v>20170</v>
      </c>
      <c r="G11" s="45">
        <f>table!M11</f>
        <v>14.996282527881041</v>
      </c>
      <c r="H11" s="42"/>
      <c r="I11" s="40">
        <f>table!N11</f>
        <v>337</v>
      </c>
      <c r="J11" s="41">
        <f>table!O11</f>
        <v>5058</v>
      </c>
      <c r="K11" s="45">
        <f>table!P11</f>
        <v>15.008902077151335</v>
      </c>
      <c r="L11" s="42"/>
      <c r="M11" s="40" t="s">
        <v>44</v>
      </c>
      <c r="N11" s="41" t="s">
        <v>44</v>
      </c>
      <c r="O11" s="45" t="s">
        <v>44</v>
      </c>
      <c r="P11" s="42"/>
      <c r="Q11" s="40">
        <f t="shared" si="1"/>
        <v>1682</v>
      </c>
      <c r="R11" s="43">
        <f t="shared" si="1"/>
        <v>25228</v>
      </c>
    </row>
    <row r="12" spans="1:18" ht="13.5" x14ac:dyDescent="0.25">
      <c r="A12" s="215" t="s">
        <v>31</v>
      </c>
      <c r="B12" s="216"/>
      <c r="C12" s="216"/>
      <c r="D12" s="217"/>
      <c r="E12" s="53">
        <f>SUM(E8:E11)</f>
        <v>10759</v>
      </c>
      <c r="F12" s="54">
        <f>SUM(F8:F11)</f>
        <v>159426</v>
      </c>
      <c r="G12" s="55">
        <f>F12/E12</f>
        <v>14.817919881029836</v>
      </c>
      <c r="H12" s="56"/>
      <c r="I12" s="53">
        <f>SUM(I8:I11)</f>
        <v>4784</v>
      </c>
      <c r="J12" s="54">
        <f>SUM(J8:J11)</f>
        <v>69515</v>
      </c>
      <c r="K12" s="55">
        <f>J12/I12</f>
        <v>14.530727424749164</v>
      </c>
      <c r="L12" s="56"/>
      <c r="M12" s="53">
        <v>0</v>
      </c>
      <c r="N12" s="54">
        <v>0</v>
      </c>
      <c r="O12" s="55">
        <v>0</v>
      </c>
      <c r="P12" s="56"/>
      <c r="Q12" s="53">
        <f>SUM(Q8:Q11)</f>
        <v>15543</v>
      </c>
      <c r="R12" s="57">
        <f>SUM(R8:R11)</f>
        <v>228941</v>
      </c>
    </row>
    <row r="13" spans="1:18" x14ac:dyDescent="0.2">
      <c r="A13" s="37">
        <v>39793</v>
      </c>
      <c r="B13" s="52" t="s">
        <v>45</v>
      </c>
      <c r="C13" s="38">
        <v>-1.1000000000000001</v>
      </c>
      <c r="D13" s="39">
        <v>0.72430555555555554</v>
      </c>
      <c r="E13" s="40">
        <f>table!K13</f>
        <v>1543</v>
      </c>
      <c r="F13" s="41">
        <f>table!L13</f>
        <v>23147</v>
      </c>
      <c r="G13" s="45">
        <f>table!M13</f>
        <v>15.001296176279974</v>
      </c>
      <c r="H13" s="42"/>
      <c r="I13" s="40">
        <f>table!N13</f>
        <v>1266</v>
      </c>
      <c r="J13" s="41">
        <f>table!O13</f>
        <v>18702</v>
      </c>
      <c r="K13" s="45">
        <f>table!P13</f>
        <v>14.772511848341232</v>
      </c>
      <c r="L13" s="42"/>
      <c r="M13" s="40" t="s">
        <v>44</v>
      </c>
      <c r="N13" s="41" t="s">
        <v>44</v>
      </c>
      <c r="O13" s="45" t="s">
        <v>44</v>
      </c>
      <c r="P13" s="42"/>
      <c r="Q13" s="40">
        <f t="shared" ref="Q13:R16" si="2">E13+I13</f>
        <v>2809</v>
      </c>
      <c r="R13" s="43">
        <f t="shared" si="2"/>
        <v>41849</v>
      </c>
    </row>
    <row r="14" spans="1:18" x14ac:dyDescent="0.2">
      <c r="A14" s="37">
        <v>39794</v>
      </c>
      <c r="B14" s="52" t="s">
        <v>43</v>
      </c>
      <c r="C14" s="38">
        <v>-1.5</v>
      </c>
      <c r="D14" s="39">
        <v>0.75902777777777775</v>
      </c>
      <c r="E14" s="40">
        <f>table!K14</f>
        <v>458</v>
      </c>
      <c r="F14" s="41">
        <f>table!L14</f>
        <v>229</v>
      </c>
      <c r="G14" s="45">
        <f>table!M14</f>
        <v>0.5</v>
      </c>
      <c r="H14" s="42"/>
      <c r="I14" s="40">
        <f>table!N14</f>
        <v>229.93136756481951</v>
      </c>
      <c r="J14" s="41">
        <f>table!O14</f>
        <v>118.35389827984213</v>
      </c>
      <c r="K14" s="45">
        <f>table!P14</f>
        <v>0.5147357645601669</v>
      </c>
      <c r="L14" s="42"/>
      <c r="M14" s="40" t="s">
        <v>44</v>
      </c>
      <c r="N14" s="41" t="s">
        <v>44</v>
      </c>
      <c r="O14" s="45" t="s">
        <v>44</v>
      </c>
      <c r="P14" s="42"/>
      <c r="Q14" s="40">
        <f t="shared" si="2"/>
        <v>687.93136756481954</v>
      </c>
      <c r="R14" s="43">
        <f t="shared" si="2"/>
        <v>347.35389827984216</v>
      </c>
    </row>
    <row r="15" spans="1:18" x14ac:dyDescent="0.2">
      <c r="A15" s="37">
        <v>39795</v>
      </c>
      <c r="B15" s="52" t="s">
        <v>15</v>
      </c>
      <c r="C15" s="38">
        <v>-1.6</v>
      </c>
      <c r="D15" s="39">
        <v>0.79305555555555562</v>
      </c>
      <c r="E15" s="40">
        <f>table!K15</f>
        <v>2391</v>
      </c>
      <c r="F15" s="41">
        <f>table!L15</f>
        <v>30569</v>
      </c>
      <c r="G15" s="45">
        <f>table!M15</f>
        <v>12.785027185278127</v>
      </c>
      <c r="H15" s="42"/>
      <c r="I15" s="40">
        <f>table!N15</f>
        <v>709</v>
      </c>
      <c r="J15" s="41">
        <f>table!O15</f>
        <v>9060</v>
      </c>
      <c r="K15" s="45">
        <f>table!P15</f>
        <v>12.778561354019747</v>
      </c>
      <c r="L15" s="42"/>
      <c r="M15" s="40" t="s">
        <v>44</v>
      </c>
      <c r="N15" s="41" t="s">
        <v>44</v>
      </c>
      <c r="O15" s="45" t="s">
        <v>44</v>
      </c>
      <c r="P15" s="42"/>
      <c r="Q15" s="40">
        <f t="shared" si="2"/>
        <v>3100</v>
      </c>
      <c r="R15" s="43">
        <f t="shared" si="2"/>
        <v>39629</v>
      </c>
    </row>
    <row r="16" spans="1:18" x14ac:dyDescent="0.2">
      <c r="A16" s="37">
        <v>39796</v>
      </c>
      <c r="B16" s="44" t="s">
        <v>17</v>
      </c>
      <c r="C16" s="38">
        <v>-1.4</v>
      </c>
      <c r="D16" s="39">
        <v>0.82638888888888884</v>
      </c>
      <c r="E16" s="40">
        <f>table!K16</f>
        <v>82</v>
      </c>
      <c r="F16" s="41">
        <f>table!L16</f>
        <v>1223</v>
      </c>
      <c r="G16" s="45">
        <f>table!M16</f>
        <v>14.914634146341463</v>
      </c>
      <c r="H16" s="42"/>
      <c r="I16" s="40">
        <f>table!N16</f>
        <v>41.166751398068122</v>
      </c>
      <c r="J16" s="41">
        <f>table!O16</f>
        <v>632.08217290937523</v>
      </c>
      <c r="K16" s="45">
        <f>table!P16</f>
        <v>15.354191220904491</v>
      </c>
      <c r="L16" s="42"/>
      <c r="M16" s="40" t="s">
        <v>44</v>
      </c>
      <c r="N16" s="41" t="s">
        <v>44</v>
      </c>
      <c r="O16" s="45" t="s">
        <v>44</v>
      </c>
      <c r="P16" s="42"/>
      <c r="Q16" s="40">
        <f t="shared" si="2"/>
        <v>123.16675139806813</v>
      </c>
      <c r="R16" s="43">
        <f t="shared" si="2"/>
        <v>1855.0821729093752</v>
      </c>
    </row>
    <row r="17" spans="1:18" ht="13.5" x14ac:dyDescent="0.25">
      <c r="A17" s="215" t="s">
        <v>31</v>
      </c>
      <c r="B17" s="216"/>
      <c r="C17" s="216"/>
      <c r="D17" s="217"/>
      <c r="E17" s="53">
        <f>SUM(E13:E16)</f>
        <v>4474</v>
      </c>
      <c r="F17" s="54">
        <f>SUM(F13:F16)</f>
        <v>55168</v>
      </c>
      <c r="G17" s="55">
        <f>F17/E17</f>
        <v>12.330800178810907</v>
      </c>
      <c r="H17" s="56"/>
      <c r="I17" s="53">
        <f>SUM(I13:I16)</f>
        <v>2246.0981189628878</v>
      </c>
      <c r="J17" s="54">
        <f>SUM(J13:J16)</f>
        <v>28512.436071189219</v>
      </c>
      <c r="K17" s="55">
        <f>J17/I17</f>
        <v>12.694207715357749</v>
      </c>
      <c r="L17" s="56"/>
      <c r="M17" s="53">
        <f>SUM(M13:M16)</f>
        <v>0</v>
      </c>
      <c r="N17" s="54">
        <f>SUM(N13:N16)</f>
        <v>0</v>
      </c>
      <c r="O17" s="55">
        <v>0</v>
      </c>
      <c r="P17" s="56"/>
      <c r="Q17" s="53">
        <f>SUM(Q13:Q16)</f>
        <v>6720.0981189628874</v>
      </c>
      <c r="R17" s="57">
        <f>SUM(R13:R16)</f>
        <v>83680.436071189208</v>
      </c>
    </row>
    <row r="18" spans="1:18" x14ac:dyDescent="0.2">
      <c r="A18" s="37">
        <v>39822</v>
      </c>
      <c r="B18" s="44" t="s">
        <v>45</v>
      </c>
      <c r="C18" s="38">
        <v>-0.2</v>
      </c>
      <c r="D18" s="39">
        <v>0.67569444444444438</v>
      </c>
      <c r="E18" s="40">
        <f>table!K18</f>
        <v>776.5</v>
      </c>
      <c r="F18" s="41">
        <f>table!L18</f>
        <v>11507</v>
      </c>
      <c r="G18" s="45">
        <f>table!M18</f>
        <v>14.819059884095299</v>
      </c>
      <c r="H18" s="42"/>
      <c r="I18" s="40">
        <f>table!N18</f>
        <v>446</v>
      </c>
      <c r="J18" s="41">
        <f>table!O18</f>
        <v>6686.5</v>
      </c>
      <c r="K18" s="45">
        <f>table!P18</f>
        <v>14.992152466367713</v>
      </c>
      <c r="L18" s="42"/>
      <c r="M18" s="40" t="s">
        <v>44</v>
      </c>
      <c r="N18" s="41" t="s">
        <v>44</v>
      </c>
      <c r="O18" s="45" t="s">
        <v>44</v>
      </c>
      <c r="P18" s="42"/>
      <c r="Q18" s="40">
        <f t="shared" ref="Q18:R21" si="3">E18+I18</f>
        <v>1222.5</v>
      </c>
      <c r="R18" s="43">
        <f t="shared" si="3"/>
        <v>18193.5</v>
      </c>
    </row>
    <row r="19" spans="1:18" x14ac:dyDescent="0.2">
      <c r="A19" s="37">
        <v>39823</v>
      </c>
      <c r="B19" s="44" t="s">
        <v>43</v>
      </c>
      <c r="C19" s="38">
        <v>-0.8</v>
      </c>
      <c r="D19" s="39">
        <v>0.71319444444444446</v>
      </c>
      <c r="E19" s="40">
        <f>table!K19</f>
        <v>1553</v>
      </c>
      <c r="F19" s="41">
        <f>table!L19</f>
        <v>23014</v>
      </c>
      <c r="G19" s="45">
        <f>table!M19</f>
        <v>14.819059884095299</v>
      </c>
      <c r="H19" s="42"/>
      <c r="I19" s="40">
        <f>table!N19</f>
        <v>892</v>
      </c>
      <c r="J19" s="41">
        <f>table!O19</f>
        <v>13373</v>
      </c>
      <c r="K19" s="45">
        <f>table!P19</f>
        <v>14.992152466367713</v>
      </c>
      <c r="L19" s="42"/>
      <c r="M19" s="40" t="s">
        <v>44</v>
      </c>
      <c r="N19" s="41" t="s">
        <v>44</v>
      </c>
      <c r="O19" s="45" t="s">
        <v>44</v>
      </c>
      <c r="P19" s="42"/>
      <c r="Q19" s="40">
        <f t="shared" si="3"/>
        <v>2445</v>
      </c>
      <c r="R19" s="43">
        <f t="shared" si="3"/>
        <v>36387</v>
      </c>
    </row>
    <row r="20" spans="1:18" x14ac:dyDescent="0.2">
      <c r="A20" s="37">
        <v>39824</v>
      </c>
      <c r="B20" s="44" t="s">
        <v>15</v>
      </c>
      <c r="C20" s="38">
        <v>-1.1000000000000001</v>
      </c>
      <c r="D20" s="39">
        <v>0.74861111111111101</v>
      </c>
      <c r="E20" s="40">
        <f>table!K20</f>
        <v>3549</v>
      </c>
      <c r="F20" s="41">
        <f>table!L20</f>
        <v>49358</v>
      </c>
      <c r="G20" s="45">
        <f>table!M20</f>
        <v>13.907579599887292</v>
      </c>
      <c r="H20" s="42"/>
      <c r="I20" s="40">
        <f>table!N20</f>
        <v>1805</v>
      </c>
      <c r="J20" s="41">
        <f>table!O20</f>
        <v>24103</v>
      </c>
      <c r="K20" s="45">
        <f>table!P20</f>
        <v>13.353462603878116</v>
      </c>
      <c r="L20" s="42"/>
      <c r="M20" s="40" t="s">
        <v>44</v>
      </c>
      <c r="N20" s="41" t="s">
        <v>44</v>
      </c>
      <c r="O20" s="45" t="s">
        <v>44</v>
      </c>
      <c r="P20" s="42"/>
      <c r="Q20" s="40">
        <f t="shared" si="3"/>
        <v>5354</v>
      </c>
      <c r="R20" s="43">
        <f t="shared" si="3"/>
        <v>73461</v>
      </c>
    </row>
    <row r="21" spans="1:18" x14ac:dyDescent="0.2">
      <c r="A21" s="37">
        <v>39825</v>
      </c>
      <c r="B21" s="44" t="s">
        <v>17</v>
      </c>
      <c r="C21" s="38">
        <v>-1.2</v>
      </c>
      <c r="D21" s="39">
        <v>0.78125</v>
      </c>
      <c r="E21" s="40">
        <f>table!K21</f>
        <v>1354</v>
      </c>
      <c r="F21" s="41">
        <f>table!L21</f>
        <v>20928</v>
      </c>
      <c r="G21" s="45">
        <f>table!M21</f>
        <v>15.45642540620384</v>
      </c>
      <c r="H21" s="42"/>
      <c r="I21" s="40">
        <f>table!N21</f>
        <v>664</v>
      </c>
      <c r="J21" s="41">
        <f>table!O21</f>
        <v>9965</v>
      </c>
      <c r="K21" s="45">
        <f>table!P21</f>
        <v>15.007530120481928</v>
      </c>
      <c r="L21" s="42"/>
      <c r="M21" s="40" t="s">
        <v>44</v>
      </c>
      <c r="N21" s="41" t="s">
        <v>44</v>
      </c>
      <c r="O21" s="45" t="s">
        <v>44</v>
      </c>
      <c r="P21" s="42"/>
      <c r="Q21" s="40">
        <f t="shared" si="3"/>
        <v>2018</v>
      </c>
      <c r="R21" s="43">
        <f t="shared" si="3"/>
        <v>30893</v>
      </c>
    </row>
    <row r="22" spans="1:18" ht="13.5" x14ac:dyDescent="0.25">
      <c r="A22" s="215" t="s">
        <v>31</v>
      </c>
      <c r="B22" s="216"/>
      <c r="C22" s="216"/>
      <c r="D22" s="217"/>
      <c r="E22" s="53">
        <f>SUM(E18:E21)</f>
        <v>7232.5</v>
      </c>
      <c r="F22" s="54">
        <f>SUM(F18:F21)</f>
        <v>104807</v>
      </c>
      <c r="G22" s="55">
        <f>F22/E22</f>
        <v>14.491116488074663</v>
      </c>
      <c r="H22" s="56"/>
      <c r="I22" s="53">
        <f>SUM(I18:I21)</f>
        <v>3807</v>
      </c>
      <c r="J22" s="54">
        <f>SUM(J18:J21)</f>
        <v>54127.5</v>
      </c>
      <c r="K22" s="55">
        <f>J22/I22</f>
        <v>14.217888100866825</v>
      </c>
      <c r="L22" s="56"/>
      <c r="M22" s="53">
        <v>0</v>
      </c>
      <c r="N22" s="54">
        <v>0</v>
      </c>
      <c r="O22" s="55">
        <v>0</v>
      </c>
      <c r="P22" s="56"/>
      <c r="Q22" s="53">
        <f>SUM(Q18:Q21)</f>
        <v>11039.5</v>
      </c>
      <c r="R22" s="57">
        <f>SUM(R18:R21)</f>
        <v>158934.5</v>
      </c>
    </row>
    <row r="23" spans="1:18" x14ac:dyDescent="0.2">
      <c r="A23" s="103">
        <v>39850</v>
      </c>
      <c r="B23" s="3" t="s">
        <v>43</v>
      </c>
      <c r="C23" s="3">
        <v>-0.1</v>
      </c>
      <c r="D23" s="9">
        <v>0.66319444444444442</v>
      </c>
      <c r="E23" s="40">
        <f>table!K23</f>
        <v>3017</v>
      </c>
      <c r="F23" s="41">
        <f>table!L23</f>
        <v>46064</v>
      </c>
      <c r="G23" s="45">
        <f>table!M23</f>
        <v>15.268147166058998</v>
      </c>
      <c r="H23" s="42"/>
      <c r="I23" s="40">
        <f>table!N23</f>
        <v>2450</v>
      </c>
      <c r="J23" s="41">
        <f>table!O23</f>
        <v>36754</v>
      </c>
      <c r="K23" s="45">
        <f>table!P23</f>
        <v>15.001632653061224</v>
      </c>
      <c r="L23" s="42"/>
      <c r="M23" s="40" t="s">
        <v>44</v>
      </c>
      <c r="N23" s="41" t="s">
        <v>44</v>
      </c>
      <c r="O23" s="45" t="s">
        <v>44</v>
      </c>
      <c r="P23" s="42"/>
      <c r="Q23" s="40">
        <f t="shared" ref="Q23:R25" si="4">E23+I23</f>
        <v>5467</v>
      </c>
      <c r="R23" s="43">
        <f t="shared" si="4"/>
        <v>82818</v>
      </c>
    </row>
    <row r="24" spans="1:18" x14ac:dyDescent="0.2">
      <c r="A24" s="103">
        <v>39851</v>
      </c>
      <c r="B24" s="3" t="s">
        <v>15</v>
      </c>
      <c r="C24" s="3">
        <v>-0.4</v>
      </c>
      <c r="D24" s="9">
        <v>0.70138888888888884</v>
      </c>
      <c r="E24" s="40">
        <f>table!K24</f>
        <v>7631</v>
      </c>
      <c r="F24" s="41">
        <f>table!L24</f>
        <v>108534</v>
      </c>
      <c r="G24" s="45">
        <f>table!M24</f>
        <v>14.222775520901585</v>
      </c>
      <c r="H24" s="42"/>
      <c r="I24" s="40">
        <f>table!N24</f>
        <v>8211</v>
      </c>
      <c r="J24" s="41">
        <f>table!O24</f>
        <v>118708</v>
      </c>
      <c r="K24" s="45">
        <f>table!P24</f>
        <v>14.457191572281086</v>
      </c>
      <c r="L24" s="42"/>
      <c r="M24" s="40" t="s">
        <v>44</v>
      </c>
      <c r="N24" s="41" t="s">
        <v>44</v>
      </c>
      <c r="O24" s="45" t="s">
        <v>44</v>
      </c>
      <c r="P24" s="42"/>
      <c r="Q24" s="40">
        <f t="shared" si="4"/>
        <v>15842</v>
      </c>
      <c r="R24" s="43">
        <f t="shared" si="4"/>
        <v>227242</v>
      </c>
    </row>
    <row r="25" spans="1:18" x14ac:dyDescent="0.2">
      <c r="A25" s="103">
        <v>39852</v>
      </c>
      <c r="B25" s="3" t="s">
        <v>17</v>
      </c>
      <c r="C25" s="3">
        <v>-0.6</v>
      </c>
      <c r="D25" s="9">
        <v>0.73541666666666661</v>
      </c>
      <c r="E25" s="40">
        <f>table!K25</f>
        <v>7040</v>
      </c>
      <c r="F25" s="41">
        <f>table!L25</f>
        <v>95622</v>
      </c>
      <c r="G25" s="45">
        <f>table!M25</f>
        <v>13.582670454545454</v>
      </c>
      <c r="H25" s="42"/>
      <c r="I25" s="40">
        <f>table!N25</f>
        <v>2512</v>
      </c>
      <c r="J25" s="41">
        <f>table!O25</f>
        <v>37523</v>
      </c>
      <c r="K25" s="45">
        <f>table!P25</f>
        <v>14.9375</v>
      </c>
      <c r="L25" s="42"/>
      <c r="M25" s="40" t="s">
        <v>44</v>
      </c>
      <c r="N25" s="41" t="s">
        <v>44</v>
      </c>
      <c r="O25" s="45" t="s">
        <v>44</v>
      </c>
      <c r="P25" s="42"/>
      <c r="Q25" s="40">
        <f t="shared" si="4"/>
        <v>9552</v>
      </c>
      <c r="R25" s="43">
        <f t="shared" si="4"/>
        <v>133145</v>
      </c>
    </row>
    <row r="26" spans="1:18" ht="13.5" x14ac:dyDescent="0.25">
      <c r="A26" s="215" t="s">
        <v>31</v>
      </c>
      <c r="B26" s="216"/>
      <c r="C26" s="216"/>
      <c r="D26" s="217"/>
      <c r="E26" s="53">
        <f>SUM(E23:E25)</f>
        <v>17688</v>
      </c>
      <c r="F26" s="54">
        <f>SUM(F23:F25)</f>
        <v>250220</v>
      </c>
      <c r="G26" s="55">
        <f>F26/E26</f>
        <v>14.146313885119856</v>
      </c>
      <c r="H26" s="56"/>
      <c r="I26" s="53">
        <f>SUM(I23:I25)</f>
        <v>13173</v>
      </c>
      <c r="J26" s="54">
        <f>SUM(J23:J25)</f>
        <v>192985</v>
      </c>
      <c r="K26" s="55">
        <f>J26/I26</f>
        <v>14.650041752068626</v>
      </c>
      <c r="L26" s="56"/>
      <c r="M26" s="53">
        <v>0</v>
      </c>
      <c r="N26" s="54">
        <v>0</v>
      </c>
      <c r="O26" s="55">
        <v>0</v>
      </c>
      <c r="P26" s="56"/>
      <c r="Q26" s="53">
        <f>SUM(Q23:Q25)</f>
        <v>30861</v>
      </c>
      <c r="R26" s="57">
        <f>SUM(R23:R25)</f>
        <v>443205</v>
      </c>
    </row>
    <row r="27" spans="1:18" x14ac:dyDescent="0.2">
      <c r="A27" s="103">
        <v>39899</v>
      </c>
      <c r="B27" s="3" t="s">
        <v>43</v>
      </c>
      <c r="C27" s="3">
        <v>0</v>
      </c>
      <c r="D27" s="9">
        <v>0.32569444444444445</v>
      </c>
      <c r="E27" s="40" t="str">
        <f>table!K27</f>
        <v>CLOSED</v>
      </c>
      <c r="F27" s="41" t="str">
        <f>table!L27</f>
        <v>CLOSED</v>
      </c>
      <c r="G27" s="45" t="str">
        <f>table!M27</f>
        <v>CLOSED</v>
      </c>
      <c r="H27" s="42"/>
      <c r="I27" s="40">
        <f>table!N27</f>
        <v>3022</v>
      </c>
      <c r="J27" s="41">
        <f>table!O27</f>
        <v>44725</v>
      </c>
      <c r="K27" s="45">
        <f>table!P27</f>
        <v>14.79980145598941</v>
      </c>
      <c r="L27" s="42"/>
      <c r="M27" s="40" t="s">
        <v>44</v>
      </c>
      <c r="N27" s="41" t="s">
        <v>44</v>
      </c>
      <c r="O27" s="45" t="s">
        <v>44</v>
      </c>
      <c r="P27" s="46"/>
      <c r="Q27" s="40">
        <f>I27</f>
        <v>3022</v>
      </c>
      <c r="R27" s="43">
        <f>J27</f>
        <v>44725</v>
      </c>
    </row>
    <row r="28" spans="1:18" x14ac:dyDescent="0.2">
      <c r="A28" s="103">
        <v>39900</v>
      </c>
      <c r="B28" s="3" t="s">
        <v>15</v>
      </c>
      <c r="C28" s="3">
        <v>-0.4</v>
      </c>
      <c r="D28" s="9">
        <v>0.35347222222222219</v>
      </c>
      <c r="E28" s="40">
        <f>table!K28</f>
        <v>12602</v>
      </c>
      <c r="F28" s="41">
        <f>table!L28</f>
        <v>112127</v>
      </c>
      <c r="G28" s="45">
        <f>table!M28</f>
        <v>8.8975559435010307</v>
      </c>
      <c r="H28" s="42"/>
      <c r="I28" s="40">
        <f>table!N28</f>
        <v>5583</v>
      </c>
      <c r="J28" s="41">
        <f>table!O28</f>
        <v>76950</v>
      </c>
      <c r="K28" s="45">
        <f>table!P28</f>
        <v>13.782912412681354</v>
      </c>
      <c r="L28" s="42"/>
      <c r="M28" s="40" t="s">
        <v>44</v>
      </c>
      <c r="N28" s="41" t="s">
        <v>44</v>
      </c>
      <c r="O28" s="45" t="s">
        <v>44</v>
      </c>
      <c r="P28" s="46"/>
      <c r="Q28" s="40">
        <f>E28+I28</f>
        <v>18185</v>
      </c>
      <c r="R28" s="43">
        <f>F28+J28</f>
        <v>189077</v>
      </c>
    </row>
    <row r="29" spans="1:18" x14ac:dyDescent="0.2">
      <c r="A29" s="103">
        <v>39901</v>
      </c>
      <c r="B29" s="3" t="s">
        <v>17</v>
      </c>
      <c r="C29" s="3">
        <v>-0.6</v>
      </c>
      <c r="D29" s="9">
        <v>0.3833333333333333</v>
      </c>
      <c r="E29" s="40">
        <f>table!K29</f>
        <v>7418</v>
      </c>
      <c r="F29" s="41">
        <f>table!L29</f>
        <v>109258</v>
      </c>
      <c r="G29" s="45">
        <f>table!M29</f>
        <v>14.728767861957401</v>
      </c>
      <c r="H29" s="42"/>
      <c r="I29" s="40">
        <f>table!N29</f>
        <v>3776</v>
      </c>
      <c r="J29" s="41">
        <f>table!O29</f>
        <v>56162</v>
      </c>
      <c r="K29" s="45">
        <f>table!P29</f>
        <v>14.873411016949152</v>
      </c>
      <c r="L29" s="42"/>
      <c r="M29" s="40" t="s">
        <v>44</v>
      </c>
      <c r="N29" s="41" t="s">
        <v>44</v>
      </c>
      <c r="O29" s="45" t="s">
        <v>44</v>
      </c>
      <c r="P29" s="46"/>
      <c r="Q29" s="40">
        <f>E29+I29</f>
        <v>11194</v>
      </c>
      <c r="R29" s="43">
        <f>F29+J29</f>
        <v>165420</v>
      </c>
    </row>
    <row r="30" spans="1:18" ht="13.5" x14ac:dyDescent="0.25">
      <c r="A30" s="215" t="s">
        <v>31</v>
      </c>
      <c r="B30" s="216"/>
      <c r="C30" s="216"/>
      <c r="D30" s="217"/>
      <c r="E30" s="53">
        <f>SUM(E28:E29)</f>
        <v>20020</v>
      </c>
      <c r="F30" s="54">
        <f>SUM(F28:F29)</f>
        <v>221385</v>
      </c>
      <c r="G30" s="55">
        <f>F30/E30</f>
        <v>11.058191808191808</v>
      </c>
      <c r="H30" s="56"/>
      <c r="I30" s="53">
        <f>SUM(I27:I29)</f>
        <v>12381</v>
      </c>
      <c r="J30" s="54">
        <f>SUM(J27:J29)</f>
        <v>177837</v>
      </c>
      <c r="K30" s="55">
        <f>J30/I30</f>
        <v>14.36370244729828</v>
      </c>
      <c r="L30" s="56"/>
      <c r="M30" s="53">
        <v>0</v>
      </c>
      <c r="N30" s="54">
        <v>0</v>
      </c>
      <c r="O30" s="55">
        <v>0</v>
      </c>
      <c r="P30" s="56"/>
      <c r="Q30" s="53">
        <f>SUM(Q27:Q29)</f>
        <v>32401</v>
      </c>
      <c r="R30" s="57">
        <f>SUM(R27:R29)</f>
        <v>399222</v>
      </c>
    </row>
    <row r="31" spans="1:18" x14ac:dyDescent="0.2">
      <c r="A31" s="37">
        <v>39913</v>
      </c>
      <c r="B31" s="3" t="s">
        <v>43</v>
      </c>
      <c r="C31" s="3">
        <v>-0.7</v>
      </c>
      <c r="D31" s="9">
        <v>0.32291666666666669</v>
      </c>
      <c r="E31" s="40" t="str">
        <f>table!K31</f>
        <v>CLOSED</v>
      </c>
      <c r="F31" s="41" t="str">
        <f>table!L31</f>
        <v>CLOSED</v>
      </c>
      <c r="G31" s="45" t="str">
        <f>table!M31</f>
        <v>CLOSED</v>
      </c>
      <c r="H31" s="42"/>
      <c r="I31" s="40" t="str">
        <f>table!N31</f>
        <v>CLOSED</v>
      </c>
      <c r="J31" s="41" t="str">
        <f>table!O31</f>
        <v>CLOSED</v>
      </c>
      <c r="K31" s="45" t="str">
        <f>table!P31</f>
        <v>CLOSED</v>
      </c>
      <c r="L31" s="42"/>
      <c r="M31" s="40" t="s">
        <v>44</v>
      </c>
      <c r="N31" s="41" t="s">
        <v>44</v>
      </c>
      <c r="O31" s="45" t="s">
        <v>44</v>
      </c>
      <c r="P31" s="46"/>
      <c r="Q31" s="40"/>
      <c r="R31" s="43"/>
    </row>
    <row r="32" spans="1:18" x14ac:dyDescent="0.2">
      <c r="A32" s="37">
        <v>39914</v>
      </c>
      <c r="B32" s="3" t="s">
        <v>15</v>
      </c>
      <c r="C32" s="3">
        <v>-0.7</v>
      </c>
      <c r="D32" s="9">
        <v>0.35069444444444442</v>
      </c>
      <c r="E32" s="40" t="str">
        <f>table!K32</f>
        <v>CLOSED</v>
      </c>
      <c r="F32" s="41" t="str">
        <f>table!L32</f>
        <v>CLOSED</v>
      </c>
      <c r="G32" s="45" t="str">
        <f>table!M32</f>
        <v>CLOSED</v>
      </c>
      <c r="H32" s="42"/>
      <c r="I32" s="40" t="str">
        <f>table!N32</f>
        <v>CLOSED</v>
      </c>
      <c r="J32" s="41" t="str">
        <f>table!O32</f>
        <v>CLOSED</v>
      </c>
      <c r="K32" s="45" t="str">
        <f>table!P32</f>
        <v>CLOSED</v>
      </c>
      <c r="L32" s="42"/>
      <c r="M32" s="40" t="s">
        <v>44</v>
      </c>
      <c r="N32" s="41" t="s">
        <v>44</v>
      </c>
      <c r="O32" s="45" t="s">
        <v>44</v>
      </c>
      <c r="P32" s="46"/>
      <c r="Q32" s="40"/>
      <c r="R32" s="43"/>
    </row>
    <row r="33" spans="1:20" x14ac:dyDescent="0.2">
      <c r="A33" s="37">
        <v>39915</v>
      </c>
      <c r="B33" s="3" t="s">
        <v>17</v>
      </c>
      <c r="C33" s="3">
        <v>-0.5</v>
      </c>
      <c r="D33" s="9">
        <v>0.37847222222222227</v>
      </c>
      <c r="E33" s="40" t="str">
        <f>table!K33</f>
        <v>CLOSED</v>
      </c>
      <c r="F33" s="41" t="str">
        <f>table!L33</f>
        <v>CLOSED</v>
      </c>
      <c r="G33" s="45" t="str">
        <f>table!M33</f>
        <v>CLOSED</v>
      </c>
      <c r="H33" s="42"/>
      <c r="I33" s="40" t="str">
        <f>table!N33</f>
        <v>CLOSED</v>
      </c>
      <c r="J33" s="41" t="str">
        <f>table!O33</f>
        <v>CLOSED</v>
      </c>
      <c r="K33" s="45" t="str">
        <f>table!P33</f>
        <v>CLOSED</v>
      </c>
      <c r="L33" s="42"/>
      <c r="M33" s="40" t="s">
        <v>44</v>
      </c>
      <c r="N33" s="41" t="s">
        <v>44</v>
      </c>
      <c r="O33" s="45" t="s">
        <v>44</v>
      </c>
      <c r="P33" s="46"/>
      <c r="Q33" s="40"/>
      <c r="R33" s="43"/>
    </row>
    <row r="34" spans="1:20" ht="13.5" x14ac:dyDescent="0.25">
      <c r="A34" s="215" t="s">
        <v>31</v>
      </c>
      <c r="B34" s="216"/>
      <c r="C34" s="216"/>
      <c r="D34" s="217"/>
      <c r="E34" s="53">
        <f>SUM(E32:E33)</f>
        <v>0</v>
      </c>
      <c r="F34" s="54">
        <f>SUM(F32:F33)</f>
        <v>0</v>
      </c>
      <c r="G34" s="55" t="e">
        <f>F34/E34</f>
        <v>#DIV/0!</v>
      </c>
      <c r="H34" s="56"/>
      <c r="I34" s="53">
        <f>SUM(I31:I33)</f>
        <v>0</v>
      </c>
      <c r="J34" s="54">
        <f>SUM(J31:J33)</f>
        <v>0</v>
      </c>
      <c r="K34" s="55" t="e">
        <f>J34/I34</f>
        <v>#DIV/0!</v>
      </c>
      <c r="L34" s="56"/>
      <c r="M34" s="53">
        <v>0</v>
      </c>
      <c r="N34" s="54">
        <v>0</v>
      </c>
      <c r="O34" s="55">
        <v>0</v>
      </c>
      <c r="P34" s="56"/>
      <c r="Q34" s="53">
        <f>SUM(Q31:Q33)</f>
        <v>0</v>
      </c>
      <c r="R34" s="57">
        <f>SUM(R31:R33)</f>
        <v>0</v>
      </c>
    </row>
    <row r="35" spans="1:20" x14ac:dyDescent="0.2">
      <c r="A35" s="37">
        <v>39928</v>
      </c>
      <c r="B35" s="44" t="s">
        <v>15</v>
      </c>
      <c r="C35" s="44">
        <v>-1.3</v>
      </c>
      <c r="D35" s="39">
        <v>0.31041666666666667</v>
      </c>
      <c r="E35" s="40">
        <f>table!K35</f>
        <v>9618</v>
      </c>
      <c r="F35" s="41">
        <f>table!L35</f>
        <v>144271</v>
      </c>
      <c r="G35" s="45">
        <f>table!M35</f>
        <v>15.000103971719692</v>
      </c>
      <c r="H35" s="42"/>
      <c r="I35" s="40">
        <f>table!N35</f>
        <v>5520</v>
      </c>
      <c r="J35" s="41">
        <f>table!O35</f>
        <v>82807</v>
      </c>
      <c r="K35" s="45">
        <f>table!P35</f>
        <v>15.001268115942029</v>
      </c>
      <c r="L35" s="42"/>
      <c r="M35" s="40" t="s">
        <v>44</v>
      </c>
      <c r="N35" s="41" t="s">
        <v>44</v>
      </c>
      <c r="O35" s="41" t="s">
        <v>44</v>
      </c>
      <c r="P35" s="46"/>
      <c r="Q35" s="40">
        <f t="shared" ref="Q35:Q37" si="5">E35+I35</f>
        <v>15138</v>
      </c>
      <c r="R35" s="43">
        <f t="shared" ref="R35:R37" si="6">F35+J35</f>
        <v>227078</v>
      </c>
    </row>
    <row r="36" spans="1:20" x14ac:dyDescent="0.2">
      <c r="A36" s="37">
        <v>39929</v>
      </c>
      <c r="B36" s="44" t="s">
        <v>17</v>
      </c>
      <c r="C36" s="44">
        <v>-1.6</v>
      </c>
      <c r="D36" s="39">
        <v>0.34027777777777773</v>
      </c>
      <c r="E36" s="40">
        <f>table!K36</f>
        <v>8554</v>
      </c>
      <c r="F36" s="41">
        <f>table!L36</f>
        <v>126966</v>
      </c>
      <c r="G36" s="45">
        <f>table!M36</f>
        <v>14.842880523731587</v>
      </c>
      <c r="H36" s="42"/>
      <c r="I36" s="40">
        <f>table!N36</f>
        <v>4565</v>
      </c>
      <c r="J36" s="41">
        <f>table!O36</f>
        <v>67763</v>
      </c>
      <c r="K36" s="45">
        <f>table!P36</f>
        <v>14.844030668127054</v>
      </c>
      <c r="L36" s="42"/>
      <c r="M36" s="40" t="s">
        <v>44</v>
      </c>
      <c r="N36" s="41" t="s">
        <v>44</v>
      </c>
      <c r="O36" s="41" t="s">
        <v>44</v>
      </c>
      <c r="P36" s="46"/>
      <c r="Q36" s="40">
        <f t="shared" si="5"/>
        <v>13119</v>
      </c>
      <c r="R36" s="43">
        <f t="shared" si="6"/>
        <v>194729</v>
      </c>
    </row>
    <row r="37" spans="1:20" x14ac:dyDescent="0.2">
      <c r="A37" s="37">
        <v>39930</v>
      </c>
      <c r="B37" s="44" t="s">
        <v>71</v>
      </c>
      <c r="C37" s="44">
        <v>-1.7</v>
      </c>
      <c r="D37" s="39">
        <v>0.37152777777777773</v>
      </c>
      <c r="E37" s="40">
        <f>table!K37</f>
        <v>3369</v>
      </c>
      <c r="F37" s="41">
        <f>table!L37</f>
        <v>50615</v>
      </c>
      <c r="G37" s="45">
        <f>table!M37</f>
        <v>15.023745918670228</v>
      </c>
      <c r="H37" s="42"/>
      <c r="I37" s="40">
        <f>table!N37</f>
        <v>1701</v>
      </c>
      <c r="J37" s="41">
        <f>table!O37</f>
        <v>25517</v>
      </c>
      <c r="K37" s="45">
        <f>table!P37</f>
        <v>15.001175778953558</v>
      </c>
      <c r="L37" s="42"/>
      <c r="M37" s="40" t="s">
        <v>44</v>
      </c>
      <c r="N37" s="41" t="s">
        <v>44</v>
      </c>
      <c r="O37" s="41" t="s">
        <v>44</v>
      </c>
      <c r="P37" s="46"/>
      <c r="Q37" s="40">
        <f t="shared" si="5"/>
        <v>5070</v>
      </c>
      <c r="R37" s="43">
        <f t="shared" si="6"/>
        <v>76132</v>
      </c>
    </row>
    <row r="38" spans="1:20" ht="13.5" x14ac:dyDescent="0.25">
      <c r="A38" s="215" t="s">
        <v>31</v>
      </c>
      <c r="B38" s="216"/>
      <c r="C38" s="216"/>
      <c r="D38" s="217"/>
      <c r="E38" s="53">
        <f>SUM(E35:E37)</f>
        <v>21541</v>
      </c>
      <c r="F38" s="54">
        <f>SUM(F35:F37)</f>
        <v>321852</v>
      </c>
      <c r="G38" s="55">
        <f>F38/E38</f>
        <v>14.941367624529967</v>
      </c>
      <c r="H38" s="56"/>
      <c r="I38" s="53">
        <f>SUM(I35:I37)</f>
        <v>11786</v>
      </c>
      <c r="J38" s="54">
        <f>SUM(J35:J37)</f>
        <v>176087</v>
      </c>
      <c r="K38" s="55">
        <f>J38/I38</f>
        <v>14.940352961140336</v>
      </c>
      <c r="L38" s="56"/>
      <c r="M38" s="53"/>
      <c r="N38" s="54"/>
      <c r="O38" s="58"/>
      <c r="P38" s="56"/>
      <c r="Q38" s="53">
        <f>SUM(Q35:Q37)</f>
        <v>33327</v>
      </c>
      <c r="R38" s="57">
        <f>SUM(R35:R37)</f>
        <v>497939</v>
      </c>
    </row>
    <row r="39" spans="1:20" x14ac:dyDescent="0.2">
      <c r="A39" s="37">
        <v>39942</v>
      </c>
      <c r="B39" s="44" t="s">
        <v>15</v>
      </c>
      <c r="C39" s="44">
        <v>-1.2</v>
      </c>
      <c r="D39" s="39">
        <v>0.30763888888888891</v>
      </c>
      <c r="E39" s="40">
        <f>table!K39</f>
        <v>4245</v>
      </c>
      <c r="F39" s="41">
        <f>table!L39</f>
        <v>63672</v>
      </c>
      <c r="G39" s="45">
        <f>table!M39</f>
        <v>14.999293286219082</v>
      </c>
      <c r="H39" s="42"/>
      <c r="I39" s="40">
        <f>table!N39</f>
        <v>1855</v>
      </c>
      <c r="J39" s="41">
        <f>table!O39</f>
        <v>27713</v>
      </c>
      <c r="K39" s="45">
        <f>table!P39</f>
        <v>14.939622641509434</v>
      </c>
      <c r="L39" s="42"/>
      <c r="M39" s="40" t="s">
        <v>44</v>
      </c>
      <c r="N39" s="41" t="s">
        <v>44</v>
      </c>
      <c r="O39" s="41" t="s">
        <v>44</v>
      </c>
      <c r="P39" s="46"/>
      <c r="Q39" s="40">
        <f t="shared" ref="Q39" si="7">E39+I39</f>
        <v>6100</v>
      </c>
      <c r="R39" s="43">
        <f t="shared" ref="R39" si="8">F39+J39</f>
        <v>91385</v>
      </c>
    </row>
    <row r="40" spans="1:20" x14ac:dyDescent="0.2">
      <c r="A40" s="37">
        <v>39943</v>
      </c>
      <c r="B40" s="51" t="s">
        <v>17</v>
      </c>
      <c r="C40" s="44">
        <v>-1.2</v>
      </c>
      <c r="D40" s="39">
        <v>0.3347222222222222</v>
      </c>
      <c r="E40" s="40" t="str">
        <f>table!K40</f>
        <v>CLOSED</v>
      </c>
      <c r="F40" s="41" t="str">
        <f>table!L40</f>
        <v>CLOSED</v>
      </c>
      <c r="G40" s="45" t="str">
        <f>table!M40</f>
        <v>CLOSED</v>
      </c>
      <c r="H40" s="42"/>
      <c r="I40" s="40" t="str">
        <f>table!N40</f>
        <v>CLOSED</v>
      </c>
      <c r="J40" s="41" t="str">
        <f>table!O40</f>
        <v>CLOSED</v>
      </c>
      <c r="K40" s="45" t="str">
        <f>table!P40</f>
        <v>CLOSED</v>
      </c>
      <c r="L40" s="42"/>
      <c r="M40" s="40" t="s">
        <v>44</v>
      </c>
      <c r="N40" s="41" t="s">
        <v>44</v>
      </c>
      <c r="O40" s="41" t="s">
        <v>44</v>
      </c>
      <c r="P40" s="46"/>
      <c r="Q40" s="40"/>
      <c r="R40" s="43"/>
    </row>
    <row r="41" spans="1:20" ht="14.25" thickBot="1" x14ac:dyDescent="0.3">
      <c r="A41" s="215" t="s">
        <v>31</v>
      </c>
      <c r="B41" s="216"/>
      <c r="C41" s="216"/>
      <c r="D41" s="217"/>
      <c r="E41" s="53">
        <f>SUM(E39:E40)</f>
        <v>4245</v>
      </c>
      <c r="F41" s="54">
        <f>SUM(F39:F40)</f>
        <v>63672</v>
      </c>
      <c r="G41" s="55">
        <f>F41/E41</f>
        <v>14.999293286219082</v>
      </c>
      <c r="H41" s="56"/>
      <c r="I41" s="53">
        <f>SUM(I39:I40)</f>
        <v>1855</v>
      </c>
      <c r="J41" s="54">
        <f>SUM(J39:J40)</f>
        <v>27713</v>
      </c>
      <c r="K41" s="55">
        <f>J41/I41</f>
        <v>14.939622641509434</v>
      </c>
      <c r="L41" s="56"/>
      <c r="M41" s="53"/>
      <c r="N41" s="54"/>
      <c r="O41" s="58"/>
      <c r="P41" s="56"/>
      <c r="Q41" s="53">
        <f>SUM(Q38:Q40)</f>
        <v>39427</v>
      </c>
      <c r="R41" s="57">
        <f>SUM(R38:R40)</f>
        <v>589324</v>
      </c>
    </row>
    <row r="42" spans="1:20" x14ac:dyDescent="0.2">
      <c r="A42" s="230" t="s">
        <v>32</v>
      </c>
      <c r="B42" s="231"/>
      <c r="C42" s="231"/>
      <c r="D42" s="231"/>
      <c r="E42" s="59">
        <f>SUM(E7+E12+E17+E22+E26+E30+E38+E41)</f>
        <v>92574.5</v>
      </c>
      <c r="F42" s="60">
        <f>SUM(F7+F12+F17+F22+F26+F30+F38+F41)</f>
        <v>1273550</v>
      </c>
      <c r="G42" s="61">
        <f>F42/E42</f>
        <v>13.757028123295292</v>
      </c>
      <c r="H42" s="61"/>
      <c r="I42" s="59">
        <f>SUM(I7+I12+I17+I22+I26+I30+I38+I41)</f>
        <v>54895.142468749909</v>
      </c>
      <c r="J42" s="60">
        <f>SUM(J7+J12+J17+J22+J26+J30+J38+J41)</f>
        <v>799144.50275488873</v>
      </c>
      <c r="K42" s="61">
        <f>J42/I42</f>
        <v>14.557654226142445</v>
      </c>
      <c r="L42" s="62"/>
      <c r="M42" s="59">
        <f>SUM(M7+M12+M17+M22+M26+M30)</f>
        <v>0</v>
      </c>
      <c r="N42" s="60">
        <f>SUM(N7+N12+N17+N22+N26+N30+N38)</f>
        <v>0</v>
      </c>
      <c r="O42" s="61">
        <v>0</v>
      </c>
      <c r="P42" s="62"/>
      <c r="Q42" s="80">
        <f>SUM(Q7+Q12+Q17+Q22+Q26+Q30+Q38+Q41)</f>
        <v>180796.64246874989</v>
      </c>
      <c r="R42" s="81">
        <f>SUM(R7+R12+R17+R22+R26+R30+R38+R41)</f>
        <v>2570633.5027548885</v>
      </c>
      <c r="S42" s="47"/>
      <c r="T42" s="47"/>
    </row>
    <row r="43" spans="1:20" x14ac:dyDescent="0.2">
      <c r="A43" s="232" t="s">
        <v>47</v>
      </c>
      <c r="B43" s="233"/>
      <c r="C43" s="233"/>
      <c r="D43" s="233"/>
      <c r="E43" s="63"/>
      <c r="F43" s="64">
        <f>harvest!K45</f>
        <v>4.3807966503699135E-2</v>
      </c>
      <c r="G43" s="64"/>
      <c r="H43" s="65"/>
      <c r="I43" s="63"/>
      <c r="J43" s="64">
        <f>harvest!M45</f>
        <v>7.5847440728228105E-2</v>
      </c>
      <c r="K43" s="64"/>
      <c r="L43" s="66"/>
      <c r="M43" s="67"/>
      <c r="N43" s="68">
        <f>harvest!O45</f>
        <v>0</v>
      </c>
      <c r="O43" s="67"/>
      <c r="P43" s="66"/>
      <c r="Q43" s="77"/>
      <c r="R43" s="78"/>
    </row>
    <row r="44" spans="1:20" x14ac:dyDescent="0.2">
      <c r="A44" s="232" t="s">
        <v>48</v>
      </c>
      <c r="B44" s="233"/>
      <c r="C44" s="233"/>
      <c r="D44" s="233"/>
      <c r="E44" s="63"/>
      <c r="F44" s="67">
        <f>harvest!K46</f>
        <v>28448</v>
      </c>
      <c r="G44" s="67"/>
      <c r="H44" s="65"/>
      <c r="I44" s="63"/>
      <c r="J44" s="67">
        <f>harvest!M46</f>
        <v>26604</v>
      </c>
      <c r="K44" s="67"/>
      <c r="L44" s="66"/>
      <c r="M44" s="67"/>
      <c r="N44" s="67">
        <f>harvest!O46</f>
        <v>0</v>
      </c>
      <c r="O44" s="67"/>
      <c r="P44" s="66"/>
      <c r="Q44" s="77"/>
      <c r="R44" s="78"/>
    </row>
    <row r="45" spans="1:20" x14ac:dyDescent="0.2">
      <c r="A45" s="232" t="s">
        <v>49</v>
      </c>
      <c r="B45" s="233"/>
      <c r="C45" s="233"/>
      <c r="D45" s="233"/>
      <c r="E45" s="63"/>
      <c r="F45" s="67">
        <f>F42+F44</f>
        <v>1301998</v>
      </c>
      <c r="G45" s="67"/>
      <c r="H45" s="65"/>
      <c r="I45" s="63"/>
      <c r="J45" s="67">
        <f>J42+J44</f>
        <v>825748.50275488873</v>
      </c>
      <c r="K45" s="67"/>
      <c r="L45" s="66"/>
      <c r="M45" s="67"/>
      <c r="N45" s="67">
        <f>harvest!O47</f>
        <v>0</v>
      </c>
      <c r="O45" s="67"/>
      <c r="P45" s="66"/>
      <c r="Q45" s="77"/>
      <c r="R45" s="78"/>
    </row>
    <row r="46" spans="1:20" x14ac:dyDescent="0.2">
      <c r="A46" s="69" t="s">
        <v>50</v>
      </c>
      <c r="B46" s="70"/>
      <c r="C46" s="70"/>
      <c r="D46" s="70"/>
      <c r="E46" s="63"/>
      <c r="F46" s="71">
        <f>harvest!K49</f>
        <v>1.3449906253389599</v>
      </c>
      <c r="G46" s="67"/>
      <c r="H46" s="65"/>
      <c r="I46" s="63"/>
      <c r="J46" s="71">
        <f>harvest!M49</f>
        <v>1.1767593389256716</v>
      </c>
      <c r="K46" s="67"/>
      <c r="L46" s="66"/>
      <c r="M46" s="67"/>
      <c r="N46" s="71">
        <f>harvest!O49</f>
        <v>0</v>
      </c>
      <c r="O46" s="67"/>
      <c r="P46" s="66"/>
      <c r="Q46" s="77"/>
      <c r="R46" s="78"/>
    </row>
    <row r="47" spans="1:20" ht="16.5" thickBot="1" x14ac:dyDescent="0.3">
      <c r="A47" s="227" t="s">
        <v>52</v>
      </c>
      <c r="B47" s="228"/>
      <c r="C47" s="228"/>
      <c r="D47" s="229"/>
      <c r="E47" s="72"/>
      <c r="F47" s="73">
        <f>harvest!K50</f>
        <v>-333963</v>
      </c>
      <c r="G47" s="74"/>
      <c r="H47" s="75"/>
      <c r="I47" s="72"/>
      <c r="J47" s="73">
        <f>harvest!M50</f>
        <v>-124034.50275488873</v>
      </c>
      <c r="K47" s="74"/>
      <c r="L47" s="76"/>
      <c r="M47" s="75"/>
      <c r="N47" s="73">
        <f>harvest!O50</f>
        <v>160482</v>
      </c>
      <c r="O47" s="74"/>
      <c r="P47" s="76"/>
      <c r="Q47" s="79"/>
      <c r="R47" s="96"/>
    </row>
    <row r="49" spans="1:1" x14ac:dyDescent="0.2">
      <c r="A49" s="48"/>
    </row>
    <row r="50" spans="1:1" x14ac:dyDescent="0.2">
      <c r="A50" s="49"/>
    </row>
    <row r="51" spans="1:1" x14ac:dyDescent="0.2">
      <c r="A51" s="49"/>
    </row>
    <row r="52" spans="1:1" x14ac:dyDescent="0.2">
      <c r="A52" s="49"/>
    </row>
    <row r="53" spans="1:1" x14ac:dyDescent="0.2">
      <c r="A53" s="49"/>
    </row>
    <row r="54" spans="1:1" x14ac:dyDescent="0.2">
      <c r="A54" s="50"/>
    </row>
  </sheetData>
  <mergeCells count="19">
    <mergeCell ref="A26:D26"/>
    <mergeCell ref="A38:D38"/>
    <mergeCell ref="A47:D47"/>
    <mergeCell ref="A42:D42"/>
    <mergeCell ref="A43:D43"/>
    <mergeCell ref="A44:D44"/>
    <mergeCell ref="A45:D45"/>
    <mergeCell ref="A30:D30"/>
    <mergeCell ref="A34:D34"/>
    <mergeCell ref="A41:D41"/>
    <mergeCell ref="A7:D7"/>
    <mergeCell ref="A12:D12"/>
    <mergeCell ref="A17:D17"/>
    <mergeCell ref="A22:D22"/>
    <mergeCell ref="A1:R1"/>
    <mergeCell ref="E2:H2"/>
    <mergeCell ref="I2:L2"/>
    <mergeCell ref="M2:P2"/>
    <mergeCell ref="Q2:R2"/>
  </mergeCells>
  <phoneticPr fontId="12" type="noConversion"/>
  <pageMargins left="0.38" right="0.17" top="0.3" bottom="0.5" header="0.31" footer="0.5"/>
  <pageSetup scale="8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7" sqref="D7"/>
    </sheetView>
  </sheetViews>
  <sheetFormatPr defaultRowHeight="15.75" x14ac:dyDescent="0.25"/>
  <cols>
    <col min="1" max="1" width="6.875" bestFit="1" customWidth="1"/>
    <col min="2" max="2" width="10.125" bestFit="1" customWidth="1"/>
    <col min="3" max="3" width="8.875" bestFit="1" customWidth="1"/>
    <col min="4" max="4" width="12.75" bestFit="1" customWidth="1"/>
    <col min="5" max="5" width="14.625" bestFit="1" customWidth="1"/>
  </cols>
  <sheetData>
    <row r="1" spans="1:6" x14ac:dyDescent="0.25">
      <c r="A1" s="203" t="s">
        <v>72</v>
      </c>
      <c r="B1" s="203" t="s">
        <v>65</v>
      </c>
      <c r="C1" s="203" t="s">
        <v>41</v>
      </c>
      <c r="D1" s="203" t="s">
        <v>83</v>
      </c>
      <c r="E1" s="203" t="s">
        <v>66</v>
      </c>
    </row>
    <row r="2" spans="1:6" x14ac:dyDescent="0.25">
      <c r="A2" s="204">
        <v>146</v>
      </c>
      <c r="B2" s="205" t="s">
        <v>77</v>
      </c>
      <c r="C2" s="206">
        <v>39914</v>
      </c>
      <c r="D2" s="207">
        <v>16982</v>
      </c>
      <c r="E2" s="207">
        <v>125791.4570507942</v>
      </c>
    </row>
    <row r="3" spans="1:6" x14ac:dyDescent="0.25">
      <c r="A3" s="204">
        <v>152</v>
      </c>
      <c r="B3" s="205" t="s">
        <v>77</v>
      </c>
      <c r="C3" s="206">
        <v>39928</v>
      </c>
      <c r="D3" s="207">
        <v>10685</v>
      </c>
      <c r="E3" s="207">
        <v>101760.96045985553</v>
      </c>
    </row>
    <row r="4" spans="1:6" x14ac:dyDescent="0.25">
      <c r="A4" s="204">
        <v>158</v>
      </c>
      <c r="B4" s="205" t="s">
        <v>77</v>
      </c>
      <c r="C4" s="206">
        <v>39930</v>
      </c>
      <c r="D4" s="207">
        <v>6506</v>
      </c>
      <c r="E4" s="207">
        <v>84864.403774636972</v>
      </c>
    </row>
    <row r="5" spans="1:6" x14ac:dyDescent="0.25">
      <c r="A5" s="204">
        <v>163</v>
      </c>
      <c r="B5" s="205" t="s">
        <v>77</v>
      </c>
      <c r="C5" s="206">
        <v>39943</v>
      </c>
      <c r="D5" s="207">
        <v>4595</v>
      </c>
      <c r="E5" s="207">
        <v>91926.223303245642</v>
      </c>
    </row>
    <row r="6" spans="1:6" x14ac:dyDescent="0.25">
      <c r="D6" s="208"/>
      <c r="E6" s="208"/>
    </row>
    <row r="7" spans="1:6" x14ac:dyDescent="0.25">
      <c r="D7" s="208">
        <f>SUM(D2:D6)</f>
        <v>38768</v>
      </c>
      <c r="E7" s="208">
        <f>SUM(E2:E6)</f>
        <v>404343.0445885323</v>
      </c>
      <c r="F7" s="202">
        <f>+D7/E7</f>
        <v>9.5878983251588029E-2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22" workbookViewId="0">
      <selection activeCell="A43" sqref="A43:E44"/>
    </sheetView>
  </sheetViews>
  <sheetFormatPr defaultRowHeight="15.75" x14ac:dyDescent="0.25"/>
  <cols>
    <col min="1" max="7" width="12.125" customWidth="1"/>
  </cols>
  <sheetData>
    <row r="1" spans="1:7" x14ac:dyDescent="0.25">
      <c r="A1" s="91" t="s">
        <v>72</v>
      </c>
      <c r="B1" s="91" t="s">
        <v>65</v>
      </c>
      <c r="C1" s="91" t="s">
        <v>41</v>
      </c>
      <c r="D1" s="91" t="s">
        <v>73</v>
      </c>
      <c r="E1" s="91" t="s">
        <v>74</v>
      </c>
      <c r="F1" s="91" t="s">
        <v>75</v>
      </c>
      <c r="G1" s="91" t="s">
        <v>67</v>
      </c>
    </row>
    <row r="2" spans="1:7" x14ac:dyDescent="0.25">
      <c r="A2" s="95">
        <v>138</v>
      </c>
      <c r="B2" s="93" t="s">
        <v>9</v>
      </c>
      <c r="C2" s="94">
        <v>39901</v>
      </c>
      <c r="D2" s="95">
        <v>200</v>
      </c>
      <c r="E2" s="95">
        <v>8</v>
      </c>
      <c r="F2" s="95">
        <v>8</v>
      </c>
      <c r="G2" s="95">
        <v>0.04</v>
      </c>
    </row>
    <row r="3" spans="1:7" x14ac:dyDescent="0.25">
      <c r="A3" s="95">
        <v>139</v>
      </c>
      <c r="B3" s="93" t="s">
        <v>10</v>
      </c>
      <c r="C3" s="94">
        <v>39899</v>
      </c>
      <c r="D3" s="95">
        <v>90</v>
      </c>
      <c r="E3" s="95">
        <v>7</v>
      </c>
      <c r="F3" s="95">
        <v>7</v>
      </c>
      <c r="G3" s="95">
        <v>7.7777777777777779E-2</v>
      </c>
    </row>
    <row r="4" spans="1:7" x14ac:dyDescent="0.25">
      <c r="A4" s="95">
        <v>142</v>
      </c>
      <c r="B4" s="93" t="s">
        <v>8</v>
      </c>
      <c r="C4" s="94">
        <v>39899</v>
      </c>
      <c r="D4" s="95">
        <v>200</v>
      </c>
      <c r="E4" s="95">
        <v>17</v>
      </c>
      <c r="F4" s="95">
        <v>17</v>
      </c>
      <c r="G4" s="95">
        <v>8.5000000000000006E-2</v>
      </c>
    </row>
    <row r="8" spans="1:7" x14ac:dyDescent="0.25">
      <c r="A8" s="91" t="s">
        <v>65</v>
      </c>
      <c r="B8" s="91" t="s">
        <v>41</v>
      </c>
      <c r="C8" s="91" t="s">
        <v>66</v>
      </c>
      <c r="D8" s="91" t="s">
        <v>67</v>
      </c>
      <c r="E8" s="91" t="s">
        <v>68</v>
      </c>
    </row>
    <row r="9" spans="1:7" x14ac:dyDescent="0.25">
      <c r="A9" s="97" t="s">
        <v>9</v>
      </c>
      <c r="B9" s="98">
        <v>39900</v>
      </c>
      <c r="C9" s="99">
        <v>82639</v>
      </c>
      <c r="D9" s="99">
        <v>0.04</v>
      </c>
      <c r="E9" s="99">
        <v>3305.56</v>
      </c>
    </row>
    <row r="10" spans="1:7" x14ac:dyDescent="0.25">
      <c r="A10" s="97" t="s">
        <v>9</v>
      </c>
      <c r="B10" s="98">
        <v>39901</v>
      </c>
      <c r="C10" s="99">
        <v>82051</v>
      </c>
      <c r="D10" s="99">
        <v>0.04</v>
      </c>
      <c r="E10" s="99">
        <v>3282.04</v>
      </c>
    </row>
    <row r="11" spans="1:7" x14ac:dyDescent="0.25">
      <c r="A11" s="97" t="s">
        <v>10</v>
      </c>
      <c r="B11" s="98">
        <v>39899</v>
      </c>
      <c r="C11" s="99">
        <v>37803</v>
      </c>
      <c r="D11" s="99">
        <v>7.7777777777777779E-2</v>
      </c>
      <c r="E11" s="99">
        <v>2940.2333333333331</v>
      </c>
    </row>
    <row r="12" spans="1:7" x14ac:dyDescent="0.25">
      <c r="A12" s="97" t="s">
        <v>10</v>
      </c>
      <c r="B12" s="98">
        <v>39900</v>
      </c>
      <c r="C12" s="99">
        <v>65608</v>
      </c>
      <c r="D12" s="99">
        <v>7.7777777777777779E-2</v>
      </c>
      <c r="E12" s="99">
        <v>5102.8444444444449</v>
      </c>
    </row>
    <row r="13" spans="1:7" x14ac:dyDescent="0.25">
      <c r="A13" s="97" t="s">
        <v>10</v>
      </c>
      <c r="B13" s="98">
        <v>39901</v>
      </c>
      <c r="C13" s="99">
        <v>46659</v>
      </c>
      <c r="D13" s="99">
        <v>7.7777777777777779E-2</v>
      </c>
      <c r="E13" s="99">
        <v>3629.0333333333333</v>
      </c>
    </row>
    <row r="14" spans="1:7" x14ac:dyDescent="0.25">
      <c r="A14" s="97" t="s">
        <v>8</v>
      </c>
      <c r="B14" s="98">
        <v>39899</v>
      </c>
      <c r="C14" s="99">
        <v>35010</v>
      </c>
      <c r="D14" s="99">
        <v>8.5000000000000006E-2</v>
      </c>
      <c r="E14" s="99">
        <v>2975.85</v>
      </c>
    </row>
    <row r="15" spans="1:7" x14ac:dyDescent="0.25">
      <c r="A15" s="100"/>
      <c r="B15" s="100"/>
      <c r="C15" s="100"/>
      <c r="D15" s="100"/>
      <c r="E15" s="100"/>
    </row>
    <row r="16" spans="1:7" x14ac:dyDescent="0.25">
      <c r="A16" s="91" t="s">
        <v>65</v>
      </c>
      <c r="B16" s="91" t="s">
        <v>41</v>
      </c>
      <c r="C16" s="91" t="s">
        <v>66</v>
      </c>
      <c r="D16" s="91" t="s">
        <v>67</v>
      </c>
      <c r="E16" s="91" t="s">
        <v>68</v>
      </c>
    </row>
    <row r="17" spans="1:5" x14ac:dyDescent="0.25">
      <c r="A17" s="97" t="s">
        <v>77</v>
      </c>
      <c r="B17" s="98">
        <v>39914</v>
      </c>
      <c r="C17" s="99">
        <v>68010</v>
      </c>
      <c r="D17" s="99">
        <v>0.13500000000000001</v>
      </c>
      <c r="E17" s="99">
        <v>9181.35</v>
      </c>
    </row>
    <row r="18" spans="1:5" x14ac:dyDescent="0.25">
      <c r="A18" s="97" t="s">
        <v>77</v>
      </c>
      <c r="B18" s="98">
        <v>39915</v>
      </c>
      <c r="C18" s="99">
        <v>15746</v>
      </c>
      <c r="D18" s="99">
        <v>0.13500000000000001</v>
      </c>
      <c r="E18" s="99">
        <v>2125.71</v>
      </c>
    </row>
    <row r="19" spans="1:5" x14ac:dyDescent="0.25">
      <c r="A19" s="97" t="s">
        <v>8</v>
      </c>
      <c r="B19" s="98">
        <v>39913</v>
      </c>
      <c r="C19" s="99">
        <v>33045</v>
      </c>
      <c r="D19" s="99">
        <v>0.04</v>
      </c>
      <c r="E19" s="99">
        <v>1321.8</v>
      </c>
    </row>
    <row r="20" spans="1:5" x14ac:dyDescent="0.25">
      <c r="A20" s="97" t="s">
        <v>8</v>
      </c>
      <c r="B20" s="98">
        <v>39914</v>
      </c>
      <c r="C20" s="99">
        <v>53230</v>
      </c>
      <c r="D20" s="99">
        <v>0.04</v>
      </c>
      <c r="E20" s="99">
        <v>2129.1999999999998</v>
      </c>
    </row>
    <row r="21" spans="1:5" x14ac:dyDescent="0.25">
      <c r="A21" s="97" t="s">
        <v>8</v>
      </c>
      <c r="B21" s="98">
        <v>39915</v>
      </c>
      <c r="C21" s="99">
        <v>9603</v>
      </c>
      <c r="D21" s="99">
        <v>0.04</v>
      </c>
      <c r="E21" s="99">
        <v>384.12</v>
      </c>
    </row>
    <row r="24" spans="1:5" x14ac:dyDescent="0.25">
      <c r="A24" s="91" t="s">
        <v>65</v>
      </c>
      <c r="B24" s="91" t="s">
        <v>41</v>
      </c>
      <c r="C24" s="91" t="s">
        <v>66</v>
      </c>
      <c r="D24" s="91" t="s">
        <v>67</v>
      </c>
      <c r="E24" s="91" t="s">
        <v>68</v>
      </c>
    </row>
    <row r="25" spans="1:5" x14ac:dyDescent="0.25">
      <c r="A25" s="97" t="s">
        <v>9</v>
      </c>
      <c r="B25" s="98">
        <v>39928</v>
      </c>
      <c r="C25" s="99">
        <v>110295</v>
      </c>
      <c r="D25" s="99">
        <v>4.6666666666666669E-2</v>
      </c>
      <c r="E25" s="99">
        <v>5147.1000000000004</v>
      </c>
    </row>
    <row r="26" spans="1:5" x14ac:dyDescent="0.25">
      <c r="A26" s="97" t="s">
        <v>9</v>
      </c>
      <c r="B26" s="98">
        <v>39929</v>
      </c>
      <c r="C26" s="99">
        <v>97063</v>
      </c>
      <c r="D26" s="99">
        <v>4.6666666666666669E-2</v>
      </c>
      <c r="E26" s="99">
        <v>4529.6066666666666</v>
      </c>
    </row>
    <row r="27" spans="1:5" x14ac:dyDescent="0.25">
      <c r="A27" s="97" t="s">
        <v>77</v>
      </c>
      <c r="B27" s="98">
        <v>39914</v>
      </c>
      <c r="C27" s="99">
        <v>68010</v>
      </c>
      <c r="D27" s="99">
        <v>0.105</v>
      </c>
      <c r="E27" s="99">
        <v>7141.05</v>
      </c>
    </row>
    <row r="28" spans="1:5" x14ac:dyDescent="0.25">
      <c r="A28" s="97" t="s">
        <v>77</v>
      </c>
      <c r="B28" s="98">
        <v>39915</v>
      </c>
      <c r="C28" s="99">
        <v>15746</v>
      </c>
      <c r="D28" s="99">
        <v>0.105</v>
      </c>
      <c r="E28" s="99">
        <v>1653.33</v>
      </c>
    </row>
    <row r="29" spans="1:5" x14ac:dyDescent="0.25">
      <c r="A29" s="97" t="s">
        <v>77</v>
      </c>
      <c r="B29" s="98">
        <v>39928</v>
      </c>
      <c r="C29" s="99">
        <v>76930</v>
      </c>
      <c r="D29" s="99">
        <v>0.105</v>
      </c>
      <c r="E29" s="99">
        <v>8077.65</v>
      </c>
    </row>
    <row r="30" spans="1:5" x14ac:dyDescent="0.25">
      <c r="A30" s="97" t="s">
        <v>10</v>
      </c>
      <c r="B30" s="98">
        <v>39928</v>
      </c>
      <c r="C30" s="99">
        <v>69135</v>
      </c>
      <c r="D30" s="99">
        <v>3.7499999999999999E-2</v>
      </c>
      <c r="E30" s="99">
        <v>2592.5625</v>
      </c>
    </row>
    <row r="31" spans="1:5" x14ac:dyDescent="0.25">
      <c r="A31" s="97" t="s">
        <v>10</v>
      </c>
      <c r="B31" s="98">
        <v>39929</v>
      </c>
      <c r="C31" s="99">
        <v>55899</v>
      </c>
      <c r="D31" s="99">
        <v>3.7499999999999999E-2</v>
      </c>
      <c r="E31" s="99">
        <v>2096.2125000000001</v>
      </c>
    </row>
    <row r="33" spans="1:6" x14ac:dyDescent="0.25">
      <c r="A33" s="101" t="s">
        <v>65</v>
      </c>
      <c r="B33" s="101" t="s">
        <v>41</v>
      </c>
      <c r="C33" s="101" t="s">
        <v>78</v>
      </c>
      <c r="D33" s="101" t="s">
        <v>79</v>
      </c>
      <c r="E33" s="101" t="s">
        <v>80</v>
      </c>
      <c r="F33" s="101" t="s">
        <v>81</v>
      </c>
    </row>
    <row r="34" spans="1:6" x14ac:dyDescent="0.25">
      <c r="A34" s="97" t="s">
        <v>9</v>
      </c>
      <c r="B34" s="98">
        <v>39930</v>
      </c>
      <c r="C34" s="99">
        <v>2558</v>
      </c>
      <c r="D34" s="99">
        <v>38432</v>
      </c>
      <c r="E34" s="102">
        <v>14.998870822041553</v>
      </c>
      <c r="F34" s="99">
        <v>6</v>
      </c>
    </row>
    <row r="35" spans="1:6" x14ac:dyDescent="0.25">
      <c r="A35" s="97" t="s">
        <v>77</v>
      </c>
      <c r="B35" s="98">
        <v>39930</v>
      </c>
      <c r="C35" s="99">
        <v>4930</v>
      </c>
      <c r="D35" s="99">
        <v>62774</v>
      </c>
      <c r="E35" s="102">
        <v>12.208905380333951</v>
      </c>
      <c r="F35" s="99">
        <v>7</v>
      </c>
    </row>
    <row r="36" spans="1:6" x14ac:dyDescent="0.25">
      <c r="A36" s="97" t="s">
        <v>10</v>
      </c>
      <c r="B36" s="98">
        <v>39930</v>
      </c>
      <c r="C36" s="99">
        <v>1439</v>
      </c>
      <c r="D36" s="99">
        <v>21585</v>
      </c>
      <c r="E36" s="102">
        <v>15</v>
      </c>
      <c r="F36" s="99">
        <v>6</v>
      </c>
    </row>
    <row r="37" spans="1:6" x14ac:dyDescent="0.25">
      <c r="A37" s="97" t="s">
        <v>8</v>
      </c>
      <c r="B37" s="98">
        <v>39930</v>
      </c>
      <c r="C37" s="99">
        <v>1081</v>
      </c>
      <c r="D37" s="99">
        <v>16215</v>
      </c>
      <c r="E37" s="102">
        <v>15</v>
      </c>
      <c r="F37" s="99">
        <v>4</v>
      </c>
    </row>
    <row r="39" spans="1:6" x14ac:dyDescent="0.25">
      <c r="A39" s="91" t="s">
        <v>65</v>
      </c>
      <c r="B39" s="91" t="s">
        <v>41</v>
      </c>
      <c r="C39" s="91" t="s">
        <v>66</v>
      </c>
      <c r="D39" s="91" t="s">
        <v>67</v>
      </c>
      <c r="E39" s="91" t="s">
        <v>68</v>
      </c>
    </row>
    <row r="40" spans="1:6" x14ac:dyDescent="0.25">
      <c r="A40" s="97" t="s">
        <v>9</v>
      </c>
      <c r="B40" s="98">
        <v>39928</v>
      </c>
      <c r="C40" s="99">
        <v>110295</v>
      </c>
      <c r="D40" s="99">
        <v>4.2666666666666665E-2</v>
      </c>
      <c r="E40" s="99">
        <v>4705.92</v>
      </c>
    </row>
    <row r="41" spans="1:6" x14ac:dyDescent="0.25">
      <c r="A41" s="97" t="s">
        <v>9</v>
      </c>
      <c r="B41" s="98">
        <v>39929</v>
      </c>
      <c r="C41" s="99">
        <v>97063</v>
      </c>
      <c r="D41" s="99">
        <v>4.2666666666666665E-2</v>
      </c>
      <c r="E41" s="99">
        <v>4141.3546666666671</v>
      </c>
    </row>
    <row r="42" spans="1:6" x14ac:dyDescent="0.25">
      <c r="A42" s="97" t="s">
        <v>9</v>
      </c>
      <c r="B42" s="98">
        <v>39930</v>
      </c>
      <c r="C42" s="99">
        <v>38432</v>
      </c>
      <c r="D42" s="99">
        <v>4.2666666666666665E-2</v>
      </c>
      <c r="E42" s="99">
        <v>1639.765333333333</v>
      </c>
    </row>
    <row r="43" spans="1:6" x14ac:dyDescent="0.25">
      <c r="A43" s="97" t="s">
        <v>77</v>
      </c>
      <c r="B43" s="98">
        <v>39928</v>
      </c>
      <c r="C43" s="99">
        <v>76930</v>
      </c>
      <c r="D43" s="99">
        <v>8.7999999999999995E-2</v>
      </c>
      <c r="E43" s="99">
        <v>6769.84</v>
      </c>
    </row>
    <row r="44" spans="1:6" x14ac:dyDescent="0.25">
      <c r="A44" s="97" t="s">
        <v>77</v>
      </c>
      <c r="B44" s="98">
        <v>39930</v>
      </c>
      <c r="C44" s="99">
        <v>62774</v>
      </c>
      <c r="D44" s="99">
        <v>8.7999999999999995E-2</v>
      </c>
      <c r="E44" s="99">
        <v>5524.1119999999992</v>
      </c>
    </row>
    <row r="45" spans="1:6" x14ac:dyDescent="0.25">
      <c r="A45" s="97" t="s">
        <v>10</v>
      </c>
      <c r="B45" s="98">
        <v>39928</v>
      </c>
      <c r="C45" s="99">
        <v>69135</v>
      </c>
      <c r="D45" s="99">
        <v>3.7499999999999999E-2</v>
      </c>
      <c r="E45" s="99">
        <v>2592.5625</v>
      </c>
    </row>
    <row r="46" spans="1:6" x14ac:dyDescent="0.25">
      <c r="A46" s="97" t="s">
        <v>10</v>
      </c>
      <c r="B46" s="98">
        <v>39929</v>
      </c>
      <c r="C46" s="99">
        <v>55899</v>
      </c>
      <c r="D46" s="99">
        <v>3.7499999999999999E-2</v>
      </c>
      <c r="E46" s="99">
        <v>2096.2125000000001</v>
      </c>
    </row>
    <row r="47" spans="1:6" x14ac:dyDescent="0.25">
      <c r="A47" s="97" t="s">
        <v>10</v>
      </c>
      <c r="B47" s="98">
        <v>39930</v>
      </c>
      <c r="C47" s="99">
        <v>21585</v>
      </c>
      <c r="D47" s="99">
        <v>3.7499999999999999E-2</v>
      </c>
      <c r="E47" s="99">
        <v>809.4375</v>
      </c>
    </row>
    <row r="48" spans="1:6" x14ac:dyDescent="0.25">
      <c r="A48" s="97" t="s">
        <v>8</v>
      </c>
      <c r="B48" s="98">
        <v>39930</v>
      </c>
      <c r="C48" s="99">
        <v>16215</v>
      </c>
      <c r="D48" s="99">
        <v>0.01</v>
      </c>
      <c r="E48" s="99">
        <v>162.15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0" sqref="E10"/>
    </sheetView>
  </sheetViews>
  <sheetFormatPr defaultRowHeight="15.75" x14ac:dyDescent="0.25"/>
  <cols>
    <col min="1" max="1" width="6.875" bestFit="1" customWidth="1"/>
    <col min="2" max="2" width="11" bestFit="1" customWidth="1"/>
    <col min="3" max="3" width="8.875" bestFit="1" customWidth="1"/>
    <col min="4" max="4" width="12.75" bestFit="1" customWidth="1"/>
    <col min="5" max="5" width="14.625" bestFit="1" customWidth="1"/>
  </cols>
  <sheetData>
    <row r="1" spans="1:6" x14ac:dyDescent="0.25">
      <c r="A1" s="196" t="s">
        <v>72</v>
      </c>
      <c r="B1" s="196" t="s">
        <v>65</v>
      </c>
      <c r="C1" s="196" t="s">
        <v>41</v>
      </c>
      <c r="D1" s="196" t="s">
        <v>83</v>
      </c>
      <c r="E1" s="196" t="s">
        <v>66</v>
      </c>
    </row>
    <row r="2" spans="1:6" x14ac:dyDescent="0.25">
      <c r="A2" s="197">
        <v>484</v>
      </c>
      <c r="B2" s="198" t="s">
        <v>8</v>
      </c>
      <c r="C2" s="199">
        <v>39851</v>
      </c>
      <c r="D2" s="197">
        <v>2393</v>
      </c>
      <c r="E2" s="200">
        <v>68371.927489803289</v>
      </c>
    </row>
    <row r="3" spans="1:6" x14ac:dyDescent="0.25">
      <c r="A3" s="197">
        <v>142</v>
      </c>
      <c r="B3" s="198" t="s">
        <v>8</v>
      </c>
      <c r="C3" s="199">
        <v>39899</v>
      </c>
      <c r="D3" s="197">
        <v>3522</v>
      </c>
      <c r="E3" s="200">
        <v>41438.170524571964</v>
      </c>
    </row>
    <row r="4" spans="1:6" x14ac:dyDescent="0.25">
      <c r="A4" s="197">
        <v>145</v>
      </c>
      <c r="B4" s="198" t="s">
        <v>8</v>
      </c>
      <c r="C4" s="199">
        <v>39913</v>
      </c>
      <c r="D4" s="197">
        <v>1775</v>
      </c>
      <c r="E4" s="200">
        <v>44364.701750242501</v>
      </c>
    </row>
    <row r="5" spans="1:6" x14ac:dyDescent="0.25">
      <c r="A5" s="197">
        <v>157</v>
      </c>
      <c r="B5" s="198" t="s">
        <v>8</v>
      </c>
      <c r="C5" s="199">
        <v>39930</v>
      </c>
      <c r="D5" s="197">
        <v>189</v>
      </c>
      <c r="E5" s="200">
        <v>18946.350841753556</v>
      </c>
    </row>
    <row r="6" spans="1:6" x14ac:dyDescent="0.25">
      <c r="A6" s="197">
        <v>162</v>
      </c>
      <c r="B6" s="198" t="s">
        <v>8</v>
      </c>
      <c r="C6" s="199">
        <v>39943</v>
      </c>
      <c r="D6" s="197">
        <v>2753</v>
      </c>
      <c r="E6" s="200">
        <v>45905.095705363157</v>
      </c>
    </row>
    <row r="8" spans="1:6" x14ac:dyDescent="0.25">
      <c r="D8" s="201">
        <f>SUM(D2:D7)</f>
        <v>10632</v>
      </c>
      <c r="E8" s="201">
        <f>SUM(E2:E7)</f>
        <v>219026.24631173449</v>
      </c>
      <c r="F8" s="202">
        <f>+D8/E8</f>
        <v>4.8542127617289044E-2</v>
      </c>
    </row>
  </sheetData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0" sqref="D10"/>
    </sheetView>
  </sheetViews>
  <sheetFormatPr defaultRowHeight="15.75" x14ac:dyDescent="0.25"/>
  <cols>
    <col min="1" max="1" width="10.5" bestFit="1" customWidth="1"/>
    <col min="2" max="2" width="8.5" bestFit="1" customWidth="1"/>
    <col min="3" max="3" width="13.625" bestFit="1" customWidth="1"/>
    <col min="4" max="4" width="10.75" bestFit="1" customWidth="1"/>
    <col min="5" max="5" width="11" bestFit="1" customWidth="1"/>
    <col min="6" max="6" width="7" bestFit="1" customWidth="1"/>
    <col min="7" max="7" width="15.75" bestFit="1" customWidth="1"/>
  </cols>
  <sheetData>
    <row r="1" spans="1:7" x14ac:dyDescent="0.25">
      <c r="A1" s="104" t="s">
        <v>72</v>
      </c>
      <c r="B1" s="104" t="s">
        <v>65</v>
      </c>
      <c r="C1" s="104" t="s">
        <v>41</v>
      </c>
      <c r="D1" s="104" t="s">
        <v>83</v>
      </c>
      <c r="E1" s="104" t="s">
        <v>66</v>
      </c>
      <c r="F1" s="92"/>
      <c r="G1" s="92"/>
    </row>
    <row r="2" spans="1:7" x14ac:dyDescent="0.25">
      <c r="A2" s="105">
        <v>474</v>
      </c>
      <c r="B2" s="106" t="s">
        <v>9</v>
      </c>
      <c r="C2" s="107">
        <v>39850</v>
      </c>
      <c r="D2" s="105">
        <v>0</v>
      </c>
      <c r="E2" s="108">
        <v>46064.140968902604</v>
      </c>
      <c r="F2" s="92"/>
      <c r="G2" s="92"/>
    </row>
    <row r="3" spans="1:7" x14ac:dyDescent="0.25">
      <c r="A3" s="105">
        <v>475</v>
      </c>
      <c r="B3" s="106" t="s">
        <v>9</v>
      </c>
      <c r="C3" s="107">
        <v>39851</v>
      </c>
      <c r="D3" s="105">
        <v>3257</v>
      </c>
      <c r="E3" s="108">
        <v>108533.81066672993</v>
      </c>
      <c r="F3" s="92"/>
      <c r="G3" s="92"/>
    </row>
    <row r="4" spans="1:7" x14ac:dyDescent="0.25">
      <c r="A4" s="105">
        <v>138</v>
      </c>
      <c r="B4" s="106" t="s">
        <v>9</v>
      </c>
      <c r="C4" s="107">
        <v>39901</v>
      </c>
      <c r="D4" s="105">
        <v>4370</v>
      </c>
      <c r="E4" s="108">
        <v>109257.99482890373</v>
      </c>
      <c r="F4" s="92"/>
      <c r="G4" s="92"/>
    </row>
    <row r="5" spans="1:7" x14ac:dyDescent="0.25">
      <c r="A5" s="105">
        <v>150</v>
      </c>
      <c r="B5" s="106" t="s">
        <v>9</v>
      </c>
      <c r="C5" s="107">
        <v>39928</v>
      </c>
      <c r="D5" s="105">
        <v>9137</v>
      </c>
      <c r="E5" s="108">
        <v>144271.22123031356</v>
      </c>
      <c r="F5" s="92"/>
      <c r="G5" s="92"/>
    </row>
    <row r="6" spans="1:7" x14ac:dyDescent="0.25">
      <c r="A6" s="105">
        <v>154</v>
      </c>
      <c r="B6" s="106" t="s">
        <v>9</v>
      </c>
      <c r="C6" s="107">
        <v>39929</v>
      </c>
      <c r="D6" s="105">
        <v>3809</v>
      </c>
      <c r="E6" s="108">
        <v>126965.655611594</v>
      </c>
      <c r="F6" s="92"/>
      <c r="G6" s="92"/>
    </row>
    <row r="7" spans="1:7" x14ac:dyDescent="0.25">
      <c r="A7" s="105">
        <v>156</v>
      </c>
      <c r="B7" s="106" t="s">
        <v>9</v>
      </c>
      <c r="C7" s="107">
        <v>39930</v>
      </c>
      <c r="D7" s="105">
        <v>1349</v>
      </c>
      <c r="E7" s="108">
        <v>50614.684398104924</v>
      </c>
    </row>
    <row r="8" spans="1:7" x14ac:dyDescent="0.25">
      <c r="A8" s="105">
        <v>160</v>
      </c>
      <c r="B8" s="106" t="s">
        <v>9</v>
      </c>
      <c r="C8" s="107">
        <v>39942</v>
      </c>
      <c r="D8" s="105">
        <v>3185</v>
      </c>
      <c r="E8" s="108">
        <v>63672.097660102481</v>
      </c>
    </row>
    <row r="9" spans="1:7" x14ac:dyDescent="0.25">
      <c r="D9" s="108">
        <v>28448</v>
      </c>
      <c r="E9" s="108">
        <f>SUM(E2:E8)</f>
        <v>649379.60536465119</v>
      </c>
      <c r="F9" s="109">
        <f>+D9/E9</f>
        <v>4.3807966503699135E-2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8" sqref="D8"/>
    </sheetView>
  </sheetViews>
  <sheetFormatPr defaultRowHeight="15.75" x14ac:dyDescent="0.25"/>
  <cols>
    <col min="1" max="1" width="6.875" bestFit="1" customWidth="1"/>
    <col min="2" max="2" width="10.125" bestFit="1" customWidth="1"/>
    <col min="3" max="3" width="8.625" bestFit="1" customWidth="1"/>
    <col min="4" max="4" width="12.75" bestFit="1" customWidth="1"/>
    <col min="5" max="5" width="14.625" bestFit="1" customWidth="1"/>
  </cols>
  <sheetData>
    <row r="1" spans="1:6" x14ac:dyDescent="0.25">
      <c r="A1" s="209" t="s">
        <v>72</v>
      </c>
      <c r="B1" s="209" t="s">
        <v>65</v>
      </c>
      <c r="C1" s="209" t="s">
        <v>41</v>
      </c>
      <c r="D1" s="209" t="s">
        <v>83</v>
      </c>
      <c r="E1" s="209" t="s">
        <v>66</v>
      </c>
    </row>
    <row r="2" spans="1:6" x14ac:dyDescent="0.25">
      <c r="A2" s="210">
        <v>128</v>
      </c>
      <c r="B2" s="211" t="s">
        <v>10</v>
      </c>
      <c r="C2" s="212">
        <v>39850</v>
      </c>
      <c r="D2" s="207">
        <v>1471</v>
      </c>
      <c r="E2" s="207">
        <v>36753.921178897683</v>
      </c>
    </row>
    <row r="3" spans="1:6" x14ac:dyDescent="0.25">
      <c r="A3" s="210">
        <v>131</v>
      </c>
      <c r="B3" s="211" t="s">
        <v>10</v>
      </c>
      <c r="C3" s="212">
        <v>39851</v>
      </c>
      <c r="D3" s="207">
        <v>2376</v>
      </c>
      <c r="E3" s="207">
        <v>118707.80194986443</v>
      </c>
    </row>
    <row r="4" spans="1:6" x14ac:dyDescent="0.25">
      <c r="A4" s="210">
        <v>139</v>
      </c>
      <c r="B4" s="211" t="s">
        <v>10</v>
      </c>
      <c r="C4" s="212">
        <v>39899</v>
      </c>
      <c r="D4" s="207">
        <v>3480</v>
      </c>
      <c r="E4" s="207">
        <v>44725.102198825836</v>
      </c>
    </row>
    <row r="5" spans="1:6" x14ac:dyDescent="0.25">
      <c r="A5" s="210">
        <v>151</v>
      </c>
      <c r="B5" s="211" t="s">
        <v>10</v>
      </c>
      <c r="C5" s="212">
        <v>39928</v>
      </c>
      <c r="D5" s="207">
        <v>3037</v>
      </c>
      <c r="E5" s="207">
        <v>82806.948632495914</v>
      </c>
    </row>
    <row r="6" spans="1:6" x14ac:dyDescent="0.25">
      <c r="A6" s="210">
        <v>153</v>
      </c>
      <c r="B6" s="211" t="s">
        <v>10</v>
      </c>
      <c r="C6" s="212">
        <v>39929</v>
      </c>
      <c r="D6" s="207">
        <v>2710</v>
      </c>
      <c r="E6" s="207">
        <v>67762.952233563454</v>
      </c>
    </row>
    <row r="7" spans="1:6" x14ac:dyDescent="0.25">
      <c r="D7" s="213"/>
      <c r="E7" s="213"/>
    </row>
    <row r="8" spans="1:6" x14ac:dyDescent="0.25">
      <c r="D8" s="208">
        <v>26604</v>
      </c>
      <c r="E8" s="208">
        <f>SUM(E2:E7)</f>
        <v>350756.72619364731</v>
      </c>
      <c r="F8" s="202">
        <f>+D8/E8</f>
        <v>7.5847440728228105E-2</v>
      </c>
    </row>
  </sheetData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70"/>
  <sheetViews>
    <sheetView workbookViewId="0">
      <selection activeCell="A2" sqref="A2"/>
    </sheetView>
  </sheetViews>
  <sheetFormatPr defaultRowHeight="15.75" x14ac:dyDescent="0.25"/>
  <cols>
    <col min="1" max="1" width="16.25" bestFit="1" customWidth="1"/>
    <col min="2" max="2" width="5.875" bestFit="1" customWidth="1"/>
    <col min="3" max="3" width="13.75" bestFit="1" customWidth="1"/>
    <col min="4" max="4" width="11.25" bestFit="1" customWidth="1"/>
    <col min="5" max="5" width="14" bestFit="1" customWidth="1"/>
    <col min="6" max="6" width="10.75" bestFit="1" customWidth="1"/>
    <col min="7" max="7" width="2.25" customWidth="1"/>
    <col min="8" max="8" width="16.25" bestFit="1" customWidth="1"/>
    <col min="9" max="9" width="5.875" bestFit="1" customWidth="1"/>
    <col min="10" max="10" width="13.75" bestFit="1" customWidth="1"/>
    <col min="11" max="11" width="11.25" bestFit="1" customWidth="1"/>
    <col min="12" max="12" width="14" bestFit="1" customWidth="1"/>
    <col min="13" max="13" width="10.75" bestFit="1" customWidth="1"/>
    <col min="14" max="14" width="2.625" customWidth="1"/>
    <col min="15" max="15" width="16.25" bestFit="1" customWidth="1"/>
    <col min="16" max="16" width="5.875" bestFit="1" customWidth="1"/>
    <col min="17" max="17" width="13.75" bestFit="1" customWidth="1"/>
    <col min="18" max="18" width="11.25" bestFit="1" customWidth="1"/>
    <col min="19" max="19" width="14" bestFit="1" customWidth="1"/>
    <col min="20" max="20" width="10.75" bestFit="1" customWidth="1"/>
    <col min="21" max="21" width="2.625" customWidth="1"/>
    <col min="22" max="22" width="16.25" bestFit="1" customWidth="1"/>
    <col min="23" max="23" width="5.875" bestFit="1" customWidth="1"/>
    <col min="24" max="24" width="13.75" bestFit="1" customWidth="1"/>
    <col min="25" max="25" width="11.25" bestFit="1" customWidth="1"/>
    <col min="26" max="26" width="14" bestFit="1" customWidth="1"/>
    <col min="27" max="27" width="10.75" bestFit="1" customWidth="1"/>
    <col min="28" max="28" width="1.75" customWidth="1"/>
    <col min="29" max="29" width="16.25" bestFit="1" customWidth="1"/>
    <col min="30" max="30" width="5.875" bestFit="1" customWidth="1"/>
    <col min="31" max="31" width="13.75" bestFit="1" customWidth="1"/>
    <col min="32" max="32" width="11.25" bestFit="1" customWidth="1"/>
    <col min="33" max="33" width="14" bestFit="1" customWidth="1"/>
    <col min="34" max="34" width="10.75" bestFit="1" customWidth="1"/>
  </cols>
  <sheetData>
    <row r="1" spans="1:34" x14ac:dyDescent="0.25">
      <c r="A1" s="25" t="s">
        <v>64</v>
      </c>
    </row>
    <row r="2" spans="1:34" ht="16.5" thickBot="1" x14ac:dyDescent="0.3">
      <c r="A2" s="25"/>
    </row>
    <row r="3" spans="1:34" x14ac:dyDescent="0.25">
      <c r="A3" s="236" t="s">
        <v>7</v>
      </c>
      <c r="B3" s="237"/>
      <c r="C3" s="237"/>
      <c r="D3" s="237"/>
      <c r="E3" s="237"/>
      <c r="F3" s="238"/>
      <c r="H3" s="236" t="s">
        <v>8</v>
      </c>
      <c r="I3" s="237"/>
      <c r="J3" s="237"/>
      <c r="K3" s="237"/>
      <c r="L3" s="237"/>
      <c r="M3" s="238"/>
      <c r="O3" s="236" t="s">
        <v>9</v>
      </c>
      <c r="P3" s="237"/>
      <c r="Q3" s="237"/>
      <c r="R3" s="237"/>
      <c r="S3" s="237"/>
      <c r="T3" s="238"/>
      <c r="V3" s="236" t="s">
        <v>10</v>
      </c>
      <c r="W3" s="237"/>
      <c r="X3" s="237"/>
      <c r="Y3" s="237"/>
      <c r="Z3" s="237"/>
      <c r="AA3" s="238"/>
      <c r="AC3" s="236" t="s">
        <v>11</v>
      </c>
      <c r="AD3" s="237"/>
      <c r="AE3" s="237"/>
      <c r="AF3" s="237"/>
      <c r="AG3" s="237"/>
      <c r="AH3" s="238"/>
    </row>
    <row r="4" spans="1:34" x14ac:dyDescent="0.25">
      <c r="A4" s="20" t="s">
        <v>41</v>
      </c>
      <c r="B4" s="19" t="s">
        <v>36</v>
      </c>
      <c r="C4" s="19" t="s">
        <v>37</v>
      </c>
      <c r="D4" s="19" t="s">
        <v>38</v>
      </c>
      <c r="E4" s="19" t="s">
        <v>39</v>
      </c>
      <c r="F4" s="21" t="s">
        <v>40</v>
      </c>
      <c r="H4" s="20" t="s">
        <v>41</v>
      </c>
      <c r="I4" s="19" t="s">
        <v>36</v>
      </c>
      <c r="J4" s="19" t="s">
        <v>37</v>
      </c>
      <c r="K4" s="19" t="s">
        <v>38</v>
      </c>
      <c r="L4" s="19" t="s">
        <v>39</v>
      </c>
      <c r="M4" s="21" t="s">
        <v>40</v>
      </c>
      <c r="O4" s="20" t="s">
        <v>41</v>
      </c>
      <c r="P4" s="19" t="s">
        <v>36</v>
      </c>
      <c r="Q4" s="19" t="s">
        <v>37</v>
      </c>
      <c r="R4" s="19" t="s">
        <v>38</v>
      </c>
      <c r="S4" s="19" t="s">
        <v>39</v>
      </c>
      <c r="T4" s="21" t="s">
        <v>40</v>
      </c>
      <c r="V4" s="20" t="s">
        <v>41</v>
      </c>
      <c r="W4" s="19" t="s">
        <v>36</v>
      </c>
      <c r="X4" s="19" t="s">
        <v>37</v>
      </c>
      <c r="Y4" s="19" t="s">
        <v>38</v>
      </c>
      <c r="Z4" s="19" t="s">
        <v>39</v>
      </c>
      <c r="AA4" s="21" t="s">
        <v>40</v>
      </c>
      <c r="AC4" s="20" t="s">
        <v>41</v>
      </c>
      <c r="AD4" s="19" t="s">
        <v>36</v>
      </c>
      <c r="AE4" s="19" t="s">
        <v>37</v>
      </c>
      <c r="AF4" s="19" t="s">
        <v>38</v>
      </c>
      <c r="AG4" s="19" t="s">
        <v>39</v>
      </c>
      <c r="AH4" s="21" t="s">
        <v>40</v>
      </c>
    </row>
    <row r="5" spans="1:34" x14ac:dyDescent="0.25">
      <c r="A5" s="22"/>
      <c r="B5" s="18"/>
      <c r="C5" s="18"/>
      <c r="D5" s="18"/>
      <c r="E5" s="18"/>
      <c r="F5" s="23" t="e">
        <f>E5/C5</f>
        <v>#DIV/0!</v>
      </c>
      <c r="G5" s="31"/>
      <c r="H5" s="22"/>
      <c r="I5" s="18"/>
      <c r="J5" s="18"/>
      <c r="K5" s="18"/>
      <c r="L5" s="18"/>
      <c r="M5" s="23" t="e">
        <f>L5/J5</f>
        <v>#DIV/0!</v>
      </c>
      <c r="N5" s="31"/>
      <c r="O5" s="22"/>
      <c r="P5" s="18"/>
      <c r="Q5" s="18"/>
      <c r="R5" s="18"/>
      <c r="S5" s="18"/>
      <c r="T5" s="23" t="e">
        <f>S5/Q5</f>
        <v>#DIV/0!</v>
      </c>
      <c r="U5" s="31"/>
      <c r="V5" s="22"/>
      <c r="W5" s="18"/>
      <c r="X5" s="18"/>
      <c r="Y5" s="18"/>
      <c r="Z5" s="18"/>
      <c r="AA5" s="23" t="e">
        <f>Z5/X5</f>
        <v>#DIV/0!</v>
      </c>
      <c r="AC5" s="22"/>
      <c r="AD5" s="18"/>
      <c r="AE5" s="18"/>
      <c r="AF5" s="18"/>
      <c r="AG5" s="18"/>
      <c r="AH5" s="23" t="e">
        <f>AG5/AE5</f>
        <v>#DIV/0!</v>
      </c>
    </row>
    <row r="6" spans="1:34" x14ac:dyDescent="0.25">
      <c r="A6" s="22"/>
      <c r="B6" s="18"/>
      <c r="C6" s="18"/>
      <c r="D6" s="18"/>
      <c r="E6" s="18"/>
      <c r="F6" s="23"/>
      <c r="G6" s="31"/>
      <c r="H6" s="22"/>
      <c r="I6" s="18"/>
      <c r="J6" s="18"/>
      <c r="K6" s="18"/>
      <c r="L6" s="18"/>
      <c r="M6" s="23" t="e">
        <f>L6/J6</f>
        <v>#DIV/0!</v>
      </c>
      <c r="N6" s="31"/>
      <c r="O6" s="22"/>
      <c r="P6" s="18"/>
      <c r="Q6" s="18"/>
      <c r="R6" s="18"/>
      <c r="S6" s="18"/>
      <c r="T6" s="23" t="e">
        <f>S6/Q6</f>
        <v>#DIV/0!</v>
      </c>
      <c r="U6" s="31"/>
      <c r="V6" s="22"/>
      <c r="W6" s="18"/>
      <c r="X6" s="18"/>
      <c r="Y6" s="18"/>
      <c r="Z6" s="18"/>
      <c r="AA6" s="23" t="e">
        <f>Z6/X6</f>
        <v>#DIV/0!</v>
      </c>
      <c r="AC6" s="22"/>
      <c r="AD6" s="18"/>
      <c r="AE6" s="18"/>
      <c r="AF6" s="18"/>
      <c r="AG6" s="18"/>
      <c r="AH6" s="23" t="e">
        <f>AG6/AE6</f>
        <v>#DIV/0!</v>
      </c>
    </row>
    <row r="7" spans="1:34" x14ac:dyDescent="0.25">
      <c r="A7" s="22"/>
      <c r="B7" s="18"/>
      <c r="C7" s="18"/>
      <c r="D7" s="18"/>
      <c r="E7" s="18"/>
      <c r="F7" s="23"/>
      <c r="G7" s="31"/>
      <c r="H7" s="22"/>
      <c r="I7" s="18"/>
      <c r="J7" s="18"/>
      <c r="K7" s="18"/>
      <c r="L7" s="18"/>
      <c r="M7" s="23" t="e">
        <f>L7/J7</f>
        <v>#DIV/0!</v>
      </c>
      <c r="N7" s="31"/>
      <c r="O7" s="22"/>
      <c r="P7" s="18"/>
      <c r="Q7" s="18"/>
      <c r="R7" s="18"/>
      <c r="S7" s="18"/>
      <c r="T7" s="23" t="e">
        <f>S7/Q7</f>
        <v>#DIV/0!</v>
      </c>
      <c r="U7" s="31"/>
      <c r="V7" s="22"/>
      <c r="W7" s="18"/>
      <c r="X7" s="18"/>
      <c r="Y7" s="18"/>
      <c r="Z7" s="18"/>
      <c r="AA7" s="23"/>
      <c r="AC7" s="22"/>
      <c r="AD7" s="18"/>
      <c r="AE7" s="18"/>
      <c r="AF7" s="18"/>
      <c r="AG7" s="18"/>
      <c r="AH7" s="23" t="e">
        <f>AG7/AE7</f>
        <v>#DIV/0!</v>
      </c>
    </row>
    <row r="8" spans="1:34" x14ac:dyDescent="0.25">
      <c r="A8" s="22"/>
      <c r="B8" s="18"/>
      <c r="C8" s="18"/>
      <c r="D8" s="18"/>
      <c r="E8" s="18"/>
      <c r="F8" s="23"/>
      <c r="G8" s="31"/>
      <c r="H8" s="22"/>
      <c r="I8" s="18"/>
      <c r="J8" s="18"/>
      <c r="K8" s="18"/>
      <c r="L8" s="18"/>
      <c r="M8" s="23" t="e">
        <f>L8/J8</f>
        <v>#DIV/0!</v>
      </c>
      <c r="N8" s="31"/>
      <c r="O8" s="22"/>
      <c r="P8" s="18"/>
      <c r="Q8" s="18"/>
      <c r="R8" s="18"/>
      <c r="S8" s="18"/>
      <c r="T8" s="23" t="e">
        <f>S8/Q8</f>
        <v>#DIV/0!</v>
      </c>
      <c r="U8" s="31"/>
      <c r="V8" s="22"/>
      <c r="W8" s="18"/>
      <c r="X8" s="18"/>
      <c r="Y8" s="18"/>
      <c r="Z8" s="18"/>
      <c r="AA8" s="23"/>
      <c r="AC8" s="22"/>
      <c r="AD8" s="18"/>
      <c r="AE8" s="18"/>
      <c r="AF8" s="18"/>
      <c r="AG8" s="18"/>
      <c r="AH8" s="23" t="e">
        <f>AG8/AE8</f>
        <v>#DIV/0!</v>
      </c>
    </row>
    <row r="9" spans="1:34" ht="16.5" thickBot="1" x14ac:dyDescent="0.3">
      <c r="A9" s="28"/>
      <c r="B9" s="26"/>
      <c r="C9" s="26"/>
      <c r="D9" s="26"/>
      <c r="E9" s="26"/>
      <c r="F9" s="27"/>
      <c r="G9" s="31"/>
      <c r="H9" s="22"/>
      <c r="I9" s="18"/>
      <c r="J9" s="18"/>
      <c r="K9" s="18"/>
      <c r="L9" s="18"/>
      <c r="M9" s="23" t="e">
        <f>L9/J9</f>
        <v>#DIV/0!</v>
      </c>
      <c r="N9" s="31"/>
      <c r="O9" s="22"/>
      <c r="P9" s="18"/>
      <c r="Q9" s="18"/>
      <c r="R9" s="18"/>
      <c r="S9" s="18"/>
      <c r="T9" s="23"/>
      <c r="U9" s="31"/>
      <c r="V9" s="22"/>
      <c r="W9" s="18"/>
      <c r="X9" s="26"/>
      <c r="Y9" s="26"/>
      <c r="Z9" s="26"/>
      <c r="AA9" s="27"/>
      <c r="AC9" s="22"/>
      <c r="AD9" s="18"/>
      <c r="AE9" s="18"/>
      <c r="AF9" s="18"/>
      <c r="AG9" s="18"/>
      <c r="AH9" s="23" t="e">
        <f>AG9/AE9</f>
        <v>#DIV/0!</v>
      </c>
    </row>
    <row r="10" spans="1:34" ht="16.5" thickBot="1" x14ac:dyDescent="0.3">
      <c r="A10" s="234" t="s">
        <v>42</v>
      </c>
      <c r="B10" s="235"/>
      <c r="C10" s="29">
        <f>SUM(C5:C9)</f>
        <v>0</v>
      </c>
      <c r="D10" s="29">
        <f>SUM(D5:D9)</f>
        <v>0</v>
      </c>
      <c r="E10" s="29">
        <f>SUM(E5:E9)</f>
        <v>0</v>
      </c>
      <c r="F10" s="30" t="e">
        <f>E10/C10</f>
        <v>#DIV/0!</v>
      </c>
      <c r="G10" s="31"/>
      <c r="H10" s="22"/>
      <c r="I10" s="18"/>
      <c r="J10" s="18"/>
      <c r="K10" s="18"/>
      <c r="L10" s="18"/>
      <c r="M10" s="23"/>
      <c r="N10" s="31"/>
      <c r="O10" s="22"/>
      <c r="P10" s="18"/>
      <c r="Q10" s="26"/>
      <c r="R10" s="26"/>
      <c r="S10" s="26"/>
      <c r="T10" s="27"/>
      <c r="U10" s="31"/>
      <c r="V10" s="234" t="s">
        <v>42</v>
      </c>
      <c r="W10" s="235"/>
      <c r="X10" s="29">
        <f>SUM(X5:X9)</f>
        <v>0</v>
      </c>
      <c r="Y10" s="29">
        <f>SUM(Y5:Y9)</f>
        <v>0</v>
      </c>
      <c r="Z10" s="29">
        <f>SUM(Z5:Z9)</f>
        <v>0</v>
      </c>
      <c r="AA10" s="30" t="e">
        <f>Z10/X10</f>
        <v>#DIV/0!</v>
      </c>
      <c r="AC10" s="22"/>
      <c r="AD10" s="18"/>
      <c r="AE10" s="18"/>
      <c r="AF10" s="18"/>
      <c r="AG10" s="18"/>
      <c r="AH10" s="23"/>
    </row>
    <row r="11" spans="1:34" ht="16.5" thickBot="1" x14ac:dyDescent="0.3">
      <c r="G11" s="31"/>
      <c r="H11" s="22"/>
      <c r="I11" s="18"/>
      <c r="J11" s="18"/>
      <c r="K11" s="18"/>
      <c r="L11" s="18"/>
      <c r="M11" s="23"/>
      <c r="N11" s="31"/>
      <c r="O11" s="234" t="s">
        <v>42</v>
      </c>
      <c r="P11" s="235"/>
      <c r="Q11" s="29">
        <f>SUM(Q5:Q10)</f>
        <v>0</v>
      </c>
      <c r="R11" s="29">
        <f>SUM(R5:R10)</f>
        <v>0</v>
      </c>
      <c r="S11" s="29">
        <f>SUM(S5:S10)</f>
        <v>0</v>
      </c>
      <c r="T11" s="30" t="e">
        <f>S11/Q11</f>
        <v>#DIV/0!</v>
      </c>
      <c r="U11" s="31"/>
      <c r="AC11" s="22"/>
      <c r="AD11" s="18"/>
      <c r="AE11" s="18"/>
      <c r="AF11" s="18"/>
      <c r="AG11" s="18"/>
      <c r="AH11" s="23"/>
    </row>
    <row r="12" spans="1:34" ht="16.5" thickBot="1" x14ac:dyDescent="0.3">
      <c r="A12" s="236" t="s">
        <v>7</v>
      </c>
      <c r="B12" s="237"/>
      <c r="C12" s="237"/>
      <c r="D12" s="237"/>
      <c r="E12" s="237"/>
      <c r="F12" s="238"/>
      <c r="G12" s="31"/>
      <c r="H12" s="22"/>
      <c r="I12" s="18"/>
      <c r="J12" s="18"/>
      <c r="K12" s="18"/>
      <c r="L12" s="18"/>
      <c r="M12" s="23"/>
      <c r="N12" s="31"/>
      <c r="U12" s="31"/>
      <c r="AC12" s="22"/>
      <c r="AD12" s="18"/>
      <c r="AE12" s="18"/>
      <c r="AF12" s="18"/>
      <c r="AG12" s="18"/>
      <c r="AH12" s="23"/>
    </row>
    <row r="13" spans="1:34" ht="16.5" thickBot="1" x14ac:dyDescent="0.3">
      <c r="A13" s="20" t="s">
        <v>41</v>
      </c>
      <c r="B13" s="19" t="s">
        <v>36</v>
      </c>
      <c r="C13" s="19" t="s">
        <v>37</v>
      </c>
      <c r="D13" s="19" t="s">
        <v>38</v>
      </c>
      <c r="E13" s="19" t="s">
        <v>39</v>
      </c>
      <c r="F13" s="21" t="s">
        <v>40</v>
      </c>
      <c r="G13" s="31"/>
      <c r="H13" s="22"/>
      <c r="I13" s="18"/>
      <c r="J13" s="26"/>
      <c r="K13" s="26"/>
      <c r="L13" s="26"/>
      <c r="M13" s="32"/>
      <c r="N13" s="31"/>
      <c r="O13" s="236" t="s">
        <v>9</v>
      </c>
      <c r="P13" s="237"/>
      <c r="Q13" s="237"/>
      <c r="R13" s="237"/>
      <c r="S13" s="237"/>
      <c r="T13" s="238"/>
      <c r="U13" s="31"/>
      <c r="V13" s="236" t="s">
        <v>10</v>
      </c>
      <c r="W13" s="237"/>
      <c r="X13" s="237"/>
      <c r="Y13" s="237"/>
      <c r="Z13" s="237"/>
      <c r="AA13" s="238"/>
      <c r="AC13" s="22"/>
      <c r="AD13" s="18"/>
      <c r="AE13" s="18"/>
      <c r="AF13" s="18"/>
      <c r="AG13" s="18"/>
      <c r="AH13" s="23"/>
    </row>
    <row r="14" spans="1:34" ht="16.5" thickBot="1" x14ac:dyDescent="0.3">
      <c r="A14" s="22"/>
      <c r="B14" s="18"/>
      <c r="C14" s="18"/>
      <c r="D14" s="18"/>
      <c r="E14" s="18"/>
      <c r="F14" s="23" t="e">
        <f>E14/C14</f>
        <v>#DIV/0!</v>
      </c>
      <c r="G14" s="31"/>
      <c r="H14" s="234" t="s">
        <v>42</v>
      </c>
      <c r="I14" s="235"/>
      <c r="J14" s="29">
        <f>SUM(J5:J13)</f>
        <v>0</v>
      </c>
      <c r="K14" s="29">
        <f>SUM(K5:K13)</f>
        <v>0</v>
      </c>
      <c r="L14" s="29">
        <f>SUM(L5:L13)</f>
        <v>0</v>
      </c>
      <c r="M14" s="30" t="e">
        <f>L14/J14</f>
        <v>#DIV/0!</v>
      </c>
      <c r="N14" s="31"/>
      <c r="O14" s="20" t="s">
        <v>41</v>
      </c>
      <c r="P14" s="19" t="s">
        <v>36</v>
      </c>
      <c r="Q14" s="19" t="s">
        <v>37</v>
      </c>
      <c r="R14" s="19" t="s">
        <v>38</v>
      </c>
      <c r="S14" s="19" t="s">
        <v>39</v>
      </c>
      <c r="T14" s="21" t="s">
        <v>40</v>
      </c>
      <c r="U14" s="31"/>
      <c r="V14" s="20" t="s">
        <v>41</v>
      </c>
      <c r="W14" s="19" t="s">
        <v>36</v>
      </c>
      <c r="X14" s="19" t="s">
        <v>37</v>
      </c>
      <c r="Y14" s="19" t="s">
        <v>38</v>
      </c>
      <c r="Z14" s="19" t="s">
        <v>39</v>
      </c>
      <c r="AA14" s="21" t="s">
        <v>40</v>
      </c>
      <c r="AC14" s="22"/>
      <c r="AD14" s="18"/>
      <c r="AE14" s="18"/>
      <c r="AF14" s="18"/>
      <c r="AG14" s="18"/>
      <c r="AH14" s="23"/>
    </row>
    <row r="15" spans="1:34" ht="16.5" thickBot="1" x14ac:dyDescent="0.3">
      <c r="A15" s="22"/>
      <c r="B15" s="18"/>
      <c r="C15" s="18"/>
      <c r="D15" s="18"/>
      <c r="E15" s="18"/>
      <c r="F15" s="23"/>
      <c r="G15" s="31"/>
      <c r="N15" s="31"/>
      <c r="O15" s="22"/>
      <c r="P15" s="18"/>
      <c r="Q15" s="18"/>
      <c r="R15" s="18"/>
      <c r="S15" s="18"/>
      <c r="T15" s="23" t="e">
        <f>S15/Q15</f>
        <v>#DIV/0!</v>
      </c>
      <c r="U15" s="31"/>
      <c r="V15" s="22"/>
      <c r="W15" s="18"/>
      <c r="X15" s="18"/>
      <c r="Y15" s="18"/>
      <c r="Z15" s="18"/>
      <c r="AA15" s="23" t="e">
        <f>Z15/X15</f>
        <v>#DIV/0!</v>
      </c>
      <c r="AC15" s="22"/>
      <c r="AD15" s="18"/>
      <c r="AE15" s="18"/>
      <c r="AF15" s="18"/>
      <c r="AG15" s="18"/>
      <c r="AH15" s="23"/>
    </row>
    <row r="16" spans="1:34" x14ac:dyDescent="0.25">
      <c r="A16" s="22"/>
      <c r="B16" s="18"/>
      <c r="C16" s="18"/>
      <c r="D16" s="18"/>
      <c r="E16" s="18"/>
      <c r="F16" s="23"/>
      <c r="G16" s="31"/>
      <c r="H16" s="236" t="s">
        <v>8</v>
      </c>
      <c r="I16" s="237"/>
      <c r="J16" s="237"/>
      <c r="K16" s="237"/>
      <c r="L16" s="237"/>
      <c r="M16" s="238"/>
      <c r="N16" s="31"/>
      <c r="O16" s="22"/>
      <c r="P16" s="18"/>
      <c r="Q16" s="18"/>
      <c r="R16" s="18"/>
      <c r="S16" s="18"/>
      <c r="T16" s="23" t="e">
        <f>S16/Q16</f>
        <v>#DIV/0!</v>
      </c>
      <c r="U16" s="31"/>
      <c r="V16" s="22"/>
      <c r="W16" s="18"/>
      <c r="X16" s="18"/>
      <c r="Y16" s="18"/>
      <c r="Z16" s="18"/>
      <c r="AA16" s="23" t="e">
        <f>Z16/X16</f>
        <v>#DIV/0!</v>
      </c>
      <c r="AC16" s="22"/>
      <c r="AD16" s="18"/>
      <c r="AE16" s="18"/>
      <c r="AF16" s="18"/>
      <c r="AG16" s="18"/>
      <c r="AH16" s="23"/>
    </row>
    <row r="17" spans="1:34" x14ac:dyDescent="0.25">
      <c r="A17" s="22"/>
      <c r="B17" s="18"/>
      <c r="C17" s="18"/>
      <c r="D17" s="18"/>
      <c r="E17" s="18"/>
      <c r="F17" s="23"/>
      <c r="G17" s="31"/>
      <c r="H17" s="20" t="s">
        <v>41</v>
      </c>
      <c r="I17" s="19" t="s">
        <v>36</v>
      </c>
      <c r="J17" s="19" t="s">
        <v>37</v>
      </c>
      <c r="K17" s="19" t="s">
        <v>38</v>
      </c>
      <c r="L17" s="19" t="s">
        <v>39</v>
      </c>
      <c r="M17" s="21" t="s">
        <v>40</v>
      </c>
      <c r="N17" s="31"/>
      <c r="O17" s="22"/>
      <c r="P17" s="18"/>
      <c r="Q17" s="18"/>
      <c r="R17" s="18"/>
      <c r="S17" s="18"/>
      <c r="T17" s="23"/>
      <c r="U17" s="31"/>
      <c r="V17" s="22"/>
      <c r="W17" s="18"/>
      <c r="X17" s="18"/>
      <c r="Y17" s="18"/>
      <c r="Z17" s="18"/>
      <c r="AA17" s="23" t="e">
        <f>Z17/X17</f>
        <v>#DIV/0!</v>
      </c>
      <c r="AC17" s="22"/>
      <c r="AD17" s="18"/>
      <c r="AE17" s="18"/>
      <c r="AF17" s="18"/>
      <c r="AG17" s="18"/>
      <c r="AH17" s="23"/>
    </row>
    <row r="18" spans="1:34" ht="16.5" thickBot="1" x14ac:dyDescent="0.3">
      <c r="A18" s="28"/>
      <c r="B18" s="26"/>
      <c r="C18" s="26"/>
      <c r="D18" s="26"/>
      <c r="E18" s="26"/>
      <c r="F18" s="27"/>
      <c r="G18" s="31"/>
      <c r="H18" s="22"/>
      <c r="I18" s="18"/>
      <c r="J18" s="18"/>
      <c r="K18" s="18"/>
      <c r="L18" s="18"/>
      <c r="M18" s="23" t="e">
        <f>L18/J18</f>
        <v>#DIV/0!</v>
      </c>
      <c r="N18" s="31"/>
      <c r="O18" s="22"/>
      <c r="P18" s="18"/>
      <c r="Q18" s="18"/>
      <c r="R18" s="18"/>
      <c r="S18" s="18"/>
      <c r="T18" s="23"/>
      <c r="U18" s="31"/>
      <c r="V18" s="22"/>
      <c r="W18" s="18"/>
      <c r="X18" s="18"/>
      <c r="Y18" s="18"/>
      <c r="Z18" s="18"/>
      <c r="AA18" s="23"/>
      <c r="AC18" s="22"/>
      <c r="AD18" s="18"/>
      <c r="AE18" s="18"/>
      <c r="AF18" s="18"/>
      <c r="AG18" s="18"/>
      <c r="AH18" s="23"/>
    </row>
    <row r="19" spans="1:34" ht="16.5" thickBot="1" x14ac:dyDescent="0.3">
      <c r="A19" s="234" t="s">
        <v>42</v>
      </c>
      <c r="B19" s="235"/>
      <c r="C19" s="29">
        <f>SUM(C14:C18)</f>
        <v>0</v>
      </c>
      <c r="D19" s="29">
        <f>SUM(D14:D18)</f>
        <v>0</v>
      </c>
      <c r="E19" s="29">
        <f>SUM(E14:E18)</f>
        <v>0</v>
      </c>
      <c r="F19" s="30" t="e">
        <f>E19/C19</f>
        <v>#DIV/0!</v>
      </c>
      <c r="G19" s="31"/>
      <c r="H19" s="22"/>
      <c r="I19" s="18"/>
      <c r="J19" s="18"/>
      <c r="K19" s="18"/>
      <c r="L19" s="18"/>
      <c r="M19" s="23" t="e">
        <f>L19/J19</f>
        <v>#DIV/0!</v>
      </c>
      <c r="N19" s="31"/>
      <c r="O19" s="22"/>
      <c r="P19" s="18"/>
      <c r="Q19" s="18"/>
      <c r="R19" s="18"/>
      <c r="S19" s="18"/>
      <c r="T19" s="23"/>
      <c r="U19" s="31"/>
      <c r="V19" s="22"/>
      <c r="W19" s="18"/>
      <c r="X19" s="26"/>
      <c r="Y19" s="26"/>
      <c r="Z19" s="26"/>
      <c r="AA19" s="27"/>
      <c r="AC19" s="22"/>
      <c r="AD19" s="18"/>
      <c r="AE19" s="33"/>
      <c r="AF19" s="33"/>
      <c r="AG19" s="33"/>
      <c r="AH19" s="34"/>
    </row>
    <row r="20" spans="1:34" ht="16.5" thickBot="1" x14ac:dyDescent="0.3">
      <c r="G20" s="31"/>
      <c r="H20" s="22"/>
      <c r="I20" s="18"/>
      <c r="J20" s="18"/>
      <c r="K20" s="18"/>
      <c r="L20" s="18"/>
      <c r="M20" s="23" t="e">
        <f>L20/J20</f>
        <v>#DIV/0!</v>
      </c>
      <c r="N20" s="31"/>
      <c r="O20" s="22"/>
      <c r="P20" s="18"/>
      <c r="Q20" s="26"/>
      <c r="R20" s="26"/>
      <c r="S20" s="26"/>
      <c r="T20" s="27"/>
      <c r="U20" s="31"/>
      <c r="V20" s="234" t="s">
        <v>42</v>
      </c>
      <c r="W20" s="235"/>
      <c r="X20" s="29">
        <f>SUM(X15:X19)</f>
        <v>0</v>
      </c>
      <c r="Y20" s="29">
        <f>SUM(Y15:Y19)</f>
        <v>0</v>
      </c>
      <c r="Z20" s="29">
        <f>SUM(Z15:Z19)</f>
        <v>0</v>
      </c>
      <c r="AA20" s="30" t="e">
        <f>Z20/X20</f>
        <v>#DIV/0!</v>
      </c>
      <c r="AC20" s="22"/>
      <c r="AD20" s="18"/>
      <c r="AE20" s="33"/>
      <c r="AF20" s="33"/>
      <c r="AG20" s="33"/>
      <c r="AH20" s="34"/>
    </row>
    <row r="21" spans="1:34" ht="16.5" thickBot="1" x14ac:dyDescent="0.3">
      <c r="A21" s="236" t="s">
        <v>7</v>
      </c>
      <c r="B21" s="237"/>
      <c r="C21" s="237"/>
      <c r="D21" s="237"/>
      <c r="E21" s="237"/>
      <c r="F21" s="238"/>
      <c r="G21" s="31"/>
      <c r="H21" s="22"/>
      <c r="I21" s="18"/>
      <c r="J21" s="18"/>
      <c r="K21" s="18"/>
      <c r="L21" s="18"/>
      <c r="M21" s="23"/>
      <c r="N21" s="31"/>
      <c r="O21" s="234" t="s">
        <v>42</v>
      </c>
      <c r="P21" s="235"/>
      <c r="Q21" s="29">
        <f>SUM(Q15:Q20)</f>
        <v>0</v>
      </c>
      <c r="R21" s="29">
        <f>SUM(R15:R20)</f>
        <v>0</v>
      </c>
      <c r="S21" s="29">
        <f>SUM(S15:S20)</f>
        <v>0</v>
      </c>
      <c r="T21" s="30">
        <v>0</v>
      </c>
      <c r="U21" s="31"/>
      <c r="AC21" s="22"/>
      <c r="AD21" s="18"/>
      <c r="AE21" s="33"/>
      <c r="AF21" s="33"/>
      <c r="AG21" s="33"/>
      <c r="AH21" s="34"/>
    </row>
    <row r="22" spans="1:34" ht="16.5" thickBot="1" x14ac:dyDescent="0.3">
      <c r="A22" s="20" t="s">
        <v>41</v>
      </c>
      <c r="B22" s="19" t="s">
        <v>36</v>
      </c>
      <c r="C22" s="19" t="s">
        <v>37</v>
      </c>
      <c r="D22" s="19" t="s">
        <v>38</v>
      </c>
      <c r="E22" s="19" t="s">
        <v>39</v>
      </c>
      <c r="F22" s="21" t="s">
        <v>40</v>
      </c>
      <c r="G22" s="31"/>
      <c r="H22" s="22"/>
      <c r="I22" s="18"/>
      <c r="J22" s="26"/>
      <c r="K22" s="26"/>
      <c r="L22" s="26"/>
      <c r="M22" s="32"/>
      <c r="N22" s="31"/>
      <c r="U22" s="31"/>
      <c r="V22" s="236" t="s">
        <v>10</v>
      </c>
      <c r="W22" s="237"/>
      <c r="X22" s="237"/>
      <c r="Y22" s="237"/>
      <c r="Z22" s="237"/>
      <c r="AA22" s="238"/>
      <c r="AC22" s="22"/>
      <c r="AD22" s="18"/>
      <c r="AE22" s="33"/>
      <c r="AF22" s="33"/>
      <c r="AG22" s="33"/>
      <c r="AH22" s="34"/>
    </row>
    <row r="23" spans="1:34" ht="16.5" thickBot="1" x14ac:dyDescent="0.3">
      <c r="A23" s="22"/>
      <c r="B23" s="18"/>
      <c r="C23" s="18"/>
      <c r="D23" s="18"/>
      <c r="E23" s="18"/>
      <c r="F23" s="23"/>
      <c r="G23" s="31"/>
      <c r="H23" s="234" t="s">
        <v>42</v>
      </c>
      <c r="I23" s="235"/>
      <c r="J23" s="29">
        <f>SUM(J18:J22)</f>
        <v>0</v>
      </c>
      <c r="K23" s="29">
        <f>SUM(K18:K22)</f>
        <v>0</v>
      </c>
      <c r="L23" s="29">
        <f>SUM(L18:L22)</f>
        <v>0</v>
      </c>
      <c r="M23" s="30" t="e">
        <f>L23/J23</f>
        <v>#DIV/0!</v>
      </c>
      <c r="N23" s="31"/>
      <c r="O23" s="236" t="s">
        <v>9</v>
      </c>
      <c r="P23" s="237"/>
      <c r="Q23" s="237"/>
      <c r="R23" s="237"/>
      <c r="S23" s="237"/>
      <c r="T23" s="238"/>
      <c r="U23" s="31"/>
      <c r="V23" s="20" t="s">
        <v>41</v>
      </c>
      <c r="W23" s="19" t="s">
        <v>36</v>
      </c>
      <c r="X23" s="19" t="s">
        <v>37</v>
      </c>
      <c r="Y23" s="19" t="s">
        <v>38</v>
      </c>
      <c r="Z23" s="19" t="s">
        <v>39</v>
      </c>
      <c r="AA23" s="21" t="s">
        <v>40</v>
      </c>
      <c r="AC23" s="22"/>
      <c r="AD23" s="18"/>
      <c r="AE23" s="33"/>
      <c r="AF23" s="33"/>
      <c r="AG23" s="33"/>
      <c r="AH23" s="34"/>
    </row>
    <row r="24" spans="1:34" ht="16.5" thickBot="1" x14ac:dyDescent="0.3">
      <c r="A24" s="22"/>
      <c r="B24" s="18"/>
      <c r="C24" s="18"/>
      <c r="D24" s="18"/>
      <c r="E24" s="18"/>
      <c r="F24" s="23"/>
      <c r="G24" s="31"/>
      <c r="N24" s="31"/>
      <c r="O24" s="20" t="s">
        <v>41</v>
      </c>
      <c r="P24" s="19" t="s">
        <v>36</v>
      </c>
      <c r="Q24" s="19" t="s">
        <v>37</v>
      </c>
      <c r="R24" s="19" t="s">
        <v>38</v>
      </c>
      <c r="S24" s="19" t="s">
        <v>39</v>
      </c>
      <c r="T24" s="21" t="s">
        <v>40</v>
      </c>
      <c r="U24" s="31"/>
      <c r="V24" s="22"/>
      <c r="W24" s="18"/>
      <c r="X24" s="18"/>
      <c r="Y24" s="18"/>
      <c r="Z24" s="18"/>
      <c r="AA24" s="23"/>
      <c r="AC24" s="22"/>
      <c r="AD24" s="18"/>
      <c r="AE24" s="33"/>
      <c r="AF24" s="33"/>
      <c r="AG24" s="33"/>
      <c r="AH24" s="34"/>
    </row>
    <row r="25" spans="1:34" x14ac:dyDescent="0.25">
      <c r="A25" s="22"/>
      <c r="B25" s="18"/>
      <c r="C25" s="18"/>
      <c r="D25" s="18"/>
      <c r="E25" s="18"/>
      <c r="F25" s="23"/>
      <c r="G25" s="31"/>
      <c r="H25" s="236" t="s">
        <v>8</v>
      </c>
      <c r="I25" s="237"/>
      <c r="J25" s="237"/>
      <c r="K25" s="237"/>
      <c r="L25" s="237"/>
      <c r="M25" s="238"/>
      <c r="N25" s="31"/>
      <c r="O25" s="22"/>
      <c r="P25" s="18"/>
      <c r="Q25" s="18"/>
      <c r="R25" s="18"/>
      <c r="S25" s="18"/>
      <c r="T25" s="23" t="e">
        <f>S25/Q25</f>
        <v>#DIV/0!</v>
      </c>
      <c r="U25" s="31"/>
      <c r="V25" s="22"/>
      <c r="W25" s="18"/>
      <c r="X25" s="18"/>
      <c r="Y25" s="18"/>
      <c r="Z25" s="18"/>
      <c r="AA25" s="23"/>
      <c r="AC25" s="22"/>
      <c r="AD25" s="18"/>
      <c r="AE25" s="33"/>
      <c r="AF25" s="33"/>
      <c r="AG25" s="33"/>
      <c r="AH25" s="34"/>
    </row>
    <row r="26" spans="1:34" x14ac:dyDescent="0.25">
      <c r="A26" s="22"/>
      <c r="B26" s="18"/>
      <c r="C26" s="18"/>
      <c r="D26" s="18"/>
      <c r="E26" s="18"/>
      <c r="F26" s="23"/>
      <c r="G26" s="31"/>
      <c r="H26" s="20" t="s">
        <v>41</v>
      </c>
      <c r="I26" s="19" t="s">
        <v>36</v>
      </c>
      <c r="J26" s="19" t="s">
        <v>37</v>
      </c>
      <c r="K26" s="19" t="s">
        <v>38</v>
      </c>
      <c r="L26" s="19" t="s">
        <v>39</v>
      </c>
      <c r="M26" s="21" t="s">
        <v>40</v>
      </c>
      <c r="N26" s="31"/>
      <c r="O26" s="22"/>
      <c r="P26" s="18"/>
      <c r="Q26" s="18"/>
      <c r="R26" s="18"/>
      <c r="S26" s="18"/>
      <c r="T26" s="23" t="e">
        <f>S26/Q26</f>
        <v>#DIV/0!</v>
      </c>
      <c r="U26" s="31"/>
      <c r="V26" s="22"/>
      <c r="W26" s="18"/>
      <c r="X26" s="18"/>
      <c r="Y26" s="18"/>
      <c r="Z26" s="18"/>
      <c r="AA26" s="23"/>
      <c r="AC26" s="22"/>
      <c r="AD26" s="18"/>
      <c r="AE26" s="33"/>
      <c r="AF26" s="33"/>
      <c r="AG26" s="33"/>
      <c r="AH26" s="34"/>
    </row>
    <row r="27" spans="1:34" x14ac:dyDescent="0.25">
      <c r="A27" s="22"/>
      <c r="B27" s="18"/>
      <c r="C27" s="18"/>
      <c r="D27" s="18"/>
      <c r="E27" s="18"/>
      <c r="F27" s="23"/>
      <c r="G27" s="31"/>
      <c r="H27" s="22"/>
      <c r="I27" s="18"/>
      <c r="J27" s="18"/>
      <c r="K27" s="18"/>
      <c r="L27" s="18"/>
      <c r="M27" s="23" t="e">
        <f>L27/J27</f>
        <v>#DIV/0!</v>
      </c>
      <c r="N27" s="31"/>
      <c r="O27" s="22"/>
      <c r="P27" s="18"/>
      <c r="Q27" s="18"/>
      <c r="R27" s="18"/>
      <c r="S27" s="18"/>
      <c r="T27" s="23" t="e">
        <f>S27/Q27</f>
        <v>#DIV/0!</v>
      </c>
      <c r="U27" s="31"/>
      <c r="V27" s="22"/>
      <c r="W27" s="18"/>
      <c r="X27" s="18"/>
      <c r="Y27" s="18"/>
      <c r="Z27" s="18"/>
      <c r="AA27" s="23"/>
      <c r="AC27" s="22"/>
      <c r="AD27" s="18"/>
      <c r="AE27" s="33"/>
      <c r="AF27" s="33"/>
      <c r="AG27" s="33"/>
      <c r="AH27" s="34"/>
    </row>
    <row r="28" spans="1:34" x14ac:dyDescent="0.25">
      <c r="A28" s="22"/>
      <c r="B28" s="18"/>
      <c r="C28" s="18"/>
      <c r="D28" s="18"/>
      <c r="E28" s="18"/>
      <c r="F28" s="23"/>
      <c r="G28" s="31"/>
      <c r="H28" s="22"/>
      <c r="I28" s="18"/>
      <c r="J28" s="18"/>
      <c r="K28" s="18"/>
      <c r="L28" s="18"/>
      <c r="M28" s="23" t="e">
        <f>L28/J28</f>
        <v>#DIV/0!</v>
      </c>
      <c r="N28" s="31"/>
      <c r="O28" s="22"/>
      <c r="P28" s="18"/>
      <c r="Q28" s="18"/>
      <c r="R28" s="18"/>
      <c r="S28" s="18"/>
      <c r="T28" s="23" t="e">
        <f>S28/Q28</f>
        <v>#DIV/0!</v>
      </c>
      <c r="U28" s="31"/>
      <c r="V28" s="22"/>
      <c r="W28" s="18"/>
      <c r="X28" s="33"/>
      <c r="Y28" s="33"/>
      <c r="Z28" s="33"/>
      <c r="AA28" s="34"/>
      <c r="AC28" s="22"/>
      <c r="AD28" s="18"/>
      <c r="AE28" s="33"/>
      <c r="AF28" s="33"/>
      <c r="AG28" s="33"/>
      <c r="AH28" s="34"/>
    </row>
    <row r="29" spans="1:34" ht="16.5" thickBot="1" x14ac:dyDescent="0.3">
      <c r="A29" s="22"/>
      <c r="B29" s="18"/>
      <c r="C29" s="18"/>
      <c r="D29" s="18"/>
      <c r="E29" s="18"/>
      <c r="F29" s="23"/>
      <c r="G29" s="31"/>
      <c r="H29" s="22"/>
      <c r="I29" s="18"/>
      <c r="J29" s="18"/>
      <c r="K29" s="18"/>
      <c r="L29" s="18"/>
      <c r="M29" s="23" t="e">
        <f>L29/J29</f>
        <v>#DIV/0!</v>
      </c>
      <c r="N29" s="31"/>
      <c r="O29" s="22"/>
      <c r="P29" s="18"/>
      <c r="Q29" s="18"/>
      <c r="R29" s="18"/>
      <c r="S29" s="18"/>
      <c r="T29" s="23" t="e">
        <f>S29/Q29</f>
        <v>#DIV/0!</v>
      </c>
      <c r="U29" s="31"/>
      <c r="V29" s="22"/>
      <c r="W29" s="18"/>
      <c r="X29" s="26"/>
      <c r="Y29" s="26"/>
      <c r="Z29" s="26"/>
      <c r="AA29" s="27"/>
      <c r="AC29" s="22"/>
      <c r="AD29" s="18"/>
      <c r="AE29" s="33"/>
      <c r="AF29" s="33"/>
      <c r="AG29" s="33"/>
      <c r="AH29" s="34"/>
    </row>
    <row r="30" spans="1:34" ht="16.5" thickBot="1" x14ac:dyDescent="0.3">
      <c r="A30" s="22"/>
      <c r="B30" s="18"/>
      <c r="C30" s="18"/>
      <c r="D30" s="18"/>
      <c r="E30" s="18"/>
      <c r="F30" s="23"/>
      <c r="G30" s="31"/>
      <c r="H30" s="22"/>
      <c r="I30" s="18"/>
      <c r="J30" s="18"/>
      <c r="K30" s="18"/>
      <c r="L30" s="18"/>
      <c r="M30" s="23" t="e">
        <f>L30/J30</f>
        <v>#DIV/0!</v>
      </c>
      <c r="N30" s="31"/>
      <c r="O30" s="22"/>
      <c r="P30" s="18"/>
      <c r="Q30" s="26"/>
      <c r="R30" s="26"/>
      <c r="S30" s="26"/>
      <c r="T30" s="27"/>
      <c r="U30" s="31"/>
      <c r="V30" s="234" t="s">
        <v>42</v>
      </c>
      <c r="W30" s="235"/>
      <c r="X30" s="29">
        <f>SUM(X24:X29)</f>
        <v>0</v>
      </c>
      <c r="Y30" s="29">
        <f>SUM(Y24:Y29)</f>
        <v>0</v>
      </c>
      <c r="Z30" s="29">
        <f>SUM(Z24:Z29)</f>
        <v>0</v>
      </c>
      <c r="AA30" s="30" t="e">
        <f>Z30/X30</f>
        <v>#DIV/0!</v>
      </c>
      <c r="AC30" s="22"/>
      <c r="AD30" s="18"/>
      <c r="AE30" s="33"/>
      <c r="AF30" s="33"/>
      <c r="AG30" s="33"/>
      <c r="AH30" s="34"/>
    </row>
    <row r="31" spans="1:34" ht="16.5" thickBot="1" x14ac:dyDescent="0.3">
      <c r="A31" s="28"/>
      <c r="B31" s="26"/>
      <c r="C31" s="26"/>
      <c r="D31" s="26"/>
      <c r="E31" s="26"/>
      <c r="F31" s="27"/>
      <c r="G31" s="31"/>
      <c r="H31" s="22"/>
      <c r="I31" s="18"/>
      <c r="J31" s="26"/>
      <c r="K31" s="26"/>
      <c r="L31" s="26"/>
      <c r="M31" s="32"/>
      <c r="N31" s="31"/>
      <c r="O31" s="234" t="s">
        <v>42</v>
      </c>
      <c r="P31" s="235"/>
      <c r="Q31" s="29">
        <f>SUM(Q25:Q30)</f>
        <v>0</v>
      </c>
      <c r="R31" s="29">
        <f>SUM(R25:R30)</f>
        <v>0</v>
      </c>
      <c r="S31" s="29">
        <f>SUM(S25:S30)</f>
        <v>0</v>
      </c>
      <c r="T31" s="30" t="e">
        <f>S31/Q31</f>
        <v>#DIV/0!</v>
      </c>
      <c r="U31" s="31"/>
      <c r="AC31" s="22"/>
      <c r="AD31" s="18"/>
      <c r="AE31" s="26"/>
      <c r="AF31" s="26"/>
      <c r="AG31" s="26"/>
      <c r="AH31" s="27"/>
    </row>
    <row r="32" spans="1:34" ht="16.5" thickBot="1" x14ac:dyDescent="0.3">
      <c r="A32" s="234" t="s">
        <v>42</v>
      </c>
      <c r="B32" s="235"/>
      <c r="C32" s="29">
        <f>SUM(C23:C31)</f>
        <v>0</v>
      </c>
      <c r="D32" s="29">
        <f>SUM(D23:D31)</f>
        <v>0</v>
      </c>
      <c r="E32" s="29">
        <f>SUM(E23:E31)</f>
        <v>0</v>
      </c>
      <c r="F32" s="24"/>
      <c r="G32" s="31"/>
      <c r="H32" s="234" t="s">
        <v>42</v>
      </c>
      <c r="I32" s="235"/>
      <c r="J32" s="29">
        <f>SUM(J27:J31)</f>
        <v>0</v>
      </c>
      <c r="K32" s="29">
        <f>SUM(K27:K31)</f>
        <v>0</v>
      </c>
      <c r="L32" s="29">
        <f>SUM(L27:L31)</f>
        <v>0</v>
      </c>
      <c r="M32" s="30" t="e">
        <f>L32/J32</f>
        <v>#DIV/0!</v>
      </c>
      <c r="N32" s="31"/>
      <c r="U32" s="31"/>
      <c r="AC32" s="234" t="s">
        <v>42</v>
      </c>
      <c r="AD32" s="235"/>
      <c r="AE32" s="29">
        <f>SUM(AE5:AE31)</f>
        <v>0</v>
      </c>
      <c r="AF32" s="29">
        <f>SUM(AF5:AF31)</f>
        <v>0</v>
      </c>
      <c r="AG32" s="29">
        <f>SUM(AG5:AG31)</f>
        <v>0</v>
      </c>
      <c r="AH32" s="30" t="e">
        <f>AG32/AE32</f>
        <v>#DIV/0!</v>
      </c>
    </row>
    <row r="33" spans="1:20" ht="16.5" thickBot="1" x14ac:dyDescent="0.3">
      <c r="O33" s="236" t="s">
        <v>9</v>
      </c>
      <c r="P33" s="237"/>
      <c r="Q33" s="237"/>
      <c r="R33" s="237"/>
      <c r="S33" s="237"/>
      <c r="T33" s="238"/>
    </row>
    <row r="34" spans="1:20" x14ac:dyDescent="0.25">
      <c r="A34" s="236" t="s">
        <v>7</v>
      </c>
      <c r="B34" s="237"/>
      <c r="C34" s="237"/>
      <c r="D34" s="237"/>
      <c r="E34" s="237"/>
      <c r="F34" s="238"/>
      <c r="H34" s="236" t="s">
        <v>8</v>
      </c>
      <c r="I34" s="237"/>
      <c r="J34" s="237"/>
      <c r="K34" s="237"/>
      <c r="L34" s="237"/>
      <c r="M34" s="238"/>
      <c r="O34" s="20" t="s">
        <v>41</v>
      </c>
      <c r="P34" s="19" t="s">
        <v>36</v>
      </c>
      <c r="Q34" s="19" t="s">
        <v>37</v>
      </c>
      <c r="R34" s="19" t="s">
        <v>38</v>
      </c>
      <c r="S34" s="19" t="s">
        <v>39</v>
      </c>
      <c r="T34" s="21" t="s">
        <v>40</v>
      </c>
    </row>
    <row r="35" spans="1:20" x14ac:dyDescent="0.25">
      <c r="A35" s="20" t="s">
        <v>41</v>
      </c>
      <c r="B35" s="19" t="s">
        <v>36</v>
      </c>
      <c r="C35" s="19" t="s">
        <v>37</v>
      </c>
      <c r="D35" s="19" t="s">
        <v>38</v>
      </c>
      <c r="E35" s="19" t="s">
        <v>39</v>
      </c>
      <c r="F35" s="21" t="s">
        <v>40</v>
      </c>
      <c r="H35" s="20" t="s">
        <v>41</v>
      </c>
      <c r="I35" s="19" t="s">
        <v>36</v>
      </c>
      <c r="J35" s="19" t="s">
        <v>37</v>
      </c>
      <c r="K35" s="19" t="s">
        <v>38</v>
      </c>
      <c r="L35" s="19" t="s">
        <v>39</v>
      </c>
      <c r="M35" s="21" t="s">
        <v>40</v>
      </c>
      <c r="O35" s="22"/>
      <c r="P35" s="18"/>
      <c r="Q35" s="18"/>
      <c r="R35" s="18"/>
      <c r="S35" s="18"/>
      <c r="T35" s="23" t="e">
        <f>S35/Q35</f>
        <v>#DIV/0!</v>
      </c>
    </row>
    <row r="36" spans="1:20" x14ac:dyDescent="0.25">
      <c r="A36" s="22"/>
      <c r="B36" s="18"/>
      <c r="C36" s="18"/>
      <c r="D36" s="18"/>
      <c r="E36" s="18"/>
      <c r="F36" s="23"/>
      <c r="H36" s="22"/>
      <c r="I36" s="18"/>
      <c r="J36" s="18"/>
      <c r="K36" s="18"/>
      <c r="L36" s="18"/>
      <c r="M36" s="23" t="e">
        <f>L36/J36</f>
        <v>#DIV/0!</v>
      </c>
      <c r="O36" s="22"/>
      <c r="P36" s="18"/>
      <c r="Q36" s="18"/>
      <c r="R36" s="18"/>
      <c r="S36" s="18"/>
      <c r="T36" s="23" t="e">
        <f>S36/Q36</f>
        <v>#DIV/0!</v>
      </c>
    </row>
    <row r="37" spans="1:20" x14ac:dyDescent="0.25">
      <c r="A37" s="22"/>
      <c r="B37" s="18"/>
      <c r="C37" s="18"/>
      <c r="D37" s="18"/>
      <c r="E37" s="18"/>
      <c r="F37" s="23"/>
      <c r="H37" s="22"/>
      <c r="I37" s="18"/>
      <c r="J37" s="18"/>
      <c r="K37" s="18"/>
      <c r="L37" s="18"/>
      <c r="M37" s="23" t="e">
        <f>L37/J37</f>
        <v>#DIV/0!</v>
      </c>
      <c r="O37" s="22"/>
      <c r="P37" s="18"/>
      <c r="Q37" s="18"/>
      <c r="R37" s="18"/>
      <c r="S37" s="18"/>
      <c r="T37" s="23"/>
    </row>
    <row r="38" spans="1:20" x14ac:dyDescent="0.25">
      <c r="A38" s="22"/>
      <c r="B38" s="18"/>
      <c r="C38" s="18"/>
      <c r="D38" s="18"/>
      <c r="E38" s="18"/>
      <c r="F38" s="23"/>
      <c r="H38" s="22"/>
      <c r="I38" s="18"/>
      <c r="J38" s="18"/>
      <c r="K38" s="18"/>
      <c r="L38" s="18"/>
      <c r="M38" s="23" t="e">
        <f>L38/J38</f>
        <v>#DIV/0!</v>
      </c>
      <c r="O38" s="22"/>
      <c r="P38" s="18"/>
      <c r="Q38" s="18"/>
      <c r="R38" s="18"/>
      <c r="S38" s="18"/>
      <c r="T38" s="23"/>
    </row>
    <row r="39" spans="1:20" ht="16.5" thickBot="1" x14ac:dyDescent="0.3">
      <c r="A39" s="22"/>
      <c r="B39" s="18"/>
      <c r="C39" s="18"/>
      <c r="D39" s="18"/>
      <c r="E39" s="18"/>
      <c r="F39" s="23"/>
      <c r="H39" s="22"/>
      <c r="I39" s="18"/>
      <c r="J39" s="18"/>
      <c r="K39" s="18"/>
      <c r="L39" s="18"/>
      <c r="M39" s="23" t="e">
        <f>L39/J39</f>
        <v>#DIV/0!</v>
      </c>
      <c r="O39" s="22"/>
      <c r="P39" s="18"/>
      <c r="Q39" s="26"/>
      <c r="R39" s="26"/>
      <c r="S39" s="26"/>
      <c r="T39" s="27"/>
    </row>
    <row r="40" spans="1:20" ht="16.5" thickBot="1" x14ac:dyDescent="0.3">
      <c r="A40" s="22"/>
      <c r="B40" s="18"/>
      <c r="C40" s="18"/>
      <c r="D40" s="18"/>
      <c r="E40" s="18"/>
      <c r="F40" s="23"/>
      <c r="H40" s="22"/>
      <c r="I40" s="18"/>
      <c r="J40" s="26"/>
      <c r="K40" s="26"/>
      <c r="L40" s="26"/>
      <c r="M40" s="32"/>
      <c r="O40" s="234" t="s">
        <v>42</v>
      </c>
      <c r="P40" s="235"/>
      <c r="Q40" s="29">
        <f>SUM(Q35:Q39)</f>
        <v>0</v>
      </c>
      <c r="R40" s="29">
        <f>SUM(R35:R39)</f>
        <v>0</v>
      </c>
      <c r="S40" s="29">
        <f>SUM(S35:S39)</f>
        <v>0</v>
      </c>
      <c r="T40" s="30" t="e">
        <f>S40/Q40</f>
        <v>#DIV/0!</v>
      </c>
    </row>
    <row r="41" spans="1:20" ht="16.5" thickBot="1" x14ac:dyDescent="0.3">
      <c r="A41" s="22"/>
      <c r="B41" s="18"/>
      <c r="C41" s="18"/>
      <c r="D41" s="18"/>
      <c r="E41" s="18"/>
      <c r="F41" s="23"/>
      <c r="H41" s="234" t="s">
        <v>42</v>
      </c>
      <c r="I41" s="235"/>
      <c r="J41" s="29">
        <f>SUM(J36:J40)</f>
        <v>0</v>
      </c>
      <c r="K41" s="29">
        <f>SUM(K36:K40)</f>
        <v>0</v>
      </c>
      <c r="L41" s="29">
        <f>SUM(L36:L40)</f>
        <v>0</v>
      </c>
      <c r="M41" s="30" t="e">
        <f>L41/J41</f>
        <v>#DIV/0!</v>
      </c>
    </row>
    <row r="42" spans="1:20" ht="16.5" thickBot="1" x14ac:dyDescent="0.3">
      <c r="A42" s="22"/>
      <c r="B42" s="18"/>
      <c r="C42" s="18"/>
      <c r="D42" s="18"/>
      <c r="E42" s="18"/>
      <c r="F42" s="23"/>
      <c r="O42" s="236" t="s">
        <v>9</v>
      </c>
      <c r="P42" s="237"/>
      <c r="Q42" s="237"/>
      <c r="R42" s="237"/>
      <c r="S42" s="237"/>
      <c r="T42" s="238"/>
    </row>
    <row r="43" spans="1:20" x14ac:dyDescent="0.25">
      <c r="A43" s="22"/>
      <c r="B43" s="18"/>
      <c r="C43" s="18"/>
      <c r="D43" s="18"/>
      <c r="E43" s="18"/>
      <c r="F43" s="23"/>
      <c r="H43" s="236" t="s">
        <v>8</v>
      </c>
      <c r="I43" s="237"/>
      <c r="J43" s="237"/>
      <c r="K43" s="237"/>
      <c r="L43" s="237"/>
      <c r="M43" s="238"/>
      <c r="O43" s="20" t="s">
        <v>41</v>
      </c>
      <c r="P43" s="19" t="s">
        <v>36</v>
      </c>
      <c r="Q43" s="19" t="s">
        <v>37</v>
      </c>
      <c r="R43" s="19" t="s">
        <v>38</v>
      </c>
      <c r="S43" s="19" t="s">
        <v>39</v>
      </c>
      <c r="T43" s="21" t="s">
        <v>40</v>
      </c>
    </row>
    <row r="44" spans="1:20" ht="16.5" thickBot="1" x14ac:dyDescent="0.3">
      <c r="A44" s="28"/>
      <c r="B44" s="26"/>
      <c r="C44" s="26"/>
      <c r="D44" s="26"/>
      <c r="E44" s="26"/>
      <c r="F44" s="27"/>
      <c r="H44" s="20" t="s">
        <v>41</v>
      </c>
      <c r="I44" s="19" t="s">
        <v>36</v>
      </c>
      <c r="J44" s="19" t="s">
        <v>37</v>
      </c>
      <c r="K44" s="19" t="s">
        <v>38</v>
      </c>
      <c r="L44" s="19" t="s">
        <v>39</v>
      </c>
      <c r="M44" s="21" t="s">
        <v>40</v>
      </c>
      <c r="O44" s="22"/>
      <c r="P44" s="18"/>
      <c r="Q44" s="18"/>
      <c r="R44" s="18"/>
      <c r="S44" s="18"/>
      <c r="T44" s="23" t="e">
        <f>S44/Q44</f>
        <v>#DIV/0!</v>
      </c>
    </row>
    <row r="45" spans="1:20" ht="16.5" thickBot="1" x14ac:dyDescent="0.3">
      <c r="A45" s="234" t="s">
        <v>42</v>
      </c>
      <c r="B45" s="235"/>
      <c r="C45" s="29">
        <f>SUM(C36:C44)</f>
        <v>0</v>
      </c>
      <c r="D45" s="29">
        <f>SUM(D36:D44)</f>
        <v>0</v>
      </c>
      <c r="E45" s="29">
        <f>SUM(E36:E44)</f>
        <v>0</v>
      </c>
      <c r="F45" s="24"/>
      <c r="H45" s="22"/>
      <c r="I45" s="18"/>
      <c r="J45" s="18"/>
      <c r="K45" s="18"/>
      <c r="L45" s="18"/>
      <c r="M45" s="23" t="e">
        <f>L45/J45</f>
        <v>#DIV/0!</v>
      </c>
      <c r="O45" s="22"/>
      <c r="P45" s="18"/>
      <c r="Q45" s="18"/>
      <c r="R45" s="18"/>
      <c r="S45" s="18"/>
      <c r="T45" s="23" t="e">
        <f>S45/Q45</f>
        <v>#DIV/0!</v>
      </c>
    </row>
    <row r="46" spans="1:20" x14ac:dyDescent="0.25">
      <c r="H46" s="22"/>
      <c r="I46" s="18"/>
      <c r="J46" s="18"/>
      <c r="K46" s="18"/>
      <c r="L46" s="18"/>
      <c r="M46" s="23" t="e">
        <f>L46/J46</f>
        <v>#DIV/0!</v>
      </c>
      <c r="O46" s="22"/>
      <c r="P46" s="18"/>
      <c r="Q46" s="18"/>
      <c r="R46" s="18"/>
      <c r="S46" s="18"/>
      <c r="T46" s="23"/>
    </row>
    <row r="47" spans="1:20" x14ac:dyDescent="0.25">
      <c r="H47" s="22"/>
      <c r="I47" s="18"/>
      <c r="J47" s="18"/>
      <c r="K47" s="18"/>
      <c r="L47" s="18"/>
      <c r="M47" s="23"/>
      <c r="O47" s="22"/>
      <c r="P47" s="18"/>
      <c r="Q47" s="18"/>
      <c r="R47" s="18"/>
      <c r="S47" s="18"/>
      <c r="T47" s="23"/>
    </row>
    <row r="48" spans="1:20" ht="16.5" thickBot="1" x14ac:dyDescent="0.3">
      <c r="H48" s="22"/>
      <c r="I48" s="18"/>
      <c r="J48" s="18"/>
      <c r="K48" s="18"/>
      <c r="L48" s="18"/>
      <c r="M48" s="23"/>
      <c r="O48" s="22"/>
      <c r="P48" s="18"/>
      <c r="Q48" s="26"/>
      <c r="R48" s="26"/>
      <c r="S48" s="26"/>
      <c r="T48" s="27"/>
    </row>
    <row r="49" spans="8:20" ht="16.5" thickBot="1" x14ac:dyDescent="0.3">
      <c r="H49" s="22"/>
      <c r="I49" s="18"/>
      <c r="J49" s="26"/>
      <c r="K49" s="26"/>
      <c r="L49" s="26"/>
      <c r="M49" s="32"/>
      <c r="O49" s="234" t="s">
        <v>42</v>
      </c>
      <c r="P49" s="235"/>
      <c r="Q49" s="29">
        <f>SUM(Q44:Q48)</f>
        <v>0</v>
      </c>
      <c r="R49" s="29">
        <f>SUM(R44:R48)</f>
        <v>0</v>
      </c>
      <c r="S49" s="29">
        <f>SUM(S44:S48)</f>
        <v>0</v>
      </c>
      <c r="T49" s="30" t="e">
        <f>S49/Q49</f>
        <v>#DIV/0!</v>
      </c>
    </row>
    <row r="50" spans="8:20" ht="16.5" thickBot="1" x14ac:dyDescent="0.3">
      <c r="H50" s="234" t="s">
        <v>42</v>
      </c>
      <c r="I50" s="235"/>
      <c r="J50" s="29">
        <f>SUM(J45:J49)</f>
        <v>0</v>
      </c>
      <c r="K50" s="29">
        <f>SUM(K45:K49)</f>
        <v>0</v>
      </c>
      <c r="L50" s="29">
        <f>SUM(L45:L49)</f>
        <v>0</v>
      </c>
      <c r="M50" s="30" t="e">
        <f>L50/J50</f>
        <v>#DIV/0!</v>
      </c>
    </row>
    <row r="51" spans="8:20" ht="16.5" thickBot="1" x14ac:dyDescent="0.3"/>
    <row r="52" spans="8:20" x14ac:dyDescent="0.25">
      <c r="H52" s="236" t="s">
        <v>8</v>
      </c>
      <c r="I52" s="237"/>
      <c r="J52" s="237"/>
      <c r="K52" s="237"/>
      <c r="L52" s="237"/>
      <c r="M52" s="238"/>
    </row>
    <row r="53" spans="8:20" x14ac:dyDescent="0.25">
      <c r="H53" s="20" t="s">
        <v>41</v>
      </c>
      <c r="I53" s="19" t="s">
        <v>36</v>
      </c>
      <c r="J53" s="19" t="s">
        <v>37</v>
      </c>
      <c r="K53" s="19" t="s">
        <v>38</v>
      </c>
      <c r="L53" s="19" t="s">
        <v>39</v>
      </c>
      <c r="M53" s="21" t="s">
        <v>40</v>
      </c>
    </row>
    <row r="54" spans="8:20" x14ac:dyDescent="0.25">
      <c r="H54" s="22"/>
      <c r="I54" s="18"/>
      <c r="J54" s="18"/>
      <c r="K54" s="18"/>
      <c r="L54" s="18"/>
      <c r="M54" s="23" t="e">
        <f t="shared" ref="M54:M60" si="0">L54/J54</f>
        <v>#DIV/0!</v>
      </c>
    </row>
    <row r="55" spans="8:20" x14ac:dyDescent="0.25">
      <c r="H55" s="22"/>
      <c r="I55" s="18"/>
      <c r="J55" s="18"/>
      <c r="K55" s="18"/>
      <c r="L55" s="18"/>
      <c r="M55" s="23" t="e">
        <f t="shared" si="0"/>
        <v>#DIV/0!</v>
      </c>
    </row>
    <row r="56" spans="8:20" x14ac:dyDescent="0.25">
      <c r="H56" s="22"/>
      <c r="I56" s="18"/>
      <c r="J56" s="18"/>
      <c r="K56" s="18"/>
      <c r="L56" s="18"/>
      <c r="M56" s="23" t="e">
        <f t="shared" si="0"/>
        <v>#DIV/0!</v>
      </c>
    </row>
    <row r="57" spans="8:20" x14ac:dyDescent="0.25">
      <c r="H57" s="22"/>
      <c r="I57" s="18"/>
      <c r="J57" s="18"/>
      <c r="K57" s="18"/>
      <c r="L57" s="18"/>
      <c r="M57" s="23" t="e">
        <f t="shared" si="0"/>
        <v>#DIV/0!</v>
      </c>
    </row>
    <row r="58" spans="8:20" x14ac:dyDescent="0.25">
      <c r="H58" s="22"/>
      <c r="I58" s="18"/>
      <c r="J58" s="18"/>
      <c r="K58" s="18"/>
      <c r="L58" s="18"/>
      <c r="M58" s="23" t="e">
        <f t="shared" si="0"/>
        <v>#DIV/0!</v>
      </c>
    </row>
    <row r="59" spans="8:20" ht="16.5" thickBot="1" x14ac:dyDescent="0.3">
      <c r="H59" s="22"/>
      <c r="I59" s="18"/>
      <c r="J59" s="26"/>
      <c r="K59" s="26"/>
      <c r="L59" s="26"/>
      <c r="M59" s="27" t="e">
        <f t="shared" si="0"/>
        <v>#DIV/0!</v>
      </c>
    </row>
    <row r="60" spans="8:20" ht="16.5" thickBot="1" x14ac:dyDescent="0.3">
      <c r="H60" s="234" t="s">
        <v>42</v>
      </c>
      <c r="I60" s="235"/>
      <c r="J60" s="29">
        <f>SUM(J54:J59)</f>
        <v>0</v>
      </c>
      <c r="K60" s="29">
        <f>SUM(K54:K59)</f>
        <v>0</v>
      </c>
      <c r="L60" s="29">
        <f>SUM(L54:L59)</f>
        <v>0</v>
      </c>
      <c r="M60" s="30" t="e">
        <f t="shared" si="0"/>
        <v>#DIV/0!</v>
      </c>
    </row>
    <row r="61" spans="8:20" ht="16.5" thickBot="1" x14ac:dyDescent="0.3"/>
    <row r="62" spans="8:20" x14ac:dyDescent="0.25">
      <c r="H62" s="236" t="s">
        <v>8</v>
      </c>
      <c r="I62" s="237"/>
      <c r="J62" s="237"/>
      <c r="K62" s="237"/>
      <c r="L62" s="237"/>
      <c r="M62" s="238"/>
    </row>
    <row r="63" spans="8:20" x14ac:dyDescent="0.25">
      <c r="H63" s="20" t="s">
        <v>41</v>
      </c>
      <c r="I63" s="19" t="s">
        <v>36</v>
      </c>
      <c r="J63" s="19" t="s">
        <v>37</v>
      </c>
      <c r="K63" s="19" t="s">
        <v>38</v>
      </c>
      <c r="L63" s="19" t="s">
        <v>39</v>
      </c>
      <c r="M63" s="21" t="s">
        <v>40</v>
      </c>
    </row>
    <row r="64" spans="8:20" x14ac:dyDescent="0.25">
      <c r="H64" s="22"/>
      <c r="I64" s="18"/>
      <c r="J64" s="18"/>
      <c r="K64" s="18"/>
      <c r="L64" s="18"/>
      <c r="M64" s="23" t="e">
        <f t="shared" ref="M64:M70" si="1">L64/J64</f>
        <v>#DIV/0!</v>
      </c>
    </row>
    <row r="65" spans="8:13" x14ac:dyDescent="0.25">
      <c r="H65" s="22"/>
      <c r="I65" s="18"/>
      <c r="J65" s="18"/>
      <c r="K65" s="18"/>
      <c r="L65" s="18"/>
      <c r="M65" s="23" t="e">
        <f t="shared" si="1"/>
        <v>#DIV/0!</v>
      </c>
    </row>
    <row r="66" spans="8:13" x14ac:dyDescent="0.25">
      <c r="H66" s="22"/>
      <c r="I66" s="18"/>
      <c r="J66" s="18"/>
      <c r="K66" s="18"/>
      <c r="L66" s="18"/>
      <c r="M66" s="23" t="e">
        <f t="shared" si="1"/>
        <v>#DIV/0!</v>
      </c>
    </row>
    <row r="67" spans="8:13" x14ac:dyDescent="0.25">
      <c r="H67" s="22"/>
      <c r="I67" s="18"/>
      <c r="J67" s="18"/>
      <c r="K67" s="18"/>
      <c r="L67" s="18"/>
      <c r="M67" s="23" t="e">
        <f t="shared" si="1"/>
        <v>#DIV/0!</v>
      </c>
    </row>
    <row r="68" spans="8:13" x14ac:dyDescent="0.25">
      <c r="H68" s="22"/>
      <c r="I68" s="18"/>
      <c r="J68" s="18"/>
      <c r="K68" s="18"/>
      <c r="L68" s="18"/>
      <c r="M68" s="23" t="e">
        <f t="shared" si="1"/>
        <v>#DIV/0!</v>
      </c>
    </row>
    <row r="69" spans="8:13" ht="16.5" thickBot="1" x14ac:dyDescent="0.3">
      <c r="H69" s="28"/>
      <c r="I69" s="26"/>
      <c r="J69" s="26"/>
      <c r="K69" s="26"/>
      <c r="L69" s="26"/>
      <c r="M69" s="27" t="e">
        <f t="shared" si="1"/>
        <v>#DIV/0!</v>
      </c>
    </row>
    <row r="70" spans="8:13" ht="16.5" thickBot="1" x14ac:dyDescent="0.3">
      <c r="H70" s="239" t="s">
        <v>42</v>
      </c>
      <c r="I70" s="240"/>
      <c r="J70" s="29">
        <f>SUM(J64:J69)</f>
        <v>0</v>
      </c>
      <c r="K70" s="29">
        <f>SUM(K64:K69)</f>
        <v>0</v>
      </c>
      <c r="L70" s="29">
        <f>SUM(L64:L69)</f>
        <v>0</v>
      </c>
      <c r="M70" s="30" t="e">
        <f t="shared" si="1"/>
        <v>#DIV/0!</v>
      </c>
    </row>
  </sheetData>
  <mergeCells count="40">
    <mergeCell ref="H34:M34"/>
    <mergeCell ref="O49:P49"/>
    <mergeCell ref="O33:T33"/>
    <mergeCell ref="O40:P40"/>
    <mergeCell ref="A34:F34"/>
    <mergeCell ref="A45:B45"/>
    <mergeCell ref="H41:I41"/>
    <mergeCell ref="H43:M43"/>
    <mergeCell ref="O42:T42"/>
    <mergeCell ref="H62:M62"/>
    <mergeCell ref="H70:I70"/>
    <mergeCell ref="H52:M52"/>
    <mergeCell ref="H60:I60"/>
    <mergeCell ref="H50:I50"/>
    <mergeCell ref="AC3:AH3"/>
    <mergeCell ref="AC32:AD32"/>
    <mergeCell ref="H23:I23"/>
    <mergeCell ref="V22:AA22"/>
    <mergeCell ref="V30:W30"/>
    <mergeCell ref="V3:AA3"/>
    <mergeCell ref="V10:W10"/>
    <mergeCell ref="V13:AA13"/>
    <mergeCell ref="V20:W20"/>
    <mergeCell ref="O21:P21"/>
    <mergeCell ref="O3:T3"/>
    <mergeCell ref="O11:P11"/>
    <mergeCell ref="A3:F3"/>
    <mergeCell ref="H3:M3"/>
    <mergeCell ref="A12:F12"/>
    <mergeCell ref="H16:M16"/>
    <mergeCell ref="A10:B10"/>
    <mergeCell ref="H14:I14"/>
    <mergeCell ref="A19:B19"/>
    <mergeCell ref="O13:T13"/>
    <mergeCell ref="A21:F21"/>
    <mergeCell ref="A32:B32"/>
    <mergeCell ref="O23:T23"/>
    <mergeCell ref="O31:P31"/>
    <mergeCell ref="H25:M25"/>
    <mergeCell ref="H32:I32"/>
  </mergeCells>
  <phoneticPr fontId="1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H9"/>
  <sheetViews>
    <sheetView workbookViewId="0">
      <selection activeCell="A4" sqref="A4:B9"/>
    </sheetView>
  </sheetViews>
  <sheetFormatPr defaultRowHeight="15.75" x14ac:dyDescent="0.25"/>
  <cols>
    <col min="1" max="1" width="17.875" customWidth="1"/>
    <col min="2" max="2" width="8.875" bestFit="1" customWidth="1"/>
    <col min="4" max="4" width="8.875" bestFit="1" customWidth="1"/>
  </cols>
  <sheetData>
    <row r="1" spans="1:8" x14ac:dyDescent="0.25">
      <c r="A1" t="s">
        <v>46</v>
      </c>
    </row>
    <row r="3" spans="1:8" ht="16.5" thickBot="1" x14ac:dyDescent="0.3"/>
    <row r="4" spans="1:8" x14ac:dyDescent="0.25">
      <c r="A4" s="10" t="s">
        <v>2</v>
      </c>
      <c r="B4" s="11">
        <v>1052982</v>
      </c>
      <c r="D4" s="8"/>
      <c r="H4" s="8"/>
    </row>
    <row r="5" spans="1:8" x14ac:dyDescent="0.25">
      <c r="A5" s="12" t="s">
        <v>13</v>
      </c>
      <c r="B5" s="13">
        <v>672497</v>
      </c>
      <c r="D5" s="8"/>
      <c r="H5" s="8"/>
    </row>
    <row r="6" spans="1:8" x14ac:dyDescent="0.25">
      <c r="A6" s="12" t="s">
        <v>14</v>
      </c>
      <c r="B6" s="13">
        <v>968035</v>
      </c>
      <c r="D6" s="8"/>
      <c r="H6" s="8"/>
    </row>
    <row r="7" spans="1:8" x14ac:dyDescent="0.25">
      <c r="A7" s="12" t="s">
        <v>16</v>
      </c>
      <c r="B7" s="13">
        <v>701714</v>
      </c>
      <c r="D7" s="8"/>
      <c r="H7" s="8"/>
    </row>
    <row r="8" spans="1:8" ht="16.5" thickBot="1" x14ac:dyDescent="0.3">
      <c r="A8" s="14" t="s">
        <v>18</v>
      </c>
      <c r="B8" s="15">
        <v>160482</v>
      </c>
      <c r="D8" s="8"/>
      <c r="H8" s="8"/>
    </row>
    <row r="9" spans="1:8" ht="16.5" thickBot="1" x14ac:dyDescent="0.3">
      <c r="A9" s="17" t="s">
        <v>35</v>
      </c>
      <c r="B9" s="16">
        <f>SUM(B4:B8)</f>
        <v>3555710</v>
      </c>
      <c r="D9" s="8"/>
      <c r="H9" s="8"/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B467FB-B2BE-4879-9E39-177DB70D66D8}"/>
</file>

<file path=customXml/itemProps2.xml><?xml version="1.0" encoding="utf-8"?>
<ds:datastoreItem xmlns:ds="http://schemas.openxmlformats.org/officeDocument/2006/customXml" ds:itemID="{C27298CD-FFC6-4493-BDB7-8A98297243F0}"/>
</file>

<file path=customXml/itemProps3.xml><?xml version="1.0" encoding="utf-8"?>
<ds:datastoreItem xmlns:ds="http://schemas.openxmlformats.org/officeDocument/2006/customXml" ds:itemID="{ADE8A469-5A1A-42C4-AA50-CF5598B3F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harvest</vt:lpstr>
      <vt:lpstr>cpue</vt:lpstr>
      <vt:lpstr>effort</vt:lpstr>
      <vt:lpstr>table</vt:lpstr>
      <vt:lpstr>State-Tribal Update</vt:lpstr>
      <vt:lpstr>LB - Wastage</vt:lpstr>
      <vt:lpstr>Sheet1</vt:lpstr>
      <vt:lpstr>TH - Wastage</vt:lpstr>
      <vt:lpstr>Cop - Wastage</vt:lpstr>
      <vt:lpstr>Moc - Wastage</vt:lpstr>
      <vt:lpstr>Wastage</vt:lpstr>
      <vt:lpstr>2008-2009 TAC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Deibert, John R (DFW)</dc:creator>
  <cp:lastModifiedBy>Ayres, Daniel L (DFW)</cp:lastModifiedBy>
  <cp:lastPrinted>2013-08-30T21:13:27Z</cp:lastPrinted>
  <dcterms:created xsi:type="dcterms:W3CDTF">2004-08-09T22:20:27Z</dcterms:created>
  <dcterms:modified xsi:type="dcterms:W3CDTF">2013-08-30T21:15:40Z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  <property fmtid="{D5CDD505-2E9C-101B-9397-08002B2CF9AE}" pid="3" name="Order">
    <vt:r8>2816100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