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bryce_blumenthal_dfw_wa_gov/Documents/Desktop/2023 Harvest Spreadsheets/"/>
    </mc:Choice>
  </mc:AlternateContent>
  <xr:revisionPtr revIDLastSave="3644" documentId="8_{F89BB5D5-1B67-4BC8-AE80-830BAA1C71A6}" xr6:coauthVersionLast="47" xr6:coauthVersionMax="47" xr10:uidLastSave="{E85E3229-AEE9-46BC-ACD4-EC446C8C07E4}"/>
  <bookViews>
    <workbookView minimized="1" xWindow="1875" yWindow="3330" windowWidth="19185" windowHeight="10200" tabRatio="657" activeTab="5" xr2:uid="{00000000-000D-0000-FFFF-FFFF00000000}"/>
  </bookViews>
  <sheets>
    <sheet name="Harvest" sheetId="2" r:id="rId1"/>
    <sheet name="Effort" sheetId="1" r:id="rId2"/>
    <sheet name="CPUE" sheetId="3" r:id="rId3"/>
    <sheet name="Summary Table" sheetId="4" r:id="rId4"/>
    <sheet name="Summary Table Public" sheetId="15" r:id="rId5"/>
    <sheet name="Tribal Update" sheetId="13" r:id="rId6"/>
    <sheet name="TAC" sheetId="5" r:id="rId7"/>
    <sheet name="TH Wastage" sheetId="6" r:id="rId8"/>
    <sheet name="LB Wastage" sheetId="7" r:id="rId9"/>
    <sheet name="Cop Wastage" sheetId="8" r:id="rId10"/>
    <sheet name="Moc Wastage" sheetId="9" r:id="rId11"/>
    <sheet name="Kal Wastage" sheetId="11" r:id="rId12"/>
    <sheet name="Summary Table (2)" sheetId="16" r:id="rId13"/>
    <sheet name="Copy Sheet" sheetId="10" r:id="rId14"/>
  </sheets>
  <definedNames>
    <definedName name="_xlnm.Print_Area" localSheetId="5">'Tribal Update'!$A$1:$R$125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4" l="1"/>
  <c r="R124" i="4"/>
  <c r="Q123" i="4"/>
  <c r="N123" i="4"/>
  <c r="K123" i="4"/>
  <c r="H123" i="4"/>
  <c r="E123" i="4"/>
  <c r="R122" i="4"/>
  <c r="R123" i="4" s="1"/>
  <c r="R121" i="4"/>
  <c r="Q121" i="4"/>
  <c r="P118" i="4"/>
  <c r="O118" i="4"/>
  <c r="N118" i="4"/>
  <c r="M118" i="4"/>
  <c r="L118" i="4"/>
  <c r="K118" i="4"/>
  <c r="J118" i="4"/>
  <c r="I118" i="4"/>
  <c r="H118" i="4"/>
  <c r="G118" i="4"/>
  <c r="F118" i="4"/>
  <c r="U118" i="4" s="1"/>
  <c r="E118" i="4"/>
  <c r="T118" i="4" s="1"/>
  <c r="P117" i="4"/>
  <c r="O117" i="4"/>
  <c r="N117" i="4"/>
  <c r="M117" i="4"/>
  <c r="L117" i="4"/>
  <c r="K117" i="4"/>
  <c r="J117" i="4"/>
  <c r="I117" i="4"/>
  <c r="H117" i="4"/>
  <c r="G117" i="4"/>
  <c r="F117" i="4"/>
  <c r="U117" i="4" s="1"/>
  <c r="E117" i="4"/>
  <c r="T117" i="4" s="1"/>
  <c r="P116" i="4"/>
  <c r="O116" i="4"/>
  <c r="N116" i="4"/>
  <c r="M116" i="4"/>
  <c r="L116" i="4"/>
  <c r="K116" i="4"/>
  <c r="J116" i="4"/>
  <c r="I116" i="4"/>
  <c r="H116" i="4"/>
  <c r="G116" i="4"/>
  <c r="F116" i="4"/>
  <c r="U116" i="4" s="1"/>
  <c r="E116" i="4"/>
  <c r="T116" i="4" s="1"/>
  <c r="P115" i="4"/>
  <c r="O115" i="4"/>
  <c r="N115" i="4"/>
  <c r="M115" i="4"/>
  <c r="L115" i="4"/>
  <c r="K115" i="4"/>
  <c r="J115" i="4"/>
  <c r="I115" i="4"/>
  <c r="H115" i="4"/>
  <c r="G115" i="4"/>
  <c r="F115" i="4"/>
  <c r="U115" i="4" s="1"/>
  <c r="E115" i="4"/>
  <c r="T115" i="4" s="1"/>
  <c r="P114" i="4"/>
  <c r="O114" i="4"/>
  <c r="N114" i="4"/>
  <c r="T114" i="4" s="1"/>
  <c r="M114" i="4"/>
  <c r="L114" i="4"/>
  <c r="K114" i="4"/>
  <c r="J114" i="4"/>
  <c r="I114" i="4"/>
  <c r="H114" i="4"/>
  <c r="G114" i="4"/>
  <c r="F114" i="4"/>
  <c r="U114" i="4" s="1"/>
  <c r="E114" i="4"/>
  <c r="T113" i="4"/>
  <c r="P113" i="4"/>
  <c r="O113" i="4"/>
  <c r="O119" i="4" s="1"/>
  <c r="N113" i="4"/>
  <c r="M113" i="4"/>
  <c r="L113" i="4"/>
  <c r="L119" i="4" s="1"/>
  <c r="K113" i="4"/>
  <c r="J113" i="4"/>
  <c r="I113" i="4"/>
  <c r="H113" i="4"/>
  <c r="H119" i="4" s="1"/>
  <c r="G113" i="4"/>
  <c r="F113" i="4"/>
  <c r="U113" i="4" s="1"/>
  <c r="E113" i="4"/>
  <c r="P112" i="4"/>
  <c r="O112" i="4"/>
  <c r="N112" i="4"/>
  <c r="N119" i="4" s="1"/>
  <c r="N121" i="4" s="1"/>
  <c r="M112" i="4"/>
  <c r="L112" i="4"/>
  <c r="K112" i="4"/>
  <c r="K119" i="4" s="1"/>
  <c r="K121" i="4" s="1"/>
  <c r="J112" i="4"/>
  <c r="I112" i="4"/>
  <c r="I119" i="4" s="1"/>
  <c r="H112" i="4"/>
  <c r="G112" i="4"/>
  <c r="F112" i="4"/>
  <c r="U112" i="4" s="1"/>
  <c r="U119" i="4" s="1"/>
  <c r="U121" i="4" s="1"/>
  <c r="E112" i="4"/>
  <c r="T112" i="4" s="1"/>
  <c r="T119" i="4" s="1"/>
  <c r="T121" i="4" s="1"/>
  <c r="T123" i="4" s="1"/>
  <c r="R121" i="13"/>
  <c r="Q121" i="13"/>
  <c r="J121" i="13"/>
  <c r="I121" i="13"/>
  <c r="F121" i="13"/>
  <c r="E121" i="13"/>
  <c r="K118" i="13"/>
  <c r="J118" i="13"/>
  <c r="I118" i="13"/>
  <c r="Q118" i="13" s="1"/>
  <c r="G118" i="13"/>
  <c r="F118" i="13"/>
  <c r="R118" i="13" s="1"/>
  <c r="E118" i="13"/>
  <c r="K117" i="13"/>
  <c r="J117" i="13"/>
  <c r="I117" i="13"/>
  <c r="G117" i="13"/>
  <c r="F117" i="13"/>
  <c r="R117" i="13" s="1"/>
  <c r="E117" i="13"/>
  <c r="Q117" i="13" s="1"/>
  <c r="R116" i="13"/>
  <c r="Q116" i="13"/>
  <c r="K116" i="13"/>
  <c r="J116" i="13"/>
  <c r="I116" i="13"/>
  <c r="G116" i="13"/>
  <c r="F116" i="13"/>
  <c r="E116" i="13"/>
  <c r="K115" i="13"/>
  <c r="J115" i="13"/>
  <c r="I115" i="13"/>
  <c r="Q115" i="13" s="1"/>
  <c r="G115" i="13"/>
  <c r="F115" i="13"/>
  <c r="R115" i="13" s="1"/>
  <c r="E115" i="13"/>
  <c r="K114" i="13"/>
  <c r="J114" i="13"/>
  <c r="I114" i="13"/>
  <c r="G114" i="13"/>
  <c r="F114" i="13"/>
  <c r="R114" i="13" s="1"/>
  <c r="E114" i="13"/>
  <c r="Q114" i="13" s="1"/>
  <c r="R113" i="13"/>
  <c r="Q113" i="13"/>
  <c r="K113" i="13"/>
  <c r="J113" i="13"/>
  <c r="I113" i="13"/>
  <c r="G113" i="13"/>
  <c r="F113" i="13"/>
  <c r="E113" i="13"/>
  <c r="E119" i="13" s="1"/>
  <c r="K112" i="13"/>
  <c r="J112" i="13"/>
  <c r="J119" i="13" s="1"/>
  <c r="I112" i="13"/>
  <c r="I119" i="13" s="1"/>
  <c r="G112" i="13"/>
  <c r="F112" i="13"/>
  <c r="R112" i="13" s="1"/>
  <c r="E112" i="13"/>
  <c r="U121" i="15"/>
  <c r="T121" i="15"/>
  <c r="O121" i="15"/>
  <c r="N121" i="15"/>
  <c r="L121" i="15"/>
  <c r="K121" i="15"/>
  <c r="I121" i="15"/>
  <c r="H121" i="15"/>
  <c r="F121" i="15"/>
  <c r="E121" i="15"/>
  <c r="F113" i="2"/>
  <c r="F115" i="15" s="1"/>
  <c r="F116" i="2"/>
  <c r="F112" i="2"/>
  <c r="O112" i="2" s="1"/>
  <c r="F111" i="2"/>
  <c r="O111" i="2" s="1"/>
  <c r="H114" i="2"/>
  <c r="H114" i="1"/>
  <c r="H116" i="15"/>
  <c r="F116" i="1"/>
  <c r="F112" i="1"/>
  <c r="F111" i="1"/>
  <c r="E118" i="15"/>
  <c r="T118" i="15" s="1"/>
  <c r="E113" i="15"/>
  <c r="T113" i="15" s="1"/>
  <c r="F113" i="1"/>
  <c r="E115" i="15" s="1"/>
  <c r="F114" i="1"/>
  <c r="F106" i="1"/>
  <c r="F114" i="3"/>
  <c r="F115" i="3"/>
  <c r="G117" i="15" s="1"/>
  <c r="H116" i="3"/>
  <c r="H115" i="3"/>
  <c r="J117" i="15" s="1"/>
  <c r="H113" i="3"/>
  <c r="J116" i="3"/>
  <c r="M118" i="15" s="1"/>
  <c r="J113" i="3"/>
  <c r="M115" i="15" s="1"/>
  <c r="J112" i="3"/>
  <c r="M114" i="15" s="1"/>
  <c r="L115" i="3"/>
  <c r="P117" i="15" s="1"/>
  <c r="L114" i="3"/>
  <c r="P116" i="15" s="1"/>
  <c r="L111" i="3"/>
  <c r="P113" i="15" s="1"/>
  <c r="L110" i="3"/>
  <c r="P112" i="15" s="1"/>
  <c r="F115" i="1"/>
  <c r="E117" i="15" s="1"/>
  <c r="T117" i="15" s="1"/>
  <c r="F115" i="2"/>
  <c r="F114" i="2"/>
  <c r="F116" i="15" s="1"/>
  <c r="U112" i="15"/>
  <c r="P118" i="15"/>
  <c r="O118" i="15"/>
  <c r="N118" i="15"/>
  <c r="L118" i="15"/>
  <c r="K118" i="15"/>
  <c r="J118" i="15"/>
  <c r="I118" i="15"/>
  <c r="H118" i="15"/>
  <c r="G118" i="15"/>
  <c r="F118" i="15"/>
  <c r="O117" i="15"/>
  <c r="N117" i="15"/>
  <c r="M117" i="15"/>
  <c r="L117" i="15"/>
  <c r="K117" i="15"/>
  <c r="I117" i="15"/>
  <c r="H117" i="15"/>
  <c r="O116" i="15"/>
  <c r="N116" i="15"/>
  <c r="M116" i="15"/>
  <c r="L116" i="15"/>
  <c r="K116" i="15"/>
  <c r="J116" i="15"/>
  <c r="I116" i="15"/>
  <c r="G116" i="15"/>
  <c r="P115" i="15"/>
  <c r="O115" i="15"/>
  <c r="N115" i="15"/>
  <c r="L115" i="15"/>
  <c r="K115" i="15"/>
  <c r="J115" i="15"/>
  <c r="I115" i="15"/>
  <c r="H115" i="15"/>
  <c r="G115" i="15"/>
  <c r="P114" i="15"/>
  <c r="O114" i="15"/>
  <c r="N114" i="15"/>
  <c r="L114" i="15"/>
  <c r="K114" i="15"/>
  <c r="J114" i="15"/>
  <c r="I114" i="15"/>
  <c r="H114" i="15"/>
  <c r="G114" i="15"/>
  <c r="E114" i="15"/>
  <c r="O113" i="15"/>
  <c r="U113" i="15" s="1"/>
  <c r="N113" i="15"/>
  <c r="M113" i="15"/>
  <c r="L113" i="15"/>
  <c r="K113" i="15"/>
  <c r="J113" i="15"/>
  <c r="I113" i="15"/>
  <c r="H113" i="15"/>
  <c r="G113" i="15"/>
  <c r="F113" i="15"/>
  <c r="O112" i="15"/>
  <c r="N112" i="15"/>
  <c r="T112" i="15" s="1"/>
  <c r="M112" i="15"/>
  <c r="L112" i="15"/>
  <c r="L119" i="15" s="1"/>
  <c r="K112" i="15"/>
  <c r="J112" i="15"/>
  <c r="I112" i="15"/>
  <c r="H112" i="15"/>
  <c r="G112" i="15"/>
  <c r="F112" i="15"/>
  <c r="E112" i="15"/>
  <c r="N118" i="1"/>
  <c r="L118" i="1"/>
  <c r="J118" i="1"/>
  <c r="H118" i="1"/>
  <c r="O110" i="2"/>
  <c r="O116" i="2"/>
  <c r="O110" i="1"/>
  <c r="O111" i="1"/>
  <c r="O112" i="1"/>
  <c r="O110" i="3"/>
  <c r="F90" i="1"/>
  <c r="H121" i="4" l="1"/>
  <c r="W122" i="4" s="1"/>
  <c r="W119" i="4"/>
  <c r="W121" i="4" s="1"/>
  <c r="I121" i="4"/>
  <c r="J119" i="4"/>
  <c r="M119" i="4"/>
  <c r="L121" i="4"/>
  <c r="X119" i="4"/>
  <c r="X121" i="4" s="1"/>
  <c r="O121" i="4"/>
  <c r="P119" i="4"/>
  <c r="E119" i="4"/>
  <c r="F119" i="4"/>
  <c r="T119" i="13"/>
  <c r="K119" i="13"/>
  <c r="R119" i="13"/>
  <c r="F119" i="13"/>
  <c r="Q112" i="13"/>
  <c r="Q119" i="13" s="1"/>
  <c r="U115" i="15"/>
  <c r="F118" i="2"/>
  <c r="O113" i="2"/>
  <c r="O113" i="3" s="1"/>
  <c r="U118" i="15"/>
  <c r="F114" i="15"/>
  <c r="U114" i="15"/>
  <c r="O111" i="3"/>
  <c r="O114" i="1"/>
  <c r="O116" i="1"/>
  <c r="T114" i="15"/>
  <c r="O115" i="1"/>
  <c r="E116" i="15"/>
  <c r="F118" i="1"/>
  <c r="T116" i="15"/>
  <c r="H119" i="15"/>
  <c r="T115" i="15"/>
  <c r="O113" i="1"/>
  <c r="E119" i="15"/>
  <c r="K119" i="15"/>
  <c r="M119" i="15" s="1"/>
  <c r="O112" i="3"/>
  <c r="N119" i="15"/>
  <c r="U116" i="15"/>
  <c r="O114" i="2"/>
  <c r="O114" i="3" s="1"/>
  <c r="O115" i="2"/>
  <c r="F117" i="15"/>
  <c r="U117" i="15" s="1"/>
  <c r="I119" i="15"/>
  <c r="O119" i="15"/>
  <c r="O116" i="3"/>
  <c r="K123" i="15"/>
  <c r="R121" i="15"/>
  <c r="Q121" i="15"/>
  <c r="H107" i="1"/>
  <c r="H105" i="1"/>
  <c r="O105" i="1" s="1"/>
  <c r="F105" i="1"/>
  <c r="E100" i="9"/>
  <c r="D100" i="9"/>
  <c r="C100" i="9"/>
  <c r="N123" i="15"/>
  <c r="H107" i="2"/>
  <c r="H105" i="2"/>
  <c r="F108" i="2"/>
  <c r="O108" i="2" s="1"/>
  <c r="O108" i="3" s="1"/>
  <c r="F106" i="2"/>
  <c r="F105" i="2"/>
  <c r="H106" i="3"/>
  <c r="H104" i="3"/>
  <c r="J106" i="3"/>
  <c r="J105" i="3"/>
  <c r="J102" i="3"/>
  <c r="L108" i="3"/>
  <c r="L107" i="3"/>
  <c r="L104" i="3"/>
  <c r="L103" i="3"/>
  <c r="F108" i="1"/>
  <c r="O108" i="1" s="1"/>
  <c r="O106" i="1"/>
  <c r="F104" i="1"/>
  <c r="O104" i="1" s="1"/>
  <c r="F100" i="1"/>
  <c r="O102" i="1"/>
  <c r="O102" i="2"/>
  <c r="O102" i="3" s="1"/>
  <c r="M121" i="4" l="1"/>
  <c r="J121" i="4"/>
  <c r="F121" i="4"/>
  <c r="G119" i="4"/>
  <c r="P121" i="4"/>
  <c r="G119" i="13"/>
  <c r="U119" i="13"/>
  <c r="U119" i="15"/>
  <c r="O118" i="1"/>
  <c r="T119" i="15"/>
  <c r="O115" i="3"/>
  <c r="J119" i="15"/>
  <c r="W119" i="15"/>
  <c r="P119" i="15"/>
  <c r="F119" i="15"/>
  <c r="G119" i="15" s="1"/>
  <c r="F104" i="2"/>
  <c r="O104" i="2" s="1"/>
  <c r="O104" i="3" s="1"/>
  <c r="F103" i="1"/>
  <c r="F107" i="1"/>
  <c r="O106" i="2"/>
  <c r="O106" i="3" s="1"/>
  <c r="F108" i="15"/>
  <c r="O105" i="2"/>
  <c r="O105" i="3" s="1"/>
  <c r="G121" i="4" l="1"/>
  <c r="X122" i="4"/>
  <c r="X119" i="15"/>
  <c r="O107" i="1"/>
  <c r="F107" i="2"/>
  <c r="O107" i="2" s="1"/>
  <c r="O107" i="3" s="1"/>
  <c r="F103" i="2"/>
  <c r="O103" i="2" s="1"/>
  <c r="O103" i="1"/>
  <c r="K110" i="13"/>
  <c r="J110" i="13"/>
  <c r="I110" i="13"/>
  <c r="G110" i="13"/>
  <c r="F110" i="13"/>
  <c r="E110" i="13"/>
  <c r="Q109" i="13"/>
  <c r="K109" i="13"/>
  <c r="J109" i="13"/>
  <c r="I109" i="13"/>
  <c r="G109" i="13"/>
  <c r="F109" i="13"/>
  <c r="E109" i="13"/>
  <c r="K108" i="13"/>
  <c r="J108" i="13"/>
  <c r="I108" i="13"/>
  <c r="G108" i="13"/>
  <c r="F108" i="13"/>
  <c r="E108" i="13"/>
  <c r="Q107" i="13"/>
  <c r="K107" i="13"/>
  <c r="J107" i="13"/>
  <c r="I107" i="13"/>
  <c r="G107" i="13"/>
  <c r="F107" i="13"/>
  <c r="E107" i="13"/>
  <c r="K106" i="13"/>
  <c r="J106" i="13"/>
  <c r="I106" i="13"/>
  <c r="G106" i="13"/>
  <c r="F106" i="13"/>
  <c r="E106" i="13"/>
  <c r="K105" i="13"/>
  <c r="J105" i="13"/>
  <c r="I105" i="13"/>
  <c r="G105" i="13"/>
  <c r="F105" i="13"/>
  <c r="E105" i="13"/>
  <c r="K104" i="13"/>
  <c r="J104" i="13"/>
  <c r="I104" i="13"/>
  <c r="G104" i="13"/>
  <c r="F104" i="13"/>
  <c r="E104" i="13"/>
  <c r="Q104" i="13" s="1"/>
  <c r="P110" i="4"/>
  <c r="O110" i="4"/>
  <c r="N110" i="4"/>
  <c r="M110" i="4"/>
  <c r="L110" i="4"/>
  <c r="K110" i="4"/>
  <c r="J110" i="4"/>
  <c r="I110" i="4"/>
  <c r="H110" i="4"/>
  <c r="G110" i="4"/>
  <c r="F110" i="4"/>
  <c r="E110" i="4"/>
  <c r="P109" i="4"/>
  <c r="O109" i="4"/>
  <c r="N109" i="4"/>
  <c r="M109" i="4"/>
  <c r="L109" i="4"/>
  <c r="K109" i="4"/>
  <c r="J109" i="4"/>
  <c r="I109" i="4"/>
  <c r="H109" i="4"/>
  <c r="G109" i="4"/>
  <c r="E109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P105" i="4"/>
  <c r="O105" i="4"/>
  <c r="N105" i="4"/>
  <c r="M105" i="4"/>
  <c r="L105" i="4"/>
  <c r="K105" i="4"/>
  <c r="J105" i="4"/>
  <c r="I105" i="4"/>
  <c r="H105" i="4"/>
  <c r="G105" i="4"/>
  <c r="E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P109" i="15"/>
  <c r="O109" i="15"/>
  <c r="N109" i="15"/>
  <c r="M109" i="15"/>
  <c r="L109" i="15"/>
  <c r="K109" i="15"/>
  <c r="J109" i="15"/>
  <c r="I109" i="15"/>
  <c r="H109" i="15"/>
  <c r="G109" i="15"/>
  <c r="E109" i="15"/>
  <c r="P108" i="15"/>
  <c r="O108" i="15"/>
  <c r="N108" i="15"/>
  <c r="M108" i="15"/>
  <c r="L108" i="15"/>
  <c r="K108" i="15"/>
  <c r="J108" i="15"/>
  <c r="I108" i="15"/>
  <c r="H108" i="15"/>
  <c r="G108" i="15"/>
  <c r="E108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P105" i="15"/>
  <c r="O105" i="15"/>
  <c r="N105" i="15"/>
  <c r="M105" i="15"/>
  <c r="L105" i="15"/>
  <c r="K105" i="15"/>
  <c r="J105" i="15"/>
  <c r="I105" i="15"/>
  <c r="H105" i="15"/>
  <c r="G105" i="15"/>
  <c r="E105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Q108" i="13" l="1"/>
  <c r="F109" i="15"/>
  <c r="U109" i="15" s="1"/>
  <c r="F105" i="4"/>
  <c r="F111" i="4" s="1"/>
  <c r="F109" i="4"/>
  <c r="F105" i="15"/>
  <c r="U105" i="15" s="1"/>
  <c r="Q106" i="13"/>
  <c r="Q110" i="13"/>
  <c r="Q105" i="13"/>
  <c r="O103" i="3"/>
  <c r="T109" i="15"/>
  <c r="T110" i="15"/>
  <c r="T105" i="4"/>
  <c r="T106" i="4"/>
  <c r="T109" i="4"/>
  <c r="T110" i="4"/>
  <c r="L111" i="4"/>
  <c r="L111" i="15"/>
  <c r="R107" i="13"/>
  <c r="T104" i="4"/>
  <c r="R110" i="13"/>
  <c r="T104" i="15"/>
  <c r="T105" i="15"/>
  <c r="U108" i="15"/>
  <c r="R106" i="13"/>
  <c r="R104" i="13"/>
  <c r="T106" i="15"/>
  <c r="T107" i="15"/>
  <c r="T108" i="15"/>
  <c r="T107" i="4"/>
  <c r="T108" i="4"/>
  <c r="U106" i="15"/>
  <c r="U107" i="15"/>
  <c r="U110" i="15"/>
  <c r="U104" i="4"/>
  <c r="U106" i="4"/>
  <c r="U108" i="4"/>
  <c r="U109" i="4"/>
  <c r="U110" i="4"/>
  <c r="R109" i="13"/>
  <c r="U104" i="15"/>
  <c r="J111" i="13"/>
  <c r="R108" i="13"/>
  <c r="K111" i="4"/>
  <c r="U107" i="4"/>
  <c r="E111" i="15"/>
  <c r="E111" i="4"/>
  <c r="H111" i="15"/>
  <c r="H111" i="4"/>
  <c r="K111" i="15"/>
  <c r="N111" i="4"/>
  <c r="N111" i="15"/>
  <c r="I111" i="13"/>
  <c r="I111" i="15"/>
  <c r="I111" i="4"/>
  <c r="F111" i="13"/>
  <c r="O111" i="15"/>
  <c r="O111" i="4"/>
  <c r="E111" i="13"/>
  <c r="R105" i="13"/>
  <c r="Q111" i="13" l="1"/>
  <c r="U105" i="4"/>
  <c r="U111" i="4" s="1"/>
  <c r="F111" i="15"/>
  <c r="X111" i="15" s="1"/>
  <c r="T111" i="13"/>
  <c r="M111" i="4"/>
  <c r="T111" i="15"/>
  <c r="M111" i="15"/>
  <c r="U111" i="13"/>
  <c r="K111" i="13"/>
  <c r="P111" i="15"/>
  <c r="R111" i="13"/>
  <c r="X111" i="4"/>
  <c r="J111" i="4"/>
  <c r="U111" i="15"/>
  <c r="J111" i="15"/>
  <c r="G111" i="4"/>
  <c r="W111" i="4"/>
  <c r="T111" i="4"/>
  <c r="W111" i="15"/>
  <c r="P111" i="4"/>
  <c r="G111" i="13"/>
  <c r="G111" i="15" l="1"/>
  <c r="K102" i="13"/>
  <c r="J102" i="13"/>
  <c r="I102" i="13"/>
  <c r="G102" i="13"/>
  <c r="E102" i="13"/>
  <c r="J101" i="13"/>
  <c r="I101" i="13"/>
  <c r="G101" i="13"/>
  <c r="F101" i="13"/>
  <c r="E101" i="13"/>
  <c r="J100" i="13"/>
  <c r="I100" i="13"/>
  <c r="G100" i="13"/>
  <c r="F100" i="13"/>
  <c r="E100" i="13"/>
  <c r="K99" i="13"/>
  <c r="J99" i="13"/>
  <c r="I99" i="13"/>
  <c r="F99" i="13"/>
  <c r="E99" i="13"/>
  <c r="K98" i="13"/>
  <c r="J98" i="13"/>
  <c r="I98" i="13"/>
  <c r="F98" i="13"/>
  <c r="E98" i="13"/>
  <c r="J97" i="13"/>
  <c r="I97" i="13"/>
  <c r="G97" i="13"/>
  <c r="F97" i="13"/>
  <c r="E97" i="13"/>
  <c r="J96" i="13"/>
  <c r="I96" i="13"/>
  <c r="G96" i="13"/>
  <c r="F96" i="13"/>
  <c r="E96" i="13"/>
  <c r="P102" i="4"/>
  <c r="O102" i="4"/>
  <c r="N102" i="4"/>
  <c r="M102" i="4"/>
  <c r="K102" i="4"/>
  <c r="J102" i="4"/>
  <c r="I102" i="4"/>
  <c r="H102" i="4"/>
  <c r="G102" i="4"/>
  <c r="O101" i="4"/>
  <c r="N101" i="4"/>
  <c r="M101" i="4"/>
  <c r="L101" i="4"/>
  <c r="K101" i="4"/>
  <c r="I101" i="4"/>
  <c r="H101" i="4"/>
  <c r="G101" i="4"/>
  <c r="O100" i="4"/>
  <c r="N100" i="4"/>
  <c r="M100" i="4"/>
  <c r="L100" i="4"/>
  <c r="K100" i="4"/>
  <c r="I100" i="4"/>
  <c r="H100" i="4"/>
  <c r="P99" i="4"/>
  <c r="O99" i="4"/>
  <c r="N99" i="4"/>
  <c r="L99" i="4"/>
  <c r="K99" i="4"/>
  <c r="I99" i="4"/>
  <c r="H99" i="4"/>
  <c r="G99" i="4"/>
  <c r="P98" i="4"/>
  <c r="O98" i="4"/>
  <c r="N98" i="4"/>
  <c r="L98" i="4"/>
  <c r="K98" i="4"/>
  <c r="J98" i="4"/>
  <c r="G98" i="4"/>
  <c r="O97" i="4"/>
  <c r="N97" i="4"/>
  <c r="M97" i="4"/>
  <c r="L97" i="4"/>
  <c r="K97" i="4"/>
  <c r="J97" i="4"/>
  <c r="I97" i="4"/>
  <c r="H97" i="4"/>
  <c r="G97" i="4"/>
  <c r="O96" i="4"/>
  <c r="N96" i="4"/>
  <c r="M96" i="4"/>
  <c r="L96" i="4"/>
  <c r="K96" i="4"/>
  <c r="J96" i="4"/>
  <c r="I96" i="4"/>
  <c r="H96" i="4"/>
  <c r="G96" i="4"/>
  <c r="F96" i="4"/>
  <c r="E96" i="4"/>
  <c r="P102" i="15"/>
  <c r="O102" i="15"/>
  <c r="N102" i="15"/>
  <c r="M102" i="15"/>
  <c r="K102" i="15"/>
  <c r="J102" i="15"/>
  <c r="I102" i="15"/>
  <c r="H102" i="15"/>
  <c r="G102" i="15"/>
  <c r="O101" i="15"/>
  <c r="N101" i="15"/>
  <c r="M101" i="15"/>
  <c r="L101" i="15"/>
  <c r="K101" i="15"/>
  <c r="I101" i="15"/>
  <c r="H101" i="15"/>
  <c r="G101" i="15"/>
  <c r="O100" i="15"/>
  <c r="N100" i="15"/>
  <c r="M100" i="15"/>
  <c r="L100" i="15"/>
  <c r="K100" i="15"/>
  <c r="I100" i="15"/>
  <c r="H100" i="15"/>
  <c r="P99" i="15"/>
  <c r="O99" i="15"/>
  <c r="N99" i="15"/>
  <c r="L99" i="15"/>
  <c r="K99" i="15"/>
  <c r="I99" i="15"/>
  <c r="H99" i="15"/>
  <c r="G99" i="15"/>
  <c r="P98" i="15"/>
  <c r="O98" i="15"/>
  <c r="N98" i="15"/>
  <c r="L98" i="15"/>
  <c r="K98" i="15"/>
  <c r="J98" i="15"/>
  <c r="G98" i="15"/>
  <c r="O97" i="15"/>
  <c r="N97" i="15"/>
  <c r="M97" i="15"/>
  <c r="L97" i="15"/>
  <c r="K97" i="15"/>
  <c r="J97" i="15"/>
  <c r="I97" i="15"/>
  <c r="H97" i="15"/>
  <c r="G97" i="15"/>
  <c r="O96" i="15"/>
  <c r="N96" i="15"/>
  <c r="M96" i="15"/>
  <c r="L96" i="15"/>
  <c r="K96" i="15"/>
  <c r="J96" i="15"/>
  <c r="I96" i="15"/>
  <c r="H96" i="15"/>
  <c r="G96" i="15"/>
  <c r="F96" i="15"/>
  <c r="E96" i="15"/>
  <c r="J100" i="2"/>
  <c r="L99" i="3"/>
  <c r="K101" i="13" s="1"/>
  <c r="L98" i="3"/>
  <c r="K100" i="13" s="1"/>
  <c r="L95" i="3"/>
  <c r="K97" i="13" s="1"/>
  <c r="L94" i="3"/>
  <c r="K96" i="13" s="1"/>
  <c r="J97" i="3"/>
  <c r="M99" i="4" s="1"/>
  <c r="J96" i="3"/>
  <c r="M98" i="4" s="1"/>
  <c r="H99" i="3"/>
  <c r="J101" i="15" s="1"/>
  <c r="H98" i="3"/>
  <c r="J100" i="15" s="1"/>
  <c r="H97" i="3"/>
  <c r="J99" i="15" s="1"/>
  <c r="F96" i="2"/>
  <c r="F98" i="4" s="1"/>
  <c r="F98" i="2"/>
  <c r="F100" i="4" s="1"/>
  <c r="O94" i="2"/>
  <c r="O100" i="1"/>
  <c r="F96" i="1"/>
  <c r="E98" i="4" s="1"/>
  <c r="F98" i="1"/>
  <c r="H96" i="1" s="1"/>
  <c r="O94" i="1"/>
  <c r="Q101" i="13" l="1"/>
  <c r="I103" i="13"/>
  <c r="Q97" i="13"/>
  <c r="Q100" i="13"/>
  <c r="Q102" i="13"/>
  <c r="O94" i="3"/>
  <c r="Q98" i="13"/>
  <c r="U100" i="4"/>
  <c r="R97" i="13"/>
  <c r="L102" i="4"/>
  <c r="L103" i="4" s="1"/>
  <c r="J118" i="2"/>
  <c r="R101" i="13"/>
  <c r="Q99" i="13"/>
  <c r="E103" i="13"/>
  <c r="H98" i="4"/>
  <c r="T98" i="4" s="1"/>
  <c r="H96" i="2"/>
  <c r="I98" i="4" s="1"/>
  <c r="U98" i="4" s="1"/>
  <c r="H98" i="15"/>
  <c r="E102" i="15"/>
  <c r="T102" i="15" s="1"/>
  <c r="T102" i="4"/>
  <c r="O98" i="1"/>
  <c r="O96" i="1"/>
  <c r="E98" i="15"/>
  <c r="E100" i="4"/>
  <c r="T100" i="4" s="1"/>
  <c r="F95" i="1"/>
  <c r="E100" i="15"/>
  <c r="T100" i="15" s="1"/>
  <c r="E102" i="4"/>
  <c r="F97" i="1"/>
  <c r="F99" i="1"/>
  <c r="F100" i="2"/>
  <c r="F102" i="4" s="1"/>
  <c r="U102" i="4" s="1"/>
  <c r="R100" i="13"/>
  <c r="L102" i="15"/>
  <c r="L103" i="15" s="1"/>
  <c r="K103" i="4"/>
  <c r="N103" i="4"/>
  <c r="O98" i="2"/>
  <c r="O98" i="3" s="1"/>
  <c r="U96" i="4"/>
  <c r="J101" i="4"/>
  <c r="J100" i="4"/>
  <c r="R98" i="13"/>
  <c r="K103" i="15"/>
  <c r="J99" i="4"/>
  <c r="F98" i="3"/>
  <c r="G100" i="4" s="1"/>
  <c r="R99" i="13"/>
  <c r="O103" i="15"/>
  <c r="P96" i="15"/>
  <c r="P97" i="15"/>
  <c r="P100" i="15"/>
  <c r="P101" i="15"/>
  <c r="O103" i="4"/>
  <c r="G99" i="13"/>
  <c r="T96" i="15"/>
  <c r="P96" i="4"/>
  <c r="P97" i="4"/>
  <c r="F98" i="15"/>
  <c r="F100" i="15"/>
  <c r="U100" i="15" s="1"/>
  <c r="P100" i="4"/>
  <c r="P101" i="4"/>
  <c r="U96" i="15"/>
  <c r="J103" i="13"/>
  <c r="G98" i="13"/>
  <c r="F102" i="13"/>
  <c r="R102" i="13" s="1"/>
  <c r="M98" i="15"/>
  <c r="M99" i="15"/>
  <c r="N103" i="15"/>
  <c r="R96" i="13"/>
  <c r="Q96" i="13"/>
  <c r="T96" i="4"/>
  <c r="T103" i="13" l="1"/>
  <c r="K103" i="13"/>
  <c r="Q103" i="13"/>
  <c r="T98" i="15"/>
  <c r="I103" i="4"/>
  <c r="O96" i="2"/>
  <c r="O96" i="3" s="1"/>
  <c r="H103" i="4"/>
  <c r="I98" i="15"/>
  <c r="I103" i="15" s="1"/>
  <c r="H103" i="15"/>
  <c r="M103" i="4"/>
  <c r="P103" i="4"/>
  <c r="E97" i="4"/>
  <c r="F95" i="2"/>
  <c r="E97" i="15"/>
  <c r="O95" i="1"/>
  <c r="F102" i="15"/>
  <c r="U102" i="15" s="1"/>
  <c r="O100" i="2"/>
  <c r="O100" i="3" s="1"/>
  <c r="E101" i="4"/>
  <c r="T101" i="4" s="1"/>
  <c r="F99" i="2"/>
  <c r="E101" i="15"/>
  <c r="T101" i="15" s="1"/>
  <c r="O99" i="1"/>
  <c r="E99" i="15"/>
  <c r="T99" i="15" s="1"/>
  <c r="O97" i="1"/>
  <c r="E99" i="4"/>
  <c r="T99" i="4" s="1"/>
  <c r="F97" i="2"/>
  <c r="P103" i="15"/>
  <c r="G100" i="15"/>
  <c r="M103" i="15"/>
  <c r="R103" i="13"/>
  <c r="F103" i="13"/>
  <c r="J103" i="4" l="1"/>
  <c r="U98" i="15"/>
  <c r="J103" i="15"/>
  <c r="O99" i="2"/>
  <c r="O99" i="3" s="1"/>
  <c r="F101" i="4"/>
  <c r="U101" i="4" s="1"/>
  <c r="F101" i="15"/>
  <c r="U101" i="15" s="1"/>
  <c r="T97" i="15"/>
  <c r="T103" i="15" s="1"/>
  <c r="E103" i="15"/>
  <c r="W103" i="15" s="1"/>
  <c r="O97" i="2"/>
  <c r="O97" i="3" s="1"/>
  <c r="F99" i="4"/>
  <c r="U99" i="4" s="1"/>
  <c r="F99" i="15"/>
  <c r="U99" i="15" s="1"/>
  <c r="O95" i="2"/>
  <c r="O95" i="3" s="1"/>
  <c r="F97" i="4"/>
  <c r="F97" i="15"/>
  <c r="E103" i="4"/>
  <c r="W103" i="4" s="1"/>
  <c r="T97" i="4"/>
  <c r="T103" i="4" s="1"/>
  <c r="U103" i="13"/>
  <c r="G103" i="13"/>
  <c r="H89" i="1"/>
  <c r="H89" i="2" s="1"/>
  <c r="L88" i="2"/>
  <c r="J94" i="13"/>
  <c r="I94" i="13"/>
  <c r="G94" i="13"/>
  <c r="F94" i="13"/>
  <c r="E94" i="13"/>
  <c r="K93" i="13"/>
  <c r="J93" i="13"/>
  <c r="I93" i="13"/>
  <c r="F93" i="13"/>
  <c r="E93" i="13"/>
  <c r="K92" i="13"/>
  <c r="J92" i="13"/>
  <c r="I92" i="13"/>
  <c r="F92" i="13"/>
  <c r="E92" i="13"/>
  <c r="J91" i="13"/>
  <c r="I91" i="13"/>
  <c r="G91" i="13"/>
  <c r="F91" i="13"/>
  <c r="E91" i="13"/>
  <c r="K90" i="13"/>
  <c r="I90" i="13"/>
  <c r="G90" i="13"/>
  <c r="F90" i="13"/>
  <c r="E90" i="13"/>
  <c r="K89" i="13"/>
  <c r="J89" i="13"/>
  <c r="I89" i="13"/>
  <c r="F89" i="13"/>
  <c r="E89" i="13"/>
  <c r="Q90" i="13" l="1"/>
  <c r="J90" i="13"/>
  <c r="R90" i="13" s="1"/>
  <c r="L118" i="2"/>
  <c r="Q91" i="13"/>
  <c r="U97" i="15"/>
  <c r="U103" i="15" s="1"/>
  <c r="F103" i="15"/>
  <c r="U97" i="4"/>
  <c r="U103" i="4" s="1"/>
  <c r="F103" i="4"/>
  <c r="Q93" i="13"/>
  <c r="R91" i="13"/>
  <c r="R93" i="13"/>
  <c r="I95" i="13"/>
  <c r="Q92" i="13"/>
  <c r="E95" i="13"/>
  <c r="Q94" i="13"/>
  <c r="R92" i="13"/>
  <c r="R94" i="13"/>
  <c r="F95" i="13"/>
  <c r="R89" i="13"/>
  <c r="Q89" i="13"/>
  <c r="T95" i="13" l="1"/>
  <c r="J95" i="13"/>
  <c r="Q95" i="13"/>
  <c r="G103" i="4"/>
  <c r="X103" i="4"/>
  <c r="K95" i="13"/>
  <c r="G103" i="15"/>
  <c r="X103" i="15"/>
  <c r="G95" i="13"/>
  <c r="R95" i="13"/>
  <c r="U95" i="13"/>
  <c r="I91" i="15" l="1"/>
  <c r="H92" i="3"/>
  <c r="J94" i="4" s="1"/>
  <c r="H91" i="3"/>
  <c r="J93" i="4" s="1"/>
  <c r="H90" i="3"/>
  <c r="J92" i="15" s="1"/>
  <c r="L92" i="3"/>
  <c r="K94" i="13" s="1"/>
  <c r="L89" i="3"/>
  <c r="P90" i="15"/>
  <c r="J91" i="3"/>
  <c r="G93" i="13" s="1"/>
  <c r="J90" i="3"/>
  <c r="G92" i="13" s="1"/>
  <c r="J87" i="3"/>
  <c r="M89" i="15" s="1"/>
  <c r="F91" i="1"/>
  <c r="E93" i="4" s="1"/>
  <c r="F92" i="1"/>
  <c r="O92" i="1" s="1"/>
  <c r="F90" i="2"/>
  <c r="O94" i="4"/>
  <c r="N94" i="4"/>
  <c r="M94" i="4"/>
  <c r="L94" i="4"/>
  <c r="K94" i="4"/>
  <c r="I94" i="4"/>
  <c r="H94" i="4"/>
  <c r="G94" i="4"/>
  <c r="P93" i="4"/>
  <c r="O93" i="4"/>
  <c r="N93" i="4"/>
  <c r="L93" i="4"/>
  <c r="K93" i="4"/>
  <c r="I93" i="4"/>
  <c r="H93" i="4"/>
  <c r="G93" i="4"/>
  <c r="P92" i="4"/>
  <c r="O92" i="4"/>
  <c r="N92" i="4"/>
  <c r="L92" i="4"/>
  <c r="K92" i="4"/>
  <c r="I92" i="4"/>
  <c r="H92" i="4"/>
  <c r="O91" i="4"/>
  <c r="N91" i="4"/>
  <c r="M91" i="4"/>
  <c r="L91" i="4"/>
  <c r="K91" i="4"/>
  <c r="J91" i="4"/>
  <c r="I91" i="4"/>
  <c r="H91" i="4"/>
  <c r="G91" i="4"/>
  <c r="O90" i="4"/>
  <c r="N90" i="4"/>
  <c r="M90" i="4"/>
  <c r="L90" i="4"/>
  <c r="K90" i="4"/>
  <c r="J90" i="4"/>
  <c r="I90" i="4"/>
  <c r="H90" i="4"/>
  <c r="G90" i="4"/>
  <c r="P89" i="4"/>
  <c r="O89" i="4"/>
  <c r="N89" i="4"/>
  <c r="L89" i="4"/>
  <c r="K89" i="4"/>
  <c r="J89" i="4"/>
  <c r="I89" i="4"/>
  <c r="H89" i="4"/>
  <c r="G89" i="4"/>
  <c r="F89" i="4"/>
  <c r="E89" i="4"/>
  <c r="O94" i="15"/>
  <c r="N94" i="15"/>
  <c r="M94" i="15"/>
  <c r="L94" i="15"/>
  <c r="K94" i="15"/>
  <c r="I94" i="15"/>
  <c r="H94" i="15"/>
  <c r="G94" i="15"/>
  <c r="P93" i="15"/>
  <c r="O93" i="15"/>
  <c r="N93" i="15"/>
  <c r="L93" i="15"/>
  <c r="K93" i="15"/>
  <c r="I93" i="15"/>
  <c r="H93" i="15"/>
  <c r="G93" i="15"/>
  <c r="P92" i="15"/>
  <c r="O92" i="15"/>
  <c r="N92" i="15"/>
  <c r="L92" i="15"/>
  <c r="K92" i="15"/>
  <c r="I92" i="15"/>
  <c r="H92" i="15"/>
  <c r="O91" i="15"/>
  <c r="N91" i="15"/>
  <c r="M91" i="15"/>
  <c r="L91" i="15"/>
  <c r="K91" i="15"/>
  <c r="J91" i="15"/>
  <c r="H91" i="15"/>
  <c r="G91" i="15"/>
  <c r="O90" i="15"/>
  <c r="N90" i="15"/>
  <c r="M90" i="15"/>
  <c r="L90" i="15"/>
  <c r="K90" i="15"/>
  <c r="J90" i="15"/>
  <c r="I90" i="15"/>
  <c r="H90" i="15"/>
  <c r="G90" i="15"/>
  <c r="P89" i="15"/>
  <c r="O89" i="15"/>
  <c r="N89" i="15"/>
  <c r="L89" i="15"/>
  <c r="K89" i="15"/>
  <c r="J89" i="15"/>
  <c r="I89" i="15"/>
  <c r="H89" i="15"/>
  <c r="G89" i="15"/>
  <c r="F89" i="15"/>
  <c r="E89" i="15"/>
  <c r="O85" i="2"/>
  <c r="O87" i="2"/>
  <c r="O87" i="1"/>
  <c r="O90" i="1"/>
  <c r="O91" i="1"/>
  <c r="E93" i="15" l="1"/>
  <c r="O87" i="3"/>
  <c r="E92" i="4"/>
  <c r="E92" i="15"/>
  <c r="F90" i="3"/>
  <c r="G92" i="4" s="1"/>
  <c r="E94" i="4"/>
  <c r="T94" i="4" s="1"/>
  <c r="F91" i="2"/>
  <c r="F89" i="1"/>
  <c r="E91" i="15" s="1"/>
  <c r="F88" i="1"/>
  <c r="F92" i="2"/>
  <c r="F94" i="4" s="1"/>
  <c r="U94" i="4" s="1"/>
  <c r="E94" i="15"/>
  <c r="T94" i="15" s="1"/>
  <c r="P94" i="4"/>
  <c r="P94" i="15"/>
  <c r="O90" i="2"/>
  <c r="O90" i="3" s="1"/>
  <c r="T89" i="15"/>
  <c r="M92" i="4"/>
  <c r="T92" i="15"/>
  <c r="M93" i="4"/>
  <c r="K95" i="15"/>
  <c r="T93" i="15"/>
  <c r="L95" i="4"/>
  <c r="T89" i="4"/>
  <c r="M93" i="15"/>
  <c r="F92" i="4"/>
  <c r="U92" i="4" s="1"/>
  <c r="M92" i="15"/>
  <c r="H95" i="4"/>
  <c r="P91" i="4"/>
  <c r="K91" i="13"/>
  <c r="U89" i="4"/>
  <c r="J93" i="15"/>
  <c r="J94" i="15"/>
  <c r="M89" i="4"/>
  <c r="G89" i="13"/>
  <c r="J92" i="4"/>
  <c r="P91" i="15"/>
  <c r="P90" i="4"/>
  <c r="H95" i="15"/>
  <c r="T93" i="4"/>
  <c r="K95" i="4"/>
  <c r="T92" i="4"/>
  <c r="N95" i="15"/>
  <c r="N95" i="4"/>
  <c r="O95" i="15"/>
  <c r="O95" i="4"/>
  <c r="F92" i="15"/>
  <c r="I95" i="15"/>
  <c r="L95" i="15"/>
  <c r="I95" i="4"/>
  <c r="U89" i="15"/>
  <c r="O89" i="1" l="1"/>
  <c r="O92" i="2"/>
  <c r="O92" i="3" s="1"/>
  <c r="G92" i="15"/>
  <c r="F94" i="15"/>
  <c r="U94" i="15" s="1"/>
  <c r="E90" i="4"/>
  <c r="E90" i="15"/>
  <c r="T90" i="15" s="1"/>
  <c r="F88" i="2"/>
  <c r="O88" i="1"/>
  <c r="F89" i="2"/>
  <c r="E91" i="4"/>
  <c r="T91" i="4" s="1"/>
  <c r="F93" i="4"/>
  <c r="U93" i="4" s="1"/>
  <c r="O91" i="2"/>
  <c r="O91" i="3" s="1"/>
  <c r="F93" i="15"/>
  <c r="U93" i="15" s="1"/>
  <c r="T91" i="15"/>
  <c r="M95" i="4"/>
  <c r="P95" i="4"/>
  <c r="J95" i="15"/>
  <c r="P95" i="15"/>
  <c r="U92" i="15"/>
  <c r="J95" i="4"/>
  <c r="M95" i="15"/>
  <c r="T95" i="15" l="1"/>
  <c r="E95" i="15"/>
  <c r="W95" i="15" s="1"/>
  <c r="O89" i="2"/>
  <c r="O89" i="3" s="1"/>
  <c r="F91" i="15"/>
  <c r="U91" i="15" s="1"/>
  <c r="F91" i="4"/>
  <c r="U91" i="4" s="1"/>
  <c r="F90" i="4"/>
  <c r="F90" i="15"/>
  <c r="O88" i="2"/>
  <c r="O88" i="3" s="1"/>
  <c r="E95" i="4"/>
  <c r="W95" i="4" s="1"/>
  <c r="T90" i="4"/>
  <c r="T95" i="4" s="1"/>
  <c r="U90" i="4" l="1"/>
  <c r="U95" i="4" s="1"/>
  <c r="F95" i="4"/>
  <c r="U90" i="15"/>
  <c r="U95" i="15" s="1"/>
  <c r="F95" i="15"/>
  <c r="K80" i="13"/>
  <c r="K81" i="13"/>
  <c r="K85" i="13"/>
  <c r="K86" i="13"/>
  <c r="J78" i="13"/>
  <c r="J79" i="13"/>
  <c r="J80" i="13"/>
  <c r="J81" i="13"/>
  <c r="J82" i="13"/>
  <c r="J83" i="13"/>
  <c r="J84" i="13"/>
  <c r="J85" i="13"/>
  <c r="J86" i="13"/>
  <c r="J87" i="13"/>
  <c r="I78" i="13"/>
  <c r="I79" i="13"/>
  <c r="I80" i="13"/>
  <c r="Q80" i="13" s="1"/>
  <c r="I81" i="13"/>
  <c r="I82" i="13"/>
  <c r="I83" i="13"/>
  <c r="I84" i="13"/>
  <c r="I85" i="13"/>
  <c r="I86" i="13"/>
  <c r="I87" i="13"/>
  <c r="G78" i="13"/>
  <c r="G79" i="13"/>
  <c r="G82" i="13"/>
  <c r="G83" i="13"/>
  <c r="G84" i="13"/>
  <c r="G87" i="13"/>
  <c r="F78" i="13"/>
  <c r="F79" i="13"/>
  <c r="F80" i="13"/>
  <c r="F81" i="13"/>
  <c r="F82" i="13"/>
  <c r="F83" i="13"/>
  <c r="F84" i="13"/>
  <c r="F85" i="13"/>
  <c r="F86" i="13"/>
  <c r="F87" i="13"/>
  <c r="E78" i="13"/>
  <c r="E79" i="13"/>
  <c r="E80" i="13"/>
  <c r="E81" i="13"/>
  <c r="E82" i="13"/>
  <c r="E83" i="13"/>
  <c r="E84" i="13"/>
  <c r="E85" i="13"/>
  <c r="E86" i="13"/>
  <c r="E87" i="13"/>
  <c r="K77" i="13"/>
  <c r="J77" i="13"/>
  <c r="I77" i="13"/>
  <c r="F77" i="13"/>
  <c r="E77" i="13"/>
  <c r="H79" i="1"/>
  <c r="H79" i="2" s="1"/>
  <c r="F76" i="1"/>
  <c r="F76" i="2" s="1"/>
  <c r="F79" i="1"/>
  <c r="F79" i="2" s="1"/>
  <c r="F82" i="1"/>
  <c r="F82" i="2" s="1"/>
  <c r="F75" i="1"/>
  <c r="F75" i="2" s="1"/>
  <c r="F71" i="1"/>
  <c r="L76" i="3"/>
  <c r="K78" i="13" s="1"/>
  <c r="L77" i="3"/>
  <c r="K79" i="13" s="1"/>
  <c r="L80" i="3"/>
  <c r="K82" i="13" s="1"/>
  <c r="L81" i="3"/>
  <c r="K83" i="13" s="1"/>
  <c r="L82" i="3"/>
  <c r="K84" i="13" s="1"/>
  <c r="L85" i="3"/>
  <c r="K87" i="13" s="1"/>
  <c r="J84" i="3"/>
  <c r="G86" i="13" s="1"/>
  <c r="J83" i="3"/>
  <c r="G85" i="13" s="1"/>
  <c r="J79" i="3"/>
  <c r="G81" i="13" s="1"/>
  <c r="J78" i="3"/>
  <c r="G80" i="13" s="1"/>
  <c r="J75" i="3"/>
  <c r="G77" i="13" s="1"/>
  <c r="H78" i="3"/>
  <c r="H77" i="3"/>
  <c r="H75" i="3"/>
  <c r="Q81" i="13" l="1"/>
  <c r="Q82" i="13"/>
  <c r="Q79" i="13"/>
  <c r="X95" i="15"/>
  <c r="G95" i="15"/>
  <c r="X95" i="4"/>
  <c r="G95" i="4"/>
  <c r="F78" i="1"/>
  <c r="F78" i="2" s="1"/>
  <c r="O78" i="2" s="1"/>
  <c r="R87" i="13"/>
  <c r="R82" i="13"/>
  <c r="Q77" i="13"/>
  <c r="Q85" i="13"/>
  <c r="F80" i="1"/>
  <c r="F80" i="2" s="1"/>
  <c r="O80" i="2" s="1"/>
  <c r="F77" i="1"/>
  <c r="F77" i="2" s="1"/>
  <c r="O77" i="2" s="1"/>
  <c r="F81" i="1"/>
  <c r="F81" i="2" s="1"/>
  <c r="O81" i="2" s="1"/>
  <c r="E88" i="13"/>
  <c r="H76" i="1"/>
  <c r="H76" i="2" s="1"/>
  <c r="O76" i="2" s="1"/>
  <c r="I88" i="13"/>
  <c r="R78" i="13"/>
  <c r="R81" i="13"/>
  <c r="R79" i="13"/>
  <c r="F88" i="13"/>
  <c r="J88" i="13"/>
  <c r="R83" i="13"/>
  <c r="Q83" i="13"/>
  <c r="R80" i="13"/>
  <c r="R85" i="13"/>
  <c r="Q84" i="13"/>
  <c r="Q86" i="13"/>
  <c r="R84" i="13"/>
  <c r="R86" i="13"/>
  <c r="Q78" i="13"/>
  <c r="Q87" i="13"/>
  <c r="R77" i="13"/>
  <c r="O75" i="1"/>
  <c r="O76" i="1"/>
  <c r="O78" i="1"/>
  <c r="O79" i="1"/>
  <c r="O81" i="1"/>
  <c r="O82" i="1"/>
  <c r="O83" i="1"/>
  <c r="O84" i="1"/>
  <c r="O85" i="1"/>
  <c r="O75" i="2"/>
  <c r="O79" i="2"/>
  <c r="O82" i="2"/>
  <c r="O83" i="2"/>
  <c r="O83" i="3" s="1"/>
  <c r="O84" i="2"/>
  <c r="O80" i="1" l="1"/>
  <c r="O84" i="3"/>
  <c r="O77" i="1"/>
  <c r="O77" i="3" s="1"/>
  <c r="K88" i="13"/>
  <c r="Q88" i="13"/>
  <c r="U88" i="13"/>
  <c r="O85" i="3"/>
  <c r="T88" i="13"/>
  <c r="R88" i="13"/>
  <c r="G88" i="13"/>
  <c r="O81" i="3"/>
  <c r="O80" i="3"/>
  <c r="O78" i="3"/>
  <c r="O82" i="3"/>
  <c r="O79" i="3"/>
  <c r="O76" i="3"/>
  <c r="O75" i="3"/>
  <c r="P87" i="15"/>
  <c r="O87" i="15"/>
  <c r="N87" i="15"/>
  <c r="M87" i="15"/>
  <c r="L87" i="15"/>
  <c r="K87" i="15"/>
  <c r="J87" i="15"/>
  <c r="I87" i="15"/>
  <c r="H87" i="15"/>
  <c r="G87" i="15"/>
  <c r="F87" i="15"/>
  <c r="E87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P87" i="4"/>
  <c r="O87" i="4"/>
  <c r="N87" i="4"/>
  <c r="M87" i="4"/>
  <c r="L87" i="4"/>
  <c r="K87" i="4"/>
  <c r="J87" i="4"/>
  <c r="I87" i="4"/>
  <c r="H87" i="4"/>
  <c r="G87" i="4"/>
  <c r="F87" i="4"/>
  <c r="E87" i="4"/>
  <c r="P86" i="4"/>
  <c r="O86" i="4"/>
  <c r="N86" i="4"/>
  <c r="M86" i="4"/>
  <c r="L86" i="4"/>
  <c r="K86" i="4"/>
  <c r="J86" i="4"/>
  <c r="I86" i="4"/>
  <c r="H86" i="4"/>
  <c r="G86" i="4"/>
  <c r="F86" i="4"/>
  <c r="E86" i="4"/>
  <c r="P85" i="4"/>
  <c r="O85" i="4"/>
  <c r="N85" i="4"/>
  <c r="M85" i="4"/>
  <c r="L85" i="4"/>
  <c r="K85" i="4"/>
  <c r="J85" i="4"/>
  <c r="I85" i="4"/>
  <c r="H85" i="4"/>
  <c r="G85" i="4"/>
  <c r="F85" i="4"/>
  <c r="E85" i="4"/>
  <c r="P84" i="4"/>
  <c r="O84" i="4"/>
  <c r="N84" i="4"/>
  <c r="M84" i="4"/>
  <c r="L84" i="4"/>
  <c r="K84" i="4"/>
  <c r="J84" i="4"/>
  <c r="I84" i="4"/>
  <c r="H84" i="4"/>
  <c r="G84" i="4"/>
  <c r="F84" i="4"/>
  <c r="E84" i="4"/>
  <c r="P83" i="4"/>
  <c r="O83" i="4"/>
  <c r="N83" i="4"/>
  <c r="M83" i="4"/>
  <c r="L83" i="4"/>
  <c r="K83" i="4"/>
  <c r="J83" i="4"/>
  <c r="I83" i="4"/>
  <c r="H83" i="4"/>
  <c r="G83" i="4"/>
  <c r="F83" i="4"/>
  <c r="E83" i="4"/>
  <c r="P82" i="4"/>
  <c r="O82" i="4"/>
  <c r="N82" i="4"/>
  <c r="M82" i="4"/>
  <c r="L82" i="4"/>
  <c r="K82" i="4"/>
  <c r="J82" i="4"/>
  <c r="I82" i="4"/>
  <c r="H82" i="4"/>
  <c r="G82" i="4"/>
  <c r="F82" i="4"/>
  <c r="E82" i="4"/>
  <c r="P81" i="4"/>
  <c r="O81" i="4"/>
  <c r="N81" i="4"/>
  <c r="M81" i="4"/>
  <c r="L81" i="4"/>
  <c r="K81" i="4"/>
  <c r="J81" i="4"/>
  <c r="I81" i="4"/>
  <c r="H81" i="4"/>
  <c r="G81" i="4"/>
  <c r="F81" i="4"/>
  <c r="E81" i="4"/>
  <c r="P80" i="4"/>
  <c r="O80" i="4"/>
  <c r="N80" i="4"/>
  <c r="M80" i="4"/>
  <c r="L80" i="4"/>
  <c r="K80" i="4"/>
  <c r="J80" i="4"/>
  <c r="I80" i="4"/>
  <c r="H80" i="4"/>
  <c r="G80" i="4"/>
  <c r="F80" i="4"/>
  <c r="E80" i="4"/>
  <c r="P79" i="4"/>
  <c r="O79" i="4"/>
  <c r="N79" i="4"/>
  <c r="M79" i="4"/>
  <c r="L79" i="4"/>
  <c r="K79" i="4"/>
  <c r="J79" i="4"/>
  <c r="I79" i="4"/>
  <c r="H79" i="4"/>
  <c r="G79" i="4"/>
  <c r="F79" i="4"/>
  <c r="E79" i="4"/>
  <c r="P78" i="4"/>
  <c r="O78" i="4"/>
  <c r="N78" i="4"/>
  <c r="M78" i="4"/>
  <c r="L78" i="4"/>
  <c r="K78" i="4"/>
  <c r="J78" i="4"/>
  <c r="I78" i="4"/>
  <c r="H78" i="4"/>
  <c r="G78" i="4"/>
  <c r="F78" i="4"/>
  <c r="E78" i="4"/>
  <c r="P77" i="4"/>
  <c r="O77" i="4"/>
  <c r="N77" i="4"/>
  <c r="M77" i="4"/>
  <c r="L77" i="4"/>
  <c r="K77" i="4"/>
  <c r="J77" i="4"/>
  <c r="I77" i="4"/>
  <c r="H77" i="4"/>
  <c r="G77" i="4"/>
  <c r="F77" i="4"/>
  <c r="E77" i="4"/>
  <c r="H71" i="1"/>
  <c r="H69" i="1"/>
  <c r="H62" i="1"/>
  <c r="H56" i="1"/>
  <c r="H54" i="1"/>
  <c r="F58" i="1"/>
  <c r="H48" i="1"/>
  <c r="H47" i="1"/>
  <c r="L118" i="3"/>
  <c r="J118" i="3"/>
  <c r="U82" i="4" l="1"/>
  <c r="U83" i="15"/>
  <c r="U84" i="15"/>
  <c r="H88" i="15"/>
  <c r="L88" i="4"/>
  <c r="U80" i="15"/>
  <c r="U81" i="15"/>
  <c r="U85" i="15"/>
  <c r="U86" i="15"/>
  <c r="T85" i="4"/>
  <c r="L88" i="15"/>
  <c r="T82" i="4"/>
  <c r="U85" i="4"/>
  <c r="T83" i="4"/>
  <c r="O88" i="4"/>
  <c r="T77" i="15"/>
  <c r="T78" i="15"/>
  <c r="T84" i="15"/>
  <c r="T85" i="15"/>
  <c r="U86" i="4"/>
  <c r="F88" i="4"/>
  <c r="U87" i="4"/>
  <c r="U83" i="4"/>
  <c r="T78" i="4"/>
  <c r="T79" i="4"/>
  <c r="I88" i="15"/>
  <c r="U78" i="4"/>
  <c r="I88" i="4"/>
  <c r="U79" i="4"/>
  <c r="U80" i="4"/>
  <c r="U81" i="4"/>
  <c r="F88" i="15"/>
  <c r="U79" i="15"/>
  <c r="T81" i="4"/>
  <c r="T84" i="4"/>
  <c r="U77" i="4"/>
  <c r="U84" i="4"/>
  <c r="O88" i="15"/>
  <c r="U82" i="15"/>
  <c r="U87" i="15"/>
  <c r="U77" i="15"/>
  <c r="U78" i="15"/>
  <c r="T77" i="4"/>
  <c r="E88" i="4"/>
  <c r="E88" i="15"/>
  <c r="H88" i="4"/>
  <c r="T80" i="4"/>
  <c r="T80" i="15"/>
  <c r="T81" i="15"/>
  <c r="T82" i="15"/>
  <c r="T83" i="15"/>
  <c r="N88" i="15"/>
  <c r="N88" i="4"/>
  <c r="K88" i="4"/>
  <c r="T86" i="15"/>
  <c r="K88" i="15"/>
  <c r="T86" i="4"/>
  <c r="T87" i="15"/>
  <c r="T79" i="15"/>
  <c r="T87" i="4"/>
  <c r="J75" i="13"/>
  <c r="I75" i="13"/>
  <c r="G75" i="13"/>
  <c r="F75" i="13"/>
  <c r="E75" i="13"/>
  <c r="K74" i="13"/>
  <c r="J74" i="13"/>
  <c r="I74" i="13"/>
  <c r="F74" i="13"/>
  <c r="E74" i="13"/>
  <c r="K73" i="13"/>
  <c r="J73" i="13"/>
  <c r="I73" i="13"/>
  <c r="F73" i="13"/>
  <c r="E73" i="13"/>
  <c r="J72" i="13"/>
  <c r="I72" i="13"/>
  <c r="G72" i="13"/>
  <c r="F72" i="13"/>
  <c r="E72" i="13"/>
  <c r="J71" i="13"/>
  <c r="I71" i="13"/>
  <c r="G71" i="13"/>
  <c r="F71" i="13"/>
  <c r="E71" i="13"/>
  <c r="L73" i="3"/>
  <c r="P75" i="15" s="1"/>
  <c r="L70" i="3"/>
  <c r="P72" i="15" s="1"/>
  <c r="L69" i="3"/>
  <c r="P71" i="15" s="1"/>
  <c r="J72" i="3"/>
  <c r="G74" i="13" s="1"/>
  <c r="J71" i="3"/>
  <c r="M73" i="15" s="1"/>
  <c r="H72" i="3"/>
  <c r="J74" i="4" s="1"/>
  <c r="H70" i="3"/>
  <c r="J72" i="15" s="1"/>
  <c r="F70" i="1"/>
  <c r="E72" i="15" s="1"/>
  <c r="H71" i="15"/>
  <c r="H71" i="2"/>
  <c r="I73" i="4" s="1"/>
  <c r="H69" i="2"/>
  <c r="I71" i="15" s="1"/>
  <c r="F70" i="2"/>
  <c r="F72" i="15" s="1"/>
  <c r="O75" i="4"/>
  <c r="N75" i="4"/>
  <c r="M75" i="4"/>
  <c r="L75" i="4"/>
  <c r="K75" i="4"/>
  <c r="J75" i="4"/>
  <c r="I75" i="4"/>
  <c r="H75" i="4"/>
  <c r="G75" i="4"/>
  <c r="P74" i="4"/>
  <c r="O74" i="4"/>
  <c r="N74" i="4"/>
  <c r="L74" i="4"/>
  <c r="K74" i="4"/>
  <c r="I74" i="4"/>
  <c r="H74" i="4"/>
  <c r="G74" i="4"/>
  <c r="P73" i="4"/>
  <c r="O73" i="4"/>
  <c r="N73" i="4"/>
  <c r="L73" i="4"/>
  <c r="K73" i="4"/>
  <c r="J73" i="4"/>
  <c r="H73" i="4"/>
  <c r="G73" i="4"/>
  <c r="O72" i="4"/>
  <c r="N72" i="4"/>
  <c r="M72" i="4"/>
  <c r="L72" i="4"/>
  <c r="K72" i="4"/>
  <c r="I72" i="4"/>
  <c r="H72" i="4"/>
  <c r="O71" i="4"/>
  <c r="N71" i="4"/>
  <c r="M71" i="4"/>
  <c r="L71" i="4"/>
  <c r="K71" i="4"/>
  <c r="J71" i="4"/>
  <c r="G71" i="4"/>
  <c r="O75" i="15"/>
  <c r="N75" i="15"/>
  <c r="M75" i="15"/>
  <c r="L75" i="15"/>
  <c r="K75" i="15"/>
  <c r="J75" i="15"/>
  <c r="I75" i="15"/>
  <c r="H75" i="15"/>
  <c r="G75" i="15"/>
  <c r="P74" i="15"/>
  <c r="O74" i="15"/>
  <c r="N74" i="15"/>
  <c r="L74" i="15"/>
  <c r="K74" i="15"/>
  <c r="I74" i="15"/>
  <c r="H74" i="15"/>
  <c r="G74" i="15"/>
  <c r="P73" i="15"/>
  <c r="O73" i="15"/>
  <c r="N73" i="15"/>
  <c r="L73" i="15"/>
  <c r="K73" i="15"/>
  <c r="J73" i="15"/>
  <c r="H73" i="15"/>
  <c r="G73" i="15"/>
  <c r="O72" i="15"/>
  <c r="N72" i="15"/>
  <c r="M72" i="15"/>
  <c r="L72" i="15"/>
  <c r="K72" i="15"/>
  <c r="I72" i="15"/>
  <c r="H72" i="15"/>
  <c r="O71" i="15"/>
  <c r="N71" i="15"/>
  <c r="M71" i="15"/>
  <c r="L71" i="15"/>
  <c r="K71" i="15"/>
  <c r="J71" i="15"/>
  <c r="G71" i="15"/>
  <c r="Q75" i="13" l="1"/>
  <c r="Q123" i="15"/>
  <c r="M88" i="4"/>
  <c r="J88" i="15"/>
  <c r="Q71" i="13"/>
  <c r="M74" i="15"/>
  <c r="M88" i="15"/>
  <c r="G88" i="15"/>
  <c r="P88" i="15"/>
  <c r="I76" i="13"/>
  <c r="Q74" i="13"/>
  <c r="X88" i="4"/>
  <c r="U88" i="15"/>
  <c r="J88" i="4"/>
  <c r="G88" i="4"/>
  <c r="U88" i="4"/>
  <c r="W88" i="4"/>
  <c r="P88" i="4"/>
  <c r="T88" i="4"/>
  <c r="T88" i="15"/>
  <c r="W88" i="15"/>
  <c r="X88" i="15"/>
  <c r="Q73" i="13"/>
  <c r="F73" i="1"/>
  <c r="E75" i="15" s="1"/>
  <c r="T75" i="15" s="1"/>
  <c r="F69" i="1"/>
  <c r="F71" i="2"/>
  <c r="F73" i="4" s="1"/>
  <c r="U73" i="4" s="1"/>
  <c r="F72" i="1"/>
  <c r="O72" i="1" s="1"/>
  <c r="E76" i="13"/>
  <c r="Q72" i="13"/>
  <c r="P72" i="4"/>
  <c r="M74" i="4"/>
  <c r="K72" i="13"/>
  <c r="F70" i="3"/>
  <c r="G72" i="15" s="1"/>
  <c r="R71" i="13"/>
  <c r="J72" i="4"/>
  <c r="R75" i="13"/>
  <c r="J76" i="13"/>
  <c r="K71" i="13"/>
  <c r="R73" i="13"/>
  <c r="R74" i="13"/>
  <c r="K76" i="4"/>
  <c r="R72" i="13"/>
  <c r="F72" i="4"/>
  <c r="U72" i="4" s="1"/>
  <c r="G73" i="13"/>
  <c r="F76" i="13"/>
  <c r="K76" i="15"/>
  <c r="P75" i="4"/>
  <c r="K75" i="13"/>
  <c r="P71" i="4"/>
  <c r="M73" i="4"/>
  <c r="J74" i="15"/>
  <c r="I73" i="15"/>
  <c r="I76" i="15" s="1"/>
  <c r="E73" i="4"/>
  <c r="T73" i="4" s="1"/>
  <c r="E73" i="15"/>
  <c r="T73" i="15" s="1"/>
  <c r="O71" i="1"/>
  <c r="H71" i="4"/>
  <c r="H76" i="4" s="1"/>
  <c r="I71" i="4"/>
  <c r="O70" i="2"/>
  <c r="U72" i="15"/>
  <c r="O76" i="15"/>
  <c r="O76" i="4"/>
  <c r="L76" i="15"/>
  <c r="L76" i="4"/>
  <c r="E72" i="4"/>
  <c r="T72" i="4" s="1"/>
  <c r="O70" i="1"/>
  <c r="H76" i="15"/>
  <c r="T72" i="15"/>
  <c r="N76" i="15"/>
  <c r="N76" i="4"/>
  <c r="Q76" i="13" l="1"/>
  <c r="F73" i="15"/>
  <c r="O71" i="2"/>
  <c r="O71" i="3" s="1"/>
  <c r="O73" i="1"/>
  <c r="E75" i="4"/>
  <c r="T75" i="4" s="1"/>
  <c r="F73" i="2"/>
  <c r="F72" i="2"/>
  <c r="E74" i="15"/>
  <c r="T74" i="15" s="1"/>
  <c r="E74" i="4"/>
  <c r="T74" i="4" s="1"/>
  <c r="O69" i="1"/>
  <c r="E71" i="4"/>
  <c r="T71" i="4" s="1"/>
  <c r="E71" i="15"/>
  <c r="F69" i="2"/>
  <c r="R76" i="13"/>
  <c r="G72" i="4"/>
  <c r="O70" i="3"/>
  <c r="U73" i="15"/>
  <c r="I76" i="4"/>
  <c r="M76" i="4"/>
  <c r="P76" i="4"/>
  <c r="O73" i="2" l="1"/>
  <c r="O73" i="3" s="1"/>
  <c r="F75" i="4"/>
  <c r="U75" i="4" s="1"/>
  <c r="F75" i="15"/>
  <c r="U75" i="15" s="1"/>
  <c r="T76" i="4"/>
  <c r="F71" i="4"/>
  <c r="O69" i="2"/>
  <c r="O69" i="3" s="1"/>
  <c r="F71" i="15"/>
  <c r="T71" i="15"/>
  <c r="T76" i="15" s="1"/>
  <c r="E76" i="15"/>
  <c r="E76" i="4"/>
  <c r="F74" i="15"/>
  <c r="U74" i="15" s="1"/>
  <c r="O72" i="2"/>
  <c r="O72" i="3" s="1"/>
  <c r="F74" i="4"/>
  <c r="U74" i="4" s="1"/>
  <c r="J76" i="4"/>
  <c r="F76" i="4" l="1"/>
  <c r="U71" i="4"/>
  <c r="U76" i="4" s="1"/>
  <c r="W76" i="4"/>
  <c r="U71" i="15"/>
  <c r="U76" i="15" s="1"/>
  <c r="F76" i="15"/>
  <c r="E123" i="13"/>
  <c r="K69" i="13"/>
  <c r="J69" i="13"/>
  <c r="I69" i="13"/>
  <c r="F69" i="13"/>
  <c r="E69" i="13"/>
  <c r="K68" i="13"/>
  <c r="J68" i="13"/>
  <c r="I68" i="13"/>
  <c r="F68" i="13"/>
  <c r="E68" i="13"/>
  <c r="J67" i="13"/>
  <c r="I67" i="13"/>
  <c r="G67" i="13"/>
  <c r="F67" i="13"/>
  <c r="E67" i="13"/>
  <c r="J66" i="13"/>
  <c r="I66" i="13"/>
  <c r="G66" i="13"/>
  <c r="F66" i="13"/>
  <c r="E66" i="13"/>
  <c r="K65" i="13"/>
  <c r="J65" i="13"/>
  <c r="I65" i="13"/>
  <c r="F65" i="13"/>
  <c r="E65" i="13"/>
  <c r="K64" i="13"/>
  <c r="J64" i="13"/>
  <c r="I64" i="13"/>
  <c r="F64" i="13"/>
  <c r="E64" i="13"/>
  <c r="J63" i="13"/>
  <c r="I63" i="13"/>
  <c r="G63" i="13"/>
  <c r="F63" i="13"/>
  <c r="E63" i="13"/>
  <c r="H62" i="2"/>
  <c r="I64" i="15" s="1"/>
  <c r="F67" i="1"/>
  <c r="F67" i="2" s="1"/>
  <c r="F69" i="15" s="1"/>
  <c r="F65" i="1"/>
  <c r="E67" i="15" s="1"/>
  <c r="F63" i="1"/>
  <c r="E65" i="15" s="1"/>
  <c r="F47" i="1"/>
  <c r="H66" i="3"/>
  <c r="J68" i="4" s="1"/>
  <c r="H64" i="3"/>
  <c r="J66" i="4" s="1"/>
  <c r="H63" i="3"/>
  <c r="J65" i="4" s="1"/>
  <c r="L65" i="3"/>
  <c r="P67" i="4" s="1"/>
  <c r="L64" i="3"/>
  <c r="P66" i="4" s="1"/>
  <c r="L61" i="3"/>
  <c r="P63" i="4" s="1"/>
  <c r="J67" i="3"/>
  <c r="M69" i="15" s="1"/>
  <c r="J66" i="3"/>
  <c r="M68" i="4" s="1"/>
  <c r="J63" i="3"/>
  <c r="M65" i="15" s="1"/>
  <c r="J62" i="3"/>
  <c r="M64" i="15" s="1"/>
  <c r="O61" i="1"/>
  <c r="O61" i="2"/>
  <c r="P69" i="4"/>
  <c r="O69" i="4"/>
  <c r="N69" i="4"/>
  <c r="L69" i="4"/>
  <c r="K69" i="4"/>
  <c r="J69" i="4"/>
  <c r="I69" i="4"/>
  <c r="H69" i="4"/>
  <c r="G69" i="4"/>
  <c r="P68" i="4"/>
  <c r="O68" i="4"/>
  <c r="N68" i="4"/>
  <c r="L68" i="4"/>
  <c r="K68" i="4"/>
  <c r="I68" i="4"/>
  <c r="H68" i="4"/>
  <c r="G68" i="4"/>
  <c r="O67" i="4"/>
  <c r="N67" i="4"/>
  <c r="M67" i="4"/>
  <c r="L67" i="4"/>
  <c r="K67" i="4"/>
  <c r="J67" i="4"/>
  <c r="G67" i="4"/>
  <c r="O66" i="4"/>
  <c r="N66" i="4"/>
  <c r="M66" i="4"/>
  <c r="L66" i="4"/>
  <c r="K66" i="4"/>
  <c r="I66" i="4"/>
  <c r="H66" i="4"/>
  <c r="G66" i="4"/>
  <c r="P65" i="4"/>
  <c r="O65" i="4"/>
  <c r="N65" i="4"/>
  <c r="L65" i="4"/>
  <c r="K65" i="4"/>
  <c r="I65" i="4"/>
  <c r="H65" i="4"/>
  <c r="G65" i="4"/>
  <c r="P64" i="4"/>
  <c r="O64" i="4"/>
  <c r="N64" i="4"/>
  <c r="L64" i="4"/>
  <c r="K64" i="4"/>
  <c r="J64" i="4"/>
  <c r="H64" i="4"/>
  <c r="G64" i="4"/>
  <c r="O63" i="4"/>
  <c r="N63" i="4"/>
  <c r="M63" i="4"/>
  <c r="L63" i="4"/>
  <c r="K63" i="4"/>
  <c r="J63" i="4"/>
  <c r="I63" i="4"/>
  <c r="H63" i="4"/>
  <c r="G63" i="4"/>
  <c r="F63" i="4"/>
  <c r="E63" i="4"/>
  <c r="N63" i="15"/>
  <c r="P69" i="15"/>
  <c r="O69" i="15"/>
  <c r="N69" i="15"/>
  <c r="L69" i="15"/>
  <c r="K69" i="15"/>
  <c r="J69" i="15"/>
  <c r="I69" i="15"/>
  <c r="H69" i="15"/>
  <c r="G69" i="15"/>
  <c r="E69" i="15"/>
  <c r="P68" i="15"/>
  <c r="O68" i="15"/>
  <c r="N68" i="15"/>
  <c r="L68" i="15"/>
  <c r="K68" i="15"/>
  <c r="I68" i="15"/>
  <c r="H68" i="15"/>
  <c r="G68" i="15"/>
  <c r="O67" i="15"/>
  <c r="N67" i="15"/>
  <c r="M67" i="15"/>
  <c r="L67" i="15"/>
  <c r="K67" i="15"/>
  <c r="J67" i="15"/>
  <c r="G67" i="15"/>
  <c r="O66" i="15"/>
  <c r="N66" i="15"/>
  <c r="M66" i="15"/>
  <c r="L66" i="15"/>
  <c r="K66" i="15"/>
  <c r="I66" i="15"/>
  <c r="H66" i="15"/>
  <c r="G66" i="15"/>
  <c r="P65" i="15"/>
  <c r="O65" i="15"/>
  <c r="N65" i="15"/>
  <c r="L65" i="15"/>
  <c r="K65" i="15"/>
  <c r="I65" i="15"/>
  <c r="H65" i="15"/>
  <c r="G65" i="15"/>
  <c r="P64" i="15"/>
  <c r="O64" i="15"/>
  <c r="N64" i="15"/>
  <c r="L64" i="15"/>
  <c r="K64" i="15"/>
  <c r="J64" i="15"/>
  <c r="H64" i="15"/>
  <c r="G64" i="15"/>
  <c r="O63" i="15"/>
  <c r="M63" i="15"/>
  <c r="L63" i="15"/>
  <c r="K63" i="15"/>
  <c r="J63" i="15"/>
  <c r="I63" i="15"/>
  <c r="H63" i="15"/>
  <c r="G63" i="15"/>
  <c r="F63" i="15"/>
  <c r="E63" i="15"/>
  <c r="K61" i="13"/>
  <c r="J61" i="13"/>
  <c r="I61" i="13"/>
  <c r="F61" i="13"/>
  <c r="E61" i="13"/>
  <c r="J60" i="13"/>
  <c r="I60" i="13"/>
  <c r="G60" i="13"/>
  <c r="F60" i="13"/>
  <c r="E60" i="13"/>
  <c r="J59" i="13"/>
  <c r="I59" i="13"/>
  <c r="G59" i="13"/>
  <c r="F59" i="13"/>
  <c r="E59" i="13"/>
  <c r="K58" i="13"/>
  <c r="J58" i="13"/>
  <c r="I58" i="13"/>
  <c r="F58" i="13"/>
  <c r="E58" i="13"/>
  <c r="K57" i="13"/>
  <c r="J57" i="13"/>
  <c r="I57" i="13"/>
  <c r="F57" i="13"/>
  <c r="E57" i="13"/>
  <c r="J56" i="13"/>
  <c r="I56" i="13"/>
  <c r="G56" i="13"/>
  <c r="F56" i="13"/>
  <c r="E56" i="13"/>
  <c r="J55" i="13"/>
  <c r="I55" i="13"/>
  <c r="G55" i="13"/>
  <c r="F55" i="13"/>
  <c r="E55" i="13"/>
  <c r="J53" i="13"/>
  <c r="I53" i="13"/>
  <c r="G53" i="13"/>
  <c r="F53" i="13"/>
  <c r="E53" i="13"/>
  <c r="J52" i="13"/>
  <c r="I52" i="13"/>
  <c r="G52" i="13"/>
  <c r="F52" i="13"/>
  <c r="E52" i="13"/>
  <c r="K51" i="13"/>
  <c r="J51" i="13"/>
  <c r="I51" i="13"/>
  <c r="F51" i="13"/>
  <c r="E51" i="13"/>
  <c r="K50" i="13"/>
  <c r="J50" i="13"/>
  <c r="I50" i="13"/>
  <c r="F50" i="13"/>
  <c r="E50" i="13"/>
  <c r="J49" i="13"/>
  <c r="I49" i="13"/>
  <c r="G49" i="13"/>
  <c r="F49" i="13"/>
  <c r="E49" i="13"/>
  <c r="J48" i="13"/>
  <c r="I48" i="13"/>
  <c r="G48" i="13"/>
  <c r="F48" i="13"/>
  <c r="E48" i="13"/>
  <c r="K47" i="13"/>
  <c r="J47" i="13"/>
  <c r="I47" i="13"/>
  <c r="F47" i="13"/>
  <c r="E47" i="13"/>
  <c r="M121" i="13"/>
  <c r="N121" i="13"/>
  <c r="H57" i="3"/>
  <c r="J59" i="4" s="1"/>
  <c r="H55" i="3"/>
  <c r="J57" i="4" s="1"/>
  <c r="F55" i="2"/>
  <c r="J59" i="3"/>
  <c r="M61" i="15" s="1"/>
  <c r="L58" i="3"/>
  <c r="P60" i="15" s="1"/>
  <c r="L57" i="3"/>
  <c r="P59" i="15" s="1"/>
  <c r="J56" i="3"/>
  <c r="M58" i="15" s="1"/>
  <c r="J55" i="3"/>
  <c r="G57" i="13" s="1"/>
  <c r="L54" i="3"/>
  <c r="P56" i="15" s="1"/>
  <c r="L53" i="3"/>
  <c r="P55" i="15" s="1"/>
  <c r="H56" i="2"/>
  <c r="I58" i="4" s="1"/>
  <c r="O53" i="2"/>
  <c r="O59" i="2"/>
  <c r="H58" i="4"/>
  <c r="O58" i="1"/>
  <c r="F55" i="1"/>
  <c r="O53" i="1"/>
  <c r="O59" i="1"/>
  <c r="P61" i="4"/>
  <c r="O61" i="4"/>
  <c r="N61" i="4"/>
  <c r="L61" i="4"/>
  <c r="K61" i="4"/>
  <c r="J61" i="4"/>
  <c r="I61" i="4"/>
  <c r="H61" i="4"/>
  <c r="G61" i="4"/>
  <c r="F61" i="4"/>
  <c r="E61" i="4"/>
  <c r="O60" i="4"/>
  <c r="N60" i="4"/>
  <c r="M60" i="4"/>
  <c r="L60" i="4"/>
  <c r="K60" i="4"/>
  <c r="J60" i="4"/>
  <c r="I60" i="4"/>
  <c r="H60" i="4"/>
  <c r="G60" i="4"/>
  <c r="O59" i="4"/>
  <c r="N59" i="4"/>
  <c r="M59" i="4"/>
  <c r="L59" i="4"/>
  <c r="K59" i="4"/>
  <c r="I59" i="4"/>
  <c r="H59" i="4"/>
  <c r="G59" i="4"/>
  <c r="P58" i="4"/>
  <c r="O58" i="4"/>
  <c r="N58" i="4"/>
  <c r="L58" i="4"/>
  <c r="K58" i="4"/>
  <c r="J58" i="4"/>
  <c r="G58" i="4"/>
  <c r="P57" i="4"/>
  <c r="O57" i="4"/>
  <c r="N57" i="4"/>
  <c r="L57" i="4"/>
  <c r="K57" i="4"/>
  <c r="I57" i="4"/>
  <c r="H57" i="4"/>
  <c r="O56" i="4"/>
  <c r="N56" i="4"/>
  <c r="M56" i="4"/>
  <c r="L56" i="4"/>
  <c r="K56" i="4"/>
  <c r="J56" i="4"/>
  <c r="G56" i="4"/>
  <c r="O55" i="4"/>
  <c r="N55" i="4"/>
  <c r="M55" i="4"/>
  <c r="L55" i="4"/>
  <c r="K55" i="4"/>
  <c r="J55" i="4"/>
  <c r="I55" i="4"/>
  <c r="H55" i="4"/>
  <c r="G55" i="4"/>
  <c r="F55" i="4"/>
  <c r="E55" i="4"/>
  <c r="P61" i="15"/>
  <c r="O61" i="15"/>
  <c r="N61" i="15"/>
  <c r="L61" i="15"/>
  <c r="K61" i="15"/>
  <c r="J61" i="15"/>
  <c r="I61" i="15"/>
  <c r="H61" i="15"/>
  <c r="G61" i="15"/>
  <c r="F61" i="15"/>
  <c r="E61" i="15"/>
  <c r="O60" i="15"/>
  <c r="N60" i="15"/>
  <c r="M60" i="15"/>
  <c r="L60" i="15"/>
  <c r="K60" i="15"/>
  <c r="J60" i="15"/>
  <c r="I60" i="15"/>
  <c r="H60" i="15"/>
  <c r="G60" i="15"/>
  <c r="E60" i="15"/>
  <c r="O59" i="15"/>
  <c r="N59" i="15"/>
  <c r="M59" i="15"/>
  <c r="L59" i="15"/>
  <c r="K59" i="15"/>
  <c r="I59" i="15"/>
  <c r="H59" i="15"/>
  <c r="G59" i="15"/>
  <c r="P58" i="15"/>
  <c r="O58" i="15"/>
  <c r="N58" i="15"/>
  <c r="L58" i="15"/>
  <c r="K58" i="15"/>
  <c r="J58" i="15"/>
  <c r="H58" i="15"/>
  <c r="G58" i="15"/>
  <c r="P57" i="15"/>
  <c r="O57" i="15"/>
  <c r="N57" i="15"/>
  <c r="L57" i="15"/>
  <c r="K57" i="15"/>
  <c r="I57" i="15"/>
  <c r="H57" i="15"/>
  <c r="O56" i="15"/>
  <c r="N56" i="15"/>
  <c r="M56" i="15"/>
  <c r="L56" i="15"/>
  <c r="K56" i="15"/>
  <c r="J56" i="15"/>
  <c r="G56" i="15"/>
  <c r="O55" i="15"/>
  <c r="N55" i="15"/>
  <c r="M55" i="15"/>
  <c r="L55" i="15"/>
  <c r="K55" i="15"/>
  <c r="J55" i="15"/>
  <c r="I55" i="15"/>
  <c r="H55" i="15"/>
  <c r="G55" i="15"/>
  <c r="F55" i="15"/>
  <c r="E55" i="15"/>
  <c r="E69" i="4" l="1"/>
  <c r="F69" i="4"/>
  <c r="F55" i="3"/>
  <c r="E67" i="4"/>
  <c r="O67" i="2"/>
  <c r="Q59" i="13"/>
  <c r="O55" i="1"/>
  <c r="F57" i="1"/>
  <c r="E59" i="4" s="1"/>
  <c r="T59" i="4" s="1"/>
  <c r="F56" i="1"/>
  <c r="O56" i="1" s="1"/>
  <c r="F54" i="1"/>
  <c r="E56" i="4" s="1"/>
  <c r="Q66" i="13"/>
  <c r="O67" i="1"/>
  <c r="F64" i="1"/>
  <c r="F65" i="2"/>
  <c r="F66" i="1"/>
  <c r="F66" i="2" s="1"/>
  <c r="F68" i="4" s="1"/>
  <c r="U68" i="4" s="1"/>
  <c r="F63" i="2"/>
  <c r="F62" i="1"/>
  <c r="E64" i="4" s="1"/>
  <c r="H65" i="1"/>
  <c r="G76" i="4"/>
  <c r="X76" i="4"/>
  <c r="R67" i="13"/>
  <c r="R63" i="13"/>
  <c r="P63" i="15"/>
  <c r="R68" i="13"/>
  <c r="J68" i="15"/>
  <c r="Q56" i="13"/>
  <c r="Q64" i="13"/>
  <c r="O63" i="1"/>
  <c r="I70" i="13"/>
  <c r="Q67" i="13"/>
  <c r="Q65" i="13"/>
  <c r="E65" i="4"/>
  <c r="T65" i="4" s="1"/>
  <c r="Q63" i="13"/>
  <c r="E57" i="15"/>
  <c r="T57" i="15" s="1"/>
  <c r="O53" i="3"/>
  <c r="Q68" i="13"/>
  <c r="Q69" i="13"/>
  <c r="R69" i="13"/>
  <c r="T55" i="15"/>
  <c r="R66" i="13"/>
  <c r="R65" i="13"/>
  <c r="U69" i="4"/>
  <c r="T65" i="15"/>
  <c r="T69" i="15"/>
  <c r="R64" i="13"/>
  <c r="G64" i="13"/>
  <c r="R50" i="13"/>
  <c r="G68" i="13"/>
  <c r="U63" i="15"/>
  <c r="T63" i="4"/>
  <c r="K66" i="13"/>
  <c r="G65" i="13"/>
  <c r="P67" i="15"/>
  <c r="J70" i="13"/>
  <c r="K76" i="13" s="1"/>
  <c r="G69" i="13"/>
  <c r="T63" i="15"/>
  <c r="O70" i="4"/>
  <c r="K63" i="13"/>
  <c r="R60" i="13"/>
  <c r="K67" i="13"/>
  <c r="L70" i="4"/>
  <c r="I123" i="13"/>
  <c r="Q49" i="13"/>
  <c r="Q57" i="13"/>
  <c r="Q55" i="13"/>
  <c r="E70" i="13"/>
  <c r="T76" i="13" s="1"/>
  <c r="F70" i="13"/>
  <c r="E54" i="13"/>
  <c r="I64" i="4"/>
  <c r="O62" i="1"/>
  <c r="M69" i="4"/>
  <c r="T69" i="4"/>
  <c r="K70" i="15"/>
  <c r="K70" i="4"/>
  <c r="N70" i="15"/>
  <c r="N70" i="4"/>
  <c r="O61" i="3"/>
  <c r="J66" i="15"/>
  <c r="J65" i="15"/>
  <c r="P66" i="15"/>
  <c r="M68" i="15"/>
  <c r="M65" i="4"/>
  <c r="M64" i="4"/>
  <c r="U69" i="15"/>
  <c r="L70" i="15"/>
  <c r="M76" i="15" s="1"/>
  <c r="U63" i="4"/>
  <c r="O70" i="15"/>
  <c r="H54" i="2"/>
  <c r="I56" i="4" s="1"/>
  <c r="I62" i="4" s="1"/>
  <c r="H56" i="15"/>
  <c r="H62" i="15" s="1"/>
  <c r="I62" i="13"/>
  <c r="Q60" i="13"/>
  <c r="O59" i="3"/>
  <c r="Q58" i="13"/>
  <c r="E60" i="4"/>
  <c r="T60" i="4" s="1"/>
  <c r="F58" i="2"/>
  <c r="Q53" i="13"/>
  <c r="H56" i="4"/>
  <c r="H62" i="4" s="1"/>
  <c r="Q61" i="13"/>
  <c r="Q48" i="13"/>
  <c r="R59" i="13"/>
  <c r="T61" i="15"/>
  <c r="J59" i="15"/>
  <c r="R56" i="13"/>
  <c r="K62" i="15"/>
  <c r="U61" i="15"/>
  <c r="R52" i="13"/>
  <c r="M61" i="4"/>
  <c r="P56" i="4"/>
  <c r="T55" i="4"/>
  <c r="T61" i="4"/>
  <c r="K56" i="13"/>
  <c r="R49" i="13"/>
  <c r="M57" i="4"/>
  <c r="M57" i="15"/>
  <c r="K55" i="13"/>
  <c r="R61" i="13"/>
  <c r="G61" i="13"/>
  <c r="K59" i="13"/>
  <c r="R58" i="13"/>
  <c r="T60" i="15"/>
  <c r="G58" i="13"/>
  <c r="F62" i="13"/>
  <c r="K60" i="13"/>
  <c r="R57" i="13"/>
  <c r="R48" i="13"/>
  <c r="J62" i="13"/>
  <c r="R53" i="13"/>
  <c r="R55" i="13"/>
  <c r="Q51" i="13"/>
  <c r="E62" i="13"/>
  <c r="R51" i="13"/>
  <c r="Q50" i="13"/>
  <c r="Q52" i="13"/>
  <c r="F54" i="13"/>
  <c r="I54" i="13"/>
  <c r="J54" i="13"/>
  <c r="K54" i="13" s="1"/>
  <c r="Q47" i="13"/>
  <c r="R47" i="13"/>
  <c r="J57" i="15"/>
  <c r="P60" i="4"/>
  <c r="P59" i="4"/>
  <c r="M58" i="4"/>
  <c r="P55" i="4"/>
  <c r="I58" i="15"/>
  <c r="O62" i="15"/>
  <c r="O62" i="4"/>
  <c r="L62" i="4"/>
  <c r="L62" i="15"/>
  <c r="U61" i="4"/>
  <c r="E58" i="15"/>
  <c r="T58" i="15" s="1"/>
  <c r="E57" i="4"/>
  <c r="T57" i="4" s="1"/>
  <c r="K62" i="4"/>
  <c r="N62" i="15"/>
  <c r="N62" i="4"/>
  <c r="U55" i="4"/>
  <c r="U55" i="15"/>
  <c r="E56" i="15" l="1"/>
  <c r="F54" i="2"/>
  <c r="F56" i="4" s="1"/>
  <c r="O54" i="1"/>
  <c r="F57" i="2"/>
  <c r="O57" i="2" s="1"/>
  <c r="E59" i="15"/>
  <c r="T59" i="15" s="1"/>
  <c r="O57" i="1"/>
  <c r="O67" i="3"/>
  <c r="O66" i="1"/>
  <c r="F64" i="2"/>
  <c r="F66" i="4" s="1"/>
  <c r="U66" i="4" s="1"/>
  <c r="E66" i="15"/>
  <c r="T66" i="15" s="1"/>
  <c r="O64" i="1"/>
  <c r="E66" i="4"/>
  <c r="T66" i="4" s="1"/>
  <c r="F65" i="4"/>
  <c r="U65" i="4" s="1"/>
  <c r="O63" i="2"/>
  <c r="O63" i="3" s="1"/>
  <c r="F65" i="15"/>
  <c r="U65" i="15" s="1"/>
  <c r="Q70" i="13"/>
  <c r="F67" i="15"/>
  <c r="F67" i="4"/>
  <c r="F56" i="2"/>
  <c r="F58" i="4" s="1"/>
  <c r="U58" i="4" s="1"/>
  <c r="E58" i="4"/>
  <c r="T58" i="4" s="1"/>
  <c r="E68" i="15"/>
  <c r="T68" i="15" s="1"/>
  <c r="E68" i="4"/>
  <c r="T68" i="4" s="1"/>
  <c r="R70" i="13"/>
  <c r="G76" i="13"/>
  <c r="U76" i="13"/>
  <c r="P76" i="15"/>
  <c r="E64" i="15"/>
  <c r="F62" i="2"/>
  <c r="O65" i="1"/>
  <c r="H67" i="15"/>
  <c r="H65" i="2"/>
  <c r="H67" i="4"/>
  <c r="O66" i="2"/>
  <c r="F68" i="15"/>
  <c r="U68" i="15" s="1"/>
  <c r="K70" i="13"/>
  <c r="T70" i="13"/>
  <c r="K62" i="13"/>
  <c r="Q62" i="13"/>
  <c r="F59" i="15"/>
  <c r="U59" i="15" s="1"/>
  <c r="F59" i="4"/>
  <c r="U59" i="4" s="1"/>
  <c r="O54" i="2"/>
  <c r="O54" i="3" s="1"/>
  <c r="I56" i="15"/>
  <c r="I62" i="15" s="1"/>
  <c r="J62" i="15" s="1"/>
  <c r="U56" i="4"/>
  <c r="G54" i="13"/>
  <c r="T62" i="13"/>
  <c r="G70" i="13"/>
  <c r="U70" i="13"/>
  <c r="T54" i="13"/>
  <c r="T64" i="4"/>
  <c r="M70" i="4"/>
  <c r="M70" i="15"/>
  <c r="P70" i="4"/>
  <c r="P70" i="15"/>
  <c r="E62" i="15"/>
  <c r="W62" i="15" s="1"/>
  <c r="T56" i="4"/>
  <c r="Q54" i="13"/>
  <c r="T56" i="15"/>
  <c r="T62" i="15" s="1"/>
  <c r="F60" i="15"/>
  <c r="U60" i="15" s="1"/>
  <c r="O58" i="2"/>
  <c r="O58" i="3" s="1"/>
  <c r="F60" i="4"/>
  <c r="U60" i="4" s="1"/>
  <c r="F56" i="15"/>
  <c r="M62" i="15"/>
  <c r="U62" i="13"/>
  <c r="R62" i="13"/>
  <c r="R54" i="13"/>
  <c r="G62" i="13"/>
  <c r="U54" i="13"/>
  <c r="P62" i="15"/>
  <c r="J62" i="4"/>
  <c r="M62" i="4"/>
  <c r="P62" i="4"/>
  <c r="O57" i="3" l="1"/>
  <c r="F58" i="15"/>
  <c r="U58" i="15" s="1"/>
  <c r="O64" i="2"/>
  <c r="O64" i="3" s="1"/>
  <c r="F66" i="15"/>
  <c r="U66" i="15" s="1"/>
  <c r="E62" i="4"/>
  <c r="W62" i="4" s="1"/>
  <c r="O66" i="3"/>
  <c r="T62" i="4"/>
  <c r="O56" i="2"/>
  <c r="O56" i="3" s="1"/>
  <c r="E70" i="4"/>
  <c r="H70" i="4"/>
  <c r="T67" i="4"/>
  <c r="T70" i="4" s="1"/>
  <c r="I67" i="15"/>
  <c r="O65" i="2"/>
  <c r="O65" i="3" s="1"/>
  <c r="I67" i="4"/>
  <c r="T67" i="15"/>
  <c r="H70" i="15"/>
  <c r="U56" i="15"/>
  <c r="F64" i="4"/>
  <c r="O62" i="2"/>
  <c r="O62" i="3" s="1"/>
  <c r="F64" i="15"/>
  <c r="E70" i="15"/>
  <c r="T64" i="15"/>
  <c r="W70" i="4" l="1"/>
  <c r="W70" i="15"/>
  <c r="W76" i="15"/>
  <c r="U64" i="4"/>
  <c r="F70" i="4"/>
  <c r="U67" i="4"/>
  <c r="I70" i="4"/>
  <c r="U64" i="15"/>
  <c r="F70" i="15"/>
  <c r="U67" i="15"/>
  <c r="I70" i="15"/>
  <c r="T70" i="15"/>
  <c r="L51" i="3"/>
  <c r="P53" i="4" s="1"/>
  <c r="L50" i="3"/>
  <c r="L47" i="3"/>
  <c r="L46" i="3"/>
  <c r="J49" i="3"/>
  <c r="J48" i="3"/>
  <c r="J45" i="3"/>
  <c r="H50" i="3"/>
  <c r="J52" i="15" s="1"/>
  <c r="H49" i="3"/>
  <c r="J51" i="4" s="1"/>
  <c r="H46" i="3"/>
  <c r="J48" i="4" s="1"/>
  <c r="H48" i="2"/>
  <c r="I50" i="4" s="1"/>
  <c r="H47" i="2"/>
  <c r="I49" i="15" s="1"/>
  <c r="F50" i="1"/>
  <c r="E52" i="4" s="1"/>
  <c r="F47" i="2"/>
  <c r="F46" i="1"/>
  <c r="E48" i="4" s="1"/>
  <c r="F45" i="2"/>
  <c r="O45" i="2" s="1"/>
  <c r="F46" i="2"/>
  <c r="F48" i="4" s="1"/>
  <c r="O53" i="4"/>
  <c r="N53" i="4"/>
  <c r="M53" i="4"/>
  <c r="L53" i="4"/>
  <c r="K53" i="4"/>
  <c r="J53" i="4"/>
  <c r="I53" i="4"/>
  <c r="H53" i="4"/>
  <c r="G53" i="4"/>
  <c r="F53" i="4"/>
  <c r="E53" i="4"/>
  <c r="O52" i="4"/>
  <c r="N52" i="4"/>
  <c r="M52" i="4"/>
  <c r="L52" i="4"/>
  <c r="K52" i="4"/>
  <c r="I52" i="4"/>
  <c r="H52" i="4"/>
  <c r="G52" i="4"/>
  <c r="P51" i="4"/>
  <c r="O51" i="4"/>
  <c r="N51" i="4"/>
  <c r="L51" i="4"/>
  <c r="K51" i="4"/>
  <c r="I51" i="4"/>
  <c r="H51" i="4"/>
  <c r="G51" i="4"/>
  <c r="P50" i="4"/>
  <c r="O50" i="4"/>
  <c r="N50" i="4"/>
  <c r="L50" i="4"/>
  <c r="K50" i="4"/>
  <c r="J50" i="4"/>
  <c r="G50" i="4"/>
  <c r="O49" i="4"/>
  <c r="N49" i="4"/>
  <c r="M49" i="4"/>
  <c r="L49" i="4"/>
  <c r="K49" i="4"/>
  <c r="J49" i="4"/>
  <c r="H49" i="4"/>
  <c r="G49" i="4"/>
  <c r="O48" i="4"/>
  <c r="N48" i="4"/>
  <c r="M48" i="4"/>
  <c r="L48" i="4"/>
  <c r="K48" i="4"/>
  <c r="I48" i="4"/>
  <c r="H48" i="4"/>
  <c r="G48" i="4"/>
  <c r="P47" i="4"/>
  <c r="O47" i="4"/>
  <c r="N47" i="4"/>
  <c r="L47" i="4"/>
  <c r="K47" i="4"/>
  <c r="J47" i="4"/>
  <c r="I47" i="4"/>
  <c r="H47" i="4"/>
  <c r="G47" i="4"/>
  <c r="E47" i="4"/>
  <c r="O53" i="15"/>
  <c r="N53" i="15"/>
  <c r="M53" i="15"/>
  <c r="L53" i="15"/>
  <c r="K53" i="15"/>
  <c r="J53" i="15"/>
  <c r="I53" i="15"/>
  <c r="H53" i="15"/>
  <c r="G53" i="15"/>
  <c r="F53" i="15"/>
  <c r="E53" i="15"/>
  <c r="O52" i="15"/>
  <c r="N52" i="15"/>
  <c r="M52" i="15"/>
  <c r="L52" i="15"/>
  <c r="K52" i="15"/>
  <c r="I52" i="15"/>
  <c r="H52" i="15"/>
  <c r="G52" i="15"/>
  <c r="P51" i="15"/>
  <c r="O51" i="15"/>
  <c r="N51" i="15"/>
  <c r="L51" i="15"/>
  <c r="K51" i="15"/>
  <c r="I51" i="15"/>
  <c r="H51" i="15"/>
  <c r="G51" i="15"/>
  <c r="P50" i="15"/>
  <c r="O50" i="15"/>
  <c r="N50" i="15"/>
  <c r="L50" i="15"/>
  <c r="K50" i="15"/>
  <c r="J50" i="15"/>
  <c r="G50" i="15"/>
  <c r="O49" i="15"/>
  <c r="N49" i="15"/>
  <c r="M49" i="15"/>
  <c r="L49" i="15"/>
  <c r="K49" i="15"/>
  <c r="J49" i="15"/>
  <c r="H49" i="15"/>
  <c r="G49" i="15"/>
  <c r="O48" i="15"/>
  <c r="N48" i="15"/>
  <c r="M48" i="15"/>
  <c r="L48" i="15"/>
  <c r="K48" i="15"/>
  <c r="I48" i="15"/>
  <c r="H48" i="15"/>
  <c r="G48" i="15"/>
  <c r="P47" i="15"/>
  <c r="O47" i="15"/>
  <c r="N47" i="15"/>
  <c r="L47" i="15"/>
  <c r="K47" i="15"/>
  <c r="J47" i="15"/>
  <c r="I47" i="15"/>
  <c r="H47" i="15"/>
  <c r="G47" i="15"/>
  <c r="E47" i="15"/>
  <c r="O51" i="2"/>
  <c r="O45" i="1"/>
  <c r="O51" i="1"/>
  <c r="H40" i="1"/>
  <c r="H40" i="2" s="1"/>
  <c r="F41" i="1"/>
  <c r="F41" i="2" s="1"/>
  <c r="F40" i="1"/>
  <c r="F40" i="2" s="1"/>
  <c r="F36" i="1"/>
  <c r="H43" i="3"/>
  <c r="H42" i="3"/>
  <c r="H41" i="3"/>
  <c r="J42" i="3"/>
  <c r="J40" i="3"/>
  <c r="L43" i="3"/>
  <c r="L41" i="3"/>
  <c r="E52" i="15" l="1"/>
  <c r="F49" i="1"/>
  <c r="F48" i="1"/>
  <c r="E50" i="15" s="1"/>
  <c r="G70" i="4"/>
  <c r="G76" i="15"/>
  <c r="J70" i="15"/>
  <c r="U70" i="15"/>
  <c r="E48" i="15"/>
  <c r="T48" i="15" s="1"/>
  <c r="X70" i="15"/>
  <c r="G70" i="15"/>
  <c r="J70" i="4"/>
  <c r="X70" i="4"/>
  <c r="U70" i="4"/>
  <c r="T52" i="15"/>
  <c r="T47" i="15"/>
  <c r="U53" i="15"/>
  <c r="T53" i="15"/>
  <c r="M123" i="13"/>
  <c r="J48" i="15"/>
  <c r="H50" i="15"/>
  <c r="H50" i="4"/>
  <c r="H54" i="4" s="1"/>
  <c r="O46" i="2"/>
  <c r="M47" i="15"/>
  <c r="G47" i="13"/>
  <c r="M50" i="15"/>
  <c r="G50" i="13"/>
  <c r="M51" i="4"/>
  <c r="G51" i="13"/>
  <c r="P48" i="15"/>
  <c r="K48" i="13"/>
  <c r="P49" i="15"/>
  <c r="K49" i="13"/>
  <c r="P52" i="15"/>
  <c r="K52" i="13"/>
  <c r="P53" i="15"/>
  <c r="K53" i="13"/>
  <c r="F48" i="15"/>
  <c r="U48" i="15" s="1"/>
  <c r="J51" i="15"/>
  <c r="F50" i="2"/>
  <c r="F52" i="15" s="1"/>
  <c r="U52" i="15" s="1"/>
  <c r="E49" i="15"/>
  <c r="T49" i="15" s="1"/>
  <c r="O47" i="1"/>
  <c r="O46" i="1"/>
  <c r="E49" i="4"/>
  <c r="T49" i="4" s="1"/>
  <c r="M50" i="4"/>
  <c r="N54" i="15"/>
  <c r="T52" i="4"/>
  <c r="K54" i="4"/>
  <c r="T53" i="4"/>
  <c r="U53" i="4"/>
  <c r="O54" i="4"/>
  <c r="K54" i="15"/>
  <c r="O47" i="2"/>
  <c r="O47" i="3" s="1"/>
  <c r="F47" i="15"/>
  <c r="U47" i="15" s="1"/>
  <c r="F49" i="4"/>
  <c r="P52" i="4"/>
  <c r="P49" i="4"/>
  <c r="P48" i="4"/>
  <c r="M51" i="15"/>
  <c r="M47" i="4"/>
  <c r="J52" i="4"/>
  <c r="I50" i="15"/>
  <c r="I54" i="15" s="1"/>
  <c r="O50" i="1"/>
  <c r="F49" i="15"/>
  <c r="U49" i="15" s="1"/>
  <c r="I49" i="4"/>
  <c r="F47" i="4"/>
  <c r="U47" i="4" s="1"/>
  <c r="O51" i="3"/>
  <c r="L54" i="15"/>
  <c r="O54" i="15"/>
  <c r="U48" i="4"/>
  <c r="O45" i="3"/>
  <c r="L54" i="4"/>
  <c r="N54" i="4"/>
  <c r="T48" i="4"/>
  <c r="T47" i="4"/>
  <c r="F42" i="1"/>
  <c r="F42" i="2" s="1"/>
  <c r="O42" i="2" s="1"/>
  <c r="F43" i="1"/>
  <c r="F43" i="2" s="1"/>
  <c r="F45" i="4" s="1"/>
  <c r="O40" i="1"/>
  <c r="O41" i="1"/>
  <c r="O40" i="2"/>
  <c r="O41" i="2"/>
  <c r="K45" i="13"/>
  <c r="J45" i="13"/>
  <c r="I45" i="13"/>
  <c r="G45" i="13"/>
  <c r="F45" i="13"/>
  <c r="E45" i="13"/>
  <c r="K44" i="13"/>
  <c r="J44" i="13"/>
  <c r="I44" i="13"/>
  <c r="G44" i="13"/>
  <c r="F44" i="13"/>
  <c r="E44" i="13"/>
  <c r="K43" i="13"/>
  <c r="J43" i="13"/>
  <c r="I43" i="13"/>
  <c r="G43" i="13"/>
  <c r="F43" i="13"/>
  <c r="E43" i="13"/>
  <c r="K42" i="13"/>
  <c r="J42" i="13"/>
  <c r="I42" i="13"/>
  <c r="G42" i="13"/>
  <c r="F42" i="13"/>
  <c r="E42" i="13"/>
  <c r="P45" i="4"/>
  <c r="O45" i="4"/>
  <c r="N45" i="4"/>
  <c r="M45" i="4"/>
  <c r="L45" i="4"/>
  <c r="K45" i="4"/>
  <c r="J45" i="4"/>
  <c r="I45" i="4"/>
  <c r="H45" i="4"/>
  <c r="G45" i="4"/>
  <c r="P44" i="4"/>
  <c r="O44" i="4"/>
  <c r="N44" i="4"/>
  <c r="M44" i="4"/>
  <c r="L44" i="4"/>
  <c r="K44" i="4"/>
  <c r="J44" i="4"/>
  <c r="I44" i="4"/>
  <c r="H44" i="4"/>
  <c r="G44" i="4"/>
  <c r="P43" i="4"/>
  <c r="O43" i="4"/>
  <c r="N43" i="4"/>
  <c r="M43" i="4"/>
  <c r="L43" i="4"/>
  <c r="K43" i="4"/>
  <c r="J43" i="4"/>
  <c r="I43" i="4"/>
  <c r="H43" i="4"/>
  <c r="G43" i="4"/>
  <c r="F43" i="4"/>
  <c r="E43" i="4"/>
  <c r="P42" i="4"/>
  <c r="O42" i="4"/>
  <c r="N42" i="4"/>
  <c r="M42" i="4"/>
  <c r="L42" i="4"/>
  <c r="K42" i="4"/>
  <c r="J42" i="4"/>
  <c r="I42" i="4"/>
  <c r="H42" i="4"/>
  <c r="G42" i="4"/>
  <c r="F42" i="4"/>
  <c r="E42" i="4"/>
  <c r="P45" i="15"/>
  <c r="O45" i="15"/>
  <c r="N45" i="15"/>
  <c r="M45" i="15"/>
  <c r="L45" i="15"/>
  <c r="K45" i="15"/>
  <c r="J45" i="15"/>
  <c r="I45" i="15"/>
  <c r="H45" i="15"/>
  <c r="G45" i="15"/>
  <c r="P44" i="15"/>
  <c r="O44" i="15"/>
  <c r="N44" i="15"/>
  <c r="M44" i="15"/>
  <c r="L44" i="15"/>
  <c r="K44" i="15"/>
  <c r="J44" i="15"/>
  <c r="I44" i="15"/>
  <c r="H44" i="15"/>
  <c r="G44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O42" i="1" l="1"/>
  <c r="O42" i="3" s="1"/>
  <c r="E44" i="15"/>
  <c r="J76" i="15"/>
  <c r="X76" i="15"/>
  <c r="T50" i="15"/>
  <c r="E50" i="4"/>
  <c r="T50" i="4" s="1"/>
  <c r="H54" i="15"/>
  <c r="J54" i="15" s="1"/>
  <c r="E44" i="4"/>
  <c r="T44" i="4" s="1"/>
  <c r="E45" i="15"/>
  <c r="T45" i="15" s="1"/>
  <c r="O48" i="1"/>
  <c r="F48" i="2"/>
  <c r="O48" i="2" s="1"/>
  <c r="O48" i="3" s="1"/>
  <c r="M54" i="4"/>
  <c r="O46" i="3"/>
  <c r="F52" i="4"/>
  <c r="U52" i="4" s="1"/>
  <c r="O50" i="2"/>
  <c r="O50" i="3" s="1"/>
  <c r="Q44" i="13"/>
  <c r="Q42" i="13"/>
  <c r="F49" i="2"/>
  <c r="E51" i="15"/>
  <c r="O49" i="1"/>
  <c r="E51" i="4"/>
  <c r="T51" i="4" s="1"/>
  <c r="E45" i="4"/>
  <c r="T45" i="4" s="1"/>
  <c r="Q43" i="13"/>
  <c r="P54" i="15"/>
  <c r="P54" i="4"/>
  <c r="U49" i="4"/>
  <c r="F44" i="4"/>
  <c r="U44" i="4" s="1"/>
  <c r="F44" i="15"/>
  <c r="U44" i="15" s="1"/>
  <c r="M54" i="15"/>
  <c r="I54" i="4"/>
  <c r="J54" i="4" s="1"/>
  <c r="L46" i="4"/>
  <c r="N46" i="15"/>
  <c r="O43" i="2"/>
  <c r="I46" i="13"/>
  <c r="N46" i="4"/>
  <c r="F45" i="15"/>
  <c r="O43" i="1"/>
  <c r="Q45" i="13"/>
  <c r="L46" i="15"/>
  <c r="T43" i="15"/>
  <c r="T43" i="4"/>
  <c r="U45" i="4"/>
  <c r="T44" i="15"/>
  <c r="R43" i="13"/>
  <c r="O46" i="4"/>
  <c r="U42" i="15"/>
  <c r="U43" i="15"/>
  <c r="R42" i="13"/>
  <c r="R44" i="13"/>
  <c r="K46" i="15"/>
  <c r="T42" i="4"/>
  <c r="O41" i="3"/>
  <c r="O40" i="3"/>
  <c r="U42" i="4"/>
  <c r="I46" i="15"/>
  <c r="O46" i="15"/>
  <c r="J46" i="13"/>
  <c r="U43" i="4"/>
  <c r="I46" i="4"/>
  <c r="F46" i="13"/>
  <c r="R45" i="13"/>
  <c r="H46" i="4"/>
  <c r="K46" i="4"/>
  <c r="H46" i="15"/>
  <c r="E46" i="13"/>
  <c r="T42" i="15"/>
  <c r="E46" i="15" l="1"/>
  <c r="W46" i="15" s="1"/>
  <c r="E46" i="4"/>
  <c r="T54" i="4"/>
  <c r="E54" i="15"/>
  <c r="W54" i="15" s="1"/>
  <c r="T51" i="15"/>
  <c r="T54" i="15" s="1"/>
  <c r="F50" i="4"/>
  <c r="U50" i="4" s="1"/>
  <c r="F50" i="15"/>
  <c r="U50" i="15" s="1"/>
  <c r="E54" i="4"/>
  <c r="W54" i="4" s="1"/>
  <c r="F46" i="4"/>
  <c r="X46" i="4" s="1"/>
  <c r="F46" i="15"/>
  <c r="Q46" i="13"/>
  <c r="F51" i="4"/>
  <c r="U51" i="4" s="1"/>
  <c r="F51" i="15"/>
  <c r="O49" i="2"/>
  <c r="O49" i="3" s="1"/>
  <c r="M46" i="4"/>
  <c r="U45" i="15"/>
  <c r="U46" i="15" s="1"/>
  <c r="P46" i="4"/>
  <c r="O43" i="3"/>
  <c r="T46" i="4"/>
  <c r="R46" i="13"/>
  <c r="T46" i="15"/>
  <c r="W46" i="4"/>
  <c r="U46" i="4"/>
  <c r="J46" i="4"/>
  <c r="G46" i="4" l="1"/>
  <c r="U51" i="15"/>
  <c r="U54" i="15" s="1"/>
  <c r="F54" i="4"/>
  <c r="G54" i="4" s="1"/>
  <c r="U54" i="4"/>
  <c r="F54" i="15"/>
  <c r="F36" i="2"/>
  <c r="F35" i="2"/>
  <c r="H38" i="1"/>
  <c r="H38" i="2" s="1"/>
  <c r="F38" i="1"/>
  <c r="F38" i="2" s="1"/>
  <c r="F34" i="1"/>
  <c r="F34" i="2" s="1"/>
  <c r="H30" i="1"/>
  <c r="H31" i="1"/>
  <c r="H27" i="1"/>
  <c r="F35" i="1"/>
  <c r="F37" i="1" s="1"/>
  <c r="F37" i="2" s="1"/>
  <c r="F30" i="1"/>
  <c r="F28" i="1" s="1"/>
  <c r="F29" i="1"/>
  <c r="F31" i="1" s="1"/>
  <c r="L38" i="3"/>
  <c r="L36" i="3"/>
  <c r="L34" i="3"/>
  <c r="J37" i="3"/>
  <c r="J35" i="3"/>
  <c r="H37" i="3"/>
  <c r="H36" i="3"/>
  <c r="H34" i="3"/>
  <c r="H35" i="1" l="1"/>
  <c r="H35" i="2" s="1"/>
  <c r="O35" i="2" s="1"/>
  <c r="X54" i="4"/>
  <c r="G54" i="15"/>
  <c r="X54" i="15"/>
  <c r="F27" i="1"/>
  <c r="K40" i="13"/>
  <c r="J40" i="13"/>
  <c r="I40" i="13"/>
  <c r="G40" i="13"/>
  <c r="F40" i="13"/>
  <c r="E40" i="13"/>
  <c r="K39" i="13"/>
  <c r="J39" i="13"/>
  <c r="I39" i="13"/>
  <c r="G39" i="13"/>
  <c r="F39" i="13"/>
  <c r="E39" i="13"/>
  <c r="K38" i="13"/>
  <c r="J38" i="13"/>
  <c r="I38" i="13"/>
  <c r="G38" i="13"/>
  <c r="F38" i="13"/>
  <c r="E38" i="13"/>
  <c r="K37" i="13"/>
  <c r="J37" i="13"/>
  <c r="I37" i="13"/>
  <c r="G37" i="13"/>
  <c r="F37" i="13"/>
  <c r="E37" i="13"/>
  <c r="K36" i="13"/>
  <c r="J36" i="13"/>
  <c r="I36" i="13"/>
  <c r="G36" i="13"/>
  <c r="F36" i="13"/>
  <c r="E36" i="13"/>
  <c r="P40" i="4"/>
  <c r="O40" i="4"/>
  <c r="N40" i="4"/>
  <c r="M40" i="4"/>
  <c r="L40" i="4"/>
  <c r="K40" i="4"/>
  <c r="J40" i="4"/>
  <c r="I40" i="4"/>
  <c r="H40" i="4"/>
  <c r="G40" i="4"/>
  <c r="F40" i="4"/>
  <c r="E40" i="4"/>
  <c r="P39" i="4"/>
  <c r="O39" i="4"/>
  <c r="N39" i="4"/>
  <c r="M39" i="4"/>
  <c r="L39" i="4"/>
  <c r="K39" i="4"/>
  <c r="J39" i="4"/>
  <c r="I39" i="4"/>
  <c r="H39" i="4"/>
  <c r="G39" i="4"/>
  <c r="F39" i="4"/>
  <c r="E39" i="4"/>
  <c r="P38" i="4"/>
  <c r="O38" i="4"/>
  <c r="N38" i="4"/>
  <c r="M38" i="4"/>
  <c r="L38" i="4"/>
  <c r="K38" i="4"/>
  <c r="J38" i="4"/>
  <c r="I38" i="4"/>
  <c r="H38" i="4"/>
  <c r="G38" i="4"/>
  <c r="F38" i="4"/>
  <c r="E38" i="4"/>
  <c r="P37" i="4"/>
  <c r="O37" i="4"/>
  <c r="N37" i="4"/>
  <c r="M37" i="4"/>
  <c r="L37" i="4"/>
  <c r="K37" i="4"/>
  <c r="J37" i="4"/>
  <c r="H37" i="4"/>
  <c r="G37" i="4"/>
  <c r="F37" i="4"/>
  <c r="E37" i="4"/>
  <c r="P36" i="4"/>
  <c r="O36" i="4"/>
  <c r="N36" i="4"/>
  <c r="M36" i="4"/>
  <c r="L36" i="4"/>
  <c r="K36" i="4"/>
  <c r="J36" i="4"/>
  <c r="I36" i="4"/>
  <c r="H36" i="4"/>
  <c r="G36" i="4"/>
  <c r="F36" i="4"/>
  <c r="E36" i="4"/>
  <c r="P40" i="15"/>
  <c r="O40" i="15"/>
  <c r="N40" i="15"/>
  <c r="M40" i="15"/>
  <c r="L40" i="15"/>
  <c r="K40" i="15"/>
  <c r="J40" i="15"/>
  <c r="I40" i="15"/>
  <c r="H40" i="15"/>
  <c r="G40" i="15"/>
  <c r="F40" i="15"/>
  <c r="E40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P37" i="15"/>
  <c r="O37" i="15"/>
  <c r="N37" i="15"/>
  <c r="M37" i="15"/>
  <c r="L37" i="15"/>
  <c r="K37" i="15"/>
  <c r="J37" i="15"/>
  <c r="H37" i="15"/>
  <c r="G37" i="15"/>
  <c r="F37" i="15"/>
  <c r="E37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O34" i="1"/>
  <c r="O35" i="1"/>
  <c r="O36" i="1"/>
  <c r="O37" i="1"/>
  <c r="O38" i="1"/>
  <c r="O34" i="2"/>
  <c r="O36" i="2"/>
  <c r="O37" i="2"/>
  <c r="O38" i="2"/>
  <c r="J34" i="13"/>
  <c r="I34" i="13"/>
  <c r="G34" i="13"/>
  <c r="F34" i="13"/>
  <c r="E34" i="13"/>
  <c r="K33" i="13"/>
  <c r="J33" i="13"/>
  <c r="I33" i="13"/>
  <c r="F33" i="13"/>
  <c r="E33" i="13"/>
  <c r="J32" i="13"/>
  <c r="I32" i="13"/>
  <c r="G32" i="13"/>
  <c r="F32" i="13"/>
  <c r="E32" i="13"/>
  <c r="K31" i="13"/>
  <c r="J31" i="13"/>
  <c r="I31" i="13"/>
  <c r="F31" i="13"/>
  <c r="E31" i="13"/>
  <c r="J30" i="13"/>
  <c r="I30" i="13"/>
  <c r="G30" i="13"/>
  <c r="F30" i="13"/>
  <c r="E30" i="13"/>
  <c r="K29" i="13"/>
  <c r="J29" i="13"/>
  <c r="I29" i="13"/>
  <c r="F29" i="13"/>
  <c r="E29" i="13"/>
  <c r="H30" i="2"/>
  <c r="I32" i="15" s="1"/>
  <c r="H29" i="15"/>
  <c r="H31" i="2"/>
  <c r="I33" i="15" s="1"/>
  <c r="L32" i="3"/>
  <c r="P34" i="4" s="1"/>
  <c r="L30" i="3"/>
  <c r="P32" i="4" s="1"/>
  <c r="L28" i="3"/>
  <c r="K30" i="13" s="1"/>
  <c r="J31" i="3"/>
  <c r="G33" i="13" s="1"/>
  <c r="J29" i="3"/>
  <c r="M31" i="4" s="1"/>
  <c r="J27" i="3"/>
  <c r="G29" i="13" s="1"/>
  <c r="H29" i="3"/>
  <c r="J31" i="4" s="1"/>
  <c r="H28" i="3"/>
  <c r="J30" i="15" s="1"/>
  <c r="O32" i="2"/>
  <c r="F29" i="2"/>
  <c r="O29" i="2" s="1"/>
  <c r="O30" i="1"/>
  <c r="O32" i="1"/>
  <c r="O34" i="4"/>
  <c r="N34" i="4"/>
  <c r="M34" i="4"/>
  <c r="L34" i="4"/>
  <c r="K34" i="4"/>
  <c r="J34" i="4"/>
  <c r="I34" i="4"/>
  <c r="H34" i="4"/>
  <c r="G34" i="4"/>
  <c r="F34" i="4"/>
  <c r="E34" i="4"/>
  <c r="P33" i="4"/>
  <c r="O33" i="4"/>
  <c r="N33" i="4"/>
  <c r="L33" i="4"/>
  <c r="K33" i="4"/>
  <c r="J33" i="4"/>
  <c r="H33" i="4"/>
  <c r="G33" i="4"/>
  <c r="O32" i="4"/>
  <c r="N32" i="4"/>
  <c r="M32" i="4"/>
  <c r="L32" i="4"/>
  <c r="K32" i="4"/>
  <c r="J32" i="4"/>
  <c r="H32" i="4"/>
  <c r="G32" i="4"/>
  <c r="E32" i="4"/>
  <c r="P31" i="4"/>
  <c r="O31" i="4"/>
  <c r="N31" i="4"/>
  <c r="L31" i="4"/>
  <c r="K31" i="4"/>
  <c r="I31" i="4"/>
  <c r="H31" i="4"/>
  <c r="O30" i="4"/>
  <c r="N30" i="4"/>
  <c r="M30" i="4"/>
  <c r="L30" i="4"/>
  <c r="K30" i="4"/>
  <c r="I30" i="4"/>
  <c r="H30" i="4"/>
  <c r="G30" i="4"/>
  <c r="P29" i="4"/>
  <c r="O29" i="4"/>
  <c r="N29" i="4"/>
  <c r="L29" i="4"/>
  <c r="K29" i="4"/>
  <c r="J29" i="4"/>
  <c r="G29" i="4"/>
  <c r="O34" i="15"/>
  <c r="N34" i="15"/>
  <c r="M34" i="15"/>
  <c r="L34" i="15"/>
  <c r="K34" i="15"/>
  <c r="J34" i="15"/>
  <c r="I34" i="15"/>
  <c r="H34" i="15"/>
  <c r="G34" i="15"/>
  <c r="F34" i="15"/>
  <c r="E34" i="15"/>
  <c r="P33" i="15"/>
  <c r="O33" i="15"/>
  <c r="N33" i="15"/>
  <c r="L33" i="15"/>
  <c r="K33" i="15"/>
  <c r="J33" i="15"/>
  <c r="H33" i="15"/>
  <c r="G33" i="15"/>
  <c r="O32" i="15"/>
  <c r="N32" i="15"/>
  <c r="M32" i="15"/>
  <c r="L32" i="15"/>
  <c r="K32" i="15"/>
  <c r="J32" i="15"/>
  <c r="H32" i="15"/>
  <c r="G32" i="15"/>
  <c r="E32" i="15"/>
  <c r="P31" i="15"/>
  <c r="O31" i="15"/>
  <c r="N31" i="15"/>
  <c r="L31" i="15"/>
  <c r="K31" i="15"/>
  <c r="I31" i="15"/>
  <c r="H31" i="15"/>
  <c r="O30" i="15"/>
  <c r="N30" i="15"/>
  <c r="M30" i="15"/>
  <c r="L30" i="15"/>
  <c r="K30" i="15"/>
  <c r="I30" i="15"/>
  <c r="H30" i="15"/>
  <c r="G30" i="15"/>
  <c r="P29" i="15"/>
  <c r="O29" i="15"/>
  <c r="N29" i="15"/>
  <c r="L29" i="15"/>
  <c r="K29" i="15"/>
  <c r="J29" i="15"/>
  <c r="G29" i="15"/>
  <c r="L26" i="15"/>
  <c r="I37" i="15" l="1"/>
  <c r="I41" i="15" s="1"/>
  <c r="J46" i="15" s="1"/>
  <c r="I37" i="4"/>
  <c r="U37" i="4" s="1"/>
  <c r="Q40" i="13"/>
  <c r="L41" i="15"/>
  <c r="Q32" i="13"/>
  <c r="E41" i="4"/>
  <c r="R40" i="13"/>
  <c r="O41" i="4"/>
  <c r="Q29" i="13"/>
  <c r="R33" i="13"/>
  <c r="Q37" i="13"/>
  <c r="Q39" i="13"/>
  <c r="E35" i="13"/>
  <c r="Q31" i="13"/>
  <c r="Q36" i="13"/>
  <c r="Q38" i="13"/>
  <c r="R32" i="13"/>
  <c r="N41" i="15"/>
  <c r="O41" i="15"/>
  <c r="R39" i="13"/>
  <c r="U38" i="15"/>
  <c r="F41" i="13"/>
  <c r="R36" i="13"/>
  <c r="R38" i="13"/>
  <c r="M33" i="15"/>
  <c r="R37" i="13"/>
  <c r="O32" i="3"/>
  <c r="R30" i="13"/>
  <c r="F35" i="13"/>
  <c r="U39" i="4"/>
  <c r="F41" i="4"/>
  <c r="U40" i="15"/>
  <c r="U40" i="4"/>
  <c r="O35" i="3"/>
  <c r="H41" i="4"/>
  <c r="E41" i="15"/>
  <c r="T38" i="4"/>
  <c r="T37" i="15"/>
  <c r="O34" i="3"/>
  <c r="K41" i="4"/>
  <c r="T38" i="15"/>
  <c r="T36" i="4"/>
  <c r="I41" i="13"/>
  <c r="O36" i="3"/>
  <c r="H41" i="15"/>
  <c r="O38" i="3"/>
  <c r="T40" i="15"/>
  <c r="T40" i="4"/>
  <c r="N41" i="4"/>
  <c r="T39" i="4"/>
  <c r="O37" i="3"/>
  <c r="E41" i="13"/>
  <c r="T39" i="15"/>
  <c r="K41" i="15"/>
  <c r="M46" i="15" s="1"/>
  <c r="U38" i="4"/>
  <c r="U36" i="15"/>
  <c r="U36" i="4"/>
  <c r="L41" i="4"/>
  <c r="U39" i="15"/>
  <c r="J35" i="13"/>
  <c r="R29" i="13"/>
  <c r="J41" i="13"/>
  <c r="K46" i="13" s="1"/>
  <c r="I35" i="13"/>
  <c r="T37" i="4"/>
  <c r="F41" i="15"/>
  <c r="T36" i="15"/>
  <c r="R31" i="13"/>
  <c r="J30" i="4"/>
  <c r="R34" i="13"/>
  <c r="F31" i="2"/>
  <c r="O31" i="2" s="1"/>
  <c r="E33" i="15"/>
  <c r="T33" i="15" s="1"/>
  <c r="E33" i="4"/>
  <c r="T33" i="4" s="1"/>
  <c r="O31" i="1"/>
  <c r="O28" i="1"/>
  <c r="E30" i="15"/>
  <c r="T30" i="15" s="1"/>
  <c r="E30" i="4"/>
  <c r="T30" i="4" s="1"/>
  <c r="F28" i="2"/>
  <c r="F30" i="15" s="1"/>
  <c r="U30" i="15" s="1"/>
  <c r="F30" i="2"/>
  <c r="F32" i="4" s="1"/>
  <c r="H27" i="2"/>
  <c r="I29" i="15" s="1"/>
  <c r="I35" i="15" s="1"/>
  <c r="Q33" i="13"/>
  <c r="E31" i="4"/>
  <c r="T31" i="4" s="1"/>
  <c r="O27" i="1"/>
  <c r="E31" i="15"/>
  <c r="T31" i="15" s="1"/>
  <c r="O29" i="1"/>
  <c r="O29" i="3" s="1"/>
  <c r="Q30" i="13"/>
  <c r="H29" i="4"/>
  <c r="H35" i="4" s="1"/>
  <c r="Q34" i="13"/>
  <c r="P30" i="4"/>
  <c r="M29" i="15"/>
  <c r="P30" i="15"/>
  <c r="U34" i="4"/>
  <c r="I33" i="4"/>
  <c r="M29" i="4"/>
  <c r="J31" i="15"/>
  <c r="F31" i="4"/>
  <c r="U31" i="4" s="1"/>
  <c r="M33" i="4"/>
  <c r="F31" i="15"/>
  <c r="U31" i="15" s="1"/>
  <c r="T34" i="4"/>
  <c r="P34" i="15"/>
  <c r="N35" i="15"/>
  <c r="I32" i="4"/>
  <c r="F29" i="3"/>
  <c r="K34" i="13"/>
  <c r="G31" i="13"/>
  <c r="M31" i="15"/>
  <c r="T34" i="15"/>
  <c r="K35" i="15"/>
  <c r="L35" i="15"/>
  <c r="T32" i="15"/>
  <c r="K32" i="13"/>
  <c r="T32" i="4"/>
  <c r="P32" i="15"/>
  <c r="O35" i="15"/>
  <c r="O35" i="4"/>
  <c r="L35" i="4"/>
  <c r="U34" i="15"/>
  <c r="H35" i="15"/>
  <c r="K35" i="4"/>
  <c r="N35" i="4"/>
  <c r="F21" i="1"/>
  <c r="F21" i="2" s="1"/>
  <c r="F23" i="15" s="1"/>
  <c r="H23" i="1"/>
  <c r="H25" i="15" s="1"/>
  <c r="F22" i="1"/>
  <c r="E24" i="15" s="1"/>
  <c r="F10" i="1"/>
  <c r="H21" i="3"/>
  <c r="J23" i="15" s="1"/>
  <c r="H20" i="3"/>
  <c r="J22" i="15" s="1"/>
  <c r="J24" i="3"/>
  <c r="G26" i="13" s="1"/>
  <c r="J22" i="3"/>
  <c r="M24" i="15" s="1"/>
  <c r="J20" i="3"/>
  <c r="G22" i="13" s="1"/>
  <c r="L25" i="3"/>
  <c r="P27" i="15" s="1"/>
  <c r="L23" i="3"/>
  <c r="K25" i="13" s="1"/>
  <c r="L21" i="3"/>
  <c r="K23" i="13" s="1"/>
  <c r="L19" i="3"/>
  <c r="K21" i="13" s="1"/>
  <c r="K22" i="13"/>
  <c r="K24" i="13"/>
  <c r="K26" i="13"/>
  <c r="J22" i="13"/>
  <c r="J23" i="13"/>
  <c r="J24" i="13"/>
  <c r="J25" i="13"/>
  <c r="J26" i="13"/>
  <c r="J27" i="13"/>
  <c r="J21" i="13"/>
  <c r="I22" i="13"/>
  <c r="I23" i="13"/>
  <c r="I24" i="13"/>
  <c r="I25" i="13"/>
  <c r="I26" i="13"/>
  <c r="I27" i="13"/>
  <c r="I21" i="13"/>
  <c r="G23" i="13"/>
  <c r="G25" i="13"/>
  <c r="G27" i="13"/>
  <c r="G21" i="13"/>
  <c r="F22" i="13"/>
  <c r="F23" i="13"/>
  <c r="F24" i="13"/>
  <c r="F25" i="13"/>
  <c r="F26" i="13"/>
  <c r="F27" i="13"/>
  <c r="F21" i="13"/>
  <c r="E22" i="13"/>
  <c r="E23" i="13"/>
  <c r="E24" i="13"/>
  <c r="E25" i="13"/>
  <c r="E26" i="13"/>
  <c r="E27" i="13"/>
  <c r="E21" i="13"/>
  <c r="O27" i="15"/>
  <c r="N27" i="15"/>
  <c r="M27" i="15"/>
  <c r="L27" i="15"/>
  <c r="K27" i="15"/>
  <c r="J27" i="15"/>
  <c r="I27" i="15"/>
  <c r="H27" i="15"/>
  <c r="G27" i="15"/>
  <c r="F27" i="15"/>
  <c r="E27" i="15"/>
  <c r="P26" i="15"/>
  <c r="O26" i="15"/>
  <c r="N26" i="15"/>
  <c r="K26" i="15"/>
  <c r="J26" i="15"/>
  <c r="I26" i="15"/>
  <c r="H26" i="15"/>
  <c r="G26" i="15"/>
  <c r="F26" i="15"/>
  <c r="E26" i="15"/>
  <c r="O25" i="15"/>
  <c r="N25" i="15"/>
  <c r="M25" i="15"/>
  <c r="L25" i="15"/>
  <c r="K25" i="15"/>
  <c r="J25" i="15"/>
  <c r="G25" i="15"/>
  <c r="P24" i="15"/>
  <c r="O24" i="15"/>
  <c r="N24" i="15"/>
  <c r="L24" i="15"/>
  <c r="K24" i="15"/>
  <c r="J24" i="15"/>
  <c r="G24" i="15"/>
  <c r="O23" i="15"/>
  <c r="N23" i="15"/>
  <c r="M23" i="15"/>
  <c r="L23" i="15"/>
  <c r="K23" i="15"/>
  <c r="I23" i="15"/>
  <c r="H23" i="15"/>
  <c r="G23" i="15"/>
  <c r="P22" i="15"/>
  <c r="O22" i="15"/>
  <c r="N22" i="15"/>
  <c r="L22" i="15"/>
  <c r="K22" i="15"/>
  <c r="I22" i="15"/>
  <c r="H22" i="15"/>
  <c r="G22" i="15"/>
  <c r="O21" i="15"/>
  <c r="N21" i="15"/>
  <c r="M21" i="15"/>
  <c r="L21" i="15"/>
  <c r="K21" i="15"/>
  <c r="J21" i="15"/>
  <c r="I21" i="15"/>
  <c r="H21" i="15"/>
  <c r="G21" i="15"/>
  <c r="F21" i="15"/>
  <c r="E21" i="15"/>
  <c r="U37" i="15" l="1"/>
  <c r="I41" i="4"/>
  <c r="K35" i="13"/>
  <c r="Q41" i="13"/>
  <c r="G35" i="13"/>
  <c r="T46" i="13"/>
  <c r="G46" i="13"/>
  <c r="U46" i="13"/>
  <c r="P41" i="4"/>
  <c r="G46" i="15"/>
  <c r="P41" i="15"/>
  <c r="X46" i="15"/>
  <c r="P46" i="15"/>
  <c r="G41" i="13"/>
  <c r="O31" i="3"/>
  <c r="F32" i="15"/>
  <c r="U32" i="15" s="1"/>
  <c r="O30" i="2"/>
  <c r="O30" i="3" s="1"/>
  <c r="R41" i="13"/>
  <c r="J41" i="4"/>
  <c r="O28" i="2"/>
  <c r="O28" i="3" s="1"/>
  <c r="T41" i="4"/>
  <c r="I29" i="4"/>
  <c r="I35" i="4" s="1"/>
  <c r="J35" i="4" s="1"/>
  <c r="G41" i="4"/>
  <c r="G41" i="15"/>
  <c r="K41" i="13"/>
  <c r="T41" i="13"/>
  <c r="M41" i="4"/>
  <c r="W41" i="15"/>
  <c r="J41" i="15"/>
  <c r="W41" i="4"/>
  <c r="T41" i="15"/>
  <c r="M41" i="15"/>
  <c r="U41" i="4"/>
  <c r="U41" i="15"/>
  <c r="X41" i="4"/>
  <c r="R35" i="13"/>
  <c r="Q35" i="13"/>
  <c r="U41" i="13"/>
  <c r="X41" i="15"/>
  <c r="F33" i="15"/>
  <c r="U33" i="15" s="1"/>
  <c r="F33" i="4"/>
  <c r="U33" i="4" s="1"/>
  <c r="F30" i="4"/>
  <c r="U30" i="4" s="1"/>
  <c r="E29" i="15"/>
  <c r="E29" i="4"/>
  <c r="F27" i="2"/>
  <c r="M35" i="4"/>
  <c r="U32" i="4"/>
  <c r="P35" i="4"/>
  <c r="G31" i="15"/>
  <c r="G31" i="4"/>
  <c r="Q22" i="13"/>
  <c r="Q27" i="13"/>
  <c r="E23" i="15"/>
  <c r="T23" i="15" s="1"/>
  <c r="Q26" i="13"/>
  <c r="P23" i="15"/>
  <c r="Q25" i="13"/>
  <c r="F23" i="1"/>
  <c r="E25" i="15" s="1"/>
  <c r="T25" i="15" s="1"/>
  <c r="Q24" i="13"/>
  <c r="Q23" i="13"/>
  <c r="H22" i="1"/>
  <c r="F22" i="2"/>
  <c r="F24" i="15" s="1"/>
  <c r="F20" i="1"/>
  <c r="Q21" i="13"/>
  <c r="H23" i="2"/>
  <c r="I25" i="15" s="1"/>
  <c r="R21" i="13"/>
  <c r="P25" i="15"/>
  <c r="T26" i="15"/>
  <c r="R23" i="13"/>
  <c r="P21" i="15"/>
  <c r="R27" i="13"/>
  <c r="R25" i="13"/>
  <c r="R26" i="13"/>
  <c r="T27" i="15"/>
  <c r="R22" i="13"/>
  <c r="U27" i="15"/>
  <c r="F28" i="13"/>
  <c r="U26" i="15"/>
  <c r="K28" i="15"/>
  <c r="E28" i="13"/>
  <c r="N28" i="15"/>
  <c r="K27" i="13"/>
  <c r="M26" i="15"/>
  <c r="G24" i="13"/>
  <c r="M22" i="15"/>
  <c r="U23" i="15"/>
  <c r="O28" i="15"/>
  <c r="R24" i="13"/>
  <c r="L28" i="15"/>
  <c r="J28" i="13"/>
  <c r="T21" i="15"/>
  <c r="I28" i="13"/>
  <c r="U21" i="15"/>
  <c r="K28" i="13" l="1"/>
  <c r="G28" i="13"/>
  <c r="F29" i="15"/>
  <c r="O27" i="2"/>
  <c r="O27" i="3" s="1"/>
  <c r="F29" i="4"/>
  <c r="E35" i="15"/>
  <c r="T29" i="15"/>
  <c r="T35" i="15" s="1"/>
  <c r="E35" i="4"/>
  <c r="W35" i="4" s="1"/>
  <c r="T29" i="4"/>
  <c r="T35" i="4" s="1"/>
  <c r="T35" i="13"/>
  <c r="U35" i="13"/>
  <c r="Q28" i="13"/>
  <c r="M35" i="15"/>
  <c r="P35" i="15"/>
  <c r="F23" i="2"/>
  <c r="F25" i="15" s="1"/>
  <c r="U25" i="15" s="1"/>
  <c r="H22" i="2"/>
  <c r="I24" i="15" s="1"/>
  <c r="I28" i="15" s="1"/>
  <c r="H24" i="15"/>
  <c r="F20" i="2"/>
  <c r="F22" i="15" s="1"/>
  <c r="E22" i="15"/>
  <c r="R28" i="13"/>
  <c r="P28" i="15"/>
  <c r="T28" i="13"/>
  <c r="M28" i="15"/>
  <c r="U28" i="13"/>
  <c r="U29" i="4" l="1"/>
  <c r="U35" i="4" s="1"/>
  <c r="F35" i="4"/>
  <c r="U29" i="15"/>
  <c r="U35" i="15" s="1"/>
  <c r="F35" i="15"/>
  <c r="X35" i="15" s="1"/>
  <c r="T24" i="15"/>
  <c r="H28" i="15"/>
  <c r="U24" i="15"/>
  <c r="E28" i="15"/>
  <c r="T22" i="15"/>
  <c r="U22" i="15"/>
  <c r="F28" i="15"/>
  <c r="P27" i="4"/>
  <c r="O27" i="4"/>
  <c r="N27" i="4"/>
  <c r="M27" i="4"/>
  <c r="L27" i="4"/>
  <c r="K27" i="4"/>
  <c r="J27" i="4"/>
  <c r="I27" i="4"/>
  <c r="H27" i="4"/>
  <c r="G27" i="4"/>
  <c r="F27" i="4"/>
  <c r="E27" i="4"/>
  <c r="P26" i="4"/>
  <c r="O26" i="4"/>
  <c r="N26" i="4"/>
  <c r="M26" i="4"/>
  <c r="L26" i="4"/>
  <c r="K26" i="4"/>
  <c r="J26" i="4"/>
  <c r="I26" i="4"/>
  <c r="H26" i="4"/>
  <c r="G26" i="4"/>
  <c r="F26" i="4"/>
  <c r="E26" i="4"/>
  <c r="P25" i="4"/>
  <c r="O25" i="4"/>
  <c r="N25" i="4"/>
  <c r="M25" i="4"/>
  <c r="L25" i="4"/>
  <c r="K25" i="4"/>
  <c r="J25" i="4"/>
  <c r="I25" i="4"/>
  <c r="H25" i="4"/>
  <c r="G25" i="4"/>
  <c r="F25" i="4"/>
  <c r="E25" i="4"/>
  <c r="P24" i="4"/>
  <c r="O24" i="4"/>
  <c r="N24" i="4"/>
  <c r="M24" i="4"/>
  <c r="L24" i="4"/>
  <c r="K24" i="4"/>
  <c r="J24" i="4"/>
  <c r="I24" i="4"/>
  <c r="H24" i="4"/>
  <c r="G24" i="4"/>
  <c r="F24" i="4"/>
  <c r="E24" i="4"/>
  <c r="P23" i="4"/>
  <c r="O23" i="4"/>
  <c r="N23" i="4"/>
  <c r="M23" i="4"/>
  <c r="L23" i="4"/>
  <c r="K23" i="4"/>
  <c r="J23" i="4"/>
  <c r="I23" i="4"/>
  <c r="H23" i="4"/>
  <c r="G23" i="4"/>
  <c r="F23" i="4"/>
  <c r="E23" i="4"/>
  <c r="P22" i="4"/>
  <c r="O22" i="4"/>
  <c r="N22" i="4"/>
  <c r="M22" i="4"/>
  <c r="L22" i="4"/>
  <c r="K22" i="4"/>
  <c r="J22" i="4"/>
  <c r="I22" i="4"/>
  <c r="H22" i="4"/>
  <c r="G22" i="4"/>
  <c r="F22" i="4"/>
  <c r="E22" i="4"/>
  <c r="P21" i="4"/>
  <c r="O21" i="4"/>
  <c r="N21" i="4"/>
  <c r="M21" i="4"/>
  <c r="L21" i="4"/>
  <c r="K21" i="4"/>
  <c r="J21" i="4"/>
  <c r="I21" i="4"/>
  <c r="H21" i="4"/>
  <c r="G21" i="4"/>
  <c r="F21" i="4"/>
  <c r="E21" i="4"/>
  <c r="G35" i="15" l="1"/>
  <c r="X35" i="4"/>
  <c r="G35" i="4"/>
  <c r="U28" i="15"/>
  <c r="T28" i="15"/>
  <c r="J28" i="15"/>
  <c r="X28" i="15"/>
  <c r="G28" i="15"/>
  <c r="W28" i="15"/>
  <c r="T21" i="4"/>
  <c r="U26" i="4"/>
  <c r="H28" i="4"/>
  <c r="U27" i="4"/>
  <c r="T26" i="4"/>
  <c r="T27" i="4"/>
  <c r="F28" i="4"/>
  <c r="U22" i="4"/>
  <c r="I28" i="4"/>
  <c r="U23" i="4"/>
  <c r="U24" i="4"/>
  <c r="L28" i="4"/>
  <c r="O28" i="4"/>
  <c r="U25" i="4"/>
  <c r="T22" i="4"/>
  <c r="E28" i="4"/>
  <c r="T23" i="4"/>
  <c r="T24" i="4"/>
  <c r="K28" i="4"/>
  <c r="N28" i="4"/>
  <c r="T25" i="4"/>
  <c r="U21" i="4"/>
  <c r="W35" i="15" l="1"/>
  <c r="J35" i="15"/>
  <c r="G28" i="4"/>
  <c r="J28" i="4"/>
  <c r="X28" i="4"/>
  <c r="P28" i="4"/>
  <c r="U28" i="4"/>
  <c r="M28" i="4"/>
  <c r="W28" i="4"/>
  <c r="T28" i="4"/>
  <c r="F14" i="1"/>
  <c r="F14" i="2" s="1"/>
  <c r="F13" i="1"/>
  <c r="F15" i="1" s="1"/>
  <c r="F15" i="2" s="1"/>
  <c r="H14" i="1"/>
  <c r="H14" i="2" s="1"/>
  <c r="H10" i="1"/>
  <c r="H13" i="1"/>
  <c r="H13" i="2" s="1"/>
  <c r="L17" i="3"/>
  <c r="L15" i="3"/>
  <c r="L13" i="3"/>
  <c r="J16" i="3"/>
  <c r="J14" i="3"/>
  <c r="H16" i="3"/>
  <c r="H15" i="3"/>
  <c r="F13" i="2"/>
  <c r="F13" i="3" l="1"/>
  <c r="G15" i="15" s="1"/>
  <c r="F16" i="1"/>
  <c r="F16" i="2" s="1"/>
  <c r="F18" i="4" s="1"/>
  <c r="O13" i="2"/>
  <c r="O14" i="2"/>
  <c r="O15" i="2"/>
  <c r="O17" i="2"/>
  <c r="O19" i="2"/>
  <c r="O20" i="2"/>
  <c r="O21" i="2"/>
  <c r="O22" i="2"/>
  <c r="O23" i="2"/>
  <c r="O24" i="2"/>
  <c r="O25" i="2"/>
  <c r="O13" i="1"/>
  <c r="O14" i="1"/>
  <c r="O15" i="1"/>
  <c r="O17" i="1"/>
  <c r="O19" i="1"/>
  <c r="O20" i="1"/>
  <c r="O21" i="1"/>
  <c r="O22" i="1"/>
  <c r="O23" i="1"/>
  <c r="O24" i="1"/>
  <c r="O25" i="1"/>
  <c r="K19" i="13"/>
  <c r="J19" i="13"/>
  <c r="I19" i="13"/>
  <c r="G19" i="13"/>
  <c r="F19" i="13"/>
  <c r="E19" i="13"/>
  <c r="K18" i="13"/>
  <c r="J18" i="13"/>
  <c r="I18" i="13"/>
  <c r="G18" i="13"/>
  <c r="F18" i="13"/>
  <c r="E18" i="13"/>
  <c r="K17" i="13"/>
  <c r="J17" i="13"/>
  <c r="I17" i="13"/>
  <c r="G17" i="13"/>
  <c r="F17" i="13"/>
  <c r="E17" i="13"/>
  <c r="K16" i="13"/>
  <c r="J16" i="13"/>
  <c r="I16" i="13"/>
  <c r="G16" i="13"/>
  <c r="F16" i="13"/>
  <c r="E16" i="13"/>
  <c r="K15" i="13"/>
  <c r="J15" i="13"/>
  <c r="I15" i="13"/>
  <c r="G15" i="13"/>
  <c r="F15" i="13"/>
  <c r="E15" i="13"/>
  <c r="P19" i="15"/>
  <c r="O19" i="15"/>
  <c r="N19" i="15"/>
  <c r="M19" i="15"/>
  <c r="L19" i="15"/>
  <c r="K19" i="15"/>
  <c r="J19" i="15"/>
  <c r="I19" i="15"/>
  <c r="H19" i="15"/>
  <c r="G19" i="15"/>
  <c r="F19" i="15"/>
  <c r="E19" i="15"/>
  <c r="P18" i="15"/>
  <c r="O18" i="15"/>
  <c r="N18" i="15"/>
  <c r="M18" i="15"/>
  <c r="L18" i="15"/>
  <c r="K18" i="15"/>
  <c r="J18" i="15"/>
  <c r="I18" i="15"/>
  <c r="H18" i="15"/>
  <c r="G18" i="15"/>
  <c r="E18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P15" i="15"/>
  <c r="O15" i="15"/>
  <c r="N15" i="15"/>
  <c r="M15" i="15"/>
  <c r="L15" i="15"/>
  <c r="K15" i="15"/>
  <c r="J15" i="15"/>
  <c r="I15" i="15"/>
  <c r="H15" i="15"/>
  <c r="F15" i="15"/>
  <c r="E15" i="15"/>
  <c r="R30" i="16"/>
  <c r="Q30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P18" i="16"/>
  <c r="O18" i="16"/>
  <c r="N18" i="16"/>
  <c r="M18" i="16"/>
  <c r="L18" i="16"/>
  <c r="K18" i="16"/>
  <c r="J18" i="16"/>
  <c r="I18" i="16"/>
  <c r="H18" i="16"/>
  <c r="G18" i="16"/>
  <c r="E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P15" i="16"/>
  <c r="O15" i="16"/>
  <c r="N15" i="16"/>
  <c r="M15" i="16"/>
  <c r="L15" i="16"/>
  <c r="K15" i="16"/>
  <c r="J15" i="16"/>
  <c r="I15" i="16"/>
  <c r="H15" i="16"/>
  <c r="F15" i="16"/>
  <c r="E15" i="16"/>
  <c r="O13" i="16"/>
  <c r="N13" i="16"/>
  <c r="M13" i="16"/>
  <c r="L13" i="16"/>
  <c r="K13" i="16"/>
  <c r="J13" i="16"/>
  <c r="I13" i="16"/>
  <c r="H13" i="16"/>
  <c r="G13" i="16"/>
  <c r="F13" i="16"/>
  <c r="E13" i="16"/>
  <c r="P12" i="16"/>
  <c r="O12" i="16"/>
  <c r="N12" i="16"/>
  <c r="L12" i="16"/>
  <c r="K12" i="16"/>
  <c r="J12" i="16"/>
  <c r="H12" i="16"/>
  <c r="G12" i="16"/>
  <c r="E12" i="16"/>
  <c r="O11" i="16"/>
  <c r="N11" i="16"/>
  <c r="M11" i="16"/>
  <c r="L11" i="16"/>
  <c r="K11" i="16"/>
  <c r="I11" i="16"/>
  <c r="H11" i="16"/>
  <c r="G11" i="16"/>
  <c r="P10" i="16"/>
  <c r="O10" i="16"/>
  <c r="N10" i="16"/>
  <c r="L10" i="16"/>
  <c r="K10" i="16"/>
  <c r="I10" i="16"/>
  <c r="H10" i="16"/>
  <c r="G10" i="16"/>
  <c r="O9" i="16"/>
  <c r="N9" i="16"/>
  <c r="M9" i="16"/>
  <c r="L9" i="16"/>
  <c r="K9" i="16"/>
  <c r="J9" i="16"/>
  <c r="P7" i="16"/>
  <c r="O7" i="16"/>
  <c r="N7" i="16"/>
  <c r="L7" i="16"/>
  <c r="K7" i="16"/>
  <c r="J7" i="16"/>
  <c r="G7" i="16"/>
  <c r="P6" i="16"/>
  <c r="O6" i="16"/>
  <c r="N6" i="16"/>
  <c r="M6" i="16"/>
  <c r="L6" i="16"/>
  <c r="K6" i="16"/>
  <c r="I6" i="16"/>
  <c r="H6" i="16"/>
  <c r="G6" i="16"/>
  <c r="P5" i="16"/>
  <c r="O5" i="16"/>
  <c r="N5" i="16"/>
  <c r="L5" i="16"/>
  <c r="K5" i="16"/>
  <c r="I5" i="16"/>
  <c r="H5" i="16"/>
  <c r="G5" i="16"/>
  <c r="P4" i="16"/>
  <c r="O4" i="16"/>
  <c r="N4" i="16"/>
  <c r="M4" i="16"/>
  <c r="L4" i="16"/>
  <c r="K4" i="16"/>
  <c r="I4" i="16"/>
  <c r="H4" i="16"/>
  <c r="G4" i="16"/>
  <c r="P19" i="4"/>
  <c r="O19" i="4"/>
  <c r="N19" i="4"/>
  <c r="M19" i="4"/>
  <c r="L19" i="4"/>
  <c r="K19" i="4"/>
  <c r="J19" i="4"/>
  <c r="I19" i="4"/>
  <c r="H19" i="4"/>
  <c r="G19" i="4"/>
  <c r="F19" i="4"/>
  <c r="E19" i="4"/>
  <c r="P18" i="4"/>
  <c r="O18" i="4"/>
  <c r="N18" i="4"/>
  <c r="M18" i="4"/>
  <c r="L18" i="4"/>
  <c r="K18" i="4"/>
  <c r="J18" i="4"/>
  <c r="I18" i="4"/>
  <c r="H18" i="4"/>
  <c r="G18" i="4"/>
  <c r="P17" i="4"/>
  <c r="O17" i="4"/>
  <c r="N17" i="4"/>
  <c r="M17" i="4"/>
  <c r="L17" i="4"/>
  <c r="K17" i="4"/>
  <c r="J17" i="4"/>
  <c r="I17" i="4"/>
  <c r="H17" i="4"/>
  <c r="G17" i="4"/>
  <c r="F17" i="4"/>
  <c r="E17" i="4"/>
  <c r="P16" i="4"/>
  <c r="O16" i="4"/>
  <c r="N16" i="4"/>
  <c r="M16" i="4"/>
  <c r="L16" i="4"/>
  <c r="K16" i="4"/>
  <c r="J16" i="4"/>
  <c r="I16" i="4"/>
  <c r="H16" i="4"/>
  <c r="G16" i="4"/>
  <c r="F16" i="4"/>
  <c r="E16" i="4"/>
  <c r="P15" i="4"/>
  <c r="O15" i="4"/>
  <c r="N15" i="4"/>
  <c r="M15" i="4"/>
  <c r="L15" i="4"/>
  <c r="K15" i="4"/>
  <c r="J15" i="4"/>
  <c r="I15" i="4"/>
  <c r="H15" i="4"/>
  <c r="G15" i="4"/>
  <c r="F15" i="4"/>
  <c r="E15" i="4"/>
  <c r="J13" i="13"/>
  <c r="I13" i="13"/>
  <c r="G13" i="13"/>
  <c r="F13" i="13"/>
  <c r="E13" i="13"/>
  <c r="K12" i="13"/>
  <c r="J12" i="13"/>
  <c r="I12" i="13"/>
  <c r="F12" i="13"/>
  <c r="E12" i="13"/>
  <c r="J11" i="13"/>
  <c r="I11" i="13"/>
  <c r="G11" i="13"/>
  <c r="F11" i="13"/>
  <c r="E11" i="13"/>
  <c r="K10" i="13"/>
  <c r="J10" i="13"/>
  <c r="I10" i="13"/>
  <c r="F10" i="13"/>
  <c r="E10" i="13"/>
  <c r="J9" i="13"/>
  <c r="I9" i="13"/>
  <c r="G9" i="13"/>
  <c r="F9" i="13"/>
  <c r="E9" i="13"/>
  <c r="O13" i="15"/>
  <c r="N13" i="15"/>
  <c r="M13" i="15"/>
  <c r="L13" i="15"/>
  <c r="K13" i="15"/>
  <c r="J13" i="15"/>
  <c r="I13" i="15"/>
  <c r="H13" i="15"/>
  <c r="G13" i="15"/>
  <c r="F13" i="15"/>
  <c r="E13" i="15"/>
  <c r="P12" i="15"/>
  <c r="O12" i="15"/>
  <c r="N12" i="15"/>
  <c r="L12" i="15"/>
  <c r="K12" i="15"/>
  <c r="J12" i="15"/>
  <c r="G12" i="15"/>
  <c r="O11" i="15"/>
  <c r="N11" i="15"/>
  <c r="M11" i="15"/>
  <c r="L11" i="15"/>
  <c r="K11" i="15"/>
  <c r="I11" i="15"/>
  <c r="H11" i="15"/>
  <c r="G11" i="15"/>
  <c r="P10" i="15"/>
  <c r="O10" i="15"/>
  <c r="N10" i="15"/>
  <c r="L10" i="15"/>
  <c r="K10" i="15"/>
  <c r="I10" i="15"/>
  <c r="H10" i="15"/>
  <c r="G10" i="15"/>
  <c r="O9" i="15"/>
  <c r="N9" i="15"/>
  <c r="M9" i="15"/>
  <c r="L9" i="15"/>
  <c r="K9" i="15"/>
  <c r="J9" i="15"/>
  <c r="P7" i="15"/>
  <c r="O7" i="15"/>
  <c r="N7" i="15"/>
  <c r="L7" i="15"/>
  <c r="K7" i="15"/>
  <c r="J7" i="15"/>
  <c r="G7" i="15"/>
  <c r="P6" i="15"/>
  <c r="O6" i="15"/>
  <c r="N6" i="15"/>
  <c r="M6" i="15"/>
  <c r="L6" i="15"/>
  <c r="K6" i="15"/>
  <c r="I6" i="15"/>
  <c r="H6" i="15"/>
  <c r="G6" i="15"/>
  <c r="P5" i="15"/>
  <c r="O5" i="15"/>
  <c r="N5" i="15"/>
  <c r="L5" i="15"/>
  <c r="K5" i="15"/>
  <c r="I5" i="15"/>
  <c r="H5" i="15"/>
  <c r="G5" i="15"/>
  <c r="P4" i="15"/>
  <c r="O4" i="15"/>
  <c r="N4" i="15"/>
  <c r="M4" i="15"/>
  <c r="L4" i="15"/>
  <c r="K4" i="15"/>
  <c r="I4" i="15"/>
  <c r="H4" i="15"/>
  <c r="G4" i="15"/>
  <c r="L28" i="16" l="1"/>
  <c r="G15" i="16"/>
  <c r="O16" i="1"/>
  <c r="N20" i="15"/>
  <c r="F18" i="15"/>
  <c r="F20" i="15" s="1"/>
  <c r="Q15" i="13"/>
  <c r="O19" i="3"/>
  <c r="O17" i="3"/>
  <c r="T12" i="16"/>
  <c r="F28" i="16"/>
  <c r="K20" i="16"/>
  <c r="O20" i="16"/>
  <c r="L20" i="16"/>
  <c r="N20" i="16"/>
  <c r="L8" i="16"/>
  <c r="N8" i="16"/>
  <c r="F18" i="16"/>
  <c r="U18" i="16" s="1"/>
  <c r="O24" i="3"/>
  <c r="O25" i="3"/>
  <c r="L14" i="16"/>
  <c r="N14" i="16"/>
  <c r="O14" i="16"/>
  <c r="T13" i="16"/>
  <c r="U17" i="16"/>
  <c r="U22" i="16"/>
  <c r="U24" i="16"/>
  <c r="U27" i="16"/>
  <c r="U13" i="16"/>
  <c r="T18" i="16"/>
  <c r="T22" i="16"/>
  <c r="T24" i="16"/>
  <c r="T26" i="16"/>
  <c r="T27" i="16"/>
  <c r="K8" i="16"/>
  <c r="I28" i="16"/>
  <c r="K14" i="16"/>
  <c r="K28" i="16"/>
  <c r="M28" i="16" s="1"/>
  <c r="O22" i="3"/>
  <c r="O21" i="3"/>
  <c r="O20" i="3"/>
  <c r="U26" i="16"/>
  <c r="O23" i="3"/>
  <c r="U25" i="16"/>
  <c r="O28" i="16"/>
  <c r="U23" i="16"/>
  <c r="T21" i="16"/>
  <c r="H28" i="16"/>
  <c r="T23" i="16"/>
  <c r="N28" i="16"/>
  <c r="T25" i="16"/>
  <c r="R17" i="13"/>
  <c r="Q13" i="13"/>
  <c r="I20" i="13"/>
  <c r="Q17" i="13"/>
  <c r="J20" i="13"/>
  <c r="Q16" i="13"/>
  <c r="Q18" i="13"/>
  <c r="R16" i="13"/>
  <c r="R18" i="13"/>
  <c r="T19" i="15"/>
  <c r="K20" i="15"/>
  <c r="L20" i="4"/>
  <c r="N20" i="4"/>
  <c r="O20" i="4"/>
  <c r="T19" i="16"/>
  <c r="Q19" i="13"/>
  <c r="U19" i="15"/>
  <c r="U19" i="16"/>
  <c r="R19" i="13"/>
  <c r="O16" i="2"/>
  <c r="O16" i="3" s="1"/>
  <c r="E18" i="4"/>
  <c r="T18" i="4" s="1"/>
  <c r="T17" i="15"/>
  <c r="T16" i="16"/>
  <c r="T16" i="15"/>
  <c r="T15" i="15"/>
  <c r="H20" i="16"/>
  <c r="U16" i="16"/>
  <c r="I20" i="15"/>
  <c r="U16" i="15"/>
  <c r="I20" i="16"/>
  <c r="U15" i="16"/>
  <c r="R15" i="13"/>
  <c r="U15" i="15"/>
  <c r="O14" i="3"/>
  <c r="U17" i="15"/>
  <c r="O15" i="3"/>
  <c r="O20" i="15"/>
  <c r="L20" i="15"/>
  <c r="T17" i="16"/>
  <c r="K32" i="16"/>
  <c r="T18" i="15"/>
  <c r="H20" i="15"/>
  <c r="E20" i="13"/>
  <c r="K20" i="4"/>
  <c r="T15" i="16"/>
  <c r="O13" i="3"/>
  <c r="E20" i="16"/>
  <c r="N32" i="16"/>
  <c r="F20" i="13"/>
  <c r="E20" i="15"/>
  <c r="U21" i="16"/>
  <c r="E28" i="16"/>
  <c r="T16" i="4"/>
  <c r="U15" i="4"/>
  <c r="U16" i="4"/>
  <c r="T17" i="4"/>
  <c r="T19" i="4"/>
  <c r="I20" i="4"/>
  <c r="U17" i="4"/>
  <c r="U18" i="4"/>
  <c r="F20" i="4"/>
  <c r="T15" i="4"/>
  <c r="H20" i="4"/>
  <c r="U19" i="4"/>
  <c r="I14" i="13"/>
  <c r="Q12" i="13"/>
  <c r="Q9" i="13"/>
  <c r="Q10" i="13"/>
  <c r="E14" i="13"/>
  <c r="Q11" i="13"/>
  <c r="R11" i="13"/>
  <c r="R13" i="13"/>
  <c r="T13" i="15"/>
  <c r="R12" i="13"/>
  <c r="J14" i="13"/>
  <c r="N14" i="15"/>
  <c r="O14" i="15"/>
  <c r="L14" i="15"/>
  <c r="F14" i="13"/>
  <c r="N8" i="15"/>
  <c r="K8" i="15"/>
  <c r="L8" i="15"/>
  <c r="K14" i="15"/>
  <c r="U13" i="15"/>
  <c r="R9" i="13"/>
  <c r="R10" i="13"/>
  <c r="H12" i="15"/>
  <c r="H7" i="1"/>
  <c r="E12" i="15"/>
  <c r="F7" i="1"/>
  <c r="H5" i="1"/>
  <c r="H123" i="15" l="1"/>
  <c r="P121" i="15"/>
  <c r="U18" i="15"/>
  <c r="U20" i="15" s="1"/>
  <c r="P20" i="15"/>
  <c r="J28" i="16"/>
  <c r="M20" i="16"/>
  <c r="T20" i="13"/>
  <c r="X28" i="16"/>
  <c r="H7" i="15"/>
  <c r="H8" i="15" s="1"/>
  <c r="H7" i="16"/>
  <c r="H8" i="16" s="1"/>
  <c r="H9" i="15"/>
  <c r="H14" i="15" s="1"/>
  <c r="H9" i="16"/>
  <c r="H14" i="16" s="1"/>
  <c r="P20" i="16"/>
  <c r="E9" i="15"/>
  <c r="E9" i="16"/>
  <c r="F20" i="16"/>
  <c r="G20" i="16" s="1"/>
  <c r="O30" i="16"/>
  <c r="L30" i="16"/>
  <c r="N30" i="16"/>
  <c r="M8" i="16"/>
  <c r="P14" i="16"/>
  <c r="T28" i="16"/>
  <c r="M14" i="16"/>
  <c r="P20" i="4"/>
  <c r="M20" i="4"/>
  <c r="K30" i="16"/>
  <c r="W28" i="16"/>
  <c r="P28" i="16"/>
  <c r="U28" i="16"/>
  <c r="T14" i="13"/>
  <c r="R20" i="13"/>
  <c r="K14" i="13"/>
  <c r="K20" i="13"/>
  <c r="Q20" i="13"/>
  <c r="M20" i="15"/>
  <c r="E20" i="4"/>
  <c r="W20" i="4" s="1"/>
  <c r="U20" i="16"/>
  <c r="T20" i="16"/>
  <c r="J20" i="16"/>
  <c r="T20" i="15"/>
  <c r="W20" i="16"/>
  <c r="J20" i="15"/>
  <c r="X20" i="4"/>
  <c r="T20" i="4"/>
  <c r="U20" i="13"/>
  <c r="G20" i="13"/>
  <c r="G20" i="15"/>
  <c r="W20" i="15"/>
  <c r="X20" i="15"/>
  <c r="U20" i="4"/>
  <c r="G28" i="16"/>
  <c r="J20" i="4"/>
  <c r="Q14" i="13"/>
  <c r="T12" i="15"/>
  <c r="F8" i="1"/>
  <c r="F9" i="1"/>
  <c r="M8" i="15"/>
  <c r="R14" i="13"/>
  <c r="P14" i="15"/>
  <c r="M14" i="15"/>
  <c r="U14" i="13"/>
  <c r="G14" i="13"/>
  <c r="M121" i="15" l="1"/>
  <c r="P30" i="16"/>
  <c r="M30" i="16"/>
  <c r="T9" i="15"/>
  <c r="H30" i="16"/>
  <c r="X20" i="16"/>
  <c r="G20" i="4"/>
  <c r="E11" i="15"/>
  <c r="T11" i="15" s="1"/>
  <c r="E11" i="16"/>
  <c r="T11" i="16" s="1"/>
  <c r="T9" i="16"/>
  <c r="E10" i="15"/>
  <c r="T10" i="15" s="1"/>
  <c r="E10" i="16"/>
  <c r="T10" i="16" s="1"/>
  <c r="H32" i="16"/>
  <c r="H10" i="2"/>
  <c r="H7" i="2"/>
  <c r="F9" i="2"/>
  <c r="F10" i="2"/>
  <c r="F8" i="2"/>
  <c r="H9" i="3"/>
  <c r="H8" i="3"/>
  <c r="L11" i="3"/>
  <c r="P13" i="16" s="1"/>
  <c r="L9" i="3"/>
  <c r="P11" i="16" s="1"/>
  <c r="L7" i="3"/>
  <c r="P9" i="16" s="1"/>
  <c r="J10" i="3"/>
  <c r="M12" i="16" s="1"/>
  <c r="J8" i="3"/>
  <c r="M10" i="16" s="1"/>
  <c r="F7" i="2"/>
  <c r="T14" i="15" l="1"/>
  <c r="T14" i="16"/>
  <c r="E14" i="15"/>
  <c r="W14" i="15" s="1"/>
  <c r="E14" i="16"/>
  <c r="W14" i="16" s="1"/>
  <c r="J10" i="15"/>
  <c r="J10" i="16"/>
  <c r="F12" i="15"/>
  <c r="F12" i="16"/>
  <c r="F10" i="15"/>
  <c r="U10" i="15" s="1"/>
  <c r="F10" i="16"/>
  <c r="U10" i="16" s="1"/>
  <c r="I9" i="15"/>
  <c r="I9" i="16"/>
  <c r="I12" i="15"/>
  <c r="I12" i="16"/>
  <c r="J11" i="15"/>
  <c r="J11" i="16"/>
  <c r="F11" i="15"/>
  <c r="U11" i="15" s="1"/>
  <c r="F11" i="16"/>
  <c r="U11" i="16" s="1"/>
  <c r="F9" i="15"/>
  <c r="F9" i="16"/>
  <c r="F7" i="3"/>
  <c r="G9" i="4" s="1"/>
  <c r="K13" i="13"/>
  <c r="P13" i="15"/>
  <c r="K11" i="13"/>
  <c r="P11" i="15"/>
  <c r="K9" i="13"/>
  <c r="P9" i="15"/>
  <c r="G12" i="13"/>
  <c r="M12" i="15"/>
  <c r="G10" i="13"/>
  <c r="M10" i="15"/>
  <c r="O7" i="1"/>
  <c r="O8" i="1"/>
  <c r="O9" i="1"/>
  <c r="O10" i="1"/>
  <c r="O11" i="1"/>
  <c r="P13" i="4"/>
  <c r="O13" i="4"/>
  <c r="N13" i="4"/>
  <c r="M13" i="4"/>
  <c r="L13" i="4"/>
  <c r="K13" i="4"/>
  <c r="J13" i="4"/>
  <c r="I13" i="4"/>
  <c r="H13" i="4"/>
  <c r="G13" i="4"/>
  <c r="F13" i="4"/>
  <c r="E13" i="4"/>
  <c r="P12" i="4"/>
  <c r="O12" i="4"/>
  <c r="N12" i="4"/>
  <c r="M12" i="4"/>
  <c r="L12" i="4"/>
  <c r="K12" i="4"/>
  <c r="J12" i="4"/>
  <c r="I12" i="4"/>
  <c r="H12" i="4"/>
  <c r="G12" i="4"/>
  <c r="F12" i="4"/>
  <c r="E12" i="4"/>
  <c r="P11" i="4"/>
  <c r="O11" i="4"/>
  <c r="N11" i="4"/>
  <c r="M11" i="4"/>
  <c r="L11" i="4"/>
  <c r="K11" i="4"/>
  <c r="J11" i="4"/>
  <c r="I11" i="4"/>
  <c r="H11" i="4"/>
  <c r="G11" i="4"/>
  <c r="F11" i="4"/>
  <c r="E11" i="4"/>
  <c r="P10" i="4"/>
  <c r="O10" i="4"/>
  <c r="N10" i="4"/>
  <c r="M10" i="4"/>
  <c r="L10" i="4"/>
  <c r="K10" i="4"/>
  <c r="J10" i="4"/>
  <c r="I10" i="4"/>
  <c r="H10" i="4"/>
  <c r="G10" i="4"/>
  <c r="F10" i="4"/>
  <c r="E10" i="4"/>
  <c r="P9" i="4"/>
  <c r="O9" i="4"/>
  <c r="N9" i="4"/>
  <c r="M9" i="4"/>
  <c r="L9" i="4"/>
  <c r="K9" i="4"/>
  <c r="J9" i="4"/>
  <c r="I9" i="4"/>
  <c r="H9" i="4"/>
  <c r="F9" i="4"/>
  <c r="E9" i="4"/>
  <c r="O7" i="2"/>
  <c r="O8" i="2"/>
  <c r="O9" i="2"/>
  <c r="O10" i="2"/>
  <c r="O11" i="2"/>
  <c r="I14" i="15" l="1"/>
  <c r="J14" i="15" s="1"/>
  <c r="U9" i="15"/>
  <c r="Q32" i="16"/>
  <c r="I14" i="16"/>
  <c r="J14" i="16" s="1"/>
  <c r="I14" i="4"/>
  <c r="U12" i="15"/>
  <c r="G9" i="15"/>
  <c r="G9" i="16"/>
  <c r="U9" i="16"/>
  <c r="F14" i="16"/>
  <c r="G14" i="16" s="1"/>
  <c r="U12" i="16"/>
  <c r="F14" i="15"/>
  <c r="G14" i="15" s="1"/>
  <c r="O11" i="3"/>
  <c r="U11" i="4"/>
  <c r="T11" i="4"/>
  <c r="K14" i="4"/>
  <c r="T9" i="4"/>
  <c r="T13" i="4"/>
  <c r="U13" i="4"/>
  <c r="U10" i="4"/>
  <c r="N14" i="4"/>
  <c r="O14" i="4"/>
  <c r="T12" i="4"/>
  <c r="F14" i="4"/>
  <c r="T10" i="4"/>
  <c r="U12" i="4"/>
  <c r="U9" i="4"/>
  <c r="L14" i="4"/>
  <c r="O9" i="3"/>
  <c r="O8" i="3"/>
  <c r="O7" i="3"/>
  <c r="E14" i="4"/>
  <c r="H14" i="4"/>
  <c r="O10" i="3"/>
  <c r="U14" i="15" l="1"/>
  <c r="U14" i="16"/>
  <c r="X14" i="15"/>
  <c r="X14" i="16"/>
  <c r="P14" i="4"/>
  <c r="T14" i="4"/>
  <c r="G14" i="4"/>
  <c r="U14" i="4"/>
  <c r="M14" i="4"/>
  <c r="X14" i="4"/>
  <c r="W14" i="4"/>
  <c r="J14" i="4"/>
  <c r="H5" i="2" l="1"/>
  <c r="H118" i="2" s="1"/>
  <c r="F5" i="1"/>
  <c r="E7" i="16" s="1"/>
  <c r="T7" i="16" s="1"/>
  <c r="F2" i="1"/>
  <c r="H4" i="3"/>
  <c r="H3" i="3"/>
  <c r="H2" i="3"/>
  <c r="J5" i="3"/>
  <c r="J3" i="3"/>
  <c r="H118" i="3" l="1"/>
  <c r="E4" i="16"/>
  <c r="M7" i="15"/>
  <c r="M7" i="16"/>
  <c r="J5" i="15"/>
  <c r="J5" i="16"/>
  <c r="J4" i="15"/>
  <c r="J4" i="16"/>
  <c r="J6" i="15"/>
  <c r="J6" i="16"/>
  <c r="M5" i="15"/>
  <c r="M5" i="16"/>
  <c r="I7" i="16"/>
  <c r="I8" i="16" s="1"/>
  <c r="F2" i="2"/>
  <c r="E4" i="15"/>
  <c r="T4" i="15" s="1"/>
  <c r="F4" i="1"/>
  <c r="F3" i="1"/>
  <c r="F5" i="2"/>
  <c r="E7" i="15"/>
  <c r="I7" i="15"/>
  <c r="I8" i="15" s="1"/>
  <c r="F4" i="2"/>
  <c r="C100" i="6"/>
  <c r="B9" i="5"/>
  <c r="E123" i="15" l="1"/>
  <c r="J121" i="15"/>
  <c r="F3" i="2"/>
  <c r="F5" i="15" s="1"/>
  <c r="U5" i="15" s="1"/>
  <c r="F4" i="15"/>
  <c r="U4" i="15" s="1"/>
  <c r="E5" i="15"/>
  <c r="T5" i="15" s="1"/>
  <c r="E5" i="16"/>
  <c r="T5" i="16" s="1"/>
  <c r="E6" i="15"/>
  <c r="T6" i="15" s="1"/>
  <c r="E6" i="16"/>
  <c r="T6" i="16" s="1"/>
  <c r="T4" i="16"/>
  <c r="F6" i="15"/>
  <c r="U6" i="15" s="1"/>
  <c r="F6" i="16"/>
  <c r="U6" i="16" s="1"/>
  <c r="J8" i="16"/>
  <c r="I30" i="16"/>
  <c r="F7" i="15"/>
  <c r="F7" i="16"/>
  <c r="U7" i="16" s="1"/>
  <c r="F4" i="16"/>
  <c r="T7" i="15"/>
  <c r="J8" i="15"/>
  <c r="F118" i="3" l="1"/>
  <c r="F5" i="16"/>
  <c r="U5" i="16" s="1"/>
  <c r="P118" i="1"/>
  <c r="E8" i="15"/>
  <c r="W122" i="15" s="1"/>
  <c r="E8" i="16"/>
  <c r="E30" i="16" s="1"/>
  <c r="W31" i="16" s="1"/>
  <c r="T8" i="16"/>
  <c r="T30" i="16" s="1"/>
  <c r="T32" i="16" s="1"/>
  <c r="T8" i="15"/>
  <c r="T123" i="15" s="1"/>
  <c r="E32" i="16"/>
  <c r="F8" i="15"/>
  <c r="U7" i="15"/>
  <c r="U8" i="15" s="1"/>
  <c r="J30" i="16"/>
  <c r="U4" i="16"/>
  <c r="W8" i="16" l="1"/>
  <c r="W30" i="16" s="1"/>
  <c r="F8" i="16"/>
  <c r="X8" i="16" s="1"/>
  <c r="X30" i="16" s="1"/>
  <c r="U8" i="16"/>
  <c r="U30" i="16" s="1"/>
  <c r="W8" i="15"/>
  <c r="W121" i="15" s="1"/>
  <c r="X8" i="15"/>
  <c r="G8" i="15"/>
  <c r="N119" i="2"/>
  <c r="N118" i="2"/>
  <c r="F30" i="16" l="1"/>
  <c r="G30" i="16" s="1"/>
  <c r="G8" i="16"/>
  <c r="N120" i="2"/>
  <c r="R122" i="15" l="1"/>
  <c r="R123" i="15" s="1"/>
  <c r="X31" i="16"/>
  <c r="N122" i="13"/>
  <c r="N123" i="13" s="1"/>
  <c r="R31" i="16"/>
  <c r="R32" i="16" s="1"/>
  <c r="N121" i="2"/>
  <c r="N123" i="2" s="1"/>
  <c r="R124" i="15" l="1"/>
  <c r="N124" i="13"/>
  <c r="R33" i="16"/>
  <c r="N124" i="2"/>
  <c r="G4" i="4" l="1"/>
  <c r="J4" i="4"/>
  <c r="K4" i="4"/>
  <c r="L4" i="4"/>
  <c r="M4" i="4"/>
  <c r="N4" i="4"/>
  <c r="O4" i="4"/>
  <c r="G5" i="4"/>
  <c r="J5" i="4"/>
  <c r="K5" i="4"/>
  <c r="L5" i="4"/>
  <c r="N5" i="4"/>
  <c r="O5" i="4"/>
  <c r="P5" i="4"/>
  <c r="G6" i="4"/>
  <c r="H6" i="4"/>
  <c r="I6" i="4"/>
  <c r="K6" i="4"/>
  <c r="L6" i="4"/>
  <c r="M6" i="4"/>
  <c r="N6" i="4"/>
  <c r="O6" i="4"/>
  <c r="G7" i="4"/>
  <c r="H7" i="4"/>
  <c r="I7" i="4"/>
  <c r="K7" i="4"/>
  <c r="L7" i="4"/>
  <c r="N7" i="4"/>
  <c r="O7" i="4"/>
  <c r="P7" i="4"/>
  <c r="H5" i="4"/>
  <c r="L8" i="4" l="1"/>
  <c r="N8" i="4"/>
  <c r="K8" i="4"/>
  <c r="E7" i="4"/>
  <c r="T7" i="4" s="1"/>
  <c r="H4" i="4"/>
  <c r="D9" i="5"/>
  <c r="G6" i="13"/>
  <c r="G4" i="13"/>
  <c r="F5" i="13"/>
  <c r="F6" i="13"/>
  <c r="F7" i="13"/>
  <c r="F4" i="13"/>
  <c r="K5" i="13"/>
  <c r="K7" i="13"/>
  <c r="E5" i="13"/>
  <c r="E6" i="13"/>
  <c r="E7" i="13"/>
  <c r="E4" i="13"/>
  <c r="J5" i="13"/>
  <c r="J6" i="13"/>
  <c r="J7" i="13"/>
  <c r="I5" i="13"/>
  <c r="I6" i="13"/>
  <c r="I7" i="13"/>
  <c r="J4" i="13"/>
  <c r="I4" i="13"/>
  <c r="E8" i="13" l="1"/>
  <c r="H8" i="4"/>
  <c r="F8" i="13"/>
  <c r="J8" i="13"/>
  <c r="I8" i="13"/>
  <c r="M8" i="4"/>
  <c r="E5" i="4"/>
  <c r="T5" i="4" s="1"/>
  <c r="F5" i="4"/>
  <c r="F7" i="4"/>
  <c r="U7" i="4" s="1"/>
  <c r="I5" i="4"/>
  <c r="G5" i="13"/>
  <c r="M5" i="4"/>
  <c r="K6" i="13"/>
  <c r="P6" i="4"/>
  <c r="G7" i="13"/>
  <c r="M7" i="4"/>
  <c r="I4" i="4"/>
  <c r="K4" i="13"/>
  <c r="P4" i="4"/>
  <c r="Q4" i="13"/>
  <c r="R4" i="13"/>
  <c r="K121" i="13" l="1"/>
  <c r="T122" i="13"/>
  <c r="G121" i="13"/>
  <c r="U122" i="13"/>
  <c r="U5" i="4"/>
  <c r="T8" i="13"/>
  <c r="T121" i="13" s="1"/>
  <c r="G8" i="13"/>
  <c r="U8" i="13"/>
  <c r="U121" i="13" s="1"/>
  <c r="I8" i="4"/>
  <c r="E6" i="4"/>
  <c r="T6" i="4" s="1"/>
  <c r="E4" i="4"/>
  <c r="T4" i="4" s="1"/>
  <c r="T8" i="4" l="1"/>
  <c r="E8" i="4"/>
  <c r="J8" i="4"/>
  <c r="F6" i="4"/>
  <c r="U6" i="4" s="1"/>
  <c r="F4" i="4"/>
  <c r="U4" i="4" s="1"/>
  <c r="E9" i="5"/>
  <c r="W8" i="4" l="1"/>
  <c r="U8" i="4"/>
  <c r="F8" i="4"/>
  <c r="E100" i="6"/>
  <c r="D100" i="6"/>
  <c r="O2" i="2"/>
  <c r="O4" i="2"/>
  <c r="O2" i="1"/>
  <c r="O4" i="1"/>
  <c r="O3" i="2"/>
  <c r="O3" i="1"/>
  <c r="O3" i="3" l="1"/>
  <c r="O4" i="3"/>
  <c r="O2" i="3"/>
  <c r="X8" i="4"/>
  <c r="G8" i="4"/>
  <c r="J7" i="4"/>
  <c r="J6" i="4"/>
  <c r="O5" i="1" l="1"/>
  <c r="O5" i="2" l="1"/>
  <c r="O5" i="3" l="1"/>
  <c r="R6" i="13"/>
  <c r="Q5" i="13"/>
  <c r="Q7" i="13"/>
  <c r="R7" i="13"/>
  <c r="R5" i="13"/>
  <c r="Q6" i="13"/>
  <c r="R8" i="13" l="1"/>
  <c r="Q8" i="13"/>
  <c r="Q123" i="13" l="1"/>
  <c r="C100" i="7"/>
  <c r="D100" i="7"/>
  <c r="E100" i="7"/>
  <c r="E100" i="8"/>
  <c r="D100" i="8"/>
  <c r="C100" i="8"/>
  <c r="F100" i="9" l="1"/>
  <c r="L119" i="2" s="1"/>
  <c r="L120" i="2" s="1"/>
  <c r="O122" i="4" s="1"/>
  <c r="O123" i="4" s="1"/>
  <c r="F100" i="8"/>
  <c r="J119" i="2" s="1"/>
  <c r="J120" i="2" s="1"/>
  <c r="L122" i="4" s="1"/>
  <c r="L123" i="4" s="1"/>
  <c r="F100" i="6"/>
  <c r="H119" i="2" s="1"/>
  <c r="H120" i="2" s="1"/>
  <c r="I122" i="4" s="1"/>
  <c r="I123" i="4" l="1"/>
  <c r="L122" i="15"/>
  <c r="L123" i="15" s="1"/>
  <c r="I122" i="15"/>
  <c r="I123" i="15" s="1"/>
  <c r="O122" i="15"/>
  <c r="O123" i="15" s="1"/>
  <c r="F122" i="13"/>
  <c r="J122" i="13"/>
  <c r="J123" i="13" s="1"/>
  <c r="I31" i="16"/>
  <c r="I32" i="16" s="1"/>
  <c r="L31" i="16"/>
  <c r="L32" i="16" s="1"/>
  <c r="O31" i="16"/>
  <c r="H121" i="2"/>
  <c r="J121" i="2"/>
  <c r="L121" i="2"/>
  <c r="F9" i="5"/>
  <c r="R122" i="13" l="1"/>
  <c r="R123" i="13" s="1"/>
  <c r="F123" i="13"/>
  <c r="U123" i="13" s="1"/>
  <c r="O32" i="16"/>
  <c r="L124" i="2"/>
  <c r="L123" i="2"/>
  <c r="O124" i="4" s="1"/>
  <c r="J124" i="2"/>
  <c r="J123" i="2"/>
  <c r="L124" i="4" s="1"/>
  <c r="H123" i="2"/>
  <c r="I124" i="4" s="1"/>
  <c r="H124" i="2"/>
  <c r="O9" i="5"/>
  <c r="N9" i="5"/>
  <c r="M9" i="5"/>
  <c r="K9" i="5"/>
  <c r="J9" i="5"/>
  <c r="I9" i="5"/>
  <c r="H9" i="5"/>
  <c r="G9" i="5"/>
  <c r="L8" i="5"/>
  <c r="L6" i="5"/>
  <c r="L5" i="5"/>
  <c r="F100" i="7"/>
  <c r="F119" i="2" s="1"/>
  <c r="L124" i="15" l="1"/>
  <c r="O124" i="15"/>
  <c r="I124" i="15"/>
  <c r="F124" i="13"/>
  <c r="J124" i="13"/>
  <c r="I33" i="16"/>
  <c r="L33" i="16"/>
  <c r="O33" i="16"/>
  <c r="L9" i="5"/>
  <c r="G57" i="4"/>
  <c r="G57" i="15"/>
  <c r="F57" i="15"/>
  <c r="F62" i="15" l="1"/>
  <c r="U57" i="15"/>
  <c r="U62" i="15" s="1"/>
  <c r="O55" i="2"/>
  <c r="O118" i="2" s="1"/>
  <c r="F57" i="4"/>
  <c r="G121" i="15" l="1"/>
  <c r="X122" i="15"/>
  <c r="O118" i="3"/>
  <c r="F62" i="4"/>
  <c r="U57" i="4"/>
  <c r="U62" i="4" s="1"/>
  <c r="O55" i="3"/>
  <c r="P118" i="2"/>
  <c r="F120" i="2"/>
  <c r="F122" i="4" s="1"/>
  <c r="G62" i="15"/>
  <c r="X62" i="15"/>
  <c r="X121" i="15" s="1"/>
  <c r="F123" i="4" l="1"/>
  <c r="X124" i="4" s="1"/>
  <c r="U122" i="4"/>
  <c r="U123" i="4" s="1"/>
  <c r="F122" i="15"/>
  <c r="F121" i="2"/>
  <c r="P121" i="2" s="1"/>
  <c r="O120" i="2"/>
  <c r="O121" i="2" s="1"/>
  <c r="O124" i="2" s="1"/>
  <c r="F31" i="16"/>
  <c r="G62" i="4"/>
  <c r="X62" i="4"/>
  <c r="U122" i="15" l="1"/>
  <c r="U123" i="15" s="1"/>
  <c r="F123" i="15"/>
  <c r="X124" i="15" s="1"/>
  <c r="F123" i="2"/>
  <c r="F124" i="4" s="1"/>
  <c r="F124" i="2"/>
  <c r="F32" i="16"/>
  <c r="X33" i="16" s="1"/>
  <c r="U31" i="16"/>
  <c r="U32" i="16" s="1"/>
  <c r="O123" i="2"/>
  <c r="F124" i="15" l="1"/>
  <c r="F3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30190FC0-4A9A-4EBA-BCE7-095B0DFE6A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3" authorId="0" shapeId="0" xr:uid="{9CFD59E7-3E64-4282-B889-218C03A857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F4" authorId="0" shapeId="0" xr:uid="{ECBCFABB-E85F-48DD-B49B-8210517A9B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5" authorId="0" shapeId="0" xr:uid="{084ED6F7-8BC8-45E9-8A3F-03F284C73E7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5" authorId="0" shapeId="0" xr:uid="{2E74389E-0B54-4F65-BD4A-6996B56400C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7" authorId="0" shapeId="0" xr:uid="{264BC6BE-A4D0-40EE-A31E-0A61E2951B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LB14s + LB14n</t>
        </r>
      </text>
    </comment>
    <comment ref="H7" authorId="0" shapeId="0" xr:uid="{1589F2C6-1B19-48DA-9A80-B709F95D59D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TH14Harvest = TH14Effort * TH14CPUE</t>
        </r>
      </text>
    </comment>
    <comment ref="F8" authorId="0" shapeId="0" xr:uid="{43CF3245-8DDB-42D2-9A43-5E3E9693FC5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F9" authorId="0" shapeId="0" xr:uid="{4381D363-B071-44DA-AFA0-56142B04536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F10" authorId="0" shapeId="0" xr:uid="{19402AF9-9BD5-4527-BD69-C9A6A1079A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H10" authorId="0" shapeId="0" xr:uid="{8B857CCC-74F0-449F-8702-FD74E85AC41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13" authorId="0" shapeId="0" xr:uid="{48CA3964-C1BE-4359-A004-53AA0AE23A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LB27s + LB27n</t>
        </r>
      </text>
    </comment>
    <comment ref="H13" authorId="0" shapeId="0" xr:uid="{353B74F7-E036-47FB-B02D-80260867251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TH27Harvest = TH27Effort * TH27CPUE</t>
        </r>
      </text>
    </comment>
    <comment ref="F14" authorId="0" shapeId="0" xr:uid="{84E7B8AA-033D-45C6-92C2-7AA3BA4A8A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H14" authorId="0" shapeId="0" xr:uid="{277E4720-377C-42BC-8A1C-DAA2C67D5B8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TH28Harvest = TH28Effort * TH28CPUE</t>
        </r>
      </text>
    </comment>
    <comment ref="F15" authorId="0" shapeId="0" xr:uid="{3544BE1D-21C0-4920-9C9F-5F47F9EA226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16" authorId="0" shapeId="0" xr:uid="{5E3528AE-29DB-4223-9BBB-1707CF43C3A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F20" authorId="0" shapeId="0" xr:uid="{8D4E3036-9871-4B63-84FF-64926954C96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21" authorId="0" shapeId="0" xr:uid="{C5985A4C-AC57-4B82-B1C1-75536631AF3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F22" authorId="0" shapeId="0" xr:uid="{FB55906A-0B10-400E-A188-3FC1B4F5DBC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H22" authorId="0" shapeId="0" xr:uid="{11332436-199E-4420-9FC4-5AF0A075E3B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TH15Harvest = TH15Effort * TH15CPUE</t>
        </r>
      </text>
    </comment>
    <comment ref="F23" authorId="0" shapeId="0" xr:uid="{4A6082F1-2810-4F38-8A61-FAFA2AC4D66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H23" authorId="0" shapeId="0" xr:uid="{148A8C97-502C-46E1-8CF6-AB076AED8F9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27" authorId="0" shapeId="0" xr:uid="{0EB77C3D-9163-4864-BD1C-C88774B647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H27" authorId="0" shapeId="0" xr:uid="{022C49D9-5E28-4826-9DF3-4652541C45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TH24Harvest = TH24Effort * TH24CPUE</t>
        </r>
      </text>
    </comment>
    <comment ref="F28" authorId="0" shapeId="0" xr:uid="{7EFCC7AC-290E-4AB8-8677-998ED48E25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F29" authorId="0" shapeId="0" xr:uid="{7C83A721-0BF8-467B-BF7B-9776B7C34FB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LB26s + LB26n</t>
        </r>
      </text>
    </comment>
    <comment ref="F30" authorId="0" shapeId="0" xr:uid="{2ECCD61B-F719-4EDE-B7FB-C6E20120451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H30" authorId="0" shapeId="0" xr:uid="{0AB5BF8A-B7E8-4D58-929F-10B3DBBDCF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TH27Harvest = TH27Effort * TH27CPUE</t>
        </r>
      </text>
    </comment>
    <comment ref="F31" authorId="0" shapeId="0" xr:uid="{9570A5BC-1D0C-4CE3-9762-51E5B1FEC4B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H31" authorId="0" shapeId="0" xr:uid="{FE55FDC6-33BD-4048-B442-C236110658A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TH28Harvest = TH28Effort * TH28CPUE</t>
        </r>
      </text>
    </comment>
    <comment ref="F34" authorId="0" shapeId="0" xr:uid="{890590F4-1A36-4538-A858-FDCEBCD923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35" authorId="0" shapeId="0" xr:uid="{A750BBA6-9088-4658-B522-5873181A3C4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H35" authorId="0" shapeId="0" xr:uid="{386CAEF0-CBDD-46AA-BB3E-F3AE1A0583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TH14Harvest = TH14Effort * TH14CPUE</t>
        </r>
      </text>
    </comment>
    <comment ref="F36" authorId="0" shapeId="0" xr:uid="{0E34EC01-9129-4DC6-9158-865222DC6A9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F37" authorId="0" shapeId="0" xr:uid="{54704B86-52D2-4376-B341-3BB32F7EE7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F38" authorId="0" shapeId="0" xr:uid="{9965B96C-8C49-4A7F-82B1-0F9186FFF7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H38" authorId="0" shapeId="0" xr:uid="{BEB125B1-D7FD-43E5-9B5C-C6F9C7DECD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40" authorId="0" shapeId="0" xr:uid="{956F9DC9-64BA-4CBA-86CF-FF416C72956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H40" authorId="0" shapeId="0" xr:uid="{E26CA913-13DE-46F3-8F38-959998630C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41" authorId="0" shapeId="0" xr:uid="{667BDD02-5D10-4244-BAF3-9645C1F89E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F42" authorId="0" shapeId="0" xr:uid="{33ACE2D7-F561-4FBE-843D-25ECE6F589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F43" authorId="0" shapeId="0" xr:uid="{1F02CDF0-9E36-4823-95D2-BD853257645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45" authorId="0" shapeId="0" xr:uid="{0D74058B-417F-41C0-81FA-3D3C19DAD7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LB9Harvest = LB9Effort * LB9CPUE</t>
        </r>
      </text>
    </comment>
    <comment ref="F46" authorId="0" shapeId="0" xr:uid="{A9C55AB7-931E-4D1C-8C30-247ACDAB83C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LB10s + LB10n</t>
        </r>
      </text>
    </comment>
    <comment ref="F47" authorId="0" shapeId="0" xr:uid="{6C298088-2015-4493-9522-E65DD67A548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47" authorId="0" shapeId="0" xr:uid="{443D5CFB-E28F-473A-8023-3883FA4710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48" authorId="0" shapeId="0" xr:uid="{93515D13-B5C6-4B03-9352-AE8E660FED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48" authorId="0" shapeId="0" xr:uid="{18F94E56-6D65-44CA-AE9A-234530525EF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49" authorId="0" shapeId="0" xr:uid="{B5F47755-96E3-402C-A871-7DDDACB7762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50" authorId="0" shapeId="0" xr:uid="{4047F43B-89F0-411A-98A5-DF736103E20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54" authorId="0" shapeId="0" xr:uid="{E7BC6E9F-7303-4F50-9B21-A1E4172E24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54" authorId="0" shapeId="0" xr:uid="{5B60ED34-F727-475C-8CA3-CEB184A8B0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55" authorId="0" shapeId="0" xr:uid="{3C262044-2D04-4D75-9527-FA10C5866A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LB24s + LB24n</t>
        </r>
      </text>
    </comment>
    <comment ref="F56" authorId="0" shapeId="0" xr:uid="{65691CF1-81E2-45BA-88ED-12A7C69AF9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H56" authorId="0" shapeId="0" xr:uid="{C8E51360-6151-4D2A-B1B2-441A2D5C78F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TH25Harvest = TH25Effort * TH25CPUE</t>
        </r>
      </text>
    </comment>
    <comment ref="F57" authorId="0" shapeId="0" xr:uid="{F3CAE4C8-0EBE-45B9-A7A9-91E682DC9A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F58" authorId="0" shapeId="0" xr:uid="{AEA40588-4E36-4F76-9904-776E08CC469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F62" authorId="0" shapeId="0" xr:uid="{4E3A8647-0A79-43A6-875E-6E1FEB9F83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LB7Harvest = LB7Effort * LB7CPUE</t>
        </r>
      </text>
    </comment>
    <comment ref="H62" authorId="0" shapeId="0" xr:uid="{59A16D2E-EA0B-48A0-B101-DF743BBB528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63" authorId="0" shapeId="0" xr:uid="{91F22635-C855-4362-BC95-460533F26F2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F64" authorId="0" shapeId="0" xr:uid="{7E0C9456-EF57-498D-B915-DD603D147AC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LB9Harvest = LB9Effort * LB9CPUE</t>
        </r>
      </text>
    </comment>
    <comment ref="F65" authorId="0" shapeId="0" xr:uid="{83055F92-F5ED-4DF7-8B0C-69005B564F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65" authorId="0" shapeId="0" xr:uid="{79F3F627-A304-4960-9581-C9FB4F2E40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66" authorId="0" shapeId="0" xr:uid="{E93C35D3-B0BB-4DFC-801D-4646A0E9556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67" authorId="0" shapeId="0" xr:uid="{2AD6CDBC-D59C-4E36-AD3E-B764EF2A55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F69" authorId="0" shapeId="0" xr:uid="{35A2CE1F-3AC1-42D6-889C-5AF75822FC3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H69" authorId="0" shapeId="0" xr:uid="{980361E3-B8EA-4588-B689-88E9C023D4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TH21Harvest = TH21Effort * TH21CPUE</t>
        </r>
      </text>
    </comment>
    <comment ref="F70" authorId="0" shapeId="0" xr:uid="{56050392-66EB-4FB5-83EF-3A379366DE4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LB22s + LB22n</t>
        </r>
      </text>
    </comment>
    <comment ref="F71" authorId="0" shapeId="0" xr:uid="{00254B79-7AF2-4BF2-8F95-A99E6E587F7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71" authorId="0" shapeId="0" xr:uid="{3EADFCBC-C151-4CAC-BB47-4A405BF46F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72" authorId="0" shapeId="0" xr:uid="{76804B53-8872-4FF2-933A-4512506E7E6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F73" authorId="0" shapeId="0" xr:uid="{7DE4988A-D6CF-410E-9ACE-7EBE0955F2D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F75" authorId="0" shapeId="0" xr:uid="{95ED1D93-B635-4EB4-B075-A5D8262483D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F76" authorId="0" shapeId="0" xr:uid="{58BA2103-E515-4982-AC1E-08238E60D3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H76" authorId="0" shapeId="0" xr:uid="{47944F56-22BF-4BEB-8FB5-CCCA0EBAAB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TH08Harvest = TH08Effort * TH08CPUE</t>
        </r>
      </text>
    </comment>
    <comment ref="F77" authorId="0" shapeId="0" xr:uid="{355AACF0-00E8-4667-B664-9E4A1D0B55B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F78" authorId="0" shapeId="0" xr:uid="{DC9838E8-A497-4278-B5B1-97846F7013E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F79" authorId="0" shapeId="0" xr:uid="{C1C2ADDF-4986-4881-9E06-F0694FAB296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H79" authorId="0" shapeId="0" xr:uid="{925D717B-48BE-4B50-84AF-A8660D2A1D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TH11Harvest = TH11Effort * TH11CPUE</t>
        </r>
      </text>
    </comment>
    <comment ref="F80" authorId="0" shapeId="0" xr:uid="{3F0996E3-10AD-47B2-BDB3-A0CD36C3011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F81" authorId="0" shapeId="0" xr:uid="{5BBA6909-15BC-4939-BE68-9EA7BBFCAA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82" authorId="0" shapeId="0" xr:uid="{73CC25B5-DF08-421B-8061-8BB5683C99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F88" authorId="0" shapeId="0" xr:uid="{360FD062-FD17-4BE6-A1E3-F8EF17C033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F89" authorId="0" shapeId="0" xr:uid="{5E3A45E1-0AEA-49C1-A6E0-AC1E8345A5C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H89" authorId="0" shapeId="0" xr:uid="{50DB4E02-99B1-4D8C-99DA-BF40EAE09A6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TH28Harvest = TH28Effort * TH28CPUE</t>
        </r>
      </text>
    </comment>
    <comment ref="F90" authorId="0" shapeId="0" xr:uid="{DDF45C1F-7567-4851-93C3-5242570639E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LB29s + LB29n</t>
        </r>
      </text>
    </comment>
    <comment ref="F91" authorId="0" shapeId="0" xr:uid="{FE9DD920-55A3-4F46-A0C3-F7D0503914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F92" authorId="0" shapeId="0" xr:uid="{CC3E5043-62EC-4F21-BD87-461E799D65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F95" authorId="0" shapeId="0" xr:uid="{0EB542EC-2F81-464A-9885-38FC8903F2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F96" authorId="0" shapeId="0" xr:uid="{14AD4EE8-5562-4789-8AFC-CF897DFE89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96" authorId="0" shapeId="0" xr:uid="{C185500E-AE5A-48E2-A1CD-6927E2F45F8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97" authorId="0" shapeId="0" xr:uid="{7C20DF4B-BEE0-4B30-BCC7-8A7F91C9D4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98" authorId="0" shapeId="0" xr:uid="{616794DB-B5E2-48B0-BEB8-3A12B56266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LB12s + LB12n</t>
        </r>
      </text>
    </comment>
    <comment ref="F99" authorId="0" shapeId="0" xr:uid="{9D44C7D1-3EFF-4EB1-9933-574CA478B41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100" authorId="0" shapeId="0" xr:uid="{C44B3DBC-D2E5-491A-8A6B-398B12EC005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J100" authorId="0" shapeId="0" xr:uid="{3A4973B2-608B-4032-A408-0A4C462F5E2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C14Harvest = C14Effort * C14CPUE</t>
        </r>
      </text>
    </comment>
    <comment ref="F103" authorId="0" shapeId="0" xr:uid="{C2340F1E-30F5-4D38-AA48-FB4823CE02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F104" authorId="0" shapeId="0" xr:uid="{3FC076CE-DE7C-4C3E-8725-350F265D73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F105" authorId="0" shapeId="0" xr:uid="{D70AF27F-71C9-4698-8699-1BFE77FDE3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H105" authorId="0" shapeId="0" xr:uid="{634A3BAC-6E00-418D-AC6B-3201B1F7FBE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TH26Harvest = TH26Effort * TH26CPUE</t>
        </r>
      </text>
    </comment>
    <comment ref="F106" authorId="0" shapeId="0" xr:uid="{889F2B56-F8E3-4E7E-ABF4-073E38662D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F107" authorId="0" shapeId="0" xr:uid="{614B445D-E5BD-46E5-ABDA-843D40F103B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H107" authorId="0" shapeId="0" xr:uid="{F74BDA24-6B54-4258-8CFE-B85632DA08A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TH26Harvest = TH26Effort * TH26CPUE</t>
        </r>
      </text>
    </comment>
    <comment ref="F108" authorId="0" shapeId="0" xr:uid="{34E49B11-D746-49AF-A646-64F205DE1C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111" authorId="0" shapeId="0" xr:uid="{BC6C653D-6DBC-4606-8754-20DC5E19A1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F112" authorId="0" shapeId="0" xr:uid="{698AA278-BE67-4BDC-9B53-13E28352784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F113" authorId="0" shapeId="0" xr:uid="{6004FC27-A975-48AC-84AE-CDB06B146D6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F114" authorId="0" shapeId="0" xr:uid="{07BDFD41-D858-441F-90F0-E86BF573C92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LB10 = LB10s + LB10n</t>
        </r>
      </text>
    </comment>
    <comment ref="H114" authorId="0" shapeId="0" xr:uid="{A810D78B-08F1-46D3-B62C-8C281B4553E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115" authorId="0" shapeId="0" xr:uid="{47FF552B-150E-4951-9C06-C90F2386CE3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LB11 = LB11s + LB11n</t>
        </r>
      </text>
    </comment>
    <comment ref="F116" authorId="0" shapeId="0" xr:uid="{0375CD14-DCD8-4C31-9F15-56B317EF422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31171C5D-555E-4C28-BA75-EDD62FD9C1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(LB13s/LB13n * LB29n) + LB29n
Used 05/13 full count</t>
        </r>
      </text>
    </comment>
    <comment ref="F3" authorId="0" shapeId="0" xr:uid="{EAF286A8-2415-4477-A0B7-125C1253A0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LB29/TH29 * TH30</t>
        </r>
      </text>
    </comment>
    <comment ref="F4" authorId="0" shapeId="0" xr:uid="{A46D2690-0E1E-46F1-8BEC-35CE1D7F38D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LB29/TH29 * TH01</t>
        </r>
      </text>
    </comment>
    <comment ref="F5" authorId="0" shapeId="0" xr:uid="{05FE0FC5-9B54-4291-A74E-8DB4BE342B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(LB13s/LB13n * LB02n) + LB02n
Used 05/13 full count</t>
        </r>
      </text>
    </comment>
    <comment ref="H5" authorId="0" shapeId="0" xr:uid="{B47B05EB-68AD-47A2-ADF8-3858E98F7C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 = TH30/C30 * C02</t>
        </r>
      </text>
    </comment>
    <comment ref="F7" authorId="0" shapeId="0" xr:uid="{E85EE75C-A50C-48F9-BD5D-A70BDEB928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LB14s + LB14n</t>
        </r>
      </text>
    </comment>
    <comment ref="H7" authorId="0" shapeId="0" xr:uid="{2ABFBB0E-3CF8-4A12-9494-AB22EEAC9E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TH16/M16 * M14</t>
        </r>
      </text>
    </comment>
    <comment ref="F8" authorId="0" shapeId="0" xr:uid="{B74F9385-3EA1-44C9-8A04-F3D05DFAEA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LB17/C17 * C15</t>
        </r>
      </text>
    </comment>
    <comment ref="F9" authorId="0" shapeId="0" xr:uid="{1117909B-A976-4F74-8D3A-822B6FF8975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LB14/M14 * M16</t>
        </r>
      </text>
    </comment>
    <comment ref="F10" authorId="0" shapeId="0" xr:uid="{CD645AD6-9B27-486D-BCDC-89144F8013D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(LB14s/LB14n * LB17n) + LB17n
Used 10/14 full count</t>
        </r>
      </text>
    </comment>
    <comment ref="H10" authorId="0" shapeId="0" xr:uid="{A8B63330-4F9F-4F5E-A77B-15F17C602C4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TH15/C15 * C17</t>
        </r>
      </text>
    </comment>
    <comment ref="F13" authorId="0" shapeId="0" xr:uid="{4C6E560F-6D10-4E66-9151-AA7F7CEF6FC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LB27s + LB27n</t>
        </r>
      </text>
    </comment>
    <comment ref="H13" authorId="0" shapeId="0" xr:uid="{195624CD-A033-4B1A-9FCC-69D9B6CA94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 = TH29/M29 * M27</t>
        </r>
      </text>
    </comment>
    <comment ref="F14" authorId="0" shapeId="0" xr:uid="{3D053499-E33A-421A-A27C-EA7BD83032D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(LB27s/LB27n * LB28n) + LB28n
Used 10/27 full count
</t>
        </r>
      </text>
    </comment>
    <comment ref="H14" authorId="0" shapeId="0" xr:uid="{A5614002-75FB-48CA-8F82-AD3A20C29C2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 = TH30/C30 * C28</t>
        </r>
      </text>
    </comment>
    <comment ref="F15" authorId="0" shapeId="0" xr:uid="{EC418541-A73D-457A-A5A0-98954CB554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LB27/M27 * M29</t>
        </r>
      </text>
    </comment>
    <comment ref="F16" authorId="0" shapeId="0" xr:uid="{AF9AB9C4-C75B-4FB5-A02B-D4976E7B51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LB28/C28 * C30</t>
        </r>
      </text>
    </comment>
    <comment ref="F20" authorId="0" shapeId="0" xr:uid="{622052C0-E21A-4B34-9BC9-D4E33C7CA24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LB14/TH14 * TH13</t>
        </r>
      </text>
    </comment>
    <comment ref="F21" authorId="0" shapeId="0" xr:uid="{89DB7D46-0ADD-4E13-AD0B-6CF848BEFA6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LBNov14 = (LBOct14s/LBOct14n * LBNov14n) + LBNov14n
Used 10/14 full count</t>
        </r>
      </text>
    </comment>
    <comment ref="F22" authorId="0" shapeId="0" xr:uid="{8E02BC5C-705F-4B34-A931-ADAB54D7A80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LBNov16 = (LBOct14s/LBOct14n * LBNov16n) + LBNov16n
Used 10/14 full count</t>
        </r>
      </text>
    </comment>
    <comment ref="H22" authorId="0" shapeId="0" xr:uid="{045DD744-64C1-4E6D-8294-90266836DD2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 = TH14/LB14 * LB15</t>
        </r>
      </text>
    </comment>
    <comment ref="F23" authorId="0" shapeId="0" xr:uid="{423A0B65-E4EA-4000-9D13-63E525B3135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LB14/M14 * M16</t>
        </r>
      </text>
    </comment>
    <comment ref="H23" authorId="0" shapeId="0" xr:uid="{F47E8C6B-8596-4700-A9F6-91714D046B8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 = TH16/M14 * M16</t>
        </r>
      </text>
    </comment>
    <comment ref="F27" authorId="0" shapeId="0" xr:uid="{0B7D5198-DC39-4C19-A68C-18435F656E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LB26/C26 * C24</t>
        </r>
      </text>
    </comment>
    <comment ref="H27" authorId="0" shapeId="0" xr:uid="{3154AC26-4D92-42A9-B278-77BA5916BDF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 = TH26/C26 * C24</t>
        </r>
      </text>
    </comment>
    <comment ref="F28" authorId="0" shapeId="0" xr:uid="{F0D7F339-A0A8-46C5-ADBB-F9496EF5D4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 = LB27/M27 * M25</t>
        </r>
      </text>
    </comment>
    <comment ref="F29" authorId="0" shapeId="0" xr:uid="{92479D2D-E601-4CC0-9C92-32AAE01263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LB26s + LB26n</t>
        </r>
      </text>
    </comment>
    <comment ref="F30" authorId="0" shapeId="0" xr:uid="{43B7E6AE-1A23-4E73-AA76-29BD4ECBC8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(LB26s/LB26n * LB27n) + LB27n
Used 11/26 full count</t>
        </r>
      </text>
    </comment>
    <comment ref="H30" authorId="0" shapeId="0" xr:uid="{F829AECD-11E2-4D70-A208-E67A8525AD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 = TH25/M25 * M27</t>
        </r>
      </text>
    </comment>
    <comment ref="F31" authorId="0" shapeId="0" xr:uid="{FA462A5C-230A-459E-9FEB-9EF349B663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LB26/C26 * C28</t>
        </r>
      </text>
    </comment>
    <comment ref="H31" authorId="0" shapeId="0" xr:uid="{A159F51A-8675-4B83-899D-A1F5A224101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 = TH26/C26 * C28</t>
        </r>
      </text>
    </comment>
    <comment ref="F34" authorId="0" shapeId="0" xr:uid="{1B43B634-8BBD-4EB2-8BC6-D31B897996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LB15/TH15 * TH13</t>
        </r>
      </text>
    </comment>
    <comment ref="F35" authorId="0" shapeId="0" xr:uid="{833AA17A-8D52-448A-8665-C8F32FDA3DF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(LB26s/LB26n * LB14n) + LB14n
Used 11/26 full count</t>
        </r>
      </text>
    </comment>
    <comment ref="H35" authorId="0" shapeId="0" xr:uid="{83C0C57F-DFD9-4D98-BA4F-C16693264F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TH15/LB15 * LB14</t>
        </r>
      </text>
    </comment>
    <comment ref="F36" authorId="0" shapeId="0" xr:uid="{31D30AA5-6DBE-4310-BD75-890363C552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(LB26s/LB26n * LB15n) + LB15n
Used 11/26 full count</t>
        </r>
      </text>
    </comment>
    <comment ref="F37" authorId="0" shapeId="0" xr:uid="{2D969901-DB46-4234-8A46-5251873235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LB14/C14 * C16</t>
        </r>
      </text>
    </comment>
    <comment ref="F38" authorId="0" shapeId="0" xr:uid="{AE26C760-6F75-4035-91E0-2B098ABB4EE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LB15/M15 * M17</t>
        </r>
      </text>
    </comment>
    <comment ref="H38" authorId="0" shapeId="0" xr:uid="{89FFD06E-2FA8-4B4B-9F8B-2DAC0A6960B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TH15/M15 * M17</t>
        </r>
      </text>
    </comment>
    <comment ref="F40" authorId="0" shapeId="0" xr:uid="{5A3823C8-8BE5-4C5D-B071-37021C59B92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LBDec26 = (LBNov26s/LBNov26n * LBDec26n) + LBDec26n
Used 11/26 full count</t>
        </r>
      </text>
    </comment>
    <comment ref="H40" authorId="0" shapeId="0" xr:uid="{34833249-AEB2-4CB1-845F-DA1EDBE0B1B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 = TH28/C28 * C26</t>
        </r>
      </text>
    </comment>
    <comment ref="F41" authorId="0" shapeId="0" xr:uid="{4EC91A9D-535B-416B-94DF-55383EBFFA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(LB26s/LB26n * LB27n) + LB27n
Used 11/26 full count</t>
        </r>
      </text>
    </comment>
    <comment ref="F42" authorId="0" shapeId="0" xr:uid="{5A76EDA3-1892-48B7-8026-E30139E264C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LB26/C26 * C28</t>
        </r>
      </text>
    </comment>
    <comment ref="F43" authorId="0" shapeId="0" xr:uid="{A82ACAE8-5ECB-4C6C-90EA-59A196BA644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LB27/M27 * M29</t>
        </r>
      </text>
    </comment>
    <comment ref="F45" authorId="0" shapeId="0" xr:uid="{35AD08DF-2624-4735-B096-4F23C797567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50 based on count conducted on a different beach and the day after.</t>
        </r>
      </text>
    </comment>
    <comment ref="F46" authorId="0" shapeId="0" xr:uid="{1EF144DF-FC52-420F-A8B8-97231464C1C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LB10south + LB10north</t>
        </r>
      </text>
    </comment>
    <comment ref="F47" authorId="0" shapeId="0" xr:uid="{744784C0-9A52-41EC-962C-D3ED159AD8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(LB10s/LB10n * LB11n) + LB11n
Used 01/10 full count</t>
        </r>
      </text>
    </comment>
    <comment ref="H47" authorId="0" shapeId="0" xr:uid="{E63506BA-8CC0-43EE-A6C8-2BC7D34C43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TH11 = TH14/M14 * M11</t>
        </r>
      </text>
    </comment>
    <comment ref="F48" authorId="0" shapeId="0" xr:uid="{7403F0A5-C50F-4FBB-8B9B-ADA8C154585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LB14/TH14 * TH12</t>
        </r>
      </text>
    </comment>
    <comment ref="H48" authorId="0" shapeId="0" xr:uid="{434E0BE4-2C2B-4134-BB6D-80527E16AC4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 = TH13/C13 * C12</t>
        </r>
      </text>
    </comment>
    <comment ref="F49" authorId="0" shapeId="0" xr:uid="{6986A859-3A9F-4152-BF86-B3141869AD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LB14/TH14 * TH13</t>
        </r>
      </text>
    </comment>
    <comment ref="F50" authorId="0" shapeId="0" xr:uid="{663D0310-C196-4279-9D99-C8047EB228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(LB10s/LB10n * LB14n) + LB14n
Used 01/10 full count</t>
        </r>
      </text>
    </comment>
    <comment ref="F54" authorId="0" shapeId="0" xr:uid="{0D836DC1-03CF-4FDF-BDEB-49A9ED3276E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 LB24/TH24 * TH23</t>
        </r>
      </text>
    </comment>
    <comment ref="H54" authorId="0" shapeId="0" xr:uid="{04146F88-5295-4858-97A5-23BCDE0EAEF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 = TH26/M26 * M23</t>
        </r>
      </text>
    </comment>
    <comment ref="F55" authorId="0" shapeId="0" xr:uid="{7059545F-E5BF-4613-8EA7-0801E5120F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LB24s + LB24n</t>
        </r>
      </text>
    </comment>
    <comment ref="F56" authorId="0" shapeId="0" xr:uid="{2AE6035E-6BA3-4026-8286-C086941652A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 = LB24/C24 * C25</t>
        </r>
      </text>
    </comment>
    <comment ref="H56" authorId="0" shapeId="0" xr:uid="{0B9ECF6D-DC8A-4824-9C88-D0884C5696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TH25 = TH24/C24 * C25</t>
        </r>
      </text>
    </comment>
    <comment ref="F57" authorId="0" shapeId="0" xr:uid="{410C5CFF-1745-4425-A5BB-3C15E5E4F5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LB24/TH24 * TH26</t>
        </r>
      </text>
    </comment>
    <comment ref="F58" authorId="0" shapeId="0" xr:uid="{E22EF048-6BC7-4C2C-8B6C-40F6C74AE82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(LB24s/LB24n * LB27n) + LB27n
Used 01/24 full count</t>
        </r>
      </text>
    </comment>
    <comment ref="F62" authorId="0" shapeId="0" xr:uid="{86B097DC-233A-4890-B06E-3557447F8FB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LB08/C08 * C07</t>
        </r>
      </text>
    </comment>
    <comment ref="H62" authorId="0" shapeId="0" xr:uid="{93BA008B-6541-47DE-83F6-E46D39A6CF9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TH7 = TH8/C8 * C7</t>
        </r>
      </text>
    </comment>
    <comment ref="F63" authorId="0" shapeId="0" xr:uid="{56B9014A-C317-4A14-8A0E-A9A8302ECD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(LB24s/LB24n * LB08n) + LB08n
Used 01/24 full count</t>
        </r>
      </text>
    </comment>
    <comment ref="F64" authorId="0" shapeId="0" xr:uid="{D4860230-598D-4182-A1E3-B9CFB01D6F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LB9 = LB10/M10 * LB9</t>
        </r>
      </text>
    </comment>
    <comment ref="F65" authorId="0" shapeId="0" xr:uid="{95C1FC09-2498-497B-ADFC-D4833006A6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(LB24s/LB24n * LB10n) + LB10n
Used 01/24 full count</t>
        </r>
      </text>
    </comment>
    <comment ref="H65" authorId="0" shapeId="0" xr:uid="{811FE249-BBA8-4DB1-94F2-14F0EC41CD6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TH8/LB8 * LB10</t>
        </r>
      </text>
    </comment>
    <comment ref="F66" authorId="0" shapeId="0" xr:uid="{A7616F93-B368-48B1-B418-5D95DCC24A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LB08/C08 * LB11</t>
        </r>
      </text>
    </comment>
    <comment ref="F67" authorId="0" shapeId="0" xr:uid="{AE4C943E-5810-4223-8385-D01A35016F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(LB24s/LB24n * LB12n) + LB12n
Used 01/24 full count</t>
        </r>
      </text>
    </comment>
    <comment ref="F69" authorId="0" shapeId="0" xr:uid="{E7253249-E342-423D-80F0-14FF0E6209E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LB22/M22 * M21</t>
        </r>
      </text>
    </comment>
    <comment ref="H69" authorId="0" shapeId="0" xr:uid="{A4A3F682-CBCB-4B5F-9027-44E6E40B19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 = TH22/M22 * M21</t>
        </r>
      </text>
    </comment>
    <comment ref="F70" authorId="0" shapeId="0" xr:uid="{F1CF77CC-0395-4A5E-ACE2-C54200F40B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LB22s + LB22n</t>
        </r>
      </text>
    </comment>
    <comment ref="F71" authorId="0" shapeId="0" xr:uid="{455BCA2E-312F-4EB3-A83E-40CA8FFDF81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 (LB22s/LB22n * LB23n) + LB23n
Used 02/22 full count</t>
        </r>
      </text>
    </comment>
    <comment ref="H71" authorId="0" shapeId="0" xr:uid="{323B140B-D5CE-4B24-A2FA-84FF2FB4AE7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 = TH24/C24 * C23</t>
        </r>
      </text>
    </comment>
    <comment ref="F72" authorId="0" shapeId="0" xr:uid="{85559D8A-ADDB-445F-8B62-22252D4C17F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LB23/C23 * C24</t>
        </r>
      </text>
    </comment>
    <comment ref="F73" authorId="0" shapeId="0" xr:uid="{0268CA8C-8A15-437D-80B4-31E11F4D405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 = LB22/M22 * M25</t>
        </r>
      </text>
    </comment>
    <comment ref="F75" authorId="0" shapeId="0" xr:uid="{1B891B97-85D3-4653-B8D0-EE1CEF7DA4A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(LB22s/LB22n * LB08n) + LB07n
Used 02/22 full count</t>
        </r>
      </text>
    </comment>
    <comment ref="F76" authorId="0" shapeId="0" xr:uid="{17EE99CC-680C-488E-8F1E-8FB3D2B8CA6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(LB22s/LB22n * LB08n) + LB08n
Used 02/22 full count</t>
        </r>
      </text>
    </comment>
    <comment ref="H76" authorId="0" shapeId="0" xr:uid="{C3A318D4-00FC-4BD5-856B-11703CF8C3C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 = TH07/LB07 * LB08</t>
        </r>
      </text>
    </comment>
    <comment ref="F77" authorId="0" shapeId="0" xr:uid="{6214D374-16B8-4C8A-89AC-7840617050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 LB08/M08 * M09</t>
        </r>
      </text>
    </comment>
    <comment ref="F78" authorId="0" shapeId="0" xr:uid="{A596ACCB-7411-47E9-BE88-B1C7C1DFF97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LB07/074 * C10</t>
        </r>
      </text>
    </comment>
    <comment ref="F79" authorId="0" shapeId="0" xr:uid="{8139960F-4DC0-4F82-814D-6FE1BB183E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(LB22s/LB22n * LB11n) + LB11n
Used 02/22 full count</t>
        </r>
      </text>
    </comment>
    <comment ref="H79" authorId="0" shapeId="0" xr:uid="{58734401-E9EA-4DC6-845C-6E81CAA1F4D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TH11 = TH07/C07 * C11</t>
        </r>
      </text>
    </comment>
    <comment ref="F80" authorId="0" shapeId="0" xr:uid="{26487408-51C0-4DC4-B407-0F46B23D95A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LB08/M08 * M12</t>
        </r>
      </text>
    </comment>
    <comment ref="F81" authorId="0" shapeId="0" xr:uid="{A33F18BA-6B27-4256-9608-353463ED40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LB08/M08 * M13</t>
        </r>
      </text>
    </comment>
    <comment ref="F82" authorId="0" shapeId="0" xr:uid="{3300EDDD-CF2B-4E4A-8222-E647C1726BE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(LB22s/LB22n * LB14n) + LB14n
Used 02/22 full count</t>
        </r>
      </text>
    </comment>
    <comment ref="F88" authorId="0" shapeId="0" xr:uid="{5E8DB637-96F3-4E35-B314-D0A0BAB422C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LB31/M31 * M27</t>
        </r>
      </text>
    </comment>
    <comment ref="F89" authorId="0" shapeId="0" xr:uid="{F8E50D5C-4077-4163-8B23-820D0F6B26F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LB31/M31 * M28</t>
        </r>
      </text>
    </comment>
    <comment ref="H89" authorId="0" shapeId="0" xr:uid="{BA1BB175-33B0-4361-9DEF-4F15CC16377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TH28=TH31/M31 * M28</t>
        </r>
      </text>
    </comment>
    <comment ref="F90" authorId="0" shapeId="0" xr:uid="{D36CD2C1-EFD7-45B7-B317-3EAA941260A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LB29s + LB29n</t>
        </r>
      </text>
    </comment>
    <comment ref="F91" authorId="0" shapeId="0" xr:uid="{7D14A0F8-FE11-4194-A67B-F5DDD5C30BA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(LB29s/LB29n * LB30n) + LB30n
Used 03/29 full count</t>
        </r>
      </text>
    </comment>
    <comment ref="F92" authorId="0" shapeId="0" xr:uid="{D1BF9C91-258E-453E-927E-F3391305944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LB31=LB29/TH29 * TH31</t>
        </r>
      </text>
    </comment>
    <comment ref="F95" authorId="0" shapeId="0" xr:uid="{B481208D-BF67-4695-B6FD-4695F196942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LB9 = LB12/M12 * M9</t>
        </r>
      </text>
    </comment>
    <comment ref="F96" authorId="0" shapeId="0" xr:uid="{5772E8A1-29D9-4915-A000-BC7876E305E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(LB12s/LB12n * LB10n) + LB10n
Used 04/12 full count</t>
        </r>
      </text>
    </comment>
    <comment ref="H96" authorId="0" shapeId="0" xr:uid="{C263816C-5AAD-44AD-9DEE-563B3638B21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TH12/LB12 * LB10</t>
        </r>
      </text>
    </comment>
    <comment ref="F97" authorId="0" shapeId="0" xr:uid="{440F685B-9DDA-4BA9-A6EE-DF0185E4E85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LB12/TH12 * TH11</t>
        </r>
      </text>
    </comment>
    <comment ref="F98" authorId="0" shapeId="0" xr:uid="{04B92169-00FF-4F35-AF80-E3AEE5356DE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LB12s + LB12n</t>
        </r>
      </text>
    </comment>
    <comment ref="F99" authorId="0" shapeId="0" xr:uid="{E995C80E-851F-42FA-969E-6855F2A500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LB12/TH12 * TH13</t>
        </r>
      </text>
    </comment>
    <comment ref="F100" authorId="0" shapeId="0" xr:uid="{CA3E5371-52BB-41E5-BFC1-EFBDB2D858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(LB12s/LB12n * LB14n) + LB14n
Used 04/12 full count</t>
        </r>
      </text>
    </comment>
    <comment ref="F103" authorId="0" shapeId="0" xr:uid="{1AF34C4B-43D4-4D87-A4D4-874FF83CD6E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LB23 = LB29/M29 * M23</t>
        </r>
      </text>
    </comment>
    <comment ref="F104" authorId="0" shapeId="0" xr:uid="{4FD140D5-B74B-4F4B-A0D8-139508DBEB8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LB25 = (LB12s/LB12n * LB25n) + LB25n
Used 04/12 full count</t>
        </r>
      </text>
    </comment>
    <comment ref="F105" authorId="0" shapeId="0" xr:uid="{3B13D032-AE1D-4F31-AECE-601071225AF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LB26 = LB27/C27 * C26</t>
        </r>
      </text>
    </comment>
    <comment ref="H105" authorId="0" shapeId="0" xr:uid="{87B8E4AE-3A45-49EA-82B8-8EEBB95A5D5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TH26 = TH7/C27 * C26</t>
        </r>
      </text>
    </comment>
    <comment ref="F106" authorId="0" shapeId="0" xr:uid="{006A084B-D473-4F1E-BE7B-05ABB3C758B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LB27 = (LB29s/LB29n * LB27n) + LB27n
Used 03/29 full count</t>
        </r>
      </text>
    </comment>
    <comment ref="F107" authorId="0" shapeId="0" xr:uid="{C0DBA92E-01B8-46F6-BBBC-5B1CF37CE01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LB28 = LB25/M25 * M28</t>
        </r>
      </text>
    </comment>
    <comment ref="H107" authorId="0" shapeId="0" xr:uid="{D5859036-10D1-477F-8B3F-7D2E58104C0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TH28 = TH25/M25 * M28</t>
        </r>
      </text>
    </comment>
    <comment ref="F108" authorId="0" shapeId="0" xr:uid="{C9ED1D96-DE37-48D0-A1F9-0DC1F16A3C9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LB29 = (LB12s/LB12n * LB29n) + LB29n
Used 04/12 full count</t>
        </r>
      </text>
    </comment>
    <comment ref="F111" authorId="0" shapeId="0" xr:uid="{6BE8F48B-8E9A-403E-95D2-D3C9ACC057A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LB07 = LB10/M10 * M07</t>
        </r>
      </text>
    </comment>
    <comment ref="F112" authorId="0" shapeId="0" xr:uid="{A5F16A3E-B351-4689-AF8F-DCC3517B19D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LB08 = LB09/C09 * C08</t>
        </r>
      </text>
    </comment>
    <comment ref="F113" authorId="0" shapeId="0" xr:uid="{53816772-052A-4158-B889-302A7CF9F33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LB09 = (LB10s/LB10n * LB09n) + LB09n
Used 05/10 full count</t>
        </r>
      </text>
    </comment>
    <comment ref="F114" authorId="0" shapeId="0" xr:uid="{5468B263-72D8-497F-A186-25A0C19CF15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LB10 = LB10s + LB10n</t>
        </r>
      </text>
    </comment>
    <comment ref="H114" authorId="0" shapeId="0" xr:uid="{2F62679E-DFE8-4B18-A606-B38CB175321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TH10 = TH11/M11 * M10</t>
        </r>
      </text>
    </comment>
    <comment ref="F115" authorId="0" shapeId="0" xr:uid="{45230815-9CCE-4A31-B663-81B20FEC284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LB11 = LB11s + LB11n</t>
        </r>
      </text>
    </comment>
    <comment ref="F116" authorId="0" shapeId="0" xr:uid="{58B280C3-26AC-49C9-9A8C-29E4C2EE0FB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LB12 = LB09/C09 * C12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031D3688-D938-41FE-85D4-98488179FBD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14.9 clams/digger from the north beach count assumed for all beach.</t>
        </r>
      </text>
    </comment>
    <comment ref="F3" authorId="0" shapeId="0" xr:uid="{0BBB2BA1-0B30-4114-A2F3-470B7ABE38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14.9 clams/digger based on other beach success</t>
        </r>
      </text>
    </comment>
    <comment ref="F4" authorId="0" shapeId="0" xr:uid="{E1BC6866-6DD8-4ED6-AF57-CEDBDC07E96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5" authorId="0" shapeId="0" xr:uid="{0C5E0DA6-04AA-48A5-89F6-C360CA611D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14.9 clams/digger from the north beach count assumed for all beach.</t>
        </r>
      </text>
    </comment>
    <comment ref="H7" authorId="0" shapeId="0" xr:uid="{9DBDC32C-4E12-4F64-BA63-DA22785E7B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F8" authorId="0" shapeId="0" xr:uid="{BA09CA96-EA8F-40B3-95D7-CAEC031379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F9" authorId="0" shapeId="0" xr:uid="{C473EA59-6F79-49AA-AED6-B8804D2F6EC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F10" authorId="0" shapeId="0" xr:uid="{3DF8407C-4D69-4B8F-9CF4-D9532CFB503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12.6 clams/digger from the north beach count assumed for all beach.</t>
        </r>
      </text>
    </comment>
    <comment ref="H10" authorId="0" shapeId="0" xr:uid="{0EB24F4A-5A45-48C3-A7A9-C2CF549475B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H13" authorId="0" shapeId="0" xr:uid="{0A62D87F-CAE6-4314-9722-ECA3ED3484A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14.7 clams/digger based on other beach success</t>
        </r>
      </text>
    </comment>
    <comment ref="F14" authorId="0" shapeId="0" xr:uid="{57DD5DA7-E84B-4899-A329-E53511AB522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14" authorId="0" shapeId="0" xr:uid="{C15075CB-2F7A-43E1-B651-E74CB43C7B8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5" authorId="0" shapeId="0" xr:uid="{A90533DF-20D5-4ADA-BF56-52AEBF8FF19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6" authorId="0" shapeId="0" xr:uid="{903A69C8-BEDD-4B10-8A7D-D3F60C40BD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20" authorId="0" shapeId="0" xr:uid="{0FBE913C-1881-48CF-8D39-CB9EC45992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21" authorId="0" shapeId="0" xr:uid="{8422B208-E844-4F3E-89D2-14F119F9A1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10.4 clams/digger from the north beach count assumed for all beach.</t>
        </r>
      </text>
    </comment>
    <comment ref="F22" authorId="0" shapeId="0" xr:uid="{E6C9E4DC-BBC3-4C33-8A3A-3A32ACF0E9F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14.7 clams/digger from the north beach count assumed for all beach.</t>
        </r>
      </text>
    </comment>
    <comment ref="H22" authorId="0" shapeId="0" xr:uid="{10D68E83-F6B6-4525-B1F0-7B81223B98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23" authorId="0" shapeId="0" xr:uid="{2081A722-6F66-455F-AA75-E55FF4578AA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H23" authorId="0" shapeId="0" xr:uid="{ABBE2A54-2473-41A5-8F46-ACC906233C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F27" authorId="0" shapeId="0" xr:uid="{614DFAEA-919B-4699-B70D-9A5CAFB885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27" authorId="0" shapeId="0" xr:uid="{A1AEEE77-311B-4E40-AAAF-8B5FBB2E68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28" authorId="0" shapeId="0" xr:uid="{5802FB9E-BF97-408B-A08F-DCA658F279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F30" authorId="0" shapeId="0" xr:uid="{C729C8E8-6CE0-416B-8F09-D1D1364B84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14.5 clams/digger from the north beach count assumed for all beach.</t>
        </r>
      </text>
    </comment>
    <comment ref="H30" authorId="0" shapeId="0" xr:uid="{56C3169D-5FF1-43AA-A733-A3242E6CB7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31" authorId="0" shapeId="0" xr:uid="{9E1BE06E-EAE8-4BA3-A0D0-ACB75EF6AE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H31" authorId="0" shapeId="0" xr:uid="{43CAEF83-D509-4F57-9723-B3E1975D1C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F34" authorId="0" shapeId="0" xr:uid="{D045BDC0-55B1-469F-B56F-04EC68DFA1A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F35" authorId="0" shapeId="0" xr:uid="{18CD3D65-9DCD-4D3E-8678-BF3674342B6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10.1 clams/digger from the north beach count assumed for all beach.</t>
        </r>
      </text>
    </comment>
    <comment ref="H35" authorId="0" shapeId="0" xr:uid="{603A1B2E-A98B-462C-8238-36A54C3BAAF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36" authorId="0" shapeId="0" xr:uid="{D4926ED8-76C6-4DC3-8405-5361C02825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12.7 clams/digger from the north beach count assumed for all beach.</t>
        </r>
      </text>
    </comment>
    <comment ref="F37" authorId="0" shapeId="0" xr:uid="{0387CA12-35FA-4296-8144-B9475B6BE7B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38" authorId="0" shapeId="0" xr:uid="{9D7213D6-F549-4A19-8C35-CDFC7DB54DB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38" authorId="0" shapeId="0" xr:uid="{C12F4726-8BD9-49EB-AB0A-7D4A9B7EDFC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40" authorId="0" shapeId="0" xr:uid="{3B306DDC-4B3B-406C-837B-12D08304D40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2.2 clams/digger from the north beach count assumed for all beach.</t>
        </r>
      </text>
    </comment>
    <comment ref="H40" authorId="0" shapeId="0" xr:uid="{F6B99B32-677B-4FFF-9A23-99CA9219F14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F41" authorId="0" shapeId="0" xr:uid="{12899FCD-13A9-4F9A-A54B-04D09C0BE1B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4.3 clams/digger from the north beach count assumed for all beach.</t>
        </r>
      </text>
    </comment>
    <comment ref="F42" authorId="0" shapeId="0" xr:uid="{584A2B51-64AC-4E3A-9970-4CEADD065E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3.0 clams/digger based on other beach success</t>
        </r>
      </text>
    </comment>
    <comment ref="F43" authorId="0" shapeId="0" xr:uid="{D3372D0E-948F-41D1-BEEF-558BF4FB0CA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F45" authorId="0" shapeId="0" xr:uid="{912E02D7-520A-43FC-8796-25255C94F6D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46" authorId="0" shapeId="0" xr:uid="{39E5BF04-36E9-422F-A8D3-BE1E540B824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10.7 clams/digger from the north beach count assumed for all beach.</t>
        </r>
      </text>
    </comment>
    <comment ref="F47" authorId="0" shapeId="0" xr:uid="{C930E7D2-8F36-4F0F-BC02-FE35112B45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3.0 clams/digger based on other beach success</t>
        </r>
      </text>
    </comment>
    <comment ref="H47" authorId="0" shapeId="0" xr:uid="{E8892727-09B2-4FE1-987A-E9518EB6A00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3.0 clams/digger based on other beach success</t>
        </r>
      </text>
    </comment>
    <comment ref="F48" authorId="0" shapeId="0" xr:uid="{7677BAA0-28B1-47EE-844F-8356680F5C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9.0 clams/digger based on other beach success</t>
        </r>
      </text>
    </comment>
    <comment ref="H48" authorId="0" shapeId="0" xr:uid="{15A0DC4C-A794-4C84-A8E2-005766E37C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9.0 clams/digger based on other beach success</t>
        </r>
      </text>
    </comment>
    <comment ref="F49" authorId="0" shapeId="0" xr:uid="{6CF2ECD7-9B7C-485B-9CD4-72E8C323736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9.0 clams/digger based on other beach success</t>
        </r>
      </text>
    </comment>
    <comment ref="F50" authorId="0" shapeId="0" xr:uid="{660537AF-611A-454B-9C15-5771D214209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5.7 clams/digger from the north beach count assumed for all beach.</t>
        </r>
      </text>
    </comment>
    <comment ref="F54" authorId="0" shapeId="0" xr:uid="{9F001989-6D06-4A12-82FD-BAD6A255CB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H54" authorId="0" shapeId="0" xr:uid="{8BDBE208-0B36-4287-BE9D-1390ED81BB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56" authorId="0" shapeId="0" xr:uid="{6F368DC1-8A6F-4B6D-9594-596B6A8255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H56" authorId="0" shapeId="0" xr:uid="{371CBA65-903B-4E13-B46D-60A1F9BC3A0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57" authorId="0" shapeId="0" xr:uid="{09376B55-4726-4791-A82E-4A8916A9966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1.0 clams/digger based on other beach success</t>
        </r>
      </text>
    </comment>
    <comment ref="F58" authorId="0" shapeId="0" xr:uid="{767BF408-F2D3-4942-AAD6-7DEAD4AA81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0.5 clams/digger based on other beach success</t>
        </r>
      </text>
    </comment>
    <comment ref="F62" authorId="0" shapeId="0" xr:uid="{B1CFF85B-7DB5-4E0F-B117-6EA587B42DD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62" authorId="0" shapeId="0" xr:uid="{9918AF0B-3F70-47E3-A7D1-6E1301C2DF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63" authorId="0" shapeId="0" xr:uid="{A94164B2-10D3-4F0A-A470-DD05276A604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13.9 clams/digger from the north beach count assumed for all beach.</t>
        </r>
      </text>
    </comment>
    <comment ref="F64" authorId="0" shapeId="0" xr:uid="{7D28B592-8DFB-4C85-ABC0-A337FADE137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65" authorId="0" shapeId="0" xr:uid="{E4D9C4EC-53EA-42C3-B32A-4220176F7D9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7.0 clams/digger from the north beach count assumed for all beach.</t>
        </r>
      </text>
    </comment>
    <comment ref="H65" authorId="0" shapeId="0" xr:uid="{40B4C884-1A70-4E1D-B4F5-A84C3D9C829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9.0 clams/digger based on other beach success</t>
        </r>
      </text>
    </comment>
    <comment ref="F66" authorId="0" shapeId="0" xr:uid="{7158B225-3BB4-4B1C-9B77-049FA31AA9F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F69" authorId="0" shapeId="0" xr:uid="{236B5EE9-47DB-4B73-B9AC-AA35FFD1AE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H69" authorId="0" shapeId="0" xr:uid="{3CF8972E-3200-4258-9781-4BCD8BFAE49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F71" authorId="0" shapeId="0" xr:uid="{F65929F9-54D9-489B-867C-A70C9EF7C7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14.7 clams/digger from the north beach count assumed for all beach.</t>
        </r>
      </text>
    </comment>
    <comment ref="H71" authorId="0" shapeId="0" xr:uid="{C29F2219-7054-4ECE-9E36-C22716B7B32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72" authorId="0" shapeId="0" xr:uid="{16F24B2F-F5DA-4C0A-A668-F76B52D84C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73" authorId="0" shapeId="0" xr:uid="{CD47B87B-C346-4A23-8225-2933A8C98D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75" authorId="0" shapeId="0" xr:uid="{2E874547-1F27-4E6F-B206-EF75BE51A43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76" authorId="0" shapeId="0" xr:uid="{D745163E-590D-44F9-A54F-BA2C5F8643D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76" authorId="0" shapeId="0" xr:uid="{29A759DC-BD83-471B-9FEA-7EE7FAA457D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77" authorId="0" shapeId="0" xr:uid="{57A35794-5FEE-43A5-B7CB-1AFE94EDF2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7.5 clams/digger based on other beach success</t>
        </r>
      </text>
    </comment>
    <comment ref="F78" authorId="0" shapeId="0" xr:uid="{3D841792-D097-4971-A1E2-5F8FCE0106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F79" authorId="0" shapeId="0" xr:uid="{BCBD3D50-749C-4DBF-BEB3-42B30730C9F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H79" authorId="0" shapeId="0" xr:uid="{DD2FA857-AB0E-4BDC-9772-FAB02385B86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80" authorId="0" shapeId="0" xr:uid="{D07E2253-F305-4F96-9688-C64A1A6F0E8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9.5 clams/digger based on other beach success</t>
        </r>
      </text>
    </comment>
    <comment ref="F81" authorId="0" shapeId="0" xr:uid="{EC5051C4-6A2E-4560-B5CD-8FC323A17E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82" authorId="0" shapeId="0" xr:uid="{83111AEA-19C6-4050-B454-CA1C2044DA0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14.8 clams/digger from the north beach count assumed for all beach.</t>
        </r>
      </text>
    </comment>
    <comment ref="F88" authorId="0" shapeId="0" xr:uid="{AE653A85-967F-42C0-A611-294ADF764E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L88" authorId="0" shapeId="0" xr:uid="{FC527C16-8931-45A2-802E-39E364DF5AB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4.0 clam/digger CPUE</t>
        </r>
      </text>
    </comment>
    <comment ref="F89" authorId="0" shapeId="0" xr:uid="{5ABB7BD5-A16C-4A57-B505-BFB86BB9BF9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 based on other beach success</t>
        </r>
      </text>
    </comment>
    <comment ref="H89" authorId="0" shapeId="0" xr:uid="{A1BF28CF-04BC-4AEC-B505-D040C2929FE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 based on other beach success</t>
        </r>
      </text>
    </comment>
    <comment ref="F91" authorId="0" shapeId="0" xr:uid="{09C0636B-ADE3-4E6A-BB3F-238EEC1EB28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14.0 clams/digger from the north beach count assumed for all beach.</t>
        </r>
      </text>
    </comment>
    <comment ref="F92" authorId="0" shapeId="0" xr:uid="{D6DE31A5-FF78-4794-A237-4DDB8464DA9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F95" authorId="0" shapeId="0" xr:uid="{2FD36660-E8D3-45E8-B921-6FA0DD13AD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11.0 clams/digger based on other beach success</t>
        </r>
      </text>
    </comment>
    <comment ref="F96" authorId="0" shapeId="0" xr:uid="{9C71DFA8-D3A8-444F-88C2-07E01025A00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13.2 clams/digger from the north beach count assumed for all beach.</t>
        </r>
      </text>
    </comment>
    <comment ref="H96" authorId="0" shapeId="0" xr:uid="{3F65CD22-E519-46DE-B71B-5F829B3BFA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97" authorId="0" shapeId="0" xr:uid="{99F917ED-472B-4C2B-B277-A05A62A0D43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99" authorId="0" shapeId="0" xr:uid="{B8D53326-9884-4D6D-9AF5-7D72428667D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100" authorId="0" shapeId="0" xr:uid="{E5E08ADF-39BB-41EB-A97D-209F377C11A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11.5 clams/digger from the north beach count assumed for all beach.</t>
        </r>
      </text>
    </comment>
    <comment ref="J100" authorId="0" shapeId="0" xr:uid="{0CBBBA70-8B5E-4C71-A08D-EE9D5246172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11.5 clams/digger based on other beach success</t>
        </r>
      </text>
    </comment>
    <comment ref="F103" authorId="0" shapeId="0" xr:uid="{9ED3FAEC-B3D8-4ED3-A0CD-65F0A0A1C4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04" authorId="0" shapeId="0" xr:uid="{FED10C7B-427C-4F2E-8ECC-EA2E0B6EF8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13.1 clams/digger from the north beach count assumed for all beach.</t>
        </r>
      </text>
    </comment>
    <comment ref="F105" authorId="0" shapeId="0" xr:uid="{11999120-1427-4738-B48E-B41809EEF0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105" authorId="0" shapeId="0" xr:uid="{6BCE5FE0-4B3E-445C-9B8E-2F0082406C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06" authorId="0" shapeId="0" xr:uid="{7D63AC8F-A28A-4428-9B38-F8412D6E52A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9.9 clams/digger from the north beach count assumed for all beach.</t>
        </r>
      </text>
    </comment>
    <comment ref="F107" authorId="0" shapeId="0" xr:uid="{33055B54-D509-4870-A80B-B6CDCED6A6E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11.5 clams/digger based on other beach success</t>
        </r>
      </text>
    </comment>
    <comment ref="H107" authorId="0" shapeId="0" xr:uid="{10FB2C97-392A-4F0E-B3CA-8438D0A416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11.5 clams/digger based on other beach success</t>
        </r>
      </text>
    </comment>
    <comment ref="F108" authorId="0" shapeId="0" xr:uid="{68C4AC27-ECE0-40A9-A134-7E3379FC44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111" authorId="0" shapeId="0" xr:uid="{DF6F7B1E-992E-43D1-9208-29517886EB4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12" authorId="0" shapeId="0" xr:uid="{797DB4AF-229F-47FC-98FD-350DC311CA8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13" authorId="0" shapeId="0" xr:uid="{5AB382F0-0667-4CEE-B35A-3589AB5FEC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114" authorId="0" shapeId="0" xr:uid="{F218B79C-1898-4DB6-9B32-DF1D88BA91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16" authorId="0" shapeId="0" xr:uid="{F857B529-ADC9-4E14-9F7A-D749B3AD440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K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L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K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L5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K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L6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K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L7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K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L8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<sst xmlns="http://schemas.openxmlformats.org/spreadsheetml/2006/main" count="2843" uniqueCount="89">
  <si>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</si>
  <si>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</si>
  <si>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</si>
  <si>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</si>
  <si>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</si>
  <si>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</si>
  <si>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</si>
  <si>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</si>
  <si>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</si>
  <si>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</si>
  <si>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CLOSED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</si>
  <si>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</si>
  <si>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</si>
  <si>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</si>
  <si>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</si>
  <si>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</si>
  <si>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</si>
  <si>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** - No beach count. Used data from another day with similar conditions to estimate count.</t>
  </si>
  <si>
    <t>Fri</t>
  </si>
  <si>
    <t>Sat</t>
  </si>
  <si>
    <t>Sun</t>
  </si>
  <si>
    <t>Mon</t>
  </si>
  <si>
    <t>Thu</t>
  </si>
  <si>
    <t>SEASON TOTALS :</t>
  </si>
  <si>
    <t># - Tide is not low enough for decent digging opportunity</t>
  </si>
  <si>
    <t>Effort</t>
  </si>
  <si>
    <t>Harvest</t>
  </si>
  <si>
    <t>CPUE</t>
  </si>
  <si>
    <t>NON-TRIBAL TOTAL ALLOWABLE CATCH (TAC)</t>
  </si>
  <si>
    <t>2018-2019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</si>
  <si>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</si>
  <si>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</si>
  <si>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</si>
  <si>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</si>
  <si>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</si>
  <si>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</si>
  <si>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</si>
  <si>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</si>
  <si>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LONG BEACH</t>
  </si>
  <si>
    <t>TWIN HARBORS</t>
  </si>
  <si>
    <t>COPALIS</t>
  </si>
  <si>
    <t>MOCROCKS</t>
  </si>
  <si>
    <t>KALALOCH</t>
  </si>
  <si>
    <t>COASTWIDE TAC</t>
  </si>
  <si>
    <t>2019-2020</t>
  </si>
  <si>
    <t>DAILY TOTALS</t>
  </si>
  <si>
    <t>DATE</t>
  </si>
  <si>
    <t>DAY</t>
  </si>
  <si>
    <t>TIDE</t>
  </si>
  <si>
    <t>TIME</t>
  </si>
  <si>
    <t>Tide Series Totals</t>
  </si>
  <si>
    <t>SEASON SUBTOTALS:</t>
  </si>
  <si>
    <t>WASTAGE</t>
  </si>
  <si>
    <t>SEASON TOTALS:</t>
  </si>
  <si>
    <t>Size (mm)</t>
  </si>
  <si>
    <t>2020-2021</t>
  </si>
  <si>
    <t>2021-2022</t>
  </si>
  <si>
    <t>CROSS</t>
  </si>
  <si>
    <t>CHECK</t>
  </si>
  <si>
    <t>2022-2023</t>
  </si>
  <si>
    <t>22309</t>
  </si>
  <si>
    <t>12400</t>
  </si>
  <si>
    <t>32009</t>
  </si>
  <si>
    <t>2023-2024</t>
  </si>
  <si>
    <t>2023-2024 State (non-Tribal) Recreational Razor Clam Effort, Harvest and CPUE totals.</t>
  </si>
  <si>
    <t xml:space="preserve">FALL 2023 - SPRING 2024 SEASON TOTALS: </t>
  </si>
  <si>
    <t>Tue</t>
  </si>
  <si>
    <t>Wed</t>
  </si>
  <si>
    <t>*</t>
  </si>
  <si>
    <t>EventID</t>
  </si>
  <si>
    <t>LocationID</t>
  </si>
  <si>
    <t>NHoles</t>
  </si>
  <si>
    <t>NClams</t>
  </si>
  <si>
    <t>NMorts</t>
  </si>
  <si>
    <t>42500</t>
  </si>
  <si>
    <t>**</t>
  </si>
  <si>
    <t>33012</t>
  </si>
  <si>
    <t>12500</t>
  </si>
  <si>
    <t>11104</t>
  </si>
  <si>
    <t>12300</t>
  </si>
  <si>
    <t>32007</t>
  </si>
  <si>
    <t>41100</t>
  </si>
  <si>
    <t>41200</t>
  </si>
  <si>
    <t>31005</t>
  </si>
  <si>
    <t>41300</t>
  </si>
  <si>
    <t>41400</t>
  </si>
  <si>
    <t>22307</t>
  </si>
  <si>
    <t>21200</t>
  </si>
  <si>
    <t>42600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</si>
</sst>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ddd"/>
    <numFmt numFmtId="166" formatCode="0.0"/>
    <numFmt numFmtId="167" formatCode="[$-409]h:mm\ AM/PM;@"/>
    <numFmt numFmtId="168" formatCode="0.0%"/>
    <numFmt numFmtId="169" formatCode="#,##0.0_);\(#,##0.0\)"/>
    <numFmt numFmtId="170" formatCode="#,##0.0"/>
    <numFmt numFmtId="171" formatCode="[$-409]d\-mmm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i/>
      <sz val="1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0"/>
      </top>
      <bottom/>
      <diagonal/>
    </border>
    <border>
      <left/>
      <right style="thick">
        <color indexed="0"/>
      </right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8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5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0" fontId="1" fillId="0" borderId="0"/>
    <xf numFmtId="0" fontId="18" fillId="0" borderId="0">
      <alignment vertical="top"/>
    </xf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0" fontId="22" fillId="0" borderId="0">
      <alignment vertical="top"/>
    </xf>
    <xf numFmtId="4" fontId="18" fillId="0" borderId="0" applyFont="0" applyFill="0" applyBorder="0" applyAlignment="0" applyProtection="0"/>
    <xf numFmtId="0" fontId="23" fillId="0" borderId="0" applyNumberFormat="0" applyFont="0" applyFill="0" applyAlignment="0" applyProtection="0"/>
    <xf numFmtId="0" fontId="24" fillId="0" borderId="0" applyNumberFormat="0" applyFont="0" applyFill="0" applyAlignment="0" applyProtection="0"/>
    <xf numFmtId="0" fontId="18" fillId="0" borderId="32" applyNumberFormat="0" applyFont="0" applyBorder="0" applyAlignment="0" applyProtection="0"/>
    <xf numFmtId="0" fontId="1" fillId="0" borderId="0"/>
    <xf numFmtId="0" fontId="22" fillId="0" borderId="0">
      <alignment vertical="top"/>
    </xf>
    <xf numFmtId="0" fontId="27" fillId="0" borderId="0"/>
    <xf numFmtId="0" fontId="27" fillId="0" borderId="0"/>
    <xf numFmtId="0" fontId="27" fillId="0" borderId="0"/>
  </cellStyleXfs>
  <cellXfs count="143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0" applyNumberFormat="1"/>
    <xf numFmtId="37" fontId="0" fillId="0" borderId="0" xfId="1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3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5" xfId="0" applyBorder="1"/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3" fontId="0" fillId="3" borderId="8" xfId="0" applyNumberFormat="1" applyFill="1" applyBorder="1"/>
    <xf numFmtId="3" fontId="10" fillId="3" borderId="0" xfId="0" applyNumberFormat="1" applyFont="1" applyFill="1" applyAlignment="1">
      <alignment horizontal="center"/>
    </xf>
    <xf numFmtId="0" fontId="0" fillId="0" borderId="9" xfId="0" applyBorder="1"/>
    <xf numFmtId="3" fontId="0" fillId="0" borderId="10" xfId="0" applyNumberFormat="1" applyBorder="1"/>
    <xf numFmtId="0" fontId="11" fillId="0" borderId="11" xfId="0" applyFont="1" applyBorder="1"/>
    <xf numFmtId="3" fontId="0" fillId="0" borderId="12" xfId="0" applyNumberFormat="1" applyBorder="1"/>
    <xf numFmtId="10" fontId="0" fillId="0" borderId="0" xfId="2" quotePrefix="1" applyNumberFormat="1" applyFont="1" applyAlignment="1">
      <alignment horizontal="center"/>
    </xf>
    <xf numFmtId="0" fontId="12" fillId="0" borderId="17" xfId="0" applyFont="1" applyBorder="1"/>
    <xf numFmtId="0" fontId="12" fillId="0" borderId="18" xfId="0" applyFont="1" applyBorder="1"/>
    <xf numFmtId="0" fontId="12" fillId="0" borderId="17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16" fontId="12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12" fillId="0" borderId="23" xfId="0" applyNumberFormat="1" applyFont="1" applyBorder="1" applyAlignment="1">
      <alignment horizontal="center"/>
    </xf>
    <xf numFmtId="3" fontId="12" fillId="0" borderId="17" xfId="0" applyNumberFormat="1" applyFont="1" applyBorder="1"/>
    <xf numFmtId="3" fontId="12" fillId="0" borderId="21" xfId="0" applyNumberFormat="1" applyFont="1" applyBorder="1" applyAlignment="1">
      <alignment horizontal="center"/>
    </xf>
    <xf numFmtId="3" fontId="14" fillId="0" borderId="26" xfId="0" applyNumberFormat="1" applyFont="1" applyBorder="1" applyAlignment="1">
      <alignment horizontal="center"/>
    </xf>
    <xf numFmtId="3" fontId="14" fillId="0" borderId="24" xfId="0" applyNumberFormat="1" applyFont="1" applyBorder="1" applyAlignment="1">
      <alignment horizontal="center"/>
    </xf>
    <xf numFmtId="166" fontId="14" fillId="0" borderId="24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15" fillId="0" borderId="16" xfId="0" applyNumberFormat="1" applyFont="1" applyBorder="1"/>
    <xf numFmtId="166" fontId="2" fillId="0" borderId="1" xfId="0" applyNumberFormat="1" applyFont="1" applyBorder="1" applyAlignment="1">
      <alignment horizontal="center"/>
    </xf>
    <xf numFmtId="0" fontId="7" fillId="0" borderId="3" xfId="4" applyFont="1" applyBorder="1" applyAlignment="1">
      <alignment horizontal="right" wrapText="1"/>
    </xf>
    <xf numFmtId="16" fontId="14" fillId="0" borderId="18" xfId="0" applyNumberFormat="1" applyFont="1" applyBorder="1" applyAlignment="1">
      <alignment horizontal="left"/>
    </xf>
    <xf numFmtId="0" fontId="14" fillId="0" borderId="18" xfId="0" applyFont="1" applyBorder="1"/>
    <xf numFmtId="3" fontId="14" fillId="0" borderId="18" xfId="0" applyNumberFormat="1" applyFont="1" applyBorder="1" applyAlignment="1">
      <alignment horizontal="center"/>
    </xf>
    <xf numFmtId="166" fontId="14" fillId="0" borderId="18" xfId="0" applyNumberFormat="1" applyFont="1" applyBorder="1" applyAlignment="1">
      <alignment horizontal="center"/>
    </xf>
    <xf numFmtId="16" fontId="14" fillId="0" borderId="0" xfId="0" applyNumberFormat="1" applyFont="1" applyAlignment="1">
      <alignment horizontal="left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" fontId="14" fillId="0" borderId="27" xfId="0" applyNumberFormat="1" applyFont="1" applyBorder="1" applyAlignment="1">
      <alignment horizontal="left"/>
    </xf>
    <xf numFmtId="0" fontId="14" fillId="0" borderId="28" xfId="0" applyFont="1" applyBorder="1"/>
    <xf numFmtId="3" fontId="14" fillId="0" borderId="28" xfId="0" applyNumberFormat="1" applyFont="1" applyBorder="1" applyAlignment="1">
      <alignment horizontal="center"/>
    </xf>
    <xf numFmtId="166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0" fontId="16" fillId="0" borderId="30" xfId="0" applyFont="1" applyBorder="1" applyAlignment="1">
      <alignment horizontal="left"/>
    </xf>
    <xf numFmtId="0" fontId="14" fillId="0" borderId="1" xfId="0" applyFont="1" applyBorder="1"/>
    <xf numFmtId="168" fontId="14" fillId="0" borderId="1" xfId="0" applyNumberFormat="1" applyFont="1" applyBorder="1" applyAlignment="1">
      <alignment horizontal="center"/>
    </xf>
    <xf numFmtId="0" fontId="14" fillId="0" borderId="31" xfId="0" applyFont="1" applyBorder="1"/>
    <xf numFmtId="3" fontId="2" fillId="0" borderId="1" xfId="0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166" fontId="12" fillId="0" borderId="18" xfId="0" applyNumberFormat="1" applyFont="1" applyBorder="1" applyAlignment="1">
      <alignment horizontal="center"/>
    </xf>
    <xf numFmtId="0" fontId="7" fillId="0" borderId="4" xfId="4" applyFont="1" applyBorder="1" applyAlignment="1">
      <alignment horizontal="righ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4" applyFont="1" applyAlignment="1">
      <alignment wrapText="1"/>
    </xf>
    <xf numFmtId="0" fontId="7" fillId="0" borderId="0" xfId="4" applyFont="1" applyAlignment="1">
      <alignment horizontal="right" wrapText="1"/>
    </xf>
    <xf numFmtId="166" fontId="14" fillId="0" borderId="14" xfId="0" applyNumberFormat="1" applyFont="1" applyBorder="1" applyAlignment="1">
      <alignment horizontal="center"/>
    </xf>
    <xf numFmtId="37" fontId="0" fillId="0" borderId="0" xfId="0" applyNumberFormat="1" applyAlignment="1">
      <alignment horizontal="center"/>
    </xf>
    <xf numFmtId="16" fontId="14" fillId="0" borderId="0" xfId="0" applyNumberFormat="1" applyFont="1" applyAlignment="1">
      <alignment horizontal="center"/>
    </xf>
    <xf numFmtId="0" fontId="7" fillId="2" borderId="2" xfId="5" applyFont="1" applyFill="1" applyBorder="1" applyAlignment="1">
      <alignment horizontal="center"/>
    </xf>
    <xf numFmtId="0" fontId="12" fillId="0" borderId="0" xfId="0" applyFont="1"/>
    <xf numFmtId="0" fontId="7" fillId="0" borderId="0" xfId="3" applyFont="1" applyAlignment="1">
      <alignment horizontal="right" wrapText="1"/>
    </xf>
    <xf numFmtId="0" fontId="19" fillId="0" borderId="0" xfId="7" applyProtection="1">
      <protection locked="0"/>
    </xf>
    <xf numFmtId="3" fontId="11" fillId="0" borderId="16" xfId="0" applyNumberFormat="1" applyFont="1" applyBorder="1"/>
    <xf numFmtId="3" fontId="14" fillId="0" borderId="1" xfId="0" applyNumberFormat="1" applyFont="1" applyBorder="1"/>
    <xf numFmtId="3" fontId="14" fillId="0" borderId="31" xfId="0" applyNumberFormat="1" applyFont="1" applyBorder="1"/>
    <xf numFmtId="0" fontId="20" fillId="2" borderId="2" xfId="8" applyFont="1" applyFill="1" applyBorder="1" applyAlignment="1">
      <alignment horizontal="center"/>
    </xf>
    <xf numFmtId="0" fontId="20" fillId="2" borderId="2" xfId="9" applyFont="1" applyFill="1" applyBorder="1" applyAlignment="1">
      <alignment horizontal="center"/>
    </xf>
    <xf numFmtId="0" fontId="20" fillId="0" borderId="3" xfId="9" applyFont="1" applyFill="1" applyBorder="1" applyAlignment="1">
      <alignment horizontal="right" wrapText="1"/>
    </xf>
    <xf numFmtId="0" fontId="20" fillId="0" borderId="3" xfId="9" applyFont="1" applyFill="1" applyBorder="1" applyAlignment="1">
      <alignment wrapText="1"/>
    </xf>
    <xf numFmtId="0" fontId="20" fillId="2" borderId="2" xfId="10" applyFont="1" applyFill="1" applyBorder="1" applyAlignment="1">
      <alignment horizontal="center"/>
    </xf>
    <xf numFmtId="0" fontId="0" fillId="0" borderId="0" xfId="0" applyProtection="1">
      <protection locked="0"/>
    </xf>
    <xf numFmtId="0" fontId="18" fillId="0" borderId="0" xfId="6" applyProtection="1">
      <protection locked="0"/>
    </xf>
    <xf numFmtId="0" fontId="18" fillId="0" borderId="0" xfId="6" applyProtection="1">
      <protection locked="0"/>
    </xf>
    <xf numFmtId="0" fontId="18" fillId="0" borderId="0" xfId="6" applyProtection="1">
      <protection locked="0"/>
    </xf>
    <xf numFmtId="166" fontId="12" fillId="0" borderId="0" xfId="0" applyNumberFormat="1" applyFont="1" applyBorder="1" applyAlignment="1">
      <alignment horizontal="center"/>
    </xf>
    <xf numFmtId="3" fontId="12" fillId="4" borderId="22" xfId="0" applyNumberFormat="1" applyFont="1" applyFill="1" applyBorder="1" applyAlignment="1">
      <alignment horizontal="center"/>
    </xf>
    <xf numFmtId="3" fontId="12" fillId="4" borderId="0" xfId="0" applyNumberFormat="1" applyFont="1" applyFill="1" applyAlignment="1">
      <alignment horizontal="center"/>
    </xf>
    <xf numFmtId="166" fontId="12" fillId="4" borderId="0" xfId="0" applyNumberFormat="1" applyFont="1" applyFill="1" applyAlignment="1">
      <alignment horizontal="center"/>
    </xf>
    <xf numFmtId="3" fontId="12" fillId="0" borderId="22" xfId="0" applyNumberFormat="1" applyFont="1" applyFill="1" applyBorder="1" applyAlignment="1">
      <alignment horizontal="center"/>
    </xf>
    <xf numFmtId="3" fontId="12" fillId="0" borderId="0" xfId="0" applyNumberFormat="1" applyFont="1" applyFill="1" applyAlignment="1">
      <alignment horizontal="center"/>
    </xf>
    <xf numFmtId="166" fontId="12" fillId="0" borderId="0" xfId="0" applyNumberFormat="1" applyFont="1" applyFill="1" applyAlignment="1">
      <alignment horizontal="center"/>
    </xf>
    <xf numFmtId="16" fontId="12" fillId="0" borderId="0" xfId="0" applyNumberFormat="1" applyFont="1" applyFill="1" applyAlignment="1">
      <alignment horizontal="center"/>
    </xf>
    <xf numFmtId="165" fontId="13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67" fontId="0" fillId="0" borderId="0" xfId="0" applyNumberFormat="1" applyFill="1" applyAlignment="1">
      <alignment horizontal="center"/>
    </xf>
    <xf numFmtId="166" fontId="12" fillId="0" borderId="23" xfId="0" applyNumberFormat="1" applyFont="1" applyFill="1" applyBorder="1" applyAlignment="1">
      <alignment horizontal="center"/>
    </xf>
    <xf numFmtId="0" fontId="0" fillId="0" borderId="0" xfId="0" applyFill="1"/>
    <xf numFmtId="3" fontId="14" fillId="0" borderId="26" xfId="0" applyNumberFormat="1" applyFont="1" applyFill="1" applyBorder="1" applyAlignment="1">
      <alignment horizontal="center"/>
    </xf>
    <xf numFmtId="3" fontId="14" fillId="0" borderId="24" xfId="0" applyNumberFormat="1" applyFont="1" applyFill="1" applyBorder="1" applyAlignment="1">
      <alignment horizontal="center"/>
    </xf>
    <xf numFmtId="166" fontId="14" fillId="0" borderId="24" xfId="0" applyNumberFormat="1" applyFont="1" applyFill="1" applyBorder="1" applyAlignment="1">
      <alignment horizontal="center"/>
    </xf>
    <xf numFmtId="3" fontId="14" fillId="0" borderId="0" xfId="0" applyNumberFormat="1" applyFont="1" applyFill="1" applyAlignment="1">
      <alignment horizontal="center"/>
    </xf>
    <xf numFmtId="3" fontId="0" fillId="0" borderId="0" xfId="0" applyNumberFormat="1" applyFill="1"/>
    <xf numFmtId="0" fontId="7" fillId="0" borderId="3" xfId="5" applyFont="1" applyFill="1" applyBorder="1" applyAlignment="1">
      <alignment horizontal="right" wrapText="1"/>
    </xf>
    <xf numFmtId="0" fontId="7" fillId="0" borderId="3" xfId="5" applyFont="1" applyFill="1" applyBorder="1" applyAlignment="1">
      <alignment wrapText="1"/>
    </xf>
    <xf numFmtId="17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6" fontId="14" fillId="0" borderId="24" xfId="0" applyNumberFormat="1" applyFont="1" applyFill="1" applyBorder="1" applyAlignment="1">
      <alignment horizontal="center"/>
    </xf>
    <xf numFmtId="16" fontId="14" fillId="0" borderId="25" xfId="0" applyNumberFormat="1" applyFont="1" applyFill="1" applyBorder="1" applyAlignment="1">
      <alignment horizontal="center"/>
    </xf>
    <xf numFmtId="16" fontId="14" fillId="0" borderId="34" xfId="0" applyNumberFormat="1" applyFont="1" applyFill="1" applyBorder="1" applyAlignment="1">
      <alignment horizontal="center"/>
    </xf>
    <xf numFmtId="16" fontId="14" fillId="0" borderId="33" xfId="0" applyNumberFormat="1" applyFont="1" applyFill="1" applyBorder="1" applyAlignment="1">
      <alignment horizontal="center"/>
    </xf>
    <xf numFmtId="16" fontId="14" fillId="0" borderId="24" xfId="0" applyNumberFormat="1" applyFont="1" applyBorder="1" applyAlignment="1">
      <alignment horizontal="center"/>
    </xf>
    <xf numFmtId="16" fontId="14" fillId="0" borderId="25" xfId="0" applyNumberFormat="1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3" fontId="12" fillId="0" borderId="18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16" fontId="12" fillId="0" borderId="19" xfId="0" applyNumberFormat="1" applyFont="1" applyBorder="1" applyAlignment="1">
      <alignment horizontal="center"/>
    </xf>
    <xf numFmtId="16" fontId="12" fillId="0" borderId="18" xfId="0" applyNumberFormat="1" applyFont="1" applyBorder="1" applyAlignment="1">
      <alignment horizontal="center"/>
    </xf>
    <xf numFmtId="16" fontId="12" fillId="0" borderId="20" xfId="0" applyNumberFormat="1" applyFont="1" applyBorder="1" applyAlignment="1">
      <alignment horizontal="center"/>
    </xf>
    <xf numFmtId="0" fontId="27" fillId="0" borderId="0" xfId="32" applyProtection="1">
      <protection locked="0"/>
    </xf>
    <xf numFmtId="0" fontId="27" fillId="0" borderId="0" xfId="33" applyProtection="1">
      <protection locked="0"/>
    </xf>
    <xf numFmtId="0" fontId="27" fillId="0" borderId="0" xfId="33" applyProtection="1">
      <protection locked="0"/>
    </xf>
    <xf numFmtId="0" fontId="27" fillId="0" borderId="0" xfId="33" applyProtection="1">
      <protection locked="0"/>
    </xf>
  </cellXfs>
  <cellStyles count="34">
    <cellStyle name="Comma" xfId="1" builtinId="3"/>
    <cellStyle name="Comma 2" xfId="12" xr:uid="{5A0480C8-43E6-4579-AA5F-71BFA63E8A6F}"/>
    <cellStyle name="Comma 3" xfId="25" xr:uid="{45815489-39BE-47AA-A8D7-27FDEC6B825E}"/>
    <cellStyle name="Comma0" xfId="13" xr:uid="{D992EF3C-7028-40D2-A147-4E6A3565172A}"/>
    <cellStyle name="Currency 2" xfId="14" xr:uid="{3D0E7746-3610-4B4C-92BC-16FE03BB483D}"/>
    <cellStyle name="Currency0" xfId="15" xr:uid="{1FD5A51E-D1AF-4BDE-81BB-1F4C1166E357}"/>
    <cellStyle name="Date" xfId="16" xr:uid="{A25C44B2-778B-4463-8748-DABD73AB0F27}"/>
    <cellStyle name="Fixed" xfId="17" xr:uid="{21588A2B-5C0C-4377-9A37-C419901FE503}"/>
    <cellStyle name="Heading 1 2" xfId="26" xr:uid="{3E255AC5-6346-4902-BB6A-A9B41F3FA737}"/>
    <cellStyle name="Heading 2 2" xfId="27" xr:uid="{64DF30F8-FE72-4413-B8EF-551D4CE238D6}"/>
    <cellStyle name="Normal" xfId="0" builtinId="0"/>
    <cellStyle name="Normal 10" xfId="33" xr:uid="{F23BB3CB-4027-4C5C-AD15-8E2CF2909B5F}"/>
    <cellStyle name="Normal 2" xfId="6" xr:uid="{5F026BFF-F180-40A1-98B2-919AFB767081}"/>
    <cellStyle name="Normal 3" xfId="7" xr:uid="{FA6E2879-CF0C-4935-9AA1-6F3A1A0A2A09}"/>
    <cellStyle name="Normal 3 2" xfId="29" xr:uid="{38A15E38-20BD-4C4E-A4F6-3A3F52867024}"/>
    <cellStyle name="Normal 3_Harvest" xfId="18" xr:uid="{E234AF35-0065-46F6-9D22-8A2606341E41}"/>
    <cellStyle name="Normal 4" xfId="19" xr:uid="{368060C2-7E6F-4433-8630-62FB143BEC16}"/>
    <cellStyle name="Normal 5" xfId="20" xr:uid="{035C9A1B-B44C-409D-ACCD-A6BD73AFC18B}"/>
    <cellStyle name="Normal 5 2" xfId="21" xr:uid="{8F8DB13E-473B-482E-A074-D0D6943C7DC4}"/>
    <cellStyle name="Normal 5 2 2" xfId="11" xr:uid="{B2EFC308-24F1-4ADE-A23A-3777C18BBAF7}"/>
    <cellStyle name="Normal 5 2 2 2" xfId="22" xr:uid="{DF0C93C7-9DA5-42DB-973D-0D6DC8A920B1}"/>
    <cellStyle name="Normal 6" xfId="24" xr:uid="{BDDACFF0-5A47-42F6-A848-B09E950EC19E}"/>
    <cellStyle name="Normal 7" xfId="30" xr:uid="{3A2F85EF-BD8D-4B4C-A9F2-39593565240D}"/>
    <cellStyle name="Normal 8" xfId="31" xr:uid="{763F9B8A-1DCA-4B88-A3FB-01948E69277C}"/>
    <cellStyle name="Normal 9" xfId="32" xr:uid="{BAD39F89-9D64-4D10-96BD-821CB3EF05B5}"/>
    <cellStyle name="Normal_Cop Wastage_1" xfId="10" xr:uid="{7987794B-CE1A-4972-B3BC-32F2D26DBBCD}"/>
    <cellStyle name="Normal_Copy Sheet" xfId="4" xr:uid="{00000000-0005-0000-0000-000002000000}"/>
    <cellStyle name="Normal_LB Wastage" xfId="3" xr:uid="{00000000-0005-0000-0000-000003000000}"/>
    <cellStyle name="Normal_LB Wastage_1" xfId="9" xr:uid="{FEEDB232-1B89-4072-A2EF-C67B734FB1DF}"/>
    <cellStyle name="Normal_Moc Wastage" xfId="5" xr:uid="{62C406E5-A92E-4E4C-BB7A-FDDD433B630E}"/>
    <cellStyle name="Normal_TH Wastage_1" xfId="8" xr:uid="{E73622CF-96CE-4D4E-AFBE-0616F89A43F6}"/>
    <cellStyle name="Percent" xfId="2" builtinId="5"/>
    <cellStyle name="Percent 2" xfId="23" xr:uid="{E5BA0AB6-0C8F-4FF7-9429-2967EB43FFDA}"/>
    <cellStyle name="Total 2" xfId="28" xr:uid="{72733C6B-FFF1-4D49-9835-DCDE6D4BE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49"/>
  <sheetViews>
    <sheetView topLeftCell="A94" zoomScaleNormal="100" workbookViewId="0">
      <selection activeCell="P112" sqref="P112"/>
    </sheetView>
  </sheetViews>
  <sheetFormatPr defaultRowHeight="15" x14ac:dyDescent="0.25"/>
  <cols>
    <col min="1" max="1" width="18.7109375" style="2" customWidth="1"/>
    <col min="2" max="2" width="7" style="8" customWidth="1"/>
    <col min="3" max="3" width="7.7109375" style="8" customWidth="1"/>
    <col min="4" max="4" width="9.85546875" style="13" customWidth="1"/>
    <col min="5" max="5" width="3.7109375" style="6" customWidth="1"/>
    <col min="6" max="6" width="12.7109375" style="9" customWidth="1"/>
    <col min="7" max="7" width="3.7109375" customWidth="1"/>
    <col min="8" max="8" width="12.7109375" style="9" customWidth="1"/>
    <col min="9" max="9" width="3.7109375" customWidth="1"/>
    <col min="10" max="10" width="12.7109375" style="9" customWidth="1"/>
    <col min="11" max="11" width="3.7109375" customWidth="1"/>
    <col min="12" max="12" width="12.7109375" style="9" customWidth="1"/>
    <col min="13" max="13" width="3.7109375" customWidth="1"/>
    <col min="14" max="14" width="12.7109375" style="8" customWidth="1"/>
    <col min="15" max="15" width="18.140625" style="9" bestFit="1" customWidth="1"/>
  </cols>
  <sheetData>
    <row r="1" spans="1:15" x14ac:dyDescent="0.25">
      <c r="A1" s="14" t="s">
        <v>0</v>
      </c>
      <c r="B1" s="1" t="s">
        <v>1</v>
      </c>
      <c r="C1" s="1" t="s">
        <v>2</v>
      </c>
      <c r="D1" s="12" t="s">
        <v>3</v>
      </c>
      <c r="E1" s="124" t="s">
        <v>4</v>
      </c>
      <c r="F1" s="124"/>
      <c r="G1" s="124" t="s">
        <v>5</v>
      </c>
      <c r="H1" s="124"/>
      <c r="I1" s="124" t="s">
        <v>6</v>
      </c>
      <c r="J1" s="124"/>
      <c r="K1" s="124" t="s">
        <v>7</v>
      </c>
      <c r="L1" s="124"/>
      <c r="M1" s="124" t="s">
        <v>8</v>
      </c>
      <c r="N1" s="124"/>
      <c r="O1" s="74" t="s">
        <v>9</v>
      </c>
    </row>
    <row r="2" spans="1:15" x14ac:dyDescent="0.25">
      <c r="A2" s="80">
        <v>45198</v>
      </c>
      <c r="B2" s="8" t="s">
        <v>18</v>
      </c>
      <c r="C2" s="8">
        <v>-0.4</v>
      </c>
      <c r="D2" s="13">
        <v>0.8041666666666667</v>
      </c>
      <c r="E2" s="79"/>
      <c r="F2" s="9">
        <f>CPUE!F2*Effort!F2</f>
        <v>44532.182011995457</v>
      </c>
      <c r="G2" s="8"/>
      <c r="H2" s="9">
        <v>41038.749022028198</v>
      </c>
      <c r="I2" s="8"/>
      <c r="J2" s="9" t="s">
        <v>10</v>
      </c>
      <c r="K2" s="8"/>
      <c r="L2" s="9" t="s">
        <v>10</v>
      </c>
      <c r="M2" s="8"/>
      <c r="N2" s="9" t="s">
        <v>10</v>
      </c>
      <c r="O2" s="9">
        <f t="shared" ref="O2:O65" si="0">SUM(F2:N2)</f>
        <v>85570.931034023655</v>
      </c>
    </row>
    <row r="3" spans="1:15" x14ac:dyDescent="0.25">
      <c r="A3" s="80">
        <v>45199</v>
      </c>
      <c r="B3" s="8" t="s">
        <v>19</v>
      </c>
      <c r="C3" s="8">
        <v>-0.9</v>
      </c>
      <c r="D3" s="13">
        <v>0.83611111111111114</v>
      </c>
      <c r="E3" s="79" t="s">
        <v>68</v>
      </c>
      <c r="F3" s="9">
        <f>CPUE!F3*Effort!F3</f>
        <v>63383.997105694521</v>
      </c>
      <c r="G3" s="8"/>
      <c r="H3" s="9">
        <v>58456.345873840597</v>
      </c>
      <c r="I3" s="8"/>
      <c r="J3" s="9">
        <v>72769.484324212695</v>
      </c>
      <c r="K3" s="8"/>
      <c r="L3" s="9" t="s">
        <v>10</v>
      </c>
      <c r="M3" s="8"/>
      <c r="N3" s="9" t="s">
        <v>10</v>
      </c>
      <c r="O3" s="9">
        <f t="shared" si="0"/>
        <v>194609.82730374782</v>
      </c>
    </row>
    <row r="4" spans="1:15" x14ac:dyDescent="0.25">
      <c r="A4" s="80">
        <v>45200</v>
      </c>
      <c r="B4" s="8" t="s">
        <v>20</v>
      </c>
      <c r="C4" s="8">
        <v>-1</v>
      </c>
      <c r="D4" s="13">
        <v>0.86736111111111114</v>
      </c>
      <c r="E4" s="79" t="s">
        <v>68</v>
      </c>
      <c r="F4" s="9">
        <f>CPUE!F4*Effort!F4</f>
        <v>30947.925012338561</v>
      </c>
      <c r="G4" s="8"/>
      <c r="H4" s="9">
        <v>28720.123247662999</v>
      </c>
      <c r="I4" s="8"/>
      <c r="J4" s="9" t="s">
        <v>10</v>
      </c>
      <c r="K4" s="8"/>
      <c r="L4" s="9" t="s">
        <v>10</v>
      </c>
      <c r="M4" s="8"/>
      <c r="N4" s="9" t="s">
        <v>10</v>
      </c>
      <c r="O4" s="9">
        <f t="shared" si="0"/>
        <v>59668.04826000156</v>
      </c>
    </row>
    <row r="5" spans="1:15" x14ac:dyDescent="0.25">
      <c r="A5" s="80">
        <v>45201</v>
      </c>
      <c r="B5" s="8" t="s">
        <v>21</v>
      </c>
      <c r="C5" s="8">
        <v>-0.9</v>
      </c>
      <c r="D5" s="13">
        <v>0.9</v>
      </c>
      <c r="E5" s="79"/>
      <c r="F5" s="9">
        <f>CPUE!F5*Effort!F5</f>
        <v>394.03044323625932</v>
      </c>
      <c r="G5" s="8" t="s">
        <v>68</v>
      </c>
      <c r="H5" s="9">
        <f>CPUE!H5*Effort!H5</f>
        <v>2272.9900659887189</v>
      </c>
      <c r="I5" s="8"/>
      <c r="J5" s="9">
        <v>4367.6468214619699</v>
      </c>
      <c r="K5" s="8"/>
      <c r="L5" s="9" t="s">
        <v>10</v>
      </c>
      <c r="M5" s="8"/>
      <c r="N5" s="9" t="s">
        <v>10</v>
      </c>
      <c r="O5" s="9">
        <f t="shared" si="0"/>
        <v>7034.6673306869479</v>
      </c>
    </row>
    <row r="6" spans="1:15" x14ac:dyDescent="0.25">
      <c r="A6" s="80"/>
      <c r="E6" s="79"/>
      <c r="G6" s="8"/>
      <c r="I6" s="8"/>
      <c r="K6" s="8"/>
      <c r="M6" s="8"/>
      <c r="N6" s="9"/>
    </row>
    <row r="7" spans="1:15" x14ac:dyDescent="0.25">
      <c r="A7" s="80">
        <v>45213</v>
      </c>
      <c r="B7" s="8" t="s">
        <v>19</v>
      </c>
      <c r="C7" s="8">
        <v>0.2</v>
      </c>
      <c r="D7" s="13">
        <v>0.80347222222222225</v>
      </c>
      <c r="E7" s="79"/>
      <c r="F7" s="9">
        <f>3482.98267566672+10080.507035801</f>
        <v>13563.489711467719</v>
      </c>
      <c r="G7" s="8" t="s">
        <v>68</v>
      </c>
      <c r="H7" s="9">
        <f>CPUE!H7*Effort!H7</f>
        <v>21041.61912851502</v>
      </c>
      <c r="I7" s="8"/>
      <c r="J7" s="9" t="s">
        <v>10</v>
      </c>
      <c r="K7" s="8"/>
      <c r="L7" s="9">
        <v>22050.241336299601</v>
      </c>
      <c r="M7" s="8"/>
      <c r="N7" s="9" t="s">
        <v>10</v>
      </c>
      <c r="O7" s="9">
        <f t="shared" si="0"/>
        <v>56655.350176282343</v>
      </c>
    </row>
    <row r="8" spans="1:15" x14ac:dyDescent="0.25">
      <c r="A8" s="80">
        <v>45214</v>
      </c>
      <c r="B8" s="8" t="s">
        <v>20</v>
      </c>
      <c r="C8" s="8">
        <v>-0.1</v>
      </c>
      <c r="D8" s="13">
        <v>0.82777777777777783</v>
      </c>
      <c r="E8" s="79" t="s">
        <v>68</v>
      </c>
      <c r="F8" s="9">
        <f>CPUE!F8*Effort!F8</f>
        <v>6589.0142490024828</v>
      </c>
      <c r="G8" s="8"/>
      <c r="H8" s="9">
        <v>3269.4336445613599</v>
      </c>
      <c r="I8" s="8"/>
      <c r="J8" s="9">
        <v>13056.598941708</v>
      </c>
      <c r="K8" s="8"/>
      <c r="L8" s="9" t="s">
        <v>10</v>
      </c>
      <c r="M8" s="8"/>
      <c r="N8" s="9" t="s">
        <v>10</v>
      </c>
      <c r="O8" s="9">
        <f t="shared" si="0"/>
        <v>22915.046835271845</v>
      </c>
    </row>
    <row r="9" spans="1:15" x14ac:dyDescent="0.25">
      <c r="A9" s="80">
        <v>45215</v>
      </c>
      <c r="B9" s="8" t="s">
        <v>21</v>
      </c>
      <c r="C9" s="8">
        <v>-0.3</v>
      </c>
      <c r="D9" s="13">
        <v>0.85277777777777775</v>
      </c>
      <c r="E9" s="79" t="s">
        <v>68</v>
      </c>
      <c r="F9" s="9">
        <f>CPUE!F9*Effort!F9</f>
        <v>4291.5689903106068</v>
      </c>
      <c r="G9" s="8"/>
      <c r="H9" s="9">
        <v>4238.6004831825703</v>
      </c>
      <c r="I9" s="8"/>
      <c r="J9" s="9" t="s">
        <v>10</v>
      </c>
      <c r="K9" s="8"/>
      <c r="L9" s="9">
        <v>3987.17461665063</v>
      </c>
      <c r="M9" s="8"/>
      <c r="N9" s="9" t="s">
        <v>10</v>
      </c>
      <c r="O9" s="9">
        <f t="shared" si="0"/>
        <v>12517.344090143808</v>
      </c>
    </row>
    <row r="10" spans="1:15" x14ac:dyDescent="0.25">
      <c r="A10" s="80">
        <v>45216</v>
      </c>
      <c r="B10" s="8" t="s">
        <v>66</v>
      </c>
      <c r="C10" s="8">
        <v>-0.4</v>
      </c>
      <c r="D10" s="13">
        <v>0.87916666666666676</v>
      </c>
      <c r="E10" s="79"/>
      <c r="F10" s="9">
        <f>CPUE!F10*Effort!F10</f>
        <v>4433.092749513331</v>
      </c>
      <c r="G10" s="8" t="s">
        <v>68</v>
      </c>
      <c r="H10" s="9">
        <f>CPUE!H10*Effort!H10</f>
        <v>2978.7291657139108</v>
      </c>
      <c r="I10" s="8"/>
      <c r="J10" s="9">
        <v>5366.3640418704799</v>
      </c>
      <c r="K10" s="8"/>
      <c r="L10" s="9" t="s">
        <v>10</v>
      </c>
      <c r="M10" s="8"/>
      <c r="N10" s="9" t="s">
        <v>10</v>
      </c>
      <c r="O10" s="9">
        <f t="shared" si="0"/>
        <v>12778.185957097721</v>
      </c>
    </row>
    <row r="11" spans="1:15" x14ac:dyDescent="0.25">
      <c r="A11" s="80">
        <v>45217</v>
      </c>
      <c r="B11" s="8" t="s">
        <v>67</v>
      </c>
      <c r="C11" s="8">
        <v>-0.3</v>
      </c>
      <c r="D11" s="13">
        <v>0.90902777777777777</v>
      </c>
      <c r="E11" s="79"/>
      <c r="F11" s="9" t="s">
        <v>10</v>
      </c>
      <c r="G11" s="8"/>
      <c r="H11" s="9" t="s">
        <v>10</v>
      </c>
      <c r="I11" s="8"/>
      <c r="J11" s="9" t="s">
        <v>10</v>
      </c>
      <c r="K11" s="8"/>
      <c r="L11" s="9">
        <v>3764.3275557711499</v>
      </c>
      <c r="M11" s="8"/>
      <c r="N11" s="9" t="s">
        <v>10</v>
      </c>
      <c r="O11" s="9">
        <f t="shared" si="0"/>
        <v>3764.3275557711499</v>
      </c>
    </row>
    <row r="12" spans="1:15" x14ac:dyDescent="0.25">
      <c r="A12" s="80"/>
      <c r="E12" s="79"/>
      <c r="G12" s="8"/>
      <c r="I12" s="8"/>
      <c r="K12" s="8"/>
      <c r="M12" s="8"/>
      <c r="N12" s="9"/>
    </row>
    <row r="13" spans="1:15" x14ac:dyDescent="0.25">
      <c r="A13" s="80">
        <v>45226</v>
      </c>
      <c r="B13" s="8" t="s">
        <v>18</v>
      </c>
      <c r="C13" s="8">
        <v>-0.4</v>
      </c>
      <c r="D13" s="13">
        <v>0.76250000000000007</v>
      </c>
      <c r="E13" s="79"/>
      <c r="F13" s="9">
        <f>12457.2095200709+22290.208749628</f>
        <v>34747.418269698901</v>
      </c>
      <c r="G13" s="8" t="s">
        <v>68</v>
      </c>
      <c r="H13" s="9">
        <f>CPUE!H13*Effort!H13</f>
        <v>35127.88567016217</v>
      </c>
      <c r="I13" s="8"/>
      <c r="J13" s="9" t="s">
        <v>10</v>
      </c>
      <c r="K13" s="8"/>
      <c r="L13" s="9">
        <v>27143.770157088598</v>
      </c>
      <c r="M13" s="8"/>
      <c r="N13" s="9" t="s">
        <v>10</v>
      </c>
      <c r="O13" s="9">
        <f t="shared" si="0"/>
        <v>97019.074096949669</v>
      </c>
    </row>
    <row r="14" spans="1:15" x14ac:dyDescent="0.25">
      <c r="A14" s="80">
        <v>45227</v>
      </c>
      <c r="B14" s="8" t="s">
        <v>19</v>
      </c>
      <c r="C14" s="8">
        <v>-1</v>
      </c>
      <c r="D14" s="13">
        <v>0.79375000000000007</v>
      </c>
      <c r="E14" s="79"/>
      <c r="F14" s="9">
        <f>CPUE!F14*Effort!F14</f>
        <v>64588.482527193184</v>
      </c>
      <c r="G14" s="8" t="s">
        <v>68</v>
      </c>
      <c r="H14" s="9">
        <f>CPUE!H14*Effort!H14</f>
        <v>61989.428841144407</v>
      </c>
      <c r="I14" s="8"/>
      <c r="J14" s="9">
        <v>88542.046184912702</v>
      </c>
      <c r="K14" s="8"/>
      <c r="L14" s="9" t="s">
        <v>10</v>
      </c>
      <c r="M14" s="8"/>
      <c r="N14" s="9" t="s">
        <v>10</v>
      </c>
      <c r="O14" s="9">
        <f t="shared" si="0"/>
        <v>215119.95755325031</v>
      </c>
    </row>
    <row r="15" spans="1:15" x14ac:dyDescent="0.25">
      <c r="A15" s="80">
        <v>45228</v>
      </c>
      <c r="B15" s="8" t="s">
        <v>20</v>
      </c>
      <c r="C15" s="8">
        <v>-1.3</v>
      </c>
      <c r="D15" s="13">
        <v>0.82361111111111107</v>
      </c>
      <c r="E15" s="79" t="s">
        <v>68</v>
      </c>
      <c r="F15" s="9">
        <f>CPUE!F15*Effort!F15</f>
        <v>28776.20548870572</v>
      </c>
      <c r="G15" s="8"/>
      <c r="H15" s="9">
        <v>29622.071977896601</v>
      </c>
      <c r="I15" s="8"/>
      <c r="J15" s="9" t="s">
        <v>10</v>
      </c>
      <c r="K15" s="8"/>
      <c r="L15" s="9">
        <v>22419.127967242301</v>
      </c>
      <c r="M15" s="8"/>
      <c r="N15" s="9" t="s">
        <v>10</v>
      </c>
      <c r="O15" s="9">
        <f t="shared" si="0"/>
        <v>80817.405433844615</v>
      </c>
    </row>
    <row r="16" spans="1:15" x14ac:dyDescent="0.25">
      <c r="A16" s="80">
        <v>45229</v>
      </c>
      <c r="B16" s="8" t="s">
        <v>21</v>
      </c>
      <c r="C16" s="8">
        <v>-1.3</v>
      </c>
      <c r="D16" s="13">
        <v>0.8534722222222223</v>
      </c>
      <c r="E16" s="79" t="s">
        <v>68</v>
      </c>
      <c r="F16" s="9">
        <f>CPUE!F16*Effort!F16</f>
        <v>11622.022451350811</v>
      </c>
      <c r="G16" s="8"/>
      <c r="H16" s="9">
        <v>11137.6267385844</v>
      </c>
      <c r="I16" s="8"/>
      <c r="J16" s="9">
        <v>16481.6026611462</v>
      </c>
      <c r="K16" s="8"/>
      <c r="L16" s="9" t="s">
        <v>10</v>
      </c>
      <c r="M16" s="8"/>
      <c r="N16" s="9" t="s">
        <v>10</v>
      </c>
      <c r="O16" s="9">
        <f t="shared" si="0"/>
        <v>39241.251851081412</v>
      </c>
    </row>
    <row r="17" spans="1:15" x14ac:dyDescent="0.25">
      <c r="A17" s="80">
        <v>45230</v>
      </c>
      <c r="B17" s="8" t="s">
        <v>66</v>
      </c>
      <c r="C17" s="8">
        <v>-1</v>
      </c>
      <c r="D17" s="13">
        <v>0.8833333333333333</v>
      </c>
      <c r="E17" s="79"/>
      <c r="F17" s="9" t="s">
        <v>10</v>
      </c>
      <c r="G17" s="8"/>
      <c r="H17" s="9" t="s">
        <v>10</v>
      </c>
      <c r="I17" s="8"/>
      <c r="J17" s="9" t="s">
        <v>10</v>
      </c>
      <c r="K17" s="8"/>
      <c r="L17" s="9">
        <v>3479.6687060109898</v>
      </c>
      <c r="M17" s="8"/>
      <c r="N17" s="9" t="s">
        <v>10</v>
      </c>
      <c r="O17" s="9">
        <f t="shared" si="0"/>
        <v>3479.6687060109898</v>
      </c>
    </row>
    <row r="18" spans="1:15" x14ac:dyDescent="0.25">
      <c r="A18" s="80"/>
      <c r="E18" s="79"/>
      <c r="G18" s="8"/>
      <c r="I18" s="8"/>
      <c r="K18" s="8"/>
      <c r="M18" s="8"/>
      <c r="N18" s="9"/>
    </row>
    <row r="19" spans="1:15" x14ac:dyDescent="0.25">
      <c r="A19" s="80">
        <v>45242</v>
      </c>
      <c r="B19" s="8" t="s">
        <v>20</v>
      </c>
      <c r="C19" s="8">
        <v>-0.3</v>
      </c>
      <c r="D19" s="13">
        <v>0.74513888888888891</v>
      </c>
      <c r="E19" s="79"/>
      <c r="F19" s="9" t="s">
        <v>10</v>
      </c>
      <c r="G19" s="8"/>
      <c r="H19" s="9" t="s">
        <v>10</v>
      </c>
      <c r="I19" s="8"/>
      <c r="J19" s="9" t="s">
        <v>10</v>
      </c>
      <c r="K19" s="8"/>
      <c r="L19" s="9">
        <v>7083.4606011184596</v>
      </c>
      <c r="M19" s="8"/>
      <c r="N19" s="9" t="s">
        <v>10</v>
      </c>
      <c r="O19" s="9">
        <f t="shared" si="0"/>
        <v>7083.4606011184596</v>
      </c>
    </row>
    <row r="20" spans="1:15" x14ac:dyDescent="0.25">
      <c r="A20" s="80">
        <v>45243</v>
      </c>
      <c r="B20" s="8" t="s">
        <v>21</v>
      </c>
      <c r="C20" s="8">
        <v>-0.7</v>
      </c>
      <c r="D20" s="13">
        <v>0.77083333333333337</v>
      </c>
      <c r="E20" s="79" t="s">
        <v>68</v>
      </c>
      <c r="F20" s="9">
        <f>CPUE!F20*Effort!F20</f>
        <v>9528.3861161248715</v>
      </c>
      <c r="G20" s="8"/>
      <c r="H20" s="9">
        <v>8573.2218399920603</v>
      </c>
      <c r="I20" s="8"/>
      <c r="J20" s="9">
        <v>9347.6733689929406</v>
      </c>
      <c r="K20" s="8"/>
      <c r="L20" s="9" t="s">
        <v>10</v>
      </c>
      <c r="M20" s="8"/>
      <c r="N20" s="9" t="s">
        <v>10</v>
      </c>
      <c r="O20" s="9">
        <f t="shared" si="0"/>
        <v>27449.281325109871</v>
      </c>
    </row>
    <row r="21" spans="1:15" x14ac:dyDescent="0.25">
      <c r="A21" s="80">
        <v>45244</v>
      </c>
      <c r="B21" s="8" t="s">
        <v>66</v>
      </c>
      <c r="C21" s="8">
        <v>-0.9</v>
      </c>
      <c r="D21" s="13">
        <v>0.79791666666666661</v>
      </c>
      <c r="E21" s="79"/>
      <c r="F21" s="9">
        <f>CPUE!F21*Effort!F21</f>
        <v>7177.0005666177476</v>
      </c>
      <c r="G21" s="8"/>
      <c r="H21" s="9">
        <v>7304.9194182206802</v>
      </c>
      <c r="I21" s="8"/>
      <c r="J21" s="9" t="s">
        <v>10</v>
      </c>
      <c r="K21" s="8"/>
      <c r="L21" s="9">
        <v>8066.6670329987201</v>
      </c>
      <c r="M21" s="8"/>
      <c r="N21" s="9" t="s">
        <v>10</v>
      </c>
      <c r="O21" s="9">
        <f t="shared" si="0"/>
        <v>22548.587017837148</v>
      </c>
    </row>
    <row r="22" spans="1:15" x14ac:dyDescent="0.25">
      <c r="A22" s="80">
        <v>45245</v>
      </c>
      <c r="B22" s="8" t="s">
        <v>67</v>
      </c>
      <c r="C22" s="8">
        <v>-0.9</v>
      </c>
      <c r="D22" s="13">
        <v>0.82708333333333339</v>
      </c>
      <c r="E22" s="79"/>
      <c r="F22" s="9">
        <f>CPUE!F22*Effort!F22</f>
        <v>3852.9506366046462</v>
      </c>
      <c r="G22" s="8" t="s">
        <v>68</v>
      </c>
      <c r="H22" s="9">
        <f>CPUE!H22*Effort!H22</f>
        <v>3419.54896186512</v>
      </c>
      <c r="I22" s="8"/>
      <c r="J22" s="9">
        <v>6721.8045453981804</v>
      </c>
      <c r="K22" s="8"/>
      <c r="L22" s="9" t="s">
        <v>10</v>
      </c>
      <c r="M22" s="8"/>
      <c r="N22" s="9" t="s">
        <v>10</v>
      </c>
      <c r="O22" s="9">
        <f t="shared" si="0"/>
        <v>13994.304143867947</v>
      </c>
    </row>
    <row r="23" spans="1:15" x14ac:dyDescent="0.25">
      <c r="A23" s="80">
        <v>45246</v>
      </c>
      <c r="B23" s="8" t="s">
        <v>22</v>
      </c>
      <c r="C23" s="8">
        <v>-0.8</v>
      </c>
      <c r="D23" s="13">
        <v>0.85902777777777783</v>
      </c>
      <c r="E23" s="79" t="s">
        <v>68</v>
      </c>
      <c r="F23" s="9">
        <f>CPUE!F23*Effort!F23</f>
        <v>5462.8014479560097</v>
      </c>
      <c r="G23" s="8" t="s">
        <v>68</v>
      </c>
      <c r="H23" s="9">
        <f>CPUE!H23*Effort!H23</f>
        <v>4915.1879563213697</v>
      </c>
      <c r="I23" s="8"/>
      <c r="J23" s="9" t="s">
        <v>10</v>
      </c>
      <c r="K23" s="8"/>
      <c r="L23" s="9">
        <v>4395.6635507819101</v>
      </c>
      <c r="M23" s="8"/>
      <c r="N23" s="9" t="s">
        <v>10</v>
      </c>
      <c r="O23" s="9">
        <f t="shared" si="0"/>
        <v>14773.65295505929</v>
      </c>
    </row>
    <row r="24" spans="1:15" x14ac:dyDescent="0.25">
      <c r="A24" s="80">
        <v>45247</v>
      </c>
      <c r="B24" s="8" t="s">
        <v>18</v>
      </c>
      <c r="C24" s="8">
        <v>-0.5</v>
      </c>
      <c r="D24" s="13">
        <v>0.89374999999999993</v>
      </c>
      <c r="E24" s="79"/>
      <c r="F24" s="9" t="s">
        <v>10</v>
      </c>
      <c r="G24" s="8"/>
      <c r="H24" s="9" t="s">
        <v>10</v>
      </c>
      <c r="I24" s="8"/>
      <c r="J24" s="9">
        <v>14744.2391129511</v>
      </c>
      <c r="K24" s="8"/>
      <c r="L24" s="9" t="s">
        <v>10</v>
      </c>
      <c r="M24" s="8"/>
      <c r="N24" s="9" t="s">
        <v>10</v>
      </c>
      <c r="O24" s="9">
        <f t="shared" si="0"/>
        <v>14744.2391129511</v>
      </c>
    </row>
    <row r="25" spans="1:15" x14ac:dyDescent="0.25">
      <c r="A25" s="80">
        <v>45248</v>
      </c>
      <c r="B25" s="8" t="s">
        <v>19</v>
      </c>
      <c r="C25" s="8">
        <v>-0.1</v>
      </c>
      <c r="D25" s="13">
        <v>0.93194444444444446</v>
      </c>
      <c r="E25" s="79"/>
      <c r="F25" s="9" t="s">
        <v>10</v>
      </c>
      <c r="G25" s="8"/>
      <c r="H25" s="9" t="s">
        <v>10</v>
      </c>
      <c r="I25" s="8"/>
      <c r="J25" s="9" t="s">
        <v>10</v>
      </c>
      <c r="K25" s="8"/>
      <c r="L25" s="9">
        <v>1406.5973879001799</v>
      </c>
      <c r="M25" s="8"/>
      <c r="N25" s="9" t="s">
        <v>10</v>
      </c>
      <c r="O25" s="9">
        <f t="shared" si="0"/>
        <v>1406.5973879001799</v>
      </c>
    </row>
    <row r="26" spans="1:15" x14ac:dyDescent="0.25">
      <c r="A26" s="80"/>
      <c r="E26" s="79"/>
      <c r="G26" s="8"/>
      <c r="I26" s="8"/>
      <c r="K26" s="8"/>
      <c r="M26" s="8"/>
      <c r="N26" s="9"/>
    </row>
    <row r="27" spans="1:15" x14ac:dyDescent="0.25">
      <c r="A27" s="80">
        <v>45254</v>
      </c>
      <c r="B27" s="8" t="s">
        <v>18</v>
      </c>
      <c r="C27" s="8">
        <v>0</v>
      </c>
      <c r="D27" s="13">
        <v>0.6791666666666667</v>
      </c>
      <c r="E27" s="79" t="s">
        <v>68</v>
      </c>
      <c r="F27" s="9">
        <f>CPUE!F27*Effort!F27</f>
        <v>55077.190167678484</v>
      </c>
      <c r="G27" s="8" t="s">
        <v>68</v>
      </c>
      <c r="H27" s="9">
        <f>CPUE!H27*Effort!H27</f>
        <v>44285.117948986997</v>
      </c>
      <c r="I27" s="8"/>
      <c r="J27" s="9">
        <v>68480.999670140794</v>
      </c>
      <c r="K27" s="8"/>
      <c r="L27" s="9" t="s">
        <v>10</v>
      </c>
      <c r="M27" s="8"/>
      <c r="N27" s="9" t="s">
        <v>10</v>
      </c>
      <c r="O27" s="9">
        <f t="shared" si="0"/>
        <v>167843.30778680628</v>
      </c>
    </row>
    <row r="28" spans="1:15" x14ac:dyDescent="0.25">
      <c r="A28" s="80">
        <v>45255</v>
      </c>
      <c r="B28" s="8" t="s">
        <v>19</v>
      </c>
      <c r="C28" s="8">
        <v>-0.7</v>
      </c>
      <c r="D28" s="13">
        <v>0.71180555555555547</v>
      </c>
      <c r="E28" s="79" t="s">
        <v>68</v>
      </c>
      <c r="F28" s="9">
        <f>CPUE!F28*Effort!F28</f>
        <v>56929.411922035528</v>
      </c>
      <c r="G28" s="8"/>
      <c r="H28" s="9">
        <v>41807.537217106197</v>
      </c>
      <c r="I28" s="8"/>
      <c r="J28" s="9" t="s">
        <v>10</v>
      </c>
      <c r="K28" s="8"/>
      <c r="L28" s="9">
        <v>59593.015323358202</v>
      </c>
      <c r="M28" s="8"/>
      <c r="N28" s="9" t="s">
        <v>10</v>
      </c>
      <c r="O28" s="9">
        <f t="shared" si="0"/>
        <v>158329.96446249992</v>
      </c>
    </row>
    <row r="29" spans="1:15" x14ac:dyDescent="0.25">
      <c r="A29" s="80">
        <v>45256</v>
      </c>
      <c r="B29" s="8" t="s">
        <v>20</v>
      </c>
      <c r="C29" s="8">
        <v>-1.2</v>
      </c>
      <c r="D29" s="13">
        <v>0.74236111111111114</v>
      </c>
      <c r="E29" s="79"/>
      <c r="F29" s="9">
        <f>9346.93041058475+17922.0770854152</f>
        <v>27269.007495999947</v>
      </c>
      <c r="G29" s="8"/>
      <c r="H29" s="9">
        <v>21177.9046293707</v>
      </c>
      <c r="I29" s="8"/>
      <c r="J29" s="9">
        <v>36231.482866325998</v>
      </c>
      <c r="K29" s="8"/>
      <c r="L29" s="9" t="s">
        <v>10</v>
      </c>
      <c r="M29" s="8"/>
      <c r="N29" s="9" t="s">
        <v>10</v>
      </c>
      <c r="O29" s="9">
        <f t="shared" si="0"/>
        <v>84678.394991696638</v>
      </c>
    </row>
    <row r="30" spans="1:15" x14ac:dyDescent="0.25">
      <c r="A30" s="80">
        <v>45257</v>
      </c>
      <c r="B30" s="8" t="s">
        <v>21</v>
      </c>
      <c r="C30" s="8">
        <v>-1.3</v>
      </c>
      <c r="D30" s="13">
        <v>0.7715277777777777</v>
      </c>
      <c r="E30" s="79"/>
      <c r="F30" s="9">
        <f>CPUE!F30*Effort!F30</f>
        <v>12578.359985723346</v>
      </c>
      <c r="G30" s="8" t="s">
        <v>68</v>
      </c>
      <c r="H30" s="9">
        <f>CPUE!H30*Effort!H30</f>
        <v>9201.4962060430844</v>
      </c>
      <c r="I30" s="8"/>
      <c r="J30" s="9" t="s">
        <v>10</v>
      </c>
      <c r="K30" s="8"/>
      <c r="L30" s="9">
        <v>11195.181442033099</v>
      </c>
      <c r="M30" s="8"/>
      <c r="N30" s="9" t="s">
        <v>10</v>
      </c>
      <c r="O30" s="9">
        <f t="shared" si="0"/>
        <v>32975.037633799526</v>
      </c>
    </row>
    <row r="31" spans="1:15" x14ac:dyDescent="0.25">
      <c r="A31" s="80">
        <v>45258</v>
      </c>
      <c r="B31" s="8" t="s">
        <v>66</v>
      </c>
      <c r="C31" s="8">
        <v>-1.2</v>
      </c>
      <c r="D31" s="13">
        <v>0.79999999999999993</v>
      </c>
      <c r="E31" s="79" t="s">
        <v>68</v>
      </c>
      <c r="F31" s="9">
        <f>CPUE!F31*Effort!F31</f>
        <v>6256.107775811719</v>
      </c>
      <c r="G31" s="8" t="s">
        <v>68</v>
      </c>
      <c r="H31" s="9">
        <f>CPUE!H31*Effort!H31</f>
        <v>5030.2578964164777</v>
      </c>
      <c r="I31" s="8"/>
      <c r="J31" s="9">
        <v>7689.1080380146104</v>
      </c>
      <c r="K31" s="8"/>
      <c r="L31" s="9" t="s">
        <v>10</v>
      </c>
      <c r="M31" s="8"/>
      <c r="N31" s="9" t="s">
        <v>10</v>
      </c>
      <c r="O31" s="9">
        <f t="shared" si="0"/>
        <v>18975.473710242804</v>
      </c>
    </row>
    <row r="32" spans="1:15" x14ac:dyDescent="0.25">
      <c r="A32" s="80">
        <v>45259</v>
      </c>
      <c r="B32" s="8" t="s">
        <v>67</v>
      </c>
      <c r="C32" s="8">
        <v>-0.8</v>
      </c>
      <c r="D32" s="13">
        <v>0.82777777777777783</v>
      </c>
      <c r="E32" s="79"/>
      <c r="F32" s="9" t="s">
        <v>10</v>
      </c>
      <c r="G32" s="8"/>
      <c r="H32" s="9" t="s">
        <v>10</v>
      </c>
      <c r="I32" s="8"/>
      <c r="J32" s="9" t="s">
        <v>10</v>
      </c>
      <c r="K32" s="8"/>
      <c r="L32" s="9">
        <v>2601.4599581418802</v>
      </c>
      <c r="M32" s="8"/>
      <c r="N32" s="9" t="s">
        <v>10</v>
      </c>
      <c r="O32" s="9">
        <f t="shared" si="0"/>
        <v>2601.4599581418802</v>
      </c>
    </row>
    <row r="33" spans="1:15" x14ac:dyDescent="0.25">
      <c r="A33" s="80"/>
      <c r="E33" s="79"/>
      <c r="G33" s="8"/>
      <c r="I33" s="8"/>
      <c r="K33" s="8"/>
      <c r="M33" s="8"/>
      <c r="N33" s="9"/>
    </row>
    <row r="34" spans="1:15" x14ac:dyDescent="0.25">
      <c r="A34" s="80">
        <v>45273</v>
      </c>
      <c r="B34" s="8" t="s">
        <v>67</v>
      </c>
      <c r="C34" s="8">
        <v>-1.3</v>
      </c>
      <c r="D34" s="13">
        <v>0.78819444444444453</v>
      </c>
      <c r="E34" s="79" t="s">
        <v>68</v>
      </c>
      <c r="F34" s="9">
        <f>CPUE!F34*Effort!F34</f>
        <v>8865.261175870286</v>
      </c>
      <c r="G34" s="8"/>
      <c r="H34" s="9">
        <v>6081.5171451784699</v>
      </c>
      <c r="I34" s="8"/>
      <c r="J34" s="9" t="s">
        <v>10</v>
      </c>
      <c r="K34" s="8"/>
      <c r="L34" s="9">
        <v>8118.4107061354798</v>
      </c>
      <c r="M34" s="8"/>
      <c r="N34" s="9" t="s">
        <v>10</v>
      </c>
      <c r="O34" s="9">
        <f t="shared" si="0"/>
        <v>23065.189027184235</v>
      </c>
    </row>
    <row r="35" spans="1:15" x14ac:dyDescent="0.25">
      <c r="A35" s="80">
        <v>45274</v>
      </c>
      <c r="B35" s="8" t="s">
        <v>22</v>
      </c>
      <c r="C35" s="8">
        <v>-1.3</v>
      </c>
      <c r="D35" s="13">
        <v>0.81874999999999998</v>
      </c>
      <c r="E35" s="79"/>
      <c r="F35" s="9">
        <f>CPUE!F35*Effort!F35</f>
        <v>5284.0545017721297</v>
      </c>
      <c r="G35" s="8" t="s">
        <v>68</v>
      </c>
      <c r="H35" s="9">
        <f>CPUE!H35*Effort!H35</f>
        <v>4767.7901958465245</v>
      </c>
      <c r="I35" s="8"/>
      <c r="J35" s="9">
        <v>9305.8264240061908</v>
      </c>
      <c r="K35" s="8"/>
      <c r="L35" s="9" t="s">
        <v>10</v>
      </c>
      <c r="M35" s="8"/>
      <c r="N35" s="9" t="s">
        <v>10</v>
      </c>
      <c r="O35" s="9">
        <f t="shared" si="0"/>
        <v>19357.671121624844</v>
      </c>
    </row>
    <row r="36" spans="1:15" x14ac:dyDescent="0.25">
      <c r="A36" s="80">
        <v>45275</v>
      </c>
      <c r="B36" s="8" t="s">
        <v>18</v>
      </c>
      <c r="C36" s="8">
        <v>-1.2</v>
      </c>
      <c r="D36" s="13">
        <v>0.85069444444444453</v>
      </c>
      <c r="E36" s="79"/>
      <c r="F36" s="9">
        <f>CPUE!F36*Effort!F36</f>
        <v>10017.892735479601</v>
      </c>
      <c r="G36" s="8"/>
      <c r="H36" s="9">
        <v>7867.51535045743</v>
      </c>
      <c r="I36" s="8"/>
      <c r="J36" s="9" t="s">
        <v>10</v>
      </c>
      <c r="K36" s="8"/>
      <c r="L36" s="9">
        <v>8854.3764251131306</v>
      </c>
      <c r="M36" s="8"/>
      <c r="N36" s="9" t="s">
        <v>10</v>
      </c>
      <c r="O36" s="9">
        <f t="shared" si="0"/>
        <v>26739.784511050158</v>
      </c>
    </row>
    <row r="37" spans="1:15" x14ac:dyDescent="0.25">
      <c r="A37" s="80">
        <v>45276</v>
      </c>
      <c r="B37" s="8" t="s">
        <v>19</v>
      </c>
      <c r="C37" s="8">
        <v>-0.8</v>
      </c>
      <c r="D37" s="13">
        <v>0.8833333333333333</v>
      </c>
      <c r="E37" s="79" t="s">
        <v>68</v>
      </c>
      <c r="F37" s="9">
        <f>CPUE!F37*Effort!F37</f>
        <v>19930.534643547882</v>
      </c>
      <c r="G37" s="8"/>
      <c r="H37" s="9">
        <v>6562.5502199663097</v>
      </c>
      <c r="I37" s="8"/>
      <c r="J37" s="9">
        <v>25719.0115454357</v>
      </c>
      <c r="K37" s="8"/>
      <c r="L37" s="9" t="s">
        <v>10</v>
      </c>
      <c r="M37" s="8"/>
      <c r="N37" s="9" t="s">
        <v>10</v>
      </c>
      <c r="O37" s="9">
        <f t="shared" si="0"/>
        <v>52212.096408949888</v>
      </c>
    </row>
    <row r="38" spans="1:15" x14ac:dyDescent="0.25">
      <c r="A38" s="80">
        <v>45277</v>
      </c>
      <c r="B38" s="8" t="s">
        <v>20</v>
      </c>
      <c r="C38" s="8">
        <v>-0.3</v>
      </c>
      <c r="D38" s="13">
        <v>0.91736111111111107</v>
      </c>
      <c r="E38" s="79" t="s">
        <v>68</v>
      </c>
      <c r="F38" s="9">
        <f>CPUE!F38*Effort!F38</f>
        <v>2196.2504165107675</v>
      </c>
      <c r="G38" s="8" t="s">
        <v>68</v>
      </c>
      <c r="H38" s="9">
        <f>CPUE!H38*Effort!H38</f>
        <v>2001.4884047754661</v>
      </c>
      <c r="I38" s="8"/>
      <c r="J38" s="9" t="s">
        <v>10</v>
      </c>
      <c r="K38" s="8"/>
      <c r="L38" s="9">
        <v>2618.7129347140099</v>
      </c>
      <c r="M38" s="8"/>
      <c r="N38" s="9" t="s">
        <v>10</v>
      </c>
      <c r="O38" s="9">
        <f t="shared" si="0"/>
        <v>6816.4517560002432</v>
      </c>
    </row>
    <row r="39" spans="1:15" x14ac:dyDescent="0.25">
      <c r="A39" s="80"/>
      <c r="E39" s="79"/>
      <c r="G39" s="8"/>
      <c r="I39" s="8"/>
      <c r="K39" s="8"/>
      <c r="M39" s="8"/>
      <c r="N39" s="9"/>
    </row>
    <row r="40" spans="1:15" x14ac:dyDescent="0.25">
      <c r="A40" s="80">
        <v>45286</v>
      </c>
      <c r="B40" s="8" t="s">
        <v>66</v>
      </c>
      <c r="C40" s="8">
        <v>-0.9</v>
      </c>
      <c r="D40" s="13">
        <v>0.76250000000000007</v>
      </c>
      <c r="E40" s="79"/>
      <c r="F40" s="9">
        <f>CPUE!F40*Effort!F40</f>
        <v>2047.1771350302356</v>
      </c>
      <c r="G40" s="8" t="s">
        <v>68</v>
      </c>
      <c r="H40" s="9">
        <f>CPUE!H40*Effort!H40</f>
        <v>4960.3468566051806</v>
      </c>
      <c r="I40" s="8"/>
      <c r="J40" s="9">
        <v>18697.2455723557</v>
      </c>
      <c r="K40" s="8"/>
      <c r="L40" s="9" t="s">
        <v>10</v>
      </c>
      <c r="M40" s="8"/>
      <c r="N40" s="9" t="s">
        <v>10</v>
      </c>
      <c r="O40" s="9">
        <f t="shared" si="0"/>
        <v>25704.769563991118</v>
      </c>
    </row>
    <row r="41" spans="1:15" x14ac:dyDescent="0.25">
      <c r="A41" s="80">
        <v>45287</v>
      </c>
      <c r="B41" s="8" t="s">
        <v>67</v>
      </c>
      <c r="C41" s="8">
        <v>-0.8</v>
      </c>
      <c r="D41" s="13">
        <v>0.7895833333333333</v>
      </c>
      <c r="E41" s="79"/>
      <c r="F41" s="9">
        <f>CPUE!F41*Effort!F41</f>
        <v>2148.539237287473</v>
      </c>
      <c r="G41" s="8"/>
      <c r="H41" s="9">
        <v>3720.67112637431</v>
      </c>
      <c r="I41" s="8"/>
      <c r="J41" s="9" t="s">
        <v>10</v>
      </c>
      <c r="K41" s="8"/>
      <c r="L41" s="9">
        <v>8728.3041619797496</v>
      </c>
      <c r="M41" s="8"/>
      <c r="N41" s="9" t="s">
        <v>10</v>
      </c>
      <c r="O41" s="9">
        <f t="shared" si="0"/>
        <v>14597.514525641533</v>
      </c>
    </row>
    <row r="42" spans="1:15" x14ac:dyDescent="0.25">
      <c r="A42" s="80">
        <v>45288</v>
      </c>
      <c r="B42" s="8" t="s">
        <v>22</v>
      </c>
      <c r="C42" s="8">
        <v>-0.6</v>
      </c>
      <c r="D42" s="13">
        <v>0.81597222222222221</v>
      </c>
      <c r="E42" s="79" t="s">
        <v>68</v>
      </c>
      <c r="F42" s="9">
        <f>CPUE!F42*Effort!F42</f>
        <v>949.3086541189341</v>
      </c>
      <c r="G42" s="8"/>
      <c r="H42" s="9">
        <v>628.19033085421597</v>
      </c>
      <c r="I42" s="8"/>
      <c r="J42" s="9">
        <v>3029.8786729495801</v>
      </c>
      <c r="K42" s="8"/>
      <c r="L42" s="9" t="s">
        <v>10</v>
      </c>
      <c r="M42" s="8"/>
      <c r="N42" s="9" t="s">
        <v>10</v>
      </c>
      <c r="O42" s="9">
        <f t="shared" si="0"/>
        <v>4607.3776579227306</v>
      </c>
    </row>
    <row r="43" spans="1:15" x14ac:dyDescent="0.25">
      <c r="A43" s="80">
        <v>45289</v>
      </c>
      <c r="B43" s="8" t="s">
        <v>18</v>
      </c>
      <c r="C43" s="8">
        <v>-0.3</v>
      </c>
      <c r="D43" s="13">
        <v>0.84097222222222223</v>
      </c>
      <c r="E43" s="79" t="s">
        <v>68</v>
      </c>
      <c r="F43" s="9">
        <f>CPUE!F43*Effort!F43</f>
        <v>1818.9854992771379</v>
      </c>
      <c r="G43" s="8"/>
      <c r="H43" s="9">
        <v>398.88187492879399</v>
      </c>
      <c r="I43" s="8"/>
      <c r="J43" s="9" t="s">
        <v>10</v>
      </c>
      <c r="K43" s="8"/>
      <c r="L43" s="9">
        <v>6242.0673812752602</v>
      </c>
      <c r="M43" s="8"/>
      <c r="N43" s="9" t="s">
        <v>10</v>
      </c>
      <c r="O43" s="9">
        <f t="shared" si="0"/>
        <v>8459.934755481192</v>
      </c>
    </row>
    <row r="44" spans="1:15" x14ac:dyDescent="0.25">
      <c r="A44" s="80"/>
      <c r="E44" s="79"/>
      <c r="G44" s="8"/>
      <c r="I44" s="8"/>
      <c r="K44" s="8"/>
      <c r="M44" s="8"/>
      <c r="N44" s="9"/>
    </row>
    <row r="45" spans="1:15" x14ac:dyDescent="0.25">
      <c r="A45" s="80">
        <v>45300</v>
      </c>
      <c r="B45" s="8" t="s">
        <v>66</v>
      </c>
      <c r="C45" s="8">
        <v>-0.7</v>
      </c>
      <c r="D45" s="13">
        <v>0.70972222222222225</v>
      </c>
      <c r="E45" s="79" t="s">
        <v>75</v>
      </c>
      <c r="F45" s="9">
        <f>CPUE!F45*Effort!F45</f>
        <v>200</v>
      </c>
      <c r="G45" s="8"/>
      <c r="H45" s="9" t="s">
        <v>10</v>
      </c>
      <c r="I45" s="8"/>
      <c r="J45" s="9">
        <v>247.5</v>
      </c>
      <c r="K45" s="8"/>
      <c r="L45" s="9" t="s">
        <v>10</v>
      </c>
      <c r="M45" s="8"/>
      <c r="N45" s="9" t="s">
        <v>10</v>
      </c>
      <c r="O45" s="9">
        <f t="shared" si="0"/>
        <v>447.5</v>
      </c>
    </row>
    <row r="46" spans="1:15" x14ac:dyDescent="0.25">
      <c r="A46" s="80">
        <v>45301</v>
      </c>
      <c r="B46" s="8" t="s">
        <v>67</v>
      </c>
      <c r="C46" s="8">
        <v>-1.2</v>
      </c>
      <c r="D46" s="13">
        <v>0.7402777777777777</v>
      </c>
      <c r="E46" s="79"/>
      <c r="F46" s="9">
        <f>442.586695744316+535.659629471245</f>
        <v>978.246325215561</v>
      </c>
      <c r="G46" s="8"/>
      <c r="H46" s="9">
        <v>3251.75134942257</v>
      </c>
      <c r="I46" s="8"/>
      <c r="J46" s="9" t="s">
        <v>10</v>
      </c>
      <c r="K46" s="8"/>
      <c r="L46" s="9">
        <v>3020.1962784502698</v>
      </c>
      <c r="M46" s="8"/>
      <c r="N46" s="9" t="s">
        <v>10</v>
      </c>
      <c r="O46" s="9">
        <f t="shared" si="0"/>
        <v>7250.193953088401</v>
      </c>
    </row>
    <row r="47" spans="1:15" x14ac:dyDescent="0.25">
      <c r="A47" s="80">
        <v>45302</v>
      </c>
      <c r="B47" s="8" t="s">
        <v>22</v>
      </c>
      <c r="C47" s="8">
        <v>-1.5</v>
      </c>
      <c r="D47" s="13">
        <v>0.76944444444444438</v>
      </c>
      <c r="E47" s="79"/>
      <c r="F47" s="9">
        <f>CPUE!F47*Effort!F47</f>
        <v>347.83294117827961</v>
      </c>
      <c r="G47" s="8" t="s">
        <v>68</v>
      </c>
      <c r="H47" s="9">
        <f>CPUE!H47*Effort!H47</f>
        <v>633.47379282310749</v>
      </c>
      <c r="I47" s="8"/>
      <c r="J47" s="9" t="s">
        <v>10</v>
      </c>
      <c r="K47" s="8"/>
      <c r="L47" s="9">
        <v>273.847560099764</v>
      </c>
      <c r="M47" s="8"/>
      <c r="N47" s="9" t="s">
        <v>10</v>
      </c>
      <c r="O47" s="9">
        <f t="shared" si="0"/>
        <v>1255.1542941011512</v>
      </c>
    </row>
    <row r="48" spans="1:15" x14ac:dyDescent="0.25">
      <c r="A48" s="80">
        <v>45303</v>
      </c>
      <c r="B48" s="8" t="s">
        <v>18</v>
      </c>
      <c r="C48" s="8">
        <v>-1.6</v>
      </c>
      <c r="D48" s="13">
        <v>0.7993055555555556</v>
      </c>
      <c r="E48" s="79" t="s">
        <v>68</v>
      </c>
      <c r="F48" s="9">
        <f>CPUE!F48*Effort!F48</f>
        <v>312.72079688039236</v>
      </c>
      <c r="G48" s="8" t="s">
        <v>68</v>
      </c>
      <c r="H48" s="9">
        <f>CPUE!H48*Effort!H48</f>
        <v>2227.7364153958406</v>
      </c>
      <c r="I48" s="8"/>
      <c r="J48" s="9">
        <v>3438.1806410373702</v>
      </c>
      <c r="K48" s="8"/>
      <c r="L48" s="9" t="s">
        <v>10</v>
      </c>
      <c r="M48" s="8"/>
      <c r="N48" s="9" t="s">
        <v>10</v>
      </c>
      <c r="O48" s="9">
        <f t="shared" si="0"/>
        <v>5978.637853313603</v>
      </c>
    </row>
    <row r="49" spans="1:15" x14ac:dyDescent="0.25">
      <c r="A49" s="80">
        <v>45304</v>
      </c>
      <c r="B49" s="8" t="s">
        <v>19</v>
      </c>
      <c r="C49" s="8">
        <v>-1.3</v>
      </c>
      <c r="D49" s="13">
        <v>0.82847222222222217</v>
      </c>
      <c r="E49" s="79" t="s">
        <v>68</v>
      </c>
      <c r="F49" s="9">
        <f>CPUE!F49*Effort!F49</f>
        <v>343.29817308465579</v>
      </c>
      <c r="G49" s="8"/>
      <c r="H49" s="9">
        <v>2189.8162214036101</v>
      </c>
      <c r="I49" s="8"/>
      <c r="J49" s="9">
        <v>3489.3211188356499</v>
      </c>
      <c r="K49" s="8"/>
      <c r="L49" s="9" t="s">
        <v>10</v>
      </c>
      <c r="M49" s="8"/>
      <c r="N49" s="9" t="s">
        <v>10</v>
      </c>
      <c r="O49" s="9">
        <f t="shared" si="0"/>
        <v>6022.435513323916</v>
      </c>
    </row>
    <row r="50" spans="1:15" x14ac:dyDescent="0.25">
      <c r="A50" s="80">
        <v>45305</v>
      </c>
      <c r="B50" s="8" t="s">
        <v>20</v>
      </c>
      <c r="C50" s="8">
        <v>-0.8</v>
      </c>
      <c r="D50" s="13">
        <v>0.85833333333333339</v>
      </c>
      <c r="E50" s="79"/>
      <c r="F50" s="9">
        <f>CPUE!F50*Effort!F50</f>
        <v>237.21896872292663</v>
      </c>
      <c r="G50" s="8"/>
      <c r="H50" s="9">
        <v>2223.5293234095898</v>
      </c>
      <c r="I50" s="8"/>
      <c r="J50" s="9" t="s">
        <v>10</v>
      </c>
      <c r="K50" s="8"/>
      <c r="L50" s="9">
        <v>1309.0909571080799</v>
      </c>
      <c r="M50" s="8"/>
      <c r="N50" s="9" t="s">
        <v>10</v>
      </c>
      <c r="O50" s="9">
        <f t="shared" si="0"/>
        <v>3769.8392492405965</v>
      </c>
    </row>
    <row r="51" spans="1:15" x14ac:dyDescent="0.25">
      <c r="A51" s="80">
        <v>45306</v>
      </c>
      <c r="B51" s="8" t="s">
        <v>21</v>
      </c>
      <c r="C51" s="8">
        <v>0</v>
      </c>
      <c r="D51" s="13">
        <v>0.8881944444444444</v>
      </c>
      <c r="E51" s="79"/>
      <c r="F51" s="9" t="s">
        <v>10</v>
      </c>
      <c r="G51" s="8"/>
      <c r="H51" s="9" t="s">
        <v>10</v>
      </c>
      <c r="I51" s="8"/>
      <c r="J51" s="9" t="s">
        <v>10</v>
      </c>
      <c r="K51" s="8"/>
      <c r="L51" s="9">
        <v>60</v>
      </c>
      <c r="M51" s="8"/>
      <c r="N51" s="9" t="s">
        <v>10</v>
      </c>
      <c r="O51" s="9">
        <f t="shared" si="0"/>
        <v>60</v>
      </c>
    </row>
    <row r="52" spans="1:15" x14ac:dyDescent="0.25">
      <c r="A52" s="80"/>
      <c r="E52" s="79"/>
      <c r="G52" s="8"/>
      <c r="I52" s="8"/>
      <c r="K52" s="8"/>
      <c r="M52" s="8"/>
      <c r="N52" s="9"/>
    </row>
    <row r="53" spans="1:15" x14ac:dyDescent="0.25">
      <c r="A53" s="80">
        <v>45313</v>
      </c>
      <c r="B53" s="8" t="s">
        <v>21</v>
      </c>
      <c r="C53" s="8">
        <v>-0.1</v>
      </c>
      <c r="D53" s="13">
        <v>0.68611111111111101</v>
      </c>
      <c r="E53" s="79"/>
      <c r="F53" s="9" t="s">
        <v>10</v>
      </c>
      <c r="G53" s="8"/>
      <c r="H53" s="9" t="s">
        <v>10</v>
      </c>
      <c r="I53" s="8"/>
      <c r="J53" s="9" t="s">
        <v>10</v>
      </c>
      <c r="K53" s="8"/>
      <c r="L53" s="9">
        <v>7689.03093746781</v>
      </c>
      <c r="M53" s="8"/>
      <c r="N53" s="9" t="s">
        <v>10</v>
      </c>
      <c r="O53" s="9">
        <f t="shared" si="0"/>
        <v>7689.03093746781</v>
      </c>
    </row>
    <row r="54" spans="1:15" x14ac:dyDescent="0.25">
      <c r="A54" s="80">
        <v>45314</v>
      </c>
      <c r="B54" s="8" t="s">
        <v>66</v>
      </c>
      <c r="C54" s="8">
        <v>-0.3</v>
      </c>
      <c r="D54" s="13">
        <v>0.71736111111111101</v>
      </c>
      <c r="E54" s="79" t="s">
        <v>68</v>
      </c>
      <c r="F54" s="9">
        <f>CPUE!F54*Effort!F54</f>
        <v>2568.0596947450153</v>
      </c>
      <c r="G54" s="8" t="s">
        <v>68</v>
      </c>
      <c r="H54" s="9">
        <f>CPUE!H54*Effort!H54</f>
        <v>3376.7124521441497</v>
      </c>
      <c r="I54" s="8"/>
      <c r="J54" s="9" t="s">
        <v>10</v>
      </c>
      <c r="K54" s="8"/>
      <c r="L54" s="9">
        <v>8540.9650787283408</v>
      </c>
      <c r="M54" s="8"/>
      <c r="N54" s="9" t="s">
        <v>10</v>
      </c>
      <c r="O54" s="9">
        <f t="shared" si="0"/>
        <v>14485.737225617506</v>
      </c>
    </row>
    <row r="55" spans="1:15" x14ac:dyDescent="0.25">
      <c r="A55" s="80">
        <v>45315</v>
      </c>
      <c r="B55" s="8" t="s">
        <v>67</v>
      </c>
      <c r="C55" s="8">
        <v>-0.4</v>
      </c>
      <c r="D55" s="13">
        <v>0.74513888888888891</v>
      </c>
      <c r="E55" s="79"/>
      <c r="F55" s="9">
        <f>83.0129324995628+2238.11178362931</f>
        <v>2321.1247161288729</v>
      </c>
      <c r="G55" s="8"/>
      <c r="H55" s="9">
        <v>3877.5418959982198</v>
      </c>
      <c r="I55" s="8"/>
      <c r="J55" s="9">
        <v>5009.1650408518199</v>
      </c>
      <c r="K55" s="8"/>
      <c r="L55" s="9" t="s">
        <v>10</v>
      </c>
      <c r="M55" s="8"/>
      <c r="N55" s="9" t="s">
        <v>10</v>
      </c>
      <c r="O55" s="9">
        <f t="shared" si="0"/>
        <v>11207.831652978912</v>
      </c>
    </row>
    <row r="56" spans="1:15" x14ac:dyDescent="0.25">
      <c r="A56" s="80">
        <v>45316</v>
      </c>
      <c r="B56" s="8" t="s">
        <v>22</v>
      </c>
      <c r="C56" s="8">
        <v>-0.4</v>
      </c>
      <c r="D56" s="13">
        <v>0.76944444444444438</v>
      </c>
      <c r="E56" s="79" t="s">
        <v>68</v>
      </c>
      <c r="F56" s="9">
        <f>CPUE!F56*Effort!F56</f>
        <v>471.43327463627395</v>
      </c>
      <c r="G56" s="8" t="s">
        <v>68</v>
      </c>
      <c r="H56" s="9">
        <f>CPUE!H56*Effort!H56</f>
        <v>619.88224497930128</v>
      </c>
      <c r="I56" s="8"/>
      <c r="J56" s="9">
        <v>1059.2309651401699</v>
      </c>
      <c r="K56" s="8"/>
      <c r="L56" s="9" t="s">
        <v>10</v>
      </c>
      <c r="M56" s="8"/>
      <c r="N56" s="9" t="s">
        <v>10</v>
      </c>
      <c r="O56" s="9">
        <f t="shared" si="0"/>
        <v>2150.546484755745</v>
      </c>
    </row>
    <row r="57" spans="1:15" x14ac:dyDescent="0.25">
      <c r="A57" s="80">
        <v>45317</v>
      </c>
      <c r="B57" s="8" t="s">
        <v>18</v>
      </c>
      <c r="C57" s="8">
        <v>-0.2</v>
      </c>
      <c r="D57" s="13">
        <v>0.79236111111111107</v>
      </c>
      <c r="E57" s="79" t="s">
        <v>68</v>
      </c>
      <c r="F57" s="9">
        <f>CPUE!F57*Effort!F57</f>
        <v>98.762058313772698</v>
      </c>
      <c r="G57" s="8"/>
      <c r="H57" s="9">
        <v>23.611110172889902</v>
      </c>
      <c r="I57" s="8"/>
      <c r="J57" s="9" t="s">
        <v>10</v>
      </c>
      <c r="K57" s="8"/>
      <c r="L57" s="9">
        <v>677.67962758613396</v>
      </c>
      <c r="M57" s="8"/>
      <c r="N57" s="9" t="s">
        <v>10</v>
      </c>
      <c r="O57" s="9">
        <f t="shared" si="0"/>
        <v>800.05279607279658</v>
      </c>
    </row>
    <row r="58" spans="1:15" x14ac:dyDescent="0.25">
      <c r="A58" s="80">
        <v>45318</v>
      </c>
      <c r="B58" s="8" t="s">
        <v>19</v>
      </c>
      <c r="C58" s="8">
        <v>0</v>
      </c>
      <c r="D58" s="13">
        <v>0.81388888888888899</v>
      </c>
      <c r="E58" s="79"/>
      <c r="F58" s="9">
        <f>CPUE!F58*Effort!F58</f>
        <v>60.379203695131878</v>
      </c>
      <c r="G58" s="8"/>
      <c r="H58" s="9" t="s">
        <v>10</v>
      </c>
      <c r="I58" s="8"/>
      <c r="J58" s="9" t="s">
        <v>10</v>
      </c>
      <c r="K58" s="8"/>
      <c r="L58" s="9">
        <v>75.555552553247594</v>
      </c>
      <c r="M58" s="8"/>
      <c r="N58" s="9" t="s">
        <v>10</v>
      </c>
      <c r="O58" s="9">
        <f t="shared" si="0"/>
        <v>135.93475624837947</v>
      </c>
    </row>
    <row r="59" spans="1:15" x14ac:dyDescent="0.25">
      <c r="A59" s="80">
        <v>45319</v>
      </c>
      <c r="B59" s="8" t="s">
        <v>20</v>
      </c>
      <c r="C59" s="8">
        <v>0.4</v>
      </c>
      <c r="D59" s="13">
        <v>0.83472222222222225</v>
      </c>
      <c r="E59" s="79"/>
      <c r="F59" s="9" t="s">
        <v>10</v>
      </c>
      <c r="G59" s="8"/>
      <c r="H59" s="9" t="s">
        <v>10</v>
      </c>
      <c r="I59" s="8"/>
      <c r="J59" s="9">
        <v>234.99999066193899</v>
      </c>
      <c r="K59" s="8"/>
      <c r="L59" s="9" t="s">
        <v>10</v>
      </c>
      <c r="M59" s="8"/>
      <c r="N59" s="9" t="s">
        <v>10</v>
      </c>
      <c r="O59" s="9">
        <f t="shared" si="0"/>
        <v>234.99999066193899</v>
      </c>
    </row>
    <row r="60" spans="1:15" x14ac:dyDescent="0.25">
      <c r="A60" s="80"/>
      <c r="E60" s="79"/>
      <c r="G60" s="8"/>
      <c r="I60" s="8"/>
      <c r="K60" s="8"/>
      <c r="M60" s="8"/>
      <c r="N60" s="9"/>
    </row>
    <row r="61" spans="1:15" x14ac:dyDescent="0.25">
      <c r="A61" s="80">
        <v>45328</v>
      </c>
      <c r="B61" s="8" t="s">
        <v>66</v>
      </c>
      <c r="C61" s="8">
        <v>0</v>
      </c>
      <c r="D61" s="13">
        <v>0.66111111111111109</v>
      </c>
      <c r="E61" s="79"/>
      <c r="F61" s="9" t="s">
        <v>10</v>
      </c>
      <c r="G61" s="8"/>
      <c r="H61" s="9" t="s">
        <v>10</v>
      </c>
      <c r="I61" s="8"/>
      <c r="J61" s="9" t="s">
        <v>10</v>
      </c>
      <c r="K61" s="8"/>
      <c r="L61" s="9">
        <v>13784.891062709499</v>
      </c>
      <c r="M61" s="8"/>
      <c r="N61" s="9" t="s">
        <v>10</v>
      </c>
      <c r="O61" s="9">
        <f t="shared" si="0"/>
        <v>13784.891062709499</v>
      </c>
    </row>
    <row r="62" spans="1:15" x14ac:dyDescent="0.25">
      <c r="A62" s="80">
        <v>45329</v>
      </c>
      <c r="B62" s="8" t="s">
        <v>67</v>
      </c>
      <c r="C62" s="8">
        <v>-0.7</v>
      </c>
      <c r="D62" s="13">
        <v>0.69513888888888886</v>
      </c>
      <c r="E62" s="79" t="s">
        <v>68</v>
      </c>
      <c r="F62" s="9">
        <f>CPUE!F62*Effort!F62</f>
        <v>19710.827161119585</v>
      </c>
      <c r="G62" s="8" t="s">
        <v>68</v>
      </c>
      <c r="H62" s="9">
        <f>CPUE!H62*Effort!H62</f>
        <v>13265.198716224475</v>
      </c>
      <c r="I62" s="8"/>
      <c r="J62" s="9">
        <v>31031.895370039601</v>
      </c>
      <c r="K62" s="8"/>
      <c r="L62" s="9" t="s">
        <v>10</v>
      </c>
      <c r="M62" s="8"/>
      <c r="N62" s="9" t="s">
        <v>10</v>
      </c>
      <c r="O62" s="9">
        <f t="shared" si="0"/>
        <v>64007.92124738366</v>
      </c>
    </row>
    <row r="63" spans="1:15" x14ac:dyDescent="0.25">
      <c r="A63" s="80">
        <v>45330</v>
      </c>
      <c r="B63" s="8" t="s">
        <v>22</v>
      </c>
      <c r="C63" s="8">
        <v>-1.2</v>
      </c>
      <c r="D63" s="13">
        <v>0.72638888888888886</v>
      </c>
      <c r="E63" s="79"/>
      <c r="F63" s="9">
        <f>CPUE!F63*Effort!F63</f>
        <v>27904.765273861423</v>
      </c>
      <c r="G63" s="8"/>
      <c r="H63" s="9">
        <v>18479.661296439899</v>
      </c>
      <c r="I63" s="8"/>
      <c r="J63" s="9">
        <v>38816.796317674904</v>
      </c>
      <c r="K63" s="8"/>
      <c r="L63" s="9" t="s">
        <v>10</v>
      </c>
      <c r="M63" s="8"/>
      <c r="N63" s="9" t="s">
        <v>10</v>
      </c>
      <c r="O63" s="9">
        <f t="shared" si="0"/>
        <v>85201.222887976226</v>
      </c>
    </row>
    <row r="64" spans="1:15" x14ac:dyDescent="0.25">
      <c r="A64" s="80">
        <v>45331</v>
      </c>
      <c r="B64" s="8" t="s">
        <v>18</v>
      </c>
      <c r="C64" s="8">
        <v>-1.4</v>
      </c>
      <c r="D64" s="13">
        <v>0.75624999999999998</v>
      </c>
      <c r="E64" s="79" t="s">
        <v>68</v>
      </c>
      <c r="F64" s="9">
        <f>CPUE!F64*Effort!F64</f>
        <v>21027.522963814619</v>
      </c>
      <c r="G64" s="8"/>
      <c r="H64" s="9">
        <v>25930.711062773</v>
      </c>
      <c r="I64" s="8"/>
      <c r="J64" s="9" t="s">
        <v>10</v>
      </c>
      <c r="K64" s="8"/>
      <c r="L64" s="9">
        <v>23256.4234980724</v>
      </c>
      <c r="M64" s="8"/>
      <c r="N64" s="9" t="s">
        <v>10</v>
      </c>
      <c r="O64" s="9">
        <f t="shared" si="0"/>
        <v>70214.657524660026</v>
      </c>
    </row>
    <row r="65" spans="1:15" x14ac:dyDescent="0.25">
      <c r="A65" s="80">
        <v>45332</v>
      </c>
      <c r="B65" s="8" t="s">
        <v>19</v>
      </c>
      <c r="C65" s="8">
        <v>-1.4</v>
      </c>
      <c r="D65" s="13">
        <v>0.78402777777777777</v>
      </c>
      <c r="E65" s="79"/>
      <c r="F65" s="9">
        <f>CPUE!F65*Effort!F65</f>
        <v>23154.009881022241</v>
      </c>
      <c r="G65" s="8" t="s">
        <v>68</v>
      </c>
      <c r="H65" s="9">
        <f>CPUE!H65*Effort!H65</f>
        <v>20034.550095937167</v>
      </c>
      <c r="I65" s="8"/>
      <c r="J65" s="9" t="s">
        <v>10</v>
      </c>
      <c r="K65" s="8"/>
      <c r="L65" s="9">
        <v>40556.459965992901</v>
      </c>
      <c r="M65" s="8"/>
      <c r="N65" s="9" t="s">
        <v>10</v>
      </c>
      <c r="O65" s="9">
        <f t="shared" si="0"/>
        <v>83745.01994295232</v>
      </c>
    </row>
    <row r="66" spans="1:15" x14ac:dyDescent="0.25">
      <c r="A66" s="80">
        <v>45333</v>
      </c>
      <c r="B66" s="8" t="s">
        <v>20</v>
      </c>
      <c r="C66" s="8">
        <v>-1</v>
      </c>
      <c r="D66" s="13">
        <v>0.81180555555555556</v>
      </c>
      <c r="E66" s="79" t="s">
        <v>68</v>
      </c>
      <c r="F66" s="9">
        <f>CPUE!F66*Effort!F66</f>
        <v>728.39735670651987</v>
      </c>
      <c r="G66" s="8"/>
      <c r="H66" s="9">
        <v>162.70832686788501</v>
      </c>
      <c r="I66" s="8"/>
      <c r="J66" s="9">
        <v>1406.48142559293</v>
      </c>
      <c r="K66" s="8"/>
      <c r="L66" s="9" t="s">
        <v>10</v>
      </c>
      <c r="M66" s="8"/>
      <c r="N66" s="9" t="s">
        <v>10</v>
      </c>
      <c r="O66" s="9">
        <f t="shared" ref="O66:O116" si="1">SUM(F66:N66)</f>
        <v>2297.5871091673348</v>
      </c>
    </row>
    <row r="67" spans="1:15" x14ac:dyDescent="0.25">
      <c r="A67" s="80">
        <v>45334</v>
      </c>
      <c r="B67" s="8" t="s">
        <v>21</v>
      </c>
      <c r="C67" s="8">
        <v>-0.3</v>
      </c>
      <c r="D67" s="13">
        <v>0.83888888888888891</v>
      </c>
      <c r="E67" s="79"/>
      <c r="F67" s="9">
        <f>CPUE!F67*Effort!F67</f>
        <v>630.5558290270011</v>
      </c>
      <c r="G67" s="8"/>
      <c r="H67" s="9" t="s">
        <v>10</v>
      </c>
      <c r="I67" s="8"/>
      <c r="J67" s="9">
        <v>3058.8820509945399</v>
      </c>
      <c r="K67" s="8"/>
      <c r="L67" s="9" t="s">
        <v>10</v>
      </c>
      <c r="M67" s="8"/>
      <c r="N67" s="9" t="s">
        <v>10</v>
      </c>
      <c r="O67" s="9">
        <f t="shared" si="1"/>
        <v>3689.4378800215409</v>
      </c>
    </row>
    <row r="68" spans="1:15" x14ac:dyDescent="0.25">
      <c r="A68" s="80"/>
      <c r="E68" s="79"/>
      <c r="G68" s="8"/>
      <c r="I68" s="8"/>
      <c r="K68" s="8"/>
      <c r="M68" s="8"/>
      <c r="N68" s="9"/>
    </row>
    <row r="69" spans="1:15" x14ac:dyDescent="0.25">
      <c r="A69" s="80">
        <v>45343</v>
      </c>
      <c r="B69" s="8" t="s">
        <v>67</v>
      </c>
      <c r="C69" s="8">
        <v>0.2</v>
      </c>
      <c r="D69" s="13">
        <v>0.7055555555555556</v>
      </c>
      <c r="E69" s="79" t="s">
        <v>68</v>
      </c>
      <c r="F69" s="9">
        <f>CPUE!F69*Effort!F69</f>
        <v>7814.9410078307192</v>
      </c>
      <c r="G69" s="8" t="s">
        <v>68</v>
      </c>
      <c r="H69" s="9">
        <f>CPUE!H69*Effort!H69</f>
        <v>7881.4594671547447</v>
      </c>
      <c r="J69" s="9" t="s">
        <v>10</v>
      </c>
      <c r="K69" s="8"/>
      <c r="L69" s="9">
        <v>8729.9273567274995</v>
      </c>
      <c r="M69" s="8"/>
      <c r="N69" s="9" t="s">
        <v>10</v>
      </c>
      <c r="O69" s="9">
        <f t="shared" si="1"/>
        <v>24426.327831712966</v>
      </c>
    </row>
    <row r="70" spans="1:15" x14ac:dyDescent="0.25">
      <c r="A70" s="80">
        <v>45344</v>
      </c>
      <c r="B70" s="8" t="s">
        <v>22</v>
      </c>
      <c r="C70" s="8">
        <v>0.1</v>
      </c>
      <c r="D70" s="13">
        <v>0.73125000000000007</v>
      </c>
      <c r="E70" s="79"/>
      <c r="F70" s="9">
        <f>10270.0839366257+4839.08973873517</f>
        <v>15109.173675360871</v>
      </c>
      <c r="G70" s="8"/>
      <c r="H70" s="9">
        <v>16261.0627090049</v>
      </c>
      <c r="J70" s="9" t="s">
        <v>10</v>
      </c>
      <c r="K70" s="8"/>
      <c r="L70" s="9">
        <v>17956.2050982857</v>
      </c>
      <c r="M70" s="8"/>
      <c r="N70" s="9" t="s">
        <v>10</v>
      </c>
      <c r="O70" s="9">
        <f t="shared" si="1"/>
        <v>49326.441482651469</v>
      </c>
    </row>
    <row r="71" spans="1:15" x14ac:dyDescent="0.25">
      <c r="A71" s="80">
        <v>45345</v>
      </c>
      <c r="B71" s="8" t="s">
        <v>18</v>
      </c>
      <c r="C71" s="8">
        <v>0.1</v>
      </c>
      <c r="D71" s="13">
        <v>0.75347222222222221</v>
      </c>
      <c r="E71" s="79"/>
      <c r="F71" s="9">
        <f>CPUE!F71*Effort!F71</f>
        <v>27685.305806060562</v>
      </c>
      <c r="G71" s="8" t="s">
        <v>68</v>
      </c>
      <c r="H71" s="9">
        <f>CPUE!H71*Effort!H71</f>
        <v>14818.701222855278</v>
      </c>
      <c r="J71" s="9">
        <v>34341.388104817401</v>
      </c>
      <c r="K71" s="8"/>
      <c r="L71" s="9" t="s">
        <v>10</v>
      </c>
      <c r="M71" s="8"/>
      <c r="N71" s="9" t="s">
        <v>10</v>
      </c>
      <c r="O71" s="9">
        <f t="shared" si="1"/>
        <v>76845.39513373324</v>
      </c>
    </row>
    <row r="72" spans="1:15" x14ac:dyDescent="0.25">
      <c r="A72" s="80">
        <v>45346</v>
      </c>
      <c r="B72" s="8" t="s">
        <v>19</v>
      </c>
      <c r="C72" s="8">
        <v>0.2</v>
      </c>
      <c r="D72" s="13">
        <v>0.77361111111111114</v>
      </c>
      <c r="E72" s="79" t="s">
        <v>68</v>
      </c>
      <c r="F72" s="9">
        <f>CPUE!F72*Effort!F72</f>
        <v>32989.312640509066</v>
      </c>
      <c r="G72" s="8"/>
      <c r="H72" s="9">
        <v>19198.474496545201</v>
      </c>
      <c r="J72" s="9">
        <v>42834.955637582498</v>
      </c>
      <c r="K72" s="8"/>
      <c r="L72" s="9" t="s">
        <v>10</v>
      </c>
      <c r="M72" s="8"/>
      <c r="N72" s="9" t="s">
        <v>10</v>
      </c>
      <c r="O72" s="9">
        <f t="shared" si="1"/>
        <v>95022.742774636776</v>
      </c>
    </row>
    <row r="73" spans="1:15" x14ac:dyDescent="0.25">
      <c r="A73" s="80">
        <v>45347</v>
      </c>
      <c r="B73" s="8" t="s">
        <v>20</v>
      </c>
      <c r="C73" s="8">
        <v>0.4</v>
      </c>
      <c r="D73" s="13">
        <v>0.79305555555555562</v>
      </c>
      <c r="E73" s="79" t="s">
        <v>68</v>
      </c>
      <c r="F73" s="9">
        <f>CPUE!F73*Effort!F73</f>
        <v>544.75790488803955</v>
      </c>
      <c r="G73" s="8"/>
      <c r="H73" s="9" t="s">
        <v>10</v>
      </c>
      <c r="J73" s="9" t="s">
        <v>10</v>
      </c>
      <c r="K73" s="8"/>
      <c r="L73" s="9">
        <v>588.82350601402095</v>
      </c>
      <c r="M73" s="8"/>
      <c r="N73" s="9" t="s">
        <v>10</v>
      </c>
      <c r="O73" s="9">
        <f t="shared" si="1"/>
        <v>1133.5814109020605</v>
      </c>
    </row>
    <row r="74" spans="1:15" x14ac:dyDescent="0.25">
      <c r="A74" s="80"/>
      <c r="E74" s="79"/>
      <c r="G74" s="8"/>
      <c r="K74" s="8"/>
      <c r="M74" s="8"/>
      <c r="N74" s="9"/>
    </row>
    <row r="75" spans="1:15" x14ac:dyDescent="0.25">
      <c r="A75" s="80">
        <v>45358</v>
      </c>
      <c r="B75" s="8" t="s">
        <v>22</v>
      </c>
      <c r="C75" s="8">
        <v>-0.5</v>
      </c>
      <c r="D75" s="13">
        <v>0.67708333333333337</v>
      </c>
      <c r="E75" s="79"/>
      <c r="F75" s="9">
        <f>CPUE!F75*Effort!F75</f>
        <v>20410.100161444021</v>
      </c>
      <c r="G75" s="8"/>
      <c r="H75" s="9">
        <v>14564.3370554293</v>
      </c>
      <c r="J75" s="9">
        <v>20797.424747417499</v>
      </c>
      <c r="K75" s="8"/>
      <c r="L75" s="9" t="s">
        <v>10</v>
      </c>
      <c r="M75" s="8"/>
      <c r="N75" s="9" t="s">
        <v>10</v>
      </c>
      <c r="O75" s="9">
        <f t="shared" si="1"/>
        <v>55771.861964290823</v>
      </c>
    </row>
    <row r="76" spans="1:15" x14ac:dyDescent="0.25">
      <c r="A76" s="80">
        <v>45359</v>
      </c>
      <c r="B76" s="8" t="s">
        <v>18</v>
      </c>
      <c r="C76" s="8">
        <v>-0.8</v>
      </c>
      <c r="D76" s="13">
        <v>0.70833333333333337</v>
      </c>
      <c r="E76" s="79"/>
      <c r="F76" s="9">
        <f>CPUE!F76*Effort!F76</f>
        <v>27755.573885190173</v>
      </c>
      <c r="G76" s="8" t="s">
        <v>68</v>
      </c>
      <c r="H76" s="9">
        <f>CPUE!H76*Effort!H76</f>
        <v>19978.181085474735</v>
      </c>
      <c r="J76" s="9" t="s">
        <v>10</v>
      </c>
      <c r="K76" s="8"/>
      <c r="L76" s="9">
        <v>24767.221421889099</v>
      </c>
      <c r="M76" s="8"/>
      <c r="N76" s="9" t="s">
        <v>10</v>
      </c>
      <c r="O76" s="9">
        <f t="shared" si="1"/>
        <v>72500.976392554003</v>
      </c>
    </row>
    <row r="77" spans="1:15" x14ac:dyDescent="0.25">
      <c r="A77" s="80">
        <v>45360</v>
      </c>
      <c r="B77" s="8" t="s">
        <v>19</v>
      </c>
      <c r="C77" s="8">
        <v>-0.9</v>
      </c>
      <c r="D77" s="13">
        <v>0.73749999999999993</v>
      </c>
      <c r="E77" s="79" t="s">
        <v>68</v>
      </c>
      <c r="F77" s="9">
        <f>CPUE!F77*Effort!F77</f>
        <v>13695.928977588732</v>
      </c>
      <c r="G77" s="8"/>
      <c r="H77" s="9">
        <v>8603.9759795370592</v>
      </c>
      <c r="J77" s="9" t="s">
        <v>10</v>
      </c>
      <c r="K77" s="8"/>
      <c r="L77" s="9">
        <v>18943.931599824398</v>
      </c>
      <c r="M77" s="8"/>
      <c r="N77" s="9" t="s">
        <v>10</v>
      </c>
      <c r="O77" s="9">
        <f t="shared" si="1"/>
        <v>41243.836556950191</v>
      </c>
    </row>
    <row r="78" spans="1:15" x14ac:dyDescent="0.25">
      <c r="A78" s="80">
        <v>45361</v>
      </c>
      <c r="B78" s="8" t="s">
        <v>20</v>
      </c>
      <c r="C78" s="8">
        <v>-0.7</v>
      </c>
      <c r="D78" s="13">
        <v>0.80694444444444446</v>
      </c>
      <c r="E78" s="79" t="s">
        <v>68</v>
      </c>
      <c r="F78" s="9">
        <f>CPUE!F78*Effort!F78</f>
        <v>3776.3085720738491</v>
      </c>
      <c r="G78" s="8"/>
      <c r="H78" s="9">
        <v>816.66663421525004</v>
      </c>
      <c r="J78" s="9">
        <v>6055.55522646392</v>
      </c>
      <c r="K78" s="8"/>
      <c r="L78" s="9" t="s">
        <v>10</v>
      </c>
      <c r="M78" s="8"/>
      <c r="N78" s="9" t="s">
        <v>10</v>
      </c>
      <c r="O78" s="9">
        <f t="shared" si="1"/>
        <v>10648.530432753019</v>
      </c>
    </row>
    <row r="79" spans="1:15" x14ac:dyDescent="0.25">
      <c r="A79" s="80">
        <v>45362</v>
      </c>
      <c r="B79" s="8" t="s">
        <v>21</v>
      </c>
      <c r="C79" s="8">
        <v>-0.2</v>
      </c>
      <c r="D79" s="13">
        <v>0.83333333333333337</v>
      </c>
      <c r="E79" s="79"/>
      <c r="F79" s="9">
        <f>CPUE!F79*Effort!F79</f>
        <v>218.51193375271441</v>
      </c>
      <c r="G79" s="8" t="s">
        <v>68</v>
      </c>
      <c r="H79" s="9">
        <f>CPUE!H79*Effort!H79</f>
        <v>549.65092439105365</v>
      </c>
      <c r="J79" s="9">
        <v>727.63207624033703</v>
      </c>
      <c r="K79" s="8"/>
      <c r="L79" s="9" t="s">
        <v>10</v>
      </c>
      <c r="M79" s="8"/>
      <c r="N79" s="9" t="s">
        <v>10</v>
      </c>
      <c r="O79" s="9">
        <f t="shared" si="1"/>
        <v>1495.7949343841051</v>
      </c>
    </row>
    <row r="80" spans="1:15" x14ac:dyDescent="0.25">
      <c r="A80" s="80">
        <v>45363</v>
      </c>
      <c r="B80" s="8" t="s">
        <v>66</v>
      </c>
      <c r="C80" s="8">
        <v>-0.3</v>
      </c>
      <c r="D80" s="13">
        <v>0.35625000000000001</v>
      </c>
      <c r="E80" s="79" t="s">
        <v>68</v>
      </c>
      <c r="F80" s="9">
        <f>CPUE!F80*Effort!F80</f>
        <v>3132.0237363760634</v>
      </c>
      <c r="G80" s="8"/>
      <c r="H80" s="9" t="s">
        <v>10</v>
      </c>
      <c r="J80" s="9" t="s">
        <v>10</v>
      </c>
      <c r="K80" s="8"/>
      <c r="L80" s="9">
        <v>2925.9896490362698</v>
      </c>
      <c r="M80" s="8"/>
      <c r="N80" s="9" t="s">
        <v>10</v>
      </c>
      <c r="O80" s="9">
        <f t="shared" si="1"/>
        <v>6058.0133854123333</v>
      </c>
    </row>
    <row r="81" spans="1:15" x14ac:dyDescent="0.25">
      <c r="A81" s="80">
        <v>45364</v>
      </c>
      <c r="B81" s="8" t="s">
        <v>67</v>
      </c>
      <c r="C81" s="8">
        <v>-0.4</v>
      </c>
      <c r="D81" s="13">
        <v>0.38958333333333334</v>
      </c>
      <c r="E81" s="79" t="s">
        <v>68</v>
      </c>
      <c r="F81" s="9">
        <f>CPUE!F81*Effort!F81</f>
        <v>15563.914011121271</v>
      </c>
      <c r="G81" s="8"/>
      <c r="H81" s="9" t="s">
        <v>10</v>
      </c>
      <c r="J81" s="9" t="s">
        <v>10</v>
      </c>
      <c r="K81" s="8"/>
      <c r="L81" s="9">
        <v>14614.1399774649</v>
      </c>
      <c r="M81" s="8"/>
      <c r="N81" s="9" t="s">
        <v>10</v>
      </c>
      <c r="O81" s="9">
        <f t="shared" si="1"/>
        <v>30178.053988586173</v>
      </c>
    </row>
    <row r="82" spans="1:15" x14ac:dyDescent="0.25">
      <c r="A82" s="80">
        <v>45365</v>
      </c>
      <c r="B82" s="8" t="s">
        <v>22</v>
      </c>
      <c r="C82" s="8">
        <v>-0.3</v>
      </c>
      <c r="D82" s="13">
        <v>0.42499999999999999</v>
      </c>
      <c r="E82" s="79"/>
      <c r="F82" s="9">
        <f>CPUE!F82*Effort!F82</f>
        <v>19789.521584710827</v>
      </c>
      <c r="G82" s="8"/>
      <c r="H82" s="9" t="s">
        <v>10</v>
      </c>
      <c r="J82" s="9" t="s">
        <v>10</v>
      </c>
      <c r="K82" s="8"/>
      <c r="L82" s="9">
        <v>17080.292654466899</v>
      </c>
      <c r="M82" s="8"/>
      <c r="N82" s="9" t="s">
        <v>10</v>
      </c>
      <c r="O82" s="9">
        <f t="shared" si="1"/>
        <v>36869.814239177722</v>
      </c>
    </row>
    <row r="83" spans="1:15" x14ac:dyDescent="0.25">
      <c r="A83" s="80">
        <v>45366</v>
      </c>
      <c r="B83" s="8" t="s">
        <v>18</v>
      </c>
      <c r="C83" s="8">
        <v>0.1</v>
      </c>
      <c r="D83" s="13">
        <v>0.46388888888888885</v>
      </c>
      <c r="E83" s="79"/>
      <c r="F83" s="9" t="s">
        <v>10</v>
      </c>
      <c r="G83" s="8"/>
      <c r="H83" s="9" t="s">
        <v>10</v>
      </c>
      <c r="J83" s="9">
        <v>32927.7560602991</v>
      </c>
      <c r="K83" s="8"/>
      <c r="L83" s="9" t="s">
        <v>10</v>
      </c>
      <c r="M83" s="8"/>
      <c r="N83" s="9" t="s">
        <v>10</v>
      </c>
      <c r="O83" s="9">
        <f t="shared" si="1"/>
        <v>32927.7560602991</v>
      </c>
    </row>
    <row r="84" spans="1:15" x14ac:dyDescent="0.25">
      <c r="A84" s="80">
        <v>45367</v>
      </c>
      <c r="B84" s="8" t="s">
        <v>19</v>
      </c>
      <c r="C84" s="8">
        <v>0.5</v>
      </c>
      <c r="D84" s="13">
        <v>0.50694444444444442</v>
      </c>
      <c r="E84" s="79"/>
      <c r="F84" s="9" t="s">
        <v>10</v>
      </c>
      <c r="G84" s="8"/>
      <c r="H84" s="9" t="s">
        <v>10</v>
      </c>
      <c r="J84" s="9">
        <v>61380.152671755699</v>
      </c>
      <c r="K84" s="8"/>
      <c r="L84" s="9" t="s">
        <v>10</v>
      </c>
      <c r="M84" s="8"/>
      <c r="N84" s="9" t="s">
        <v>10</v>
      </c>
      <c r="O84" s="9">
        <f t="shared" si="1"/>
        <v>61380.152671755699</v>
      </c>
    </row>
    <row r="85" spans="1:15" x14ac:dyDescent="0.25">
      <c r="A85" s="80">
        <v>45368</v>
      </c>
      <c r="B85" s="8" t="s">
        <v>20</v>
      </c>
      <c r="C85" s="8">
        <v>0.9</v>
      </c>
      <c r="D85" s="13">
        <v>0.55763888888888891</v>
      </c>
      <c r="E85" s="79"/>
      <c r="F85" s="9" t="s">
        <v>10</v>
      </c>
      <c r="G85" s="8"/>
      <c r="H85" s="9" t="s">
        <v>10</v>
      </c>
      <c r="J85" s="9" t="s">
        <v>10</v>
      </c>
      <c r="K85" s="8"/>
      <c r="L85" s="9">
        <v>40025.015291670701</v>
      </c>
      <c r="M85" s="8"/>
      <c r="N85" s="9" t="s">
        <v>10</v>
      </c>
      <c r="O85" s="9">
        <f t="shared" si="1"/>
        <v>40025.015291670701</v>
      </c>
    </row>
    <row r="86" spans="1:15" x14ac:dyDescent="0.25">
      <c r="A86" s="80"/>
      <c r="E86" s="79"/>
      <c r="G86" s="8"/>
      <c r="K86" s="8"/>
      <c r="M86" s="8"/>
      <c r="N86" s="9"/>
    </row>
    <row r="87" spans="1:15" x14ac:dyDescent="0.25">
      <c r="A87" s="80">
        <v>45377</v>
      </c>
      <c r="B87" s="8" t="s">
        <v>66</v>
      </c>
      <c r="C87" s="8">
        <v>0.7</v>
      </c>
      <c r="D87" s="13">
        <v>0.32916666666666666</v>
      </c>
      <c r="E87" s="79"/>
      <c r="F87" s="9" t="s">
        <v>10</v>
      </c>
      <c r="G87" s="8"/>
      <c r="H87" s="9" t="s">
        <v>10</v>
      </c>
      <c r="J87" s="9">
        <v>9247.62411161813</v>
      </c>
      <c r="K87" s="8"/>
      <c r="L87" s="9" t="s">
        <v>10</v>
      </c>
      <c r="M87" s="8"/>
      <c r="N87" s="9" t="s">
        <v>10</v>
      </c>
      <c r="O87" s="9">
        <f t="shared" si="1"/>
        <v>9247.62411161813</v>
      </c>
    </row>
    <row r="88" spans="1:15" x14ac:dyDescent="0.25">
      <c r="A88" s="80">
        <v>45378</v>
      </c>
      <c r="B88" s="8" t="s">
        <v>67</v>
      </c>
      <c r="C88" s="8">
        <v>0.4</v>
      </c>
      <c r="D88" s="13">
        <v>0.35138888888888892</v>
      </c>
      <c r="E88" s="79" t="s">
        <v>68</v>
      </c>
      <c r="F88" s="9">
        <f>CPUE!F88*Effort!F88</f>
        <v>1011.3375568865221</v>
      </c>
      <c r="G88" s="8"/>
      <c r="H88" s="9" t="s">
        <v>10</v>
      </c>
      <c r="J88" s="9" t="s">
        <v>10</v>
      </c>
      <c r="K88" s="8"/>
      <c r="L88" s="9">
        <f>CPUE!L88*Effort!L88</f>
        <v>1131.9032484123561</v>
      </c>
      <c r="M88" s="8"/>
      <c r="N88" s="9" t="s">
        <v>10</v>
      </c>
      <c r="O88" s="9">
        <f t="shared" si="1"/>
        <v>2143.2408052988781</v>
      </c>
    </row>
    <row r="89" spans="1:15" x14ac:dyDescent="0.25">
      <c r="A89" s="80">
        <v>45379</v>
      </c>
      <c r="B89" s="8" t="s">
        <v>22</v>
      </c>
      <c r="C89" s="8">
        <v>0.3</v>
      </c>
      <c r="D89" s="13">
        <v>0.3756944444444445</v>
      </c>
      <c r="E89" s="79" t="s">
        <v>68</v>
      </c>
      <c r="F89" s="9">
        <f>CPUE!F89*Effort!F89</f>
        <v>2225.7383273980963</v>
      </c>
      <c r="G89" s="8" t="s">
        <v>68</v>
      </c>
      <c r="H89" s="9">
        <f>CPUE!H89*Effort!H89</f>
        <v>2504.270756781415</v>
      </c>
      <c r="J89" s="9" t="s">
        <v>10</v>
      </c>
      <c r="K89" s="8"/>
      <c r="L89" s="9">
        <v>2482.6619046117598</v>
      </c>
      <c r="M89" s="8"/>
      <c r="N89" s="9" t="s">
        <v>10</v>
      </c>
      <c r="O89" s="9">
        <f t="shared" si="1"/>
        <v>7212.6709887912712</v>
      </c>
    </row>
    <row r="90" spans="1:15" x14ac:dyDescent="0.25">
      <c r="A90" s="80">
        <v>45380</v>
      </c>
      <c r="B90" s="8" t="s">
        <v>18</v>
      </c>
      <c r="C90" s="8">
        <v>0.3</v>
      </c>
      <c r="D90" s="13">
        <v>0.40208333333333335</v>
      </c>
      <c r="E90" s="79"/>
      <c r="F90" s="9">
        <f>2696.58624451852+2070.40296111283</f>
        <v>4766.9892056313493</v>
      </c>
      <c r="G90" s="8"/>
      <c r="H90" s="9">
        <v>7777.1570384076304</v>
      </c>
      <c r="J90" s="9">
        <v>12998.400642275001</v>
      </c>
      <c r="K90" s="8"/>
      <c r="L90" s="9" t="s">
        <v>10</v>
      </c>
      <c r="M90" s="8"/>
      <c r="N90" s="9" t="s">
        <v>10</v>
      </c>
      <c r="O90" s="9">
        <f t="shared" si="1"/>
        <v>25542.546886313983</v>
      </c>
    </row>
    <row r="91" spans="1:15" x14ac:dyDescent="0.25">
      <c r="A91" s="80">
        <v>45381</v>
      </c>
      <c r="B91" s="8" t="s">
        <v>19</v>
      </c>
      <c r="C91" s="8">
        <v>0.4</v>
      </c>
      <c r="D91" s="13">
        <v>0.43263888888888885</v>
      </c>
      <c r="E91" s="79"/>
      <c r="F91" s="9">
        <f>CPUE!F91*Effort!F91</f>
        <v>28105.844624557034</v>
      </c>
      <c r="G91" s="8"/>
      <c r="H91" s="9">
        <v>29033.462383006299</v>
      </c>
      <c r="J91" s="9">
        <v>44315.243385152899</v>
      </c>
      <c r="K91" s="8"/>
      <c r="L91" s="9" t="s">
        <v>10</v>
      </c>
      <c r="M91" s="8"/>
      <c r="N91" s="9" t="s">
        <v>10</v>
      </c>
      <c r="O91" s="9">
        <f t="shared" si="1"/>
        <v>101454.55039271622</v>
      </c>
    </row>
    <row r="92" spans="1:15" x14ac:dyDescent="0.25">
      <c r="A92" s="80">
        <v>45382</v>
      </c>
      <c r="B92" s="8" t="s">
        <v>20</v>
      </c>
      <c r="C92" s="8">
        <v>0.6</v>
      </c>
      <c r="D92" s="13">
        <v>0.4694444444444445</v>
      </c>
      <c r="E92" s="79" t="s">
        <v>68</v>
      </c>
      <c r="F92" s="9">
        <f>CPUE!F92*Effort!F92</f>
        <v>20344.239687058016</v>
      </c>
      <c r="G92" s="8"/>
      <c r="H92" s="9">
        <v>15078.432244182</v>
      </c>
      <c r="J92" s="9" t="s">
        <v>10</v>
      </c>
      <c r="K92" s="8"/>
      <c r="L92" s="9">
        <v>22653.810412381299</v>
      </c>
      <c r="M92" s="8"/>
      <c r="N92" s="9" t="s">
        <v>10</v>
      </c>
      <c r="O92" s="9">
        <f t="shared" si="1"/>
        <v>58076.482343621319</v>
      </c>
    </row>
    <row r="93" spans="1:15" x14ac:dyDescent="0.25">
      <c r="A93" s="80"/>
      <c r="E93" s="79"/>
      <c r="G93" s="8"/>
      <c r="K93" s="8"/>
      <c r="M93" s="8"/>
      <c r="N93" s="9"/>
    </row>
    <row r="94" spans="1:15" x14ac:dyDescent="0.25">
      <c r="A94" s="80">
        <v>45390</v>
      </c>
      <c r="B94" s="8" t="s">
        <v>21</v>
      </c>
      <c r="C94" s="8">
        <v>-0.5</v>
      </c>
      <c r="D94" s="13">
        <v>0.28055555555555556</v>
      </c>
      <c r="E94" s="79"/>
      <c r="F94" s="9" t="s">
        <v>10</v>
      </c>
      <c r="G94" s="8"/>
      <c r="H94" s="9" t="s">
        <v>10</v>
      </c>
      <c r="J94" s="9" t="s">
        <v>10</v>
      </c>
      <c r="K94" s="8"/>
      <c r="L94" s="9">
        <v>2577.1324908489</v>
      </c>
      <c r="M94" s="8"/>
      <c r="N94" s="9" t="s">
        <v>10</v>
      </c>
      <c r="O94" s="9">
        <f t="shared" si="1"/>
        <v>2577.1324908489</v>
      </c>
    </row>
    <row r="95" spans="1:15" x14ac:dyDescent="0.25">
      <c r="A95" s="80">
        <v>45391</v>
      </c>
      <c r="B95" s="8" t="s">
        <v>66</v>
      </c>
      <c r="C95" s="8">
        <v>-1.2</v>
      </c>
      <c r="D95" s="13">
        <v>0.31180555555555556</v>
      </c>
      <c r="E95" s="79" t="s">
        <v>68</v>
      </c>
      <c r="F95" s="9">
        <f>CPUE!F95*Effort!F95</f>
        <v>14296.689400127105</v>
      </c>
      <c r="G95" s="8"/>
      <c r="H95" s="9" t="s">
        <v>10</v>
      </c>
      <c r="J95" s="9" t="s">
        <v>10</v>
      </c>
      <c r="K95" s="8"/>
      <c r="L95" s="9">
        <v>16164.436018446901</v>
      </c>
      <c r="M95" s="8"/>
      <c r="N95" s="9" t="s">
        <v>10</v>
      </c>
      <c r="O95" s="9">
        <f t="shared" si="1"/>
        <v>30461.125418574004</v>
      </c>
    </row>
    <row r="96" spans="1:15" x14ac:dyDescent="0.25">
      <c r="A96" s="80">
        <v>45392</v>
      </c>
      <c r="B96" s="8" t="s">
        <v>67</v>
      </c>
      <c r="C96" s="8">
        <v>-1.5</v>
      </c>
      <c r="D96" s="13">
        <v>0.3430555555555555</v>
      </c>
      <c r="E96" s="79"/>
      <c r="F96" s="9">
        <f>CPUE!F96*Effort!F96</f>
        <v>57380.806036945432</v>
      </c>
      <c r="G96" s="8" t="s">
        <v>68</v>
      </c>
      <c r="H96" s="9">
        <f>CPUE!H96*Effort!H96</f>
        <v>41002.902070910146</v>
      </c>
      <c r="J96" s="9">
        <v>50170.3351035015</v>
      </c>
      <c r="K96" s="8"/>
      <c r="L96" s="9" t="s">
        <v>10</v>
      </c>
      <c r="M96" s="8"/>
      <c r="N96" s="9" t="s">
        <v>10</v>
      </c>
      <c r="O96" s="9">
        <f t="shared" si="1"/>
        <v>148554.04321135709</v>
      </c>
    </row>
    <row r="97" spans="1:15" x14ac:dyDescent="0.25">
      <c r="A97" s="80">
        <v>45393</v>
      </c>
      <c r="B97" s="8" t="s">
        <v>22</v>
      </c>
      <c r="C97" s="8">
        <v>-1.4</v>
      </c>
      <c r="D97" s="13">
        <v>0.375</v>
      </c>
      <c r="E97" s="79" t="s">
        <v>68</v>
      </c>
      <c r="F97" s="9">
        <f>CPUE!F97*Effort!F97</f>
        <v>29092.860534235042</v>
      </c>
      <c r="G97" s="8"/>
      <c r="H97" s="9">
        <v>22729.905062742699</v>
      </c>
      <c r="J97" s="9">
        <v>22673.527532465701</v>
      </c>
      <c r="K97" s="8"/>
      <c r="L97" s="9" t="s">
        <v>10</v>
      </c>
      <c r="M97" s="8"/>
      <c r="N97" s="9" t="s">
        <v>10</v>
      </c>
      <c r="O97" s="9">
        <f t="shared" si="1"/>
        <v>74496.293129443438</v>
      </c>
    </row>
    <row r="98" spans="1:15" x14ac:dyDescent="0.25">
      <c r="A98" s="80">
        <v>45394</v>
      </c>
      <c r="B98" s="8" t="s">
        <v>18</v>
      </c>
      <c r="C98" s="8">
        <v>-1.1000000000000001</v>
      </c>
      <c r="D98" s="13">
        <v>0.40833333333333338</v>
      </c>
      <c r="E98" s="79"/>
      <c r="F98" s="9">
        <f>8762.47620828718+32907.6907714508</f>
        <v>41670.16697973798</v>
      </c>
      <c r="G98" s="8"/>
      <c r="H98" s="9">
        <v>23744.127735379199</v>
      </c>
      <c r="J98" s="9" t="s">
        <v>10</v>
      </c>
      <c r="K98" s="8"/>
      <c r="L98" s="9">
        <v>41822.795852125397</v>
      </c>
      <c r="M98" s="8"/>
      <c r="N98" s="9" t="s">
        <v>10</v>
      </c>
      <c r="O98" s="9">
        <f t="shared" si="1"/>
        <v>107237.09056724259</v>
      </c>
    </row>
    <row r="99" spans="1:15" x14ac:dyDescent="0.25">
      <c r="A99" s="80">
        <v>45395</v>
      </c>
      <c r="B99" s="8" t="s">
        <v>19</v>
      </c>
      <c r="C99" s="8">
        <v>-0.5</v>
      </c>
      <c r="D99" s="13">
        <v>0.44444444444444442</v>
      </c>
      <c r="E99" s="79" t="s">
        <v>68</v>
      </c>
      <c r="F99" s="9">
        <f>CPUE!F99*Effort!F99</f>
        <v>69718.55676721051</v>
      </c>
      <c r="G99" s="8"/>
      <c r="H99" s="9">
        <v>46753.868244427402</v>
      </c>
      <c r="J99" s="9" t="s">
        <v>10</v>
      </c>
      <c r="K99" s="8"/>
      <c r="L99" s="9">
        <v>53758.368429944901</v>
      </c>
      <c r="M99" s="8"/>
      <c r="N99" s="9" t="s">
        <v>10</v>
      </c>
      <c r="O99" s="9">
        <f t="shared" si="1"/>
        <v>170230.79344158282</v>
      </c>
    </row>
    <row r="100" spans="1:15" x14ac:dyDescent="0.25">
      <c r="A100" s="80">
        <v>45396</v>
      </c>
      <c r="B100" s="8" t="s">
        <v>20</v>
      </c>
      <c r="C100" s="8">
        <v>0.1</v>
      </c>
      <c r="D100" s="13">
        <v>0.48472222222222222</v>
      </c>
      <c r="E100" s="79"/>
      <c r="F100" s="9">
        <f>CPUE!F100*Effort!F100</f>
        <v>19845.107283165304</v>
      </c>
      <c r="G100" s="8"/>
      <c r="H100" s="9" t="s">
        <v>10</v>
      </c>
      <c r="I100" s="8"/>
      <c r="J100" s="9">
        <f>CPUE!J100*Effort!J100</f>
        <v>56331.825273715396</v>
      </c>
      <c r="K100" s="8"/>
      <c r="L100" s="9" t="s">
        <v>10</v>
      </c>
      <c r="M100" s="8"/>
      <c r="N100" s="9" t="s">
        <v>10</v>
      </c>
      <c r="O100" s="9">
        <f t="shared" si="1"/>
        <v>76176.932556880696</v>
      </c>
    </row>
    <row r="101" spans="1:15" x14ac:dyDescent="0.25">
      <c r="A101" s="80"/>
      <c r="E101" s="79"/>
      <c r="G101" s="8"/>
      <c r="I101" s="8"/>
      <c r="K101" s="8"/>
      <c r="M101" s="8"/>
      <c r="N101" s="9"/>
    </row>
    <row r="102" spans="1:15" x14ac:dyDescent="0.25">
      <c r="A102" s="80">
        <v>45405</v>
      </c>
      <c r="B102" s="8" t="s">
        <v>66</v>
      </c>
      <c r="C102" s="8">
        <v>0</v>
      </c>
      <c r="D102" s="13">
        <v>0.2902777777777778</v>
      </c>
      <c r="E102" s="79"/>
      <c r="F102" s="9" t="s">
        <v>10</v>
      </c>
      <c r="G102" s="8"/>
      <c r="H102" s="9" t="s">
        <v>10</v>
      </c>
      <c r="I102" s="8"/>
      <c r="J102" s="9">
        <v>6741.1176698751697</v>
      </c>
      <c r="K102" s="8"/>
      <c r="L102" s="9" t="s">
        <v>10</v>
      </c>
      <c r="M102" s="8"/>
      <c r="N102" s="9" t="s">
        <v>10</v>
      </c>
      <c r="O102" s="9">
        <f t="shared" si="1"/>
        <v>6741.1176698751697</v>
      </c>
    </row>
    <row r="103" spans="1:15" x14ac:dyDescent="0.25">
      <c r="A103" s="80">
        <v>45406</v>
      </c>
      <c r="B103" s="8" t="s">
        <v>67</v>
      </c>
      <c r="C103" s="8">
        <v>-0.4</v>
      </c>
      <c r="D103" s="13">
        <v>0.3125</v>
      </c>
      <c r="E103" s="79" t="s">
        <v>68</v>
      </c>
      <c r="F103" s="9">
        <f>CPUE!F103*Effort!F103</f>
        <v>7335.5443534350343</v>
      </c>
      <c r="G103" s="8"/>
      <c r="H103" s="9" t="s">
        <v>10</v>
      </c>
      <c r="I103" s="8"/>
      <c r="J103" s="9" t="s">
        <v>10</v>
      </c>
      <c r="K103" s="8"/>
      <c r="L103" s="9">
        <v>6766.86048965805</v>
      </c>
      <c r="M103" s="8"/>
      <c r="N103" s="9" t="s">
        <v>10</v>
      </c>
      <c r="O103" s="9">
        <f t="shared" si="1"/>
        <v>14102.404843093085</v>
      </c>
    </row>
    <row r="104" spans="1:15" x14ac:dyDescent="0.25">
      <c r="A104" s="80">
        <v>45407</v>
      </c>
      <c r="B104" s="8" t="s">
        <v>22</v>
      </c>
      <c r="C104" s="8">
        <v>-0.6</v>
      </c>
      <c r="D104" s="13">
        <v>0.3354166666666667</v>
      </c>
      <c r="E104" s="79"/>
      <c r="F104" s="9">
        <f>CPUE!F104*Effort!F104</f>
        <v>2931.1755495775078</v>
      </c>
      <c r="G104" s="8"/>
      <c r="H104" s="9">
        <v>3570.78609102165</v>
      </c>
      <c r="I104" s="8"/>
      <c r="J104" s="9" t="s">
        <v>10</v>
      </c>
      <c r="K104" s="8"/>
      <c r="L104" s="9">
        <v>5182.0384449647599</v>
      </c>
      <c r="M104" s="8"/>
      <c r="N104" s="9" t="s">
        <v>10</v>
      </c>
      <c r="O104" s="9">
        <f t="shared" si="1"/>
        <v>11684.000085563919</v>
      </c>
    </row>
    <row r="105" spans="1:15" x14ac:dyDescent="0.25">
      <c r="A105" s="80">
        <v>45408</v>
      </c>
      <c r="B105" s="8" t="s">
        <v>18</v>
      </c>
      <c r="C105" s="8">
        <v>-0.7</v>
      </c>
      <c r="D105" s="13">
        <v>0.36041666666666666</v>
      </c>
      <c r="E105" s="79" t="s">
        <v>68</v>
      </c>
      <c r="F105" s="9">
        <f>CPUE!F105*Effort!F105</f>
        <v>9142.786877737808</v>
      </c>
      <c r="G105" s="8" t="s">
        <v>68</v>
      </c>
      <c r="H105" s="9">
        <f>CPUE!H105*Effort!H105</f>
        <v>9203.8012653098522</v>
      </c>
      <c r="I105" s="8"/>
      <c r="J105" s="9">
        <v>15474.0239006303</v>
      </c>
      <c r="K105" s="8"/>
      <c r="L105" s="9" t="s">
        <v>10</v>
      </c>
      <c r="M105" s="8"/>
      <c r="N105" s="9" t="s">
        <v>10</v>
      </c>
      <c r="O105" s="9">
        <f t="shared" si="1"/>
        <v>33820.61204367796</v>
      </c>
    </row>
    <row r="106" spans="1:15" x14ac:dyDescent="0.25">
      <c r="A106" s="80">
        <v>45409</v>
      </c>
      <c r="B106" s="8" t="s">
        <v>19</v>
      </c>
      <c r="C106" s="8">
        <v>-0.7</v>
      </c>
      <c r="D106" s="13">
        <v>0.38819444444444445</v>
      </c>
      <c r="E106" s="79"/>
      <c r="F106" s="9">
        <f>CPUE!F106*Effort!F106</f>
        <v>14443.248384757733</v>
      </c>
      <c r="G106" s="8"/>
      <c r="H106" s="9">
        <v>20316.325561460399</v>
      </c>
      <c r="I106" s="8"/>
      <c r="J106" s="9">
        <v>36315.033376406704</v>
      </c>
      <c r="K106" s="8"/>
      <c r="L106" s="9" t="s">
        <v>10</v>
      </c>
      <c r="M106" s="8"/>
      <c r="N106" s="9" t="s">
        <v>10</v>
      </c>
      <c r="O106" s="9">
        <f t="shared" si="1"/>
        <v>71074.607322624826</v>
      </c>
    </row>
    <row r="107" spans="1:15" x14ac:dyDescent="0.25">
      <c r="A107" s="80">
        <v>45410</v>
      </c>
      <c r="B107" s="8" t="s">
        <v>20</v>
      </c>
      <c r="C107" s="8">
        <v>-0.5</v>
      </c>
      <c r="D107" s="13">
        <v>0.4201388888888889</v>
      </c>
      <c r="E107" s="79" t="s">
        <v>68</v>
      </c>
      <c r="F107" s="9">
        <f>CPUE!F107*Effort!F107</f>
        <v>14079.75793254553</v>
      </c>
      <c r="G107" s="8" t="s">
        <v>68</v>
      </c>
      <c r="H107" s="9">
        <f>CPUE!H107*Effort!H107</f>
        <v>18035.514765762353</v>
      </c>
      <c r="I107" s="8"/>
      <c r="J107" s="9" t="s">
        <v>10</v>
      </c>
      <c r="K107" s="8"/>
      <c r="L107" s="9">
        <v>23944.100554609999</v>
      </c>
      <c r="M107" s="8"/>
      <c r="N107" s="9" t="s">
        <v>10</v>
      </c>
      <c r="O107" s="9">
        <f t="shared" si="1"/>
        <v>56059.373252917881</v>
      </c>
    </row>
    <row r="108" spans="1:15" x14ac:dyDescent="0.25">
      <c r="A108" s="80">
        <v>45411</v>
      </c>
      <c r="B108" s="8" t="s">
        <v>21</v>
      </c>
      <c r="C108" s="8">
        <v>-0.3</v>
      </c>
      <c r="D108" s="13">
        <v>0.45694444444444443</v>
      </c>
      <c r="E108" s="79"/>
      <c r="F108" s="9">
        <f>CPUE!F108*Effort!F108</f>
        <v>7997.2245822971954</v>
      </c>
      <c r="G108" s="8"/>
      <c r="H108" s="9" t="s">
        <v>10</v>
      </c>
      <c r="I108" s="8"/>
      <c r="J108" s="9" t="s">
        <v>10</v>
      </c>
      <c r="K108" s="8"/>
      <c r="L108" s="9">
        <v>6737.6606213978303</v>
      </c>
      <c r="M108" s="8"/>
      <c r="N108" s="9" t="s">
        <v>10</v>
      </c>
      <c r="O108" s="9">
        <f t="shared" si="1"/>
        <v>14734.885203695027</v>
      </c>
    </row>
    <row r="109" spans="1:15" x14ac:dyDescent="0.25">
      <c r="A109" s="80"/>
      <c r="E109" s="79"/>
      <c r="G109" s="8"/>
      <c r="I109" s="8"/>
      <c r="K109" s="8"/>
      <c r="M109" s="8"/>
      <c r="N109" s="9"/>
    </row>
    <row r="110" spans="1:15" x14ac:dyDescent="0.25">
      <c r="A110" s="80">
        <v>45418</v>
      </c>
      <c r="B110" s="8" t="s">
        <v>21</v>
      </c>
      <c r="C110" s="8">
        <v>-0.7</v>
      </c>
      <c r="D110" s="13">
        <v>0.23680555555555557</v>
      </c>
      <c r="E110" s="79"/>
      <c r="F110" s="9" t="s">
        <v>10</v>
      </c>
      <c r="G110" s="8"/>
      <c r="H110" s="9" t="s">
        <v>10</v>
      </c>
      <c r="I110" s="8"/>
      <c r="J110" s="9" t="s">
        <v>10</v>
      </c>
      <c r="K110" s="8"/>
      <c r="L110" s="9">
        <v>3892.9219668104902</v>
      </c>
      <c r="M110" s="8"/>
      <c r="N110" s="9" t="s">
        <v>10</v>
      </c>
      <c r="O110" s="9">
        <f t="shared" si="1"/>
        <v>3892.9219668104902</v>
      </c>
    </row>
    <row r="111" spans="1:15" x14ac:dyDescent="0.25">
      <c r="A111" s="80">
        <v>45419</v>
      </c>
      <c r="B111" s="8" t="s">
        <v>66</v>
      </c>
      <c r="C111" s="8">
        <v>-1.5</v>
      </c>
      <c r="D111" s="13">
        <v>0.26944444444444443</v>
      </c>
      <c r="E111" s="79" t="s">
        <v>68</v>
      </c>
      <c r="F111" s="9">
        <f>CPUE!F111*Effort!F111</f>
        <v>13996.941150739893</v>
      </c>
      <c r="G111" s="8"/>
      <c r="H111" s="9" t="s">
        <v>10</v>
      </c>
      <c r="I111" s="8"/>
      <c r="J111" s="9" t="s">
        <v>10</v>
      </c>
      <c r="K111" s="8"/>
      <c r="L111" s="9">
        <v>10104.974967681301</v>
      </c>
      <c r="M111" s="8"/>
      <c r="N111" s="9" t="s">
        <v>10</v>
      </c>
      <c r="O111" s="9">
        <f t="shared" si="1"/>
        <v>24101.916118421192</v>
      </c>
    </row>
    <row r="112" spans="1:15" x14ac:dyDescent="0.25">
      <c r="A112" s="80">
        <v>45420</v>
      </c>
      <c r="B112" s="8" t="s">
        <v>67</v>
      </c>
      <c r="C112" s="8">
        <v>-2</v>
      </c>
      <c r="D112" s="13">
        <v>0.30069444444444443</v>
      </c>
      <c r="E112" s="79" t="s">
        <v>68</v>
      </c>
      <c r="F112" s="9">
        <f>CPUE!F112*Effort!F112</f>
        <v>29408.687932069206</v>
      </c>
      <c r="G112" s="8"/>
      <c r="H112" s="9" t="s">
        <v>10</v>
      </c>
      <c r="I112" s="8"/>
      <c r="J112" s="9">
        <v>30729.908853609901</v>
      </c>
      <c r="K112" s="8"/>
      <c r="L112" s="9" t="s">
        <v>10</v>
      </c>
      <c r="M112" s="8"/>
      <c r="N112" s="9" t="s">
        <v>10</v>
      </c>
      <c r="O112" s="9">
        <f t="shared" si="1"/>
        <v>60138.59678567911</v>
      </c>
    </row>
    <row r="113" spans="1:16" x14ac:dyDescent="0.25">
      <c r="A113" s="80">
        <v>45421</v>
      </c>
      <c r="B113" s="8" t="s">
        <v>22</v>
      </c>
      <c r="C113" s="8">
        <v>-2.1</v>
      </c>
      <c r="D113" s="13">
        <v>0.33124999999999999</v>
      </c>
      <c r="E113" s="79"/>
      <c r="F113" s="9">
        <f>CPUE!F113*Effort!F113</f>
        <v>61644.876213808151</v>
      </c>
      <c r="G113" s="8"/>
      <c r="H113" s="9">
        <v>27968.712690145199</v>
      </c>
      <c r="I113" s="8"/>
      <c r="J113" s="9">
        <v>64368.2048520885</v>
      </c>
      <c r="K113" s="8"/>
      <c r="L113" s="9" t="s">
        <v>10</v>
      </c>
      <c r="M113" s="8"/>
      <c r="N113" s="9" t="s">
        <v>10</v>
      </c>
      <c r="O113" s="9">
        <f t="shared" si="1"/>
        <v>153981.79375604185</v>
      </c>
    </row>
    <row r="114" spans="1:16" x14ac:dyDescent="0.25">
      <c r="A114" s="80">
        <v>45422</v>
      </c>
      <c r="B114" s="8" t="s">
        <v>18</v>
      </c>
      <c r="C114" s="8">
        <v>-1.9</v>
      </c>
      <c r="D114" s="13">
        <v>0.36180555555555555</v>
      </c>
      <c r="E114" s="79"/>
      <c r="F114" s="9">
        <f>16948.7627331298+28711.2817892643</f>
        <v>45660.044522394099</v>
      </c>
      <c r="G114" s="8" t="s">
        <v>68</v>
      </c>
      <c r="H114" s="9">
        <f>CPUE!H114*Effort!H114</f>
        <v>45578.549600264589</v>
      </c>
      <c r="I114" s="8"/>
      <c r="J114" s="9" t="s">
        <v>10</v>
      </c>
      <c r="K114" s="8"/>
      <c r="L114" s="9">
        <v>38822.481297947197</v>
      </c>
      <c r="M114" s="8"/>
      <c r="N114" s="9" t="s">
        <v>10</v>
      </c>
      <c r="O114" s="9">
        <f t="shared" si="1"/>
        <v>130061.07542060589</v>
      </c>
    </row>
    <row r="115" spans="1:16" x14ac:dyDescent="0.25">
      <c r="A115" s="80">
        <v>45423</v>
      </c>
      <c r="B115" s="8" t="s">
        <v>19</v>
      </c>
      <c r="C115" s="8">
        <v>-1.4</v>
      </c>
      <c r="D115" s="13">
        <v>0.39374999999999999</v>
      </c>
      <c r="E115" s="79"/>
      <c r="F115" s="9">
        <f>23956.8347789247+45890.5721629784</f>
        <v>69847.4069419031</v>
      </c>
      <c r="G115" s="8"/>
      <c r="H115" s="9">
        <v>77577.562377784299</v>
      </c>
      <c r="I115" s="8"/>
      <c r="J115" s="9" t="s">
        <v>10</v>
      </c>
      <c r="K115" s="8"/>
      <c r="L115" s="9">
        <v>75408.724784176593</v>
      </c>
      <c r="M115" s="8"/>
      <c r="N115" s="9" t="s">
        <v>10</v>
      </c>
      <c r="O115" s="9">
        <f t="shared" si="1"/>
        <v>222833.69410386399</v>
      </c>
    </row>
    <row r="116" spans="1:16" x14ac:dyDescent="0.25">
      <c r="A116" s="80">
        <v>45424</v>
      </c>
      <c r="B116" s="8" t="s">
        <v>20</v>
      </c>
      <c r="C116" s="8">
        <v>-0.8</v>
      </c>
      <c r="D116" s="13">
        <v>0.42777777777777781</v>
      </c>
      <c r="E116" s="79" t="s">
        <v>68</v>
      </c>
      <c r="F116" s="9">
        <f>CPUE!F116*Effort!F116</f>
        <v>48438.887015553228</v>
      </c>
      <c r="G116" s="8"/>
      <c r="H116" s="9">
        <v>40638.9274051455</v>
      </c>
      <c r="I116" s="8"/>
      <c r="J116" s="9">
        <v>48819.542670790899</v>
      </c>
      <c r="K116" s="8"/>
      <c r="L116" s="9" t="s">
        <v>10</v>
      </c>
      <c r="M116" s="8"/>
      <c r="N116" s="9" t="s">
        <v>10</v>
      </c>
      <c r="O116" s="9">
        <f t="shared" si="1"/>
        <v>137897.35709148963</v>
      </c>
    </row>
    <row r="117" spans="1:16" x14ac:dyDescent="0.25">
      <c r="A117" s="80"/>
      <c r="E117" s="79"/>
      <c r="G117" s="8"/>
      <c r="I117" s="8"/>
      <c r="K117" s="8"/>
      <c r="M117" s="8"/>
      <c r="N117" s="9"/>
    </row>
    <row r="118" spans="1:16" x14ac:dyDescent="0.25">
      <c r="A118" s="15" t="s">
        <v>65</v>
      </c>
      <c r="F118" s="9">
        <f>SUM(F2:F117)</f>
        <v>1448224.0954987842</v>
      </c>
      <c r="G118" s="8"/>
      <c r="H118" s="9">
        <f>SUM(H2:H117)</f>
        <v>1113081.4466099204</v>
      </c>
      <c r="I118" s="8"/>
      <c r="J118" s="9">
        <f>SUM(J2:J117)</f>
        <v>1085593.1176094182</v>
      </c>
      <c r="K118" s="8"/>
      <c r="L118" s="9">
        <f>SUM(L2:L117)</f>
        <v>768074.7858027789</v>
      </c>
      <c r="M118" s="8"/>
      <c r="N118" s="9">
        <f>SUM(N2:N5)</f>
        <v>0</v>
      </c>
      <c r="O118" s="9">
        <f>SUM(O2:O117)</f>
        <v>4414973.4455209021</v>
      </c>
      <c r="P118" s="20">
        <f>SUM(F118,H118,J118,L118,N118)</f>
        <v>4414973.4455209011</v>
      </c>
    </row>
    <row r="119" spans="1:16" x14ac:dyDescent="0.25">
      <c r="A119" s="16" t="s">
        <v>11</v>
      </c>
      <c r="F119" s="33">
        <f>+'LB Wastage'!F100</f>
        <v>2.9473684210526315E-2</v>
      </c>
      <c r="H119" s="33">
        <f>+'TH Wastage'!F100</f>
        <v>2.923076923076923E-2</v>
      </c>
      <c r="J119" s="33">
        <f>+'Cop Wastage'!F100</f>
        <v>1.8378378378378378E-2</v>
      </c>
      <c r="L119" s="33">
        <f>+'Moc Wastage'!F100</f>
        <v>2.7142857142857142E-2</v>
      </c>
      <c r="N119" s="33">
        <f>+'Kal Wastage'!F100</f>
        <v>0</v>
      </c>
    </row>
    <row r="120" spans="1:16" x14ac:dyDescent="0.25">
      <c r="A120" s="15" t="s">
        <v>12</v>
      </c>
      <c r="F120" s="9">
        <f>+F118*F119</f>
        <v>42684.499656806271</v>
      </c>
      <c r="H120" s="9">
        <f>+H118*H119</f>
        <v>32536.226900905363</v>
      </c>
      <c r="J120" s="9">
        <f>+J118*J119</f>
        <v>19951.441080389308</v>
      </c>
      <c r="L120" s="9">
        <f>+L118*L119</f>
        <v>20847.744186075426</v>
      </c>
      <c r="N120" s="9">
        <f>+N118*N119</f>
        <v>0</v>
      </c>
      <c r="O120" s="9">
        <f>F120+H120+J120+L120+N120</f>
        <v>116019.91182417638</v>
      </c>
    </row>
    <row r="121" spans="1:16" x14ac:dyDescent="0.25">
      <c r="A121" s="16" t="s">
        <v>13</v>
      </c>
      <c r="F121" s="9">
        <f>F118+F120</f>
        <v>1490908.5951555904</v>
      </c>
      <c r="H121" s="9">
        <f>H118+H120</f>
        <v>1145617.6735108257</v>
      </c>
      <c r="J121" s="9">
        <f>J118+J120</f>
        <v>1105544.5586898075</v>
      </c>
      <c r="L121" s="9">
        <f>L118+L120</f>
        <v>788922.52998885431</v>
      </c>
      <c r="N121" s="9">
        <f>N118+N120</f>
        <v>0</v>
      </c>
      <c r="O121" s="9">
        <f>O118+O120</f>
        <v>4530993.3573450781</v>
      </c>
      <c r="P121" s="20">
        <f>SUM(F121:L121)</f>
        <v>4530993.3573450781</v>
      </c>
    </row>
    <row r="122" spans="1:16" x14ac:dyDescent="0.25">
      <c r="A122" s="17"/>
      <c r="N122" s="9"/>
    </row>
    <row r="123" spans="1:16" x14ac:dyDescent="0.25">
      <c r="A123" s="17" t="s">
        <v>14</v>
      </c>
      <c r="F123" s="10">
        <f>F121/TAC!B4</f>
        <v>0.6920990008969945</v>
      </c>
      <c r="H123" s="10">
        <f>H121/TAC!B5</f>
        <v>0.89417417585650272</v>
      </c>
      <c r="J123" s="10">
        <f>+J121/TAC!B6</f>
        <v>0.80860097028456135</v>
      </c>
      <c r="L123" s="10">
        <f>L121/TAC!B7</f>
        <v>0.56271901861084794</v>
      </c>
      <c r="N123" s="10">
        <f>N121/TAC!B8</f>
        <v>0</v>
      </c>
      <c r="O123" s="10">
        <f>O121/TAC!B9</f>
        <v>0.72244479072105272</v>
      </c>
    </row>
    <row r="124" spans="1:16" x14ac:dyDescent="0.25">
      <c r="A124" s="17" t="s">
        <v>15</v>
      </c>
      <c r="F124" s="9">
        <f>+TAC!B4-Harvest!F121</f>
        <v>663275.40629983624</v>
      </c>
      <c r="H124" s="9">
        <f>TAC!B5-Harvest!H121</f>
        <v>135584.24938464677</v>
      </c>
      <c r="J124" s="9">
        <f>+TAC!B6-Harvest!J121</f>
        <v>261686.7449045307</v>
      </c>
      <c r="L124" s="9">
        <f>TAC!B7-L121</f>
        <v>613060.52709071978</v>
      </c>
      <c r="N124" s="9">
        <f>TAC!B8-N121</f>
        <v>67150.048758916702</v>
      </c>
      <c r="O124" s="9">
        <f>TAC!B9-Harvest!O121</f>
        <v>1740756.9764386499</v>
      </c>
    </row>
    <row r="125" spans="1:16" x14ac:dyDescent="0.25">
      <c r="A125" s="17"/>
    </row>
    <row r="126" spans="1:16" x14ac:dyDescent="0.25">
      <c r="A126" s="15" t="s">
        <v>16</v>
      </c>
    </row>
    <row r="127" spans="1:16" x14ac:dyDescent="0.25">
      <c r="A127" s="17" t="s">
        <v>17</v>
      </c>
    </row>
    <row r="128" spans="1:16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2:11" x14ac:dyDescent="0.25">
      <c r="E145"/>
    </row>
    <row r="146" spans="2:11" x14ac:dyDescent="0.25">
      <c r="E146"/>
    </row>
    <row r="147" spans="2:11" x14ac:dyDescent="0.25">
      <c r="E147"/>
    </row>
    <row r="148" spans="2:11" x14ac:dyDescent="0.25">
      <c r="B148" s="7"/>
      <c r="C148" s="4"/>
      <c r="K148" s="6"/>
    </row>
    <row r="149" spans="2:11" x14ac:dyDescent="0.25">
      <c r="B149" s="7"/>
      <c r="C149" s="4"/>
    </row>
  </sheetData>
  <mergeCells count="5">
    <mergeCell ref="E1:F1"/>
    <mergeCell ref="G1:H1"/>
    <mergeCell ref="I1:J1"/>
    <mergeCell ref="K1:L1"/>
    <mergeCell ref="M1:N1"/>
  </mergeCells>
  <phoneticPr fontId="17" type="noConversion"/>
  <pageMargins left="0.28999999999999998" right="0.36" top="0.66" bottom="0.5" header="0.2" footer="0.25"/>
  <pageSetup paperSize="3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48"/>
  <sheetViews>
    <sheetView topLeftCell="A91" workbookViewId="0">
      <selection activeCell="E113" sqref="E113"/>
    </sheetView>
  </sheetViews>
  <sheetFormatPr defaultRowHeight="15" x14ac:dyDescent="0.25"/>
  <cols>
    <col min="1" max="1" width="21.140625" customWidth="1"/>
    <col min="4" max="4" width="9.140625" customWidth="1"/>
    <col min="5" max="5" width="3.85546875" customWidth="1"/>
    <col min="6" max="6" width="14.42578125" style="9" customWidth="1"/>
    <col min="7" max="7" width="3.5703125" customWidth="1"/>
    <col min="8" max="8" width="15.28515625" style="9" customWidth="1"/>
    <col min="9" max="9" width="3.85546875" customWidth="1"/>
    <col min="10" max="10" width="16.28515625" style="9" customWidth="1"/>
    <col min="11" max="11" width="3" customWidth="1"/>
    <col min="12" max="12" width="15.42578125" style="9" customWidth="1"/>
    <col min="13" max="13" width="3" customWidth="1"/>
    <col min="14" max="14" width="16.42578125" customWidth="1"/>
    <col min="15" max="15" width="13.42578125" style="9" customWidth="1"/>
  </cols>
  <sheetData>
    <row r="1" spans="1:15" x14ac:dyDescent="0.25">
      <c r="A1" s="14" t="s">
        <v>0</v>
      </c>
      <c r="B1" s="1" t="s">
        <v>1</v>
      </c>
      <c r="C1" s="1" t="s">
        <v>2</v>
      </c>
      <c r="D1" s="12" t="s">
        <v>3</v>
      </c>
      <c r="E1" s="124" t="s">
        <v>4</v>
      </c>
      <c r="F1" s="124"/>
      <c r="G1" s="124" t="s">
        <v>5</v>
      </c>
      <c r="H1" s="124"/>
      <c r="I1" s="124" t="s">
        <v>6</v>
      </c>
      <c r="J1" s="124"/>
      <c r="K1" s="124" t="s">
        <v>7</v>
      </c>
      <c r="L1" s="124"/>
      <c r="M1" s="124" t="s">
        <v>8</v>
      </c>
      <c r="N1" s="124"/>
      <c r="O1" s="74" t="s">
        <v>9</v>
      </c>
    </row>
    <row r="2" spans="1:15" x14ac:dyDescent="0.25">
      <c r="A2" s="80">
        <v>45198</v>
      </c>
      <c r="B2" s="8" t="s">
        <v>18</v>
      </c>
      <c r="C2" s="8">
        <v>-0.4</v>
      </c>
      <c r="D2" s="13">
        <v>0.8041666666666667</v>
      </c>
      <c r="E2" s="79"/>
      <c r="F2" s="9">
        <f>(3034.79154607489/2571.1998978297*1370.79060301813)+1370.79060301813</f>
        <v>2988.7370477849299</v>
      </c>
      <c r="G2" s="8"/>
      <c r="H2" s="9">
        <v>2761.0167537755901</v>
      </c>
      <c r="I2" s="8"/>
      <c r="J2" s="9" t="s">
        <v>10</v>
      </c>
      <c r="K2" s="8"/>
      <c r="L2" s="9" t="s">
        <v>10</v>
      </c>
      <c r="M2" s="8"/>
      <c r="N2" s="9" t="s">
        <v>10</v>
      </c>
      <c r="O2" s="84">
        <f t="shared" ref="O2:O65" si="0">SUM(F2:N2)</f>
        <v>5749.7538015605205</v>
      </c>
    </row>
    <row r="3" spans="1:15" x14ac:dyDescent="0.25">
      <c r="A3" s="80">
        <v>45199</v>
      </c>
      <c r="B3" s="8" t="s">
        <v>19</v>
      </c>
      <c r="C3" s="8">
        <v>-0.9</v>
      </c>
      <c r="D3" s="13">
        <v>0.83611111111111114</v>
      </c>
      <c r="E3" s="79" t="s">
        <v>68</v>
      </c>
      <c r="F3" s="9">
        <f>F2/H2*H3</f>
        <v>4253.9595372949343</v>
      </c>
      <c r="G3" s="8"/>
      <c r="H3" s="9">
        <v>3929.8383780733202</v>
      </c>
      <c r="I3" s="8"/>
      <c r="J3" s="9">
        <v>4894.3942502325799</v>
      </c>
      <c r="K3" s="8"/>
      <c r="L3" s="9" t="s">
        <v>10</v>
      </c>
      <c r="M3" s="8"/>
      <c r="N3" s="9" t="s">
        <v>10</v>
      </c>
      <c r="O3" s="84">
        <f t="shared" si="0"/>
        <v>13078.192165600834</v>
      </c>
    </row>
    <row r="4" spans="1:15" x14ac:dyDescent="0.25">
      <c r="A4" s="80">
        <v>45200</v>
      </c>
      <c r="B4" s="8" t="s">
        <v>20</v>
      </c>
      <c r="C4" s="8">
        <v>-1</v>
      </c>
      <c r="D4" s="13">
        <v>0.86736111111111114</v>
      </c>
      <c r="E4" s="79" t="s">
        <v>68</v>
      </c>
      <c r="F4" s="9">
        <f>F2/H2*H4</f>
        <v>2134.3396560233491</v>
      </c>
      <c r="G4" s="8"/>
      <c r="H4" s="9">
        <v>1971.71830586287</v>
      </c>
      <c r="I4" s="8"/>
      <c r="J4" s="9" t="s">
        <v>10</v>
      </c>
      <c r="K4" s="8"/>
      <c r="L4" s="9" t="s">
        <v>10</v>
      </c>
      <c r="M4" s="8"/>
      <c r="N4" s="9" t="s">
        <v>10</v>
      </c>
      <c r="O4" s="84">
        <f t="shared" si="0"/>
        <v>4106.0579618862193</v>
      </c>
    </row>
    <row r="5" spans="1:15" x14ac:dyDescent="0.25">
      <c r="A5" s="80">
        <v>45201</v>
      </c>
      <c r="B5" s="8" t="s">
        <v>21</v>
      </c>
      <c r="C5" s="8">
        <v>-0.9</v>
      </c>
      <c r="D5" s="13">
        <v>0.9</v>
      </c>
      <c r="E5" s="79"/>
      <c r="F5" s="9">
        <f>(3034.79154607489/2571.1998978297*86.0585241725059)+86.0585241725059</f>
        <v>187.6335443982187</v>
      </c>
      <c r="G5" s="8" t="s">
        <v>68</v>
      </c>
      <c r="H5" s="9">
        <f>H3/J3*J5</f>
        <v>454.5980131977438</v>
      </c>
      <c r="I5" s="8"/>
      <c r="J5" s="9">
        <v>566.17643981914398</v>
      </c>
      <c r="K5" s="8"/>
      <c r="L5" s="9" t="s">
        <v>10</v>
      </c>
      <c r="M5" s="8"/>
      <c r="N5" s="9" t="s">
        <v>10</v>
      </c>
      <c r="O5" s="84">
        <f t="shared" si="0"/>
        <v>1208.4079974151064</v>
      </c>
    </row>
    <row r="6" spans="1:15" x14ac:dyDescent="0.25">
      <c r="A6" s="80"/>
      <c r="B6" s="8"/>
      <c r="C6" s="8"/>
      <c r="D6" s="13"/>
      <c r="E6" s="79"/>
      <c r="G6" s="8"/>
      <c r="I6" s="8"/>
      <c r="K6" s="8"/>
      <c r="M6" s="8"/>
      <c r="N6" s="9"/>
      <c r="O6" s="84"/>
    </row>
    <row r="7" spans="1:15" x14ac:dyDescent="0.25">
      <c r="A7" s="80">
        <v>45213</v>
      </c>
      <c r="B7" s="8" t="s">
        <v>19</v>
      </c>
      <c r="C7" s="8">
        <v>0.2</v>
      </c>
      <c r="D7" s="13">
        <v>0.80347222222222225</v>
      </c>
      <c r="E7" s="79"/>
      <c r="F7" s="9">
        <f>1079.72462945668+966.623962337087</f>
        <v>2046.3485917937671</v>
      </c>
      <c r="G7" s="8" t="s">
        <v>68</v>
      </c>
      <c r="H7" s="9">
        <f>H9/L9*L7</f>
        <v>2003.96372652524</v>
      </c>
      <c r="I7" s="8"/>
      <c r="J7" s="9" t="s">
        <v>10</v>
      </c>
      <c r="K7" s="8"/>
      <c r="L7" s="9">
        <v>1765.40393744314</v>
      </c>
      <c r="M7" s="8"/>
      <c r="N7" s="9" t="s">
        <v>10</v>
      </c>
      <c r="O7" s="84">
        <f t="shared" si="0"/>
        <v>5815.7162557621468</v>
      </c>
    </row>
    <row r="8" spans="1:15" x14ac:dyDescent="0.25">
      <c r="A8" s="80">
        <v>45214</v>
      </c>
      <c r="B8" s="8" t="s">
        <v>20</v>
      </c>
      <c r="C8" s="8">
        <v>-0.1</v>
      </c>
      <c r="D8" s="13">
        <v>0.82777777777777783</v>
      </c>
      <c r="E8" s="79" t="s">
        <v>68</v>
      </c>
      <c r="F8" s="9">
        <f>F10/J10*J8</f>
        <v>1317.8028498004965</v>
      </c>
      <c r="G8" s="8"/>
      <c r="H8" s="9">
        <v>858.22633169735798</v>
      </c>
      <c r="I8" s="8"/>
      <c r="J8" s="9">
        <v>1476.99083050996</v>
      </c>
      <c r="K8" s="8"/>
      <c r="L8" s="9" t="s">
        <v>10</v>
      </c>
      <c r="M8" s="8"/>
      <c r="N8" s="9" t="s">
        <v>10</v>
      </c>
      <c r="O8" s="84">
        <f t="shared" si="0"/>
        <v>3653.0200120078143</v>
      </c>
    </row>
    <row r="9" spans="1:15" x14ac:dyDescent="0.25">
      <c r="A9" s="80">
        <v>45215</v>
      </c>
      <c r="B9" s="8" t="s">
        <v>21</v>
      </c>
      <c r="C9" s="8">
        <v>-0.3</v>
      </c>
      <c r="D9" s="13">
        <v>0.85277777777777775</v>
      </c>
      <c r="E9" s="79" t="s">
        <v>68</v>
      </c>
      <c r="F9" s="9">
        <f>F7/L7*L9</f>
        <v>330.12069156235435</v>
      </c>
      <c r="G9" s="8"/>
      <c r="H9" s="9">
        <v>323.28308770036602</v>
      </c>
      <c r="I9" s="8"/>
      <c r="J9" s="9" t="s">
        <v>10</v>
      </c>
      <c r="K9" s="8"/>
      <c r="L9" s="9">
        <v>284.798186903616</v>
      </c>
      <c r="M9" s="8"/>
      <c r="N9" s="9" t="s">
        <v>10</v>
      </c>
      <c r="O9" s="84">
        <f t="shared" si="0"/>
        <v>938.20196616633643</v>
      </c>
    </row>
    <row r="10" spans="1:15" x14ac:dyDescent="0.25">
      <c r="A10" s="80">
        <v>45216</v>
      </c>
      <c r="B10" s="8" t="s">
        <v>66</v>
      </c>
      <c r="C10" s="8">
        <v>-0.4</v>
      </c>
      <c r="D10" s="13">
        <v>0.87916666666666676</v>
      </c>
      <c r="E10" s="79"/>
      <c r="F10" s="9">
        <f>(1079.72462945668/966.623962337087*166.193568330958)+166.193568330958</f>
        <v>351.83275789788343</v>
      </c>
      <c r="G10" s="8" t="s">
        <v>68</v>
      </c>
      <c r="H10" s="9">
        <f>H8/J8*J10</f>
        <v>229.13301274722392</v>
      </c>
      <c r="I10" s="8"/>
      <c r="J10" s="9">
        <v>394.33345994575399</v>
      </c>
      <c r="K10" s="8"/>
      <c r="L10" s="9" t="s">
        <v>10</v>
      </c>
      <c r="M10" s="8"/>
      <c r="N10" s="9" t="s">
        <v>10</v>
      </c>
      <c r="O10" s="84">
        <f t="shared" si="0"/>
        <v>975.29923059086127</v>
      </c>
    </row>
    <row r="11" spans="1:15" x14ac:dyDescent="0.25">
      <c r="A11" s="80">
        <v>45217</v>
      </c>
      <c r="B11" s="8" t="s">
        <v>67</v>
      </c>
      <c r="C11" s="8">
        <v>-0.3</v>
      </c>
      <c r="D11" s="13">
        <v>0.90902777777777777</v>
      </c>
      <c r="E11" s="79"/>
      <c r="F11" s="9" t="s">
        <v>10</v>
      </c>
      <c r="G11" s="8"/>
      <c r="H11" s="9" t="s">
        <v>10</v>
      </c>
      <c r="I11" s="8"/>
      <c r="J11" s="9" t="s">
        <v>10</v>
      </c>
      <c r="K11" s="8"/>
      <c r="L11" s="9">
        <v>407.60234680324498</v>
      </c>
      <c r="M11" s="8"/>
      <c r="N11" s="9" t="s">
        <v>10</v>
      </c>
      <c r="O11" s="84">
        <f t="shared" si="0"/>
        <v>407.60234680324498</v>
      </c>
    </row>
    <row r="12" spans="1:15" x14ac:dyDescent="0.25">
      <c r="A12" s="80"/>
      <c r="B12" s="8"/>
      <c r="C12" s="8"/>
      <c r="D12" s="13"/>
      <c r="E12" s="79"/>
      <c r="G12" s="8"/>
      <c r="I12" s="8"/>
      <c r="K12" s="8"/>
      <c r="M12" s="8"/>
      <c r="N12" s="9"/>
      <c r="O12" s="84"/>
    </row>
    <row r="13" spans="1:15" x14ac:dyDescent="0.25">
      <c r="A13" s="80">
        <v>45226</v>
      </c>
      <c r="B13" s="8" t="s">
        <v>18</v>
      </c>
      <c r="C13" s="8">
        <v>-0.4</v>
      </c>
      <c r="D13" s="13">
        <v>0.76250000000000007</v>
      </c>
      <c r="E13" s="79"/>
      <c r="F13" s="9">
        <f>884.386071404625+1486.01391664187</f>
        <v>2370.3999880464953</v>
      </c>
      <c r="G13" s="8" t="s">
        <v>68</v>
      </c>
      <c r="H13" s="9">
        <f>H15/L15*L13</f>
        <v>2389.6520864055901</v>
      </c>
      <c r="I13" s="8"/>
      <c r="J13" s="9" t="s">
        <v>10</v>
      </c>
      <c r="K13" s="8"/>
      <c r="L13" s="9">
        <v>1854.54330265823</v>
      </c>
      <c r="M13" s="8"/>
      <c r="N13" s="9" t="s">
        <v>10</v>
      </c>
      <c r="O13" s="84">
        <f t="shared" si="0"/>
        <v>6614.5953771103159</v>
      </c>
    </row>
    <row r="14" spans="1:15" x14ac:dyDescent="0.25">
      <c r="A14" s="80">
        <v>45227</v>
      </c>
      <c r="B14" s="8" t="s">
        <v>19</v>
      </c>
      <c r="C14" s="8">
        <v>-1</v>
      </c>
      <c r="D14" s="13">
        <v>0.79375000000000007</v>
      </c>
      <c r="E14" s="79"/>
      <c r="F14" s="9">
        <f>(884.386071404625/1486.01391664187*2699.38644319373)+2699.38644319373</f>
        <v>4305.8988351462121</v>
      </c>
      <c r="G14" s="8" t="s">
        <v>68</v>
      </c>
      <c r="H14" s="9">
        <f>H16/J16*J14</f>
        <v>4132.6285894096272</v>
      </c>
      <c r="I14" s="8"/>
      <c r="J14" s="9">
        <v>5902.8030789941804</v>
      </c>
      <c r="K14" s="8"/>
      <c r="L14" s="9" t="s">
        <v>10</v>
      </c>
      <c r="M14" s="8"/>
      <c r="N14" s="9" t="s">
        <v>10</v>
      </c>
      <c r="O14" s="84">
        <f t="shared" si="0"/>
        <v>14341.33050355002</v>
      </c>
    </row>
    <row r="15" spans="1:15" x14ac:dyDescent="0.25">
      <c r="A15" s="80">
        <v>45228</v>
      </c>
      <c r="B15" s="8" t="s">
        <v>20</v>
      </c>
      <c r="C15" s="8">
        <v>-1.3</v>
      </c>
      <c r="D15" s="13">
        <v>0.82361111111111107</v>
      </c>
      <c r="E15" s="79" t="s">
        <v>68</v>
      </c>
      <c r="F15" s="9">
        <f>F13/L13*L15</f>
        <v>1984.5658957728083</v>
      </c>
      <c r="G15" s="8"/>
      <c r="H15" s="9">
        <v>2000.6842968942201</v>
      </c>
      <c r="I15" s="8"/>
      <c r="J15" s="9" t="s">
        <v>10</v>
      </c>
      <c r="K15" s="8"/>
      <c r="L15" s="9">
        <v>1552.6760923259001</v>
      </c>
      <c r="M15" s="8"/>
      <c r="N15" s="9" t="s">
        <v>10</v>
      </c>
      <c r="O15" s="84">
        <f t="shared" si="0"/>
        <v>5537.9262849929282</v>
      </c>
    </row>
    <row r="16" spans="1:15" x14ac:dyDescent="0.25">
      <c r="A16" s="80">
        <v>45229</v>
      </c>
      <c r="B16" s="8" t="s">
        <v>21</v>
      </c>
      <c r="C16" s="8">
        <v>-1.3</v>
      </c>
      <c r="D16" s="13">
        <v>0.8534722222222223</v>
      </c>
      <c r="E16" s="79" t="s">
        <v>68</v>
      </c>
      <c r="F16" s="9">
        <f>F14/J14*J16</f>
        <v>801.51878974833176</v>
      </c>
      <c r="G16" s="8"/>
      <c r="H16" s="9">
        <v>769.26551047279395</v>
      </c>
      <c r="I16" s="8"/>
      <c r="J16" s="9">
        <v>1098.7735107430799</v>
      </c>
      <c r="K16" s="8"/>
      <c r="L16" s="9" t="s">
        <v>10</v>
      </c>
      <c r="M16" s="8"/>
      <c r="N16" s="9" t="s">
        <v>10</v>
      </c>
      <c r="O16" s="84">
        <f t="shared" si="0"/>
        <v>2669.5578109642056</v>
      </c>
    </row>
    <row r="17" spans="1:15" x14ac:dyDescent="0.25">
      <c r="A17" s="80">
        <v>45230</v>
      </c>
      <c r="B17" s="8" t="s">
        <v>66</v>
      </c>
      <c r="C17" s="8">
        <v>-1</v>
      </c>
      <c r="D17" s="13">
        <v>0.8833333333333333</v>
      </c>
      <c r="E17" s="79"/>
      <c r="F17" s="9" t="s">
        <v>10</v>
      </c>
      <c r="G17" s="8"/>
      <c r="H17" s="9" t="s">
        <v>10</v>
      </c>
      <c r="I17" s="8"/>
      <c r="J17" s="9" t="s">
        <v>10</v>
      </c>
      <c r="K17" s="8"/>
      <c r="L17" s="9">
        <v>239.97715213868901</v>
      </c>
      <c r="M17" s="8"/>
      <c r="N17" s="9" t="s">
        <v>10</v>
      </c>
      <c r="O17" s="84">
        <f t="shared" si="0"/>
        <v>239.97715213868901</v>
      </c>
    </row>
    <row r="18" spans="1:15" x14ac:dyDescent="0.25">
      <c r="A18" s="80"/>
      <c r="B18" s="8"/>
      <c r="C18" s="8"/>
      <c r="D18" s="13"/>
      <c r="E18" s="79"/>
      <c r="G18" s="8"/>
      <c r="I18" s="8"/>
      <c r="K18" s="8"/>
      <c r="M18" s="8"/>
      <c r="N18" s="9"/>
      <c r="O18" s="84"/>
    </row>
    <row r="19" spans="1:15" x14ac:dyDescent="0.25">
      <c r="A19" s="80">
        <v>45242</v>
      </c>
      <c r="B19" s="8" t="s">
        <v>20</v>
      </c>
      <c r="C19" s="8">
        <v>-0.3</v>
      </c>
      <c r="D19" s="13">
        <v>0.74513888888888891</v>
      </c>
      <c r="E19" s="79"/>
      <c r="F19" s="9" t="s">
        <v>10</v>
      </c>
      <c r="G19" s="8"/>
      <c r="H19" s="9" t="s">
        <v>10</v>
      </c>
      <c r="I19" s="8"/>
      <c r="J19" s="9" t="s">
        <v>10</v>
      </c>
      <c r="K19" s="8"/>
      <c r="L19" s="9">
        <v>1064.35418358775</v>
      </c>
      <c r="M19" s="8"/>
      <c r="N19" s="9" t="s">
        <v>10</v>
      </c>
      <c r="O19" s="84">
        <f t="shared" si="0"/>
        <v>1064.35418358775</v>
      </c>
    </row>
    <row r="20" spans="1:15" x14ac:dyDescent="0.25">
      <c r="A20" s="80">
        <v>45243</v>
      </c>
      <c r="B20" s="8" t="s">
        <v>21</v>
      </c>
      <c r="C20" s="8">
        <v>-0.7</v>
      </c>
      <c r="D20" s="13">
        <v>0.77083333333333337</v>
      </c>
      <c r="E20" s="79" t="s">
        <v>68</v>
      </c>
      <c r="F20" s="9">
        <f>F21/H21*H20</f>
        <v>952.83861161248706</v>
      </c>
      <c r="G20" s="8"/>
      <c r="H20" s="9">
        <v>857.322183999206</v>
      </c>
      <c r="I20" s="8"/>
      <c r="J20" s="9">
        <v>941.25877673887203</v>
      </c>
      <c r="K20" s="8"/>
      <c r="L20" s="9" t="s">
        <v>10</v>
      </c>
      <c r="M20" s="8"/>
      <c r="N20" s="9" t="s">
        <v>10</v>
      </c>
      <c r="O20" s="84">
        <f t="shared" si="0"/>
        <v>2751.4195723505654</v>
      </c>
    </row>
    <row r="21" spans="1:15" x14ac:dyDescent="0.25">
      <c r="A21" s="80">
        <v>45244</v>
      </c>
      <c r="B21" s="8" t="s">
        <v>66</v>
      </c>
      <c r="C21" s="8">
        <v>-0.9</v>
      </c>
      <c r="D21" s="13">
        <v>0.79791666666666661</v>
      </c>
      <c r="E21" s="79"/>
      <c r="F21" s="9">
        <f>(1079.72462945668/966.623962337087*325.977467359895)+325.977467359895</f>
        <v>690.09620832862959</v>
      </c>
      <c r="G21" s="8"/>
      <c r="H21" s="9">
        <v>620.91815054875804</v>
      </c>
      <c r="I21" s="8"/>
      <c r="J21" s="9" t="s">
        <v>10</v>
      </c>
      <c r="K21" s="8"/>
      <c r="L21" s="9">
        <v>550.00002497718594</v>
      </c>
      <c r="M21" s="8"/>
      <c r="N21" s="9" t="s">
        <v>10</v>
      </c>
      <c r="O21" s="84">
        <f t="shared" si="0"/>
        <v>1861.0143838545737</v>
      </c>
    </row>
    <row r="22" spans="1:15" x14ac:dyDescent="0.25">
      <c r="A22" s="80">
        <v>45245</v>
      </c>
      <c r="B22" s="8" t="s">
        <v>67</v>
      </c>
      <c r="C22" s="8">
        <v>-0.9</v>
      </c>
      <c r="D22" s="13">
        <v>0.82708333333333339</v>
      </c>
      <c r="E22" s="79"/>
      <c r="F22" s="9">
        <f>(1079.72462945668/966.623962337087*123.809522944513)+123.809522944513</f>
        <v>262.10548548330928</v>
      </c>
      <c r="G22" s="8" t="s">
        <v>68</v>
      </c>
      <c r="H22" s="9">
        <f>H21/F21*F22</f>
        <v>235.83096288724965</v>
      </c>
      <c r="I22" s="8"/>
      <c r="J22" s="9">
        <v>467.41024984556901</v>
      </c>
      <c r="K22" s="8"/>
      <c r="L22" s="9" t="s">
        <v>10</v>
      </c>
      <c r="M22" s="8"/>
      <c r="N22" s="9" t="s">
        <v>10</v>
      </c>
      <c r="O22" s="84">
        <f t="shared" si="0"/>
        <v>965.34669821612795</v>
      </c>
    </row>
    <row r="23" spans="1:15" x14ac:dyDescent="0.25">
      <c r="A23" s="80">
        <v>45246</v>
      </c>
      <c r="B23" s="8" t="s">
        <v>22</v>
      </c>
      <c r="C23" s="8">
        <v>-0.8</v>
      </c>
      <c r="D23" s="13">
        <v>0.85902777777777783</v>
      </c>
      <c r="E23" s="79" t="s">
        <v>68</v>
      </c>
      <c r="F23" s="9">
        <f>F21/L21*L23</f>
        <v>420.21549599661614</v>
      </c>
      <c r="G23" s="8" t="s">
        <v>68</v>
      </c>
      <c r="H23" s="9">
        <f>H21/L21*L23</f>
        <v>378.09138125548998</v>
      </c>
      <c r="I23" s="8"/>
      <c r="J23" s="9" t="s">
        <v>10</v>
      </c>
      <c r="K23" s="8"/>
      <c r="L23" s="9">
        <v>334.90769910719303</v>
      </c>
      <c r="M23" s="8"/>
      <c r="N23" s="9" t="s">
        <v>10</v>
      </c>
      <c r="O23" s="84">
        <f t="shared" si="0"/>
        <v>1133.2145763592991</v>
      </c>
    </row>
    <row r="24" spans="1:15" x14ac:dyDescent="0.25">
      <c r="A24" s="80">
        <v>45247</v>
      </c>
      <c r="B24" s="8" t="s">
        <v>18</v>
      </c>
      <c r="C24" s="8">
        <v>-0.5</v>
      </c>
      <c r="D24" s="13">
        <v>0.89374999999999993</v>
      </c>
      <c r="E24" s="79"/>
      <c r="F24" s="9" t="s">
        <v>10</v>
      </c>
      <c r="G24" s="8"/>
      <c r="H24" s="9" t="s">
        <v>10</v>
      </c>
      <c r="I24" s="8"/>
      <c r="J24" s="9">
        <v>982.94927419673797</v>
      </c>
      <c r="K24" s="8"/>
      <c r="L24" s="9" t="s">
        <v>10</v>
      </c>
      <c r="M24" s="8"/>
      <c r="N24" s="9" t="s">
        <v>10</v>
      </c>
      <c r="O24" s="84">
        <f t="shared" si="0"/>
        <v>982.94927419673797</v>
      </c>
    </row>
    <row r="25" spans="1:15" x14ac:dyDescent="0.25">
      <c r="A25" s="80">
        <v>45248</v>
      </c>
      <c r="B25" s="8" t="s">
        <v>19</v>
      </c>
      <c r="C25" s="8">
        <v>-0.1</v>
      </c>
      <c r="D25" s="13">
        <v>0.93194444444444446</v>
      </c>
      <c r="E25" s="79"/>
      <c r="F25" s="9" t="s">
        <v>10</v>
      </c>
      <c r="G25" s="8"/>
      <c r="H25" s="9" t="s">
        <v>10</v>
      </c>
      <c r="I25" s="8"/>
      <c r="J25" s="9" t="s">
        <v>10</v>
      </c>
      <c r="K25" s="8"/>
      <c r="L25" s="9">
        <v>445.654617948571</v>
      </c>
      <c r="M25" s="8"/>
      <c r="N25" s="9" t="s">
        <v>10</v>
      </c>
      <c r="O25" s="84">
        <f t="shared" si="0"/>
        <v>445.654617948571</v>
      </c>
    </row>
    <row r="26" spans="1:15" x14ac:dyDescent="0.25">
      <c r="A26" s="80"/>
      <c r="B26" s="8"/>
      <c r="C26" s="8"/>
      <c r="D26" s="13"/>
      <c r="E26" s="79"/>
      <c r="G26" s="8"/>
      <c r="I26" s="8"/>
      <c r="K26" s="8"/>
      <c r="M26" s="8"/>
      <c r="N26" s="9"/>
      <c r="O26" s="84"/>
    </row>
    <row r="27" spans="1:15" x14ac:dyDescent="0.25">
      <c r="A27" s="80">
        <v>45254</v>
      </c>
      <c r="B27" s="8" t="s">
        <v>18</v>
      </c>
      <c r="C27" s="8">
        <v>0</v>
      </c>
      <c r="D27" s="13">
        <v>0.6791666666666667</v>
      </c>
      <c r="E27" s="79" t="s">
        <v>68</v>
      </c>
      <c r="F27" s="9">
        <f>F29/J29*J27</f>
        <v>3934.0850119770344</v>
      </c>
      <c r="G27" s="8" t="s">
        <v>68</v>
      </c>
      <c r="H27" s="9">
        <f>H29/J29*J27</f>
        <v>3163.2227106419282</v>
      </c>
      <c r="I27" s="8"/>
      <c r="J27" s="9">
        <v>4790.8518287752804</v>
      </c>
      <c r="K27" s="8"/>
      <c r="L27" s="9" t="s">
        <v>10</v>
      </c>
      <c r="M27" s="8"/>
      <c r="N27" s="9" t="s">
        <v>10</v>
      </c>
      <c r="O27" s="84">
        <f t="shared" si="0"/>
        <v>11888.159551394243</v>
      </c>
    </row>
    <row r="28" spans="1:15" x14ac:dyDescent="0.25">
      <c r="A28" s="80">
        <v>45255</v>
      </c>
      <c r="B28" s="8" t="s">
        <v>19</v>
      </c>
      <c r="C28" s="8">
        <v>-0.7</v>
      </c>
      <c r="D28" s="13">
        <v>0.71180555555555547</v>
      </c>
      <c r="E28" s="79" t="s">
        <v>68</v>
      </c>
      <c r="F28" s="9">
        <f>F30/L30*L28</f>
        <v>4216.9934757063356</v>
      </c>
      <c r="G28" s="8"/>
      <c r="H28" s="9">
        <v>3195.0475596812898</v>
      </c>
      <c r="I28" s="8"/>
      <c r="J28" s="9" t="s">
        <v>10</v>
      </c>
      <c r="K28" s="8"/>
      <c r="L28" s="9">
        <v>4031.2922130507</v>
      </c>
      <c r="M28" s="8"/>
      <c r="N28" s="9" t="s">
        <v>10</v>
      </c>
      <c r="O28" s="84">
        <f t="shared" si="0"/>
        <v>11443.333248438325</v>
      </c>
    </row>
    <row r="29" spans="1:15" x14ac:dyDescent="0.25">
      <c r="A29" s="80">
        <v>45256</v>
      </c>
      <c r="B29" s="8" t="s">
        <v>20</v>
      </c>
      <c r="C29" s="8">
        <v>-1.2</v>
      </c>
      <c r="D29" s="13">
        <v>0.74236111111111114</v>
      </c>
      <c r="E29" s="79"/>
      <c r="F29" s="9">
        <f>761.460725913218+1258.74119997899</f>
        <v>2020.2019258922078</v>
      </c>
      <c r="G29" s="8"/>
      <c r="H29" s="9">
        <v>1624.3544795320499</v>
      </c>
      <c r="I29" s="8"/>
      <c r="J29" s="9">
        <v>2460.1624168492999</v>
      </c>
      <c r="K29" s="8"/>
      <c r="L29" s="9" t="s">
        <v>10</v>
      </c>
      <c r="M29" s="8"/>
      <c r="N29" s="9" t="s">
        <v>10</v>
      </c>
      <c r="O29" s="84">
        <f t="shared" si="0"/>
        <v>6104.7188222735576</v>
      </c>
    </row>
    <row r="30" spans="1:15" x14ac:dyDescent="0.25">
      <c r="A30" s="80">
        <v>45257</v>
      </c>
      <c r="B30" s="8" t="s">
        <v>21</v>
      </c>
      <c r="C30" s="8">
        <v>-1.3</v>
      </c>
      <c r="D30" s="13">
        <v>0.7715277777777777</v>
      </c>
      <c r="E30" s="79"/>
      <c r="F30" s="9">
        <f>(761.460725913218/1258.74119997899*540.502471535061)+540.502471535061</f>
        <v>867.47310246367897</v>
      </c>
      <c r="G30" s="8" t="s">
        <v>68</v>
      </c>
      <c r="H30" s="9">
        <f>H28/L28*L30</f>
        <v>657.24972900307739</v>
      </c>
      <c r="I30" s="8"/>
      <c r="J30" s="9" t="s">
        <v>10</v>
      </c>
      <c r="K30" s="8"/>
      <c r="L30" s="9">
        <v>829.27269940986002</v>
      </c>
      <c r="M30" s="8"/>
      <c r="N30" s="9" t="s">
        <v>10</v>
      </c>
      <c r="O30" s="84">
        <f t="shared" si="0"/>
        <v>2353.9955308766166</v>
      </c>
    </row>
    <row r="31" spans="1:15" x14ac:dyDescent="0.25">
      <c r="A31" s="80">
        <v>45258</v>
      </c>
      <c r="B31" s="8" t="s">
        <v>66</v>
      </c>
      <c r="C31" s="8">
        <v>-1.2</v>
      </c>
      <c r="D31" s="13">
        <v>0.79999999999999993</v>
      </c>
      <c r="E31" s="79" t="s">
        <v>68</v>
      </c>
      <c r="F31" s="9">
        <f>F29/J29*J31</f>
        <v>463.41539080086807</v>
      </c>
      <c r="G31" s="8" t="s">
        <v>68</v>
      </c>
      <c r="H31" s="9">
        <f>H29/J29*J31</f>
        <v>372.61169603085017</v>
      </c>
      <c r="I31" s="8"/>
      <c r="J31" s="9">
        <v>564.33820462492599</v>
      </c>
      <c r="K31" s="8"/>
      <c r="L31" s="9" t="s">
        <v>10</v>
      </c>
      <c r="M31" s="8"/>
      <c r="N31" s="9" t="s">
        <v>10</v>
      </c>
      <c r="O31" s="84">
        <f t="shared" si="0"/>
        <v>1400.3652914566442</v>
      </c>
    </row>
    <row r="32" spans="1:15" x14ac:dyDescent="0.25">
      <c r="A32" s="80">
        <v>45259</v>
      </c>
      <c r="B32" s="8" t="s">
        <v>67</v>
      </c>
      <c r="C32" s="8">
        <v>-0.8</v>
      </c>
      <c r="D32" s="13">
        <v>0.82777777777777783</v>
      </c>
      <c r="E32" s="79"/>
      <c r="F32" s="9" t="s">
        <v>10</v>
      </c>
      <c r="G32" s="8"/>
      <c r="H32" s="9" t="s">
        <v>10</v>
      </c>
      <c r="I32" s="8"/>
      <c r="J32" s="9" t="s">
        <v>10</v>
      </c>
      <c r="K32" s="8"/>
      <c r="L32" s="9">
        <v>177.37226987330999</v>
      </c>
      <c r="M32" s="8"/>
      <c r="N32" s="9" t="s">
        <v>10</v>
      </c>
      <c r="O32" s="84">
        <f t="shared" si="0"/>
        <v>177.37226987330999</v>
      </c>
    </row>
    <row r="33" spans="1:15" x14ac:dyDescent="0.25">
      <c r="A33" s="80"/>
      <c r="B33" s="8"/>
      <c r="C33" s="8"/>
      <c r="D33" s="13"/>
      <c r="E33" s="79"/>
      <c r="G33" s="8"/>
      <c r="I33" s="8"/>
      <c r="K33" s="8"/>
      <c r="M33" s="8"/>
      <c r="N33" s="9"/>
      <c r="O33" s="84"/>
    </row>
    <row r="34" spans="1:15" x14ac:dyDescent="0.25">
      <c r="A34" s="80">
        <v>45273</v>
      </c>
      <c r="B34" s="8" t="s">
        <v>67</v>
      </c>
      <c r="C34" s="8">
        <v>-1.3</v>
      </c>
      <c r="D34" s="13">
        <v>0.78819444444444453</v>
      </c>
      <c r="E34" s="79" t="s">
        <v>68</v>
      </c>
      <c r="F34" s="9">
        <f>F36/H36*H34</f>
        <v>681.94316737463737</v>
      </c>
      <c r="G34" s="8"/>
      <c r="H34" s="9">
        <v>621.46890534670501</v>
      </c>
      <c r="I34" s="8"/>
      <c r="J34" s="9" t="s">
        <v>10</v>
      </c>
      <c r="K34" s="8"/>
      <c r="L34" s="4">
        <v>608.88080296016096</v>
      </c>
      <c r="M34" s="8"/>
      <c r="N34" s="9" t="s">
        <v>10</v>
      </c>
      <c r="O34" s="84">
        <f t="shared" si="0"/>
        <v>1912.2928756815033</v>
      </c>
    </row>
    <row r="35" spans="1:15" x14ac:dyDescent="0.25">
      <c r="A35" s="80">
        <v>45274</v>
      </c>
      <c r="B35" s="8" t="s">
        <v>22</v>
      </c>
      <c r="C35" s="8">
        <v>-1.3</v>
      </c>
      <c r="D35" s="13">
        <v>0.81874999999999998</v>
      </c>
      <c r="E35" s="79"/>
      <c r="F35" s="9">
        <f>(761.460725913218/1258.74119997899*325.977467359895)+325.977467359895</f>
        <v>523.17371304674555</v>
      </c>
      <c r="G35" s="8" t="s">
        <v>68</v>
      </c>
      <c r="H35" s="9">
        <f>H36/F36*F35</f>
        <v>476.77901958465247</v>
      </c>
      <c r="I35" s="8"/>
      <c r="J35" s="9">
        <v>652.61639856666795</v>
      </c>
      <c r="K35" s="8"/>
      <c r="L35" s="9" t="s">
        <v>10</v>
      </c>
      <c r="M35" s="8"/>
      <c r="N35" s="9" t="s">
        <v>10</v>
      </c>
      <c r="O35" s="84">
        <f t="shared" si="0"/>
        <v>1652.5691311980659</v>
      </c>
    </row>
    <row r="36" spans="1:15" x14ac:dyDescent="0.25">
      <c r="A36" s="80">
        <v>45275</v>
      </c>
      <c r="B36" s="8" t="s">
        <v>18</v>
      </c>
      <c r="C36" s="8">
        <v>-1.2</v>
      </c>
      <c r="D36" s="13">
        <v>0.85069444444444453</v>
      </c>
      <c r="E36" s="79"/>
      <c r="F36" s="9">
        <f>(761.460725913218/1258.74119997899*491.489589081676)+491.489589081676</f>
        <v>788.81045161256714</v>
      </c>
      <c r="G36" s="8"/>
      <c r="H36" s="9">
        <v>718.85927060017104</v>
      </c>
      <c r="I36" s="8"/>
      <c r="J36" s="9" t="s">
        <v>10</v>
      </c>
      <c r="K36" s="8"/>
      <c r="L36" s="9">
        <v>952.08348657130398</v>
      </c>
      <c r="M36" s="8"/>
      <c r="N36" s="9" t="s">
        <v>10</v>
      </c>
      <c r="O36" s="84">
        <f t="shared" si="0"/>
        <v>2459.7532087840423</v>
      </c>
    </row>
    <row r="37" spans="1:15" x14ac:dyDescent="0.25">
      <c r="A37" s="80">
        <v>45276</v>
      </c>
      <c r="B37" s="8" t="s">
        <v>19</v>
      </c>
      <c r="C37" s="8">
        <v>-0.8</v>
      </c>
      <c r="D37" s="13">
        <v>0.8833333333333333</v>
      </c>
      <c r="E37" s="79" t="s">
        <v>68</v>
      </c>
      <c r="F37" s="9">
        <f>F35/J35*J37</f>
        <v>1374.5196305895092</v>
      </c>
      <c r="G37" s="8"/>
      <c r="H37" s="9">
        <v>493.13961190498298</v>
      </c>
      <c r="I37" s="8"/>
      <c r="J37" s="9">
        <v>1714.6007696957099</v>
      </c>
      <c r="K37" s="8"/>
      <c r="L37" s="9" t="s">
        <v>10</v>
      </c>
      <c r="M37" s="8"/>
      <c r="N37" s="9" t="s">
        <v>10</v>
      </c>
      <c r="O37" s="84">
        <f t="shared" si="0"/>
        <v>3582.2600121902024</v>
      </c>
    </row>
    <row r="38" spans="1:15" x14ac:dyDescent="0.25">
      <c r="A38" s="80">
        <v>45277</v>
      </c>
      <c r="B38" s="8" t="s">
        <v>20</v>
      </c>
      <c r="C38" s="8">
        <v>-0.3</v>
      </c>
      <c r="D38" s="13">
        <v>0.91736111111111107</v>
      </c>
      <c r="E38" s="79" t="s">
        <v>68</v>
      </c>
      <c r="F38" s="9">
        <f>F36/L36*L38</f>
        <v>146.41669443405118</v>
      </c>
      <c r="G38" s="8" t="s">
        <v>68</v>
      </c>
      <c r="H38" s="9">
        <f>H36/L36*L38</f>
        <v>133.43256031836441</v>
      </c>
      <c r="I38" s="8"/>
      <c r="J38" s="9" t="s">
        <v>10</v>
      </c>
      <c r="K38" s="8"/>
      <c r="L38" s="4">
        <v>176.72295878438101</v>
      </c>
      <c r="M38" s="8"/>
      <c r="N38" s="9" t="s">
        <v>10</v>
      </c>
      <c r="O38" s="84">
        <f t="shared" si="0"/>
        <v>456.57221353679665</v>
      </c>
    </row>
    <row r="39" spans="1:15" x14ac:dyDescent="0.25">
      <c r="A39" s="80"/>
      <c r="B39" s="8"/>
      <c r="C39" s="8"/>
      <c r="D39" s="13"/>
      <c r="E39" s="79"/>
      <c r="G39" s="8"/>
      <c r="I39" s="8"/>
      <c r="K39" s="8"/>
      <c r="M39" s="8"/>
      <c r="N39" s="9"/>
      <c r="O39" s="84"/>
    </row>
    <row r="40" spans="1:15" x14ac:dyDescent="0.25">
      <c r="A40" s="80">
        <v>45286</v>
      </c>
      <c r="B40" s="8" t="s">
        <v>66</v>
      </c>
      <c r="C40" s="8">
        <v>-0.9</v>
      </c>
      <c r="D40" s="13">
        <v>0.76250000000000007</v>
      </c>
      <c r="E40" s="79"/>
      <c r="F40" s="9">
        <f>(761.460725913218/1258.74119997899*579.794922858213)+579.794922858213</f>
        <v>930.53506137737975</v>
      </c>
      <c r="G40" s="8" t="s">
        <v>68</v>
      </c>
      <c r="H40" s="9">
        <f>H42/J42*J40</f>
        <v>992.0693713210361</v>
      </c>
      <c r="I40" s="8"/>
      <c r="J40" s="9">
        <v>2092.4715261481101</v>
      </c>
      <c r="K40" s="8"/>
      <c r="L40" s="9" t="s">
        <v>10</v>
      </c>
      <c r="M40" s="8"/>
      <c r="N40" s="9" t="s">
        <v>10</v>
      </c>
      <c r="O40" s="84">
        <f t="shared" si="0"/>
        <v>4015.0759588465262</v>
      </c>
    </row>
    <row r="41" spans="1:15" x14ac:dyDescent="0.25">
      <c r="A41" s="80">
        <v>45287</v>
      </c>
      <c r="B41" s="8" t="s">
        <v>67</v>
      </c>
      <c r="C41" s="8">
        <v>-0.8</v>
      </c>
      <c r="D41" s="13">
        <v>0.7895833333333333</v>
      </c>
      <c r="E41" s="79"/>
      <c r="F41" s="9">
        <f>(761.460725913218/1258.74119997899*311.326794669562)+311.326794669562</f>
        <v>499.66028774127278</v>
      </c>
      <c r="G41" s="8"/>
      <c r="H41" s="9">
        <v>607.45651042845896</v>
      </c>
      <c r="I41" s="8"/>
      <c r="J41" s="9" t="s">
        <v>10</v>
      </c>
      <c r="K41" s="8"/>
      <c r="L41" s="9">
        <v>786.333708286464</v>
      </c>
      <c r="M41" s="8"/>
      <c r="N41" s="9" t="s">
        <v>10</v>
      </c>
      <c r="O41" s="84">
        <f t="shared" si="0"/>
        <v>1893.4505064561959</v>
      </c>
    </row>
    <row r="42" spans="1:15" x14ac:dyDescent="0.25">
      <c r="A42" s="80">
        <v>45288</v>
      </c>
      <c r="B42" s="8" t="s">
        <v>22</v>
      </c>
      <c r="C42" s="8">
        <v>-0.6</v>
      </c>
      <c r="D42" s="13">
        <v>0.81597222222222221</v>
      </c>
      <c r="E42" s="79" t="s">
        <v>68</v>
      </c>
      <c r="F42" s="9">
        <f>F40/J40*J42</f>
        <v>316.4362180396447</v>
      </c>
      <c r="G42" s="8"/>
      <c r="H42" s="9">
        <v>337.36147397726398</v>
      </c>
      <c r="I42" s="8"/>
      <c r="J42" s="9">
        <v>711.56241561694605</v>
      </c>
      <c r="K42" s="8"/>
      <c r="L42" s="9" t="s">
        <v>10</v>
      </c>
      <c r="M42" s="8"/>
      <c r="N42" s="9" t="s">
        <v>10</v>
      </c>
      <c r="O42" s="84">
        <f t="shared" si="0"/>
        <v>1365.3601076338548</v>
      </c>
    </row>
    <row r="43" spans="1:15" x14ac:dyDescent="0.25">
      <c r="A43" s="80">
        <v>45289</v>
      </c>
      <c r="B43" s="8" t="s">
        <v>18</v>
      </c>
      <c r="C43" s="8">
        <v>-0.3</v>
      </c>
      <c r="D43" s="13">
        <v>0.84097222222222223</v>
      </c>
      <c r="E43" s="79" t="s">
        <v>68</v>
      </c>
      <c r="F43" s="9">
        <f>F41/L41*L43</f>
        <v>303.16424987952297</v>
      </c>
      <c r="G43" s="8"/>
      <c r="H43" s="9">
        <v>325.01486105309198</v>
      </c>
      <c r="I43" s="8"/>
      <c r="J43" s="9" t="s">
        <v>10</v>
      </c>
      <c r="K43" s="8"/>
      <c r="L43" s="9">
        <v>477.100691562441</v>
      </c>
      <c r="M43" s="8"/>
      <c r="N43" s="9" t="s">
        <v>10</v>
      </c>
      <c r="O43" s="84">
        <f t="shared" si="0"/>
        <v>1105.2798024950559</v>
      </c>
    </row>
    <row r="44" spans="1:15" x14ac:dyDescent="0.25">
      <c r="A44" s="80"/>
      <c r="B44" s="8"/>
      <c r="C44" s="8"/>
      <c r="D44" s="13"/>
      <c r="E44" s="79"/>
      <c r="G44" s="8"/>
      <c r="I44" s="8"/>
      <c r="K44" s="8"/>
      <c r="M44" s="8"/>
      <c r="N44" s="9"/>
      <c r="O44" s="84"/>
    </row>
    <row r="45" spans="1:15" x14ac:dyDescent="0.25">
      <c r="A45" s="80">
        <v>45300</v>
      </c>
      <c r="B45" s="8" t="s">
        <v>66</v>
      </c>
      <c r="C45" s="8">
        <v>-0.7</v>
      </c>
      <c r="D45" s="13">
        <v>0.70972222222222225</v>
      </c>
      <c r="E45" s="79" t="s">
        <v>75</v>
      </c>
      <c r="F45" s="9">
        <v>50</v>
      </c>
      <c r="G45" s="8"/>
      <c r="H45" s="9" t="s">
        <v>10</v>
      </c>
      <c r="I45" s="8"/>
      <c r="J45" s="9">
        <v>64.1666666666667</v>
      </c>
      <c r="K45" s="8"/>
      <c r="L45" s="9" t="s">
        <v>10</v>
      </c>
      <c r="M45" s="8"/>
      <c r="N45" s="9" t="s">
        <v>10</v>
      </c>
      <c r="O45" s="84">
        <f t="shared" si="0"/>
        <v>114.1666666666667</v>
      </c>
    </row>
    <row r="46" spans="1:15" x14ac:dyDescent="0.25">
      <c r="A46" s="80">
        <v>45301</v>
      </c>
      <c r="B46" s="8" t="s">
        <v>67</v>
      </c>
      <c r="C46" s="8">
        <v>-1.2</v>
      </c>
      <c r="D46" s="13">
        <v>0.7402777777777777</v>
      </c>
      <c r="E46" s="79"/>
      <c r="F46" s="9">
        <f>43.044077368225+41.3080916028028</f>
        <v>84.352168971027794</v>
      </c>
      <c r="G46" s="8"/>
      <c r="H46" s="9">
        <v>342.28961572869201</v>
      </c>
      <c r="I46" s="8"/>
      <c r="J46" s="9" t="s">
        <v>10</v>
      </c>
      <c r="K46" s="8"/>
      <c r="L46" s="9">
        <v>279.324511301759</v>
      </c>
      <c r="M46" s="8"/>
      <c r="N46" s="9" t="s">
        <v>10</v>
      </c>
      <c r="O46" s="84">
        <f t="shared" si="0"/>
        <v>705.96629600147878</v>
      </c>
    </row>
    <row r="47" spans="1:15" x14ac:dyDescent="0.25">
      <c r="A47" s="80">
        <v>45302</v>
      </c>
      <c r="B47" s="8" t="s">
        <v>22</v>
      </c>
      <c r="C47" s="8">
        <v>-1.5</v>
      </c>
      <c r="D47" s="13">
        <v>0.76944444444444438</v>
      </c>
      <c r="E47" s="79"/>
      <c r="F47" s="9">
        <f>(43.044077368225/41.3080916028028*56.7790774160956)+56.7790774160956</f>
        <v>115.94431372609321</v>
      </c>
      <c r="G47" s="8" t="s">
        <v>68</v>
      </c>
      <c r="H47" s="9">
        <f>H50/L50*L47</f>
        <v>211.15793094103583</v>
      </c>
      <c r="I47" s="8"/>
      <c r="J47" s="9" t="s">
        <v>10</v>
      </c>
      <c r="K47" s="8"/>
      <c r="L47" s="9">
        <v>100.41077203658</v>
      </c>
      <c r="M47" s="8"/>
      <c r="N47" s="9" t="s">
        <v>10</v>
      </c>
      <c r="O47" s="84">
        <f t="shared" si="0"/>
        <v>427.51301670370907</v>
      </c>
    </row>
    <row r="48" spans="1:15" x14ac:dyDescent="0.25">
      <c r="A48" s="80">
        <v>45303</v>
      </c>
      <c r="B48" s="8" t="s">
        <v>18</v>
      </c>
      <c r="C48" s="8">
        <v>-1.6</v>
      </c>
      <c r="D48" s="13">
        <v>0.7993055555555556</v>
      </c>
      <c r="E48" s="79" t="s">
        <v>68</v>
      </c>
      <c r="F48" s="9">
        <f>F50/H50*H48</f>
        <v>34.746755208932484</v>
      </c>
      <c r="G48" s="8" t="s">
        <v>68</v>
      </c>
      <c r="H48" s="9">
        <f>H49/J49*J48</f>
        <v>247.52626837731563</v>
      </c>
      <c r="I48" s="8"/>
      <c r="J48" s="9">
        <v>371.32350923203597</v>
      </c>
      <c r="K48" s="8"/>
      <c r="L48" s="9" t="s">
        <v>10</v>
      </c>
      <c r="M48" s="8"/>
      <c r="N48" s="9" t="s">
        <v>10</v>
      </c>
      <c r="O48" s="84">
        <f t="shared" si="0"/>
        <v>653.596532818284</v>
      </c>
    </row>
    <row r="49" spans="1:15" x14ac:dyDescent="0.25">
      <c r="A49" s="80">
        <v>45304</v>
      </c>
      <c r="B49" s="8" t="s">
        <v>19</v>
      </c>
      <c r="C49" s="8">
        <v>-1.3</v>
      </c>
      <c r="D49" s="13">
        <v>0.82847222222222217</v>
      </c>
      <c r="E49" s="79" t="s">
        <v>68</v>
      </c>
      <c r="F49" s="9">
        <f>F50/H50*H49</f>
        <v>38.14424145385064</v>
      </c>
      <c r="G49" s="8"/>
      <c r="H49" s="9">
        <v>271.72902017416999</v>
      </c>
      <c r="I49" s="8"/>
      <c r="J49" s="9">
        <v>407.63097182659402</v>
      </c>
      <c r="K49" s="8"/>
      <c r="L49" s="9" t="s">
        <v>10</v>
      </c>
      <c r="M49" s="8"/>
      <c r="N49" s="9" t="s">
        <v>10</v>
      </c>
      <c r="O49" s="84">
        <f t="shared" si="0"/>
        <v>717.50423345461468</v>
      </c>
    </row>
    <row r="50" spans="1:15" x14ac:dyDescent="0.25">
      <c r="A50" s="80">
        <v>45305</v>
      </c>
      <c r="B50" s="8" t="s">
        <v>20</v>
      </c>
      <c r="C50" s="8">
        <v>-0.8</v>
      </c>
      <c r="D50" s="13">
        <v>0.85833333333333339</v>
      </c>
      <c r="E50" s="79"/>
      <c r="F50" s="9">
        <f>(43.044077368225/41.3080916028028*20.3804343303715)+20.3804343303715</f>
        <v>41.617362933846778</v>
      </c>
      <c r="G50" s="8"/>
      <c r="H50" s="9">
        <v>296.470576454612</v>
      </c>
      <c r="I50" s="8"/>
      <c r="J50" s="9" t="s">
        <v>10</v>
      </c>
      <c r="K50" s="8"/>
      <c r="L50" s="9">
        <v>140.97902615010099</v>
      </c>
      <c r="M50" s="8"/>
      <c r="N50" s="9" t="s">
        <v>10</v>
      </c>
      <c r="O50" s="84">
        <f t="shared" si="0"/>
        <v>479.06696553855977</v>
      </c>
    </row>
    <row r="51" spans="1:15" x14ac:dyDescent="0.25">
      <c r="A51" s="80">
        <v>45306</v>
      </c>
      <c r="B51" s="8" t="s">
        <v>21</v>
      </c>
      <c r="C51" s="8">
        <v>0</v>
      </c>
      <c r="D51" s="13">
        <v>0.8881944444444444</v>
      </c>
      <c r="E51" s="79"/>
      <c r="F51" s="9" t="s">
        <v>10</v>
      </c>
      <c r="G51" s="8"/>
      <c r="H51" s="9" t="s">
        <v>10</v>
      </c>
      <c r="I51" s="8"/>
      <c r="J51" s="9" t="s">
        <v>10</v>
      </c>
      <c r="K51" s="8"/>
      <c r="L51" s="9">
        <v>16</v>
      </c>
      <c r="M51" s="8"/>
      <c r="N51" s="9" t="s">
        <v>10</v>
      </c>
      <c r="O51" s="84">
        <f t="shared" si="0"/>
        <v>16</v>
      </c>
    </row>
    <row r="52" spans="1:15" x14ac:dyDescent="0.25">
      <c r="A52" s="80"/>
      <c r="B52" s="8"/>
      <c r="C52" s="8"/>
      <c r="D52" s="13"/>
      <c r="E52" s="79"/>
      <c r="G52" s="8"/>
      <c r="I52" s="8"/>
      <c r="K52" s="8"/>
      <c r="M52" s="8"/>
      <c r="N52" s="9"/>
      <c r="O52" s="84"/>
    </row>
    <row r="53" spans="1:15" x14ac:dyDescent="0.25">
      <c r="A53" s="80">
        <v>45313</v>
      </c>
      <c r="B53" s="8" t="s">
        <v>21</v>
      </c>
      <c r="C53" s="8">
        <v>-0.1</v>
      </c>
      <c r="D53" s="13">
        <v>0.68611111111111101</v>
      </c>
      <c r="E53" s="79"/>
      <c r="F53" s="9" t="s">
        <v>10</v>
      </c>
      <c r="G53" s="8"/>
      <c r="H53" s="9" t="s">
        <v>10</v>
      </c>
      <c r="I53" s="8"/>
      <c r="J53" s="9" t="s">
        <v>10</v>
      </c>
      <c r="K53" s="8"/>
      <c r="L53" s="9">
        <v>512.60206249785404</v>
      </c>
      <c r="M53" s="8"/>
      <c r="N53" s="9" t="s">
        <v>10</v>
      </c>
      <c r="O53" s="84">
        <f t="shared" si="0"/>
        <v>512.60206249785404</v>
      </c>
    </row>
    <row r="54" spans="1:15" x14ac:dyDescent="0.25">
      <c r="A54" s="80">
        <v>45314</v>
      </c>
      <c r="B54" s="8" t="s">
        <v>66</v>
      </c>
      <c r="C54" s="8">
        <v>-0.3</v>
      </c>
      <c r="D54" s="13">
        <v>0.71736111111111101</v>
      </c>
      <c r="E54" s="79" t="s">
        <v>68</v>
      </c>
      <c r="F54" s="9">
        <f>F55/H55*H54</f>
        <v>256.80596947450152</v>
      </c>
      <c r="G54" s="8" t="s">
        <v>68</v>
      </c>
      <c r="H54" s="9">
        <f>H57/L57*L54</f>
        <v>337.67124521441497</v>
      </c>
      <c r="I54" s="8"/>
      <c r="J54" s="9" t="s">
        <v>10</v>
      </c>
      <c r="K54" s="8"/>
      <c r="L54" s="9">
        <v>611.35328984581804</v>
      </c>
      <c r="M54" s="8"/>
      <c r="N54" s="9" t="s">
        <v>10</v>
      </c>
      <c r="O54" s="84">
        <f t="shared" si="0"/>
        <v>1205.8305045347347</v>
      </c>
    </row>
    <row r="55" spans="1:15" x14ac:dyDescent="0.25">
      <c r="A55" s="80">
        <v>45315</v>
      </c>
      <c r="B55" s="8" t="s">
        <v>67</v>
      </c>
      <c r="C55" s="8">
        <v>-0.4</v>
      </c>
      <c r="D55" s="13">
        <v>0.74513888888888891</v>
      </c>
      <c r="E55" s="79"/>
      <c r="F55" s="9">
        <f>99.6155189994753+194.055934996761</f>
        <v>293.67145399623632</v>
      </c>
      <c r="G55" s="8"/>
      <c r="H55" s="9">
        <v>386.14525105376498</v>
      </c>
      <c r="I55" s="8"/>
      <c r="J55" s="9">
        <v>622.76105913292895</v>
      </c>
      <c r="K55" s="8"/>
      <c r="L55" s="9" t="s">
        <v>10</v>
      </c>
      <c r="M55" s="8"/>
      <c r="N55" s="9" t="s">
        <v>10</v>
      </c>
      <c r="O55" s="84">
        <f t="shared" si="0"/>
        <v>1302.5777641829302</v>
      </c>
    </row>
    <row r="56" spans="1:15" x14ac:dyDescent="0.25">
      <c r="A56" s="80">
        <v>45316</v>
      </c>
      <c r="B56" s="8" t="s">
        <v>22</v>
      </c>
      <c r="C56" s="8">
        <v>-0.4</v>
      </c>
      <c r="D56" s="13">
        <v>0.76944444444444438</v>
      </c>
      <c r="E56" s="79" t="s">
        <v>68</v>
      </c>
      <c r="F56" s="9">
        <f>F55/J55*J56</f>
        <v>117.85831865906849</v>
      </c>
      <c r="G56" s="8" t="s">
        <v>68</v>
      </c>
      <c r="H56" s="9">
        <f>H55/J55*J56</f>
        <v>154.97056124482532</v>
      </c>
      <c r="I56" s="8"/>
      <c r="J56" s="9">
        <v>249.930901887006</v>
      </c>
      <c r="K56" s="8"/>
      <c r="L56" s="9" t="s">
        <v>10</v>
      </c>
      <c r="M56" s="8"/>
      <c r="N56" s="9" t="s">
        <v>10</v>
      </c>
      <c r="O56" s="84">
        <f t="shared" si="0"/>
        <v>522.75978179089986</v>
      </c>
    </row>
    <row r="57" spans="1:15" x14ac:dyDescent="0.25">
      <c r="A57" s="80">
        <v>45317</v>
      </c>
      <c r="B57" s="8" t="s">
        <v>18</v>
      </c>
      <c r="C57" s="8">
        <v>-0.2</v>
      </c>
      <c r="D57" s="13">
        <v>0.79236111111111107</v>
      </c>
      <c r="E57" s="79" t="s">
        <v>68</v>
      </c>
      <c r="F57" s="9">
        <f>F55/H55*H57</f>
        <v>98.762058313772698</v>
      </c>
      <c r="G57" s="8"/>
      <c r="H57" s="9">
        <v>129.861105950894</v>
      </c>
      <c r="I57" s="8"/>
      <c r="J57" s="9" t="s">
        <v>10</v>
      </c>
      <c r="K57" s="8"/>
      <c r="L57" s="9">
        <v>235.113340182945</v>
      </c>
      <c r="M57" s="8"/>
      <c r="N57" s="9" t="s">
        <v>10</v>
      </c>
      <c r="O57" s="84">
        <f t="shared" si="0"/>
        <v>463.73650444761165</v>
      </c>
    </row>
    <row r="58" spans="1:15" x14ac:dyDescent="0.25">
      <c r="A58" s="80">
        <v>45318</v>
      </c>
      <c r="B58" s="8" t="s">
        <v>19</v>
      </c>
      <c r="C58" s="8">
        <v>0</v>
      </c>
      <c r="D58" s="13">
        <v>0.81388888888888899</v>
      </c>
      <c r="E58" s="79"/>
      <c r="F58" s="9">
        <f>(99.6155189994753/194.055934996761*79.7962666645078)+79.7962666645078</f>
        <v>120.75840739026376</v>
      </c>
      <c r="G58" s="8"/>
      <c r="H58" s="9" t="s">
        <v>10</v>
      </c>
      <c r="I58" s="8"/>
      <c r="J58" s="9" t="s">
        <v>10</v>
      </c>
      <c r="K58" s="8"/>
      <c r="L58" s="9">
        <v>402.96294695065399</v>
      </c>
      <c r="M58" s="8"/>
      <c r="N58" s="9" t="s">
        <v>10</v>
      </c>
      <c r="O58" s="84">
        <f t="shared" si="0"/>
        <v>523.72135434091774</v>
      </c>
    </row>
    <row r="59" spans="1:15" x14ac:dyDescent="0.25">
      <c r="A59" s="80">
        <v>45319</v>
      </c>
      <c r="B59" s="8" t="s">
        <v>20</v>
      </c>
      <c r="C59" s="8">
        <v>0.4</v>
      </c>
      <c r="D59" s="13">
        <v>0.83472222222222225</v>
      </c>
      <c r="E59" s="79"/>
      <c r="F59" s="9" t="s">
        <v>10</v>
      </c>
      <c r="G59" s="8"/>
      <c r="H59" s="9" t="s">
        <v>10</v>
      </c>
      <c r="I59" s="8"/>
      <c r="J59" s="9">
        <v>215.41665810677799</v>
      </c>
      <c r="K59" s="8"/>
      <c r="L59" s="9" t="s">
        <v>10</v>
      </c>
      <c r="M59" s="8"/>
      <c r="N59" s="9" t="s">
        <v>10</v>
      </c>
      <c r="O59" s="84">
        <f t="shared" si="0"/>
        <v>215.41665810677799</v>
      </c>
    </row>
    <row r="60" spans="1:15" x14ac:dyDescent="0.25">
      <c r="A60" s="80"/>
      <c r="B60" s="8"/>
      <c r="C60" s="8"/>
      <c r="D60" s="13"/>
      <c r="E60" s="79"/>
      <c r="G60" s="8"/>
      <c r="I60" s="8"/>
      <c r="K60" s="8"/>
      <c r="M60" s="8"/>
      <c r="N60" s="9"/>
      <c r="O60" s="84"/>
    </row>
    <row r="61" spans="1:15" x14ac:dyDescent="0.25">
      <c r="A61" s="80">
        <v>45328</v>
      </c>
      <c r="B61" s="8" t="s">
        <v>66</v>
      </c>
      <c r="C61" s="8">
        <v>0</v>
      </c>
      <c r="D61" s="13">
        <v>0.66111111111111109</v>
      </c>
      <c r="E61" s="79"/>
      <c r="F61" s="9" t="s">
        <v>10</v>
      </c>
      <c r="G61" s="8"/>
      <c r="H61" s="9" t="s">
        <v>10</v>
      </c>
      <c r="I61" s="8"/>
      <c r="J61" s="9" t="s">
        <v>10</v>
      </c>
      <c r="K61" s="8"/>
      <c r="L61" s="9">
        <v>926.71536556030401</v>
      </c>
      <c r="M61" s="8"/>
      <c r="N61" s="9" t="s">
        <v>10</v>
      </c>
      <c r="O61" s="84">
        <f t="shared" si="0"/>
        <v>926.71536556030401</v>
      </c>
    </row>
    <row r="62" spans="1:15" x14ac:dyDescent="0.25">
      <c r="A62" s="80">
        <v>45329</v>
      </c>
      <c r="B62" s="8" t="s">
        <v>67</v>
      </c>
      <c r="C62" s="8">
        <v>-0.7</v>
      </c>
      <c r="D62" s="13">
        <v>0.69513888888888886</v>
      </c>
      <c r="E62" s="79" t="s">
        <v>68</v>
      </c>
      <c r="F62" s="9">
        <f>F63/J63*J62</f>
        <v>1407.916225794256</v>
      </c>
      <c r="G62" s="8" t="s">
        <v>68</v>
      </c>
      <c r="H62" s="9">
        <f>H63/J63*J62</f>
        <v>947.51419401603391</v>
      </c>
      <c r="I62" s="8"/>
      <c r="J62" s="9">
        <v>2219.2506991907098</v>
      </c>
      <c r="K62" s="8"/>
      <c r="L62" s="9" t="s">
        <v>10</v>
      </c>
      <c r="M62" s="8"/>
      <c r="N62" s="9" t="s">
        <v>10</v>
      </c>
      <c r="O62" s="84">
        <f t="shared" si="0"/>
        <v>4574.6811190009994</v>
      </c>
    </row>
    <row r="63" spans="1:15" x14ac:dyDescent="0.25">
      <c r="A63" s="80">
        <v>45330</v>
      </c>
      <c r="B63" s="8" t="s">
        <v>22</v>
      </c>
      <c r="C63" s="8">
        <v>-1.2</v>
      </c>
      <c r="D63" s="13">
        <v>0.72638888888888886</v>
      </c>
      <c r="E63" s="79"/>
      <c r="F63" s="9">
        <f>(99.6155189994753/194.055934996761*1326.56571781242)+1326.56571781242</f>
        <v>2007.5370700619728</v>
      </c>
      <c r="G63" s="8"/>
      <c r="H63" s="9">
        <v>1351.05330420068</v>
      </c>
      <c r="I63" s="8"/>
      <c r="J63" s="9">
        <v>3164.4127432887199</v>
      </c>
      <c r="K63" s="8"/>
      <c r="L63" s="9" t="s">
        <v>10</v>
      </c>
      <c r="M63" s="8"/>
      <c r="N63" s="9" t="s">
        <v>10</v>
      </c>
      <c r="O63" s="84">
        <f t="shared" si="0"/>
        <v>6523.0031175513723</v>
      </c>
    </row>
    <row r="64" spans="1:15" x14ac:dyDescent="0.25">
      <c r="A64" s="80">
        <v>45331</v>
      </c>
      <c r="B64" s="8" t="s">
        <v>18</v>
      </c>
      <c r="C64" s="8">
        <v>-1.4</v>
      </c>
      <c r="D64" s="13">
        <v>0.75624999999999998</v>
      </c>
      <c r="E64" s="79" t="s">
        <v>68</v>
      </c>
      <c r="F64" s="9">
        <f>F65/L65*L64</f>
        <v>1450.1739975044566</v>
      </c>
      <c r="G64" s="8"/>
      <c r="H64" s="9">
        <v>1822.7937481767799</v>
      </c>
      <c r="I64" s="8"/>
      <c r="J64" s="9" t="s">
        <v>10</v>
      </c>
      <c r="K64" s="8"/>
      <c r="L64" s="9">
        <v>1605.0688757847299</v>
      </c>
      <c r="M64" s="8"/>
      <c r="N64" s="9" t="s">
        <v>10</v>
      </c>
      <c r="O64" s="84">
        <f t="shared" si="0"/>
        <v>4878.0366214659662</v>
      </c>
    </row>
    <row r="65" spans="1:15" x14ac:dyDescent="0.25">
      <c r="A65" s="80">
        <v>45332</v>
      </c>
      <c r="B65" s="8" t="s">
        <v>19</v>
      </c>
      <c r="C65" s="8">
        <v>-1.4</v>
      </c>
      <c r="D65" s="13">
        <v>0.78402777777777777</v>
      </c>
      <c r="E65" s="79"/>
      <c r="F65" s="9">
        <f>(99.6155189994753/194.055934996761*2185.71418367781)+2185.71418367781</f>
        <v>3307.7156972888915</v>
      </c>
      <c r="G65" s="8" t="s">
        <v>68</v>
      </c>
      <c r="H65" s="9">
        <f>H63/F63*F65</f>
        <v>2226.0611217707965</v>
      </c>
      <c r="I65" s="8"/>
      <c r="J65" s="9" t="s">
        <v>10</v>
      </c>
      <c r="K65" s="8"/>
      <c r="L65" s="9">
        <v>3661.0169019712198</v>
      </c>
      <c r="M65" s="8"/>
      <c r="N65" s="9" t="s">
        <v>10</v>
      </c>
      <c r="O65" s="84">
        <f t="shared" si="0"/>
        <v>9194.7937210309083</v>
      </c>
    </row>
    <row r="66" spans="1:15" x14ac:dyDescent="0.25">
      <c r="A66" s="80">
        <v>45333</v>
      </c>
      <c r="B66" s="8" t="s">
        <v>20</v>
      </c>
      <c r="C66" s="8">
        <v>-1</v>
      </c>
      <c r="D66" s="13">
        <v>0.81180555555555556</v>
      </c>
      <c r="E66" s="79" t="s">
        <v>68</v>
      </c>
      <c r="F66" s="9">
        <f>F63/J63*J66</f>
        <v>145.67947134130398</v>
      </c>
      <c r="G66" s="8"/>
      <c r="H66" s="9">
        <v>73.958330394493302</v>
      </c>
      <c r="I66" s="8"/>
      <c r="J66" s="9">
        <v>229.62962050496799</v>
      </c>
      <c r="K66" s="8"/>
      <c r="L66" s="9" t="s">
        <v>10</v>
      </c>
      <c r="M66" s="8"/>
      <c r="N66" s="9" t="s">
        <v>10</v>
      </c>
      <c r="O66" s="84">
        <f t="shared" ref="O66:O116" si="1">SUM(F66:N66)</f>
        <v>449.26742224076526</v>
      </c>
    </row>
    <row r="67" spans="1:15" x14ac:dyDescent="0.25">
      <c r="A67" s="80">
        <v>45334</v>
      </c>
      <c r="B67" s="8" t="s">
        <v>21</v>
      </c>
      <c r="C67" s="8">
        <v>-0.3</v>
      </c>
      <c r="D67" s="13">
        <v>0.83888888888888891</v>
      </c>
      <c r="E67" s="79"/>
      <c r="F67" s="9">
        <f>(99.6155189994753/194.055934996761*41.6666650109822)+41.6666650109822</f>
        <v>63.05558290270011</v>
      </c>
      <c r="G67" s="8"/>
      <c r="H67" s="9" t="s">
        <v>10</v>
      </c>
      <c r="I67" s="8"/>
      <c r="J67" s="9">
        <v>321.98758431521401</v>
      </c>
      <c r="K67" s="8"/>
      <c r="L67" s="9" t="s">
        <v>10</v>
      </c>
      <c r="M67" s="8"/>
      <c r="N67" s="9" t="s">
        <v>10</v>
      </c>
      <c r="O67" s="84">
        <f t="shared" si="1"/>
        <v>385.04316721791412</v>
      </c>
    </row>
    <row r="68" spans="1:15" x14ac:dyDescent="0.25">
      <c r="A68" s="80"/>
      <c r="B68" s="8"/>
      <c r="C68" s="8"/>
      <c r="D68" s="13"/>
      <c r="E68" s="79"/>
      <c r="G68" s="8"/>
      <c r="I68" s="8"/>
      <c r="K68" s="8"/>
      <c r="M68" s="8"/>
      <c r="N68" s="9"/>
      <c r="O68" s="84"/>
    </row>
    <row r="69" spans="1:15" x14ac:dyDescent="0.25">
      <c r="A69" s="80">
        <v>45343</v>
      </c>
      <c r="B69" s="8" t="s">
        <v>67</v>
      </c>
      <c r="C69" s="8">
        <v>0.2</v>
      </c>
      <c r="D69" s="13">
        <v>0.7055555555555556</v>
      </c>
      <c r="E69" s="79" t="s">
        <v>68</v>
      </c>
      <c r="F69" s="9">
        <f>F70/L70*L69</f>
        <v>578.88451909857179</v>
      </c>
      <c r="G69" s="8" t="s">
        <v>68</v>
      </c>
      <c r="H69" s="9">
        <f>H70/L70*L69</f>
        <v>583.81181238183297</v>
      </c>
      <c r="J69" s="9" t="s">
        <v>10</v>
      </c>
      <c r="K69" s="8"/>
      <c r="L69" s="9">
        <v>644.67155865064603</v>
      </c>
      <c r="M69" s="8"/>
      <c r="N69" s="9" t="s">
        <v>10</v>
      </c>
      <c r="O69" s="84">
        <f t="shared" si="1"/>
        <v>1807.3678901310509</v>
      </c>
    </row>
    <row r="70" spans="1:15" x14ac:dyDescent="0.25">
      <c r="A70" s="80">
        <v>45344</v>
      </c>
      <c r="B70" s="8" t="s">
        <v>22</v>
      </c>
      <c r="C70" s="8">
        <v>0.1</v>
      </c>
      <c r="D70" s="13">
        <v>0.73125000000000007</v>
      </c>
      <c r="E70" s="79"/>
      <c r="F70" s="9">
        <f>390.249172478642+684.672262441713</f>
        <v>1074.9214349203548</v>
      </c>
      <c r="G70" s="8"/>
      <c r="H70" s="9">
        <v>1084.0708472669901</v>
      </c>
      <c r="J70" s="9" t="s">
        <v>10</v>
      </c>
      <c r="K70" s="8"/>
      <c r="L70" s="9">
        <v>1197.0803398857099</v>
      </c>
      <c r="M70" s="8"/>
      <c r="N70" s="9" t="s">
        <v>10</v>
      </c>
      <c r="O70" s="84">
        <f t="shared" si="1"/>
        <v>3356.0726220730548</v>
      </c>
    </row>
    <row r="71" spans="1:15" x14ac:dyDescent="0.25">
      <c r="A71" s="80">
        <v>45345</v>
      </c>
      <c r="B71" s="8" t="s">
        <v>18</v>
      </c>
      <c r="C71" s="8">
        <v>0.1</v>
      </c>
      <c r="D71" s="13">
        <v>0.75347222222222221</v>
      </c>
      <c r="E71" s="79"/>
      <c r="F71" s="9">
        <f>(390.249172478642/684.672262441713*1199.60426474253)+1199.60426474253</f>
        <v>1883.3541364667051</v>
      </c>
      <c r="G71" s="8" t="s">
        <v>68</v>
      </c>
      <c r="H71" s="9">
        <f>H72/J72*J71</f>
        <v>1058.478658775377</v>
      </c>
      <c r="J71" s="9">
        <v>2415.9770526002198</v>
      </c>
      <c r="K71" s="8"/>
      <c r="L71" s="9" t="s">
        <v>10</v>
      </c>
      <c r="M71" s="8"/>
      <c r="N71" s="9" t="s">
        <v>10</v>
      </c>
      <c r="O71" s="84">
        <f t="shared" si="1"/>
        <v>5357.8098478423017</v>
      </c>
    </row>
    <row r="72" spans="1:15" x14ac:dyDescent="0.25">
      <c r="A72" s="80">
        <v>45346</v>
      </c>
      <c r="B72" s="8" t="s">
        <v>19</v>
      </c>
      <c r="C72" s="8">
        <v>0.2</v>
      </c>
      <c r="D72" s="13">
        <v>0.77361111111111114</v>
      </c>
      <c r="E72" s="79" t="s">
        <v>68</v>
      </c>
      <c r="F72" s="9">
        <f>F71/J71*J72</f>
        <v>3298.9312640509065</v>
      </c>
      <c r="G72" s="8"/>
      <c r="H72" s="9">
        <v>1854.05828471309</v>
      </c>
      <c r="J72" s="9">
        <v>4231.8871834720003</v>
      </c>
      <c r="K72" s="8"/>
      <c r="L72" s="9" t="s">
        <v>10</v>
      </c>
      <c r="M72" s="8"/>
      <c r="N72" s="9" t="s">
        <v>10</v>
      </c>
      <c r="O72" s="84">
        <f t="shared" si="1"/>
        <v>9384.8767322359963</v>
      </c>
    </row>
    <row r="73" spans="1:15" x14ac:dyDescent="0.25">
      <c r="A73" s="80">
        <v>45347</v>
      </c>
      <c r="B73" s="8" t="s">
        <v>20</v>
      </c>
      <c r="C73" s="8">
        <v>0.4</v>
      </c>
      <c r="D73" s="13">
        <v>0.79305555555555562</v>
      </c>
      <c r="E73" s="79" t="s">
        <v>68</v>
      </c>
      <c r="F73" s="9">
        <f>F70/L70*L73</f>
        <v>136.18947622200989</v>
      </c>
      <c r="G73" s="8"/>
      <c r="H73" s="9" t="s">
        <v>10</v>
      </c>
      <c r="J73" s="9" t="s">
        <v>10</v>
      </c>
      <c r="K73" s="8"/>
      <c r="L73" s="9">
        <v>151.66666063997499</v>
      </c>
      <c r="M73" s="8"/>
      <c r="N73" s="9" t="s">
        <v>10</v>
      </c>
      <c r="O73" s="84">
        <f t="shared" si="1"/>
        <v>287.85613686198485</v>
      </c>
    </row>
    <row r="74" spans="1:15" x14ac:dyDescent="0.25">
      <c r="A74" s="80"/>
      <c r="B74" s="8"/>
      <c r="C74" s="8"/>
      <c r="D74" s="13"/>
      <c r="E74" s="79"/>
      <c r="G74" s="8"/>
      <c r="I74" s="8"/>
      <c r="K74" s="8"/>
      <c r="M74" s="8"/>
      <c r="N74" s="9"/>
      <c r="O74" s="84"/>
    </row>
    <row r="75" spans="1:15" x14ac:dyDescent="0.25">
      <c r="A75" s="80">
        <v>45358</v>
      </c>
      <c r="B75" s="8" t="s">
        <v>22</v>
      </c>
      <c r="C75" s="8">
        <v>-0.5</v>
      </c>
      <c r="D75" s="13">
        <v>0.67708333333333337</v>
      </c>
      <c r="E75" s="79"/>
      <c r="F75" s="9">
        <f>(390.249172478642/684.672262441713*866.682221306295)+866.682221306295</f>
        <v>1360.673344096268</v>
      </c>
      <c r="G75" s="8"/>
      <c r="H75" s="9">
        <v>1013.17127342117</v>
      </c>
      <c r="J75" s="9">
        <v>1411.8356225400901</v>
      </c>
      <c r="K75" s="8"/>
      <c r="L75" s="9" t="s">
        <v>10</v>
      </c>
      <c r="M75" s="8"/>
      <c r="N75" s="9" t="s">
        <v>10</v>
      </c>
      <c r="O75" s="84">
        <f t="shared" si="1"/>
        <v>3785.680240057528</v>
      </c>
    </row>
    <row r="76" spans="1:15" x14ac:dyDescent="0.25">
      <c r="A76" s="80">
        <v>45359</v>
      </c>
      <c r="B76" s="8" t="s">
        <v>18</v>
      </c>
      <c r="C76" s="8">
        <v>-0.8</v>
      </c>
      <c r="D76" s="13">
        <v>0.70833333333333337</v>
      </c>
      <c r="E76" s="79"/>
      <c r="F76" s="9">
        <f>(390.249172478642/684.672262441713*1178.59600090986)+1178.59600090986</f>
        <v>1850.3715923460115</v>
      </c>
      <c r="G76" s="8" t="s">
        <v>68</v>
      </c>
      <c r="H76" s="9">
        <f>H75/F75*F76</f>
        <v>1377.8055921017058</v>
      </c>
      <c r="J76" s="9" t="s">
        <v>10</v>
      </c>
      <c r="K76" s="8"/>
      <c r="L76" s="9">
        <v>1741.7443194682501</v>
      </c>
      <c r="M76" s="8"/>
      <c r="N76" s="9" t="s">
        <v>10</v>
      </c>
      <c r="O76" s="84">
        <f t="shared" si="1"/>
        <v>4969.9215039159672</v>
      </c>
    </row>
    <row r="77" spans="1:15" x14ac:dyDescent="0.25">
      <c r="A77" s="80">
        <v>45360</v>
      </c>
      <c r="B77" s="8" t="s">
        <v>19</v>
      </c>
      <c r="C77" s="8">
        <v>-0.9</v>
      </c>
      <c r="D77" s="13">
        <v>0.73749999999999993</v>
      </c>
      <c r="E77" s="79" t="s">
        <v>68</v>
      </c>
      <c r="F77" s="9">
        <f>F76/L76*L77</f>
        <v>1826.1238636784976</v>
      </c>
      <c r="G77" s="8"/>
      <c r="H77" s="9">
        <v>1958.14625741188</v>
      </c>
      <c r="J77" s="9" t="s">
        <v>10</v>
      </c>
      <c r="K77" s="8"/>
      <c r="L77" s="9">
        <v>1718.92006954929</v>
      </c>
      <c r="M77" s="8"/>
      <c r="N77" s="9" t="s">
        <v>10</v>
      </c>
      <c r="O77" s="84">
        <f t="shared" si="1"/>
        <v>5503.1901906396679</v>
      </c>
    </row>
    <row r="78" spans="1:15" x14ac:dyDescent="0.25">
      <c r="A78" s="80">
        <v>45361</v>
      </c>
      <c r="B78" s="8" t="s">
        <v>20</v>
      </c>
      <c r="C78" s="8">
        <v>-0.7</v>
      </c>
      <c r="D78" s="13">
        <v>0.80694444444444446</v>
      </c>
      <c r="E78" s="79" t="s">
        <v>68</v>
      </c>
      <c r="F78" s="9">
        <f>F75/J75*J78</f>
        <v>755.26171441476981</v>
      </c>
      <c r="G78" s="8"/>
      <c r="H78" s="9">
        <v>291.66665507687497</v>
      </c>
      <c r="J78" s="9">
        <v>783.66008813062399</v>
      </c>
      <c r="K78" s="8"/>
      <c r="L78" s="9" t="s">
        <v>10</v>
      </c>
      <c r="M78" s="8"/>
      <c r="N78" s="9" t="s">
        <v>10</v>
      </c>
      <c r="O78" s="84">
        <f t="shared" si="1"/>
        <v>1830.5884576222688</v>
      </c>
    </row>
    <row r="79" spans="1:15" x14ac:dyDescent="0.25">
      <c r="A79" s="80">
        <v>45362</v>
      </c>
      <c r="B79" s="8" t="s">
        <v>21</v>
      </c>
      <c r="C79" s="8">
        <v>-0.2</v>
      </c>
      <c r="D79" s="13">
        <v>0.83333333333333337</v>
      </c>
      <c r="E79" s="79"/>
      <c r="F79" s="9">
        <f>(390.249172478642/684.672262441713*34.7953476395393)+34.7953476395393</f>
        <v>54.627983438178603</v>
      </c>
      <c r="G79" s="8" t="s">
        <v>68</v>
      </c>
      <c r="H79" s="9">
        <f>H75/J75*J79</f>
        <v>137.41273109776341</v>
      </c>
      <c r="J79" s="9">
        <v>191.482125326404</v>
      </c>
      <c r="K79" s="8"/>
      <c r="L79" s="9" t="s">
        <v>10</v>
      </c>
      <c r="M79" s="8"/>
      <c r="N79" s="9" t="s">
        <v>10</v>
      </c>
      <c r="O79" s="84">
        <f t="shared" si="1"/>
        <v>383.52283986234602</v>
      </c>
    </row>
    <row r="80" spans="1:15" x14ac:dyDescent="0.25">
      <c r="A80" s="80">
        <v>45363</v>
      </c>
      <c r="B80" s="8" t="s">
        <v>66</v>
      </c>
      <c r="C80" s="8">
        <v>-0.3</v>
      </c>
      <c r="D80" s="13">
        <v>0.35625000000000001</v>
      </c>
      <c r="E80" s="79" t="s">
        <v>68</v>
      </c>
      <c r="F80" s="9">
        <f>F76/L76*L80</f>
        <v>329.6867090922172</v>
      </c>
      <c r="G80" s="8"/>
      <c r="H80" s="9" t="s">
        <v>10</v>
      </c>
      <c r="J80" s="9" t="s">
        <v>10</v>
      </c>
      <c r="K80" s="8"/>
      <c r="L80" s="9">
        <v>310.33223550384702</v>
      </c>
      <c r="M80" s="8"/>
      <c r="N80" s="9" t="s">
        <v>10</v>
      </c>
      <c r="O80" s="84">
        <f t="shared" si="1"/>
        <v>640.01894459606422</v>
      </c>
    </row>
    <row r="81" spans="1:15" x14ac:dyDescent="0.25">
      <c r="A81" s="80">
        <v>45364</v>
      </c>
      <c r="B81" s="8" t="s">
        <v>67</v>
      </c>
      <c r="C81" s="8">
        <v>-0.4</v>
      </c>
      <c r="D81" s="13">
        <v>0.38958333333333334</v>
      </c>
      <c r="E81" s="79" t="s">
        <v>68</v>
      </c>
      <c r="F81" s="9">
        <f>F76/L76*L81</f>
        <v>1111.7081436515193</v>
      </c>
      <c r="G81" s="8"/>
      <c r="H81" s="9" t="s">
        <v>10</v>
      </c>
      <c r="J81" s="9" t="s">
        <v>10</v>
      </c>
      <c r="K81" s="8"/>
      <c r="L81" s="9">
        <v>1046.4445909789699</v>
      </c>
      <c r="M81" s="8"/>
      <c r="N81" s="9" t="s">
        <v>10</v>
      </c>
      <c r="O81" s="84">
        <f t="shared" si="1"/>
        <v>2158.1527346304892</v>
      </c>
    </row>
    <row r="82" spans="1:15" x14ac:dyDescent="0.25">
      <c r="A82" s="80">
        <v>45365</v>
      </c>
      <c r="B82" s="8" t="s">
        <v>22</v>
      </c>
      <c r="C82" s="8">
        <v>-0.3</v>
      </c>
      <c r="D82" s="13">
        <v>0.42499999999999999</v>
      </c>
      <c r="E82" s="79"/>
      <c r="F82" s="9">
        <f>(390.249172478642/684.672262441713*851.686161241434)+851.686161241434</f>
        <v>1337.1298368047856</v>
      </c>
      <c r="G82" s="8"/>
      <c r="H82" s="9" t="s">
        <v>10</v>
      </c>
      <c r="J82" s="9" t="s">
        <v>10</v>
      </c>
      <c r="K82" s="8"/>
      <c r="L82" s="9">
        <v>1138.6861769644599</v>
      </c>
      <c r="M82" s="8"/>
      <c r="N82" s="9" t="s">
        <v>10</v>
      </c>
      <c r="O82" s="84">
        <f t="shared" si="1"/>
        <v>2475.8160137692457</v>
      </c>
    </row>
    <row r="83" spans="1:15" x14ac:dyDescent="0.25">
      <c r="A83" s="80">
        <v>45366</v>
      </c>
      <c r="B83" s="8" t="s">
        <v>18</v>
      </c>
      <c r="C83" s="8">
        <v>0.1</v>
      </c>
      <c r="D83" s="13">
        <v>0.46388888888888885</v>
      </c>
      <c r="E83" s="79"/>
      <c r="F83" s="9" t="s">
        <v>10</v>
      </c>
      <c r="G83" s="8"/>
      <c r="H83" s="9" t="s">
        <v>10</v>
      </c>
      <c r="J83" s="9">
        <v>2768.0075147011498</v>
      </c>
      <c r="K83" s="8"/>
      <c r="L83" s="9" t="s">
        <v>10</v>
      </c>
      <c r="M83" s="8"/>
      <c r="N83" s="9" t="s">
        <v>10</v>
      </c>
      <c r="O83" s="84">
        <f t="shared" si="1"/>
        <v>2768.0075147011498</v>
      </c>
    </row>
    <row r="84" spans="1:15" x14ac:dyDescent="0.25">
      <c r="A84" s="80">
        <v>45367</v>
      </c>
      <c r="B84" s="8" t="s">
        <v>19</v>
      </c>
      <c r="C84" s="8">
        <v>0.5</v>
      </c>
      <c r="D84" s="13">
        <v>0.50694444444444442</v>
      </c>
      <c r="E84" s="79"/>
      <c r="F84" s="9" t="s">
        <v>10</v>
      </c>
      <c r="G84" s="8"/>
      <c r="H84" s="9" t="s">
        <v>10</v>
      </c>
      <c r="J84" s="9">
        <v>7233.5877862595398</v>
      </c>
      <c r="K84" s="8"/>
      <c r="L84" s="9" t="s">
        <v>10</v>
      </c>
      <c r="M84" s="8"/>
      <c r="N84" s="9" t="s">
        <v>10</v>
      </c>
      <c r="O84" s="84">
        <f t="shared" si="1"/>
        <v>7233.5877862595398</v>
      </c>
    </row>
    <row r="85" spans="1:15" x14ac:dyDescent="0.25">
      <c r="A85" s="80">
        <v>45368</v>
      </c>
      <c r="B85" s="8" t="s">
        <v>20</v>
      </c>
      <c r="C85" s="8">
        <v>0.9</v>
      </c>
      <c r="D85" s="13">
        <v>0.55763888888888891</v>
      </c>
      <c r="E85" s="79"/>
      <c r="F85" s="9" t="s">
        <v>10</v>
      </c>
      <c r="G85" s="8"/>
      <c r="H85" s="9" t="s">
        <v>10</v>
      </c>
      <c r="J85" s="9" t="s">
        <v>10</v>
      </c>
      <c r="K85" s="8"/>
      <c r="L85" s="9">
        <v>3650.4899940286</v>
      </c>
      <c r="M85" s="8"/>
      <c r="N85" s="9" t="s">
        <v>10</v>
      </c>
      <c r="O85" s="84">
        <f t="shared" si="1"/>
        <v>3650.4899940286</v>
      </c>
    </row>
    <row r="86" spans="1:15" x14ac:dyDescent="0.25">
      <c r="A86" s="80"/>
      <c r="B86" s="8"/>
      <c r="C86" s="8"/>
      <c r="D86" s="13"/>
      <c r="E86" s="79"/>
      <c r="G86" s="8"/>
      <c r="I86" s="8"/>
      <c r="K86" s="8"/>
      <c r="M86" s="8"/>
      <c r="N86" s="9"/>
      <c r="O86" s="84"/>
    </row>
    <row r="87" spans="1:15" x14ac:dyDescent="0.25">
      <c r="A87" s="80">
        <v>45377</v>
      </c>
      <c r="B87" s="8" t="s">
        <v>66</v>
      </c>
      <c r="C87" s="8">
        <v>0.7</v>
      </c>
      <c r="D87" s="13">
        <v>0.32916666666666666</v>
      </c>
      <c r="E87" s="79"/>
      <c r="F87" s="9" t="s">
        <v>10</v>
      </c>
      <c r="G87" s="8"/>
      <c r="H87" s="9" t="s">
        <v>10</v>
      </c>
      <c r="J87" s="9">
        <v>626.33310716138703</v>
      </c>
      <c r="K87" s="8"/>
      <c r="L87" s="9" t="s">
        <v>10</v>
      </c>
      <c r="M87" s="8"/>
      <c r="N87" s="9" t="s">
        <v>10</v>
      </c>
      <c r="O87" s="84">
        <f t="shared" si="1"/>
        <v>626.33310716138703</v>
      </c>
    </row>
    <row r="88" spans="1:15" x14ac:dyDescent="0.25">
      <c r="A88" s="80">
        <v>45378</v>
      </c>
      <c r="B88" s="8" t="s">
        <v>67</v>
      </c>
      <c r="C88" s="8">
        <v>0.4</v>
      </c>
      <c r="D88" s="13">
        <v>0.35138888888888892</v>
      </c>
      <c r="E88" s="79" t="s">
        <v>68</v>
      </c>
      <c r="F88" s="9">
        <f>F92/L92*L88</f>
        <v>252.83438922163052</v>
      </c>
      <c r="G88" s="8"/>
      <c r="H88" s="9" t="s">
        <v>10</v>
      </c>
      <c r="J88" s="9" t="s">
        <v>10</v>
      </c>
      <c r="K88" s="8"/>
      <c r="L88" s="9">
        <v>282.97581210308903</v>
      </c>
      <c r="M88" s="8"/>
      <c r="N88" s="9" t="s">
        <v>10</v>
      </c>
      <c r="O88" s="84">
        <f t="shared" si="1"/>
        <v>535.81020132471951</v>
      </c>
    </row>
    <row r="89" spans="1:15" x14ac:dyDescent="0.25">
      <c r="A89" s="80">
        <v>45379</v>
      </c>
      <c r="B89" s="8" t="s">
        <v>22</v>
      </c>
      <c r="C89" s="8">
        <v>0.3</v>
      </c>
      <c r="D89" s="13">
        <v>0.3756944444444445</v>
      </c>
      <c r="E89" s="79" t="s">
        <v>68</v>
      </c>
      <c r="F89" s="9">
        <f>F92/L92*L89</f>
        <v>278.21729092476204</v>
      </c>
      <c r="G89" s="8" t="s">
        <v>68</v>
      </c>
      <c r="H89" s="9">
        <f>H92/L92*L89</f>
        <v>313.03384459767688</v>
      </c>
      <c r="J89" s="9" t="s">
        <v>10</v>
      </c>
      <c r="K89" s="8"/>
      <c r="L89" s="9">
        <v>311.38471345978002</v>
      </c>
      <c r="M89" s="8"/>
      <c r="N89" s="9" t="s">
        <v>10</v>
      </c>
      <c r="O89" s="84">
        <f t="shared" si="1"/>
        <v>902.63584898221893</v>
      </c>
    </row>
    <row r="90" spans="1:15" x14ac:dyDescent="0.25">
      <c r="A90" s="80">
        <v>45380</v>
      </c>
      <c r="B90" s="8" t="s">
        <v>18</v>
      </c>
      <c r="C90" s="8">
        <v>0.3</v>
      </c>
      <c r="D90" s="13">
        <v>0.40208333333333335</v>
      </c>
      <c r="E90" s="79"/>
      <c r="F90" s="9">
        <f>354.813979541911+511.785001623397</f>
        <v>866.59898116530803</v>
      </c>
      <c r="G90" s="8"/>
      <c r="H90" s="9">
        <v>975.046554069016</v>
      </c>
      <c r="J90" s="9">
        <v>1399.8277614757701</v>
      </c>
      <c r="K90" s="8"/>
      <c r="L90" s="9" t="s">
        <v>10</v>
      </c>
      <c r="M90" s="8"/>
      <c r="N90" s="9" t="s">
        <v>10</v>
      </c>
      <c r="O90" s="84">
        <f t="shared" si="1"/>
        <v>3241.4732967100945</v>
      </c>
    </row>
    <row r="91" spans="1:15" x14ac:dyDescent="0.25">
      <c r="A91" s="80">
        <v>45381</v>
      </c>
      <c r="B91" s="8" t="s">
        <v>19</v>
      </c>
      <c r="C91" s="8">
        <v>0.4</v>
      </c>
      <c r="D91" s="13">
        <v>0.43263888888888885</v>
      </c>
      <c r="E91" s="79"/>
      <c r="F91" s="9">
        <f>(354.813979541911/511.785001623397*1185.59944016218)+1185.59944016218</f>
        <v>2007.5603303255025</v>
      </c>
      <c r="G91" s="8"/>
      <c r="H91" s="9">
        <v>2836.2521025415799</v>
      </c>
      <c r="J91" s="9">
        <v>3083.4870508848599</v>
      </c>
      <c r="K91" s="8"/>
      <c r="L91" s="9" t="s">
        <v>10</v>
      </c>
      <c r="M91" s="8"/>
      <c r="N91" s="9" t="s">
        <v>10</v>
      </c>
      <c r="O91" s="84">
        <f t="shared" si="1"/>
        <v>7927.2994837519418</v>
      </c>
    </row>
    <row r="92" spans="1:15" x14ac:dyDescent="0.25">
      <c r="A92" s="80">
        <v>45382</v>
      </c>
      <c r="B92" s="8" t="s">
        <v>20</v>
      </c>
      <c r="C92" s="8">
        <v>0.6</v>
      </c>
      <c r="D92" s="13">
        <v>0.4694444444444445</v>
      </c>
      <c r="E92" s="79" t="s">
        <v>68</v>
      </c>
      <c r="F92" s="9">
        <f>F90/H90*H92</f>
        <v>1506.980717559853</v>
      </c>
      <c r="G92" s="8"/>
      <c r="H92" s="9">
        <v>1695.56667806063</v>
      </c>
      <c r="J92" s="9" t="s">
        <v>10</v>
      </c>
      <c r="K92" s="8"/>
      <c r="L92" s="9">
        <v>1686.63405989992</v>
      </c>
      <c r="M92" s="8"/>
      <c r="N92" s="9" t="s">
        <v>10</v>
      </c>
      <c r="O92" s="84">
        <f t="shared" si="1"/>
        <v>4889.1814555204037</v>
      </c>
    </row>
    <row r="93" spans="1:15" x14ac:dyDescent="0.25">
      <c r="A93" s="80"/>
      <c r="B93" s="8"/>
      <c r="C93" s="8"/>
      <c r="D93" s="13"/>
      <c r="E93" s="79"/>
      <c r="G93" s="8"/>
      <c r="I93" s="8"/>
      <c r="K93" s="8"/>
      <c r="M93" s="8"/>
      <c r="N93" s="9"/>
      <c r="O93" s="84"/>
    </row>
    <row r="94" spans="1:15" x14ac:dyDescent="0.25">
      <c r="A94" s="80">
        <v>45390</v>
      </c>
      <c r="B94" s="8" t="s">
        <v>21</v>
      </c>
      <c r="C94" s="8">
        <v>-0.5</v>
      </c>
      <c r="D94" s="13">
        <v>0.28055555555555556</v>
      </c>
      <c r="E94" s="79"/>
      <c r="F94" s="9" t="s">
        <v>10</v>
      </c>
      <c r="G94" s="8"/>
      <c r="H94" s="9" t="s">
        <v>10</v>
      </c>
      <c r="J94" s="9" t="s">
        <v>10</v>
      </c>
      <c r="K94" s="8"/>
      <c r="L94" s="9">
        <v>494.80943824298902</v>
      </c>
      <c r="M94" s="8"/>
      <c r="N94" s="9" t="s">
        <v>10</v>
      </c>
      <c r="O94" s="84">
        <f t="shared" si="1"/>
        <v>494.80943824298902</v>
      </c>
    </row>
    <row r="95" spans="1:15" x14ac:dyDescent="0.25">
      <c r="A95" s="80">
        <v>45391</v>
      </c>
      <c r="B95" s="8" t="s">
        <v>66</v>
      </c>
      <c r="C95" s="8">
        <v>-1.2</v>
      </c>
      <c r="D95" s="13">
        <v>0.31180555555555556</v>
      </c>
      <c r="E95" s="79" t="s">
        <v>68</v>
      </c>
      <c r="F95" s="9">
        <f>F98/L98*L95</f>
        <v>1299.6990363751913</v>
      </c>
      <c r="G95" s="8"/>
      <c r="H95" s="9" t="s">
        <v>10</v>
      </c>
      <c r="J95" s="9" t="s">
        <v>10</v>
      </c>
      <c r="K95" s="8"/>
      <c r="L95" s="9">
        <v>1433.1355645220999</v>
      </c>
      <c r="M95" s="8"/>
      <c r="N95" s="9" t="s">
        <v>10</v>
      </c>
      <c r="O95" s="84">
        <f t="shared" si="1"/>
        <v>2732.8346008972912</v>
      </c>
    </row>
    <row r="96" spans="1:15" x14ac:dyDescent="0.25">
      <c r="A96" s="80">
        <v>45392</v>
      </c>
      <c r="B96" s="8" t="s">
        <v>67</v>
      </c>
      <c r="C96" s="8">
        <v>-1.5</v>
      </c>
      <c r="D96" s="13">
        <v>0.3430555555555555</v>
      </c>
      <c r="E96" s="79"/>
      <c r="F96" s="9">
        <f>(584.165080552479/2276.22366996201*3459.25507819103)+3459.25507819103</f>
        <v>4347.0307603746542</v>
      </c>
      <c r="G96" s="8" t="s">
        <v>68</v>
      </c>
      <c r="H96" s="9">
        <f>H98/F98*F96</f>
        <v>2928.7787193507247</v>
      </c>
      <c r="J96" s="9">
        <v>3577.8308679708798</v>
      </c>
      <c r="K96" s="8"/>
      <c r="L96" s="9" t="s">
        <v>10</v>
      </c>
      <c r="M96" s="8"/>
      <c r="N96" s="9" t="s">
        <v>10</v>
      </c>
      <c r="O96" s="84">
        <f t="shared" si="1"/>
        <v>10853.640347696259</v>
      </c>
    </row>
    <row r="97" spans="1:15" x14ac:dyDescent="0.25">
      <c r="A97" s="80">
        <v>45393</v>
      </c>
      <c r="B97" s="8" t="s">
        <v>22</v>
      </c>
      <c r="C97" s="8">
        <v>-1.4</v>
      </c>
      <c r="D97" s="13">
        <v>0.375</v>
      </c>
      <c r="E97" s="79" t="s">
        <v>68</v>
      </c>
      <c r="F97" s="9">
        <f>F98/H98*H97</f>
        <v>2424.4050445195867</v>
      </c>
      <c r="G97" s="8"/>
      <c r="H97" s="9">
        <v>1633.4243516748299</v>
      </c>
      <c r="J97" s="9">
        <v>2162.7057030967298</v>
      </c>
      <c r="K97" s="8"/>
      <c r="L97" s="9" t="s">
        <v>10</v>
      </c>
      <c r="M97" s="8"/>
      <c r="N97" s="9" t="s">
        <v>10</v>
      </c>
      <c r="O97" s="84">
        <f t="shared" si="1"/>
        <v>6220.5350992911463</v>
      </c>
    </row>
    <row r="98" spans="1:15" x14ac:dyDescent="0.25">
      <c r="A98" s="80">
        <v>45394</v>
      </c>
      <c r="B98" s="8" t="s">
        <v>18</v>
      </c>
      <c r="C98" s="8">
        <v>-1.1000000000000001</v>
      </c>
      <c r="D98" s="13">
        <v>0.40833333333333338</v>
      </c>
      <c r="E98" s="79"/>
      <c r="F98" s="9">
        <f>584.165080552479+2276.22366996201</f>
        <v>2860.3887505144889</v>
      </c>
      <c r="G98" s="8"/>
      <c r="H98" s="9">
        <v>1927.1650382467101</v>
      </c>
      <c r="J98" s="9" t="s">
        <v>10</v>
      </c>
      <c r="K98" s="8"/>
      <c r="L98" s="9">
        <v>3154.05700242273</v>
      </c>
      <c r="M98" s="8"/>
      <c r="N98" s="9" t="s">
        <v>10</v>
      </c>
      <c r="O98" s="84">
        <f t="shared" si="1"/>
        <v>7941.610791183929</v>
      </c>
    </row>
    <row r="99" spans="1:15" x14ac:dyDescent="0.25">
      <c r="A99" s="80">
        <v>45395</v>
      </c>
      <c r="B99" s="8" t="s">
        <v>19</v>
      </c>
      <c r="C99" s="8">
        <v>-0.5</v>
      </c>
      <c r="D99" s="13">
        <v>0.44444444444444442</v>
      </c>
      <c r="E99" s="79" t="s">
        <v>68</v>
      </c>
      <c r="F99" s="9">
        <f>F98/H98*H99</f>
        <v>5577.4845413768408</v>
      </c>
      <c r="G99" s="8"/>
      <c r="H99" s="9">
        <v>3757.7875411409</v>
      </c>
      <c r="J99" s="9" t="s">
        <v>10</v>
      </c>
      <c r="K99" s="8"/>
      <c r="L99" s="9">
        <v>4225.0214709163301</v>
      </c>
      <c r="M99" s="8"/>
      <c r="N99" s="9" t="s">
        <v>10</v>
      </c>
      <c r="O99" s="84">
        <f t="shared" si="1"/>
        <v>13560.29355343407</v>
      </c>
    </row>
    <row r="100" spans="1:15" x14ac:dyDescent="0.25">
      <c r="A100" s="80">
        <v>45396</v>
      </c>
      <c r="B100" s="8" t="s">
        <v>20</v>
      </c>
      <c r="C100" s="8">
        <v>0.1</v>
      </c>
      <c r="D100" s="13">
        <v>0.48472222222222222</v>
      </c>
      <c r="E100" s="79"/>
      <c r="F100" s="9">
        <f>(584.165080552479/2276.22366996201*1373.23696245838)+1373.23696245838</f>
        <v>1725.6615028839394</v>
      </c>
      <c r="G100" s="8"/>
      <c r="H100" s="9" t="s">
        <v>10</v>
      </c>
      <c r="I100" s="8"/>
      <c r="J100" s="9">
        <v>4898.4195890187302</v>
      </c>
      <c r="K100" s="8"/>
      <c r="L100" s="9" t="s">
        <v>10</v>
      </c>
      <c r="M100" s="8"/>
      <c r="N100" s="9" t="s">
        <v>10</v>
      </c>
      <c r="O100" s="84">
        <f t="shared" si="1"/>
        <v>6624.0810919026699</v>
      </c>
    </row>
    <row r="101" spans="1:15" x14ac:dyDescent="0.25">
      <c r="A101" s="80"/>
      <c r="B101" s="8"/>
      <c r="C101" s="8"/>
      <c r="D101" s="13"/>
      <c r="E101" s="79"/>
      <c r="G101" s="8"/>
      <c r="I101" s="8"/>
      <c r="K101" s="8"/>
      <c r="M101" s="8"/>
      <c r="N101" s="9"/>
      <c r="O101" s="84"/>
    </row>
    <row r="102" spans="1:15" x14ac:dyDescent="0.25">
      <c r="A102" s="80">
        <v>45405</v>
      </c>
      <c r="B102" s="8" t="s">
        <v>66</v>
      </c>
      <c r="C102" s="8">
        <v>0</v>
      </c>
      <c r="D102" s="13">
        <v>0.2902777777777778</v>
      </c>
      <c r="E102" s="79"/>
      <c r="F102" s="9" t="s">
        <v>10</v>
      </c>
      <c r="G102" s="8"/>
      <c r="H102" s="9" t="s">
        <v>10</v>
      </c>
      <c r="I102" s="8"/>
      <c r="J102" s="9">
        <v>469.83547396099698</v>
      </c>
      <c r="K102" s="8"/>
      <c r="L102" s="9" t="s">
        <v>10</v>
      </c>
      <c r="M102" s="8"/>
      <c r="N102" s="9" t="s">
        <v>10</v>
      </c>
      <c r="O102" s="84">
        <f t="shared" si="1"/>
        <v>469.83547396099698</v>
      </c>
    </row>
    <row r="103" spans="1:15" x14ac:dyDescent="0.25">
      <c r="A103" s="80">
        <v>45406</v>
      </c>
      <c r="B103" s="8" t="s">
        <v>67</v>
      </c>
      <c r="C103" s="8">
        <v>-0.4</v>
      </c>
      <c r="D103" s="13">
        <v>0.3125</v>
      </c>
      <c r="E103" s="79" t="s">
        <v>68</v>
      </c>
      <c r="F103" s="9">
        <f>F108/L108*L103</f>
        <v>505.89961058172651</v>
      </c>
      <c r="G103" s="8"/>
      <c r="H103" s="9" t="s">
        <v>10</v>
      </c>
      <c r="I103" s="8"/>
      <c r="J103" s="9" t="s">
        <v>10</v>
      </c>
      <c r="K103" s="8"/>
      <c r="L103" s="9">
        <v>461.738715764902</v>
      </c>
      <c r="M103" s="8"/>
      <c r="N103" s="9" t="s">
        <v>10</v>
      </c>
      <c r="O103" s="84">
        <f t="shared" si="1"/>
        <v>967.63832634662845</v>
      </c>
    </row>
    <row r="104" spans="1:15" x14ac:dyDescent="0.25">
      <c r="A104" s="80">
        <v>45407</v>
      </c>
      <c r="B104" s="8" t="s">
        <v>22</v>
      </c>
      <c r="C104" s="8">
        <v>-0.6</v>
      </c>
      <c r="D104" s="13">
        <v>0.3354166666666667</v>
      </c>
      <c r="E104" s="79"/>
      <c r="F104" s="9">
        <f>(584.165080552479/2276.22366996201*178.057555789305)+178.057555789305</f>
        <v>223.75385874637465</v>
      </c>
      <c r="G104" s="8"/>
      <c r="H104" s="9">
        <v>286.61828155357699</v>
      </c>
      <c r="I104" s="8"/>
      <c r="J104" s="9" t="s">
        <v>10</v>
      </c>
      <c r="K104" s="8"/>
      <c r="L104" s="9">
        <v>374.25833213634399</v>
      </c>
      <c r="M104" s="8"/>
      <c r="N104" s="9" t="s">
        <v>10</v>
      </c>
      <c r="O104" s="84">
        <f t="shared" si="1"/>
        <v>884.63047243629558</v>
      </c>
    </row>
    <row r="105" spans="1:15" x14ac:dyDescent="0.25">
      <c r="A105" s="80">
        <v>45408</v>
      </c>
      <c r="B105" s="8" t="s">
        <v>18</v>
      </c>
      <c r="C105" s="8">
        <v>-0.7</v>
      </c>
      <c r="D105" s="13">
        <v>0.36041666666666666</v>
      </c>
      <c r="E105" s="79" t="s">
        <v>68</v>
      </c>
      <c r="F105" s="9">
        <f>F106/J106*J105</f>
        <v>653.05620555270059</v>
      </c>
      <c r="G105" s="8" t="s">
        <v>68</v>
      </c>
      <c r="H105" s="9">
        <f>H106/J106*J105</f>
        <v>657.4143760935608</v>
      </c>
      <c r="I105" s="8"/>
      <c r="J105" s="9">
        <v>1095.8940439539899</v>
      </c>
      <c r="K105" s="8"/>
      <c r="L105" s="9" t="s">
        <v>10</v>
      </c>
      <c r="M105" s="8"/>
      <c r="N105" s="9" t="s">
        <v>10</v>
      </c>
      <c r="O105" s="84">
        <f t="shared" si="1"/>
        <v>2406.3646256002512</v>
      </c>
    </row>
    <row r="106" spans="1:15" x14ac:dyDescent="0.25">
      <c r="A106" s="80">
        <v>45409</v>
      </c>
      <c r="B106" s="8" t="s">
        <v>19</v>
      </c>
      <c r="C106" s="8">
        <v>-0.7</v>
      </c>
      <c r="D106" s="13">
        <v>0.38819444444444445</v>
      </c>
      <c r="E106" s="79"/>
      <c r="F106" s="9">
        <f>(354.813979541911/511.785001623397*861.586857311251)+861.586857311251</f>
        <v>1458.9139782583568</v>
      </c>
      <c r="G106" s="8"/>
      <c r="H106" s="9">
        <v>1468.6500405874999</v>
      </c>
      <c r="I106" s="8"/>
      <c r="J106" s="9">
        <v>2448.2044972858498</v>
      </c>
      <c r="K106" s="8"/>
      <c r="L106" s="9" t="s">
        <v>10</v>
      </c>
      <c r="M106" s="8"/>
      <c r="N106" s="9" t="s">
        <v>10</v>
      </c>
      <c r="O106" s="84">
        <f t="shared" si="1"/>
        <v>5375.7685161317058</v>
      </c>
    </row>
    <row r="107" spans="1:15" x14ac:dyDescent="0.25">
      <c r="A107" s="80">
        <v>45410</v>
      </c>
      <c r="B107" s="8" t="s">
        <v>20</v>
      </c>
      <c r="C107" s="8">
        <v>-0.5</v>
      </c>
      <c r="D107" s="13">
        <v>0.4201388888888889</v>
      </c>
      <c r="E107" s="79" t="s">
        <v>68</v>
      </c>
      <c r="F107" s="9">
        <f>F104/L104*L107</f>
        <v>1224.3267767430896</v>
      </c>
      <c r="G107" s="8" t="s">
        <v>68</v>
      </c>
      <c r="H107" s="9">
        <f>H104/L104*L107</f>
        <v>1568.3056318054219</v>
      </c>
      <c r="I107" s="8"/>
      <c r="J107" s="9" t="s">
        <v>10</v>
      </c>
      <c r="K107" s="8"/>
      <c r="L107" s="9">
        <v>2047.85070532849</v>
      </c>
      <c r="M107" s="8"/>
      <c r="N107" s="9" t="s">
        <v>10</v>
      </c>
      <c r="O107" s="84">
        <f t="shared" si="1"/>
        <v>4840.4831138770014</v>
      </c>
    </row>
    <row r="108" spans="1:15" x14ac:dyDescent="0.25">
      <c r="A108" s="80">
        <v>45411</v>
      </c>
      <c r="B108" s="8" t="s">
        <v>21</v>
      </c>
      <c r="C108" s="8">
        <v>-0.3</v>
      </c>
      <c r="D108" s="13">
        <v>0.45694444444444443</v>
      </c>
      <c r="E108" s="79"/>
      <c r="F108" s="9">
        <f>(584.165080552479/2276.22366996201*424.26568498082)+424.26568498082</f>
        <v>533.14830548647967</v>
      </c>
      <c r="G108" s="8"/>
      <c r="H108" s="9" t="s">
        <v>10</v>
      </c>
      <c r="I108" s="8"/>
      <c r="J108" s="9" t="s">
        <v>10</v>
      </c>
      <c r="K108" s="8"/>
      <c r="L108" s="9">
        <v>486.60882265650997</v>
      </c>
      <c r="M108" s="8"/>
      <c r="N108" s="9" t="s">
        <v>10</v>
      </c>
      <c r="O108" s="84">
        <f t="shared" si="1"/>
        <v>1019.7571281429896</v>
      </c>
    </row>
    <row r="109" spans="1:15" x14ac:dyDescent="0.25">
      <c r="A109" s="80"/>
      <c r="B109" s="8"/>
      <c r="C109" s="8"/>
      <c r="D109" s="13"/>
      <c r="E109" s="79"/>
      <c r="G109" s="8"/>
      <c r="I109" s="8"/>
      <c r="K109" s="8"/>
      <c r="M109" s="8"/>
      <c r="N109" s="9"/>
      <c r="O109" s="84"/>
    </row>
    <row r="110" spans="1:15" x14ac:dyDescent="0.25">
      <c r="A110" s="80">
        <v>45418</v>
      </c>
      <c r="B110" s="8" t="s">
        <v>21</v>
      </c>
      <c r="C110" s="8">
        <v>-0.7</v>
      </c>
      <c r="D110" s="13">
        <v>0.23680555555555557</v>
      </c>
      <c r="E110" s="79"/>
      <c r="F110" s="9" t="s">
        <v>10</v>
      </c>
      <c r="G110" s="8"/>
      <c r="H110" s="9" t="s">
        <v>10</v>
      </c>
      <c r="I110" s="8"/>
      <c r="J110" s="9" t="s">
        <v>10</v>
      </c>
      <c r="K110" s="8"/>
      <c r="L110" s="9">
        <v>259.52813112069902</v>
      </c>
      <c r="M110" s="8"/>
      <c r="N110" s="9" t="s">
        <v>10</v>
      </c>
      <c r="O110" s="84">
        <f t="shared" si="1"/>
        <v>259.52813112069902</v>
      </c>
    </row>
    <row r="111" spans="1:15" x14ac:dyDescent="0.25">
      <c r="A111" s="80">
        <v>45419</v>
      </c>
      <c r="B111" s="8" t="s">
        <v>66</v>
      </c>
      <c r="C111" s="8">
        <v>-1.5</v>
      </c>
      <c r="D111" s="13">
        <v>0.26944444444444443</v>
      </c>
      <c r="E111" s="79" t="s">
        <v>68</v>
      </c>
      <c r="F111" s="9">
        <f>F114/L114*L111</f>
        <v>933.12941004932622</v>
      </c>
      <c r="G111" s="8"/>
      <c r="H111" s="9" t="s">
        <v>10</v>
      </c>
      <c r="I111" s="8"/>
      <c r="J111" s="9" t="s">
        <v>10</v>
      </c>
      <c r="K111" s="8"/>
      <c r="L111" s="9">
        <v>673.66499784541804</v>
      </c>
      <c r="M111" s="8"/>
      <c r="N111" s="9" t="s">
        <v>10</v>
      </c>
      <c r="O111" s="84">
        <f t="shared" si="1"/>
        <v>1606.7944078947444</v>
      </c>
    </row>
    <row r="112" spans="1:15" x14ac:dyDescent="0.25">
      <c r="A112" s="80">
        <v>45420</v>
      </c>
      <c r="B112" s="8" t="s">
        <v>67</v>
      </c>
      <c r="C112" s="8">
        <v>-2</v>
      </c>
      <c r="D112" s="13">
        <v>0.30069444444444443</v>
      </c>
      <c r="E112" s="79" t="s">
        <v>68</v>
      </c>
      <c r="F112" s="9">
        <f>F113/J113*J112</f>
        <v>1960.5791954712804</v>
      </c>
      <c r="G112" s="8"/>
      <c r="H112" s="9" t="s">
        <v>10</v>
      </c>
      <c r="I112" s="8"/>
      <c r="J112" s="9">
        <v>2047.1930683278799</v>
      </c>
      <c r="K112" s="8"/>
      <c r="L112" s="9" t="s">
        <v>10</v>
      </c>
      <c r="M112" s="8"/>
      <c r="N112" s="9" t="s">
        <v>10</v>
      </c>
      <c r="O112" s="84">
        <f t="shared" si="1"/>
        <v>4007.7722637991601</v>
      </c>
    </row>
    <row r="113" spans="1:16" x14ac:dyDescent="0.25">
      <c r="A113" s="80">
        <v>45421</v>
      </c>
      <c r="B113" s="8" t="s">
        <v>22</v>
      </c>
      <c r="C113" s="8">
        <v>-2.1</v>
      </c>
      <c r="D113" s="13">
        <v>0.33124999999999999</v>
      </c>
      <c r="E113" s="79"/>
      <c r="F113" s="9">
        <f>(1412.39689442749/2325.52438168496*2556.79832098653)+2556.79832098653</f>
        <v>4109.6584142538768</v>
      </c>
      <c r="G113" s="8"/>
      <c r="H113" s="9">
        <v>2097.6534517608902</v>
      </c>
      <c r="I113" s="8"/>
      <c r="J113" s="9">
        <v>4291.2136568059004</v>
      </c>
      <c r="K113" s="8"/>
      <c r="L113" s="9" t="s">
        <v>10</v>
      </c>
      <c r="M113" s="8"/>
      <c r="N113" s="9" t="s">
        <v>10</v>
      </c>
      <c r="O113" s="84">
        <f t="shared" si="1"/>
        <v>10498.525522820666</v>
      </c>
    </row>
    <row r="114" spans="1:16" x14ac:dyDescent="0.25">
      <c r="A114" s="80">
        <v>45422</v>
      </c>
      <c r="B114" s="8" t="s">
        <v>18</v>
      </c>
      <c r="C114" s="8">
        <v>-1.9</v>
      </c>
      <c r="D114" s="13">
        <v>0.36180555555555555</v>
      </c>
      <c r="E114" s="79"/>
      <c r="F114" s="9">
        <f>1412.39689442749+2325.52438168496</f>
        <v>3737.92127611245</v>
      </c>
      <c r="G114" s="8" t="s">
        <v>68</v>
      </c>
      <c r="H114" s="9">
        <f>H115/L115*L114</f>
        <v>3255.6106857331847</v>
      </c>
      <c r="I114" s="8"/>
      <c r="J114" s="9" t="s">
        <v>10</v>
      </c>
      <c r="K114" s="8"/>
      <c r="L114" s="9">
        <v>2698.5611012791101</v>
      </c>
      <c r="M114" s="8"/>
      <c r="N114" s="9" t="s">
        <v>10</v>
      </c>
      <c r="O114" s="84">
        <f t="shared" si="1"/>
        <v>9692.0930631247447</v>
      </c>
    </row>
    <row r="115" spans="1:16" x14ac:dyDescent="0.25">
      <c r="A115" s="80">
        <v>45423</v>
      </c>
      <c r="B115" s="8" t="s">
        <v>19</v>
      </c>
      <c r="C115" s="8">
        <v>-1.4</v>
      </c>
      <c r="D115" s="13">
        <v>0.39374999999999999</v>
      </c>
      <c r="E115" s="79"/>
      <c r="F115" s="9">
        <f>2395.68347789247+2804.42385440424</f>
        <v>5200.1073322967095</v>
      </c>
      <c r="G115" s="8"/>
      <c r="H115" s="9">
        <v>6101.6060297133699</v>
      </c>
      <c r="I115" s="8"/>
      <c r="J115" s="9" t="s">
        <v>10</v>
      </c>
      <c r="K115" s="8"/>
      <c r="L115" s="9">
        <v>5057.5938822385397</v>
      </c>
      <c r="M115" s="8"/>
      <c r="N115" s="9" t="s">
        <v>10</v>
      </c>
      <c r="O115" s="84">
        <f t="shared" si="1"/>
        <v>16359.307244248619</v>
      </c>
    </row>
    <row r="116" spans="1:16" x14ac:dyDescent="0.25">
      <c r="A116" s="80">
        <v>45424</v>
      </c>
      <c r="B116" s="8" t="s">
        <v>20</v>
      </c>
      <c r="C116" s="8">
        <v>-0.8</v>
      </c>
      <c r="D116" s="13">
        <v>0.42777777777777781</v>
      </c>
      <c r="E116" s="79" t="s">
        <v>68</v>
      </c>
      <c r="F116" s="9">
        <f>F113/J113*J116</f>
        <v>3229.2591343702152</v>
      </c>
      <c r="G116" s="8"/>
      <c r="H116" s="9">
        <v>2786.6693077814102</v>
      </c>
      <c r="I116" s="8"/>
      <c r="J116" s="9">
        <v>3371.9203646492201</v>
      </c>
      <c r="K116" s="8"/>
      <c r="L116" s="9" t="s">
        <v>10</v>
      </c>
      <c r="M116" s="8"/>
      <c r="N116" s="9" t="s">
        <v>10</v>
      </c>
      <c r="O116" s="84">
        <f t="shared" si="1"/>
        <v>9387.8488068008464</v>
      </c>
    </row>
    <row r="117" spans="1:16" x14ac:dyDescent="0.25">
      <c r="A117" s="80"/>
      <c r="B117" s="8"/>
      <c r="C117" s="8"/>
      <c r="D117" s="13"/>
      <c r="E117" s="79"/>
      <c r="G117" s="8"/>
      <c r="I117" s="8"/>
      <c r="K117" s="8"/>
      <c r="M117" s="8"/>
      <c r="N117" s="9"/>
    </row>
    <row r="118" spans="1:16" x14ac:dyDescent="0.25">
      <c r="A118" s="18" t="s">
        <v>23</v>
      </c>
      <c r="C118" s="8"/>
      <c r="D118" s="8"/>
      <c r="E118" s="6"/>
      <c r="F118" s="9">
        <f>SUM(F2:F117)</f>
        <v>114614.46032409262</v>
      </c>
      <c r="H118" s="9">
        <f>SUM(H2:H117)</f>
        <v>90081.645551532711</v>
      </c>
      <c r="J118" s="9">
        <f>SUM(J2:J117)</f>
        <v>86087.506403076652</v>
      </c>
      <c r="L118" s="9">
        <f>SUM(L2:L117)</f>
        <v>60278.382162280803</v>
      </c>
      <c r="N118" s="9">
        <f>SUM(N2:N117)</f>
        <v>0</v>
      </c>
      <c r="O118" s="9">
        <f>SUM(O2:O117)</f>
        <v>351061.99444098293</v>
      </c>
      <c r="P118" s="20">
        <f>SUM(F118,H118,J118,L118,N118)</f>
        <v>351061.99444098276</v>
      </c>
    </row>
    <row r="119" spans="1:16" x14ac:dyDescent="0.25">
      <c r="A119" s="19" t="s">
        <v>16</v>
      </c>
      <c r="C119" s="8"/>
      <c r="D119" s="8"/>
      <c r="E119" s="6"/>
    </row>
    <row r="120" spans="1:16" x14ac:dyDescent="0.25">
      <c r="A120" s="11" t="s">
        <v>17</v>
      </c>
      <c r="C120" s="8"/>
      <c r="D120" s="8"/>
      <c r="E120" s="6"/>
    </row>
    <row r="121" spans="1:16" x14ac:dyDescent="0.25">
      <c r="A121" t="s">
        <v>24</v>
      </c>
      <c r="C121" s="8"/>
      <c r="D121" s="8"/>
      <c r="E121" s="6"/>
    </row>
    <row r="148" spans="1:14" x14ac:dyDescent="0.25">
      <c r="A148" s="2"/>
      <c r="B148" s="7"/>
      <c r="C148" s="4"/>
      <c r="D148" s="5"/>
      <c r="E148" s="6"/>
      <c r="F148" s="75"/>
      <c r="G148" s="6"/>
      <c r="H148" s="75"/>
      <c r="J148" s="75"/>
      <c r="L148" s="75"/>
      <c r="N148" s="3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4"/>
  <sheetViews>
    <sheetView topLeftCell="A90" workbookViewId="0">
      <selection activeCell="F113" sqref="F113"/>
    </sheetView>
  </sheetViews>
  <sheetFormatPr defaultRowHeight="15" x14ac:dyDescent="0.25"/>
  <cols>
    <col min="1" max="1" width="20.7109375" customWidth="1"/>
    <col min="5" max="5" width="3.5703125" customWidth="1"/>
    <col min="6" max="6" width="15" style="4" customWidth="1"/>
    <col min="7" max="7" width="4" customWidth="1"/>
    <col min="8" max="8" width="13.85546875" style="21" customWidth="1"/>
    <col min="9" max="9" width="3.28515625" customWidth="1"/>
    <col min="10" max="10" width="14.28515625" style="21" customWidth="1"/>
    <col min="11" max="11" width="3.28515625" customWidth="1"/>
    <col min="12" max="12" width="15.42578125" style="21" customWidth="1"/>
    <col min="13" max="13" width="3.42578125" customWidth="1"/>
    <col min="14" max="14" width="16" customWidth="1"/>
    <col min="15" max="15" width="13.85546875" style="21" customWidth="1"/>
  </cols>
  <sheetData>
    <row r="1" spans="1:15" x14ac:dyDescent="0.25">
      <c r="A1" s="14" t="s">
        <v>0</v>
      </c>
      <c r="B1" s="1" t="s">
        <v>1</v>
      </c>
      <c r="C1" s="1" t="s">
        <v>2</v>
      </c>
      <c r="D1" s="12" t="s">
        <v>3</v>
      </c>
      <c r="E1" s="124" t="s">
        <v>4</v>
      </c>
      <c r="F1" s="124"/>
      <c r="G1" s="124" t="s">
        <v>5</v>
      </c>
      <c r="H1" s="124"/>
      <c r="I1" s="124" t="s">
        <v>6</v>
      </c>
      <c r="J1" s="124"/>
      <c r="K1" s="124" t="s">
        <v>7</v>
      </c>
      <c r="L1" s="124"/>
      <c r="M1" s="124" t="s">
        <v>8</v>
      </c>
      <c r="N1" s="124"/>
      <c r="O1" s="55" t="s">
        <v>9</v>
      </c>
    </row>
    <row r="2" spans="1:15" x14ac:dyDescent="0.25">
      <c r="A2" s="80">
        <v>45198</v>
      </c>
      <c r="B2" s="8" t="s">
        <v>18</v>
      </c>
      <c r="C2" s="8">
        <v>-0.4</v>
      </c>
      <c r="D2" s="13">
        <v>0.8041666666666667</v>
      </c>
      <c r="E2" s="79"/>
      <c r="F2" s="4">
        <v>14.9</v>
      </c>
      <c r="G2" s="4"/>
      <c r="H2" s="4">
        <f>+Harvest!H2/Effort!H2</f>
        <v>14.863636363636402</v>
      </c>
      <c r="I2" s="4"/>
      <c r="J2" s="4" t="s">
        <v>10</v>
      </c>
      <c r="K2" s="4"/>
      <c r="L2" s="4" t="s">
        <v>10</v>
      </c>
      <c r="M2" s="8"/>
      <c r="N2" s="9" t="s">
        <v>10</v>
      </c>
      <c r="O2" s="4">
        <f>+Harvest!O2/Effort!O2</f>
        <v>14.882538276821375</v>
      </c>
    </row>
    <row r="3" spans="1:15" x14ac:dyDescent="0.25">
      <c r="A3" s="80">
        <v>45199</v>
      </c>
      <c r="B3" s="8" t="s">
        <v>19</v>
      </c>
      <c r="C3" s="8">
        <v>-0.9</v>
      </c>
      <c r="D3" s="13">
        <v>0.83611111111111114</v>
      </c>
      <c r="E3" s="79" t="s">
        <v>68</v>
      </c>
      <c r="F3" s="4">
        <v>14.9</v>
      </c>
      <c r="G3" s="4"/>
      <c r="H3" s="4">
        <f>+Harvest!H3/Effort!H3</f>
        <v>14.874999999999989</v>
      </c>
      <c r="I3" s="4"/>
      <c r="J3" s="4">
        <f>+Harvest!J3/Effort!J3</f>
        <v>14.867924528301886</v>
      </c>
      <c r="K3" s="4"/>
      <c r="L3" s="4" t="s">
        <v>10</v>
      </c>
      <c r="M3" s="8"/>
      <c r="N3" s="9" t="s">
        <v>10</v>
      </c>
      <c r="O3" s="4">
        <f>+Harvest!O3/Effort!O3</f>
        <v>14.880483849719234</v>
      </c>
    </row>
    <row r="4" spans="1:15" x14ac:dyDescent="0.25">
      <c r="A4" s="80">
        <v>45200</v>
      </c>
      <c r="B4" s="8" t="s">
        <v>20</v>
      </c>
      <c r="C4" s="8">
        <v>-1</v>
      </c>
      <c r="D4" s="13">
        <v>0.86736111111111114</v>
      </c>
      <c r="E4" s="79" t="s">
        <v>68</v>
      </c>
      <c r="F4" s="4">
        <v>14.5</v>
      </c>
      <c r="G4" s="4"/>
      <c r="H4" s="4">
        <f>+Harvest!H4/Effort!H4</f>
        <v>14.566037735849088</v>
      </c>
      <c r="I4" s="4"/>
      <c r="J4" s="4" t="s">
        <v>10</v>
      </c>
      <c r="K4" s="4"/>
      <c r="L4" s="4" t="s">
        <v>10</v>
      </c>
      <c r="M4" s="8"/>
      <c r="N4" s="9" t="s">
        <v>10</v>
      </c>
      <c r="O4" s="4">
        <f>+Harvest!O4/Effort!O4</f>
        <v>14.531711148225382</v>
      </c>
    </row>
    <row r="5" spans="1:15" x14ac:dyDescent="0.25">
      <c r="A5" s="80">
        <v>45201</v>
      </c>
      <c r="B5" s="8" t="s">
        <v>21</v>
      </c>
      <c r="C5" s="8">
        <v>-0.9</v>
      </c>
      <c r="D5" s="13">
        <v>0.9</v>
      </c>
      <c r="E5" s="79"/>
      <c r="F5" s="4">
        <v>2.1</v>
      </c>
      <c r="G5" s="4" t="s">
        <v>68</v>
      </c>
      <c r="H5" s="4">
        <v>5</v>
      </c>
      <c r="I5" s="4"/>
      <c r="J5" s="4">
        <f>+Harvest!J5/Effort!J5</f>
        <v>7.714285714285718</v>
      </c>
      <c r="K5" s="4"/>
      <c r="L5" s="4" t="s">
        <v>10</v>
      </c>
      <c r="M5" s="8"/>
      <c r="N5" s="9" t="s">
        <v>10</v>
      </c>
      <c r="O5" s="4">
        <f>+Harvest!O5/Effort!O5</f>
        <v>5.8214339409659122</v>
      </c>
    </row>
    <row r="6" spans="1:15" x14ac:dyDescent="0.25">
      <c r="A6" s="80"/>
      <c r="B6" s="8"/>
      <c r="C6" s="8"/>
      <c r="D6" s="13"/>
      <c r="E6" s="79"/>
      <c r="F6" s="9"/>
      <c r="G6" s="8"/>
      <c r="H6" s="9"/>
      <c r="I6" s="8"/>
      <c r="J6" s="9"/>
      <c r="K6" s="8"/>
      <c r="L6" s="9"/>
      <c r="M6" s="8"/>
      <c r="N6" s="9"/>
      <c r="O6" s="4"/>
    </row>
    <row r="7" spans="1:15" x14ac:dyDescent="0.25">
      <c r="A7" s="80">
        <v>45213</v>
      </c>
      <c r="B7" s="8" t="s">
        <v>19</v>
      </c>
      <c r="C7" s="8">
        <v>0.2</v>
      </c>
      <c r="D7" s="13">
        <v>0.80347222222222225</v>
      </c>
      <c r="E7" s="79"/>
      <c r="F7" s="4">
        <f>+Harvest!F7/Effort!F7</f>
        <v>6.628142324264692</v>
      </c>
      <c r="G7" s="4" t="s">
        <v>68</v>
      </c>
      <c r="H7" s="4">
        <v>10.5</v>
      </c>
      <c r="I7" s="8"/>
      <c r="J7" s="9" t="s">
        <v>10</v>
      </c>
      <c r="K7" s="8"/>
      <c r="L7" s="4">
        <f>+Harvest!L7/Effort!L7</f>
        <v>12.490196078431367</v>
      </c>
      <c r="M7" s="8"/>
      <c r="N7" s="9" t="s">
        <v>10</v>
      </c>
      <c r="O7" s="4">
        <f>+Harvest!O7/Effort!O7</f>
        <v>9.7417665657516999</v>
      </c>
    </row>
    <row r="8" spans="1:15" x14ac:dyDescent="0.25">
      <c r="A8" s="80">
        <v>45214</v>
      </c>
      <c r="B8" s="8" t="s">
        <v>20</v>
      </c>
      <c r="C8" s="8">
        <v>-0.1</v>
      </c>
      <c r="D8" s="13">
        <v>0.82777777777777783</v>
      </c>
      <c r="E8" s="79" t="s">
        <v>68</v>
      </c>
      <c r="F8" s="4">
        <v>5</v>
      </c>
      <c r="G8" s="4"/>
      <c r="H8" s="4">
        <f>+Harvest!H8/Effort!H8</f>
        <v>3.8095238095238049</v>
      </c>
      <c r="I8" s="8"/>
      <c r="J8" s="4">
        <f>+Harvest!J8/Effort!J8</f>
        <v>8.8399999999999679</v>
      </c>
      <c r="K8" s="8"/>
      <c r="L8" s="9" t="s">
        <v>10</v>
      </c>
      <c r="M8" s="8"/>
      <c r="N8" s="9" t="s">
        <v>10</v>
      </c>
      <c r="O8" s="4">
        <f>+Harvest!O8/Effort!O8</f>
        <v>6.2729048184647143</v>
      </c>
    </row>
    <row r="9" spans="1:15" x14ac:dyDescent="0.25">
      <c r="A9" s="80">
        <v>45215</v>
      </c>
      <c r="B9" s="8" t="s">
        <v>21</v>
      </c>
      <c r="C9" s="8">
        <v>-0.3</v>
      </c>
      <c r="D9" s="13">
        <v>0.85277777777777775</v>
      </c>
      <c r="E9" s="79" t="s">
        <v>68</v>
      </c>
      <c r="F9" s="4">
        <v>13</v>
      </c>
      <c r="G9" s="4"/>
      <c r="H9" s="4">
        <f>+Harvest!H9/Effort!H9</f>
        <v>13.111111111111091</v>
      </c>
      <c r="I9" s="8"/>
      <c r="J9" s="9" t="s">
        <v>10</v>
      </c>
      <c r="K9" s="8"/>
      <c r="L9" s="4">
        <f>+Harvest!L9/Effort!L9</f>
        <v>14.000000000000021</v>
      </c>
      <c r="M9" s="8"/>
      <c r="N9" s="9" t="s">
        <v>10</v>
      </c>
      <c r="O9" s="4">
        <f>+Harvest!O9/Effort!O9</f>
        <v>13.341843805009223</v>
      </c>
    </row>
    <row r="10" spans="1:15" x14ac:dyDescent="0.25">
      <c r="A10" s="80">
        <v>45216</v>
      </c>
      <c r="B10" s="8" t="s">
        <v>66</v>
      </c>
      <c r="C10" s="8">
        <v>-0.4</v>
      </c>
      <c r="D10" s="13">
        <v>0.87916666666666676</v>
      </c>
      <c r="E10" s="79"/>
      <c r="F10" s="4">
        <v>12.6</v>
      </c>
      <c r="G10" s="4" t="s">
        <v>68</v>
      </c>
      <c r="H10" s="4">
        <v>13</v>
      </c>
      <c r="I10" s="8"/>
      <c r="J10" s="4">
        <f>+Harvest!J10/Effort!J10</f>
        <v>13.608695652173918</v>
      </c>
      <c r="K10" s="8"/>
      <c r="L10" s="9" t="s">
        <v>10</v>
      </c>
      <c r="M10" s="8"/>
      <c r="N10" s="9" t="s">
        <v>10</v>
      </c>
      <c r="O10" s="4">
        <f>+Harvest!O10/Effort!O10</f>
        <v>13.101810763611869</v>
      </c>
    </row>
    <row r="11" spans="1:15" x14ac:dyDescent="0.25">
      <c r="A11" s="80">
        <v>45217</v>
      </c>
      <c r="B11" s="8" t="s">
        <v>67</v>
      </c>
      <c r="C11" s="8">
        <v>-0.3</v>
      </c>
      <c r="D11" s="13">
        <v>0.90902777777777777</v>
      </c>
      <c r="E11" s="79"/>
      <c r="F11" s="4" t="s">
        <v>10</v>
      </c>
      <c r="G11" s="4"/>
      <c r="H11" s="4" t="s">
        <v>10</v>
      </c>
      <c r="I11" s="8"/>
      <c r="J11" s="9" t="s">
        <v>10</v>
      </c>
      <c r="K11" s="8"/>
      <c r="L11" s="4">
        <f>+Harvest!L11/Effort!L11</f>
        <v>9.2352941176470722</v>
      </c>
      <c r="M11" s="8"/>
      <c r="N11" s="9" t="s">
        <v>10</v>
      </c>
      <c r="O11" s="4">
        <f>+Harvest!O11/Effort!O11</f>
        <v>9.2352941176470722</v>
      </c>
    </row>
    <row r="12" spans="1:15" x14ac:dyDescent="0.25">
      <c r="A12" s="80"/>
      <c r="B12" s="8"/>
      <c r="C12" s="8"/>
      <c r="D12" s="13"/>
      <c r="E12" s="79"/>
      <c r="F12" s="9"/>
      <c r="G12" s="8"/>
      <c r="H12" s="9"/>
      <c r="I12" s="8"/>
      <c r="J12" s="9"/>
      <c r="K12" s="8"/>
      <c r="L12" s="9"/>
      <c r="M12" s="8"/>
      <c r="N12" s="9"/>
      <c r="O12" s="4"/>
    </row>
    <row r="13" spans="1:15" x14ac:dyDescent="0.25">
      <c r="A13" s="80">
        <v>45226</v>
      </c>
      <c r="B13" s="8" t="s">
        <v>18</v>
      </c>
      <c r="C13" s="8">
        <v>-0.4</v>
      </c>
      <c r="D13" s="13">
        <v>0.76250000000000007</v>
      </c>
      <c r="E13" s="79"/>
      <c r="F13" s="4">
        <f>+Harvest!F13/Effort!F13</f>
        <v>14.658883920403282</v>
      </c>
      <c r="G13" s="8" t="s">
        <v>68</v>
      </c>
      <c r="H13" s="122">
        <v>14.7</v>
      </c>
      <c r="I13" s="8"/>
      <c r="J13" s="9" t="s">
        <v>10</v>
      </c>
      <c r="K13" s="8"/>
      <c r="L13" s="4">
        <f>+Harvest!L13/Effort!L13</f>
        <v>14.636363636363614</v>
      </c>
      <c r="M13" s="8"/>
      <c r="N13" s="9" t="s">
        <v>10</v>
      </c>
      <c r="O13" s="4">
        <f>+Harvest!O13/Effort!O13</f>
        <v>14.667423865816852</v>
      </c>
    </row>
    <row r="14" spans="1:15" x14ac:dyDescent="0.25">
      <c r="A14" s="80">
        <v>45227</v>
      </c>
      <c r="B14" s="8" t="s">
        <v>19</v>
      </c>
      <c r="C14" s="8">
        <v>-1</v>
      </c>
      <c r="D14" s="13">
        <v>0.79375000000000007</v>
      </c>
      <c r="E14" s="79"/>
      <c r="F14" s="122">
        <v>15</v>
      </c>
      <c r="G14" s="8" t="s">
        <v>68</v>
      </c>
      <c r="H14" s="122">
        <v>15</v>
      </c>
      <c r="I14" s="8"/>
      <c r="J14" s="4">
        <f>+Harvest!J14/Effort!J14</f>
        <v>15</v>
      </c>
      <c r="K14" s="8"/>
      <c r="L14" s="9" t="s">
        <v>10</v>
      </c>
      <c r="M14" s="8"/>
      <c r="N14" s="9" t="s">
        <v>10</v>
      </c>
      <c r="O14" s="4">
        <f>+Harvest!O14/Effort!O14</f>
        <v>15</v>
      </c>
    </row>
    <row r="15" spans="1:15" x14ac:dyDescent="0.25">
      <c r="A15" s="80">
        <v>45228</v>
      </c>
      <c r="B15" s="8" t="s">
        <v>20</v>
      </c>
      <c r="C15" s="8">
        <v>-1.3</v>
      </c>
      <c r="D15" s="13">
        <v>0.82361111111111107</v>
      </c>
      <c r="E15" s="79" t="s">
        <v>68</v>
      </c>
      <c r="F15" s="122">
        <v>14.5</v>
      </c>
      <c r="G15" s="8"/>
      <c r="H15" s="4">
        <f>+Harvest!H15/Effort!H15</f>
        <v>14.805970149253776</v>
      </c>
      <c r="I15" s="8"/>
      <c r="J15" s="9" t="s">
        <v>10</v>
      </c>
      <c r="K15" s="8"/>
      <c r="L15" s="4">
        <f>+Harvest!L15/Effort!L15</f>
        <v>14.439024390243926</v>
      </c>
      <c r="M15" s="8"/>
      <c r="N15" s="9" t="s">
        <v>10</v>
      </c>
      <c r="O15" s="4">
        <f>+Harvest!O15/Effort!O15</f>
        <v>14.593441890486957</v>
      </c>
    </row>
    <row r="16" spans="1:15" x14ac:dyDescent="0.25">
      <c r="A16" s="80">
        <v>45229</v>
      </c>
      <c r="B16" s="8" t="s">
        <v>21</v>
      </c>
      <c r="C16" s="8">
        <v>-1.3</v>
      </c>
      <c r="D16" s="13">
        <v>0.8534722222222223</v>
      </c>
      <c r="E16" s="79" t="s">
        <v>68</v>
      </c>
      <c r="F16" s="122">
        <v>14.5</v>
      </c>
      <c r="G16" s="8"/>
      <c r="H16" s="4">
        <f>+Harvest!H16/Effort!H16</f>
        <v>14.478260869565263</v>
      </c>
      <c r="I16" s="8"/>
      <c r="J16" s="4">
        <f>+Harvest!J16/Effort!J16</f>
        <v>15.000000000000002</v>
      </c>
      <c r="K16" s="8"/>
      <c r="L16" s="9" t="s">
        <v>10</v>
      </c>
      <c r="M16" s="8"/>
      <c r="N16" s="9" t="s">
        <v>10</v>
      </c>
      <c r="O16" s="4">
        <f>+Harvest!O16/Effort!O16</f>
        <v>14.699532518049512</v>
      </c>
    </row>
    <row r="17" spans="1:15" x14ac:dyDescent="0.25">
      <c r="A17" s="80">
        <v>45230</v>
      </c>
      <c r="B17" s="8" t="s">
        <v>66</v>
      </c>
      <c r="C17" s="8">
        <v>-1</v>
      </c>
      <c r="D17" s="13">
        <v>0.8833333333333333</v>
      </c>
      <c r="E17" s="79"/>
      <c r="F17" s="9" t="s">
        <v>10</v>
      </c>
      <c r="G17" s="8"/>
      <c r="H17" s="9" t="s">
        <v>10</v>
      </c>
      <c r="I17" s="8"/>
      <c r="J17" s="9" t="s">
        <v>10</v>
      </c>
      <c r="K17" s="8"/>
      <c r="L17" s="4">
        <f>+Harvest!L17/Effort!L17</f>
        <v>14.499999999999996</v>
      </c>
      <c r="M17" s="8"/>
      <c r="N17" s="9" t="s">
        <v>10</v>
      </c>
      <c r="O17" s="4">
        <f>+Harvest!O17/Effort!O17</f>
        <v>14.499999999999996</v>
      </c>
    </row>
    <row r="18" spans="1:15" x14ac:dyDescent="0.25">
      <c r="A18" s="80"/>
      <c r="B18" s="8"/>
      <c r="C18" s="8"/>
      <c r="D18" s="13"/>
      <c r="E18" s="79"/>
      <c r="F18" s="9"/>
      <c r="G18" s="8"/>
      <c r="H18" s="9"/>
      <c r="I18" s="8"/>
      <c r="J18" s="9"/>
      <c r="K18" s="8"/>
      <c r="L18" s="9"/>
      <c r="M18" s="8"/>
      <c r="N18" s="9"/>
      <c r="O18" s="4"/>
    </row>
    <row r="19" spans="1:15" x14ac:dyDescent="0.25">
      <c r="A19" s="80">
        <v>45242</v>
      </c>
      <c r="B19" s="8" t="s">
        <v>20</v>
      </c>
      <c r="C19" s="8">
        <v>-0.3</v>
      </c>
      <c r="D19" s="13">
        <v>0.74513888888888891</v>
      </c>
      <c r="E19" s="79"/>
      <c r="F19" s="9" t="s">
        <v>10</v>
      </c>
      <c r="G19" s="8"/>
      <c r="H19" s="9" t="s">
        <v>10</v>
      </c>
      <c r="I19" s="8"/>
      <c r="J19" s="9" t="s">
        <v>10</v>
      </c>
      <c r="K19" s="8"/>
      <c r="L19" s="4">
        <f>+Harvest!L19/Effort!L19</f>
        <v>6.6551724137930899</v>
      </c>
      <c r="M19" s="8"/>
      <c r="N19" s="9" t="s">
        <v>10</v>
      </c>
      <c r="O19" s="4">
        <f>+Harvest!O19/Effort!O19</f>
        <v>6.6551724137930899</v>
      </c>
    </row>
    <row r="20" spans="1:15" x14ac:dyDescent="0.25">
      <c r="A20" s="80">
        <v>45243</v>
      </c>
      <c r="B20" s="8" t="s">
        <v>21</v>
      </c>
      <c r="C20" s="8">
        <v>-0.7</v>
      </c>
      <c r="D20" s="13">
        <v>0.77083333333333337</v>
      </c>
      <c r="E20" s="79" t="s">
        <v>68</v>
      </c>
      <c r="F20" s="4">
        <v>10</v>
      </c>
      <c r="G20" s="4"/>
      <c r="H20" s="4">
        <f>+Harvest!H20/Effort!H20</f>
        <v>10</v>
      </c>
      <c r="I20" s="8"/>
      <c r="J20" s="4">
        <f>+Harvest!J20/Effort!J20</f>
        <v>9.9310344827586263</v>
      </c>
      <c r="K20" s="8"/>
      <c r="L20" s="9" t="s">
        <v>10</v>
      </c>
      <c r="M20" s="8"/>
      <c r="N20" s="9" t="s">
        <v>10</v>
      </c>
      <c r="O20" s="4">
        <f>+Harvest!O20/Effort!O20</f>
        <v>9.9764069431474152</v>
      </c>
    </row>
    <row r="21" spans="1:15" x14ac:dyDescent="0.25">
      <c r="A21" s="80">
        <v>45244</v>
      </c>
      <c r="B21" s="8" t="s">
        <v>66</v>
      </c>
      <c r="C21" s="8">
        <v>-0.9</v>
      </c>
      <c r="D21" s="13">
        <v>0.79791666666666661</v>
      </c>
      <c r="E21" s="79"/>
      <c r="F21" s="4">
        <v>10.4</v>
      </c>
      <c r="G21" s="4"/>
      <c r="H21" s="4">
        <f>+Harvest!H21/Effort!H21</f>
        <v>11.764705882352937</v>
      </c>
      <c r="I21" s="8"/>
      <c r="J21" s="9" t="s">
        <v>10</v>
      </c>
      <c r="K21" s="8"/>
      <c r="L21" s="4">
        <f>+Harvest!L21/Effort!L21</f>
        <v>14.666666666666654</v>
      </c>
      <c r="M21" s="8"/>
      <c r="N21" s="9" t="s">
        <v>10</v>
      </c>
      <c r="O21" s="4">
        <f>+Harvest!O21/Effort!O21</f>
        <v>12.116288414243217</v>
      </c>
    </row>
    <row r="22" spans="1:15" x14ac:dyDescent="0.25">
      <c r="A22" s="80">
        <v>45245</v>
      </c>
      <c r="B22" s="8" t="s">
        <v>67</v>
      </c>
      <c r="C22" s="8">
        <v>-0.9</v>
      </c>
      <c r="D22" s="13">
        <v>0.82708333333333339</v>
      </c>
      <c r="E22" s="79"/>
      <c r="F22" s="4">
        <v>14.7</v>
      </c>
      <c r="G22" s="4" t="s">
        <v>68</v>
      </c>
      <c r="H22" s="4">
        <v>14.5</v>
      </c>
      <c r="I22" s="8"/>
      <c r="J22" s="4">
        <f>+Harvest!J22/Effort!J22</f>
        <v>14.380952380952376</v>
      </c>
      <c r="K22" s="8"/>
      <c r="L22" s="9" t="s">
        <v>10</v>
      </c>
      <c r="M22" s="8"/>
      <c r="N22" s="9" t="s">
        <v>10</v>
      </c>
      <c r="O22" s="4">
        <f>+Harvest!O22/Effort!O22</f>
        <v>14.496661323572283</v>
      </c>
    </row>
    <row r="23" spans="1:15" x14ac:dyDescent="0.25">
      <c r="A23" s="80">
        <v>45246</v>
      </c>
      <c r="B23" s="8" t="s">
        <v>22</v>
      </c>
      <c r="C23" s="8">
        <v>-0.8</v>
      </c>
      <c r="D23" s="13">
        <v>0.85902777777777783</v>
      </c>
      <c r="E23" s="79" t="s">
        <v>68</v>
      </c>
      <c r="F23" s="4">
        <v>13</v>
      </c>
      <c r="G23" s="4" t="s">
        <v>68</v>
      </c>
      <c r="H23" s="4">
        <v>13</v>
      </c>
      <c r="I23" s="8"/>
      <c r="J23" s="9" t="s">
        <v>10</v>
      </c>
      <c r="K23" s="8"/>
      <c r="L23" s="4">
        <f>+Harvest!L23/Effort!L23</f>
        <v>13.125000000000005</v>
      </c>
      <c r="M23" s="8"/>
      <c r="N23" s="9" t="s">
        <v>10</v>
      </c>
      <c r="O23" s="4">
        <f>+Harvest!O23/Effort!O23</f>
        <v>13.036942220177661</v>
      </c>
    </row>
    <row r="24" spans="1:15" x14ac:dyDescent="0.25">
      <c r="A24" s="80">
        <v>45247</v>
      </c>
      <c r="B24" s="8" t="s">
        <v>18</v>
      </c>
      <c r="C24" s="8">
        <v>-0.5</v>
      </c>
      <c r="D24" s="13">
        <v>0.89374999999999993</v>
      </c>
      <c r="E24" s="79"/>
      <c r="F24" s="9" t="s">
        <v>10</v>
      </c>
      <c r="G24" s="8"/>
      <c r="H24" s="9" t="s">
        <v>10</v>
      </c>
      <c r="I24" s="8"/>
      <c r="J24" s="4">
        <f>+Harvest!J24/Effort!J24</f>
        <v>15.00000000000003</v>
      </c>
      <c r="K24" s="8"/>
      <c r="L24" s="9" t="s">
        <v>10</v>
      </c>
      <c r="M24" s="8"/>
      <c r="N24" s="9" t="s">
        <v>10</v>
      </c>
      <c r="O24" s="4">
        <f>+Harvest!O24/Effort!O24</f>
        <v>15.00000000000003</v>
      </c>
    </row>
    <row r="25" spans="1:15" x14ac:dyDescent="0.25">
      <c r="A25" s="80">
        <v>45248</v>
      </c>
      <c r="B25" s="8" t="s">
        <v>19</v>
      </c>
      <c r="C25" s="8">
        <v>-0.1</v>
      </c>
      <c r="D25" s="13">
        <v>0.93194444444444446</v>
      </c>
      <c r="E25" s="79"/>
      <c r="F25" s="9" t="s">
        <v>10</v>
      </c>
      <c r="G25" s="8"/>
      <c r="H25" s="9" t="s">
        <v>10</v>
      </c>
      <c r="I25" s="8"/>
      <c r="J25" s="9" t="s">
        <v>10</v>
      </c>
      <c r="K25" s="8"/>
      <c r="L25" s="4">
        <f>+Harvest!L25/Effort!L25</f>
        <v>3.1562500000000062</v>
      </c>
      <c r="M25" s="8"/>
      <c r="N25" s="9" t="s">
        <v>10</v>
      </c>
      <c r="O25" s="4">
        <f>+Harvest!O25/Effort!O25</f>
        <v>3.1562500000000062</v>
      </c>
    </row>
    <row r="26" spans="1:15" x14ac:dyDescent="0.25">
      <c r="A26" s="80"/>
      <c r="B26" s="8"/>
      <c r="C26" s="8"/>
      <c r="D26" s="13"/>
      <c r="E26" s="79"/>
      <c r="F26" s="9"/>
      <c r="G26" s="8"/>
      <c r="H26" s="9"/>
      <c r="I26" s="8"/>
      <c r="J26" s="9"/>
      <c r="K26" s="8"/>
      <c r="L26" s="9"/>
      <c r="M26" s="8"/>
      <c r="N26" s="9"/>
      <c r="O26" s="4"/>
    </row>
    <row r="27" spans="1:15" x14ac:dyDescent="0.25">
      <c r="A27" s="80">
        <v>45254</v>
      </c>
      <c r="B27" s="8" t="s">
        <v>18</v>
      </c>
      <c r="C27" s="8">
        <v>0</v>
      </c>
      <c r="D27" s="13">
        <v>0.6791666666666667</v>
      </c>
      <c r="E27" s="79" t="s">
        <v>68</v>
      </c>
      <c r="F27" s="4">
        <v>14</v>
      </c>
      <c r="G27" s="4" t="s">
        <v>68</v>
      </c>
      <c r="H27" s="4">
        <v>14</v>
      </c>
      <c r="I27" s="8"/>
      <c r="J27" s="4">
        <f>+Harvest!J27/Effort!J27</f>
        <v>14.294117647058828</v>
      </c>
      <c r="K27" s="8"/>
      <c r="L27" s="9" t="s">
        <v>10</v>
      </c>
      <c r="M27" s="8"/>
      <c r="N27" s="9" t="s">
        <v>10</v>
      </c>
      <c r="O27" s="4">
        <f>+Harvest!O27/Effort!O27</f>
        <v>14.118527519856649</v>
      </c>
    </row>
    <row r="28" spans="1:15" x14ac:dyDescent="0.25">
      <c r="A28" s="80">
        <v>45255</v>
      </c>
      <c r="B28" s="8" t="s">
        <v>19</v>
      </c>
      <c r="C28" s="8">
        <v>-0.7</v>
      </c>
      <c r="D28" s="13">
        <v>0.71180555555555547</v>
      </c>
      <c r="E28" s="79" t="s">
        <v>68</v>
      </c>
      <c r="F28" s="4">
        <v>13.5</v>
      </c>
      <c r="G28" s="4"/>
      <c r="H28" s="4">
        <f>+Harvest!H28/Effort!H28</f>
        <v>13.08510638297871</v>
      </c>
      <c r="I28" s="8"/>
      <c r="J28" s="9" t="s">
        <v>10</v>
      </c>
      <c r="K28" s="8"/>
      <c r="L28" s="4">
        <f>+Harvest!L28/Effort!L28</f>
        <v>14.782608695652181</v>
      </c>
      <c r="M28" s="8"/>
      <c r="N28" s="9" t="s">
        <v>10</v>
      </c>
      <c r="O28" s="4">
        <f>+Harvest!O28/Effort!O28</f>
        <v>13.8360004926106</v>
      </c>
    </row>
    <row r="29" spans="1:15" x14ac:dyDescent="0.25">
      <c r="A29" s="80">
        <v>45256</v>
      </c>
      <c r="B29" s="8" t="s">
        <v>20</v>
      </c>
      <c r="C29" s="8">
        <v>-1.2</v>
      </c>
      <c r="D29" s="13">
        <v>0.74236111111111114</v>
      </c>
      <c r="E29" s="79"/>
      <c r="F29" s="4">
        <f>+Harvest!F29/Effort!F29</f>
        <v>13.498159340659367</v>
      </c>
      <c r="G29" s="4"/>
      <c r="H29" s="4">
        <f>+Harvest!H29/Effort!H29</f>
        <v>13.037735849056611</v>
      </c>
      <c r="I29" s="8"/>
      <c r="J29" s="4">
        <f>+Harvest!J29/Effort!J29</f>
        <v>14.727272727272705</v>
      </c>
      <c r="K29" s="8"/>
      <c r="L29" s="9" t="s">
        <v>10</v>
      </c>
      <c r="M29" s="8"/>
      <c r="N29" s="9" t="s">
        <v>10</v>
      </c>
      <c r="O29" s="4">
        <f>+Harvest!O29/Effort!O29</f>
        <v>13.870973824828869</v>
      </c>
    </row>
    <row r="30" spans="1:15" x14ac:dyDescent="0.25">
      <c r="A30" s="80">
        <v>45257</v>
      </c>
      <c r="B30" s="8" t="s">
        <v>21</v>
      </c>
      <c r="C30" s="8">
        <v>-1.3</v>
      </c>
      <c r="D30" s="13">
        <v>0.7715277777777777</v>
      </c>
      <c r="E30" s="79"/>
      <c r="F30" s="122">
        <v>14.5</v>
      </c>
      <c r="G30" s="4" t="s">
        <v>68</v>
      </c>
      <c r="H30" s="4">
        <v>14</v>
      </c>
      <c r="I30" s="8"/>
      <c r="J30" s="9" t="s">
        <v>10</v>
      </c>
      <c r="K30" s="8"/>
      <c r="L30" s="4">
        <f>+Harvest!L30/Effort!L30</f>
        <v>13.499999999999988</v>
      </c>
      <c r="M30" s="8"/>
      <c r="N30" s="9" t="s">
        <v>10</v>
      </c>
      <c r="O30" s="4">
        <f>+Harvest!O30/Effort!O30</f>
        <v>14.008113949782981</v>
      </c>
    </row>
    <row r="31" spans="1:15" x14ac:dyDescent="0.25">
      <c r="A31" s="80">
        <v>45258</v>
      </c>
      <c r="B31" s="8" t="s">
        <v>66</v>
      </c>
      <c r="C31" s="8">
        <v>-1.2</v>
      </c>
      <c r="D31" s="13">
        <v>0.79999999999999993</v>
      </c>
      <c r="E31" s="79" t="s">
        <v>68</v>
      </c>
      <c r="F31" s="4">
        <v>13.5</v>
      </c>
      <c r="G31" s="4" t="s">
        <v>68</v>
      </c>
      <c r="H31" s="4">
        <v>13.5</v>
      </c>
      <c r="I31" s="8"/>
      <c r="J31" s="4">
        <f>+Harvest!J31/Effort!J31</f>
        <v>13.624999999999989</v>
      </c>
      <c r="K31" s="8"/>
      <c r="L31" s="9" t="s">
        <v>10</v>
      </c>
      <c r="M31" s="8"/>
      <c r="N31" s="9" t="s">
        <v>10</v>
      </c>
      <c r="O31" s="4">
        <f>+Harvest!O31/Effort!O31</f>
        <v>13.550374195939069</v>
      </c>
    </row>
    <row r="32" spans="1:15" x14ac:dyDescent="0.25">
      <c r="A32" s="80">
        <v>45259</v>
      </c>
      <c r="B32" s="8" t="s">
        <v>67</v>
      </c>
      <c r="C32" s="8">
        <v>-0.8</v>
      </c>
      <c r="D32" s="13">
        <v>0.82777777777777783</v>
      </c>
      <c r="E32" s="79"/>
      <c r="F32" s="9" t="s">
        <v>10</v>
      </c>
      <c r="G32" s="8"/>
      <c r="H32" s="9" t="s">
        <v>10</v>
      </c>
      <c r="I32" s="8"/>
      <c r="J32" s="9" t="s">
        <v>10</v>
      </c>
      <c r="K32" s="8"/>
      <c r="L32" s="4">
        <f>+Harvest!L32/Effort!L32</f>
        <v>14.666666666666668</v>
      </c>
      <c r="M32" s="8"/>
      <c r="N32" s="9" t="s">
        <v>10</v>
      </c>
      <c r="O32" s="4">
        <f>+Harvest!O32/Effort!O32</f>
        <v>14.666666666666668</v>
      </c>
    </row>
    <row r="33" spans="1:15" x14ac:dyDescent="0.25">
      <c r="A33" s="80"/>
      <c r="B33" s="8"/>
      <c r="C33" s="8"/>
      <c r="D33" s="13"/>
      <c r="E33" s="79"/>
      <c r="F33" s="9"/>
      <c r="G33" s="8"/>
      <c r="H33" s="9"/>
      <c r="I33" s="8"/>
      <c r="J33" s="9"/>
      <c r="K33" s="8"/>
      <c r="L33" s="4"/>
      <c r="M33" s="8"/>
      <c r="N33" s="9"/>
      <c r="O33" s="4"/>
    </row>
    <row r="34" spans="1:15" x14ac:dyDescent="0.25">
      <c r="A34" s="80">
        <v>45273</v>
      </c>
      <c r="B34" s="8" t="s">
        <v>67</v>
      </c>
      <c r="C34" s="8">
        <v>-1.3</v>
      </c>
      <c r="D34" s="13">
        <v>0.78819444444444453</v>
      </c>
      <c r="E34" s="79" t="s">
        <v>68</v>
      </c>
      <c r="F34" s="122">
        <v>13</v>
      </c>
      <c r="G34" s="8"/>
      <c r="H34" s="4">
        <f>+Harvest!H34/Effort!H34</f>
        <v>9.7857142857142847</v>
      </c>
      <c r="I34" s="8"/>
      <c r="J34" s="9" t="s">
        <v>10</v>
      </c>
      <c r="K34" s="8"/>
      <c r="L34" s="4">
        <f>+Harvest!L34/Effort!L34</f>
        <v>13.333333333333334</v>
      </c>
      <c r="M34" s="8"/>
      <c r="N34" s="9" t="s">
        <v>10</v>
      </c>
      <c r="O34" s="4">
        <f>+Harvest!O34/Effort!O34</f>
        <v>12.061535824612774</v>
      </c>
    </row>
    <row r="35" spans="1:15" x14ac:dyDescent="0.25">
      <c r="A35" s="80">
        <v>45274</v>
      </c>
      <c r="B35" s="8" t="s">
        <v>22</v>
      </c>
      <c r="C35" s="8">
        <v>-1.3</v>
      </c>
      <c r="D35" s="13">
        <v>0.81874999999999998</v>
      </c>
      <c r="E35" s="79"/>
      <c r="F35" s="122">
        <v>10.1</v>
      </c>
      <c r="G35" s="8" t="s">
        <v>68</v>
      </c>
      <c r="H35" s="4">
        <v>10</v>
      </c>
      <c r="I35" s="8"/>
      <c r="J35" s="4">
        <f>+Harvest!J35/Effort!J35</f>
        <v>14.25925925925926</v>
      </c>
      <c r="K35" s="8"/>
      <c r="L35" s="9" t="s">
        <v>10</v>
      </c>
      <c r="M35" s="8"/>
      <c r="N35" s="9" t="s">
        <v>10</v>
      </c>
      <c r="O35" s="4">
        <f>+Harvest!O35/Effort!O35</f>
        <v>11.713683110848791</v>
      </c>
    </row>
    <row r="36" spans="1:15" x14ac:dyDescent="0.25">
      <c r="A36" s="80">
        <v>45275</v>
      </c>
      <c r="B36" s="8" t="s">
        <v>18</v>
      </c>
      <c r="C36" s="8">
        <v>-1.2</v>
      </c>
      <c r="D36" s="13">
        <v>0.85069444444444453</v>
      </c>
      <c r="E36" s="79"/>
      <c r="F36" s="122">
        <v>12.7</v>
      </c>
      <c r="G36" s="8"/>
      <c r="H36" s="4">
        <f>+Harvest!H36/Effort!H36</f>
        <v>10.944444444444448</v>
      </c>
      <c r="I36" s="8"/>
      <c r="J36" s="9" t="s">
        <v>10</v>
      </c>
      <c r="K36" s="8"/>
      <c r="L36" s="4">
        <f>+Harvest!L36/Effort!L36</f>
        <v>9.3000000000000043</v>
      </c>
      <c r="M36" s="8"/>
      <c r="N36" s="9" t="s">
        <v>10</v>
      </c>
      <c r="O36" s="4">
        <f>+Harvest!O36/Effort!O36</f>
        <v>10.870921690663732</v>
      </c>
    </row>
    <row r="37" spans="1:15" x14ac:dyDescent="0.25">
      <c r="A37" s="80">
        <v>45276</v>
      </c>
      <c r="B37" s="8" t="s">
        <v>19</v>
      </c>
      <c r="C37" s="8">
        <v>-0.8</v>
      </c>
      <c r="D37" s="13">
        <v>0.8833333333333333</v>
      </c>
      <c r="E37" s="79" t="s">
        <v>68</v>
      </c>
      <c r="F37" s="122">
        <v>14.5</v>
      </c>
      <c r="G37" s="8"/>
      <c r="H37" s="4">
        <f>+Harvest!H37/Effort!H37</f>
        <v>13.307692307692303</v>
      </c>
      <c r="I37" s="8"/>
      <c r="J37" s="4">
        <f>+Harvest!J37/Effort!J37</f>
        <v>15.00000000000003</v>
      </c>
      <c r="K37" s="8"/>
      <c r="L37" s="9" t="s">
        <v>10</v>
      </c>
      <c r="M37" s="8"/>
      <c r="N37" s="9" t="s">
        <v>10</v>
      </c>
      <c r="O37" s="4">
        <f>+Harvest!O37/Effort!O37</f>
        <v>14.575183328757671</v>
      </c>
    </row>
    <row r="38" spans="1:15" x14ac:dyDescent="0.25">
      <c r="A38" s="80">
        <v>45277</v>
      </c>
      <c r="B38" s="8" t="s">
        <v>20</v>
      </c>
      <c r="C38" s="8">
        <v>-0.3</v>
      </c>
      <c r="D38" s="13">
        <v>0.91736111111111107</v>
      </c>
      <c r="E38" s="79" t="s">
        <v>68</v>
      </c>
      <c r="F38" s="122">
        <v>15</v>
      </c>
      <c r="G38" s="8" t="s">
        <v>68</v>
      </c>
      <c r="H38" s="4">
        <v>15</v>
      </c>
      <c r="I38" s="8"/>
      <c r="J38" s="9" t="s">
        <v>10</v>
      </c>
      <c r="K38" s="8"/>
      <c r="L38" s="4">
        <f>+Harvest!L38/Effort!L38</f>
        <v>14.81818181818182</v>
      </c>
      <c r="M38" s="8"/>
      <c r="N38" s="9" t="s">
        <v>10</v>
      </c>
      <c r="O38" s="4">
        <f>+Harvest!O38/Effort!O38</f>
        <v>14.929624611180774</v>
      </c>
    </row>
    <row r="39" spans="1:15" x14ac:dyDescent="0.25">
      <c r="A39" s="80"/>
      <c r="B39" s="8"/>
      <c r="C39" s="8"/>
      <c r="D39" s="13"/>
      <c r="E39" s="79"/>
      <c r="F39" s="9"/>
      <c r="G39" s="8"/>
      <c r="H39" s="9"/>
      <c r="I39" s="8"/>
      <c r="J39" s="9"/>
      <c r="K39" s="8"/>
      <c r="L39" s="9"/>
      <c r="M39" s="8"/>
      <c r="N39" s="9"/>
      <c r="O39" s="4"/>
    </row>
    <row r="40" spans="1:15" x14ac:dyDescent="0.25">
      <c r="A40" s="80">
        <v>45286</v>
      </c>
      <c r="B40" s="8" t="s">
        <v>66</v>
      </c>
      <c r="C40" s="8">
        <v>-0.9</v>
      </c>
      <c r="D40" s="13">
        <v>0.76250000000000007</v>
      </c>
      <c r="E40" s="79"/>
      <c r="F40" s="4">
        <v>2.2000000000000002</v>
      </c>
      <c r="G40" s="4" t="s">
        <v>68</v>
      </c>
      <c r="H40" s="4">
        <v>5</v>
      </c>
      <c r="I40" s="8"/>
      <c r="J40" s="4">
        <f>+Harvest!J40/Effort!J40</f>
        <v>8.9354838709677455</v>
      </c>
      <c r="K40" s="8"/>
      <c r="L40" s="9" t="s">
        <v>10</v>
      </c>
      <c r="M40" s="8"/>
      <c r="N40" s="9" t="s">
        <v>10</v>
      </c>
      <c r="O40" s="4">
        <f>+Harvest!O40/Effort!O40</f>
        <v>6.4020630811118524</v>
      </c>
    </row>
    <row r="41" spans="1:15" x14ac:dyDescent="0.25">
      <c r="A41" s="80">
        <v>45287</v>
      </c>
      <c r="B41" s="8" t="s">
        <v>67</v>
      </c>
      <c r="C41" s="8">
        <v>-0.8</v>
      </c>
      <c r="D41" s="13">
        <v>0.7895833333333333</v>
      </c>
      <c r="E41" s="79"/>
      <c r="F41" s="4">
        <v>4.3</v>
      </c>
      <c r="G41" s="4"/>
      <c r="H41" s="4">
        <f>+Harvest!H41/Effort!H41</f>
        <v>6.1249999999999982</v>
      </c>
      <c r="I41" s="8"/>
      <c r="J41" s="9" t="s">
        <v>10</v>
      </c>
      <c r="K41" s="8"/>
      <c r="L41" s="4">
        <f>+Harvest!L41/Effort!L41</f>
        <v>11.1</v>
      </c>
      <c r="M41" s="8"/>
      <c r="N41" s="9" t="s">
        <v>10</v>
      </c>
      <c r="O41" s="4">
        <f>+Harvest!O41/Effort!O41</f>
        <v>7.7094777370032297</v>
      </c>
    </row>
    <row r="42" spans="1:15" x14ac:dyDescent="0.25">
      <c r="A42" s="80">
        <v>45288</v>
      </c>
      <c r="B42" s="8" t="s">
        <v>22</v>
      </c>
      <c r="C42" s="8">
        <v>-0.6</v>
      </c>
      <c r="D42" s="13">
        <v>0.81597222222222221</v>
      </c>
      <c r="E42" s="79" t="s">
        <v>68</v>
      </c>
      <c r="F42" s="4">
        <v>3</v>
      </c>
      <c r="G42" s="4"/>
      <c r="H42" s="4">
        <f>+Harvest!H42/Effort!H42</f>
        <v>1.8620689655172422</v>
      </c>
      <c r="I42" s="8"/>
      <c r="J42" s="4">
        <f>+Harvest!J42/Effort!J42</f>
        <v>4.2580645161290365</v>
      </c>
      <c r="K42" s="8"/>
      <c r="L42" s="9" t="s">
        <v>10</v>
      </c>
      <c r="M42" s="8"/>
      <c r="N42" s="9" t="s">
        <v>10</v>
      </c>
      <c r="O42" s="4">
        <f>+Harvest!O42/Effort!O42</f>
        <v>3.3744780092537168</v>
      </c>
    </row>
    <row r="43" spans="1:15" x14ac:dyDescent="0.25">
      <c r="A43" s="80">
        <v>45289</v>
      </c>
      <c r="B43" s="8" t="s">
        <v>18</v>
      </c>
      <c r="C43" s="8">
        <v>-0.3</v>
      </c>
      <c r="D43" s="13">
        <v>0.84097222222222223</v>
      </c>
      <c r="E43" s="79" t="s">
        <v>68</v>
      </c>
      <c r="F43" s="4">
        <v>6</v>
      </c>
      <c r="G43" s="4"/>
      <c r="H43" s="4">
        <f>+Harvest!H43/Effort!H43</f>
        <v>1.2272727272727251</v>
      </c>
      <c r="I43" s="8"/>
      <c r="J43" s="9" t="s">
        <v>10</v>
      </c>
      <c r="K43" s="8"/>
      <c r="L43" s="4">
        <f>+Harvest!L43/Effort!L43</f>
        <v>13.083333333333313</v>
      </c>
      <c r="M43" s="8"/>
      <c r="N43" s="9" t="s">
        <v>10</v>
      </c>
      <c r="O43" s="4">
        <f>+Harvest!O43/Effort!O43</f>
        <v>7.6541114172029161</v>
      </c>
    </row>
    <row r="44" spans="1:15" x14ac:dyDescent="0.25">
      <c r="A44" s="80"/>
      <c r="B44" s="8"/>
      <c r="C44" s="8"/>
      <c r="D44" s="13"/>
      <c r="E44" s="79"/>
      <c r="F44" s="9"/>
      <c r="G44" s="8"/>
      <c r="H44" s="9"/>
      <c r="I44" s="8"/>
      <c r="J44" s="9"/>
      <c r="K44" s="8"/>
      <c r="L44" s="9"/>
      <c r="M44" s="8"/>
      <c r="N44" s="9"/>
      <c r="O44" s="4"/>
    </row>
    <row r="45" spans="1:15" x14ac:dyDescent="0.25">
      <c r="A45" s="80">
        <v>45300</v>
      </c>
      <c r="B45" s="8" t="s">
        <v>66</v>
      </c>
      <c r="C45" s="8">
        <v>-0.7</v>
      </c>
      <c r="D45" s="13">
        <v>0.70972222222222225</v>
      </c>
      <c r="E45" s="79" t="s">
        <v>75</v>
      </c>
      <c r="F45" s="4">
        <v>4</v>
      </c>
      <c r="G45" s="8"/>
      <c r="H45" s="9" t="s">
        <v>10</v>
      </c>
      <c r="I45" s="8"/>
      <c r="J45" s="4">
        <f>+Harvest!J45/Effort!J45</f>
        <v>3.857142857142855</v>
      </c>
      <c r="K45" s="8"/>
      <c r="L45" s="9" t="s">
        <v>10</v>
      </c>
      <c r="M45" s="8"/>
      <c r="N45" s="9" t="s">
        <v>10</v>
      </c>
      <c r="O45" s="4">
        <f>+Harvest!O45/Effort!O45</f>
        <v>3.9197080291970789</v>
      </c>
    </row>
    <row r="46" spans="1:15" x14ac:dyDescent="0.25">
      <c r="A46" s="80">
        <v>45301</v>
      </c>
      <c r="B46" s="8" t="s">
        <v>67</v>
      </c>
      <c r="C46" s="8">
        <v>-1.2</v>
      </c>
      <c r="D46" s="13">
        <v>0.7402777777777777</v>
      </c>
      <c r="E46" s="79"/>
      <c r="F46" s="4">
        <v>10.7</v>
      </c>
      <c r="G46" s="8"/>
      <c r="H46" s="4">
        <f>+Harvest!H46/Effort!H46</f>
        <v>9.4999999999999876</v>
      </c>
      <c r="I46" s="8"/>
      <c r="J46" s="9" t="s">
        <v>10</v>
      </c>
      <c r="K46" s="8"/>
      <c r="L46" s="4">
        <f>+Harvest!L46/Effort!L46</f>
        <v>10.812500000000002</v>
      </c>
      <c r="M46" s="8"/>
      <c r="N46" s="9" t="s">
        <v>10</v>
      </c>
      <c r="O46" s="4">
        <f>+Harvest!O46/Effort!O46</f>
        <v>10.269886812093951</v>
      </c>
    </row>
    <row r="47" spans="1:15" x14ac:dyDescent="0.25">
      <c r="A47" s="80">
        <v>45302</v>
      </c>
      <c r="B47" s="8" t="s">
        <v>22</v>
      </c>
      <c r="C47" s="8">
        <v>-1.5</v>
      </c>
      <c r="D47" s="13">
        <v>0.76944444444444438</v>
      </c>
      <c r="E47" s="79"/>
      <c r="F47" s="4">
        <v>3</v>
      </c>
      <c r="G47" s="8" t="s">
        <v>68</v>
      </c>
      <c r="H47" s="4">
        <v>3</v>
      </c>
      <c r="I47" s="8"/>
      <c r="J47" s="9" t="s">
        <v>10</v>
      </c>
      <c r="K47" s="8"/>
      <c r="L47" s="4">
        <f>+Harvest!L47/Effort!L47</f>
        <v>2.7272727272727311</v>
      </c>
      <c r="M47" s="8"/>
      <c r="N47" s="9" t="s">
        <v>10</v>
      </c>
      <c r="O47" s="4">
        <f>+Harvest!O47/Effort!O47</f>
        <v>2.9359440416080824</v>
      </c>
    </row>
    <row r="48" spans="1:15" x14ac:dyDescent="0.25">
      <c r="A48" s="80">
        <v>45303</v>
      </c>
      <c r="B48" s="8" t="s">
        <v>18</v>
      </c>
      <c r="C48" s="8">
        <v>-1.6</v>
      </c>
      <c r="D48" s="13">
        <v>0.7993055555555556</v>
      </c>
      <c r="E48" s="79" t="s">
        <v>68</v>
      </c>
      <c r="F48" s="4">
        <v>9</v>
      </c>
      <c r="G48" s="8" t="s">
        <v>68</v>
      </c>
      <c r="H48" s="4">
        <v>9</v>
      </c>
      <c r="I48" s="8"/>
      <c r="J48" s="4">
        <f>+Harvest!J48/Effort!J48</f>
        <v>9.2592592592592595</v>
      </c>
      <c r="K48" s="8"/>
      <c r="L48" s="9" t="s">
        <v>10</v>
      </c>
      <c r="M48" s="8"/>
      <c r="N48" s="9" t="s">
        <v>10</v>
      </c>
      <c r="O48" s="4">
        <f>+Harvest!O48/Effort!O48</f>
        <v>9.1472912616808699</v>
      </c>
    </row>
    <row r="49" spans="1:15" x14ac:dyDescent="0.25">
      <c r="A49" s="80">
        <v>45304</v>
      </c>
      <c r="B49" s="8" t="s">
        <v>19</v>
      </c>
      <c r="C49" s="8">
        <v>-1.3</v>
      </c>
      <c r="D49" s="13">
        <v>0.82847222222222217</v>
      </c>
      <c r="E49" s="79" t="s">
        <v>68</v>
      </c>
      <c r="F49" s="4">
        <v>9</v>
      </c>
      <c r="G49" s="8"/>
      <c r="H49" s="4">
        <f>+Harvest!H49/Effort!H49</f>
        <v>8.0588235294117823</v>
      </c>
      <c r="I49" s="8"/>
      <c r="J49" s="4">
        <f>+Harvest!J49/Effort!J49</f>
        <v>8.5600000000000129</v>
      </c>
      <c r="K49" s="8"/>
      <c r="L49" s="9" t="s">
        <v>10</v>
      </c>
      <c r="M49" s="8"/>
      <c r="N49" s="9" t="s">
        <v>10</v>
      </c>
      <c r="O49" s="4">
        <f>+Harvest!O49/Effort!O49</f>
        <v>8.3935888215283434</v>
      </c>
    </row>
    <row r="50" spans="1:15" x14ac:dyDescent="0.25">
      <c r="A50" s="80">
        <v>45305</v>
      </c>
      <c r="B50" s="8" t="s">
        <v>20</v>
      </c>
      <c r="C50" s="8">
        <v>-0.8</v>
      </c>
      <c r="D50" s="13">
        <v>0.85833333333333339</v>
      </c>
      <c r="E50" s="79"/>
      <c r="F50" s="4">
        <v>5.7</v>
      </c>
      <c r="G50" s="8"/>
      <c r="H50" s="4">
        <f>+Harvest!H50/Effort!H50</f>
        <v>7.4999999999999991</v>
      </c>
      <c r="I50" s="8"/>
      <c r="J50" s="9" t="s">
        <v>10</v>
      </c>
      <c r="K50" s="8"/>
      <c r="L50" s="4">
        <f>+Harvest!L50/Effort!L50</f>
        <v>9.2857142857142811</v>
      </c>
      <c r="M50" s="8"/>
      <c r="N50" s="9" t="s">
        <v>10</v>
      </c>
      <c r="O50" s="4">
        <f>+Harvest!O50/Effort!O50</f>
        <v>7.8691279516687205</v>
      </c>
    </row>
    <row r="51" spans="1:15" x14ac:dyDescent="0.25">
      <c r="A51" s="80">
        <v>45306</v>
      </c>
      <c r="B51" s="8" t="s">
        <v>21</v>
      </c>
      <c r="C51" s="8">
        <v>0</v>
      </c>
      <c r="D51" s="13">
        <v>0.8881944444444444</v>
      </c>
      <c r="E51" s="79"/>
      <c r="F51" s="9" t="s">
        <v>10</v>
      </c>
      <c r="G51" s="8"/>
      <c r="H51" s="9" t="s">
        <v>10</v>
      </c>
      <c r="I51" s="8"/>
      <c r="J51" s="9" t="s">
        <v>10</v>
      </c>
      <c r="K51" s="8"/>
      <c r="L51" s="4">
        <f>+Harvest!L51/Effort!L51</f>
        <v>3.75</v>
      </c>
      <c r="M51" s="8"/>
      <c r="N51" s="9" t="s">
        <v>10</v>
      </c>
      <c r="O51" s="4">
        <f>+Harvest!O51/Effort!O51</f>
        <v>3.75</v>
      </c>
    </row>
    <row r="52" spans="1:15" x14ac:dyDescent="0.25">
      <c r="A52" s="80"/>
      <c r="B52" s="8"/>
      <c r="C52" s="8"/>
      <c r="D52" s="13"/>
      <c r="E52" s="79"/>
      <c r="F52" s="9"/>
      <c r="G52" s="8"/>
      <c r="H52" s="9"/>
      <c r="I52" s="8"/>
      <c r="J52" s="9"/>
      <c r="K52" s="8"/>
      <c r="L52" s="9"/>
      <c r="M52" s="8"/>
      <c r="N52" s="9"/>
      <c r="O52" s="4"/>
    </row>
    <row r="53" spans="1:15" x14ac:dyDescent="0.25">
      <c r="A53" s="80">
        <v>45313</v>
      </c>
      <c r="B53" s="8" t="s">
        <v>21</v>
      </c>
      <c r="C53" s="8">
        <v>-0.1</v>
      </c>
      <c r="D53" s="13">
        <v>0.68611111111111101</v>
      </c>
      <c r="E53" s="79"/>
      <c r="F53" s="9" t="s">
        <v>10</v>
      </c>
      <c r="G53" s="8"/>
      <c r="H53" s="9" t="s">
        <v>10</v>
      </c>
      <c r="I53" s="8"/>
      <c r="J53" s="9" t="s">
        <v>10</v>
      </c>
      <c r="K53" s="8"/>
      <c r="L53" s="4">
        <f>+Harvest!L53/Effort!L53</f>
        <v>14.999999999999998</v>
      </c>
      <c r="M53" s="8"/>
      <c r="N53" s="9" t="s">
        <v>10</v>
      </c>
      <c r="O53" s="4">
        <f>+Harvest!O53/Effort!O53</f>
        <v>14.999999999999998</v>
      </c>
    </row>
    <row r="54" spans="1:15" x14ac:dyDescent="0.25">
      <c r="A54" s="80">
        <v>45314</v>
      </c>
      <c r="B54" s="8" t="s">
        <v>66</v>
      </c>
      <c r="C54" s="8">
        <v>-0.3</v>
      </c>
      <c r="D54" s="13">
        <v>0.71736111111111101</v>
      </c>
      <c r="E54" s="79" t="s">
        <v>68</v>
      </c>
      <c r="F54" s="4">
        <v>10</v>
      </c>
      <c r="G54" s="4" t="s">
        <v>68</v>
      </c>
      <c r="H54" s="4">
        <v>10</v>
      </c>
      <c r="I54" s="4"/>
      <c r="J54" s="4" t="s">
        <v>10</v>
      </c>
      <c r="K54" s="8"/>
      <c r="L54" s="4">
        <f>+Harvest!L54/Effort!L54</f>
        <v>13.970588235294118</v>
      </c>
      <c r="M54" s="8"/>
      <c r="N54" s="9" t="s">
        <v>10</v>
      </c>
      <c r="O54" s="4">
        <f>+Harvest!O54/Effort!O54</f>
        <v>12.013079094567088</v>
      </c>
    </row>
    <row r="55" spans="1:15" x14ac:dyDescent="0.25">
      <c r="A55" s="80">
        <v>45315</v>
      </c>
      <c r="B55" s="8" t="s">
        <v>67</v>
      </c>
      <c r="C55" s="8">
        <v>-0.4</v>
      </c>
      <c r="D55" s="13">
        <v>0.74513888888888891</v>
      </c>
      <c r="E55" s="79"/>
      <c r="F55" s="4">
        <f>+Harvest!F55/Effort!F55</f>
        <v>7.9038145674132165</v>
      </c>
      <c r="G55" s="4"/>
      <c r="H55" s="4">
        <f>+Harvest!H55/Effort!H55</f>
        <v>10.041666666666657</v>
      </c>
      <c r="I55" s="4"/>
      <c r="J55" s="4">
        <f>+Harvest!J55/Effort!J55</f>
        <v>8.0434782608695645</v>
      </c>
      <c r="K55" s="8"/>
      <c r="L55" s="9" t="s">
        <v>10</v>
      </c>
      <c r="M55" s="8"/>
      <c r="N55" s="9" t="s">
        <v>10</v>
      </c>
      <c r="O55" s="4">
        <f>+Harvest!O55/Effort!O55</f>
        <v>8.6043474417892156</v>
      </c>
    </row>
    <row r="56" spans="1:15" x14ac:dyDescent="0.25">
      <c r="A56" s="80">
        <v>45316</v>
      </c>
      <c r="B56" s="8" t="s">
        <v>22</v>
      </c>
      <c r="C56" s="8">
        <v>-0.4</v>
      </c>
      <c r="D56" s="13">
        <v>0.76944444444444438</v>
      </c>
      <c r="E56" s="79" t="s">
        <v>68</v>
      </c>
      <c r="F56" s="4">
        <v>4</v>
      </c>
      <c r="G56" s="4" t="s">
        <v>68</v>
      </c>
      <c r="H56" s="4">
        <v>4</v>
      </c>
      <c r="I56" s="4"/>
      <c r="J56" s="4">
        <f>+Harvest!J56/Effort!J56</f>
        <v>4.2380952380952444</v>
      </c>
      <c r="K56" s="8"/>
      <c r="L56" s="9" t="s">
        <v>10</v>
      </c>
      <c r="M56" s="8"/>
      <c r="N56" s="9" t="s">
        <v>10</v>
      </c>
      <c r="O56" s="4">
        <f>+Harvest!O56/Effort!O56</f>
        <v>4.1138330829282275</v>
      </c>
    </row>
    <row r="57" spans="1:15" x14ac:dyDescent="0.25">
      <c r="A57" s="80">
        <v>45317</v>
      </c>
      <c r="B57" s="8" t="s">
        <v>18</v>
      </c>
      <c r="C57" s="8">
        <v>-0.2</v>
      </c>
      <c r="D57" s="13">
        <v>0.79236111111111107</v>
      </c>
      <c r="E57" s="79" t="s">
        <v>68</v>
      </c>
      <c r="F57" s="4">
        <v>1</v>
      </c>
      <c r="G57" s="4"/>
      <c r="H57" s="4">
        <f>+Harvest!H57/Effort!H57</f>
        <v>0.18181818181818246</v>
      </c>
      <c r="I57" s="4"/>
      <c r="J57" s="4" t="s">
        <v>10</v>
      </c>
      <c r="K57" s="8"/>
      <c r="L57" s="4">
        <f>+Harvest!L57/Effort!L57</f>
        <v>2.8823529411764639</v>
      </c>
      <c r="M57" s="8"/>
      <c r="N57" s="9" t="s">
        <v>10</v>
      </c>
      <c r="O57" s="4">
        <f>+Harvest!O57/Effort!O57</f>
        <v>1.7252314372486037</v>
      </c>
    </row>
    <row r="58" spans="1:15" x14ac:dyDescent="0.25">
      <c r="A58" s="80">
        <v>45318</v>
      </c>
      <c r="B58" s="8" t="s">
        <v>19</v>
      </c>
      <c r="C58" s="8">
        <v>0</v>
      </c>
      <c r="D58" s="13">
        <v>0.81388888888888899</v>
      </c>
      <c r="E58" s="79"/>
      <c r="F58" s="4">
        <v>0.5</v>
      </c>
      <c r="G58" s="4"/>
      <c r="H58" s="4" t="s">
        <v>10</v>
      </c>
      <c r="I58" s="4"/>
      <c r="J58" s="4" t="s">
        <v>10</v>
      </c>
      <c r="K58" s="8"/>
      <c r="L58" s="4">
        <f>+Harvest!L58/Effort!L58</f>
        <v>0.18749999999999992</v>
      </c>
      <c r="M58" s="8"/>
      <c r="N58" s="9" t="s">
        <v>10</v>
      </c>
      <c r="O58" s="4">
        <f>+Harvest!O58/Effort!O58</f>
        <v>0.25955549668095529</v>
      </c>
    </row>
    <row r="59" spans="1:15" x14ac:dyDescent="0.25">
      <c r="A59" s="80">
        <v>45319</v>
      </c>
      <c r="B59" s="8" t="s">
        <v>20</v>
      </c>
      <c r="C59" s="8">
        <v>0.4</v>
      </c>
      <c r="D59" s="13">
        <v>0.83472222222222225</v>
      </c>
      <c r="E59" s="79"/>
      <c r="F59" s="4" t="s">
        <v>10</v>
      </c>
      <c r="G59" s="4"/>
      <c r="H59" s="4" t="s">
        <v>10</v>
      </c>
      <c r="I59" s="4"/>
      <c r="J59" s="4">
        <f>+Harvest!J59/Effort!J59</f>
        <v>1.0909090909090879</v>
      </c>
      <c r="K59" s="8"/>
      <c r="L59" s="9" t="s">
        <v>10</v>
      </c>
      <c r="M59" s="8"/>
      <c r="N59" s="9" t="s">
        <v>10</v>
      </c>
      <c r="O59" s="4">
        <f>+Harvest!O59/Effort!O59</f>
        <v>1.0909090909090879</v>
      </c>
    </row>
    <row r="60" spans="1:15" x14ac:dyDescent="0.25">
      <c r="A60" s="80"/>
      <c r="B60" s="8"/>
      <c r="C60" s="8"/>
      <c r="D60" s="13"/>
      <c r="E60" s="79"/>
      <c r="F60" s="9"/>
      <c r="G60" s="8"/>
      <c r="H60" s="9"/>
      <c r="I60" s="8"/>
      <c r="J60" s="9"/>
      <c r="K60" s="8"/>
      <c r="L60" s="9"/>
      <c r="M60" s="8"/>
      <c r="N60" s="9"/>
      <c r="O60" s="4"/>
    </row>
    <row r="61" spans="1:15" x14ac:dyDescent="0.25">
      <c r="A61" s="80">
        <v>45328</v>
      </c>
      <c r="B61" s="8" t="s">
        <v>66</v>
      </c>
      <c r="C61" s="8">
        <v>0</v>
      </c>
      <c r="D61" s="13">
        <v>0.66111111111111109</v>
      </c>
      <c r="E61" s="79"/>
      <c r="F61" s="9" t="s">
        <v>10</v>
      </c>
      <c r="G61" s="8"/>
      <c r="H61" s="9" t="s">
        <v>10</v>
      </c>
      <c r="I61" s="8"/>
      <c r="J61" s="9" t="s">
        <v>10</v>
      </c>
      <c r="K61" s="8"/>
      <c r="L61" s="4">
        <f>+Harvest!L61/Effort!L61</f>
        <v>14.874999999999975</v>
      </c>
      <c r="M61" s="8"/>
      <c r="N61" s="9" t="s">
        <v>10</v>
      </c>
      <c r="O61" s="4">
        <f>+Harvest!O61/Effort!O61</f>
        <v>14.874999999999975</v>
      </c>
    </row>
    <row r="62" spans="1:15" x14ac:dyDescent="0.25">
      <c r="A62" s="80">
        <v>45329</v>
      </c>
      <c r="B62" s="8" t="s">
        <v>67</v>
      </c>
      <c r="C62" s="8">
        <v>-0.7</v>
      </c>
      <c r="D62" s="13">
        <v>0.69513888888888886</v>
      </c>
      <c r="E62" s="79" t="s">
        <v>68</v>
      </c>
      <c r="F62" s="4">
        <v>14</v>
      </c>
      <c r="G62" s="8" t="s">
        <v>68</v>
      </c>
      <c r="H62" s="4">
        <v>14</v>
      </c>
      <c r="I62" s="8"/>
      <c r="J62" s="4">
        <f>+Harvest!J62/Effort!J62</f>
        <v>13.983050847457633</v>
      </c>
      <c r="K62" s="8"/>
      <c r="L62" s="9" t="s">
        <v>10</v>
      </c>
      <c r="M62" s="8"/>
      <c r="N62" s="9" t="s">
        <v>10</v>
      </c>
      <c r="O62" s="4">
        <f>+Harvest!O62/Effort!O62</f>
        <v>13.991777696050967</v>
      </c>
    </row>
    <row r="63" spans="1:15" x14ac:dyDescent="0.25">
      <c r="A63" s="80">
        <v>45330</v>
      </c>
      <c r="B63" s="8" t="s">
        <v>22</v>
      </c>
      <c r="C63" s="8">
        <v>-1.2</v>
      </c>
      <c r="D63" s="13">
        <v>0.72638888888888886</v>
      </c>
      <c r="E63" s="79"/>
      <c r="F63" s="4">
        <v>13.9</v>
      </c>
      <c r="G63" s="8"/>
      <c r="H63" s="4">
        <f>+Harvest!H63/Effort!H63</f>
        <v>13.677966101694981</v>
      </c>
      <c r="I63" s="8"/>
      <c r="J63" s="4">
        <f>+Harvest!J63/Effort!J63</f>
        <v>12.266666666666648</v>
      </c>
      <c r="K63" s="8"/>
      <c r="L63" s="9" t="s">
        <v>10</v>
      </c>
      <c r="M63" s="8"/>
      <c r="N63" s="9" t="s">
        <v>10</v>
      </c>
      <c r="O63" s="4">
        <f>+Harvest!O63/Effort!O63</f>
        <v>13.061656012201841</v>
      </c>
    </row>
    <row r="64" spans="1:15" x14ac:dyDescent="0.25">
      <c r="A64" s="80">
        <v>45331</v>
      </c>
      <c r="B64" s="8" t="s">
        <v>18</v>
      </c>
      <c r="C64" s="8">
        <v>-1.4</v>
      </c>
      <c r="D64" s="13">
        <v>0.75624999999999998</v>
      </c>
      <c r="E64" s="79" t="s">
        <v>68</v>
      </c>
      <c r="F64" s="4">
        <v>14.5</v>
      </c>
      <c r="G64" s="8"/>
      <c r="H64" s="4">
        <f>+Harvest!H64/Effort!H64</f>
        <v>14.225806451612957</v>
      </c>
      <c r="I64" s="8"/>
      <c r="J64" s="9" t="s">
        <v>10</v>
      </c>
      <c r="K64" s="8"/>
      <c r="L64" s="4">
        <f>+Harvest!L64/Effort!L64</f>
        <v>14.489361702127683</v>
      </c>
      <c r="M64" s="8"/>
      <c r="N64" s="9" t="s">
        <v>10</v>
      </c>
      <c r="O64" s="4">
        <f>+Harvest!O64/Effort!O64</f>
        <v>14.394040671133553</v>
      </c>
    </row>
    <row r="65" spans="1:15" x14ac:dyDescent="0.25">
      <c r="A65" s="80">
        <v>45332</v>
      </c>
      <c r="B65" s="8" t="s">
        <v>19</v>
      </c>
      <c r="C65" s="8">
        <v>-1.4</v>
      </c>
      <c r="D65" s="13">
        <v>0.78402777777777777</v>
      </c>
      <c r="E65" s="79"/>
      <c r="F65" s="4">
        <v>7</v>
      </c>
      <c r="G65" s="8" t="s">
        <v>68</v>
      </c>
      <c r="H65" s="4">
        <v>9</v>
      </c>
      <c r="I65" s="8"/>
      <c r="J65" s="9" t="s">
        <v>10</v>
      </c>
      <c r="K65" s="8"/>
      <c r="L65" s="4">
        <f>+Harvest!L65/Effort!L65</f>
        <v>11.077922077922087</v>
      </c>
      <c r="M65" s="8"/>
      <c r="N65" s="9" t="s">
        <v>10</v>
      </c>
      <c r="O65" s="4">
        <f>+Harvest!O65/Effort!O65</f>
        <v>9.1078737037249091</v>
      </c>
    </row>
    <row r="66" spans="1:15" x14ac:dyDescent="0.25">
      <c r="A66" s="80">
        <v>45333</v>
      </c>
      <c r="B66" s="8" t="s">
        <v>20</v>
      </c>
      <c r="C66" s="8">
        <v>-1</v>
      </c>
      <c r="D66" s="13">
        <v>0.81180555555555556</v>
      </c>
      <c r="E66" s="79" t="s">
        <v>68</v>
      </c>
      <c r="F66" s="4">
        <v>5</v>
      </c>
      <c r="G66" s="8"/>
      <c r="H66" s="4">
        <f>+Harvest!H66/Effort!H66</f>
        <v>2.1999999999999966</v>
      </c>
      <c r="I66" s="8"/>
      <c r="J66" s="4">
        <f>+Harvest!J66/Effort!J66</f>
        <v>6.1250000000000044</v>
      </c>
      <c r="K66" s="8"/>
      <c r="L66" s="9" t="s">
        <v>10</v>
      </c>
      <c r="M66" s="8"/>
      <c r="N66" s="9" t="s">
        <v>10</v>
      </c>
      <c r="O66" s="4">
        <f>+Harvest!O66/Effort!O66</f>
        <v>5.1140745921613773</v>
      </c>
    </row>
    <row r="67" spans="1:15" x14ac:dyDescent="0.25">
      <c r="A67" s="80">
        <v>45334</v>
      </c>
      <c r="B67" s="8" t="s">
        <v>21</v>
      </c>
      <c r="C67" s="8">
        <v>-0.3</v>
      </c>
      <c r="D67" s="13">
        <v>0.83888888888888891</v>
      </c>
      <c r="E67" s="79"/>
      <c r="F67" s="4">
        <v>10</v>
      </c>
      <c r="G67" s="8"/>
      <c r="H67" s="9" t="s">
        <v>10</v>
      </c>
      <c r="I67" s="8"/>
      <c r="J67" s="4">
        <f>+Harvest!J67/Effort!J67</f>
        <v>9.5000000000000213</v>
      </c>
      <c r="K67" s="8"/>
      <c r="L67" s="9" t="s">
        <v>10</v>
      </c>
      <c r="M67" s="8"/>
      <c r="N67" s="9" t="s">
        <v>10</v>
      </c>
      <c r="O67" s="4">
        <f>+Harvest!O67/Effort!O67</f>
        <v>9.5818811866709837</v>
      </c>
    </row>
    <row r="68" spans="1:15" x14ac:dyDescent="0.25">
      <c r="A68" s="80"/>
      <c r="B68" s="8"/>
      <c r="C68" s="8"/>
      <c r="D68" s="13"/>
      <c r="E68" s="79"/>
      <c r="F68" s="9"/>
      <c r="G68" s="8"/>
      <c r="H68" s="9"/>
      <c r="I68" s="8"/>
      <c r="J68" s="9"/>
      <c r="K68" s="8"/>
      <c r="L68" s="9"/>
      <c r="M68" s="8"/>
      <c r="N68" s="9"/>
      <c r="O68" s="4"/>
    </row>
    <row r="69" spans="1:15" x14ac:dyDescent="0.25">
      <c r="A69" s="80">
        <v>45343</v>
      </c>
      <c r="B69" s="8" t="s">
        <v>67</v>
      </c>
      <c r="C69" s="8">
        <v>0.2</v>
      </c>
      <c r="D69" s="13">
        <v>0.7055555555555556</v>
      </c>
      <c r="E69" s="79" t="s">
        <v>68</v>
      </c>
      <c r="F69" s="4">
        <v>13.5</v>
      </c>
      <c r="G69" s="4" t="s">
        <v>68</v>
      </c>
      <c r="H69" s="4">
        <v>13.5</v>
      </c>
      <c r="J69" s="9" t="s">
        <v>10</v>
      </c>
      <c r="K69" s="8"/>
      <c r="L69" s="4">
        <f>+Harvest!L69/Effort!L69</f>
        <v>13.541666666666668</v>
      </c>
      <c r="M69" s="8"/>
      <c r="N69" s="9" t="s">
        <v>10</v>
      </c>
      <c r="O69" s="4">
        <f>+Harvest!O69/Effort!O69</f>
        <v>13.514862118050482</v>
      </c>
    </row>
    <row r="70" spans="1:15" x14ac:dyDescent="0.25">
      <c r="A70" s="80">
        <v>45344</v>
      </c>
      <c r="B70" s="8" t="s">
        <v>22</v>
      </c>
      <c r="C70" s="8">
        <v>0.1</v>
      </c>
      <c r="D70" s="13">
        <v>0.73125000000000007</v>
      </c>
      <c r="E70" s="79"/>
      <c r="F70" s="4">
        <f>+Harvest!F70/Effort!F70</f>
        <v>14.056072550530514</v>
      </c>
      <c r="G70" s="4"/>
      <c r="H70" s="4">
        <f>+Harvest!H70/Effort!H70</f>
        <v>15.000000000000044</v>
      </c>
      <c r="J70" s="9" t="s">
        <v>10</v>
      </c>
      <c r="K70" s="8"/>
      <c r="L70" s="4">
        <f>+Harvest!L70/Effort!L70</f>
        <v>15.000000000000043</v>
      </c>
      <c r="M70" s="8"/>
      <c r="N70" s="9" t="s">
        <v>10</v>
      </c>
      <c r="O70" s="4">
        <f>+Harvest!O70/Effort!O70</f>
        <v>14.697668089250822</v>
      </c>
    </row>
    <row r="71" spans="1:15" x14ac:dyDescent="0.25">
      <c r="A71" s="80">
        <v>45345</v>
      </c>
      <c r="B71" s="8" t="s">
        <v>18</v>
      </c>
      <c r="C71" s="8">
        <v>0.1</v>
      </c>
      <c r="D71" s="13">
        <v>0.75347222222222221</v>
      </c>
      <c r="E71" s="79"/>
      <c r="F71" s="4">
        <v>14.7</v>
      </c>
      <c r="G71" s="4" t="s">
        <v>68</v>
      </c>
      <c r="H71" s="4">
        <v>14</v>
      </c>
      <c r="J71" s="4">
        <f>+Harvest!J71/Effort!J71</f>
        <v>14.21428571428571</v>
      </c>
      <c r="K71" s="8"/>
      <c r="L71" s="9" t="s">
        <v>10</v>
      </c>
      <c r="M71" s="8"/>
      <c r="N71" s="9" t="s">
        <v>10</v>
      </c>
      <c r="O71" s="4">
        <f>+Harvest!O71/Effort!O71</f>
        <v>14.342688022920491</v>
      </c>
    </row>
    <row r="72" spans="1:15" x14ac:dyDescent="0.25">
      <c r="A72" s="80">
        <v>45346</v>
      </c>
      <c r="B72" s="8" t="s">
        <v>19</v>
      </c>
      <c r="C72" s="8">
        <v>0.2</v>
      </c>
      <c r="D72" s="13">
        <v>0.77361111111111114</v>
      </c>
      <c r="E72" s="79" t="s">
        <v>68</v>
      </c>
      <c r="F72" s="4">
        <v>10</v>
      </c>
      <c r="G72" s="4"/>
      <c r="H72" s="4">
        <f>+Harvest!H72/Effort!H72</f>
        <v>10.354838709677407</v>
      </c>
      <c r="J72" s="4">
        <f>+Harvest!J72/Effort!J72</f>
        <v>10.121951219512209</v>
      </c>
      <c r="K72" s="8"/>
      <c r="L72" s="9" t="s">
        <v>10</v>
      </c>
      <c r="M72" s="8"/>
      <c r="N72" s="9" t="s">
        <v>10</v>
      </c>
      <c r="O72" s="4">
        <f>+Harvest!O72/Effort!O72</f>
        <v>10.125092261280784</v>
      </c>
    </row>
    <row r="73" spans="1:15" x14ac:dyDescent="0.25">
      <c r="A73" s="80">
        <v>45347</v>
      </c>
      <c r="B73" s="8" t="s">
        <v>20</v>
      </c>
      <c r="C73" s="8">
        <v>0.4</v>
      </c>
      <c r="D73" s="13">
        <v>0.79305555555555562</v>
      </c>
      <c r="E73" s="79" t="s">
        <v>68</v>
      </c>
      <c r="F73" s="4">
        <v>4</v>
      </c>
      <c r="G73" s="4"/>
      <c r="H73" s="4" t="s">
        <v>10</v>
      </c>
      <c r="J73" s="9" t="s">
        <v>10</v>
      </c>
      <c r="K73" s="8"/>
      <c r="L73" s="4">
        <f>+Harvest!L73/Effort!L73</f>
        <v>3.8823529411764732</v>
      </c>
      <c r="M73" s="8"/>
      <c r="N73" s="9" t="s">
        <v>10</v>
      </c>
      <c r="O73" s="4">
        <f>+Harvest!O73/Effort!O73</f>
        <v>3.938013701078626</v>
      </c>
    </row>
    <row r="74" spans="1:15" x14ac:dyDescent="0.25">
      <c r="A74" s="80"/>
      <c r="B74" s="8"/>
      <c r="C74" s="8"/>
      <c r="D74" s="13"/>
      <c r="E74" s="79"/>
      <c r="F74" s="9"/>
      <c r="G74" s="8"/>
      <c r="H74" s="9"/>
      <c r="I74" s="8"/>
      <c r="J74" s="9"/>
      <c r="K74" s="8"/>
      <c r="L74" s="9"/>
      <c r="M74" s="8"/>
      <c r="N74" s="9"/>
      <c r="O74" s="4"/>
    </row>
    <row r="75" spans="1:15" x14ac:dyDescent="0.25">
      <c r="A75" s="80">
        <v>45358</v>
      </c>
      <c r="B75" s="8" t="s">
        <v>22</v>
      </c>
      <c r="C75" s="8">
        <v>-0.5</v>
      </c>
      <c r="D75" s="13">
        <v>0.67708333333333337</v>
      </c>
      <c r="E75" s="79"/>
      <c r="F75" s="4">
        <v>15</v>
      </c>
      <c r="G75" s="4"/>
      <c r="H75" s="4">
        <f>+Harvest!H75/Effort!H75</f>
        <v>14.374999999999982</v>
      </c>
      <c r="J75" s="4">
        <f>+Harvest!J75/Effort!J75</f>
        <v>14.730769230769244</v>
      </c>
      <c r="K75" s="8"/>
      <c r="L75" s="9" t="s">
        <v>10</v>
      </c>
      <c r="M75" s="8"/>
      <c r="N75" s="9" t="s">
        <v>10</v>
      </c>
      <c r="O75" s="4">
        <f>+Harvest!O75/Effort!O75</f>
        <v>14.732322443441051</v>
      </c>
    </row>
    <row r="76" spans="1:15" x14ac:dyDescent="0.25">
      <c r="A76" s="80">
        <v>45359</v>
      </c>
      <c r="B76" s="8" t="s">
        <v>18</v>
      </c>
      <c r="C76" s="8">
        <v>-0.8</v>
      </c>
      <c r="D76" s="13">
        <v>0.70833333333333337</v>
      </c>
      <c r="E76" s="79"/>
      <c r="F76" s="4">
        <v>15</v>
      </c>
      <c r="G76" s="4" t="s">
        <v>68</v>
      </c>
      <c r="H76" s="4">
        <v>14.5</v>
      </c>
      <c r="J76" s="9" t="s">
        <v>10</v>
      </c>
      <c r="K76" s="8"/>
      <c r="L76" s="4">
        <f>+Harvest!L76/Effort!L76</f>
        <v>14.219780219780171</v>
      </c>
      <c r="M76" s="8"/>
      <c r="N76" s="9" t="s">
        <v>10</v>
      </c>
      <c r="O76" s="4">
        <f>+Harvest!O76/Effort!O76</f>
        <v>14.587952009992122</v>
      </c>
    </row>
    <row r="77" spans="1:15" x14ac:dyDescent="0.25">
      <c r="A77" s="80">
        <v>45360</v>
      </c>
      <c r="B77" s="8" t="s">
        <v>19</v>
      </c>
      <c r="C77" s="8">
        <v>-0.9</v>
      </c>
      <c r="D77" s="13">
        <v>0.73749999999999993</v>
      </c>
      <c r="E77" s="79" t="s">
        <v>68</v>
      </c>
      <c r="F77" s="4">
        <v>7.5</v>
      </c>
      <c r="G77" s="4"/>
      <c r="H77" s="4">
        <f>+Harvest!H77/Effort!H77</f>
        <v>4.3939393939393998</v>
      </c>
      <c r="J77" s="9" t="s">
        <v>10</v>
      </c>
      <c r="K77" s="8"/>
      <c r="L77" s="4">
        <f>+Harvest!L77/Effort!L77</f>
        <v>11.020833333333293</v>
      </c>
      <c r="M77" s="8"/>
      <c r="N77" s="9" t="s">
        <v>10</v>
      </c>
      <c r="O77" s="4">
        <f>+Harvest!O77/Effort!O77</f>
        <v>7.4945322854916956</v>
      </c>
    </row>
    <row r="78" spans="1:15" x14ac:dyDescent="0.25">
      <c r="A78" s="80">
        <v>45361</v>
      </c>
      <c r="B78" s="8" t="s">
        <v>20</v>
      </c>
      <c r="C78" s="8">
        <v>-0.7</v>
      </c>
      <c r="D78" s="13">
        <v>0.80694444444444446</v>
      </c>
      <c r="E78" s="79" t="s">
        <v>68</v>
      </c>
      <c r="F78" s="4">
        <v>5</v>
      </c>
      <c r="G78" s="4"/>
      <c r="H78" s="4">
        <f>+Harvest!H78/Effort!H78</f>
        <v>2.8000000000000003</v>
      </c>
      <c r="J78" s="4">
        <f>+Harvest!J78/Effort!J78</f>
        <v>7.7272727272727364</v>
      </c>
      <c r="K78" s="8"/>
      <c r="L78" s="9" t="s">
        <v>10</v>
      </c>
      <c r="M78" s="8"/>
      <c r="N78" s="9" t="s">
        <v>10</v>
      </c>
      <c r="O78" s="4">
        <f>+Harvest!O78/Effort!O78</f>
        <v>5.8169985659061121</v>
      </c>
    </row>
    <row r="79" spans="1:15" x14ac:dyDescent="0.25">
      <c r="A79" s="80">
        <v>45362</v>
      </c>
      <c r="B79" s="8" t="s">
        <v>21</v>
      </c>
      <c r="C79" s="8">
        <v>-0.2</v>
      </c>
      <c r="D79" s="13">
        <v>0.83333333333333337</v>
      </c>
      <c r="E79" s="79"/>
      <c r="F79" s="4">
        <v>4</v>
      </c>
      <c r="G79" s="4" t="s">
        <v>68</v>
      </c>
      <c r="H79" s="4">
        <v>4</v>
      </c>
      <c r="J79" s="4">
        <f>+Harvest!J79/Effort!J79</f>
        <v>3.8000000000000096</v>
      </c>
      <c r="K79" s="8"/>
      <c r="L79" s="9" t="s">
        <v>10</v>
      </c>
      <c r="M79" s="8"/>
      <c r="N79" s="9" t="s">
        <v>10</v>
      </c>
      <c r="O79" s="4">
        <f>+Harvest!O79/Effort!O79</f>
        <v>3.9001456469215126</v>
      </c>
    </row>
    <row r="80" spans="1:15" x14ac:dyDescent="0.25">
      <c r="A80" s="80">
        <v>45363</v>
      </c>
      <c r="B80" s="8" t="s">
        <v>66</v>
      </c>
      <c r="C80" s="8">
        <v>-0.3</v>
      </c>
      <c r="D80" s="13">
        <v>0.35625000000000001</v>
      </c>
      <c r="E80" s="79" t="s">
        <v>68</v>
      </c>
      <c r="F80" s="4">
        <v>9.5</v>
      </c>
      <c r="G80" s="4"/>
      <c r="H80" s="4" t="s">
        <v>10</v>
      </c>
      <c r="J80" s="9" t="s">
        <v>10</v>
      </c>
      <c r="K80" s="8"/>
      <c r="L80" s="4">
        <f>+Harvest!L80/Effort!L80</f>
        <v>9.4285714285714217</v>
      </c>
      <c r="M80" s="8"/>
      <c r="N80" s="9" t="s">
        <v>10</v>
      </c>
      <c r="O80" s="4">
        <f>+Harvest!O80/Effort!O80</f>
        <v>9.4653657310655603</v>
      </c>
    </row>
    <row r="81" spans="1:15" x14ac:dyDescent="0.25">
      <c r="A81" s="80">
        <v>45364</v>
      </c>
      <c r="B81" s="8" t="s">
        <v>67</v>
      </c>
      <c r="C81" s="8">
        <v>-0.4</v>
      </c>
      <c r="D81" s="13">
        <v>0.38958333333333334</v>
      </c>
      <c r="E81" s="79" t="s">
        <v>68</v>
      </c>
      <c r="F81" s="4">
        <v>14</v>
      </c>
      <c r="G81" s="4"/>
      <c r="H81" s="4" t="s">
        <v>10</v>
      </c>
      <c r="J81" s="9" t="s">
        <v>10</v>
      </c>
      <c r="K81" s="8"/>
      <c r="L81" s="4">
        <f>+Harvest!L81/Effort!L81</f>
        <v>13.965517241379287</v>
      </c>
      <c r="M81" s="8"/>
      <c r="N81" s="9" t="s">
        <v>10</v>
      </c>
      <c r="O81" s="4">
        <f>+Harvest!O81/Effort!O81</f>
        <v>13.983280008100605</v>
      </c>
    </row>
    <row r="82" spans="1:15" x14ac:dyDescent="0.25">
      <c r="A82" s="80">
        <v>45365</v>
      </c>
      <c r="B82" s="8" t="s">
        <v>22</v>
      </c>
      <c r="C82" s="8">
        <v>-0.3</v>
      </c>
      <c r="D82" s="13">
        <v>0.42499999999999999</v>
      </c>
      <c r="E82" s="79"/>
      <c r="F82" s="4">
        <v>14.8</v>
      </c>
      <c r="G82" s="4"/>
      <c r="H82" s="4" t="s">
        <v>10</v>
      </c>
      <c r="J82" s="9" t="s">
        <v>10</v>
      </c>
      <c r="K82" s="8"/>
      <c r="L82" s="4">
        <f>+Harvest!L82/Effort!L82</f>
        <v>15</v>
      </c>
      <c r="M82" s="8"/>
      <c r="N82" s="9" t="s">
        <v>10</v>
      </c>
      <c r="O82" s="4">
        <f>+Harvest!O82/Effort!O82</f>
        <v>14.891984717008988</v>
      </c>
    </row>
    <row r="83" spans="1:15" x14ac:dyDescent="0.25">
      <c r="A83" s="80">
        <v>45366</v>
      </c>
      <c r="B83" s="8" t="s">
        <v>18</v>
      </c>
      <c r="C83" s="8">
        <v>0.1</v>
      </c>
      <c r="D83" s="13">
        <v>0.46388888888888885</v>
      </c>
      <c r="E83" s="79"/>
      <c r="F83" s="9" t="s">
        <v>10</v>
      </c>
      <c r="G83" s="8"/>
      <c r="H83" s="9" t="s">
        <v>10</v>
      </c>
      <c r="J83" s="4">
        <f>+Harvest!J83/Effort!J83</f>
        <v>11.895833333333336</v>
      </c>
      <c r="K83" s="8"/>
      <c r="L83" s="9" t="s">
        <v>10</v>
      </c>
      <c r="M83" s="8"/>
      <c r="N83" s="9" t="s">
        <v>10</v>
      </c>
      <c r="O83" s="4">
        <f>+Harvest!O83/Effort!O83</f>
        <v>11.895833333333336</v>
      </c>
    </row>
    <row r="84" spans="1:15" x14ac:dyDescent="0.25">
      <c r="A84" s="80">
        <v>45367</v>
      </c>
      <c r="B84" s="8" t="s">
        <v>19</v>
      </c>
      <c r="C84" s="8">
        <v>0.5</v>
      </c>
      <c r="D84" s="13">
        <v>0.50694444444444442</v>
      </c>
      <c r="E84" s="79"/>
      <c r="F84" s="9" t="s">
        <v>10</v>
      </c>
      <c r="G84" s="8"/>
      <c r="H84" s="9" t="s">
        <v>10</v>
      </c>
      <c r="J84" s="4">
        <f>+Harvest!J84/Effort!J84</f>
        <v>8.4854368932038824</v>
      </c>
      <c r="K84" s="8"/>
      <c r="L84" s="9" t="s">
        <v>10</v>
      </c>
      <c r="M84" s="8"/>
      <c r="N84" s="9" t="s">
        <v>10</v>
      </c>
      <c r="O84" s="4">
        <f>+Harvest!O84/Effort!O84</f>
        <v>8.4854368932038824</v>
      </c>
    </row>
    <row r="85" spans="1:15" x14ac:dyDescent="0.25">
      <c r="A85" s="80">
        <v>45368</v>
      </c>
      <c r="B85" s="8" t="s">
        <v>20</v>
      </c>
      <c r="C85" s="8">
        <v>0.9</v>
      </c>
      <c r="D85" s="13">
        <v>0.55763888888888891</v>
      </c>
      <c r="E85" s="79"/>
      <c r="F85" s="9" t="s">
        <v>10</v>
      </c>
      <c r="G85" s="8"/>
      <c r="H85" s="9" t="s">
        <v>10</v>
      </c>
      <c r="J85" s="9" t="s">
        <v>10</v>
      </c>
      <c r="K85" s="8"/>
      <c r="L85" s="4">
        <f>+Harvest!L85/Effort!L85</f>
        <v>10.964285714285708</v>
      </c>
      <c r="M85" s="8"/>
      <c r="N85" s="9" t="s">
        <v>10</v>
      </c>
      <c r="O85" s="4">
        <f>+Harvest!O85/Effort!O85</f>
        <v>10.964285714285708</v>
      </c>
    </row>
    <row r="86" spans="1:15" x14ac:dyDescent="0.25">
      <c r="A86" s="80"/>
      <c r="B86" s="8"/>
      <c r="C86" s="8"/>
      <c r="D86" s="13"/>
      <c r="E86" s="79"/>
      <c r="F86" s="9"/>
      <c r="G86" s="8"/>
      <c r="H86" s="9"/>
      <c r="I86" s="8"/>
      <c r="J86" s="9"/>
      <c r="K86" s="8"/>
      <c r="L86" s="9"/>
      <c r="M86" s="8"/>
      <c r="N86" s="9"/>
      <c r="O86" s="4"/>
    </row>
    <row r="87" spans="1:15" x14ac:dyDescent="0.25">
      <c r="A87" s="80">
        <v>45377</v>
      </c>
      <c r="B87" s="8" t="s">
        <v>66</v>
      </c>
      <c r="C87" s="8">
        <v>0.7</v>
      </c>
      <c r="D87" s="13">
        <v>0.32916666666666666</v>
      </c>
      <c r="E87" s="79"/>
      <c r="F87" s="4" t="s">
        <v>10</v>
      </c>
      <c r="G87" s="4"/>
      <c r="H87" s="4" t="s">
        <v>10</v>
      </c>
      <c r="J87" s="4">
        <f>+Harvest!J87/Effort!J87</f>
        <v>14.764705882352947</v>
      </c>
      <c r="K87" s="8"/>
      <c r="L87" s="9" t="s">
        <v>10</v>
      </c>
      <c r="M87" s="8"/>
      <c r="N87" s="9" t="s">
        <v>10</v>
      </c>
      <c r="O87" s="4">
        <f>+Harvest!O87/Effort!O87</f>
        <v>14.764705882352947</v>
      </c>
    </row>
    <row r="88" spans="1:15" x14ac:dyDescent="0.25">
      <c r="A88" s="80">
        <v>45378</v>
      </c>
      <c r="B88" s="8" t="s">
        <v>67</v>
      </c>
      <c r="C88" s="8">
        <v>0.4</v>
      </c>
      <c r="D88" s="13">
        <v>0.35138888888888892</v>
      </c>
      <c r="E88" s="79" t="s">
        <v>68</v>
      </c>
      <c r="F88" s="4">
        <v>4</v>
      </c>
      <c r="G88" s="4"/>
      <c r="H88" s="4" t="s">
        <v>10</v>
      </c>
      <c r="J88" s="9" t="s">
        <v>10</v>
      </c>
      <c r="K88" s="8"/>
      <c r="L88" s="4">
        <v>4</v>
      </c>
      <c r="M88" s="8"/>
      <c r="N88" s="9" t="s">
        <v>10</v>
      </c>
      <c r="O88" s="4">
        <f>+Harvest!O88/Effort!O88</f>
        <v>4</v>
      </c>
    </row>
    <row r="89" spans="1:15" x14ac:dyDescent="0.25">
      <c r="A89" s="80">
        <v>45379</v>
      </c>
      <c r="B89" s="8" t="s">
        <v>22</v>
      </c>
      <c r="C89" s="8">
        <v>0.3</v>
      </c>
      <c r="D89" s="13">
        <v>0.3756944444444445</v>
      </c>
      <c r="E89" s="79" t="s">
        <v>68</v>
      </c>
      <c r="F89" s="4">
        <v>8</v>
      </c>
      <c r="G89" s="4" t="s">
        <v>68</v>
      </c>
      <c r="H89" s="4">
        <v>8</v>
      </c>
      <c r="J89" s="9" t="s">
        <v>10</v>
      </c>
      <c r="K89" s="8"/>
      <c r="L89" s="4">
        <f>+Harvest!L89/Effort!L89</f>
        <v>7.9729729729729737</v>
      </c>
      <c r="M89" s="8"/>
      <c r="N89" s="9" t="s">
        <v>10</v>
      </c>
      <c r="O89" s="4">
        <f>+Harvest!O89/Effort!O89</f>
        <v>7.990676413887206</v>
      </c>
    </row>
    <row r="90" spans="1:15" x14ac:dyDescent="0.25">
      <c r="A90" s="80">
        <v>45380</v>
      </c>
      <c r="B90" s="8" t="s">
        <v>18</v>
      </c>
      <c r="C90" s="8">
        <v>0.3</v>
      </c>
      <c r="D90" s="13">
        <v>0.40208333333333335</v>
      </c>
      <c r="E90" s="79"/>
      <c r="F90" s="4">
        <f>+Harvest!F90/Effort!F90</f>
        <v>5.5008017655654529</v>
      </c>
      <c r="G90" s="4"/>
      <c r="H90" s="4">
        <f>+Harvest!H90/Effort!H90</f>
        <v>7.9761904761904789</v>
      </c>
      <c r="J90" s="4">
        <f>+Harvest!J90/Effort!J90</f>
        <v>9.2857142857142811</v>
      </c>
      <c r="K90" s="8"/>
      <c r="L90" s="9" t="s">
        <v>10</v>
      </c>
      <c r="M90" s="8"/>
      <c r="N90" s="9" t="s">
        <v>10</v>
      </c>
      <c r="O90" s="4">
        <f>+Harvest!O90/Effort!O90</f>
        <v>7.8799189591468091</v>
      </c>
    </row>
    <row r="91" spans="1:15" x14ac:dyDescent="0.25">
      <c r="A91" s="80">
        <v>45381</v>
      </c>
      <c r="B91" s="8" t="s">
        <v>19</v>
      </c>
      <c r="C91" s="8">
        <v>0.4</v>
      </c>
      <c r="D91" s="13">
        <v>0.43263888888888885</v>
      </c>
      <c r="E91" s="79"/>
      <c r="F91" s="4">
        <v>14</v>
      </c>
      <c r="G91" s="4"/>
      <c r="H91" s="4">
        <f>+Harvest!H91/Effort!H91</f>
        <v>10.236559139784953</v>
      </c>
      <c r="J91" s="4">
        <f>+Harvest!J91/Effort!J91</f>
        <v>14.371794871794865</v>
      </c>
      <c r="K91" s="8"/>
      <c r="L91" s="9" t="s">
        <v>10</v>
      </c>
      <c r="M91" s="8"/>
      <c r="N91" s="9" t="s">
        <v>10</v>
      </c>
      <c r="O91" s="4">
        <f>+Harvest!O91/Effort!O91</f>
        <v>12.798122563763469</v>
      </c>
    </row>
    <row r="92" spans="1:15" x14ac:dyDescent="0.25">
      <c r="A92" s="80">
        <v>45382</v>
      </c>
      <c r="B92" s="8" t="s">
        <v>20</v>
      </c>
      <c r="C92" s="8">
        <v>0.6</v>
      </c>
      <c r="D92" s="13">
        <v>0.4694444444444445</v>
      </c>
      <c r="E92" s="79" t="s">
        <v>68</v>
      </c>
      <c r="F92" s="4">
        <v>13.5</v>
      </c>
      <c r="G92" s="4"/>
      <c r="H92" s="4">
        <f>+Harvest!H92/Effort!H92</f>
        <v>8.8928571428571246</v>
      </c>
      <c r="J92" s="9" t="s">
        <v>10</v>
      </c>
      <c r="K92" s="8"/>
      <c r="L92" s="4">
        <f>+Harvest!L92/Effort!L92</f>
        <v>13.431372549019621</v>
      </c>
      <c r="M92" s="8"/>
      <c r="N92" s="9" t="s">
        <v>10</v>
      </c>
      <c r="O92" s="4">
        <f>+Harvest!O92/Effort!O92</f>
        <v>11.878569628060506</v>
      </c>
    </row>
    <row r="93" spans="1:15" x14ac:dyDescent="0.25">
      <c r="A93" s="80"/>
      <c r="B93" s="8"/>
      <c r="C93" s="8"/>
      <c r="D93" s="13"/>
      <c r="E93" s="79"/>
      <c r="F93" s="9"/>
      <c r="G93" s="8"/>
      <c r="H93" s="9"/>
      <c r="I93" s="8"/>
      <c r="J93" s="9"/>
      <c r="K93" s="8"/>
      <c r="L93" s="9"/>
      <c r="M93" s="8"/>
      <c r="N93" s="9"/>
      <c r="O93" s="4"/>
    </row>
    <row r="94" spans="1:15" x14ac:dyDescent="0.25">
      <c r="A94" s="80">
        <v>45390</v>
      </c>
      <c r="B94" s="8" t="s">
        <v>21</v>
      </c>
      <c r="C94" s="8">
        <v>-0.5</v>
      </c>
      <c r="D94" s="13">
        <v>0.28055555555555556</v>
      </c>
      <c r="E94" s="79"/>
      <c r="F94" s="4" t="s">
        <v>10</v>
      </c>
      <c r="G94" s="4"/>
      <c r="H94" s="4" t="s">
        <v>10</v>
      </c>
      <c r="J94" s="9" t="s">
        <v>10</v>
      </c>
      <c r="K94" s="8"/>
      <c r="L94" s="4">
        <f>+Harvest!L94/Effort!L94</f>
        <v>5.2083333333333313</v>
      </c>
      <c r="M94" s="8"/>
      <c r="N94" s="9" t="s">
        <v>10</v>
      </c>
      <c r="O94" s="4">
        <f>+Harvest!O94/Effort!O94</f>
        <v>5.2083333333333313</v>
      </c>
    </row>
    <row r="95" spans="1:15" x14ac:dyDescent="0.25">
      <c r="A95" s="80">
        <v>45391</v>
      </c>
      <c r="B95" s="8" t="s">
        <v>66</v>
      </c>
      <c r="C95" s="8">
        <v>-1.2</v>
      </c>
      <c r="D95" s="13">
        <v>0.31180555555555556</v>
      </c>
      <c r="E95" s="79" t="s">
        <v>68</v>
      </c>
      <c r="F95" s="4">
        <v>11</v>
      </c>
      <c r="G95" s="4"/>
      <c r="H95" s="4" t="s">
        <v>10</v>
      </c>
      <c r="J95" s="9" t="s">
        <v>10</v>
      </c>
      <c r="K95" s="8"/>
      <c r="L95" s="4">
        <f>+Harvest!L95/Effort!L95</f>
        <v>11.279069767441833</v>
      </c>
      <c r="M95" s="8"/>
      <c r="N95" s="9" t="s">
        <v>10</v>
      </c>
      <c r="O95" s="4">
        <f>+Harvest!O95/Effort!O95</f>
        <v>11.146347974580124</v>
      </c>
    </row>
    <row r="96" spans="1:15" x14ac:dyDescent="0.25">
      <c r="A96" s="80">
        <v>45392</v>
      </c>
      <c r="B96" s="8" t="s">
        <v>67</v>
      </c>
      <c r="C96" s="8">
        <v>-1.5</v>
      </c>
      <c r="D96" s="13">
        <v>0.3430555555555555</v>
      </c>
      <c r="E96" s="79"/>
      <c r="F96" s="4">
        <v>13.2</v>
      </c>
      <c r="G96" s="4" t="s">
        <v>68</v>
      </c>
      <c r="H96" s="4">
        <v>14</v>
      </c>
      <c r="J96" s="4">
        <f>+Harvest!J96/Effort!J96</f>
        <v>14.022556390977462</v>
      </c>
      <c r="K96" s="8"/>
      <c r="L96" s="9" t="s">
        <v>10</v>
      </c>
      <c r="M96" s="8"/>
      <c r="N96" s="9" t="s">
        <v>10</v>
      </c>
      <c r="O96" s="4">
        <f>+Harvest!O96/Effort!O96</f>
        <v>13.687024671209826</v>
      </c>
    </row>
    <row r="97" spans="1:15" x14ac:dyDescent="0.25">
      <c r="A97" s="80">
        <v>45393</v>
      </c>
      <c r="B97" s="8" t="s">
        <v>22</v>
      </c>
      <c r="C97" s="8">
        <v>-1.4</v>
      </c>
      <c r="D97" s="13">
        <v>0.375</v>
      </c>
      <c r="E97" s="79" t="s">
        <v>68</v>
      </c>
      <c r="F97" s="4">
        <v>12</v>
      </c>
      <c r="G97" s="4"/>
      <c r="H97" s="4">
        <f>+Harvest!H97/Effort!H97</f>
        <v>13.915492957746476</v>
      </c>
      <c r="J97" s="4">
        <f>+Harvest!J97/Effort!J97</f>
        <v>10.483870967741929</v>
      </c>
      <c r="K97" s="8"/>
      <c r="L97" s="9" t="s">
        <v>10</v>
      </c>
      <c r="M97" s="8"/>
      <c r="N97" s="9" t="s">
        <v>10</v>
      </c>
      <c r="O97" s="4">
        <f>+Harvest!O97/Effort!O97</f>
        <v>11.975865731861649</v>
      </c>
    </row>
    <row r="98" spans="1:15" x14ac:dyDescent="0.25">
      <c r="A98" s="80">
        <v>45394</v>
      </c>
      <c r="B98" s="8" t="s">
        <v>18</v>
      </c>
      <c r="C98" s="8">
        <v>-1.1000000000000001</v>
      </c>
      <c r="D98" s="13">
        <v>0.40833333333333338</v>
      </c>
      <c r="E98" s="79"/>
      <c r="F98" s="4">
        <f>+Harvest!F98/Effort!F98</f>
        <v>14.568008272387067</v>
      </c>
      <c r="G98" s="4"/>
      <c r="H98" s="4">
        <f>+Harvest!H98/Effort!H98</f>
        <v>12.320754716981092</v>
      </c>
      <c r="J98" s="9" t="s">
        <v>10</v>
      </c>
      <c r="K98" s="8"/>
      <c r="L98" s="4">
        <f>+Harvest!L98/Effort!L98</f>
        <v>13.26</v>
      </c>
      <c r="M98" s="8"/>
      <c r="N98" s="9" t="s">
        <v>10</v>
      </c>
      <c r="O98" s="4">
        <f>+Harvest!O98/Effort!O98</f>
        <v>13.503191403724756</v>
      </c>
    </row>
    <row r="99" spans="1:15" x14ac:dyDescent="0.25">
      <c r="A99" s="80">
        <v>45395</v>
      </c>
      <c r="B99" s="8" t="s">
        <v>19</v>
      </c>
      <c r="C99" s="8">
        <v>-0.5</v>
      </c>
      <c r="D99" s="13">
        <v>0.44444444444444442</v>
      </c>
      <c r="E99" s="79" t="s">
        <v>68</v>
      </c>
      <c r="F99" s="4">
        <v>12.5</v>
      </c>
      <c r="G99" s="4"/>
      <c r="H99" s="4">
        <f>+Harvest!H99/Effort!H99</f>
        <v>12.441860465116259</v>
      </c>
      <c r="J99" s="9" t="s">
        <v>10</v>
      </c>
      <c r="K99" s="8"/>
      <c r="L99" s="4">
        <f>+Harvest!L99/Effort!L99</f>
        <v>12.723809523809518</v>
      </c>
      <c r="M99" s="8"/>
      <c r="N99" s="9" t="s">
        <v>10</v>
      </c>
      <c r="O99" s="4">
        <f>+Harvest!O99/Effort!O99</f>
        <v>12.553621554783584</v>
      </c>
    </row>
    <row r="100" spans="1:15" x14ac:dyDescent="0.25">
      <c r="A100" s="80">
        <v>45396</v>
      </c>
      <c r="B100" s="8" t="s">
        <v>20</v>
      </c>
      <c r="C100" s="8">
        <v>0.1</v>
      </c>
      <c r="D100" s="13">
        <v>0.48472222222222222</v>
      </c>
      <c r="E100" s="79"/>
      <c r="F100" s="4">
        <v>11.5</v>
      </c>
      <c r="G100" s="4"/>
      <c r="H100" s="4" t="s">
        <v>10</v>
      </c>
      <c r="I100" s="8"/>
      <c r="J100" s="4">
        <v>11.5</v>
      </c>
      <c r="K100" s="8"/>
      <c r="L100" s="9" t="s">
        <v>10</v>
      </c>
      <c r="M100" s="8"/>
      <c r="N100" s="9" t="s">
        <v>10</v>
      </c>
      <c r="O100" s="4">
        <f>+Harvest!O100/Effort!O100</f>
        <v>11.499999999999998</v>
      </c>
    </row>
    <row r="101" spans="1:15" x14ac:dyDescent="0.25">
      <c r="A101" s="80"/>
      <c r="B101" s="8"/>
      <c r="C101" s="8"/>
      <c r="D101" s="13"/>
      <c r="E101" s="79"/>
      <c r="F101" s="9"/>
      <c r="G101" s="8"/>
      <c r="H101" s="9"/>
      <c r="I101" s="8"/>
      <c r="J101" s="9"/>
      <c r="K101" s="8"/>
      <c r="L101" s="9"/>
      <c r="M101" s="8"/>
      <c r="N101" s="9"/>
      <c r="O101" s="4"/>
    </row>
    <row r="102" spans="1:15" x14ac:dyDescent="0.25">
      <c r="A102" s="80">
        <v>45405</v>
      </c>
      <c r="B102" s="8" t="s">
        <v>66</v>
      </c>
      <c r="C102" s="8">
        <v>0</v>
      </c>
      <c r="D102" s="13">
        <v>0.2902777777777778</v>
      </c>
      <c r="E102" s="79"/>
      <c r="F102" s="9" t="s">
        <v>10</v>
      </c>
      <c r="G102" s="8"/>
      <c r="H102" s="9" t="s">
        <v>10</v>
      </c>
      <c r="I102" s="8"/>
      <c r="J102" s="4">
        <f>+Harvest!J102/Effort!J102</f>
        <v>14.347826086956513</v>
      </c>
      <c r="K102" s="8"/>
      <c r="L102" s="9" t="s">
        <v>10</v>
      </c>
      <c r="M102" s="8"/>
      <c r="N102" s="9" t="s">
        <v>10</v>
      </c>
      <c r="O102" s="4">
        <f>+Harvest!O102/Effort!O102</f>
        <v>14.347826086956513</v>
      </c>
    </row>
    <row r="103" spans="1:15" x14ac:dyDescent="0.25">
      <c r="A103" s="80">
        <v>45406</v>
      </c>
      <c r="B103" s="8" t="s">
        <v>67</v>
      </c>
      <c r="C103" s="8">
        <v>-0.4</v>
      </c>
      <c r="D103" s="13">
        <v>0.3125</v>
      </c>
      <c r="E103" s="79" t="s">
        <v>68</v>
      </c>
      <c r="F103" s="4">
        <v>14.5</v>
      </c>
      <c r="G103" s="8"/>
      <c r="H103" s="9" t="s">
        <v>10</v>
      </c>
      <c r="I103" s="8"/>
      <c r="J103" s="9" t="s">
        <v>10</v>
      </c>
      <c r="K103" s="8"/>
      <c r="L103" s="4">
        <f>+Harvest!L103/Effort!L103</f>
        <v>14.65517241379311</v>
      </c>
      <c r="M103" s="8"/>
      <c r="N103" s="9" t="s">
        <v>10</v>
      </c>
      <c r="O103" s="4">
        <f>+Harvest!O103/Effort!O103</f>
        <v>14.574045342269036</v>
      </c>
    </row>
    <row r="104" spans="1:15" x14ac:dyDescent="0.25">
      <c r="A104" s="80">
        <v>45407</v>
      </c>
      <c r="B104" s="8" t="s">
        <v>22</v>
      </c>
      <c r="C104" s="8">
        <v>-0.6</v>
      </c>
      <c r="D104" s="13">
        <v>0.3354166666666667</v>
      </c>
      <c r="E104" s="79"/>
      <c r="F104" s="4">
        <v>13.1</v>
      </c>
      <c r="G104" s="8"/>
      <c r="H104" s="4">
        <f>+Harvest!H104/Effort!H104</f>
        <v>12.458333333333345</v>
      </c>
      <c r="I104" s="8"/>
      <c r="J104" s="9" t="s">
        <v>10</v>
      </c>
      <c r="K104" s="8"/>
      <c r="L104" s="4">
        <f>+Harvest!L104/Effort!L104</f>
        <v>13.846153846153838</v>
      </c>
      <c r="M104" s="8"/>
      <c r="N104" s="9" t="s">
        <v>10</v>
      </c>
      <c r="O104" s="4">
        <f>+Harvest!O104/Effort!O104</f>
        <v>13.207774827590864</v>
      </c>
    </row>
    <row r="105" spans="1:15" x14ac:dyDescent="0.25">
      <c r="A105" s="80">
        <v>45408</v>
      </c>
      <c r="B105" s="8" t="s">
        <v>18</v>
      </c>
      <c r="C105" s="8">
        <v>-0.7</v>
      </c>
      <c r="D105" s="13">
        <v>0.36041666666666666</v>
      </c>
      <c r="E105" s="79" t="s">
        <v>68</v>
      </c>
      <c r="F105" s="4">
        <v>14</v>
      </c>
      <c r="G105" s="8" t="s">
        <v>68</v>
      </c>
      <c r="H105" s="4">
        <v>14</v>
      </c>
      <c r="I105" s="8"/>
      <c r="J105" s="4">
        <f>+Harvest!J105/Effort!J105</f>
        <v>14.119999999999965</v>
      </c>
      <c r="K105" s="8"/>
      <c r="L105" s="9" t="s">
        <v>10</v>
      </c>
      <c r="M105" s="8"/>
      <c r="N105" s="9" t="s">
        <v>10</v>
      </c>
      <c r="O105" s="4">
        <f>+Harvest!O105/Effort!O105</f>
        <v>14.054649774965688</v>
      </c>
    </row>
    <row r="106" spans="1:15" x14ac:dyDescent="0.25">
      <c r="A106" s="80">
        <v>45409</v>
      </c>
      <c r="B106" s="8" t="s">
        <v>19</v>
      </c>
      <c r="C106" s="8">
        <v>-0.7</v>
      </c>
      <c r="D106" s="13">
        <v>0.38819444444444445</v>
      </c>
      <c r="E106" s="79"/>
      <c r="F106" s="4">
        <v>9.9</v>
      </c>
      <c r="G106" s="8"/>
      <c r="H106" s="4">
        <f>+Harvest!H106/Effort!H106</f>
        <v>13.833333333333321</v>
      </c>
      <c r="I106" s="8"/>
      <c r="J106" s="4">
        <f>+Harvest!J106/Effort!J106</f>
        <v>14.833333333333306</v>
      </c>
      <c r="K106" s="8"/>
      <c r="L106" s="9" t="s">
        <v>10</v>
      </c>
      <c r="M106" s="8"/>
      <c r="N106" s="9" t="s">
        <v>10</v>
      </c>
      <c r="O106" s="4">
        <f>+Harvest!O106/Effort!O106</f>
        <v>13.221292380678749</v>
      </c>
    </row>
    <row r="107" spans="1:15" x14ac:dyDescent="0.25">
      <c r="A107" s="80">
        <v>45410</v>
      </c>
      <c r="B107" s="8" t="s">
        <v>20</v>
      </c>
      <c r="C107" s="8">
        <v>-0.5</v>
      </c>
      <c r="D107" s="13">
        <v>0.4201388888888889</v>
      </c>
      <c r="E107" s="79" t="s">
        <v>68</v>
      </c>
      <c r="F107" s="4">
        <v>11.5</v>
      </c>
      <c r="G107" s="8" t="s">
        <v>68</v>
      </c>
      <c r="H107" s="4">
        <v>11.5</v>
      </c>
      <c r="I107" s="8"/>
      <c r="J107" s="9" t="s">
        <v>10</v>
      </c>
      <c r="K107" s="8"/>
      <c r="L107" s="4">
        <f>+Harvest!L107/Effort!L107</f>
        <v>11.692307692307674</v>
      </c>
      <c r="M107" s="8"/>
      <c r="N107" s="9" t="s">
        <v>10</v>
      </c>
      <c r="O107" s="4">
        <f>+Harvest!O107/Effort!O107</f>
        <v>11.581359119341485</v>
      </c>
    </row>
    <row r="108" spans="1:15" x14ac:dyDescent="0.25">
      <c r="A108" s="80">
        <v>45411</v>
      </c>
      <c r="B108" s="8" t="s">
        <v>21</v>
      </c>
      <c r="C108" s="8">
        <v>-0.3</v>
      </c>
      <c r="D108" s="13">
        <v>0.45694444444444443</v>
      </c>
      <c r="E108" s="79"/>
      <c r="F108" s="4">
        <v>15</v>
      </c>
      <c r="G108" s="8"/>
      <c r="H108" s="9" t="s">
        <v>10</v>
      </c>
      <c r="I108" s="8"/>
      <c r="J108" s="9" t="s">
        <v>10</v>
      </c>
      <c r="K108" s="8"/>
      <c r="L108" s="4">
        <f>+Harvest!L108/Effort!L108</f>
        <v>13.846153846153847</v>
      </c>
      <c r="M108" s="8"/>
      <c r="N108" s="9" t="s">
        <v>10</v>
      </c>
      <c r="O108" s="4">
        <f>+Harvest!O108/Effort!O108</f>
        <v>14.449406429281574</v>
      </c>
    </row>
    <row r="109" spans="1:15" x14ac:dyDescent="0.25">
      <c r="A109" s="80"/>
      <c r="B109" s="8"/>
      <c r="C109" s="8"/>
      <c r="D109" s="13"/>
      <c r="E109" s="79"/>
      <c r="F109" s="9"/>
      <c r="G109" s="8"/>
      <c r="H109" s="9"/>
      <c r="I109" s="8"/>
      <c r="J109" s="9"/>
      <c r="K109" s="8"/>
      <c r="L109" s="9"/>
      <c r="M109" s="8"/>
      <c r="N109" s="9"/>
      <c r="O109" s="4"/>
    </row>
    <row r="110" spans="1:15" x14ac:dyDescent="0.25">
      <c r="A110" s="80">
        <v>45418</v>
      </c>
      <c r="B110" s="8" t="s">
        <v>21</v>
      </c>
      <c r="C110" s="8">
        <v>-0.7</v>
      </c>
      <c r="D110" s="13">
        <v>0.23680555555555557</v>
      </c>
      <c r="E110" s="79"/>
      <c r="F110" s="9" t="s">
        <v>10</v>
      </c>
      <c r="G110" s="8"/>
      <c r="H110" s="9" t="s">
        <v>10</v>
      </c>
      <c r="I110" s="8"/>
      <c r="J110" s="9" t="s">
        <v>10</v>
      </c>
      <c r="K110" s="8"/>
      <c r="L110" s="4">
        <f>+Harvest!L110/Effort!L110</f>
        <v>15.00000000000002</v>
      </c>
      <c r="M110" s="8"/>
      <c r="N110" s="9" t="s">
        <v>10</v>
      </c>
      <c r="O110" s="4">
        <f>+Harvest!O110/Effort!O110</f>
        <v>15.00000000000002</v>
      </c>
    </row>
    <row r="111" spans="1:15" x14ac:dyDescent="0.25">
      <c r="A111" s="80">
        <v>45419</v>
      </c>
      <c r="B111" s="8" t="s">
        <v>66</v>
      </c>
      <c r="C111" s="8">
        <v>-1.5</v>
      </c>
      <c r="D111" s="13">
        <v>0.26944444444444443</v>
      </c>
      <c r="E111" s="79" t="s">
        <v>68</v>
      </c>
      <c r="F111" s="4">
        <v>15</v>
      </c>
      <c r="G111" s="8"/>
      <c r="H111" s="9" t="s">
        <v>10</v>
      </c>
      <c r="I111" s="8"/>
      <c r="J111" s="9" t="s">
        <v>10</v>
      </c>
      <c r="K111" s="8"/>
      <c r="L111" s="4">
        <f>+Harvest!L111/Effort!L111</f>
        <v>15.000000000000044</v>
      </c>
      <c r="M111" s="8"/>
      <c r="N111" s="9" t="s">
        <v>10</v>
      </c>
      <c r="O111" s="4">
        <f>+Harvest!O111/Effort!O111</f>
        <v>15.000000000000016</v>
      </c>
    </row>
    <row r="112" spans="1:15" x14ac:dyDescent="0.25">
      <c r="A112" s="80">
        <v>45420</v>
      </c>
      <c r="B112" s="8" t="s">
        <v>67</v>
      </c>
      <c r="C112" s="8">
        <v>-2</v>
      </c>
      <c r="D112" s="13">
        <v>0.30069444444444443</v>
      </c>
      <c r="E112" s="79" t="s">
        <v>68</v>
      </c>
      <c r="F112" s="4">
        <v>15</v>
      </c>
      <c r="G112" s="8"/>
      <c r="H112" s="9" t="s">
        <v>10</v>
      </c>
      <c r="I112" s="8"/>
      <c r="J112" s="4">
        <f>+Harvest!J112/Effort!J112</f>
        <v>15.010752688172046</v>
      </c>
      <c r="K112" s="8"/>
      <c r="L112" s="9" t="s">
        <v>10</v>
      </c>
      <c r="M112" s="8"/>
      <c r="N112" s="9" t="s">
        <v>10</v>
      </c>
      <c r="O112" s="4">
        <f>+Harvest!O112/Effort!O112</f>
        <v>15.005492534815549</v>
      </c>
    </row>
    <row r="113" spans="1:15" x14ac:dyDescent="0.25">
      <c r="A113" s="80">
        <v>45421</v>
      </c>
      <c r="B113" s="8" t="s">
        <v>22</v>
      </c>
      <c r="C113" s="8">
        <v>-2.1</v>
      </c>
      <c r="D113" s="13">
        <v>0.33124999999999999</v>
      </c>
      <c r="E113" s="79"/>
      <c r="F113" s="4">
        <v>15</v>
      </c>
      <c r="G113" s="8"/>
      <c r="H113" s="4">
        <f>+Harvest!H113/Effort!H113</f>
        <v>13.333333333333332</v>
      </c>
      <c r="I113" s="8"/>
      <c r="J113" s="4">
        <f>+Harvest!J113/Effort!J113</f>
        <v>14.999999999999998</v>
      </c>
      <c r="K113" s="8"/>
      <c r="L113" s="9" t="s">
        <v>10</v>
      </c>
      <c r="M113" s="8"/>
      <c r="N113" s="9" t="s">
        <v>10</v>
      </c>
      <c r="O113" s="4">
        <f>+Harvest!O113/Effort!O113</f>
        <v>14.666992371579353</v>
      </c>
    </row>
    <row r="114" spans="1:15" x14ac:dyDescent="0.25">
      <c r="A114" s="80">
        <v>45422</v>
      </c>
      <c r="B114" s="8" t="s">
        <v>18</v>
      </c>
      <c r="C114" s="8">
        <v>-1.9</v>
      </c>
      <c r="D114" s="13">
        <v>0.36180555555555555</v>
      </c>
      <c r="E114" s="79"/>
      <c r="F114" s="4">
        <f>+Harvest!F114/Effort!F114</f>
        <v>12.215357453938118</v>
      </c>
      <c r="G114" s="8" t="s">
        <v>68</v>
      </c>
      <c r="H114" s="4">
        <v>14</v>
      </c>
      <c r="I114" s="8"/>
      <c r="J114" s="9" t="s">
        <v>10</v>
      </c>
      <c r="K114" s="8"/>
      <c r="L114" s="4">
        <f>+Harvest!L114/Effort!L114</f>
        <v>14.386363636363637</v>
      </c>
      <c r="M114" s="8"/>
      <c r="N114" s="9" t="s">
        <v>10</v>
      </c>
      <c r="O114" s="4">
        <f>+Harvest!O114/Effort!O114</f>
        <v>13.419297005663916</v>
      </c>
    </row>
    <row r="115" spans="1:15" x14ac:dyDescent="0.25">
      <c r="A115" s="80">
        <v>45423</v>
      </c>
      <c r="B115" s="8" t="s">
        <v>19</v>
      </c>
      <c r="C115" s="8">
        <v>-1.4</v>
      </c>
      <c r="D115" s="13">
        <v>0.39374999999999999</v>
      </c>
      <c r="E115" s="79"/>
      <c r="F115" s="4">
        <f>+Harvest!F115/Effort!F115</f>
        <v>13.431916396820581</v>
      </c>
      <c r="G115" s="8"/>
      <c r="H115" s="4">
        <f>+Harvest!H115/Effort!H115</f>
        <v>12.714285714285719</v>
      </c>
      <c r="I115" s="8"/>
      <c r="J115" s="9" t="s">
        <v>10</v>
      </c>
      <c r="K115" s="8"/>
      <c r="L115" s="4">
        <f>+Harvest!L115/Effort!L115</f>
        <v>14.909999999999993</v>
      </c>
      <c r="M115" s="8"/>
      <c r="N115" s="9" t="s">
        <v>10</v>
      </c>
      <c r="O115" s="4">
        <f>+Harvest!O115/Effort!O115</f>
        <v>13.621218232343232</v>
      </c>
    </row>
    <row r="116" spans="1:15" x14ac:dyDescent="0.25">
      <c r="A116" s="80">
        <v>45424</v>
      </c>
      <c r="B116" s="8" t="s">
        <v>20</v>
      </c>
      <c r="C116" s="8">
        <v>-0.8</v>
      </c>
      <c r="D116" s="13">
        <v>0.42777777777777781</v>
      </c>
      <c r="E116" s="79" t="s">
        <v>68</v>
      </c>
      <c r="F116" s="4">
        <v>15</v>
      </c>
      <c r="G116" s="8"/>
      <c r="H116" s="4">
        <f>+Harvest!H116/Effort!H116</f>
        <v>14.583333333333309</v>
      </c>
      <c r="I116" s="8"/>
      <c r="J116" s="4">
        <f>+Harvest!J116/Effort!J116</f>
        <v>14.478260869565222</v>
      </c>
      <c r="K116" s="8"/>
      <c r="L116" s="9" t="s">
        <v>10</v>
      </c>
      <c r="M116" s="8"/>
      <c r="N116" s="9" t="s">
        <v>10</v>
      </c>
      <c r="O116" s="4">
        <f>+Harvest!O116/Effort!O116</f>
        <v>14.688919680043478</v>
      </c>
    </row>
    <row r="117" spans="1:15" x14ac:dyDescent="0.25">
      <c r="A117" s="80"/>
      <c r="B117" s="8"/>
      <c r="C117" s="8"/>
      <c r="D117" s="13"/>
      <c r="E117" s="79"/>
      <c r="F117" s="9"/>
      <c r="G117" s="8"/>
      <c r="H117" s="9"/>
      <c r="I117" s="8"/>
      <c r="J117" s="9"/>
      <c r="K117" s="8"/>
      <c r="L117" s="9"/>
      <c r="M117" s="8"/>
      <c r="N117" s="9"/>
      <c r="O117" s="9"/>
    </row>
    <row r="118" spans="1:15" ht="14.1" customHeight="1" x14ac:dyDescent="0.25">
      <c r="A118" s="18" t="s">
        <v>23</v>
      </c>
      <c r="C118" s="8"/>
      <c r="D118" s="8"/>
      <c r="E118" s="6"/>
      <c r="F118" s="4">
        <f>Harvest!F118/Effort!F118</f>
        <v>12.635614139818614</v>
      </c>
      <c r="G118" s="21"/>
      <c r="H118" s="4">
        <f>Harvest!H118/Effort!H118</f>
        <v>12.356362273301984</v>
      </c>
      <c r="I118" s="21"/>
      <c r="J118" s="4">
        <f>Harvest!J118/Effort!J118</f>
        <v>12.610344554835667</v>
      </c>
      <c r="K118" s="21"/>
      <c r="L118" s="4">
        <f>Harvest!L118/Effort!L118</f>
        <v>12.742126750100498</v>
      </c>
      <c r="N118" s="50">
        <v>0</v>
      </c>
      <c r="O118" s="4">
        <f>+Harvest!O118/Effort!O118</f>
        <v>12.576050713068867</v>
      </c>
    </row>
    <row r="119" spans="1:15" ht="14.1" customHeight="1" x14ac:dyDescent="0.25">
      <c r="A119" s="19" t="s">
        <v>16</v>
      </c>
      <c r="C119" s="8"/>
      <c r="D119" s="8"/>
      <c r="E119" s="6"/>
      <c r="F119" s="21"/>
    </row>
    <row r="120" spans="1:15" ht="14.1" customHeight="1" x14ac:dyDescent="0.25">
      <c r="A120" s="11" t="s">
        <v>17</v>
      </c>
      <c r="C120" s="8"/>
      <c r="D120" s="8"/>
      <c r="E120" s="6"/>
      <c r="F120" s="21"/>
    </row>
    <row r="121" spans="1:15" ht="14.1" customHeight="1" x14ac:dyDescent="0.25"/>
    <row r="122" spans="1:15" ht="14.1" customHeight="1" x14ac:dyDescent="0.25"/>
    <row r="123" spans="1:15" ht="14.1" customHeight="1" x14ac:dyDescent="0.25"/>
    <row r="124" spans="1:15" ht="14.1" customHeight="1" x14ac:dyDescent="0.25"/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24"/>
  <sheetViews>
    <sheetView topLeftCell="A93" zoomScale="90" zoomScaleNormal="90" workbookViewId="0">
      <selection activeCell="F133" sqref="F133"/>
    </sheetView>
  </sheetViews>
  <sheetFormatPr defaultRowHeight="15" x14ac:dyDescent="0.25"/>
  <cols>
    <col min="1" max="1" width="8.7109375" customWidth="1"/>
    <col min="20" max="20" width="10.85546875" style="20" customWidth="1"/>
    <col min="24" max="24" width="9.85546875" customWidth="1"/>
  </cols>
  <sheetData>
    <row r="1" spans="1:24" ht="15.75" thickBot="1" x14ac:dyDescent="0.3">
      <c r="A1" s="34" t="s">
        <v>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45"/>
      <c r="U1" s="34"/>
      <c r="V1" s="87"/>
    </row>
    <row r="2" spans="1:24" ht="15.75" thickTop="1" x14ac:dyDescent="0.25">
      <c r="A2" s="35"/>
      <c r="B2" s="35"/>
      <c r="C2" s="35"/>
      <c r="D2" s="35"/>
      <c r="E2" s="133" t="s">
        <v>38</v>
      </c>
      <c r="F2" s="134"/>
      <c r="G2" s="135"/>
      <c r="H2" s="133" t="s">
        <v>39</v>
      </c>
      <c r="I2" s="134"/>
      <c r="J2" s="135"/>
      <c r="K2" s="133" t="s">
        <v>40</v>
      </c>
      <c r="L2" s="134"/>
      <c r="M2" s="135"/>
      <c r="N2" s="133" t="s">
        <v>41</v>
      </c>
      <c r="O2" s="134"/>
      <c r="P2" s="135"/>
      <c r="Q2" s="136" t="s">
        <v>42</v>
      </c>
      <c r="R2" s="137"/>
      <c r="S2" s="138"/>
      <c r="T2" s="131" t="s">
        <v>45</v>
      </c>
      <c r="U2" s="132"/>
      <c r="V2" s="42"/>
      <c r="W2" s="8" t="s">
        <v>57</v>
      </c>
      <c r="X2" s="8" t="s">
        <v>58</v>
      </c>
    </row>
    <row r="3" spans="1:24" ht="15.75" thickBot="1" x14ac:dyDescent="0.3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25</v>
      </c>
      <c r="F3" s="36" t="s">
        <v>26</v>
      </c>
      <c r="G3" s="36" t="s">
        <v>27</v>
      </c>
      <c r="H3" s="37" t="s">
        <v>25</v>
      </c>
      <c r="I3" s="36" t="s">
        <v>26</v>
      </c>
      <c r="J3" s="36" t="s">
        <v>27</v>
      </c>
      <c r="K3" s="37" t="s">
        <v>25</v>
      </c>
      <c r="L3" s="36" t="s">
        <v>26</v>
      </c>
      <c r="M3" s="36" t="s">
        <v>27</v>
      </c>
      <c r="N3" s="37" t="s">
        <v>25</v>
      </c>
      <c r="O3" s="36" t="s">
        <v>26</v>
      </c>
      <c r="P3" s="36" t="s">
        <v>27</v>
      </c>
      <c r="Q3" s="37" t="s">
        <v>25</v>
      </c>
      <c r="R3" s="36" t="s">
        <v>26</v>
      </c>
      <c r="S3" s="36" t="s">
        <v>27</v>
      </c>
      <c r="T3" s="46" t="s">
        <v>25</v>
      </c>
      <c r="U3" s="38" t="s">
        <v>26</v>
      </c>
      <c r="V3" s="42"/>
    </row>
    <row r="4" spans="1:24" ht="15.75" thickTop="1" x14ac:dyDescent="0.25">
      <c r="A4" s="39">
        <v>45198</v>
      </c>
      <c r="B4" s="40" t="s">
        <v>18</v>
      </c>
      <c r="C4" s="8">
        <v>-0.4</v>
      </c>
      <c r="D4" s="13">
        <v>0.8041666666666667</v>
      </c>
      <c r="E4" s="103">
        <f>Effort!F2</f>
        <v>2988.7370477849299</v>
      </c>
      <c r="F4" s="104">
        <f>Harvest!F2</f>
        <v>44532.182011995457</v>
      </c>
      <c r="G4" s="105">
        <f>+CPUE!F2</f>
        <v>14.9</v>
      </c>
      <c r="H4" s="103">
        <f>Effort!H2</f>
        <v>2761.0167537755901</v>
      </c>
      <c r="I4" s="104">
        <f>Harvest!H2</f>
        <v>41038.749022028198</v>
      </c>
      <c r="J4" s="105">
        <f>CPUE!H2</f>
        <v>14.863636363636402</v>
      </c>
      <c r="K4" s="41" t="str">
        <f>Effort!J2</f>
        <v>CLOSED</v>
      </c>
      <c r="L4" s="42" t="str">
        <f>Harvest!J2</f>
        <v>CLOSED</v>
      </c>
      <c r="M4" s="43" t="str">
        <f>CPUE!J2</f>
        <v>CLOSED</v>
      </c>
      <c r="N4" s="41" t="str">
        <f>Effort!L2</f>
        <v>CLOSED</v>
      </c>
      <c r="O4" s="42" t="str">
        <f>Harvest!L2</f>
        <v>CLOSED</v>
      </c>
      <c r="P4" s="43" t="str">
        <f>CPUE!L2</f>
        <v>CLOSED</v>
      </c>
      <c r="Q4" s="41" t="s">
        <v>10</v>
      </c>
      <c r="R4" s="42" t="s">
        <v>10</v>
      </c>
      <c r="S4" s="44" t="s">
        <v>10</v>
      </c>
      <c r="T4" s="41">
        <f>SUM(E4,H4,N4)</f>
        <v>5749.7538015605205</v>
      </c>
      <c r="U4" s="42">
        <f>SUM(F4,I4,O4)</f>
        <v>85570.931034023655</v>
      </c>
      <c r="V4" s="42"/>
    </row>
    <row r="5" spans="1:24" x14ac:dyDescent="0.25">
      <c r="A5" s="39">
        <v>45199</v>
      </c>
      <c r="B5" s="40" t="s">
        <v>19</v>
      </c>
      <c r="C5" s="8">
        <v>-0.9</v>
      </c>
      <c r="D5" s="13">
        <v>0.83611111111111114</v>
      </c>
      <c r="E5" s="41">
        <f>Effort!F3</f>
        <v>4253.9595372949343</v>
      </c>
      <c r="F5" s="42">
        <f>Harvest!F3</f>
        <v>63383.997105694521</v>
      </c>
      <c r="G5" s="43">
        <f>+CPUE!F3</f>
        <v>14.9</v>
      </c>
      <c r="H5" s="103">
        <f>Effort!H3</f>
        <v>3929.8383780733202</v>
      </c>
      <c r="I5" s="104">
        <f>Harvest!H3</f>
        <v>58456.345873840597</v>
      </c>
      <c r="J5" s="105">
        <f>CPUE!H3</f>
        <v>14.874999999999989</v>
      </c>
      <c r="K5" s="103">
        <f>Effort!J3</f>
        <v>4894.3942502325799</v>
      </c>
      <c r="L5" s="104">
        <f>Harvest!J3</f>
        <v>72769.484324212695</v>
      </c>
      <c r="M5" s="105">
        <f>CPUE!J3</f>
        <v>14.867924528301886</v>
      </c>
      <c r="N5" s="41" t="str">
        <f>Effort!L3</f>
        <v>CLOSED</v>
      </c>
      <c r="O5" s="42" t="str">
        <f>Harvest!L3</f>
        <v>CLOSED</v>
      </c>
      <c r="P5" s="43" t="str">
        <f>CPUE!L3</f>
        <v>CLOSED</v>
      </c>
      <c r="Q5" s="41" t="s">
        <v>10</v>
      </c>
      <c r="R5" s="42" t="s">
        <v>10</v>
      </c>
      <c r="S5" s="44" t="s">
        <v>10</v>
      </c>
      <c r="T5" s="41">
        <f>SUM(E5,H5,K5)</f>
        <v>13078.192165600834</v>
      </c>
      <c r="U5" s="42">
        <f>SUM(F5,I5,L5)</f>
        <v>194609.82730374782</v>
      </c>
      <c r="V5" s="42"/>
    </row>
    <row r="6" spans="1:24" x14ac:dyDescent="0.25">
      <c r="A6" s="39">
        <v>45200</v>
      </c>
      <c r="B6" s="40" t="s">
        <v>20</v>
      </c>
      <c r="C6" s="8">
        <v>-1</v>
      </c>
      <c r="D6" s="13">
        <v>0.86736111111111114</v>
      </c>
      <c r="E6" s="41">
        <f>Effort!F4</f>
        <v>2134.3396560233491</v>
      </c>
      <c r="F6" s="42">
        <f>Harvest!F4</f>
        <v>30947.925012338561</v>
      </c>
      <c r="G6" s="43">
        <f>+CPUE!F4</f>
        <v>14.5</v>
      </c>
      <c r="H6" s="103">
        <f>Effort!H4</f>
        <v>1971.71830586287</v>
      </c>
      <c r="I6" s="104">
        <f>Harvest!H4</f>
        <v>28720.123247662999</v>
      </c>
      <c r="J6" s="105">
        <f>CPUE!H4</f>
        <v>14.566037735849088</v>
      </c>
      <c r="K6" s="41" t="str">
        <f>Effort!J4</f>
        <v>CLOSED</v>
      </c>
      <c r="L6" s="42" t="str">
        <f>Harvest!J4</f>
        <v>CLOSED</v>
      </c>
      <c r="M6" s="43" t="str">
        <f>CPUE!J4</f>
        <v>CLOSED</v>
      </c>
      <c r="N6" s="41" t="str">
        <f>Effort!L4</f>
        <v>CLOSED</v>
      </c>
      <c r="O6" s="42" t="str">
        <f>Harvest!L4</f>
        <v>CLOSED</v>
      </c>
      <c r="P6" s="43" t="str">
        <f>CPUE!L4</f>
        <v>CLOSED</v>
      </c>
      <c r="Q6" s="41" t="s">
        <v>10</v>
      </c>
      <c r="R6" s="42" t="s">
        <v>10</v>
      </c>
      <c r="S6" s="44" t="s">
        <v>10</v>
      </c>
      <c r="T6" s="41">
        <f>SUM(E6,H6,N6)</f>
        <v>4106.0579618862193</v>
      </c>
      <c r="U6" s="42">
        <f>SUM(F6,I6,O6)</f>
        <v>59668.04826000156</v>
      </c>
      <c r="V6" s="42"/>
    </row>
    <row r="7" spans="1:24" x14ac:dyDescent="0.25">
      <c r="A7" s="39">
        <v>45201</v>
      </c>
      <c r="B7" s="40" t="s">
        <v>21</v>
      </c>
      <c r="C7" s="8">
        <v>-0.9</v>
      </c>
      <c r="D7" s="13">
        <v>0.9</v>
      </c>
      <c r="E7" s="103">
        <f>Effort!F5</f>
        <v>187.6335443982187</v>
      </c>
      <c r="F7" s="104">
        <f>Harvest!F5</f>
        <v>394.03044323625932</v>
      </c>
      <c r="G7" s="105">
        <f>+CPUE!F5</f>
        <v>2.1</v>
      </c>
      <c r="H7" s="41">
        <f>Effort!H5</f>
        <v>454.5980131977438</v>
      </c>
      <c r="I7" s="42">
        <f>Harvest!H5</f>
        <v>2272.9900659887189</v>
      </c>
      <c r="J7" s="43">
        <f>CPUE!H5</f>
        <v>5</v>
      </c>
      <c r="K7" s="103">
        <f>Effort!J5</f>
        <v>566.17643981914398</v>
      </c>
      <c r="L7" s="104">
        <f>Harvest!J5</f>
        <v>4367.6468214619699</v>
      </c>
      <c r="M7" s="105">
        <f>CPUE!J5</f>
        <v>7.714285714285718</v>
      </c>
      <c r="N7" s="41" t="str">
        <f>Effort!L5</f>
        <v>CLOSED</v>
      </c>
      <c r="O7" s="42" t="str">
        <f>Harvest!L5</f>
        <v>CLOSED</v>
      </c>
      <c r="P7" s="43" t="str">
        <f>CPUE!L5</f>
        <v>CLOSED</v>
      </c>
      <c r="Q7" s="41" t="s">
        <v>10</v>
      </c>
      <c r="R7" s="42" t="s">
        <v>10</v>
      </c>
      <c r="S7" s="44" t="s">
        <v>10</v>
      </c>
      <c r="T7" s="41">
        <f>SUM(E7,H7,K7)</f>
        <v>1208.4079974151064</v>
      </c>
      <c r="U7" s="42">
        <f>SUM(F7,I7,L7)</f>
        <v>7034.6673306869479</v>
      </c>
      <c r="V7" s="42"/>
    </row>
    <row r="8" spans="1:24" x14ac:dyDescent="0.25">
      <c r="A8" s="129" t="s">
        <v>50</v>
      </c>
      <c r="B8" s="129"/>
      <c r="C8" s="129"/>
      <c r="D8" s="130"/>
      <c r="E8" s="47">
        <f>SUM(E4:E7)</f>
        <v>9564.6697855014318</v>
      </c>
      <c r="F8" s="48">
        <f>SUM(F4:F7)</f>
        <v>139258.1345732648</v>
      </c>
      <c r="G8" s="49">
        <f>+F8/E8</f>
        <v>14.559638513015758</v>
      </c>
      <c r="H8" s="47">
        <f>SUM(H4:H7)</f>
        <v>9117.1714509095236</v>
      </c>
      <c r="I8" s="48">
        <f>SUM(I4:I7)</f>
        <v>130488.20820952051</v>
      </c>
      <c r="J8" s="49">
        <f>+I8/H8</f>
        <v>14.312356514530951</v>
      </c>
      <c r="K8" s="47">
        <f>SUM(K4:K7)</f>
        <v>5460.5706900517234</v>
      </c>
      <c r="L8" s="48">
        <f>SUM(L4:L7)</f>
        <v>77137.131145674663</v>
      </c>
      <c r="M8" s="49">
        <f>+L8/K8</f>
        <v>14.126203198175977</v>
      </c>
      <c r="N8" s="47">
        <f>SUM(N4:N7)</f>
        <v>0</v>
      </c>
      <c r="O8" s="48">
        <v>0</v>
      </c>
      <c r="P8" s="49">
        <v>0</v>
      </c>
      <c r="Q8" s="47"/>
      <c r="R8" s="48"/>
      <c r="S8" s="49"/>
      <c r="T8" s="47">
        <f>SUM(T4:T7)</f>
        <v>24142.411926462682</v>
      </c>
      <c r="U8" s="48">
        <f>SUM(U4:U7)</f>
        <v>346883.47392845998</v>
      </c>
      <c r="V8" s="63"/>
      <c r="W8" s="20">
        <f>SUM(H8,K8,N8,Q8,E8)</f>
        <v>24142.411926462679</v>
      </c>
      <c r="X8" s="20">
        <f>SUM(R8,O8,L8,I8,F8)</f>
        <v>346883.47392845998</v>
      </c>
    </row>
    <row r="9" spans="1:24" x14ac:dyDescent="0.25">
      <c r="A9" s="39">
        <v>45213</v>
      </c>
      <c r="B9" s="40" t="s">
        <v>19</v>
      </c>
      <c r="C9" s="8">
        <v>0.2</v>
      </c>
      <c r="D9" s="13">
        <v>0.80347222222222225</v>
      </c>
      <c r="E9" s="103">
        <f>Effort!F7</f>
        <v>2046.3485917937671</v>
      </c>
      <c r="F9" s="104">
        <f>Harvest!F7</f>
        <v>13563.489711467719</v>
      </c>
      <c r="G9" s="105">
        <f>+CPUE!F7</f>
        <v>6.628142324264692</v>
      </c>
      <c r="H9" s="41">
        <f>Effort!H7</f>
        <v>2003.96372652524</v>
      </c>
      <c r="I9" s="42">
        <f>Harvest!H7</f>
        <v>21041.61912851502</v>
      </c>
      <c r="J9" s="43">
        <f>CPUE!H7</f>
        <v>10.5</v>
      </c>
      <c r="K9" s="41" t="str">
        <f>Effort!J7</f>
        <v>CLOSED</v>
      </c>
      <c r="L9" s="42" t="str">
        <f>Harvest!J7</f>
        <v>CLOSED</v>
      </c>
      <c r="M9" s="43" t="str">
        <f>CPUE!J7</f>
        <v>CLOSED</v>
      </c>
      <c r="N9" s="103">
        <f>Effort!L7</f>
        <v>1765.40393744314</v>
      </c>
      <c r="O9" s="104">
        <f>Harvest!L7</f>
        <v>22050.241336299601</v>
      </c>
      <c r="P9" s="105">
        <f>CPUE!L7</f>
        <v>12.490196078431367</v>
      </c>
      <c r="Q9" s="41" t="s">
        <v>10</v>
      </c>
      <c r="R9" s="42" t="s">
        <v>10</v>
      </c>
      <c r="S9" s="44" t="s">
        <v>10</v>
      </c>
      <c r="T9" s="41">
        <f>SUM(E9,H9,N9)</f>
        <v>5815.7162557621468</v>
      </c>
      <c r="U9" s="42">
        <f>SUM(F9,I9,O9)</f>
        <v>56655.350176282343</v>
      </c>
      <c r="V9" s="42"/>
    </row>
    <row r="10" spans="1:24" x14ac:dyDescent="0.25">
      <c r="A10" s="39">
        <v>45214</v>
      </c>
      <c r="B10" s="40" t="s">
        <v>20</v>
      </c>
      <c r="C10" s="8">
        <v>-0.1</v>
      </c>
      <c r="D10" s="13">
        <v>0.82777777777777783</v>
      </c>
      <c r="E10" s="41">
        <f>Effort!F8</f>
        <v>1317.8028498004965</v>
      </c>
      <c r="F10" s="42">
        <f>Harvest!F8</f>
        <v>6589.0142490024828</v>
      </c>
      <c r="G10" s="43">
        <f>+CPUE!F8</f>
        <v>5</v>
      </c>
      <c r="H10" s="103">
        <f>Effort!H8</f>
        <v>858.22633169735798</v>
      </c>
      <c r="I10" s="104">
        <f>Harvest!H8</f>
        <v>3269.4336445613599</v>
      </c>
      <c r="J10" s="105">
        <f>CPUE!H8</f>
        <v>3.8095238095238049</v>
      </c>
      <c r="K10" s="103">
        <f>Effort!J8</f>
        <v>1476.99083050996</v>
      </c>
      <c r="L10" s="104">
        <f>Harvest!J8</f>
        <v>13056.598941708</v>
      </c>
      <c r="M10" s="105">
        <f>CPUE!J8</f>
        <v>8.8399999999999679</v>
      </c>
      <c r="N10" s="41" t="str">
        <f>Effort!L8</f>
        <v>CLOSED</v>
      </c>
      <c r="O10" s="42" t="str">
        <f>Harvest!L8</f>
        <v>CLOSED</v>
      </c>
      <c r="P10" s="43" t="str">
        <f>CPUE!L8</f>
        <v>CLOSED</v>
      </c>
      <c r="Q10" s="41" t="s">
        <v>10</v>
      </c>
      <c r="R10" s="42" t="s">
        <v>10</v>
      </c>
      <c r="S10" s="44" t="s">
        <v>10</v>
      </c>
      <c r="T10" s="41">
        <f>SUM(E10,H10,K10)</f>
        <v>3653.0200120078143</v>
      </c>
      <c r="U10" s="42">
        <f>SUM(F10,I10,L10)</f>
        <v>22915.046835271845</v>
      </c>
      <c r="V10" s="42"/>
    </row>
    <row r="11" spans="1:24" x14ac:dyDescent="0.25">
      <c r="A11" s="39">
        <v>45215</v>
      </c>
      <c r="B11" s="40" t="s">
        <v>21</v>
      </c>
      <c r="C11" s="8">
        <v>-0.3</v>
      </c>
      <c r="D11" s="13">
        <v>0.85277777777777775</v>
      </c>
      <c r="E11" s="41">
        <f>Effort!F9</f>
        <v>330.12069156235435</v>
      </c>
      <c r="F11" s="42">
        <f>Harvest!F9</f>
        <v>4291.5689903106068</v>
      </c>
      <c r="G11" s="43">
        <f>+CPUE!F9</f>
        <v>13</v>
      </c>
      <c r="H11" s="103">
        <f>Effort!H9</f>
        <v>323.28308770036602</v>
      </c>
      <c r="I11" s="104">
        <f>Harvest!H9</f>
        <v>4238.6004831825703</v>
      </c>
      <c r="J11" s="105">
        <f>CPUE!H9</f>
        <v>13.111111111111091</v>
      </c>
      <c r="K11" s="41" t="str">
        <f>Effort!J9</f>
        <v>CLOSED</v>
      </c>
      <c r="L11" s="42" t="str">
        <f>Harvest!J9</f>
        <v>CLOSED</v>
      </c>
      <c r="M11" s="43" t="str">
        <f>CPUE!J9</f>
        <v>CLOSED</v>
      </c>
      <c r="N11" s="103">
        <f>Effort!L9</f>
        <v>284.798186903616</v>
      </c>
      <c r="O11" s="104">
        <f>Harvest!L9</f>
        <v>3987.17461665063</v>
      </c>
      <c r="P11" s="105">
        <f>CPUE!L9</f>
        <v>14.000000000000021</v>
      </c>
      <c r="Q11" s="41" t="s">
        <v>10</v>
      </c>
      <c r="R11" s="42" t="s">
        <v>10</v>
      </c>
      <c r="S11" s="44" t="s">
        <v>10</v>
      </c>
      <c r="T11" s="41">
        <f>SUM(E11,H11,N11)</f>
        <v>938.20196616633643</v>
      </c>
      <c r="U11" s="42">
        <f>SUM(F11,I11,O11)</f>
        <v>12517.344090143808</v>
      </c>
      <c r="V11" s="42"/>
    </row>
    <row r="12" spans="1:24" x14ac:dyDescent="0.25">
      <c r="A12" s="39">
        <v>45216</v>
      </c>
      <c r="B12" s="40" t="s">
        <v>66</v>
      </c>
      <c r="C12" s="8">
        <v>-0.4</v>
      </c>
      <c r="D12" s="13">
        <v>0.87916666666666676</v>
      </c>
      <c r="E12" s="103">
        <f>Effort!F10</f>
        <v>351.83275789788343</v>
      </c>
      <c r="F12" s="104">
        <f>Harvest!F10</f>
        <v>4433.092749513331</v>
      </c>
      <c r="G12" s="105">
        <f>+CPUE!F10</f>
        <v>12.6</v>
      </c>
      <c r="H12" s="41">
        <f>Effort!H10</f>
        <v>229.13301274722392</v>
      </c>
      <c r="I12" s="42">
        <f>Harvest!H10</f>
        <v>2978.7291657139108</v>
      </c>
      <c r="J12" s="43">
        <f>CPUE!H10</f>
        <v>13</v>
      </c>
      <c r="K12" s="103">
        <f>Effort!J10</f>
        <v>394.33345994575399</v>
      </c>
      <c r="L12" s="104">
        <f>Harvest!J10</f>
        <v>5366.3640418704799</v>
      </c>
      <c r="M12" s="105">
        <f>CPUE!J10</f>
        <v>13.608695652173918</v>
      </c>
      <c r="N12" s="41" t="str">
        <f>Effort!L10</f>
        <v>CLOSED</v>
      </c>
      <c r="O12" s="42" t="str">
        <f>Harvest!L10</f>
        <v>CLOSED</v>
      </c>
      <c r="P12" s="43" t="str">
        <f>CPUE!L10</f>
        <v>CLOSED</v>
      </c>
      <c r="Q12" s="41" t="s">
        <v>10</v>
      </c>
      <c r="R12" s="42" t="s">
        <v>10</v>
      </c>
      <c r="S12" s="44" t="s">
        <v>10</v>
      </c>
      <c r="T12" s="41">
        <f>SUM(E12,H12,K12)</f>
        <v>975.29923059086127</v>
      </c>
      <c r="U12" s="42">
        <f>SUM(F12,I12,L12)</f>
        <v>12778.185957097721</v>
      </c>
      <c r="V12" s="42"/>
    </row>
    <row r="13" spans="1:24" x14ac:dyDescent="0.25">
      <c r="A13" s="39">
        <v>45217</v>
      </c>
      <c r="B13" s="40" t="s">
        <v>67</v>
      </c>
      <c r="C13" s="8">
        <v>-0.3</v>
      </c>
      <c r="D13" s="13">
        <v>0.90902777777777777</v>
      </c>
      <c r="E13" s="41" t="str">
        <f>Effort!F11</f>
        <v>CLOSED</v>
      </c>
      <c r="F13" s="42" t="str">
        <f>Harvest!F11</f>
        <v>CLOSED</v>
      </c>
      <c r="G13" s="43" t="str">
        <f>+CPUE!F11</f>
        <v>CLOSED</v>
      </c>
      <c r="H13" s="41" t="str">
        <f>Effort!H11</f>
        <v>CLOSED</v>
      </c>
      <c r="I13" s="42" t="str">
        <f>Harvest!H11</f>
        <v>CLOSED</v>
      </c>
      <c r="J13" s="43" t="str">
        <f>CPUE!H11</f>
        <v>CLOSED</v>
      </c>
      <c r="K13" s="41" t="str">
        <f>Effort!J11</f>
        <v>CLOSED</v>
      </c>
      <c r="L13" s="42" t="str">
        <f>Harvest!J11</f>
        <v>CLOSED</v>
      </c>
      <c r="M13" s="43" t="str">
        <f>CPUE!J11</f>
        <v>CLOSED</v>
      </c>
      <c r="N13" s="103">
        <f>Effort!L11</f>
        <v>407.60234680324498</v>
      </c>
      <c r="O13" s="104">
        <f>Harvest!L11</f>
        <v>3764.3275557711499</v>
      </c>
      <c r="P13" s="105">
        <f>CPUE!L11</f>
        <v>9.2352941176470722</v>
      </c>
      <c r="Q13" s="41" t="s">
        <v>10</v>
      </c>
      <c r="R13" s="42" t="s">
        <v>10</v>
      </c>
      <c r="S13" s="44" t="s">
        <v>10</v>
      </c>
      <c r="T13" s="41">
        <f>SUM(E13,H13,N13)</f>
        <v>407.60234680324498</v>
      </c>
      <c r="U13" s="42">
        <f>SUM(F13,I13,O13)</f>
        <v>3764.3275557711499</v>
      </c>
      <c r="V13" s="42"/>
    </row>
    <row r="14" spans="1:24" x14ac:dyDescent="0.25">
      <c r="A14" s="129" t="s">
        <v>50</v>
      </c>
      <c r="B14" s="129"/>
      <c r="C14" s="129"/>
      <c r="D14" s="130"/>
      <c r="E14" s="47">
        <f>SUM(E9:E13)</f>
        <v>4046.1048910545014</v>
      </c>
      <c r="F14" s="48">
        <f>SUM(F9:F13)</f>
        <v>28877.165700294143</v>
      </c>
      <c r="G14" s="49">
        <f>+F14/E14</f>
        <v>7.1370284453421906</v>
      </c>
      <c r="H14" s="47">
        <f>SUM(H9:H13)</f>
        <v>3414.6061586701881</v>
      </c>
      <c r="I14" s="48">
        <f>SUM(I9:I13)</f>
        <v>31528.382421972859</v>
      </c>
      <c r="J14" s="49">
        <f>+I14/H14</f>
        <v>9.2333876754476218</v>
      </c>
      <c r="K14" s="47">
        <f>SUM(K9:K13)</f>
        <v>1871.3242904557139</v>
      </c>
      <c r="L14" s="48">
        <f>SUM(L9:L13)</f>
        <v>18422.96298357848</v>
      </c>
      <c r="M14" s="49">
        <f>+L14/K14</f>
        <v>9.8448799481419815</v>
      </c>
      <c r="N14" s="47">
        <f>SUM(N9:N13)</f>
        <v>2457.8044711500011</v>
      </c>
      <c r="O14" s="48">
        <f>SUM(O9:O13)</f>
        <v>29801.743508721382</v>
      </c>
      <c r="P14" s="49">
        <f>+O14/N14</f>
        <v>12.125351653696526</v>
      </c>
      <c r="Q14" s="47"/>
      <c r="R14" s="48"/>
      <c r="S14" s="49"/>
      <c r="T14" s="47">
        <f>SUM(T9:T13)</f>
        <v>11789.839811330403</v>
      </c>
      <c r="U14" s="48">
        <f>SUM(U9:U13)</f>
        <v>108630.25461456686</v>
      </c>
      <c r="V14" s="63"/>
      <c r="W14" s="20">
        <f>SUM(H14,K14,N14,Q14,E14)</f>
        <v>11789.839811330405</v>
      </c>
      <c r="X14" s="20">
        <f>SUM(R14,O14,L14,I14,F14)</f>
        <v>108630.25461456686</v>
      </c>
    </row>
    <row r="15" spans="1:24" s="114" customFormat="1" x14ac:dyDescent="0.25">
      <c r="A15" s="109">
        <v>45226</v>
      </c>
      <c r="B15" s="110" t="s">
        <v>18</v>
      </c>
      <c r="C15" s="111">
        <v>-0.4</v>
      </c>
      <c r="D15" s="112">
        <v>0.76250000000000007</v>
      </c>
      <c r="E15" s="103">
        <f>Effort!F13</f>
        <v>2370.3999880464953</v>
      </c>
      <c r="F15" s="104">
        <f>Harvest!F13</f>
        <v>34747.418269698901</v>
      </c>
      <c r="G15" s="105">
        <f>+CPUE!F13</f>
        <v>14.658883920403282</v>
      </c>
      <c r="H15" s="106">
        <f>Effort!H13</f>
        <v>2389.6520864055901</v>
      </c>
      <c r="I15" s="107">
        <f>Harvest!H13</f>
        <v>35127.88567016217</v>
      </c>
      <c r="J15" s="108">
        <f>CPUE!H13</f>
        <v>14.7</v>
      </c>
      <c r="K15" s="106" t="str">
        <f>Effort!J13</f>
        <v>CLOSED</v>
      </c>
      <c r="L15" s="107" t="str">
        <f>Harvest!J13</f>
        <v>CLOSED</v>
      </c>
      <c r="M15" s="108" t="str">
        <f>CPUE!J13</f>
        <v>CLOSED</v>
      </c>
      <c r="N15" s="103">
        <f>Effort!L13</f>
        <v>1854.54330265823</v>
      </c>
      <c r="O15" s="104">
        <f>Harvest!L13</f>
        <v>27143.770157088598</v>
      </c>
      <c r="P15" s="105">
        <f>CPUE!L13</f>
        <v>14.636363636363614</v>
      </c>
      <c r="Q15" s="106" t="s">
        <v>10</v>
      </c>
      <c r="R15" s="107" t="s">
        <v>10</v>
      </c>
      <c r="S15" s="113" t="s">
        <v>10</v>
      </c>
      <c r="T15" s="106">
        <f>SUM(E15,H15,N15)</f>
        <v>6614.5953771103159</v>
      </c>
      <c r="U15" s="107">
        <f>SUM(F15,I15,O15)</f>
        <v>97019.074096949669</v>
      </c>
      <c r="V15" s="107"/>
    </row>
    <row r="16" spans="1:24" s="114" customFormat="1" x14ac:dyDescent="0.25">
      <c r="A16" s="109">
        <v>45227</v>
      </c>
      <c r="B16" s="110" t="s">
        <v>19</v>
      </c>
      <c r="C16" s="111">
        <v>-1</v>
      </c>
      <c r="D16" s="112">
        <v>0.79375000000000007</v>
      </c>
      <c r="E16" s="103">
        <f>Effort!F14</f>
        <v>4305.8988351462121</v>
      </c>
      <c r="F16" s="104">
        <f>Harvest!F14</f>
        <v>64588.482527193184</v>
      </c>
      <c r="G16" s="105">
        <f>+CPUE!F14</f>
        <v>15</v>
      </c>
      <c r="H16" s="106">
        <f>Effort!H14</f>
        <v>4132.6285894096272</v>
      </c>
      <c r="I16" s="107">
        <f>Harvest!H14</f>
        <v>61989.428841144407</v>
      </c>
      <c r="J16" s="108">
        <f>CPUE!H14</f>
        <v>15</v>
      </c>
      <c r="K16" s="103">
        <f>Effort!J14</f>
        <v>5902.8030789941804</v>
      </c>
      <c r="L16" s="104">
        <f>Harvest!J14</f>
        <v>88542.046184912702</v>
      </c>
      <c r="M16" s="105">
        <f>CPUE!J14</f>
        <v>15</v>
      </c>
      <c r="N16" s="106" t="str">
        <f>Effort!L14</f>
        <v>CLOSED</v>
      </c>
      <c r="O16" s="107" t="str">
        <f>Harvest!L14</f>
        <v>CLOSED</v>
      </c>
      <c r="P16" s="108" t="str">
        <f>CPUE!L14</f>
        <v>CLOSED</v>
      </c>
      <c r="Q16" s="106" t="s">
        <v>10</v>
      </c>
      <c r="R16" s="107" t="s">
        <v>10</v>
      </c>
      <c r="S16" s="113" t="s">
        <v>10</v>
      </c>
      <c r="T16" s="106">
        <f>SUM(E16,H16,K16)</f>
        <v>14341.33050355002</v>
      </c>
      <c r="U16" s="107">
        <f>SUM(F16,I16,L16)</f>
        <v>215119.95755325031</v>
      </c>
      <c r="V16" s="107"/>
    </row>
    <row r="17" spans="1:24" s="114" customFormat="1" x14ac:dyDescent="0.25">
      <c r="A17" s="109">
        <v>45228</v>
      </c>
      <c r="B17" s="110" t="s">
        <v>20</v>
      </c>
      <c r="C17" s="111">
        <v>-1.3</v>
      </c>
      <c r="D17" s="112">
        <v>0.82361111111111107</v>
      </c>
      <c r="E17" s="106">
        <f>Effort!F15</f>
        <v>1984.5658957728083</v>
      </c>
      <c r="F17" s="107">
        <f>Harvest!F15</f>
        <v>28776.20548870572</v>
      </c>
      <c r="G17" s="108">
        <f>+CPUE!F15</f>
        <v>14.5</v>
      </c>
      <c r="H17" s="103">
        <f>Effort!H15</f>
        <v>2000.6842968942201</v>
      </c>
      <c r="I17" s="104">
        <f>Harvest!H15</f>
        <v>29622.071977896601</v>
      </c>
      <c r="J17" s="105">
        <f>CPUE!H15</f>
        <v>14.805970149253776</v>
      </c>
      <c r="K17" s="106" t="str">
        <f>Effort!J15</f>
        <v>CLOSED</v>
      </c>
      <c r="L17" s="107" t="str">
        <f>Harvest!J15</f>
        <v>CLOSED</v>
      </c>
      <c r="M17" s="108" t="str">
        <f>CPUE!J15</f>
        <v>CLOSED</v>
      </c>
      <c r="N17" s="103">
        <f>Effort!L15</f>
        <v>1552.6760923259001</v>
      </c>
      <c r="O17" s="104">
        <f>Harvest!L15</f>
        <v>22419.127967242301</v>
      </c>
      <c r="P17" s="105">
        <f>CPUE!L15</f>
        <v>14.439024390243926</v>
      </c>
      <c r="Q17" s="106" t="s">
        <v>10</v>
      </c>
      <c r="R17" s="107" t="s">
        <v>10</v>
      </c>
      <c r="S17" s="113" t="s">
        <v>10</v>
      </c>
      <c r="T17" s="106">
        <f>SUM(E17,H17,N17)</f>
        <v>5537.9262849929282</v>
      </c>
      <c r="U17" s="107">
        <f>SUM(F17,I17,O17)</f>
        <v>80817.405433844615</v>
      </c>
      <c r="V17" s="107"/>
    </row>
    <row r="18" spans="1:24" s="114" customFormat="1" x14ac:dyDescent="0.25">
      <c r="A18" s="109">
        <v>45229</v>
      </c>
      <c r="B18" s="110" t="s">
        <v>21</v>
      </c>
      <c r="C18" s="111">
        <v>-1.3</v>
      </c>
      <c r="D18" s="112">
        <v>0.8534722222222223</v>
      </c>
      <c r="E18" s="106">
        <f>Effort!F16</f>
        <v>801.51878974833176</v>
      </c>
      <c r="F18" s="107">
        <f>Harvest!F16</f>
        <v>11622.022451350811</v>
      </c>
      <c r="G18" s="108">
        <f>+CPUE!F16</f>
        <v>14.5</v>
      </c>
      <c r="H18" s="103">
        <f>Effort!H16</f>
        <v>769.26551047279395</v>
      </c>
      <c r="I18" s="104">
        <f>Harvest!H16</f>
        <v>11137.6267385844</v>
      </c>
      <c r="J18" s="105">
        <f>CPUE!H16</f>
        <v>14.478260869565263</v>
      </c>
      <c r="K18" s="103">
        <f>Effort!J16</f>
        <v>1098.7735107430799</v>
      </c>
      <c r="L18" s="104">
        <f>Harvest!J16</f>
        <v>16481.6026611462</v>
      </c>
      <c r="M18" s="105">
        <f>CPUE!J16</f>
        <v>15.000000000000002</v>
      </c>
      <c r="N18" s="106" t="str">
        <f>Effort!L16</f>
        <v>CLOSED</v>
      </c>
      <c r="O18" s="107" t="str">
        <f>Harvest!L16</f>
        <v>CLOSED</v>
      </c>
      <c r="P18" s="108" t="str">
        <f>CPUE!L16</f>
        <v>CLOSED</v>
      </c>
      <c r="Q18" s="106" t="s">
        <v>10</v>
      </c>
      <c r="R18" s="107" t="s">
        <v>10</v>
      </c>
      <c r="S18" s="113" t="s">
        <v>10</v>
      </c>
      <c r="T18" s="106">
        <f>SUM(E18,H18,K18)</f>
        <v>2669.5578109642056</v>
      </c>
      <c r="U18" s="107">
        <f>SUM(F18,I18,L18)</f>
        <v>39241.251851081412</v>
      </c>
      <c r="V18" s="107"/>
    </row>
    <row r="19" spans="1:24" s="114" customFormat="1" x14ac:dyDescent="0.25">
      <c r="A19" s="109">
        <v>45230</v>
      </c>
      <c r="B19" s="110" t="s">
        <v>66</v>
      </c>
      <c r="C19" s="111">
        <v>-1</v>
      </c>
      <c r="D19" s="112">
        <v>0.8833333333333333</v>
      </c>
      <c r="E19" s="106" t="str">
        <f>Effort!F17</f>
        <v>CLOSED</v>
      </c>
      <c r="F19" s="107" t="str">
        <f>Harvest!F17</f>
        <v>CLOSED</v>
      </c>
      <c r="G19" s="108" t="str">
        <f>+CPUE!F17</f>
        <v>CLOSED</v>
      </c>
      <c r="H19" s="106" t="str">
        <f>Effort!H17</f>
        <v>CLOSED</v>
      </c>
      <c r="I19" s="107" t="str">
        <f>Harvest!H17</f>
        <v>CLOSED</v>
      </c>
      <c r="J19" s="108" t="str">
        <f>CPUE!H17</f>
        <v>CLOSED</v>
      </c>
      <c r="K19" s="106" t="str">
        <f>Effort!J17</f>
        <v>CLOSED</v>
      </c>
      <c r="L19" s="107" t="str">
        <f>Harvest!J17</f>
        <v>CLOSED</v>
      </c>
      <c r="M19" s="108" t="str">
        <f>CPUE!J17</f>
        <v>CLOSED</v>
      </c>
      <c r="N19" s="103">
        <f>Effort!L17</f>
        <v>239.97715213868901</v>
      </c>
      <c r="O19" s="104">
        <f>Harvest!L17</f>
        <v>3479.6687060109898</v>
      </c>
      <c r="P19" s="105">
        <f>CPUE!L17</f>
        <v>14.499999999999996</v>
      </c>
      <c r="Q19" s="106" t="s">
        <v>10</v>
      </c>
      <c r="R19" s="107" t="s">
        <v>10</v>
      </c>
      <c r="S19" s="113" t="s">
        <v>10</v>
      </c>
      <c r="T19" s="106">
        <f>SUM(E19,H19,N19)</f>
        <v>239.97715213868901</v>
      </c>
      <c r="U19" s="107">
        <f>SUM(F19,I19,O19)</f>
        <v>3479.6687060109898</v>
      </c>
      <c r="V19" s="107"/>
    </row>
    <row r="20" spans="1:24" s="114" customFormat="1" x14ac:dyDescent="0.25">
      <c r="A20" s="125" t="s">
        <v>50</v>
      </c>
      <c r="B20" s="125"/>
      <c r="C20" s="125"/>
      <c r="D20" s="126"/>
      <c r="E20" s="115">
        <f>SUM(E15:E19)</f>
        <v>9462.3835087138486</v>
      </c>
      <c r="F20" s="116">
        <f>SUM(F15:F19)</f>
        <v>139734.12873694862</v>
      </c>
      <c r="G20" s="117">
        <f>+F20/E20</f>
        <v>14.767328824525908</v>
      </c>
      <c r="H20" s="115">
        <f>SUM(H15:H19)</f>
        <v>9292.2304831822312</v>
      </c>
      <c r="I20" s="116">
        <f>SUM(I15:I19)</f>
        <v>137877.0132277876</v>
      </c>
      <c r="J20" s="117">
        <f>+I20/H20</f>
        <v>14.837881332940208</v>
      </c>
      <c r="K20" s="115">
        <f>SUM(K15:K19)</f>
        <v>7001.5765897372603</v>
      </c>
      <c r="L20" s="116">
        <f>SUM(L15:L19)</f>
        <v>105023.6488460589</v>
      </c>
      <c r="M20" s="117">
        <f>+L20/K20</f>
        <v>15</v>
      </c>
      <c r="N20" s="115">
        <f>SUM(N15:N19)</f>
        <v>3647.1965471228195</v>
      </c>
      <c r="O20" s="116">
        <f>SUM(O15:O19)</f>
        <v>53042.566830341886</v>
      </c>
      <c r="P20" s="117">
        <f>+O20/N20</f>
        <v>14.543380414248807</v>
      </c>
      <c r="Q20" s="115"/>
      <c r="R20" s="116"/>
      <c r="S20" s="117"/>
      <c r="T20" s="115">
        <f>SUM(T15:T19)</f>
        <v>29403.38712875616</v>
      </c>
      <c r="U20" s="116">
        <f>SUM(U15:U19)</f>
        <v>435677.35764113691</v>
      </c>
      <c r="V20" s="118"/>
      <c r="W20" s="119">
        <f>SUM(H20,K20,N20,Q20,E20)</f>
        <v>29403.387128756163</v>
      </c>
      <c r="X20" s="119">
        <f>SUM(R20,O20,L20,I20,F20)</f>
        <v>435677.35764113697</v>
      </c>
    </row>
    <row r="21" spans="1:24" s="114" customFormat="1" x14ac:dyDescent="0.25">
      <c r="A21" s="109">
        <v>45242</v>
      </c>
      <c r="B21" s="110" t="s">
        <v>20</v>
      </c>
      <c r="C21" s="111">
        <v>-0.3</v>
      </c>
      <c r="D21" s="112">
        <v>0.74513888888888891</v>
      </c>
      <c r="E21" s="106" t="str">
        <f>Effort!F19</f>
        <v>CLOSED</v>
      </c>
      <c r="F21" s="107" t="str">
        <f>Harvest!F19</f>
        <v>CLOSED</v>
      </c>
      <c r="G21" s="108" t="str">
        <f>+CPUE!F19</f>
        <v>CLOSED</v>
      </c>
      <c r="H21" s="106" t="str">
        <f>Effort!H19</f>
        <v>CLOSED</v>
      </c>
      <c r="I21" s="107" t="str">
        <f>Harvest!H19</f>
        <v>CLOSED</v>
      </c>
      <c r="J21" s="108" t="str">
        <f>CPUE!H19</f>
        <v>CLOSED</v>
      </c>
      <c r="K21" s="106" t="str">
        <f>Effort!J19</f>
        <v>CLOSED</v>
      </c>
      <c r="L21" s="107" t="str">
        <f>Harvest!J19</f>
        <v>CLOSED</v>
      </c>
      <c r="M21" s="108" t="str">
        <f>CPUE!J19</f>
        <v>CLOSED</v>
      </c>
      <c r="N21" s="103">
        <f>Effort!L19</f>
        <v>1064.35418358775</v>
      </c>
      <c r="O21" s="104">
        <f>Harvest!L19</f>
        <v>7083.4606011184596</v>
      </c>
      <c r="P21" s="105">
        <f>CPUE!L19</f>
        <v>6.6551724137930899</v>
      </c>
      <c r="Q21" s="106" t="s">
        <v>10</v>
      </c>
      <c r="R21" s="107" t="s">
        <v>10</v>
      </c>
      <c r="S21" s="113" t="s">
        <v>10</v>
      </c>
      <c r="T21" s="106">
        <f>SUM(E21,H21,N21)</f>
        <v>1064.35418358775</v>
      </c>
      <c r="U21" s="107">
        <f>SUM(F21,I21,O21)</f>
        <v>7083.4606011184596</v>
      </c>
      <c r="V21" s="107"/>
    </row>
    <row r="22" spans="1:24" s="114" customFormat="1" x14ac:dyDescent="0.25">
      <c r="A22" s="109">
        <v>45243</v>
      </c>
      <c r="B22" s="110" t="s">
        <v>21</v>
      </c>
      <c r="C22" s="111">
        <v>-0.7</v>
      </c>
      <c r="D22" s="112">
        <v>0.77083333333333337</v>
      </c>
      <c r="E22" s="106">
        <f>Effort!F20</f>
        <v>952.83861161248706</v>
      </c>
      <c r="F22" s="107">
        <f>Harvest!F20</f>
        <v>9528.3861161248715</v>
      </c>
      <c r="G22" s="108">
        <f>+CPUE!F20</f>
        <v>10</v>
      </c>
      <c r="H22" s="103">
        <f>Effort!H20</f>
        <v>857.322183999206</v>
      </c>
      <c r="I22" s="104">
        <f>Harvest!H20</f>
        <v>8573.2218399920603</v>
      </c>
      <c r="J22" s="105">
        <f>CPUE!H20</f>
        <v>10</v>
      </c>
      <c r="K22" s="103">
        <f>Effort!J20</f>
        <v>941.25877673887203</v>
      </c>
      <c r="L22" s="104">
        <f>Harvest!J20</f>
        <v>9347.6733689929406</v>
      </c>
      <c r="M22" s="105">
        <f>CPUE!J20</f>
        <v>9.9310344827586263</v>
      </c>
      <c r="N22" s="106" t="str">
        <f>Effort!L20</f>
        <v>CLOSED</v>
      </c>
      <c r="O22" s="107" t="str">
        <f>Harvest!L20</f>
        <v>CLOSED</v>
      </c>
      <c r="P22" s="108" t="str">
        <f>CPUE!L20</f>
        <v>CLOSED</v>
      </c>
      <c r="Q22" s="106" t="s">
        <v>10</v>
      </c>
      <c r="R22" s="107" t="s">
        <v>10</v>
      </c>
      <c r="S22" s="113" t="s">
        <v>10</v>
      </c>
      <c r="T22" s="106">
        <f>SUM(E22,H22,K22)</f>
        <v>2751.4195723505654</v>
      </c>
      <c r="U22" s="107">
        <f>SUM(F22,I22,L22)</f>
        <v>27449.281325109871</v>
      </c>
      <c r="V22" s="107"/>
    </row>
    <row r="23" spans="1:24" s="114" customFormat="1" x14ac:dyDescent="0.25">
      <c r="A23" s="109">
        <v>45244</v>
      </c>
      <c r="B23" s="110" t="s">
        <v>66</v>
      </c>
      <c r="C23" s="111">
        <v>-0.9</v>
      </c>
      <c r="D23" s="112">
        <v>0.79791666666666661</v>
      </c>
      <c r="E23" s="103">
        <f>Effort!F21</f>
        <v>690.09620832862959</v>
      </c>
      <c r="F23" s="104">
        <f>Harvest!F21</f>
        <v>7177.0005666177476</v>
      </c>
      <c r="G23" s="105">
        <f>+CPUE!F21</f>
        <v>10.4</v>
      </c>
      <c r="H23" s="103">
        <f>Effort!H21</f>
        <v>620.91815054875804</v>
      </c>
      <c r="I23" s="104">
        <f>Harvest!H21</f>
        <v>7304.9194182206802</v>
      </c>
      <c r="J23" s="105">
        <f>CPUE!H21</f>
        <v>11.764705882352937</v>
      </c>
      <c r="K23" s="106" t="str">
        <f>Effort!J21</f>
        <v>CLOSED</v>
      </c>
      <c r="L23" s="107" t="str">
        <f>Harvest!J21</f>
        <v>CLOSED</v>
      </c>
      <c r="M23" s="108" t="str">
        <f>CPUE!J21</f>
        <v>CLOSED</v>
      </c>
      <c r="N23" s="103">
        <f>Effort!L21</f>
        <v>550.00002497718594</v>
      </c>
      <c r="O23" s="104">
        <f>Harvest!L21</f>
        <v>8066.6670329987201</v>
      </c>
      <c r="P23" s="105">
        <f>CPUE!L21</f>
        <v>14.666666666666654</v>
      </c>
      <c r="Q23" s="106" t="s">
        <v>10</v>
      </c>
      <c r="R23" s="107" t="s">
        <v>10</v>
      </c>
      <c r="S23" s="113" t="s">
        <v>10</v>
      </c>
      <c r="T23" s="106">
        <f>SUM(E23,H23,N23)</f>
        <v>1861.0143838545737</v>
      </c>
      <c r="U23" s="107">
        <f>SUM(F23,I23,O23)</f>
        <v>22548.587017837148</v>
      </c>
      <c r="V23" s="107"/>
    </row>
    <row r="24" spans="1:24" s="114" customFormat="1" x14ac:dyDescent="0.25">
      <c r="A24" s="109">
        <v>45245</v>
      </c>
      <c r="B24" s="110" t="s">
        <v>67</v>
      </c>
      <c r="C24" s="111">
        <v>-0.9</v>
      </c>
      <c r="D24" s="112">
        <v>0.82708333333333339</v>
      </c>
      <c r="E24" s="103">
        <f>Effort!F22</f>
        <v>262.10548548330928</v>
      </c>
      <c r="F24" s="104">
        <f>Harvest!F22</f>
        <v>3852.9506366046462</v>
      </c>
      <c r="G24" s="105">
        <f>+CPUE!F22</f>
        <v>14.7</v>
      </c>
      <c r="H24" s="106">
        <f>Effort!H22</f>
        <v>235.83096288724965</v>
      </c>
      <c r="I24" s="107">
        <f>Harvest!H22</f>
        <v>3419.54896186512</v>
      </c>
      <c r="J24" s="108">
        <f>CPUE!H22</f>
        <v>14.5</v>
      </c>
      <c r="K24" s="103">
        <f>Effort!J22</f>
        <v>467.41024984556901</v>
      </c>
      <c r="L24" s="104">
        <f>Harvest!J22</f>
        <v>6721.8045453981804</v>
      </c>
      <c r="M24" s="105">
        <f>CPUE!J22</f>
        <v>14.380952380952376</v>
      </c>
      <c r="N24" s="106" t="str">
        <f>Effort!L22</f>
        <v>CLOSED</v>
      </c>
      <c r="O24" s="107" t="str">
        <f>Harvest!L22</f>
        <v>CLOSED</v>
      </c>
      <c r="P24" s="108" t="str">
        <f>CPUE!L22</f>
        <v>CLOSED</v>
      </c>
      <c r="Q24" s="106" t="s">
        <v>10</v>
      </c>
      <c r="R24" s="107" t="s">
        <v>10</v>
      </c>
      <c r="S24" s="113" t="s">
        <v>10</v>
      </c>
      <c r="T24" s="106">
        <f>SUM(E24,H24,K24)</f>
        <v>965.34669821612795</v>
      </c>
      <c r="U24" s="107">
        <f>SUM(F24,I24,L24)</f>
        <v>13994.304143867947</v>
      </c>
      <c r="V24" s="107"/>
    </row>
    <row r="25" spans="1:24" s="114" customFormat="1" x14ac:dyDescent="0.25">
      <c r="A25" s="109">
        <v>45246</v>
      </c>
      <c r="B25" s="110" t="s">
        <v>22</v>
      </c>
      <c r="C25" s="111">
        <v>-0.8</v>
      </c>
      <c r="D25" s="112">
        <v>0.85902777777777783</v>
      </c>
      <c r="E25" s="106">
        <f>Effort!F23</f>
        <v>420.21549599661614</v>
      </c>
      <c r="F25" s="107">
        <f>Harvest!F23</f>
        <v>5462.8014479560097</v>
      </c>
      <c r="G25" s="108">
        <f>+CPUE!F23</f>
        <v>13</v>
      </c>
      <c r="H25" s="106">
        <f>Effort!H23</f>
        <v>378.09138125548998</v>
      </c>
      <c r="I25" s="107">
        <f>Harvest!H23</f>
        <v>4915.1879563213697</v>
      </c>
      <c r="J25" s="108">
        <f>CPUE!H23</f>
        <v>13</v>
      </c>
      <c r="K25" s="106" t="str">
        <f>Effort!J23</f>
        <v>CLOSED</v>
      </c>
      <c r="L25" s="107" t="str">
        <f>Harvest!J23</f>
        <v>CLOSED</v>
      </c>
      <c r="M25" s="108" t="str">
        <f>CPUE!J23</f>
        <v>CLOSED</v>
      </c>
      <c r="N25" s="103">
        <f>Effort!L23</f>
        <v>334.90769910719303</v>
      </c>
      <c r="O25" s="104">
        <f>Harvest!L23</f>
        <v>4395.6635507819101</v>
      </c>
      <c r="P25" s="105">
        <f>CPUE!L23</f>
        <v>13.125000000000005</v>
      </c>
      <c r="Q25" s="106" t="s">
        <v>10</v>
      </c>
      <c r="R25" s="107" t="s">
        <v>10</v>
      </c>
      <c r="S25" s="113" t="s">
        <v>10</v>
      </c>
      <c r="T25" s="106">
        <f>SUM(E25,H25,N25)</f>
        <v>1133.2145763592991</v>
      </c>
      <c r="U25" s="107">
        <f>SUM(F25,I25,O25)</f>
        <v>14773.65295505929</v>
      </c>
      <c r="V25" s="107"/>
    </row>
    <row r="26" spans="1:24" s="114" customFormat="1" x14ac:dyDescent="0.25">
      <c r="A26" s="109">
        <v>45247</v>
      </c>
      <c r="B26" s="110" t="s">
        <v>18</v>
      </c>
      <c r="C26" s="111">
        <v>-0.5</v>
      </c>
      <c r="D26" s="112">
        <v>0.89374999999999993</v>
      </c>
      <c r="E26" s="106" t="str">
        <f>Effort!F24</f>
        <v>CLOSED</v>
      </c>
      <c r="F26" s="107" t="str">
        <f>Harvest!F24</f>
        <v>CLOSED</v>
      </c>
      <c r="G26" s="108" t="str">
        <f>+CPUE!F24</f>
        <v>CLOSED</v>
      </c>
      <c r="H26" s="106" t="str">
        <f>Effort!H24</f>
        <v>CLOSED</v>
      </c>
      <c r="I26" s="107" t="str">
        <f>Harvest!H24</f>
        <v>CLOSED</v>
      </c>
      <c r="J26" s="108" t="str">
        <f>CPUE!H24</f>
        <v>CLOSED</v>
      </c>
      <c r="K26" s="103">
        <f>Effort!J24</f>
        <v>982.94927419673797</v>
      </c>
      <c r="L26" s="104">
        <f>Harvest!J24</f>
        <v>14744.2391129511</v>
      </c>
      <c r="M26" s="105">
        <f>CPUE!J24</f>
        <v>15.00000000000003</v>
      </c>
      <c r="N26" s="106" t="str">
        <f>Effort!L24</f>
        <v>CLOSED</v>
      </c>
      <c r="O26" s="107" t="str">
        <f>Harvest!L24</f>
        <v>CLOSED</v>
      </c>
      <c r="P26" s="108" t="str">
        <f>CPUE!L24</f>
        <v>CLOSED</v>
      </c>
      <c r="Q26" s="106" t="s">
        <v>10</v>
      </c>
      <c r="R26" s="107" t="s">
        <v>10</v>
      </c>
      <c r="S26" s="113" t="s">
        <v>10</v>
      </c>
      <c r="T26" s="106">
        <f>SUM(E26,H26,K26)</f>
        <v>982.94927419673797</v>
      </c>
      <c r="U26" s="107">
        <f>SUM(F26,I26,L26)</f>
        <v>14744.2391129511</v>
      </c>
      <c r="V26" s="107"/>
    </row>
    <row r="27" spans="1:24" s="114" customFormat="1" x14ac:dyDescent="0.25">
      <c r="A27" s="109">
        <v>45248</v>
      </c>
      <c r="B27" s="110" t="s">
        <v>19</v>
      </c>
      <c r="C27" s="111">
        <v>-0.1</v>
      </c>
      <c r="D27" s="112">
        <v>0.93194444444444446</v>
      </c>
      <c r="E27" s="106" t="str">
        <f>Effort!F25</f>
        <v>CLOSED</v>
      </c>
      <c r="F27" s="107" t="str">
        <f>Harvest!F25</f>
        <v>CLOSED</v>
      </c>
      <c r="G27" s="108" t="str">
        <f>+CPUE!F25</f>
        <v>CLOSED</v>
      </c>
      <c r="H27" s="106" t="str">
        <f>Effort!H25</f>
        <v>CLOSED</v>
      </c>
      <c r="I27" s="107" t="str">
        <f>Harvest!H25</f>
        <v>CLOSED</v>
      </c>
      <c r="J27" s="108" t="str">
        <f>CPUE!H25</f>
        <v>CLOSED</v>
      </c>
      <c r="K27" s="106" t="str">
        <f>Effort!J25</f>
        <v>CLOSED</v>
      </c>
      <c r="L27" s="107" t="str">
        <f>Harvest!J25</f>
        <v>CLOSED</v>
      </c>
      <c r="M27" s="108" t="str">
        <f>CPUE!J25</f>
        <v>CLOSED</v>
      </c>
      <c r="N27" s="103">
        <f>Effort!L25</f>
        <v>445.654617948571</v>
      </c>
      <c r="O27" s="104">
        <f>Harvest!L25</f>
        <v>1406.5973879001799</v>
      </c>
      <c r="P27" s="105">
        <f>CPUE!L25</f>
        <v>3.1562500000000062</v>
      </c>
      <c r="Q27" s="106" t="s">
        <v>10</v>
      </c>
      <c r="R27" s="107" t="s">
        <v>10</v>
      </c>
      <c r="S27" s="113" t="s">
        <v>10</v>
      </c>
      <c r="T27" s="106">
        <f>SUM(E27,H27,N27)</f>
        <v>445.654617948571</v>
      </c>
      <c r="U27" s="107">
        <f>SUM(F27,I27,O27)</f>
        <v>1406.5973879001799</v>
      </c>
      <c r="V27" s="107"/>
    </row>
    <row r="28" spans="1:24" s="114" customFormat="1" x14ac:dyDescent="0.25">
      <c r="A28" s="125" t="s">
        <v>50</v>
      </c>
      <c r="B28" s="125"/>
      <c r="C28" s="125"/>
      <c r="D28" s="126"/>
      <c r="E28" s="115">
        <f>SUM(E21:E27)</f>
        <v>2325.2558014210417</v>
      </c>
      <c r="F28" s="116">
        <f>SUM(F21:F27)</f>
        <v>26021.138767303273</v>
      </c>
      <c r="G28" s="117">
        <f>+F28/E28</f>
        <v>11.19065642214542</v>
      </c>
      <c r="H28" s="115">
        <f>SUM(H21:H27)</f>
        <v>2092.1626786907036</v>
      </c>
      <c r="I28" s="116">
        <f>SUM(I21:I27)</f>
        <v>24212.87817639923</v>
      </c>
      <c r="J28" s="117">
        <f>+I28/H28</f>
        <v>11.573133591863847</v>
      </c>
      <c r="K28" s="115">
        <f>SUM(K21:K27)</f>
        <v>2391.6183007811792</v>
      </c>
      <c r="L28" s="116">
        <f>SUM(L21:L27)</f>
        <v>30813.717027342223</v>
      </c>
      <c r="M28" s="117">
        <f>+L28/K28</f>
        <v>12.884044672712813</v>
      </c>
      <c r="N28" s="115">
        <f>SUM(N21:N27)</f>
        <v>2394.9165256206998</v>
      </c>
      <c r="O28" s="116">
        <f>SUM(O21:O27)</f>
        <v>20952.388572799271</v>
      </c>
      <c r="P28" s="117">
        <f>+O28/N28</f>
        <v>8.7486926365289328</v>
      </c>
      <c r="Q28" s="115"/>
      <c r="R28" s="116"/>
      <c r="S28" s="117"/>
      <c r="T28" s="115">
        <f>SUM(T21:T27)</f>
        <v>9203.9533065136238</v>
      </c>
      <c r="U28" s="116">
        <f>SUM(U21:U27)</f>
        <v>102000.122543844</v>
      </c>
      <c r="V28" s="118"/>
      <c r="W28" s="119">
        <f>SUM(H28,K28,N28,Q28,E28)</f>
        <v>9203.9533065136238</v>
      </c>
      <c r="X28" s="119">
        <f>SUM(R28,O28,L28,I28,F28)</f>
        <v>102000.122543844</v>
      </c>
    </row>
    <row r="29" spans="1:24" s="114" customFormat="1" x14ac:dyDescent="0.25">
      <c r="A29" s="109">
        <v>45254</v>
      </c>
      <c r="B29" s="110" t="s">
        <v>18</v>
      </c>
      <c r="C29" s="111">
        <v>0</v>
      </c>
      <c r="D29" s="112">
        <v>0.6791666666666667</v>
      </c>
      <c r="E29" s="106">
        <f>Effort!F27</f>
        <v>3934.0850119770344</v>
      </c>
      <c r="F29" s="107">
        <f>Harvest!F27</f>
        <v>55077.190167678484</v>
      </c>
      <c r="G29" s="108">
        <f>+CPUE!F27</f>
        <v>14</v>
      </c>
      <c r="H29" s="106">
        <f>Effort!H27</f>
        <v>3163.2227106419282</v>
      </c>
      <c r="I29" s="107">
        <f>Harvest!H27</f>
        <v>44285.117948986997</v>
      </c>
      <c r="J29" s="108">
        <f>CPUE!H27</f>
        <v>14</v>
      </c>
      <c r="K29" s="103">
        <f>Effort!J27</f>
        <v>4790.8518287752804</v>
      </c>
      <c r="L29" s="104">
        <f>Harvest!J27</f>
        <v>68480.999670140794</v>
      </c>
      <c r="M29" s="105">
        <f>CPUE!J27</f>
        <v>14.294117647058828</v>
      </c>
      <c r="N29" s="106" t="str">
        <f>Effort!L27</f>
        <v>CLOSED</v>
      </c>
      <c r="O29" s="107" t="str">
        <f>Harvest!L27</f>
        <v>CLOSED</v>
      </c>
      <c r="P29" s="108" t="str">
        <f>CPUE!L27</f>
        <v>CLOSED</v>
      </c>
      <c r="Q29" s="106" t="s">
        <v>10</v>
      </c>
      <c r="R29" s="107" t="s">
        <v>10</v>
      </c>
      <c r="S29" s="113" t="s">
        <v>10</v>
      </c>
      <c r="T29" s="106">
        <f>SUM(E29,H29,K29)</f>
        <v>11888.159551394243</v>
      </c>
      <c r="U29" s="107">
        <f>SUM(F29,I29,L29)</f>
        <v>167843.30778680628</v>
      </c>
      <c r="V29" s="107"/>
    </row>
    <row r="30" spans="1:24" s="114" customFormat="1" x14ac:dyDescent="0.25">
      <c r="A30" s="109">
        <v>45255</v>
      </c>
      <c r="B30" s="110" t="s">
        <v>19</v>
      </c>
      <c r="C30" s="111">
        <v>-0.7</v>
      </c>
      <c r="D30" s="112">
        <v>0.71180555555555547</v>
      </c>
      <c r="E30" s="106">
        <f>Effort!F28</f>
        <v>4216.9934757063356</v>
      </c>
      <c r="F30" s="107">
        <f>Harvest!F28</f>
        <v>56929.411922035528</v>
      </c>
      <c r="G30" s="108">
        <f>+CPUE!F28</f>
        <v>13.5</v>
      </c>
      <c r="H30" s="103">
        <f>Effort!H28</f>
        <v>3195.0475596812898</v>
      </c>
      <c r="I30" s="104">
        <f>Harvest!H28</f>
        <v>41807.537217106197</v>
      </c>
      <c r="J30" s="105">
        <f>CPUE!H28</f>
        <v>13.08510638297871</v>
      </c>
      <c r="K30" s="106" t="str">
        <f>Effort!J28</f>
        <v>CLOSED</v>
      </c>
      <c r="L30" s="107" t="str">
        <f>Harvest!J28</f>
        <v>CLOSED</v>
      </c>
      <c r="M30" s="108" t="str">
        <f>CPUE!J28</f>
        <v>CLOSED</v>
      </c>
      <c r="N30" s="103">
        <f>Effort!L28</f>
        <v>4031.2922130507</v>
      </c>
      <c r="O30" s="104">
        <f>Harvest!L28</f>
        <v>59593.015323358202</v>
      </c>
      <c r="P30" s="105">
        <f>CPUE!L28</f>
        <v>14.782608695652181</v>
      </c>
      <c r="Q30" s="106" t="s">
        <v>10</v>
      </c>
      <c r="R30" s="107" t="s">
        <v>10</v>
      </c>
      <c r="S30" s="113" t="s">
        <v>10</v>
      </c>
      <c r="T30" s="106">
        <f>SUM(E30,H30,N30)</f>
        <v>11443.333248438325</v>
      </c>
      <c r="U30" s="107">
        <f>SUM(F30,I30,O30)</f>
        <v>158329.96446249992</v>
      </c>
      <c r="V30" s="107"/>
    </row>
    <row r="31" spans="1:24" s="114" customFormat="1" x14ac:dyDescent="0.25">
      <c r="A31" s="109">
        <v>45256</v>
      </c>
      <c r="B31" s="110" t="s">
        <v>20</v>
      </c>
      <c r="C31" s="111">
        <v>-1.2</v>
      </c>
      <c r="D31" s="112">
        <v>0.74236111111111114</v>
      </c>
      <c r="E31" s="103">
        <f>Effort!F29</f>
        <v>2020.2019258922078</v>
      </c>
      <c r="F31" s="104">
        <f>Harvest!F29</f>
        <v>27269.007495999947</v>
      </c>
      <c r="G31" s="105">
        <f>+CPUE!F29</f>
        <v>13.498159340659367</v>
      </c>
      <c r="H31" s="103">
        <f>Effort!H29</f>
        <v>1624.3544795320499</v>
      </c>
      <c r="I31" s="104">
        <f>Harvest!H29</f>
        <v>21177.9046293707</v>
      </c>
      <c r="J31" s="105">
        <f>CPUE!H29</f>
        <v>13.037735849056611</v>
      </c>
      <c r="K31" s="103">
        <f>Effort!J29</f>
        <v>2460.1624168492999</v>
      </c>
      <c r="L31" s="104">
        <f>Harvest!J29</f>
        <v>36231.482866325998</v>
      </c>
      <c r="M31" s="105">
        <f>CPUE!J29</f>
        <v>14.727272727272705</v>
      </c>
      <c r="N31" s="106" t="str">
        <f>Effort!L29</f>
        <v>CLOSED</v>
      </c>
      <c r="O31" s="107" t="str">
        <f>Harvest!L29</f>
        <v>CLOSED</v>
      </c>
      <c r="P31" s="108" t="str">
        <f>CPUE!L29</f>
        <v>CLOSED</v>
      </c>
      <c r="Q31" s="106" t="s">
        <v>10</v>
      </c>
      <c r="R31" s="107" t="s">
        <v>10</v>
      </c>
      <c r="S31" s="113" t="s">
        <v>10</v>
      </c>
      <c r="T31" s="106">
        <f>SUM(E31,H31,K31)</f>
        <v>6104.7188222735576</v>
      </c>
      <c r="U31" s="107">
        <f>SUM(F31,I31,L31)</f>
        <v>84678.394991696638</v>
      </c>
      <c r="V31" s="107"/>
    </row>
    <row r="32" spans="1:24" s="114" customFormat="1" x14ac:dyDescent="0.25">
      <c r="A32" s="109">
        <v>45257</v>
      </c>
      <c r="B32" s="110" t="s">
        <v>21</v>
      </c>
      <c r="C32" s="111">
        <v>-1.3</v>
      </c>
      <c r="D32" s="112">
        <v>0.7715277777777777</v>
      </c>
      <c r="E32" s="103">
        <f>Effort!F30</f>
        <v>867.47310246367897</v>
      </c>
      <c r="F32" s="104">
        <f>Harvest!F30</f>
        <v>12578.359985723346</v>
      </c>
      <c r="G32" s="105">
        <f>+CPUE!F30</f>
        <v>14.5</v>
      </c>
      <c r="H32" s="106">
        <f>Effort!H30</f>
        <v>657.24972900307739</v>
      </c>
      <c r="I32" s="107">
        <f>Harvest!H30</f>
        <v>9201.4962060430844</v>
      </c>
      <c r="J32" s="108">
        <f>CPUE!H30</f>
        <v>14</v>
      </c>
      <c r="K32" s="106" t="str">
        <f>Effort!J30</f>
        <v>CLOSED</v>
      </c>
      <c r="L32" s="107" t="str">
        <f>Harvest!J30</f>
        <v>CLOSED</v>
      </c>
      <c r="M32" s="108" t="str">
        <f>CPUE!J30</f>
        <v>CLOSED</v>
      </c>
      <c r="N32" s="103">
        <f>Effort!L30</f>
        <v>829.27269940986002</v>
      </c>
      <c r="O32" s="104">
        <f>Harvest!L30</f>
        <v>11195.181442033099</v>
      </c>
      <c r="P32" s="105">
        <f>CPUE!L30</f>
        <v>13.499999999999988</v>
      </c>
      <c r="Q32" s="106" t="s">
        <v>10</v>
      </c>
      <c r="R32" s="107" t="s">
        <v>10</v>
      </c>
      <c r="S32" s="113" t="s">
        <v>10</v>
      </c>
      <c r="T32" s="106">
        <f>SUM(E32,H32,N32)</f>
        <v>2353.9955308766166</v>
      </c>
      <c r="U32" s="107">
        <f>SUM(F32,I32,O32)</f>
        <v>32975.037633799526</v>
      </c>
      <c r="V32" s="107"/>
    </row>
    <row r="33" spans="1:24" s="114" customFormat="1" x14ac:dyDescent="0.25">
      <c r="A33" s="109">
        <v>45258</v>
      </c>
      <c r="B33" s="110" t="s">
        <v>66</v>
      </c>
      <c r="C33" s="111">
        <v>-1.2</v>
      </c>
      <c r="D33" s="112">
        <v>0.79999999999999993</v>
      </c>
      <c r="E33" s="106">
        <f>Effort!F31</f>
        <v>463.41539080086807</v>
      </c>
      <c r="F33" s="107">
        <f>Harvest!F31</f>
        <v>6256.107775811719</v>
      </c>
      <c r="G33" s="108">
        <f>+CPUE!F31</f>
        <v>13.5</v>
      </c>
      <c r="H33" s="106">
        <f>Effort!H31</f>
        <v>372.61169603085017</v>
      </c>
      <c r="I33" s="107">
        <f>Harvest!H31</f>
        <v>5030.2578964164777</v>
      </c>
      <c r="J33" s="108">
        <f>CPUE!H31</f>
        <v>13.5</v>
      </c>
      <c r="K33" s="103">
        <f>Effort!J31</f>
        <v>564.33820462492599</v>
      </c>
      <c r="L33" s="104">
        <f>Harvest!J31</f>
        <v>7689.1080380146104</v>
      </c>
      <c r="M33" s="105">
        <f>CPUE!J31</f>
        <v>13.624999999999989</v>
      </c>
      <c r="N33" s="106" t="str">
        <f>Effort!L31</f>
        <v>CLOSED</v>
      </c>
      <c r="O33" s="107" t="str">
        <f>Harvest!L31</f>
        <v>CLOSED</v>
      </c>
      <c r="P33" s="108" t="str">
        <f>CPUE!L31</f>
        <v>CLOSED</v>
      </c>
      <c r="Q33" s="106" t="s">
        <v>10</v>
      </c>
      <c r="R33" s="107" t="s">
        <v>10</v>
      </c>
      <c r="S33" s="113" t="s">
        <v>10</v>
      </c>
      <c r="T33" s="106">
        <f>SUM(E33,H33,K33)</f>
        <v>1400.3652914566442</v>
      </c>
      <c r="U33" s="107">
        <f>SUM(F33,I33,L33)</f>
        <v>18975.473710242804</v>
      </c>
      <c r="V33" s="107"/>
    </row>
    <row r="34" spans="1:24" s="114" customFormat="1" x14ac:dyDescent="0.25">
      <c r="A34" s="109">
        <v>45259</v>
      </c>
      <c r="B34" s="110" t="s">
        <v>67</v>
      </c>
      <c r="C34" s="111">
        <v>-0.8</v>
      </c>
      <c r="D34" s="112">
        <v>0.82777777777777783</v>
      </c>
      <c r="E34" s="106" t="str">
        <f>Effort!F32</f>
        <v>CLOSED</v>
      </c>
      <c r="F34" s="107" t="str">
        <f>Harvest!F32</f>
        <v>CLOSED</v>
      </c>
      <c r="G34" s="108" t="str">
        <f>+CPUE!F32</f>
        <v>CLOSED</v>
      </c>
      <c r="H34" s="106" t="str">
        <f>Effort!H32</f>
        <v>CLOSED</v>
      </c>
      <c r="I34" s="107" t="str">
        <f>Harvest!H32</f>
        <v>CLOSED</v>
      </c>
      <c r="J34" s="108" t="str">
        <f>CPUE!H32</f>
        <v>CLOSED</v>
      </c>
      <c r="K34" s="106" t="str">
        <f>Effort!J32</f>
        <v>CLOSED</v>
      </c>
      <c r="L34" s="107" t="str">
        <f>Harvest!J32</f>
        <v>CLOSED</v>
      </c>
      <c r="M34" s="108" t="str">
        <f>CPUE!J32</f>
        <v>CLOSED</v>
      </c>
      <c r="N34" s="103">
        <f>Effort!L32</f>
        <v>177.37226987330999</v>
      </c>
      <c r="O34" s="104">
        <f>Harvest!L32</f>
        <v>2601.4599581418802</v>
      </c>
      <c r="P34" s="105">
        <f>CPUE!L32</f>
        <v>14.666666666666668</v>
      </c>
      <c r="Q34" s="106" t="s">
        <v>10</v>
      </c>
      <c r="R34" s="107" t="s">
        <v>10</v>
      </c>
      <c r="S34" s="113" t="s">
        <v>10</v>
      </c>
      <c r="T34" s="106">
        <f>SUM(E34,H34,N34)</f>
        <v>177.37226987330999</v>
      </c>
      <c r="U34" s="107">
        <f>SUM(F34,I34,O34)</f>
        <v>2601.4599581418802</v>
      </c>
      <c r="V34" s="107"/>
    </row>
    <row r="35" spans="1:24" s="114" customFormat="1" x14ac:dyDescent="0.25">
      <c r="A35" s="125" t="s">
        <v>50</v>
      </c>
      <c r="B35" s="125"/>
      <c r="C35" s="125"/>
      <c r="D35" s="126"/>
      <c r="E35" s="115">
        <f>SUM(E29:E34)</f>
        <v>11502.168906840125</v>
      </c>
      <c r="F35" s="116">
        <f>SUM(F29:F34)</f>
        <v>158110.077347249</v>
      </c>
      <c r="G35" s="117">
        <f>+F35/E35</f>
        <v>13.74610985352718</v>
      </c>
      <c r="H35" s="115">
        <f>SUM(H29:H34)</f>
        <v>9012.4861748891944</v>
      </c>
      <c r="I35" s="116">
        <f>SUM(I29:I34)</f>
        <v>121502.31389792345</v>
      </c>
      <c r="J35" s="117">
        <f>+I35/H35</f>
        <v>13.481553429336305</v>
      </c>
      <c r="K35" s="115">
        <f>SUM(K29:K34)</f>
        <v>7815.3524502495065</v>
      </c>
      <c r="L35" s="116">
        <f>SUM(L29:L34)</f>
        <v>112401.59057448141</v>
      </c>
      <c r="M35" s="117">
        <f>+L35/K35</f>
        <v>14.382152473608912</v>
      </c>
      <c r="N35" s="115">
        <f>SUM(N29:N34)</f>
        <v>5037.9371823338697</v>
      </c>
      <c r="O35" s="116">
        <f>SUM(O29:O34)</f>
        <v>73389.656723533175</v>
      </c>
      <c r="P35" s="117">
        <f>+O35/N35</f>
        <v>14.567402106735829</v>
      </c>
      <c r="Q35" s="115"/>
      <c r="R35" s="116"/>
      <c r="S35" s="117"/>
      <c r="T35" s="115">
        <f>SUM(T29:T34)</f>
        <v>33367.944714312689</v>
      </c>
      <c r="U35" s="116">
        <f>SUM(U29:U34)</f>
        <v>465403.63854318706</v>
      </c>
      <c r="V35" s="118"/>
      <c r="W35" s="119">
        <f>SUM(H35,K35,N35,Q35,E35)</f>
        <v>33367.944714312696</v>
      </c>
      <c r="X35" s="119">
        <f>SUM(R35,O35,L35,I35,F35)</f>
        <v>465403.63854318706</v>
      </c>
    </row>
    <row r="36" spans="1:24" s="114" customFormat="1" x14ac:dyDescent="0.25">
      <c r="A36" s="109">
        <v>45273</v>
      </c>
      <c r="B36" s="110" t="s">
        <v>67</v>
      </c>
      <c r="C36" s="111">
        <v>-1.3</v>
      </c>
      <c r="D36" s="112">
        <v>0.78819444444444453</v>
      </c>
      <c r="E36" s="106">
        <f>Effort!F34</f>
        <v>681.94316737463737</v>
      </c>
      <c r="F36" s="107">
        <f>Harvest!F34</f>
        <v>8865.261175870286</v>
      </c>
      <c r="G36" s="108">
        <f>+CPUE!F34</f>
        <v>13</v>
      </c>
      <c r="H36" s="103">
        <f>Effort!H34</f>
        <v>621.46890534670501</v>
      </c>
      <c r="I36" s="104">
        <f>Harvest!H34</f>
        <v>6081.5171451784699</v>
      </c>
      <c r="J36" s="105">
        <f>CPUE!H34</f>
        <v>9.7857142857142847</v>
      </c>
      <c r="K36" s="106" t="str">
        <f>Effort!J34</f>
        <v>CLOSED</v>
      </c>
      <c r="L36" s="107" t="str">
        <f>Harvest!J34</f>
        <v>CLOSED</v>
      </c>
      <c r="M36" s="108" t="str">
        <f>CPUE!J34</f>
        <v>CLOSED</v>
      </c>
      <c r="N36" s="103">
        <f>Effort!L34</f>
        <v>608.88080296016096</v>
      </c>
      <c r="O36" s="104">
        <f>Harvest!L34</f>
        <v>8118.4107061354798</v>
      </c>
      <c r="P36" s="105">
        <f>CPUE!L34</f>
        <v>13.333333333333334</v>
      </c>
      <c r="Q36" s="106" t="s">
        <v>10</v>
      </c>
      <c r="R36" s="107" t="s">
        <v>10</v>
      </c>
      <c r="S36" s="113" t="s">
        <v>10</v>
      </c>
      <c r="T36" s="106">
        <f>SUM(E36,H36,N36)</f>
        <v>1912.2928756815033</v>
      </c>
      <c r="U36" s="107">
        <f>SUM(F36,I36,O36)</f>
        <v>23065.189027184235</v>
      </c>
      <c r="V36" s="107"/>
    </row>
    <row r="37" spans="1:24" s="114" customFormat="1" x14ac:dyDescent="0.25">
      <c r="A37" s="109">
        <v>45274</v>
      </c>
      <c r="B37" s="110" t="s">
        <v>22</v>
      </c>
      <c r="C37" s="111">
        <v>-1.3</v>
      </c>
      <c r="D37" s="112">
        <v>0.81874999999999998</v>
      </c>
      <c r="E37" s="103">
        <f>Effort!F35</f>
        <v>523.17371304674555</v>
      </c>
      <c r="F37" s="104">
        <f>Harvest!F35</f>
        <v>5284.0545017721297</v>
      </c>
      <c r="G37" s="105">
        <f>+CPUE!F35</f>
        <v>10.1</v>
      </c>
      <c r="H37" s="106">
        <f>Effort!H35</f>
        <v>476.77901958465247</v>
      </c>
      <c r="I37" s="107">
        <f>Harvest!H35</f>
        <v>4767.7901958465245</v>
      </c>
      <c r="J37" s="108">
        <f>CPUE!H35</f>
        <v>10</v>
      </c>
      <c r="K37" s="103">
        <f>Effort!J35</f>
        <v>652.61639856666795</v>
      </c>
      <c r="L37" s="104">
        <f>Harvest!J35</f>
        <v>9305.8264240061908</v>
      </c>
      <c r="M37" s="105">
        <f>CPUE!J35</f>
        <v>14.25925925925926</v>
      </c>
      <c r="N37" s="106" t="str">
        <f>Effort!L35</f>
        <v>CLOSED</v>
      </c>
      <c r="O37" s="107" t="str">
        <f>Harvest!L35</f>
        <v>CLOSED</v>
      </c>
      <c r="P37" s="108" t="str">
        <f>CPUE!L35</f>
        <v>CLOSED</v>
      </c>
      <c r="Q37" s="106" t="s">
        <v>10</v>
      </c>
      <c r="R37" s="107" t="s">
        <v>10</v>
      </c>
      <c r="S37" s="113" t="s">
        <v>10</v>
      </c>
      <c r="T37" s="106">
        <f>SUM(E37,H37,K37)</f>
        <v>1652.5691311980659</v>
      </c>
      <c r="U37" s="107">
        <f>SUM(F37,I37,L37)</f>
        <v>19357.671121624844</v>
      </c>
      <c r="V37" s="107"/>
    </row>
    <row r="38" spans="1:24" s="114" customFormat="1" x14ac:dyDescent="0.25">
      <c r="A38" s="109">
        <v>45275</v>
      </c>
      <c r="B38" s="110" t="s">
        <v>18</v>
      </c>
      <c r="C38" s="111">
        <v>-1.2</v>
      </c>
      <c r="D38" s="112">
        <v>0.85069444444444453</v>
      </c>
      <c r="E38" s="103">
        <f>Effort!F36</f>
        <v>788.81045161256714</v>
      </c>
      <c r="F38" s="104">
        <f>Harvest!F36</f>
        <v>10017.892735479601</v>
      </c>
      <c r="G38" s="105">
        <f>+CPUE!F36</f>
        <v>12.7</v>
      </c>
      <c r="H38" s="103">
        <f>Effort!H36</f>
        <v>718.85927060017104</v>
      </c>
      <c r="I38" s="104">
        <f>Harvest!H36</f>
        <v>7867.51535045743</v>
      </c>
      <c r="J38" s="105">
        <f>CPUE!H36</f>
        <v>10.944444444444448</v>
      </c>
      <c r="K38" s="106" t="str">
        <f>Effort!J36</f>
        <v>CLOSED</v>
      </c>
      <c r="L38" s="107" t="str">
        <f>Harvest!J36</f>
        <v>CLOSED</v>
      </c>
      <c r="M38" s="108" t="str">
        <f>CPUE!J36</f>
        <v>CLOSED</v>
      </c>
      <c r="N38" s="103">
        <f>Effort!L36</f>
        <v>952.08348657130398</v>
      </c>
      <c r="O38" s="104">
        <f>Harvest!L36</f>
        <v>8854.3764251131306</v>
      </c>
      <c r="P38" s="105">
        <f>CPUE!L36</f>
        <v>9.3000000000000043</v>
      </c>
      <c r="Q38" s="106" t="s">
        <v>10</v>
      </c>
      <c r="R38" s="107" t="s">
        <v>10</v>
      </c>
      <c r="S38" s="113" t="s">
        <v>10</v>
      </c>
      <c r="T38" s="106">
        <f>SUM(E38,H38,N38)</f>
        <v>2459.7532087840423</v>
      </c>
      <c r="U38" s="107">
        <f>SUM(F38,I38,O38)</f>
        <v>26739.784511050158</v>
      </c>
      <c r="V38" s="107"/>
    </row>
    <row r="39" spans="1:24" s="114" customFormat="1" x14ac:dyDescent="0.25">
      <c r="A39" s="109">
        <v>45276</v>
      </c>
      <c r="B39" s="110" t="s">
        <v>19</v>
      </c>
      <c r="C39" s="111">
        <v>-0.8</v>
      </c>
      <c r="D39" s="112">
        <v>0.8833333333333333</v>
      </c>
      <c r="E39" s="106">
        <f>Effort!F37</f>
        <v>1374.5196305895092</v>
      </c>
      <c r="F39" s="107">
        <f>Harvest!F37</f>
        <v>19930.534643547882</v>
      </c>
      <c r="G39" s="108">
        <f>+CPUE!F37</f>
        <v>14.5</v>
      </c>
      <c r="H39" s="103">
        <f>Effort!H37</f>
        <v>493.13961190498298</v>
      </c>
      <c r="I39" s="104">
        <f>Harvest!H37</f>
        <v>6562.5502199663097</v>
      </c>
      <c r="J39" s="105">
        <f>CPUE!H37</f>
        <v>13.307692307692303</v>
      </c>
      <c r="K39" s="103">
        <f>Effort!J37</f>
        <v>1714.6007696957099</v>
      </c>
      <c r="L39" s="104">
        <f>Harvest!J37</f>
        <v>25719.0115454357</v>
      </c>
      <c r="M39" s="105">
        <f>CPUE!J37</f>
        <v>15.00000000000003</v>
      </c>
      <c r="N39" s="106" t="str">
        <f>Effort!L37</f>
        <v>CLOSED</v>
      </c>
      <c r="O39" s="107" t="str">
        <f>Harvest!L37</f>
        <v>CLOSED</v>
      </c>
      <c r="P39" s="108" t="str">
        <f>CPUE!L37</f>
        <v>CLOSED</v>
      </c>
      <c r="Q39" s="106" t="s">
        <v>10</v>
      </c>
      <c r="R39" s="107" t="s">
        <v>10</v>
      </c>
      <c r="S39" s="113" t="s">
        <v>10</v>
      </c>
      <c r="T39" s="106">
        <f>SUM(E39,H39,K39)</f>
        <v>3582.2600121902024</v>
      </c>
      <c r="U39" s="107">
        <f>SUM(F39,I39,L39)</f>
        <v>52212.096408949888</v>
      </c>
      <c r="V39" s="107"/>
    </row>
    <row r="40" spans="1:24" s="114" customFormat="1" x14ac:dyDescent="0.25">
      <c r="A40" s="109">
        <v>45277</v>
      </c>
      <c r="B40" s="110" t="s">
        <v>20</v>
      </c>
      <c r="C40" s="111">
        <v>-0.3</v>
      </c>
      <c r="D40" s="112">
        <v>0.91736111111111107</v>
      </c>
      <c r="E40" s="106">
        <f>Effort!F38</f>
        <v>146.41669443405118</v>
      </c>
      <c r="F40" s="107">
        <f>Harvest!F38</f>
        <v>2196.2504165107675</v>
      </c>
      <c r="G40" s="108">
        <f>+CPUE!F38</f>
        <v>15</v>
      </c>
      <c r="H40" s="106">
        <f>Effort!H38</f>
        <v>133.43256031836441</v>
      </c>
      <c r="I40" s="107">
        <f>Harvest!H38</f>
        <v>2001.4884047754661</v>
      </c>
      <c r="J40" s="108">
        <f>CPUE!H38</f>
        <v>15</v>
      </c>
      <c r="K40" s="106" t="str">
        <f>Effort!J38</f>
        <v>CLOSED</v>
      </c>
      <c r="L40" s="107" t="str">
        <f>Harvest!J38</f>
        <v>CLOSED</v>
      </c>
      <c r="M40" s="108" t="str">
        <f>CPUE!J38</f>
        <v>CLOSED</v>
      </c>
      <c r="N40" s="103">
        <f>Effort!L38</f>
        <v>176.72295878438101</v>
      </c>
      <c r="O40" s="104">
        <f>Harvest!L38</f>
        <v>2618.7129347140099</v>
      </c>
      <c r="P40" s="105">
        <f>CPUE!L38</f>
        <v>14.81818181818182</v>
      </c>
      <c r="Q40" s="106" t="s">
        <v>10</v>
      </c>
      <c r="R40" s="107" t="s">
        <v>10</v>
      </c>
      <c r="S40" s="113" t="s">
        <v>10</v>
      </c>
      <c r="T40" s="106">
        <f>SUM(E40,H40,N40)</f>
        <v>456.57221353679665</v>
      </c>
      <c r="U40" s="107">
        <f>SUM(F40,I40,O40)</f>
        <v>6816.4517560002432</v>
      </c>
      <c r="V40" s="107"/>
    </row>
    <row r="41" spans="1:24" s="114" customFormat="1" x14ac:dyDescent="0.25">
      <c r="A41" s="125" t="s">
        <v>50</v>
      </c>
      <c r="B41" s="125"/>
      <c r="C41" s="125"/>
      <c r="D41" s="126"/>
      <c r="E41" s="115">
        <f>SUM(E36:E40)</f>
        <v>3514.8636570575109</v>
      </c>
      <c r="F41" s="116">
        <f>SUM(F36:F40)</f>
        <v>46293.993473180672</v>
      </c>
      <c r="G41" s="117">
        <f>+F41/E41</f>
        <v>13.170921546338434</v>
      </c>
      <c r="H41" s="115">
        <f>SUM(H36:H40)</f>
        <v>2443.6793677548758</v>
      </c>
      <c r="I41" s="116">
        <f>SUM(I36:I40)</f>
        <v>27280.861316224204</v>
      </c>
      <c r="J41" s="117">
        <f>+I41/H41</f>
        <v>11.16384648338232</v>
      </c>
      <c r="K41" s="115">
        <f>SUM(K36:K40)</f>
        <v>2367.217168262378</v>
      </c>
      <c r="L41" s="116">
        <f>SUM(L36:L40)</f>
        <v>35024.837969441891</v>
      </c>
      <c r="M41" s="117">
        <f>+L41/K41</f>
        <v>14.79578571794128</v>
      </c>
      <c r="N41" s="115">
        <f>SUM(N36:N40)</f>
        <v>1737.6872483158461</v>
      </c>
      <c r="O41" s="116">
        <f>SUM(O36:O40)</f>
        <v>19591.50006596262</v>
      </c>
      <c r="P41" s="117">
        <f>+O41/N41</f>
        <v>11.274468455097752</v>
      </c>
      <c r="Q41" s="115"/>
      <c r="R41" s="116"/>
      <c r="S41" s="117"/>
      <c r="T41" s="115">
        <f>SUM(T36:T40)</f>
        <v>10063.447441390608</v>
      </c>
      <c r="U41" s="116">
        <f>SUM(U36:U40)</f>
        <v>128191.19282480938</v>
      </c>
      <c r="V41" s="118"/>
      <c r="W41" s="119">
        <f>SUM(H41,K41,N41,Q41,E41)</f>
        <v>10063.44744139061</v>
      </c>
      <c r="X41" s="119">
        <f>SUM(R41,O41,L41,I41,F41)</f>
        <v>128191.19282480939</v>
      </c>
    </row>
    <row r="42" spans="1:24" s="114" customFormat="1" x14ac:dyDescent="0.25">
      <c r="A42" s="109">
        <v>45286</v>
      </c>
      <c r="B42" s="110" t="s">
        <v>66</v>
      </c>
      <c r="C42" s="111">
        <v>-0.9</v>
      </c>
      <c r="D42" s="112">
        <v>0.76250000000000007</v>
      </c>
      <c r="E42" s="103">
        <f>Effort!F40</f>
        <v>930.53506137737975</v>
      </c>
      <c r="F42" s="104">
        <f>Harvest!F40</f>
        <v>2047.1771350302356</v>
      </c>
      <c r="G42" s="105">
        <f>+CPUE!F40</f>
        <v>2.2000000000000002</v>
      </c>
      <c r="H42" s="106">
        <f>Effort!H40</f>
        <v>992.0693713210361</v>
      </c>
      <c r="I42" s="107">
        <f>Harvest!H40</f>
        <v>4960.3468566051806</v>
      </c>
      <c r="J42" s="108">
        <f>CPUE!H40</f>
        <v>5</v>
      </c>
      <c r="K42" s="103">
        <f>Effort!J40</f>
        <v>2092.4715261481101</v>
      </c>
      <c r="L42" s="104">
        <f>Harvest!J40</f>
        <v>18697.2455723557</v>
      </c>
      <c r="M42" s="105">
        <f>CPUE!J40</f>
        <v>8.9354838709677455</v>
      </c>
      <c r="N42" s="106" t="str">
        <f>Effort!L40</f>
        <v>CLOSED</v>
      </c>
      <c r="O42" s="107" t="str">
        <f>Harvest!L40</f>
        <v>CLOSED</v>
      </c>
      <c r="P42" s="108" t="str">
        <f>CPUE!L40</f>
        <v>CLOSED</v>
      </c>
      <c r="Q42" s="106" t="s">
        <v>10</v>
      </c>
      <c r="R42" s="107" t="s">
        <v>10</v>
      </c>
      <c r="S42" s="113" t="s">
        <v>10</v>
      </c>
      <c r="T42" s="106">
        <f>SUM(E42,H42,K42)</f>
        <v>4015.0759588465262</v>
      </c>
      <c r="U42" s="107">
        <f>SUM(F42,I42,L42)</f>
        <v>25704.769563991118</v>
      </c>
      <c r="V42" s="107"/>
    </row>
    <row r="43" spans="1:24" s="114" customFormat="1" x14ac:dyDescent="0.25">
      <c r="A43" s="109">
        <v>45287</v>
      </c>
      <c r="B43" s="110" t="s">
        <v>67</v>
      </c>
      <c r="C43" s="111">
        <v>-0.8</v>
      </c>
      <c r="D43" s="112">
        <v>0.7895833333333333</v>
      </c>
      <c r="E43" s="103">
        <f>Effort!F41</f>
        <v>499.66028774127278</v>
      </c>
      <c r="F43" s="104">
        <f>Harvest!F41</f>
        <v>2148.539237287473</v>
      </c>
      <c r="G43" s="105">
        <f>+CPUE!F41</f>
        <v>4.3</v>
      </c>
      <c r="H43" s="103">
        <f>Effort!H41</f>
        <v>607.45651042845896</v>
      </c>
      <c r="I43" s="104">
        <f>Harvest!H41</f>
        <v>3720.67112637431</v>
      </c>
      <c r="J43" s="105">
        <f>CPUE!H41</f>
        <v>6.1249999999999982</v>
      </c>
      <c r="K43" s="106" t="str">
        <f>Effort!J41</f>
        <v>CLOSED</v>
      </c>
      <c r="L43" s="107" t="str">
        <f>Harvest!J41</f>
        <v>CLOSED</v>
      </c>
      <c r="M43" s="108" t="str">
        <f>CPUE!J41</f>
        <v>CLOSED</v>
      </c>
      <c r="N43" s="103">
        <f>Effort!L41</f>
        <v>786.333708286464</v>
      </c>
      <c r="O43" s="104">
        <f>Harvest!L41</f>
        <v>8728.3041619797496</v>
      </c>
      <c r="P43" s="105">
        <f>CPUE!L41</f>
        <v>11.1</v>
      </c>
      <c r="Q43" s="106" t="s">
        <v>10</v>
      </c>
      <c r="R43" s="107" t="s">
        <v>10</v>
      </c>
      <c r="S43" s="113" t="s">
        <v>10</v>
      </c>
      <c r="T43" s="106">
        <f>SUM(E43,H43,N43)</f>
        <v>1893.4505064561959</v>
      </c>
      <c r="U43" s="107">
        <f>SUM(F43,I43,O43)</f>
        <v>14597.514525641533</v>
      </c>
      <c r="V43" s="107"/>
    </row>
    <row r="44" spans="1:24" s="114" customFormat="1" x14ac:dyDescent="0.25">
      <c r="A44" s="109">
        <v>45288</v>
      </c>
      <c r="B44" s="110" t="s">
        <v>22</v>
      </c>
      <c r="C44" s="111">
        <v>-0.6</v>
      </c>
      <c r="D44" s="112">
        <v>0.81597222222222221</v>
      </c>
      <c r="E44" s="106">
        <f>Effort!F42</f>
        <v>316.4362180396447</v>
      </c>
      <c r="F44" s="107">
        <f>Harvest!F42</f>
        <v>949.3086541189341</v>
      </c>
      <c r="G44" s="108">
        <f>+CPUE!F42</f>
        <v>3</v>
      </c>
      <c r="H44" s="103">
        <f>Effort!H42</f>
        <v>337.36147397726398</v>
      </c>
      <c r="I44" s="104">
        <f>Harvest!H42</f>
        <v>628.19033085421597</v>
      </c>
      <c r="J44" s="105">
        <f>CPUE!H42</f>
        <v>1.8620689655172422</v>
      </c>
      <c r="K44" s="103">
        <f>Effort!J42</f>
        <v>711.56241561694605</v>
      </c>
      <c r="L44" s="104">
        <f>Harvest!J42</f>
        <v>3029.8786729495801</v>
      </c>
      <c r="M44" s="105">
        <f>CPUE!J42</f>
        <v>4.2580645161290365</v>
      </c>
      <c r="N44" s="106" t="str">
        <f>Effort!L42</f>
        <v>CLOSED</v>
      </c>
      <c r="O44" s="107" t="str">
        <f>Harvest!L42</f>
        <v>CLOSED</v>
      </c>
      <c r="P44" s="108" t="str">
        <f>CPUE!L42</f>
        <v>CLOSED</v>
      </c>
      <c r="Q44" s="106" t="s">
        <v>10</v>
      </c>
      <c r="R44" s="107" t="s">
        <v>10</v>
      </c>
      <c r="S44" s="113" t="s">
        <v>10</v>
      </c>
      <c r="T44" s="106">
        <f>SUM(E44,H44,K44)</f>
        <v>1365.3601076338548</v>
      </c>
      <c r="U44" s="107">
        <f>SUM(F44,I44,L44)</f>
        <v>4607.3776579227306</v>
      </c>
      <c r="V44" s="107"/>
    </row>
    <row r="45" spans="1:24" s="114" customFormat="1" x14ac:dyDescent="0.25">
      <c r="A45" s="109">
        <v>45289</v>
      </c>
      <c r="B45" s="110" t="s">
        <v>18</v>
      </c>
      <c r="C45" s="111">
        <v>-0.3</v>
      </c>
      <c r="D45" s="112">
        <v>0.84097222222222223</v>
      </c>
      <c r="E45" s="106">
        <f>Effort!F43</f>
        <v>303.16424987952297</v>
      </c>
      <c r="F45" s="107">
        <f>Harvest!F43</f>
        <v>1818.9854992771379</v>
      </c>
      <c r="G45" s="108">
        <f>+CPUE!F43</f>
        <v>6</v>
      </c>
      <c r="H45" s="103">
        <f>Effort!H43</f>
        <v>325.01486105309198</v>
      </c>
      <c r="I45" s="104">
        <f>Harvest!H43</f>
        <v>398.88187492879399</v>
      </c>
      <c r="J45" s="105">
        <f>CPUE!H43</f>
        <v>1.2272727272727251</v>
      </c>
      <c r="K45" s="106" t="str">
        <f>Effort!J43</f>
        <v>CLOSED</v>
      </c>
      <c r="L45" s="107" t="str">
        <f>Harvest!J43</f>
        <v>CLOSED</v>
      </c>
      <c r="M45" s="108" t="str">
        <f>CPUE!J43</f>
        <v>CLOSED</v>
      </c>
      <c r="N45" s="103">
        <f>Effort!L43</f>
        <v>477.100691562441</v>
      </c>
      <c r="O45" s="104">
        <f>Harvest!L43</f>
        <v>6242.0673812752602</v>
      </c>
      <c r="P45" s="105">
        <f>CPUE!L43</f>
        <v>13.083333333333313</v>
      </c>
      <c r="Q45" s="106" t="s">
        <v>10</v>
      </c>
      <c r="R45" s="107" t="s">
        <v>10</v>
      </c>
      <c r="S45" s="113" t="s">
        <v>10</v>
      </c>
      <c r="T45" s="106">
        <f>SUM(E45,H45,N45)</f>
        <v>1105.2798024950559</v>
      </c>
      <c r="U45" s="107">
        <f>SUM(F45,I45,O45)</f>
        <v>8459.934755481192</v>
      </c>
      <c r="V45" s="107"/>
    </row>
    <row r="46" spans="1:24" s="114" customFormat="1" x14ac:dyDescent="0.25">
      <c r="A46" s="125" t="s">
        <v>50</v>
      </c>
      <c r="B46" s="125"/>
      <c r="C46" s="125"/>
      <c r="D46" s="126"/>
      <c r="E46" s="115">
        <f>SUM(E42:E45)</f>
        <v>2049.7958170378201</v>
      </c>
      <c r="F46" s="116">
        <f>SUM(F42:F45)</f>
        <v>6964.0105257137811</v>
      </c>
      <c r="G46" s="117">
        <f>+F46/E46</f>
        <v>3.3974166928379921</v>
      </c>
      <c r="H46" s="115">
        <f>SUM(H42:H45)</f>
        <v>2261.9022167798512</v>
      </c>
      <c r="I46" s="116">
        <f>SUM(I42:I45)</f>
        <v>9708.0901887625023</v>
      </c>
      <c r="J46" s="117">
        <f>+I46/H46</f>
        <v>4.2920025970810487</v>
      </c>
      <c r="K46" s="115">
        <f>SUM(K42:K45)</f>
        <v>2804.0339417650562</v>
      </c>
      <c r="L46" s="116">
        <f>SUM(L42:L45)</f>
        <v>21727.12424530528</v>
      </c>
      <c r="M46" s="117">
        <f>+L46/K46</f>
        <v>7.7485239824267964</v>
      </c>
      <c r="N46" s="115">
        <f>SUM(N42:N45)</f>
        <v>1263.4343998489051</v>
      </c>
      <c r="O46" s="116">
        <f>SUM(O42:O45)</f>
        <v>14970.371543255009</v>
      </c>
      <c r="P46" s="117">
        <f>+O46/N46</f>
        <v>11.848950404583986</v>
      </c>
      <c r="Q46" s="115"/>
      <c r="R46" s="116"/>
      <c r="S46" s="117"/>
      <c r="T46" s="115">
        <f>SUM(T42:T45)</f>
        <v>8379.1663754316323</v>
      </c>
      <c r="U46" s="116">
        <f>SUM(U42:U45)</f>
        <v>53369.59650303657</v>
      </c>
      <c r="V46" s="118"/>
      <c r="W46" s="119">
        <f>SUM(H46,K46,N46,Q46,E46)</f>
        <v>8379.1663754316323</v>
      </c>
      <c r="X46" s="119">
        <f>SUM(R46,O46,L46,I46,F46)</f>
        <v>53369.596503036577</v>
      </c>
    </row>
    <row r="47" spans="1:24" s="114" customFormat="1" x14ac:dyDescent="0.25">
      <c r="A47" s="109">
        <v>45300</v>
      </c>
      <c r="B47" s="110" t="s">
        <v>66</v>
      </c>
      <c r="C47" s="111">
        <v>-0.7</v>
      </c>
      <c r="D47" s="112">
        <v>0.70972222222222225</v>
      </c>
      <c r="E47" s="106">
        <f>Effort!F45</f>
        <v>50</v>
      </c>
      <c r="F47" s="107">
        <f>Harvest!F45</f>
        <v>200</v>
      </c>
      <c r="G47" s="108">
        <f>+CPUE!F45</f>
        <v>4</v>
      </c>
      <c r="H47" s="106" t="str">
        <f>Effort!H45</f>
        <v>CLOSED</v>
      </c>
      <c r="I47" s="107" t="str">
        <f>Harvest!H45</f>
        <v>CLOSED</v>
      </c>
      <c r="J47" s="108" t="str">
        <f>CPUE!H45</f>
        <v>CLOSED</v>
      </c>
      <c r="K47" s="103">
        <f>Effort!J45</f>
        <v>64.1666666666667</v>
      </c>
      <c r="L47" s="104">
        <f>Harvest!J45</f>
        <v>247.5</v>
      </c>
      <c r="M47" s="105">
        <f>CPUE!J45</f>
        <v>3.857142857142855</v>
      </c>
      <c r="N47" s="106" t="str">
        <f>Effort!L45</f>
        <v>CLOSED</v>
      </c>
      <c r="O47" s="107" t="str">
        <f>Harvest!L45</f>
        <v>CLOSED</v>
      </c>
      <c r="P47" s="108" t="str">
        <f>CPUE!L45</f>
        <v>CLOSED</v>
      </c>
      <c r="Q47" s="106" t="s">
        <v>10</v>
      </c>
      <c r="R47" s="107" t="s">
        <v>10</v>
      </c>
      <c r="S47" s="113" t="s">
        <v>10</v>
      </c>
      <c r="T47" s="106">
        <f>SUM(E47,K47)</f>
        <v>114.1666666666667</v>
      </c>
      <c r="U47" s="107">
        <f>SUM(F47,L47)</f>
        <v>447.5</v>
      </c>
      <c r="V47" s="107"/>
    </row>
    <row r="48" spans="1:24" s="114" customFormat="1" x14ac:dyDescent="0.25">
      <c r="A48" s="109">
        <v>45301</v>
      </c>
      <c r="B48" s="110" t="s">
        <v>67</v>
      </c>
      <c r="C48" s="111">
        <v>-1.2</v>
      </c>
      <c r="D48" s="112">
        <v>0.7402777777777777</v>
      </c>
      <c r="E48" s="103">
        <f>Effort!F46</f>
        <v>84.352168971027794</v>
      </c>
      <c r="F48" s="104">
        <f>Harvest!F46</f>
        <v>978.246325215561</v>
      </c>
      <c r="G48" s="105">
        <f>+CPUE!F46</f>
        <v>10.7</v>
      </c>
      <c r="H48" s="103">
        <f>Effort!H46</f>
        <v>342.28961572869201</v>
      </c>
      <c r="I48" s="104">
        <f>Harvest!H46</f>
        <v>3251.75134942257</v>
      </c>
      <c r="J48" s="105">
        <f>CPUE!H46</f>
        <v>9.4999999999999876</v>
      </c>
      <c r="K48" s="106" t="str">
        <f>Effort!J46</f>
        <v>CLOSED</v>
      </c>
      <c r="L48" s="107" t="str">
        <f>Harvest!J46</f>
        <v>CLOSED</v>
      </c>
      <c r="M48" s="108" t="str">
        <f>CPUE!J46</f>
        <v>CLOSED</v>
      </c>
      <c r="N48" s="103">
        <f>Effort!L46</f>
        <v>279.324511301759</v>
      </c>
      <c r="O48" s="104">
        <f>Harvest!L46</f>
        <v>3020.1962784502698</v>
      </c>
      <c r="P48" s="105">
        <f>CPUE!L46</f>
        <v>10.812500000000002</v>
      </c>
      <c r="Q48" s="106" t="s">
        <v>10</v>
      </c>
      <c r="R48" s="107" t="s">
        <v>10</v>
      </c>
      <c r="S48" s="113" t="s">
        <v>10</v>
      </c>
      <c r="T48" s="106">
        <f>SUM(E48,H48,N48)</f>
        <v>705.96629600147878</v>
      </c>
      <c r="U48" s="107">
        <f>SUM(F48,I48,O48)</f>
        <v>7250.193953088401</v>
      </c>
      <c r="V48" s="107"/>
    </row>
    <row r="49" spans="1:24" s="114" customFormat="1" x14ac:dyDescent="0.25">
      <c r="A49" s="109">
        <v>45302</v>
      </c>
      <c r="B49" s="110" t="s">
        <v>22</v>
      </c>
      <c r="C49" s="111">
        <v>-1.5</v>
      </c>
      <c r="D49" s="112">
        <v>0.76944444444444438</v>
      </c>
      <c r="E49" s="103">
        <f>Effort!F47</f>
        <v>115.94431372609321</v>
      </c>
      <c r="F49" s="104">
        <f>Harvest!F47</f>
        <v>347.83294117827961</v>
      </c>
      <c r="G49" s="105">
        <f>+CPUE!F47</f>
        <v>3</v>
      </c>
      <c r="H49" s="106">
        <f>Effort!H47</f>
        <v>211.15793094103583</v>
      </c>
      <c r="I49" s="107">
        <f>Harvest!H47</f>
        <v>633.47379282310749</v>
      </c>
      <c r="J49" s="108">
        <f>CPUE!H47</f>
        <v>3</v>
      </c>
      <c r="K49" s="106" t="str">
        <f>Effort!J47</f>
        <v>CLOSED</v>
      </c>
      <c r="L49" s="107" t="str">
        <f>Harvest!J47</f>
        <v>CLOSED</v>
      </c>
      <c r="M49" s="108" t="str">
        <f>CPUE!J47</f>
        <v>CLOSED</v>
      </c>
      <c r="N49" s="103">
        <f>Effort!L47</f>
        <v>100.41077203658</v>
      </c>
      <c r="O49" s="104">
        <f>Harvest!L47</f>
        <v>273.847560099764</v>
      </c>
      <c r="P49" s="105">
        <f>CPUE!L47</f>
        <v>2.7272727272727311</v>
      </c>
      <c r="Q49" s="106" t="s">
        <v>10</v>
      </c>
      <c r="R49" s="107" t="s">
        <v>10</v>
      </c>
      <c r="S49" s="113" t="s">
        <v>10</v>
      </c>
      <c r="T49" s="106">
        <f>SUM(E49,H49,N49)</f>
        <v>427.51301670370907</v>
      </c>
      <c r="U49" s="107">
        <f>SUM(F49,I49,O49)</f>
        <v>1255.1542941011512</v>
      </c>
      <c r="V49" s="107"/>
    </row>
    <row r="50" spans="1:24" s="114" customFormat="1" x14ac:dyDescent="0.25">
      <c r="A50" s="109">
        <v>45303</v>
      </c>
      <c r="B50" s="110" t="s">
        <v>18</v>
      </c>
      <c r="C50" s="111">
        <v>-1.6</v>
      </c>
      <c r="D50" s="112">
        <v>0.7993055555555556</v>
      </c>
      <c r="E50" s="106">
        <f>Effort!F48</f>
        <v>34.746755208932484</v>
      </c>
      <c r="F50" s="107">
        <f>Harvest!F48</f>
        <v>312.72079688039236</v>
      </c>
      <c r="G50" s="108">
        <f>+CPUE!F48</f>
        <v>9</v>
      </c>
      <c r="H50" s="106">
        <f>Effort!H48</f>
        <v>247.52626837731563</v>
      </c>
      <c r="I50" s="107">
        <f>Harvest!H48</f>
        <v>2227.7364153958406</v>
      </c>
      <c r="J50" s="108">
        <f>CPUE!H48</f>
        <v>9</v>
      </c>
      <c r="K50" s="103">
        <f>Effort!J48</f>
        <v>371.32350923203597</v>
      </c>
      <c r="L50" s="104">
        <f>Harvest!J48</f>
        <v>3438.1806410373702</v>
      </c>
      <c r="M50" s="105">
        <f>CPUE!J48</f>
        <v>9.2592592592592595</v>
      </c>
      <c r="N50" s="106" t="str">
        <f>Effort!L48</f>
        <v>CLOSED</v>
      </c>
      <c r="O50" s="107" t="str">
        <f>Harvest!L48</f>
        <v>CLOSED</v>
      </c>
      <c r="P50" s="108" t="str">
        <f>CPUE!L48</f>
        <v>CLOSED</v>
      </c>
      <c r="Q50" s="106" t="s">
        <v>10</v>
      </c>
      <c r="R50" s="107" t="s">
        <v>10</v>
      </c>
      <c r="S50" s="113" t="s">
        <v>10</v>
      </c>
      <c r="T50" s="106">
        <f>SUM(E50,H50,K50)</f>
        <v>653.596532818284</v>
      </c>
      <c r="U50" s="107">
        <f>SUM(F50,I50,L50)</f>
        <v>5978.637853313603</v>
      </c>
      <c r="V50" s="107"/>
    </row>
    <row r="51" spans="1:24" s="114" customFormat="1" x14ac:dyDescent="0.25">
      <c r="A51" s="109">
        <v>45304</v>
      </c>
      <c r="B51" s="110" t="s">
        <v>19</v>
      </c>
      <c r="C51" s="111">
        <v>-1.3</v>
      </c>
      <c r="D51" s="112">
        <v>0.82847222222222217</v>
      </c>
      <c r="E51" s="106">
        <f>Effort!F49</f>
        <v>38.14424145385064</v>
      </c>
      <c r="F51" s="107">
        <f>Harvest!F49</f>
        <v>343.29817308465579</v>
      </c>
      <c r="G51" s="108">
        <f>+CPUE!F49</f>
        <v>9</v>
      </c>
      <c r="H51" s="103">
        <f>Effort!H49</f>
        <v>271.72902017416999</v>
      </c>
      <c r="I51" s="104">
        <f>Harvest!H49</f>
        <v>2189.8162214036101</v>
      </c>
      <c r="J51" s="105">
        <f>CPUE!H49</f>
        <v>8.0588235294117823</v>
      </c>
      <c r="K51" s="103">
        <f>Effort!J49</f>
        <v>407.63097182659402</v>
      </c>
      <c r="L51" s="104">
        <f>Harvest!J49</f>
        <v>3489.3211188356499</v>
      </c>
      <c r="M51" s="105">
        <f>CPUE!J49</f>
        <v>8.5600000000000129</v>
      </c>
      <c r="N51" s="106" t="str">
        <f>Effort!L49</f>
        <v>CLOSED</v>
      </c>
      <c r="O51" s="107" t="str">
        <f>Harvest!L49</f>
        <v>CLOSED</v>
      </c>
      <c r="P51" s="108" t="str">
        <f>CPUE!L49</f>
        <v>CLOSED</v>
      </c>
      <c r="Q51" s="106" t="s">
        <v>10</v>
      </c>
      <c r="R51" s="107" t="s">
        <v>10</v>
      </c>
      <c r="S51" s="113" t="s">
        <v>10</v>
      </c>
      <c r="T51" s="106">
        <f>SUM(E51,H51,K51)</f>
        <v>717.50423345461468</v>
      </c>
      <c r="U51" s="107">
        <f>SUM(F51,I51,L51)</f>
        <v>6022.435513323916</v>
      </c>
      <c r="V51" s="107"/>
    </row>
    <row r="52" spans="1:24" s="114" customFormat="1" x14ac:dyDescent="0.25">
      <c r="A52" s="109">
        <v>45305</v>
      </c>
      <c r="B52" s="110" t="s">
        <v>20</v>
      </c>
      <c r="C52" s="111">
        <v>-0.8</v>
      </c>
      <c r="D52" s="112">
        <v>0.85833333333333339</v>
      </c>
      <c r="E52" s="103">
        <f>Effort!F50</f>
        <v>41.617362933846778</v>
      </c>
      <c r="F52" s="104">
        <f>Harvest!F50</f>
        <v>237.21896872292663</v>
      </c>
      <c r="G52" s="105">
        <f>+CPUE!F50</f>
        <v>5.7</v>
      </c>
      <c r="H52" s="103">
        <f>Effort!H50</f>
        <v>296.470576454612</v>
      </c>
      <c r="I52" s="104">
        <f>Harvest!H50</f>
        <v>2223.5293234095898</v>
      </c>
      <c r="J52" s="105">
        <f>CPUE!H50</f>
        <v>7.4999999999999991</v>
      </c>
      <c r="K52" s="106" t="str">
        <f>Effort!J50</f>
        <v>CLOSED</v>
      </c>
      <c r="L52" s="107" t="str">
        <f>Harvest!J50</f>
        <v>CLOSED</v>
      </c>
      <c r="M52" s="108" t="str">
        <f>CPUE!J50</f>
        <v>CLOSED</v>
      </c>
      <c r="N52" s="103">
        <f>Effort!L50</f>
        <v>140.97902615010099</v>
      </c>
      <c r="O52" s="104">
        <f>Harvest!L50</f>
        <v>1309.0909571080799</v>
      </c>
      <c r="P52" s="105">
        <f>CPUE!L50</f>
        <v>9.2857142857142811</v>
      </c>
      <c r="Q52" s="106" t="s">
        <v>10</v>
      </c>
      <c r="R52" s="107" t="s">
        <v>10</v>
      </c>
      <c r="S52" s="113" t="s">
        <v>10</v>
      </c>
      <c r="T52" s="106">
        <f>SUM(E52,H52,N52)</f>
        <v>479.06696553855977</v>
      </c>
      <c r="U52" s="107">
        <f>SUM(F52,I52,O52)</f>
        <v>3769.8392492405965</v>
      </c>
      <c r="V52" s="107"/>
    </row>
    <row r="53" spans="1:24" s="114" customFormat="1" x14ac:dyDescent="0.25">
      <c r="A53" s="109">
        <v>45306</v>
      </c>
      <c r="B53" s="110" t="s">
        <v>21</v>
      </c>
      <c r="C53" s="111">
        <v>0</v>
      </c>
      <c r="D53" s="112">
        <v>0.8881944444444444</v>
      </c>
      <c r="E53" s="106" t="str">
        <f>Effort!F51</f>
        <v>CLOSED</v>
      </c>
      <c r="F53" s="107" t="str">
        <f>Harvest!F51</f>
        <v>CLOSED</v>
      </c>
      <c r="G53" s="108" t="str">
        <f>+CPUE!F51</f>
        <v>CLOSED</v>
      </c>
      <c r="H53" s="106" t="str">
        <f>Effort!H51</f>
        <v>CLOSED</v>
      </c>
      <c r="I53" s="107" t="str">
        <f>Harvest!H51</f>
        <v>CLOSED</v>
      </c>
      <c r="J53" s="108" t="str">
        <f>CPUE!H51</f>
        <v>CLOSED</v>
      </c>
      <c r="K53" s="106" t="str">
        <f>Effort!J51</f>
        <v>CLOSED</v>
      </c>
      <c r="L53" s="107" t="str">
        <f>Harvest!J51</f>
        <v>CLOSED</v>
      </c>
      <c r="M53" s="108" t="str">
        <f>CPUE!J51</f>
        <v>CLOSED</v>
      </c>
      <c r="N53" s="103">
        <f>Effort!L51</f>
        <v>16</v>
      </c>
      <c r="O53" s="104">
        <f>Harvest!L51</f>
        <v>60</v>
      </c>
      <c r="P53" s="105">
        <f>CPUE!L51</f>
        <v>3.75</v>
      </c>
      <c r="Q53" s="106" t="s">
        <v>10</v>
      </c>
      <c r="R53" s="107" t="s">
        <v>10</v>
      </c>
      <c r="S53" s="113" t="s">
        <v>10</v>
      </c>
      <c r="T53" s="106">
        <f>SUM(E53,H53,N53)</f>
        <v>16</v>
      </c>
      <c r="U53" s="107">
        <f>SUM(F53,I53,O53)</f>
        <v>60</v>
      </c>
      <c r="V53" s="107"/>
    </row>
    <row r="54" spans="1:24" s="114" customFormat="1" x14ac:dyDescent="0.25">
      <c r="A54" s="125" t="s">
        <v>50</v>
      </c>
      <c r="B54" s="125"/>
      <c r="C54" s="125"/>
      <c r="D54" s="126"/>
      <c r="E54" s="115">
        <f>SUM(E47:E53)</f>
        <v>364.80484229375094</v>
      </c>
      <c r="F54" s="116">
        <f>SUM(F47:F53)</f>
        <v>2419.3172050818152</v>
      </c>
      <c r="G54" s="117">
        <f>+F54/E54</f>
        <v>6.6318122036705702</v>
      </c>
      <c r="H54" s="115">
        <f>SUM(H47:H53)</f>
        <v>1369.1734116758255</v>
      </c>
      <c r="I54" s="116">
        <f>SUM(I47:I53)</f>
        <v>10526.307102454719</v>
      </c>
      <c r="J54" s="117">
        <f>+I54/H54</f>
        <v>7.6880744343193514</v>
      </c>
      <c r="K54" s="115">
        <f>SUM(K47:K53)</f>
        <v>843.12114772529662</v>
      </c>
      <c r="L54" s="116">
        <f>SUM(L47:L53)</f>
        <v>7175.0017598730201</v>
      </c>
      <c r="M54" s="117">
        <f>+L54/K54</f>
        <v>8.5100483830003029</v>
      </c>
      <c r="N54" s="115">
        <f>SUM(N47:N53)</f>
        <v>536.71430948843999</v>
      </c>
      <c r="O54" s="116">
        <f>SUM(O47:O53)</f>
        <v>4663.1347956581139</v>
      </c>
      <c r="P54" s="117">
        <f>+O54/N54</f>
        <v>8.6882997401405238</v>
      </c>
      <c r="Q54" s="115"/>
      <c r="R54" s="116"/>
      <c r="S54" s="117"/>
      <c r="T54" s="115">
        <f>SUM(T47:T53)</f>
        <v>3113.813711183313</v>
      </c>
      <c r="U54" s="116">
        <f>SUM(U47:U53)</f>
        <v>24783.76086306767</v>
      </c>
      <c r="V54" s="118"/>
      <c r="W54" s="119">
        <f>SUM(H54,K54,N54,Q54,E54)</f>
        <v>3113.813711183313</v>
      </c>
      <c r="X54" s="119">
        <f>SUM(R54,O54,L54,I54,F54)</f>
        <v>24783.760863067666</v>
      </c>
    </row>
    <row r="55" spans="1:24" s="114" customFormat="1" x14ac:dyDescent="0.25">
      <c r="A55" s="109">
        <v>45313</v>
      </c>
      <c r="B55" s="110" t="s">
        <v>21</v>
      </c>
      <c r="C55" s="111">
        <v>-0.1</v>
      </c>
      <c r="D55" s="112">
        <v>0.68611111111111101</v>
      </c>
      <c r="E55" s="106" t="str">
        <f>Effort!F53</f>
        <v>CLOSED</v>
      </c>
      <c r="F55" s="107" t="str">
        <f>Harvest!F53</f>
        <v>CLOSED</v>
      </c>
      <c r="G55" s="108" t="str">
        <f>+CPUE!F53</f>
        <v>CLOSED</v>
      </c>
      <c r="H55" s="106" t="str">
        <f>Effort!H53</f>
        <v>CLOSED</v>
      </c>
      <c r="I55" s="107" t="str">
        <f>Harvest!H53</f>
        <v>CLOSED</v>
      </c>
      <c r="J55" s="108" t="str">
        <f>CPUE!H53</f>
        <v>CLOSED</v>
      </c>
      <c r="K55" s="106" t="str">
        <f>Effort!J53</f>
        <v>CLOSED</v>
      </c>
      <c r="L55" s="107" t="str">
        <f>Harvest!J53</f>
        <v>CLOSED</v>
      </c>
      <c r="M55" s="108" t="str">
        <f>CPUE!J53</f>
        <v>CLOSED</v>
      </c>
      <c r="N55" s="103">
        <f>Effort!L53</f>
        <v>512.60206249785404</v>
      </c>
      <c r="O55" s="104">
        <f>Harvest!L53</f>
        <v>7689.03093746781</v>
      </c>
      <c r="P55" s="105">
        <f>CPUE!L53</f>
        <v>14.999999999999998</v>
      </c>
      <c r="Q55" s="106" t="s">
        <v>10</v>
      </c>
      <c r="R55" s="107" t="s">
        <v>10</v>
      </c>
      <c r="S55" s="113" t="s">
        <v>10</v>
      </c>
      <c r="T55" s="106">
        <f>SUM(E55,H55,N55)</f>
        <v>512.60206249785404</v>
      </c>
      <c r="U55" s="107">
        <f>SUM(F55,I55,O55)</f>
        <v>7689.03093746781</v>
      </c>
      <c r="V55" s="107"/>
    </row>
    <row r="56" spans="1:24" s="114" customFormat="1" x14ac:dyDescent="0.25">
      <c r="A56" s="109">
        <v>45314</v>
      </c>
      <c r="B56" s="110" t="s">
        <v>66</v>
      </c>
      <c r="C56" s="111">
        <v>-0.3</v>
      </c>
      <c r="D56" s="112">
        <v>0.71736111111111101</v>
      </c>
      <c r="E56" s="106">
        <f>Effort!F54</f>
        <v>256.80596947450152</v>
      </c>
      <c r="F56" s="107">
        <f>Harvest!F54</f>
        <v>2568.0596947450153</v>
      </c>
      <c r="G56" s="108">
        <f>+CPUE!F54</f>
        <v>10</v>
      </c>
      <c r="H56" s="106">
        <f>Effort!H54</f>
        <v>337.67124521441497</v>
      </c>
      <c r="I56" s="107">
        <f>Harvest!H54</f>
        <v>3376.7124521441497</v>
      </c>
      <c r="J56" s="108">
        <f>CPUE!H54</f>
        <v>10</v>
      </c>
      <c r="K56" s="106" t="str">
        <f>Effort!J54</f>
        <v>CLOSED</v>
      </c>
      <c r="L56" s="107" t="str">
        <f>Harvest!J54</f>
        <v>CLOSED</v>
      </c>
      <c r="M56" s="108" t="str">
        <f>CPUE!J54</f>
        <v>CLOSED</v>
      </c>
      <c r="N56" s="103">
        <f>Effort!L54</f>
        <v>611.35328984581804</v>
      </c>
      <c r="O56" s="104">
        <f>Harvest!L54</f>
        <v>8540.9650787283408</v>
      </c>
      <c r="P56" s="105">
        <f>CPUE!L54</f>
        <v>13.970588235294118</v>
      </c>
      <c r="Q56" s="106" t="s">
        <v>10</v>
      </c>
      <c r="R56" s="107" t="s">
        <v>10</v>
      </c>
      <c r="S56" s="113" t="s">
        <v>10</v>
      </c>
      <c r="T56" s="106">
        <f>SUM(E56,H56,N56)</f>
        <v>1205.8305045347347</v>
      </c>
      <c r="U56" s="107">
        <f>SUM(F56,I56,O56)</f>
        <v>14485.737225617506</v>
      </c>
      <c r="V56" s="107"/>
    </row>
    <row r="57" spans="1:24" s="114" customFormat="1" x14ac:dyDescent="0.25">
      <c r="A57" s="109">
        <v>45315</v>
      </c>
      <c r="B57" s="110" t="s">
        <v>67</v>
      </c>
      <c r="C57" s="111">
        <v>-0.4</v>
      </c>
      <c r="D57" s="112">
        <v>0.74513888888888891</v>
      </c>
      <c r="E57" s="103">
        <f>Effort!F55</f>
        <v>293.67145399623632</v>
      </c>
      <c r="F57" s="104">
        <f>Harvest!F55</f>
        <v>2321.1247161288729</v>
      </c>
      <c r="G57" s="105">
        <f>+CPUE!F55</f>
        <v>7.9038145674132165</v>
      </c>
      <c r="H57" s="103">
        <f>Effort!H55</f>
        <v>386.14525105376498</v>
      </c>
      <c r="I57" s="104">
        <f>Harvest!H55</f>
        <v>3877.5418959982198</v>
      </c>
      <c r="J57" s="105">
        <f>CPUE!H55</f>
        <v>10.041666666666657</v>
      </c>
      <c r="K57" s="103">
        <f>Effort!J55</f>
        <v>622.76105913292895</v>
      </c>
      <c r="L57" s="104">
        <f>Harvest!J55</f>
        <v>5009.1650408518199</v>
      </c>
      <c r="M57" s="105">
        <f>CPUE!J55</f>
        <v>8.0434782608695645</v>
      </c>
      <c r="N57" s="106" t="str">
        <f>Effort!L55</f>
        <v>CLOSED</v>
      </c>
      <c r="O57" s="107" t="str">
        <f>Harvest!L55</f>
        <v>CLOSED</v>
      </c>
      <c r="P57" s="108" t="str">
        <f>CPUE!L55</f>
        <v>CLOSED</v>
      </c>
      <c r="Q57" s="106" t="s">
        <v>10</v>
      </c>
      <c r="R57" s="107" t="s">
        <v>10</v>
      </c>
      <c r="S57" s="113" t="s">
        <v>10</v>
      </c>
      <c r="T57" s="106">
        <f>SUM(E57,H57,K57)</f>
        <v>1302.5777641829302</v>
      </c>
      <c r="U57" s="107">
        <f>SUM(F57,I57,L57)</f>
        <v>11207.831652978912</v>
      </c>
      <c r="V57" s="107"/>
    </row>
    <row r="58" spans="1:24" s="114" customFormat="1" x14ac:dyDescent="0.25">
      <c r="A58" s="109">
        <v>45316</v>
      </c>
      <c r="B58" s="110" t="s">
        <v>22</v>
      </c>
      <c r="C58" s="111">
        <v>-0.4</v>
      </c>
      <c r="D58" s="112">
        <v>0.76944444444444438</v>
      </c>
      <c r="E58" s="106">
        <f>Effort!F56</f>
        <v>117.85831865906849</v>
      </c>
      <c r="F58" s="107">
        <f>Harvest!F56</f>
        <v>471.43327463627395</v>
      </c>
      <c r="G58" s="108">
        <f>+CPUE!F56</f>
        <v>4</v>
      </c>
      <c r="H58" s="106">
        <f>Effort!H56</f>
        <v>154.97056124482532</v>
      </c>
      <c r="I58" s="107">
        <f>Harvest!H56</f>
        <v>619.88224497930128</v>
      </c>
      <c r="J58" s="108">
        <f>CPUE!H56</f>
        <v>4</v>
      </c>
      <c r="K58" s="103">
        <f>Effort!J56</f>
        <v>249.930901887006</v>
      </c>
      <c r="L58" s="104">
        <f>Harvest!J56</f>
        <v>1059.2309651401699</v>
      </c>
      <c r="M58" s="105">
        <f>CPUE!J56</f>
        <v>4.2380952380952444</v>
      </c>
      <c r="N58" s="106" t="str">
        <f>Effort!L56</f>
        <v>CLOSED</v>
      </c>
      <c r="O58" s="107" t="str">
        <f>Harvest!L56</f>
        <v>CLOSED</v>
      </c>
      <c r="P58" s="108" t="str">
        <f>CPUE!L56</f>
        <v>CLOSED</v>
      </c>
      <c r="Q58" s="106" t="s">
        <v>10</v>
      </c>
      <c r="R58" s="107" t="s">
        <v>10</v>
      </c>
      <c r="S58" s="113" t="s">
        <v>10</v>
      </c>
      <c r="T58" s="106">
        <f>SUM(E58,H58,K58)</f>
        <v>522.75978179089986</v>
      </c>
      <c r="U58" s="107">
        <f>SUM(F58,I58,L58)</f>
        <v>2150.546484755745</v>
      </c>
      <c r="V58" s="107"/>
    </row>
    <row r="59" spans="1:24" s="114" customFormat="1" x14ac:dyDescent="0.25">
      <c r="A59" s="109">
        <v>45317</v>
      </c>
      <c r="B59" s="110" t="s">
        <v>18</v>
      </c>
      <c r="C59" s="111">
        <v>-0.2</v>
      </c>
      <c r="D59" s="112">
        <v>0.79236111111111107</v>
      </c>
      <c r="E59" s="106">
        <f>Effort!F57</f>
        <v>98.762058313772698</v>
      </c>
      <c r="F59" s="107">
        <f>Harvest!F57</f>
        <v>98.762058313772698</v>
      </c>
      <c r="G59" s="108">
        <f>+CPUE!F57</f>
        <v>1</v>
      </c>
      <c r="H59" s="103">
        <f>Effort!H57</f>
        <v>129.861105950894</v>
      </c>
      <c r="I59" s="104">
        <f>Harvest!H57</f>
        <v>23.611110172889902</v>
      </c>
      <c r="J59" s="105">
        <f>CPUE!H57</f>
        <v>0.18181818181818246</v>
      </c>
      <c r="K59" s="106" t="str">
        <f>Effort!J57</f>
        <v>CLOSED</v>
      </c>
      <c r="L59" s="107" t="str">
        <f>Harvest!J57</f>
        <v>CLOSED</v>
      </c>
      <c r="M59" s="108" t="str">
        <f>CPUE!J57</f>
        <v>CLOSED</v>
      </c>
      <c r="N59" s="103">
        <f>Effort!L57</f>
        <v>235.113340182945</v>
      </c>
      <c r="O59" s="104">
        <f>Harvest!L57</f>
        <v>677.67962758613396</v>
      </c>
      <c r="P59" s="105">
        <f>CPUE!L57</f>
        <v>2.8823529411764639</v>
      </c>
      <c r="Q59" s="106" t="s">
        <v>10</v>
      </c>
      <c r="R59" s="107" t="s">
        <v>10</v>
      </c>
      <c r="S59" s="113" t="s">
        <v>10</v>
      </c>
      <c r="T59" s="106">
        <f>SUM(E59,H59,N59)</f>
        <v>463.73650444761165</v>
      </c>
      <c r="U59" s="107">
        <f>SUM(F59,I59,O59)</f>
        <v>800.05279607279658</v>
      </c>
      <c r="V59" s="107"/>
    </row>
    <row r="60" spans="1:24" s="114" customFormat="1" x14ac:dyDescent="0.25">
      <c r="A60" s="109">
        <v>45318</v>
      </c>
      <c r="B60" s="110" t="s">
        <v>19</v>
      </c>
      <c r="C60" s="111">
        <v>0</v>
      </c>
      <c r="D60" s="112">
        <v>0.81388888888888899</v>
      </c>
      <c r="E60" s="103">
        <f>Effort!F58</f>
        <v>120.75840739026376</v>
      </c>
      <c r="F60" s="104">
        <f>Harvest!F58</f>
        <v>60.379203695131878</v>
      </c>
      <c r="G60" s="105">
        <f>+CPUE!F58</f>
        <v>0.5</v>
      </c>
      <c r="H60" s="106" t="str">
        <f>Effort!H58</f>
        <v>CLOSED</v>
      </c>
      <c r="I60" s="107" t="str">
        <f>Harvest!H58</f>
        <v>CLOSED</v>
      </c>
      <c r="J60" s="108" t="str">
        <f>CPUE!H58</f>
        <v>CLOSED</v>
      </c>
      <c r="K60" s="106" t="str">
        <f>Effort!J58</f>
        <v>CLOSED</v>
      </c>
      <c r="L60" s="107" t="str">
        <f>Harvest!J58</f>
        <v>CLOSED</v>
      </c>
      <c r="M60" s="108" t="str">
        <f>CPUE!J58</f>
        <v>CLOSED</v>
      </c>
      <c r="N60" s="103">
        <f>Effort!L58</f>
        <v>402.96294695065399</v>
      </c>
      <c r="O60" s="104">
        <f>Harvest!L58</f>
        <v>75.555552553247594</v>
      </c>
      <c r="P60" s="105">
        <f>CPUE!L58</f>
        <v>0.18749999999999992</v>
      </c>
      <c r="Q60" s="106" t="s">
        <v>10</v>
      </c>
      <c r="R60" s="107" t="s">
        <v>10</v>
      </c>
      <c r="S60" s="113" t="s">
        <v>10</v>
      </c>
      <c r="T60" s="106">
        <f>SUM(E60,H60,N60)</f>
        <v>523.72135434091774</v>
      </c>
      <c r="U60" s="107">
        <f>SUM(F60,I60,O60)</f>
        <v>135.93475624837947</v>
      </c>
      <c r="V60" s="107"/>
    </row>
    <row r="61" spans="1:24" s="114" customFormat="1" x14ac:dyDescent="0.25">
      <c r="A61" s="109">
        <v>45319</v>
      </c>
      <c r="B61" s="110" t="s">
        <v>20</v>
      </c>
      <c r="C61" s="111">
        <v>0.4</v>
      </c>
      <c r="D61" s="112">
        <v>0.83472222222222225</v>
      </c>
      <c r="E61" s="106" t="str">
        <f>Effort!F59</f>
        <v>CLOSED</v>
      </c>
      <c r="F61" s="107" t="str">
        <f>Harvest!F59</f>
        <v>CLOSED</v>
      </c>
      <c r="G61" s="108" t="str">
        <f>+CPUE!F59</f>
        <v>CLOSED</v>
      </c>
      <c r="H61" s="106" t="str">
        <f>Effort!H59</f>
        <v>CLOSED</v>
      </c>
      <c r="I61" s="107" t="str">
        <f>Harvest!H59</f>
        <v>CLOSED</v>
      </c>
      <c r="J61" s="108" t="str">
        <f>CPUE!H59</f>
        <v>CLOSED</v>
      </c>
      <c r="K61" s="103">
        <f>Effort!J59</f>
        <v>215.41665810677799</v>
      </c>
      <c r="L61" s="104">
        <f>Harvest!J59</f>
        <v>234.99999066193899</v>
      </c>
      <c r="M61" s="105">
        <f>CPUE!J59</f>
        <v>1.0909090909090879</v>
      </c>
      <c r="N61" s="106" t="str">
        <f>Effort!L59</f>
        <v>CLOSED</v>
      </c>
      <c r="O61" s="107" t="str">
        <f>Harvest!L59</f>
        <v>CLOSED</v>
      </c>
      <c r="P61" s="108" t="str">
        <f>CPUE!L59</f>
        <v>CLOSED</v>
      </c>
      <c r="Q61" s="106" t="s">
        <v>10</v>
      </c>
      <c r="R61" s="107" t="s">
        <v>10</v>
      </c>
      <c r="S61" s="113" t="s">
        <v>10</v>
      </c>
      <c r="T61" s="106">
        <f>SUM(E61,H61,K61)</f>
        <v>215.41665810677799</v>
      </c>
      <c r="U61" s="107">
        <f>SUM(F61,I61,L61)</f>
        <v>234.99999066193899</v>
      </c>
      <c r="V61" s="107"/>
    </row>
    <row r="62" spans="1:24" s="114" customFormat="1" x14ac:dyDescent="0.25">
      <c r="A62" s="125" t="s">
        <v>50</v>
      </c>
      <c r="B62" s="125"/>
      <c r="C62" s="125"/>
      <c r="D62" s="126"/>
      <c r="E62" s="115">
        <f>SUM(E55:E61)</f>
        <v>887.85620783384286</v>
      </c>
      <c r="F62" s="116">
        <f>SUM(F55:F61)</f>
        <v>5519.7589475190662</v>
      </c>
      <c r="G62" s="117">
        <f>+F62/E62</f>
        <v>6.2169514599508853</v>
      </c>
      <c r="H62" s="115">
        <f>SUM(H55:H61)</f>
        <v>1008.6481634638992</v>
      </c>
      <c r="I62" s="116">
        <f>SUM(I55:I61)</f>
        <v>7897.7477032945608</v>
      </c>
      <c r="J62" s="117">
        <f>+I62/H62</f>
        <v>7.8300323040019411</v>
      </c>
      <c r="K62" s="115">
        <f>SUM(K55:K61)</f>
        <v>1088.1086191267129</v>
      </c>
      <c r="L62" s="116">
        <f>SUM(L55:L61)</f>
        <v>6303.3959966539287</v>
      </c>
      <c r="M62" s="117">
        <f>+L62/K62</f>
        <v>5.7929841615562854</v>
      </c>
      <c r="N62" s="115">
        <f>SUM(N55:N61)</f>
        <v>1762.031639477271</v>
      </c>
      <c r="O62" s="116">
        <f>SUM(O55:O61)</f>
        <v>16983.231196335531</v>
      </c>
      <c r="P62" s="117">
        <f>+O62/N62</f>
        <v>9.6384371403080031</v>
      </c>
      <c r="Q62" s="115"/>
      <c r="R62" s="116"/>
      <c r="S62" s="117"/>
      <c r="T62" s="115">
        <f>SUM(T55:T61)</f>
        <v>4746.6446299017271</v>
      </c>
      <c r="U62" s="116">
        <f>SUM(U55:U61)</f>
        <v>36704.133843803094</v>
      </c>
      <c r="V62" s="118"/>
      <c r="W62" s="119">
        <f>SUM(H62,K62,N62,Q62,E62)</f>
        <v>4746.6446299017261</v>
      </c>
      <c r="X62" s="119">
        <f>SUM(R62,O62,L62,I62,F62)</f>
        <v>36704.133843803087</v>
      </c>
    </row>
    <row r="63" spans="1:24" s="114" customFormat="1" x14ac:dyDescent="0.25">
      <c r="A63" s="109">
        <v>45328</v>
      </c>
      <c r="B63" s="110" t="s">
        <v>66</v>
      </c>
      <c r="C63" s="111">
        <v>0</v>
      </c>
      <c r="D63" s="112">
        <v>0.66111111111111109</v>
      </c>
      <c r="E63" s="106" t="str">
        <f>Effort!F61</f>
        <v>CLOSED</v>
      </c>
      <c r="F63" s="107" t="str">
        <f>Harvest!F61</f>
        <v>CLOSED</v>
      </c>
      <c r="G63" s="108" t="str">
        <f>+CPUE!F61</f>
        <v>CLOSED</v>
      </c>
      <c r="H63" s="106" t="str">
        <f>Effort!H61</f>
        <v>CLOSED</v>
      </c>
      <c r="I63" s="107" t="str">
        <f>Harvest!H61</f>
        <v>CLOSED</v>
      </c>
      <c r="J63" s="108" t="str">
        <f>CPUE!H61</f>
        <v>CLOSED</v>
      </c>
      <c r="K63" s="106" t="str">
        <f>Effort!J61</f>
        <v>CLOSED</v>
      </c>
      <c r="L63" s="107" t="str">
        <f>Harvest!J61</f>
        <v>CLOSED</v>
      </c>
      <c r="M63" s="108" t="str">
        <f>CPUE!J61</f>
        <v>CLOSED</v>
      </c>
      <c r="N63" s="103">
        <f>Effort!L61</f>
        <v>926.71536556030401</v>
      </c>
      <c r="O63" s="104">
        <f>Harvest!L61</f>
        <v>13784.891062709499</v>
      </c>
      <c r="P63" s="105">
        <f>CPUE!L61</f>
        <v>14.874999999999975</v>
      </c>
      <c r="Q63" s="106" t="s">
        <v>10</v>
      </c>
      <c r="R63" s="107" t="s">
        <v>10</v>
      </c>
      <c r="S63" s="113" t="s">
        <v>10</v>
      </c>
      <c r="T63" s="106">
        <f>SUM(E63,H63,N63)</f>
        <v>926.71536556030401</v>
      </c>
      <c r="U63" s="107">
        <f>SUM(F63,I63,O63)</f>
        <v>13784.891062709499</v>
      </c>
      <c r="V63" s="107"/>
    </row>
    <row r="64" spans="1:24" s="114" customFormat="1" x14ac:dyDescent="0.25">
      <c r="A64" s="109">
        <v>45329</v>
      </c>
      <c r="B64" s="110" t="s">
        <v>67</v>
      </c>
      <c r="C64" s="111">
        <v>-0.7</v>
      </c>
      <c r="D64" s="112">
        <v>0.69513888888888886</v>
      </c>
      <c r="E64" s="106">
        <f>Effort!F62</f>
        <v>1407.916225794256</v>
      </c>
      <c r="F64" s="107">
        <f>Harvest!F62</f>
        <v>19710.827161119585</v>
      </c>
      <c r="G64" s="108">
        <f>+CPUE!F62</f>
        <v>14</v>
      </c>
      <c r="H64" s="106">
        <f>Effort!H62</f>
        <v>947.51419401603391</v>
      </c>
      <c r="I64" s="107">
        <f>Harvest!H62</f>
        <v>13265.198716224475</v>
      </c>
      <c r="J64" s="108">
        <f>CPUE!H62</f>
        <v>14</v>
      </c>
      <c r="K64" s="103">
        <f>Effort!J62</f>
        <v>2219.2506991907098</v>
      </c>
      <c r="L64" s="104">
        <f>Harvest!J62</f>
        <v>31031.895370039601</v>
      </c>
      <c r="M64" s="105">
        <f>CPUE!J62</f>
        <v>13.983050847457633</v>
      </c>
      <c r="N64" s="106" t="str">
        <f>Effort!L62</f>
        <v>CLOSED</v>
      </c>
      <c r="O64" s="107" t="str">
        <f>Harvest!L62</f>
        <v>CLOSED</v>
      </c>
      <c r="P64" s="108" t="str">
        <f>CPUE!L62</f>
        <v>CLOSED</v>
      </c>
      <c r="Q64" s="106" t="s">
        <v>10</v>
      </c>
      <c r="R64" s="107" t="s">
        <v>10</v>
      </c>
      <c r="S64" s="113" t="s">
        <v>10</v>
      </c>
      <c r="T64" s="106">
        <f>SUM(E64,H64,K64)</f>
        <v>4574.6811190009994</v>
      </c>
      <c r="U64" s="107">
        <f>SUM(F64,I64,L64)</f>
        <v>64007.92124738366</v>
      </c>
      <c r="V64" s="107"/>
    </row>
    <row r="65" spans="1:24" s="114" customFormat="1" x14ac:dyDescent="0.25">
      <c r="A65" s="109">
        <v>45330</v>
      </c>
      <c r="B65" s="110" t="s">
        <v>22</v>
      </c>
      <c r="C65" s="111">
        <v>-1.2</v>
      </c>
      <c r="D65" s="112">
        <v>0.72638888888888886</v>
      </c>
      <c r="E65" s="103">
        <f>Effort!F63</f>
        <v>2007.5370700619728</v>
      </c>
      <c r="F65" s="104">
        <f>Harvest!F63</f>
        <v>27904.765273861423</v>
      </c>
      <c r="G65" s="105">
        <f>+CPUE!F63</f>
        <v>13.9</v>
      </c>
      <c r="H65" s="103">
        <f>Effort!H63</f>
        <v>1351.05330420068</v>
      </c>
      <c r="I65" s="104">
        <f>Harvest!H63</f>
        <v>18479.661296439899</v>
      </c>
      <c r="J65" s="105">
        <f>CPUE!H63</f>
        <v>13.677966101694981</v>
      </c>
      <c r="K65" s="103">
        <f>Effort!J63</f>
        <v>3164.4127432887199</v>
      </c>
      <c r="L65" s="104">
        <f>Harvest!J63</f>
        <v>38816.796317674904</v>
      </c>
      <c r="M65" s="105">
        <f>CPUE!J63</f>
        <v>12.266666666666648</v>
      </c>
      <c r="N65" s="106" t="str">
        <f>Effort!L63</f>
        <v>CLOSED</v>
      </c>
      <c r="O65" s="107" t="str">
        <f>Harvest!L63</f>
        <v>CLOSED</v>
      </c>
      <c r="P65" s="108" t="str">
        <f>CPUE!L63</f>
        <v>CLOSED</v>
      </c>
      <c r="Q65" s="106" t="s">
        <v>10</v>
      </c>
      <c r="R65" s="107" t="s">
        <v>10</v>
      </c>
      <c r="S65" s="113" t="s">
        <v>10</v>
      </c>
      <c r="T65" s="106">
        <f>SUM(E65,H65,K65)</f>
        <v>6523.0031175513723</v>
      </c>
      <c r="U65" s="107">
        <f>SUM(F65,I65,L65)</f>
        <v>85201.222887976226</v>
      </c>
      <c r="V65" s="107"/>
    </row>
    <row r="66" spans="1:24" s="114" customFormat="1" x14ac:dyDescent="0.25">
      <c r="A66" s="109">
        <v>45331</v>
      </c>
      <c r="B66" s="110" t="s">
        <v>18</v>
      </c>
      <c r="C66" s="111">
        <v>-1.4</v>
      </c>
      <c r="D66" s="112">
        <v>0.75624999999999998</v>
      </c>
      <c r="E66" s="106">
        <f>Effort!F64</f>
        <v>1450.1739975044566</v>
      </c>
      <c r="F66" s="107">
        <f>Harvest!F64</f>
        <v>21027.522963814619</v>
      </c>
      <c r="G66" s="108">
        <f>+CPUE!F64</f>
        <v>14.5</v>
      </c>
      <c r="H66" s="103">
        <f>Effort!H64</f>
        <v>1822.7937481767799</v>
      </c>
      <c r="I66" s="104">
        <f>Harvest!H64</f>
        <v>25930.711062773</v>
      </c>
      <c r="J66" s="105">
        <f>CPUE!H64</f>
        <v>14.225806451612957</v>
      </c>
      <c r="K66" s="106" t="str">
        <f>Effort!J64</f>
        <v>CLOSED</v>
      </c>
      <c r="L66" s="107" t="str">
        <f>Harvest!J64</f>
        <v>CLOSED</v>
      </c>
      <c r="M66" s="108" t="str">
        <f>CPUE!J64</f>
        <v>CLOSED</v>
      </c>
      <c r="N66" s="103">
        <f>Effort!L64</f>
        <v>1605.0688757847299</v>
      </c>
      <c r="O66" s="104">
        <f>Harvest!L64</f>
        <v>23256.4234980724</v>
      </c>
      <c r="P66" s="105">
        <f>CPUE!L64</f>
        <v>14.489361702127683</v>
      </c>
      <c r="Q66" s="106" t="s">
        <v>10</v>
      </c>
      <c r="R66" s="107" t="s">
        <v>10</v>
      </c>
      <c r="S66" s="113" t="s">
        <v>10</v>
      </c>
      <c r="T66" s="106">
        <f>SUM(E66,H66,N66)</f>
        <v>4878.0366214659662</v>
      </c>
      <c r="U66" s="107">
        <f>SUM(F66,I66,O66)</f>
        <v>70214.657524660026</v>
      </c>
      <c r="V66" s="107"/>
    </row>
    <row r="67" spans="1:24" s="114" customFormat="1" x14ac:dyDescent="0.25">
      <c r="A67" s="109">
        <v>45332</v>
      </c>
      <c r="B67" s="110" t="s">
        <v>19</v>
      </c>
      <c r="C67" s="111">
        <v>-1.4</v>
      </c>
      <c r="D67" s="112">
        <v>0.78402777777777777</v>
      </c>
      <c r="E67" s="103">
        <f>Effort!F65</f>
        <v>3307.7156972888915</v>
      </c>
      <c r="F67" s="104">
        <f>Harvest!F65</f>
        <v>23154.009881022241</v>
      </c>
      <c r="G67" s="105">
        <f>+CPUE!F65</f>
        <v>7</v>
      </c>
      <c r="H67" s="106">
        <f>Effort!H65</f>
        <v>2226.0611217707965</v>
      </c>
      <c r="I67" s="107">
        <f>Harvest!H65</f>
        <v>20034.550095937167</v>
      </c>
      <c r="J67" s="108">
        <f>CPUE!H65</f>
        <v>9</v>
      </c>
      <c r="K67" s="106" t="str">
        <f>Effort!J65</f>
        <v>CLOSED</v>
      </c>
      <c r="L67" s="107" t="str">
        <f>Harvest!J65</f>
        <v>CLOSED</v>
      </c>
      <c r="M67" s="108" t="str">
        <f>CPUE!J65</f>
        <v>CLOSED</v>
      </c>
      <c r="N67" s="103">
        <f>Effort!L65</f>
        <v>3661.0169019712198</v>
      </c>
      <c r="O67" s="104">
        <f>Harvest!L65</f>
        <v>40556.459965992901</v>
      </c>
      <c r="P67" s="105">
        <f>CPUE!L65</f>
        <v>11.077922077922087</v>
      </c>
      <c r="Q67" s="106" t="s">
        <v>10</v>
      </c>
      <c r="R67" s="107" t="s">
        <v>10</v>
      </c>
      <c r="S67" s="113" t="s">
        <v>10</v>
      </c>
      <c r="T67" s="106">
        <f>SUM(E67,H67,N67)</f>
        <v>9194.7937210309083</v>
      </c>
      <c r="U67" s="107">
        <f>SUM(F67,I67,O67)</f>
        <v>83745.01994295232</v>
      </c>
      <c r="V67" s="107"/>
    </row>
    <row r="68" spans="1:24" s="114" customFormat="1" x14ac:dyDescent="0.25">
      <c r="A68" s="109">
        <v>45333</v>
      </c>
      <c r="B68" s="110" t="s">
        <v>20</v>
      </c>
      <c r="C68" s="111">
        <v>-1</v>
      </c>
      <c r="D68" s="112">
        <v>0.81180555555555556</v>
      </c>
      <c r="E68" s="106">
        <f>Effort!F66</f>
        <v>145.67947134130398</v>
      </c>
      <c r="F68" s="107">
        <f>Harvest!F66</f>
        <v>728.39735670651987</v>
      </c>
      <c r="G68" s="108">
        <f>+CPUE!F66</f>
        <v>5</v>
      </c>
      <c r="H68" s="103">
        <f>Effort!H66</f>
        <v>73.958330394493302</v>
      </c>
      <c r="I68" s="104">
        <f>Harvest!H66</f>
        <v>162.70832686788501</v>
      </c>
      <c r="J68" s="105">
        <f>CPUE!H66</f>
        <v>2.1999999999999966</v>
      </c>
      <c r="K68" s="103">
        <f>Effort!J66</f>
        <v>229.62962050496799</v>
      </c>
      <c r="L68" s="104">
        <f>Harvest!J66</f>
        <v>1406.48142559293</v>
      </c>
      <c r="M68" s="105">
        <f>CPUE!J66</f>
        <v>6.1250000000000044</v>
      </c>
      <c r="N68" s="106" t="str">
        <f>Effort!L66</f>
        <v>CLOSED</v>
      </c>
      <c r="O68" s="107" t="str">
        <f>Harvest!L66</f>
        <v>CLOSED</v>
      </c>
      <c r="P68" s="108" t="str">
        <f>CPUE!L66</f>
        <v>CLOSED</v>
      </c>
      <c r="Q68" s="106" t="s">
        <v>10</v>
      </c>
      <c r="R68" s="107" t="s">
        <v>10</v>
      </c>
      <c r="S68" s="113" t="s">
        <v>10</v>
      </c>
      <c r="T68" s="106">
        <f>SUM(E68,H68,K68)</f>
        <v>449.26742224076526</v>
      </c>
      <c r="U68" s="107">
        <f>SUM(F68,I68,L68)</f>
        <v>2297.5871091673348</v>
      </c>
      <c r="V68" s="107"/>
    </row>
    <row r="69" spans="1:24" s="114" customFormat="1" x14ac:dyDescent="0.25">
      <c r="A69" s="109">
        <v>45334</v>
      </c>
      <c r="B69" s="110" t="s">
        <v>21</v>
      </c>
      <c r="C69" s="111">
        <v>-0.3</v>
      </c>
      <c r="D69" s="112">
        <v>0.83888888888888891</v>
      </c>
      <c r="E69" s="103">
        <f>Effort!F67</f>
        <v>63.05558290270011</v>
      </c>
      <c r="F69" s="104">
        <f>Harvest!F67</f>
        <v>630.5558290270011</v>
      </c>
      <c r="G69" s="105">
        <f>+CPUE!F67</f>
        <v>10</v>
      </c>
      <c r="H69" s="106" t="str">
        <f>Effort!H67</f>
        <v>CLOSED</v>
      </c>
      <c r="I69" s="107" t="str">
        <f>Harvest!H67</f>
        <v>CLOSED</v>
      </c>
      <c r="J69" s="108" t="str">
        <f>CPUE!H67</f>
        <v>CLOSED</v>
      </c>
      <c r="K69" s="103">
        <f>Effort!J67</f>
        <v>321.98758431521401</v>
      </c>
      <c r="L69" s="104">
        <f>Harvest!J67</f>
        <v>3058.8820509945399</v>
      </c>
      <c r="M69" s="105">
        <f>CPUE!J67</f>
        <v>9.5000000000000213</v>
      </c>
      <c r="N69" s="106" t="str">
        <f>Effort!L67</f>
        <v>CLOSED</v>
      </c>
      <c r="O69" s="107" t="str">
        <f>Harvest!L67</f>
        <v>CLOSED</v>
      </c>
      <c r="P69" s="108" t="str">
        <f>CPUE!L67</f>
        <v>CLOSED</v>
      </c>
      <c r="Q69" s="106" t="s">
        <v>10</v>
      </c>
      <c r="R69" s="107" t="s">
        <v>10</v>
      </c>
      <c r="S69" s="113" t="s">
        <v>10</v>
      </c>
      <c r="T69" s="106">
        <f>SUM(E69,H69,K69)</f>
        <v>385.04316721791412</v>
      </c>
      <c r="U69" s="107">
        <f>SUM(F69,I69,L69)</f>
        <v>3689.4378800215409</v>
      </c>
      <c r="V69" s="107"/>
    </row>
    <row r="70" spans="1:24" s="114" customFormat="1" x14ac:dyDescent="0.25">
      <c r="A70" s="125" t="s">
        <v>50</v>
      </c>
      <c r="B70" s="125"/>
      <c r="C70" s="125"/>
      <c r="D70" s="126"/>
      <c r="E70" s="115">
        <f>SUM(E63:E69)</f>
        <v>8382.0780448935802</v>
      </c>
      <c r="F70" s="116">
        <f>SUM(F63:F69)</f>
        <v>93156.0784655514</v>
      </c>
      <c r="G70" s="117">
        <f>+F70/E70</f>
        <v>11.11372119975699</v>
      </c>
      <c r="H70" s="115">
        <f>SUM(H63:H69)</f>
        <v>6421.3806985587835</v>
      </c>
      <c r="I70" s="116">
        <f>SUM(I63:I69)</f>
        <v>77872.829498242427</v>
      </c>
      <c r="J70" s="117">
        <f>+I70/H70</f>
        <v>12.127116138079186</v>
      </c>
      <c r="K70" s="115">
        <f>SUM(K63:K69)</f>
        <v>5935.2806472996117</v>
      </c>
      <c r="L70" s="116">
        <f>SUM(L63:L69)</f>
        <v>74314.055164301972</v>
      </c>
      <c r="M70" s="117">
        <f>+L70/K70</f>
        <v>12.520731466693627</v>
      </c>
      <c r="N70" s="115">
        <f>SUM(N63:N69)</f>
        <v>6192.8011433162537</v>
      </c>
      <c r="O70" s="116">
        <f>SUM(O63:O69)</f>
        <v>77597.774526774796</v>
      </c>
      <c r="P70" s="117">
        <f>+O70/N70</f>
        <v>12.5303191126239</v>
      </c>
      <c r="Q70" s="115"/>
      <c r="R70" s="116"/>
      <c r="S70" s="117"/>
      <c r="T70" s="115">
        <f>SUM(T63:T69)</f>
        <v>26931.54053406823</v>
      </c>
      <c r="U70" s="116">
        <f>SUM(U63:U69)</f>
        <v>322940.73765487061</v>
      </c>
      <c r="V70" s="118"/>
      <c r="W70" s="119">
        <f>SUM(H70,K70,N70,Q70,E70)</f>
        <v>26931.54053406823</v>
      </c>
      <c r="X70" s="119">
        <f>SUM(R70,O70,L70,I70,F70)</f>
        <v>322940.73765487061</v>
      </c>
    </row>
    <row r="71" spans="1:24" s="114" customFormat="1" x14ac:dyDescent="0.25">
      <c r="A71" s="109">
        <v>45343</v>
      </c>
      <c r="B71" s="110" t="s">
        <v>67</v>
      </c>
      <c r="C71" s="111">
        <v>0.2</v>
      </c>
      <c r="D71" s="112">
        <v>0.7055555555555556</v>
      </c>
      <c r="E71" s="106">
        <f>Effort!F69</f>
        <v>578.88451909857179</v>
      </c>
      <c r="F71" s="107">
        <f>Harvest!F69</f>
        <v>7814.9410078307192</v>
      </c>
      <c r="G71" s="108">
        <f>+CPUE!F69</f>
        <v>13.5</v>
      </c>
      <c r="H71" s="106">
        <f>Effort!H69</f>
        <v>583.81181238183297</v>
      </c>
      <c r="I71" s="107">
        <f>Harvest!H69</f>
        <v>7881.4594671547447</v>
      </c>
      <c r="J71" s="108">
        <f>CPUE!H69</f>
        <v>13.5</v>
      </c>
      <c r="K71" s="106" t="str">
        <f>Effort!J69</f>
        <v>CLOSED</v>
      </c>
      <c r="L71" s="107" t="str">
        <f>Harvest!J69</f>
        <v>CLOSED</v>
      </c>
      <c r="M71" s="108" t="str">
        <f>CPUE!J69</f>
        <v>CLOSED</v>
      </c>
      <c r="N71" s="103">
        <f>Effort!L69</f>
        <v>644.67155865064603</v>
      </c>
      <c r="O71" s="104">
        <f>Harvest!L69</f>
        <v>8729.9273567274995</v>
      </c>
      <c r="P71" s="105">
        <f>CPUE!L69</f>
        <v>13.541666666666668</v>
      </c>
      <c r="Q71" s="106" t="s">
        <v>10</v>
      </c>
      <c r="R71" s="107" t="s">
        <v>10</v>
      </c>
      <c r="S71" s="113" t="s">
        <v>10</v>
      </c>
      <c r="T71" s="106">
        <f>SUM(E71,H71,N71)</f>
        <v>1807.3678901310509</v>
      </c>
      <c r="U71" s="107">
        <f>SUM(F71,I71,O71)</f>
        <v>24426.327831712966</v>
      </c>
      <c r="V71" s="107"/>
    </row>
    <row r="72" spans="1:24" s="114" customFormat="1" x14ac:dyDescent="0.25">
      <c r="A72" s="109">
        <v>45344</v>
      </c>
      <c r="B72" s="110" t="s">
        <v>22</v>
      </c>
      <c r="C72" s="111">
        <v>0.1</v>
      </c>
      <c r="D72" s="112">
        <v>0.73125000000000007</v>
      </c>
      <c r="E72" s="103">
        <f>Effort!F70</f>
        <v>1074.9214349203548</v>
      </c>
      <c r="F72" s="104">
        <f>Harvest!F70</f>
        <v>15109.173675360871</v>
      </c>
      <c r="G72" s="105">
        <f>+CPUE!F70</f>
        <v>14.056072550530514</v>
      </c>
      <c r="H72" s="103">
        <f>Effort!H70</f>
        <v>1084.0708472669901</v>
      </c>
      <c r="I72" s="104">
        <f>Harvest!H70</f>
        <v>16261.0627090049</v>
      </c>
      <c r="J72" s="105">
        <f>CPUE!H70</f>
        <v>15.000000000000044</v>
      </c>
      <c r="K72" s="106" t="str">
        <f>Effort!J70</f>
        <v>CLOSED</v>
      </c>
      <c r="L72" s="107" t="str">
        <f>Harvest!J70</f>
        <v>CLOSED</v>
      </c>
      <c r="M72" s="108" t="str">
        <f>CPUE!J70</f>
        <v>CLOSED</v>
      </c>
      <c r="N72" s="103">
        <f>Effort!L70</f>
        <v>1197.0803398857099</v>
      </c>
      <c r="O72" s="104">
        <f>Harvest!L70</f>
        <v>17956.2050982857</v>
      </c>
      <c r="P72" s="105">
        <f>CPUE!L70</f>
        <v>15.000000000000043</v>
      </c>
      <c r="Q72" s="106" t="s">
        <v>10</v>
      </c>
      <c r="R72" s="107" t="s">
        <v>10</v>
      </c>
      <c r="S72" s="113" t="s">
        <v>10</v>
      </c>
      <c r="T72" s="106">
        <f>SUM(E72,H72,N72)</f>
        <v>3356.0726220730548</v>
      </c>
      <c r="U72" s="107">
        <f>SUM(F72,I72,O72)</f>
        <v>49326.441482651469</v>
      </c>
      <c r="V72" s="107"/>
    </row>
    <row r="73" spans="1:24" s="114" customFormat="1" x14ac:dyDescent="0.25">
      <c r="A73" s="109">
        <v>45345</v>
      </c>
      <c r="B73" s="110" t="s">
        <v>18</v>
      </c>
      <c r="C73" s="111">
        <v>0.1</v>
      </c>
      <c r="D73" s="112">
        <v>0.75347222222222221</v>
      </c>
      <c r="E73" s="103">
        <f>Effort!F71</f>
        <v>1883.3541364667051</v>
      </c>
      <c r="F73" s="104">
        <f>Harvest!F71</f>
        <v>27685.305806060562</v>
      </c>
      <c r="G73" s="105">
        <f>+CPUE!F71</f>
        <v>14.7</v>
      </c>
      <c r="H73" s="106">
        <f>Effort!H71</f>
        <v>1058.478658775377</v>
      </c>
      <c r="I73" s="107">
        <f>Harvest!H71</f>
        <v>14818.701222855278</v>
      </c>
      <c r="J73" s="108">
        <f>CPUE!H71</f>
        <v>14</v>
      </c>
      <c r="K73" s="103">
        <f>Effort!J71</f>
        <v>2415.9770526002198</v>
      </c>
      <c r="L73" s="104">
        <f>Harvest!J71</f>
        <v>34341.388104817401</v>
      </c>
      <c r="M73" s="105">
        <f>CPUE!J71</f>
        <v>14.21428571428571</v>
      </c>
      <c r="N73" s="106" t="str">
        <f>Effort!L71</f>
        <v>CLOSED</v>
      </c>
      <c r="O73" s="107" t="str">
        <f>Harvest!L71</f>
        <v>CLOSED</v>
      </c>
      <c r="P73" s="108" t="str">
        <f>CPUE!L71</f>
        <v>CLOSED</v>
      </c>
      <c r="Q73" s="106" t="s">
        <v>10</v>
      </c>
      <c r="R73" s="107" t="s">
        <v>10</v>
      </c>
      <c r="S73" s="113" t="s">
        <v>10</v>
      </c>
      <c r="T73" s="106">
        <f>SUM(E73,H73,K73)</f>
        <v>5357.8098478423017</v>
      </c>
      <c r="U73" s="107">
        <f>SUM(F73,I73,L73)</f>
        <v>76845.39513373324</v>
      </c>
      <c r="V73" s="107"/>
    </row>
    <row r="74" spans="1:24" s="114" customFormat="1" x14ac:dyDescent="0.25">
      <c r="A74" s="109">
        <v>45346</v>
      </c>
      <c r="B74" s="110" t="s">
        <v>19</v>
      </c>
      <c r="C74" s="111">
        <v>0.2</v>
      </c>
      <c r="D74" s="112">
        <v>0.77361111111111114</v>
      </c>
      <c r="E74" s="106">
        <f>Effort!F72</f>
        <v>3298.9312640509065</v>
      </c>
      <c r="F74" s="107">
        <f>Harvest!F72</f>
        <v>32989.312640509066</v>
      </c>
      <c r="G74" s="108">
        <f>+CPUE!F72</f>
        <v>10</v>
      </c>
      <c r="H74" s="103">
        <f>Effort!H72</f>
        <v>1854.05828471309</v>
      </c>
      <c r="I74" s="104">
        <f>Harvest!H72</f>
        <v>19198.474496545201</v>
      </c>
      <c r="J74" s="105">
        <f>CPUE!H72</f>
        <v>10.354838709677407</v>
      </c>
      <c r="K74" s="103">
        <f>Effort!J72</f>
        <v>4231.8871834720003</v>
      </c>
      <c r="L74" s="104">
        <f>Harvest!J72</f>
        <v>42834.955637582498</v>
      </c>
      <c r="M74" s="105">
        <f>CPUE!J72</f>
        <v>10.121951219512209</v>
      </c>
      <c r="N74" s="106" t="str">
        <f>Effort!L72</f>
        <v>CLOSED</v>
      </c>
      <c r="O74" s="107" t="str">
        <f>Harvest!L72</f>
        <v>CLOSED</v>
      </c>
      <c r="P74" s="108" t="str">
        <f>CPUE!L72</f>
        <v>CLOSED</v>
      </c>
      <c r="Q74" s="106" t="s">
        <v>10</v>
      </c>
      <c r="R74" s="107" t="s">
        <v>10</v>
      </c>
      <c r="S74" s="113" t="s">
        <v>10</v>
      </c>
      <c r="T74" s="106">
        <f>SUM(E74,H74,K74)</f>
        <v>9384.8767322359963</v>
      </c>
      <c r="U74" s="107">
        <f>SUM(F74,I74,L74)</f>
        <v>95022.742774636776</v>
      </c>
      <c r="V74" s="107"/>
    </row>
    <row r="75" spans="1:24" s="114" customFormat="1" x14ac:dyDescent="0.25">
      <c r="A75" s="109">
        <v>45347</v>
      </c>
      <c r="B75" s="110" t="s">
        <v>20</v>
      </c>
      <c r="C75" s="111">
        <v>0.4</v>
      </c>
      <c r="D75" s="112">
        <v>0.79305555555555562</v>
      </c>
      <c r="E75" s="106">
        <f>Effort!F73</f>
        <v>136.18947622200989</v>
      </c>
      <c r="F75" s="107">
        <f>Harvest!F73</f>
        <v>544.75790488803955</v>
      </c>
      <c r="G75" s="108">
        <f>+CPUE!F73</f>
        <v>4</v>
      </c>
      <c r="H75" s="106" t="str">
        <f>Effort!H73</f>
        <v>CLOSED</v>
      </c>
      <c r="I75" s="107" t="str">
        <f>Harvest!H73</f>
        <v>CLOSED</v>
      </c>
      <c r="J75" s="108" t="str">
        <f>CPUE!H73</f>
        <v>CLOSED</v>
      </c>
      <c r="K75" s="106" t="str">
        <f>Effort!J73</f>
        <v>CLOSED</v>
      </c>
      <c r="L75" s="107" t="str">
        <f>Harvest!J73</f>
        <v>CLOSED</v>
      </c>
      <c r="M75" s="108" t="str">
        <f>CPUE!J73</f>
        <v>CLOSED</v>
      </c>
      <c r="N75" s="103">
        <f>Effort!L73</f>
        <v>151.66666063997499</v>
      </c>
      <c r="O75" s="104">
        <f>Harvest!L73</f>
        <v>588.82350601402095</v>
      </c>
      <c r="P75" s="105">
        <f>CPUE!L73</f>
        <v>3.8823529411764732</v>
      </c>
      <c r="Q75" s="106" t="s">
        <v>10</v>
      </c>
      <c r="R75" s="107" t="s">
        <v>10</v>
      </c>
      <c r="S75" s="113" t="s">
        <v>10</v>
      </c>
      <c r="T75" s="106">
        <f>SUM(E75,H75,N75)</f>
        <v>287.85613686198485</v>
      </c>
      <c r="U75" s="107">
        <f>SUM(F75,I75,O75)</f>
        <v>1133.5814109020605</v>
      </c>
      <c r="V75" s="107"/>
    </row>
    <row r="76" spans="1:24" s="114" customFormat="1" x14ac:dyDescent="0.25">
      <c r="A76" s="125" t="s">
        <v>50</v>
      </c>
      <c r="B76" s="125"/>
      <c r="C76" s="125"/>
      <c r="D76" s="126"/>
      <c r="E76" s="115">
        <f>SUM(E71:E75)</f>
        <v>6972.2808307585483</v>
      </c>
      <c r="F76" s="116">
        <f>SUM(F71:F75)</f>
        <v>84143.491034649254</v>
      </c>
      <c r="G76" s="117">
        <f>+F76/E76</f>
        <v>12.068287706290636</v>
      </c>
      <c r="H76" s="115">
        <f>SUM(H71:H75)</f>
        <v>4580.4196031372903</v>
      </c>
      <c r="I76" s="116">
        <f>SUM(I71:I75)</f>
        <v>58159.697895560123</v>
      </c>
      <c r="J76" s="117">
        <f>+I76/H76</f>
        <v>12.697460698955288</v>
      </c>
      <c r="K76" s="115">
        <f>SUM(K71:K75)</f>
        <v>6647.8642360722206</v>
      </c>
      <c r="L76" s="116">
        <f>SUM(L71:L75)</f>
        <v>77176.343742399898</v>
      </c>
      <c r="M76" s="117">
        <f>+L76/K76</f>
        <v>11.609193720237322</v>
      </c>
      <c r="N76" s="115">
        <f>SUM(N71:N75)</f>
        <v>1993.4185591763307</v>
      </c>
      <c r="O76" s="116">
        <f>SUM(O71:O75)</f>
        <v>27274.955961027219</v>
      </c>
      <c r="P76" s="117">
        <f>+O76/N76</f>
        <v>13.682503273320117</v>
      </c>
      <c r="Q76" s="115"/>
      <c r="R76" s="116"/>
      <c r="S76" s="117"/>
      <c r="T76" s="115">
        <f>SUM(T71:T75)</f>
        <v>20193.983229144389</v>
      </c>
      <c r="U76" s="116">
        <f>SUM(U71:U75)</f>
        <v>246754.48863363653</v>
      </c>
      <c r="V76" s="118"/>
      <c r="W76" s="119">
        <f>SUM(H76,K76,N76,Q76,E76)</f>
        <v>20193.983229144389</v>
      </c>
      <c r="X76" s="119">
        <f>SUM(R76,O76,L76,I76,F76)</f>
        <v>246754.4886336365</v>
      </c>
    </row>
    <row r="77" spans="1:24" s="114" customFormat="1" x14ac:dyDescent="0.25">
      <c r="A77" s="123">
        <v>45358</v>
      </c>
      <c r="B77" s="8" t="s">
        <v>22</v>
      </c>
      <c r="C77" s="8">
        <v>-0.5</v>
      </c>
      <c r="D77" s="13">
        <v>0.67708333333333337</v>
      </c>
      <c r="E77" s="103">
        <f>Effort!F75</f>
        <v>1360.673344096268</v>
      </c>
      <c r="F77" s="104">
        <f>Harvest!F75</f>
        <v>20410.100161444021</v>
      </c>
      <c r="G77" s="105">
        <f>+CPUE!F75</f>
        <v>15</v>
      </c>
      <c r="H77" s="103">
        <f>Effort!H75</f>
        <v>1013.17127342117</v>
      </c>
      <c r="I77" s="104">
        <f>Harvest!H75</f>
        <v>14564.3370554293</v>
      </c>
      <c r="J77" s="105">
        <f>CPUE!H75</f>
        <v>14.374999999999982</v>
      </c>
      <c r="K77" s="103">
        <f>Effort!J75</f>
        <v>1411.8356225400901</v>
      </c>
      <c r="L77" s="104">
        <f>Harvest!J75</f>
        <v>20797.424747417499</v>
      </c>
      <c r="M77" s="105">
        <f>CPUE!J75</f>
        <v>14.730769230769244</v>
      </c>
      <c r="N77" s="106" t="str">
        <f>Effort!L75</f>
        <v>CLOSED</v>
      </c>
      <c r="O77" s="107" t="str">
        <f>Harvest!L75</f>
        <v>CLOSED</v>
      </c>
      <c r="P77" s="108" t="str">
        <f>CPUE!L75</f>
        <v>CLOSED</v>
      </c>
      <c r="Q77" s="106" t="s">
        <v>10</v>
      </c>
      <c r="R77" s="107" t="s">
        <v>10</v>
      </c>
      <c r="S77" s="113" t="s">
        <v>10</v>
      </c>
      <c r="T77" s="106">
        <f>SUM(E77,H77,K77)</f>
        <v>3785.680240057528</v>
      </c>
      <c r="U77" s="107">
        <f>SUM(F77,I77,L77)</f>
        <v>55771.861964290823</v>
      </c>
      <c r="V77" s="118"/>
      <c r="W77" s="119"/>
      <c r="X77" s="119"/>
    </row>
    <row r="78" spans="1:24" x14ac:dyDescent="0.25">
      <c r="A78" s="123">
        <v>45359</v>
      </c>
      <c r="B78" s="8" t="s">
        <v>18</v>
      </c>
      <c r="C78" s="8">
        <v>-0.8</v>
      </c>
      <c r="D78" s="13">
        <v>0.70833333333333337</v>
      </c>
      <c r="E78" s="103">
        <f>Effort!F76</f>
        <v>1850.3715923460115</v>
      </c>
      <c r="F78" s="104">
        <f>Harvest!F76</f>
        <v>27755.573885190173</v>
      </c>
      <c r="G78" s="105">
        <f>+CPUE!F76</f>
        <v>15</v>
      </c>
      <c r="H78" s="106">
        <f>Effort!H76</f>
        <v>1377.8055921017058</v>
      </c>
      <c r="I78" s="107">
        <f>Harvest!H76</f>
        <v>19978.181085474735</v>
      </c>
      <c r="J78" s="108">
        <f>CPUE!H76</f>
        <v>14.5</v>
      </c>
      <c r="K78" s="106" t="str">
        <f>Effort!J76</f>
        <v>CLOSED</v>
      </c>
      <c r="L78" s="107" t="str">
        <f>Harvest!J76</f>
        <v>CLOSED</v>
      </c>
      <c r="M78" s="108" t="str">
        <f>CPUE!J76</f>
        <v>CLOSED</v>
      </c>
      <c r="N78" s="103">
        <f>Effort!L76</f>
        <v>1741.7443194682501</v>
      </c>
      <c r="O78" s="104">
        <f>Harvest!L76</f>
        <v>24767.221421889099</v>
      </c>
      <c r="P78" s="105">
        <f>CPUE!L76</f>
        <v>14.219780219780171</v>
      </c>
      <c r="Q78" s="106" t="s">
        <v>10</v>
      </c>
      <c r="R78" s="107" t="s">
        <v>10</v>
      </c>
      <c r="S78" s="113" t="s">
        <v>10</v>
      </c>
      <c r="T78" s="106">
        <f>SUM(E78,H78,N78)</f>
        <v>4969.9215039159672</v>
      </c>
      <c r="U78" s="107">
        <f>SUM(F78,I78,O78)</f>
        <v>72500.976392554003</v>
      </c>
    </row>
    <row r="79" spans="1:24" x14ac:dyDescent="0.25">
      <c r="A79" s="123">
        <v>45360</v>
      </c>
      <c r="B79" s="8" t="s">
        <v>19</v>
      </c>
      <c r="C79" s="8">
        <v>-0.9</v>
      </c>
      <c r="D79" s="13">
        <v>0.73749999999999993</v>
      </c>
      <c r="E79" s="106">
        <f>Effort!F77</f>
        <v>1826.1238636784976</v>
      </c>
      <c r="F79" s="107">
        <f>Harvest!F77</f>
        <v>13695.928977588732</v>
      </c>
      <c r="G79" s="108">
        <f>+CPUE!F77</f>
        <v>7.5</v>
      </c>
      <c r="H79" s="103">
        <f>Effort!H77</f>
        <v>1958.14625741188</v>
      </c>
      <c r="I79" s="104">
        <f>Harvest!H77</f>
        <v>8603.9759795370592</v>
      </c>
      <c r="J79" s="105">
        <f>CPUE!H77</f>
        <v>4.3939393939393998</v>
      </c>
      <c r="K79" s="106" t="str">
        <f>Effort!J77</f>
        <v>CLOSED</v>
      </c>
      <c r="L79" s="107" t="str">
        <f>Harvest!J77</f>
        <v>CLOSED</v>
      </c>
      <c r="M79" s="108" t="str">
        <f>CPUE!J77</f>
        <v>CLOSED</v>
      </c>
      <c r="N79" s="103">
        <f>Effort!L77</f>
        <v>1718.92006954929</v>
      </c>
      <c r="O79" s="104">
        <f>Harvest!L77</f>
        <v>18943.931599824398</v>
      </c>
      <c r="P79" s="105">
        <f>CPUE!L77</f>
        <v>11.020833333333293</v>
      </c>
      <c r="Q79" s="106" t="s">
        <v>10</v>
      </c>
      <c r="R79" s="107" t="s">
        <v>10</v>
      </c>
      <c r="S79" s="113" t="s">
        <v>10</v>
      </c>
      <c r="T79" s="106">
        <f>SUM(E79,H79,N79)</f>
        <v>5503.1901906396679</v>
      </c>
      <c r="U79" s="107">
        <f>SUM(F79,I79,O79)</f>
        <v>41243.836556950191</v>
      </c>
    </row>
    <row r="80" spans="1:24" x14ac:dyDescent="0.25">
      <c r="A80" s="123">
        <v>45361</v>
      </c>
      <c r="B80" s="8" t="s">
        <v>20</v>
      </c>
      <c r="C80" s="8">
        <v>-0.7</v>
      </c>
      <c r="D80" s="13">
        <v>0.80694444444444446</v>
      </c>
      <c r="E80" s="106">
        <f>Effort!F78</f>
        <v>755.26171441476981</v>
      </c>
      <c r="F80" s="107">
        <f>Harvest!F78</f>
        <v>3776.3085720738491</v>
      </c>
      <c r="G80" s="108">
        <f>+CPUE!F78</f>
        <v>5</v>
      </c>
      <c r="H80" s="103">
        <f>Effort!H78</f>
        <v>291.66665507687497</v>
      </c>
      <c r="I80" s="104">
        <f>Harvest!H78</f>
        <v>816.66663421525004</v>
      </c>
      <c r="J80" s="105">
        <f>CPUE!H78</f>
        <v>2.8000000000000003</v>
      </c>
      <c r="K80" s="103">
        <f>Effort!J78</f>
        <v>783.66008813062399</v>
      </c>
      <c r="L80" s="104">
        <f>Harvest!J78</f>
        <v>6055.55522646392</v>
      </c>
      <c r="M80" s="105">
        <f>CPUE!J78</f>
        <v>7.7272727272727364</v>
      </c>
      <c r="N80" s="106" t="str">
        <f>Effort!L78</f>
        <v>CLOSED</v>
      </c>
      <c r="O80" s="107" t="str">
        <f>Harvest!L78</f>
        <v>CLOSED</v>
      </c>
      <c r="P80" s="108" t="str">
        <f>CPUE!L78</f>
        <v>CLOSED</v>
      </c>
      <c r="Q80" s="106" t="s">
        <v>10</v>
      </c>
      <c r="R80" s="107" t="s">
        <v>10</v>
      </c>
      <c r="S80" s="113" t="s">
        <v>10</v>
      </c>
      <c r="T80" s="106">
        <f>SUM(E80,H80,K80)</f>
        <v>1830.5884576222688</v>
      </c>
      <c r="U80" s="107">
        <f>SUM(F80,I80,L80)</f>
        <v>10648.530432753019</v>
      </c>
    </row>
    <row r="81" spans="1:24" x14ac:dyDescent="0.25">
      <c r="A81" s="123">
        <v>45362</v>
      </c>
      <c r="B81" s="8" t="s">
        <v>21</v>
      </c>
      <c r="C81" s="8">
        <v>-0.2</v>
      </c>
      <c r="D81" s="13">
        <v>0.83333333333333337</v>
      </c>
      <c r="E81" s="103">
        <f>Effort!F79</f>
        <v>54.627983438178603</v>
      </c>
      <c r="F81" s="104">
        <f>Harvest!F79</f>
        <v>218.51193375271441</v>
      </c>
      <c r="G81" s="105">
        <f>+CPUE!F79</f>
        <v>4</v>
      </c>
      <c r="H81" s="106">
        <f>Effort!H79</f>
        <v>137.41273109776341</v>
      </c>
      <c r="I81" s="107">
        <f>Harvest!H79</f>
        <v>549.65092439105365</v>
      </c>
      <c r="J81" s="108">
        <f>CPUE!H79</f>
        <v>4</v>
      </c>
      <c r="K81" s="103">
        <f>Effort!J79</f>
        <v>191.482125326404</v>
      </c>
      <c r="L81" s="104">
        <f>Harvest!J79</f>
        <v>727.63207624033703</v>
      </c>
      <c r="M81" s="105">
        <f>CPUE!J79</f>
        <v>3.8000000000000096</v>
      </c>
      <c r="N81" s="106" t="str">
        <f>Effort!L79</f>
        <v>CLOSED</v>
      </c>
      <c r="O81" s="107" t="str">
        <f>Harvest!L79</f>
        <v>CLOSED</v>
      </c>
      <c r="P81" s="108" t="str">
        <f>CPUE!L79</f>
        <v>CLOSED</v>
      </c>
      <c r="Q81" s="106" t="s">
        <v>10</v>
      </c>
      <c r="R81" s="107" t="s">
        <v>10</v>
      </c>
      <c r="S81" s="113" t="s">
        <v>10</v>
      </c>
      <c r="T81" s="106">
        <f>SUM(E81,H81,K81)</f>
        <v>383.52283986234602</v>
      </c>
      <c r="U81" s="107">
        <f>SUM(F81,I81,L81)</f>
        <v>1495.7949343841051</v>
      </c>
    </row>
    <row r="82" spans="1:24" x14ac:dyDescent="0.25">
      <c r="A82" s="123">
        <v>45363</v>
      </c>
      <c r="B82" s="8" t="s">
        <v>66</v>
      </c>
      <c r="C82" s="8">
        <v>-0.3</v>
      </c>
      <c r="D82" s="13">
        <v>0.35625000000000001</v>
      </c>
      <c r="E82" s="106">
        <f>Effort!F80</f>
        <v>329.6867090922172</v>
      </c>
      <c r="F82" s="107">
        <f>Harvest!F80</f>
        <v>3132.0237363760634</v>
      </c>
      <c r="G82" s="108">
        <f>+CPUE!F80</f>
        <v>9.5</v>
      </c>
      <c r="H82" s="106" t="str">
        <f>Effort!H80</f>
        <v>CLOSED</v>
      </c>
      <c r="I82" s="107" t="str">
        <f>Harvest!H80</f>
        <v>CLOSED</v>
      </c>
      <c r="J82" s="108" t="str">
        <f>CPUE!H80</f>
        <v>CLOSED</v>
      </c>
      <c r="K82" s="106" t="str">
        <f>Effort!J80</f>
        <v>CLOSED</v>
      </c>
      <c r="L82" s="107" t="str">
        <f>Harvest!J80</f>
        <v>CLOSED</v>
      </c>
      <c r="M82" s="108" t="str">
        <f>CPUE!J80</f>
        <v>CLOSED</v>
      </c>
      <c r="N82" s="103">
        <f>Effort!L80</f>
        <v>310.33223550384702</v>
      </c>
      <c r="O82" s="104">
        <f>Harvest!L80</f>
        <v>2925.9896490362698</v>
      </c>
      <c r="P82" s="105">
        <f>CPUE!L80</f>
        <v>9.4285714285714217</v>
      </c>
      <c r="Q82" s="106" t="s">
        <v>10</v>
      </c>
      <c r="R82" s="107" t="s">
        <v>10</v>
      </c>
      <c r="S82" s="113" t="s">
        <v>10</v>
      </c>
      <c r="T82" s="106">
        <f t="shared" ref="T82:U84" si="0">SUM(E82,H82,N82)</f>
        <v>640.01894459606422</v>
      </c>
      <c r="U82" s="107">
        <f t="shared" si="0"/>
        <v>6058.0133854123333</v>
      </c>
    </row>
    <row r="83" spans="1:24" x14ac:dyDescent="0.25">
      <c r="A83" s="123">
        <v>45364</v>
      </c>
      <c r="B83" s="8" t="s">
        <v>67</v>
      </c>
      <c r="C83" s="8">
        <v>-0.4</v>
      </c>
      <c r="D83" s="13">
        <v>0.38958333333333334</v>
      </c>
      <c r="E83" s="106">
        <f>Effort!F81</f>
        <v>1111.7081436515193</v>
      </c>
      <c r="F83" s="107">
        <f>Harvest!F81</f>
        <v>15563.914011121271</v>
      </c>
      <c r="G83" s="108">
        <f>+CPUE!F81</f>
        <v>14</v>
      </c>
      <c r="H83" s="106" t="str">
        <f>Effort!H81</f>
        <v>CLOSED</v>
      </c>
      <c r="I83" s="107" t="str">
        <f>Harvest!H81</f>
        <v>CLOSED</v>
      </c>
      <c r="J83" s="108" t="str">
        <f>CPUE!H81</f>
        <v>CLOSED</v>
      </c>
      <c r="K83" s="106" t="str">
        <f>Effort!J81</f>
        <v>CLOSED</v>
      </c>
      <c r="L83" s="107" t="str">
        <f>Harvest!J81</f>
        <v>CLOSED</v>
      </c>
      <c r="M83" s="108" t="str">
        <f>CPUE!J81</f>
        <v>CLOSED</v>
      </c>
      <c r="N83" s="103">
        <f>Effort!L81</f>
        <v>1046.4445909789699</v>
      </c>
      <c r="O83" s="104">
        <f>Harvest!L81</f>
        <v>14614.1399774649</v>
      </c>
      <c r="P83" s="105">
        <f>CPUE!L81</f>
        <v>13.965517241379287</v>
      </c>
      <c r="Q83" s="106" t="s">
        <v>10</v>
      </c>
      <c r="R83" s="107" t="s">
        <v>10</v>
      </c>
      <c r="S83" s="113" t="s">
        <v>10</v>
      </c>
      <c r="T83" s="106">
        <f t="shared" si="0"/>
        <v>2158.1527346304892</v>
      </c>
      <c r="U83" s="107">
        <f t="shared" si="0"/>
        <v>30178.053988586173</v>
      </c>
      <c r="V83" s="107"/>
      <c r="W83" s="114"/>
      <c r="X83" s="114"/>
    </row>
    <row r="84" spans="1:24" x14ac:dyDescent="0.25">
      <c r="A84" s="123">
        <v>45365</v>
      </c>
      <c r="B84" s="8" t="s">
        <v>22</v>
      </c>
      <c r="C84" s="8">
        <v>-0.3</v>
      </c>
      <c r="D84" s="13">
        <v>0.42499999999999999</v>
      </c>
      <c r="E84" s="103">
        <f>Effort!F82</f>
        <v>1337.1298368047856</v>
      </c>
      <c r="F84" s="104">
        <f>Harvest!F82</f>
        <v>19789.521584710827</v>
      </c>
      <c r="G84" s="105">
        <f>+CPUE!F82</f>
        <v>14.8</v>
      </c>
      <c r="H84" s="106" t="str">
        <f>Effort!H82</f>
        <v>CLOSED</v>
      </c>
      <c r="I84" s="107" t="str">
        <f>Harvest!H82</f>
        <v>CLOSED</v>
      </c>
      <c r="J84" s="108" t="str">
        <f>CPUE!H82</f>
        <v>CLOSED</v>
      </c>
      <c r="K84" s="106" t="str">
        <f>Effort!J82</f>
        <v>CLOSED</v>
      </c>
      <c r="L84" s="107" t="str">
        <f>Harvest!J82</f>
        <v>CLOSED</v>
      </c>
      <c r="M84" s="108" t="str">
        <f>CPUE!J82</f>
        <v>CLOSED</v>
      </c>
      <c r="N84" s="103">
        <f>Effort!L82</f>
        <v>1138.6861769644599</v>
      </c>
      <c r="O84" s="104">
        <f>Harvest!L82</f>
        <v>17080.292654466899</v>
      </c>
      <c r="P84" s="105">
        <f>CPUE!L82</f>
        <v>15</v>
      </c>
      <c r="Q84" s="106" t="s">
        <v>10</v>
      </c>
      <c r="R84" s="107" t="s">
        <v>10</v>
      </c>
      <c r="S84" s="113" t="s">
        <v>10</v>
      </c>
      <c r="T84" s="106">
        <f t="shared" si="0"/>
        <v>2475.8160137692457</v>
      </c>
      <c r="U84" s="107">
        <f t="shared" si="0"/>
        <v>36869.814239177722</v>
      </c>
      <c r="V84" s="107"/>
      <c r="W84" s="114"/>
      <c r="X84" s="114"/>
    </row>
    <row r="85" spans="1:24" x14ac:dyDescent="0.25">
      <c r="A85" s="123">
        <v>45366</v>
      </c>
      <c r="B85" s="8" t="s">
        <v>18</v>
      </c>
      <c r="C85" s="8">
        <v>0.1</v>
      </c>
      <c r="D85" s="13">
        <v>0.46388888888888885</v>
      </c>
      <c r="E85" s="106" t="str">
        <f>Effort!F83</f>
        <v>CLOSED</v>
      </c>
      <c r="F85" s="107" t="str">
        <f>Harvest!F83</f>
        <v>CLOSED</v>
      </c>
      <c r="G85" s="108" t="str">
        <f>+CPUE!F83</f>
        <v>CLOSED</v>
      </c>
      <c r="H85" s="106" t="str">
        <f>Effort!H83</f>
        <v>CLOSED</v>
      </c>
      <c r="I85" s="107" t="str">
        <f>Harvest!H83</f>
        <v>CLOSED</v>
      </c>
      <c r="J85" s="108" t="str">
        <f>CPUE!H83</f>
        <v>CLOSED</v>
      </c>
      <c r="K85" s="103">
        <f>Effort!J83</f>
        <v>2768.0075147011498</v>
      </c>
      <c r="L85" s="104">
        <f>Harvest!J83</f>
        <v>32927.7560602991</v>
      </c>
      <c r="M85" s="105">
        <f>CPUE!J83</f>
        <v>11.895833333333336</v>
      </c>
      <c r="N85" s="106" t="str">
        <f>Effort!L83</f>
        <v>CLOSED</v>
      </c>
      <c r="O85" s="107" t="str">
        <f>Harvest!L83</f>
        <v>CLOSED</v>
      </c>
      <c r="P85" s="108" t="str">
        <f>CPUE!L83</f>
        <v>CLOSED</v>
      </c>
      <c r="Q85" s="106" t="s">
        <v>10</v>
      </c>
      <c r="R85" s="107" t="s">
        <v>10</v>
      </c>
      <c r="S85" s="113" t="s">
        <v>10</v>
      </c>
      <c r="T85" s="106">
        <f>SUM(E85,H85,K85)</f>
        <v>2768.0075147011498</v>
      </c>
      <c r="U85" s="107">
        <f>SUM(F85,I85,L85)</f>
        <v>32927.7560602991</v>
      </c>
      <c r="V85" s="107"/>
      <c r="W85" s="114"/>
      <c r="X85" s="114"/>
    </row>
    <row r="86" spans="1:24" x14ac:dyDescent="0.25">
      <c r="A86" s="123">
        <v>45367</v>
      </c>
      <c r="B86" s="8" t="s">
        <v>19</v>
      </c>
      <c r="C86" s="8">
        <v>0.5</v>
      </c>
      <c r="D86" s="13">
        <v>0.50694444444444442</v>
      </c>
      <c r="E86" s="106" t="str">
        <f>Effort!F84</f>
        <v>CLOSED</v>
      </c>
      <c r="F86" s="107" t="str">
        <f>Harvest!F84</f>
        <v>CLOSED</v>
      </c>
      <c r="G86" s="108" t="str">
        <f>+CPUE!F84</f>
        <v>CLOSED</v>
      </c>
      <c r="H86" s="106" t="str">
        <f>Effort!H84</f>
        <v>CLOSED</v>
      </c>
      <c r="I86" s="107" t="str">
        <f>Harvest!H84</f>
        <v>CLOSED</v>
      </c>
      <c r="J86" s="108" t="str">
        <f>CPUE!H84</f>
        <v>CLOSED</v>
      </c>
      <c r="K86" s="103">
        <f>Effort!J84</f>
        <v>7233.5877862595398</v>
      </c>
      <c r="L86" s="104">
        <f>Harvest!J84</f>
        <v>61380.152671755699</v>
      </c>
      <c r="M86" s="105">
        <f>CPUE!J84</f>
        <v>8.4854368932038824</v>
      </c>
      <c r="N86" s="106" t="str">
        <f>Effort!L84</f>
        <v>CLOSED</v>
      </c>
      <c r="O86" s="107" t="str">
        <f>Harvest!L84</f>
        <v>CLOSED</v>
      </c>
      <c r="P86" s="108" t="str">
        <f>CPUE!L84</f>
        <v>CLOSED</v>
      </c>
      <c r="Q86" s="106" t="s">
        <v>10</v>
      </c>
      <c r="R86" s="107" t="s">
        <v>10</v>
      </c>
      <c r="S86" s="113" t="s">
        <v>10</v>
      </c>
      <c r="T86" s="106">
        <f>SUM(E86,H86,K86)</f>
        <v>7233.5877862595398</v>
      </c>
      <c r="U86" s="107">
        <f>SUM(F86,I86,L86)</f>
        <v>61380.152671755699</v>
      </c>
      <c r="V86" s="107"/>
      <c r="W86" s="114"/>
      <c r="X86" s="114"/>
    </row>
    <row r="87" spans="1:24" x14ac:dyDescent="0.25">
      <c r="A87" s="123">
        <v>45368</v>
      </c>
      <c r="B87" s="8" t="s">
        <v>20</v>
      </c>
      <c r="C87" s="8">
        <v>0.9</v>
      </c>
      <c r="D87" s="13">
        <v>0.55763888888888891</v>
      </c>
      <c r="E87" s="106" t="str">
        <f>Effort!F85</f>
        <v>CLOSED</v>
      </c>
      <c r="F87" s="107" t="str">
        <f>Harvest!F85</f>
        <v>CLOSED</v>
      </c>
      <c r="G87" s="108" t="str">
        <f>+CPUE!F85</f>
        <v>CLOSED</v>
      </c>
      <c r="H87" s="106" t="str">
        <f>Effort!H85</f>
        <v>CLOSED</v>
      </c>
      <c r="I87" s="107" t="str">
        <f>Harvest!H85</f>
        <v>CLOSED</v>
      </c>
      <c r="J87" s="108" t="str">
        <f>CPUE!H85</f>
        <v>CLOSED</v>
      </c>
      <c r="K87" s="106" t="str">
        <f>Effort!J85</f>
        <v>CLOSED</v>
      </c>
      <c r="L87" s="107" t="str">
        <f>Harvest!J85</f>
        <v>CLOSED</v>
      </c>
      <c r="M87" s="108" t="str">
        <f>CPUE!J85</f>
        <v>CLOSED</v>
      </c>
      <c r="N87" s="103">
        <f>Effort!L85</f>
        <v>3650.4899940286</v>
      </c>
      <c r="O87" s="104">
        <f>Harvest!L85</f>
        <v>40025.015291670701</v>
      </c>
      <c r="P87" s="105">
        <f>CPUE!L85</f>
        <v>10.964285714285708</v>
      </c>
      <c r="Q87" s="106" t="s">
        <v>10</v>
      </c>
      <c r="R87" s="107" t="s">
        <v>10</v>
      </c>
      <c r="S87" s="113" t="s">
        <v>10</v>
      </c>
      <c r="T87" s="106">
        <f>SUM(E87,H87,N87)</f>
        <v>3650.4899940286</v>
      </c>
      <c r="U87" s="107">
        <f>SUM(F87,I87,O87)</f>
        <v>40025.015291670701</v>
      </c>
      <c r="V87" s="107"/>
      <c r="W87" s="114"/>
      <c r="X87" s="114"/>
    </row>
    <row r="88" spans="1:24" x14ac:dyDescent="0.25">
      <c r="A88" s="127" t="s">
        <v>50</v>
      </c>
      <c r="B88" s="127"/>
      <c r="C88" s="127"/>
      <c r="D88" s="128"/>
      <c r="E88" s="115">
        <f>SUM(E77:E87)</f>
        <v>8625.5831875222466</v>
      </c>
      <c r="F88" s="116">
        <f>SUM(F77:F87)</f>
        <v>104341.88286225765</v>
      </c>
      <c r="G88" s="117">
        <f>+F88/E88</f>
        <v>12.0967916712227</v>
      </c>
      <c r="H88" s="115">
        <f>SUM(H77:H87)</f>
        <v>4778.2025091093947</v>
      </c>
      <c r="I88" s="116">
        <f>SUM(I77:I87)</f>
        <v>44512.811679047409</v>
      </c>
      <c r="J88" s="117">
        <f>+I88/H88</f>
        <v>9.3158068529297466</v>
      </c>
      <c r="K88" s="115">
        <f>SUM(K77:K87)</f>
        <v>12388.573136957808</v>
      </c>
      <c r="L88" s="116">
        <f>SUM(L77:L87)</f>
        <v>121888.52078217655</v>
      </c>
      <c r="M88" s="117">
        <f>+L88/K88</f>
        <v>9.8387860679900729</v>
      </c>
      <c r="N88" s="115">
        <f>SUM(N77:N87)</f>
        <v>9606.6173864934171</v>
      </c>
      <c r="O88" s="116">
        <f>SUM(O77:O87)</f>
        <v>118356.59059435228</v>
      </c>
      <c r="P88" s="117">
        <f>+O88/N88</f>
        <v>12.320318987696719</v>
      </c>
      <c r="Q88" s="115"/>
      <c r="R88" s="116"/>
      <c r="S88" s="117"/>
      <c r="T88" s="115">
        <f>SUM(T77:T87)</f>
        <v>35398.97622008287</v>
      </c>
      <c r="U88" s="116">
        <f>SUM(U77:U87)</f>
        <v>389099.80591783393</v>
      </c>
      <c r="V88" s="118"/>
      <c r="W88" s="119">
        <f>SUM(H88,K88,N88,Q88,E88)</f>
        <v>35398.97622008287</v>
      </c>
      <c r="X88" s="119">
        <f>SUM(R88,O88,L88,I88,F88)</f>
        <v>389099.80591783387</v>
      </c>
    </row>
    <row r="89" spans="1:24" s="114" customFormat="1" x14ac:dyDescent="0.25">
      <c r="A89" s="123">
        <v>45377</v>
      </c>
      <c r="B89" s="8" t="s">
        <v>66</v>
      </c>
      <c r="C89" s="8">
        <v>0.7</v>
      </c>
      <c r="D89" s="13">
        <v>0.32916666666666666</v>
      </c>
      <c r="E89" s="106" t="str">
        <f>Effort!F87</f>
        <v>CLOSED</v>
      </c>
      <c r="F89" s="107" t="str">
        <f>Harvest!F87</f>
        <v>CLOSED</v>
      </c>
      <c r="G89" s="108" t="str">
        <f>+CPUE!F87</f>
        <v>CLOSED</v>
      </c>
      <c r="H89" s="106" t="str">
        <f>Effort!H87</f>
        <v>CLOSED</v>
      </c>
      <c r="I89" s="107" t="str">
        <f>Harvest!H87</f>
        <v>CLOSED</v>
      </c>
      <c r="J89" s="108" t="str">
        <f>CPUE!H87</f>
        <v>CLOSED</v>
      </c>
      <c r="K89" s="103">
        <f>Effort!J87</f>
        <v>626.33310716138703</v>
      </c>
      <c r="L89" s="104">
        <f>Harvest!J87</f>
        <v>9247.62411161813</v>
      </c>
      <c r="M89" s="105">
        <f>CPUE!J87</f>
        <v>14.764705882352947</v>
      </c>
      <c r="N89" s="106" t="str">
        <f>Effort!L87</f>
        <v>CLOSED</v>
      </c>
      <c r="O89" s="107" t="str">
        <f>Harvest!L87</f>
        <v>CLOSED</v>
      </c>
      <c r="P89" s="108" t="str">
        <f>CPUE!L87</f>
        <v>CLOSED</v>
      </c>
      <c r="Q89" s="106" t="s">
        <v>10</v>
      </c>
      <c r="R89" s="107" t="s">
        <v>10</v>
      </c>
      <c r="S89" s="113" t="s">
        <v>10</v>
      </c>
      <c r="T89" s="106">
        <f>SUM(E89,H89,K89)</f>
        <v>626.33310716138703</v>
      </c>
      <c r="U89" s="107">
        <f>SUM(F89,I89,L89)</f>
        <v>9247.62411161813</v>
      </c>
      <c r="V89" s="118"/>
      <c r="W89" s="119"/>
      <c r="X89" s="119"/>
    </row>
    <row r="90" spans="1:24" s="114" customFormat="1" x14ac:dyDescent="0.25">
      <c r="A90" s="109">
        <v>45378</v>
      </c>
      <c r="B90" s="110" t="s">
        <v>67</v>
      </c>
      <c r="C90" s="111">
        <v>0.4</v>
      </c>
      <c r="D90" s="112">
        <v>0.35138888888888892</v>
      </c>
      <c r="E90" s="106">
        <f>Effort!F88</f>
        <v>252.83438922163052</v>
      </c>
      <c r="F90" s="107">
        <f>Harvest!F88</f>
        <v>1011.3375568865221</v>
      </c>
      <c r="G90" s="108">
        <f>+CPUE!F88</f>
        <v>4</v>
      </c>
      <c r="H90" s="106" t="str">
        <f>Effort!H88</f>
        <v>CLOSED</v>
      </c>
      <c r="I90" s="107" t="str">
        <f>Harvest!H88</f>
        <v>CLOSED</v>
      </c>
      <c r="J90" s="108" t="str">
        <f>CPUE!H88</f>
        <v>CLOSED</v>
      </c>
      <c r="K90" s="106" t="str">
        <f>Effort!J88</f>
        <v>CLOSED</v>
      </c>
      <c r="L90" s="107" t="str">
        <f>Harvest!J88</f>
        <v>CLOSED</v>
      </c>
      <c r="M90" s="108" t="str">
        <f>CPUE!J88</f>
        <v>CLOSED</v>
      </c>
      <c r="N90" s="103">
        <f>Effort!L88</f>
        <v>282.97581210308903</v>
      </c>
      <c r="O90" s="104">
        <f>Harvest!L88</f>
        <v>1131.9032484123561</v>
      </c>
      <c r="P90" s="105">
        <f>CPUE!L88</f>
        <v>4</v>
      </c>
      <c r="Q90" s="106" t="s">
        <v>10</v>
      </c>
      <c r="R90" s="107" t="s">
        <v>10</v>
      </c>
      <c r="S90" s="113" t="s">
        <v>10</v>
      </c>
      <c r="T90" s="106">
        <f>SUM(E90,H90,N90)</f>
        <v>535.81020132471951</v>
      </c>
      <c r="U90" s="107">
        <f>SUM(F90,I90,O90)</f>
        <v>2143.2408052988781</v>
      </c>
      <c r="V90" s="107"/>
    </row>
    <row r="91" spans="1:24" s="114" customFormat="1" x14ac:dyDescent="0.25">
      <c r="A91" s="109">
        <v>45379</v>
      </c>
      <c r="B91" s="110" t="s">
        <v>22</v>
      </c>
      <c r="C91" s="111">
        <v>0.3</v>
      </c>
      <c r="D91" s="112">
        <v>0.3756944444444445</v>
      </c>
      <c r="E91" s="106">
        <f>Effort!F89</f>
        <v>278.21729092476204</v>
      </c>
      <c r="F91" s="107">
        <f>Harvest!F89</f>
        <v>2225.7383273980963</v>
      </c>
      <c r="G91" s="108">
        <f>+CPUE!F89</f>
        <v>8</v>
      </c>
      <c r="H91" s="106">
        <f>Effort!H89</f>
        <v>313.03384459767688</v>
      </c>
      <c r="I91" s="107">
        <f>Harvest!H89</f>
        <v>2504.270756781415</v>
      </c>
      <c r="J91" s="108">
        <f>CPUE!H89</f>
        <v>8</v>
      </c>
      <c r="K91" s="106" t="str">
        <f>Effort!J89</f>
        <v>CLOSED</v>
      </c>
      <c r="L91" s="107" t="str">
        <f>Harvest!J89</f>
        <v>CLOSED</v>
      </c>
      <c r="M91" s="108" t="str">
        <f>CPUE!J89</f>
        <v>CLOSED</v>
      </c>
      <c r="N91" s="103">
        <f>Effort!L89</f>
        <v>311.38471345978002</v>
      </c>
      <c r="O91" s="104">
        <f>Harvest!L89</f>
        <v>2482.6619046117598</v>
      </c>
      <c r="P91" s="105">
        <f>CPUE!L89</f>
        <v>7.9729729729729737</v>
      </c>
      <c r="Q91" s="106" t="s">
        <v>10</v>
      </c>
      <c r="R91" s="107" t="s">
        <v>10</v>
      </c>
      <c r="S91" s="113" t="s">
        <v>10</v>
      </c>
      <c r="T91" s="106">
        <f>SUM(E91,H91,N91)</f>
        <v>902.63584898221893</v>
      </c>
      <c r="U91" s="107">
        <f>SUM(F91,I91,O91)</f>
        <v>7212.6709887912712</v>
      </c>
      <c r="V91" s="107"/>
    </row>
    <row r="92" spans="1:24" s="114" customFormat="1" x14ac:dyDescent="0.25">
      <c r="A92" s="109">
        <v>45380</v>
      </c>
      <c r="B92" s="110" t="s">
        <v>18</v>
      </c>
      <c r="C92" s="111">
        <v>0.3</v>
      </c>
      <c r="D92" s="112">
        <v>0.40208333333333335</v>
      </c>
      <c r="E92" s="103">
        <f>Effort!F90</f>
        <v>866.59898116530803</v>
      </c>
      <c r="F92" s="104">
        <f>Harvest!F90</f>
        <v>4766.9892056313493</v>
      </c>
      <c r="G92" s="105">
        <f>+CPUE!F90</f>
        <v>5.5008017655654529</v>
      </c>
      <c r="H92" s="103">
        <f>Effort!H90</f>
        <v>975.046554069016</v>
      </c>
      <c r="I92" s="104">
        <f>Harvest!H90</f>
        <v>7777.1570384076304</v>
      </c>
      <c r="J92" s="105">
        <f>CPUE!H90</f>
        <v>7.9761904761904789</v>
      </c>
      <c r="K92" s="103">
        <f>Effort!J90</f>
        <v>1399.8277614757701</v>
      </c>
      <c r="L92" s="104">
        <f>Harvest!J90</f>
        <v>12998.400642275001</v>
      </c>
      <c r="M92" s="105">
        <f>CPUE!J90</f>
        <v>9.2857142857142811</v>
      </c>
      <c r="N92" s="106" t="str">
        <f>Effort!L90</f>
        <v>CLOSED</v>
      </c>
      <c r="O92" s="107" t="str">
        <f>Harvest!L90</f>
        <v>CLOSED</v>
      </c>
      <c r="P92" s="108" t="str">
        <f>CPUE!L90</f>
        <v>CLOSED</v>
      </c>
      <c r="Q92" s="106" t="s">
        <v>10</v>
      </c>
      <c r="R92" s="107" t="s">
        <v>10</v>
      </c>
      <c r="S92" s="113" t="s">
        <v>10</v>
      </c>
      <c r="T92" s="106">
        <f>SUM(E92,H92,K92)</f>
        <v>3241.4732967100945</v>
      </c>
      <c r="U92" s="107">
        <f>SUM(F92,I92,L92)</f>
        <v>25542.546886313983</v>
      </c>
      <c r="V92" s="107"/>
    </row>
    <row r="93" spans="1:24" s="114" customFormat="1" x14ac:dyDescent="0.25">
      <c r="A93" s="109">
        <v>45381</v>
      </c>
      <c r="B93" s="110" t="s">
        <v>19</v>
      </c>
      <c r="C93" s="111">
        <v>0.4</v>
      </c>
      <c r="D93" s="112">
        <v>0.43263888888888885</v>
      </c>
      <c r="E93" s="103">
        <f>Effort!F91</f>
        <v>2007.5603303255025</v>
      </c>
      <c r="F93" s="104">
        <f>Harvest!F91</f>
        <v>28105.844624557034</v>
      </c>
      <c r="G93" s="105">
        <f>+CPUE!F91</f>
        <v>14</v>
      </c>
      <c r="H93" s="103">
        <f>Effort!H91</f>
        <v>2836.2521025415799</v>
      </c>
      <c r="I93" s="104">
        <f>Harvest!H91</f>
        <v>29033.462383006299</v>
      </c>
      <c r="J93" s="105">
        <f>CPUE!H91</f>
        <v>10.236559139784953</v>
      </c>
      <c r="K93" s="103">
        <f>Effort!J91</f>
        <v>3083.4870508848599</v>
      </c>
      <c r="L93" s="104">
        <f>Harvest!J91</f>
        <v>44315.243385152899</v>
      </c>
      <c r="M93" s="105">
        <f>CPUE!J91</f>
        <v>14.371794871794865</v>
      </c>
      <c r="N93" s="106" t="str">
        <f>Effort!L91</f>
        <v>CLOSED</v>
      </c>
      <c r="O93" s="107" t="str">
        <f>Harvest!L91</f>
        <v>CLOSED</v>
      </c>
      <c r="P93" s="108" t="str">
        <f>CPUE!L91</f>
        <v>CLOSED</v>
      </c>
      <c r="Q93" s="106" t="s">
        <v>10</v>
      </c>
      <c r="R93" s="107" t="s">
        <v>10</v>
      </c>
      <c r="S93" s="113" t="s">
        <v>10</v>
      </c>
      <c r="T93" s="106">
        <f>SUM(E93,H93,K93)</f>
        <v>7927.2994837519418</v>
      </c>
      <c r="U93" s="107">
        <f>SUM(F93,I93,L93)</f>
        <v>101454.55039271622</v>
      </c>
      <c r="V93" s="107"/>
    </row>
    <row r="94" spans="1:24" s="114" customFormat="1" x14ac:dyDescent="0.25">
      <c r="A94" s="109">
        <v>45382</v>
      </c>
      <c r="B94" s="110" t="s">
        <v>20</v>
      </c>
      <c r="C94" s="111">
        <v>0.6</v>
      </c>
      <c r="D94" s="112">
        <v>0.4694444444444445</v>
      </c>
      <c r="E94" s="106">
        <f>Effort!F92</f>
        <v>1506.980717559853</v>
      </c>
      <c r="F94" s="107">
        <f>Harvest!F92</f>
        <v>20344.239687058016</v>
      </c>
      <c r="G94" s="108">
        <f>+CPUE!F92</f>
        <v>13.5</v>
      </c>
      <c r="H94" s="103">
        <f>Effort!H92</f>
        <v>1695.56667806063</v>
      </c>
      <c r="I94" s="104">
        <f>Harvest!H92</f>
        <v>15078.432244182</v>
      </c>
      <c r="J94" s="105">
        <f>CPUE!H92</f>
        <v>8.8928571428571246</v>
      </c>
      <c r="K94" s="106" t="str">
        <f>Effort!J92</f>
        <v>CLOSED</v>
      </c>
      <c r="L94" s="107" t="str">
        <f>Harvest!J92</f>
        <v>CLOSED</v>
      </c>
      <c r="M94" s="108" t="str">
        <f>CPUE!J92</f>
        <v>CLOSED</v>
      </c>
      <c r="N94" s="103">
        <f>Effort!L92</f>
        <v>1686.63405989992</v>
      </c>
      <c r="O94" s="104">
        <f>Harvest!L92</f>
        <v>22653.810412381299</v>
      </c>
      <c r="P94" s="105">
        <f>CPUE!L92</f>
        <v>13.431372549019621</v>
      </c>
      <c r="Q94" s="106" t="s">
        <v>10</v>
      </c>
      <c r="R94" s="107" t="s">
        <v>10</v>
      </c>
      <c r="S94" s="113" t="s">
        <v>10</v>
      </c>
      <c r="T94" s="106">
        <f>SUM(E94,H94,N94)</f>
        <v>4889.1814555204037</v>
      </c>
      <c r="U94" s="107">
        <f>SUM(F94,I94,O94)</f>
        <v>58076.482343621319</v>
      </c>
      <c r="V94" s="107"/>
    </row>
    <row r="95" spans="1:24" s="114" customFormat="1" x14ac:dyDescent="0.25">
      <c r="A95" s="125" t="s">
        <v>50</v>
      </c>
      <c r="B95" s="125"/>
      <c r="C95" s="125"/>
      <c r="D95" s="126"/>
      <c r="E95" s="115">
        <f>SUM(E89:E94)</f>
        <v>4912.1917091970554</v>
      </c>
      <c r="F95" s="116">
        <f>SUM(F89:F94)</f>
        <v>56454.149401531016</v>
      </c>
      <c r="G95" s="117">
        <f>+F95/E95</f>
        <v>11.492660047414759</v>
      </c>
      <c r="H95" s="115">
        <f>SUM(H89:H94)</f>
        <v>5819.899179268903</v>
      </c>
      <c r="I95" s="116">
        <f>SUM(I89:I94)</f>
        <v>54393.322422377343</v>
      </c>
      <c r="J95" s="117">
        <f>+I95/H95</f>
        <v>9.3460935914718455</v>
      </c>
      <c r="K95" s="115">
        <f>SUM(K89:K94)</f>
        <v>5109.6479195220172</v>
      </c>
      <c r="L95" s="116">
        <f>SUM(L89:L94)</f>
        <v>66561.268139046035</v>
      </c>
      <c r="M95" s="117">
        <f>+L95/K95</f>
        <v>13.026586016766595</v>
      </c>
      <c r="N95" s="115">
        <f>SUM(N89:N94)</f>
        <v>2280.994585462789</v>
      </c>
      <c r="O95" s="116">
        <f>SUM(O89:O94)</f>
        <v>26268.375565405415</v>
      </c>
      <c r="P95" s="117">
        <f>+O95/N95</f>
        <v>11.516193739704054</v>
      </c>
      <c r="Q95" s="115"/>
      <c r="R95" s="116"/>
      <c r="S95" s="117"/>
      <c r="T95" s="115">
        <f>SUM(T89:T94)</f>
        <v>18122.733393450766</v>
      </c>
      <c r="U95" s="116">
        <f>SUM(U89:U94)</f>
        <v>203677.11552835981</v>
      </c>
      <c r="V95" s="118"/>
      <c r="W95" s="119">
        <f>SUM(H95,K95,N95,Q95,E95)</f>
        <v>18122.733393450766</v>
      </c>
      <c r="X95" s="119">
        <f>SUM(R95,O95,L95,I95,F95)</f>
        <v>203677.11552835983</v>
      </c>
    </row>
    <row r="96" spans="1:24" s="114" customFormat="1" x14ac:dyDescent="0.25">
      <c r="A96" s="109">
        <v>45390</v>
      </c>
      <c r="B96" s="110" t="s">
        <v>21</v>
      </c>
      <c r="C96" s="111">
        <v>-0.5</v>
      </c>
      <c r="D96" s="112">
        <v>0.28055555555555556</v>
      </c>
      <c r="E96" s="106" t="str">
        <f>Effort!F94</f>
        <v>CLOSED</v>
      </c>
      <c r="F96" s="107" t="str">
        <f>Harvest!F94</f>
        <v>CLOSED</v>
      </c>
      <c r="G96" s="108" t="str">
        <f>+CPUE!F94</f>
        <v>CLOSED</v>
      </c>
      <c r="H96" s="106" t="str">
        <f>Effort!H94</f>
        <v>CLOSED</v>
      </c>
      <c r="I96" s="107" t="str">
        <f>Harvest!H94</f>
        <v>CLOSED</v>
      </c>
      <c r="J96" s="108" t="str">
        <f>CPUE!H94</f>
        <v>CLOSED</v>
      </c>
      <c r="K96" s="106" t="str">
        <f>Effort!J94</f>
        <v>CLOSED</v>
      </c>
      <c r="L96" s="107" t="str">
        <f>Harvest!J94</f>
        <v>CLOSED</v>
      </c>
      <c r="M96" s="108" t="str">
        <f>CPUE!J94</f>
        <v>CLOSED</v>
      </c>
      <c r="N96" s="103">
        <f>Effort!L94</f>
        <v>494.80943824298902</v>
      </c>
      <c r="O96" s="104">
        <f>Harvest!L94</f>
        <v>2577.1324908489</v>
      </c>
      <c r="P96" s="105">
        <f>CPUE!L94</f>
        <v>5.2083333333333313</v>
      </c>
      <c r="Q96" s="106" t="s">
        <v>10</v>
      </c>
      <c r="R96" s="107" t="s">
        <v>10</v>
      </c>
      <c r="S96" s="113" t="s">
        <v>10</v>
      </c>
      <c r="T96" s="106">
        <f>SUM(E96,H96,N96)</f>
        <v>494.80943824298902</v>
      </c>
      <c r="U96" s="107">
        <f>SUM(F96,I96,O96)</f>
        <v>2577.1324908489</v>
      </c>
      <c r="V96" s="107"/>
    </row>
    <row r="97" spans="1:24" s="114" customFormat="1" x14ac:dyDescent="0.25">
      <c r="A97" s="109">
        <v>45391</v>
      </c>
      <c r="B97" s="110" t="s">
        <v>66</v>
      </c>
      <c r="C97" s="111">
        <v>-1.2</v>
      </c>
      <c r="D97" s="112">
        <v>0.31180555555555556</v>
      </c>
      <c r="E97" s="103">
        <f>Effort!F95</f>
        <v>1299.6990363751913</v>
      </c>
      <c r="F97" s="104">
        <f>Harvest!F95</f>
        <v>14296.689400127105</v>
      </c>
      <c r="G97" s="105">
        <f>+CPUE!F95</f>
        <v>11</v>
      </c>
      <c r="H97" s="106" t="str">
        <f>Effort!H95</f>
        <v>CLOSED</v>
      </c>
      <c r="I97" s="107" t="str">
        <f>Harvest!H95</f>
        <v>CLOSED</v>
      </c>
      <c r="J97" s="108" t="str">
        <f>CPUE!H95</f>
        <v>CLOSED</v>
      </c>
      <c r="K97" s="106" t="str">
        <f>Effort!J95</f>
        <v>CLOSED</v>
      </c>
      <c r="L97" s="107" t="str">
        <f>Harvest!J95</f>
        <v>CLOSED</v>
      </c>
      <c r="M97" s="108" t="str">
        <f>CPUE!J95</f>
        <v>CLOSED</v>
      </c>
      <c r="N97" s="103">
        <f>Effort!L95</f>
        <v>1433.1355645220999</v>
      </c>
      <c r="O97" s="104">
        <f>Harvest!L95</f>
        <v>16164.436018446901</v>
      </c>
      <c r="P97" s="105">
        <f>CPUE!L95</f>
        <v>11.279069767441833</v>
      </c>
      <c r="Q97" s="106" t="s">
        <v>10</v>
      </c>
      <c r="R97" s="107" t="s">
        <v>10</v>
      </c>
      <c r="S97" s="113" t="s">
        <v>10</v>
      </c>
      <c r="T97" s="106">
        <f>SUM(E97,H97,N97)</f>
        <v>2732.8346008972912</v>
      </c>
      <c r="U97" s="107">
        <f>SUM(F97,I97,O97)</f>
        <v>30461.125418574004</v>
      </c>
      <c r="V97" s="107"/>
    </row>
    <row r="98" spans="1:24" s="114" customFormat="1" x14ac:dyDescent="0.25">
      <c r="A98" s="109">
        <v>45392</v>
      </c>
      <c r="B98" s="110" t="s">
        <v>67</v>
      </c>
      <c r="C98" s="111">
        <v>-1.5</v>
      </c>
      <c r="D98" s="112">
        <v>0.3430555555555555</v>
      </c>
      <c r="E98" s="106">
        <f>Effort!F96</f>
        <v>4347.0307603746542</v>
      </c>
      <c r="F98" s="107">
        <f>Harvest!F96</f>
        <v>57380.806036945432</v>
      </c>
      <c r="G98" s="108">
        <f>+CPUE!F96</f>
        <v>13.2</v>
      </c>
      <c r="H98" s="106">
        <f>Effort!H96</f>
        <v>2928.7787193507247</v>
      </c>
      <c r="I98" s="107">
        <f>Harvest!H96</f>
        <v>41002.902070910146</v>
      </c>
      <c r="J98" s="108">
        <f>CPUE!H96</f>
        <v>14</v>
      </c>
      <c r="K98" s="103">
        <f>Effort!J96</f>
        <v>3577.8308679708798</v>
      </c>
      <c r="L98" s="104">
        <f>Harvest!J96</f>
        <v>50170.3351035015</v>
      </c>
      <c r="M98" s="105">
        <f>CPUE!J96</f>
        <v>14.022556390977462</v>
      </c>
      <c r="N98" s="106" t="str">
        <f>Effort!L96</f>
        <v>CLOSED</v>
      </c>
      <c r="O98" s="107" t="str">
        <f>Harvest!L96</f>
        <v>CLOSED</v>
      </c>
      <c r="P98" s="108" t="str">
        <f>CPUE!L96</f>
        <v>CLOSED</v>
      </c>
      <c r="Q98" s="106" t="s">
        <v>10</v>
      </c>
      <c r="R98" s="107" t="s">
        <v>10</v>
      </c>
      <c r="S98" s="113" t="s">
        <v>10</v>
      </c>
      <c r="T98" s="106">
        <f>SUM(E98,H98,K98)</f>
        <v>10853.640347696259</v>
      </c>
      <c r="U98" s="107">
        <f>SUM(F98,I98,L98)</f>
        <v>148554.04321135709</v>
      </c>
      <c r="V98" s="107"/>
    </row>
    <row r="99" spans="1:24" s="114" customFormat="1" x14ac:dyDescent="0.25">
      <c r="A99" s="109">
        <v>45393</v>
      </c>
      <c r="B99" s="110" t="s">
        <v>22</v>
      </c>
      <c r="C99" s="111">
        <v>-1.4</v>
      </c>
      <c r="D99" s="112">
        <v>0.375</v>
      </c>
      <c r="E99" s="103">
        <f>Effort!F97</f>
        <v>2424.4050445195867</v>
      </c>
      <c r="F99" s="104">
        <f>Harvest!F97</f>
        <v>29092.860534235042</v>
      </c>
      <c r="G99" s="105">
        <f>+CPUE!F97</f>
        <v>12</v>
      </c>
      <c r="H99" s="103">
        <f>Effort!H97</f>
        <v>1633.4243516748299</v>
      </c>
      <c r="I99" s="104">
        <f>Harvest!H97</f>
        <v>22729.905062742699</v>
      </c>
      <c r="J99" s="105">
        <f>CPUE!H97</f>
        <v>13.915492957746476</v>
      </c>
      <c r="K99" s="103">
        <f>Effort!J97</f>
        <v>2162.7057030967298</v>
      </c>
      <c r="L99" s="104">
        <f>Harvest!J97</f>
        <v>22673.527532465701</v>
      </c>
      <c r="M99" s="105">
        <f>CPUE!J97</f>
        <v>10.483870967741929</v>
      </c>
      <c r="N99" s="106" t="str">
        <f>Effort!L97</f>
        <v>CLOSED</v>
      </c>
      <c r="O99" s="107" t="str">
        <f>Harvest!L97</f>
        <v>CLOSED</v>
      </c>
      <c r="P99" s="108" t="str">
        <f>CPUE!L97</f>
        <v>CLOSED</v>
      </c>
      <c r="Q99" s="106" t="s">
        <v>10</v>
      </c>
      <c r="R99" s="107" t="s">
        <v>10</v>
      </c>
      <c r="S99" s="113" t="s">
        <v>10</v>
      </c>
      <c r="T99" s="106">
        <f>SUM(E99,H99,K99)</f>
        <v>6220.5350992911463</v>
      </c>
      <c r="U99" s="107">
        <f>SUM(F99,I99,L99)</f>
        <v>74496.293129443438</v>
      </c>
      <c r="V99" s="107"/>
    </row>
    <row r="100" spans="1:24" s="114" customFormat="1" x14ac:dyDescent="0.25">
      <c r="A100" s="109">
        <v>45394</v>
      </c>
      <c r="B100" s="110" t="s">
        <v>18</v>
      </c>
      <c r="C100" s="111">
        <v>-1.1000000000000001</v>
      </c>
      <c r="D100" s="112">
        <v>0.40833333333333338</v>
      </c>
      <c r="E100" s="106">
        <f>Effort!F98</f>
        <v>2860.3887505144889</v>
      </c>
      <c r="F100" s="107">
        <f>Harvest!F98</f>
        <v>41670.16697973798</v>
      </c>
      <c r="G100" s="108">
        <f>+CPUE!F98</f>
        <v>14.568008272387067</v>
      </c>
      <c r="H100" s="103">
        <f>Effort!H98</f>
        <v>1927.1650382467101</v>
      </c>
      <c r="I100" s="104">
        <f>Harvest!H98</f>
        <v>23744.127735379199</v>
      </c>
      <c r="J100" s="105">
        <f>CPUE!H98</f>
        <v>12.320754716981092</v>
      </c>
      <c r="K100" s="106" t="str">
        <f>Effort!J98</f>
        <v>CLOSED</v>
      </c>
      <c r="L100" s="107" t="str">
        <f>Harvest!J98</f>
        <v>CLOSED</v>
      </c>
      <c r="M100" s="108" t="str">
        <f>CPUE!J98</f>
        <v>CLOSED</v>
      </c>
      <c r="N100" s="103">
        <f>Effort!L98</f>
        <v>3154.05700242273</v>
      </c>
      <c r="O100" s="104">
        <f>Harvest!L98</f>
        <v>41822.795852125397</v>
      </c>
      <c r="P100" s="105">
        <f>CPUE!L98</f>
        <v>13.26</v>
      </c>
      <c r="Q100" s="106" t="s">
        <v>10</v>
      </c>
      <c r="R100" s="107" t="s">
        <v>10</v>
      </c>
      <c r="S100" s="113" t="s">
        <v>10</v>
      </c>
      <c r="T100" s="106">
        <f>SUM(E100,H100,N100)</f>
        <v>7941.610791183929</v>
      </c>
      <c r="U100" s="107">
        <f>SUM(F100,I100,O100)</f>
        <v>107237.09056724259</v>
      </c>
      <c r="V100" s="107"/>
    </row>
    <row r="101" spans="1:24" s="114" customFormat="1" x14ac:dyDescent="0.25">
      <c r="A101" s="109">
        <v>45395</v>
      </c>
      <c r="B101" s="110" t="s">
        <v>19</v>
      </c>
      <c r="C101" s="111">
        <v>-0.5</v>
      </c>
      <c r="D101" s="112">
        <v>0.44444444444444442</v>
      </c>
      <c r="E101" s="103">
        <f>Effort!F99</f>
        <v>5577.4845413768408</v>
      </c>
      <c r="F101" s="104">
        <f>Harvest!F99</f>
        <v>69718.55676721051</v>
      </c>
      <c r="G101" s="105">
        <f>+CPUE!F99</f>
        <v>12.5</v>
      </c>
      <c r="H101" s="103">
        <f>Effort!H99</f>
        <v>3757.7875411409</v>
      </c>
      <c r="I101" s="104">
        <f>Harvest!H99</f>
        <v>46753.868244427402</v>
      </c>
      <c r="J101" s="105">
        <f>CPUE!H99</f>
        <v>12.441860465116259</v>
      </c>
      <c r="K101" s="106" t="str">
        <f>Effort!J99</f>
        <v>CLOSED</v>
      </c>
      <c r="L101" s="107" t="str">
        <f>Harvest!J99</f>
        <v>CLOSED</v>
      </c>
      <c r="M101" s="108" t="str">
        <f>CPUE!J99</f>
        <v>CLOSED</v>
      </c>
      <c r="N101" s="103">
        <f>Effort!L99</f>
        <v>4225.0214709163301</v>
      </c>
      <c r="O101" s="104">
        <f>Harvest!L99</f>
        <v>53758.368429944901</v>
      </c>
      <c r="P101" s="105">
        <f>CPUE!L99</f>
        <v>12.723809523809518</v>
      </c>
      <c r="Q101" s="106" t="s">
        <v>10</v>
      </c>
      <c r="R101" s="107" t="s">
        <v>10</v>
      </c>
      <c r="S101" s="113" t="s">
        <v>10</v>
      </c>
      <c r="T101" s="106">
        <f>SUM(E101,H101,N101)</f>
        <v>13560.29355343407</v>
      </c>
      <c r="U101" s="107">
        <f>SUM(F101,I101,O101)</f>
        <v>170230.79344158282</v>
      </c>
      <c r="V101" s="107"/>
    </row>
    <row r="102" spans="1:24" s="114" customFormat="1" x14ac:dyDescent="0.25">
      <c r="A102" s="109">
        <v>45396</v>
      </c>
      <c r="B102" s="110" t="s">
        <v>20</v>
      </c>
      <c r="C102" s="111">
        <v>0.1</v>
      </c>
      <c r="D102" s="112">
        <v>0.48472222222222222</v>
      </c>
      <c r="E102" s="106">
        <f>Effort!F100</f>
        <v>1725.6615028839394</v>
      </c>
      <c r="F102" s="107">
        <f>Harvest!F100</f>
        <v>19845.107283165304</v>
      </c>
      <c r="G102" s="108">
        <f>+CPUE!F100</f>
        <v>11.5</v>
      </c>
      <c r="H102" s="106" t="str">
        <f>Effort!H100</f>
        <v>CLOSED</v>
      </c>
      <c r="I102" s="107" t="str">
        <f>Harvest!H100</f>
        <v>CLOSED</v>
      </c>
      <c r="J102" s="108" t="str">
        <f>CPUE!H100</f>
        <v>CLOSED</v>
      </c>
      <c r="K102" s="103">
        <f>Effort!J100</f>
        <v>4898.4195890187302</v>
      </c>
      <c r="L102" s="104">
        <f>Harvest!J100</f>
        <v>56331.825273715396</v>
      </c>
      <c r="M102" s="105">
        <f>CPUE!J100</f>
        <v>11.5</v>
      </c>
      <c r="N102" s="106" t="str">
        <f>Effort!L100</f>
        <v>CLOSED</v>
      </c>
      <c r="O102" s="107" t="str">
        <f>Harvest!L100</f>
        <v>CLOSED</v>
      </c>
      <c r="P102" s="108" t="str">
        <f>CPUE!L100</f>
        <v>CLOSED</v>
      </c>
      <c r="Q102" s="106" t="s">
        <v>10</v>
      </c>
      <c r="R102" s="107" t="s">
        <v>10</v>
      </c>
      <c r="S102" s="113" t="s">
        <v>10</v>
      </c>
      <c r="T102" s="106">
        <f>SUM(E102,H102,K102)</f>
        <v>6624.0810919026699</v>
      </c>
      <c r="U102" s="107">
        <f>SUM(F102,I102,L102)</f>
        <v>76176.932556880696</v>
      </c>
      <c r="V102" s="107"/>
    </row>
    <row r="103" spans="1:24" s="114" customFormat="1" x14ac:dyDescent="0.25">
      <c r="A103" s="125" t="s">
        <v>50</v>
      </c>
      <c r="B103" s="125"/>
      <c r="C103" s="125"/>
      <c r="D103" s="126"/>
      <c r="E103" s="115">
        <f>SUM(E96:E102)</f>
        <v>18234.669636044702</v>
      </c>
      <c r="F103" s="116">
        <f>SUM(F96:F102)</f>
        <v>232004.18700142138</v>
      </c>
      <c r="G103" s="117">
        <f>+F103/E103</f>
        <v>12.723245972211954</v>
      </c>
      <c r="H103" s="115">
        <f>SUM(H96:H102)</f>
        <v>10247.155650413166</v>
      </c>
      <c r="I103" s="116">
        <f>SUM(I96:I102)</f>
        <v>134230.80311345943</v>
      </c>
      <c r="J103" s="117">
        <f>+I103/H103</f>
        <v>13.099323138323486</v>
      </c>
      <c r="K103" s="115">
        <f>SUM(K96:K102)</f>
        <v>10638.95616008634</v>
      </c>
      <c r="L103" s="116">
        <f>SUM(L96:L102)</f>
        <v>129175.6879096826</v>
      </c>
      <c r="M103" s="117">
        <f>+L103/K103</f>
        <v>12.141763342752066</v>
      </c>
      <c r="N103" s="115">
        <f>SUM(N96:N102)</f>
        <v>9307.0234761041502</v>
      </c>
      <c r="O103" s="116">
        <f>SUM(O96:O102)</f>
        <v>114322.7327913661</v>
      </c>
      <c r="P103" s="117">
        <f>+O103/N103</f>
        <v>12.283490321571719</v>
      </c>
      <c r="Q103" s="115"/>
      <c r="R103" s="116"/>
      <c r="S103" s="117"/>
      <c r="T103" s="115">
        <f>SUM(T96:T102)</f>
        <v>48427.804922648356</v>
      </c>
      <c r="U103" s="116">
        <f>SUM(U96:U102)</f>
        <v>609733.41081592953</v>
      </c>
      <c r="V103" s="118"/>
      <c r="W103" s="119">
        <f>SUM(H103,K103,N103,Q103,E103)</f>
        <v>48427.804922648356</v>
      </c>
      <c r="X103" s="119">
        <f>SUM(R103,O103,L103,I103,F103)</f>
        <v>609733.41081592953</v>
      </c>
    </row>
    <row r="104" spans="1:24" s="114" customFormat="1" x14ac:dyDescent="0.25">
      <c r="A104" s="109">
        <v>45405</v>
      </c>
      <c r="B104" s="110" t="s">
        <v>66</v>
      </c>
      <c r="C104" s="111">
        <v>0</v>
      </c>
      <c r="D104" s="112">
        <v>0.2902777777777778</v>
      </c>
      <c r="E104" s="106" t="str">
        <f>Effort!F102</f>
        <v>CLOSED</v>
      </c>
      <c r="F104" s="107" t="str">
        <f>Harvest!F102</f>
        <v>CLOSED</v>
      </c>
      <c r="G104" s="108" t="str">
        <f>+CPUE!F102</f>
        <v>CLOSED</v>
      </c>
      <c r="H104" s="106" t="str">
        <f>Effort!H102</f>
        <v>CLOSED</v>
      </c>
      <c r="I104" s="107" t="str">
        <f>Harvest!H102</f>
        <v>CLOSED</v>
      </c>
      <c r="J104" s="108" t="str">
        <f>CPUE!H102</f>
        <v>CLOSED</v>
      </c>
      <c r="K104" s="103">
        <f>Effort!J102</f>
        <v>469.83547396099698</v>
      </c>
      <c r="L104" s="104">
        <f>Harvest!J102</f>
        <v>6741.1176698751697</v>
      </c>
      <c r="M104" s="105">
        <f>CPUE!J102</f>
        <v>14.347826086956513</v>
      </c>
      <c r="N104" s="106" t="str">
        <f>Effort!L102</f>
        <v>CLOSED</v>
      </c>
      <c r="O104" s="107" t="str">
        <f>Harvest!L102</f>
        <v>CLOSED</v>
      </c>
      <c r="P104" s="108" t="str">
        <f>CPUE!L102</f>
        <v>CLOSED</v>
      </c>
      <c r="Q104" s="106" t="s">
        <v>10</v>
      </c>
      <c r="R104" s="107" t="s">
        <v>10</v>
      </c>
      <c r="S104" s="113" t="s">
        <v>10</v>
      </c>
      <c r="T104" s="106">
        <f>SUM(E104,H104,K104)</f>
        <v>469.83547396099698</v>
      </c>
      <c r="U104" s="107">
        <f>SUM(F104,I104,L104)</f>
        <v>6741.1176698751697</v>
      </c>
      <c r="V104" s="107"/>
    </row>
    <row r="105" spans="1:24" s="114" customFormat="1" x14ac:dyDescent="0.25">
      <c r="A105" s="109">
        <v>45406</v>
      </c>
      <c r="B105" s="110" t="s">
        <v>67</v>
      </c>
      <c r="C105" s="111">
        <v>-0.4</v>
      </c>
      <c r="D105" s="112">
        <v>0.3125</v>
      </c>
      <c r="E105" s="106">
        <f>Effort!F103</f>
        <v>505.89961058172651</v>
      </c>
      <c r="F105" s="107">
        <f>Harvest!F103</f>
        <v>7335.5443534350343</v>
      </c>
      <c r="G105" s="108">
        <f>+CPUE!F103</f>
        <v>14.5</v>
      </c>
      <c r="H105" s="106" t="str">
        <f>Effort!H103</f>
        <v>CLOSED</v>
      </c>
      <c r="I105" s="107" t="str">
        <f>Harvest!H103</f>
        <v>CLOSED</v>
      </c>
      <c r="J105" s="108" t="str">
        <f>CPUE!H103</f>
        <v>CLOSED</v>
      </c>
      <c r="K105" s="106" t="str">
        <f>Effort!J103</f>
        <v>CLOSED</v>
      </c>
      <c r="L105" s="107" t="str">
        <f>Harvest!J103</f>
        <v>CLOSED</v>
      </c>
      <c r="M105" s="108" t="str">
        <f>CPUE!J103</f>
        <v>CLOSED</v>
      </c>
      <c r="N105" s="103">
        <f>Effort!L103</f>
        <v>461.738715764902</v>
      </c>
      <c r="O105" s="104">
        <f>Harvest!L103</f>
        <v>6766.86048965805</v>
      </c>
      <c r="P105" s="105">
        <f>CPUE!L103</f>
        <v>14.65517241379311</v>
      </c>
      <c r="Q105" s="106" t="s">
        <v>10</v>
      </c>
      <c r="R105" s="107" t="s">
        <v>10</v>
      </c>
      <c r="S105" s="113" t="s">
        <v>10</v>
      </c>
      <c r="T105" s="106">
        <f>SUM(E105,H105,N105)</f>
        <v>967.63832634662845</v>
      </c>
      <c r="U105" s="107">
        <f>SUM(F105,I105,O105)</f>
        <v>14102.404843093085</v>
      </c>
      <c r="V105" s="107"/>
    </row>
    <row r="106" spans="1:24" s="114" customFormat="1" x14ac:dyDescent="0.25">
      <c r="A106" s="109">
        <v>45407</v>
      </c>
      <c r="B106" s="110" t="s">
        <v>22</v>
      </c>
      <c r="C106" s="111">
        <v>-0.6</v>
      </c>
      <c r="D106" s="112">
        <v>0.3354166666666667</v>
      </c>
      <c r="E106" s="103">
        <f>Effort!F104</f>
        <v>223.75385874637465</v>
      </c>
      <c r="F106" s="104">
        <f>Harvest!F104</f>
        <v>2931.1755495775078</v>
      </c>
      <c r="G106" s="105">
        <f>+CPUE!F104</f>
        <v>13.1</v>
      </c>
      <c r="H106" s="103">
        <f>Effort!H104</f>
        <v>286.61828155357699</v>
      </c>
      <c r="I106" s="104">
        <f>Harvest!H104</f>
        <v>3570.78609102165</v>
      </c>
      <c r="J106" s="105">
        <f>CPUE!H104</f>
        <v>12.458333333333345</v>
      </c>
      <c r="K106" s="106" t="str">
        <f>Effort!J104</f>
        <v>CLOSED</v>
      </c>
      <c r="L106" s="107" t="str">
        <f>Harvest!J104</f>
        <v>CLOSED</v>
      </c>
      <c r="M106" s="108" t="str">
        <f>CPUE!J104</f>
        <v>CLOSED</v>
      </c>
      <c r="N106" s="103">
        <f>Effort!L104</f>
        <v>374.25833213634399</v>
      </c>
      <c r="O106" s="104">
        <f>Harvest!L104</f>
        <v>5182.0384449647599</v>
      </c>
      <c r="P106" s="105">
        <f>CPUE!L104</f>
        <v>13.846153846153838</v>
      </c>
      <c r="Q106" s="106" t="s">
        <v>10</v>
      </c>
      <c r="R106" s="107" t="s">
        <v>10</v>
      </c>
      <c r="S106" s="113" t="s">
        <v>10</v>
      </c>
      <c r="T106" s="106">
        <f>SUM(E106,H106,N106)</f>
        <v>884.63047243629558</v>
      </c>
      <c r="U106" s="107">
        <f>SUM(F106,I106,O106)</f>
        <v>11684.000085563919</v>
      </c>
      <c r="V106" s="107"/>
    </row>
    <row r="107" spans="1:24" s="114" customFormat="1" x14ac:dyDescent="0.25">
      <c r="A107" s="109">
        <v>45408</v>
      </c>
      <c r="B107" s="110" t="s">
        <v>18</v>
      </c>
      <c r="C107" s="111">
        <v>-0.7</v>
      </c>
      <c r="D107" s="112">
        <v>0.36041666666666666</v>
      </c>
      <c r="E107" s="106">
        <f>Effort!F105</f>
        <v>653.05620555270059</v>
      </c>
      <c r="F107" s="107">
        <f>Harvest!F105</f>
        <v>9142.786877737808</v>
      </c>
      <c r="G107" s="108">
        <f>+CPUE!F105</f>
        <v>14</v>
      </c>
      <c r="H107" s="106">
        <f>Effort!H105</f>
        <v>657.4143760935608</v>
      </c>
      <c r="I107" s="107">
        <f>Harvest!H105</f>
        <v>9203.8012653098522</v>
      </c>
      <c r="J107" s="108">
        <f>CPUE!H105</f>
        <v>14</v>
      </c>
      <c r="K107" s="103">
        <f>Effort!J105</f>
        <v>1095.8940439539899</v>
      </c>
      <c r="L107" s="104">
        <f>Harvest!J105</f>
        <v>15474.0239006303</v>
      </c>
      <c r="M107" s="105">
        <f>CPUE!J105</f>
        <v>14.119999999999965</v>
      </c>
      <c r="N107" s="106" t="str">
        <f>Effort!L105</f>
        <v>CLOSED</v>
      </c>
      <c r="O107" s="107" t="str">
        <f>Harvest!L105</f>
        <v>CLOSED</v>
      </c>
      <c r="P107" s="108" t="str">
        <f>CPUE!L105</f>
        <v>CLOSED</v>
      </c>
      <c r="Q107" s="106" t="s">
        <v>10</v>
      </c>
      <c r="R107" s="107" t="s">
        <v>10</v>
      </c>
      <c r="S107" s="113" t="s">
        <v>10</v>
      </c>
      <c r="T107" s="106">
        <f>SUM(E107,H107,K107)</f>
        <v>2406.3646256002512</v>
      </c>
      <c r="U107" s="107">
        <f>SUM(F107,I107,L107)</f>
        <v>33820.61204367796</v>
      </c>
      <c r="V107" s="107"/>
    </row>
    <row r="108" spans="1:24" s="114" customFormat="1" x14ac:dyDescent="0.25">
      <c r="A108" s="109">
        <v>45409</v>
      </c>
      <c r="B108" s="110" t="s">
        <v>19</v>
      </c>
      <c r="C108" s="111">
        <v>-0.7</v>
      </c>
      <c r="D108" s="112">
        <v>0.38819444444444445</v>
      </c>
      <c r="E108" s="103">
        <f>Effort!F106</f>
        <v>1458.9139782583568</v>
      </c>
      <c r="F108" s="104">
        <f>Harvest!F106</f>
        <v>14443.248384757733</v>
      </c>
      <c r="G108" s="105">
        <f>+CPUE!F106</f>
        <v>9.9</v>
      </c>
      <c r="H108" s="103">
        <f>Effort!H106</f>
        <v>1468.6500405874999</v>
      </c>
      <c r="I108" s="104">
        <f>Harvest!H106</f>
        <v>20316.325561460399</v>
      </c>
      <c r="J108" s="105">
        <f>CPUE!H106</f>
        <v>13.833333333333321</v>
      </c>
      <c r="K108" s="103">
        <f>Effort!J106</f>
        <v>2448.2044972858498</v>
      </c>
      <c r="L108" s="104">
        <f>Harvest!J106</f>
        <v>36315.033376406704</v>
      </c>
      <c r="M108" s="105">
        <f>CPUE!J106</f>
        <v>14.833333333333306</v>
      </c>
      <c r="N108" s="106" t="str">
        <f>Effort!L106</f>
        <v>CLOSED</v>
      </c>
      <c r="O108" s="107" t="str">
        <f>Harvest!L106</f>
        <v>CLOSED</v>
      </c>
      <c r="P108" s="108" t="str">
        <f>CPUE!L106</f>
        <v>CLOSED</v>
      </c>
      <c r="Q108" s="106" t="s">
        <v>10</v>
      </c>
      <c r="R108" s="107" t="s">
        <v>10</v>
      </c>
      <c r="S108" s="113" t="s">
        <v>10</v>
      </c>
      <c r="T108" s="106">
        <f>SUM(E108,H108,K108)</f>
        <v>5375.7685161317058</v>
      </c>
      <c r="U108" s="107">
        <f>SUM(F108,I108,L108)</f>
        <v>71074.607322624826</v>
      </c>
      <c r="V108" s="107"/>
    </row>
    <row r="109" spans="1:24" s="114" customFormat="1" x14ac:dyDescent="0.25">
      <c r="A109" s="109">
        <v>45410</v>
      </c>
      <c r="B109" s="110" t="s">
        <v>20</v>
      </c>
      <c r="C109" s="111">
        <v>-0.5</v>
      </c>
      <c r="D109" s="112">
        <v>0.4201388888888889</v>
      </c>
      <c r="E109" s="106">
        <f>Effort!F107</f>
        <v>1224.3267767430896</v>
      </c>
      <c r="F109" s="107">
        <f>Harvest!F107</f>
        <v>14079.75793254553</v>
      </c>
      <c r="G109" s="108">
        <f>+CPUE!F107</f>
        <v>11.5</v>
      </c>
      <c r="H109" s="106">
        <f>Effort!H107</f>
        <v>1568.3056318054219</v>
      </c>
      <c r="I109" s="107">
        <f>Harvest!H107</f>
        <v>18035.514765762353</v>
      </c>
      <c r="J109" s="108">
        <f>CPUE!H107</f>
        <v>11.5</v>
      </c>
      <c r="K109" s="106" t="str">
        <f>Effort!J107</f>
        <v>CLOSED</v>
      </c>
      <c r="L109" s="107" t="str">
        <f>Harvest!J107</f>
        <v>CLOSED</v>
      </c>
      <c r="M109" s="108" t="str">
        <f>CPUE!J107</f>
        <v>CLOSED</v>
      </c>
      <c r="N109" s="103">
        <f>Effort!L107</f>
        <v>2047.85070532849</v>
      </c>
      <c r="O109" s="104">
        <f>Harvest!L107</f>
        <v>23944.100554609999</v>
      </c>
      <c r="P109" s="105">
        <f>CPUE!L107</f>
        <v>11.692307692307674</v>
      </c>
      <c r="Q109" s="106" t="s">
        <v>10</v>
      </c>
      <c r="R109" s="107" t="s">
        <v>10</v>
      </c>
      <c r="S109" s="113" t="s">
        <v>10</v>
      </c>
      <c r="T109" s="106">
        <f>SUM(E109,H109,N109)</f>
        <v>4840.4831138770014</v>
      </c>
      <c r="U109" s="107">
        <f>SUM(F109,I109,O109)</f>
        <v>56059.373252917881</v>
      </c>
      <c r="V109" s="107"/>
    </row>
    <row r="110" spans="1:24" s="114" customFormat="1" x14ac:dyDescent="0.25">
      <c r="A110" s="109">
        <v>45411</v>
      </c>
      <c r="B110" s="110" t="s">
        <v>21</v>
      </c>
      <c r="C110" s="111">
        <v>-0.3</v>
      </c>
      <c r="D110" s="112">
        <v>0.45694444444444443</v>
      </c>
      <c r="E110" s="103">
        <f>Effort!F108</f>
        <v>533.14830548647967</v>
      </c>
      <c r="F110" s="104">
        <f>Harvest!F108</f>
        <v>7997.2245822971954</v>
      </c>
      <c r="G110" s="105">
        <f>+CPUE!F108</f>
        <v>15</v>
      </c>
      <c r="H110" s="106" t="str">
        <f>Effort!H108</f>
        <v>CLOSED</v>
      </c>
      <c r="I110" s="107" t="str">
        <f>Harvest!H108</f>
        <v>CLOSED</v>
      </c>
      <c r="J110" s="108" t="str">
        <f>CPUE!H108</f>
        <v>CLOSED</v>
      </c>
      <c r="K110" s="106" t="str">
        <f>Effort!J108</f>
        <v>CLOSED</v>
      </c>
      <c r="L110" s="107" t="str">
        <f>Harvest!J108</f>
        <v>CLOSED</v>
      </c>
      <c r="M110" s="108" t="str">
        <f>CPUE!J108</f>
        <v>CLOSED</v>
      </c>
      <c r="N110" s="103">
        <f>Effort!L108</f>
        <v>486.60882265650997</v>
      </c>
      <c r="O110" s="104">
        <f>Harvest!L108</f>
        <v>6737.6606213978303</v>
      </c>
      <c r="P110" s="105">
        <f>CPUE!L108</f>
        <v>13.846153846153847</v>
      </c>
      <c r="Q110" s="106" t="s">
        <v>10</v>
      </c>
      <c r="R110" s="107" t="s">
        <v>10</v>
      </c>
      <c r="S110" s="113" t="s">
        <v>10</v>
      </c>
      <c r="T110" s="106">
        <f>SUM(E110,H110,N110)</f>
        <v>1019.7571281429896</v>
      </c>
      <c r="U110" s="107">
        <f>SUM(F110,I110,O110)</f>
        <v>14734.885203695027</v>
      </c>
      <c r="V110" s="107"/>
    </row>
    <row r="111" spans="1:24" s="114" customFormat="1" x14ac:dyDescent="0.25">
      <c r="A111" s="125" t="s">
        <v>50</v>
      </c>
      <c r="B111" s="125"/>
      <c r="C111" s="125"/>
      <c r="D111" s="126"/>
      <c r="E111" s="115">
        <f>SUM(E104:E110)</f>
        <v>4599.0987353687278</v>
      </c>
      <c r="F111" s="116">
        <f>SUM(F104:F110)</f>
        <v>55929.737680350809</v>
      </c>
      <c r="G111" s="117">
        <f>+F111/E111</f>
        <v>12.161021299723565</v>
      </c>
      <c r="H111" s="115">
        <f>SUM(H104:H110)</f>
        <v>3980.9883300400593</v>
      </c>
      <c r="I111" s="116">
        <f>SUM(I104:I110)</f>
        <v>51126.427683554255</v>
      </c>
      <c r="J111" s="117">
        <f>+I111/H111</f>
        <v>12.842646962253163</v>
      </c>
      <c r="K111" s="115">
        <f>SUM(K104:K110)</f>
        <v>4013.9340152008367</v>
      </c>
      <c r="L111" s="116">
        <f>SUM(L104:L110)</f>
        <v>58530.174946912171</v>
      </c>
      <c r="M111" s="117">
        <f>+L111/K111</f>
        <v>14.581748161593438</v>
      </c>
      <c r="N111" s="115">
        <f>SUM(N104:N110)</f>
        <v>3370.4565758862459</v>
      </c>
      <c r="O111" s="116">
        <f>SUM(O104:O110)</f>
        <v>42630.660110630641</v>
      </c>
      <c r="P111" s="117">
        <f>+O111/N111</f>
        <v>12.648333883198333</v>
      </c>
      <c r="Q111" s="115"/>
      <c r="R111" s="116"/>
      <c r="S111" s="117"/>
      <c r="T111" s="115">
        <f>SUM(T104:T110)</f>
        <v>15964.477656495868</v>
      </c>
      <c r="U111" s="116">
        <f>SUM(U104:U110)</f>
        <v>208217.00042144791</v>
      </c>
      <c r="V111" s="118"/>
      <c r="W111" s="119">
        <f>SUM(H111,K111,N111,Q111,E111)</f>
        <v>15964.47765649587</v>
      </c>
      <c r="X111" s="119">
        <f>SUM(R111,O111,L111,I111,F111)</f>
        <v>208217.00042144788</v>
      </c>
    </row>
    <row r="112" spans="1:24" x14ac:dyDescent="0.25">
      <c r="A112" s="109">
        <v>45418</v>
      </c>
      <c r="B112" s="110" t="s">
        <v>21</v>
      </c>
      <c r="C112" s="111">
        <v>-0.7</v>
      </c>
      <c r="D112" s="112">
        <v>0.23680555555555557</v>
      </c>
      <c r="E112" s="106" t="str">
        <f>Effort!F110</f>
        <v>CLOSED</v>
      </c>
      <c r="F112" s="107" t="str">
        <f>Harvest!F110</f>
        <v>CLOSED</v>
      </c>
      <c r="G112" s="108" t="str">
        <f>+CPUE!F110</f>
        <v>CLOSED</v>
      </c>
      <c r="H112" s="106" t="str">
        <f>Effort!H110</f>
        <v>CLOSED</v>
      </c>
      <c r="I112" s="107" t="str">
        <f>Harvest!H110</f>
        <v>CLOSED</v>
      </c>
      <c r="J112" s="108" t="str">
        <f>CPUE!H110</f>
        <v>CLOSED</v>
      </c>
      <c r="K112" s="106" t="str">
        <f>Effort!J110</f>
        <v>CLOSED</v>
      </c>
      <c r="L112" s="107" t="str">
        <f>Harvest!J110</f>
        <v>CLOSED</v>
      </c>
      <c r="M112" s="108" t="str">
        <f>CPUE!J110</f>
        <v>CLOSED</v>
      </c>
      <c r="N112" s="103">
        <f>Effort!L110</f>
        <v>259.52813112069902</v>
      </c>
      <c r="O112" s="104">
        <f>Harvest!L110</f>
        <v>3892.9219668104902</v>
      </c>
      <c r="P112" s="105">
        <f>CPUE!L110</f>
        <v>15.00000000000002</v>
      </c>
      <c r="Q112" s="106" t="s">
        <v>10</v>
      </c>
      <c r="R112" s="107" t="s">
        <v>10</v>
      </c>
      <c r="S112" s="113" t="s">
        <v>10</v>
      </c>
      <c r="T112" s="106">
        <f>SUM(E112,H112,K112,N112)</f>
        <v>259.52813112069902</v>
      </c>
      <c r="U112" s="107">
        <f>SUM(F112,I112,L112,O112)</f>
        <v>3892.9219668104902</v>
      </c>
      <c r="V112" s="107"/>
      <c r="W112" s="114"/>
      <c r="X112" s="114"/>
    </row>
    <row r="113" spans="1:24" x14ac:dyDescent="0.25">
      <c r="A113" s="109">
        <v>45419</v>
      </c>
      <c r="B113" s="110" t="s">
        <v>66</v>
      </c>
      <c r="C113" s="111">
        <v>-1.5</v>
      </c>
      <c r="D113" s="112">
        <v>0.26944444444444443</v>
      </c>
      <c r="E113" s="106">
        <f>Effort!F111</f>
        <v>933.12941004932622</v>
      </c>
      <c r="F113" s="107">
        <f>Harvest!F111</f>
        <v>13996.941150739893</v>
      </c>
      <c r="G113" s="108">
        <f>+CPUE!F111</f>
        <v>15</v>
      </c>
      <c r="H113" s="106" t="str">
        <f>Effort!H111</f>
        <v>CLOSED</v>
      </c>
      <c r="I113" s="107" t="str">
        <f>Harvest!H111</f>
        <v>CLOSED</v>
      </c>
      <c r="J113" s="108" t="str">
        <f>CPUE!H111</f>
        <v>CLOSED</v>
      </c>
      <c r="K113" s="106" t="str">
        <f>Effort!J111</f>
        <v>CLOSED</v>
      </c>
      <c r="L113" s="107" t="str">
        <f>Harvest!J111</f>
        <v>CLOSED</v>
      </c>
      <c r="M113" s="108" t="str">
        <f>CPUE!J111</f>
        <v>CLOSED</v>
      </c>
      <c r="N113" s="103">
        <f>Effort!L111</f>
        <v>673.66499784541804</v>
      </c>
      <c r="O113" s="104">
        <f>Harvest!L111</f>
        <v>10104.974967681301</v>
      </c>
      <c r="P113" s="105">
        <f>CPUE!L111</f>
        <v>15.000000000000044</v>
      </c>
      <c r="Q113" s="106" t="s">
        <v>10</v>
      </c>
      <c r="R113" s="107" t="s">
        <v>10</v>
      </c>
      <c r="S113" s="113" t="s">
        <v>10</v>
      </c>
      <c r="T113" s="106">
        <f t="shared" ref="T113:U118" si="1">SUM(E113,H113,K113,N113)</f>
        <v>1606.7944078947444</v>
      </c>
      <c r="U113" s="107">
        <f t="shared" si="1"/>
        <v>24101.916118421192</v>
      </c>
      <c r="V113" s="107"/>
      <c r="W113" s="114"/>
      <c r="X113" s="114"/>
    </row>
    <row r="114" spans="1:24" x14ac:dyDescent="0.25">
      <c r="A114" s="109">
        <v>45420</v>
      </c>
      <c r="B114" s="110" t="s">
        <v>67</v>
      </c>
      <c r="C114" s="111">
        <v>-2</v>
      </c>
      <c r="D114" s="112">
        <v>0.30069444444444443</v>
      </c>
      <c r="E114" s="106">
        <f>Effort!F112</f>
        <v>1960.5791954712804</v>
      </c>
      <c r="F114" s="107">
        <f>Harvest!F112</f>
        <v>29408.687932069206</v>
      </c>
      <c r="G114" s="108">
        <f>+CPUE!F112</f>
        <v>15</v>
      </c>
      <c r="H114" s="106" t="str">
        <f>Effort!H112</f>
        <v>CLOSED</v>
      </c>
      <c r="I114" s="107" t="str">
        <f>Harvest!H112</f>
        <v>CLOSED</v>
      </c>
      <c r="J114" s="108" t="str">
        <f>CPUE!H112</f>
        <v>CLOSED</v>
      </c>
      <c r="K114" s="103">
        <f>Effort!J112</f>
        <v>2047.1930683278799</v>
      </c>
      <c r="L114" s="104">
        <f>Harvest!J112</f>
        <v>30729.908853609901</v>
      </c>
      <c r="M114" s="105">
        <f>CPUE!J112</f>
        <v>15.010752688172046</v>
      </c>
      <c r="N114" s="106" t="str">
        <f>Effort!L112</f>
        <v>CLOSED</v>
      </c>
      <c r="O114" s="107" t="str">
        <f>Harvest!L112</f>
        <v>CLOSED</v>
      </c>
      <c r="P114" s="108" t="str">
        <f>CPUE!L112</f>
        <v>CLOSED</v>
      </c>
      <c r="Q114" s="106" t="s">
        <v>10</v>
      </c>
      <c r="R114" s="107" t="s">
        <v>10</v>
      </c>
      <c r="S114" s="113" t="s">
        <v>10</v>
      </c>
      <c r="T114" s="106">
        <f t="shared" si="1"/>
        <v>4007.7722637991601</v>
      </c>
      <c r="U114" s="107">
        <f>SUM(F114,I114,L114,O114)</f>
        <v>60138.59678567911</v>
      </c>
      <c r="V114" s="107"/>
      <c r="W114" s="114"/>
      <c r="X114" s="114"/>
    </row>
    <row r="115" spans="1:24" x14ac:dyDescent="0.25">
      <c r="A115" s="109">
        <v>45421</v>
      </c>
      <c r="B115" s="110" t="s">
        <v>22</v>
      </c>
      <c r="C115" s="111">
        <v>-2.1</v>
      </c>
      <c r="D115" s="112">
        <v>0.33124999999999999</v>
      </c>
      <c r="E115" s="103">
        <f>Effort!F113</f>
        <v>4109.6584142538768</v>
      </c>
      <c r="F115" s="104">
        <f>Harvest!F113</f>
        <v>61644.876213808151</v>
      </c>
      <c r="G115" s="105">
        <f>+CPUE!F113</f>
        <v>15</v>
      </c>
      <c r="H115" s="103">
        <f>Effort!H113</f>
        <v>2097.6534517608902</v>
      </c>
      <c r="I115" s="104">
        <f>Harvest!H113</f>
        <v>27968.712690145199</v>
      </c>
      <c r="J115" s="105">
        <f>CPUE!H113</f>
        <v>13.333333333333332</v>
      </c>
      <c r="K115" s="103">
        <f>Effort!J113</f>
        <v>4291.2136568059004</v>
      </c>
      <c r="L115" s="104">
        <f>Harvest!J113</f>
        <v>64368.2048520885</v>
      </c>
      <c r="M115" s="105">
        <f>CPUE!J113</f>
        <v>14.999999999999998</v>
      </c>
      <c r="N115" s="106" t="str">
        <f>Effort!L113</f>
        <v>CLOSED</v>
      </c>
      <c r="O115" s="107" t="str">
        <f>Harvest!L113</f>
        <v>CLOSED</v>
      </c>
      <c r="P115" s="108" t="str">
        <f>CPUE!L113</f>
        <v>CLOSED</v>
      </c>
      <c r="Q115" s="106" t="s">
        <v>10</v>
      </c>
      <c r="R115" s="107" t="s">
        <v>10</v>
      </c>
      <c r="S115" s="113" t="s">
        <v>10</v>
      </c>
      <c r="T115" s="106">
        <f t="shared" si="1"/>
        <v>10498.525522820666</v>
      </c>
      <c r="U115" s="107">
        <f t="shared" si="1"/>
        <v>153981.79375604185</v>
      </c>
      <c r="V115" s="107"/>
      <c r="W115" s="114"/>
      <c r="X115" s="114"/>
    </row>
    <row r="116" spans="1:24" x14ac:dyDescent="0.25">
      <c r="A116" s="109">
        <v>45422</v>
      </c>
      <c r="B116" s="110" t="s">
        <v>18</v>
      </c>
      <c r="C116" s="111">
        <v>-1.9</v>
      </c>
      <c r="D116" s="112">
        <v>0.36180555555555555</v>
      </c>
      <c r="E116" s="103">
        <f>Effort!F114</f>
        <v>3737.92127611245</v>
      </c>
      <c r="F116" s="104">
        <f>Harvest!F114</f>
        <v>45660.044522394099</v>
      </c>
      <c r="G116" s="105">
        <f>+CPUE!F114</f>
        <v>12.215357453938118</v>
      </c>
      <c r="H116" s="106">
        <f>Effort!H114</f>
        <v>3255.6106857331847</v>
      </c>
      <c r="I116" s="107">
        <f>Harvest!H114</f>
        <v>45578.549600264589</v>
      </c>
      <c r="J116" s="108">
        <f>CPUE!H114</f>
        <v>14</v>
      </c>
      <c r="K116" s="106" t="str">
        <f>Effort!J114</f>
        <v>CLOSED</v>
      </c>
      <c r="L116" s="107" t="str">
        <f>Harvest!J114</f>
        <v>CLOSED</v>
      </c>
      <c r="M116" s="108" t="str">
        <f>CPUE!J114</f>
        <v>CLOSED</v>
      </c>
      <c r="N116" s="103">
        <f>Effort!L114</f>
        <v>2698.5611012791101</v>
      </c>
      <c r="O116" s="104">
        <f>Harvest!L114</f>
        <v>38822.481297947197</v>
      </c>
      <c r="P116" s="105">
        <f>CPUE!L114</f>
        <v>14.386363636363637</v>
      </c>
      <c r="Q116" s="106" t="s">
        <v>10</v>
      </c>
      <c r="R116" s="107" t="s">
        <v>10</v>
      </c>
      <c r="S116" s="113" t="s">
        <v>10</v>
      </c>
      <c r="T116" s="106">
        <f t="shared" si="1"/>
        <v>9692.0930631247447</v>
      </c>
      <c r="U116" s="107">
        <f t="shared" si="1"/>
        <v>130061.07542060589</v>
      </c>
      <c r="V116" s="107"/>
      <c r="W116" s="114"/>
      <c r="X116" s="114"/>
    </row>
    <row r="117" spans="1:24" x14ac:dyDescent="0.25">
      <c r="A117" s="109">
        <v>45423</v>
      </c>
      <c r="B117" s="110" t="s">
        <v>19</v>
      </c>
      <c r="C117" s="111">
        <v>-1.4</v>
      </c>
      <c r="D117" s="112">
        <v>0.39374999999999999</v>
      </c>
      <c r="E117" s="103">
        <f>Effort!F115</f>
        <v>5200.1073322967095</v>
      </c>
      <c r="F117" s="104">
        <f>Harvest!F115</f>
        <v>69847.4069419031</v>
      </c>
      <c r="G117" s="105">
        <f>+CPUE!F115</f>
        <v>13.431916396820581</v>
      </c>
      <c r="H117" s="103">
        <f>Effort!H115</f>
        <v>6101.6060297133699</v>
      </c>
      <c r="I117" s="104">
        <f>Harvest!H115</f>
        <v>77577.562377784299</v>
      </c>
      <c r="J117" s="105">
        <f>CPUE!H115</f>
        <v>12.714285714285719</v>
      </c>
      <c r="K117" s="106" t="str">
        <f>Effort!J115</f>
        <v>CLOSED</v>
      </c>
      <c r="L117" s="107" t="str">
        <f>Harvest!J115</f>
        <v>CLOSED</v>
      </c>
      <c r="M117" s="108" t="str">
        <f>CPUE!J115</f>
        <v>CLOSED</v>
      </c>
      <c r="N117" s="103">
        <f>Effort!L115</f>
        <v>5057.5938822385397</v>
      </c>
      <c r="O117" s="104">
        <f>Harvest!L115</f>
        <v>75408.724784176593</v>
      </c>
      <c r="P117" s="105">
        <f>CPUE!L115</f>
        <v>14.909999999999993</v>
      </c>
      <c r="Q117" s="106" t="s">
        <v>10</v>
      </c>
      <c r="R117" s="107" t="s">
        <v>10</v>
      </c>
      <c r="S117" s="113" t="s">
        <v>10</v>
      </c>
      <c r="T117" s="106">
        <f t="shared" si="1"/>
        <v>16359.307244248619</v>
      </c>
      <c r="U117" s="107">
        <f t="shared" si="1"/>
        <v>222833.69410386399</v>
      </c>
      <c r="V117" s="107"/>
      <c r="W117" s="114"/>
      <c r="X117" s="114"/>
    </row>
    <row r="118" spans="1:24" x14ac:dyDescent="0.25">
      <c r="A118" s="109">
        <v>45424</v>
      </c>
      <c r="B118" s="110" t="s">
        <v>20</v>
      </c>
      <c r="C118" s="111">
        <v>-0.8</v>
      </c>
      <c r="D118" s="112">
        <v>0.42777777777777781</v>
      </c>
      <c r="E118" s="106">
        <f>Effort!F116</f>
        <v>3229.2591343702152</v>
      </c>
      <c r="F118" s="107">
        <f>Harvest!F116</f>
        <v>48438.887015553228</v>
      </c>
      <c r="G118" s="108">
        <f>+CPUE!F116</f>
        <v>15</v>
      </c>
      <c r="H118" s="103">
        <f>Effort!H116</f>
        <v>2786.6693077814102</v>
      </c>
      <c r="I118" s="104">
        <f>Harvest!H116</f>
        <v>40638.9274051455</v>
      </c>
      <c r="J118" s="105">
        <f>CPUE!H116</f>
        <v>14.583333333333309</v>
      </c>
      <c r="K118" s="103">
        <f>Effort!J116</f>
        <v>3371.9203646492201</v>
      </c>
      <c r="L118" s="104">
        <f>Harvest!J116</f>
        <v>48819.542670790899</v>
      </c>
      <c r="M118" s="105">
        <f>CPUE!J116</f>
        <v>14.478260869565222</v>
      </c>
      <c r="N118" s="106" t="str">
        <f>Effort!L116</f>
        <v>CLOSED</v>
      </c>
      <c r="O118" s="107" t="str">
        <f>Harvest!L116</f>
        <v>CLOSED</v>
      </c>
      <c r="P118" s="108" t="str">
        <f>CPUE!L116</f>
        <v>CLOSED</v>
      </c>
      <c r="Q118" s="106" t="s">
        <v>10</v>
      </c>
      <c r="R118" s="107" t="s">
        <v>10</v>
      </c>
      <c r="S118" s="113" t="s">
        <v>10</v>
      </c>
      <c r="T118" s="106">
        <f t="shared" si="1"/>
        <v>9387.8488068008464</v>
      </c>
      <c r="U118" s="107">
        <f t="shared" si="1"/>
        <v>137897.35709148963</v>
      </c>
      <c r="V118" s="107"/>
      <c r="W118" s="114"/>
      <c r="X118" s="114"/>
    </row>
    <row r="119" spans="1:24" x14ac:dyDescent="0.25">
      <c r="A119" s="125" t="s">
        <v>50</v>
      </c>
      <c r="B119" s="125"/>
      <c r="C119" s="125"/>
      <c r="D119" s="126"/>
      <c r="E119" s="115">
        <f>SUM(E112:E118)</f>
        <v>19170.654762553859</v>
      </c>
      <c r="F119" s="116">
        <f>SUM(F112:F118)</f>
        <v>268996.84377646772</v>
      </c>
      <c r="G119" s="117">
        <f>+F119/E119</f>
        <v>14.031698296601776</v>
      </c>
      <c r="H119" s="115">
        <f>SUM(H112:H118)</f>
        <v>14241.539474988856</v>
      </c>
      <c r="I119" s="116">
        <f>SUM(I112:I118)</f>
        <v>191763.75207333959</v>
      </c>
      <c r="J119" s="117">
        <f>+I119/H119</f>
        <v>13.465099921965399</v>
      </c>
      <c r="K119" s="115">
        <f>SUM(K112:K118)</f>
        <v>9710.3270897830007</v>
      </c>
      <c r="L119" s="116">
        <f>SUM(L112:L118)</f>
        <v>143917.65637648929</v>
      </c>
      <c r="M119" s="117">
        <f>+L119/K119</f>
        <v>14.821092538470346</v>
      </c>
      <c r="N119" s="115">
        <f>SUM(N112:N118)</f>
        <v>8689.3481124837672</v>
      </c>
      <c r="O119" s="116">
        <f>SUM(O112:O118)</f>
        <v>128229.10301661558</v>
      </c>
      <c r="P119" s="117">
        <f>+O119/N119</f>
        <v>14.757045218661693</v>
      </c>
      <c r="Q119" s="115"/>
      <c r="R119" s="116"/>
      <c r="S119" s="117"/>
      <c r="T119" s="115">
        <f>SUM(T112:T118)</f>
        <v>51811.869439809481</v>
      </c>
      <c r="U119" s="116">
        <f>SUM(U112:U118)</f>
        <v>732907.35524291208</v>
      </c>
      <c r="V119" s="118"/>
      <c r="W119" s="119">
        <f>SUM(H119,K119,N119,Q119,E119)</f>
        <v>51811.869439809481</v>
      </c>
      <c r="X119" s="119">
        <f>SUM(R119,O119,L119,I119,F119)</f>
        <v>732907.35524291219</v>
      </c>
    </row>
    <row r="120" spans="1:24" ht="15.75" thickBot="1" x14ac:dyDescent="0.3">
      <c r="A120" s="85"/>
      <c r="B120" s="85"/>
      <c r="C120" s="85"/>
      <c r="D120" s="85"/>
      <c r="E120" s="63"/>
      <c r="F120" s="63"/>
      <c r="G120" s="64"/>
      <c r="H120" s="63"/>
      <c r="I120" s="63"/>
      <c r="J120" s="64"/>
      <c r="K120" s="63"/>
      <c r="L120" s="63"/>
      <c r="M120" s="64"/>
      <c r="N120" s="63"/>
      <c r="O120" s="63"/>
      <c r="P120" s="64"/>
      <c r="Q120" s="63"/>
      <c r="R120" s="63"/>
      <c r="S120" s="64"/>
      <c r="T120" s="63"/>
      <c r="U120" s="63"/>
    </row>
    <row r="121" spans="1:24" ht="15.75" thickTop="1" x14ac:dyDescent="0.25">
      <c r="A121" s="57" t="s">
        <v>51</v>
      </c>
      <c r="B121" s="58"/>
      <c r="C121" s="58"/>
      <c r="D121" s="58"/>
      <c r="E121" s="59">
        <f>+SUM(E8,E14,E20,E28,E35,E41,E46,E54,E62,E70,E76,E88,E95,E103,E111,E119)</f>
        <v>114614.46032409259</v>
      </c>
      <c r="F121" s="59">
        <f>+SUM(F8,F14,F20,F28,F35,F41,F46,F54,F62,F70,F76,F88,F95,F103,F111,F119)</f>
        <v>1448224.0954987844</v>
      </c>
      <c r="G121" s="60">
        <f>+F121/E121</f>
        <v>12.635614139818619</v>
      </c>
      <c r="H121" s="59">
        <f>+SUM(H8,H14,H20,H28,H35,H41,H46,H54,H62,H70,H76,H88,H95,H103,H111,H119)</f>
        <v>90081.64555153274</v>
      </c>
      <c r="I121" s="59">
        <f>+SUM(I8,I14,I20,I28,I35,I41,I46,I54,I62,I70,I76,I88,I95,I103,I111,I119)</f>
        <v>1113081.4466099201</v>
      </c>
      <c r="J121" s="60">
        <f>+I121/H121</f>
        <v>12.356362273301979</v>
      </c>
      <c r="K121" s="59">
        <f>+SUM(K8,K14,K20,K28,K35,K41,K46,K54,K62,K70,K76,K88,K95,K103,K111,K119)</f>
        <v>86087.506403076666</v>
      </c>
      <c r="L121" s="59">
        <f>+SUM(L8,L14,L20,L28,L35,L41,L46,L54,L62,L70,L76,L88,L95,L103,L111,L119)</f>
        <v>1085593.1176094185</v>
      </c>
      <c r="M121" s="60">
        <f>+L121/K121</f>
        <v>12.610344554835667</v>
      </c>
      <c r="N121" s="59">
        <f>+SUM(N8,N14,N20,N28,N35,N41,N46,N54,N62,N70,N76,N88,N95,N103,N111,N119)</f>
        <v>60278.382162280803</v>
      </c>
      <c r="O121" s="59">
        <f>+SUM(O8,O14,O20,O28,O35,O41,O46,O54,O62,O70,O76,O88,O95,O103,O111,O119)</f>
        <v>768074.78580277914</v>
      </c>
      <c r="P121" s="60">
        <f>+O121/N121</f>
        <v>12.742126750100502</v>
      </c>
      <c r="Q121" s="59">
        <f>+SUM(Q8)</f>
        <v>0</v>
      </c>
      <c r="R121" s="59">
        <f>+SUM(R8)</f>
        <v>0</v>
      </c>
      <c r="S121" s="60">
        <v>0</v>
      </c>
      <c r="T121" s="59">
        <f>+SUM(T8,T14,T20,T28,T35,T41,T46,T54,T62,T70,T76,T88,T95,T103,T111,T119)</f>
        <v>351061.99444098282</v>
      </c>
      <c r="U121" s="59">
        <f>+SUM(U8,U14,U20,U28,U35,U41,U46,U54,U62,U70,U76,U88,U95,U103,U111,U119)</f>
        <v>4414973.4455209021</v>
      </c>
      <c r="V121" s="63"/>
      <c r="W121" s="20">
        <f>SUM(W4:W120)</f>
        <v>351061.99444098282</v>
      </c>
      <c r="X121" s="20">
        <f>SUM(X4:X120)</f>
        <v>4414973.4455209021</v>
      </c>
    </row>
    <row r="122" spans="1:24" x14ac:dyDescent="0.25">
      <c r="A122" s="61" t="s">
        <v>52</v>
      </c>
      <c r="B122" s="62"/>
      <c r="C122" s="62"/>
      <c r="D122" s="62"/>
      <c r="E122" s="63"/>
      <c r="F122" s="63">
        <f>Harvest!F120</f>
        <v>42684.499656806271</v>
      </c>
      <c r="G122" s="64"/>
      <c r="H122" s="63"/>
      <c r="I122" s="63">
        <f>Harvest!H120</f>
        <v>32536.226900905363</v>
      </c>
      <c r="J122" s="64"/>
      <c r="K122" s="63"/>
      <c r="L122" s="63">
        <f>Harvest!J120</f>
        <v>19951.441080389308</v>
      </c>
      <c r="M122" s="64"/>
      <c r="N122" s="63"/>
      <c r="O122" s="63">
        <f>Harvest!L120</f>
        <v>20847.744186075426</v>
      </c>
      <c r="P122" s="64"/>
      <c r="Q122" s="63"/>
      <c r="R122" s="63">
        <f>Harvest!N120</f>
        <v>0</v>
      </c>
      <c r="S122" s="64"/>
      <c r="T122" s="63"/>
      <c r="U122" s="63">
        <f>F122+I122+L122+O122+R122</f>
        <v>116019.91182417638</v>
      </c>
      <c r="V122" s="63"/>
      <c r="W122" s="20">
        <f>SUM(H121,K121,N121,Q121,E121)</f>
        <v>351061.99444098282</v>
      </c>
      <c r="X122" s="20">
        <f>SUM(R121,O121,L121,I121,F121)</f>
        <v>4414973.4455209021</v>
      </c>
    </row>
    <row r="123" spans="1:24" x14ac:dyDescent="0.25">
      <c r="A123" s="65" t="s">
        <v>53</v>
      </c>
      <c r="B123" s="66"/>
      <c r="C123" s="66"/>
      <c r="D123" s="66"/>
      <c r="E123" s="67">
        <f>Effort!F118</f>
        <v>114614.46032409262</v>
      </c>
      <c r="F123" s="67">
        <f>F121+F122</f>
        <v>1490908.5951555907</v>
      </c>
      <c r="G123" s="68"/>
      <c r="H123" s="67">
        <f>Effort!H118</f>
        <v>90081.645551532711</v>
      </c>
      <c r="I123" s="67">
        <f>I121+I122</f>
        <v>1145617.6735108255</v>
      </c>
      <c r="J123" s="68"/>
      <c r="K123" s="67">
        <f>Effort!J118</f>
        <v>86087.506403076652</v>
      </c>
      <c r="L123" s="67">
        <f>L121+L122</f>
        <v>1105544.5586898078</v>
      </c>
      <c r="M123" s="68"/>
      <c r="N123" s="67">
        <f>Effort!L118</f>
        <v>60278.382162280803</v>
      </c>
      <c r="O123" s="67">
        <f>O121+O122</f>
        <v>788922.52998885454</v>
      </c>
      <c r="P123" s="68"/>
      <c r="Q123" s="67">
        <f>Effort!N118</f>
        <v>0</v>
      </c>
      <c r="R123" s="67">
        <f>R121+R122</f>
        <v>0</v>
      </c>
      <c r="S123" s="68"/>
      <c r="T123" s="67">
        <f>SUM(T121:T122)</f>
        <v>351061.99444098282</v>
      </c>
      <c r="U123" s="69">
        <f>SUM(U121:U122)</f>
        <v>4530993.3573450781</v>
      </c>
      <c r="V123" s="63"/>
    </row>
    <row r="124" spans="1:24" x14ac:dyDescent="0.25">
      <c r="A124" s="70" t="s">
        <v>14</v>
      </c>
      <c r="B124" s="71"/>
      <c r="C124" s="71"/>
      <c r="D124" s="71"/>
      <c r="E124" s="71"/>
      <c r="F124" s="72">
        <f>Harvest!F123</f>
        <v>0.6920990008969945</v>
      </c>
      <c r="G124" s="71"/>
      <c r="H124" s="71"/>
      <c r="I124" s="72">
        <f>Harvest!H123</f>
        <v>0.89417417585650272</v>
      </c>
      <c r="J124" s="71"/>
      <c r="K124" s="71"/>
      <c r="L124" s="72">
        <f>Harvest!J123</f>
        <v>0.80860097028456135</v>
      </c>
      <c r="M124" s="71"/>
      <c r="N124" s="71"/>
      <c r="O124" s="72">
        <f>Harvest!L123</f>
        <v>0.56271901861084794</v>
      </c>
      <c r="P124" s="71"/>
      <c r="Q124" s="71"/>
      <c r="R124" s="72">
        <f>Harvest!N123</f>
        <v>0</v>
      </c>
      <c r="S124" s="71"/>
      <c r="T124" s="91"/>
      <c r="U124" s="92"/>
      <c r="V124" s="62"/>
      <c r="X124" s="20">
        <f>SUM(R123,O123,L123,I123,F123)</f>
        <v>4530993.3573450781</v>
      </c>
    </row>
  </sheetData>
  <mergeCells count="22">
    <mergeCell ref="A119:D119"/>
    <mergeCell ref="T2:U2"/>
    <mergeCell ref="E2:G2"/>
    <mergeCell ref="H2:J2"/>
    <mergeCell ref="K2:M2"/>
    <mergeCell ref="N2:P2"/>
    <mergeCell ref="Q2:S2"/>
    <mergeCell ref="A46:D46"/>
    <mergeCell ref="A41:D41"/>
    <mergeCell ref="A88:D88"/>
    <mergeCell ref="A76:D76"/>
    <mergeCell ref="A8:D8"/>
    <mergeCell ref="A35:D35"/>
    <mergeCell ref="A28:D28"/>
    <mergeCell ref="A20:D20"/>
    <mergeCell ref="A14:D14"/>
    <mergeCell ref="A70:D70"/>
    <mergeCell ref="A111:D111"/>
    <mergeCell ref="A103:D103"/>
    <mergeCell ref="A95:D95"/>
    <mergeCell ref="A62:D62"/>
    <mergeCell ref="A54:D54"/>
  </mergeCells>
  <phoneticPr fontId="17" type="noConversion"/>
  <pageMargins left="0.7" right="0.7" top="0.75" bottom="0.75" header="0.3" footer="0.3"/>
  <pageSetup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FD5E-4554-456C-879B-68A9CCB6CA1E}">
  <sheetPr>
    <pageSetUpPr fitToPage="1"/>
  </sheetPr>
  <dimension ref="A1:X124"/>
  <sheetViews>
    <sheetView topLeftCell="A90" zoomScale="90" zoomScaleNormal="90" workbookViewId="0">
      <selection activeCell="T127" sqref="T127"/>
    </sheetView>
  </sheetViews>
  <sheetFormatPr defaultRowHeight="15" x14ac:dyDescent="0.25"/>
  <cols>
    <col min="1" max="1" width="10" customWidth="1"/>
    <col min="20" max="20" width="10.85546875" style="20" customWidth="1"/>
    <col min="24" max="24" width="9.85546875" customWidth="1"/>
  </cols>
  <sheetData>
    <row r="1" spans="1:24" ht="15.75" thickBot="1" x14ac:dyDescent="0.3">
      <c r="A1" s="34" t="s">
        <v>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45"/>
      <c r="U1" s="34"/>
      <c r="V1" s="87"/>
    </row>
    <row r="2" spans="1:24" ht="15.75" thickTop="1" x14ac:dyDescent="0.25">
      <c r="A2" s="35"/>
      <c r="B2" s="35"/>
      <c r="C2" s="35"/>
      <c r="D2" s="35"/>
      <c r="E2" s="133" t="s">
        <v>38</v>
      </c>
      <c r="F2" s="134"/>
      <c r="G2" s="135"/>
      <c r="H2" s="133" t="s">
        <v>39</v>
      </c>
      <c r="I2" s="134"/>
      <c r="J2" s="135"/>
      <c r="K2" s="133" t="s">
        <v>40</v>
      </c>
      <c r="L2" s="134"/>
      <c r="M2" s="135"/>
      <c r="N2" s="133" t="s">
        <v>41</v>
      </c>
      <c r="O2" s="134"/>
      <c r="P2" s="135"/>
      <c r="Q2" s="136" t="s">
        <v>42</v>
      </c>
      <c r="R2" s="137"/>
      <c r="S2" s="138"/>
      <c r="T2" s="131" t="s">
        <v>45</v>
      </c>
      <c r="U2" s="132"/>
      <c r="V2" s="42"/>
      <c r="W2" s="8" t="s">
        <v>57</v>
      </c>
      <c r="X2" s="8" t="s">
        <v>58</v>
      </c>
    </row>
    <row r="3" spans="1:24" ht="15.75" thickBot="1" x14ac:dyDescent="0.3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25</v>
      </c>
      <c r="F3" s="36" t="s">
        <v>26</v>
      </c>
      <c r="G3" s="36" t="s">
        <v>27</v>
      </c>
      <c r="H3" s="37" t="s">
        <v>25</v>
      </c>
      <c r="I3" s="36" t="s">
        <v>26</v>
      </c>
      <c r="J3" s="36" t="s">
        <v>27</v>
      </c>
      <c r="K3" s="37" t="s">
        <v>25</v>
      </c>
      <c r="L3" s="36" t="s">
        <v>26</v>
      </c>
      <c r="M3" s="36" t="s">
        <v>27</v>
      </c>
      <c r="N3" s="37" t="s">
        <v>25</v>
      </c>
      <c r="O3" s="36" t="s">
        <v>26</v>
      </c>
      <c r="P3" s="36" t="s">
        <v>27</v>
      </c>
      <c r="Q3" s="37" t="s">
        <v>25</v>
      </c>
      <c r="R3" s="36" t="s">
        <v>26</v>
      </c>
      <c r="S3" s="36" t="s">
        <v>27</v>
      </c>
      <c r="T3" s="46" t="s">
        <v>25</v>
      </c>
      <c r="U3" s="38" t="s">
        <v>26</v>
      </c>
      <c r="V3" s="42"/>
    </row>
    <row r="4" spans="1:24" ht="15.75" thickTop="1" x14ac:dyDescent="0.25">
      <c r="A4" s="39">
        <v>44826</v>
      </c>
      <c r="B4" s="40" t="s">
        <v>22</v>
      </c>
      <c r="C4" s="8">
        <v>0.4</v>
      </c>
      <c r="D4" s="13">
        <v>0.21041666666666667</v>
      </c>
      <c r="E4" s="41">
        <f>Effort!F2</f>
        <v>2988.7370477849299</v>
      </c>
      <c r="F4" s="42">
        <f>Harvest!F2</f>
        <v>44532.182011995457</v>
      </c>
      <c r="G4" s="43">
        <f>+CPUE!F2</f>
        <v>14.9</v>
      </c>
      <c r="H4" s="41">
        <f>Effort!H2</f>
        <v>2761.0167537755901</v>
      </c>
      <c r="I4" s="42">
        <f>Harvest!H2</f>
        <v>41038.749022028198</v>
      </c>
      <c r="J4" s="43">
        <f>CPUE!H2</f>
        <v>14.863636363636402</v>
      </c>
      <c r="K4" s="41" t="str">
        <f>Effort!J2</f>
        <v>CLOSED</v>
      </c>
      <c r="L4" s="42" t="str">
        <f>Harvest!J2</f>
        <v>CLOSED</v>
      </c>
      <c r="M4" s="43" t="str">
        <f>CPUE!J2</f>
        <v>CLOSED</v>
      </c>
      <c r="N4" s="41" t="str">
        <f>Effort!L2</f>
        <v>CLOSED</v>
      </c>
      <c r="O4" s="42" t="str">
        <f>Harvest!L2</f>
        <v>CLOSED</v>
      </c>
      <c r="P4" s="43" t="str">
        <f>CPUE!L2</f>
        <v>CLOSED</v>
      </c>
      <c r="Q4" s="41" t="s">
        <v>10</v>
      </c>
      <c r="R4" s="42" t="s">
        <v>10</v>
      </c>
      <c r="S4" s="44" t="s">
        <v>10</v>
      </c>
      <c r="T4" s="41">
        <f>SUM(E4,H4,N4)</f>
        <v>5749.7538015605205</v>
      </c>
      <c r="U4" s="42">
        <f>SUM(F4,I4,O4)</f>
        <v>85570.931034023655</v>
      </c>
      <c r="V4" s="42"/>
    </row>
    <row r="5" spans="1:24" x14ac:dyDescent="0.25">
      <c r="A5" s="39">
        <v>44827</v>
      </c>
      <c r="B5" s="40" t="s">
        <v>18</v>
      </c>
      <c r="C5" s="8">
        <v>0.1</v>
      </c>
      <c r="D5" s="13">
        <v>0.23680555555555557</v>
      </c>
      <c r="E5" s="41">
        <f>Effort!F3</f>
        <v>4253.9595372949343</v>
      </c>
      <c r="F5" s="42">
        <f>Harvest!F3</f>
        <v>63383.997105694521</v>
      </c>
      <c r="G5" s="43">
        <f>+CPUE!F3</f>
        <v>14.9</v>
      </c>
      <c r="H5" s="41">
        <f>Effort!H3</f>
        <v>3929.8383780733202</v>
      </c>
      <c r="I5" s="42">
        <f>Harvest!H3</f>
        <v>58456.345873840597</v>
      </c>
      <c r="J5" s="43">
        <f>CPUE!H3</f>
        <v>14.874999999999989</v>
      </c>
      <c r="K5" s="41">
        <f>Effort!J3</f>
        <v>4894.3942502325799</v>
      </c>
      <c r="L5" s="42">
        <f>Harvest!J3</f>
        <v>72769.484324212695</v>
      </c>
      <c r="M5" s="43">
        <f>CPUE!J3</f>
        <v>14.867924528301886</v>
      </c>
      <c r="N5" s="41" t="str">
        <f>Effort!L3</f>
        <v>CLOSED</v>
      </c>
      <c r="O5" s="42" t="str">
        <f>Harvest!L3</f>
        <v>CLOSED</v>
      </c>
      <c r="P5" s="43" t="str">
        <f>CPUE!L3</f>
        <v>CLOSED</v>
      </c>
      <c r="Q5" s="41" t="s">
        <v>10</v>
      </c>
      <c r="R5" s="42" t="s">
        <v>10</v>
      </c>
      <c r="S5" s="44" t="s">
        <v>10</v>
      </c>
      <c r="T5" s="41">
        <f>SUM(E5,H5,K5)</f>
        <v>13078.192165600834</v>
      </c>
      <c r="U5" s="42">
        <f>SUM(F5,I5,L5)</f>
        <v>194609.82730374782</v>
      </c>
      <c r="V5" s="42"/>
    </row>
    <row r="6" spans="1:24" x14ac:dyDescent="0.25">
      <c r="A6" s="39">
        <v>44828</v>
      </c>
      <c r="B6" s="40" t="s">
        <v>19</v>
      </c>
      <c r="C6" s="8">
        <v>0</v>
      </c>
      <c r="D6" s="13">
        <v>0.26041666666666669</v>
      </c>
      <c r="E6" s="41">
        <f>Effort!F4</f>
        <v>2134.3396560233491</v>
      </c>
      <c r="F6" s="42">
        <f>Harvest!F4</f>
        <v>30947.925012338561</v>
      </c>
      <c r="G6" s="43">
        <f>+CPUE!F4</f>
        <v>14.5</v>
      </c>
      <c r="H6" s="41">
        <f>Effort!H4</f>
        <v>1971.71830586287</v>
      </c>
      <c r="I6" s="42">
        <f>Harvest!H4</f>
        <v>28720.123247662999</v>
      </c>
      <c r="J6" s="43">
        <f>CPUE!H4</f>
        <v>14.566037735849088</v>
      </c>
      <c r="K6" s="41" t="str">
        <f>Effort!J4</f>
        <v>CLOSED</v>
      </c>
      <c r="L6" s="42" t="str">
        <f>Harvest!J4</f>
        <v>CLOSED</v>
      </c>
      <c r="M6" s="43" t="str">
        <f>CPUE!J4</f>
        <v>CLOSED</v>
      </c>
      <c r="N6" s="41" t="str">
        <f>Effort!L4</f>
        <v>CLOSED</v>
      </c>
      <c r="O6" s="42" t="str">
        <f>Harvest!L4</f>
        <v>CLOSED</v>
      </c>
      <c r="P6" s="43" t="str">
        <f>CPUE!L4</f>
        <v>CLOSED</v>
      </c>
      <c r="Q6" s="41" t="s">
        <v>10</v>
      </c>
      <c r="R6" s="42" t="s">
        <v>10</v>
      </c>
      <c r="S6" s="44" t="s">
        <v>10</v>
      </c>
      <c r="T6" s="41">
        <f>SUM(E6,H6,N6)</f>
        <v>4106.0579618862193</v>
      </c>
      <c r="U6" s="42">
        <f>SUM(F6,I6,O6)</f>
        <v>59668.04826000156</v>
      </c>
      <c r="V6" s="42"/>
    </row>
    <row r="7" spans="1:24" x14ac:dyDescent="0.25">
      <c r="A7" s="39">
        <v>44829</v>
      </c>
      <c r="B7" s="40" t="s">
        <v>20</v>
      </c>
      <c r="C7" s="8">
        <v>0.1</v>
      </c>
      <c r="D7" s="13">
        <v>0.28333333333333333</v>
      </c>
      <c r="E7" s="41">
        <f>Effort!F5</f>
        <v>187.6335443982187</v>
      </c>
      <c r="F7" s="42">
        <f>Harvest!F5</f>
        <v>394.03044323625932</v>
      </c>
      <c r="G7" s="43">
        <f>+CPUE!F5</f>
        <v>2.1</v>
      </c>
      <c r="H7" s="41">
        <f>Effort!H5</f>
        <v>454.5980131977438</v>
      </c>
      <c r="I7" s="42">
        <f>Harvest!H5</f>
        <v>2272.9900659887189</v>
      </c>
      <c r="J7" s="43">
        <f>CPUE!H5</f>
        <v>5</v>
      </c>
      <c r="K7" s="41">
        <f>Effort!J5</f>
        <v>566.17643981914398</v>
      </c>
      <c r="L7" s="42">
        <f>Harvest!J5</f>
        <v>4367.6468214619699</v>
      </c>
      <c r="M7" s="43">
        <f>CPUE!J5</f>
        <v>7.714285714285718</v>
      </c>
      <c r="N7" s="41" t="str">
        <f>Effort!L5</f>
        <v>CLOSED</v>
      </c>
      <c r="O7" s="42" t="str">
        <f>Harvest!L5</f>
        <v>CLOSED</v>
      </c>
      <c r="P7" s="43" t="str">
        <f>CPUE!L5</f>
        <v>CLOSED</v>
      </c>
      <c r="Q7" s="41" t="s">
        <v>10</v>
      </c>
      <c r="R7" s="42" t="s">
        <v>10</v>
      </c>
      <c r="S7" s="44" t="s">
        <v>10</v>
      </c>
      <c r="T7" s="41">
        <f>SUM(E7,H7,K7)</f>
        <v>1208.4079974151064</v>
      </c>
      <c r="U7" s="42">
        <f>SUM(F7,I7,L7)</f>
        <v>7034.6673306869479</v>
      </c>
      <c r="V7" s="42"/>
    </row>
    <row r="8" spans="1:24" x14ac:dyDescent="0.25">
      <c r="A8" s="129" t="s">
        <v>50</v>
      </c>
      <c r="B8" s="129"/>
      <c r="C8" s="129"/>
      <c r="D8" s="130"/>
      <c r="E8" s="47">
        <f>SUM(E4:E7)</f>
        <v>9564.6697855014318</v>
      </c>
      <c r="F8" s="48">
        <f>SUM(F4:F7)</f>
        <v>139258.1345732648</v>
      </c>
      <c r="G8" s="49">
        <f>+F8/E8</f>
        <v>14.559638513015758</v>
      </c>
      <c r="H8" s="47">
        <f>SUM(H4:H7)</f>
        <v>9117.1714509095236</v>
      </c>
      <c r="I8" s="48">
        <f>SUM(I4:I7)</f>
        <v>130488.20820952051</v>
      </c>
      <c r="J8" s="49">
        <f>+I8/H8</f>
        <v>14.312356514530951</v>
      </c>
      <c r="K8" s="47">
        <f>SUM(K4:K7)</f>
        <v>5460.5706900517234</v>
      </c>
      <c r="L8" s="48">
        <f>SUM(L4:L7)</f>
        <v>77137.131145674663</v>
      </c>
      <c r="M8" s="49">
        <f>+L8/K8</f>
        <v>14.126203198175977</v>
      </c>
      <c r="N8" s="47">
        <f>SUM(N4:N7)</f>
        <v>0</v>
      </c>
      <c r="O8" s="48">
        <v>0</v>
      </c>
      <c r="P8" s="49">
        <v>0</v>
      </c>
      <c r="Q8" s="47"/>
      <c r="R8" s="48"/>
      <c r="S8" s="49"/>
      <c r="T8" s="47">
        <f>SUM(T4:T7)</f>
        <v>24142.411926462682</v>
      </c>
      <c r="U8" s="48">
        <f>SUM(U4:U7)</f>
        <v>346883.47392845998</v>
      </c>
      <c r="V8" s="63"/>
      <c r="W8" s="20">
        <f>SUM(H8,K8,N8,Q8,E8)</f>
        <v>24142.411926462679</v>
      </c>
      <c r="X8" s="20">
        <f>SUM(R8,O8,L8,I8,F8)</f>
        <v>346883.47392845998</v>
      </c>
    </row>
    <row r="9" spans="1:24" x14ac:dyDescent="0.25">
      <c r="A9" s="39">
        <v>45213</v>
      </c>
      <c r="B9" s="40" t="s">
        <v>19</v>
      </c>
      <c r="C9" s="8">
        <v>0.2</v>
      </c>
      <c r="D9" s="13">
        <v>0.80347222222222225</v>
      </c>
      <c r="E9" s="106">
        <f>Effort!F7</f>
        <v>2046.3485917937671</v>
      </c>
      <c r="F9" s="107">
        <f>Harvest!F7</f>
        <v>13563.489711467719</v>
      </c>
      <c r="G9" s="108">
        <f>+CPUE!F7</f>
        <v>6.628142324264692</v>
      </c>
      <c r="H9" s="106">
        <f>Effort!H7</f>
        <v>2003.96372652524</v>
      </c>
      <c r="I9" s="107">
        <f>Harvest!H7</f>
        <v>21041.61912851502</v>
      </c>
      <c r="J9" s="108">
        <f>CPUE!H7</f>
        <v>10.5</v>
      </c>
      <c r="K9" s="106" t="str">
        <f>Effort!J7</f>
        <v>CLOSED</v>
      </c>
      <c r="L9" s="107" t="str">
        <f>Harvest!J7</f>
        <v>CLOSED</v>
      </c>
      <c r="M9" s="108" t="str">
        <f>CPUE!J7</f>
        <v>CLOSED</v>
      </c>
      <c r="N9" s="106">
        <f>Effort!L7</f>
        <v>1765.40393744314</v>
      </c>
      <c r="O9" s="107">
        <f>Harvest!L7</f>
        <v>22050.241336299601</v>
      </c>
      <c r="P9" s="108">
        <f>CPUE!L7</f>
        <v>12.490196078431367</v>
      </c>
      <c r="Q9" s="41" t="s">
        <v>10</v>
      </c>
      <c r="R9" s="42" t="s">
        <v>10</v>
      </c>
      <c r="S9" s="44" t="s">
        <v>10</v>
      </c>
      <c r="T9" s="41">
        <f>SUM(E9,H9,N9)</f>
        <v>5815.7162557621468</v>
      </c>
      <c r="U9" s="42">
        <f>SUM(F9,I9,O9)</f>
        <v>56655.350176282343</v>
      </c>
      <c r="V9" s="42"/>
    </row>
    <row r="10" spans="1:24" x14ac:dyDescent="0.25">
      <c r="A10" s="39">
        <v>45214</v>
      </c>
      <c r="B10" s="40" t="s">
        <v>20</v>
      </c>
      <c r="C10" s="8">
        <v>-0.1</v>
      </c>
      <c r="D10" s="13">
        <v>0.82777777777777783</v>
      </c>
      <c r="E10" s="106">
        <f>Effort!F8</f>
        <v>1317.8028498004965</v>
      </c>
      <c r="F10" s="107">
        <f>Harvest!F8</f>
        <v>6589.0142490024828</v>
      </c>
      <c r="G10" s="108">
        <f>+CPUE!F8</f>
        <v>5</v>
      </c>
      <c r="H10" s="106">
        <f>Effort!H8</f>
        <v>858.22633169735798</v>
      </c>
      <c r="I10" s="107">
        <f>Harvest!H8</f>
        <v>3269.4336445613599</v>
      </c>
      <c r="J10" s="108">
        <f>CPUE!H8</f>
        <v>3.8095238095238049</v>
      </c>
      <c r="K10" s="106">
        <f>Effort!J8</f>
        <v>1476.99083050996</v>
      </c>
      <c r="L10" s="107">
        <f>Harvest!J8</f>
        <v>13056.598941708</v>
      </c>
      <c r="M10" s="108">
        <f>CPUE!J8</f>
        <v>8.8399999999999679</v>
      </c>
      <c r="N10" s="106" t="str">
        <f>Effort!L8</f>
        <v>CLOSED</v>
      </c>
      <c r="O10" s="107" t="str">
        <f>Harvest!L8</f>
        <v>CLOSED</v>
      </c>
      <c r="P10" s="108" t="str">
        <f>CPUE!L8</f>
        <v>CLOSED</v>
      </c>
      <c r="Q10" s="41" t="s">
        <v>10</v>
      </c>
      <c r="R10" s="42" t="s">
        <v>10</v>
      </c>
      <c r="S10" s="44" t="s">
        <v>10</v>
      </c>
      <c r="T10" s="41">
        <f>SUM(E10,H10,K10)</f>
        <v>3653.0200120078143</v>
      </c>
      <c r="U10" s="42">
        <f>SUM(F10,I10,L10)</f>
        <v>22915.046835271845</v>
      </c>
      <c r="V10" s="42"/>
    </row>
    <row r="11" spans="1:24" x14ac:dyDescent="0.25">
      <c r="A11" s="39">
        <v>45215</v>
      </c>
      <c r="B11" s="40" t="s">
        <v>21</v>
      </c>
      <c r="C11" s="8">
        <v>-0.3</v>
      </c>
      <c r="D11" s="13">
        <v>0.85277777777777775</v>
      </c>
      <c r="E11" s="106">
        <f>Effort!F9</f>
        <v>330.12069156235435</v>
      </c>
      <c r="F11" s="107">
        <f>Harvest!F9</f>
        <v>4291.5689903106068</v>
      </c>
      <c r="G11" s="108">
        <f>+CPUE!F9</f>
        <v>13</v>
      </c>
      <c r="H11" s="106">
        <f>Effort!H9</f>
        <v>323.28308770036602</v>
      </c>
      <c r="I11" s="107">
        <f>Harvest!H9</f>
        <v>4238.6004831825703</v>
      </c>
      <c r="J11" s="108">
        <f>CPUE!H9</f>
        <v>13.111111111111091</v>
      </c>
      <c r="K11" s="106" t="str">
        <f>Effort!J9</f>
        <v>CLOSED</v>
      </c>
      <c r="L11" s="107" t="str">
        <f>Harvest!J9</f>
        <v>CLOSED</v>
      </c>
      <c r="M11" s="108" t="str">
        <f>CPUE!J9</f>
        <v>CLOSED</v>
      </c>
      <c r="N11" s="106">
        <f>Effort!L9</f>
        <v>284.798186903616</v>
      </c>
      <c r="O11" s="107">
        <f>Harvest!L9</f>
        <v>3987.17461665063</v>
      </c>
      <c r="P11" s="108">
        <f>CPUE!L9</f>
        <v>14.000000000000021</v>
      </c>
      <c r="Q11" s="41" t="s">
        <v>10</v>
      </c>
      <c r="R11" s="42" t="s">
        <v>10</v>
      </c>
      <c r="S11" s="44" t="s">
        <v>10</v>
      </c>
      <c r="T11" s="41">
        <f>SUM(E11,H11,N11)</f>
        <v>938.20196616633643</v>
      </c>
      <c r="U11" s="42">
        <f>SUM(F11,I11,O11)</f>
        <v>12517.344090143808</v>
      </c>
      <c r="V11" s="42"/>
    </row>
    <row r="12" spans="1:24" x14ac:dyDescent="0.25">
      <c r="A12" s="39">
        <v>45216</v>
      </c>
      <c r="B12" s="40" t="s">
        <v>66</v>
      </c>
      <c r="C12" s="8">
        <v>-0.4</v>
      </c>
      <c r="D12" s="13">
        <v>0.87916666666666676</v>
      </c>
      <c r="E12" s="106">
        <f>Effort!F10</f>
        <v>351.83275789788343</v>
      </c>
      <c r="F12" s="107">
        <f>Harvest!F10</f>
        <v>4433.092749513331</v>
      </c>
      <c r="G12" s="108">
        <f>+CPUE!F10</f>
        <v>12.6</v>
      </c>
      <c r="H12" s="106">
        <f>Effort!H10</f>
        <v>229.13301274722392</v>
      </c>
      <c r="I12" s="107">
        <f>Harvest!H10</f>
        <v>2978.7291657139108</v>
      </c>
      <c r="J12" s="108">
        <f>CPUE!H10</f>
        <v>13</v>
      </c>
      <c r="K12" s="106">
        <f>Effort!J10</f>
        <v>394.33345994575399</v>
      </c>
      <c r="L12" s="107">
        <f>Harvest!J10</f>
        <v>5366.3640418704799</v>
      </c>
      <c r="M12" s="108">
        <f>CPUE!J10</f>
        <v>13.608695652173918</v>
      </c>
      <c r="N12" s="106" t="str">
        <f>Effort!L10</f>
        <v>CLOSED</v>
      </c>
      <c r="O12" s="107" t="str">
        <f>Harvest!L10</f>
        <v>CLOSED</v>
      </c>
      <c r="P12" s="108" t="str">
        <f>CPUE!L10</f>
        <v>CLOSED</v>
      </c>
      <c r="Q12" s="41" t="s">
        <v>10</v>
      </c>
      <c r="R12" s="42" t="s">
        <v>10</v>
      </c>
      <c r="S12" s="44" t="s">
        <v>10</v>
      </c>
      <c r="T12" s="41">
        <f>SUM(E12,H12,K12)</f>
        <v>975.29923059086127</v>
      </c>
      <c r="U12" s="42">
        <f>SUM(F12,I12,L12)</f>
        <v>12778.185957097721</v>
      </c>
      <c r="V12" s="42"/>
    </row>
    <row r="13" spans="1:24" x14ac:dyDescent="0.25">
      <c r="A13" s="39">
        <v>45217</v>
      </c>
      <c r="B13" s="40" t="s">
        <v>67</v>
      </c>
      <c r="C13" s="8">
        <v>-0.3</v>
      </c>
      <c r="D13" s="13">
        <v>0.90902777777777777</v>
      </c>
      <c r="E13" s="106" t="str">
        <f>Effort!F11</f>
        <v>CLOSED</v>
      </c>
      <c r="F13" s="107" t="str">
        <f>Harvest!F11</f>
        <v>CLOSED</v>
      </c>
      <c r="G13" s="108" t="str">
        <f>+CPUE!F11</f>
        <v>CLOSED</v>
      </c>
      <c r="H13" s="106" t="str">
        <f>Effort!H11</f>
        <v>CLOSED</v>
      </c>
      <c r="I13" s="107" t="str">
        <f>Harvest!H11</f>
        <v>CLOSED</v>
      </c>
      <c r="J13" s="108" t="str">
        <f>CPUE!H11</f>
        <v>CLOSED</v>
      </c>
      <c r="K13" s="106" t="str">
        <f>Effort!J11</f>
        <v>CLOSED</v>
      </c>
      <c r="L13" s="107" t="str">
        <f>Harvest!J11</f>
        <v>CLOSED</v>
      </c>
      <c r="M13" s="108" t="str">
        <f>CPUE!J11</f>
        <v>CLOSED</v>
      </c>
      <c r="N13" s="106">
        <f>Effort!L11</f>
        <v>407.60234680324498</v>
      </c>
      <c r="O13" s="107">
        <f>Harvest!L11</f>
        <v>3764.3275557711499</v>
      </c>
      <c r="P13" s="108">
        <f>CPUE!L11</f>
        <v>9.2352941176470722</v>
      </c>
      <c r="Q13" s="41" t="s">
        <v>10</v>
      </c>
      <c r="R13" s="42" t="s">
        <v>10</v>
      </c>
      <c r="S13" s="44" t="s">
        <v>10</v>
      </c>
      <c r="T13" s="41">
        <f>SUM(E13,H13,N13)</f>
        <v>407.60234680324498</v>
      </c>
      <c r="U13" s="42">
        <f>SUM(F13,I13,O13)</f>
        <v>3764.3275557711499</v>
      </c>
      <c r="V13" s="42"/>
    </row>
    <row r="14" spans="1:24" x14ac:dyDescent="0.25">
      <c r="A14" s="129" t="s">
        <v>50</v>
      </c>
      <c r="B14" s="129"/>
      <c r="C14" s="129"/>
      <c r="D14" s="130"/>
      <c r="E14" s="47">
        <f>SUM(E9:E13)</f>
        <v>4046.1048910545014</v>
      </c>
      <c r="F14" s="48">
        <f>SUM(F9:F13)</f>
        <v>28877.165700294143</v>
      </c>
      <c r="G14" s="49">
        <f>+F14/E14</f>
        <v>7.1370284453421906</v>
      </c>
      <c r="H14" s="47">
        <f>SUM(H9:H13)</f>
        <v>3414.6061586701881</v>
      </c>
      <c r="I14" s="48">
        <f>SUM(I9:I13)</f>
        <v>31528.382421972859</v>
      </c>
      <c r="J14" s="49">
        <f>+I14/H14</f>
        <v>9.2333876754476218</v>
      </c>
      <c r="K14" s="47">
        <f>SUM(K9:K13)</f>
        <v>1871.3242904557139</v>
      </c>
      <c r="L14" s="48">
        <f>SUM(L9:L13)</f>
        <v>18422.96298357848</v>
      </c>
      <c r="M14" s="49">
        <f>+L14/K14</f>
        <v>9.8448799481419815</v>
      </c>
      <c r="N14" s="47">
        <f>SUM(N9:N13)</f>
        <v>2457.8044711500011</v>
      </c>
      <c r="O14" s="48">
        <f>SUM(O9:O13)</f>
        <v>29801.743508721382</v>
      </c>
      <c r="P14" s="49">
        <f>+O14/N14</f>
        <v>12.125351653696526</v>
      </c>
      <c r="Q14" s="47"/>
      <c r="R14" s="48"/>
      <c r="S14" s="49"/>
      <c r="T14" s="47">
        <f>SUM(T9:T13)</f>
        <v>11789.839811330403</v>
      </c>
      <c r="U14" s="48">
        <f>SUM(U9:U13)</f>
        <v>108630.25461456686</v>
      </c>
      <c r="V14" s="63"/>
      <c r="W14" s="20">
        <f>SUM(H14,K14,N14,Q14,E14)</f>
        <v>11789.839811330405</v>
      </c>
      <c r="X14" s="20">
        <f>SUM(R14,O14,L14,I14,F14)</f>
        <v>108630.25461456686</v>
      </c>
    </row>
    <row r="15" spans="1:24" s="114" customFormat="1" x14ac:dyDescent="0.25">
      <c r="A15" s="109">
        <v>45226</v>
      </c>
      <c r="B15" s="110" t="s">
        <v>18</v>
      </c>
      <c r="C15" s="111">
        <v>-0.4</v>
      </c>
      <c r="D15" s="112">
        <v>0.76250000000000007</v>
      </c>
      <c r="E15" s="106">
        <f>Effort!F13</f>
        <v>2370.3999880464953</v>
      </c>
      <c r="F15" s="107">
        <f>Harvest!F13</f>
        <v>34747.418269698901</v>
      </c>
      <c r="G15" s="108">
        <f>+CPUE!F13</f>
        <v>14.658883920403282</v>
      </c>
      <c r="H15" s="106">
        <f>Effort!H13</f>
        <v>2389.6520864055901</v>
      </c>
      <c r="I15" s="107">
        <f>Harvest!H13</f>
        <v>35127.88567016217</v>
      </c>
      <c r="J15" s="108">
        <f>CPUE!H13</f>
        <v>14.7</v>
      </c>
      <c r="K15" s="106" t="str">
        <f>Effort!J13</f>
        <v>CLOSED</v>
      </c>
      <c r="L15" s="107" t="str">
        <f>Harvest!J13</f>
        <v>CLOSED</v>
      </c>
      <c r="M15" s="108" t="str">
        <f>CPUE!J13</f>
        <v>CLOSED</v>
      </c>
      <c r="N15" s="106">
        <f>Effort!L13</f>
        <v>1854.54330265823</v>
      </c>
      <c r="O15" s="107">
        <f>Harvest!L13</f>
        <v>27143.770157088598</v>
      </c>
      <c r="P15" s="108">
        <f>CPUE!L13</f>
        <v>14.636363636363614</v>
      </c>
      <c r="Q15" s="106" t="s">
        <v>10</v>
      </c>
      <c r="R15" s="107" t="s">
        <v>10</v>
      </c>
      <c r="S15" s="113" t="s">
        <v>10</v>
      </c>
      <c r="T15" s="106">
        <f>SUM(E15,H15,N15)</f>
        <v>6614.5953771103159</v>
      </c>
      <c r="U15" s="107">
        <f>SUM(F15,I15,O15)</f>
        <v>97019.074096949669</v>
      </c>
      <c r="V15" s="107"/>
    </row>
    <row r="16" spans="1:24" s="114" customFormat="1" x14ac:dyDescent="0.25">
      <c r="A16" s="109">
        <v>45227</v>
      </c>
      <c r="B16" s="110" t="s">
        <v>19</v>
      </c>
      <c r="C16" s="111">
        <v>-1</v>
      </c>
      <c r="D16" s="112">
        <v>0.79375000000000007</v>
      </c>
      <c r="E16" s="106">
        <f>Effort!F14</f>
        <v>4305.8988351462121</v>
      </c>
      <c r="F16" s="107">
        <f>Harvest!F14</f>
        <v>64588.482527193184</v>
      </c>
      <c r="G16" s="108">
        <f>+CPUE!F14</f>
        <v>15</v>
      </c>
      <c r="H16" s="106">
        <f>Effort!H14</f>
        <v>4132.6285894096272</v>
      </c>
      <c r="I16" s="107">
        <f>Harvest!H14</f>
        <v>61989.428841144407</v>
      </c>
      <c r="J16" s="108">
        <f>CPUE!H14</f>
        <v>15</v>
      </c>
      <c r="K16" s="106">
        <f>Effort!J14</f>
        <v>5902.8030789941804</v>
      </c>
      <c r="L16" s="107">
        <f>Harvest!J14</f>
        <v>88542.046184912702</v>
      </c>
      <c r="M16" s="108">
        <f>CPUE!J14</f>
        <v>15</v>
      </c>
      <c r="N16" s="106" t="str">
        <f>Effort!L14</f>
        <v>CLOSED</v>
      </c>
      <c r="O16" s="107" t="str">
        <f>Harvest!L14</f>
        <v>CLOSED</v>
      </c>
      <c r="P16" s="108" t="str">
        <f>CPUE!L14</f>
        <v>CLOSED</v>
      </c>
      <c r="Q16" s="106" t="s">
        <v>10</v>
      </c>
      <c r="R16" s="107" t="s">
        <v>10</v>
      </c>
      <c r="S16" s="113" t="s">
        <v>10</v>
      </c>
      <c r="T16" s="106">
        <f>SUM(E16,H16,K16)</f>
        <v>14341.33050355002</v>
      </c>
      <c r="U16" s="107">
        <f>SUM(F16,I16,L16)</f>
        <v>215119.95755325031</v>
      </c>
      <c r="V16" s="107"/>
    </row>
    <row r="17" spans="1:24" s="114" customFormat="1" x14ac:dyDescent="0.25">
      <c r="A17" s="109">
        <v>45228</v>
      </c>
      <c r="B17" s="110" t="s">
        <v>20</v>
      </c>
      <c r="C17" s="111">
        <v>-1.3</v>
      </c>
      <c r="D17" s="112">
        <v>0.82361111111111107</v>
      </c>
      <c r="E17" s="106">
        <f>Effort!F15</f>
        <v>1984.5658957728083</v>
      </c>
      <c r="F17" s="107">
        <f>Harvest!F15</f>
        <v>28776.20548870572</v>
      </c>
      <c r="G17" s="108">
        <f>+CPUE!F15</f>
        <v>14.5</v>
      </c>
      <c r="H17" s="106">
        <f>Effort!H15</f>
        <v>2000.6842968942201</v>
      </c>
      <c r="I17" s="107">
        <f>Harvest!H15</f>
        <v>29622.071977896601</v>
      </c>
      <c r="J17" s="108">
        <f>CPUE!H15</f>
        <v>14.805970149253776</v>
      </c>
      <c r="K17" s="106" t="str">
        <f>Effort!J15</f>
        <v>CLOSED</v>
      </c>
      <c r="L17" s="107" t="str">
        <f>Harvest!J15</f>
        <v>CLOSED</v>
      </c>
      <c r="M17" s="108" t="str">
        <f>CPUE!J15</f>
        <v>CLOSED</v>
      </c>
      <c r="N17" s="106">
        <f>Effort!L15</f>
        <v>1552.6760923259001</v>
      </c>
      <c r="O17" s="107">
        <f>Harvest!L15</f>
        <v>22419.127967242301</v>
      </c>
      <c r="P17" s="108">
        <f>CPUE!L15</f>
        <v>14.439024390243926</v>
      </c>
      <c r="Q17" s="106" t="s">
        <v>10</v>
      </c>
      <c r="R17" s="107" t="s">
        <v>10</v>
      </c>
      <c r="S17" s="113" t="s">
        <v>10</v>
      </c>
      <c r="T17" s="106">
        <f>SUM(E17,H17,N17)</f>
        <v>5537.9262849929282</v>
      </c>
      <c r="U17" s="107">
        <f>SUM(F17,I17,O17)</f>
        <v>80817.405433844615</v>
      </c>
      <c r="V17" s="107"/>
    </row>
    <row r="18" spans="1:24" s="114" customFormat="1" x14ac:dyDescent="0.25">
      <c r="A18" s="109">
        <v>45229</v>
      </c>
      <c r="B18" s="110" t="s">
        <v>21</v>
      </c>
      <c r="C18" s="111">
        <v>-1.3</v>
      </c>
      <c r="D18" s="112">
        <v>0.8534722222222223</v>
      </c>
      <c r="E18" s="106">
        <f>Effort!F16</f>
        <v>801.51878974833176</v>
      </c>
      <c r="F18" s="107">
        <f>Harvest!F16</f>
        <v>11622.022451350811</v>
      </c>
      <c r="G18" s="108">
        <f>+CPUE!F16</f>
        <v>14.5</v>
      </c>
      <c r="H18" s="106">
        <f>Effort!H16</f>
        <v>769.26551047279395</v>
      </c>
      <c r="I18" s="107">
        <f>Harvest!H16</f>
        <v>11137.6267385844</v>
      </c>
      <c r="J18" s="108">
        <f>CPUE!H16</f>
        <v>14.478260869565263</v>
      </c>
      <c r="K18" s="106">
        <f>Effort!J16</f>
        <v>1098.7735107430799</v>
      </c>
      <c r="L18" s="107">
        <f>Harvest!J16</f>
        <v>16481.6026611462</v>
      </c>
      <c r="M18" s="108">
        <f>CPUE!J16</f>
        <v>15.000000000000002</v>
      </c>
      <c r="N18" s="106" t="str">
        <f>Effort!L16</f>
        <v>CLOSED</v>
      </c>
      <c r="O18" s="107" t="str">
        <f>Harvest!L16</f>
        <v>CLOSED</v>
      </c>
      <c r="P18" s="108" t="str">
        <f>CPUE!L16</f>
        <v>CLOSED</v>
      </c>
      <c r="Q18" s="106" t="s">
        <v>10</v>
      </c>
      <c r="R18" s="107" t="s">
        <v>10</v>
      </c>
      <c r="S18" s="113" t="s">
        <v>10</v>
      </c>
      <c r="T18" s="106">
        <f>SUM(E18,H18,K18)</f>
        <v>2669.5578109642056</v>
      </c>
      <c r="U18" s="107">
        <f>SUM(F18,I18,L18)</f>
        <v>39241.251851081412</v>
      </c>
      <c r="V18" s="107"/>
    </row>
    <row r="19" spans="1:24" s="114" customFormat="1" x14ac:dyDescent="0.25">
      <c r="A19" s="109">
        <v>45230</v>
      </c>
      <c r="B19" s="110" t="s">
        <v>66</v>
      </c>
      <c r="C19" s="111">
        <v>-1</v>
      </c>
      <c r="D19" s="112">
        <v>0.8833333333333333</v>
      </c>
      <c r="E19" s="106" t="str">
        <f>Effort!F17</f>
        <v>CLOSED</v>
      </c>
      <c r="F19" s="107" t="str">
        <f>Harvest!F17</f>
        <v>CLOSED</v>
      </c>
      <c r="G19" s="108" t="str">
        <f>+CPUE!F17</f>
        <v>CLOSED</v>
      </c>
      <c r="H19" s="106" t="str">
        <f>Effort!H17</f>
        <v>CLOSED</v>
      </c>
      <c r="I19" s="107" t="str">
        <f>Harvest!H17</f>
        <v>CLOSED</v>
      </c>
      <c r="J19" s="108" t="str">
        <f>CPUE!H17</f>
        <v>CLOSED</v>
      </c>
      <c r="K19" s="106" t="str">
        <f>Effort!J17</f>
        <v>CLOSED</v>
      </c>
      <c r="L19" s="107" t="str">
        <f>Harvest!J17</f>
        <v>CLOSED</v>
      </c>
      <c r="M19" s="108" t="str">
        <f>CPUE!J17</f>
        <v>CLOSED</v>
      </c>
      <c r="N19" s="106">
        <f>Effort!L17</f>
        <v>239.97715213868901</v>
      </c>
      <c r="O19" s="107">
        <f>Harvest!L17</f>
        <v>3479.6687060109898</v>
      </c>
      <c r="P19" s="108">
        <f>CPUE!L17</f>
        <v>14.499999999999996</v>
      </c>
      <c r="Q19" s="106" t="s">
        <v>10</v>
      </c>
      <c r="R19" s="107" t="s">
        <v>10</v>
      </c>
      <c r="S19" s="113" t="s">
        <v>10</v>
      </c>
      <c r="T19" s="106">
        <f>SUM(E19,H19,N19)</f>
        <v>239.97715213868901</v>
      </c>
      <c r="U19" s="107">
        <f>SUM(F19,I19,O19)</f>
        <v>3479.6687060109898</v>
      </c>
      <c r="V19" s="107"/>
    </row>
    <row r="20" spans="1:24" s="114" customFormat="1" x14ac:dyDescent="0.25">
      <c r="A20" s="125" t="s">
        <v>50</v>
      </c>
      <c r="B20" s="125"/>
      <c r="C20" s="125"/>
      <c r="D20" s="126"/>
      <c r="E20" s="115">
        <f>SUM(E15:E19)</f>
        <v>9462.3835087138486</v>
      </c>
      <c r="F20" s="116">
        <f>SUM(F15:F19)</f>
        <v>139734.12873694862</v>
      </c>
      <c r="G20" s="117">
        <f>+F20/E20</f>
        <v>14.767328824525908</v>
      </c>
      <c r="H20" s="115">
        <f>SUM(H15:H19)</f>
        <v>9292.2304831822312</v>
      </c>
      <c r="I20" s="116">
        <f>SUM(I15:I19)</f>
        <v>137877.0132277876</v>
      </c>
      <c r="J20" s="117">
        <f>+I20/H20</f>
        <v>14.837881332940208</v>
      </c>
      <c r="K20" s="115">
        <f>SUM(K15:K19)</f>
        <v>7001.5765897372603</v>
      </c>
      <c r="L20" s="116">
        <f>SUM(L15:L19)</f>
        <v>105023.6488460589</v>
      </c>
      <c r="M20" s="117">
        <f>+L20/K20</f>
        <v>15</v>
      </c>
      <c r="N20" s="115">
        <f>SUM(N15:N19)</f>
        <v>3647.1965471228195</v>
      </c>
      <c r="O20" s="116">
        <f>SUM(O15:O19)</f>
        <v>53042.566830341886</v>
      </c>
      <c r="P20" s="117">
        <f>+O20/N20</f>
        <v>14.543380414248807</v>
      </c>
      <c r="Q20" s="115"/>
      <c r="R20" s="116"/>
      <c r="S20" s="117"/>
      <c r="T20" s="115">
        <f>SUM(T15:T19)</f>
        <v>29403.38712875616</v>
      </c>
      <c r="U20" s="116">
        <f>SUM(U15:U19)</f>
        <v>435677.35764113691</v>
      </c>
      <c r="V20" s="118"/>
      <c r="W20" s="119">
        <f>SUM(H20,K20,N20,Q20,E20)</f>
        <v>29403.387128756163</v>
      </c>
      <c r="X20" s="119">
        <f>SUM(R20,O20,L20,I20,F20)</f>
        <v>435677.35764113697</v>
      </c>
    </row>
    <row r="21" spans="1:24" s="114" customFormat="1" x14ac:dyDescent="0.25">
      <c r="A21" s="109">
        <v>45242</v>
      </c>
      <c r="B21" s="110" t="s">
        <v>20</v>
      </c>
      <c r="C21" s="111">
        <v>-0.3</v>
      </c>
      <c r="D21" s="112">
        <v>0.74513888888888891</v>
      </c>
      <c r="E21" s="106" t="str">
        <f>Effort!F19</f>
        <v>CLOSED</v>
      </c>
      <c r="F21" s="107" t="str">
        <f>Harvest!F19</f>
        <v>CLOSED</v>
      </c>
      <c r="G21" s="108" t="str">
        <f>+CPUE!F19</f>
        <v>CLOSED</v>
      </c>
      <c r="H21" s="106" t="str">
        <f>Effort!H19</f>
        <v>CLOSED</v>
      </c>
      <c r="I21" s="107" t="str">
        <f>Harvest!H19</f>
        <v>CLOSED</v>
      </c>
      <c r="J21" s="108" t="str">
        <f>CPUE!H19</f>
        <v>CLOSED</v>
      </c>
      <c r="K21" s="106" t="str">
        <f>Effort!J19</f>
        <v>CLOSED</v>
      </c>
      <c r="L21" s="107" t="str">
        <f>Harvest!J19</f>
        <v>CLOSED</v>
      </c>
      <c r="M21" s="108" t="str">
        <f>CPUE!J19</f>
        <v>CLOSED</v>
      </c>
      <c r="N21" s="106">
        <f>Effort!L19</f>
        <v>1064.35418358775</v>
      </c>
      <c r="O21" s="107">
        <f>Harvest!L19</f>
        <v>7083.4606011184596</v>
      </c>
      <c r="P21" s="108">
        <f>CPUE!L19</f>
        <v>6.6551724137930899</v>
      </c>
      <c r="Q21" s="106" t="s">
        <v>10</v>
      </c>
      <c r="R21" s="107" t="s">
        <v>10</v>
      </c>
      <c r="S21" s="113" t="s">
        <v>10</v>
      </c>
      <c r="T21" s="106">
        <f>SUM(E21,H21,N21)</f>
        <v>1064.35418358775</v>
      </c>
      <c r="U21" s="107">
        <f>SUM(F21,I21,O21)</f>
        <v>7083.4606011184596</v>
      </c>
      <c r="V21" s="107"/>
    </row>
    <row r="22" spans="1:24" s="114" customFormat="1" x14ac:dyDescent="0.25">
      <c r="A22" s="109">
        <v>45243</v>
      </c>
      <c r="B22" s="110" t="s">
        <v>21</v>
      </c>
      <c r="C22" s="111">
        <v>-0.7</v>
      </c>
      <c r="D22" s="112">
        <v>0.77083333333333337</v>
      </c>
      <c r="E22" s="106">
        <f>Effort!F20</f>
        <v>952.83861161248706</v>
      </c>
      <c r="F22" s="107">
        <f>Harvest!F20</f>
        <v>9528.3861161248715</v>
      </c>
      <c r="G22" s="108">
        <f>+CPUE!F20</f>
        <v>10</v>
      </c>
      <c r="H22" s="106">
        <f>Effort!H20</f>
        <v>857.322183999206</v>
      </c>
      <c r="I22" s="107">
        <f>Harvest!H20</f>
        <v>8573.2218399920603</v>
      </c>
      <c r="J22" s="108">
        <f>CPUE!H20</f>
        <v>10</v>
      </c>
      <c r="K22" s="106">
        <f>Effort!J20</f>
        <v>941.25877673887203</v>
      </c>
      <c r="L22" s="107">
        <f>Harvest!J20</f>
        <v>9347.6733689929406</v>
      </c>
      <c r="M22" s="108">
        <f>CPUE!J20</f>
        <v>9.9310344827586263</v>
      </c>
      <c r="N22" s="106" t="str">
        <f>Effort!L20</f>
        <v>CLOSED</v>
      </c>
      <c r="O22" s="107" t="str">
        <f>Harvest!L20</f>
        <v>CLOSED</v>
      </c>
      <c r="P22" s="108" t="str">
        <f>CPUE!L20</f>
        <v>CLOSED</v>
      </c>
      <c r="Q22" s="106" t="s">
        <v>10</v>
      </c>
      <c r="R22" s="107" t="s">
        <v>10</v>
      </c>
      <c r="S22" s="113" t="s">
        <v>10</v>
      </c>
      <c r="T22" s="106">
        <f>SUM(E22,H22,K22)</f>
        <v>2751.4195723505654</v>
      </c>
      <c r="U22" s="107">
        <f>SUM(F22,I22,L22)</f>
        <v>27449.281325109871</v>
      </c>
      <c r="V22" s="107"/>
    </row>
    <row r="23" spans="1:24" s="114" customFormat="1" x14ac:dyDescent="0.25">
      <c r="A23" s="109">
        <v>45244</v>
      </c>
      <c r="B23" s="110" t="s">
        <v>66</v>
      </c>
      <c r="C23" s="111">
        <v>-0.9</v>
      </c>
      <c r="D23" s="112">
        <v>0.79791666666666661</v>
      </c>
      <c r="E23" s="106">
        <f>Effort!F21</f>
        <v>690.09620832862959</v>
      </c>
      <c r="F23" s="107">
        <f>Harvest!F21</f>
        <v>7177.0005666177476</v>
      </c>
      <c r="G23" s="108">
        <f>+CPUE!F21</f>
        <v>10.4</v>
      </c>
      <c r="H23" s="106">
        <f>Effort!H21</f>
        <v>620.91815054875804</v>
      </c>
      <c r="I23" s="107">
        <f>Harvest!H21</f>
        <v>7304.9194182206802</v>
      </c>
      <c r="J23" s="108">
        <f>CPUE!H21</f>
        <v>11.764705882352937</v>
      </c>
      <c r="K23" s="106" t="str">
        <f>Effort!J21</f>
        <v>CLOSED</v>
      </c>
      <c r="L23" s="107" t="str">
        <f>Harvest!J21</f>
        <v>CLOSED</v>
      </c>
      <c r="M23" s="108" t="str">
        <f>CPUE!J21</f>
        <v>CLOSED</v>
      </c>
      <c r="N23" s="106">
        <f>Effort!L21</f>
        <v>550.00002497718594</v>
      </c>
      <c r="O23" s="107">
        <f>Harvest!L21</f>
        <v>8066.6670329987201</v>
      </c>
      <c r="P23" s="108">
        <f>CPUE!L21</f>
        <v>14.666666666666654</v>
      </c>
      <c r="Q23" s="106" t="s">
        <v>10</v>
      </c>
      <c r="R23" s="107" t="s">
        <v>10</v>
      </c>
      <c r="S23" s="113" t="s">
        <v>10</v>
      </c>
      <c r="T23" s="106">
        <f>SUM(E23,H23,N23)</f>
        <v>1861.0143838545737</v>
      </c>
      <c r="U23" s="107">
        <f>SUM(F23,I23,O23)</f>
        <v>22548.587017837148</v>
      </c>
      <c r="V23" s="107"/>
    </row>
    <row r="24" spans="1:24" s="114" customFormat="1" x14ac:dyDescent="0.25">
      <c r="A24" s="109">
        <v>45245</v>
      </c>
      <c r="B24" s="110" t="s">
        <v>67</v>
      </c>
      <c r="C24" s="111">
        <v>-0.9</v>
      </c>
      <c r="D24" s="112">
        <v>0.82708333333333339</v>
      </c>
      <c r="E24" s="106">
        <f>Effort!F22</f>
        <v>262.10548548330928</v>
      </c>
      <c r="F24" s="107">
        <f>Harvest!F22</f>
        <v>3852.9506366046462</v>
      </c>
      <c r="G24" s="108">
        <f>+CPUE!F22</f>
        <v>14.7</v>
      </c>
      <c r="H24" s="106">
        <f>Effort!H22</f>
        <v>235.83096288724965</v>
      </c>
      <c r="I24" s="107">
        <f>Harvest!H22</f>
        <v>3419.54896186512</v>
      </c>
      <c r="J24" s="108">
        <f>CPUE!H22</f>
        <v>14.5</v>
      </c>
      <c r="K24" s="106">
        <f>Effort!J22</f>
        <v>467.41024984556901</v>
      </c>
      <c r="L24" s="107">
        <f>Harvest!J22</f>
        <v>6721.8045453981804</v>
      </c>
      <c r="M24" s="108">
        <f>CPUE!J22</f>
        <v>14.380952380952376</v>
      </c>
      <c r="N24" s="106" t="str">
        <f>Effort!L22</f>
        <v>CLOSED</v>
      </c>
      <c r="O24" s="107" t="str">
        <f>Harvest!L22</f>
        <v>CLOSED</v>
      </c>
      <c r="P24" s="108" t="str">
        <f>CPUE!L22</f>
        <v>CLOSED</v>
      </c>
      <c r="Q24" s="106" t="s">
        <v>10</v>
      </c>
      <c r="R24" s="107" t="s">
        <v>10</v>
      </c>
      <c r="S24" s="113" t="s">
        <v>10</v>
      </c>
      <c r="T24" s="106">
        <f>SUM(E24,H24,K24)</f>
        <v>965.34669821612795</v>
      </c>
      <c r="U24" s="107">
        <f>SUM(F24,I24,L24)</f>
        <v>13994.304143867947</v>
      </c>
      <c r="V24" s="107"/>
    </row>
    <row r="25" spans="1:24" s="114" customFormat="1" x14ac:dyDescent="0.25">
      <c r="A25" s="109">
        <v>45246</v>
      </c>
      <c r="B25" s="110" t="s">
        <v>22</v>
      </c>
      <c r="C25" s="111">
        <v>-0.8</v>
      </c>
      <c r="D25" s="112">
        <v>0.85902777777777783</v>
      </c>
      <c r="E25" s="106">
        <f>Effort!F23</f>
        <v>420.21549599661614</v>
      </c>
      <c r="F25" s="107">
        <f>Harvest!F23</f>
        <v>5462.8014479560097</v>
      </c>
      <c r="G25" s="108">
        <f>+CPUE!F23</f>
        <v>13</v>
      </c>
      <c r="H25" s="106">
        <f>Effort!H23</f>
        <v>378.09138125548998</v>
      </c>
      <c r="I25" s="107">
        <f>Harvest!H23</f>
        <v>4915.1879563213697</v>
      </c>
      <c r="J25" s="108">
        <f>CPUE!H23</f>
        <v>13</v>
      </c>
      <c r="K25" s="106" t="str">
        <f>Effort!J23</f>
        <v>CLOSED</v>
      </c>
      <c r="L25" s="107" t="str">
        <f>Harvest!J23</f>
        <v>CLOSED</v>
      </c>
      <c r="M25" s="108" t="str">
        <f>CPUE!J23</f>
        <v>CLOSED</v>
      </c>
      <c r="N25" s="106">
        <f>Effort!L23</f>
        <v>334.90769910719303</v>
      </c>
      <c r="O25" s="107">
        <f>Harvest!L23</f>
        <v>4395.6635507819101</v>
      </c>
      <c r="P25" s="108">
        <f>CPUE!L23</f>
        <v>13.125000000000005</v>
      </c>
      <c r="Q25" s="106" t="s">
        <v>10</v>
      </c>
      <c r="R25" s="107" t="s">
        <v>10</v>
      </c>
      <c r="S25" s="113" t="s">
        <v>10</v>
      </c>
      <c r="T25" s="106">
        <f>SUM(E25,H25,N25)</f>
        <v>1133.2145763592991</v>
      </c>
      <c r="U25" s="107">
        <f>SUM(F25,I25,O25)</f>
        <v>14773.65295505929</v>
      </c>
      <c r="V25" s="107"/>
    </row>
    <row r="26" spans="1:24" s="114" customFormat="1" x14ac:dyDescent="0.25">
      <c r="A26" s="109">
        <v>45247</v>
      </c>
      <c r="B26" s="110" t="s">
        <v>18</v>
      </c>
      <c r="C26" s="111">
        <v>-0.5</v>
      </c>
      <c r="D26" s="112">
        <v>0.89374999999999993</v>
      </c>
      <c r="E26" s="106" t="str">
        <f>Effort!F24</f>
        <v>CLOSED</v>
      </c>
      <c r="F26" s="107" t="str">
        <f>Harvest!F24</f>
        <v>CLOSED</v>
      </c>
      <c r="G26" s="108" t="str">
        <f>+CPUE!F24</f>
        <v>CLOSED</v>
      </c>
      <c r="H26" s="106" t="str">
        <f>Effort!H24</f>
        <v>CLOSED</v>
      </c>
      <c r="I26" s="107" t="str">
        <f>Harvest!H24</f>
        <v>CLOSED</v>
      </c>
      <c r="J26" s="108" t="str">
        <f>CPUE!H24</f>
        <v>CLOSED</v>
      </c>
      <c r="K26" s="106">
        <f>Effort!J24</f>
        <v>982.94927419673797</v>
      </c>
      <c r="L26" s="107">
        <f>Harvest!J24</f>
        <v>14744.2391129511</v>
      </c>
      <c r="M26" s="108">
        <f>CPUE!J24</f>
        <v>15.00000000000003</v>
      </c>
      <c r="N26" s="106" t="str">
        <f>Effort!L24</f>
        <v>CLOSED</v>
      </c>
      <c r="O26" s="107" t="str">
        <f>Harvest!L24</f>
        <v>CLOSED</v>
      </c>
      <c r="P26" s="108" t="str">
        <f>CPUE!L24</f>
        <v>CLOSED</v>
      </c>
      <c r="Q26" s="106" t="s">
        <v>10</v>
      </c>
      <c r="R26" s="107" t="s">
        <v>10</v>
      </c>
      <c r="S26" s="113" t="s">
        <v>10</v>
      </c>
      <c r="T26" s="106">
        <f>SUM(E26,H26,K26)</f>
        <v>982.94927419673797</v>
      </c>
      <c r="U26" s="107">
        <f>SUM(F26,I26,L26)</f>
        <v>14744.2391129511</v>
      </c>
      <c r="V26" s="107"/>
    </row>
    <row r="27" spans="1:24" s="114" customFormat="1" x14ac:dyDescent="0.25">
      <c r="A27" s="109">
        <v>45248</v>
      </c>
      <c r="B27" s="110" t="s">
        <v>19</v>
      </c>
      <c r="C27" s="111">
        <v>-0.1</v>
      </c>
      <c r="D27" s="112">
        <v>0.93194444444444446</v>
      </c>
      <c r="E27" s="106" t="str">
        <f>Effort!F25</f>
        <v>CLOSED</v>
      </c>
      <c r="F27" s="107" t="str">
        <f>Harvest!F25</f>
        <v>CLOSED</v>
      </c>
      <c r="G27" s="108" t="str">
        <f>+CPUE!F25</f>
        <v>CLOSED</v>
      </c>
      <c r="H27" s="106" t="str">
        <f>Effort!H25</f>
        <v>CLOSED</v>
      </c>
      <c r="I27" s="107" t="str">
        <f>Harvest!H25</f>
        <v>CLOSED</v>
      </c>
      <c r="J27" s="108" t="str">
        <f>CPUE!H25</f>
        <v>CLOSED</v>
      </c>
      <c r="K27" s="106" t="str">
        <f>Effort!J25</f>
        <v>CLOSED</v>
      </c>
      <c r="L27" s="107" t="str">
        <f>Harvest!J25</f>
        <v>CLOSED</v>
      </c>
      <c r="M27" s="108" t="str">
        <f>CPUE!J25</f>
        <v>CLOSED</v>
      </c>
      <c r="N27" s="106">
        <f>Effort!L25</f>
        <v>445.654617948571</v>
      </c>
      <c r="O27" s="107">
        <f>Harvest!L25</f>
        <v>1406.5973879001799</v>
      </c>
      <c r="P27" s="108">
        <f>CPUE!L25</f>
        <v>3.1562500000000062</v>
      </c>
      <c r="Q27" s="106" t="s">
        <v>10</v>
      </c>
      <c r="R27" s="107" t="s">
        <v>10</v>
      </c>
      <c r="S27" s="113" t="s">
        <v>10</v>
      </c>
      <c r="T27" s="106">
        <f>SUM(E27,H27,N27)</f>
        <v>445.654617948571</v>
      </c>
      <c r="U27" s="107">
        <f>SUM(F27,I27,O27)</f>
        <v>1406.5973879001799</v>
      </c>
      <c r="V27" s="107"/>
    </row>
    <row r="28" spans="1:24" s="114" customFormat="1" x14ac:dyDescent="0.25">
      <c r="A28" s="125" t="s">
        <v>50</v>
      </c>
      <c r="B28" s="125"/>
      <c r="C28" s="125"/>
      <c r="D28" s="126"/>
      <c r="E28" s="115">
        <f>SUM(E21:E27)</f>
        <v>2325.2558014210417</v>
      </c>
      <c r="F28" s="116">
        <f>SUM(F21:F27)</f>
        <v>26021.138767303273</v>
      </c>
      <c r="G28" s="117">
        <f>+F28/E28</f>
        <v>11.19065642214542</v>
      </c>
      <c r="H28" s="115">
        <f>SUM(H21:H27)</f>
        <v>2092.1626786907036</v>
      </c>
      <c r="I28" s="116">
        <f>SUM(I21:I27)</f>
        <v>24212.87817639923</v>
      </c>
      <c r="J28" s="117">
        <f>+I28/H28</f>
        <v>11.573133591863847</v>
      </c>
      <c r="K28" s="115">
        <f>SUM(K21:K27)</f>
        <v>2391.6183007811792</v>
      </c>
      <c r="L28" s="116">
        <f>SUM(L21:L27)</f>
        <v>30813.717027342223</v>
      </c>
      <c r="M28" s="117">
        <f>+L28/K28</f>
        <v>12.884044672712813</v>
      </c>
      <c r="N28" s="115">
        <f>SUM(N21:N27)</f>
        <v>2394.9165256206998</v>
      </c>
      <c r="O28" s="116">
        <f>SUM(O21:O27)</f>
        <v>20952.388572799271</v>
      </c>
      <c r="P28" s="117">
        <f>+O28/N28</f>
        <v>8.7486926365289328</v>
      </c>
      <c r="Q28" s="115"/>
      <c r="R28" s="116"/>
      <c r="S28" s="117"/>
      <c r="T28" s="115">
        <f>SUM(T21:T27)</f>
        <v>9203.9533065136238</v>
      </c>
      <c r="U28" s="116">
        <f>SUM(U21:U27)</f>
        <v>102000.122543844</v>
      </c>
      <c r="V28" s="118"/>
      <c r="W28" s="119">
        <f>SUM(H28,K28,N28,Q28,E28)</f>
        <v>9203.9533065136238</v>
      </c>
      <c r="X28" s="119">
        <f>SUM(R28,O28,L28,I28,F28)</f>
        <v>102000.122543844</v>
      </c>
    </row>
    <row r="29" spans="1:24" s="114" customFormat="1" x14ac:dyDescent="0.25">
      <c r="A29" s="109">
        <v>45254</v>
      </c>
      <c r="B29" s="110" t="s">
        <v>18</v>
      </c>
      <c r="C29" s="111">
        <v>0</v>
      </c>
      <c r="D29" s="112">
        <v>0.6791666666666667</v>
      </c>
      <c r="E29" s="106">
        <f>Effort!F27</f>
        <v>3934.0850119770344</v>
      </c>
      <c r="F29" s="107">
        <f>Harvest!F27</f>
        <v>55077.190167678484</v>
      </c>
      <c r="G29" s="108">
        <f>+CPUE!F27</f>
        <v>14</v>
      </c>
      <c r="H29" s="106">
        <f>Effort!H27</f>
        <v>3163.2227106419282</v>
      </c>
      <c r="I29" s="107">
        <f>Harvest!H27</f>
        <v>44285.117948986997</v>
      </c>
      <c r="J29" s="108">
        <f>CPUE!H27</f>
        <v>14</v>
      </c>
      <c r="K29" s="106">
        <f>Effort!J27</f>
        <v>4790.8518287752804</v>
      </c>
      <c r="L29" s="107">
        <f>Harvest!J27</f>
        <v>68480.999670140794</v>
      </c>
      <c r="M29" s="108">
        <f>CPUE!J27</f>
        <v>14.294117647058828</v>
      </c>
      <c r="N29" s="106" t="str">
        <f>Effort!L27</f>
        <v>CLOSED</v>
      </c>
      <c r="O29" s="107" t="str">
        <f>Harvest!L27</f>
        <v>CLOSED</v>
      </c>
      <c r="P29" s="108" t="str">
        <f>CPUE!L27</f>
        <v>CLOSED</v>
      </c>
      <c r="Q29" s="106" t="s">
        <v>10</v>
      </c>
      <c r="R29" s="107" t="s">
        <v>10</v>
      </c>
      <c r="S29" s="113" t="s">
        <v>10</v>
      </c>
      <c r="T29" s="106">
        <f>SUM(E29,H29,K29)</f>
        <v>11888.159551394243</v>
      </c>
      <c r="U29" s="107">
        <f>SUM(F29,I29,L29)</f>
        <v>167843.30778680628</v>
      </c>
      <c r="V29" s="107"/>
    </row>
    <row r="30" spans="1:24" s="114" customFormat="1" x14ac:dyDescent="0.25">
      <c r="A30" s="109">
        <v>45255</v>
      </c>
      <c r="B30" s="110" t="s">
        <v>19</v>
      </c>
      <c r="C30" s="111">
        <v>-0.7</v>
      </c>
      <c r="D30" s="112">
        <v>0.71180555555555547</v>
      </c>
      <c r="E30" s="106">
        <f>Effort!F28</f>
        <v>4216.9934757063356</v>
      </c>
      <c r="F30" s="107">
        <f>Harvest!F28</f>
        <v>56929.411922035528</v>
      </c>
      <c r="G30" s="108">
        <f>+CPUE!F28</f>
        <v>13.5</v>
      </c>
      <c r="H30" s="106">
        <f>Effort!H28</f>
        <v>3195.0475596812898</v>
      </c>
      <c r="I30" s="107">
        <f>Harvest!H28</f>
        <v>41807.537217106197</v>
      </c>
      <c r="J30" s="108">
        <f>CPUE!H28</f>
        <v>13.08510638297871</v>
      </c>
      <c r="K30" s="106" t="str">
        <f>Effort!J28</f>
        <v>CLOSED</v>
      </c>
      <c r="L30" s="107" t="str">
        <f>Harvest!J28</f>
        <v>CLOSED</v>
      </c>
      <c r="M30" s="108" t="str">
        <f>CPUE!J28</f>
        <v>CLOSED</v>
      </c>
      <c r="N30" s="106">
        <f>Effort!L28</f>
        <v>4031.2922130507</v>
      </c>
      <c r="O30" s="107">
        <f>Harvest!L28</f>
        <v>59593.015323358202</v>
      </c>
      <c r="P30" s="108">
        <f>CPUE!L28</f>
        <v>14.782608695652181</v>
      </c>
      <c r="Q30" s="106" t="s">
        <v>10</v>
      </c>
      <c r="R30" s="107" t="s">
        <v>10</v>
      </c>
      <c r="S30" s="113" t="s">
        <v>10</v>
      </c>
      <c r="T30" s="106">
        <f>SUM(E30,H30,N30)</f>
        <v>11443.333248438325</v>
      </c>
      <c r="U30" s="107">
        <f>SUM(F30,I30,O30)</f>
        <v>158329.96446249992</v>
      </c>
      <c r="V30" s="107"/>
    </row>
    <row r="31" spans="1:24" s="114" customFormat="1" x14ac:dyDescent="0.25">
      <c r="A31" s="109">
        <v>45256</v>
      </c>
      <c r="B31" s="110" t="s">
        <v>20</v>
      </c>
      <c r="C31" s="111">
        <v>-1.2</v>
      </c>
      <c r="D31" s="112">
        <v>0.74236111111111114</v>
      </c>
      <c r="E31" s="106">
        <f>Effort!F29</f>
        <v>2020.2019258922078</v>
      </c>
      <c r="F31" s="107">
        <f>Harvest!F29</f>
        <v>27269.007495999947</v>
      </c>
      <c r="G31" s="108">
        <f>+CPUE!F29</f>
        <v>13.498159340659367</v>
      </c>
      <c r="H31" s="106">
        <f>Effort!H29</f>
        <v>1624.3544795320499</v>
      </c>
      <c r="I31" s="107">
        <f>Harvest!H29</f>
        <v>21177.9046293707</v>
      </c>
      <c r="J31" s="108">
        <f>CPUE!H29</f>
        <v>13.037735849056611</v>
      </c>
      <c r="K31" s="106">
        <f>Effort!J29</f>
        <v>2460.1624168492999</v>
      </c>
      <c r="L31" s="107">
        <f>Harvest!J29</f>
        <v>36231.482866325998</v>
      </c>
      <c r="M31" s="108">
        <f>CPUE!J29</f>
        <v>14.727272727272705</v>
      </c>
      <c r="N31" s="106" t="str">
        <f>Effort!L29</f>
        <v>CLOSED</v>
      </c>
      <c r="O31" s="107" t="str">
        <f>Harvest!L29</f>
        <v>CLOSED</v>
      </c>
      <c r="P31" s="108" t="str">
        <f>CPUE!L29</f>
        <v>CLOSED</v>
      </c>
      <c r="Q31" s="106" t="s">
        <v>10</v>
      </c>
      <c r="R31" s="107" t="s">
        <v>10</v>
      </c>
      <c r="S31" s="113" t="s">
        <v>10</v>
      </c>
      <c r="T31" s="106">
        <f>SUM(E31,H31,K31)</f>
        <v>6104.7188222735576</v>
      </c>
      <c r="U31" s="107">
        <f>SUM(F31,I31,L31)</f>
        <v>84678.394991696638</v>
      </c>
      <c r="V31" s="107"/>
    </row>
    <row r="32" spans="1:24" s="114" customFormat="1" x14ac:dyDescent="0.25">
      <c r="A32" s="109">
        <v>45257</v>
      </c>
      <c r="B32" s="110" t="s">
        <v>21</v>
      </c>
      <c r="C32" s="111">
        <v>-1.3</v>
      </c>
      <c r="D32" s="112">
        <v>0.7715277777777777</v>
      </c>
      <c r="E32" s="106">
        <f>Effort!F30</f>
        <v>867.47310246367897</v>
      </c>
      <c r="F32" s="107">
        <f>Harvest!F30</f>
        <v>12578.359985723346</v>
      </c>
      <c r="G32" s="108">
        <f>+CPUE!F30</f>
        <v>14.5</v>
      </c>
      <c r="H32" s="106">
        <f>Effort!H30</f>
        <v>657.24972900307739</v>
      </c>
      <c r="I32" s="107">
        <f>Harvest!H30</f>
        <v>9201.4962060430844</v>
      </c>
      <c r="J32" s="108">
        <f>CPUE!H30</f>
        <v>14</v>
      </c>
      <c r="K32" s="106" t="str">
        <f>Effort!J30</f>
        <v>CLOSED</v>
      </c>
      <c r="L32" s="107" t="str">
        <f>Harvest!J30</f>
        <v>CLOSED</v>
      </c>
      <c r="M32" s="108" t="str">
        <f>CPUE!J30</f>
        <v>CLOSED</v>
      </c>
      <c r="N32" s="106">
        <f>Effort!L30</f>
        <v>829.27269940986002</v>
      </c>
      <c r="O32" s="107">
        <f>Harvest!L30</f>
        <v>11195.181442033099</v>
      </c>
      <c r="P32" s="108">
        <f>CPUE!L30</f>
        <v>13.499999999999988</v>
      </c>
      <c r="Q32" s="106" t="s">
        <v>10</v>
      </c>
      <c r="R32" s="107" t="s">
        <v>10</v>
      </c>
      <c r="S32" s="113" t="s">
        <v>10</v>
      </c>
      <c r="T32" s="106">
        <f>SUM(E32,H32,N32)</f>
        <v>2353.9955308766166</v>
      </c>
      <c r="U32" s="107">
        <f>SUM(F32,I32,O32)</f>
        <v>32975.037633799526</v>
      </c>
      <c r="V32" s="107"/>
    </row>
    <row r="33" spans="1:24" s="114" customFormat="1" x14ac:dyDescent="0.25">
      <c r="A33" s="109">
        <v>45258</v>
      </c>
      <c r="B33" s="110" t="s">
        <v>66</v>
      </c>
      <c r="C33" s="111">
        <v>-1.2</v>
      </c>
      <c r="D33" s="112">
        <v>0.79999999999999993</v>
      </c>
      <c r="E33" s="106">
        <f>Effort!F31</f>
        <v>463.41539080086807</v>
      </c>
      <c r="F33" s="107">
        <f>Harvest!F31</f>
        <v>6256.107775811719</v>
      </c>
      <c r="G33" s="108">
        <f>+CPUE!F31</f>
        <v>13.5</v>
      </c>
      <c r="H33" s="106">
        <f>Effort!H31</f>
        <v>372.61169603085017</v>
      </c>
      <c r="I33" s="107">
        <f>Harvest!H31</f>
        <v>5030.2578964164777</v>
      </c>
      <c r="J33" s="108">
        <f>CPUE!H31</f>
        <v>13.5</v>
      </c>
      <c r="K33" s="106">
        <f>Effort!J31</f>
        <v>564.33820462492599</v>
      </c>
      <c r="L33" s="107">
        <f>Harvest!J31</f>
        <v>7689.1080380146104</v>
      </c>
      <c r="M33" s="108">
        <f>CPUE!J31</f>
        <v>13.624999999999989</v>
      </c>
      <c r="N33" s="106" t="str">
        <f>Effort!L31</f>
        <v>CLOSED</v>
      </c>
      <c r="O33" s="107" t="str">
        <f>Harvest!L31</f>
        <v>CLOSED</v>
      </c>
      <c r="P33" s="108" t="str">
        <f>CPUE!L31</f>
        <v>CLOSED</v>
      </c>
      <c r="Q33" s="106" t="s">
        <v>10</v>
      </c>
      <c r="R33" s="107" t="s">
        <v>10</v>
      </c>
      <c r="S33" s="113" t="s">
        <v>10</v>
      </c>
      <c r="T33" s="106">
        <f>SUM(E33,H33,K33)</f>
        <v>1400.3652914566442</v>
      </c>
      <c r="U33" s="107">
        <f>SUM(F33,I33,L33)</f>
        <v>18975.473710242804</v>
      </c>
      <c r="V33" s="107"/>
    </row>
    <row r="34" spans="1:24" s="114" customFormat="1" x14ac:dyDescent="0.25">
      <c r="A34" s="109">
        <v>45259</v>
      </c>
      <c r="B34" s="110" t="s">
        <v>67</v>
      </c>
      <c r="C34" s="111">
        <v>-0.8</v>
      </c>
      <c r="D34" s="112">
        <v>0.82777777777777783</v>
      </c>
      <c r="E34" s="106" t="str">
        <f>Effort!F32</f>
        <v>CLOSED</v>
      </c>
      <c r="F34" s="107" t="str">
        <f>Harvest!F32</f>
        <v>CLOSED</v>
      </c>
      <c r="G34" s="108" t="str">
        <f>+CPUE!F32</f>
        <v>CLOSED</v>
      </c>
      <c r="H34" s="106" t="str">
        <f>Effort!H32</f>
        <v>CLOSED</v>
      </c>
      <c r="I34" s="107" t="str">
        <f>Harvest!H32</f>
        <v>CLOSED</v>
      </c>
      <c r="J34" s="108" t="str">
        <f>CPUE!H32</f>
        <v>CLOSED</v>
      </c>
      <c r="K34" s="106" t="str">
        <f>Effort!J32</f>
        <v>CLOSED</v>
      </c>
      <c r="L34" s="107" t="str">
        <f>Harvest!J32</f>
        <v>CLOSED</v>
      </c>
      <c r="M34" s="108" t="str">
        <f>CPUE!J32</f>
        <v>CLOSED</v>
      </c>
      <c r="N34" s="106">
        <f>Effort!L32</f>
        <v>177.37226987330999</v>
      </c>
      <c r="O34" s="107">
        <f>Harvest!L32</f>
        <v>2601.4599581418802</v>
      </c>
      <c r="P34" s="108">
        <f>CPUE!L32</f>
        <v>14.666666666666668</v>
      </c>
      <c r="Q34" s="106" t="s">
        <v>10</v>
      </c>
      <c r="R34" s="107" t="s">
        <v>10</v>
      </c>
      <c r="S34" s="113" t="s">
        <v>10</v>
      </c>
      <c r="T34" s="106">
        <f>SUM(E34,H34,N34)</f>
        <v>177.37226987330999</v>
      </c>
      <c r="U34" s="107">
        <f>SUM(F34,I34,O34)</f>
        <v>2601.4599581418802</v>
      </c>
      <c r="V34" s="107"/>
    </row>
    <row r="35" spans="1:24" s="114" customFormat="1" x14ac:dyDescent="0.25">
      <c r="A35" s="125" t="s">
        <v>50</v>
      </c>
      <c r="B35" s="125"/>
      <c r="C35" s="125"/>
      <c r="D35" s="126"/>
      <c r="E35" s="115">
        <f>SUM(E29:E34)</f>
        <v>11502.168906840125</v>
      </c>
      <c r="F35" s="116">
        <f>SUM(F29:F34)</f>
        <v>158110.077347249</v>
      </c>
      <c r="G35" s="117">
        <f>+F35/E35</f>
        <v>13.74610985352718</v>
      </c>
      <c r="H35" s="115">
        <f>SUM(H29:H34)</f>
        <v>9012.4861748891944</v>
      </c>
      <c r="I35" s="116">
        <f>SUM(I29:I34)</f>
        <v>121502.31389792345</v>
      </c>
      <c r="J35" s="117">
        <f>+I35/H35</f>
        <v>13.481553429336305</v>
      </c>
      <c r="K35" s="115">
        <f>SUM(K29:K34)</f>
        <v>7815.3524502495065</v>
      </c>
      <c r="L35" s="116">
        <f>SUM(L29:L34)</f>
        <v>112401.59057448141</v>
      </c>
      <c r="M35" s="117">
        <f>+L35/K35</f>
        <v>14.382152473608912</v>
      </c>
      <c r="N35" s="115">
        <f>SUM(N29:N34)</f>
        <v>5037.9371823338697</v>
      </c>
      <c r="O35" s="116">
        <f>SUM(O29:O34)</f>
        <v>73389.656723533175</v>
      </c>
      <c r="P35" s="117">
        <f>+O35/N35</f>
        <v>14.567402106735829</v>
      </c>
      <c r="Q35" s="115"/>
      <c r="R35" s="116"/>
      <c r="S35" s="117"/>
      <c r="T35" s="115">
        <f>SUM(T29:T34)</f>
        <v>33367.944714312689</v>
      </c>
      <c r="U35" s="116">
        <f>SUM(U29:U34)</f>
        <v>465403.63854318706</v>
      </c>
      <c r="V35" s="118"/>
      <c r="W35" s="119">
        <f>SUM(H35,K35,N35,Q35,E35)</f>
        <v>33367.944714312696</v>
      </c>
      <c r="X35" s="119">
        <f>SUM(R35,O35,L35,I35,F35)</f>
        <v>465403.63854318706</v>
      </c>
    </row>
    <row r="36" spans="1:24" s="114" customFormat="1" x14ac:dyDescent="0.25">
      <c r="A36" s="109">
        <v>45273</v>
      </c>
      <c r="B36" s="110" t="s">
        <v>67</v>
      </c>
      <c r="C36" s="111">
        <v>-1.3</v>
      </c>
      <c r="D36" s="112">
        <v>0.78819444444444453</v>
      </c>
      <c r="E36" s="106">
        <f>Effort!F34</f>
        <v>681.94316737463737</v>
      </c>
      <c r="F36" s="107">
        <f>Harvest!F34</f>
        <v>8865.261175870286</v>
      </c>
      <c r="G36" s="108">
        <f>+CPUE!F34</f>
        <v>13</v>
      </c>
      <c r="H36" s="106">
        <f>Effort!H34</f>
        <v>621.46890534670501</v>
      </c>
      <c r="I36" s="107">
        <f>Harvest!H34</f>
        <v>6081.5171451784699</v>
      </c>
      <c r="J36" s="108">
        <f>CPUE!H34</f>
        <v>9.7857142857142847</v>
      </c>
      <c r="K36" s="106" t="str">
        <f>Effort!J34</f>
        <v>CLOSED</v>
      </c>
      <c r="L36" s="107" t="str">
        <f>Harvest!J34</f>
        <v>CLOSED</v>
      </c>
      <c r="M36" s="108" t="str">
        <f>CPUE!J34</f>
        <v>CLOSED</v>
      </c>
      <c r="N36" s="106">
        <f>Effort!L34</f>
        <v>608.88080296016096</v>
      </c>
      <c r="O36" s="107">
        <f>Harvest!L34</f>
        <v>8118.4107061354798</v>
      </c>
      <c r="P36" s="108">
        <f>CPUE!L34</f>
        <v>13.333333333333334</v>
      </c>
      <c r="Q36" s="106" t="s">
        <v>10</v>
      </c>
      <c r="R36" s="107" t="s">
        <v>10</v>
      </c>
      <c r="S36" s="113" t="s">
        <v>10</v>
      </c>
      <c r="T36" s="106">
        <f>SUM(E36,H36,N36)</f>
        <v>1912.2928756815033</v>
      </c>
      <c r="U36" s="107">
        <f>SUM(F36,I36,O36)</f>
        <v>23065.189027184235</v>
      </c>
      <c r="V36" s="107"/>
    </row>
    <row r="37" spans="1:24" s="114" customFormat="1" x14ac:dyDescent="0.25">
      <c r="A37" s="109">
        <v>45274</v>
      </c>
      <c r="B37" s="110" t="s">
        <v>22</v>
      </c>
      <c r="C37" s="111">
        <v>-1.3</v>
      </c>
      <c r="D37" s="112">
        <v>0.81874999999999998</v>
      </c>
      <c r="E37" s="106">
        <f>Effort!F35</f>
        <v>523.17371304674555</v>
      </c>
      <c r="F37" s="107">
        <f>Harvest!F35</f>
        <v>5284.0545017721297</v>
      </c>
      <c r="G37" s="108">
        <f>+CPUE!F35</f>
        <v>10.1</v>
      </c>
      <c r="H37" s="106">
        <f>Effort!H35</f>
        <v>476.77901958465247</v>
      </c>
      <c r="I37" s="107">
        <f>Harvest!H35</f>
        <v>4767.7901958465245</v>
      </c>
      <c r="J37" s="108">
        <f>CPUE!H35</f>
        <v>10</v>
      </c>
      <c r="K37" s="106">
        <f>Effort!J35</f>
        <v>652.61639856666795</v>
      </c>
      <c r="L37" s="107">
        <f>Harvest!J35</f>
        <v>9305.8264240061908</v>
      </c>
      <c r="M37" s="108">
        <f>CPUE!J35</f>
        <v>14.25925925925926</v>
      </c>
      <c r="N37" s="106" t="str">
        <f>Effort!L35</f>
        <v>CLOSED</v>
      </c>
      <c r="O37" s="107" t="str">
        <f>Harvest!L35</f>
        <v>CLOSED</v>
      </c>
      <c r="P37" s="108" t="str">
        <f>CPUE!L35</f>
        <v>CLOSED</v>
      </c>
      <c r="Q37" s="106" t="s">
        <v>10</v>
      </c>
      <c r="R37" s="107" t="s">
        <v>10</v>
      </c>
      <c r="S37" s="113" t="s">
        <v>10</v>
      </c>
      <c r="T37" s="106">
        <f>SUM(E37,H37,K37)</f>
        <v>1652.5691311980659</v>
      </c>
      <c r="U37" s="107">
        <f>SUM(F37,I37,L37)</f>
        <v>19357.671121624844</v>
      </c>
      <c r="V37" s="107"/>
    </row>
    <row r="38" spans="1:24" s="114" customFormat="1" x14ac:dyDescent="0.25">
      <c r="A38" s="109">
        <v>45275</v>
      </c>
      <c r="B38" s="110" t="s">
        <v>18</v>
      </c>
      <c r="C38" s="111">
        <v>-1.2</v>
      </c>
      <c r="D38" s="112">
        <v>0.85069444444444453</v>
      </c>
      <c r="E38" s="106">
        <f>Effort!F36</f>
        <v>788.81045161256714</v>
      </c>
      <c r="F38" s="107">
        <f>Harvest!F36</f>
        <v>10017.892735479601</v>
      </c>
      <c r="G38" s="108">
        <f>+CPUE!F36</f>
        <v>12.7</v>
      </c>
      <c r="H38" s="106">
        <f>Effort!H36</f>
        <v>718.85927060017104</v>
      </c>
      <c r="I38" s="107">
        <f>Harvest!H36</f>
        <v>7867.51535045743</v>
      </c>
      <c r="J38" s="108">
        <f>CPUE!H36</f>
        <v>10.944444444444448</v>
      </c>
      <c r="K38" s="106" t="str">
        <f>Effort!J36</f>
        <v>CLOSED</v>
      </c>
      <c r="L38" s="107" t="str">
        <f>Harvest!J36</f>
        <v>CLOSED</v>
      </c>
      <c r="M38" s="108" t="str">
        <f>CPUE!J36</f>
        <v>CLOSED</v>
      </c>
      <c r="N38" s="106">
        <f>Effort!L36</f>
        <v>952.08348657130398</v>
      </c>
      <c r="O38" s="107">
        <f>Harvest!L36</f>
        <v>8854.3764251131306</v>
      </c>
      <c r="P38" s="108">
        <f>CPUE!L36</f>
        <v>9.3000000000000043</v>
      </c>
      <c r="Q38" s="106" t="s">
        <v>10</v>
      </c>
      <c r="R38" s="107" t="s">
        <v>10</v>
      </c>
      <c r="S38" s="113" t="s">
        <v>10</v>
      </c>
      <c r="T38" s="106">
        <f>SUM(E38,H38,N38)</f>
        <v>2459.7532087840423</v>
      </c>
      <c r="U38" s="107">
        <f>SUM(F38,I38,O38)</f>
        <v>26739.784511050158</v>
      </c>
      <c r="V38" s="107"/>
    </row>
    <row r="39" spans="1:24" s="114" customFormat="1" x14ac:dyDescent="0.25">
      <c r="A39" s="109">
        <v>45276</v>
      </c>
      <c r="B39" s="110" t="s">
        <v>19</v>
      </c>
      <c r="C39" s="111">
        <v>-0.8</v>
      </c>
      <c r="D39" s="112">
        <v>0.8833333333333333</v>
      </c>
      <c r="E39" s="106">
        <f>Effort!F37</f>
        <v>1374.5196305895092</v>
      </c>
      <c r="F39" s="107">
        <f>Harvest!F37</f>
        <v>19930.534643547882</v>
      </c>
      <c r="G39" s="108">
        <f>+CPUE!F37</f>
        <v>14.5</v>
      </c>
      <c r="H39" s="106">
        <f>Effort!H37</f>
        <v>493.13961190498298</v>
      </c>
      <c r="I39" s="107">
        <f>Harvest!H37</f>
        <v>6562.5502199663097</v>
      </c>
      <c r="J39" s="108">
        <f>CPUE!H37</f>
        <v>13.307692307692303</v>
      </c>
      <c r="K39" s="106">
        <f>Effort!J37</f>
        <v>1714.6007696957099</v>
      </c>
      <c r="L39" s="107">
        <f>Harvest!J37</f>
        <v>25719.0115454357</v>
      </c>
      <c r="M39" s="108">
        <f>CPUE!J37</f>
        <v>15.00000000000003</v>
      </c>
      <c r="N39" s="106" t="str">
        <f>Effort!L37</f>
        <v>CLOSED</v>
      </c>
      <c r="O39" s="107" t="str">
        <f>Harvest!L37</f>
        <v>CLOSED</v>
      </c>
      <c r="P39" s="108" t="str">
        <f>CPUE!L37</f>
        <v>CLOSED</v>
      </c>
      <c r="Q39" s="106" t="s">
        <v>10</v>
      </c>
      <c r="R39" s="107" t="s">
        <v>10</v>
      </c>
      <c r="S39" s="113" t="s">
        <v>10</v>
      </c>
      <c r="T39" s="106">
        <f>SUM(E39,H39,K39)</f>
        <v>3582.2600121902024</v>
      </c>
      <c r="U39" s="107">
        <f>SUM(F39,I39,L39)</f>
        <v>52212.096408949888</v>
      </c>
      <c r="V39" s="107"/>
    </row>
    <row r="40" spans="1:24" s="114" customFormat="1" x14ac:dyDescent="0.25">
      <c r="A40" s="109">
        <v>45277</v>
      </c>
      <c r="B40" s="110" t="s">
        <v>20</v>
      </c>
      <c r="C40" s="111">
        <v>-0.3</v>
      </c>
      <c r="D40" s="112">
        <v>0.91736111111111107</v>
      </c>
      <c r="E40" s="106">
        <f>Effort!F38</f>
        <v>146.41669443405118</v>
      </c>
      <c r="F40" s="107">
        <f>Harvest!F38</f>
        <v>2196.2504165107675</v>
      </c>
      <c r="G40" s="108">
        <f>+CPUE!F38</f>
        <v>15</v>
      </c>
      <c r="H40" s="106">
        <f>Effort!H38</f>
        <v>133.43256031836441</v>
      </c>
      <c r="I40" s="107">
        <f>Harvest!H38</f>
        <v>2001.4884047754661</v>
      </c>
      <c r="J40" s="108">
        <f>CPUE!H38</f>
        <v>15</v>
      </c>
      <c r="K40" s="106" t="str">
        <f>Effort!J38</f>
        <v>CLOSED</v>
      </c>
      <c r="L40" s="107" t="str">
        <f>Harvest!J38</f>
        <v>CLOSED</v>
      </c>
      <c r="M40" s="108" t="str">
        <f>CPUE!J38</f>
        <v>CLOSED</v>
      </c>
      <c r="N40" s="106">
        <f>Effort!L38</f>
        <v>176.72295878438101</v>
      </c>
      <c r="O40" s="107">
        <f>Harvest!L38</f>
        <v>2618.7129347140099</v>
      </c>
      <c r="P40" s="108">
        <f>CPUE!L38</f>
        <v>14.81818181818182</v>
      </c>
      <c r="Q40" s="106" t="s">
        <v>10</v>
      </c>
      <c r="R40" s="107" t="s">
        <v>10</v>
      </c>
      <c r="S40" s="113" t="s">
        <v>10</v>
      </c>
      <c r="T40" s="106">
        <f>SUM(E40,H40,N40)</f>
        <v>456.57221353679665</v>
      </c>
      <c r="U40" s="107">
        <f>SUM(F40,I40,O40)</f>
        <v>6816.4517560002432</v>
      </c>
      <c r="V40" s="107"/>
    </row>
    <row r="41" spans="1:24" s="114" customFormat="1" x14ac:dyDescent="0.25">
      <c r="A41" s="125" t="s">
        <v>50</v>
      </c>
      <c r="B41" s="125"/>
      <c r="C41" s="125"/>
      <c r="D41" s="126"/>
      <c r="E41" s="115">
        <f>SUM(E36:E40)</f>
        <v>3514.8636570575109</v>
      </c>
      <c r="F41" s="116">
        <f>SUM(F36:F40)</f>
        <v>46293.993473180672</v>
      </c>
      <c r="G41" s="117">
        <f>+F41/E41</f>
        <v>13.170921546338434</v>
      </c>
      <c r="H41" s="115">
        <f>SUM(H36:H40)</f>
        <v>2443.6793677548758</v>
      </c>
      <c r="I41" s="116">
        <f>SUM(I36:I40)</f>
        <v>27280.861316224204</v>
      </c>
      <c r="J41" s="117">
        <f>+I41/H41</f>
        <v>11.16384648338232</v>
      </c>
      <c r="K41" s="115">
        <f>SUM(K36:K40)</f>
        <v>2367.217168262378</v>
      </c>
      <c r="L41" s="116">
        <f>SUM(L36:L40)</f>
        <v>35024.837969441891</v>
      </c>
      <c r="M41" s="117">
        <f>+L41/K41</f>
        <v>14.79578571794128</v>
      </c>
      <c r="N41" s="115">
        <f>SUM(N36:N40)</f>
        <v>1737.6872483158461</v>
      </c>
      <c r="O41" s="116">
        <f>SUM(O36:O40)</f>
        <v>19591.50006596262</v>
      </c>
      <c r="P41" s="117">
        <f>+O41/N41</f>
        <v>11.274468455097752</v>
      </c>
      <c r="Q41" s="115"/>
      <c r="R41" s="116"/>
      <c r="S41" s="117"/>
      <c r="T41" s="115">
        <f>SUM(T36:T40)</f>
        <v>10063.447441390608</v>
      </c>
      <c r="U41" s="116">
        <f>SUM(U36:U40)</f>
        <v>128191.19282480938</v>
      </c>
      <c r="V41" s="118"/>
      <c r="W41" s="119">
        <f>SUM(H41,K41,N41,Q41,E41)</f>
        <v>10063.44744139061</v>
      </c>
      <c r="X41" s="119">
        <f>SUM(R41,O41,L41,I41,F41)</f>
        <v>128191.19282480939</v>
      </c>
    </row>
    <row r="42" spans="1:24" s="114" customFormat="1" x14ac:dyDescent="0.25">
      <c r="A42" s="109">
        <v>45286</v>
      </c>
      <c r="B42" s="110" t="s">
        <v>66</v>
      </c>
      <c r="C42" s="111">
        <v>-0.9</v>
      </c>
      <c r="D42" s="112">
        <v>0.76250000000000007</v>
      </c>
      <c r="E42" s="106">
        <f>Effort!F40</f>
        <v>930.53506137737975</v>
      </c>
      <c r="F42" s="107">
        <f>Harvest!F40</f>
        <v>2047.1771350302356</v>
      </c>
      <c r="G42" s="108">
        <f>+CPUE!F40</f>
        <v>2.2000000000000002</v>
      </c>
      <c r="H42" s="106">
        <f>Effort!H40</f>
        <v>992.0693713210361</v>
      </c>
      <c r="I42" s="107">
        <f>Harvest!H40</f>
        <v>4960.3468566051806</v>
      </c>
      <c r="J42" s="108">
        <f>CPUE!H40</f>
        <v>5</v>
      </c>
      <c r="K42" s="106">
        <f>Effort!J40</f>
        <v>2092.4715261481101</v>
      </c>
      <c r="L42" s="107">
        <f>Harvest!J40</f>
        <v>18697.2455723557</v>
      </c>
      <c r="M42" s="108">
        <f>CPUE!J40</f>
        <v>8.9354838709677455</v>
      </c>
      <c r="N42" s="106" t="str">
        <f>Effort!L40</f>
        <v>CLOSED</v>
      </c>
      <c r="O42" s="107" t="str">
        <f>Harvest!L40</f>
        <v>CLOSED</v>
      </c>
      <c r="P42" s="108" t="str">
        <f>CPUE!L40</f>
        <v>CLOSED</v>
      </c>
      <c r="Q42" s="106" t="s">
        <v>10</v>
      </c>
      <c r="R42" s="107" t="s">
        <v>10</v>
      </c>
      <c r="S42" s="113" t="s">
        <v>10</v>
      </c>
      <c r="T42" s="106">
        <f>SUM(E42,H42,K42)</f>
        <v>4015.0759588465262</v>
      </c>
      <c r="U42" s="107">
        <f>SUM(F42,I42,L42)</f>
        <v>25704.769563991118</v>
      </c>
      <c r="V42" s="107"/>
    </row>
    <row r="43" spans="1:24" s="114" customFormat="1" x14ac:dyDescent="0.25">
      <c r="A43" s="109">
        <v>45287</v>
      </c>
      <c r="B43" s="110" t="s">
        <v>67</v>
      </c>
      <c r="C43" s="111">
        <v>-0.8</v>
      </c>
      <c r="D43" s="112">
        <v>0.7895833333333333</v>
      </c>
      <c r="E43" s="106">
        <f>Effort!F41</f>
        <v>499.66028774127278</v>
      </c>
      <c r="F43" s="107">
        <f>Harvest!F41</f>
        <v>2148.539237287473</v>
      </c>
      <c r="G43" s="108">
        <f>+CPUE!F41</f>
        <v>4.3</v>
      </c>
      <c r="H43" s="106">
        <f>Effort!H41</f>
        <v>607.45651042845896</v>
      </c>
      <c r="I43" s="107">
        <f>Harvest!H41</f>
        <v>3720.67112637431</v>
      </c>
      <c r="J43" s="108">
        <f>CPUE!H41</f>
        <v>6.1249999999999982</v>
      </c>
      <c r="K43" s="106" t="str">
        <f>Effort!J41</f>
        <v>CLOSED</v>
      </c>
      <c r="L43" s="107" t="str">
        <f>Harvest!J41</f>
        <v>CLOSED</v>
      </c>
      <c r="M43" s="108" t="str">
        <f>CPUE!J41</f>
        <v>CLOSED</v>
      </c>
      <c r="N43" s="106">
        <f>Effort!L41</f>
        <v>786.333708286464</v>
      </c>
      <c r="O43" s="107">
        <f>Harvest!L41</f>
        <v>8728.3041619797496</v>
      </c>
      <c r="P43" s="108">
        <f>CPUE!L41</f>
        <v>11.1</v>
      </c>
      <c r="Q43" s="106" t="s">
        <v>10</v>
      </c>
      <c r="R43" s="107" t="s">
        <v>10</v>
      </c>
      <c r="S43" s="113" t="s">
        <v>10</v>
      </c>
      <c r="T43" s="106">
        <f>SUM(E43,H43,N43)</f>
        <v>1893.4505064561959</v>
      </c>
      <c r="U43" s="107">
        <f>SUM(F43,I43,O43)</f>
        <v>14597.514525641533</v>
      </c>
      <c r="V43" s="107"/>
    </row>
    <row r="44" spans="1:24" s="114" customFormat="1" x14ac:dyDescent="0.25">
      <c r="A44" s="109">
        <v>45288</v>
      </c>
      <c r="B44" s="110" t="s">
        <v>22</v>
      </c>
      <c r="C44" s="111">
        <v>-0.6</v>
      </c>
      <c r="D44" s="112">
        <v>0.81597222222222221</v>
      </c>
      <c r="E44" s="106">
        <f>Effort!F42</f>
        <v>316.4362180396447</v>
      </c>
      <c r="F44" s="107">
        <f>Harvest!F42</f>
        <v>949.3086541189341</v>
      </c>
      <c r="G44" s="108">
        <f>+CPUE!F42</f>
        <v>3</v>
      </c>
      <c r="H44" s="106">
        <f>Effort!H42</f>
        <v>337.36147397726398</v>
      </c>
      <c r="I44" s="107">
        <f>Harvest!H42</f>
        <v>628.19033085421597</v>
      </c>
      <c r="J44" s="108">
        <f>CPUE!H42</f>
        <v>1.8620689655172422</v>
      </c>
      <c r="K44" s="106">
        <f>Effort!J42</f>
        <v>711.56241561694605</v>
      </c>
      <c r="L44" s="107">
        <f>Harvest!J42</f>
        <v>3029.8786729495801</v>
      </c>
      <c r="M44" s="108">
        <f>CPUE!J42</f>
        <v>4.2580645161290365</v>
      </c>
      <c r="N44" s="106" t="str">
        <f>Effort!L42</f>
        <v>CLOSED</v>
      </c>
      <c r="O44" s="107" t="str">
        <f>Harvest!L42</f>
        <v>CLOSED</v>
      </c>
      <c r="P44" s="108" t="str">
        <f>CPUE!L42</f>
        <v>CLOSED</v>
      </c>
      <c r="Q44" s="106" t="s">
        <v>10</v>
      </c>
      <c r="R44" s="107" t="s">
        <v>10</v>
      </c>
      <c r="S44" s="113" t="s">
        <v>10</v>
      </c>
      <c r="T44" s="106">
        <f>SUM(E44,H44,K44)</f>
        <v>1365.3601076338548</v>
      </c>
      <c r="U44" s="107">
        <f>SUM(F44,I44,L44)</f>
        <v>4607.3776579227306</v>
      </c>
      <c r="V44" s="107"/>
    </row>
    <row r="45" spans="1:24" s="114" customFormat="1" x14ac:dyDescent="0.25">
      <c r="A45" s="109">
        <v>45289</v>
      </c>
      <c r="B45" s="110" t="s">
        <v>18</v>
      </c>
      <c r="C45" s="111">
        <v>-0.3</v>
      </c>
      <c r="D45" s="112">
        <v>0.84097222222222223</v>
      </c>
      <c r="E45" s="106">
        <f>Effort!F43</f>
        <v>303.16424987952297</v>
      </c>
      <c r="F45" s="107">
        <f>Harvest!F43</f>
        <v>1818.9854992771379</v>
      </c>
      <c r="G45" s="108">
        <f>+CPUE!F43</f>
        <v>6</v>
      </c>
      <c r="H45" s="106">
        <f>Effort!H43</f>
        <v>325.01486105309198</v>
      </c>
      <c r="I45" s="107">
        <f>Harvest!H43</f>
        <v>398.88187492879399</v>
      </c>
      <c r="J45" s="108">
        <f>CPUE!H43</f>
        <v>1.2272727272727251</v>
      </c>
      <c r="K45" s="106" t="str">
        <f>Effort!J43</f>
        <v>CLOSED</v>
      </c>
      <c r="L45" s="107" t="str">
        <f>Harvest!J43</f>
        <v>CLOSED</v>
      </c>
      <c r="M45" s="108" t="str">
        <f>CPUE!J43</f>
        <v>CLOSED</v>
      </c>
      <c r="N45" s="106">
        <f>Effort!L43</f>
        <v>477.100691562441</v>
      </c>
      <c r="O45" s="107">
        <f>Harvest!L43</f>
        <v>6242.0673812752602</v>
      </c>
      <c r="P45" s="108">
        <f>CPUE!L43</f>
        <v>13.083333333333313</v>
      </c>
      <c r="Q45" s="106" t="s">
        <v>10</v>
      </c>
      <c r="R45" s="107" t="s">
        <v>10</v>
      </c>
      <c r="S45" s="113" t="s">
        <v>10</v>
      </c>
      <c r="T45" s="106">
        <f>SUM(E45,H45,N45)</f>
        <v>1105.2798024950559</v>
      </c>
      <c r="U45" s="107">
        <f>SUM(F45,I45,O45)</f>
        <v>8459.934755481192</v>
      </c>
      <c r="V45" s="107"/>
    </row>
    <row r="46" spans="1:24" s="114" customFormat="1" x14ac:dyDescent="0.25">
      <c r="A46" s="125" t="s">
        <v>50</v>
      </c>
      <c r="B46" s="125"/>
      <c r="C46" s="125"/>
      <c r="D46" s="126"/>
      <c r="E46" s="115">
        <f>SUM(E42:E45)</f>
        <v>2049.7958170378201</v>
      </c>
      <c r="F46" s="116">
        <f>SUM(F42:F45)</f>
        <v>6964.0105257137811</v>
      </c>
      <c r="G46" s="117">
        <f>+F46/E46</f>
        <v>3.3974166928379921</v>
      </c>
      <c r="H46" s="115">
        <f>SUM(H42:H45)</f>
        <v>2261.9022167798512</v>
      </c>
      <c r="I46" s="116">
        <f>SUM(I42:I45)</f>
        <v>9708.0901887625023</v>
      </c>
      <c r="J46" s="117">
        <f>+I46/H46</f>
        <v>4.2920025970810487</v>
      </c>
      <c r="K46" s="115">
        <f>SUM(K42:K45)</f>
        <v>2804.0339417650562</v>
      </c>
      <c r="L46" s="116">
        <f>SUM(L42:L45)</f>
        <v>21727.12424530528</v>
      </c>
      <c r="M46" s="117">
        <f>+L46/K46</f>
        <v>7.7485239824267964</v>
      </c>
      <c r="N46" s="115">
        <f>SUM(N42:N45)</f>
        <v>1263.4343998489051</v>
      </c>
      <c r="O46" s="116">
        <f>SUM(O42:O45)</f>
        <v>14970.371543255009</v>
      </c>
      <c r="P46" s="117">
        <f>+O46/N46</f>
        <v>11.848950404583986</v>
      </c>
      <c r="Q46" s="115"/>
      <c r="R46" s="116"/>
      <c r="S46" s="117"/>
      <c r="T46" s="115">
        <f>SUM(T42:T45)</f>
        <v>8379.1663754316323</v>
      </c>
      <c r="U46" s="116">
        <f>SUM(U42:U45)</f>
        <v>53369.59650303657</v>
      </c>
      <c r="V46" s="118"/>
      <c r="W46" s="119">
        <f>SUM(H46,K46,N46,Q46,E46)</f>
        <v>8379.1663754316323</v>
      </c>
      <c r="X46" s="119">
        <f>SUM(R46,O46,L46,I46,F46)</f>
        <v>53369.596503036577</v>
      </c>
    </row>
    <row r="47" spans="1:24" s="114" customFormat="1" x14ac:dyDescent="0.25">
      <c r="A47" s="109">
        <v>45300</v>
      </c>
      <c r="B47" s="110" t="s">
        <v>66</v>
      </c>
      <c r="C47" s="111">
        <v>-0.7</v>
      </c>
      <c r="D47" s="112">
        <v>0.70972222222222225</v>
      </c>
      <c r="E47" s="106">
        <f>Effort!F45</f>
        <v>50</v>
      </c>
      <c r="F47" s="107">
        <f>Harvest!F45</f>
        <v>200</v>
      </c>
      <c r="G47" s="108">
        <f>+CPUE!F45</f>
        <v>4</v>
      </c>
      <c r="H47" s="106" t="str">
        <f>Effort!H45</f>
        <v>CLOSED</v>
      </c>
      <c r="I47" s="107" t="str">
        <f>Harvest!H45</f>
        <v>CLOSED</v>
      </c>
      <c r="J47" s="108" t="str">
        <f>CPUE!H45</f>
        <v>CLOSED</v>
      </c>
      <c r="K47" s="106">
        <f>Effort!J45</f>
        <v>64.1666666666667</v>
      </c>
      <c r="L47" s="107">
        <f>Harvest!J45</f>
        <v>247.5</v>
      </c>
      <c r="M47" s="108">
        <f>CPUE!J45</f>
        <v>3.857142857142855</v>
      </c>
      <c r="N47" s="106" t="str">
        <f>Effort!L45</f>
        <v>CLOSED</v>
      </c>
      <c r="O47" s="107" t="str">
        <f>Harvest!L45</f>
        <v>CLOSED</v>
      </c>
      <c r="P47" s="108" t="str">
        <f>CPUE!L45</f>
        <v>CLOSED</v>
      </c>
      <c r="Q47" s="106" t="s">
        <v>10</v>
      </c>
      <c r="R47" s="107" t="s">
        <v>10</v>
      </c>
      <c r="S47" s="113" t="s">
        <v>10</v>
      </c>
      <c r="T47" s="106">
        <f>SUM(E47,H47,K47)</f>
        <v>114.1666666666667</v>
      </c>
      <c r="U47" s="107">
        <f>SUM(F47,I47,L47)</f>
        <v>447.5</v>
      </c>
      <c r="V47" s="107"/>
    </row>
    <row r="48" spans="1:24" s="114" customFormat="1" x14ac:dyDescent="0.25">
      <c r="A48" s="109">
        <v>45301</v>
      </c>
      <c r="B48" s="110" t="s">
        <v>67</v>
      </c>
      <c r="C48" s="111">
        <v>-1.2</v>
      </c>
      <c r="D48" s="112">
        <v>0.7402777777777777</v>
      </c>
      <c r="E48" s="106">
        <f>Effort!F46</f>
        <v>84.352168971027794</v>
      </c>
      <c r="F48" s="107">
        <f>Harvest!F46</f>
        <v>978.246325215561</v>
      </c>
      <c r="G48" s="108">
        <f>+CPUE!F46</f>
        <v>10.7</v>
      </c>
      <c r="H48" s="106">
        <f>Effort!H46</f>
        <v>342.28961572869201</v>
      </c>
      <c r="I48" s="107">
        <f>Harvest!H46</f>
        <v>3251.75134942257</v>
      </c>
      <c r="J48" s="108">
        <f>CPUE!H46</f>
        <v>9.4999999999999876</v>
      </c>
      <c r="K48" s="106" t="str">
        <f>Effort!J46</f>
        <v>CLOSED</v>
      </c>
      <c r="L48" s="107" t="str">
        <f>Harvest!J46</f>
        <v>CLOSED</v>
      </c>
      <c r="M48" s="108" t="str">
        <f>CPUE!J46</f>
        <v>CLOSED</v>
      </c>
      <c r="N48" s="106">
        <f>Effort!L46</f>
        <v>279.324511301759</v>
      </c>
      <c r="O48" s="107">
        <f>Harvest!L46</f>
        <v>3020.1962784502698</v>
      </c>
      <c r="P48" s="108">
        <f>CPUE!L46</f>
        <v>10.812500000000002</v>
      </c>
      <c r="Q48" s="106" t="s">
        <v>10</v>
      </c>
      <c r="R48" s="107" t="s">
        <v>10</v>
      </c>
      <c r="S48" s="113" t="s">
        <v>10</v>
      </c>
      <c r="T48" s="106">
        <f>SUM(E48,H48,N48)</f>
        <v>705.96629600147878</v>
      </c>
      <c r="U48" s="107">
        <f>SUM(F48,I48,O48)</f>
        <v>7250.193953088401</v>
      </c>
      <c r="V48" s="107"/>
    </row>
    <row r="49" spans="1:24" s="114" customFormat="1" x14ac:dyDescent="0.25">
      <c r="A49" s="109">
        <v>45302</v>
      </c>
      <c r="B49" s="110" t="s">
        <v>22</v>
      </c>
      <c r="C49" s="111">
        <v>-1.5</v>
      </c>
      <c r="D49" s="112">
        <v>0.76944444444444438</v>
      </c>
      <c r="E49" s="106">
        <f>Effort!F47</f>
        <v>115.94431372609321</v>
      </c>
      <c r="F49" s="107">
        <f>Harvest!F47</f>
        <v>347.83294117827961</v>
      </c>
      <c r="G49" s="108">
        <f>+CPUE!F47</f>
        <v>3</v>
      </c>
      <c r="H49" s="106">
        <f>Effort!H47</f>
        <v>211.15793094103583</v>
      </c>
      <c r="I49" s="107">
        <f>Harvest!H47</f>
        <v>633.47379282310749</v>
      </c>
      <c r="J49" s="108">
        <f>CPUE!H47</f>
        <v>3</v>
      </c>
      <c r="K49" s="106" t="str">
        <f>Effort!J47</f>
        <v>CLOSED</v>
      </c>
      <c r="L49" s="107" t="str">
        <f>Harvest!J47</f>
        <v>CLOSED</v>
      </c>
      <c r="M49" s="108" t="str">
        <f>CPUE!J47</f>
        <v>CLOSED</v>
      </c>
      <c r="N49" s="106">
        <f>Effort!L47</f>
        <v>100.41077203658</v>
      </c>
      <c r="O49" s="107">
        <f>Harvest!L47</f>
        <v>273.847560099764</v>
      </c>
      <c r="P49" s="108">
        <f>CPUE!L47</f>
        <v>2.7272727272727311</v>
      </c>
      <c r="Q49" s="106" t="s">
        <v>10</v>
      </c>
      <c r="R49" s="107" t="s">
        <v>10</v>
      </c>
      <c r="S49" s="113" t="s">
        <v>10</v>
      </c>
      <c r="T49" s="106">
        <f>SUM(E49,H49,N49)</f>
        <v>427.51301670370907</v>
      </c>
      <c r="U49" s="107">
        <f>SUM(F49,I49,O49)</f>
        <v>1255.1542941011512</v>
      </c>
      <c r="V49" s="107"/>
    </row>
    <row r="50" spans="1:24" s="114" customFormat="1" x14ac:dyDescent="0.25">
      <c r="A50" s="109">
        <v>45303</v>
      </c>
      <c r="B50" s="110" t="s">
        <v>18</v>
      </c>
      <c r="C50" s="111">
        <v>-1.6</v>
      </c>
      <c r="D50" s="112">
        <v>0.7993055555555556</v>
      </c>
      <c r="E50" s="106">
        <f>Effort!F48</f>
        <v>34.746755208932484</v>
      </c>
      <c r="F50" s="107">
        <f>Harvest!F48</f>
        <v>312.72079688039236</v>
      </c>
      <c r="G50" s="108">
        <f>+CPUE!F48</f>
        <v>9</v>
      </c>
      <c r="H50" s="106">
        <f>Effort!H48</f>
        <v>247.52626837731563</v>
      </c>
      <c r="I50" s="107">
        <f>Harvest!H48</f>
        <v>2227.7364153958406</v>
      </c>
      <c r="J50" s="108">
        <f>CPUE!H48</f>
        <v>9</v>
      </c>
      <c r="K50" s="106">
        <f>Effort!J48</f>
        <v>371.32350923203597</v>
      </c>
      <c r="L50" s="107">
        <f>Harvest!J48</f>
        <v>3438.1806410373702</v>
      </c>
      <c r="M50" s="108">
        <f>CPUE!J48</f>
        <v>9.2592592592592595</v>
      </c>
      <c r="N50" s="106" t="str">
        <f>Effort!L48</f>
        <v>CLOSED</v>
      </c>
      <c r="O50" s="107" t="str">
        <f>Harvest!L48</f>
        <v>CLOSED</v>
      </c>
      <c r="P50" s="108" t="str">
        <f>CPUE!L48</f>
        <v>CLOSED</v>
      </c>
      <c r="Q50" s="106" t="s">
        <v>10</v>
      </c>
      <c r="R50" s="107" t="s">
        <v>10</v>
      </c>
      <c r="S50" s="113" t="s">
        <v>10</v>
      </c>
      <c r="T50" s="106">
        <f>SUM(E50,H50,K50)</f>
        <v>653.596532818284</v>
      </c>
      <c r="U50" s="107">
        <f>SUM(F50,I50,L50)</f>
        <v>5978.637853313603</v>
      </c>
      <c r="V50" s="107"/>
    </row>
    <row r="51" spans="1:24" s="114" customFormat="1" x14ac:dyDescent="0.25">
      <c r="A51" s="109">
        <v>45304</v>
      </c>
      <c r="B51" s="110" t="s">
        <v>19</v>
      </c>
      <c r="C51" s="111">
        <v>-1.3</v>
      </c>
      <c r="D51" s="112">
        <v>0.82847222222222217</v>
      </c>
      <c r="E51" s="106">
        <f>Effort!F49</f>
        <v>38.14424145385064</v>
      </c>
      <c r="F51" s="107">
        <f>Harvest!F49</f>
        <v>343.29817308465579</v>
      </c>
      <c r="G51" s="108">
        <f>+CPUE!F49</f>
        <v>9</v>
      </c>
      <c r="H51" s="106">
        <f>Effort!H49</f>
        <v>271.72902017416999</v>
      </c>
      <c r="I51" s="107">
        <f>Harvest!H49</f>
        <v>2189.8162214036101</v>
      </c>
      <c r="J51" s="108">
        <f>CPUE!H49</f>
        <v>8.0588235294117823</v>
      </c>
      <c r="K51" s="106">
        <f>Effort!J49</f>
        <v>407.63097182659402</v>
      </c>
      <c r="L51" s="107">
        <f>Harvest!J49</f>
        <v>3489.3211188356499</v>
      </c>
      <c r="M51" s="108">
        <f>CPUE!J49</f>
        <v>8.5600000000000129</v>
      </c>
      <c r="N51" s="106" t="str">
        <f>Effort!L49</f>
        <v>CLOSED</v>
      </c>
      <c r="O51" s="107" t="str">
        <f>Harvest!L49</f>
        <v>CLOSED</v>
      </c>
      <c r="P51" s="108" t="str">
        <f>CPUE!L49</f>
        <v>CLOSED</v>
      </c>
      <c r="Q51" s="106" t="s">
        <v>10</v>
      </c>
      <c r="R51" s="107" t="s">
        <v>10</v>
      </c>
      <c r="S51" s="113" t="s">
        <v>10</v>
      </c>
      <c r="T51" s="106">
        <f>SUM(E51,H51,K51)</f>
        <v>717.50423345461468</v>
      </c>
      <c r="U51" s="107">
        <f>SUM(F51,I51,L51)</f>
        <v>6022.435513323916</v>
      </c>
      <c r="V51" s="107"/>
    </row>
    <row r="52" spans="1:24" s="114" customFormat="1" x14ac:dyDescent="0.25">
      <c r="A52" s="109">
        <v>45305</v>
      </c>
      <c r="B52" s="110" t="s">
        <v>20</v>
      </c>
      <c r="C52" s="111">
        <v>-0.8</v>
      </c>
      <c r="D52" s="112">
        <v>0.85833333333333339</v>
      </c>
      <c r="E52" s="106">
        <f>Effort!F50</f>
        <v>41.617362933846778</v>
      </c>
      <c r="F52" s="107">
        <f>Harvest!F50</f>
        <v>237.21896872292663</v>
      </c>
      <c r="G52" s="108">
        <f>+CPUE!F50</f>
        <v>5.7</v>
      </c>
      <c r="H52" s="106">
        <f>Effort!H50</f>
        <v>296.470576454612</v>
      </c>
      <c r="I52" s="107">
        <f>Harvest!H50</f>
        <v>2223.5293234095898</v>
      </c>
      <c r="J52" s="108">
        <f>CPUE!H50</f>
        <v>7.4999999999999991</v>
      </c>
      <c r="K52" s="106" t="str">
        <f>Effort!J50</f>
        <v>CLOSED</v>
      </c>
      <c r="L52" s="107" t="str">
        <f>Harvest!J50</f>
        <v>CLOSED</v>
      </c>
      <c r="M52" s="108" t="str">
        <f>CPUE!J50</f>
        <v>CLOSED</v>
      </c>
      <c r="N52" s="106">
        <f>Effort!L50</f>
        <v>140.97902615010099</v>
      </c>
      <c r="O52" s="107">
        <f>Harvest!L50</f>
        <v>1309.0909571080799</v>
      </c>
      <c r="P52" s="108">
        <f>CPUE!L50</f>
        <v>9.2857142857142811</v>
      </c>
      <c r="Q52" s="106" t="s">
        <v>10</v>
      </c>
      <c r="R52" s="107" t="s">
        <v>10</v>
      </c>
      <c r="S52" s="113" t="s">
        <v>10</v>
      </c>
      <c r="T52" s="106">
        <f>SUM(E52,H52,N52)</f>
        <v>479.06696553855977</v>
      </c>
      <c r="U52" s="107">
        <f>SUM(F52,I52,O52)</f>
        <v>3769.8392492405965</v>
      </c>
      <c r="V52" s="107"/>
    </row>
    <row r="53" spans="1:24" s="114" customFormat="1" x14ac:dyDescent="0.25">
      <c r="A53" s="109">
        <v>45306</v>
      </c>
      <c r="B53" s="110" t="s">
        <v>21</v>
      </c>
      <c r="C53" s="111">
        <v>0</v>
      </c>
      <c r="D53" s="112">
        <v>0.8881944444444444</v>
      </c>
      <c r="E53" s="106" t="str">
        <f>Effort!F51</f>
        <v>CLOSED</v>
      </c>
      <c r="F53" s="107" t="str">
        <f>Harvest!F51</f>
        <v>CLOSED</v>
      </c>
      <c r="G53" s="108" t="str">
        <f>+CPUE!F51</f>
        <v>CLOSED</v>
      </c>
      <c r="H53" s="106" t="str">
        <f>Effort!H51</f>
        <v>CLOSED</v>
      </c>
      <c r="I53" s="107" t="str">
        <f>Harvest!H51</f>
        <v>CLOSED</v>
      </c>
      <c r="J53" s="108" t="str">
        <f>CPUE!H51</f>
        <v>CLOSED</v>
      </c>
      <c r="K53" s="106" t="str">
        <f>Effort!J51</f>
        <v>CLOSED</v>
      </c>
      <c r="L53" s="107" t="str">
        <f>Harvest!J51</f>
        <v>CLOSED</v>
      </c>
      <c r="M53" s="108" t="str">
        <f>CPUE!J51</f>
        <v>CLOSED</v>
      </c>
      <c r="N53" s="106">
        <f>Effort!L51</f>
        <v>16</v>
      </c>
      <c r="O53" s="107">
        <f>Harvest!L51</f>
        <v>60</v>
      </c>
      <c r="P53" s="108">
        <f>CPUE!L51</f>
        <v>3.75</v>
      </c>
      <c r="Q53" s="106" t="s">
        <v>10</v>
      </c>
      <c r="R53" s="107" t="s">
        <v>10</v>
      </c>
      <c r="S53" s="113" t="s">
        <v>10</v>
      </c>
      <c r="T53" s="106">
        <f>SUM(E53,H53,N53)</f>
        <v>16</v>
      </c>
      <c r="U53" s="107">
        <f>SUM(F53,I53,O53)</f>
        <v>60</v>
      </c>
      <c r="V53" s="107"/>
    </row>
    <row r="54" spans="1:24" s="114" customFormat="1" x14ac:dyDescent="0.25">
      <c r="A54" s="125" t="s">
        <v>50</v>
      </c>
      <c r="B54" s="125"/>
      <c r="C54" s="125"/>
      <c r="D54" s="126"/>
      <c r="E54" s="115">
        <f>SUM(E47:E53)</f>
        <v>364.80484229375094</v>
      </c>
      <c r="F54" s="116">
        <f>SUM(F47:F53)</f>
        <v>2419.3172050818152</v>
      </c>
      <c r="G54" s="117">
        <f>+F54/E54</f>
        <v>6.6318122036705702</v>
      </c>
      <c r="H54" s="115">
        <f>SUM(H47:H53)</f>
        <v>1369.1734116758255</v>
      </c>
      <c r="I54" s="116">
        <f>SUM(I47:I53)</f>
        <v>10526.307102454719</v>
      </c>
      <c r="J54" s="117">
        <f>+I54/H54</f>
        <v>7.6880744343193514</v>
      </c>
      <c r="K54" s="115">
        <f>SUM(K47:K53)</f>
        <v>843.12114772529662</v>
      </c>
      <c r="L54" s="116">
        <f>SUM(L47:L53)</f>
        <v>7175.0017598730201</v>
      </c>
      <c r="M54" s="117">
        <f>+L54/K54</f>
        <v>8.5100483830003029</v>
      </c>
      <c r="N54" s="115">
        <f>SUM(N47:N53)</f>
        <v>536.71430948843999</v>
      </c>
      <c r="O54" s="116">
        <f>SUM(O47:O53)</f>
        <v>4663.1347956581139</v>
      </c>
      <c r="P54" s="117">
        <f>+O54/N54</f>
        <v>8.6882997401405238</v>
      </c>
      <c r="Q54" s="115"/>
      <c r="R54" s="116"/>
      <c r="S54" s="117"/>
      <c r="T54" s="115">
        <f>SUM(T47:T53)</f>
        <v>3113.813711183313</v>
      </c>
      <c r="U54" s="116">
        <f>SUM(U47:U53)</f>
        <v>24783.76086306767</v>
      </c>
      <c r="V54" s="118"/>
      <c r="W54" s="119">
        <f>SUM(H54,K54,N54,Q54,E54)</f>
        <v>3113.813711183313</v>
      </c>
      <c r="X54" s="119">
        <f>SUM(R54,O54,L54,I54,F54)</f>
        <v>24783.760863067666</v>
      </c>
    </row>
    <row r="55" spans="1:24" s="114" customFormat="1" x14ac:dyDescent="0.25">
      <c r="A55" s="109">
        <v>45313</v>
      </c>
      <c r="B55" s="110" t="s">
        <v>21</v>
      </c>
      <c r="C55" s="111">
        <v>-0.1</v>
      </c>
      <c r="D55" s="112">
        <v>0.68611111111111101</v>
      </c>
      <c r="E55" s="106" t="str">
        <f>Effort!F53</f>
        <v>CLOSED</v>
      </c>
      <c r="F55" s="107" t="str">
        <f>Harvest!F53</f>
        <v>CLOSED</v>
      </c>
      <c r="G55" s="108" t="str">
        <f>+CPUE!F53</f>
        <v>CLOSED</v>
      </c>
      <c r="H55" s="106" t="str">
        <f>Effort!H53</f>
        <v>CLOSED</v>
      </c>
      <c r="I55" s="107" t="str">
        <f>Harvest!H53</f>
        <v>CLOSED</v>
      </c>
      <c r="J55" s="108" t="str">
        <f>CPUE!H53</f>
        <v>CLOSED</v>
      </c>
      <c r="K55" s="106" t="str">
        <f>Effort!J53</f>
        <v>CLOSED</v>
      </c>
      <c r="L55" s="107" t="str">
        <f>Harvest!J53</f>
        <v>CLOSED</v>
      </c>
      <c r="M55" s="108" t="str">
        <f>CPUE!J53</f>
        <v>CLOSED</v>
      </c>
      <c r="N55" s="106">
        <f>Effort!L53</f>
        <v>512.60206249785404</v>
      </c>
      <c r="O55" s="107">
        <f>Harvest!L53</f>
        <v>7689.03093746781</v>
      </c>
      <c r="P55" s="108">
        <f>CPUE!L53</f>
        <v>14.999999999999998</v>
      </c>
      <c r="Q55" s="106" t="s">
        <v>10</v>
      </c>
      <c r="R55" s="107" t="s">
        <v>10</v>
      </c>
      <c r="S55" s="113" t="s">
        <v>10</v>
      </c>
      <c r="T55" s="106">
        <f>SUM(E55,H55,N55)</f>
        <v>512.60206249785404</v>
      </c>
      <c r="U55" s="107">
        <f>SUM(F55,I55,O55)</f>
        <v>7689.03093746781</v>
      </c>
      <c r="V55" s="107"/>
    </row>
    <row r="56" spans="1:24" s="114" customFormat="1" x14ac:dyDescent="0.25">
      <c r="A56" s="109">
        <v>45314</v>
      </c>
      <c r="B56" s="110" t="s">
        <v>66</v>
      </c>
      <c r="C56" s="111">
        <v>-0.3</v>
      </c>
      <c r="D56" s="112">
        <v>0.71736111111111101</v>
      </c>
      <c r="E56" s="106">
        <f>Effort!F54</f>
        <v>256.80596947450152</v>
      </c>
      <c r="F56" s="107">
        <f>Harvest!F54</f>
        <v>2568.0596947450153</v>
      </c>
      <c r="G56" s="108">
        <f>+CPUE!F54</f>
        <v>10</v>
      </c>
      <c r="H56" s="106">
        <f>Effort!H54</f>
        <v>337.67124521441497</v>
      </c>
      <c r="I56" s="107">
        <f>Harvest!H54</f>
        <v>3376.7124521441497</v>
      </c>
      <c r="J56" s="108">
        <f>CPUE!H54</f>
        <v>10</v>
      </c>
      <c r="K56" s="106" t="str">
        <f>Effort!J54</f>
        <v>CLOSED</v>
      </c>
      <c r="L56" s="107" t="str">
        <f>Harvest!J54</f>
        <v>CLOSED</v>
      </c>
      <c r="M56" s="108" t="str">
        <f>CPUE!J54</f>
        <v>CLOSED</v>
      </c>
      <c r="N56" s="106">
        <f>Effort!L54</f>
        <v>611.35328984581804</v>
      </c>
      <c r="O56" s="107">
        <f>Harvest!L54</f>
        <v>8540.9650787283408</v>
      </c>
      <c r="P56" s="108">
        <f>CPUE!L54</f>
        <v>13.970588235294118</v>
      </c>
      <c r="Q56" s="106" t="s">
        <v>10</v>
      </c>
      <c r="R56" s="107" t="s">
        <v>10</v>
      </c>
      <c r="S56" s="113" t="s">
        <v>10</v>
      </c>
      <c r="T56" s="106">
        <f>SUM(E56,H56,N56)</f>
        <v>1205.8305045347347</v>
      </c>
      <c r="U56" s="107">
        <f>SUM(F56,I56,O56)</f>
        <v>14485.737225617506</v>
      </c>
      <c r="V56" s="107"/>
    </row>
    <row r="57" spans="1:24" s="114" customFormat="1" x14ac:dyDescent="0.25">
      <c r="A57" s="109">
        <v>45315</v>
      </c>
      <c r="B57" s="110" t="s">
        <v>67</v>
      </c>
      <c r="C57" s="111">
        <v>-0.4</v>
      </c>
      <c r="D57" s="112">
        <v>0.74513888888888891</v>
      </c>
      <c r="E57" s="106">
        <f>Effort!F55</f>
        <v>293.67145399623632</v>
      </c>
      <c r="F57" s="107">
        <f>Harvest!F55</f>
        <v>2321.1247161288729</v>
      </c>
      <c r="G57" s="108">
        <f>+CPUE!F55</f>
        <v>7.9038145674132165</v>
      </c>
      <c r="H57" s="106">
        <f>Effort!H55</f>
        <v>386.14525105376498</v>
      </c>
      <c r="I57" s="107">
        <f>Harvest!H55</f>
        <v>3877.5418959982198</v>
      </c>
      <c r="J57" s="108">
        <f>CPUE!H55</f>
        <v>10.041666666666657</v>
      </c>
      <c r="K57" s="106">
        <f>Effort!J55</f>
        <v>622.76105913292895</v>
      </c>
      <c r="L57" s="107">
        <f>Harvest!J55</f>
        <v>5009.1650408518199</v>
      </c>
      <c r="M57" s="108">
        <f>CPUE!J55</f>
        <v>8.0434782608695645</v>
      </c>
      <c r="N57" s="106" t="str">
        <f>Effort!L55</f>
        <v>CLOSED</v>
      </c>
      <c r="O57" s="107" t="str">
        <f>Harvest!L55</f>
        <v>CLOSED</v>
      </c>
      <c r="P57" s="108" t="str">
        <f>CPUE!L55</f>
        <v>CLOSED</v>
      </c>
      <c r="Q57" s="106" t="s">
        <v>10</v>
      </c>
      <c r="R57" s="107" t="s">
        <v>10</v>
      </c>
      <c r="S57" s="113" t="s">
        <v>10</v>
      </c>
      <c r="T57" s="106">
        <f>SUM(E57,H57,K57)</f>
        <v>1302.5777641829302</v>
      </c>
      <c r="U57" s="107">
        <f>SUM(F57,I57,L57)</f>
        <v>11207.831652978912</v>
      </c>
      <c r="V57" s="107"/>
    </row>
    <row r="58" spans="1:24" s="114" customFormat="1" x14ac:dyDescent="0.25">
      <c r="A58" s="109">
        <v>45316</v>
      </c>
      <c r="B58" s="110" t="s">
        <v>22</v>
      </c>
      <c r="C58" s="111">
        <v>-0.4</v>
      </c>
      <c r="D58" s="112">
        <v>0.76944444444444438</v>
      </c>
      <c r="E58" s="106">
        <f>Effort!F56</f>
        <v>117.85831865906849</v>
      </c>
      <c r="F58" s="107">
        <f>Harvest!F56</f>
        <v>471.43327463627395</v>
      </c>
      <c r="G58" s="108">
        <f>+CPUE!F56</f>
        <v>4</v>
      </c>
      <c r="H58" s="106">
        <f>Effort!H56</f>
        <v>154.97056124482532</v>
      </c>
      <c r="I58" s="107">
        <f>Harvest!H56</f>
        <v>619.88224497930128</v>
      </c>
      <c r="J58" s="108">
        <f>CPUE!H56</f>
        <v>4</v>
      </c>
      <c r="K58" s="106">
        <f>Effort!J56</f>
        <v>249.930901887006</v>
      </c>
      <c r="L58" s="107">
        <f>Harvest!J56</f>
        <v>1059.2309651401699</v>
      </c>
      <c r="M58" s="108">
        <f>CPUE!J56</f>
        <v>4.2380952380952444</v>
      </c>
      <c r="N58" s="106" t="str">
        <f>Effort!L56</f>
        <v>CLOSED</v>
      </c>
      <c r="O58" s="107" t="str">
        <f>Harvest!L56</f>
        <v>CLOSED</v>
      </c>
      <c r="P58" s="108" t="str">
        <f>CPUE!L56</f>
        <v>CLOSED</v>
      </c>
      <c r="Q58" s="106" t="s">
        <v>10</v>
      </c>
      <c r="R58" s="107" t="s">
        <v>10</v>
      </c>
      <c r="S58" s="113" t="s">
        <v>10</v>
      </c>
      <c r="T58" s="106">
        <f>SUM(E58,H58,K58)</f>
        <v>522.75978179089986</v>
      </c>
      <c r="U58" s="107">
        <f>SUM(F58,I58,L58)</f>
        <v>2150.546484755745</v>
      </c>
      <c r="V58" s="107"/>
    </row>
    <row r="59" spans="1:24" s="114" customFormat="1" x14ac:dyDescent="0.25">
      <c r="A59" s="109">
        <v>45317</v>
      </c>
      <c r="B59" s="110" t="s">
        <v>18</v>
      </c>
      <c r="C59" s="111">
        <v>-0.2</v>
      </c>
      <c r="D59" s="112">
        <v>0.79236111111111107</v>
      </c>
      <c r="E59" s="106">
        <f>Effort!F57</f>
        <v>98.762058313772698</v>
      </c>
      <c r="F59" s="107">
        <f>Harvest!F57</f>
        <v>98.762058313772698</v>
      </c>
      <c r="G59" s="108">
        <f>+CPUE!F57</f>
        <v>1</v>
      </c>
      <c r="H59" s="106">
        <f>Effort!H57</f>
        <v>129.861105950894</v>
      </c>
      <c r="I59" s="107">
        <f>Harvest!H57</f>
        <v>23.611110172889902</v>
      </c>
      <c r="J59" s="108">
        <f>CPUE!H57</f>
        <v>0.18181818181818246</v>
      </c>
      <c r="K59" s="106" t="str">
        <f>Effort!J57</f>
        <v>CLOSED</v>
      </c>
      <c r="L59" s="107" t="str">
        <f>Harvest!J57</f>
        <v>CLOSED</v>
      </c>
      <c r="M59" s="108" t="str">
        <f>CPUE!J57</f>
        <v>CLOSED</v>
      </c>
      <c r="N59" s="106">
        <f>Effort!L57</f>
        <v>235.113340182945</v>
      </c>
      <c r="O59" s="107">
        <f>Harvest!L57</f>
        <v>677.67962758613396</v>
      </c>
      <c r="P59" s="108">
        <f>CPUE!L57</f>
        <v>2.8823529411764639</v>
      </c>
      <c r="Q59" s="106" t="s">
        <v>10</v>
      </c>
      <c r="R59" s="107" t="s">
        <v>10</v>
      </c>
      <c r="S59" s="113" t="s">
        <v>10</v>
      </c>
      <c r="T59" s="106">
        <f>SUM(E59,H59,N59)</f>
        <v>463.73650444761165</v>
      </c>
      <c r="U59" s="107">
        <f>SUM(F59,I59,O59)</f>
        <v>800.05279607279658</v>
      </c>
      <c r="V59" s="107"/>
    </row>
    <row r="60" spans="1:24" s="114" customFormat="1" x14ac:dyDescent="0.25">
      <c r="A60" s="109">
        <v>45318</v>
      </c>
      <c r="B60" s="110" t="s">
        <v>19</v>
      </c>
      <c r="C60" s="111">
        <v>0</v>
      </c>
      <c r="D60" s="112">
        <v>0.81388888888888899</v>
      </c>
      <c r="E60" s="106">
        <f>Effort!F58</f>
        <v>120.75840739026376</v>
      </c>
      <c r="F60" s="107">
        <f>Harvest!F58</f>
        <v>60.379203695131878</v>
      </c>
      <c r="G60" s="108">
        <f>+CPUE!F58</f>
        <v>0.5</v>
      </c>
      <c r="H60" s="106" t="str">
        <f>Effort!H58</f>
        <v>CLOSED</v>
      </c>
      <c r="I60" s="107" t="str">
        <f>Harvest!H58</f>
        <v>CLOSED</v>
      </c>
      <c r="J60" s="108" t="str">
        <f>CPUE!H58</f>
        <v>CLOSED</v>
      </c>
      <c r="K60" s="106" t="str">
        <f>Effort!J58</f>
        <v>CLOSED</v>
      </c>
      <c r="L60" s="107" t="str">
        <f>Harvest!J58</f>
        <v>CLOSED</v>
      </c>
      <c r="M60" s="108" t="str">
        <f>CPUE!J58</f>
        <v>CLOSED</v>
      </c>
      <c r="N60" s="106">
        <f>Effort!L58</f>
        <v>402.96294695065399</v>
      </c>
      <c r="O60" s="107">
        <f>Harvest!L58</f>
        <v>75.555552553247594</v>
      </c>
      <c r="P60" s="108">
        <f>CPUE!L58</f>
        <v>0.18749999999999992</v>
      </c>
      <c r="Q60" s="106" t="s">
        <v>10</v>
      </c>
      <c r="R60" s="107" t="s">
        <v>10</v>
      </c>
      <c r="S60" s="113" t="s">
        <v>10</v>
      </c>
      <c r="T60" s="106">
        <f>SUM(E60,H60,N60)</f>
        <v>523.72135434091774</v>
      </c>
      <c r="U60" s="107">
        <f>SUM(F60,I60,O60)</f>
        <v>135.93475624837947</v>
      </c>
      <c r="V60" s="107"/>
    </row>
    <row r="61" spans="1:24" s="114" customFormat="1" x14ac:dyDescent="0.25">
      <c r="A61" s="109">
        <v>45319</v>
      </c>
      <c r="B61" s="110" t="s">
        <v>20</v>
      </c>
      <c r="C61" s="111">
        <v>0.4</v>
      </c>
      <c r="D61" s="112">
        <v>0.83472222222222225</v>
      </c>
      <c r="E61" s="106" t="str">
        <f>Effort!F59</f>
        <v>CLOSED</v>
      </c>
      <c r="F61" s="107" t="str">
        <f>Harvest!F59</f>
        <v>CLOSED</v>
      </c>
      <c r="G61" s="108" t="str">
        <f>+CPUE!F59</f>
        <v>CLOSED</v>
      </c>
      <c r="H61" s="106" t="str">
        <f>Effort!H59</f>
        <v>CLOSED</v>
      </c>
      <c r="I61" s="107" t="str">
        <f>Harvest!H59</f>
        <v>CLOSED</v>
      </c>
      <c r="J61" s="108" t="str">
        <f>CPUE!H59</f>
        <v>CLOSED</v>
      </c>
      <c r="K61" s="106">
        <f>Effort!J59</f>
        <v>215.41665810677799</v>
      </c>
      <c r="L61" s="107">
        <f>Harvest!J59</f>
        <v>234.99999066193899</v>
      </c>
      <c r="M61" s="108">
        <f>CPUE!J59</f>
        <v>1.0909090909090879</v>
      </c>
      <c r="N61" s="106" t="str">
        <f>Effort!L59</f>
        <v>CLOSED</v>
      </c>
      <c r="O61" s="107" t="str">
        <f>Harvest!L59</f>
        <v>CLOSED</v>
      </c>
      <c r="P61" s="108" t="str">
        <f>CPUE!L59</f>
        <v>CLOSED</v>
      </c>
      <c r="Q61" s="106" t="s">
        <v>10</v>
      </c>
      <c r="R61" s="107" t="s">
        <v>10</v>
      </c>
      <c r="S61" s="113" t="s">
        <v>10</v>
      </c>
      <c r="T61" s="106">
        <f>SUM(E61,H61,K61)</f>
        <v>215.41665810677799</v>
      </c>
      <c r="U61" s="107">
        <f>SUM(F61,I61,L61)</f>
        <v>234.99999066193899</v>
      </c>
      <c r="V61" s="107"/>
    </row>
    <row r="62" spans="1:24" s="114" customFormat="1" x14ac:dyDescent="0.25">
      <c r="A62" s="125" t="s">
        <v>50</v>
      </c>
      <c r="B62" s="125"/>
      <c r="C62" s="125"/>
      <c r="D62" s="126"/>
      <c r="E62" s="115">
        <f>SUM(E55:E61)</f>
        <v>887.85620783384286</v>
      </c>
      <c r="F62" s="116">
        <f>SUM(F55:F61)</f>
        <v>5519.7589475190662</v>
      </c>
      <c r="G62" s="117">
        <f>+F62/E62</f>
        <v>6.2169514599508853</v>
      </c>
      <c r="H62" s="115">
        <f>SUM(H55:H61)</f>
        <v>1008.6481634638992</v>
      </c>
      <c r="I62" s="116">
        <f>SUM(I55:I61)</f>
        <v>7897.7477032945608</v>
      </c>
      <c r="J62" s="117">
        <f>+I62/H62</f>
        <v>7.8300323040019411</v>
      </c>
      <c r="K62" s="115">
        <f>SUM(K55:K61)</f>
        <v>1088.1086191267129</v>
      </c>
      <c r="L62" s="116">
        <f>SUM(L55:L61)</f>
        <v>6303.3959966539287</v>
      </c>
      <c r="M62" s="117">
        <f>+L62/K62</f>
        <v>5.7929841615562854</v>
      </c>
      <c r="N62" s="115">
        <f>SUM(N55:N61)</f>
        <v>1762.031639477271</v>
      </c>
      <c r="O62" s="116">
        <f>SUM(O55:O61)</f>
        <v>16983.231196335531</v>
      </c>
      <c r="P62" s="117">
        <f>+O62/N62</f>
        <v>9.6384371403080031</v>
      </c>
      <c r="Q62" s="115"/>
      <c r="R62" s="116"/>
      <c r="S62" s="117"/>
      <c r="T62" s="115">
        <f>SUM(T55:T61)</f>
        <v>4746.6446299017271</v>
      </c>
      <c r="U62" s="116">
        <f>SUM(U55:U61)</f>
        <v>36704.133843803094</v>
      </c>
      <c r="V62" s="118"/>
      <c r="W62" s="119">
        <f>SUM(H62,K62,N62,Q62,E62)</f>
        <v>4746.6446299017261</v>
      </c>
      <c r="X62" s="119">
        <f>SUM(R62,O62,L62,I62,F62)</f>
        <v>36704.133843803087</v>
      </c>
    </row>
    <row r="63" spans="1:24" s="114" customFormat="1" x14ac:dyDescent="0.25">
      <c r="A63" s="109">
        <v>45328</v>
      </c>
      <c r="B63" s="110" t="s">
        <v>66</v>
      </c>
      <c r="C63" s="111">
        <v>0</v>
      </c>
      <c r="D63" s="112">
        <v>0.66111111111111109</v>
      </c>
      <c r="E63" s="106" t="str">
        <f>Effort!F61</f>
        <v>CLOSED</v>
      </c>
      <c r="F63" s="107" t="str">
        <f>Harvest!F61</f>
        <v>CLOSED</v>
      </c>
      <c r="G63" s="108" t="str">
        <f>+CPUE!F61</f>
        <v>CLOSED</v>
      </c>
      <c r="H63" s="106" t="str">
        <f>Effort!H61</f>
        <v>CLOSED</v>
      </c>
      <c r="I63" s="107" t="str">
        <f>Harvest!H61</f>
        <v>CLOSED</v>
      </c>
      <c r="J63" s="108" t="str">
        <f>CPUE!H61</f>
        <v>CLOSED</v>
      </c>
      <c r="K63" s="106" t="str">
        <f>Effort!J61</f>
        <v>CLOSED</v>
      </c>
      <c r="L63" s="107" t="str">
        <f>Harvest!J61</f>
        <v>CLOSED</v>
      </c>
      <c r="M63" s="108" t="str">
        <f>CPUE!J61</f>
        <v>CLOSED</v>
      </c>
      <c r="N63" s="106">
        <f>Effort!L61</f>
        <v>926.71536556030401</v>
      </c>
      <c r="O63" s="107">
        <f>Harvest!L61</f>
        <v>13784.891062709499</v>
      </c>
      <c r="P63" s="108">
        <f>CPUE!L61</f>
        <v>14.874999999999975</v>
      </c>
      <c r="Q63" s="106" t="s">
        <v>10</v>
      </c>
      <c r="R63" s="107" t="s">
        <v>10</v>
      </c>
      <c r="S63" s="113" t="s">
        <v>10</v>
      </c>
      <c r="T63" s="106">
        <f>SUM(E63,H63,N63)</f>
        <v>926.71536556030401</v>
      </c>
      <c r="U63" s="107">
        <f>SUM(F63,I63,O63)</f>
        <v>13784.891062709499</v>
      </c>
      <c r="V63" s="107"/>
    </row>
    <row r="64" spans="1:24" s="114" customFormat="1" x14ac:dyDescent="0.25">
      <c r="A64" s="109">
        <v>45329</v>
      </c>
      <c r="B64" s="110" t="s">
        <v>67</v>
      </c>
      <c r="C64" s="111">
        <v>-0.7</v>
      </c>
      <c r="D64" s="112">
        <v>0.69513888888888886</v>
      </c>
      <c r="E64" s="106">
        <f>Effort!F62</f>
        <v>1407.916225794256</v>
      </c>
      <c r="F64" s="107">
        <f>Harvest!F62</f>
        <v>19710.827161119585</v>
      </c>
      <c r="G64" s="108">
        <f>+CPUE!F62</f>
        <v>14</v>
      </c>
      <c r="H64" s="106">
        <f>Effort!H62</f>
        <v>947.51419401603391</v>
      </c>
      <c r="I64" s="107">
        <f>Harvest!H62</f>
        <v>13265.198716224475</v>
      </c>
      <c r="J64" s="108">
        <f>CPUE!H62</f>
        <v>14</v>
      </c>
      <c r="K64" s="106">
        <f>Effort!J62</f>
        <v>2219.2506991907098</v>
      </c>
      <c r="L64" s="107">
        <f>Harvest!J62</f>
        <v>31031.895370039601</v>
      </c>
      <c r="M64" s="108">
        <f>CPUE!J62</f>
        <v>13.983050847457633</v>
      </c>
      <c r="N64" s="106" t="str">
        <f>Effort!L62</f>
        <v>CLOSED</v>
      </c>
      <c r="O64" s="107" t="str">
        <f>Harvest!L62</f>
        <v>CLOSED</v>
      </c>
      <c r="P64" s="108" t="str">
        <f>CPUE!L62</f>
        <v>CLOSED</v>
      </c>
      <c r="Q64" s="106" t="s">
        <v>10</v>
      </c>
      <c r="R64" s="107" t="s">
        <v>10</v>
      </c>
      <c r="S64" s="113" t="s">
        <v>10</v>
      </c>
      <c r="T64" s="106">
        <f>SUM(E64,H64,K64)</f>
        <v>4574.6811190009994</v>
      </c>
      <c r="U64" s="107">
        <f>SUM(F64,I64,L64)</f>
        <v>64007.92124738366</v>
      </c>
      <c r="V64" s="107"/>
    </row>
    <row r="65" spans="1:24" s="114" customFormat="1" x14ac:dyDescent="0.25">
      <c r="A65" s="109">
        <v>45330</v>
      </c>
      <c r="B65" s="110" t="s">
        <v>22</v>
      </c>
      <c r="C65" s="111">
        <v>-1.2</v>
      </c>
      <c r="D65" s="112">
        <v>0.72638888888888886</v>
      </c>
      <c r="E65" s="106">
        <f>Effort!F63</f>
        <v>2007.5370700619728</v>
      </c>
      <c r="F65" s="107">
        <f>Harvest!F63</f>
        <v>27904.765273861423</v>
      </c>
      <c r="G65" s="108">
        <f>+CPUE!F63</f>
        <v>13.9</v>
      </c>
      <c r="H65" s="106">
        <f>Effort!H63</f>
        <v>1351.05330420068</v>
      </c>
      <c r="I65" s="107">
        <f>Harvest!H63</f>
        <v>18479.661296439899</v>
      </c>
      <c r="J65" s="108">
        <f>CPUE!H63</f>
        <v>13.677966101694981</v>
      </c>
      <c r="K65" s="106">
        <f>Effort!J63</f>
        <v>3164.4127432887199</v>
      </c>
      <c r="L65" s="107">
        <f>Harvest!J63</f>
        <v>38816.796317674904</v>
      </c>
      <c r="M65" s="108">
        <f>CPUE!J63</f>
        <v>12.266666666666648</v>
      </c>
      <c r="N65" s="106" t="str">
        <f>Effort!L63</f>
        <v>CLOSED</v>
      </c>
      <c r="O65" s="107" t="str">
        <f>Harvest!L63</f>
        <v>CLOSED</v>
      </c>
      <c r="P65" s="108" t="str">
        <f>CPUE!L63</f>
        <v>CLOSED</v>
      </c>
      <c r="Q65" s="106" t="s">
        <v>10</v>
      </c>
      <c r="R65" s="107" t="s">
        <v>10</v>
      </c>
      <c r="S65" s="113" t="s">
        <v>10</v>
      </c>
      <c r="T65" s="106">
        <f>SUM(E65,H65,K65)</f>
        <v>6523.0031175513723</v>
      </c>
      <c r="U65" s="107">
        <f>SUM(F65,I65,L65)</f>
        <v>85201.222887976226</v>
      </c>
      <c r="V65" s="107"/>
    </row>
    <row r="66" spans="1:24" s="114" customFormat="1" x14ac:dyDescent="0.25">
      <c r="A66" s="109">
        <v>45331</v>
      </c>
      <c r="B66" s="110" t="s">
        <v>18</v>
      </c>
      <c r="C66" s="111">
        <v>-1.4</v>
      </c>
      <c r="D66" s="112">
        <v>0.75624999999999998</v>
      </c>
      <c r="E66" s="106">
        <f>Effort!F64</f>
        <v>1450.1739975044566</v>
      </c>
      <c r="F66" s="107">
        <f>Harvest!F64</f>
        <v>21027.522963814619</v>
      </c>
      <c r="G66" s="108">
        <f>+CPUE!F64</f>
        <v>14.5</v>
      </c>
      <c r="H66" s="106">
        <f>Effort!H64</f>
        <v>1822.7937481767799</v>
      </c>
      <c r="I66" s="107">
        <f>Harvest!H64</f>
        <v>25930.711062773</v>
      </c>
      <c r="J66" s="108">
        <f>CPUE!H64</f>
        <v>14.225806451612957</v>
      </c>
      <c r="K66" s="106" t="str">
        <f>Effort!J64</f>
        <v>CLOSED</v>
      </c>
      <c r="L66" s="107" t="str">
        <f>Harvest!J64</f>
        <v>CLOSED</v>
      </c>
      <c r="M66" s="108" t="str">
        <f>CPUE!J64</f>
        <v>CLOSED</v>
      </c>
      <c r="N66" s="106">
        <f>Effort!L64</f>
        <v>1605.0688757847299</v>
      </c>
      <c r="O66" s="107">
        <f>Harvest!L64</f>
        <v>23256.4234980724</v>
      </c>
      <c r="P66" s="108">
        <f>CPUE!L64</f>
        <v>14.489361702127683</v>
      </c>
      <c r="Q66" s="106" t="s">
        <v>10</v>
      </c>
      <c r="R66" s="107" t="s">
        <v>10</v>
      </c>
      <c r="S66" s="113" t="s">
        <v>10</v>
      </c>
      <c r="T66" s="106">
        <f>SUM(E66,H66,N66)</f>
        <v>4878.0366214659662</v>
      </c>
      <c r="U66" s="107">
        <f>SUM(F66,I66,O66)</f>
        <v>70214.657524660026</v>
      </c>
      <c r="V66" s="107"/>
    </row>
    <row r="67" spans="1:24" s="114" customFormat="1" x14ac:dyDescent="0.25">
      <c r="A67" s="109">
        <v>45332</v>
      </c>
      <c r="B67" s="110" t="s">
        <v>19</v>
      </c>
      <c r="C67" s="111">
        <v>-1.4</v>
      </c>
      <c r="D67" s="112">
        <v>0.78402777777777777</v>
      </c>
      <c r="E67" s="106">
        <f>Effort!F65</f>
        <v>3307.7156972888915</v>
      </c>
      <c r="F67" s="107">
        <f>Harvest!F65</f>
        <v>23154.009881022241</v>
      </c>
      <c r="G67" s="108">
        <f>+CPUE!F65</f>
        <v>7</v>
      </c>
      <c r="H67" s="106">
        <f>Effort!H65</f>
        <v>2226.0611217707965</v>
      </c>
      <c r="I67" s="107">
        <f>Harvest!H65</f>
        <v>20034.550095937167</v>
      </c>
      <c r="J67" s="108">
        <f>CPUE!H65</f>
        <v>9</v>
      </c>
      <c r="K67" s="106" t="str">
        <f>Effort!J65</f>
        <v>CLOSED</v>
      </c>
      <c r="L67" s="107" t="str">
        <f>Harvest!J65</f>
        <v>CLOSED</v>
      </c>
      <c r="M67" s="108" t="str">
        <f>CPUE!J65</f>
        <v>CLOSED</v>
      </c>
      <c r="N67" s="106">
        <f>Effort!L65</f>
        <v>3661.0169019712198</v>
      </c>
      <c r="O67" s="107">
        <f>Harvest!L65</f>
        <v>40556.459965992901</v>
      </c>
      <c r="P67" s="108">
        <f>CPUE!L65</f>
        <v>11.077922077922087</v>
      </c>
      <c r="Q67" s="106" t="s">
        <v>10</v>
      </c>
      <c r="R67" s="107" t="s">
        <v>10</v>
      </c>
      <c r="S67" s="113" t="s">
        <v>10</v>
      </c>
      <c r="T67" s="106">
        <f>SUM(E67,H67,N67)</f>
        <v>9194.7937210309083</v>
      </c>
      <c r="U67" s="107">
        <f>SUM(F67,I67,O67)</f>
        <v>83745.01994295232</v>
      </c>
      <c r="V67" s="107"/>
    </row>
    <row r="68" spans="1:24" s="114" customFormat="1" x14ac:dyDescent="0.25">
      <c r="A68" s="109">
        <v>45333</v>
      </c>
      <c r="B68" s="110" t="s">
        <v>20</v>
      </c>
      <c r="C68" s="111">
        <v>-1</v>
      </c>
      <c r="D68" s="112">
        <v>0.81180555555555556</v>
      </c>
      <c r="E68" s="106">
        <f>Effort!F66</f>
        <v>145.67947134130398</v>
      </c>
      <c r="F68" s="107">
        <f>Harvest!F66</f>
        <v>728.39735670651987</v>
      </c>
      <c r="G68" s="108">
        <f>+CPUE!F66</f>
        <v>5</v>
      </c>
      <c r="H68" s="106">
        <f>Effort!H66</f>
        <v>73.958330394493302</v>
      </c>
      <c r="I68" s="107">
        <f>Harvest!H66</f>
        <v>162.70832686788501</v>
      </c>
      <c r="J68" s="108">
        <f>CPUE!H66</f>
        <v>2.1999999999999966</v>
      </c>
      <c r="K68" s="106">
        <f>Effort!J66</f>
        <v>229.62962050496799</v>
      </c>
      <c r="L68" s="107">
        <f>Harvest!J66</f>
        <v>1406.48142559293</v>
      </c>
      <c r="M68" s="108">
        <f>CPUE!J66</f>
        <v>6.1250000000000044</v>
      </c>
      <c r="N68" s="106" t="str">
        <f>Effort!L66</f>
        <v>CLOSED</v>
      </c>
      <c r="O68" s="107" t="str">
        <f>Harvest!L66</f>
        <v>CLOSED</v>
      </c>
      <c r="P68" s="108" t="str">
        <f>CPUE!L66</f>
        <v>CLOSED</v>
      </c>
      <c r="Q68" s="106" t="s">
        <v>10</v>
      </c>
      <c r="R68" s="107" t="s">
        <v>10</v>
      </c>
      <c r="S68" s="113" t="s">
        <v>10</v>
      </c>
      <c r="T68" s="106">
        <f>SUM(E68,H68,K68)</f>
        <v>449.26742224076526</v>
      </c>
      <c r="U68" s="107">
        <f>SUM(F68,I68,L68)</f>
        <v>2297.5871091673348</v>
      </c>
      <c r="V68" s="107"/>
    </row>
    <row r="69" spans="1:24" s="114" customFormat="1" x14ac:dyDescent="0.25">
      <c r="A69" s="109">
        <v>45334</v>
      </c>
      <c r="B69" s="110" t="s">
        <v>21</v>
      </c>
      <c r="C69" s="111">
        <v>-0.3</v>
      </c>
      <c r="D69" s="112">
        <v>0.83888888888888891</v>
      </c>
      <c r="E69" s="106">
        <f>Effort!F67</f>
        <v>63.05558290270011</v>
      </c>
      <c r="F69" s="107">
        <f>Harvest!F67</f>
        <v>630.5558290270011</v>
      </c>
      <c r="G69" s="108">
        <f>+CPUE!F67</f>
        <v>10</v>
      </c>
      <c r="H69" s="106" t="str">
        <f>Effort!H67</f>
        <v>CLOSED</v>
      </c>
      <c r="I69" s="107" t="str">
        <f>Harvest!H67</f>
        <v>CLOSED</v>
      </c>
      <c r="J69" s="108" t="str">
        <f>CPUE!H67</f>
        <v>CLOSED</v>
      </c>
      <c r="K69" s="106">
        <f>Effort!J67</f>
        <v>321.98758431521401</v>
      </c>
      <c r="L69" s="107">
        <f>Harvest!J67</f>
        <v>3058.8820509945399</v>
      </c>
      <c r="M69" s="108">
        <f>CPUE!J67</f>
        <v>9.5000000000000213</v>
      </c>
      <c r="N69" s="106" t="str">
        <f>Effort!L67</f>
        <v>CLOSED</v>
      </c>
      <c r="O69" s="107" t="str">
        <f>Harvest!L67</f>
        <v>CLOSED</v>
      </c>
      <c r="P69" s="108" t="str">
        <f>CPUE!L67</f>
        <v>CLOSED</v>
      </c>
      <c r="Q69" s="106" t="s">
        <v>10</v>
      </c>
      <c r="R69" s="107" t="s">
        <v>10</v>
      </c>
      <c r="S69" s="113" t="s">
        <v>10</v>
      </c>
      <c r="T69" s="106">
        <f>SUM(E69,H69,K69)</f>
        <v>385.04316721791412</v>
      </c>
      <c r="U69" s="107">
        <f>SUM(F69,I69,L69)</f>
        <v>3689.4378800215409</v>
      </c>
      <c r="V69" s="107"/>
    </row>
    <row r="70" spans="1:24" s="114" customFormat="1" x14ac:dyDescent="0.25">
      <c r="A70" s="125" t="s">
        <v>50</v>
      </c>
      <c r="B70" s="125"/>
      <c r="C70" s="125"/>
      <c r="D70" s="126"/>
      <c r="E70" s="115">
        <f>SUM(E63:E69)</f>
        <v>8382.0780448935802</v>
      </c>
      <c r="F70" s="116">
        <f>SUM(F63:F69)</f>
        <v>93156.0784655514</v>
      </c>
      <c r="G70" s="117">
        <f>+F70/E70</f>
        <v>11.11372119975699</v>
      </c>
      <c r="H70" s="115">
        <f>SUM(H63:H69)</f>
        <v>6421.3806985587835</v>
      </c>
      <c r="I70" s="116">
        <f>SUM(I63:I69)</f>
        <v>77872.829498242427</v>
      </c>
      <c r="J70" s="117">
        <f>+I70/H70</f>
        <v>12.127116138079186</v>
      </c>
      <c r="K70" s="115">
        <f>SUM(K63:K69)</f>
        <v>5935.2806472996117</v>
      </c>
      <c r="L70" s="116">
        <f>SUM(L63:L69)</f>
        <v>74314.055164301972</v>
      </c>
      <c r="M70" s="117">
        <f>+L70/K70</f>
        <v>12.520731466693627</v>
      </c>
      <c r="N70" s="115">
        <f>SUM(N63:N69)</f>
        <v>6192.8011433162537</v>
      </c>
      <c r="O70" s="116">
        <f>SUM(O63:O69)</f>
        <v>77597.774526774796</v>
      </c>
      <c r="P70" s="117">
        <f>+O70/N70</f>
        <v>12.5303191126239</v>
      </c>
      <c r="Q70" s="115"/>
      <c r="R70" s="116"/>
      <c r="S70" s="117"/>
      <c r="T70" s="115">
        <f>SUM(T63:T69)</f>
        <v>26931.54053406823</v>
      </c>
      <c r="U70" s="116">
        <f>SUM(U63:U69)</f>
        <v>322940.73765487061</v>
      </c>
      <c r="V70" s="118"/>
      <c r="W70" s="119">
        <f>SUM(H70,K70,N70,Q70,E70)</f>
        <v>26931.54053406823</v>
      </c>
      <c r="X70" s="119">
        <f>SUM(R70,O70,L70,I70,F70)</f>
        <v>322940.73765487061</v>
      </c>
    </row>
    <row r="71" spans="1:24" s="114" customFormat="1" x14ac:dyDescent="0.25">
      <c r="A71" s="109">
        <v>45343</v>
      </c>
      <c r="B71" s="110" t="s">
        <v>67</v>
      </c>
      <c r="C71" s="111">
        <v>0.2</v>
      </c>
      <c r="D71" s="112">
        <v>0.7055555555555556</v>
      </c>
      <c r="E71" s="106">
        <f>Effort!F69</f>
        <v>578.88451909857179</v>
      </c>
      <c r="F71" s="107">
        <f>Harvest!F69</f>
        <v>7814.9410078307192</v>
      </c>
      <c r="G71" s="108">
        <f>+CPUE!F69</f>
        <v>13.5</v>
      </c>
      <c r="H71" s="106">
        <f>Effort!H69</f>
        <v>583.81181238183297</v>
      </c>
      <c r="I71" s="107">
        <f>Harvest!H69</f>
        <v>7881.4594671547447</v>
      </c>
      <c r="J71" s="108">
        <f>CPUE!H69</f>
        <v>13.5</v>
      </c>
      <c r="K71" s="106" t="str">
        <f>Effort!J69</f>
        <v>CLOSED</v>
      </c>
      <c r="L71" s="107" t="str">
        <f>Harvest!J69</f>
        <v>CLOSED</v>
      </c>
      <c r="M71" s="108" t="str">
        <f>CPUE!J69</f>
        <v>CLOSED</v>
      </c>
      <c r="N71" s="106">
        <f>Effort!L69</f>
        <v>644.67155865064603</v>
      </c>
      <c r="O71" s="107">
        <f>Harvest!L69</f>
        <v>8729.9273567274995</v>
      </c>
      <c r="P71" s="108">
        <f>CPUE!L69</f>
        <v>13.541666666666668</v>
      </c>
      <c r="Q71" s="106" t="s">
        <v>10</v>
      </c>
      <c r="R71" s="107" t="s">
        <v>10</v>
      </c>
      <c r="S71" s="113" t="s">
        <v>10</v>
      </c>
      <c r="T71" s="106">
        <f>SUM(E71,H71,N71)</f>
        <v>1807.3678901310509</v>
      </c>
      <c r="U71" s="107">
        <f>SUM(F71,I71,O71)</f>
        <v>24426.327831712966</v>
      </c>
      <c r="V71" s="107"/>
    </row>
    <row r="72" spans="1:24" s="114" customFormat="1" x14ac:dyDescent="0.25">
      <c r="A72" s="109">
        <v>45344</v>
      </c>
      <c r="B72" s="110" t="s">
        <v>22</v>
      </c>
      <c r="C72" s="111">
        <v>0.1</v>
      </c>
      <c r="D72" s="112">
        <v>0.73125000000000007</v>
      </c>
      <c r="E72" s="106">
        <f>Effort!F70</f>
        <v>1074.9214349203548</v>
      </c>
      <c r="F72" s="107">
        <f>Harvest!F70</f>
        <v>15109.173675360871</v>
      </c>
      <c r="G72" s="108">
        <f>+CPUE!F70</f>
        <v>14.056072550530514</v>
      </c>
      <c r="H72" s="106">
        <f>Effort!H70</f>
        <v>1084.0708472669901</v>
      </c>
      <c r="I72" s="107">
        <f>Harvest!H70</f>
        <v>16261.0627090049</v>
      </c>
      <c r="J72" s="108">
        <f>CPUE!H70</f>
        <v>15.000000000000044</v>
      </c>
      <c r="K72" s="106" t="str">
        <f>Effort!J70</f>
        <v>CLOSED</v>
      </c>
      <c r="L72" s="107" t="str">
        <f>Harvest!J70</f>
        <v>CLOSED</v>
      </c>
      <c r="M72" s="108" t="str">
        <f>CPUE!J70</f>
        <v>CLOSED</v>
      </c>
      <c r="N72" s="106">
        <f>Effort!L70</f>
        <v>1197.0803398857099</v>
      </c>
      <c r="O72" s="107">
        <f>Harvest!L70</f>
        <v>17956.2050982857</v>
      </c>
      <c r="P72" s="108">
        <f>CPUE!L70</f>
        <v>15.000000000000043</v>
      </c>
      <c r="Q72" s="106" t="s">
        <v>10</v>
      </c>
      <c r="R72" s="107" t="s">
        <v>10</v>
      </c>
      <c r="S72" s="113" t="s">
        <v>10</v>
      </c>
      <c r="T72" s="106">
        <f>SUM(E72,H72,N72)</f>
        <v>3356.0726220730548</v>
      </c>
      <c r="U72" s="107">
        <f>SUM(F72,I72,O72)</f>
        <v>49326.441482651469</v>
      </c>
      <c r="V72" s="107"/>
    </row>
    <row r="73" spans="1:24" s="114" customFormat="1" x14ac:dyDescent="0.25">
      <c r="A73" s="109">
        <v>45345</v>
      </c>
      <c r="B73" s="110" t="s">
        <v>18</v>
      </c>
      <c r="C73" s="111">
        <v>0.1</v>
      </c>
      <c r="D73" s="112">
        <v>0.75347222222222221</v>
      </c>
      <c r="E73" s="106">
        <f>Effort!F71</f>
        <v>1883.3541364667051</v>
      </c>
      <c r="F73" s="107">
        <f>Harvest!F71</f>
        <v>27685.305806060562</v>
      </c>
      <c r="G73" s="108">
        <f>+CPUE!F71</f>
        <v>14.7</v>
      </c>
      <c r="H73" s="106">
        <f>Effort!H71</f>
        <v>1058.478658775377</v>
      </c>
      <c r="I73" s="107">
        <f>Harvest!H71</f>
        <v>14818.701222855278</v>
      </c>
      <c r="J73" s="108">
        <f>CPUE!H71</f>
        <v>14</v>
      </c>
      <c r="K73" s="106">
        <f>Effort!J71</f>
        <v>2415.9770526002198</v>
      </c>
      <c r="L73" s="107">
        <f>Harvest!J71</f>
        <v>34341.388104817401</v>
      </c>
      <c r="M73" s="108">
        <f>CPUE!J71</f>
        <v>14.21428571428571</v>
      </c>
      <c r="N73" s="106" t="str">
        <f>Effort!L71</f>
        <v>CLOSED</v>
      </c>
      <c r="O73" s="107" t="str">
        <f>Harvest!L71</f>
        <v>CLOSED</v>
      </c>
      <c r="P73" s="108" t="str">
        <f>CPUE!L71</f>
        <v>CLOSED</v>
      </c>
      <c r="Q73" s="106" t="s">
        <v>10</v>
      </c>
      <c r="R73" s="107" t="s">
        <v>10</v>
      </c>
      <c r="S73" s="113" t="s">
        <v>10</v>
      </c>
      <c r="T73" s="106">
        <f>SUM(E73,H73,K73)</f>
        <v>5357.8098478423017</v>
      </c>
      <c r="U73" s="107">
        <f>SUM(F73,I73,L73)</f>
        <v>76845.39513373324</v>
      </c>
      <c r="V73" s="107"/>
    </row>
    <row r="74" spans="1:24" s="114" customFormat="1" x14ac:dyDescent="0.25">
      <c r="A74" s="109">
        <v>45346</v>
      </c>
      <c r="B74" s="110" t="s">
        <v>19</v>
      </c>
      <c r="C74" s="111">
        <v>0.2</v>
      </c>
      <c r="D74" s="112">
        <v>0.77361111111111114</v>
      </c>
      <c r="E74" s="106">
        <f>Effort!F72</f>
        <v>3298.9312640509065</v>
      </c>
      <c r="F74" s="107">
        <f>Harvest!F72</f>
        <v>32989.312640509066</v>
      </c>
      <c r="G74" s="108">
        <f>+CPUE!F72</f>
        <v>10</v>
      </c>
      <c r="H74" s="106">
        <f>Effort!H72</f>
        <v>1854.05828471309</v>
      </c>
      <c r="I74" s="107">
        <f>Harvest!H72</f>
        <v>19198.474496545201</v>
      </c>
      <c r="J74" s="108">
        <f>CPUE!H72</f>
        <v>10.354838709677407</v>
      </c>
      <c r="K74" s="106">
        <f>Effort!J72</f>
        <v>4231.8871834720003</v>
      </c>
      <c r="L74" s="107">
        <f>Harvest!J72</f>
        <v>42834.955637582498</v>
      </c>
      <c r="M74" s="108">
        <f>CPUE!J72</f>
        <v>10.121951219512209</v>
      </c>
      <c r="N74" s="106" t="str">
        <f>Effort!L72</f>
        <v>CLOSED</v>
      </c>
      <c r="O74" s="107" t="str">
        <f>Harvest!L72</f>
        <v>CLOSED</v>
      </c>
      <c r="P74" s="108" t="str">
        <f>CPUE!L72</f>
        <v>CLOSED</v>
      </c>
      <c r="Q74" s="106" t="s">
        <v>10</v>
      </c>
      <c r="R74" s="107" t="s">
        <v>10</v>
      </c>
      <c r="S74" s="113" t="s">
        <v>10</v>
      </c>
      <c r="T74" s="106">
        <f>SUM(E74,H74,K74)</f>
        <v>9384.8767322359963</v>
      </c>
      <c r="U74" s="107">
        <f>SUM(F74,I74,L74)</f>
        <v>95022.742774636776</v>
      </c>
      <c r="V74" s="107"/>
    </row>
    <row r="75" spans="1:24" s="114" customFormat="1" x14ac:dyDescent="0.25">
      <c r="A75" s="109">
        <v>45347</v>
      </c>
      <c r="B75" s="110" t="s">
        <v>20</v>
      </c>
      <c r="C75" s="111">
        <v>0.4</v>
      </c>
      <c r="D75" s="112">
        <v>0.79305555555555562</v>
      </c>
      <c r="E75" s="106">
        <f>Effort!F73</f>
        <v>136.18947622200989</v>
      </c>
      <c r="F75" s="107">
        <f>Harvest!F73</f>
        <v>544.75790488803955</v>
      </c>
      <c r="G75" s="108">
        <f>+CPUE!F73</f>
        <v>4</v>
      </c>
      <c r="H75" s="106" t="str">
        <f>Effort!H73</f>
        <v>CLOSED</v>
      </c>
      <c r="I75" s="107" t="str">
        <f>Harvest!H73</f>
        <v>CLOSED</v>
      </c>
      <c r="J75" s="108" t="str">
        <f>CPUE!H73</f>
        <v>CLOSED</v>
      </c>
      <c r="K75" s="106" t="str">
        <f>Effort!J73</f>
        <v>CLOSED</v>
      </c>
      <c r="L75" s="107" t="str">
        <f>Harvest!J73</f>
        <v>CLOSED</v>
      </c>
      <c r="M75" s="108" t="str">
        <f>CPUE!J73</f>
        <v>CLOSED</v>
      </c>
      <c r="N75" s="106">
        <f>Effort!L73</f>
        <v>151.66666063997499</v>
      </c>
      <c r="O75" s="107">
        <f>Harvest!L73</f>
        <v>588.82350601402095</v>
      </c>
      <c r="P75" s="108">
        <f>CPUE!L73</f>
        <v>3.8823529411764732</v>
      </c>
      <c r="Q75" s="106" t="s">
        <v>10</v>
      </c>
      <c r="R75" s="107" t="s">
        <v>10</v>
      </c>
      <c r="S75" s="113" t="s">
        <v>10</v>
      </c>
      <c r="T75" s="106">
        <f>SUM(E75,H75,N75)</f>
        <v>287.85613686198485</v>
      </c>
      <c r="U75" s="107">
        <f>SUM(F75,I75,O75)</f>
        <v>1133.5814109020605</v>
      </c>
      <c r="V75" s="107"/>
    </row>
    <row r="76" spans="1:24" s="114" customFormat="1" x14ac:dyDescent="0.25">
      <c r="A76" s="125" t="s">
        <v>50</v>
      </c>
      <c r="B76" s="125"/>
      <c r="C76" s="125"/>
      <c r="D76" s="126"/>
      <c r="E76" s="115">
        <f>SUM(E71:E75)</f>
        <v>6972.2808307585483</v>
      </c>
      <c r="F76" s="116">
        <f>SUM(F71:F75)</f>
        <v>84143.491034649254</v>
      </c>
      <c r="G76" s="117">
        <f>+F76/E76</f>
        <v>12.068287706290636</v>
      </c>
      <c r="H76" s="115">
        <f>SUM(H71:H75)</f>
        <v>4580.4196031372903</v>
      </c>
      <c r="I76" s="116">
        <f>SUM(I71:I75)</f>
        <v>58159.697895560123</v>
      </c>
      <c r="J76" s="117">
        <f>+I76/H76</f>
        <v>12.697460698955288</v>
      </c>
      <c r="K76" s="115">
        <f>SUM(K71:K75)</f>
        <v>6647.8642360722206</v>
      </c>
      <c r="L76" s="116">
        <f>SUM(L71:L75)</f>
        <v>77176.343742399898</v>
      </c>
      <c r="M76" s="117">
        <f>+L76/K76</f>
        <v>11.609193720237322</v>
      </c>
      <c r="N76" s="115">
        <f>SUM(N71:N75)</f>
        <v>1993.4185591763307</v>
      </c>
      <c r="O76" s="116">
        <f>SUM(O71:O75)</f>
        <v>27274.955961027219</v>
      </c>
      <c r="P76" s="117">
        <f>+O76/N76</f>
        <v>13.682503273320117</v>
      </c>
      <c r="Q76" s="115"/>
      <c r="R76" s="116"/>
      <c r="S76" s="117"/>
      <c r="T76" s="115">
        <f>SUM(T71:T75)</f>
        <v>20193.983229144389</v>
      </c>
      <c r="U76" s="116">
        <f>SUM(U71:U75)</f>
        <v>246754.48863363653</v>
      </c>
      <c r="V76" s="118"/>
      <c r="W76" s="119">
        <f>SUM(H76,K76,N76,Q76,E76)</f>
        <v>20193.983229144389</v>
      </c>
      <c r="X76" s="119">
        <f>SUM(R76,O76,L76,I76,F76)</f>
        <v>246754.4886336365</v>
      </c>
    </row>
    <row r="77" spans="1:24" s="114" customFormat="1" x14ac:dyDescent="0.25">
      <c r="A77" s="123">
        <v>45358</v>
      </c>
      <c r="B77" s="8" t="s">
        <v>22</v>
      </c>
      <c r="C77" s="8">
        <v>-0.5</v>
      </c>
      <c r="D77" s="13">
        <v>0.67708333333333337</v>
      </c>
      <c r="E77" s="106">
        <f>Effort!F75</f>
        <v>1360.673344096268</v>
      </c>
      <c r="F77" s="107">
        <f>Harvest!F75</f>
        <v>20410.100161444021</v>
      </c>
      <c r="G77" s="108">
        <f>+CPUE!F75</f>
        <v>15</v>
      </c>
      <c r="H77" s="106">
        <f>Effort!H75</f>
        <v>1013.17127342117</v>
      </c>
      <c r="I77" s="107">
        <f>Harvest!H75</f>
        <v>14564.3370554293</v>
      </c>
      <c r="J77" s="108">
        <f>CPUE!H75</f>
        <v>14.374999999999982</v>
      </c>
      <c r="K77" s="106">
        <f>Effort!J75</f>
        <v>1411.8356225400901</v>
      </c>
      <c r="L77" s="107">
        <f>Harvest!J75</f>
        <v>20797.424747417499</v>
      </c>
      <c r="M77" s="108">
        <f>CPUE!J75</f>
        <v>14.730769230769244</v>
      </c>
      <c r="N77" s="106" t="str">
        <f>Effort!L75</f>
        <v>CLOSED</v>
      </c>
      <c r="O77" s="107" t="str">
        <f>Harvest!L75</f>
        <v>CLOSED</v>
      </c>
      <c r="P77" s="108" t="str">
        <f>CPUE!L75</f>
        <v>CLOSED</v>
      </c>
      <c r="Q77" s="106" t="s">
        <v>10</v>
      </c>
      <c r="R77" s="107" t="s">
        <v>10</v>
      </c>
      <c r="S77" s="113" t="s">
        <v>10</v>
      </c>
      <c r="T77" s="106">
        <f>SUM(E77,H77,K77)</f>
        <v>3785.680240057528</v>
      </c>
      <c r="U77" s="107">
        <f>SUM(F77,I77,L77)</f>
        <v>55771.861964290823</v>
      </c>
      <c r="V77" s="118"/>
      <c r="W77" s="119"/>
      <c r="X77" s="119"/>
    </row>
    <row r="78" spans="1:24" x14ac:dyDescent="0.25">
      <c r="A78" s="123">
        <v>45359</v>
      </c>
      <c r="B78" s="8" t="s">
        <v>18</v>
      </c>
      <c r="C78" s="8">
        <v>-0.8</v>
      </c>
      <c r="D78" s="13">
        <v>0.70833333333333337</v>
      </c>
      <c r="E78" s="106">
        <f>Effort!F76</f>
        <v>1850.3715923460115</v>
      </c>
      <c r="F78" s="107">
        <f>Harvest!F76</f>
        <v>27755.573885190173</v>
      </c>
      <c r="G78" s="108">
        <f>+CPUE!F76</f>
        <v>15</v>
      </c>
      <c r="H78" s="106">
        <f>Effort!H76</f>
        <v>1377.8055921017058</v>
      </c>
      <c r="I78" s="107">
        <f>Harvest!H76</f>
        <v>19978.181085474735</v>
      </c>
      <c r="J78" s="108">
        <f>CPUE!H76</f>
        <v>14.5</v>
      </c>
      <c r="K78" s="106" t="str">
        <f>Effort!J76</f>
        <v>CLOSED</v>
      </c>
      <c r="L78" s="107" t="str">
        <f>Harvest!J76</f>
        <v>CLOSED</v>
      </c>
      <c r="M78" s="108" t="str">
        <f>CPUE!J76</f>
        <v>CLOSED</v>
      </c>
      <c r="N78" s="106">
        <f>Effort!L76</f>
        <v>1741.7443194682501</v>
      </c>
      <c r="O78" s="107">
        <f>Harvest!L76</f>
        <v>24767.221421889099</v>
      </c>
      <c r="P78" s="108">
        <f>CPUE!L76</f>
        <v>14.219780219780171</v>
      </c>
      <c r="Q78" s="106" t="s">
        <v>10</v>
      </c>
      <c r="R78" s="107" t="s">
        <v>10</v>
      </c>
      <c r="S78" s="113" t="s">
        <v>10</v>
      </c>
      <c r="T78" s="106">
        <f>SUM(E78,H78,N78)</f>
        <v>4969.9215039159672</v>
      </c>
      <c r="U78" s="107">
        <f>SUM(F78,I78,O78)</f>
        <v>72500.976392554003</v>
      </c>
    </row>
    <row r="79" spans="1:24" x14ac:dyDescent="0.25">
      <c r="A79" s="123">
        <v>45360</v>
      </c>
      <c r="B79" s="8" t="s">
        <v>19</v>
      </c>
      <c r="C79" s="8">
        <v>-0.9</v>
      </c>
      <c r="D79" s="13">
        <v>0.73749999999999993</v>
      </c>
      <c r="E79" s="106">
        <f>Effort!F77</f>
        <v>1826.1238636784976</v>
      </c>
      <c r="F79" s="107">
        <f>Harvest!F77</f>
        <v>13695.928977588732</v>
      </c>
      <c r="G79" s="108">
        <f>+CPUE!F77</f>
        <v>7.5</v>
      </c>
      <c r="H79" s="106">
        <f>Effort!H77</f>
        <v>1958.14625741188</v>
      </c>
      <c r="I79" s="107">
        <f>Harvest!H77</f>
        <v>8603.9759795370592</v>
      </c>
      <c r="J79" s="108">
        <f>CPUE!H77</f>
        <v>4.3939393939393998</v>
      </c>
      <c r="K79" s="106" t="str">
        <f>Effort!J77</f>
        <v>CLOSED</v>
      </c>
      <c r="L79" s="107" t="str">
        <f>Harvest!J77</f>
        <v>CLOSED</v>
      </c>
      <c r="M79" s="108" t="str">
        <f>CPUE!J77</f>
        <v>CLOSED</v>
      </c>
      <c r="N79" s="106">
        <f>Effort!L77</f>
        <v>1718.92006954929</v>
      </c>
      <c r="O79" s="107">
        <f>Harvest!L77</f>
        <v>18943.931599824398</v>
      </c>
      <c r="P79" s="108">
        <f>CPUE!L77</f>
        <v>11.020833333333293</v>
      </c>
      <c r="Q79" s="106" t="s">
        <v>10</v>
      </c>
      <c r="R79" s="107" t="s">
        <v>10</v>
      </c>
      <c r="S79" s="113" t="s">
        <v>10</v>
      </c>
      <c r="T79" s="106">
        <f>SUM(E79,H79,N79)</f>
        <v>5503.1901906396679</v>
      </c>
      <c r="U79" s="107">
        <f>SUM(F79,I79,O79)</f>
        <v>41243.836556950191</v>
      </c>
    </row>
    <row r="80" spans="1:24" x14ac:dyDescent="0.25">
      <c r="A80" s="123">
        <v>45361</v>
      </c>
      <c r="B80" s="8" t="s">
        <v>20</v>
      </c>
      <c r="C80" s="8">
        <v>-0.7</v>
      </c>
      <c r="D80" s="13">
        <v>0.80694444444444446</v>
      </c>
      <c r="E80" s="106">
        <f>Effort!F78</f>
        <v>755.26171441476981</v>
      </c>
      <c r="F80" s="107">
        <f>Harvest!F78</f>
        <v>3776.3085720738491</v>
      </c>
      <c r="G80" s="108">
        <f>+CPUE!F78</f>
        <v>5</v>
      </c>
      <c r="H80" s="106">
        <f>Effort!H78</f>
        <v>291.66665507687497</v>
      </c>
      <c r="I80" s="107">
        <f>Harvest!H78</f>
        <v>816.66663421525004</v>
      </c>
      <c r="J80" s="108">
        <f>CPUE!H78</f>
        <v>2.8000000000000003</v>
      </c>
      <c r="K80" s="106">
        <f>Effort!J78</f>
        <v>783.66008813062399</v>
      </c>
      <c r="L80" s="107">
        <f>Harvest!J78</f>
        <v>6055.55522646392</v>
      </c>
      <c r="M80" s="108">
        <f>CPUE!J78</f>
        <v>7.7272727272727364</v>
      </c>
      <c r="N80" s="106" t="str">
        <f>Effort!L78</f>
        <v>CLOSED</v>
      </c>
      <c r="O80" s="107" t="str">
        <f>Harvest!L78</f>
        <v>CLOSED</v>
      </c>
      <c r="P80" s="108" t="str">
        <f>CPUE!L78</f>
        <v>CLOSED</v>
      </c>
      <c r="Q80" s="106" t="s">
        <v>10</v>
      </c>
      <c r="R80" s="107" t="s">
        <v>10</v>
      </c>
      <c r="S80" s="113" t="s">
        <v>10</v>
      </c>
      <c r="T80" s="106">
        <f>SUM(E80,H80,K80)</f>
        <v>1830.5884576222688</v>
      </c>
      <c r="U80" s="107">
        <f>SUM(F80,I80,L80)</f>
        <v>10648.530432753019</v>
      </c>
    </row>
    <row r="81" spans="1:24" x14ac:dyDescent="0.25">
      <c r="A81" s="123">
        <v>45362</v>
      </c>
      <c r="B81" s="8" t="s">
        <v>21</v>
      </c>
      <c r="C81" s="8">
        <v>-0.2</v>
      </c>
      <c r="D81" s="13">
        <v>0.83333333333333337</v>
      </c>
      <c r="E81" s="106">
        <f>Effort!F79</f>
        <v>54.627983438178603</v>
      </c>
      <c r="F81" s="107">
        <f>Harvest!F79</f>
        <v>218.51193375271441</v>
      </c>
      <c r="G81" s="108">
        <f>+CPUE!F79</f>
        <v>4</v>
      </c>
      <c r="H81" s="106">
        <f>Effort!H79</f>
        <v>137.41273109776341</v>
      </c>
      <c r="I81" s="107">
        <f>Harvest!H79</f>
        <v>549.65092439105365</v>
      </c>
      <c r="J81" s="108">
        <f>CPUE!H79</f>
        <v>4</v>
      </c>
      <c r="K81" s="106">
        <f>Effort!J79</f>
        <v>191.482125326404</v>
      </c>
      <c r="L81" s="107">
        <f>Harvest!J79</f>
        <v>727.63207624033703</v>
      </c>
      <c r="M81" s="108">
        <f>CPUE!J79</f>
        <v>3.8000000000000096</v>
      </c>
      <c r="N81" s="106" t="str">
        <f>Effort!L79</f>
        <v>CLOSED</v>
      </c>
      <c r="O81" s="107" t="str">
        <f>Harvest!L79</f>
        <v>CLOSED</v>
      </c>
      <c r="P81" s="108" t="str">
        <f>CPUE!L79</f>
        <v>CLOSED</v>
      </c>
      <c r="Q81" s="106" t="s">
        <v>10</v>
      </c>
      <c r="R81" s="107" t="s">
        <v>10</v>
      </c>
      <c r="S81" s="113" t="s">
        <v>10</v>
      </c>
      <c r="T81" s="106">
        <f>SUM(E81,H81,K81)</f>
        <v>383.52283986234602</v>
      </c>
      <c r="U81" s="107">
        <f>SUM(F81,I81,L81)</f>
        <v>1495.7949343841051</v>
      </c>
    </row>
    <row r="82" spans="1:24" x14ac:dyDescent="0.25">
      <c r="A82" s="123">
        <v>45363</v>
      </c>
      <c r="B82" s="8" t="s">
        <v>66</v>
      </c>
      <c r="C82" s="8">
        <v>-0.3</v>
      </c>
      <c r="D82" s="13">
        <v>0.35625000000000001</v>
      </c>
      <c r="E82" s="106">
        <f>Effort!F80</f>
        <v>329.6867090922172</v>
      </c>
      <c r="F82" s="107">
        <f>Harvest!F80</f>
        <v>3132.0237363760634</v>
      </c>
      <c r="G82" s="108">
        <f>+CPUE!F80</f>
        <v>9.5</v>
      </c>
      <c r="H82" s="106" t="str">
        <f>Effort!H80</f>
        <v>CLOSED</v>
      </c>
      <c r="I82" s="107" t="str">
        <f>Harvest!H80</f>
        <v>CLOSED</v>
      </c>
      <c r="J82" s="108" t="str">
        <f>CPUE!H80</f>
        <v>CLOSED</v>
      </c>
      <c r="K82" s="106" t="str">
        <f>Effort!J80</f>
        <v>CLOSED</v>
      </c>
      <c r="L82" s="107" t="str">
        <f>Harvest!J80</f>
        <v>CLOSED</v>
      </c>
      <c r="M82" s="108" t="str">
        <f>CPUE!J80</f>
        <v>CLOSED</v>
      </c>
      <c r="N82" s="106">
        <f>Effort!L80</f>
        <v>310.33223550384702</v>
      </c>
      <c r="O82" s="107">
        <f>Harvest!L80</f>
        <v>2925.9896490362698</v>
      </c>
      <c r="P82" s="108">
        <f>CPUE!L80</f>
        <v>9.4285714285714217</v>
      </c>
      <c r="Q82" s="106" t="s">
        <v>10</v>
      </c>
      <c r="R82" s="107" t="s">
        <v>10</v>
      </c>
      <c r="S82" s="113" t="s">
        <v>10</v>
      </c>
      <c r="T82" s="106">
        <f t="shared" ref="T82:U84" si="0">SUM(E82,H82,N82)</f>
        <v>640.01894459606422</v>
      </c>
      <c r="U82" s="107">
        <f t="shared" si="0"/>
        <v>6058.0133854123333</v>
      </c>
    </row>
    <row r="83" spans="1:24" x14ac:dyDescent="0.25">
      <c r="A83" s="123">
        <v>45364</v>
      </c>
      <c r="B83" s="8" t="s">
        <v>67</v>
      </c>
      <c r="C83" s="8">
        <v>-0.4</v>
      </c>
      <c r="D83" s="13">
        <v>0.38958333333333334</v>
      </c>
      <c r="E83" s="106">
        <f>Effort!F81</f>
        <v>1111.7081436515193</v>
      </c>
      <c r="F83" s="107">
        <f>Harvest!F81</f>
        <v>15563.914011121271</v>
      </c>
      <c r="G83" s="108">
        <f>+CPUE!F81</f>
        <v>14</v>
      </c>
      <c r="H83" s="106" t="str">
        <f>Effort!H81</f>
        <v>CLOSED</v>
      </c>
      <c r="I83" s="107" t="str">
        <f>Harvest!H81</f>
        <v>CLOSED</v>
      </c>
      <c r="J83" s="108" t="str">
        <f>CPUE!H81</f>
        <v>CLOSED</v>
      </c>
      <c r="K83" s="106" t="str">
        <f>Effort!J81</f>
        <v>CLOSED</v>
      </c>
      <c r="L83" s="107" t="str">
        <f>Harvest!J81</f>
        <v>CLOSED</v>
      </c>
      <c r="M83" s="108" t="str">
        <f>CPUE!J81</f>
        <v>CLOSED</v>
      </c>
      <c r="N83" s="106">
        <f>Effort!L81</f>
        <v>1046.4445909789699</v>
      </c>
      <c r="O83" s="107">
        <f>Harvest!L81</f>
        <v>14614.1399774649</v>
      </c>
      <c r="P83" s="108">
        <f>CPUE!L81</f>
        <v>13.965517241379287</v>
      </c>
      <c r="Q83" s="106" t="s">
        <v>10</v>
      </c>
      <c r="R83" s="107" t="s">
        <v>10</v>
      </c>
      <c r="S83" s="113" t="s">
        <v>10</v>
      </c>
      <c r="T83" s="106">
        <f t="shared" si="0"/>
        <v>2158.1527346304892</v>
      </c>
      <c r="U83" s="107">
        <f t="shared" si="0"/>
        <v>30178.053988586173</v>
      </c>
      <c r="V83" s="107"/>
      <c r="W83" s="114"/>
      <c r="X83" s="114"/>
    </row>
    <row r="84" spans="1:24" x14ac:dyDescent="0.25">
      <c r="A84" s="123">
        <v>45365</v>
      </c>
      <c r="B84" s="8" t="s">
        <v>22</v>
      </c>
      <c r="C84" s="8">
        <v>-0.3</v>
      </c>
      <c r="D84" s="13">
        <v>0.42499999999999999</v>
      </c>
      <c r="E84" s="106">
        <f>Effort!F82</f>
        <v>1337.1298368047856</v>
      </c>
      <c r="F84" s="107">
        <f>Harvest!F82</f>
        <v>19789.521584710827</v>
      </c>
      <c r="G84" s="108">
        <f>+CPUE!F82</f>
        <v>14.8</v>
      </c>
      <c r="H84" s="106" t="str">
        <f>Effort!H82</f>
        <v>CLOSED</v>
      </c>
      <c r="I84" s="107" t="str">
        <f>Harvest!H82</f>
        <v>CLOSED</v>
      </c>
      <c r="J84" s="108" t="str">
        <f>CPUE!H82</f>
        <v>CLOSED</v>
      </c>
      <c r="K84" s="106" t="str">
        <f>Effort!J82</f>
        <v>CLOSED</v>
      </c>
      <c r="L84" s="107" t="str">
        <f>Harvest!J82</f>
        <v>CLOSED</v>
      </c>
      <c r="M84" s="108" t="str">
        <f>CPUE!J82</f>
        <v>CLOSED</v>
      </c>
      <c r="N84" s="106">
        <f>Effort!L82</f>
        <v>1138.6861769644599</v>
      </c>
      <c r="O84" s="107">
        <f>Harvest!L82</f>
        <v>17080.292654466899</v>
      </c>
      <c r="P84" s="108">
        <f>CPUE!L82</f>
        <v>15</v>
      </c>
      <c r="Q84" s="106" t="s">
        <v>10</v>
      </c>
      <c r="R84" s="107" t="s">
        <v>10</v>
      </c>
      <c r="S84" s="113" t="s">
        <v>10</v>
      </c>
      <c r="T84" s="106">
        <f t="shared" si="0"/>
        <v>2475.8160137692457</v>
      </c>
      <c r="U84" s="107">
        <f t="shared" si="0"/>
        <v>36869.814239177722</v>
      </c>
      <c r="V84" s="107"/>
      <c r="W84" s="114"/>
      <c r="X84" s="114"/>
    </row>
    <row r="85" spans="1:24" x14ac:dyDescent="0.25">
      <c r="A85" s="123">
        <v>45366</v>
      </c>
      <c r="B85" s="8" t="s">
        <v>18</v>
      </c>
      <c r="C85" s="8">
        <v>0.1</v>
      </c>
      <c r="D85" s="13">
        <v>0.46388888888888885</v>
      </c>
      <c r="E85" s="106" t="str">
        <f>Effort!F83</f>
        <v>CLOSED</v>
      </c>
      <c r="F85" s="107" t="str">
        <f>Harvest!F83</f>
        <v>CLOSED</v>
      </c>
      <c r="G85" s="108" t="str">
        <f>+CPUE!F83</f>
        <v>CLOSED</v>
      </c>
      <c r="H85" s="106" t="str">
        <f>Effort!H83</f>
        <v>CLOSED</v>
      </c>
      <c r="I85" s="107" t="str">
        <f>Harvest!H83</f>
        <v>CLOSED</v>
      </c>
      <c r="J85" s="108" t="str">
        <f>CPUE!H83</f>
        <v>CLOSED</v>
      </c>
      <c r="K85" s="106">
        <f>Effort!J83</f>
        <v>2768.0075147011498</v>
      </c>
      <c r="L85" s="107">
        <f>Harvest!J83</f>
        <v>32927.7560602991</v>
      </c>
      <c r="M85" s="108">
        <f>CPUE!J83</f>
        <v>11.895833333333336</v>
      </c>
      <c r="N85" s="106" t="str">
        <f>Effort!L83</f>
        <v>CLOSED</v>
      </c>
      <c r="O85" s="107" t="str">
        <f>Harvest!L83</f>
        <v>CLOSED</v>
      </c>
      <c r="P85" s="108" t="str">
        <f>CPUE!L83</f>
        <v>CLOSED</v>
      </c>
      <c r="Q85" s="106" t="s">
        <v>10</v>
      </c>
      <c r="R85" s="107" t="s">
        <v>10</v>
      </c>
      <c r="S85" s="113" t="s">
        <v>10</v>
      </c>
      <c r="T85" s="106">
        <f>SUM(E85,H85,K85)</f>
        <v>2768.0075147011498</v>
      </c>
      <c r="U85" s="107">
        <f>SUM(F85,I85,L85)</f>
        <v>32927.7560602991</v>
      </c>
      <c r="V85" s="107"/>
      <c r="W85" s="114"/>
      <c r="X85" s="114"/>
    </row>
    <row r="86" spans="1:24" x14ac:dyDescent="0.25">
      <c r="A86" s="123">
        <v>45367</v>
      </c>
      <c r="B86" s="8" t="s">
        <v>19</v>
      </c>
      <c r="C86" s="8">
        <v>0.5</v>
      </c>
      <c r="D86" s="13">
        <v>0.50694444444444442</v>
      </c>
      <c r="E86" s="106" t="str">
        <f>Effort!F84</f>
        <v>CLOSED</v>
      </c>
      <c r="F86" s="107" t="str">
        <f>Harvest!F84</f>
        <v>CLOSED</v>
      </c>
      <c r="G86" s="108" t="str">
        <f>+CPUE!F84</f>
        <v>CLOSED</v>
      </c>
      <c r="H86" s="106" t="str">
        <f>Effort!H84</f>
        <v>CLOSED</v>
      </c>
      <c r="I86" s="107" t="str">
        <f>Harvest!H84</f>
        <v>CLOSED</v>
      </c>
      <c r="J86" s="108" t="str">
        <f>CPUE!H84</f>
        <v>CLOSED</v>
      </c>
      <c r="K86" s="106">
        <f>Effort!J84</f>
        <v>7233.5877862595398</v>
      </c>
      <c r="L86" s="107">
        <f>Harvest!J84</f>
        <v>61380.152671755699</v>
      </c>
      <c r="M86" s="108">
        <f>CPUE!J84</f>
        <v>8.4854368932038824</v>
      </c>
      <c r="N86" s="106" t="str">
        <f>Effort!L84</f>
        <v>CLOSED</v>
      </c>
      <c r="O86" s="107" t="str">
        <f>Harvest!L84</f>
        <v>CLOSED</v>
      </c>
      <c r="P86" s="108" t="str">
        <f>CPUE!L84</f>
        <v>CLOSED</v>
      </c>
      <c r="Q86" s="106" t="s">
        <v>10</v>
      </c>
      <c r="R86" s="107" t="s">
        <v>10</v>
      </c>
      <c r="S86" s="113" t="s">
        <v>10</v>
      </c>
      <c r="T86" s="106">
        <f>SUM(E86,H86,K86)</f>
        <v>7233.5877862595398</v>
      </c>
      <c r="U86" s="107">
        <f>SUM(F86,I86,L86)</f>
        <v>61380.152671755699</v>
      </c>
      <c r="V86" s="107"/>
      <c r="W86" s="114"/>
      <c r="X86" s="114"/>
    </row>
    <row r="87" spans="1:24" x14ac:dyDescent="0.25">
      <c r="A87" s="123">
        <v>45368</v>
      </c>
      <c r="B87" s="8" t="s">
        <v>20</v>
      </c>
      <c r="C87" s="8">
        <v>0.9</v>
      </c>
      <c r="D87" s="13">
        <v>0.55763888888888891</v>
      </c>
      <c r="E87" s="106" t="str">
        <f>Effort!F85</f>
        <v>CLOSED</v>
      </c>
      <c r="F87" s="107" t="str">
        <f>Harvest!F85</f>
        <v>CLOSED</v>
      </c>
      <c r="G87" s="108" t="str">
        <f>+CPUE!F85</f>
        <v>CLOSED</v>
      </c>
      <c r="H87" s="106" t="str">
        <f>Effort!H85</f>
        <v>CLOSED</v>
      </c>
      <c r="I87" s="107" t="str">
        <f>Harvest!H85</f>
        <v>CLOSED</v>
      </c>
      <c r="J87" s="108" t="str">
        <f>CPUE!H85</f>
        <v>CLOSED</v>
      </c>
      <c r="K87" s="106" t="str">
        <f>Effort!J85</f>
        <v>CLOSED</v>
      </c>
      <c r="L87" s="107" t="str">
        <f>Harvest!J85</f>
        <v>CLOSED</v>
      </c>
      <c r="M87" s="108" t="str">
        <f>CPUE!J85</f>
        <v>CLOSED</v>
      </c>
      <c r="N87" s="106">
        <f>Effort!L85</f>
        <v>3650.4899940286</v>
      </c>
      <c r="O87" s="107">
        <f>Harvest!L85</f>
        <v>40025.015291670701</v>
      </c>
      <c r="P87" s="108">
        <f>CPUE!L85</f>
        <v>10.964285714285708</v>
      </c>
      <c r="Q87" s="106" t="s">
        <v>10</v>
      </c>
      <c r="R87" s="107" t="s">
        <v>10</v>
      </c>
      <c r="S87" s="113" t="s">
        <v>10</v>
      </c>
      <c r="T87" s="106">
        <f>SUM(E87,H87,N87)</f>
        <v>3650.4899940286</v>
      </c>
      <c r="U87" s="107">
        <f>SUM(F87,I87,O87)</f>
        <v>40025.015291670701</v>
      </c>
      <c r="V87" s="107"/>
      <c r="W87" s="114"/>
      <c r="X87" s="114"/>
    </row>
    <row r="88" spans="1:24" x14ac:dyDescent="0.25">
      <c r="A88" s="127" t="s">
        <v>50</v>
      </c>
      <c r="B88" s="127"/>
      <c r="C88" s="127"/>
      <c r="D88" s="128"/>
      <c r="E88" s="115">
        <f>SUM(E77:E87)</f>
        <v>8625.5831875222466</v>
      </c>
      <c r="F88" s="116">
        <f>SUM(F77:F87)</f>
        <v>104341.88286225765</v>
      </c>
      <c r="G88" s="117">
        <f>+F88/E88</f>
        <v>12.0967916712227</v>
      </c>
      <c r="H88" s="115">
        <f>SUM(H77:H87)</f>
        <v>4778.2025091093947</v>
      </c>
      <c r="I88" s="116">
        <f>SUM(I77:I87)</f>
        <v>44512.811679047409</v>
      </c>
      <c r="J88" s="117">
        <f>+I88/H88</f>
        <v>9.3158068529297466</v>
      </c>
      <c r="K88" s="115">
        <f>SUM(K77:K87)</f>
        <v>12388.573136957808</v>
      </c>
      <c r="L88" s="116">
        <f>SUM(L77:L87)</f>
        <v>121888.52078217655</v>
      </c>
      <c r="M88" s="117">
        <f>+L88/K88</f>
        <v>9.8387860679900729</v>
      </c>
      <c r="N88" s="115">
        <f>SUM(N77:N87)</f>
        <v>9606.6173864934171</v>
      </c>
      <c r="O88" s="116">
        <f>SUM(O77:O87)</f>
        <v>118356.59059435228</v>
      </c>
      <c r="P88" s="117">
        <f>+O88/N88</f>
        <v>12.320318987696719</v>
      </c>
      <c r="Q88" s="115"/>
      <c r="R88" s="116"/>
      <c r="S88" s="117"/>
      <c r="T88" s="115">
        <f>SUM(T77:T87)</f>
        <v>35398.97622008287</v>
      </c>
      <c r="U88" s="116">
        <f>SUM(U77:U87)</f>
        <v>389099.80591783393</v>
      </c>
      <c r="V88" s="118"/>
      <c r="W88" s="119">
        <f>SUM(H88,K88,N88,Q88,E88)</f>
        <v>35398.97622008287</v>
      </c>
      <c r="X88" s="119">
        <f>SUM(R88,O88,L88,I88,F88)</f>
        <v>389099.80591783387</v>
      </c>
    </row>
    <row r="89" spans="1:24" s="114" customFormat="1" x14ac:dyDescent="0.25">
      <c r="A89" s="123">
        <v>45377</v>
      </c>
      <c r="B89" s="8" t="s">
        <v>66</v>
      </c>
      <c r="C89" s="8">
        <v>0.7</v>
      </c>
      <c r="D89" s="13">
        <v>0.32916666666666666</v>
      </c>
      <c r="E89" s="106" t="str">
        <f>Effort!F87</f>
        <v>CLOSED</v>
      </c>
      <c r="F89" s="107" t="str">
        <f>Harvest!F87</f>
        <v>CLOSED</v>
      </c>
      <c r="G89" s="108" t="str">
        <f>+CPUE!F87</f>
        <v>CLOSED</v>
      </c>
      <c r="H89" s="106" t="str">
        <f>Effort!H87</f>
        <v>CLOSED</v>
      </c>
      <c r="I89" s="107" t="str">
        <f>Harvest!H87</f>
        <v>CLOSED</v>
      </c>
      <c r="J89" s="108" t="str">
        <f>CPUE!H87</f>
        <v>CLOSED</v>
      </c>
      <c r="K89" s="106">
        <f>Effort!J87</f>
        <v>626.33310716138703</v>
      </c>
      <c r="L89" s="107">
        <f>Harvest!J87</f>
        <v>9247.62411161813</v>
      </c>
      <c r="M89" s="108">
        <f>CPUE!J87</f>
        <v>14.764705882352947</v>
      </c>
      <c r="N89" s="106" t="str">
        <f>Effort!L87</f>
        <v>CLOSED</v>
      </c>
      <c r="O89" s="107" t="str">
        <f>Harvest!L87</f>
        <v>CLOSED</v>
      </c>
      <c r="P89" s="108" t="str">
        <f>CPUE!L87</f>
        <v>CLOSED</v>
      </c>
      <c r="Q89" s="106" t="s">
        <v>10</v>
      </c>
      <c r="R89" s="107" t="s">
        <v>10</v>
      </c>
      <c r="S89" s="113" t="s">
        <v>10</v>
      </c>
      <c r="T89" s="106">
        <f>SUM(E89,H89,K89)</f>
        <v>626.33310716138703</v>
      </c>
      <c r="U89" s="107">
        <f>SUM(F89,I89,L89)</f>
        <v>9247.62411161813</v>
      </c>
      <c r="V89" s="118"/>
      <c r="W89" s="119"/>
      <c r="X89" s="119"/>
    </row>
    <row r="90" spans="1:24" s="114" customFormat="1" x14ac:dyDescent="0.25">
      <c r="A90" s="109">
        <v>45378</v>
      </c>
      <c r="B90" s="110" t="s">
        <v>67</v>
      </c>
      <c r="C90" s="111">
        <v>0.4</v>
      </c>
      <c r="D90" s="112">
        <v>0.35138888888888892</v>
      </c>
      <c r="E90" s="106">
        <f>Effort!F88</f>
        <v>252.83438922163052</v>
      </c>
      <c r="F90" s="107">
        <f>Harvest!F88</f>
        <v>1011.3375568865221</v>
      </c>
      <c r="G90" s="108">
        <f>+CPUE!F88</f>
        <v>4</v>
      </c>
      <c r="H90" s="106" t="str">
        <f>Effort!H88</f>
        <v>CLOSED</v>
      </c>
      <c r="I90" s="107" t="str">
        <f>Harvest!H88</f>
        <v>CLOSED</v>
      </c>
      <c r="J90" s="108" t="str">
        <f>CPUE!H88</f>
        <v>CLOSED</v>
      </c>
      <c r="K90" s="106" t="str">
        <f>Effort!J88</f>
        <v>CLOSED</v>
      </c>
      <c r="L90" s="107" t="str">
        <f>Harvest!J88</f>
        <v>CLOSED</v>
      </c>
      <c r="M90" s="108" t="str">
        <f>CPUE!J88</f>
        <v>CLOSED</v>
      </c>
      <c r="N90" s="106">
        <f>Effort!L88</f>
        <v>282.97581210308903</v>
      </c>
      <c r="O90" s="107">
        <f>Harvest!L88</f>
        <v>1131.9032484123561</v>
      </c>
      <c r="P90" s="108">
        <f>CPUE!L88</f>
        <v>4</v>
      </c>
      <c r="Q90" s="106" t="s">
        <v>10</v>
      </c>
      <c r="R90" s="107" t="s">
        <v>10</v>
      </c>
      <c r="S90" s="113" t="s">
        <v>10</v>
      </c>
      <c r="T90" s="106">
        <f>SUM(E90,H90,N90)</f>
        <v>535.81020132471951</v>
      </c>
      <c r="U90" s="107">
        <f>SUM(F90,I90,O90)</f>
        <v>2143.2408052988781</v>
      </c>
      <c r="V90" s="107"/>
    </row>
    <row r="91" spans="1:24" s="114" customFormat="1" x14ac:dyDescent="0.25">
      <c r="A91" s="109">
        <v>45379</v>
      </c>
      <c r="B91" s="110" t="s">
        <v>22</v>
      </c>
      <c r="C91" s="111">
        <v>0.3</v>
      </c>
      <c r="D91" s="112">
        <v>0.3756944444444445</v>
      </c>
      <c r="E91" s="106">
        <f>Effort!F89</f>
        <v>278.21729092476204</v>
      </c>
      <c r="F91" s="107">
        <f>Harvest!F89</f>
        <v>2225.7383273980963</v>
      </c>
      <c r="G91" s="108">
        <f>+CPUE!F89</f>
        <v>8</v>
      </c>
      <c r="H91" s="106">
        <f>Effort!H89</f>
        <v>313.03384459767688</v>
      </c>
      <c r="I91" s="107">
        <f>Harvest!H89</f>
        <v>2504.270756781415</v>
      </c>
      <c r="J91" s="108">
        <f>CPUE!H89</f>
        <v>8</v>
      </c>
      <c r="K91" s="106" t="str">
        <f>Effort!J89</f>
        <v>CLOSED</v>
      </c>
      <c r="L91" s="107" t="str">
        <f>Harvest!J89</f>
        <v>CLOSED</v>
      </c>
      <c r="M91" s="108" t="str">
        <f>CPUE!J89</f>
        <v>CLOSED</v>
      </c>
      <c r="N91" s="106">
        <f>Effort!L89</f>
        <v>311.38471345978002</v>
      </c>
      <c r="O91" s="107">
        <f>Harvest!L89</f>
        <v>2482.6619046117598</v>
      </c>
      <c r="P91" s="108">
        <f>CPUE!L89</f>
        <v>7.9729729729729737</v>
      </c>
      <c r="Q91" s="106" t="s">
        <v>10</v>
      </c>
      <c r="R91" s="107" t="s">
        <v>10</v>
      </c>
      <c r="S91" s="113" t="s">
        <v>10</v>
      </c>
      <c r="T91" s="106">
        <f>SUM(E91,H91,N91)</f>
        <v>902.63584898221893</v>
      </c>
      <c r="U91" s="107">
        <f>SUM(F91,I91,O91)</f>
        <v>7212.6709887912712</v>
      </c>
      <c r="V91" s="107"/>
    </row>
    <row r="92" spans="1:24" s="114" customFormat="1" x14ac:dyDescent="0.25">
      <c r="A92" s="109">
        <v>45380</v>
      </c>
      <c r="B92" s="110" t="s">
        <v>18</v>
      </c>
      <c r="C92" s="111">
        <v>0.3</v>
      </c>
      <c r="D92" s="112">
        <v>0.40208333333333335</v>
      </c>
      <c r="E92" s="106">
        <f>Effort!F90</f>
        <v>866.59898116530803</v>
      </c>
      <c r="F92" s="107">
        <f>Harvest!F90</f>
        <v>4766.9892056313493</v>
      </c>
      <c r="G92" s="108">
        <f>+CPUE!F90</f>
        <v>5.5008017655654529</v>
      </c>
      <c r="H92" s="106">
        <f>Effort!H90</f>
        <v>975.046554069016</v>
      </c>
      <c r="I92" s="107">
        <f>Harvest!H90</f>
        <v>7777.1570384076304</v>
      </c>
      <c r="J92" s="108">
        <f>CPUE!H90</f>
        <v>7.9761904761904789</v>
      </c>
      <c r="K92" s="106">
        <f>Effort!J90</f>
        <v>1399.8277614757701</v>
      </c>
      <c r="L92" s="107">
        <f>Harvest!J90</f>
        <v>12998.400642275001</v>
      </c>
      <c r="M92" s="108">
        <f>CPUE!J90</f>
        <v>9.2857142857142811</v>
      </c>
      <c r="N92" s="106" t="str">
        <f>Effort!L90</f>
        <v>CLOSED</v>
      </c>
      <c r="O92" s="107" t="str">
        <f>Harvest!L90</f>
        <v>CLOSED</v>
      </c>
      <c r="P92" s="108" t="str">
        <f>CPUE!L90</f>
        <v>CLOSED</v>
      </c>
      <c r="Q92" s="106" t="s">
        <v>10</v>
      </c>
      <c r="R92" s="107" t="s">
        <v>10</v>
      </c>
      <c r="S92" s="113" t="s">
        <v>10</v>
      </c>
      <c r="T92" s="106">
        <f>SUM(E92,H92,K92)</f>
        <v>3241.4732967100945</v>
      </c>
      <c r="U92" s="107">
        <f>SUM(F92,I92,L92)</f>
        <v>25542.546886313983</v>
      </c>
      <c r="V92" s="107"/>
    </row>
    <row r="93" spans="1:24" s="114" customFormat="1" x14ac:dyDescent="0.25">
      <c r="A93" s="109">
        <v>45381</v>
      </c>
      <c r="B93" s="110" t="s">
        <v>19</v>
      </c>
      <c r="C93" s="111">
        <v>0.4</v>
      </c>
      <c r="D93" s="112">
        <v>0.43263888888888885</v>
      </c>
      <c r="E93" s="106">
        <f>Effort!F91</f>
        <v>2007.5603303255025</v>
      </c>
      <c r="F93" s="107">
        <f>Harvest!F91</f>
        <v>28105.844624557034</v>
      </c>
      <c r="G93" s="108">
        <f>+CPUE!F91</f>
        <v>14</v>
      </c>
      <c r="H93" s="106">
        <f>Effort!H91</f>
        <v>2836.2521025415799</v>
      </c>
      <c r="I93" s="107">
        <f>Harvest!H91</f>
        <v>29033.462383006299</v>
      </c>
      <c r="J93" s="108">
        <f>CPUE!H91</f>
        <v>10.236559139784953</v>
      </c>
      <c r="K93" s="106">
        <f>Effort!J91</f>
        <v>3083.4870508848599</v>
      </c>
      <c r="L93" s="107">
        <f>Harvest!J91</f>
        <v>44315.243385152899</v>
      </c>
      <c r="M93" s="108">
        <f>CPUE!J91</f>
        <v>14.371794871794865</v>
      </c>
      <c r="N93" s="106" t="str">
        <f>Effort!L91</f>
        <v>CLOSED</v>
      </c>
      <c r="O93" s="107" t="str">
        <f>Harvest!L91</f>
        <v>CLOSED</v>
      </c>
      <c r="P93" s="108" t="str">
        <f>CPUE!L91</f>
        <v>CLOSED</v>
      </c>
      <c r="Q93" s="106" t="s">
        <v>10</v>
      </c>
      <c r="R93" s="107" t="s">
        <v>10</v>
      </c>
      <c r="S93" s="113" t="s">
        <v>10</v>
      </c>
      <c r="T93" s="106">
        <f>SUM(E93,H93,K93)</f>
        <v>7927.2994837519418</v>
      </c>
      <c r="U93" s="107">
        <f>SUM(F93,I93,L93)</f>
        <v>101454.55039271622</v>
      </c>
      <c r="V93" s="107"/>
    </row>
    <row r="94" spans="1:24" s="114" customFormat="1" x14ac:dyDescent="0.25">
      <c r="A94" s="109">
        <v>45382</v>
      </c>
      <c r="B94" s="110" t="s">
        <v>20</v>
      </c>
      <c r="C94" s="111">
        <v>0.6</v>
      </c>
      <c r="D94" s="112">
        <v>0.4694444444444445</v>
      </c>
      <c r="E94" s="106">
        <f>Effort!F92</f>
        <v>1506.980717559853</v>
      </c>
      <c r="F94" s="107">
        <f>Harvest!F92</f>
        <v>20344.239687058016</v>
      </c>
      <c r="G94" s="108">
        <f>+CPUE!F92</f>
        <v>13.5</v>
      </c>
      <c r="H94" s="106">
        <f>Effort!H92</f>
        <v>1695.56667806063</v>
      </c>
      <c r="I94" s="107">
        <f>Harvest!H92</f>
        <v>15078.432244182</v>
      </c>
      <c r="J94" s="108">
        <f>CPUE!H92</f>
        <v>8.8928571428571246</v>
      </c>
      <c r="K94" s="106" t="str">
        <f>Effort!J92</f>
        <v>CLOSED</v>
      </c>
      <c r="L94" s="107" t="str">
        <f>Harvest!J92</f>
        <v>CLOSED</v>
      </c>
      <c r="M94" s="108" t="str">
        <f>CPUE!J92</f>
        <v>CLOSED</v>
      </c>
      <c r="N94" s="106">
        <f>Effort!L92</f>
        <v>1686.63405989992</v>
      </c>
      <c r="O94" s="107">
        <f>Harvest!L92</f>
        <v>22653.810412381299</v>
      </c>
      <c r="P94" s="108">
        <f>CPUE!L92</f>
        <v>13.431372549019621</v>
      </c>
      <c r="Q94" s="106" t="s">
        <v>10</v>
      </c>
      <c r="R94" s="107" t="s">
        <v>10</v>
      </c>
      <c r="S94" s="113" t="s">
        <v>10</v>
      </c>
      <c r="T94" s="106">
        <f>SUM(E94,H94,N94)</f>
        <v>4889.1814555204037</v>
      </c>
      <c r="U94" s="107">
        <f>SUM(F94,I94,O94)</f>
        <v>58076.482343621319</v>
      </c>
      <c r="V94" s="107"/>
    </row>
    <row r="95" spans="1:24" s="114" customFormat="1" x14ac:dyDescent="0.25">
      <c r="A95" s="125" t="s">
        <v>50</v>
      </c>
      <c r="B95" s="125"/>
      <c r="C95" s="125"/>
      <c r="D95" s="126"/>
      <c r="E95" s="115">
        <f>SUM(E89:E94)</f>
        <v>4912.1917091970554</v>
      </c>
      <c r="F95" s="116">
        <f>SUM(F89:F94)</f>
        <v>56454.149401531016</v>
      </c>
      <c r="G95" s="117">
        <f>+F95/E95</f>
        <v>11.492660047414759</v>
      </c>
      <c r="H95" s="115">
        <f>SUM(H89:H94)</f>
        <v>5819.899179268903</v>
      </c>
      <c r="I95" s="116">
        <f>SUM(I89:I94)</f>
        <v>54393.322422377343</v>
      </c>
      <c r="J95" s="117">
        <f>+I95/H95</f>
        <v>9.3460935914718455</v>
      </c>
      <c r="K95" s="115">
        <f>SUM(K89:K94)</f>
        <v>5109.6479195220172</v>
      </c>
      <c r="L95" s="116">
        <f>SUM(L89:L94)</f>
        <v>66561.268139046035</v>
      </c>
      <c r="M95" s="117">
        <f>+L95/K95</f>
        <v>13.026586016766595</v>
      </c>
      <c r="N95" s="115">
        <f>SUM(N89:N94)</f>
        <v>2280.994585462789</v>
      </c>
      <c r="O95" s="116">
        <f>SUM(O89:O94)</f>
        <v>26268.375565405415</v>
      </c>
      <c r="P95" s="117">
        <f>+O95/N95</f>
        <v>11.516193739704054</v>
      </c>
      <c r="Q95" s="115"/>
      <c r="R95" s="116"/>
      <c r="S95" s="117"/>
      <c r="T95" s="115">
        <f>SUM(T89:T94)</f>
        <v>18122.733393450766</v>
      </c>
      <c r="U95" s="116">
        <f>SUM(U89:U94)</f>
        <v>203677.11552835981</v>
      </c>
      <c r="V95" s="118"/>
      <c r="W95" s="119">
        <f>SUM(H95,K95,N95,Q95,E95)</f>
        <v>18122.733393450766</v>
      </c>
      <c r="X95" s="119">
        <f>SUM(R95,O95,L95,I95,F95)</f>
        <v>203677.11552835983</v>
      </c>
    </row>
    <row r="96" spans="1:24" s="114" customFormat="1" x14ac:dyDescent="0.25">
      <c r="A96" s="109">
        <v>45390</v>
      </c>
      <c r="B96" s="110" t="s">
        <v>21</v>
      </c>
      <c r="C96" s="111">
        <v>-0.5</v>
      </c>
      <c r="D96" s="112">
        <v>0.28055555555555556</v>
      </c>
      <c r="E96" s="106" t="str">
        <f>Effort!F94</f>
        <v>CLOSED</v>
      </c>
      <c r="F96" s="107" t="str">
        <f>Harvest!F94</f>
        <v>CLOSED</v>
      </c>
      <c r="G96" s="108" t="str">
        <f>+CPUE!F94</f>
        <v>CLOSED</v>
      </c>
      <c r="H96" s="106" t="str">
        <f>Effort!H94</f>
        <v>CLOSED</v>
      </c>
      <c r="I96" s="107" t="str">
        <f>Harvest!H94</f>
        <v>CLOSED</v>
      </c>
      <c r="J96" s="108" t="str">
        <f>CPUE!H94</f>
        <v>CLOSED</v>
      </c>
      <c r="K96" s="106" t="str">
        <f>Effort!J94</f>
        <v>CLOSED</v>
      </c>
      <c r="L96" s="107" t="str">
        <f>Harvest!J94</f>
        <v>CLOSED</v>
      </c>
      <c r="M96" s="108" t="str">
        <f>CPUE!J94</f>
        <v>CLOSED</v>
      </c>
      <c r="N96" s="106">
        <f>Effort!L94</f>
        <v>494.80943824298902</v>
      </c>
      <c r="O96" s="107">
        <f>Harvest!L94</f>
        <v>2577.1324908489</v>
      </c>
      <c r="P96" s="108">
        <f>CPUE!L94</f>
        <v>5.2083333333333313</v>
      </c>
      <c r="Q96" s="106" t="s">
        <v>10</v>
      </c>
      <c r="R96" s="107" t="s">
        <v>10</v>
      </c>
      <c r="S96" s="113" t="s">
        <v>10</v>
      </c>
      <c r="T96" s="106">
        <f>SUM(E96,H96,N96)</f>
        <v>494.80943824298902</v>
      </c>
      <c r="U96" s="107">
        <f>SUM(F96,I96,O96)</f>
        <v>2577.1324908489</v>
      </c>
      <c r="V96" s="107"/>
    </row>
    <row r="97" spans="1:24" s="114" customFormat="1" x14ac:dyDescent="0.25">
      <c r="A97" s="109">
        <v>45391</v>
      </c>
      <c r="B97" s="110" t="s">
        <v>66</v>
      </c>
      <c r="C97" s="111">
        <v>-1.2</v>
      </c>
      <c r="D97" s="112">
        <v>0.31180555555555556</v>
      </c>
      <c r="E97" s="106">
        <f>Effort!F95</f>
        <v>1299.6990363751913</v>
      </c>
      <c r="F97" s="107">
        <f>Harvest!F95</f>
        <v>14296.689400127105</v>
      </c>
      <c r="G97" s="108">
        <f>+CPUE!F95</f>
        <v>11</v>
      </c>
      <c r="H97" s="106" t="str">
        <f>Effort!H95</f>
        <v>CLOSED</v>
      </c>
      <c r="I97" s="107" t="str">
        <f>Harvest!H95</f>
        <v>CLOSED</v>
      </c>
      <c r="J97" s="108" t="str">
        <f>CPUE!H95</f>
        <v>CLOSED</v>
      </c>
      <c r="K97" s="106" t="str">
        <f>Effort!J95</f>
        <v>CLOSED</v>
      </c>
      <c r="L97" s="107" t="str">
        <f>Harvest!J95</f>
        <v>CLOSED</v>
      </c>
      <c r="M97" s="108" t="str">
        <f>CPUE!J95</f>
        <v>CLOSED</v>
      </c>
      <c r="N97" s="106">
        <f>Effort!L95</f>
        <v>1433.1355645220999</v>
      </c>
      <c r="O97" s="107">
        <f>Harvest!L95</f>
        <v>16164.436018446901</v>
      </c>
      <c r="P97" s="108">
        <f>CPUE!L95</f>
        <v>11.279069767441833</v>
      </c>
      <c r="Q97" s="106" t="s">
        <v>10</v>
      </c>
      <c r="R97" s="107" t="s">
        <v>10</v>
      </c>
      <c r="S97" s="113" t="s">
        <v>10</v>
      </c>
      <c r="T97" s="106">
        <f>SUM(E97,H97,N97)</f>
        <v>2732.8346008972912</v>
      </c>
      <c r="U97" s="107">
        <f>SUM(F97,I97,O97)</f>
        <v>30461.125418574004</v>
      </c>
      <c r="V97" s="107"/>
    </row>
    <row r="98" spans="1:24" s="114" customFormat="1" x14ac:dyDescent="0.25">
      <c r="A98" s="109">
        <v>45392</v>
      </c>
      <c r="B98" s="110" t="s">
        <v>67</v>
      </c>
      <c r="C98" s="111">
        <v>-1.5</v>
      </c>
      <c r="D98" s="112">
        <v>0.3430555555555555</v>
      </c>
      <c r="E98" s="106">
        <f>Effort!F96</f>
        <v>4347.0307603746542</v>
      </c>
      <c r="F98" s="107">
        <f>Harvest!F96</f>
        <v>57380.806036945432</v>
      </c>
      <c r="G98" s="108">
        <f>+CPUE!F96</f>
        <v>13.2</v>
      </c>
      <c r="H98" s="106">
        <f>Effort!H96</f>
        <v>2928.7787193507247</v>
      </c>
      <c r="I98" s="107">
        <f>Harvest!H96</f>
        <v>41002.902070910146</v>
      </c>
      <c r="J98" s="108">
        <f>CPUE!H96</f>
        <v>14</v>
      </c>
      <c r="K98" s="106">
        <f>Effort!J96</f>
        <v>3577.8308679708798</v>
      </c>
      <c r="L98" s="107">
        <f>Harvest!J96</f>
        <v>50170.3351035015</v>
      </c>
      <c r="M98" s="108">
        <f>CPUE!J96</f>
        <v>14.022556390977462</v>
      </c>
      <c r="N98" s="106" t="str">
        <f>Effort!L96</f>
        <v>CLOSED</v>
      </c>
      <c r="O98" s="107" t="str">
        <f>Harvest!L96</f>
        <v>CLOSED</v>
      </c>
      <c r="P98" s="108" t="str">
        <f>CPUE!L96</f>
        <v>CLOSED</v>
      </c>
      <c r="Q98" s="106" t="s">
        <v>10</v>
      </c>
      <c r="R98" s="107" t="s">
        <v>10</v>
      </c>
      <c r="S98" s="113" t="s">
        <v>10</v>
      </c>
      <c r="T98" s="106">
        <f>SUM(E98,H98,K98)</f>
        <v>10853.640347696259</v>
      </c>
      <c r="U98" s="107">
        <f>SUM(F98,I98,L98)</f>
        <v>148554.04321135709</v>
      </c>
      <c r="V98" s="107"/>
    </row>
    <row r="99" spans="1:24" s="114" customFormat="1" x14ac:dyDescent="0.25">
      <c r="A99" s="109">
        <v>45393</v>
      </c>
      <c r="B99" s="110" t="s">
        <v>22</v>
      </c>
      <c r="C99" s="111">
        <v>-1.4</v>
      </c>
      <c r="D99" s="112">
        <v>0.375</v>
      </c>
      <c r="E99" s="106">
        <f>Effort!F97</f>
        <v>2424.4050445195867</v>
      </c>
      <c r="F99" s="107">
        <f>Harvest!F97</f>
        <v>29092.860534235042</v>
      </c>
      <c r="G99" s="108">
        <f>+CPUE!F97</f>
        <v>12</v>
      </c>
      <c r="H99" s="106">
        <f>Effort!H97</f>
        <v>1633.4243516748299</v>
      </c>
      <c r="I99" s="107">
        <f>Harvest!H97</f>
        <v>22729.905062742699</v>
      </c>
      <c r="J99" s="108">
        <f>CPUE!H97</f>
        <v>13.915492957746476</v>
      </c>
      <c r="K99" s="106">
        <f>Effort!J97</f>
        <v>2162.7057030967298</v>
      </c>
      <c r="L99" s="107">
        <f>Harvest!J97</f>
        <v>22673.527532465701</v>
      </c>
      <c r="M99" s="108">
        <f>CPUE!J97</f>
        <v>10.483870967741929</v>
      </c>
      <c r="N99" s="106" t="str">
        <f>Effort!L97</f>
        <v>CLOSED</v>
      </c>
      <c r="O99" s="107" t="str">
        <f>Harvest!L97</f>
        <v>CLOSED</v>
      </c>
      <c r="P99" s="108" t="str">
        <f>CPUE!L97</f>
        <v>CLOSED</v>
      </c>
      <c r="Q99" s="106" t="s">
        <v>10</v>
      </c>
      <c r="R99" s="107" t="s">
        <v>10</v>
      </c>
      <c r="S99" s="113" t="s">
        <v>10</v>
      </c>
      <c r="T99" s="106">
        <f>SUM(E99,H99,K99)</f>
        <v>6220.5350992911463</v>
      </c>
      <c r="U99" s="107">
        <f>SUM(F99,I99,L99)</f>
        <v>74496.293129443438</v>
      </c>
      <c r="V99" s="107"/>
    </row>
    <row r="100" spans="1:24" s="114" customFormat="1" x14ac:dyDescent="0.25">
      <c r="A100" s="109">
        <v>45394</v>
      </c>
      <c r="B100" s="110" t="s">
        <v>18</v>
      </c>
      <c r="C100" s="111">
        <v>-1.1000000000000001</v>
      </c>
      <c r="D100" s="112">
        <v>0.40833333333333338</v>
      </c>
      <c r="E100" s="106">
        <f>Effort!F98</f>
        <v>2860.3887505144889</v>
      </c>
      <c r="F100" s="107">
        <f>Harvest!F98</f>
        <v>41670.16697973798</v>
      </c>
      <c r="G100" s="108">
        <f>+CPUE!F98</f>
        <v>14.568008272387067</v>
      </c>
      <c r="H100" s="106">
        <f>Effort!H98</f>
        <v>1927.1650382467101</v>
      </c>
      <c r="I100" s="107">
        <f>Harvest!H98</f>
        <v>23744.127735379199</v>
      </c>
      <c r="J100" s="108">
        <f>CPUE!H98</f>
        <v>12.320754716981092</v>
      </c>
      <c r="K100" s="106" t="str">
        <f>Effort!J98</f>
        <v>CLOSED</v>
      </c>
      <c r="L100" s="107" t="str">
        <f>Harvest!J98</f>
        <v>CLOSED</v>
      </c>
      <c r="M100" s="108" t="str">
        <f>CPUE!J98</f>
        <v>CLOSED</v>
      </c>
      <c r="N100" s="106">
        <f>Effort!L98</f>
        <v>3154.05700242273</v>
      </c>
      <c r="O100" s="107">
        <f>Harvest!L98</f>
        <v>41822.795852125397</v>
      </c>
      <c r="P100" s="108">
        <f>CPUE!L98</f>
        <v>13.26</v>
      </c>
      <c r="Q100" s="106" t="s">
        <v>10</v>
      </c>
      <c r="R100" s="107" t="s">
        <v>10</v>
      </c>
      <c r="S100" s="113" t="s">
        <v>10</v>
      </c>
      <c r="T100" s="106">
        <f>SUM(E100,H100,N100)</f>
        <v>7941.610791183929</v>
      </c>
      <c r="U100" s="107">
        <f>SUM(F100,I100,O100)</f>
        <v>107237.09056724259</v>
      </c>
      <c r="V100" s="107"/>
    </row>
    <row r="101" spans="1:24" s="114" customFormat="1" x14ac:dyDescent="0.25">
      <c r="A101" s="109">
        <v>45395</v>
      </c>
      <c r="B101" s="110" t="s">
        <v>19</v>
      </c>
      <c r="C101" s="111">
        <v>-0.5</v>
      </c>
      <c r="D101" s="112">
        <v>0.44444444444444442</v>
      </c>
      <c r="E101" s="106">
        <f>Effort!F99</f>
        <v>5577.4845413768408</v>
      </c>
      <c r="F101" s="107">
        <f>Harvest!F99</f>
        <v>69718.55676721051</v>
      </c>
      <c r="G101" s="108">
        <f>+CPUE!F99</f>
        <v>12.5</v>
      </c>
      <c r="H101" s="106">
        <f>Effort!H99</f>
        <v>3757.7875411409</v>
      </c>
      <c r="I101" s="107">
        <f>Harvest!H99</f>
        <v>46753.868244427402</v>
      </c>
      <c r="J101" s="108">
        <f>CPUE!H99</f>
        <v>12.441860465116259</v>
      </c>
      <c r="K101" s="106" t="str">
        <f>Effort!J99</f>
        <v>CLOSED</v>
      </c>
      <c r="L101" s="107" t="str">
        <f>Harvest!J99</f>
        <v>CLOSED</v>
      </c>
      <c r="M101" s="108" t="str">
        <f>CPUE!J99</f>
        <v>CLOSED</v>
      </c>
      <c r="N101" s="106">
        <f>Effort!L99</f>
        <v>4225.0214709163301</v>
      </c>
      <c r="O101" s="107">
        <f>Harvest!L99</f>
        <v>53758.368429944901</v>
      </c>
      <c r="P101" s="108">
        <f>CPUE!L99</f>
        <v>12.723809523809518</v>
      </c>
      <c r="Q101" s="106" t="s">
        <v>10</v>
      </c>
      <c r="R101" s="107" t="s">
        <v>10</v>
      </c>
      <c r="S101" s="113" t="s">
        <v>10</v>
      </c>
      <c r="T101" s="106">
        <f>SUM(E101,H101,N101)</f>
        <v>13560.29355343407</v>
      </c>
      <c r="U101" s="107">
        <f>SUM(F101,I101,O101)</f>
        <v>170230.79344158282</v>
      </c>
      <c r="V101" s="107"/>
    </row>
    <row r="102" spans="1:24" s="114" customFormat="1" x14ac:dyDescent="0.25">
      <c r="A102" s="109">
        <v>45396</v>
      </c>
      <c r="B102" s="110" t="s">
        <v>20</v>
      </c>
      <c r="C102" s="111">
        <v>0.1</v>
      </c>
      <c r="D102" s="112">
        <v>0.48472222222222222</v>
      </c>
      <c r="E102" s="106">
        <f>Effort!F100</f>
        <v>1725.6615028839394</v>
      </c>
      <c r="F102" s="107">
        <f>Harvest!F100</f>
        <v>19845.107283165304</v>
      </c>
      <c r="G102" s="108">
        <f>+CPUE!F100</f>
        <v>11.5</v>
      </c>
      <c r="H102" s="106" t="str">
        <f>Effort!H100</f>
        <v>CLOSED</v>
      </c>
      <c r="I102" s="107" t="str">
        <f>Harvest!H100</f>
        <v>CLOSED</v>
      </c>
      <c r="J102" s="108" t="str">
        <f>CPUE!H100</f>
        <v>CLOSED</v>
      </c>
      <c r="K102" s="106">
        <f>Effort!J100</f>
        <v>4898.4195890187302</v>
      </c>
      <c r="L102" s="107">
        <f>Harvest!J100</f>
        <v>56331.825273715396</v>
      </c>
      <c r="M102" s="108">
        <f>CPUE!J100</f>
        <v>11.5</v>
      </c>
      <c r="N102" s="106" t="str">
        <f>Effort!L100</f>
        <v>CLOSED</v>
      </c>
      <c r="O102" s="107" t="str">
        <f>Harvest!L100</f>
        <v>CLOSED</v>
      </c>
      <c r="P102" s="108" t="str">
        <f>CPUE!L100</f>
        <v>CLOSED</v>
      </c>
      <c r="Q102" s="106" t="s">
        <v>10</v>
      </c>
      <c r="R102" s="107" t="s">
        <v>10</v>
      </c>
      <c r="S102" s="113" t="s">
        <v>10</v>
      </c>
      <c r="T102" s="106">
        <f>SUM(E102,H102,K102)</f>
        <v>6624.0810919026699</v>
      </c>
      <c r="U102" s="107">
        <f>SUM(F102,I102,L102)</f>
        <v>76176.932556880696</v>
      </c>
      <c r="V102" s="107"/>
    </row>
    <row r="103" spans="1:24" s="114" customFormat="1" x14ac:dyDescent="0.25">
      <c r="A103" s="125" t="s">
        <v>50</v>
      </c>
      <c r="B103" s="125"/>
      <c r="C103" s="125"/>
      <c r="D103" s="126"/>
      <c r="E103" s="115">
        <f>SUM(E96:E102)</f>
        <v>18234.669636044702</v>
      </c>
      <c r="F103" s="116">
        <f>SUM(F96:F102)</f>
        <v>232004.18700142138</v>
      </c>
      <c r="G103" s="117">
        <f>+F103/E103</f>
        <v>12.723245972211954</v>
      </c>
      <c r="H103" s="115">
        <f>SUM(H96:H102)</f>
        <v>10247.155650413166</v>
      </c>
      <c r="I103" s="116">
        <f>SUM(I96:I102)</f>
        <v>134230.80311345943</v>
      </c>
      <c r="J103" s="117">
        <f>+I103/H103</f>
        <v>13.099323138323486</v>
      </c>
      <c r="K103" s="115">
        <f>SUM(K96:K102)</f>
        <v>10638.95616008634</v>
      </c>
      <c r="L103" s="116">
        <f>SUM(L96:L102)</f>
        <v>129175.6879096826</v>
      </c>
      <c r="M103" s="117">
        <f>+L103/K103</f>
        <v>12.141763342752066</v>
      </c>
      <c r="N103" s="115">
        <f>SUM(N96:N102)</f>
        <v>9307.0234761041502</v>
      </c>
      <c r="O103" s="116">
        <f>SUM(O96:O102)</f>
        <v>114322.7327913661</v>
      </c>
      <c r="P103" s="117">
        <f>+O103/N103</f>
        <v>12.283490321571719</v>
      </c>
      <c r="Q103" s="115"/>
      <c r="R103" s="116"/>
      <c r="S103" s="117"/>
      <c r="T103" s="115">
        <f>SUM(T96:T102)</f>
        <v>48427.804922648356</v>
      </c>
      <c r="U103" s="116">
        <f>SUM(U96:U102)</f>
        <v>609733.41081592953</v>
      </c>
      <c r="V103" s="118"/>
      <c r="W103" s="119">
        <f>SUM(H103,K103,N103,Q103,E103)</f>
        <v>48427.804922648356</v>
      </c>
      <c r="X103" s="119">
        <f>SUM(R103,O103,L103,I103,F103)</f>
        <v>609733.41081592953</v>
      </c>
    </row>
    <row r="104" spans="1:24" s="114" customFormat="1" x14ac:dyDescent="0.25">
      <c r="A104" s="109">
        <v>45405</v>
      </c>
      <c r="B104" s="110" t="s">
        <v>66</v>
      </c>
      <c r="C104" s="111">
        <v>0</v>
      </c>
      <c r="D104" s="112">
        <v>0.2902777777777778</v>
      </c>
      <c r="E104" s="106" t="str">
        <f>Effort!F102</f>
        <v>CLOSED</v>
      </c>
      <c r="F104" s="107" t="str">
        <f>Harvest!F102</f>
        <v>CLOSED</v>
      </c>
      <c r="G104" s="108" t="str">
        <f>+CPUE!F102</f>
        <v>CLOSED</v>
      </c>
      <c r="H104" s="106" t="str">
        <f>Effort!H102</f>
        <v>CLOSED</v>
      </c>
      <c r="I104" s="107" t="str">
        <f>Harvest!H102</f>
        <v>CLOSED</v>
      </c>
      <c r="J104" s="108" t="str">
        <f>CPUE!H102</f>
        <v>CLOSED</v>
      </c>
      <c r="K104" s="106">
        <f>Effort!J102</f>
        <v>469.83547396099698</v>
      </c>
      <c r="L104" s="107">
        <f>Harvest!J102</f>
        <v>6741.1176698751697</v>
      </c>
      <c r="M104" s="108">
        <f>CPUE!J102</f>
        <v>14.347826086956513</v>
      </c>
      <c r="N104" s="106" t="str">
        <f>Effort!L102</f>
        <v>CLOSED</v>
      </c>
      <c r="O104" s="107" t="str">
        <f>Harvest!L102</f>
        <v>CLOSED</v>
      </c>
      <c r="P104" s="108" t="str">
        <f>CPUE!L102</f>
        <v>CLOSED</v>
      </c>
      <c r="Q104" s="106" t="s">
        <v>10</v>
      </c>
      <c r="R104" s="107" t="s">
        <v>10</v>
      </c>
      <c r="S104" s="113" t="s">
        <v>10</v>
      </c>
      <c r="T104" s="106">
        <f>SUM(E104,H104,K104)</f>
        <v>469.83547396099698</v>
      </c>
      <c r="U104" s="107">
        <f>SUM(F104,I104,L104)</f>
        <v>6741.1176698751697</v>
      </c>
      <c r="V104" s="107"/>
    </row>
    <row r="105" spans="1:24" s="114" customFormat="1" x14ac:dyDescent="0.25">
      <c r="A105" s="109">
        <v>45406</v>
      </c>
      <c r="B105" s="110" t="s">
        <v>67</v>
      </c>
      <c r="C105" s="111">
        <v>-0.4</v>
      </c>
      <c r="D105" s="112">
        <v>0.3125</v>
      </c>
      <c r="E105" s="106">
        <f>Effort!F103</f>
        <v>505.89961058172651</v>
      </c>
      <c r="F105" s="107">
        <f>Harvest!F103</f>
        <v>7335.5443534350343</v>
      </c>
      <c r="G105" s="108">
        <f>+CPUE!F103</f>
        <v>14.5</v>
      </c>
      <c r="H105" s="106" t="str">
        <f>Effort!H103</f>
        <v>CLOSED</v>
      </c>
      <c r="I105" s="107" t="str">
        <f>Harvest!H103</f>
        <v>CLOSED</v>
      </c>
      <c r="J105" s="108" t="str">
        <f>CPUE!H103</f>
        <v>CLOSED</v>
      </c>
      <c r="K105" s="106" t="str">
        <f>Effort!J103</f>
        <v>CLOSED</v>
      </c>
      <c r="L105" s="107" t="str">
        <f>Harvest!J103</f>
        <v>CLOSED</v>
      </c>
      <c r="M105" s="108" t="str">
        <f>CPUE!J103</f>
        <v>CLOSED</v>
      </c>
      <c r="N105" s="106">
        <f>Effort!L103</f>
        <v>461.738715764902</v>
      </c>
      <c r="O105" s="107">
        <f>Harvest!L103</f>
        <v>6766.86048965805</v>
      </c>
      <c r="P105" s="108">
        <f>CPUE!L103</f>
        <v>14.65517241379311</v>
      </c>
      <c r="Q105" s="106" t="s">
        <v>10</v>
      </c>
      <c r="R105" s="107" t="s">
        <v>10</v>
      </c>
      <c r="S105" s="113" t="s">
        <v>10</v>
      </c>
      <c r="T105" s="106">
        <f>SUM(E105,H105,N105)</f>
        <v>967.63832634662845</v>
      </c>
      <c r="U105" s="107">
        <f>SUM(F105,I105,O105)</f>
        <v>14102.404843093085</v>
      </c>
      <c r="V105" s="107"/>
    </row>
    <row r="106" spans="1:24" s="114" customFormat="1" x14ac:dyDescent="0.25">
      <c r="A106" s="109">
        <v>45407</v>
      </c>
      <c r="B106" s="110" t="s">
        <v>22</v>
      </c>
      <c r="C106" s="111">
        <v>-0.6</v>
      </c>
      <c r="D106" s="112">
        <v>0.3354166666666667</v>
      </c>
      <c r="E106" s="106">
        <f>Effort!F104</f>
        <v>223.75385874637465</v>
      </c>
      <c r="F106" s="107">
        <f>Harvest!F104</f>
        <v>2931.1755495775078</v>
      </c>
      <c r="G106" s="108">
        <f>+CPUE!F104</f>
        <v>13.1</v>
      </c>
      <c r="H106" s="106">
        <f>Effort!H104</f>
        <v>286.61828155357699</v>
      </c>
      <c r="I106" s="107">
        <f>Harvest!H104</f>
        <v>3570.78609102165</v>
      </c>
      <c r="J106" s="108">
        <f>CPUE!H104</f>
        <v>12.458333333333345</v>
      </c>
      <c r="K106" s="106" t="str">
        <f>Effort!J104</f>
        <v>CLOSED</v>
      </c>
      <c r="L106" s="107" t="str">
        <f>Harvest!J104</f>
        <v>CLOSED</v>
      </c>
      <c r="M106" s="108" t="str">
        <f>CPUE!J104</f>
        <v>CLOSED</v>
      </c>
      <c r="N106" s="106">
        <f>Effort!L104</f>
        <v>374.25833213634399</v>
      </c>
      <c r="O106" s="107">
        <f>Harvest!L104</f>
        <v>5182.0384449647599</v>
      </c>
      <c r="P106" s="108">
        <f>CPUE!L104</f>
        <v>13.846153846153838</v>
      </c>
      <c r="Q106" s="106" t="s">
        <v>10</v>
      </c>
      <c r="R106" s="107" t="s">
        <v>10</v>
      </c>
      <c r="S106" s="113" t="s">
        <v>10</v>
      </c>
      <c r="T106" s="106">
        <f>SUM(E106,H106,N106)</f>
        <v>884.63047243629558</v>
      </c>
      <c r="U106" s="107">
        <f>SUM(F106,I106,O106)</f>
        <v>11684.000085563919</v>
      </c>
      <c r="V106" s="107"/>
    </row>
    <row r="107" spans="1:24" s="114" customFormat="1" x14ac:dyDescent="0.25">
      <c r="A107" s="109">
        <v>45408</v>
      </c>
      <c r="B107" s="110" t="s">
        <v>18</v>
      </c>
      <c r="C107" s="111">
        <v>-0.7</v>
      </c>
      <c r="D107" s="112">
        <v>0.36041666666666666</v>
      </c>
      <c r="E107" s="106">
        <f>Effort!F105</f>
        <v>653.05620555270059</v>
      </c>
      <c r="F107" s="107">
        <f>Harvest!F105</f>
        <v>9142.786877737808</v>
      </c>
      <c r="G107" s="108">
        <f>+CPUE!F105</f>
        <v>14</v>
      </c>
      <c r="H107" s="106">
        <f>Effort!H105</f>
        <v>657.4143760935608</v>
      </c>
      <c r="I107" s="107">
        <f>Harvest!H105</f>
        <v>9203.8012653098522</v>
      </c>
      <c r="J107" s="108">
        <f>CPUE!H105</f>
        <v>14</v>
      </c>
      <c r="K107" s="106">
        <f>Effort!J105</f>
        <v>1095.8940439539899</v>
      </c>
      <c r="L107" s="107">
        <f>Harvest!J105</f>
        <v>15474.0239006303</v>
      </c>
      <c r="M107" s="108">
        <f>CPUE!J105</f>
        <v>14.119999999999965</v>
      </c>
      <c r="N107" s="106" t="str">
        <f>Effort!L105</f>
        <v>CLOSED</v>
      </c>
      <c r="O107" s="107" t="str">
        <f>Harvest!L105</f>
        <v>CLOSED</v>
      </c>
      <c r="P107" s="108" t="str">
        <f>CPUE!L105</f>
        <v>CLOSED</v>
      </c>
      <c r="Q107" s="106" t="s">
        <v>10</v>
      </c>
      <c r="R107" s="107" t="s">
        <v>10</v>
      </c>
      <c r="S107" s="113" t="s">
        <v>10</v>
      </c>
      <c r="T107" s="106">
        <f>SUM(E107,H107,K107)</f>
        <v>2406.3646256002512</v>
      </c>
      <c r="U107" s="107">
        <f>SUM(F107,I107,L107)</f>
        <v>33820.61204367796</v>
      </c>
      <c r="V107" s="107"/>
    </row>
    <row r="108" spans="1:24" s="114" customFormat="1" x14ac:dyDescent="0.25">
      <c r="A108" s="109">
        <v>45409</v>
      </c>
      <c r="B108" s="110" t="s">
        <v>19</v>
      </c>
      <c r="C108" s="111">
        <v>-0.7</v>
      </c>
      <c r="D108" s="112">
        <v>0.38819444444444445</v>
      </c>
      <c r="E108" s="106">
        <f>Effort!F106</f>
        <v>1458.9139782583568</v>
      </c>
      <c r="F108" s="107">
        <f>Harvest!F106</f>
        <v>14443.248384757733</v>
      </c>
      <c r="G108" s="108">
        <f>+CPUE!F106</f>
        <v>9.9</v>
      </c>
      <c r="H108" s="106">
        <f>Effort!H106</f>
        <v>1468.6500405874999</v>
      </c>
      <c r="I108" s="107">
        <f>Harvest!H106</f>
        <v>20316.325561460399</v>
      </c>
      <c r="J108" s="108">
        <f>CPUE!H106</f>
        <v>13.833333333333321</v>
      </c>
      <c r="K108" s="106">
        <f>Effort!J106</f>
        <v>2448.2044972858498</v>
      </c>
      <c r="L108" s="107">
        <f>Harvest!J106</f>
        <v>36315.033376406704</v>
      </c>
      <c r="M108" s="108">
        <f>CPUE!J106</f>
        <v>14.833333333333306</v>
      </c>
      <c r="N108" s="106" t="str">
        <f>Effort!L106</f>
        <v>CLOSED</v>
      </c>
      <c r="O108" s="107" t="str">
        <f>Harvest!L106</f>
        <v>CLOSED</v>
      </c>
      <c r="P108" s="108" t="str">
        <f>CPUE!L106</f>
        <v>CLOSED</v>
      </c>
      <c r="Q108" s="106" t="s">
        <v>10</v>
      </c>
      <c r="R108" s="107" t="s">
        <v>10</v>
      </c>
      <c r="S108" s="113" t="s">
        <v>10</v>
      </c>
      <c r="T108" s="106">
        <f>SUM(E108,H108,K108)</f>
        <v>5375.7685161317058</v>
      </c>
      <c r="U108" s="107">
        <f>SUM(F108,I108,L108)</f>
        <v>71074.607322624826</v>
      </c>
      <c r="V108" s="107"/>
    </row>
    <row r="109" spans="1:24" s="114" customFormat="1" x14ac:dyDescent="0.25">
      <c r="A109" s="109">
        <v>45410</v>
      </c>
      <c r="B109" s="110" t="s">
        <v>20</v>
      </c>
      <c r="C109" s="111">
        <v>-0.5</v>
      </c>
      <c r="D109" s="112">
        <v>0.4201388888888889</v>
      </c>
      <c r="E109" s="106">
        <f>Effort!F107</f>
        <v>1224.3267767430896</v>
      </c>
      <c r="F109" s="107">
        <f>Harvest!F107</f>
        <v>14079.75793254553</v>
      </c>
      <c r="G109" s="108">
        <f>+CPUE!F107</f>
        <v>11.5</v>
      </c>
      <c r="H109" s="106">
        <f>Effort!H107</f>
        <v>1568.3056318054219</v>
      </c>
      <c r="I109" s="107">
        <f>Harvest!H107</f>
        <v>18035.514765762353</v>
      </c>
      <c r="J109" s="108">
        <f>CPUE!H107</f>
        <v>11.5</v>
      </c>
      <c r="K109" s="106" t="str">
        <f>Effort!J107</f>
        <v>CLOSED</v>
      </c>
      <c r="L109" s="107" t="str">
        <f>Harvest!J107</f>
        <v>CLOSED</v>
      </c>
      <c r="M109" s="108" t="str">
        <f>CPUE!J107</f>
        <v>CLOSED</v>
      </c>
      <c r="N109" s="106">
        <f>Effort!L107</f>
        <v>2047.85070532849</v>
      </c>
      <c r="O109" s="107">
        <f>Harvest!L107</f>
        <v>23944.100554609999</v>
      </c>
      <c r="P109" s="108">
        <f>CPUE!L107</f>
        <v>11.692307692307674</v>
      </c>
      <c r="Q109" s="106" t="s">
        <v>10</v>
      </c>
      <c r="R109" s="107" t="s">
        <v>10</v>
      </c>
      <c r="S109" s="113" t="s">
        <v>10</v>
      </c>
      <c r="T109" s="106">
        <f>SUM(E109,H109,N109)</f>
        <v>4840.4831138770014</v>
      </c>
      <c r="U109" s="107">
        <f>SUM(F109,I109,O109)</f>
        <v>56059.373252917881</v>
      </c>
      <c r="V109" s="107"/>
    </row>
    <row r="110" spans="1:24" s="114" customFormat="1" x14ac:dyDescent="0.25">
      <c r="A110" s="109">
        <v>45411</v>
      </c>
      <c r="B110" s="110" t="s">
        <v>21</v>
      </c>
      <c r="C110" s="111">
        <v>-0.3</v>
      </c>
      <c r="D110" s="112">
        <v>0.45694444444444443</v>
      </c>
      <c r="E110" s="106">
        <f>Effort!F108</f>
        <v>533.14830548647967</v>
      </c>
      <c r="F110" s="107">
        <f>Harvest!F108</f>
        <v>7997.2245822971954</v>
      </c>
      <c r="G110" s="108">
        <f>+CPUE!F108</f>
        <v>15</v>
      </c>
      <c r="H110" s="106" t="str">
        <f>Effort!H108</f>
        <v>CLOSED</v>
      </c>
      <c r="I110" s="107" t="str">
        <f>Harvest!H108</f>
        <v>CLOSED</v>
      </c>
      <c r="J110" s="108" t="str">
        <f>CPUE!H108</f>
        <v>CLOSED</v>
      </c>
      <c r="K110" s="106" t="str">
        <f>Effort!J108</f>
        <v>CLOSED</v>
      </c>
      <c r="L110" s="107" t="str">
        <f>Harvest!J108</f>
        <v>CLOSED</v>
      </c>
      <c r="M110" s="108" t="str">
        <f>CPUE!J108</f>
        <v>CLOSED</v>
      </c>
      <c r="N110" s="106">
        <f>Effort!L108</f>
        <v>486.60882265650997</v>
      </c>
      <c r="O110" s="107">
        <f>Harvest!L108</f>
        <v>6737.6606213978303</v>
      </c>
      <c r="P110" s="108">
        <f>CPUE!L108</f>
        <v>13.846153846153847</v>
      </c>
      <c r="Q110" s="106" t="s">
        <v>10</v>
      </c>
      <c r="R110" s="107" t="s">
        <v>10</v>
      </c>
      <c r="S110" s="113" t="s">
        <v>10</v>
      </c>
      <c r="T110" s="106">
        <f>SUM(E110,H110,N110)</f>
        <v>1019.7571281429896</v>
      </c>
      <c r="U110" s="107">
        <f>SUM(F110,I110,O110)</f>
        <v>14734.885203695027</v>
      </c>
      <c r="V110" s="107"/>
    </row>
    <row r="111" spans="1:24" s="114" customFormat="1" x14ac:dyDescent="0.25">
      <c r="A111" s="125" t="s">
        <v>50</v>
      </c>
      <c r="B111" s="125"/>
      <c r="C111" s="125"/>
      <c r="D111" s="126"/>
      <c r="E111" s="115">
        <f>SUM(E104:E110)</f>
        <v>4599.0987353687278</v>
      </c>
      <c r="F111" s="116">
        <f>SUM(F104:F110)</f>
        <v>55929.737680350809</v>
      </c>
      <c r="G111" s="117">
        <f>+F111/E111</f>
        <v>12.161021299723565</v>
      </c>
      <c r="H111" s="115">
        <f>SUM(H104:H110)</f>
        <v>3980.9883300400593</v>
      </c>
      <c r="I111" s="116">
        <f>SUM(I104:I110)</f>
        <v>51126.427683554255</v>
      </c>
      <c r="J111" s="117">
        <f>+I111/H111</f>
        <v>12.842646962253163</v>
      </c>
      <c r="K111" s="115">
        <f>SUM(K104:K110)</f>
        <v>4013.9340152008367</v>
      </c>
      <c r="L111" s="116">
        <f>SUM(L104:L110)</f>
        <v>58530.174946912171</v>
      </c>
      <c r="M111" s="117">
        <f>+L111/K111</f>
        <v>14.581748161593438</v>
      </c>
      <c r="N111" s="115">
        <f>SUM(N104:N110)</f>
        <v>3370.4565758862459</v>
      </c>
      <c r="O111" s="116">
        <f>SUM(O104:O110)</f>
        <v>42630.660110630641</v>
      </c>
      <c r="P111" s="117">
        <f>+O111/N111</f>
        <v>12.648333883198333</v>
      </c>
      <c r="Q111" s="115"/>
      <c r="R111" s="116"/>
      <c r="S111" s="117"/>
      <c r="T111" s="115">
        <f>SUM(T104:T110)</f>
        <v>15964.477656495868</v>
      </c>
      <c r="U111" s="116">
        <f>SUM(U104:U110)</f>
        <v>208217.00042144791</v>
      </c>
      <c r="V111" s="118"/>
      <c r="W111" s="119">
        <f>SUM(H111,K111,N111,Q111,E111)</f>
        <v>15964.47765649587</v>
      </c>
      <c r="X111" s="119">
        <f>SUM(R111,O111,L111,I111,F111)</f>
        <v>208217.00042144788</v>
      </c>
    </row>
    <row r="112" spans="1:24" s="114" customFormat="1" x14ac:dyDescent="0.25">
      <c r="A112" s="109">
        <v>45418</v>
      </c>
      <c r="B112" s="110" t="s">
        <v>21</v>
      </c>
      <c r="C112" s="111">
        <v>-0.7</v>
      </c>
      <c r="D112" s="112">
        <v>0.23680555555555557</v>
      </c>
      <c r="E112" s="106" t="str">
        <f>Effort!F110</f>
        <v>CLOSED</v>
      </c>
      <c r="F112" s="107" t="str">
        <f>Harvest!F110</f>
        <v>CLOSED</v>
      </c>
      <c r="G112" s="108" t="str">
        <f>+CPUE!F110</f>
        <v>CLOSED</v>
      </c>
      <c r="H112" s="106" t="str">
        <f>Effort!H110</f>
        <v>CLOSED</v>
      </c>
      <c r="I112" s="107" t="str">
        <f>Harvest!H110</f>
        <v>CLOSED</v>
      </c>
      <c r="J112" s="108" t="str">
        <f>CPUE!H110</f>
        <v>CLOSED</v>
      </c>
      <c r="K112" s="106" t="str">
        <f>Effort!J110</f>
        <v>CLOSED</v>
      </c>
      <c r="L112" s="107" t="str">
        <f>Harvest!J110</f>
        <v>CLOSED</v>
      </c>
      <c r="M112" s="108" t="str">
        <f>CPUE!J110</f>
        <v>CLOSED</v>
      </c>
      <c r="N112" s="106">
        <f>Effort!L110</f>
        <v>259.52813112069902</v>
      </c>
      <c r="O112" s="107">
        <f>Harvest!L110</f>
        <v>3892.9219668104902</v>
      </c>
      <c r="P112" s="108">
        <f>CPUE!L110</f>
        <v>15.00000000000002</v>
      </c>
      <c r="Q112" s="106" t="s">
        <v>10</v>
      </c>
      <c r="R112" s="107" t="s">
        <v>10</v>
      </c>
      <c r="S112" s="113" t="s">
        <v>10</v>
      </c>
      <c r="T112" s="106">
        <f>SUM(E112,H112,K112,N112)</f>
        <v>259.52813112069902</v>
      </c>
      <c r="U112" s="107">
        <f>SUM(F112,I112,L112,O112)</f>
        <v>3892.9219668104902</v>
      </c>
      <c r="V112" s="107"/>
    </row>
    <row r="113" spans="1:24" s="114" customFormat="1" x14ac:dyDescent="0.25">
      <c r="A113" s="109">
        <v>45419</v>
      </c>
      <c r="B113" s="110" t="s">
        <v>66</v>
      </c>
      <c r="C113" s="111">
        <v>-1.5</v>
      </c>
      <c r="D113" s="112">
        <v>0.26944444444444443</v>
      </c>
      <c r="E113" s="106">
        <f>Effort!F111</f>
        <v>933.12941004932622</v>
      </c>
      <c r="F113" s="107">
        <f>Harvest!F111</f>
        <v>13996.941150739893</v>
      </c>
      <c r="G113" s="108">
        <f>+CPUE!F111</f>
        <v>15</v>
      </c>
      <c r="H113" s="106" t="str">
        <f>Effort!H111</f>
        <v>CLOSED</v>
      </c>
      <c r="I113" s="107" t="str">
        <f>Harvest!H111</f>
        <v>CLOSED</v>
      </c>
      <c r="J113" s="108" t="str">
        <f>CPUE!H111</f>
        <v>CLOSED</v>
      </c>
      <c r="K113" s="106" t="str">
        <f>Effort!J111</f>
        <v>CLOSED</v>
      </c>
      <c r="L113" s="107" t="str">
        <f>Harvest!J111</f>
        <v>CLOSED</v>
      </c>
      <c r="M113" s="108" t="str">
        <f>CPUE!J111</f>
        <v>CLOSED</v>
      </c>
      <c r="N113" s="106">
        <f>Effort!L111</f>
        <v>673.66499784541804</v>
      </c>
      <c r="O113" s="107">
        <f>Harvest!L111</f>
        <v>10104.974967681301</v>
      </c>
      <c r="P113" s="108">
        <f>CPUE!L111</f>
        <v>15.000000000000044</v>
      </c>
      <c r="Q113" s="106" t="s">
        <v>10</v>
      </c>
      <c r="R113" s="107" t="s">
        <v>10</v>
      </c>
      <c r="S113" s="113" t="s">
        <v>10</v>
      </c>
      <c r="T113" s="106">
        <f t="shared" ref="T113:T118" si="1">SUM(E113,H113,K113,N113)</f>
        <v>1606.7944078947444</v>
      </c>
      <c r="U113" s="107">
        <f t="shared" ref="U113:U118" si="2">SUM(F113,I113,L113,O113)</f>
        <v>24101.916118421192</v>
      </c>
      <c r="V113" s="107"/>
    </row>
    <row r="114" spans="1:24" s="114" customFormat="1" x14ac:dyDescent="0.25">
      <c r="A114" s="109">
        <v>45420</v>
      </c>
      <c r="B114" s="110" t="s">
        <v>67</v>
      </c>
      <c r="C114" s="111">
        <v>-2</v>
      </c>
      <c r="D114" s="112">
        <v>0.30069444444444443</v>
      </c>
      <c r="E114" s="106">
        <f>Effort!F112</f>
        <v>1960.5791954712804</v>
      </c>
      <c r="F114" s="107">
        <f>Harvest!F112</f>
        <v>29408.687932069206</v>
      </c>
      <c r="G114" s="108">
        <f>+CPUE!F112</f>
        <v>15</v>
      </c>
      <c r="H114" s="106" t="str">
        <f>Effort!H112</f>
        <v>CLOSED</v>
      </c>
      <c r="I114" s="107" t="str">
        <f>Harvest!H112</f>
        <v>CLOSED</v>
      </c>
      <c r="J114" s="108" t="str">
        <f>CPUE!H112</f>
        <v>CLOSED</v>
      </c>
      <c r="K114" s="106">
        <f>Effort!J112</f>
        <v>2047.1930683278799</v>
      </c>
      <c r="L114" s="107">
        <f>Harvest!J112</f>
        <v>30729.908853609901</v>
      </c>
      <c r="M114" s="108">
        <f>CPUE!J112</f>
        <v>15.010752688172046</v>
      </c>
      <c r="N114" s="106" t="str">
        <f>Effort!L112</f>
        <v>CLOSED</v>
      </c>
      <c r="O114" s="107" t="str">
        <f>Harvest!L112</f>
        <v>CLOSED</v>
      </c>
      <c r="P114" s="108" t="str">
        <f>CPUE!L112</f>
        <v>CLOSED</v>
      </c>
      <c r="Q114" s="106" t="s">
        <v>10</v>
      </c>
      <c r="R114" s="107" t="s">
        <v>10</v>
      </c>
      <c r="S114" s="113" t="s">
        <v>10</v>
      </c>
      <c r="T114" s="106">
        <f t="shared" si="1"/>
        <v>4007.7722637991601</v>
      </c>
      <c r="U114" s="107">
        <f>SUM(F114,I114,L114,O114)</f>
        <v>60138.59678567911</v>
      </c>
      <c r="V114" s="107"/>
    </row>
    <row r="115" spans="1:24" s="114" customFormat="1" x14ac:dyDescent="0.25">
      <c r="A115" s="109">
        <v>45421</v>
      </c>
      <c r="B115" s="110" t="s">
        <v>22</v>
      </c>
      <c r="C115" s="111">
        <v>-2.1</v>
      </c>
      <c r="D115" s="112">
        <v>0.33124999999999999</v>
      </c>
      <c r="E115" s="106">
        <f>Effort!F113</f>
        <v>4109.6584142538768</v>
      </c>
      <c r="F115" s="107">
        <f>Harvest!F113</f>
        <v>61644.876213808151</v>
      </c>
      <c r="G115" s="108">
        <f>+CPUE!F113</f>
        <v>15</v>
      </c>
      <c r="H115" s="106">
        <f>Effort!H113</f>
        <v>2097.6534517608902</v>
      </c>
      <c r="I115" s="107">
        <f>Harvest!H113</f>
        <v>27968.712690145199</v>
      </c>
      <c r="J115" s="108">
        <f>CPUE!H113</f>
        <v>13.333333333333332</v>
      </c>
      <c r="K115" s="106">
        <f>Effort!J113</f>
        <v>4291.2136568059004</v>
      </c>
      <c r="L115" s="107">
        <f>Harvest!J113</f>
        <v>64368.2048520885</v>
      </c>
      <c r="M115" s="108">
        <f>CPUE!J113</f>
        <v>14.999999999999998</v>
      </c>
      <c r="N115" s="106" t="str">
        <f>Effort!L113</f>
        <v>CLOSED</v>
      </c>
      <c r="O115" s="107" t="str">
        <f>Harvest!L113</f>
        <v>CLOSED</v>
      </c>
      <c r="P115" s="108" t="str">
        <f>CPUE!L113</f>
        <v>CLOSED</v>
      </c>
      <c r="Q115" s="106" t="s">
        <v>10</v>
      </c>
      <c r="R115" s="107" t="s">
        <v>10</v>
      </c>
      <c r="S115" s="113" t="s">
        <v>10</v>
      </c>
      <c r="T115" s="106">
        <f t="shared" si="1"/>
        <v>10498.525522820666</v>
      </c>
      <c r="U115" s="107">
        <f t="shared" si="2"/>
        <v>153981.79375604185</v>
      </c>
      <c r="V115" s="107"/>
    </row>
    <row r="116" spans="1:24" s="114" customFormat="1" x14ac:dyDescent="0.25">
      <c r="A116" s="109">
        <v>45422</v>
      </c>
      <c r="B116" s="110" t="s">
        <v>18</v>
      </c>
      <c r="C116" s="111">
        <v>-1.9</v>
      </c>
      <c r="D116" s="112">
        <v>0.36180555555555555</v>
      </c>
      <c r="E116" s="106">
        <f>Effort!F114</f>
        <v>3737.92127611245</v>
      </c>
      <c r="F116" s="107">
        <f>Harvest!F114</f>
        <v>45660.044522394099</v>
      </c>
      <c r="G116" s="108">
        <f>+CPUE!F114</f>
        <v>12.215357453938118</v>
      </c>
      <c r="H116" s="106">
        <f>Effort!H114</f>
        <v>3255.6106857331847</v>
      </c>
      <c r="I116" s="107">
        <f>Harvest!H114</f>
        <v>45578.549600264589</v>
      </c>
      <c r="J116" s="108">
        <f>CPUE!H114</f>
        <v>14</v>
      </c>
      <c r="K116" s="106" t="str">
        <f>Effort!J114</f>
        <v>CLOSED</v>
      </c>
      <c r="L116" s="107" t="str">
        <f>Harvest!J114</f>
        <v>CLOSED</v>
      </c>
      <c r="M116" s="108" t="str">
        <f>CPUE!J114</f>
        <v>CLOSED</v>
      </c>
      <c r="N116" s="106">
        <f>Effort!L114</f>
        <v>2698.5611012791101</v>
      </c>
      <c r="O116" s="107">
        <f>Harvest!L114</f>
        <v>38822.481297947197</v>
      </c>
      <c r="P116" s="108">
        <f>CPUE!L114</f>
        <v>14.386363636363637</v>
      </c>
      <c r="Q116" s="106" t="s">
        <v>10</v>
      </c>
      <c r="R116" s="107" t="s">
        <v>10</v>
      </c>
      <c r="S116" s="113" t="s">
        <v>10</v>
      </c>
      <c r="T116" s="106">
        <f t="shared" si="1"/>
        <v>9692.0930631247447</v>
      </c>
      <c r="U116" s="107">
        <f t="shared" si="2"/>
        <v>130061.07542060589</v>
      </c>
      <c r="V116" s="107"/>
    </row>
    <row r="117" spans="1:24" s="114" customFormat="1" x14ac:dyDescent="0.25">
      <c r="A117" s="109">
        <v>45423</v>
      </c>
      <c r="B117" s="110" t="s">
        <v>19</v>
      </c>
      <c r="C117" s="111">
        <v>-1.4</v>
      </c>
      <c r="D117" s="112">
        <v>0.39374999999999999</v>
      </c>
      <c r="E117" s="106">
        <f>Effort!F115</f>
        <v>5200.1073322967095</v>
      </c>
      <c r="F117" s="107">
        <f>Harvest!F115</f>
        <v>69847.4069419031</v>
      </c>
      <c r="G117" s="108">
        <f>+CPUE!F115</f>
        <v>13.431916396820581</v>
      </c>
      <c r="H117" s="106">
        <f>Effort!H115</f>
        <v>6101.6060297133699</v>
      </c>
      <c r="I117" s="107">
        <f>Harvest!H115</f>
        <v>77577.562377784299</v>
      </c>
      <c r="J117" s="108">
        <f>CPUE!H115</f>
        <v>12.714285714285719</v>
      </c>
      <c r="K117" s="106" t="str">
        <f>Effort!J115</f>
        <v>CLOSED</v>
      </c>
      <c r="L117" s="107" t="str">
        <f>Harvest!J115</f>
        <v>CLOSED</v>
      </c>
      <c r="M117" s="108" t="str">
        <f>CPUE!J115</f>
        <v>CLOSED</v>
      </c>
      <c r="N117" s="106">
        <f>Effort!L115</f>
        <v>5057.5938822385397</v>
      </c>
      <c r="O117" s="107">
        <f>Harvest!L115</f>
        <v>75408.724784176593</v>
      </c>
      <c r="P117" s="108">
        <f>CPUE!L115</f>
        <v>14.909999999999993</v>
      </c>
      <c r="Q117" s="106" t="s">
        <v>10</v>
      </c>
      <c r="R117" s="107" t="s">
        <v>10</v>
      </c>
      <c r="S117" s="113" t="s">
        <v>10</v>
      </c>
      <c r="T117" s="106">
        <f t="shared" si="1"/>
        <v>16359.307244248619</v>
      </c>
      <c r="U117" s="107">
        <f t="shared" si="2"/>
        <v>222833.69410386399</v>
      </c>
      <c r="V117" s="107"/>
    </row>
    <row r="118" spans="1:24" s="114" customFormat="1" x14ac:dyDescent="0.25">
      <c r="A118" s="109">
        <v>45424</v>
      </c>
      <c r="B118" s="110" t="s">
        <v>20</v>
      </c>
      <c r="C118" s="111">
        <v>-0.8</v>
      </c>
      <c r="D118" s="112">
        <v>0.42777777777777781</v>
      </c>
      <c r="E118" s="106">
        <f>Effort!F116</f>
        <v>3229.2591343702152</v>
      </c>
      <c r="F118" s="107">
        <f>Harvest!F116</f>
        <v>48438.887015553228</v>
      </c>
      <c r="G118" s="108">
        <f>+CPUE!F116</f>
        <v>15</v>
      </c>
      <c r="H118" s="106">
        <f>Effort!H116</f>
        <v>2786.6693077814102</v>
      </c>
      <c r="I118" s="107">
        <f>Harvest!H116</f>
        <v>40638.9274051455</v>
      </c>
      <c r="J118" s="108">
        <f>CPUE!H116</f>
        <v>14.583333333333309</v>
      </c>
      <c r="K118" s="106">
        <f>Effort!J116</f>
        <v>3371.9203646492201</v>
      </c>
      <c r="L118" s="107">
        <f>Harvest!J116</f>
        <v>48819.542670790899</v>
      </c>
      <c r="M118" s="108">
        <f>CPUE!J116</f>
        <v>14.478260869565222</v>
      </c>
      <c r="N118" s="106" t="str">
        <f>Effort!L116</f>
        <v>CLOSED</v>
      </c>
      <c r="O118" s="107" t="str">
        <f>Harvest!L116</f>
        <v>CLOSED</v>
      </c>
      <c r="P118" s="108" t="str">
        <f>CPUE!L116</f>
        <v>CLOSED</v>
      </c>
      <c r="Q118" s="106" t="s">
        <v>10</v>
      </c>
      <c r="R118" s="107" t="s">
        <v>10</v>
      </c>
      <c r="S118" s="113" t="s">
        <v>10</v>
      </c>
      <c r="T118" s="106">
        <f t="shared" si="1"/>
        <v>9387.8488068008464</v>
      </c>
      <c r="U118" s="107">
        <f t="shared" si="2"/>
        <v>137897.35709148963</v>
      </c>
      <c r="V118" s="107"/>
    </row>
    <row r="119" spans="1:24" s="114" customFormat="1" x14ac:dyDescent="0.25">
      <c r="A119" s="125" t="s">
        <v>50</v>
      </c>
      <c r="B119" s="125"/>
      <c r="C119" s="125"/>
      <c r="D119" s="126"/>
      <c r="E119" s="115">
        <f>SUM(E112:E118)</f>
        <v>19170.654762553859</v>
      </c>
      <c r="F119" s="116">
        <f>SUM(F112:F118)</f>
        <v>268996.84377646772</v>
      </c>
      <c r="G119" s="117">
        <f>+F119/E119</f>
        <v>14.031698296601776</v>
      </c>
      <c r="H119" s="115">
        <f>SUM(H112:H118)</f>
        <v>14241.539474988856</v>
      </c>
      <c r="I119" s="116">
        <f>SUM(I112:I118)</f>
        <v>191763.75207333959</v>
      </c>
      <c r="J119" s="117">
        <f>+I119/H119</f>
        <v>13.465099921965399</v>
      </c>
      <c r="K119" s="115">
        <f>SUM(K112:K118)</f>
        <v>9710.3270897830007</v>
      </c>
      <c r="L119" s="116">
        <f>SUM(L112:L118)</f>
        <v>143917.65637648929</v>
      </c>
      <c r="M119" s="117">
        <f>+L119/K119</f>
        <v>14.821092538470346</v>
      </c>
      <c r="N119" s="115">
        <f>SUM(N112:N118)</f>
        <v>8689.3481124837672</v>
      </c>
      <c r="O119" s="116">
        <f>SUM(O112:O118)</f>
        <v>128229.10301661558</v>
      </c>
      <c r="P119" s="117">
        <f>+O119/N119</f>
        <v>14.757045218661693</v>
      </c>
      <c r="Q119" s="115"/>
      <c r="R119" s="116"/>
      <c r="S119" s="117"/>
      <c r="T119" s="115">
        <f>SUM(T112:T118)</f>
        <v>51811.869439809481</v>
      </c>
      <c r="U119" s="116">
        <f>SUM(U112:U118)</f>
        <v>732907.35524291208</v>
      </c>
      <c r="V119" s="118"/>
      <c r="W119" s="119">
        <f>SUM(H119,K119,N119,Q119,E119)</f>
        <v>51811.869439809481</v>
      </c>
      <c r="X119" s="119">
        <f>SUM(R119,O119,L119,I119,F119)</f>
        <v>732907.35524291219</v>
      </c>
    </row>
    <row r="120" spans="1:24" ht="15.75" thickBot="1" x14ac:dyDescent="0.3">
      <c r="A120" s="85"/>
      <c r="B120" s="85"/>
      <c r="C120" s="85"/>
      <c r="D120" s="85"/>
      <c r="E120" s="63"/>
      <c r="F120" s="63"/>
      <c r="G120" s="64"/>
      <c r="H120" s="63"/>
      <c r="I120" s="63"/>
      <c r="J120" s="64"/>
      <c r="K120" s="63"/>
      <c r="L120" s="63"/>
      <c r="M120" s="64"/>
      <c r="N120" s="63"/>
      <c r="O120" s="63"/>
      <c r="P120" s="64"/>
      <c r="Q120" s="63"/>
      <c r="R120" s="63"/>
      <c r="S120" s="64"/>
      <c r="T120" s="63"/>
      <c r="U120" s="63"/>
    </row>
    <row r="121" spans="1:24" ht="15.75" thickTop="1" x14ac:dyDescent="0.25">
      <c r="A121" s="57" t="s">
        <v>51</v>
      </c>
      <c r="B121" s="58"/>
      <c r="C121" s="58"/>
      <c r="D121" s="58"/>
      <c r="E121" s="59">
        <f>+SUM(E8,E14,E20,E28,E35,E41,E46,E54,E62,E70,E76,E88,E95,E103,E111,E119)</f>
        <v>114614.46032409259</v>
      </c>
      <c r="F121" s="59">
        <f>+SUM(F8,F14,F20,F28,F35,F41,F46,F54,F62,F70,F76,F88,F95,F103,F111,F119)</f>
        <v>1448224.0954987844</v>
      </c>
      <c r="G121" s="60">
        <f>+F121/E121</f>
        <v>12.635614139818619</v>
      </c>
      <c r="H121" s="59">
        <f>+SUM(H8,H14,H20,H28,H35,H41,H46,H54,H62,H70,H76,H88,H95,H103,H111,H119)</f>
        <v>90081.64555153274</v>
      </c>
      <c r="I121" s="59">
        <f>+SUM(I8,I14,I20,I28,I35,I41,I46,I54,I62,I70,I76,I88,I95,I103,I111,I119)</f>
        <v>1113081.4466099201</v>
      </c>
      <c r="J121" s="60">
        <f>+I121/H121</f>
        <v>12.356362273301979</v>
      </c>
      <c r="K121" s="59">
        <f>+SUM(K8,K14,K20,K28,K35,K41,K46,K54,K62,K70,K76,K88,K95,K103,K111,K119)</f>
        <v>86087.506403076666</v>
      </c>
      <c r="L121" s="59">
        <f>+SUM(L8,L14,L20,L28,L35,L41,L46,L54,L62,L70,L76,L88,L95,L103,L111,L119)</f>
        <v>1085593.1176094185</v>
      </c>
      <c r="M121" s="60">
        <f>+L121/K121</f>
        <v>12.610344554835667</v>
      </c>
      <c r="N121" s="59">
        <f>+SUM(N8,N14,N20,N28,N35,N41,N46,N54,N62,N70,N76,N88,N95,N103,N111,N119)</f>
        <v>60278.382162280803</v>
      </c>
      <c r="O121" s="59">
        <f>+SUM(O8,O14,O20,O28,O35,O41,O46,O54,O62,O70,O76,O88,O95,O103,O111,O119)</f>
        <v>768074.78580277914</v>
      </c>
      <c r="P121" s="60">
        <f>+O121/N121</f>
        <v>12.742126750100502</v>
      </c>
      <c r="Q121" s="59">
        <f>+SUM(Q8)</f>
        <v>0</v>
      </c>
      <c r="R121" s="59">
        <f>+SUM(R8)</f>
        <v>0</v>
      </c>
      <c r="S121" s="60">
        <v>0</v>
      </c>
      <c r="T121" s="59">
        <f>+SUM(T8,T14,T20,T28,T35,T41,T46,T54,T62,T70,T76,T88,T95,T103,T111,T119)</f>
        <v>351061.99444098282</v>
      </c>
      <c r="U121" s="59">
        <f>+SUM(U8,U14,U20,U28,U35,U41,U46,U54,U62,U70,U76,U88,U95,U103,U111,U119)</f>
        <v>4414973.4455209021</v>
      </c>
      <c r="V121" s="63"/>
      <c r="W121" s="20">
        <f>SUM(W4:W120)</f>
        <v>351061.99444098282</v>
      </c>
      <c r="X121" s="20">
        <f>SUM(X4:X120)</f>
        <v>4414973.4455209021</v>
      </c>
    </row>
    <row r="122" spans="1:24" x14ac:dyDescent="0.25">
      <c r="A122" s="61" t="s">
        <v>52</v>
      </c>
      <c r="B122" s="62"/>
      <c r="C122" s="62"/>
      <c r="D122" s="62"/>
      <c r="E122" s="63"/>
      <c r="F122" s="63">
        <f>Harvest!F120</f>
        <v>42684.499656806271</v>
      </c>
      <c r="G122" s="64"/>
      <c r="H122" s="63"/>
      <c r="I122" s="63">
        <f>Harvest!H120</f>
        <v>32536.226900905363</v>
      </c>
      <c r="J122" s="64"/>
      <c r="K122" s="63"/>
      <c r="L122" s="63">
        <f>Harvest!J120</f>
        <v>19951.441080389308</v>
      </c>
      <c r="M122" s="64"/>
      <c r="N122" s="63"/>
      <c r="O122" s="63">
        <f>Harvest!L120</f>
        <v>20847.744186075426</v>
      </c>
      <c r="P122" s="64"/>
      <c r="Q122" s="63"/>
      <c r="R122" s="63">
        <f>Harvest!N120</f>
        <v>0</v>
      </c>
      <c r="S122" s="64"/>
      <c r="T122" s="63"/>
      <c r="U122" s="63">
        <f>F122+I122+L122+O122+R122</f>
        <v>116019.91182417638</v>
      </c>
      <c r="V122" s="63"/>
      <c r="W122" s="20">
        <f>SUM(H121,K121,N121,Q121,E121)</f>
        <v>351061.99444098282</v>
      </c>
      <c r="X122" s="20">
        <f>SUM(R121,O121,L121,I121,F121)</f>
        <v>4414973.4455209021</v>
      </c>
    </row>
    <row r="123" spans="1:24" x14ac:dyDescent="0.25">
      <c r="A123" s="65" t="s">
        <v>53</v>
      </c>
      <c r="B123" s="66"/>
      <c r="C123" s="66"/>
      <c r="D123" s="66"/>
      <c r="E123" s="67">
        <f>Effort!F118</f>
        <v>114614.46032409262</v>
      </c>
      <c r="F123" s="67">
        <f>F121+F122</f>
        <v>1490908.5951555907</v>
      </c>
      <c r="G123" s="68"/>
      <c r="H123" s="67">
        <f>Effort!H118</f>
        <v>90081.645551532711</v>
      </c>
      <c r="I123" s="67">
        <f>I121+I122</f>
        <v>1145617.6735108255</v>
      </c>
      <c r="J123" s="68"/>
      <c r="K123" s="67">
        <f>Effort!J118</f>
        <v>86087.506403076652</v>
      </c>
      <c r="L123" s="67">
        <f>L121+L122</f>
        <v>1105544.5586898078</v>
      </c>
      <c r="M123" s="68"/>
      <c r="N123" s="67">
        <f>Effort!L118</f>
        <v>60278.382162280803</v>
      </c>
      <c r="O123" s="67">
        <f>O121+O122</f>
        <v>788922.52998885454</v>
      </c>
      <c r="P123" s="68"/>
      <c r="Q123" s="67">
        <f>Effort!N118</f>
        <v>0</v>
      </c>
      <c r="R123" s="67">
        <f>R121+R122</f>
        <v>0</v>
      </c>
      <c r="S123" s="68"/>
      <c r="T123" s="67">
        <f>SUM(T121:T122)</f>
        <v>351061.99444098282</v>
      </c>
      <c r="U123" s="69">
        <f>SUM(U121:U122)</f>
        <v>4530993.3573450781</v>
      </c>
      <c r="V123" s="63"/>
    </row>
    <row r="124" spans="1:24" x14ac:dyDescent="0.25">
      <c r="A124" s="70" t="s">
        <v>14</v>
      </c>
      <c r="B124" s="71"/>
      <c r="C124" s="71"/>
      <c r="D124" s="71"/>
      <c r="E124" s="71"/>
      <c r="F124" s="72">
        <f>Harvest!F123</f>
        <v>0.6920990008969945</v>
      </c>
      <c r="G124" s="71"/>
      <c r="H124" s="71"/>
      <c r="I124" s="72">
        <f>Harvest!H123</f>
        <v>0.89417417585650272</v>
      </c>
      <c r="J124" s="71"/>
      <c r="K124" s="71"/>
      <c r="L124" s="72">
        <f>Harvest!J123</f>
        <v>0.80860097028456135</v>
      </c>
      <c r="M124" s="71"/>
      <c r="N124" s="71"/>
      <c r="O124" s="72">
        <f>Harvest!L123</f>
        <v>0.56271901861084794</v>
      </c>
      <c r="P124" s="71"/>
      <c r="Q124" s="71"/>
      <c r="R124" s="72">
        <f>Harvest!N123</f>
        <v>0</v>
      </c>
      <c r="S124" s="71"/>
      <c r="T124" s="91"/>
      <c r="U124" s="92"/>
      <c r="V124" s="62"/>
      <c r="X124" s="20">
        <f>SUM(R123,O123,L123,I123,F123)</f>
        <v>4530993.3573450781</v>
      </c>
    </row>
  </sheetData>
  <mergeCells count="22">
    <mergeCell ref="A119:D119"/>
    <mergeCell ref="T2:U2"/>
    <mergeCell ref="E2:G2"/>
    <mergeCell ref="H2:J2"/>
    <mergeCell ref="N2:P2"/>
    <mergeCell ref="K2:M2"/>
    <mergeCell ref="Q2:S2"/>
    <mergeCell ref="A111:D111"/>
    <mergeCell ref="A28:D28"/>
    <mergeCell ref="A20:D20"/>
    <mergeCell ref="A8:D8"/>
    <mergeCell ref="A103:D103"/>
    <mergeCell ref="A70:D70"/>
    <mergeCell ref="A62:D62"/>
    <mergeCell ref="A54:D54"/>
    <mergeCell ref="A95:D95"/>
    <mergeCell ref="A46:D46"/>
    <mergeCell ref="A41:D41"/>
    <mergeCell ref="A88:D88"/>
    <mergeCell ref="A14:D14"/>
    <mergeCell ref="A76:D76"/>
    <mergeCell ref="A35:D35"/>
  </mergeCells>
  <phoneticPr fontId="17" type="noConversion"/>
  <pageMargins left="0.7" right="0.7" top="0.75" bottom="0.75" header="0.3" footer="0.3"/>
  <pageSetup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26"/>
  <sheetViews>
    <sheetView tabSelected="1" topLeftCell="A84" zoomScale="90" zoomScaleNormal="90" workbookViewId="0">
      <selection activeCell="L123" sqref="L123"/>
    </sheetView>
  </sheetViews>
  <sheetFormatPr defaultRowHeight="15" x14ac:dyDescent="0.25"/>
  <cols>
    <col min="1" max="1" width="9.140625" customWidth="1"/>
    <col min="17" max="17" width="10.85546875" style="20" customWidth="1"/>
    <col min="21" max="21" width="10.140625" customWidth="1"/>
    <col min="22" max="22" width="12.42578125" customWidth="1"/>
  </cols>
  <sheetData>
    <row r="1" spans="1:21" ht="15.75" thickBot="1" x14ac:dyDescent="0.3">
      <c r="A1" s="34" t="s">
        <v>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45"/>
      <c r="R1" s="34"/>
    </row>
    <row r="2" spans="1:21" ht="15.75" thickTop="1" x14ac:dyDescent="0.25">
      <c r="A2" s="35"/>
      <c r="B2" s="35"/>
      <c r="C2" s="35"/>
      <c r="D2" s="35"/>
      <c r="E2" s="133" t="s">
        <v>40</v>
      </c>
      <c r="F2" s="134"/>
      <c r="G2" s="134"/>
      <c r="H2" s="135"/>
      <c r="I2" s="133" t="s">
        <v>41</v>
      </c>
      <c r="J2" s="134"/>
      <c r="K2" s="134"/>
      <c r="L2" s="135"/>
      <c r="M2" s="136" t="s">
        <v>42</v>
      </c>
      <c r="N2" s="137"/>
      <c r="O2" s="137"/>
      <c r="P2" s="138"/>
      <c r="Q2" s="131" t="s">
        <v>45</v>
      </c>
      <c r="R2" s="132"/>
    </row>
    <row r="3" spans="1:21" ht="15.75" thickBot="1" x14ac:dyDescent="0.3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25</v>
      </c>
      <c r="F3" s="36" t="s">
        <v>26</v>
      </c>
      <c r="G3" s="36" t="s">
        <v>27</v>
      </c>
      <c r="H3" s="36" t="s">
        <v>54</v>
      </c>
      <c r="I3" s="37" t="s">
        <v>25</v>
      </c>
      <c r="J3" s="36" t="s">
        <v>26</v>
      </c>
      <c r="K3" s="36" t="s">
        <v>27</v>
      </c>
      <c r="L3" s="36" t="s">
        <v>54</v>
      </c>
      <c r="M3" s="37" t="s">
        <v>25</v>
      </c>
      <c r="N3" s="36" t="s">
        <v>26</v>
      </c>
      <c r="O3" s="36" t="s">
        <v>27</v>
      </c>
      <c r="P3" s="36" t="s">
        <v>54</v>
      </c>
      <c r="Q3" s="46" t="s">
        <v>25</v>
      </c>
      <c r="R3" s="38" t="s">
        <v>26</v>
      </c>
      <c r="T3" s="8" t="s">
        <v>57</v>
      </c>
      <c r="U3" s="8" t="s">
        <v>58</v>
      </c>
    </row>
    <row r="4" spans="1:21" ht="15.75" thickTop="1" x14ac:dyDescent="0.25">
      <c r="A4" s="39">
        <v>44826</v>
      </c>
      <c r="B4" s="40" t="s">
        <v>22</v>
      </c>
      <c r="C4" s="8">
        <v>0.4</v>
      </c>
      <c r="D4" s="13">
        <v>0.21041666666666667</v>
      </c>
      <c r="E4" s="41" t="str">
        <f>Effort!J2</f>
        <v>CLOSED</v>
      </c>
      <c r="F4" s="42" t="str">
        <f>Harvest!J2</f>
        <v>CLOSED</v>
      </c>
      <c r="G4" s="43" t="str">
        <f>CPUE!J2</f>
        <v>CLOSED</v>
      </c>
      <c r="H4" s="43"/>
      <c r="I4" s="41" t="str">
        <f>Effort!L2</f>
        <v>CLOSED</v>
      </c>
      <c r="J4" s="42" t="str">
        <f>Harvest!L2</f>
        <v>CLOSED</v>
      </c>
      <c r="K4" s="43" t="str">
        <f>CPUE!L2</f>
        <v>CLOSED</v>
      </c>
      <c r="L4" s="43"/>
      <c r="M4" s="41" t="s">
        <v>10</v>
      </c>
      <c r="N4" s="42" t="s">
        <v>10</v>
      </c>
      <c r="O4" s="76" t="s">
        <v>10</v>
      </c>
      <c r="P4" s="43"/>
      <c r="Q4" s="41">
        <f t="shared" ref="Q4:R7" si="0">SUM(E4,I4)</f>
        <v>0</v>
      </c>
      <c r="R4" s="42">
        <f t="shared" si="0"/>
        <v>0</v>
      </c>
    </row>
    <row r="5" spans="1:21" x14ac:dyDescent="0.25">
      <c r="A5" s="39">
        <v>44827</v>
      </c>
      <c r="B5" s="40" t="s">
        <v>18</v>
      </c>
      <c r="C5" s="8">
        <v>0.1</v>
      </c>
      <c r="D5" s="13">
        <v>0.23680555555555557</v>
      </c>
      <c r="E5" s="41">
        <f>Effort!J3</f>
        <v>4894.3942502325799</v>
      </c>
      <c r="F5" s="42">
        <f>Harvest!J3</f>
        <v>72769.484324212695</v>
      </c>
      <c r="G5" s="43">
        <f>CPUE!J3</f>
        <v>14.867924528301886</v>
      </c>
      <c r="H5" s="43"/>
      <c r="I5" s="41" t="str">
        <f>Effort!L3</f>
        <v>CLOSED</v>
      </c>
      <c r="J5" s="42" t="str">
        <f>Harvest!L3</f>
        <v>CLOSED</v>
      </c>
      <c r="K5" s="43" t="str">
        <f>CPUE!L3</f>
        <v>CLOSED</v>
      </c>
      <c r="L5" s="43"/>
      <c r="M5" s="41" t="s">
        <v>10</v>
      </c>
      <c r="N5" s="42" t="s">
        <v>10</v>
      </c>
      <c r="O5" s="43" t="s">
        <v>10</v>
      </c>
      <c r="P5" s="43"/>
      <c r="Q5" s="41">
        <f t="shared" si="0"/>
        <v>4894.3942502325799</v>
      </c>
      <c r="R5" s="42">
        <f t="shared" si="0"/>
        <v>72769.484324212695</v>
      </c>
    </row>
    <row r="6" spans="1:21" x14ac:dyDescent="0.25">
      <c r="A6" s="39">
        <v>44828</v>
      </c>
      <c r="B6" s="40" t="s">
        <v>19</v>
      </c>
      <c r="C6" s="8">
        <v>0</v>
      </c>
      <c r="D6" s="13">
        <v>0.26041666666666669</v>
      </c>
      <c r="E6" s="41" t="str">
        <f>Effort!J4</f>
        <v>CLOSED</v>
      </c>
      <c r="F6" s="42" t="str">
        <f>Harvest!J4</f>
        <v>CLOSED</v>
      </c>
      <c r="G6" s="43" t="str">
        <f>CPUE!J4</f>
        <v>CLOSED</v>
      </c>
      <c r="H6" s="43"/>
      <c r="I6" s="41" t="str">
        <f>Effort!L4</f>
        <v>CLOSED</v>
      </c>
      <c r="J6" s="42" t="str">
        <f>Harvest!L4</f>
        <v>CLOSED</v>
      </c>
      <c r="K6" s="43" t="str">
        <f>CPUE!L4</f>
        <v>CLOSED</v>
      </c>
      <c r="L6" s="43"/>
      <c r="M6" s="41" t="s">
        <v>10</v>
      </c>
      <c r="N6" s="42" t="s">
        <v>10</v>
      </c>
      <c r="O6" s="43" t="s">
        <v>10</v>
      </c>
      <c r="P6" s="44"/>
      <c r="Q6" s="41">
        <f t="shared" si="0"/>
        <v>0</v>
      </c>
      <c r="R6" s="42">
        <f t="shared" si="0"/>
        <v>0</v>
      </c>
    </row>
    <row r="7" spans="1:21" x14ac:dyDescent="0.25">
      <c r="A7" s="39">
        <v>44829</v>
      </c>
      <c r="B7" s="40" t="s">
        <v>20</v>
      </c>
      <c r="C7" s="8">
        <v>0.1</v>
      </c>
      <c r="D7" s="13">
        <v>0.28333333333333333</v>
      </c>
      <c r="E7" s="41">
        <f>Effort!J5</f>
        <v>566.17643981914398</v>
      </c>
      <c r="F7" s="42">
        <f>Harvest!J5</f>
        <v>4367.6468214619699</v>
      </c>
      <c r="G7" s="43">
        <f>CPUE!J5</f>
        <v>7.714285714285718</v>
      </c>
      <c r="H7" s="43"/>
      <c r="I7" s="41" t="str">
        <f>Effort!L5</f>
        <v>CLOSED</v>
      </c>
      <c r="J7" s="42" t="str">
        <f>Harvest!L5</f>
        <v>CLOSED</v>
      </c>
      <c r="K7" s="43" t="str">
        <f>CPUE!L5</f>
        <v>CLOSED</v>
      </c>
      <c r="L7" s="43"/>
      <c r="M7" s="41" t="s">
        <v>10</v>
      </c>
      <c r="N7" s="42" t="s">
        <v>10</v>
      </c>
      <c r="O7" s="43" t="s">
        <v>10</v>
      </c>
      <c r="P7" s="43"/>
      <c r="Q7" s="41">
        <f t="shared" si="0"/>
        <v>566.17643981914398</v>
      </c>
      <c r="R7" s="42">
        <f t="shared" si="0"/>
        <v>4367.6468214619699</v>
      </c>
    </row>
    <row r="8" spans="1:21" x14ac:dyDescent="0.25">
      <c r="A8" s="129" t="s">
        <v>50</v>
      </c>
      <c r="B8" s="129"/>
      <c r="C8" s="129"/>
      <c r="D8" s="130"/>
      <c r="E8" s="47">
        <f>SUM(E4:E7)</f>
        <v>5460.5706900517234</v>
      </c>
      <c r="F8" s="48">
        <f>SUM(F4:F7)</f>
        <v>77137.131145674663</v>
      </c>
      <c r="G8" s="49">
        <f>+F8/E8</f>
        <v>14.126203198175977</v>
      </c>
      <c r="H8" s="49"/>
      <c r="I8" s="47">
        <f>SUM(I4:I7)</f>
        <v>0</v>
      </c>
      <c r="J8" s="48">
        <f>SUM(J4:J7)</f>
        <v>0</v>
      </c>
      <c r="K8" s="49">
        <v>0</v>
      </c>
      <c r="L8" s="49"/>
      <c r="M8" s="47"/>
      <c r="N8" s="48"/>
      <c r="O8" s="83"/>
      <c r="P8" s="49"/>
      <c r="Q8" s="47">
        <f>SUM(Q4:Q7)</f>
        <v>5460.5706900517234</v>
      </c>
      <c r="R8" s="48">
        <f>SUM(R4:R7)</f>
        <v>77137.131145674663</v>
      </c>
      <c r="T8" s="20">
        <f>SUM(E8,I8)</f>
        <v>5460.5706900517234</v>
      </c>
      <c r="U8" s="20">
        <f>SUM(F8,J8)</f>
        <v>77137.131145674663</v>
      </c>
    </row>
    <row r="9" spans="1:21" x14ac:dyDescent="0.25">
      <c r="A9" s="39">
        <v>45213</v>
      </c>
      <c r="B9" s="40" t="s">
        <v>19</v>
      </c>
      <c r="C9" s="8">
        <v>0.2</v>
      </c>
      <c r="D9" s="13">
        <v>0.80347222222222225</v>
      </c>
      <c r="E9" s="41" t="str">
        <f>Effort!J7</f>
        <v>CLOSED</v>
      </c>
      <c r="F9" s="42" t="str">
        <f>Harvest!J7</f>
        <v>CLOSED</v>
      </c>
      <c r="G9" s="43" t="str">
        <f>CPUE!J7</f>
        <v>CLOSED</v>
      </c>
      <c r="H9" s="43"/>
      <c r="I9" s="41">
        <f>Effort!L7</f>
        <v>1765.40393744314</v>
      </c>
      <c r="J9" s="42">
        <f>Harvest!L7</f>
        <v>22050.241336299601</v>
      </c>
      <c r="K9" s="43">
        <f>CPUE!L7</f>
        <v>12.490196078431367</v>
      </c>
      <c r="L9" s="43"/>
      <c r="M9" s="41" t="s">
        <v>10</v>
      </c>
      <c r="N9" s="42" t="s">
        <v>10</v>
      </c>
      <c r="O9" s="102" t="s">
        <v>10</v>
      </c>
      <c r="P9" s="43"/>
      <c r="Q9" s="41">
        <f t="shared" ref="Q9:Q13" si="1">SUM(E9,I9)</f>
        <v>1765.40393744314</v>
      </c>
      <c r="R9" s="42">
        <f t="shared" ref="R9:R13" si="2">SUM(F9,J9)</f>
        <v>22050.241336299601</v>
      </c>
    </row>
    <row r="10" spans="1:21" x14ac:dyDescent="0.25">
      <c r="A10" s="39">
        <v>45214</v>
      </c>
      <c r="B10" s="40" t="s">
        <v>20</v>
      </c>
      <c r="C10" s="8">
        <v>-0.1</v>
      </c>
      <c r="D10" s="13">
        <v>0.82777777777777783</v>
      </c>
      <c r="E10" s="41">
        <f>Effort!J8</f>
        <v>1476.99083050996</v>
      </c>
      <c r="F10" s="42">
        <f>Harvest!J8</f>
        <v>13056.598941708</v>
      </c>
      <c r="G10" s="43">
        <f>CPUE!J8</f>
        <v>8.8399999999999679</v>
      </c>
      <c r="H10" s="43"/>
      <c r="I10" s="41" t="str">
        <f>Effort!L8</f>
        <v>CLOSED</v>
      </c>
      <c r="J10" s="42" t="str">
        <f>Harvest!L8</f>
        <v>CLOSED</v>
      </c>
      <c r="K10" s="43" t="str">
        <f>CPUE!L8</f>
        <v>CLOSED</v>
      </c>
      <c r="L10" s="43"/>
      <c r="M10" s="41" t="s">
        <v>10</v>
      </c>
      <c r="N10" s="42" t="s">
        <v>10</v>
      </c>
      <c r="O10" s="43" t="s">
        <v>10</v>
      </c>
      <c r="P10" s="43"/>
      <c r="Q10" s="41">
        <f t="shared" si="1"/>
        <v>1476.99083050996</v>
      </c>
      <c r="R10" s="42">
        <f t="shared" si="2"/>
        <v>13056.598941708</v>
      </c>
    </row>
    <row r="11" spans="1:21" x14ac:dyDescent="0.25">
      <c r="A11" s="39">
        <v>45215</v>
      </c>
      <c r="B11" s="40" t="s">
        <v>21</v>
      </c>
      <c r="C11" s="8">
        <v>-0.3</v>
      </c>
      <c r="D11" s="13">
        <v>0.85277777777777775</v>
      </c>
      <c r="E11" s="41" t="str">
        <f>Effort!J9</f>
        <v>CLOSED</v>
      </c>
      <c r="F11" s="42" t="str">
        <f>Harvest!J9</f>
        <v>CLOSED</v>
      </c>
      <c r="G11" s="43" t="str">
        <f>CPUE!J9</f>
        <v>CLOSED</v>
      </c>
      <c r="H11" s="43"/>
      <c r="I11" s="41">
        <f>Effort!L9</f>
        <v>284.798186903616</v>
      </c>
      <c r="J11" s="42">
        <f>Harvest!L9</f>
        <v>3987.17461665063</v>
      </c>
      <c r="K11" s="43">
        <f>CPUE!L9</f>
        <v>14.000000000000021</v>
      </c>
      <c r="L11" s="43"/>
      <c r="M11" s="41" t="s">
        <v>10</v>
      </c>
      <c r="N11" s="42" t="s">
        <v>10</v>
      </c>
      <c r="O11" s="43" t="s">
        <v>10</v>
      </c>
      <c r="P11" s="44"/>
      <c r="Q11" s="41">
        <f t="shared" si="1"/>
        <v>284.798186903616</v>
      </c>
      <c r="R11" s="42">
        <f t="shared" si="2"/>
        <v>3987.17461665063</v>
      </c>
    </row>
    <row r="12" spans="1:21" x14ac:dyDescent="0.25">
      <c r="A12" s="39">
        <v>45216</v>
      </c>
      <c r="B12" s="40" t="s">
        <v>66</v>
      </c>
      <c r="C12" s="8">
        <v>-0.4</v>
      </c>
      <c r="D12" s="13">
        <v>0.87916666666666676</v>
      </c>
      <c r="E12" s="41">
        <f>Effort!J10</f>
        <v>394.33345994575399</v>
      </c>
      <c r="F12" s="42">
        <f>Harvest!J10</f>
        <v>5366.3640418704799</v>
      </c>
      <c r="G12" s="43">
        <f>CPUE!J10</f>
        <v>13.608695652173918</v>
      </c>
      <c r="H12" s="43"/>
      <c r="I12" s="41" t="str">
        <f>Effort!L10</f>
        <v>CLOSED</v>
      </c>
      <c r="J12" s="42" t="str">
        <f>Harvest!L10</f>
        <v>CLOSED</v>
      </c>
      <c r="K12" s="43" t="str">
        <f>CPUE!L10</f>
        <v>CLOSED</v>
      </c>
      <c r="L12" s="43"/>
      <c r="M12" s="41" t="s">
        <v>10</v>
      </c>
      <c r="N12" s="42" t="s">
        <v>10</v>
      </c>
      <c r="O12" s="43" t="s">
        <v>10</v>
      </c>
      <c r="P12" s="44"/>
      <c r="Q12" s="41">
        <f t="shared" si="1"/>
        <v>394.33345994575399</v>
      </c>
      <c r="R12" s="42">
        <f t="shared" si="2"/>
        <v>5366.3640418704799</v>
      </c>
    </row>
    <row r="13" spans="1:21" x14ac:dyDescent="0.25">
      <c r="A13" s="39">
        <v>45217</v>
      </c>
      <c r="B13" s="40" t="s">
        <v>67</v>
      </c>
      <c r="C13" s="8">
        <v>-0.3</v>
      </c>
      <c r="D13" s="13">
        <v>0.90902777777777777</v>
      </c>
      <c r="E13" s="41" t="str">
        <f>Effort!J11</f>
        <v>CLOSED</v>
      </c>
      <c r="F13" s="42" t="str">
        <f>Harvest!J11</f>
        <v>CLOSED</v>
      </c>
      <c r="G13" s="43" t="str">
        <f>CPUE!J11</f>
        <v>CLOSED</v>
      </c>
      <c r="H13" s="43"/>
      <c r="I13" s="41">
        <f>Effort!L11</f>
        <v>407.60234680324498</v>
      </c>
      <c r="J13" s="42">
        <f>Harvest!L11</f>
        <v>3764.3275557711499</v>
      </c>
      <c r="K13" s="43">
        <f>CPUE!L11</f>
        <v>9.2352941176470722</v>
      </c>
      <c r="L13" s="43"/>
      <c r="M13" s="41" t="s">
        <v>10</v>
      </c>
      <c r="N13" s="42" t="s">
        <v>10</v>
      </c>
      <c r="O13" s="43" t="s">
        <v>10</v>
      </c>
      <c r="P13" s="43"/>
      <c r="Q13" s="41">
        <f t="shared" si="1"/>
        <v>407.60234680324498</v>
      </c>
      <c r="R13" s="42">
        <f t="shared" si="2"/>
        <v>3764.3275557711499</v>
      </c>
    </row>
    <row r="14" spans="1:21" x14ac:dyDescent="0.25">
      <c r="A14" s="129" t="s">
        <v>50</v>
      </c>
      <c r="B14" s="129"/>
      <c r="C14" s="129"/>
      <c r="D14" s="130"/>
      <c r="E14" s="47">
        <f>SUM(E9:E13)</f>
        <v>1871.3242904557139</v>
      </c>
      <c r="F14" s="48">
        <f>SUM(F9:F13)</f>
        <v>18422.96298357848</v>
      </c>
      <c r="G14" s="49">
        <f>+F14/E14</f>
        <v>9.8448799481419815</v>
      </c>
      <c r="H14" s="49"/>
      <c r="I14" s="47">
        <f>SUM(I9:I13)</f>
        <v>2457.8044711500011</v>
      </c>
      <c r="J14" s="48">
        <f>SUM(J9:J13)</f>
        <v>29801.743508721382</v>
      </c>
      <c r="K14" s="49">
        <f>+J14/I14</f>
        <v>12.125351653696526</v>
      </c>
      <c r="L14" s="49"/>
      <c r="M14" s="47"/>
      <c r="N14" s="48"/>
      <c r="O14" s="83"/>
      <c r="P14" s="49"/>
      <c r="Q14" s="47">
        <f>SUM(Q9:Q13)</f>
        <v>4329.1287616057152</v>
      </c>
      <c r="R14" s="48">
        <f>SUM(R9:R13)</f>
        <v>48224.706492299862</v>
      </c>
      <c r="T14" s="20">
        <f>SUM(E14,I14)</f>
        <v>4329.1287616057152</v>
      </c>
      <c r="U14" s="20">
        <f>SUM(F14,J14)</f>
        <v>48224.706492299862</v>
      </c>
    </row>
    <row r="15" spans="1:21" x14ac:dyDescent="0.25">
      <c r="A15" s="39">
        <v>45226</v>
      </c>
      <c r="B15" s="40" t="s">
        <v>18</v>
      </c>
      <c r="C15" s="8">
        <v>-0.4</v>
      </c>
      <c r="D15" s="13">
        <v>0.76250000000000007</v>
      </c>
      <c r="E15" s="41" t="str">
        <f>Effort!J13</f>
        <v>CLOSED</v>
      </c>
      <c r="F15" s="42" t="str">
        <f>Harvest!J13</f>
        <v>CLOSED</v>
      </c>
      <c r="G15" s="43" t="str">
        <f>CPUE!J13</f>
        <v>CLOSED</v>
      </c>
      <c r="H15" s="43"/>
      <c r="I15" s="41">
        <f>Effort!L13</f>
        <v>1854.54330265823</v>
      </c>
      <c r="J15" s="42">
        <f>Harvest!L13</f>
        <v>27143.770157088598</v>
      </c>
      <c r="K15" s="43">
        <f>CPUE!L13</f>
        <v>14.636363636363614</v>
      </c>
      <c r="L15" s="43"/>
      <c r="M15" s="41" t="s">
        <v>10</v>
      </c>
      <c r="N15" s="42" t="s">
        <v>10</v>
      </c>
      <c r="O15" s="102" t="s">
        <v>10</v>
      </c>
      <c r="P15" s="43"/>
      <c r="Q15" s="41">
        <f>SUM(E15,I15)</f>
        <v>1854.54330265823</v>
      </c>
      <c r="R15" s="42">
        <f t="shared" ref="R15:R27" si="3">SUM(F15,J15)</f>
        <v>27143.770157088598</v>
      </c>
    </row>
    <row r="16" spans="1:21" x14ac:dyDescent="0.25">
      <c r="A16" s="39">
        <v>45227</v>
      </c>
      <c r="B16" s="40" t="s">
        <v>19</v>
      </c>
      <c r="C16" s="8">
        <v>-1</v>
      </c>
      <c r="D16" s="13">
        <v>0.79375000000000007</v>
      </c>
      <c r="E16" s="41">
        <f>Effort!J14</f>
        <v>5902.8030789941804</v>
      </c>
      <c r="F16" s="42">
        <f>Harvest!J14</f>
        <v>88542.046184912702</v>
      </c>
      <c r="G16" s="43">
        <f>CPUE!J14</f>
        <v>15</v>
      </c>
      <c r="H16" s="43"/>
      <c r="I16" s="41" t="str">
        <f>Effort!L14</f>
        <v>CLOSED</v>
      </c>
      <c r="J16" s="42" t="str">
        <f>Harvest!L14</f>
        <v>CLOSED</v>
      </c>
      <c r="K16" s="43" t="str">
        <f>CPUE!L14</f>
        <v>CLOSED</v>
      </c>
      <c r="L16" s="43"/>
      <c r="M16" s="41" t="s">
        <v>10</v>
      </c>
      <c r="N16" s="42" t="s">
        <v>10</v>
      </c>
      <c r="O16" s="43" t="s">
        <v>10</v>
      </c>
      <c r="P16" s="43"/>
      <c r="Q16" s="41">
        <f t="shared" ref="Q16:Q19" si="4">SUM(E16,I16)</f>
        <v>5902.8030789941804</v>
      </c>
      <c r="R16" s="42">
        <f t="shared" si="3"/>
        <v>88542.046184912702</v>
      </c>
    </row>
    <row r="17" spans="1:21" x14ac:dyDescent="0.25">
      <c r="A17" s="39">
        <v>45228</v>
      </c>
      <c r="B17" s="40" t="s">
        <v>20</v>
      </c>
      <c r="C17" s="8">
        <v>-1.3</v>
      </c>
      <c r="D17" s="13">
        <v>0.82361111111111107</v>
      </c>
      <c r="E17" s="41" t="str">
        <f>Effort!J15</f>
        <v>CLOSED</v>
      </c>
      <c r="F17" s="42" t="str">
        <f>Harvest!J15</f>
        <v>CLOSED</v>
      </c>
      <c r="G17" s="43" t="str">
        <f>CPUE!J15</f>
        <v>CLOSED</v>
      </c>
      <c r="H17" s="43"/>
      <c r="I17" s="41">
        <f>Effort!L15</f>
        <v>1552.6760923259001</v>
      </c>
      <c r="J17" s="42">
        <f>Harvest!L15</f>
        <v>22419.127967242301</v>
      </c>
      <c r="K17" s="43">
        <f>CPUE!L15</f>
        <v>14.439024390243926</v>
      </c>
      <c r="L17" s="43"/>
      <c r="M17" s="41" t="s">
        <v>10</v>
      </c>
      <c r="N17" s="42" t="s">
        <v>10</v>
      </c>
      <c r="O17" s="43" t="s">
        <v>10</v>
      </c>
      <c r="P17" s="44"/>
      <c r="Q17" s="41">
        <f t="shared" si="4"/>
        <v>1552.6760923259001</v>
      </c>
      <c r="R17" s="42">
        <f t="shared" si="3"/>
        <v>22419.127967242301</v>
      </c>
    </row>
    <row r="18" spans="1:21" x14ac:dyDescent="0.25">
      <c r="A18" s="39">
        <v>45229</v>
      </c>
      <c r="B18" s="40" t="s">
        <v>21</v>
      </c>
      <c r="C18" s="8">
        <v>-1.3</v>
      </c>
      <c r="D18" s="13">
        <v>0.8534722222222223</v>
      </c>
      <c r="E18" s="41">
        <f>Effort!J16</f>
        <v>1098.7735107430799</v>
      </c>
      <c r="F18" s="42">
        <f>Harvest!J16</f>
        <v>16481.6026611462</v>
      </c>
      <c r="G18" s="43">
        <f>CPUE!J16</f>
        <v>15.000000000000002</v>
      </c>
      <c r="H18" s="43"/>
      <c r="I18" s="41" t="str">
        <f>Effort!L16</f>
        <v>CLOSED</v>
      </c>
      <c r="J18" s="42" t="str">
        <f>Harvest!L16</f>
        <v>CLOSED</v>
      </c>
      <c r="K18" s="43" t="str">
        <f>CPUE!L16</f>
        <v>CLOSED</v>
      </c>
      <c r="L18" s="43"/>
      <c r="M18" s="41" t="s">
        <v>10</v>
      </c>
      <c r="N18" s="42" t="s">
        <v>10</v>
      </c>
      <c r="O18" s="43" t="s">
        <v>10</v>
      </c>
      <c r="P18" s="44"/>
      <c r="Q18" s="41">
        <f t="shared" si="4"/>
        <v>1098.7735107430799</v>
      </c>
      <c r="R18" s="42">
        <f t="shared" si="3"/>
        <v>16481.6026611462</v>
      </c>
    </row>
    <row r="19" spans="1:21" x14ac:dyDescent="0.25">
      <c r="A19" s="39">
        <v>45230</v>
      </c>
      <c r="B19" s="40" t="s">
        <v>66</v>
      </c>
      <c r="C19" s="8">
        <v>-1</v>
      </c>
      <c r="D19" s="13">
        <v>0.8833333333333333</v>
      </c>
      <c r="E19" s="41" t="str">
        <f>Effort!J17</f>
        <v>CLOSED</v>
      </c>
      <c r="F19" s="42" t="str">
        <f>Harvest!J17</f>
        <v>CLOSED</v>
      </c>
      <c r="G19" s="43" t="str">
        <f>CPUE!J17</f>
        <v>CLOSED</v>
      </c>
      <c r="H19" s="43"/>
      <c r="I19" s="41">
        <f>Effort!L17</f>
        <v>239.97715213868901</v>
      </c>
      <c r="J19" s="42">
        <f>Harvest!L17</f>
        <v>3479.6687060109898</v>
      </c>
      <c r="K19" s="43">
        <f>CPUE!L17</f>
        <v>14.499999999999996</v>
      </c>
      <c r="L19" s="43"/>
      <c r="M19" s="41" t="s">
        <v>10</v>
      </c>
      <c r="N19" s="42" t="s">
        <v>10</v>
      </c>
      <c r="O19" s="43" t="s">
        <v>10</v>
      </c>
      <c r="P19" s="43"/>
      <c r="Q19" s="41">
        <f t="shared" si="4"/>
        <v>239.97715213868901</v>
      </c>
      <c r="R19" s="42">
        <f t="shared" si="3"/>
        <v>3479.6687060109898</v>
      </c>
    </row>
    <row r="20" spans="1:21" x14ac:dyDescent="0.25">
      <c r="A20" s="129" t="s">
        <v>50</v>
      </c>
      <c r="B20" s="129"/>
      <c r="C20" s="129"/>
      <c r="D20" s="130"/>
      <c r="E20" s="47">
        <f>SUM(E15:E19)</f>
        <v>7001.5765897372603</v>
      </c>
      <c r="F20" s="48">
        <f>SUM(F15:F19)</f>
        <v>105023.6488460589</v>
      </c>
      <c r="G20" s="49">
        <f>+F20/E20</f>
        <v>15</v>
      </c>
      <c r="H20" s="49"/>
      <c r="I20" s="47">
        <f>SUM(I15:I19)</f>
        <v>3647.1965471228195</v>
      </c>
      <c r="J20" s="48">
        <f>SUM(J15:J19)</f>
        <v>53042.566830341886</v>
      </c>
      <c r="K20" s="49">
        <f>+J20/I20</f>
        <v>14.543380414248807</v>
      </c>
      <c r="L20" s="49"/>
      <c r="M20" s="47"/>
      <c r="N20" s="48"/>
      <c r="O20" s="83"/>
      <c r="P20" s="49"/>
      <c r="Q20" s="47">
        <f>SUM(Q15:Q19)</f>
        <v>10648.77313686008</v>
      </c>
      <c r="R20" s="48">
        <f>SUM(R15:R19)</f>
        <v>158066.21567640081</v>
      </c>
      <c r="T20" s="20">
        <f>SUM(E20,I20)</f>
        <v>10648.77313686008</v>
      </c>
      <c r="U20" s="20">
        <f>SUM(F20,J20)</f>
        <v>158066.21567640078</v>
      </c>
    </row>
    <row r="21" spans="1:21" x14ac:dyDescent="0.25">
      <c r="A21" s="39">
        <v>45242</v>
      </c>
      <c r="B21" s="40" t="s">
        <v>20</v>
      </c>
      <c r="C21" s="8">
        <v>-0.3</v>
      </c>
      <c r="D21" s="13">
        <v>0.74513888888888891</v>
      </c>
      <c r="E21" s="41" t="str">
        <f>Effort!J19</f>
        <v>CLOSED</v>
      </c>
      <c r="F21" s="42" t="str">
        <f>Harvest!J19</f>
        <v>CLOSED</v>
      </c>
      <c r="G21" s="43" t="str">
        <f>CPUE!J19</f>
        <v>CLOSED</v>
      </c>
      <c r="H21" s="43"/>
      <c r="I21" s="41">
        <f>Effort!L19</f>
        <v>1064.35418358775</v>
      </c>
      <c r="J21" s="42">
        <f>Harvest!L19</f>
        <v>7083.4606011184596</v>
      </c>
      <c r="K21" s="43">
        <f>CPUE!L19</f>
        <v>6.6551724137930899</v>
      </c>
      <c r="L21" s="43"/>
      <c r="M21" s="41" t="s">
        <v>10</v>
      </c>
      <c r="N21" s="42" t="s">
        <v>10</v>
      </c>
      <c r="O21" s="102" t="s">
        <v>10</v>
      </c>
      <c r="P21" s="43"/>
      <c r="Q21" s="41">
        <f>SUM(E21,I21)</f>
        <v>1064.35418358775</v>
      </c>
      <c r="R21" s="42">
        <f t="shared" si="3"/>
        <v>7083.4606011184596</v>
      </c>
      <c r="T21" s="20"/>
      <c r="U21" s="20"/>
    </row>
    <row r="22" spans="1:21" x14ac:dyDescent="0.25">
      <c r="A22" s="39">
        <v>45243</v>
      </c>
      <c r="B22" s="40" t="s">
        <v>21</v>
      </c>
      <c r="C22" s="8">
        <v>-0.7</v>
      </c>
      <c r="D22" s="13">
        <v>0.77083333333333337</v>
      </c>
      <c r="E22" s="41">
        <f>Effort!J20</f>
        <v>941.25877673887203</v>
      </c>
      <c r="F22" s="42">
        <f>Harvest!J20</f>
        <v>9347.6733689929406</v>
      </c>
      <c r="G22" s="43">
        <f>CPUE!J20</f>
        <v>9.9310344827586263</v>
      </c>
      <c r="H22" s="43"/>
      <c r="I22" s="41" t="str">
        <f>Effort!L20</f>
        <v>CLOSED</v>
      </c>
      <c r="J22" s="42" t="str">
        <f>Harvest!L20</f>
        <v>CLOSED</v>
      </c>
      <c r="K22" s="43" t="str">
        <f>CPUE!L20</f>
        <v>CLOSED</v>
      </c>
      <c r="L22" s="43"/>
      <c r="M22" s="41" t="s">
        <v>10</v>
      </c>
      <c r="N22" s="42" t="s">
        <v>10</v>
      </c>
      <c r="O22" s="43" t="s">
        <v>10</v>
      </c>
      <c r="P22" s="43"/>
      <c r="Q22" s="41">
        <f t="shared" ref="Q22:Q27" si="5">SUM(E22,I22)</f>
        <v>941.25877673887203</v>
      </c>
      <c r="R22" s="42">
        <f t="shared" si="3"/>
        <v>9347.6733689929406</v>
      </c>
      <c r="T22" s="20"/>
      <c r="U22" s="20"/>
    </row>
    <row r="23" spans="1:21" x14ac:dyDescent="0.25">
      <c r="A23" s="39">
        <v>45244</v>
      </c>
      <c r="B23" s="40" t="s">
        <v>66</v>
      </c>
      <c r="C23" s="8">
        <v>-0.9</v>
      </c>
      <c r="D23" s="13">
        <v>0.79791666666666661</v>
      </c>
      <c r="E23" s="41" t="str">
        <f>Effort!J21</f>
        <v>CLOSED</v>
      </c>
      <c r="F23" s="42" t="str">
        <f>Harvest!J21</f>
        <v>CLOSED</v>
      </c>
      <c r="G23" s="43" t="str">
        <f>CPUE!J21</f>
        <v>CLOSED</v>
      </c>
      <c r="H23" s="43"/>
      <c r="I23" s="41">
        <f>Effort!L21</f>
        <v>550.00002497718594</v>
      </c>
      <c r="J23" s="42">
        <f>Harvest!L21</f>
        <v>8066.6670329987201</v>
      </c>
      <c r="K23" s="43">
        <f>CPUE!L21</f>
        <v>14.666666666666654</v>
      </c>
      <c r="L23" s="43"/>
      <c r="M23" s="41" t="s">
        <v>10</v>
      </c>
      <c r="N23" s="42" t="s">
        <v>10</v>
      </c>
      <c r="O23" s="43" t="s">
        <v>10</v>
      </c>
      <c r="P23" s="44"/>
      <c r="Q23" s="41">
        <f t="shared" si="5"/>
        <v>550.00002497718594</v>
      </c>
      <c r="R23" s="42">
        <f t="shared" si="3"/>
        <v>8066.6670329987201</v>
      </c>
      <c r="T23" s="20"/>
      <c r="U23" s="20"/>
    </row>
    <row r="24" spans="1:21" x14ac:dyDescent="0.25">
      <c r="A24" s="39">
        <v>45245</v>
      </c>
      <c r="B24" s="40" t="s">
        <v>67</v>
      </c>
      <c r="C24" s="8">
        <v>-0.9</v>
      </c>
      <c r="D24" s="13">
        <v>0.82708333333333339</v>
      </c>
      <c r="E24" s="41">
        <f>Effort!J22</f>
        <v>467.41024984556901</v>
      </c>
      <c r="F24" s="42">
        <f>Harvest!J22</f>
        <v>6721.8045453981804</v>
      </c>
      <c r="G24" s="43">
        <f>CPUE!J22</f>
        <v>14.380952380952376</v>
      </c>
      <c r="H24" s="43"/>
      <c r="I24" s="41" t="str">
        <f>Effort!L22</f>
        <v>CLOSED</v>
      </c>
      <c r="J24" s="42" t="str">
        <f>Harvest!L22</f>
        <v>CLOSED</v>
      </c>
      <c r="K24" s="43" t="str">
        <f>CPUE!L22</f>
        <v>CLOSED</v>
      </c>
      <c r="L24" s="43"/>
      <c r="M24" s="41" t="s">
        <v>10</v>
      </c>
      <c r="N24" s="42" t="s">
        <v>10</v>
      </c>
      <c r="O24" s="43" t="s">
        <v>10</v>
      </c>
      <c r="P24" s="44"/>
      <c r="Q24" s="41">
        <f t="shared" si="5"/>
        <v>467.41024984556901</v>
      </c>
      <c r="R24" s="42">
        <f t="shared" si="3"/>
        <v>6721.8045453981804</v>
      </c>
      <c r="T24" s="20"/>
      <c r="U24" s="20"/>
    </row>
    <row r="25" spans="1:21" x14ac:dyDescent="0.25">
      <c r="A25" s="39">
        <v>45246</v>
      </c>
      <c r="B25" s="40" t="s">
        <v>22</v>
      </c>
      <c r="C25" s="8">
        <v>-0.8</v>
      </c>
      <c r="D25" s="13">
        <v>0.85902777777777783</v>
      </c>
      <c r="E25" s="41" t="str">
        <f>Effort!J23</f>
        <v>CLOSED</v>
      </c>
      <c r="F25" s="42" t="str">
        <f>Harvest!J23</f>
        <v>CLOSED</v>
      </c>
      <c r="G25" s="43" t="str">
        <f>CPUE!J23</f>
        <v>CLOSED</v>
      </c>
      <c r="H25" s="43"/>
      <c r="I25" s="41">
        <f>Effort!L23</f>
        <v>334.90769910719303</v>
      </c>
      <c r="J25" s="42">
        <f>Harvest!L23</f>
        <v>4395.6635507819101</v>
      </c>
      <c r="K25" s="43">
        <f>CPUE!L23</f>
        <v>13.125000000000005</v>
      </c>
      <c r="L25" s="43"/>
      <c r="M25" s="41" t="s">
        <v>10</v>
      </c>
      <c r="N25" s="42" t="s">
        <v>10</v>
      </c>
      <c r="O25" s="43" t="s">
        <v>10</v>
      </c>
      <c r="P25" s="44"/>
      <c r="Q25" s="41">
        <f t="shared" si="5"/>
        <v>334.90769910719303</v>
      </c>
      <c r="R25" s="42">
        <f t="shared" si="3"/>
        <v>4395.6635507819101</v>
      </c>
      <c r="T25" s="20"/>
      <c r="U25" s="20"/>
    </row>
    <row r="26" spans="1:21" x14ac:dyDescent="0.25">
      <c r="A26" s="39">
        <v>45247</v>
      </c>
      <c r="B26" s="40" t="s">
        <v>18</v>
      </c>
      <c r="C26" s="8">
        <v>-0.5</v>
      </c>
      <c r="D26" s="13">
        <v>0.89374999999999993</v>
      </c>
      <c r="E26" s="41">
        <f>Effort!J24</f>
        <v>982.94927419673797</v>
      </c>
      <c r="F26" s="42">
        <f>Harvest!J24</f>
        <v>14744.2391129511</v>
      </c>
      <c r="G26" s="43">
        <f>CPUE!J24</f>
        <v>15.00000000000003</v>
      </c>
      <c r="H26" s="43"/>
      <c r="I26" s="41" t="str">
        <f>Effort!L24</f>
        <v>CLOSED</v>
      </c>
      <c r="J26" s="42" t="str">
        <f>Harvest!L24</f>
        <v>CLOSED</v>
      </c>
      <c r="K26" s="43" t="str">
        <f>CPUE!L24</f>
        <v>CLOSED</v>
      </c>
      <c r="L26" s="43"/>
      <c r="M26" s="41" t="s">
        <v>10</v>
      </c>
      <c r="N26" s="42" t="s">
        <v>10</v>
      </c>
      <c r="O26" s="43" t="s">
        <v>10</v>
      </c>
      <c r="P26" s="44"/>
      <c r="Q26" s="41">
        <f t="shared" si="5"/>
        <v>982.94927419673797</v>
      </c>
      <c r="R26" s="42">
        <f t="shared" si="3"/>
        <v>14744.2391129511</v>
      </c>
      <c r="T26" s="20"/>
      <c r="U26" s="20"/>
    </row>
    <row r="27" spans="1:21" x14ac:dyDescent="0.25">
      <c r="A27" s="39">
        <v>45248</v>
      </c>
      <c r="B27" s="40" t="s">
        <v>19</v>
      </c>
      <c r="C27" s="8">
        <v>-0.1</v>
      </c>
      <c r="D27" s="13">
        <v>0.93194444444444446</v>
      </c>
      <c r="E27" s="41" t="str">
        <f>Effort!J25</f>
        <v>CLOSED</v>
      </c>
      <c r="F27" s="42" t="str">
        <f>Harvest!J25</f>
        <v>CLOSED</v>
      </c>
      <c r="G27" s="43" t="str">
        <f>CPUE!J25</f>
        <v>CLOSED</v>
      </c>
      <c r="H27" s="43"/>
      <c r="I27" s="41">
        <f>Effort!L25</f>
        <v>445.654617948571</v>
      </c>
      <c r="J27" s="42">
        <f>Harvest!L25</f>
        <v>1406.5973879001799</v>
      </c>
      <c r="K27" s="43">
        <f>CPUE!L25</f>
        <v>3.1562500000000062</v>
      </c>
      <c r="L27" s="43"/>
      <c r="M27" s="41" t="s">
        <v>10</v>
      </c>
      <c r="N27" s="42" t="s">
        <v>10</v>
      </c>
      <c r="O27" s="43" t="s">
        <v>10</v>
      </c>
      <c r="P27" s="43"/>
      <c r="Q27" s="41">
        <f t="shared" si="5"/>
        <v>445.654617948571</v>
      </c>
      <c r="R27" s="42">
        <f t="shared" si="3"/>
        <v>1406.5973879001799</v>
      </c>
      <c r="T27" s="20"/>
      <c r="U27" s="20"/>
    </row>
    <row r="28" spans="1:21" x14ac:dyDescent="0.25">
      <c r="A28" s="129"/>
      <c r="B28" s="129"/>
      <c r="C28" s="129"/>
      <c r="D28" s="130"/>
      <c r="E28" s="47">
        <f>SUM(E21:E27)</f>
        <v>2391.6183007811792</v>
      </c>
      <c r="F28" s="116">
        <f>SUM(F21:F27)</f>
        <v>30813.717027342223</v>
      </c>
      <c r="G28" s="49">
        <f>+F28/E28</f>
        <v>12.884044672712813</v>
      </c>
      <c r="H28" s="49"/>
      <c r="I28" s="47">
        <f>SUM(I21:I27)</f>
        <v>2394.9165256206998</v>
      </c>
      <c r="J28" s="116">
        <f>SUM(J21:J27)</f>
        <v>20952.388572799271</v>
      </c>
      <c r="K28" s="49">
        <f>+J28/I28</f>
        <v>8.7486926365289328</v>
      </c>
      <c r="L28" s="49"/>
      <c r="M28" s="47"/>
      <c r="N28" s="48"/>
      <c r="O28" s="83"/>
      <c r="P28" s="49"/>
      <c r="Q28" s="47">
        <f>SUM(Q21:Q27)</f>
        <v>4786.5348264018794</v>
      </c>
      <c r="R28" s="116">
        <f>SUM(R21:R27)</f>
        <v>51766.105600141498</v>
      </c>
      <c r="T28" s="20">
        <f>SUM(E28,I28)</f>
        <v>4786.5348264018794</v>
      </c>
      <c r="U28" s="20">
        <f>SUM(F28,J28)</f>
        <v>51766.105600141498</v>
      </c>
    </row>
    <row r="29" spans="1:21" x14ac:dyDescent="0.25">
      <c r="A29" s="39">
        <v>45254</v>
      </c>
      <c r="B29" s="40" t="s">
        <v>18</v>
      </c>
      <c r="C29" s="8">
        <v>0</v>
      </c>
      <c r="D29" s="13">
        <v>0.6791666666666667</v>
      </c>
      <c r="E29" s="41">
        <f>Effort!J27</f>
        <v>4790.8518287752804</v>
      </c>
      <c r="F29" s="42">
        <f>Harvest!J27</f>
        <v>68480.999670140794</v>
      </c>
      <c r="G29" s="43">
        <f>CPUE!J27</f>
        <v>14.294117647058828</v>
      </c>
      <c r="H29" s="43"/>
      <c r="I29" s="41" t="str">
        <f>Effort!L27</f>
        <v>CLOSED</v>
      </c>
      <c r="J29" s="42" t="str">
        <f>Harvest!L27</f>
        <v>CLOSED</v>
      </c>
      <c r="K29" s="43" t="str">
        <f>CPUE!L27</f>
        <v>CLOSED</v>
      </c>
      <c r="L29" s="43"/>
      <c r="M29" s="41" t="s">
        <v>10</v>
      </c>
      <c r="N29" s="42" t="s">
        <v>10</v>
      </c>
      <c r="O29" s="43" t="s">
        <v>10</v>
      </c>
      <c r="P29" s="43"/>
      <c r="Q29" s="41">
        <f t="shared" ref="Q29:Q34" si="6">SUM(E29,I29)</f>
        <v>4790.8518287752804</v>
      </c>
      <c r="R29" s="42">
        <f t="shared" ref="R29:R34" si="7">SUM(F29,J29)</f>
        <v>68480.999670140794</v>
      </c>
      <c r="T29" s="20"/>
      <c r="U29" s="20"/>
    </row>
    <row r="30" spans="1:21" x14ac:dyDescent="0.25">
      <c r="A30" s="39">
        <v>45255</v>
      </c>
      <c r="B30" s="40" t="s">
        <v>19</v>
      </c>
      <c r="C30" s="8">
        <v>-0.7</v>
      </c>
      <c r="D30" s="13">
        <v>0.71180555555555547</v>
      </c>
      <c r="E30" s="41" t="str">
        <f>Effort!J28</f>
        <v>CLOSED</v>
      </c>
      <c r="F30" s="42" t="str">
        <f>Harvest!J28</f>
        <v>CLOSED</v>
      </c>
      <c r="G30" s="43" t="str">
        <f>CPUE!J28</f>
        <v>CLOSED</v>
      </c>
      <c r="H30" s="43"/>
      <c r="I30" s="41">
        <f>Effort!L28</f>
        <v>4031.2922130507</v>
      </c>
      <c r="J30" s="42">
        <f>Harvest!L28</f>
        <v>59593.015323358202</v>
      </c>
      <c r="K30" s="43">
        <f>CPUE!L28</f>
        <v>14.782608695652181</v>
      </c>
      <c r="L30" s="43"/>
      <c r="M30" s="41" t="s">
        <v>10</v>
      </c>
      <c r="N30" s="42" t="s">
        <v>10</v>
      </c>
      <c r="O30" s="43" t="s">
        <v>10</v>
      </c>
      <c r="P30" s="44"/>
      <c r="Q30" s="41">
        <f t="shared" si="6"/>
        <v>4031.2922130507</v>
      </c>
      <c r="R30" s="42">
        <f t="shared" si="7"/>
        <v>59593.015323358202</v>
      </c>
      <c r="T30" s="20"/>
      <c r="U30" s="20"/>
    </row>
    <row r="31" spans="1:21" x14ac:dyDescent="0.25">
      <c r="A31" s="39">
        <v>45256</v>
      </c>
      <c r="B31" s="40" t="s">
        <v>20</v>
      </c>
      <c r="C31" s="8">
        <v>-1.2</v>
      </c>
      <c r="D31" s="13">
        <v>0.74236111111111114</v>
      </c>
      <c r="E31" s="41">
        <f>Effort!J29</f>
        <v>2460.1624168492999</v>
      </c>
      <c r="F31" s="42">
        <f>Harvest!J29</f>
        <v>36231.482866325998</v>
      </c>
      <c r="G31" s="43">
        <f>CPUE!J29</f>
        <v>14.727272727272705</v>
      </c>
      <c r="H31" s="43"/>
      <c r="I31" s="41" t="str">
        <f>Effort!L29</f>
        <v>CLOSED</v>
      </c>
      <c r="J31" s="42" t="str">
        <f>Harvest!L29</f>
        <v>CLOSED</v>
      </c>
      <c r="K31" s="43" t="str">
        <f>CPUE!L29</f>
        <v>CLOSED</v>
      </c>
      <c r="L31" s="43"/>
      <c r="M31" s="41" t="s">
        <v>10</v>
      </c>
      <c r="N31" s="42" t="s">
        <v>10</v>
      </c>
      <c r="O31" s="43" t="s">
        <v>10</v>
      </c>
      <c r="P31" s="44"/>
      <c r="Q31" s="41">
        <f t="shared" si="6"/>
        <v>2460.1624168492999</v>
      </c>
      <c r="R31" s="42">
        <f t="shared" si="7"/>
        <v>36231.482866325998</v>
      </c>
      <c r="T31" s="20"/>
      <c r="U31" s="20"/>
    </row>
    <row r="32" spans="1:21" x14ac:dyDescent="0.25">
      <c r="A32" s="39">
        <v>45257</v>
      </c>
      <c r="B32" s="40" t="s">
        <v>21</v>
      </c>
      <c r="C32" s="8">
        <v>-1.3</v>
      </c>
      <c r="D32" s="13">
        <v>0.7715277777777777</v>
      </c>
      <c r="E32" s="41" t="str">
        <f>Effort!J30</f>
        <v>CLOSED</v>
      </c>
      <c r="F32" s="42" t="str">
        <f>Harvest!J30</f>
        <v>CLOSED</v>
      </c>
      <c r="G32" s="43" t="str">
        <f>CPUE!J30</f>
        <v>CLOSED</v>
      </c>
      <c r="H32" s="43"/>
      <c r="I32" s="41">
        <f>Effort!L30</f>
        <v>829.27269940986002</v>
      </c>
      <c r="J32" s="42">
        <f>Harvest!L30</f>
        <v>11195.181442033099</v>
      </c>
      <c r="K32" s="43">
        <f>CPUE!L30</f>
        <v>13.499999999999988</v>
      </c>
      <c r="L32" s="43"/>
      <c r="M32" s="41" t="s">
        <v>10</v>
      </c>
      <c r="N32" s="42" t="s">
        <v>10</v>
      </c>
      <c r="O32" s="43" t="s">
        <v>10</v>
      </c>
      <c r="P32" s="44"/>
      <c r="Q32" s="41">
        <f t="shared" si="6"/>
        <v>829.27269940986002</v>
      </c>
      <c r="R32" s="42">
        <f t="shared" si="7"/>
        <v>11195.181442033099</v>
      </c>
      <c r="T32" s="20"/>
      <c r="U32" s="20"/>
    </row>
    <row r="33" spans="1:21" x14ac:dyDescent="0.25">
      <c r="A33" s="39">
        <v>45258</v>
      </c>
      <c r="B33" s="40" t="s">
        <v>66</v>
      </c>
      <c r="C33" s="8">
        <v>-1.2</v>
      </c>
      <c r="D33" s="13">
        <v>0.79999999999999993</v>
      </c>
      <c r="E33" s="41">
        <f>Effort!J31</f>
        <v>564.33820462492599</v>
      </c>
      <c r="F33" s="42">
        <f>Harvest!J31</f>
        <v>7689.1080380146104</v>
      </c>
      <c r="G33" s="43">
        <f>CPUE!J31</f>
        <v>13.624999999999989</v>
      </c>
      <c r="H33" s="43"/>
      <c r="I33" s="41" t="str">
        <f>Effort!L31</f>
        <v>CLOSED</v>
      </c>
      <c r="J33" s="42" t="str">
        <f>Harvest!L31</f>
        <v>CLOSED</v>
      </c>
      <c r="K33" s="43" t="str">
        <f>CPUE!L31</f>
        <v>CLOSED</v>
      </c>
      <c r="L33" s="43"/>
      <c r="M33" s="41" t="s">
        <v>10</v>
      </c>
      <c r="N33" s="42" t="s">
        <v>10</v>
      </c>
      <c r="O33" s="43" t="s">
        <v>10</v>
      </c>
      <c r="P33" s="44"/>
      <c r="Q33" s="41">
        <f t="shared" si="6"/>
        <v>564.33820462492599</v>
      </c>
      <c r="R33" s="42">
        <f t="shared" si="7"/>
        <v>7689.1080380146104</v>
      </c>
      <c r="T33" s="20"/>
      <c r="U33" s="20"/>
    </row>
    <row r="34" spans="1:21" x14ac:dyDescent="0.25">
      <c r="A34" s="39">
        <v>45259</v>
      </c>
      <c r="B34" s="40" t="s">
        <v>67</v>
      </c>
      <c r="C34" s="8">
        <v>-0.8</v>
      </c>
      <c r="D34" s="13">
        <v>0.82777777777777783</v>
      </c>
      <c r="E34" s="41" t="str">
        <f>Effort!J32</f>
        <v>CLOSED</v>
      </c>
      <c r="F34" s="42" t="str">
        <f>Harvest!J32</f>
        <v>CLOSED</v>
      </c>
      <c r="G34" s="43" t="str">
        <f>CPUE!J32</f>
        <v>CLOSED</v>
      </c>
      <c r="H34" s="43"/>
      <c r="I34" s="41">
        <f>Effort!L32</f>
        <v>177.37226987330999</v>
      </c>
      <c r="J34" s="42">
        <f>Harvest!L32</f>
        <v>2601.4599581418802</v>
      </c>
      <c r="K34" s="43">
        <f>CPUE!L32</f>
        <v>14.666666666666668</v>
      </c>
      <c r="L34" s="43"/>
      <c r="M34" s="41" t="s">
        <v>10</v>
      </c>
      <c r="N34" s="42" t="s">
        <v>10</v>
      </c>
      <c r="O34" s="43" t="s">
        <v>10</v>
      </c>
      <c r="P34" s="43"/>
      <c r="Q34" s="41">
        <f t="shared" si="6"/>
        <v>177.37226987330999</v>
      </c>
      <c r="R34" s="42">
        <f t="shared" si="7"/>
        <v>2601.4599581418802</v>
      </c>
      <c r="T34" s="20"/>
      <c r="U34" s="20"/>
    </row>
    <row r="35" spans="1:21" x14ac:dyDescent="0.25">
      <c r="A35" s="129"/>
      <c r="B35" s="129"/>
      <c r="C35" s="129"/>
      <c r="D35" s="130"/>
      <c r="E35" s="47">
        <f>SUM(E29:E34)</f>
        <v>7815.3524502495065</v>
      </c>
      <c r="F35" s="116">
        <f>SUM(F29:F34)</f>
        <v>112401.59057448141</v>
      </c>
      <c r="G35" s="49">
        <f>+F35/E35</f>
        <v>14.382152473608912</v>
      </c>
      <c r="H35" s="49"/>
      <c r="I35" s="47">
        <f>SUM(I29:I34)</f>
        <v>5037.9371823338697</v>
      </c>
      <c r="J35" s="116">
        <f>SUM(J29:J34)</f>
        <v>73389.656723533175</v>
      </c>
      <c r="K35" s="49">
        <f>+J35/I35</f>
        <v>14.567402106735829</v>
      </c>
      <c r="L35" s="49"/>
      <c r="M35" s="47"/>
      <c r="N35" s="48"/>
      <c r="O35" s="83"/>
      <c r="P35" s="49"/>
      <c r="Q35" s="47">
        <f>SUM(Q29:Q34)</f>
        <v>12853.289632583377</v>
      </c>
      <c r="R35" s="116">
        <f>SUM(R29:R34)</f>
        <v>185791.24729801458</v>
      </c>
      <c r="T35" s="20">
        <f>SUM(E35,I35)</f>
        <v>12853.289632583375</v>
      </c>
      <c r="U35" s="20">
        <f>SUM(F35,J35)</f>
        <v>185791.24729801458</v>
      </c>
    </row>
    <row r="36" spans="1:21" x14ac:dyDescent="0.25">
      <c r="A36" s="39">
        <v>45273</v>
      </c>
      <c r="B36" s="40" t="s">
        <v>67</v>
      </c>
      <c r="C36" s="8">
        <v>-1.3</v>
      </c>
      <c r="D36" s="13">
        <v>0.78819444444444453</v>
      </c>
      <c r="E36" s="41" t="str">
        <f>Effort!J34</f>
        <v>CLOSED</v>
      </c>
      <c r="F36" s="42" t="str">
        <f>Harvest!J34</f>
        <v>CLOSED</v>
      </c>
      <c r="G36" s="43" t="str">
        <f>CPUE!J34</f>
        <v>CLOSED</v>
      </c>
      <c r="H36" s="43"/>
      <c r="I36" s="41">
        <f>Effort!L34</f>
        <v>608.88080296016096</v>
      </c>
      <c r="J36" s="42">
        <f>Harvest!L34</f>
        <v>8118.4107061354798</v>
      </c>
      <c r="K36" s="43">
        <f>CPUE!L34</f>
        <v>13.333333333333334</v>
      </c>
      <c r="L36" s="43"/>
      <c r="M36" s="41" t="s">
        <v>10</v>
      </c>
      <c r="N36" s="42" t="s">
        <v>10</v>
      </c>
      <c r="O36" s="102" t="s">
        <v>10</v>
      </c>
      <c r="P36" s="43"/>
      <c r="Q36" s="41">
        <f>SUM(E36,I36)</f>
        <v>608.88080296016096</v>
      </c>
      <c r="R36" s="42">
        <f t="shared" ref="R36:R40" si="8">SUM(F36,J36)</f>
        <v>8118.4107061354798</v>
      </c>
    </row>
    <row r="37" spans="1:21" x14ac:dyDescent="0.25">
      <c r="A37" s="39">
        <v>45274</v>
      </c>
      <c r="B37" s="40" t="s">
        <v>22</v>
      </c>
      <c r="C37" s="8">
        <v>-1.3</v>
      </c>
      <c r="D37" s="13">
        <v>0.81874999999999998</v>
      </c>
      <c r="E37" s="41">
        <f>Effort!J35</f>
        <v>652.61639856666795</v>
      </c>
      <c r="F37" s="42">
        <f>Harvest!J35</f>
        <v>9305.8264240061908</v>
      </c>
      <c r="G37" s="43">
        <f>CPUE!J35</f>
        <v>14.25925925925926</v>
      </c>
      <c r="H37" s="43"/>
      <c r="I37" s="41" t="str">
        <f>Effort!L35</f>
        <v>CLOSED</v>
      </c>
      <c r="J37" s="42" t="str">
        <f>Harvest!L35</f>
        <v>CLOSED</v>
      </c>
      <c r="K37" s="43" t="str">
        <f>CPUE!L35</f>
        <v>CLOSED</v>
      </c>
      <c r="L37" s="43"/>
      <c r="M37" s="41" t="s">
        <v>10</v>
      </c>
      <c r="N37" s="42" t="s">
        <v>10</v>
      </c>
      <c r="O37" s="43" t="s">
        <v>10</v>
      </c>
      <c r="P37" s="43"/>
      <c r="Q37" s="41">
        <f t="shared" ref="Q37:Q40" si="9">SUM(E37,I37)</f>
        <v>652.61639856666795</v>
      </c>
      <c r="R37" s="42">
        <f t="shared" si="8"/>
        <v>9305.8264240061908</v>
      </c>
    </row>
    <row r="38" spans="1:21" x14ac:dyDescent="0.25">
      <c r="A38" s="39">
        <v>45275</v>
      </c>
      <c r="B38" s="40" t="s">
        <v>18</v>
      </c>
      <c r="C38" s="8">
        <v>-1.2</v>
      </c>
      <c r="D38" s="13">
        <v>0.85069444444444453</v>
      </c>
      <c r="E38" s="41" t="str">
        <f>Effort!J36</f>
        <v>CLOSED</v>
      </c>
      <c r="F38" s="42" t="str">
        <f>Harvest!J36</f>
        <v>CLOSED</v>
      </c>
      <c r="G38" s="43" t="str">
        <f>CPUE!J36</f>
        <v>CLOSED</v>
      </c>
      <c r="H38" s="43"/>
      <c r="I38" s="41">
        <f>Effort!L36</f>
        <v>952.08348657130398</v>
      </c>
      <c r="J38" s="42">
        <f>Harvest!L36</f>
        <v>8854.3764251131306</v>
      </c>
      <c r="K38" s="43">
        <f>CPUE!L36</f>
        <v>9.3000000000000043</v>
      </c>
      <c r="L38" s="43"/>
      <c r="M38" s="41" t="s">
        <v>10</v>
      </c>
      <c r="N38" s="42" t="s">
        <v>10</v>
      </c>
      <c r="O38" s="43" t="s">
        <v>10</v>
      </c>
      <c r="P38" s="44"/>
      <c r="Q38" s="41">
        <f t="shared" si="9"/>
        <v>952.08348657130398</v>
      </c>
      <c r="R38" s="42">
        <f t="shared" si="8"/>
        <v>8854.3764251131306</v>
      </c>
    </row>
    <row r="39" spans="1:21" x14ac:dyDescent="0.25">
      <c r="A39" s="39">
        <v>45276</v>
      </c>
      <c r="B39" s="40" t="s">
        <v>19</v>
      </c>
      <c r="C39" s="8">
        <v>-0.8</v>
      </c>
      <c r="D39" s="13">
        <v>0.8833333333333333</v>
      </c>
      <c r="E39" s="41">
        <f>Effort!J37</f>
        <v>1714.6007696957099</v>
      </c>
      <c r="F39" s="42">
        <f>Harvest!J37</f>
        <v>25719.0115454357</v>
      </c>
      <c r="G39" s="43">
        <f>CPUE!J37</f>
        <v>15.00000000000003</v>
      </c>
      <c r="H39" s="43"/>
      <c r="I39" s="41" t="str">
        <f>Effort!L37</f>
        <v>CLOSED</v>
      </c>
      <c r="J39" s="42" t="str">
        <f>Harvest!L37</f>
        <v>CLOSED</v>
      </c>
      <c r="K39" s="43" t="str">
        <f>CPUE!L37</f>
        <v>CLOSED</v>
      </c>
      <c r="L39" s="43"/>
      <c r="M39" s="41" t="s">
        <v>10</v>
      </c>
      <c r="N39" s="42" t="s">
        <v>10</v>
      </c>
      <c r="O39" s="43" t="s">
        <v>10</v>
      </c>
      <c r="P39" s="44"/>
      <c r="Q39" s="41">
        <f t="shared" si="9"/>
        <v>1714.6007696957099</v>
      </c>
      <c r="R39" s="42">
        <f t="shared" si="8"/>
        <v>25719.0115454357</v>
      </c>
    </row>
    <row r="40" spans="1:21" x14ac:dyDescent="0.25">
      <c r="A40" s="39">
        <v>45277</v>
      </c>
      <c r="B40" s="40" t="s">
        <v>20</v>
      </c>
      <c r="C40" s="8">
        <v>-0.3</v>
      </c>
      <c r="D40" s="13">
        <v>0.91736111111111107</v>
      </c>
      <c r="E40" s="41" t="str">
        <f>Effort!J38</f>
        <v>CLOSED</v>
      </c>
      <c r="F40" s="42" t="str">
        <f>Harvest!J38</f>
        <v>CLOSED</v>
      </c>
      <c r="G40" s="43" t="str">
        <f>CPUE!J38</f>
        <v>CLOSED</v>
      </c>
      <c r="H40" s="43"/>
      <c r="I40" s="41">
        <f>Effort!L38</f>
        <v>176.72295878438101</v>
      </c>
      <c r="J40" s="42">
        <f>Harvest!L38</f>
        <v>2618.7129347140099</v>
      </c>
      <c r="K40" s="43">
        <f>CPUE!L38</f>
        <v>14.81818181818182</v>
      </c>
      <c r="L40" s="43"/>
      <c r="M40" s="41" t="s">
        <v>10</v>
      </c>
      <c r="N40" s="42" t="s">
        <v>10</v>
      </c>
      <c r="O40" s="43" t="s">
        <v>10</v>
      </c>
      <c r="P40" s="43"/>
      <c r="Q40" s="41">
        <f t="shared" si="9"/>
        <v>176.72295878438101</v>
      </c>
      <c r="R40" s="42">
        <f t="shared" si="8"/>
        <v>2618.7129347140099</v>
      </c>
    </row>
    <row r="41" spans="1:21" x14ac:dyDescent="0.25">
      <c r="A41" s="129" t="s">
        <v>50</v>
      </c>
      <c r="B41" s="129"/>
      <c r="C41" s="129"/>
      <c r="D41" s="130"/>
      <c r="E41" s="47">
        <f>SUM(E36:E40)</f>
        <v>2367.217168262378</v>
      </c>
      <c r="F41" s="48">
        <f>SUM(F36:F40)</f>
        <v>35024.837969441891</v>
      </c>
      <c r="G41" s="49">
        <f>+F41/E41</f>
        <v>14.79578571794128</v>
      </c>
      <c r="H41" s="49"/>
      <c r="I41" s="47">
        <f>SUM(I36:I40)</f>
        <v>1737.6872483158461</v>
      </c>
      <c r="J41" s="48">
        <f>SUM(J36:J40)</f>
        <v>19591.50006596262</v>
      </c>
      <c r="K41" s="49">
        <f>+J41/I41</f>
        <v>11.274468455097752</v>
      </c>
      <c r="L41" s="49"/>
      <c r="M41" s="47"/>
      <c r="N41" s="48"/>
      <c r="O41" s="83"/>
      <c r="P41" s="49"/>
      <c r="Q41" s="47">
        <f>SUM(Q36:Q40)</f>
        <v>4104.9044165782243</v>
      </c>
      <c r="R41" s="48">
        <f>SUM(R36:R40)</f>
        <v>54616.338035404508</v>
      </c>
      <c r="T41" s="20">
        <f>SUM(E41,I41)</f>
        <v>4104.9044165782243</v>
      </c>
      <c r="U41" s="20">
        <f>SUM(F41,J41)</f>
        <v>54616.338035404508</v>
      </c>
    </row>
    <row r="42" spans="1:21" x14ac:dyDescent="0.25">
      <c r="A42" s="39">
        <v>45286</v>
      </c>
      <c r="B42" s="40" t="s">
        <v>66</v>
      </c>
      <c r="C42" s="8">
        <v>-0.9</v>
      </c>
      <c r="D42" s="13">
        <v>0.76250000000000007</v>
      </c>
      <c r="E42" s="41">
        <f>Effort!J40</f>
        <v>2092.4715261481101</v>
      </c>
      <c r="F42" s="42">
        <f>Harvest!J40</f>
        <v>18697.2455723557</v>
      </c>
      <c r="G42" s="43">
        <f>CPUE!J40</f>
        <v>8.9354838709677455</v>
      </c>
      <c r="H42" s="43"/>
      <c r="I42" s="41" t="str">
        <f>Effort!L40</f>
        <v>CLOSED</v>
      </c>
      <c r="J42" s="42" t="str">
        <f>Harvest!L40</f>
        <v>CLOSED</v>
      </c>
      <c r="K42" s="43" t="str">
        <f>CPUE!L40</f>
        <v>CLOSED</v>
      </c>
      <c r="L42" s="43"/>
      <c r="M42" s="41" t="s">
        <v>10</v>
      </c>
      <c r="N42" s="42" t="s">
        <v>10</v>
      </c>
      <c r="O42" s="43" t="s">
        <v>10</v>
      </c>
      <c r="P42" s="43"/>
      <c r="Q42" s="41">
        <f t="shared" ref="Q42:Q45" si="10">SUM(E42,I42)</f>
        <v>2092.4715261481101</v>
      </c>
      <c r="R42" s="42">
        <f t="shared" ref="R42:R45" si="11">SUM(F42,J42)</f>
        <v>18697.2455723557</v>
      </c>
    </row>
    <row r="43" spans="1:21" x14ac:dyDescent="0.25">
      <c r="A43" s="39">
        <v>45287</v>
      </c>
      <c r="B43" s="40" t="s">
        <v>67</v>
      </c>
      <c r="C43" s="8">
        <v>-0.8</v>
      </c>
      <c r="D43" s="13">
        <v>0.7895833333333333</v>
      </c>
      <c r="E43" s="41" t="str">
        <f>Effort!J41</f>
        <v>CLOSED</v>
      </c>
      <c r="F43" s="42" t="str">
        <f>Harvest!J41</f>
        <v>CLOSED</v>
      </c>
      <c r="G43" s="43" t="str">
        <f>CPUE!J41</f>
        <v>CLOSED</v>
      </c>
      <c r="H43" s="43"/>
      <c r="I43" s="41">
        <f>Effort!L41</f>
        <v>786.333708286464</v>
      </c>
      <c r="J43" s="42">
        <f>Harvest!L41</f>
        <v>8728.3041619797496</v>
      </c>
      <c r="K43" s="43">
        <f>CPUE!L41</f>
        <v>11.1</v>
      </c>
      <c r="L43" s="43"/>
      <c r="M43" s="41" t="s">
        <v>10</v>
      </c>
      <c r="N43" s="42" t="s">
        <v>10</v>
      </c>
      <c r="O43" s="43" t="s">
        <v>10</v>
      </c>
      <c r="P43" s="44"/>
      <c r="Q43" s="41">
        <f t="shared" si="10"/>
        <v>786.333708286464</v>
      </c>
      <c r="R43" s="42">
        <f t="shared" si="11"/>
        <v>8728.3041619797496</v>
      </c>
    </row>
    <row r="44" spans="1:21" x14ac:dyDescent="0.25">
      <c r="A44" s="39">
        <v>45288</v>
      </c>
      <c r="B44" s="40" t="s">
        <v>22</v>
      </c>
      <c r="C44" s="8">
        <v>-0.6</v>
      </c>
      <c r="D44" s="13">
        <v>0.81597222222222221</v>
      </c>
      <c r="E44" s="41">
        <f>Effort!J42</f>
        <v>711.56241561694605</v>
      </c>
      <c r="F44" s="42">
        <f>Harvest!J42</f>
        <v>3029.8786729495801</v>
      </c>
      <c r="G44" s="43">
        <f>CPUE!J42</f>
        <v>4.2580645161290365</v>
      </c>
      <c r="H44" s="43"/>
      <c r="I44" s="41" t="str">
        <f>Effort!L42</f>
        <v>CLOSED</v>
      </c>
      <c r="J44" s="42" t="str">
        <f>Harvest!L42</f>
        <v>CLOSED</v>
      </c>
      <c r="K44" s="43" t="str">
        <f>CPUE!L42</f>
        <v>CLOSED</v>
      </c>
      <c r="L44" s="43"/>
      <c r="M44" s="41" t="s">
        <v>10</v>
      </c>
      <c r="N44" s="42" t="s">
        <v>10</v>
      </c>
      <c r="O44" s="43" t="s">
        <v>10</v>
      </c>
      <c r="P44" s="44"/>
      <c r="Q44" s="41">
        <f t="shared" si="10"/>
        <v>711.56241561694605</v>
      </c>
      <c r="R44" s="42">
        <f t="shared" si="11"/>
        <v>3029.8786729495801</v>
      </c>
    </row>
    <row r="45" spans="1:21" x14ac:dyDescent="0.25">
      <c r="A45" s="39">
        <v>45289</v>
      </c>
      <c r="B45" s="40" t="s">
        <v>18</v>
      </c>
      <c r="C45" s="8">
        <v>-0.3</v>
      </c>
      <c r="D45" s="13">
        <v>0.84097222222222223</v>
      </c>
      <c r="E45" s="41" t="str">
        <f>Effort!J43</f>
        <v>CLOSED</v>
      </c>
      <c r="F45" s="42" t="str">
        <f>Harvest!J43</f>
        <v>CLOSED</v>
      </c>
      <c r="G45" s="43" t="str">
        <f>CPUE!J43</f>
        <v>CLOSED</v>
      </c>
      <c r="H45" s="43"/>
      <c r="I45" s="41">
        <f>Effort!L43</f>
        <v>477.100691562441</v>
      </c>
      <c r="J45" s="42">
        <f>Harvest!L43</f>
        <v>6242.0673812752602</v>
      </c>
      <c r="K45" s="43">
        <f>CPUE!L43</f>
        <v>13.083333333333313</v>
      </c>
      <c r="L45" s="43"/>
      <c r="M45" s="41" t="s">
        <v>10</v>
      </c>
      <c r="N45" s="42" t="s">
        <v>10</v>
      </c>
      <c r="O45" s="43" t="s">
        <v>10</v>
      </c>
      <c r="P45" s="43"/>
      <c r="Q45" s="41">
        <f t="shared" si="10"/>
        <v>477.100691562441</v>
      </c>
      <c r="R45" s="42">
        <f t="shared" si="11"/>
        <v>6242.0673812752602</v>
      </c>
    </row>
    <row r="46" spans="1:21" x14ac:dyDescent="0.25">
      <c r="A46" s="129" t="s">
        <v>50</v>
      </c>
      <c r="B46" s="129"/>
      <c r="C46" s="129"/>
      <c r="D46" s="130"/>
      <c r="E46" s="47">
        <f>SUM(E42:E45)</f>
        <v>2804.0339417650562</v>
      </c>
      <c r="F46" s="48">
        <f>SUM(F42:F45)</f>
        <v>21727.12424530528</v>
      </c>
      <c r="G46" s="49">
        <f>+F46/E46</f>
        <v>7.7485239824267964</v>
      </c>
      <c r="H46" s="49"/>
      <c r="I46" s="47">
        <f>SUM(I42:I45)</f>
        <v>1263.4343998489051</v>
      </c>
      <c r="J46" s="48">
        <f>SUM(J42:J45)</f>
        <v>14970.371543255009</v>
      </c>
      <c r="K46" s="49">
        <f>+J46/I46</f>
        <v>11.848950404583986</v>
      </c>
      <c r="L46" s="49"/>
      <c r="M46" s="47"/>
      <c r="N46" s="48"/>
      <c r="O46" s="83"/>
      <c r="P46" s="49"/>
      <c r="Q46" s="47">
        <f>SUM(Q42:Q45)</f>
        <v>4067.4683416139615</v>
      </c>
      <c r="R46" s="48">
        <f>SUM(R42:R45)</f>
        <v>36697.495788560293</v>
      </c>
      <c r="T46" s="20">
        <f>SUM(E46,I46)</f>
        <v>4067.4683416139615</v>
      </c>
      <c r="U46" s="20">
        <f>SUM(F46,J46)</f>
        <v>36697.495788560293</v>
      </c>
    </row>
    <row r="47" spans="1:21" x14ac:dyDescent="0.25">
      <c r="A47" s="39">
        <v>45300</v>
      </c>
      <c r="B47" s="40" t="s">
        <v>66</v>
      </c>
      <c r="C47" s="8">
        <v>-0.7</v>
      </c>
      <c r="D47" s="13">
        <v>0.70972222222222225</v>
      </c>
      <c r="E47" s="41">
        <f>Effort!J45</f>
        <v>64.1666666666667</v>
      </c>
      <c r="F47" s="42">
        <f>Harvest!J45</f>
        <v>247.5</v>
      </c>
      <c r="G47" s="43">
        <f>CPUE!J45</f>
        <v>3.857142857142855</v>
      </c>
      <c r="H47" s="43"/>
      <c r="I47" s="41" t="str">
        <f>Effort!L45</f>
        <v>CLOSED</v>
      </c>
      <c r="J47" s="42" t="str">
        <f>Harvest!L45</f>
        <v>CLOSED</v>
      </c>
      <c r="K47" s="43" t="str">
        <f>CPUE!L45</f>
        <v>CLOSED</v>
      </c>
      <c r="L47" s="43"/>
      <c r="M47" s="41" t="s">
        <v>10</v>
      </c>
      <c r="N47" s="42" t="s">
        <v>10</v>
      </c>
      <c r="O47" s="102" t="s">
        <v>10</v>
      </c>
      <c r="P47" s="43"/>
      <c r="Q47" s="41">
        <f>SUM(E47,I47)</f>
        <v>64.1666666666667</v>
      </c>
      <c r="R47" s="42">
        <f t="shared" ref="R47:R53" si="12">SUM(F47,J47)</f>
        <v>247.5</v>
      </c>
      <c r="T47" s="20"/>
      <c r="U47" s="20"/>
    </row>
    <row r="48" spans="1:21" x14ac:dyDescent="0.25">
      <c r="A48" s="39">
        <v>45301</v>
      </c>
      <c r="B48" s="40" t="s">
        <v>67</v>
      </c>
      <c r="C48" s="8">
        <v>-1.2</v>
      </c>
      <c r="D48" s="13">
        <v>0.7402777777777777</v>
      </c>
      <c r="E48" s="41" t="str">
        <f>Effort!J46</f>
        <v>CLOSED</v>
      </c>
      <c r="F48" s="42" t="str">
        <f>Harvest!J46</f>
        <v>CLOSED</v>
      </c>
      <c r="G48" s="43" t="str">
        <f>CPUE!J46</f>
        <v>CLOSED</v>
      </c>
      <c r="H48" s="43"/>
      <c r="I48" s="41">
        <f>Effort!L46</f>
        <v>279.324511301759</v>
      </c>
      <c r="J48" s="42">
        <f>Harvest!L46</f>
        <v>3020.1962784502698</v>
      </c>
      <c r="K48" s="43">
        <f>CPUE!L46</f>
        <v>10.812500000000002</v>
      </c>
      <c r="L48" s="43"/>
      <c r="M48" s="41" t="s">
        <v>10</v>
      </c>
      <c r="N48" s="42" t="s">
        <v>10</v>
      </c>
      <c r="O48" s="43" t="s">
        <v>10</v>
      </c>
      <c r="P48" s="43"/>
      <c r="Q48" s="41">
        <f t="shared" ref="Q48:Q53" si="13">SUM(E48,I48)</f>
        <v>279.324511301759</v>
      </c>
      <c r="R48" s="42">
        <f t="shared" si="12"/>
        <v>3020.1962784502698</v>
      </c>
      <c r="T48" s="20"/>
      <c r="U48" s="20"/>
    </row>
    <row r="49" spans="1:21" x14ac:dyDescent="0.25">
      <c r="A49" s="39">
        <v>45302</v>
      </c>
      <c r="B49" s="40" t="s">
        <v>22</v>
      </c>
      <c r="C49" s="8">
        <v>-1.5</v>
      </c>
      <c r="D49" s="13">
        <v>0.76944444444444438</v>
      </c>
      <c r="E49" s="41" t="str">
        <f>Effort!J47</f>
        <v>CLOSED</v>
      </c>
      <c r="F49" s="42" t="str">
        <f>Harvest!J47</f>
        <v>CLOSED</v>
      </c>
      <c r="G49" s="43" t="str">
        <f>CPUE!J47</f>
        <v>CLOSED</v>
      </c>
      <c r="H49" s="43"/>
      <c r="I49" s="41">
        <f>Effort!L47</f>
        <v>100.41077203658</v>
      </c>
      <c r="J49" s="42">
        <f>Harvest!L47</f>
        <v>273.847560099764</v>
      </c>
      <c r="K49" s="43">
        <f>CPUE!L47</f>
        <v>2.7272727272727311</v>
      </c>
      <c r="L49" s="43"/>
      <c r="M49" s="41" t="s">
        <v>10</v>
      </c>
      <c r="N49" s="42" t="s">
        <v>10</v>
      </c>
      <c r="O49" s="43" t="s">
        <v>10</v>
      </c>
      <c r="P49" s="44"/>
      <c r="Q49" s="41">
        <f t="shared" si="13"/>
        <v>100.41077203658</v>
      </c>
      <c r="R49" s="42">
        <f t="shared" si="12"/>
        <v>273.847560099764</v>
      </c>
      <c r="T49" s="20"/>
      <c r="U49" s="20"/>
    </row>
    <row r="50" spans="1:21" x14ac:dyDescent="0.25">
      <c r="A50" s="39">
        <v>45303</v>
      </c>
      <c r="B50" s="40" t="s">
        <v>18</v>
      </c>
      <c r="C50" s="8">
        <v>-1.6</v>
      </c>
      <c r="D50" s="13">
        <v>0.7993055555555556</v>
      </c>
      <c r="E50" s="41">
        <f>Effort!J48</f>
        <v>371.32350923203597</v>
      </c>
      <c r="F50" s="42">
        <f>Harvest!J48</f>
        <v>3438.1806410373702</v>
      </c>
      <c r="G50" s="43">
        <f>CPUE!J48</f>
        <v>9.2592592592592595</v>
      </c>
      <c r="H50" s="43"/>
      <c r="I50" s="41" t="str">
        <f>Effort!L48</f>
        <v>CLOSED</v>
      </c>
      <c r="J50" s="42" t="str">
        <f>Harvest!L48</f>
        <v>CLOSED</v>
      </c>
      <c r="K50" s="43" t="str">
        <f>CPUE!L48</f>
        <v>CLOSED</v>
      </c>
      <c r="L50" s="43"/>
      <c r="M50" s="41" t="s">
        <v>10</v>
      </c>
      <c r="N50" s="42" t="s">
        <v>10</v>
      </c>
      <c r="O50" s="43" t="s">
        <v>10</v>
      </c>
      <c r="P50" s="44"/>
      <c r="Q50" s="41">
        <f t="shared" si="13"/>
        <v>371.32350923203597</v>
      </c>
      <c r="R50" s="42">
        <f t="shared" si="12"/>
        <v>3438.1806410373702</v>
      </c>
      <c r="T50" s="20"/>
      <c r="U50" s="20"/>
    </row>
    <row r="51" spans="1:21" x14ac:dyDescent="0.25">
      <c r="A51" s="39">
        <v>45304</v>
      </c>
      <c r="B51" s="40" t="s">
        <v>19</v>
      </c>
      <c r="C51" s="8">
        <v>-1.3</v>
      </c>
      <c r="D51" s="13">
        <v>0.82847222222222217</v>
      </c>
      <c r="E51" s="41">
        <f>Effort!J49</f>
        <v>407.63097182659402</v>
      </c>
      <c r="F51" s="42">
        <f>Harvest!J49</f>
        <v>3489.3211188356499</v>
      </c>
      <c r="G51" s="43">
        <f>CPUE!J49</f>
        <v>8.5600000000000129</v>
      </c>
      <c r="H51" s="43"/>
      <c r="I51" s="41" t="str">
        <f>Effort!L49</f>
        <v>CLOSED</v>
      </c>
      <c r="J51" s="42" t="str">
        <f>Harvest!L49</f>
        <v>CLOSED</v>
      </c>
      <c r="K51" s="43" t="str">
        <f>CPUE!L49</f>
        <v>CLOSED</v>
      </c>
      <c r="L51" s="43"/>
      <c r="M51" s="41" t="s">
        <v>10</v>
      </c>
      <c r="N51" s="42" t="s">
        <v>10</v>
      </c>
      <c r="O51" s="43" t="s">
        <v>10</v>
      </c>
      <c r="P51" s="44"/>
      <c r="Q51" s="41">
        <f t="shared" si="13"/>
        <v>407.63097182659402</v>
      </c>
      <c r="R51" s="42">
        <f t="shared" si="12"/>
        <v>3489.3211188356499</v>
      </c>
      <c r="T51" s="20"/>
      <c r="U51" s="20"/>
    </row>
    <row r="52" spans="1:21" x14ac:dyDescent="0.25">
      <c r="A52" s="39">
        <v>45305</v>
      </c>
      <c r="B52" s="40" t="s">
        <v>20</v>
      </c>
      <c r="C52" s="8">
        <v>-0.8</v>
      </c>
      <c r="D52" s="13">
        <v>0.85833333333333339</v>
      </c>
      <c r="E52" s="41" t="str">
        <f>Effort!J50</f>
        <v>CLOSED</v>
      </c>
      <c r="F52" s="42" t="str">
        <f>Harvest!J50</f>
        <v>CLOSED</v>
      </c>
      <c r="G52" s="43" t="str">
        <f>CPUE!J50</f>
        <v>CLOSED</v>
      </c>
      <c r="H52" s="43"/>
      <c r="I52" s="41">
        <f>Effort!L50</f>
        <v>140.97902615010099</v>
      </c>
      <c r="J52" s="42">
        <f>Harvest!L50</f>
        <v>1309.0909571080799</v>
      </c>
      <c r="K52" s="43">
        <f>CPUE!L50</f>
        <v>9.2857142857142811</v>
      </c>
      <c r="L52" s="43"/>
      <c r="M52" s="41" t="s">
        <v>10</v>
      </c>
      <c r="N52" s="42" t="s">
        <v>10</v>
      </c>
      <c r="O52" s="43" t="s">
        <v>10</v>
      </c>
      <c r="P52" s="44"/>
      <c r="Q52" s="41">
        <f t="shared" si="13"/>
        <v>140.97902615010099</v>
      </c>
      <c r="R52" s="42">
        <f t="shared" si="12"/>
        <v>1309.0909571080799</v>
      </c>
      <c r="T52" s="20"/>
      <c r="U52" s="20"/>
    </row>
    <row r="53" spans="1:21" x14ac:dyDescent="0.25">
      <c r="A53" s="39">
        <v>45306</v>
      </c>
      <c r="B53" s="40" t="s">
        <v>21</v>
      </c>
      <c r="C53" s="8">
        <v>0</v>
      </c>
      <c r="D53" s="13">
        <v>0.8881944444444444</v>
      </c>
      <c r="E53" s="41" t="str">
        <f>Effort!J51</f>
        <v>CLOSED</v>
      </c>
      <c r="F53" s="42" t="str">
        <f>Harvest!J51</f>
        <v>CLOSED</v>
      </c>
      <c r="G53" s="43" t="str">
        <f>CPUE!J51</f>
        <v>CLOSED</v>
      </c>
      <c r="H53" s="43"/>
      <c r="I53" s="41">
        <f>Effort!L51</f>
        <v>16</v>
      </c>
      <c r="J53" s="42">
        <f>Harvest!L51</f>
        <v>60</v>
      </c>
      <c r="K53" s="43">
        <f>CPUE!L51</f>
        <v>3.75</v>
      </c>
      <c r="L53" s="43"/>
      <c r="M53" s="41" t="s">
        <v>10</v>
      </c>
      <c r="N53" s="42" t="s">
        <v>10</v>
      </c>
      <c r="O53" s="43" t="s">
        <v>10</v>
      </c>
      <c r="P53" s="43"/>
      <c r="Q53" s="41">
        <f t="shared" si="13"/>
        <v>16</v>
      </c>
      <c r="R53" s="42">
        <f t="shared" si="12"/>
        <v>60</v>
      </c>
      <c r="T53" s="20"/>
      <c r="U53" s="20"/>
    </row>
    <row r="54" spans="1:21" x14ac:dyDescent="0.25">
      <c r="A54" s="129"/>
      <c r="B54" s="129"/>
      <c r="C54" s="129"/>
      <c r="D54" s="130"/>
      <c r="E54" s="47">
        <f>SUM(E47:E53)</f>
        <v>843.12114772529662</v>
      </c>
      <c r="F54" s="116">
        <f>SUM(F47:F53)</f>
        <v>7175.0017598730201</v>
      </c>
      <c r="G54" s="49">
        <f>+F54/E54</f>
        <v>8.5100483830003029</v>
      </c>
      <c r="H54" s="49"/>
      <c r="I54" s="47">
        <f>SUM(I47:I53)</f>
        <v>536.71430948843999</v>
      </c>
      <c r="J54" s="116">
        <f>SUM(J47:J53)</f>
        <v>4663.1347956581139</v>
      </c>
      <c r="K54" s="49">
        <f>+J54/I54</f>
        <v>8.6882997401405238</v>
      </c>
      <c r="L54" s="49"/>
      <c r="M54" s="47"/>
      <c r="N54" s="48"/>
      <c r="O54" s="83"/>
      <c r="P54" s="49"/>
      <c r="Q54" s="47">
        <f>SUM(Q47:Q53)</f>
        <v>1379.8354572137366</v>
      </c>
      <c r="R54" s="116">
        <f>SUM(R47:R53)</f>
        <v>11838.136555531133</v>
      </c>
      <c r="T54" s="20">
        <f>SUM(E54,I54)</f>
        <v>1379.8354572137366</v>
      </c>
      <c r="U54" s="20">
        <f>SUM(F54,J54)</f>
        <v>11838.136555531135</v>
      </c>
    </row>
    <row r="55" spans="1:21" x14ac:dyDescent="0.25">
      <c r="A55" s="109">
        <v>45313</v>
      </c>
      <c r="B55" s="110" t="s">
        <v>21</v>
      </c>
      <c r="C55" s="111">
        <v>-0.1</v>
      </c>
      <c r="D55" s="112">
        <v>0.68611111111111101</v>
      </c>
      <c r="E55" s="41" t="str">
        <f>Effort!J53</f>
        <v>CLOSED</v>
      </c>
      <c r="F55" s="42" t="str">
        <f>Harvest!J53</f>
        <v>CLOSED</v>
      </c>
      <c r="G55" s="43" t="str">
        <f>CPUE!J53</f>
        <v>CLOSED</v>
      </c>
      <c r="H55" s="43"/>
      <c r="I55" s="41">
        <f>Effort!L53</f>
        <v>512.60206249785404</v>
      </c>
      <c r="J55" s="42">
        <f>Harvest!L53</f>
        <v>7689.03093746781</v>
      </c>
      <c r="K55" s="43">
        <f>CPUE!L53</f>
        <v>14.999999999999998</v>
      </c>
      <c r="L55" s="43"/>
      <c r="M55" s="41" t="s">
        <v>10</v>
      </c>
      <c r="N55" s="42" t="s">
        <v>10</v>
      </c>
      <c r="O55" s="102" t="s">
        <v>10</v>
      </c>
      <c r="P55" s="43"/>
      <c r="Q55" s="41">
        <f>SUM(E55,I55)</f>
        <v>512.60206249785404</v>
      </c>
      <c r="R55" s="42">
        <f t="shared" ref="R55:R61" si="14">SUM(F55,J55)</f>
        <v>7689.03093746781</v>
      </c>
      <c r="T55" s="20"/>
      <c r="U55" s="20"/>
    </row>
    <row r="56" spans="1:21" x14ac:dyDescent="0.25">
      <c r="A56" s="109">
        <v>45314</v>
      </c>
      <c r="B56" s="110" t="s">
        <v>66</v>
      </c>
      <c r="C56" s="111">
        <v>-0.3</v>
      </c>
      <c r="D56" s="112">
        <v>0.71736111111111101</v>
      </c>
      <c r="E56" s="41" t="str">
        <f>Effort!J54</f>
        <v>CLOSED</v>
      </c>
      <c r="F56" s="42" t="str">
        <f>Harvest!J54</f>
        <v>CLOSED</v>
      </c>
      <c r="G56" s="43" t="str">
        <f>CPUE!J54</f>
        <v>CLOSED</v>
      </c>
      <c r="H56" s="43"/>
      <c r="I56" s="41">
        <f>Effort!L54</f>
        <v>611.35328984581804</v>
      </c>
      <c r="J56" s="42">
        <f>Harvest!L54</f>
        <v>8540.9650787283408</v>
      </c>
      <c r="K56" s="43">
        <f>CPUE!L54</f>
        <v>13.970588235294118</v>
      </c>
      <c r="L56" s="43"/>
      <c r="M56" s="41" t="s">
        <v>10</v>
      </c>
      <c r="N56" s="42" t="s">
        <v>10</v>
      </c>
      <c r="O56" s="43" t="s">
        <v>10</v>
      </c>
      <c r="P56" s="43"/>
      <c r="Q56" s="41">
        <f t="shared" ref="Q56:Q61" si="15">SUM(E56,I56)</f>
        <v>611.35328984581804</v>
      </c>
      <c r="R56" s="42">
        <f t="shared" si="14"/>
        <v>8540.9650787283408</v>
      </c>
      <c r="T56" s="20"/>
      <c r="U56" s="20"/>
    </row>
    <row r="57" spans="1:21" x14ac:dyDescent="0.25">
      <c r="A57" s="109">
        <v>45315</v>
      </c>
      <c r="B57" s="110" t="s">
        <v>67</v>
      </c>
      <c r="C57" s="111">
        <v>-0.4</v>
      </c>
      <c r="D57" s="112">
        <v>0.74513888888888891</v>
      </c>
      <c r="E57" s="41">
        <f>Effort!J55</f>
        <v>622.76105913292895</v>
      </c>
      <c r="F57" s="42">
        <f>Harvest!J55</f>
        <v>5009.1650408518199</v>
      </c>
      <c r="G57" s="43">
        <f>CPUE!J55</f>
        <v>8.0434782608695645</v>
      </c>
      <c r="H57" s="43"/>
      <c r="I57" s="41" t="str">
        <f>Effort!L55</f>
        <v>CLOSED</v>
      </c>
      <c r="J57" s="42" t="str">
        <f>Harvest!L55</f>
        <v>CLOSED</v>
      </c>
      <c r="K57" s="43" t="str">
        <f>CPUE!L55</f>
        <v>CLOSED</v>
      </c>
      <c r="L57" s="43"/>
      <c r="M57" s="41" t="s">
        <v>10</v>
      </c>
      <c r="N57" s="42" t="s">
        <v>10</v>
      </c>
      <c r="O57" s="43" t="s">
        <v>10</v>
      </c>
      <c r="P57" s="44"/>
      <c r="Q57" s="41">
        <f t="shared" si="15"/>
        <v>622.76105913292895</v>
      </c>
      <c r="R57" s="42">
        <f t="shared" si="14"/>
        <v>5009.1650408518199</v>
      </c>
      <c r="T57" s="20"/>
      <c r="U57" s="20"/>
    </row>
    <row r="58" spans="1:21" x14ac:dyDescent="0.25">
      <c r="A58" s="109">
        <v>45316</v>
      </c>
      <c r="B58" s="110" t="s">
        <v>22</v>
      </c>
      <c r="C58" s="111">
        <v>-0.4</v>
      </c>
      <c r="D58" s="112">
        <v>0.76944444444444438</v>
      </c>
      <c r="E58" s="41">
        <f>Effort!J56</f>
        <v>249.930901887006</v>
      </c>
      <c r="F58" s="42">
        <f>Harvest!J56</f>
        <v>1059.2309651401699</v>
      </c>
      <c r="G58" s="43">
        <f>CPUE!J56</f>
        <v>4.2380952380952444</v>
      </c>
      <c r="H58" s="43"/>
      <c r="I58" s="41" t="str">
        <f>Effort!L56</f>
        <v>CLOSED</v>
      </c>
      <c r="J58" s="42" t="str">
        <f>Harvest!L56</f>
        <v>CLOSED</v>
      </c>
      <c r="K58" s="43" t="str">
        <f>CPUE!L56</f>
        <v>CLOSED</v>
      </c>
      <c r="L58" s="43"/>
      <c r="M58" s="41" t="s">
        <v>10</v>
      </c>
      <c r="N58" s="42" t="s">
        <v>10</v>
      </c>
      <c r="O58" s="43" t="s">
        <v>10</v>
      </c>
      <c r="P58" s="44"/>
      <c r="Q58" s="41">
        <f t="shared" si="15"/>
        <v>249.930901887006</v>
      </c>
      <c r="R58" s="42">
        <f t="shared" si="14"/>
        <v>1059.2309651401699</v>
      </c>
      <c r="T58" s="20"/>
      <c r="U58" s="20"/>
    </row>
    <row r="59" spans="1:21" x14ac:dyDescent="0.25">
      <c r="A59" s="109">
        <v>45317</v>
      </c>
      <c r="B59" s="110" t="s">
        <v>18</v>
      </c>
      <c r="C59" s="111">
        <v>-0.2</v>
      </c>
      <c r="D59" s="112">
        <v>0.79236111111111107</v>
      </c>
      <c r="E59" s="41" t="str">
        <f>Effort!J57</f>
        <v>CLOSED</v>
      </c>
      <c r="F59" s="42" t="str">
        <f>Harvest!J57</f>
        <v>CLOSED</v>
      </c>
      <c r="G59" s="43" t="str">
        <f>CPUE!J57</f>
        <v>CLOSED</v>
      </c>
      <c r="H59" s="43"/>
      <c r="I59" s="41">
        <f>Effort!L57</f>
        <v>235.113340182945</v>
      </c>
      <c r="J59" s="42">
        <f>Harvest!L57</f>
        <v>677.67962758613396</v>
      </c>
      <c r="K59" s="43">
        <f>CPUE!L57</f>
        <v>2.8823529411764639</v>
      </c>
      <c r="L59" s="43"/>
      <c r="M59" s="41" t="s">
        <v>10</v>
      </c>
      <c r="N59" s="42" t="s">
        <v>10</v>
      </c>
      <c r="O59" s="43" t="s">
        <v>10</v>
      </c>
      <c r="P59" s="44"/>
      <c r="Q59" s="41">
        <f t="shared" si="15"/>
        <v>235.113340182945</v>
      </c>
      <c r="R59" s="42">
        <f t="shared" si="14"/>
        <v>677.67962758613396</v>
      </c>
      <c r="T59" s="20"/>
      <c r="U59" s="20"/>
    </row>
    <row r="60" spans="1:21" x14ac:dyDescent="0.25">
      <c r="A60" s="109">
        <v>45318</v>
      </c>
      <c r="B60" s="110" t="s">
        <v>19</v>
      </c>
      <c r="C60" s="111">
        <v>0</v>
      </c>
      <c r="D60" s="112">
        <v>0.81388888888888899</v>
      </c>
      <c r="E60" s="41" t="str">
        <f>Effort!J58</f>
        <v>CLOSED</v>
      </c>
      <c r="F60" s="42" t="str">
        <f>Harvest!J58</f>
        <v>CLOSED</v>
      </c>
      <c r="G60" s="43" t="str">
        <f>CPUE!J58</f>
        <v>CLOSED</v>
      </c>
      <c r="H60" s="43"/>
      <c r="I60" s="41">
        <f>Effort!L58</f>
        <v>402.96294695065399</v>
      </c>
      <c r="J60" s="42">
        <f>Harvest!L58</f>
        <v>75.555552553247594</v>
      </c>
      <c r="K60" s="43">
        <f>CPUE!L58</f>
        <v>0.18749999999999992</v>
      </c>
      <c r="L60" s="43"/>
      <c r="M60" s="41" t="s">
        <v>10</v>
      </c>
      <c r="N60" s="42" t="s">
        <v>10</v>
      </c>
      <c r="O60" s="43" t="s">
        <v>10</v>
      </c>
      <c r="P60" s="44"/>
      <c r="Q60" s="41">
        <f t="shared" si="15"/>
        <v>402.96294695065399</v>
      </c>
      <c r="R60" s="42">
        <f t="shared" si="14"/>
        <v>75.555552553247594</v>
      </c>
      <c r="T60" s="20"/>
      <c r="U60" s="20"/>
    </row>
    <row r="61" spans="1:21" x14ac:dyDescent="0.25">
      <c r="A61" s="109">
        <v>45319</v>
      </c>
      <c r="B61" s="110" t="s">
        <v>20</v>
      </c>
      <c r="C61" s="111">
        <v>0.4</v>
      </c>
      <c r="D61" s="112">
        <v>0.83472222222222225</v>
      </c>
      <c r="E61" s="41">
        <f>Effort!J59</f>
        <v>215.41665810677799</v>
      </c>
      <c r="F61" s="42">
        <f>Harvest!J59</f>
        <v>234.99999066193899</v>
      </c>
      <c r="G61" s="43">
        <f>CPUE!J59</f>
        <v>1.0909090909090879</v>
      </c>
      <c r="H61" s="43"/>
      <c r="I61" s="41" t="str">
        <f>Effort!L59</f>
        <v>CLOSED</v>
      </c>
      <c r="J61" s="42" t="str">
        <f>Harvest!L59</f>
        <v>CLOSED</v>
      </c>
      <c r="K61" s="43" t="str">
        <f>CPUE!L59</f>
        <v>CLOSED</v>
      </c>
      <c r="L61" s="43"/>
      <c r="M61" s="41" t="s">
        <v>10</v>
      </c>
      <c r="N61" s="42" t="s">
        <v>10</v>
      </c>
      <c r="O61" s="43" t="s">
        <v>10</v>
      </c>
      <c r="P61" s="43"/>
      <c r="Q61" s="41">
        <f t="shared" si="15"/>
        <v>215.41665810677799</v>
      </c>
      <c r="R61" s="42">
        <f t="shared" si="14"/>
        <v>234.99999066193899</v>
      </c>
      <c r="T61" s="20"/>
      <c r="U61" s="20"/>
    </row>
    <row r="62" spans="1:21" x14ac:dyDescent="0.25">
      <c r="A62" s="129"/>
      <c r="B62" s="129"/>
      <c r="C62" s="129"/>
      <c r="D62" s="130"/>
      <c r="E62" s="47">
        <f>SUM(E55:E61)</f>
        <v>1088.1086191267129</v>
      </c>
      <c r="F62" s="116">
        <f>SUM(F55:F61)</f>
        <v>6303.3959966539287</v>
      </c>
      <c r="G62" s="49">
        <f>+F62/E62</f>
        <v>5.7929841615562854</v>
      </c>
      <c r="H62" s="49"/>
      <c r="I62" s="47">
        <f>SUM(I55:I61)</f>
        <v>1762.031639477271</v>
      </c>
      <c r="J62" s="116">
        <f>SUM(J55:J61)</f>
        <v>16983.231196335531</v>
      </c>
      <c r="K62" s="49">
        <f>+J62/I62</f>
        <v>9.6384371403080031</v>
      </c>
      <c r="L62" s="49"/>
      <c r="M62" s="47"/>
      <c r="N62" s="48"/>
      <c r="O62" s="83"/>
      <c r="P62" s="49"/>
      <c r="Q62" s="47">
        <f>SUM(Q55:Q61)</f>
        <v>2850.140258603984</v>
      </c>
      <c r="R62" s="116">
        <f>SUM(R55:R61)</f>
        <v>23286.627192989457</v>
      </c>
      <c r="T62" s="20">
        <f>SUM(E62,I62)</f>
        <v>2850.140258603984</v>
      </c>
      <c r="U62" s="20">
        <f>SUM(F62,J62)</f>
        <v>23286.627192989461</v>
      </c>
    </row>
    <row r="63" spans="1:21" x14ac:dyDescent="0.25">
      <c r="A63" s="109">
        <v>45328</v>
      </c>
      <c r="B63" s="110" t="s">
        <v>66</v>
      </c>
      <c r="C63" s="111">
        <v>0</v>
      </c>
      <c r="D63" s="112">
        <v>0.66111111111111109</v>
      </c>
      <c r="E63" s="41" t="str">
        <f>Effort!J61</f>
        <v>CLOSED</v>
      </c>
      <c r="F63" s="42" t="str">
        <f>Harvest!J61</f>
        <v>CLOSED</v>
      </c>
      <c r="G63" s="43" t="str">
        <f>CPUE!J61</f>
        <v>CLOSED</v>
      </c>
      <c r="H63" s="43"/>
      <c r="I63" s="41">
        <f>Effort!L61</f>
        <v>926.71536556030401</v>
      </c>
      <c r="J63" s="42">
        <f>Harvest!L61</f>
        <v>13784.891062709499</v>
      </c>
      <c r="K63" s="43">
        <f>CPUE!L61</f>
        <v>14.874999999999975</v>
      </c>
      <c r="L63" s="43"/>
      <c r="M63" s="41" t="s">
        <v>10</v>
      </c>
      <c r="N63" s="42" t="s">
        <v>10</v>
      </c>
      <c r="O63" s="102" t="s">
        <v>10</v>
      </c>
      <c r="P63" s="43"/>
      <c r="Q63" s="41">
        <f>SUM(E63,I63)</f>
        <v>926.71536556030401</v>
      </c>
      <c r="R63" s="42">
        <f t="shared" ref="R63:R69" si="16">SUM(F63,J63)</f>
        <v>13784.891062709499</v>
      </c>
      <c r="T63" s="20"/>
      <c r="U63" s="20"/>
    </row>
    <row r="64" spans="1:21" x14ac:dyDescent="0.25">
      <c r="A64" s="109">
        <v>45329</v>
      </c>
      <c r="B64" s="110" t="s">
        <v>67</v>
      </c>
      <c r="C64" s="111">
        <v>-0.7</v>
      </c>
      <c r="D64" s="112">
        <v>0.69513888888888886</v>
      </c>
      <c r="E64" s="41">
        <f>Effort!J62</f>
        <v>2219.2506991907098</v>
      </c>
      <c r="F64" s="42">
        <f>Harvest!J62</f>
        <v>31031.895370039601</v>
      </c>
      <c r="G64" s="43">
        <f>CPUE!J62</f>
        <v>13.983050847457633</v>
      </c>
      <c r="H64" s="43"/>
      <c r="I64" s="41" t="str">
        <f>Effort!L62</f>
        <v>CLOSED</v>
      </c>
      <c r="J64" s="42" t="str">
        <f>Harvest!L62</f>
        <v>CLOSED</v>
      </c>
      <c r="K64" s="43" t="str">
        <f>CPUE!L62</f>
        <v>CLOSED</v>
      </c>
      <c r="L64" s="43"/>
      <c r="M64" s="41" t="s">
        <v>10</v>
      </c>
      <c r="N64" s="42" t="s">
        <v>10</v>
      </c>
      <c r="O64" s="43" t="s">
        <v>10</v>
      </c>
      <c r="P64" s="43"/>
      <c r="Q64" s="41">
        <f t="shared" ref="Q64:Q69" si="17">SUM(E64,I64)</f>
        <v>2219.2506991907098</v>
      </c>
      <c r="R64" s="42">
        <f t="shared" si="16"/>
        <v>31031.895370039601</v>
      </c>
      <c r="T64" s="20"/>
      <c r="U64" s="20"/>
    </row>
    <row r="65" spans="1:21" x14ac:dyDescent="0.25">
      <c r="A65" s="109">
        <v>45330</v>
      </c>
      <c r="B65" s="110" t="s">
        <v>22</v>
      </c>
      <c r="C65" s="111">
        <v>-1.2</v>
      </c>
      <c r="D65" s="112">
        <v>0.72638888888888886</v>
      </c>
      <c r="E65" s="41">
        <f>Effort!J63</f>
        <v>3164.4127432887199</v>
      </c>
      <c r="F65" s="42">
        <f>Harvest!J63</f>
        <v>38816.796317674904</v>
      </c>
      <c r="G65" s="43">
        <f>CPUE!J63</f>
        <v>12.266666666666648</v>
      </c>
      <c r="H65" s="43"/>
      <c r="I65" s="41" t="str">
        <f>Effort!L63</f>
        <v>CLOSED</v>
      </c>
      <c r="J65" s="42" t="str">
        <f>Harvest!L63</f>
        <v>CLOSED</v>
      </c>
      <c r="K65" s="43" t="str">
        <f>CPUE!L63</f>
        <v>CLOSED</v>
      </c>
      <c r="L65" s="43"/>
      <c r="M65" s="41" t="s">
        <v>10</v>
      </c>
      <c r="N65" s="42" t="s">
        <v>10</v>
      </c>
      <c r="O65" s="43" t="s">
        <v>10</v>
      </c>
      <c r="P65" s="44"/>
      <c r="Q65" s="41">
        <f t="shared" si="17"/>
        <v>3164.4127432887199</v>
      </c>
      <c r="R65" s="42">
        <f t="shared" si="16"/>
        <v>38816.796317674904</v>
      </c>
      <c r="T65" s="20"/>
      <c r="U65" s="20"/>
    </row>
    <row r="66" spans="1:21" x14ac:dyDescent="0.25">
      <c r="A66" s="109">
        <v>45331</v>
      </c>
      <c r="B66" s="110" t="s">
        <v>18</v>
      </c>
      <c r="C66" s="111">
        <v>-1.4</v>
      </c>
      <c r="D66" s="112">
        <v>0.75624999999999998</v>
      </c>
      <c r="E66" s="41" t="str">
        <f>Effort!J64</f>
        <v>CLOSED</v>
      </c>
      <c r="F66" s="42" t="str">
        <f>Harvest!J64</f>
        <v>CLOSED</v>
      </c>
      <c r="G66" s="43" t="str">
        <f>CPUE!J64</f>
        <v>CLOSED</v>
      </c>
      <c r="H66" s="43"/>
      <c r="I66" s="41">
        <f>Effort!L64</f>
        <v>1605.0688757847299</v>
      </c>
      <c r="J66" s="42">
        <f>Harvest!L64</f>
        <v>23256.4234980724</v>
      </c>
      <c r="K66" s="43">
        <f>CPUE!L64</f>
        <v>14.489361702127683</v>
      </c>
      <c r="L66" s="43"/>
      <c r="M66" s="41" t="s">
        <v>10</v>
      </c>
      <c r="N66" s="42" t="s">
        <v>10</v>
      </c>
      <c r="O66" s="43" t="s">
        <v>10</v>
      </c>
      <c r="P66" s="44"/>
      <c r="Q66" s="41">
        <f t="shared" si="17"/>
        <v>1605.0688757847299</v>
      </c>
      <c r="R66" s="42">
        <f t="shared" si="16"/>
        <v>23256.4234980724</v>
      </c>
      <c r="T66" s="20"/>
      <c r="U66" s="20"/>
    </row>
    <row r="67" spans="1:21" x14ac:dyDescent="0.25">
      <c r="A67" s="109">
        <v>45332</v>
      </c>
      <c r="B67" s="110" t="s">
        <v>19</v>
      </c>
      <c r="C67" s="111">
        <v>-1.4</v>
      </c>
      <c r="D67" s="112">
        <v>0.78402777777777777</v>
      </c>
      <c r="E67" s="41" t="str">
        <f>Effort!J65</f>
        <v>CLOSED</v>
      </c>
      <c r="F67" s="42" t="str">
        <f>Harvest!J65</f>
        <v>CLOSED</v>
      </c>
      <c r="G67" s="43" t="str">
        <f>CPUE!J65</f>
        <v>CLOSED</v>
      </c>
      <c r="H67" s="43"/>
      <c r="I67" s="41">
        <f>Effort!L65</f>
        <v>3661.0169019712198</v>
      </c>
      <c r="J67" s="42">
        <f>Harvest!L65</f>
        <v>40556.459965992901</v>
      </c>
      <c r="K67" s="43">
        <f>CPUE!L65</f>
        <v>11.077922077922087</v>
      </c>
      <c r="L67" s="43"/>
      <c r="M67" s="41" t="s">
        <v>10</v>
      </c>
      <c r="N67" s="42" t="s">
        <v>10</v>
      </c>
      <c r="O67" s="43" t="s">
        <v>10</v>
      </c>
      <c r="P67" s="44"/>
      <c r="Q67" s="41">
        <f t="shared" si="17"/>
        <v>3661.0169019712198</v>
      </c>
      <c r="R67" s="42">
        <f t="shared" si="16"/>
        <v>40556.459965992901</v>
      </c>
      <c r="T67" s="20"/>
      <c r="U67" s="20"/>
    </row>
    <row r="68" spans="1:21" x14ac:dyDescent="0.25">
      <c r="A68" s="109">
        <v>45333</v>
      </c>
      <c r="B68" s="110" t="s">
        <v>20</v>
      </c>
      <c r="C68" s="111">
        <v>-1</v>
      </c>
      <c r="D68" s="112">
        <v>0.81180555555555556</v>
      </c>
      <c r="E68" s="41">
        <f>Effort!J66</f>
        <v>229.62962050496799</v>
      </c>
      <c r="F68" s="42">
        <f>Harvest!J66</f>
        <v>1406.48142559293</v>
      </c>
      <c r="G68" s="43">
        <f>CPUE!J66</f>
        <v>6.1250000000000044</v>
      </c>
      <c r="H68" s="43"/>
      <c r="I68" s="41" t="str">
        <f>Effort!L66</f>
        <v>CLOSED</v>
      </c>
      <c r="J68" s="42" t="str">
        <f>Harvest!L66</f>
        <v>CLOSED</v>
      </c>
      <c r="K68" s="43" t="str">
        <f>CPUE!L66</f>
        <v>CLOSED</v>
      </c>
      <c r="L68" s="43"/>
      <c r="M68" s="41" t="s">
        <v>10</v>
      </c>
      <c r="N68" s="42" t="s">
        <v>10</v>
      </c>
      <c r="O68" s="43" t="s">
        <v>10</v>
      </c>
      <c r="P68" s="44"/>
      <c r="Q68" s="41">
        <f t="shared" si="17"/>
        <v>229.62962050496799</v>
      </c>
      <c r="R68" s="42">
        <f t="shared" si="16"/>
        <v>1406.48142559293</v>
      </c>
      <c r="T68" s="20"/>
      <c r="U68" s="20"/>
    </row>
    <row r="69" spans="1:21" x14ac:dyDescent="0.25">
      <c r="A69" s="109">
        <v>45334</v>
      </c>
      <c r="B69" s="110" t="s">
        <v>21</v>
      </c>
      <c r="C69" s="111">
        <v>-0.3</v>
      </c>
      <c r="D69" s="112">
        <v>0.83888888888888891</v>
      </c>
      <c r="E69" s="41">
        <f>Effort!J67</f>
        <v>321.98758431521401</v>
      </c>
      <c r="F69" s="42">
        <f>Harvest!J67</f>
        <v>3058.8820509945399</v>
      </c>
      <c r="G69" s="43">
        <f>CPUE!J67</f>
        <v>9.5000000000000213</v>
      </c>
      <c r="H69" s="43"/>
      <c r="I69" s="41" t="str">
        <f>Effort!L67</f>
        <v>CLOSED</v>
      </c>
      <c r="J69" s="42" t="str">
        <f>Harvest!L67</f>
        <v>CLOSED</v>
      </c>
      <c r="K69" s="43" t="str">
        <f>CPUE!L67</f>
        <v>CLOSED</v>
      </c>
      <c r="L69" s="43"/>
      <c r="M69" s="41" t="s">
        <v>10</v>
      </c>
      <c r="N69" s="42" t="s">
        <v>10</v>
      </c>
      <c r="O69" s="43" t="s">
        <v>10</v>
      </c>
      <c r="P69" s="43"/>
      <c r="Q69" s="41">
        <f t="shared" si="17"/>
        <v>321.98758431521401</v>
      </c>
      <c r="R69" s="42">
        <f t="shared" si="16"/>
        <v>3058.8820509945399</v>
      </c>
      <c r="T69" s="20"/>
      <c r="U69" s="20"/>
    </row>
    <row r="70" spans="1:21" x14ac:dyDescent="0.25">
      <c r="A70" s="129"/>
      <c r="B70" s="129"/>
      <c r="C70" s="129"/>
      <c r="D70" s="130"/>
      <c r="E70" s="47">
        <f>SUM(E63:E69)</f>
        <v>5935.2806472996117</v>
      </c>
      <c r="F70" s="116">
        <f>SUM(F63:F69)</f>
        <v>74314.055164301972</v>
      </c>
      <c r="G70" s="49">
        <f>+F70/E70</f>
        <v>12.520731466693627</v>
      </c>
      <c r="H70" s="49"/>
      <c r="I70" s="47">
        <f>SUM(I63:I69)</f>
        <v>6192.8011433162537</v>
      </c>
      <c r="J70" s="116">
        <f>SUM(J63:J69)</f>
        <v>77597.774526774796</v>
      </c>
      <c r="K70" s="49">
        <f>+J70/I70</f>
        <v>12.5303191126239</v>
      </c>
      <c r="L70" s="49"/>
      <c r="M70" s="47"/>
      <c r="N70" s="48"/>
      <c r="O70" s="83"/>
      <c r="P70" s="49"/>
      <c r="Q70" s="47">
        <f>SUM(Q63:Q69)</f>
        <v>12128.081790615866</v>
      </c>
      <c r="R70" s="116">
        <f>SUM(R63:R69)</f>
        <v>151911.8296910768</v>
      </c>
      <c r="T70" s="20">
        <f>SUM(E70,I70)</f>
        <v>12128.081790615866</v>
      </c>
      <c r="U70" s="20">
        <f>SUM(F70,J70)</f>
        <v>151911.82969107677</v>
      </c>
    </row>
    <row r="71" spans="1:21" x14ac:dyDescent="0.25">
      <c r="A71" s="109">
        <v>45343</v>
      </c>
      <c r="B71" s="110" t="s">
        <v>67</v>
      </c>
      <c r="C71" s="111">
        <v>0.2</v>
      </c>
      <c r="D71" s="112">
        <v>0.7055555555555556</v>
      </c>
      <c r="E71" s="41" t="str">
        <f>Effort!J69</f>
        <v>CLOSED</v>
      </c>
      <c r="F71" s="42" t="str">
        <f>Harvest!J69</f>
        <v>CLOSED</v>
      </c>
      <c r="G71" s="43" t="str">
        <f>CPUE!J69</f>
        <v>CLOSED</v>
      </c>
      <c r="H71" s="43"/>
      <c r="I71" s="41">
        <f>Effort!L69</f>
        <v>644.67155865064603</v>
      </c>
      <c r="J71" s="42">
        <f>Harvest!L69</f>
        <v>8729.9273567274995</v>
      </c>
      <c r="K71" s="43">
        <f>CPUE!L69</f>
        <v>13.541666666666668</v>
      </c>
      <c r="L71" s="43"/>
      <c r="M71" s="41" t="s">
        <v>10</v>
      </c>
      <c r="N71" s="42" t="s">
        <v>10</v>
      </c>
      <c r="O71" s="43" t="s">
        <v>10</v>
      </c>
      <c r="P71" s="44"/>
      <c r="Q71" s="41">
        <f>SUM(E71,I71)</f>
        <v>644.67155865064603</v>
      </c>
      <c r="R71" s="42">
        <f t="shared" ref="R71:R75" si="18">SUM(F71,J71)</f>
        <v>8729.9273567274995</v>
      </c>
      <c r="T71" s="20"/>
      <c r="U71" s="20"/>
    </row>
    <row r="72" spans="1:21" x14ac:dyDescent="0.25">
      <c r="A72" s="109">
        <v>45344</v>
      </c>
      <c r="B72" s="110" t="s">
        <v>22</v>
      </c>
      <c r="C72" s="111">
        <v>0.1</v>
      </c>
      <c r="D72" s="112">
        <v>0.73125000000000007</v>
      </c>
      <c r="E72" s="41" t="str">
        <f>Effort!J70</f>
        <v>CLOSED</v>
      </c>
      <c r="F72" s="42" t="str">
        <f>Harvest!J70</f>
        <v>CLOSED</v>
      </c>
      <c r="G72" s="43" t="str">
        <f>CPUE!J70</f>
        <v>CLOSED</v>
      </c>
      <c r="H72" s="43"/>
      <c r="I72" s="41">
        <f>Effort!L70</f>
        <v>1197.0803398857099</v>
      </c>
      <c r="J72" s="42">
        <f>Harvest!L70</f>
        <v>17956.2050982857</v>
      </c>
      <c r="K72" s="43">
        <f>CPUE!L70</f>
        <v>15.000000000000043</v>
      </c>
      <c r="L72" s="43"/>
      <c r="M72" s="41" t="s">
        <v>10</v>
      </c>
      <c r="N72" s="42" t="s">
        <v>10</v>
      </c>
      <c r="O72" s="43" t="s">
        <v>10</v>
      </c>
      <c r="P72" s="44"/>
      <c r="Q72" s="41">
        <f t="shared" ref="Q72:Q75" si="19">SUM(E72,I72)</f>
        <v>1197.0803398857099</v>
      </c>
      <c r="R72" s="42">
        <f t="shared" si="18"/>
        <v>17956.2050982857</v>
      </c>
      <c r="T72" s="20"/>
      <c r="U72" s="20"/>
    </row>
    <row r="73" spans="1:21" x14ac:dyDescent="0.25">
      <c r="A73" s="109">
        <v>45345</v>
      </c>
      <c r="B73" s="110" t="s">
        <v>18</v>
      </c>
      <c r="C73" s="111">
        <v>0.1</v>
      </c>
      <c r="D73" s="112">
        <v>0.75347222222222221</v>
      </c>
      <c r="E73" s="41">
        <f>Effort!J71</f>
        <v>2415.9770526002198</v>
      </c>
      <c r="F73" s="42">
        <f>Harvest!J71</f>
        <v>34341.388104817401</v>
      </c>
      <c r="G73" s="43">
        <f>CPUE!J71</f>
        <v>14.21428571428571</v>
      </c>
      <c r="H73" s="43"/>
      <c r="I73" s="41" t="str">
        <f>Effort!L71</f>
        <v>CLOSED</v>
      </c>
      <c r="J73" s="42" t="str">
        <f>Harvest!L71</f>
        <v>CLOSED</v>
      </c>
      <c r="K73" s="43" t="str">
        <f>CPUE!L71</f>
        <v>CLOSED</v>
      </c>
      <c r="L73" s="43"/>
      <c r="M73" s="41" t="s">
        <v>10</v>
      </c>
      <c r="N73" s="42" t="s">
        <v>10</v>
      </c>
      <c r="O73" s="43" t="s">
        <v>10</v>
      </c>
      <c r="P73" s="44"/>
      <c r="Q73" s="41">
        <f t="shared" si="19"/>
        <v>2415.9770526002198</v>
      </c>
      <c r="R73" s="42">
        <f t="shared" si="18"/>
        <v>34341.388104817401</v>
      </c>
      <c r="T73" s="20"/>
      <c r="U73" s="20"/>
    </row>
    <row r="74" spans="1:21" x14ac:dyDescent="0.25">
      <c r="A74" s="109">
        <v>45346</v>
      </c>
      <c r="B74" s="110" t="s">
        <v>19</v>
      </c>
      <c r="C74" s="111">
        <v>0.2</v>
      </c>
      <c r="D74" s="112">
        <v>0.77361111111111114</v>
      </c>
      <c r="E74" s="41">
        <f>Effort!J72</f>
        <v>4231.8871834720003</v>
      </c>
      <c r="F74" s="42">
        <f>Harvest!J72</f>
        <v>42834.955637582498</v>
      </c>
      <c r="G74" s="43">
        <f>CPUE!J72</f>
        <v>10.121951219512209</v>
      </c>
      <c r="H74" s="43"/>
      <c r="I74" s="41" t="str">
        <f>Effort!L72</f>
        <v>CLOSED</v>
      </c>
      <c r="J74" s="42" t="str">
        <f>Harvest!L72</f>
        <v>CLOSED</v>
      </c>
      <c r="K74" s="43" t="str">
        <f>CPUE!L72</f>
        <v>CLOSED</v>
      </c>
      <c r="L74" s="43"/>
      <c r="M74" s="41" t="s">
        <v>10</v>
      </c>
      <c r="N74" s="42" t="s">
        <v>10</v>
      </c>
      <c r="O74" s="43" t="s">
        <v>10</v>
      </c>
      <c r="P74" s="44"/>
      <c r="Q74" s="41">
        <f t="shared" si="19"/>
        <v>4231.8871834720003</v>
      </c>
      <c r="R74" s="42">
        <f t="shared" si="18"/>
        <v>42834.955637582498</v>
      </c>
      <c r="T74" s="20"/>
      <c r="U74" s="20"/>
    </row>
    <row r="75" spans="1:21" x14ac:dyDescent="0.25">
      <c r="A75" s="109">
        <v>45347</v>
      </c>
      <c r="B75" s="110" t="s">
        <v>20</v>
      </c>
      <c r="C75" s="111">
        <v>0.4</v>
      </c>
      <c r="D75" s="112">
        <v>0.79305555555555562</v>
      </c>
      <c r="E75" s="41" t="str">
        <f>Effort!J73</f>
        <v>CLOSED</v>
      </c>
      <c r="F75" s="42" t="str">
        <f>Harvest!J73</f>
        <v>CLOSED</v>
      </c>
      <c r="G75" s="43" t="str">
        <f>CPUE!J73</f>
        <v>CLOSED</v>
      </c>
      <c r="H75" s="43"/>
      <c r="I75" s="41">
        <f>Effort!L73</f>
        <v>151.66666063997499</v>
      </c>
      <c r="J75" s="42">
        <f>Harvest!L73</f>
        <v>588.82350601402095</v>
      </c>
      <c r="K75" s="43">
        <f>CPUE!L73</f>
        <v>3.8823529411764732</v>
      </c>
      <c r="L75" s="43"/>
      <c r="M75" s="41" t="s">
        <v>10</v>
      </c>
      <c r="N75" s="42" t="s">
        <v>10</v>
      </c>
      <c r="O75" s="43" t="s">
        <v>10</v>
      </c>
      <c r="P75" s="43"/>
      <c r="Q75" s="41">
        <f t="shared" si="19"/>
        <v>151.66666063997499</v>
      </c>
      <c r="R75" s="42">
        <f t="shared" si="18"/>
        <v>588.82350601402095</v>
      </c>
      <c r="T75" s="20"/>
      <c r="U75" s="20"/>
    </row>
    <row r="76" spans="1:21" x14ac:dyDescent="0.25">
      <c r="A76" s="129"/>
      <c r="B76" s="129"/>
      <c r="C76" s="129"/>
      <c r="D76" s="130"/>
      <c r="E76" s="47">
        <f>SUM(E71:E75)</f>
        <v>6647.8642360722206</v>
      </c>
      <c r="F76" s="116">
        <f>SUM(F71:F75)</f>
        <v>77176.343742399898</v>
      </c>
      <c r="G76" s="49">
        <f>+F76/E76</f>
        <v>11.609193720237322</v>
      </c>
      <c r="H76" s="49"/>
      <c r="I76" s="47">
        <f>SUM(I71:I75)</f>
        <v>1993.4185591763307</v>
      </c>
      <c r="J76" s="116">
        <f>SUM(J71:J75)</f>
        <v>27274.955961027219</v>
      </c>
      <c r="K76" s="49">
        <f>+J76/I76</f>
        <v>13.682503273320117</v>
      </c>
      <c r="L76" s="49"/>
      <c r="M76" s="47"/>
      <c r="N76" s="48"/>
      <c r="O76" s="83"/>
      <c r="P76" s="49"/>
      <c r="Q76" s="47">
        <f>SUM(Q71:Q75)</f>
        <v>8641.2827952485513</v>
      </c>
      <c r="R76" s="116">
        <f>SUM(R71:R75)</f>
        <v>104451.29970342711</v>
      </c>
      <c r="T76" s="20">
        <f>SUM(E76,I76)</f>
        <v>8641.2827952485513</v>
      </c>
      <c r="U76" s="20">
        <f>SUM(F76,J76)</f>
        <v>104451.29970342712</v>
      </c>
    </row>
    <row r="77" spans="1:21" x14ac:dyDescent="0.25">
      <c r="A77" s="109">
        <v>45358</v>
      </c>
      <c r="B77" s="110" t="s">
        <v>22</v>
      </c>
      <c r="C77" s="111">
        <v>-0.5</v>
      </c>
      <c r="D77" s="112">
        <v>0.67708333333333337</v>
      </c>
      <c r="E77" s="41">
        <f>Effort!J75</f>
        <v>1411.8356225400901</v>
      </c>
      <c r="F77" s="42">
        <f>Harvest!J75</f>
        <v>20797.424747417499</v>
      </c>
      <c r="G77" s="43">
        <f>CPUE!J75</f>
        <v>14.730769230769244</v>
      </c>
      <c r="H77" s="43"/>
      <c r="I77" s="41" t="str">
        <f>Effort!L75</f>
        <v>CLOSED</v>
      </c>
      <c r="J77" s="42" t="str">
        <f>Harvest!L75</f>
        <v>CLOSED</v>
      </c>
      <c r="K77" s="43" t="str">
        <f>CPUE!L75</f>
        <v>CLOSED</v>
      </c>
      <c r="L77" s="43"/>
      <c r="M77" s="41" t="s">
        <v>10</v>
      </c>
      <c r="N77" s="42" t="s">
        <v>10</v>
      </c>
      <c r="O77" s="102" t="s">
        <v>10</v>
      </c>
      <c r="P77" s="43"/>
      <c r="Q77" s="41">
        <f>SUM(E77,I77)</f>
        <v>1411.8356225400901</v>
      </c>
      <c r="R77" s="42">
        <f t="shared" ref="R77:R87" si="20">SUM(F77,J77)</f>
        <v>20797.424747417499</v>
      </c>
      <c r="T77" s="20"/>
      <c r="U77" s="20"/>
    </row>
    <row r="78" spans="1:21" x14ac:dyDescent="0.25">
      <c r="A78" s="109">
        <v>45359</v>
      </c>
      <c r="B78" s="110" t="s">
        <v>18</v>
      </c>
      <c r="C78" s="111">
        <v>-0.8</v>
      </c>
      <c r="D78" s="112">
        <v>0.70833333333333337</v>
      </c>
      <c r="E78" s="41" t="str">
        <f>Effort!J76</f>
        <v>CLOSED</v>
      </c>
      <c r="F78" s="42" t="str">
        <f>Harvest!J76</f>
        <v>CLOSED</v>
      </c>
      <c r="G78" s="43" t="str">
        <f>CPUE!J76</f>
        <v>CLOSED</v>
      </c>
      <c r="H78" s="43"/>
      <c r="I78" s="41">
        <f>Effort!L76</f>
        <v>1741.7443194682501</v>
      </c>
      <c r="J78" s="42">
        <f>Harvest!L76</f>
        <v>24767.221421889099</v>
      </c>
      <c r="K78" s="43">
        <f>CPUE!L76</f>
        <v>14.219780219780171</v>
      </c>
      <c r="L78" s="43"/>
      <c r="M78" s="41" t="s">
        <v>10</v>
      </c>
      <c r="N78" s="42" t="s">
        <v>10</v>
      </c>
      <c r="O78" s="43" t="s">
        <v>10</v>
      </c>
      <c r="P78" s="43"/>
      <c r="Q78" s="41">
        <f t="shared" ref="Q78:Q87" si="21">SUM(E78,I78)</f>
        <v>1741.7443194682501</v>
      </c>
      <c r="R78" s="42">
        <f t="shared" si="20"/>
        <v>24767.221421889099</v>
      </c>
      <c r="T78" s="20"/>
      <c r="U78" s="20"/>
    </row>
    <row r="79" spans="1:21" x14ac:dyDescent="0.25">
      <c r="A79" s="109">
        <v>45360</v>
      </c>
      <c r="B79" s="110" t="s">
        <v>19</v>
      </c>
      <c r="C79" s="111">
        <v>-0.9</v>
      </c>
      <c r="D79" s="112">
        <v>0.73749999999999993</v>
      </c>
      <c r="E79" s="41" t="str">
        <f>Effort!J77</f>
        <v>CLOSED</v>
      </c>
      <c r="F79" s="42" t="str">
        <f>Harvest!J77</f>
        <v>CLOSED</v>
      </c>
      <c r="G79" s="43" t="str">
        <f>CPUE!J77</f>
        <v>CLOSED</v>
      </c>
      <c r="H79" s="43"/>
      <c r="I79" s="41">
        <f>Effort!L77</f>
        <v>1718.92006954929</v>
      </c>
      <c r="J79" s="42">
        <f>Harvest!L77</f>
        <v>18943.931599824398</v>
      </c>
      <c r="K79" s="43">
        <f>CPUE!L77</f>
        <v>11.020833333333293</v>
      </c>
      <c r="L79" s="43"/>
      <c r="M79" s="41" t="s">
        <v>10</v>
      </c>
      <c r="N79" s="42" t="s">
        <v>10</v>
      </c>
      <c r="O79" s="43" t="s">
        <v>10</v>
      </c>
      <c r="P79" s="44"/>
      <c r="Q79" s="41">
        <f t="shared" si="21"/>
        <v>1718.92006954929</v>
      </c>
      <c r="R79" s="42">
        <f t="shared" si="20"/>
        <v>18943.931599824398</v>
      </c>
      <c r="T79" s="20"/>
      <c r="U79" s="20"/>
    </row>
    <row r="80" spans="1:21" x14ac:dyDescent="0.25">
      <c r="A80" s="109">
        <v>45361</v>
      </c>
      <c r="B80" s="110" t="s">
        <v>20</v>
      </c>
      <c r="C80" s="111">
        <v>-0.7</v>
      </c>
      <c r="D80" s="112">
        <v>0.80694444444444446</v>
      </c>
      <c r="E80" s="41">
        <f>Effort!J78</f>
        <v>783.66008813062399</v>
      </c>
      <c r="F80" s="42">
        <f>Harvest!J78</f>
        <v>6055.55522646392</v>
      </c>
      <c r="G80" s="43">
        <f>CPUE!J78</f>
        <v>7.7272727272727364</v>
      </c>
      <c r="H80" s="43"/>
      <c r="I80" s="41" t="str">
        <f>Effort!L78</f>
        <v>CLOSED</v>
      </c>
      <c r="J80" s="42" t="str">
        <f>Harvest!L78</f>
        <v>CLOSED</v>
      </c>
      <c r="K80" s="43" t="str">
        <f>CPUE!L78</f>
        <v>CLOSED</v>
      </c>
      <c r="L80" s="43"/>
      <c r="M80" s="41" t="s">
        <v>10</v>
      </c>
      <c r="N80" s="42" t="s">
        <v>10</v>
      </c>
      <c r="O80" s="43" t="s">
        <v>10</v>
      </c>
      <c r="P80" s="43"/>
      <c r="Q80" s="41">
        <f t="shared" si="21"/>
        <v>783.66008813062399</v>
      </c>
      <c r="R80" s="42">
        <f t="shared" si="20"/>
        <v>6055.55522646392</v>
      </c>
      <c r="T80" s="20"/>
      <c r="U80" s="20"/>
    </row>
    <row r="81" spans="1:21" x14ac:dyDescent="0.25">
      <c r="A81" s="109">
        <v>45362</v>
      </c>
      <c r="B81" s="110" t="s">
        <v>21</v>
      </c>
      <c r="C81" s="111">
        <v>-0.2</v>
      </c>
      <c r="D81" s="112">
        <v>0.83333333333333337</v>
      </c>
      <c r="E81" s="41">
        <f>Effort!J79</f>
        <v>191.482125326404</v>
      </c>
      <c r="F81" s="42">
        <f>Harvest!J79</f>
        <v>727.63207624033703</v>
      </c>
      <c r="G81" s="43">
        <f>CPUE!J79</f>
        <v>3.8000000000000096</v>
      </c>
      <c r="H81" s="43"/>
      <c r="I81" s="41" t="str">
        <f>Effort!L79</f>
        <v>CLOSED</v>
      </c>
      <c r="J81" s="42" t="str">
        <f>Harvest!L79</f>
        <v>CLOSED</v>
      </c>
      <c r="K81" s="43" t="str">
        <f>CPUE!L79</f>
        <v>CLOSED</v>
      </c>
      <c r="L81" s="43"/>
      <c r="M81" s="41" t="s">
        <v>10</v>
      </c>
      <c r="N81" s="42" t="s">
        <v>10</v>
      </c>
      <c r="O81" s="43" t="s">
        <v>10</v>
      </c>
      <c r="P81" s="44"/>
      <c r="Q81" s="41">
        <f t="shared" si="21"/>
        <v>191.482125326404</v>
      </c>
      <c r="R81" s="42">
        <f t="shared" si="20"/>
        <v>727.63207624033703</v>
      </c>
      <c r="T81" s="20"/>
      <c r="U81" s="20"/>
    </row>
    <row r="82" spans="1:21" x14ac:dyDescent="0.25">
      <c r="A82" s="109">
        <v>45363</v>
      </c>
      <c r="B82" s="110" t="s">
        <v>66</v>
      </c>
      <c r="C82" s="111">
        <v>-0.3</v>
      </c>
      <c r="D82" s="112">
        <v>0.35625000000000001</v>
      </c>
      <c r="E82" s="41" t="str">
        <f>Effort!J80</f>
        <v>CLOSED</v>
      </c>
      <c r="F82" s="42" t="str">
        <f>Harvest!J80</f>
        <v>CLOSED</v>
      </c>
      <c r="G82" s="43" t="str">
        <f>CPUE!J80</f>
        <v>CLOSED</v>
      </c>
      <c r="H82" s="43"/>
      <c r="I82" s="41">
        <f>Effort!L80</f>
        <v>310.33223550384702</v>
      </c>
      <c r="J82" s="42">
        <f>Harvest!L80</f>
        <v>2925.9896490362698</v>
      </c>
      <c r="K82" s="43">
        <f>CPUE!L80</f>
        <v>9.4285714285714217</v>
      </c>
      <c r="L82" s="43"/>
      <c r="M82" s="41" t="s">
        <v>10</v>
      </c>
      <c r="N82" s="42" t="s">
        <v>10</v>
      </c>
      <c r="O82" s="43" t="s">
        <v>10</v>
      </c>
      <c r="P82" s="44"/>
      <c r="Q82" s="41">
        <f>SUM(E82,I82)</f>
        <v>310.33223550384702</v>
      </c>
      <c r="R82" s="42">
        <f t="shared" si="20"/>
        <v>2925.9896490362698</v>
      </c>
      <c r="T82" s="20"/>
      <c r="U82" s="20"/>
    </row>
    <row r="83" spans="1:21" x14ac:dyDescent="0.25">
      <c r="A83" s="109">
        <v>45364</v>
      </c>
      <c r="B83" s="110" t="s">
        <v>67</v>
      </c>
      <c r="C83" s="111">
        <v>-0.4</v>
      </c>
      <c r="D83" s="112">
        <v>0.38958333333333334</v>
      </c>
      <c r="E83" s="41" t="str">
        <f>Effort!J81</f>
        <v>CLOSED</v>
      </c>
      <c r="F83" s="42" t="str">
        <f>Harvest!J81</f>
        <v>CLOSED</v>
      </c>
      <c r="G83" s="43" t="str">
        <f>CPUE!J81</f>
        <v>CLOSED</v>
      </c>
      <c r="H83" s="43"/>
      <c r="I83" s="41">
        <f>Effort!L81</f>
        <v>1046.4445909789699</v>
      </c>
      <c r="J83" s="42">
        <f>Harvest!L81</f>
        <v>14614.1399774649</v>
      </c>
      <c r="K83" s="43">
        <f>CPUE!L81</f>
        <v>13.965517241379287</v>
      </c>
      <c r="L83" s="43"/>
      <c r="M83" s="41" t="s">
        <v>10</v>
      </c>
      <c r="N83" s="42" t="s">
        <v>10</v>
      </c>
      <c r="O83" s="43" t="s">
        <v>10</v>
      </c>
      <c r="P83" s="44"/>
      <c r="Q83" s="41">
        <f t="shared" si="21"/>
        <v>1046.4445909789699</v>
      </c>
      <c r="R83" s="42">
        <f t="shared" si="20"/>
        <v>14614.1399774649</v>
      </c>
      <c r="T83" s="20"/>
      <c r="U83" s="20"/>
    </row>
    <row r="84" spans="1:21" x14ac:dyDescent="0.25">
      <c r="A84" s="109">
        <v>45365</v>
      </c>
      <c r="B84" s="110" t="s">
        <v>22</v>
      </c>
      <c r="C84" s="111">
        <v>-0.3</v>
      </c>
      <c r="D84" s="112">
        <v>0.42499999999999999</v>
      </c>
      <c r="E84" s="41" t="str">
        <f>Effort!J82</f>
        <v>CLOSED</v>
      </c>
      <c r="F84" s="42" t="str">
        <f>Harvest!J82</f>
        <v>CLOSED</v>
      </c>
      <c r="G84" s="43" t="str">
        <f>CPUE!J82</f>
        <v>CLOSED</v>
      </c>
      <c r="H84" s="43"/>
      <c r="I84" s="41">
        <f>Effort!L82</f>
        <v>1138.6861769644599</v>
      </c>
      <c r="J84" s="42">
        <f>Harvest!L82</f>
        <v>17080.292654466899</v>
      </c>
      <c r="K84" s="43">
        <f>CPUE!L82</f>
        <v>15</v>
      </c>
      <c r="L84" s="43"/>
      <c r="M84" s="41" t="s">
        <v>10</v>
      </c>
      <c r="N84" s="42" t="s">
        <v>10</v>
      </c>
      <c r="O84" s="43" t="s">
        <v>10</v>
      </c>
      <c r="P84" s="44"/>
      <c r="Q84" s="41">
        <f t="shared" si="21"/>
        <v>1138.6861769644599</v>
      </c>
      <c r="R84" s="42">
        <f t="shared" si="20"/>
        <v>17080.292654466899</v>
      </c>
      <c r="T84" s="20"/>
      <c r="U84" s="20"/>
    </row>
    <row r="85" spans="1:21" x14ac:dyDescent="0.25">
      <c r="A85" s="109">
        <v>45366</v>
      </c>
      <c r="B85" s="110" t="s">
        <v>18</v>
      </c>
      <c r="C85" s="111">
        <v>0.1</v>
      </c>
      <c r="D85" s="112">
        <v>0.46388888888888885</v>
      </c>
      <c r="E85" s="41">
        <f>Effort!J83</f>
        <v>2768.0075147011498</v>
      </c>
      <c r="F85" s="42">
        <f>Harvest!J83</f>
        <v>32927.7560602991</v>
      </c>
      <c r="G85" s="43">
        <f>CPUE!J83</f>
        <v>11.895833333333336</v>
      </c>
      <c r="H85" s="43"/>
      <c r="I85" s="41" t="str">
        <f>Effort!L83</f>
        <v>CLOSED</v>
      </c>
      <c r="J85" s="42" t="str">
        <f>Harvest!L83</f>
        <v>CLOSED</v>
      </c>
      <c r="K85" s="43" t="str">
        <f>CPUE!L83</f>
        <v>CLOSED</v>
      </c>
      <c r="L85" s="43"/>
      <c r="M85" s="41" t="s">
        <v>10</v>
      </c>
      <c r="N85" s="42" t="s">
        <v>10</v>
      </c>
      <c r="O85" s="43" t="s">
        <v>10</v>
      </c>
      <c r="P85" s="44"/>
      <c r="Q85" s="41">
        <f t="shared" si="21"/>
        <v>2768.0075147011498</v>
      </c>
      <c r="R85" s="42">
        <f t="shared" si="20"/>
        <v>32927.7560602991</v>
      </c>
      <c r="T85" s="20"/>
      <c r="U85" s="20"/>
    </row>
    <row r="86" spans="1:21" x14ac:dyDescent="0.25">
      <c r="A86" s="109">
        <v>45367</v>
      </c>
      <c r="B86" s="110" t="s">
        <v>19</v>
      </c>
      <c r="C86" s="111">
        <v>0.5</v>
      </c>
      <c r="D86" s="112">
        <v>0.50694444444444442</v>
      </c>
      <c r="E86" s="41">
        <f>Effort!J84</f>
        <v>7233.5877862595398</v>
      </c>
      <c r="F86" s="42">
        <f>Harvest!J84</f>
        <v>61380.152671755699</v>
      </c>
      <c r="G86" s="43">
        <f>CPUE!J84</f>
        <v>8.4854368932038824</v>
      </c>
      <c r="H86" s="43"/>
      <c r="I86" s="41" t="str">
        <f>Effort!L84</f>
        <v>CLOSED</v>
      </c>
      <c r="J86" s="42" t="str">
        <f>Harvest!L84</f>
        <v>CLOSED</v>
      </c>
      <c r="K86" s="43" t="str">
        <f>CPUE!L84</f>
        <v>CLOSED</v>
      </c>
      <c r="L86" s="43"/>
      <c r="M86" s="41" t="s">
        <v>10</v>
      </c>
      <c r="N86" s="42" t="s">
        <v>10</v>
      </c>
      <c r="O86" s="43" t="s">
        <v>10</v>
      </c>
      <c r="P86" s="44"/>
      <c r="Q86" s="41">
        <f t="shared" si="21"/>
        <v>7233.5877862595398</v>
      </c>
      <c r="R86" s="42">
        <f t="shared" si="20"/>
        <v>61380.152671755699</v>
      </c>
      <c r="T86" s="20"/>
      <c r="U86" s="20"/>
    </row>
    <row r="87" spans="1:21" x14ac:dyDescent="0.25">
      <c r="A87" s="109">
        <v>45368</v>
      </c>
      <c r="B87" s="110" t="s">
        <v>20</v>
      </c>
      <c r="C87" s="111">
        <v>0.9</v>
      </c>
      <c r="D87" s="112">
        <v>0.55763888888888891</v>
      </c>
      <c r="E87" s="41" t="str">
        <f>Effort!J85</f>
        <v>CLOSED</v>
      </c>
      <c r="F87" s="42" t="str">
        <f>Harvest!J85</f>
        <v>CLOSED</v>
      </c>
      <c r="G87" s="43" t="str">
        <f>CPUE!J85</f>
        <v>CLOSED</v>
      </c>
      <c r="H87" s="43"/>
      <c r="I87" s="41">
        <f>Effort!L85</f>
        <v>3650.4899940286</v>
      </c>
      <c r="J87" s="42">
        <f>Harvest!L85</f>
        <v>40025.015291670701</v>
      </c>
      <c r="K87" s="43">
        <f>CPUE!L85</f>
        <v>10.964285714285708</v>
      </c>
      <c r="L87" s="43"/>
      <c r="M87" s="41" t="s">
        <v>10</v>
      </c>
      <c r="N87" s="42" t="s">
        <v>10</v>
      </c>
      <c r="O87" s="43" t="s">
        <v>10</v>
      </c>
      <c r="P87" s="43"/>
      <c r="Q87" s="41">
        <f t="shared" si="21"/>
        <v>3650.4899940286</v>
      </c>
      <c r="R87" s="42">
        <f t="shared" si="20"/>
        <v>40025.015291670701</v>
      </c>
      <c r="T87" s="20"/>
      <c r="U87" s="20"/>
    </row>
    <row r="88" spans="1:21" x14ac:dyDescent="0.25">
      <c r="A88" s="129"/>
      <c r="B88" s="129"/>
      <c r="C88" s="129"/>
      <c r="D88" s="130"/>
      <c r="E88" s="47">
        <f>SUM(E77:E87)</f>
        <v>12388.573136957808</v>
      </c>
      <c r="F88" s="116">
        <f>SUM(F77:F87)</f>
        <v>121888.52078217655</v>
      </c>
      <c r="G88" s="49">
        <f>+F88/E88</f>
        <v>9.8387860679900729</v>
      </c>
      <c r="H88" s="49"/>
      <c r="I88" s="47">
        <f>SUM(I77:I87)</f>
        <v>9606.6173864934171</v>
      </c>
      <c r="J88" s="116">
        <f>SUM(J77:J87)</f>
        <v>118356.59059435228</v>
      </c>
      <c r="K88" s="49">
        <f>+J88/I88</f>
        <v>12.320318987696719</v>
      </c>
      <c r="L88" s="49"/>
      <c r="M88" s="47"/>
      <c r="N88" s="48"/>
      <c r="O88" s="83"/>
      <c r="P88" s="49"/>
      <c r="Q88" s="47">
        <f>SUM(Q77:Q87)</f>
        <v>21995.190523451227</v>
      </c>
      <c r="R88" s="116">
        <f>SUM(R77:R87)</f>
        <v>240245.1113765288</v>
      </c>
      <c r="T88" s="20">
        <f>SUM(E88,I88)</f>
        <v>21995.190523451223</v>
      </c>
      <c r="U88" s="20">
        <f>SUM(F88,J88)</f>
        <v>240245.11137652883</v>
      </c>
    </row>
    <row r="89" spans="1:21" x14ac:dyDescent="0.25">
      <c r="A89" s="39">
        <v>45377</v>
      </c>
      <c r="B89" s="40" t="s">
        <v>66</v>
      </c>
      <c r="C89" s="8">
        <v>0.7</v>
      </c>
      <c r="D89" s="13">
        <v>0.32916666666666666</v>
      </c>
      <c r="E89" s="41">
        <f>Effort!J87</f>
        <v>626.33310716138703</v>
      </c>
      <c r="F89" s="42">
        <f>Harvest!J87</f>
        <v>9247.62411161813</v>
      </c>
      <c r="G89" s="43">
        <f>CPUE!J87</f>
        <v>14.764705882352947</v>
      </c>
      <c r="H89" s="43"/>
      <c r="I89" s="41" t="str">
        <f>Effort!L87</f>
        <v>CLOSED</v>
      </c>
      <c r="J89" s="42" t="str">
        <f>Harvest!L87</f>
        <v>CLOSED</v>
      </c>
      <c r="K89" s="43" t="str">
        <f>CPUE!L87</f>
        <v>CLOSED</v>
      </c>
      <c r="L89" s="43"/>
      <c r="M89" s="41" t="s">
        <v>10</v>
      </c>
      <c r="N89" s="42" t="s">
        <v>10</v>
      </c>
      <c r="O89" s="43" t="s">
        <v>10</v>
      </c>
      <c r="P89" s="43"/>
      <c r="Q89" s="41">
        <f t="shared" ref="Q89:Q94" si="22">SUM(E89,I89)</f>
        <v>626.33310716138703</v>
      </c>
      <c r="R89" s="42">
        <f t="shared" ref="R89:R94" si="23">SUM(F89,J89)</f>
        <v>9247.62411161813</v>
      </c>
      <c r="T89" s="20"/>
      <c r="U89" s="20"/>
    </row>
    <row r="90" spans="1:21" x14ac:dyDescent="0.25">
      <c r="A90" s="39">
        <v>45378</v>
      </c>
      <c r="B90" s="40" t="s">
        <v>67</v>
      </c>
      <c r="C90" s="8">
        <v>0.4</v>
      </c>
      <c r="D90" s="13">
        <v>0.35138888888888892</v>
      </c>
      <c r="E90" s="41" t="str">
        <f>Effort!J88</f>
        <v>CLOSED</v>
      </c>
      <c r="F90" s="42" t="str">
        <f>Harvest!J88</f>
        <v>CLOSED</v>
      </c>
      <c r="G90" s="43" t="str">
        <f>CPUE!J88</f>
        <v>CLOSED</v>
      </c>
      <c r="H90" s="43"/>
      <c r="I90" s="41">
        <f>Effort!L88</f>
        <v>282.97581210308903</v>
      </c>
      <c r="J90" s="42">
        <f>Harvest!L88</f>
        <v>1131.9032484123561</v>
      </c>
      <c r="K90" s="43">
        <f>CPUE!L88</f>
        <v>4</v>
      </c>
      <c r="L90" s="43"/>
      <c r="M90" s="41" t="s">
        <v>10</v>
      </c>
      <c r="N90" s="42" t="s">
        <v>10</v>
      </c>
      <c r="O90" s="43" t="s">
        <v>10</v>
      </c>
      <c r="P90" s="44"/>
      <c r="Q90" s="41">
        <f t="shared" si="22"/>
        <v>282.97581210308903</v>
      </c>
      <c r="R90" s="42">
        <f t="shared" si="23"/>
        <v>1131.9032484123561</v>
      </c>
      <c r="T90" s="20"/>
      <c r="U90" s="20"/>
    </row>
    <row r="91" spans="1:21" x14ac:dyDescent="0.25">
      <c r="A91" s="39">
        <v>45379</v>
      </c>
      <c r="B91" s="40" t="s">
        <v>22</v>
      </c>
      <c r="C91" s="8">
        <v>0.3</v>
      </c>
      <c r="D91" s="13">
        <v>0.3756944444444445</v>
      </c>
      <c r="E91" s="41" t="str">
        <f>Effort!J89</f>
        <v>CLOSED</v>
      </c>
      <c r="F91" s="42" t="str">
        <f>Harvest!J89</f>
        <v>CLOSED</v>
      </c>
      <c r="G91" s="43" t="str">
        <f>CPUE!J89</f>
        <v>CLOSED</v>
      </c>
      <c r="H91" s="43"/>
      <c r="I91" s="41">
        <f>Effort!L89</f>
        <v>311.38471345978002</v>
      </c>
      <c r="J91" s="42">
        <f>Harvest!L89</f>
        <v>2482.6619046117598</v>
      </c>
      <c r="K91" s="43">
        <f>CPUE!L89</f>
        <v>7.9729729729729737</v>
      </c>
      <c r="L91" s="43"/>
      <c r="M91" s="41" t="s">
        <v>10</v>
      </c>
      <c r="N91" s="42" t="s">
        <v>10</v>
      </c>
      <c r="O91" s="43" t="s">
        <v>10</v>
      </c>
      <c r="P91" s="44"/>
      <c r="Q91" s="41">
        <f t="shared" si="22"/>
        <v>311.38471345978002</v>
      </c>
      <c r="R91" s="42">
        <f t="shared" si="23"/>
        <v>2482.6619046117598</v>
      </c>
      <c r="T91" s="20"/>
      <c r="U91" s="20"/>
    </row>
    <row r="92" spans="1:21" x14ac:dyDescent="0.25">
      <c r="A92" s="39">
        <v>45380</v>
      </c>
      <c r="B92" s="40" t="s">
        <v>18</v>
      </c>
      <c r="C92" s="8">
        <v>0.3</v>
      </c>
      <c r="D92" s="13">
        <v>0.40208333333333335</v>
      </c>
      <c r="E92" s="41">
        <f>Effort!J90</f>
        <v>1399.8277614757701</v>
      </c>
      <c r="F92" s="42">
        <f>Harvest!J90</f>
        <v>12998.400642275001</v>
      </c>
      <c r="G92" s="43">
        <f>CPUE!J90</f>
        <v>9.2857142857142811</v>
      </c>
      <c r="H92" s="43"/>
      <c r="I92" s="41" t="str">
        <f>Effort!L90</f>
        <v>CLOSED</v>
      </c>
      <c r="J92" s="42" t="str">
        <f>Harvest!L90</f>
        <v>CLOSED</v>
      </c>
      <c r="K92" s="43" t="str">
        <f>CPUE!L90</f>
        <v>CLOSED</v>
      </c>
      <c r="L92" s="43"/>
      <c r="M92" s="41" t="s">
        <v>10</v>
      </c>
      <c r="N92" s="42" t="s">
        <v>10</v>
      </c>
      <c r="O92" s="43" t="s">
        <v>10</v>
      </c>
      <c r="P92" s="44"/>
      <c r="Q92" s="41">
        <f t="shared" si="22"/>
        <v>1399.8277614757701</v>
      </c>
      <c r="R92" s="42">
        <f t="shared" si="23"/>
        <v>12998.400642275001</v>
      </c>
      <c r="T92" s="20"/>
      <c r="U92" s="20"/>
    </row>
    <row r="93" spans="1:21" x14ac:dyDescent="0.25">
      <c r="A93" s="39">
        <v>45381</v>
      </c>
      <c r="B93" s="40" t="s">
        <v>19</v>
      </c>
      <c r="C93" s="8">
        <v>0.4</v>
      </c>
      <c r="D93" s="13">
        <v>0.43263888888888885</v>
      </c>
      <c r="E93" s="41">
        <f>Effort!J91</f>
        <v>3083.4870508848599</v>
      </c>
      <c r="F93" s="42">
        <f>Harvest!J91</f>
        <v>44315.243385152899</v>
      </c>
      <c r="G93" s="43">
        <f>CPUE!J91</f>
        <v>14.371794871794865</v>
      </c>
      <c r="H93" s="43"/>
      <c r="I93" s="41" t="str">
        <f>Effort!L91</f>
        <v>CLOSED</v>
      </c>
      <c r="J93" s="42" t="str">
        <f>Harvest!L91</f>
        <v>CLOSED</v>
      </c>
      <c r="K93" s="43" t="str">
        <f>CPUE!L91</f>
        <v>CLOSED</v>
      </c>
      <c r="L93" s="43"/>
      <c r="M93" s="41" t="s">
        <v>10</v>
      </c>
      <c r="N93" s="42" t="s">
        <v>10</v>
      </c>
      <c r="O93" s="43" t="s">
        <v>10</v>
      </c>
      <c r="P93" s="44"/>
      <c r="Q93" s="41">
        <f t="shared" si="22"/>
        <v>3083.4870508848599</v>
      </c>
      <c r="R93" s="42">
        <f t="shared" si="23"/>
        <v>44315.243385152899</v>
      </c>
      <c r="T93" s="20"/>
      <c r="U93" s="20"/>
    </row>
    <row r="94" spans="1:21" x14ac:dyDescent="0.25">
      <c r="A94" s="39">
        <v>45382</v>
      </c>
      <c r="B94" s="40" t="s">
        <v>20</v>
      </c>
      <c r="C94" s="8">
        <v>0.6</v>
      </c>
      <c r="D94" s="13">
        <v>0.4694444444444445</v>
      </c>
      <c r="E94" s="41" t="str">
        <f>Effort!J92</f>
        <v>CLOSED</v>
      </c>
      <c r="F94" s="42" t="str">
        <f>Harvest!J92</f>
        <v>CLOSED</v>
      </c>
      <c r="G94" s="43" t="str">
        <f>CPUE!J92</f>
        <v>CLOSED</v>
      </c>
      <c r="H94" s="43"/>
      <c r="I94" s="41">
        <f>Effort!L92</f>
        <v>1686.63405989992</v>
      </c>
      <c r="J94" s="42">
        <f>Harvest!L92</f>
        <v>22653.810412381299</v>
      </c>
      <c r="K94" s="43">
        <f>CPUE!L92</f>
        <v>13.431372549019621</v>
      </c>
      <c r="L94" s="43"/>
      <c r="M94" s="41" t="s">
        <v>10</v>
      </c>
      <c r="N94" s="42" t="s">
        <v>10</v>
      </c>
      <c r="O94" s="43" t="s">
        <v>10</v>
      </c>
      <c r="P94" s="43"/>
      <c r="Q94" s="41">
        <f t="shared" si="22"/>
        <v>1686.63405989992</v>
      </c>
      <c r="R94" s="42">
        <f t="shared" si="23"/>
        <v>22653.810412381299</v>
      </c>
      <c r="T94" s="20"/>
      <c r="U94" s="20"/>
    </row>
    <row r="95" spans="1:21" x14ac:dyDescent="0.25">
      <c r="A95" s="129"/>
      <c r="B95" s="129"/>
      <c r="C95" s="129"/>
      <c r="D95" s="130"/>
      <c r="E95" s="47">
        <f>SUM(E89:E94)</f>
        <v>5109.6479195220172</v>
      </c>
      <c r="F95" s="116">
        <f>SUM(F89:F94)</f>
        <v>66561.268139046035</v>
      </c>
      <c r="G95" s="49">
        <f>+F95/E95</f>
        <v>13.026586016766595</v>
      </c>
      <c r="H95" s="49"/>
      <c r="I95" s="47">
        <f>SUM(I89:I94)</f>
        <v>2280.994585462789</v>
      </c>
      <c r="J95" s="116">
        <f>SUM(J89:J94)</f>
        <v>26268.375565405415</v>
      </c>
      <c r="K95" s="49">
        <f>+J95/I95</f>
        <v>11.516193739704054</v>
      </c>
      <c r="L95" s="49"/>
      <c r="M95" s="47"/>
      <c r="N95" s="48"/>
      <c r="O95" s="83"/>
      <c r="P95" s="49"/>
      <c r="Q95" s="47">
        <f>SUM(Q89:Q94)</f>
        <v>7390.6425049848058</v>
      </c>
      <c r="R95" s="116">
        <f>SUM(R89:R94)</f>
        <v>92829.643704451431</v>
      </c>
      <c r="T95" s="20">
        <f>SUM(E95,I95)</f>
        <v>7390.6425049848058</v>
      </c>
      <c r="U95" s="20">
        <f>SUM(F95,J95)</f>
        <v>92829.643704451446</v>
      </c>
    </row>
    <row r="96" spans="1:21" x14ac:dyDescent="0.25">
      <c r="A96" s="109">
        <v>45390</v>
      </c>
      <c r="B96" s="110" t="s">
        <v>21</v>
      </c>
      <c r="C96" s="111">
        <v>-0.5</v>
      </c>
      <c r="D96" s="112">
        <v>0.28055555555555556</v>
      </c>
      <c r="E96" s="41" t="str">
        <f>Effort!J94</f>
        <v>CLOSED</v>
      </c>
      <c r="F96" s="42" t="str">
        <f>Harvest!J94</f>
        <v>CLOSED</v>
      </c>
      <c r="G96" s="43" t="str">
        <f>CPUE!J94</f>
        <v>CLOSED</v>
      </c>
      <c r="H96" s="43"/>
      <c r="I96" s="41">
        <f>Effort!L94</f>
        <v>494.80943824298902</v>
      </c>
      <c r="J96" s="42">
        <f>Harvest!L94</f>
        <v>2577.1324908489</v>
      </c>
      <c r="K96" s="43">
        <f>CPUE!L94</f>
        <v>5.2083333333333313</v>
      </c>
      <c r="L96" s="43"/>
      <c r="M96" s="41" t="s">
        <v>10</v>
      </c>
      <c r="N96" s="42" t="s">
        <v>10</v>
      </c>
      <c r="O96" s="102" t="s">
        <v>10</v>
      </c>
      <c r="P96" s="43"/>
      <c r="Q96" s="41">
        <f>SUM(E96,I96)</f>
        <v>494.80943824298902</v>
      </c>
      <c r="R96" s="42">
        <f t="shared" ref="R96:R102" si="24">SUM(F96,J96)</f>
        <v>2577.1324908489</v>
      </c>
      <c r="T96" s="20"/>
      <c r="U96" s="20"/>
    </row>
    <row r="97" spans="1:21" x14ac:dyDescent="0.25">
      <c r="A97" s="109">
        <v>45391</v>
      </c>
      <c r="B97" s="110" t="s">
        <v>66</v>
      </c>
      <c r="C97" s="111">
        <v>-1.2</v>
      </c>
      <c r="D97" s="112">
        <v>0.31180555555555556</v>
      </c>
      <c r="E97" s="41" t="str">
        <f>Effort!J95</f>
        <v>CLOSED</v>
      </c>
      <c r="F97" s="42" t="str">
        <f>Harvest!J95</f>
        <v>CLOSED</v>
      </c>
      <c r="G97" s="43" t="str">
        <f>CPUE!J95</f>
        <v>CLOSED</v>
      </c>
      <c r="H97" s="43"/>
      <c r="I97" s="41">
        <f>Effort!L95</f>
        <v>1433.1355645220999</v>
      </c>
      <c r="J97" s="42">
        <f>Harvest!L95</f>
        <v>16164.436018446901</v>
      </c>
      <c r="K97" s="43">
        <f>CPUE!L95</f>
        <v>11.279069767441833</v>
      </c>
      <c r="L97" s="43"/>
      <c r="M97" s="41" t="s">
        <v>10</v>
      </c>
      <c r="N97" s="42" t="s">
        <v>10</v>
      </c>
      <c r="O97" s="43" t="s">
        <v>10</v>
      </c>
      <c r="P97" s="43"/>
      <c r="Q97" s="41">
        <f t="shared" ref="Q97:Q102" si="25">SUM(E97,I97)</f>
        <v>1433.1355645220999</v>
      </c>
      <c r="R97" s="42">
        <f t="shared" si="24"/>
        <v>16164.436018446901</v>
      </c>
      <c r="T97" s="20"/>
      <c r="U97" s="20"/>
    </row>
    <row r="98" spans="1:21" x14ac:dyDescent="0.25">
      <c r="A98" s="109">
        <v>45392</v>
      </c>
      <c r="B98" s="110" t="s">
        <v>67</v>
      </c>
      <c r="C98" s="111">
        <v>-1.5</v>
      </c>
      <c r="D98" s="112">
        <v>0.3430555555555555</v>
      </c>
      <c r="E98" s="41">
        <f>Effort!J96</f>
        <v>3577.8308679708798</v>
      </c>
      <c r="F98" s="42">
        <f>Harvest!J96</f>
        <v>50170.3351035015</v>
      </c>
      <c r="G98" s="43">
        <f>CPUE!J96</f>
        <v>14.022556390977462</v>
      </c>
      <c r="H98" s="43"/>
      <c r="I98" s="41" t="str">
        <f>Effort!L96</f>
        <v>CLOSED</v>
      </c>
      <c r="J98" s="42" t="str">
        <f>Harvest!L96</f>
        <v>CLOSED</v>
      </c>
      <c r="K98" s="43" t="str">
        <f>CPUE!L96</f>
        <v>CLOSED</v>
      </c>
      <c r="L98" s="43"/>
      <c r="M98" s="41" t="s">
        <v>10</v>
      </c>
      <c r="N98" s="42" t="s">
        <v>10</v>
      </c>
      <c r="O98" s="43" t="s">
        <v>10</v>
      </c>
      <c r="P98" s="44"/>
      <c r="Q98" s="41">
        <f t="shared" si="25"/>
        <v>3577.8308679708798</v>
      </c>
      <c r="R98" s="42">
        <f t="shared" si="24"/>
        <v>50170.3351035015</v>
      </c>
      <c r="T98" s="20"/>
      <c r="U98" s="20"/>
    </row>
    <row r="99" spans="1:21" x14ac:dyDescent="0.25">
      <c r="A99" s="109">
        <v>45393</v>
      </c>
      <c r="B99" s="110" t="s">
        <v>22</v>
      </c>
      <c r="C99" s="111">
        <v>-1.4</v>
      </c>
      <c r="D99" s="112">
        <v>0.375</v>
      </c>
      <c r="E99" s="41">
        <f>Effort!J97</f>
        <v>2162.7057030967298</v>
      </c>
      <c r="F99" s="42">
        <f>Harvest!J97</f>
        <v>22673.527532465701</v>
      </c>
      <c r="G99" s="43">
        <f>CPUE!J97</f>
        <v>10.483870967741929</v>
      </c>
      <c r="H99" s="43"/>
      <c r="I99" s="41" t="str">
        <f>Effort!L97</f>
        <v>CLOSED</v>
      </c>
      <c r="J99" s="42" t="str">
        <f>Harvest!L97</f>
        <v>CLOSED</v>
      </c>
      <c r="K99" s="43" t="str">
        <f>CPUE!L97</f>
        <v>CLOSED</v>
      </c>
      <c r="L99" s="43"/>
      <c r="M99" s="41" t="s">
        <v>10</v>
      </c>
      <c r="N99" s="42" t="s">
        <v>10</v>
      </c>
      <c r="O99" s="43" t="s">
        <v>10</v>
      </c>
      <c r="P99" s="44"/>
      <c r="Q99" s="41">
        <f t="shared" si="25"/>
        <v>2162.7057030967298</v>
      </c>
      <c r="R99" s="42">
        <f t="shared" si="24"/>
        <v>22673.527532465701</v>
      </c>
      <c r="T99" s="20"/>
      <c r="U99" s="20"/>
    </row>
    <row r="100" spans="1:21" x14ac:dyDescent="0.25">
      <c r="A100" s="109">
        <v>45394</v>
      </c>
      <c r="B100" s="110" t="s">
        <v>18</v>
      </c>
      <c r="C100" s="111">
        <v>-1.1000000000000001</v>
      </c>
      <c r="D100" s="112">
        <v>0.40833333333333338</v>
      </c>
      <c r="E100" s="41" t="str">
        <f>Effort!J98</f>
        <v>CLOSED</v>
      </c>
      <c r="F100" s="42" t="str">
        <f>Harvest!J98</f>
        <v>CLOSED</v>
      </c>
      <c r="G100" s="43" t="str">
        <f>CPUE!J98</f>
        <v>CLOSED</v>
      </c>
      <c r="H100" s="43"/>
      <c r="I100" s="41">
        <f>Effort!L98</f>
        <v>3154.05700242273</v>
      </c>
      <c r="J100" s="42">
        <f>Harvest!L98</f>
        <v>41822.795852125397</v>
      </c>
      <c r="K100" s="43">
        <f>CPUE!L98</f>
        <v>13.26</v>
      </c>
      <c r="L100" s="43"/>
      <c r="M100" s="41" t="s">
        <v>10</v>
      </c>
      <c r="N100" s="42" t="s">
        <v>10</v>
      </c>
      <c r="O100" s="43" t="s">
        <v>10</v>
      </c>
      <c r="P100" s="44"/>
      <c r="Q100" s="41">
        <f t="shared" si="25"/>
        <v>3154.05700242273</v>
      </c>
      <c r="R100" s="42">
        <f t="shared" si="24"/>
        <v>41822.795852125397</v>
      </c>
      <c r="T100" s="20"/>
      <c r="U100" s="20"/>
    </row>
    <row r="101" spans="1:21" x14ac:dyDescent="0.25">
      <c r="A101" s="109">
        <v>45395</v>
      </c>
      <c r="B101" s="110" t="s">
        <v>19</v>
      </c>
      <c r="C101" s="111">
        <v>-0.5</v>
      </c>
      <c r="D101" s="112">
        <v>0.44444444444444442</v>
      </c>
      <c r="E101" s="41" t="str">
        <f>Effort!J99</f>
        <v>CLOSED</v>
      </c>
      <c r="F101" s="42" t="str">
        <f>Harvest!J99</f>
        <v>CLOSED</v>
      </c>
      <c r="G101" s="43" t="str">
        <f>CPUE!J99</f>
        <v>CLOSED</v>
      </c>
      <c r="H101" s="43"/>
      <c r="I101" s="41">
        <f>Effort!L99</f>
        <v>4225.0214709163301</v>
      </c>
      <c r="J101" s="42">
        <f>Harvest!L99</f>
        <v>53758.368429944901</v>
      </c>
      <c r="K101" s="43">
        <f>CPUE!L99</f>
        <v>12.723809523809518</v>
      </c>
      <c r="L101" s="43"/>
      <c r="M101" s="41" t="s">
        <v>10</v>
      </c>
      <c r="N101" s="42" t="s">
        <v>10</v>
      </c>
      <c r="O101" s="43" t="s">
        <v>10</v>
      </c>
      <c r="P101" s="44"/>
      <c r="Q101" s="41">
        <f t="shared" si="25"/>
        <v>4225.0214709163301</v>
      </c>
      <c r="R101" s="42">
        <f t="shared" si="24"/>
        <v>53758.368429944901</v>
      </c>
      <c r="T101" s="20"/>
      <c r="U101" s="20"/>
    </row>
    <row r="102" spans="1:21" x14ac:dyDescent="0.25">
      <c r="A102" s="109">
        <v>45396</v>
      </c>
      <c r="B102" s="110" t="s">
        <v>20</v>
      </c>
      <c r="C102" s="111">
        <v>0.1</v>
      </c>
      <c r="D102" s="112">
        <v>0.48472222222222222</v>
      </c>
      <c r="E102" s="41">
        <f>Effort!J100</f>
        <v>4898.4195890187302</v>
      </c>
      <c r="F102" s="42">
        <f>Harvest!J100</f>
        <v>56331.825273715396</v>
      </c>
      <c r="G102" s="43">
        <f>CPUE!J100</f>
        <v>11.5</v>
      </c>
      <c r="H102" s="43"/>
      <c r="I102" s="41" t="str">
        <f>Effort!L100</f>
        <v>CLOSED</v>
      </c>
      <c r="J102" s="42" t="str">
        <f>Harvest!L100</f>
        <v>CLOSED</v>
      </c>
      <c r="K102" s="43" t="str">
        <f>CPUE!L100</f>
        <v>CLOSED</v>
      </c>
      <c r="L102" s="43"/>
      <c r="M102" s="41" t="s">
        <v>10</v>
      </c>
      <c r="N102" s="42" t="s">
        <v>10</v>
      </c>
      <c r="O102" s="43" t="s">
        <v>10</v>
      </c>
      <c r="P102" s="43"/>
      <c r="Q102" s="41">
        <f t="shared" si="25"/>
        <v>4898.4195890187302</v>
      </c>
      <c r="R102" s="42">
        <f t="shared" si="24"/>
        <v>56331.825273715396</v>
      </c>
      <c r="T102" s="20"/>
      <c r="U102" s="20"/>
    </row>
    <row r="103" spans="1:21" x14ac:dyDescent="0.25">
      <c r="A103" s="129"/>
      <c r="B103" s="129"/>
      <c r="C103" s="129"/>
      <c r="D103" s="130"/>
      <c r="E103" s="47">
        <f>SUM(E96:E102)</f>
        <v>10638.95616008634</v>
      </c>
      <c r="F103" s="116">
        <f>SUM(F96:F102)</f>
        <v>129175.6879096826</v>
      </c>
      <c r="G103" s="49">
        <f>+F103/E103</f>
        <v>12.141763342752066</v>
      </c>
      <c r="H103" s="49"/>
      <c r="I103" s="47">
        <f>SUM(I96:I102)</f>
        <v>9307.0234761041502</v>
      </c>
      <c r="J103" s="116">
        <f>SUM(J96:J102)</f>
        <v>114322.7327913661</v>
      </c>
      <c r="K103" s="49">
        <f>+J103/I103</f>
        <v>12.283490321571719</v>
      </c>
      <c r="L103" s="49"/>
      <c r="M103" s="47"/>
      <c r="N103" s="48"/>
      <c r="O103" s="83"/>
      <c r="P103" s="49"/>
      <c r="Q103" s="47">
        <f>SUM(Q96:Q102)</f>
        <v>19945.979636190488</v>
      </c>
      <c r="R103" s="116">
        <f>SUM(R96:R102)</f>
        <v>243498.42070104869</v>
      </c>
      <c r="T103" s="20">
        <f>SUM(E103,I103)</f>
        <v>19945.979636190488</v>
      </c>
      <c r="U103" s="20">
        <f>SUM(F103,J103)</f>
        <v>243498.42070104869</v>
      </c>
    </row>
    <row r="104" spans="1:21" x14ac:dyDescent="0.25">
      <c r="A104" s="109">
        <v>45405</v>
      </c>
      <c r="B104" s="110" t="s">
        <v>66</v>
      </c>
      <c r="C104" s="111">
        <v>0</v>
      </c>
      <c r="D104" s="112">
        <v>0.2902777777777778</v>
      </c>
      <c r="E104" s="41">
        <f>Effort!J102</f>
        <v>469.83547396099698</v>
      </c>
      <c r="F104" s="42">
        <f>Harvest!J102</f>
        <v>6741.1176698751697</v>
      </c>
      <c r="G104" s="43">
        <f>CPUE!J102</f>
        <v>14.347826086956513</v>
      </c>
      <c r="H104" s="43"/>
      <c r="I104" s="41" t="str">
        <f>Effort!L102</f>
        <v>CLOSED</v>
      </c>
      <c r="J104" s="42" t="str">
        <f>Harvest!L102</f>
        <v>CLOSED</v>
      </c>
      <c r="K104" s="43" t="str">
        <f>CPUE!L102</f>
        <v>CLOSED</v>
      </c>
      <c r="L104" s="43"/>
      <c r="M104" s="41" t="s">
        <v>10</v>
      </c>
      <c r="N104" s="42" t="s">
        <v>10</v>
      </c>
      <c r="O104" s="102" t="s">
        <v>10</v>
      </c>
      <c r="P104" s="43"/>
      <c r="Q104" s="41">
        <f>SUM(E104,I104)</f>
        <v>469.83547396099698</v>
      </c>
      <c r="R104" s="42">
        <f t="shared" ref="R104:R110" si="26">SUM(F104,J104)</f>
        <v>6741.1176698751697</v>
      </c>
      <c r="T104" s="20"/>
      <c r="U104" s="20"/>
    </row>
    <row r="105" spans="1:21" x14ac:dyDescent="0.25">
      <c r="A105" s="109">
        <v>45406</v>
      </c>
      <c r="B105" s="110" t="s">
        <v>67</v>
      </c>
      <c r="C105" s="111">
        <v>-0.4</v>
      </c>
      <c r="D105" s="112">
        <v>0.3125</v>
      </c>
      <c r="E105" s="41" t="str">
        <f>Effort!J103</f>
        <v>CLOSED</v>
      </c>
      <c r="F105" s="42" t="str">
        <f>Harvest!J103</f>
        <v>CLOSED</v>
      </c>
      <c r="G105" s="43" t="str">
        <f>CPUE!J103</f>
        <v>CLOSED</v>
      </c>
      <c r="H105" s="43"/>
      <c r="I105" s="41">
        <f>Effort!L103</f>
        <v>461.738715764902</v>
      </c>
      <c r="J105" s="42">
        <f>Harvest!L103</f>
        <v>6766.86048965805</v>
      </c>
      <c r="K105" s="43">
        <f>CPUE!L103</f>
        <v>14.65517241379311</v>
      </c>
      <c r="L105" s="43"/>
      <c r="M105" s="41" t="s">
        <v>10</v>
      </c>
      <c r="N105" s="42" t="s">
        <v>10</v>
      </c>
      <c r="O105" s="43" t="s">
        <v>10</v>
      </c>
      <c r="P105" s="43"/>
      <c r="Q105" s="41">
        <f t="shared" ref="Q105:Q110" si="27">SUM(E105,I105)</f>
        <v>461.738715764902</v>
      </c>
      <c r="R105" s="42">
        <f t="shared" si="26"/>
        <v>6766.86048965805</v>
      </c>
      <c r="T105" s="20"/>
      <c r="U105" s="20"/>
    </row>
    <row r="106" spans="1:21" x14ac:dyDescent="0.25">
      <c r="A106" s="109">
        <v>45407</v>
      </c>
      <c r="B106" s="110" t="s">
        <v>22</v>
      </c>
      <c r="C106" s="111">
        <v>-0.6</v>
      </c>
      <c r="D106" s="112">
        <v>0.3354166666666667</v>
      </c>
      <c r="E106" s="41" t="str">
        <f>Effort!J104</f>
        <v>CLOSED</v>
      </c>
      <c r="F106" s="42" t="str">
        <f>Harvest!J104</f>
        <v>CLOSED</v>
      </c>
      <c r="G106" s="43" t="str">
        <f>CPUE!J104</f>
        <v>CLOSED</v>
      </c>
      <c r="H106" s="43"/>
      <c r="I106" s="41">
        <f>Effort!L104</f>
        <v>374.25833213634399</v>
      </c>
      <c r="J106" s="42">
        <f>Harvest!L104</f>
        <v>5182.0384449647599</v>
      </c>
      <c r="K106" s="43">
        <f>CPUE!L104</f>
        <v>13.846153846153838</v>
      </c>
      <c r="L106" s="43"/>
      <c r="M106" s="41" t="s">
        <v>10</v>
      </c>
      <c r="N106" s="42" t="s">
        <v>10</v>
      </c>
      <c r="O106" s="43" t="s">
        <v>10</v>
      </c>
      <c r="P106" s="44"/>
      <c r="Q106" s="41">
        <f t="shared" si="27"/>
        <v>374.25833213634399</v>
      </c>
      <c r="R106" s="42">
        <f t="shared" si="26"/>
        <v>5182.0384449647599</v>
      </c>
      <c r="T106" s="20"/>
      <c r="U106" s="20"/>
    </row>
    <row r="107" spans="1:21" x14ac:dyDescent="0.25">
      <c r="A107" s="109">
        <v>45408</v>
      </c>
      <c r="B107" s="110" t="s">
        <v>18</v>
      </c>
      <c r="C107" s="111">
        <v>-0.7</v>
      </c>
      <c r="D107" s="112">
        <v>0.36041666666666666</v>
      </c>
      <c r="E107" s="41">
        <f>Effort!J105</f>
        <v>1095.8940439539899</v>
      </c>
      <c r="F107" s="42">
        <f>Harvest!J105</f>
        <v>15474.0239006303</v>
      </c>
      <c r="G107" s="43">
        <f>CPUE!J105</f>
        <v>14.119999999999965</v>
      </c>
      <c r="H107" s="43"/>
      <c r="I107" s="41" t="str">
        <f>Effort!L105</f>
        <v>CLOSED</v>
      </c>
      <c r="J107" s="42" t="str">
        <f>Harvest!L105</f>
        <v>CLOSED</v>
      </c>
      <c r="K107" s="43" t="str">
        <f>CPUE!L105</f>
        <v>CLOSED</v>
      </c>
      <c r="L107" s="43"/>
      <c r="M107" s="41" t="s">
        <v>10</v>
      </c>
      <c r="N107" s="42" t="s">
        <v>10</v>
      </c>
      <c r="O107" s="43" t="s">
        <v>10</v>
      </c>
      <c r="P107" s="44"/>
      <c r="Q107" s="41">
        <f t="shared" si="27"/>
        <v>1095.8940439539899</v>
      </c>
      <c r="R107" s="42">
        <f t="shared" si="26"/>
        <v>15474.0239006303</v>
      </c>
      <c r="T107" s="20"/>
      <c r="U107" s="20"/>
    </row>
    <row r="108" spans="1:21" x14ac:dyDescent="0.25">
      <c r="A108" s="109">
        <v>45409</v>
      </c>
      <c r="B108" s="110" t="s">
        <v>19</v>
      </c>
      <c r="C108" s="111">
        <v>-0.7</v>
      </c>
      <c r="D108" s="112">
        <v>0.38819444444444445</v>
      </c>
      <c r="E108" s="41">
        <f>Effort!J106</f>
        <v>2448.2044972858498</v>
      </c>
      <c r="F108" s="42">
        <f>Harvest!J106</f>
        <v>36315.033376406704</v>
      </c>
      <c r="G108" s="43">
        <f>CPUE!J106</f>
        <v>14.833333333333306</v>
      </c>
      <c r="H108" s="43"/>
      <c r="I108" s="41" t="str">
        <f>Effort!L106</f>
        <v>CLOSED</v>
      </c>
      <c r="J108" s="42" t="str">
        <f>Harvest!L106</f>
        <v>CLOSED</v>
      </c>
      <c r="K108" s="43" t="str">
        <f>CPUE!L106</f>
        <v>CLOSED</v>
      </c>
      <c r="L108" s="43"/>
      <c r="M108" s="41" t="s">
        <v>10</v>
      </c>
      <c r="N108" s="42" t="s">
        <v>10</v>
      </c>
      <c r="O108" s="43" t="s">
        <v>10</v>
      </c>
      <c r="P108" s="44"/>
      <c r="Q108" s="41">
        <f t="shared" si="27"/>
        <v>2448.2044972858498</v>
      </c>
      <c r="R108" s="42">
        <f t="shared" si="26"/>
        <v>36315.033376406704</v>
      </c>
      <c r="T108" s="20"/>
      <c r="U108" s="20"/>
    </row>
    <row r="109" spans="1:21" x14ac:dyDescent="0.25">
      <c r="A109" s="109">
        <v>45410</v>
      </c>
      <c r="B109" s="110" t="s">
        <v>20</v>
      </c>
      <c r="C109" s="111">
        <v>-0.5</v>
      </c>
      <c r="D109" s="112">
        <v>0.4201388888888889</v>
      </c>
      <c r="E109" s="41" t="str">
        <f>Effort!J107</f>
        <v>CLOSED</v>
      </c>
      <c r="F109" s="42" t="str">
        <f>Harvest!J107</f>
        <v>CLOSED</v>
      </c>
      <c r="G109" s="43" t="str">
        <f>CPUE!J107</f>
        <v>CLOSED</v>
      </c>
      <c r="H109" s="43"/>
      <c r="I109" s="41">
        <f>Effort!L107</f>
        <v>2047.85070532849</v>
      </c>
      <c r="J109" s="42">
        <f>Harvest!L107</f>
        <v>23944.100554609999</v>
      </c>
      <c r="K109" s="43">
        <f>CPUE!L107</f>
        <v>11.692307692307674</v>
      </c>
      <c r="L109" s="43"/>
      <c r="M109" s="41" t="s">
        <v>10</v>
      </c>
      <c r="N109" s="42" t="s">
        <v>10</v>
      </c>
      <c r="O109" s="43" t="s">
        <v>10</v>
      </c>
      <c r="P109" s="44"/>
      <c r="Q109" s="41">
        <f t="shared" si="27"/>
        <v>2047.85070532849</v>
      </c>
      <c r="R109" s="42">
        <f t="shared" si="26"/>
        <v>23944.100554609999</v>
      </c>
      <c r="T109" s="20"/>
      <c r="U109" s="20"/>
    </row>
    <row r="110" spans="1:21" x14ac:dyDescent="0.25">
      <c r="A110" s="109">
        <v>45411</v>
      </c>
      <c r="B110" s="110" t="s">
        <v>21</v>
      </c>
      <c r="C110" s="111">
        <v>-0.3</v>
      </c>
      <c r="D110" s="112">
        <v>0.45694444444444443</v>
      </c>
      <c r="E110" s="41" t="str">
        <f>Effort!J108</f>
        <v>CLOSED</v>
      </c>
      <c r="F110" s="42" t="str">
        <f>Harvest!J108</f>
        <v>CLOSED</v>
      </c>
      <c r="G110" s="43" t="str">
        <f>CPUE!J108</f>
        <v>CLOSED</v>
      </c>
      <c r="H110" s="43"/>
      <c r="I110" s="41">
        <f>Effort!L108</f>
        <v>486.60882265650997</v>
      </c>
      <c r="J110" s="42">
        <f>Harvest!L108</f>
        <v>6737.6606213978303</v>
      </c>
      <c r="K110" s="43">
        <f>CPUE!L108</f>
        <v>13.846153846153847</v>
      </c>
      <c r="L110" s="43"/>
      <c r="M110" s="41" t="s">
        <v>10</v>
      </c>
      <c r="N110" s="42" t="s">
        <v>10</v>
      </c>
      <c r="O110" s="43" t="s">
        <v>10</v>
      </c>
      <c r="P110" s="43"/>
      <c r="Q110" s="41">
        <f t="shared" si="27"/>
        <v>486.60882265650997</v>
      </c>
      <c r="R110" s="42">
        <f t="shared" si="26"/>
        <v>6737.6606213978303</v>
      </c>
      <c r="T110" s="20"/>
      <c r="U110" s="20"/>
    </row>
    <row r="111" spans="1:21" x14ac:dyDescent="0.25">
      <c r="A111" s="129"/>
      <c r="B111" s="129"/>
      <c r="C111" s="129"/>
      <c r="D111" s="130"/>
      <c r="E111" s="47">
        <f>SUM(E104:E110)</f>
        <v>4013.9340152008367</v>
      </c>
      <c r="F111" s="116">
        <f>SUM(F104:F110)</f>
        <v>58530.174946912171</v>
      </c>
      <c r="G111" s="49">
        <f>+F111/E111</f>
        <v>14.581748161593438</v>
      </c>
      <c r="H111" s="49"/>
      <c r="I111" s="47">
        <f>SUM(I104:I110)</f>
        <v>3370.4565758862459</v>
      </c>
      <c r="J111" s="116">
        <f>SUM(J104:J110)</f>
        <v>42630.660110630641</v>
      </c>
      <c r="K111" s="49">
        <f>+J111/I111</f>
        <v>12.648333883198333</v>
      </c>
      <c r="L111" s="49"/>
      <c r="M111" s="47"/>
      <c r="N111" s="48"/>
      <c r="O111" s="83"/>
      <c r="P111" s="49"/>
      <c r="Q111" s="47">
        <f>SUM(Q104:Q110)</f>
        <v>7384.3905910870835</v>
      </c>
      <c r="R111" s="116">
        <f>SUM(R104:R110)</f>
        <v>101160.8350575428</v>
      </c>
      <c r="T111" s="20">
        <f>SUM(E111,I111)</f>
        <v>7384.3905910870826</v>
      </c>
      <c r="U111" s="20">
        <f>SUM(F111,J111)</f>
        <v>101160.8350575428</v>
      </c>
    </row>
    <row r="112" spans="1:21" x14ac:dyDescent="0.25">
      <c r="A112" s="109">
        <v>45418</v>
      </c>
      <c r="B112" s="110" t="s">
        <v>21</v>
      </c>
      <c r="C112" s="111">
        <v>-0.7</v>
      </c>
      <c r="D112" s="112">
        <v>0.23680555555555557</v>
      </c>
      <c r="E112" s="41" t="str">
        <f>Effort!J110</f>
        <v>CLOSED</v>
      </c>
      <c r="F112" s="42" t="str">
        <f>Harvest!J110</f>
        <v>CLOSED</v>
      </c>
      <c r="G112" s="43" t="str">
        <f>CPUE!J110</f>
        <v>CLOSED</v>
      </c>
      <c r="H112" s="43"/>
      <c r="I112" s="41">
        <f>Effort!L110</f>
        <v>259.52813112069902</v>
      </c>
      <c r="J112" s="42">
        <f>Harvest!L110</f>
        <v>3892.9219668104902</v>
      </c>
      <c r="K112" s="43">
        <f>CPUE!L110</f>
        <v>15.00000000000002</v>
      </c>
      <c r="L112" s="43"/>
      <c r="M112" s="41" t="s">
        <v>10</v>
      </c>
      <c r="N112" s="42" t="s">
        <v>10</v>
      </c>
      <c r="O112" s="102" t="s">
        <v>10</v>
      </c>
      <c r="P112" s="43"/>
      <c r="Q112" s="41">
        <f>SUM(E112,I112)</f>
        <v>259.52813112069902</v>
      </c>
      <c r="R112" s="42">
        <f t="shared" ref="R112:R118" si="28">SUM(F112,J112)</f>
        <v>3892.9219668104902</v>
      </c>
      <c r="T112" s="20"/>
      <c r="U112" s="20"/>
    </row>
    <row r="113" spans="1:22" x14ac:dyDescent="0.25">
      <c r="A113" s="109">
        <v>45419</v>
      </c>
      <c r="B113" s="110" t="s">
        <v>66</v>
      </c>
      <c r="C113" s="111">
        <v>-1.5</v>
      </c>
      <c r="D113" s="112">
        <v>0.26944444444444443</v>
      </c>
      <c r="E113" s="41" t="str">
        <f>Effort!J111</f>
        <v>CLOSED</v>
      </c>
      <c r="F113" s="42" t="str">
        <f>Harvest!J111</f>
        <v>CLOSED</v>
      </c>
      <c r="G113" s="43" t="str">
        <f>CPUE!J111</f>
        <v>CLOSED</v>
      </c>
      <c r="H113" s="43"/>
      <c r="I113" s="41">
        <f>Effort!L111</f>
        <v>673.66499784541804</v>
      </c>
      <c r="J113" s="42">
        <f>Harvest!L111</f>
        <v>10104.974967681301</v>
      </c>
      <c r="K113" s="43">
        <f>CPUE!L111</f>
        <v>15.000000000000044</v>
      </c>
      <c r="L113" s="43"/>
      <c r="M113" s="41" t="s">
        <v>10</v>
      </c>
      <c r="N113" s="42" t="s">
        <v>10</v>
      </c>
      <c r="O113" s="43" t="s">
        <v>10</v>
      </c>
      <c r="P113" s="43"/>
      <c r="Q113" s="41">
        <f t="shared" ref="Q113:Q118" si="29">SUM(E113,I113)</f>
        <v>673.66499784541804</v>
      </c>
      <c r="R113" s="42">
        <f t="shared" si="28"/>
        <v>10104.974967681301</v>
      </c>
      <c r="T113" s="20"/>
      <c r="U113" s="20"/>
    </row>
    <row r="114" spans="1:22" x14ac:dyDescent="0.25">
      <c r="A114" s="109">
        <v>45420</v>
      </c>
      <c r="B114" s="110" t="s">
        <v>67</v>
      </c>
      <c r="C114" s="111">
        <v>-2</v>
      </c>
      <c r="D114" s="112">
        <v>0.30069444444444443</v>
      </c>
      <c r="E114" s="41">
        <f>Effort!J112</f>
        <v>2047.1930683278799</v>
      </c>
      <c r="F114" s="42">
        <f>Harvest!J112</f>
        <v>30729.908853609901</v>
      </c>
      <c r="G114" s="43">
        <f>CPUE!J112</f>
        <v>15.010752688172046</v>
      </c>
      <c r="H114" s="43"/>
      <c r="I114" s="41" t="str">
        <f>Effort!L112</f>
        <v>CLOSED</v>
      </c>
      <c r="J114" s="42" t="str">
        <f>Harvest!L112</f>
        <v>CLOSED</v>
      </c>
      <c r="K114" s="43" t="str">
        <f>CPUE!L112</f>
        <v>CLOSED</v>
      </c>
      <c r="L114" s="43"/>
      <c r="M114" s="41" t="s">
        <v>10</v>
      </c>
      <c r="N114" s="42" t="s">
        <v>10</v>
      </c>
      <c r="O114" s="43" t="s">
        <v>10</v>
      </c>
      <c r="P114" s="44"/>
      <c r="Q114" s="41">
        <f t="shared" si="29"/>
        <v>2047.1930683278799</v>
      </c>
      <c r="R114" s="42">
        <f t="shared" si="28"/>
        <v>30729.908853609901</v>
      </c>
      <c r="T114" s="20"/>
      <c r="U114" s="20"/>
    </row>
    <row r="115" spans="1:22" x14ac:dyDescent="0.25">
      <c r="A115" s="109">
        <v>45421</v>
      </c>
      <c r="B115" s="110" t="s">
        <v>22</v>
      </c>
      <c r="C115" s="111">
        <v>-2.1</v>
      </c>
      <c r="D115" s="112">
        <v>0.33124999999999999</v>
      </c>
      <c r="E115" s="41">
        <f>Effort!J113</f>
        <v>4291.2136568059004</v>
      </c>
      <c r="F115" s="42">
        <f>Harvest!J113</f>
        <v>64368.2048520885</v>
      </c>
      <c r="G115" s="43">
        <f>CPUE!J113</f>
        <v>14.999999999999998</v>
      </c>
      <c r="H115" s="43"/>
      <c r="I115" s="41" t="str">
        <f>Effort!L113</f>
        <v>CLOSED</v>
      </c>
      <c r="J115" s="42" t="str">
        <f>Harvest!L113</f>
        <v>CLOSED</v>
      </c>
      <c r="K115" s="43" t="str">
        <f>CPUE!L113</f>
        <v>CLOSED</v>
      </c>
      <c r="L115" s="43"/>
      <c r="M115" s="41" t="s">
        <v>10</v>
      </c>
      <c r="N115" s="42" t="s">
        <v>10</v>
      </c>
      <c r="O115" s="43" t="s">
        <v>10</v>
      </c>
      <c r="P115" s="44"/>
      <c r="Q115" s="41">
        <f t="shared" si="29"/>
        <v>4291.2136568059004</v>
      </c>
      <c r="R115" s="42">
        <f t="shared" si="28"/>
        <v>64368.2048520885</v>
      </c>
      <c r="T115" s="20"/>
      <c r="U115" s="20"/>
    </row>
    <row r="116" spans="1:22" x14ac:dyDescent="0.25">
      <c r="A116" s="109">
        <v>45422</v>
      </c>
      <c r="B116" s="110" t="s">
        <v>18</v>
      </c>
      <c r="C116" s="111">
        <v>-1.9</v>
      </c>
      <c r="D116" s="112">
        <v>0.36180555555555555</v>
      </c>
      <c r="E116" s="41" t="str">
        <f>Effort!J114</f>
        <v>CLOSED</v>
      </c>
      <c r="F116" s="42" t="str">
        <f>Harvest!J114</f>
        <v>CLOSED</v>
      </c>
      <c r="G116" s="43" t="str">
        <f>CPUE!J114</f>
        <v>CLOSED</v>
      </c>
      <c r="H116" s="43"/>
      <c r="I116" s="41">
        <f>Effort!L114</f>
        <v>2698.5611012791101</v>
      </c>
      <c r="J116" s="42">
        <f>Harvest!L114</f>
        <v>38822.481297947197</v>
      </c>
      <c r="K116" s="43">
        <f>CPUE!L114</f>
        <v>14.386363636363637</v>
      </c>
      <c r="L116" s="43"/>
      <c r="M116" s="41" t="s">
        <v>10</v>
      </c>
      <c r="N116" s="42" t="s">
        <v>10</v>
      </c>
      <c r="O116" s="43" t="s">
        <v>10</v>
      </c>
      <c r="P116" s="44"/>
      <c r="Q116" s="41">
        <f t="shared" si="29"/>
        <v>2698.5611012791101</v>
      </c>
      <c r="R116" s="42">
        <f t="shared" si="28"/>
        <v>38822.481297947197</v>
      </c>
      <c r="T116" s="20"/>
      <c r="U116" s="20"/>
    </row>
    <row r="117" spans="1:22" x14ac:dyDescent="0.25">
      <c r="A117" s="109">
        <v>45423</v>
      </c>
      <c r="B117" s="110" t="s">
        <v>19</v>
      </c>
      <c r="C117" s="111">
        <v>-1.4</v>
      </c>
      <c r="D117" s="112">
        <v>0.39374999999999999</v>
      </c>
      <c r="E117" s="41" t="str">
        <f>Effort!J115</f>
        <v>CLOSED</v>
      </c>
      <c r="F117" s="42" t="str">
        <f>Harvest!J115</f>
        <v>CLOSED</v>
      </c>
      <c r="G117" s="43" t="str">
        <f>CPUE!J115</f>
        <v>CLOSED</v>
      </c>
      <c r="H117" s="43"/>
      <c r="I117" s="41">
        <f>Effort!L115</f>
        <v>5057.5938822385397</v>
      </c>
      <c r="J117" s="42">
        <f>Harvest!L115</f>
        <v>75408.724784176593</v>
      </c>
      <c r="K117" s="43">
        <f>CPUE!L115</f>
        <v>14.909999999999993</v>
      </c>
      <c r="L117" s="43"/>
      <c r="M117" s="41" t="s">
        <v>10</v>
      </c>
      <c r="N117" s="42" t="s">
        <v>10</v>
      </c>
      <c r="O117" s="43" t="s">
        <v>10</v>
      </c>
      <c r="P117" s="44"/>
      <c r="Q117" s="41">
        <f t="shared" si="29"/>
        <v>5057.5938822385397</v>
      </c>
      <c r="R117" s="42">
        <f t="shared" si="28"/>
        <v>75408.724784176593</v>
      </c>
      <c r="T117" s="20"/>
      <c r="U117" s="20"/>
    </row>
    <row r="118" spans="1:22" x14ac:dyDescent="0.25">
      <c r="A118" s="109">
        <v>45424</v>
      </c>
      <c r="B118" s="110" t="s">
        <v>20</v>
      </c>
      <c r="C118" s="111">
        <v>-0.8</v>
      </c>
      <c r="D118" s="112">
        <v>0.42777777777777781</v>
      </c>
      <c r="E118" s="41">
        <f>Effort!J116</f>
        <v>3371.9203646492201</v>
      </c>
      <c r="F118" s="42">
        <f>Harvest!J116</f>
        <v>48819.542670790899</v>
      </c>
      <c r="G118" s="43">
        <f>CPUE!J116</f>
        <v>14.478260869565222</v>
      </c>
      <c r="H118" s="43"/>
      <c r="I118" s="41" t="str">
        <f>Effort!L116</f>
        <v>CLOSED</v>
      </c>
      <c r="J118" s="42" t="str">
        <f>Harvest!L116</f>
        <v>CLOSED</v>
      </c>
      <c r="K118" s="43" t="str">
        <f>CPUE!L116</f>
        <v>CLOSED</v>
      </c>
      <c r="L118" s="43"/>
      <c r="M118" s="41" t="s">
        <v>10</v>
      </c>
      <c r="N118" s="42" t="s">
        <v>10</v>
      </c>
      <c r="O118" s="43" t="s">
        <v>10</v>
      </c>
      <c r="P118" s="43"/>
      <c r="Q118" s="41">
        <f t="shared" si="29"/>
        <v>3371.9203646492201</v>
      </c>
      <c r="R118" s="42">
        <f t="shared" si="28"/>
        <v>48819.542670790899</v>
      </c>
      <c r="T118" s="20"/>
      <c r="U118" s="20"/>
    </row>
    <row r="119" spans="1:22" x14ac:dyDescent="0.25">
      <c r="A119" s="129"/>
      <c r="B119" s="129"/>
      <c r="C119" s="129"/>
      <c r="D119" s="130"/>
      <c r="E119" s="47">
        <f>SUM(E112:E118)</f>
        <v>9710.3270897830007</v>
      </c>
      <c r="F119" s="116">
        <f>SUM(F112:F118)</f>
        <v>143917.65637648929</v>
      </c>
      <c r="G119" s="49">
        <f>+F119/E119</f>
        <v>14.821092538470346</v>
      </c>
      <c r="H119" s="49"/>
      <c r="I119" s="47">
        <f>SUM(I112:I118)</f>
        <v>8689.3481124837672</v>
      </c>
      <c r="J119" s="116">
        <f>SUM(J112:J118)</f>
        <v>128229.10301661558</v>
      </c>
      <c r="K119" s="49">
        <f>+J119/I119</f>
        <v>14.757045218661693</v>
      </c>
      <c r="L119" s="49"/>
      <c r="M119" s="47"/>
      <c r="N119" s="48"/>
      <c r="O119" s="83"/>
      <c r="P119" s="49"/>
      <c r="Q119" s="47">
        <f>SUM(Q112:Q118)</f>
        <v>18399.675202266768</v>
      </c>
      <c r="R119" s="116">
        <f>SUM(R112:R118)</f>
        <v>272146.75939310488</v>
      </c>
      <c r="T119" s="20">
        <f>SUM(E119,I119)</f>
        <v>18399.675202266768</v>
      </c>
      <c r="U119" s="20">
        <f>SUM(F119,J119)</f>
        <v>272146.75939310488</v>
      </c>
    </row>
    <row r="120" spans="1:22" ht="15.75" thickBot="1" x14ac:dyDescent="0.3">
      <c r="A120" s="85"/>
      <c r="B120" s="85"/>
      <c r="C120" s="85"/>
      <c r="D120" s="85"/>
      <c r="E120" s="63"/>
      <c r="F120" s="63"/>
      <c r="G120" s="64"/>
      <c r="H120" s="64"/>
      <c r="I120" s="63"/>
      <c r="J120" s="63"/>
      <c r="K120" s="64"/>
      <c r="L120" s="64"/>
      <c r="M120" s="63"/>
      <c r="N120" s="63"/>
      <c r="O120" s="64"/>
      <c r="P120" s="64"/>
      <c r="Q120" s="63"/>
      <c r="R120" s="63"/>
      <c r="T120" s="20"/>
      <c r="U120" s="20"/>
    </row>
    <row r="121" spans="1:22" ht="15.75" thickTop="1" x14ac:dyDescent="0.25">
      <c r="A121" s="57" t="s">
        <v>51</v>
      </c>
      <c r="B121" s="58"/>
      <c r="C121" s="58"/>
      <c r="D121" s="58"/>
      <c r="E121" s="59">
        <f>SUM(E8,E14,E20,E28,E35,E41,E46,E54,E62,E70,E76,E88,E95,E103,E111,E119)</f>
        <v>86087.506403076666</v>
      </c>
      <c r="F121" s="59">
        <f>SUM(F8,F14,F20,F28,F35,F41,F46,F54,F62,F70,F76,F88,F95,F103,F111,F119)</f>
        <v>1085593.1176094185</v>
      </c>
      <c r="G121" s="60">
        <f>+F121/E121</f>
        <v>12.610344554835667</v>
      </c>
      <c r="H121" s="60">
        <v>115.4</v>
      </c>
      <c r="I121" s="59">
        <f>SUM(I8,I14,I20,I28,I35,I41,I46,I54,I62,I70,I76,I88,I95,I103,I111,I119)</f>
        <v>60278.382162280803</v>
      </c>
      <c r="J121" s="59">
        <f>SUM(J8,J14,J20,J28,J35,J41,J46,J54,J62,J70,J76,J88,J95,J103,J111,J119)</f>
        <v>768074.78580277914</v>
      </c>
      <c r="K121" s="60">
        <f>+J121/I121</f>
        <v>12.742126750100502</v>
      </c>
      <c r="L121" s="60">
        <v>117.7</v>
      </c>
      <c r="M121" s="59">
        <f>SUM(M8)</f>
        <v>0</v>
      </c>
      <c r="N121" s="59">
        <f>SUM(N8)</f>
        <v>0</v>
      </c>
      <c r="O121" s="60">
        <v>0</v>
      </c>
      <c r="P121" s="60"/>
      <c r="Q121" s="59">
        <f>SUM(Q8,Q14,Q20,Q28,Q35,Q41,Q46,Q54,Q62,Q70,Q76,Q88,Q95,Q103,Q111,Q119)</f>
        <v>146365.88856535748</v>
      </c>
      <c r="R121" s="59">
        <f>SUM(R8,R14,R20,R28,R35,R41,R46,R54,R62,R70,R76,R88,R95,R103,R111,R119)</f>
        <v>1853667.9034121975</v>
      </c>
      <c r="T121" s="20">
        <f>SUM(T4:T120)</f>
        <v>146365.88856535745</v>
      </c>
      <c r="U121" s="20">
        <f>SUM(U4:U120)</f>
        <v>1853667.9034121975</v>
      </c>
      <c r="V121" s="20"/>
    </row>
    <row r="122" spans="1:22" x14ac:dyDescent="0.25">
      <c r="A122" s="61" t="s">
        <v>52</v>
      </c>
      <c r="B122" s="62"/>
      <c r="C122" s="62"/>
      <c r="D122" s="62"/>
      <c r="E122" s="63"/>
      <c r="F122" s="63">
        <f>Harvest!J120</f>
        <v>19951.441080389308</v>
      </c>
      <c r="G122" s="64"/>
      <c r="H122" s="64"/>
      <c r="I122" s="63"/>
      <c r="J122" s="63">
        <f>Harvest!L120</f>
        <v>20847.744186075426</v>
      </c>
      <c r="K122" s="64"/>
      <c r="L122" s="64"/>
      <c r="M122" s="63"/>
      <c r="N122" s="63">
        <f>Harvest!N120</f>
        <v>0</v>
      </c>
      <c r="O122" s="64"/>
      <c r="P122" s="64"/>
      <c r="Q122" s="63"/>
      <c r="R122" s="63">
        <f>SUM(F122+J122)</f>
        <v>40799.18526646473</v>
      </c>
      <c r="T122" s="20">
        <f>SUM(E121,I121)</f>
        <v>146365.88856535748</v>
      </c>
      <c r="U122" s="20">
        <f>SUM(F121,J121)</f>
        <v>1853667.9034121977</v>
      </c>
      <c r="V122" s="20"/>
    </row>
    <row r="123" spans="1:22" x14ac:dyDescent="0.25">
      <c r="A123" s="65" t="s">
        <v>53</v>
      </c>
      <c r="B123" s="66"/>
      <c r="C123" s="66"/>
      <c r="D123" s="66"/>
      <c r="E123" s="67">
        <f>Effort!J118</f>
        <v>86087.506403076652</v>
      </c>
      <c r="F123" s="67">
        <f>F121+F122</f>
        <v>1105544.5586898078</v>
      </c>
      <c r="G123" s="68"/>
      <c r="H123" s="68"/>
      <c r="I123" s="67">
        <f>Effort!L118</f>
        <v>60278.382162280803</v>
      </c>
      <c r="J123" s="67">
        <f>J121+J122</f>
        <v>788922.52998885454</v>
      </c>
      <c r="K123" s="68"/>
      <c r="L123" s="68"/>
      <c r="M123" s="67">
        <f>Effort!N118</f>
        <v>0</v>
      </c>
      <c r="N123" s="67">
        <f>N121+N122</f>
        <v>0</v>
      </c>
      <c r="O123" s="68"/>
      <c r="P123" s="68"/>
      <c r="Q123" s="67">
        <f>SUM(Q121:Q122)</f>
        <v>146365.88856535748</v>
      </c>
      <c r="R123" s="67">
        <f>SUM(R121:R122)</f>
        <v>1894467.0886786622</v>
      </c>
      <c r="T123" s="20"/>
      <c r="U123" s="20">
        <f>SUM(F123,J123,N123)</f>
        <v>1894467.0886786622</v>
      </c>
    </row>
    <row r="124" spans="1:22" x14ac:dyDescent="0.25">
      <c r="A124" s="70" t="s">
        <v>14</v>
      </c>
      <c r="B124" s="71"/>
      <c r="C124" s="71"/>
      <c r="D124" s="71"/>
      <c r="E124" s="71"/>
      <c r="F124" s="72">
        <f>Harvest!J123</f>
        <v>0.80860097028456135</v>
      </c>
      <c r="G124" s="71"/>
      <c r="H124" s="71"/>
      <c r="I124" s="71"/>
      <c r="J124" s="72">
        <f>Harvest!L123</f>
        <v>0.56271901861084794</v>
      </c>
      <c r="K124" s="71"/>
      <c r="L124" s="71"/>
      <c r="M124" s="71"/>
      <c r="N124" s="72">
        <f>Harvest!N123</f>
        <v>0</v>
      </c>
      <c r="O124" s="71"/>
      <c r="P124" s="71"/>
      <c r="Q124" s="71"/>
      <c r="R124" s="73"/>
      <c r="U124" s="20"/>
    </row>
    <row r="126" spans="1:22" x14ac:dyDescent="0.25">
      <c r="R126" s="20"/>
    </row>
  </sheetData>
  <mergeCells count="20">
    <mergeCell ref="A119:D119"/>
    <mergeCell ref="A46:D46"/>
    <mergeCell ref="A88:D88"/>
    <mergeCell ref="A76:D76"/>
    <mergeCell ref="A70:D70"/>
    <mergeCell ref="Q2:R2"/>
    <mergeCell ref="E2:H2"/>
    <mergeCell ref="I2:L2"/>
    <mergeCell ref="M2:P2"/>
    <mergeCell ref="A8:D8"/>
    <mergeCell ref="A41:D41"/>
    <mergeCell ref="A35:D35"/>
    <mergeCell ref="A28:D28"/>
    <mergeCell ref="A20:D20"/>
    <mergeCell ref="A14:D14"/>
    <mergeCell ref="A111:D111"/>
    <mergeCell ref="A54:D54"/>
    <mergeCell ref="A103:D103"/>
    <mergeCell ref="A62:D62"/>
    <mergeCell ref="A95:D95"/>
  </mergeCells>
  <pageMargins left="0.7" right="0.7" top="0.75" bottom="0.75" header="0.3" footer="0.3"/>
  <pageSetup scale="7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workbookViewId="0">
      <selection activeCell="G37" sqref="G37"/>
    </sheetView>
  </sheetViews>
  <sheetFormatPr defaultRowHeight="15" x14ac:dyDescent="0.25"/>
  <cols>
    <col min="1" max="2" width="25.140625" customWidth="1"/>
    <col min="3" max="3" width="15" customWidth="1"/>
    <col min="4" max="4" width="14.5703125" customWidth="1"/>
    <col min="5" max="5" width="13.140625" style="20" customWidth="1"/>
    <col min="6" max="7" width="11.140625" customWidth="1"/>
    <col min="8" max="8" width="11.5703125" customWidth="1"/>
    <col min="9" max="10" width="12.28515625" customWidth="1"/>
    <col min="11" max="11" width="11.7109375" customWidth="1"/>
    <col min="12" max="12" width="11.85546875" customWidth="1"/>
    <col min="13" max="13" width="10.85546875" customWidth="1"/>
    <col min="14" max="14" width="11.42578125" customWidth="1"/>
  </cols>
  <sheetData>
    <row r="1" spans="1:15" x14ac:dyDescent="0.25">
      <c r="A1" t="s">
        <v>28</v>
      </c>
    </row>
    <row r="3" spans="1:15" ht="15.75" thickBot="1" x14ac:dyDescent="0.3">
      <c r="B3" t="s">
        <v>63</v>
      </c>
      <c r="C3" t="s">
        <v>59</v>
      </c>
      <c r="D3" t="s">
        <v>56</v>
      </c>
      <c r="E3" s="20" t="s">
        <v>55</v>
      </c>
      <c r="F3" s="20" t="s">
        <v>44</v>
      </c>
      <c r="G3" s="8" t="s">
        <v>29</v>
      </c>
      <c r="H3" s="8" t="s">
        <v>30</v>
      </c>
      <c r="I3" t="s">
        <v>31</v>
      </c>
      <c r="J3" s="8" t="s">
        <v>32</v>
      </c>
      <c r="K3" t="s">
        <v>33</v>
      </c>
      <c r="L3" s="8" t="s">
        <v>34</v>
      </c>
      <c r="M3" s="8" t="s">
        <v>35</v>
      </c>
      <c r="N3" s="8" t="s">
        <v>36</v>
      </c>
      <c r="O3" s="8" t="s">
        <v>37</v>
      </c>
    </row>
    <row r="4" spans="1:15" x14ac:dyDescent="0.25">
      <c r="A4" s="23" t="s">
        <v>38</v>
      </c>
      <c r="B4" s="51">
        <v>2154184.0014554267</v>
      </c>
      <c r="C4" s="51">
        <v>5865490</v>
      </c>
      <c r="D4" s="51">
        <v>8659225.1363386046</v>
      </c>
      <c r="E4" s="51">
        <v>9916787</v>
      </c>
      <c r="F4" s="51">
        <v>5205466.8000000007</v>
      </c>
      <c r="G4" s="24">
        <v>333557</v>
      </c>
      <c r="H4" s="24">
        <v>872679.52221495111</v>
      </c>
      <c r="I4" s="24">
        <v>4895623.5998578668</v>
      </c>
      <c r="J4" s="24">
        <v>4768605</v>
      </c>
      <c r="K4" s="24">
        <v>3885491.5446236241</v>
      </c>
      <c r="L4" s="24">
        <v>2881223.2800000003</v>
      </c>
      <c r="M4" s="24">
        <v>1847952.1349999998</v>
      </c>
      <c r="N4" s="24">
        <v>1094641.4136540764</v>
      </c>
      <c r="O4" s="24">
        <v>1276247.6927039789</v>
      </c>
    </row>
    <row r="5" spans="1:15" x14ac:dyDescent="0.25">
      <c r="A5" s="25" t="s">
        <v>39</v>
      </c>
      <c r="B5" s="52">
        <v>1281201.9228954725</v>
      </c>
      <c r="C5" s="52">
        <v>2258653</v>
      </c>
      <c r="D5" s="52">
        <v>3411777.8284151079</v>
      </c>
      <c r="E5" s="52">
        <v>2084291</v>
      </c>
      <c r="F5" s="52">
        <v>1843227.2000000002</v>
      </c>
      <c r="G5" s="26">
        <v>1377125</v>
      </c>
      <c r="H5" s="26">
        <v>506698.75607162755</v>
      </c>
      <c r="I5" s="26">
        <v>1896630.873404826</v>
      </c>
      <c r="J5" s="26">
        <v>1198600</v>
      </c>
      <c r="K5" s="26">
        <v>2662860.8000000003</v>
      </c>
      <c r="L5" s="26">
        <f>5744410.73323314*0.4</f>
        <v>2297764.2932932558</v>
      </c>
      <c r="M5" s="26">
        <v>1881783.2000000002</v>
      </c>
      <c r="N5" s="26">
        <v>616314.30636927264</v>
      </c>
      <c r="O5" s="26">
        <v>845427.66684737173</v>
      </c>
    </row>
    <row r="6" spans="1:15" x14ac:dyDescent="0.25">
      <c r="A6" s="25" t="s">
        <v>40</v>
      </c>
      <c r="B6" s="52">
        <v>1367231.3035943382</v>
      </c>
      <c r="C6" s="52">
        <v>2873943</v>
      </c>
      <c r="D6" s="52">
        <v>3303822.0265784604</v>
      </c>
      <c r="E6" s="52">
        <v>2369701</v>
      </c>
      <c r="F6" s="52">
        <v>2036078.6</v>
      </c>
      <c r="G6" s="26">
        <v>860768</v>
      </c>
      <c r="H6" s="26">
        <v>591366.11976499634</v>
      </c>
      <c r="I6" s="26">
        <v>880571.44910342421</v>
      </c>
      <c r="J6" s="26">
        <v>1094781</v>
      </c>
      <c r="K6" s="27">
        <v>889827.43342746096</v>
      </c>
      <c r="L6" s="28">
        <f>(2615522*0.5)-(161153)+250000</f>
        <v>1396608</v>
      </c>
      <c r="M6" s="26">
        <v>1072689.5999999999</v>
      </c>
      <c r="N6" s="26">
        <v>371373.03795949166</v>
      </c>
      <c r="O6" s="26">
        <v>683167.40704835602</v>
      </c>
    </row>
    <row r="7" spans="1:15" x14ac:dyDescent="0.25">
      <c r="A7" s="25" t="s">
        <v>41</v>
      </c>
      <c r="B7" s="52">
        <v>1401983.0570795741</v>
      </c>
      <c r="C7" s="52">
        <v>1964732</v>
      </c>
      <c r="D7" s="52">
        <v>1968909.2826619395</v>
      </c>
      <c r="E7" s="52">
        <v>2330621</v>
      </c>
      <c r="F7" s="52">
        <v>1649890.4000000001</v>
      </c>
      <c r="G7" s="26">
        <v>1508774</v>
      </c>
      <c r="H7" s="26">
        <v>778354.53277878079</v>
      </c>
      <c r="I7" s="26">
        <v>941919.24030067341</v>
      </c>
      <c r="J7" s="26">
        <v>1695074</v>
      </c>
      <c r="K7" s="26">
        <v>2240308.7479108246</v>
      </c>
      <c r="L7" s="26">
        <v>2088668.5</v>
      </c>
      <c r="M7" s="26">
        <v>909667.35</v>
      </c>
      <c r="N7" s="26">
        <v>605830.70008886908</v>
      </c>
      <c r="O7" s="26">
        <v>545586.68998891278</v>
      </c>
    </row>
    <row r="8" spans="1:15" ht="15.75" thickBot="1" x14ac:dyDescent="0.3">
      <c r="A8" s="29" t="s">
        <v>42</v>
      </c>
      <c r="B8" s="53">
        <v>67150.048758916702</v>
      </c>
      <c r="C8" s="53">
        <v>152683</v>
      </c>
      <c r="D8" s="53">
        <v>101655.06316024926</v>
      </c>
      <c r="E8" s="53">
        <v>362503</v>
      </c>
      <c r="F8" s="53">
        <v>219560.64800000002</v>
      </c>
      <c r="G8" s="30">
        <v>777386</v>
      </c>
      <c r="H8" s="30">
        <v>24444.430036493428</v>
      </c>
      <c r="I8" s="30">
        <v>725888.21174021007</v>
      </c>
      <c r="J8" s="30">
        <v>63740</v>
      </c>
      <c r="K8" s="30">
        <v>125735.12787535199</v>
      </c>
      <c r="L8" s="30">
        <f>1033285.9456848*0.254*0.5</f>
        <v>131227.31510196961</v>
      </c>
      <c r="M8" s="30">
        <v>113543.20699999999</v>
      </c>
      <c r="N8" s="30">
        <v>144560.51050788548</v>
      </c>
      <c r="O8" s="30">
        <v>258924.12448845015</v>
      </c>
    </row>
    <row r="9" spans="1:15" ht="16.5" thickBot="1" x14ac:dyDescent="0.3">
      <c r="A9" s="31" t="s">
        <v>43</v>
      </c>
      <c r="B9" s="90">
        <f t="shared" ref="B9:I9" si="0">SUM(B4:B8)</f>
        <v>6271750.3337837281</v>
      </c>
      <c r="C9" s="90">
        <v>13115501</v>
      </c>
      <c r="D9" s="54">
        <f t="shared" si="0"/>
        <v>17445389.337154362</v>
      </c>
      <c r="E9" s="54">
        <f t="shared" si="0"/>
        <v>17063903</v>
      </c>
      <c r="F9" s="54">
        <f t="shared" si="0"/>
        <v>10954223.648000002</v>
      </c>
      <c r="G9" s="32">
        <f t="shared" si="0"/>
        <v>4857610</v>
      </c>
      <c r="H9" s="32">
        <f t="shared" si="0"/>
        <v>2773543.3608668493</v>
      </c>
      <c r="I9" s="32">
        <f t="shared" si="0"/>
        <v>9340633.3744070008</v>
      </c>
      <c r="J9" s="32">
        <f t="shared" ref="J9:O9" si="1">SUM(J4:J8)</f>
        <v>8820800</v>
      </c>
      <c r="K9" s="32">
        <f t="shared" si="1"/>
        <v>9804223.6538372617</v>
      </c>
      <c r="L9" s="32">
        <f t="shared" si="1"/>
        <v>8795491.3883952256</v>
      </c>
      <c r="M9" s="32">
        <f t="shared" si="1"/>
        <v>5825635.4919999996</v>
      </c>
      <c r="N9" s="32">
        <f t="shared" si="1"/>
        <v>2832719.968579595</v>
      </c>
      <c r="O9" s="32">
        <f t="shared" si="1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topLeftCell="A73" workbookViewId="0">
      <selection activeCell="F16" sqref="F16"/>
    </sheetView>
  </sheetViews>
  <sheetFormatPr defaultRowHeight="15" x14ac:dyDescent="0.25"/>
  <sheetData>
    <row r="1" spans="1:5" x14ac:dyDescent="0.25">
      <c r="A1" s="93"/>
      <c r="B1" s="93"/>
      <c r="C1" s="93"/>
      <c r="D1" s="93"/>
      <c r="E1" s="93"/>
    </row>
    <row r="2" spans="1:5" x14ac:dyDescent="0.25">
      <c r="A2" s="99">
        <v>2151</v>
      </c>
      <c r="B2" s="99" t="s">
        <v>60</v>
      </c>
      <c r="C2" s="99">
        <v>100</v>
      </c>
      <c r="D2" s="99">
        <v>7</v>
      </c>
      <c r="E2" s="99">
        <v>7</v>
      </c>
    </row>
    <row r="3" spans="1:5" x14ac:dyDescent="0.25">
      <c r="A3" s="98">
        <v>2175</v>
      </c>
      <c r="B3" s="98">
        <v>22307</v>
      </c>
      <c r="C3" s="98">
        <v>50</v>
      </c>
      <c r="D3" s="98">
        <v>2</v>
      </c>
      <c r="E3" s="98">
        <v>2</v>
      </c>
    </row>
    <row r="4" spans="1:5" x14ac:dyDescent="0.25">
      <c r="A4" s="98">
        <v>2269</v>
      </c>
      <c r="B4" s="98" t="s">
        <v>60</v>
      </c>
      <c r="C4" s="98">
        <v>50</v>
      </c>
      <c r="D4" s="98">
        <v>2</v>
      </c>
      <c r="E4" s="98">
        <v>2</v>
      </c>
    </row>
    <row r="5" spans="1:5" x14ac:dyDescent="0.25">
      <c r="A5" s="89">
        <v>2301</v>
      </c>
      <c r="B5" s="89" t="s">
        <v>60</v>
      </c>
      <c r="C5" s="89">
        <v>100</v>
      </c>
      <c r="D5" s="89">
        <v>0</v>
      </c>
      <c r="E5" s="89">
        <v>0</v>
      </c>
    </row>
    <row r="6" spans="1:5" x14ac:dyDescent="0.25">
      <c r="A6" s="139">
        <v>2335</v>
      </c>
      <c r="B6" s="139" t="s">
        <v>86</v>
      </c>
      <c r="C6" s="139">
        <v>100</v>
      </c>
      <c r="D6" s="139">
        <v>3</v>
      </c>
      <c r="E6" s="139">
        <v>3</v>
      </c>
    </row>
    <row r="7" spans="1:5" x14ac:dyDescent="0.25">
      <c r="A7" s="139">
        <v>2328</v>
      </c>
      <c r="B7" s="139" t="s">
        <v>87</v>
      </c>
      <c r="C7" s="139">
        <v>50</v>
      </c>
      <c r="D7" s="139">
        <v>2</v>
      </c>
      <c r="E7" s="139">
        <v>2</v>
      </c>
    </row>
    <row r="8" spans="1:5" x14ac:dyDescent="0.25">
      <c r="A8" s="139">
        <v>2328</v>
      </c>
      <c r="B8" s="139" t="s">
        <v>60</v>
      </c>
      <c r="C8" s="139">
        <v>50</v>
      </c>
      <c r="D8" s="139">
        <v>1</v>
      </c>
      <c r="E8" s="139">
        <v>1</v>
      </c>
    </row>
    <row r="9" spans="1:5" x14ac:dyDescent="0.25">
      <c r="A9" s="139">
        <v>2328</v>
      </c>
      <c r="B9" s="139" t="s">
        <v>86</v>
      </c>
      <c r="C9" s="139">
        <v>50</v>
      </c>
      <c r="D9" s="139">
        <v>1</v>
      </c>
      <c r="E9" s="139">
        <v>1</v>
      </c>
    </row>
    <row r="10" spans="1:5" x14ac:dyDescent="0.25">
      <c r="A10" s="139">
        <v>2333</v>
      </c>
      <c r="B10" s="139" t="s">
        <v>60</v>
      </c>
      <c r="C10" s="139">
        <v>100</v>
      </c>
      <c r="D10" s="139">
        <v>1</v>
      </c>
      <c r="E10" s="139">
        <v>1</v>
      </c>
    </row>
    <row r="100" spans="3:6" x14ac:dyDescent="0.25">
      <c r="C100">
        <f>SUM(C2:C99)</f>
        <v>650</v>
      </c>
      <c r="D100">
        <f>SUM(D2:D99)</f>
        <v>19</v>
      </c>
      <c r="E100">
        <f>SUM(E2:E99)</f>
        <v>19</v>
      </c>
      <c r="F100" s="22">
        <f>E100/C100</f>
        <v>2.923076923076923E-2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topLeftCell="A70" workbookViewId="0">
      <selection activeCell="H23" sqref="H23"/>
    </sheetView>
  </sheetViews>
  <sheetFormatPr defaultRowHeight="15" x14ac:dyDescent="0.25"/>
  <sheetData>
    <row r="1" spans="1:5" x14ac:dyDescent="0.25">
      <c r="A1" s="94"/>
      <c r="B1" s="94"/>
      <c r="C1" s="94"/>
      <c r="D1" s="94"/>
      <c r="E1" s="94"/>
    </row>
    <row r="2" spans="1:5" x14ac:dyDescent="0.25">
      <c r="A2" s="101">
        <v>2150</v>
      </c>
      <c r="B2" s="101" t="s">
        <v>61</v>
      </c>
      <c r="C2" s="101">
        <v>100</v>
      </c>
      <c r="D2" s="101">
        <v>6</v>
      </c>
      <c r="E2" s="101">
        <v>6</v>
      </c>
    </row>
    <row r="3" spans="1:5" x14ac:dyDescent="0.25">
      <c r="A3" s="95">
        <v>2159</v>
      </c>
      <c r="B3" s="96">
        <v>12400</v>
      </c>
      <c r="C3" s="95">
        <v>100</v>
      </c>
      <c r="D3" s="95">
        <v>1</v>
      </c>
      <c r="E3" s="95">
        <v>1</v>
      </c>
    </row>
    <row r="4" spans="1:5" x14ac:dyDescent="0.25">
      <c r="A4" s="98">
        <v>2293</v>
      </c>
      <c r="B4" s="98" t="s">
        <v>77</v>
      </c>
      <c r="C4" s="98">
        <v>100</v>
      </c>
      <c r="D4" s="98">
        <v>1</v>
      </c>
      <c r="E4" s="98">
        <v>1</v>
      </c>
    </row>
    <row r="5" spans="1:5" x14ac:dyDescent="0.25">
      <c r="A5" s="98">
        <v>2268</v>
      </c>
      <c r="B5" s="98" t="s">
        <v>61</v>
      </c>
      <c r="C5" s="98">
        <v>50</v>
      </c>
      <c r="D5" s="98">
        <v>0</v>
      </c>
      <c r="E5" s="98">
        <v>0</v>
      </c>
    </row>
    <row r="6" spans="1:5" x14ac:dyDescent="0.25">
      <c r="A6" s="98">
        <v>2171</v>
      </c>
      <c r="B6" s="98" t="s">
        <v>77</v>
      </c>
      <c r="C6" s="98">
        <v>100</v>
      </c>
      <c r="D6" s="98">
        <v>6</v>
      </c>
      <c r="E6" s="98">
        <v>6</v>
      </c>
    </row>
    <row r="7" spans="1:5" x14ac:dyDescent="0.25">
      <c r="A7" s="98">
        <v>2163</v>
      </c>
      <c r="B7" s="98" t="s">
        <v>78</v>
      </c>
      <c r="C7" s="98">
        <v>100</v>
      </c>
      <c r="D7" s="98">
        <v>5</v>
      </c>
      <c r="E7" s="98">
        <v>5</v>
      </c>
    </row>
    <row r="8" spans="1:5" x14ac:dyDescent="0.25">
      <c r="A8" s="98">
        <v>2169</v>
      </c>
      <c r="B8" s="98" t="s">
        <v>61</v>
      </c>
      <c r="C8" s="98">
        <v>50</v>
      </c>
      <c r="D8" s="98">
        <v>3</v>
      </c>
      <c r="E8" s="98">
        <v>3</v>
      </c>
    </row>
    <row r="9" spans="1:5" x14ac:dyDescent="0.25">
      <c r="A9" s="89">
        <v>2303</v>
      </c>
      <c r="B9" s="89" t="s">
        <v>79</v>
      </c>
      <c r="C9" s="89">
        <v>100</v>
      </c>
      <c r="D9" s="89">
        <v>2</v>
      </c>
      <c r="E9" s="77">
        <v>2</v>
      </c>
    </row>
    <row r="10" spans="1:5" x14ac:dyDescent="0.25">
      <c r="A10" s="56">
        <v>2304</v>
      </c>
      <c r="B10" s="78" t="s">
        <v>61</v>
      </c>
      <c r="C10" s="88">
        <v>100</v>
      </c>
      <c r="D10" s="88">
        <v>2</v>
      </c>
      <c r="E10" s="82">
        <v>2</v>
      </c>
    </row>
    <row r="11" spans="1:5" x14ac:dyDescent="0.25">
      <c r="A11" s="141">
        <v>2332</v>
      </c>
      <c r="B11" s="141" t="s">
        <v>61</v>
      </c>
      <c r="C11" s="141">
        <v>100</v>
      </c>
      <c r="D11" s="141">
        <v>0</v>
      </c>
      <c r="E11" s="141">
        <v>0</v>
      </c>
    </row>
    <row r="12" spans="1:5" x14ac:dyDescent="0.25">
      <c r="A12" s="141">
        <v>2327</v>
      </c>
      <c r="B12" s="141" t="s">
        <v>77</v>
      </c>
      <c r="C12" s="141">
        <v>50</v>
      </c>
      <c r="D12" s="141">
        <v>2</v>
      </c>
      <c r="E12" s="141">
        <v>2</v>
      </c>
    </row>
    <row r="100" spans="3:6" x14ac:dyDescent="0.25">
      <c r="C100">
        <f>SUM(C2:C99)</f>
        <v>950</v>
      </c>
      <c r="D100">
        <f>SUM(D2:D99)</f>
        <v>28</v>
      </c>
      <c r="E100">
        <f>SUM(E2:E99)</f>
        <v>28</v>
      </c>
      <c r="F100" s="22">
        <f>E100/C100</f>
        <v>2.9473684210526315E-2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topLeftCell="A43" workbookViewId="0">
      <selection activeCell="E16" sqref="E16"/>
    </sheetView>
  </sheetViews>
  <sheetFormatPr defaultRowHeight="15" x14ac:dyDescent="0.25"/>
  <sheetData>
    <row r="1" spans="1:5" x14ac:dyDescent="0.25">
      <c r="A1" s="97"/>
      <c r="B1" s="97"/>
      <c r="C1" s="97"/>
      <c r="D1" s="97"/>
      <c r="E1" s="97"/>
    </row>
    <row r="2" spans="1:5" x14ac:dyDescent="0.25">
      <c r="A2" s="100">
        <v>2153</v>
      </c>
      <c r="B2" s="100" t="s">
        <v>62</v>
      </c>
      <c r="C2" s="100">
        <v>50</v>
      </c>
      <c r="D2" s="100">
        <v>3</v>
      </c>
      <c r="E2" s="100">
        <v>3</v>
      </c>
    </row>
    <row r="3" spans="1:5" x14ac:dyDescent="0.25">
      <c r="A3" s="98">
        <v>2172</v>
      </c>
      <c r="B3" s="98">
        <v>31005</v>
      </c>
      <c r="C3" s="98">
        <v>100</v>
      </c>
      <c r="D3" s="98">
        <v>6</v>
      </c>
      <c r="E3" s="98">
        <v>6</v>
      </c>
    </row>
    <row r="4" spans="1:5" x14ac:dyDescent="0.25">
      <c r="A4" s="98">
        <v>2284</v>
      </c>
      <c r="B4" s="98" t="s">
        <v>76</v>
      </c>
      <c r="C4" s="98">
        <v>100</v>
      </c>
      <c r="D4" s="98">
        <v>1</v>
      </c>
      <c r="E4" s="98">
        <v>1</v>
      </c>
    </row>
    <row r="5" spans="1:5" x14ac:dyDescent="0.25">
      <c r="A5" s="98">
        <v>2302</v>
      </c>
      <c r="B5" s="98" t="s">
        <v>76</v>
      </c>
      <c r="C5" s="98">
        <v>100</v>
      </c>
      <c r="D5" s="98">
        <v>1</v>
      </c>
      <c r="E5" s="98">
        <v>1</v>
      </c>
    </row>
    <row r="6" spans="1:5" x14ac:dyDescent="0.25">
      <c r="A6" s="98">
        <v>2302</v>
      </c>
      <c r="B6" s="98" t="s">
        <v>62</v>
      </c>
      <c r="C6" s="98">
        <v>100</v>
      </c>
      <c r="D6" s="98">
        <v>1</v>
      </c>
      <c r="E6" s="98">
        <v>1</v>
      </c>
    </row>
    <row r="7" spans="1:5" x14ac:dyDescent="0.25">
      <c r="A7" s="98">
        <v>2302</v>
      </c>
      <c r="B7" s="98" t="s">
        <v>80</v>
      </c>
      <c r="C7" s="98">
        <v>100</v>
      </c>
      <c r="D7" s="98">
        <v>1</v>
      </c>
      <c r="E7" s="98">
        <v>1</v>
      </c>
    </row>
    <row r="8" spans="1:5" x14ac:dyDescent="0.25">
      <c r="A8" s="89">
        <v>2317</v>
      </c>
      <c r="B8" s="89" t="s">
        <v>76</v>
      </c>
      <c r="C8" s="89">
        <v>100</v>
      </c>
      <c r="D8" s="89">
        <v>1</v>
      </c>
      <c r="E8" s="89">
        <v>1</v>
      </c>
    </row>
    <row r="9" spans="1:5" x14ac:dyDescent="0.25">
      <c r="A9" s="89">
        <v>2317</v>
      </c>
      <c r="B9" t="s">
        <v>80</v>
      </c>
      <c r="C9" s="89">
        <v>100</v>
      </c>
      <c r="D9" s="89">
        <v>2</v>
      </c>
      <c r="E9" s="89">
        <v>2</v>
      </c>
    </row>
    <row r="10" spans="1:5" x14ac:dyDescent="0.25">
      <c r="A10" s="89">
        <v>2317</v>
      </c>
      <c r="B10" t="s">
        <v>83</v>
      </c>
      <c r="C10" s="89">
        <v>100</v>
      </c>
      <c r="D10" s="89">
        <v>3</v>
      </c>
      <c r="E10" s="89">
        <v>3</v>
      </c>
    </row>
    <row r="11" spans="1:5" x14ac:dyDescent="0.25">
      <c r="A11" s="89">
        <v>2312</v>
      </c>
      <c r="B11" t="s">
        <v>83</v>
      </c>
      <c r="C11" s="89">
        <v>100</v>
      </c>
      <c r="D11" s="89">
        <v>2</v>
      </c>
      <c r="E11" s="89">
        <v>2</v>
      </c>
    </row>
    <row r="12" spans="1:5" x14ac:dyDescent="0.25">
      <c r="A12">
        <v>2312</v>
      </c>
      <c r="B12" t="s">
        <v>80</v>
      </c>
      <c r="C12">
        <v>100</v>
      </c>
      <c r="D12">
        <v>0</v>
      </c>
      <c r="E12">
        <v>0</v>
      </c>
    </row>
    <row r="13" spans="1:5" x14ac:dyDescent="0.25">
      <c r="A13">
        <v>2312</v>
      </c>
      <c r="B13" t="s">
        <v>62</v>
      </c>
      <c r="C13">
        <v>100</v>
      </c>
      <c r="D13">
        <v>2</v>
      </c>
      <c r="E13">
        <v>1</v>
      </c>
    </row>
    <row r="14" spans="1:5" x14ac:dyDescent="0.25">
      <c r="A14" s="140">
        <v>2336</v>
      </c>
      <c r="B14" s="140" t="s">
        <v>83</v>
      </c>
      <c r="C14" s="140">
        <v>100</v>
      </c>
      <c r="D14" s="140">
        <v>0</v>
      </c>
      <c r="E14" s="140">
        <v>0</v>
      </c>
    </row>
    <row r="15" spans="1:5" x14ac:dyDescent="0.25">
      <c r="A15" s="140">
        <v>2329</v>
      </c>
      <c r="B15" s="140" t="s">
        <v>83</v>
      </c>
      <c r="C15" s="140">
        <v>100</v>
      </c>
      <c r="D15" s="140">
        <v>0</v>
      </c>
      <c r="E15" s="140">
        <v>0</v>
      </c>
    </row>
    <row r="16" spans="1:5" x14ac:dyDescent="0.25">
      <c r="A16" s="140">
        <v>2329</v>
      </c>
      <c r="B16" s="140" t="s">
        <v>80</v>
      </c>
      <c r="C16" s="140">
        <v>100</v>
      </c>
      <c r="D16" s="140">
        <v>4</v>
      </c>
      <c r="E16" s="140">
        <v>4</v>
      </c>
    </row>
    <row r="17" spans="1:5" x14ac:dyDescent="0.25">
      <c r="A17" s="140">
        <v>2326</v>
      </c>
      <c r="B17" s="140" t="s">
        <v>83</v>
      </c>
      <c r="C17" s="140">
        <v>100</v>
      </c>
      <c r="D17" s="140">
        <v>3</v>
      </c>
      <c r="E17" s="140">
        <v>3</v>
      </c>
    </row>
    <row r="18" spans="1:5" x14ac:dyDescent="0.25">
      <c r="A18" s="140">
        <v>2326</v>
      </c>
      <c r="B18" s="140" t="s">
        <v>83</v>
      </c>
      <c r="C18" s="140">
        <v>100</v>
      </c>
      <c r="D18" s="140">
        <v>2</v>
      </c>
      <c r="E18" s="140">
        <v>2</v>
      </c>
    </row>
    <row r="19" spans="1:5" x14ac:dyDescent="0.25">
      <c r="A19" s="140">
        <v>2326</v>
      </c>
      <c r="B19" s="140" t="s">
        <v>80</v>
      </c>
      <c r="C19" s="140">
        <v>100</v>
      </c>
      <c r="D19" s="140">
        <v>2</v>
      </c>
      <c r="E19" s="140">
        <v>2</v>
      </c>
    </row>
    <row r="20" spans="1:5" x14ac:dyDescent="0.25">
      <c r="A20" s="140">
        <v>2326</v>
      </c>
      <c r="B20" s="140" t="s">
        <v>76</v>
      </c>
      <c r="C20" s="140">
        <v>100</v>
      </c>
      <c r="D20" s="140">
        <v>1</v>
      </c>
      <c r="E20" s="140">
        <v>1</v>
      </c>
    </row>
    <row r="100" spans="3:6" x14ac:dyDescent="0.25">
      <c r="C100">
        <f>SUM(C2:C99)</f>
        <v>1850</v>
      </c>
      <c r="D100">
        <f>SUM(D2:D99)</f>
        <v>35</v>
      </c>
      <c r="E100">
        <f>SUM(E2:E99)</f>
        <v>34</v>
      </c>
      <c r="F100" s="22">
        <f>E100/C100</f>
        <v>1.8378378378378378E-2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topLeftCell="A64" workbookViewId="0">
      <selection activeCell="D21" sqref="D21"/>
    </sheetView>
  </sheetViews>
  <sheetFormatPr defaultRowHeight="15" x14ac:dyDescent="0.25"/>
  <sheetData>
    <row r="1" spans="1:5" x14ac:dyDescent="0.25">
      <c r="A1" s="86" t="s">
        <v>69</v>
      </c>
      <c r="B1" s="86" t="s">
        <v>70</v>
      </c>
      <c r="C1" s="86" t="s">
        <v>71</v>
      </c>
      <c r="D1" s="86" t="s">
        <v>72</v>
      </c>
      <c r="E1" s="86" t="s">
        <v>73</v>
      </c>
    </row>
    <row r="2" spans="1:5" x14ac:dyDescent="0.25">
      <c r="A2" s="120">
        <v>2170</v>
      </c>
      <c r="B2" s="121" t="s">
        <v>74</v>
      </c>
      <c r="C2" s="120">
        <v>100</v>
      </c>
      <c r="D2" s="120">
        <v>6</v>
      </c>
      <c r="E2" s="120">
        <v>6</v>
      </c>
    </row>
    <row r="3" spans="1:5" x14ac:dyDescent="0.25">
      <c r="A3" s="98">
        <v>2174</v>
      </c>
      <c r="B3" s="98">
        <v>41200</v>
      </c>
      <c r="C3" s="98">
        <v>100</v>
      </c>
      <c r="D3" s="98">
        <v>3</v>
      </c>
      <c r="E3" s="98">
        <v>3</v>
      </c>
    </row>
    <row r="4" spans="1:5" x14ac:dyDescent="0.25">
      <c r="A4" s="98">
        <v>2174</v>
      </c>
      <c r="B4" s="98">
        <v>41300</v>
      </c>
      <c r="C4" s="98">
        <v>100</v>
      </c>
      <c r="D4" s="98">
        <v>3</v>
      </c>
      <c r="E4" s="98">
        <v>3</v>
      </c>
    </row>
    <row r="5" spans="1:5" x14ac:dyDescent="0.25">
      <c r="A5" s="98">
        <v>2305</v>
      </c>
      <c r="B5" s="98" t="s">
        <v>81</v>
      </c>
      <c r="C5" s="98">
        <v>100</v>
      </c>
      <c r="D5" s="98">
        <v>1</v>
      </c>
      <c r="E5" s="98">
        <v>1</v>
      </c>
    </row>
    <row r="6" spans="1:5" x14ac:dyDescent="0.25">
      <c r="A6" s="98">
        <v>2305</v>
      </c>
      <c r="B6" s="98" t="s">
        <v>82</v>
      </c>
      <c r="C6" s="98">
        <v>100</v>
      </c>
      <c r="D6" s="98">
        <v>2</v>
      </c>
      <c r="E6" s="98">
        <v>2</v>
      </c>
    </row>
    <row r="7" spans="1:5" x14ac:dyDescent="0.25">
      <c r="A7" s="82">
        <v>2321</v>
      </c>
      <c r="B7" s="81" t="s">
        <v>74</v>
      </c>
      <c r="C7" s="82">
        <v>100</v>
      </c>
      <c r="D7" s="82">
        <v>3</v>
      </c>
      <c r="E7" s="82">
        <v>3</v>
      </c>
    </row>
    <row r="8" spans="1:5" x14ac:dyDescent="0.25">
      <c r="A8" s="82">
        <v>2321</v>
      </c>
      <c r="B8" s="81" t="s">
        <v>84</v>
      </c>
      <c r="C8" s="82">
        <v>100</v>
      </c>
      <c r="D8" s="82">
        <v>2</v>
      </c>
      <c r="E8" s="82">
        <v>2</v>
      </c>
    </row>
    <row r="9" spans="1:5" x14ac:dyDescent="0.25">
      <c r="A9" s="82">
        <v>2313</v>
      </c>
      <c r="B9" s="81" t="s">
        <v>82</v>
      </c>
      <c r="C9" s="82">
        <v>50</v>
      </c>
      <c r="D9" s="82">
        <v>1</v>
      </c>
      <c r="E9" s="82">
        <v>1</v>
      </c>
    </row>
    <row r="10" spans="1:5" x14ac:dyDescent="0.25">
      <c r="A10" s="82">
        <v>2313</v>
      </c>
      <c r="B10" s="81" t="s">
        <v>84</v>
      </c>
      <c r="C10" s="82">
        <v>50</v>
      </c>
      <c r="D10" s="82">
        <v>1</v>
      </c>
      <c r="E10" s="82">
        <v>1</v>
      </c>
    </row>
    <row r="11" spans="1:5" x14ac:dyDescent="0.25">
      <c r="A11" s="82">
        <v>2313</v>
      </c>
      <c r="B11" s="81" t="s">
        <v>85</v>
      </c>
      <c r="C11" s="82">
        <v>50</v>
      </c>
      <c r="D11" s="82">
        <v>2</v>
      </c>
      <c r="E11" s="82">
        <v>2</v>
      </c>
    </row>
    <row r="12" spans="1:5" x14ac:dyDescent="0.25">
      <c r="A12" s="82">
        <v>2313</v>
      </c>
      <c r="B12" s="81" t="s">
        <v>74</v>
      </c>
      <c r="C12" s="82">
        <v>50</v>
      </c>
      <c r="D12" s="82">
        <v>3</v>
      </c>
      <c r="E12" s="82">
        <v>3</v>
      </c>
    </row>
    <row r="13" spans="1:5" x14ac:dyDescent="0.25">
      <c r="A13" s="142">
        <v>2331</v>
      </c>
      <c r="B13" s="142" t="s">
        <v>88</v>
      </c>
      <c r="C13" s="142">
        <v>100</v>
      </c>
      <c r="D13" s="142">
        <v>1</v>
      </c>
      <c r="E13" s="142">
        <v>1</v>
      </c>
    </row>
    <row r="14" spans="1:5" x14ac:dyDescent="0.25">
      <c r="A14" s="142">
        <v>2325</v>
      </c>
      <c r="B14" s="142" t="s">
        <v>74</v>
      </c>
      <c r="C14" s="142">
        <v>100</v>
      </c>
      <c r="D14" s="142">
        <v>2</v>
      </c>
      <c r="E14" s="142">
        <v>2</v>
      </c>
    </row>
    <row r="15" spans="1:5" x14ac:dyDescent="0.25">
      <c r="A15" s="142">
        <v>2325</v>
      </c>
      <c r="B15" s="142" t="s">
        <v>84</v>
      </c>
      <c r="C15" s="142">
        <v>100</v>
      </c>
      <c r="D15" s="142">
        <v>3</v>
      </c>
      <c r="E15" s="142">
        <v>3</v>
      </c>
    </row>
    <row r="16" spans="1:5" x14ac:dyDescent="0.25">
      <c r="A16" s="142">
        <v>2321</v>
      </c>
      <c r="B16" s="142" t="s">
        <v>74</v>
      </c>
      <c r="C16" s="142">
        <v>100</v>
      </c>
      <c r="D16" s="142">
        <v>3</v>
      </c>
      <c r="E16" s="142">
        <v>3</v>
      </c>
    </row>
    <row r="17" spans="1:5" x14ac:dyDescent="0.25">
      <c r="A17" s="142">
        <v>2321</v>
      </c>
      <c r="B17" s="142" t="s">
        <v>84</v>
      </c>
      <c r="C17" s="142">
        <v>100</v>
      </c>
      <c r="D17" s="142">
        <v>2</v>
      </c>
      <c r="E17" s="142">
        <v>2</v>
      </c>
    </row>
    <row r="100" spans="3:6" x14ac:dyDescent="0.25">
      <c r="C100">
        <f>SUM(C2:C99)</f>
        <v>1400</v>
      </c>
      <c r="D100">
        <f>SUM(D2:D99)</f>
        <v>38</v>
      </c>
      <c r="E100">
        <f>SUM(E2:E99)</f>
        <v>38</v>
      </c>
      <c r="F100" s="22">
        <f>E100/C100</f>
        <v>2.7142857142857142E-2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6F297-0C22-4EA4-968B-45E62C8713F4}">
  <sheetPr>
    <pageSetUpPr fitToPage="1"/>
  </sheetPr>
  <dimension ref="A1:X35"/>
  <sheetViews>
    <sheetView zoomScale="90" zoomScaleNormal="90" workbookViewId="0">
      <selection activeCell="A21" sqref="A21:XFD28"/>
    </sheetView>
  </sheetViews>
  <sheetFormatPr defaultRowHeight="15" x14ac:dyDescent="0.25"/>
  <cols>
    <col min="1" max="1" width="8.7109375" customWidth="1"/>
    <col min="20" max="20" width="10.85546875" style="20" customWidth="1"/>
    <col min="24" max="24" width="9.85546875" customWidth="1"/>
  </cols>
  <sheetData>
    <row r="1" spans="1:24" ht="15.75" thickBot="1" x14ac:dyDescent="0.3">
      <c r="A1" s="34" t="s">
        <v>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45"/>
      <c r="U1" s="34"/>
      <c r="V1" s="87"/>
    </row>
    <row r="2" spans="1:24" ht="15.75" thickTop="1" x14ac:dyDescent="0.25">
      <c r="A2" s="35"/>
      <c r="B2" s="35"/>
      <c r="C2" s="35"/>
      <c r="D2" s="35"/>
      <c r="E2" s="133" t="s">
        <v>38</v>
      </c>
      <c r="F2" s="134"/>
      <c r="G2" s="135"/>
      <c r="H2" s="133" t="s">
        <v>39</v>
      </c>
      <c r="I2" s="134"/>
      <c r="J2" s="135"/>
      <c r="K2" s="133" t="s">
        <v>40</v>
      </c>
      <c r="L2" s="134"/>
      <c r="M2" s="135"/>
      <c r="N2" s="133" t="s">
        <v>41</v>
      </c>
      <c r="O2" s="134"/>
      <c r="P2" s="135"/>
      <c r="Q2" s="136" t="s">
        <v>42</v>
      </c>
      <c r="R2" s="137"/>
      <c r="S2" s="138"/>
      <c r="T2" s="131" t="s">
        <v>45</v>
      </c>
      <c r="U2" s="132"/>
      <c r="V2" s="42"/>
      <c r="W2" s="8" t="s">
        <v>57</v>
      </c>
      <c r="X2" s="8" t="s">
        <v>58</v>
      </c>
    </row>
    <row r="3" spans="1:24" ht="15.75" thickBot="1" x14ac:dyDescent="0.3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25</v>
      </c>
      <c r="F3" s="36" t="s">
        <v>26</v>
      </c>
      <c r="G3" s="36" t="s">
        <v>27</v>
      </c>
      <c r="H3" s="37" t="s">
        <v>25</v>
      </c>
      <c r="I3" s="36" t="s">
        <v>26</v>
      </c>
      <c r="J3" s="36" t="s">
        <v>27</v>
      </c>
      <c r="K3" s="37" t="s">
        <v>25</v>
      </c>
      <c r="L3" s="36" t="s">
        <v>26</v>
      </c>
      <c r="M3" s="36" t="s">
        <v>27</v>
      </c>
      <c r="N3" s="37" t="s">
        <v>25</v>
      </c>
      <c r="O3" s="36" t="s">
        <v>26</v>
      </c>
      <c r="P3" s="36" t="s">
        <v>27</v>
      </c>
      <c r="Q3" s="37" t="s">
        <v>25</v>
      </c>
      <c r="R3" s="36" t="s">
        <v>26</v>
      </c>
      <c r="S3" s="36" t="s">
        <v>27</v>
      </c>
      <c r="T3" s="46" t="s">
        <v>25</v>
      </c>
      <c r="U3" s="38" t="s">
        <v>26</v>
      </c>
      <c r="V3" s="42"/>
    </row>
    <row r="4" spans="1:24" ht="15.75" thickTop="1" x14ac:dyDescent="0.25">
      <c r="A4" s="39">
        <v>45198</v>
      </c>
      <c r="B4" s="40" t="s">
        <v>18</v>
      </c>
      <c r="C4" s="8">
        <v>-0.4</v>
      </c>
      <c r="D4" s="13">
        <v>0.8041666666666667</v>
      </c>
      <c r="E4" s="103">
        <f>Effort!F2</f>
        <v>2988.7370477849299</v>
      </c>
      <c r="F4" s="104">
        <f>Harvest!F2</f>
        <v>44532.182011995457</v>
      </c>
      <c r="G4" s="105">
        <f>+CPUE!F2</f>
        <v>14.9</v>
      </c>
      <c r="H4" s="103">
        <f>Effort!H2</f>
        <v>2761.0167537755901</v>
      </c>
      <c r="I4" s="104">
        <f>Harvest!H2</f>
        <v>41038.749022028198</v>
      </c>
      <c r="J4" s="105">
        <f>CPUE!H2</f>
        <v>14.863636363636402</v>
      </c>
      <c r="K4" s="41" t="str">
        <f>Effort!J2</f>
        <v>CLOSED</v>
      </c>
      <c r="L4" s="42" t="str">
        <f>Harvest!J2</f>
        <v>CLOSED</v>
      </c>
      <c r="M4" s="43" t="str">
        <f>CPUE!J2</f>
        <v>CLOSED</v>
      </c>
      <c r="N4" s="41" t="str">
        <f>Effort!L2</f>
        <v>CLOSED</v>
      </c>
      <c r="O4" s="42" t="str">
        <f>Harvest!L2</f>
        <v>CLOSED</v>
      </c>
      <c r="P4" s="43" t="str">
        <f>CPUE!L2</f>
        <v>CLOSED</v>
      </c>
      <c r="Q4" s="41" t="s">
        <v>10</v>
      </c>
      <c r="R4" s="42" t="s">
        <v>10</v>
      </c>
      <c r="S4" s="44" t="s">
        <v>10</v>
      </c>
      <c r="T4" s="41">
        <f>SUM(E4,H4,N4)</f>
        <v>5749.7538015605205</v>
      </c>
      <c r="U4" s="42">
        <f>SUM(F4,I4,O4)</f>
        <v>85570.931034023655</v>
      </c>
      <c r="V4" s="42"/>
    </row>
    <row r="5" spans="1:24" x14ac:dyDescent="0.25">
      <c r="A5" s="39">
        <v>45199</v>
      </c>
      <c r="B5" s="40" t="s">
        <v>19</v>
      </c>
      <c r="C5" s="8">
        <v>-0.9</v>
      </c>
      <c r="D5" s="13">
        <v>0.83611111111111114</v>
      </c>
      <c r="E5" s="41">
        <f>Effort!F3</f>
        <v>4253.9595372949343</v>
      </c>
      <c r="F5" s="42">
        <f>Harvest!F3</f>
        <v>63383.997105694521</v>
      </c>
      <c r="G5" s="43">
        <f>+CPUE!F3</f>
        <v>14.9</v>
      </c>
      <c r="H5" s="103">
        <f>Effort!H3</f>
        <v>3929.8383780733202</v>
      </c>
      <c r="I5" s="104">
        <f>Harvest!H3</f>
        <v>58456.345873840597</v>
      </c>
      <c r="J5" s="105">
        <f>CPUE!H3</f>
        <v>14.874999999999989</v>
      </c>
      <c r="K5" s="103">
        <f>Effort!J3</f>
        <v>4894.3942502325799</v>
      </c>
      <c r="L5" s="104">
        <f>Harvest!J3</f>
        <v>72769.484324212695</v>
      </c>
      <c r="M5" s="105">
        <f>CPUE!J3</f>
        <v>14.867924528301886</v>
      </c>
      <c r="N5" s="41" t="str">
        <f>Effort!L3</f>
        <v>CLOSED</v>
      </c>
      <c r="O5" s="42" t="str">
        <f>Harvest!L3</f>
        <v>CLOSED</v>
      </c>
      <c r="P5" s="43" t="str">
        <f>CPUE!L3</f>
        <v>CLOSED</v>
      </c>
      <c r="Q5" s="41" t="s">
        <v>10</v>
      </c>
      <c r="R5" s="42" t="s">
        <v>10</v>
      </c>
      <c r="S5" s="44" t="s">
        <v>10</v>
      </c>
      <c r="T5" s="41">
        <f>SUM(E5,H5,K5)</f>
        <v>13078.192165600834</v>
      </c>
      <c r="U5" s="42">
        <f>SUM(F5,I5,L5)</f>
        <v>194609.82730374782</v>
      </c>
      <c r="V5" s="42"/>
    </row>
    <row r="6" spans="1:24" x14ac:dyDescent="0.25">
      <c r="A6" s="39">
        <v>45200</v>
      </c>
      <c r="B6" s="40" t="s">
        <v>20</v>
      </c>
      <c r="C6" s="8">
        <v>-1</v>
      </c>
      <c r="D6" s="13">
        <v>0.86736111111111114</v>
      </c>
      <c r="E6" s="41">
        <f>Effort!F4</f>
        <v>2134.3396560233491</v>
      </c>
      <c r="F6" s="42">
        <f>Harvest!F4</f>
        <v>30947.925012338561</v>
      </c>
      <c r="G6" s="43">
        <f>+CPUE!F4</f>
        <v>14.5</v>
      </c>
      <c r="H6" s="103">
        <f>Effort!H4</f>
        <v>1971.71830586287</v>
      </c>
      <c r="I6" s="104">
        <f>Harvest!H4</f>
        <v>28720.123247662999</v>
      </c>
      <c r="J6" s="105">
        <f>CPUE!H4</f>
        <v>14.566037735849088</v>
      </c>
      <c r="K6" s="41" t="str">
        <f>Effort!J4</f>
        <v>CLOSED</v>
      </c>
      <c r="L6" s="42" t="str">
        <f>Harvest!J4</f>
        <v>CLOSED</v>
      </c>
      <c r="M6" s="43" t="str">
        <f>CPUE!J4</f>
        <v>CLOSED</v>
      </c>
      <c r="N6" s="41" t="str">
        <f>Effort!L4</f>
        <v>CLOSED</v>
      </c>
      <c r="O6" s="42" t="str">
        <f>Harvest!L4</f>
        <v>CLOSED</v>
      </c>
      <c r="P6" s="43" t="str">
        <f>CPUE!L4</f>
        <v>CLOSED</v>
      </c>
      <c r="Q6" s="41" t="s">
        <v>10</v>
      </c>
      <c r="R6" s="42" t="s">
        <v>10</v>
      </c>
      <c r="S6" s="44" t="s">
        <v>10</v>
      </c>
      <c r="T6" s="41">
        <f>SUM(E6,H6,N6)</f>
        <v>4106.0579618862193</v>
      </c>
      <c r="U6" s="42">
        <f>SUM(F6,I6,O6)</f>
        <v>59668.04826000156</v>
      </c>
      <c r="V6" s="42"/>
    </row>
    <row r="7" spans="1:24" x14ac:dyDescent="0.25">
      <c r="A7" s="39">
        <v>45201</v>
      </c>
      <c r="B7" s="40" t="s">
        <v>21</v>
      </c>
      <c r="C7" s="8">
        <v>-0.9</v>
      </c>
      <c r="D7" s="13">
        <v>0.9</v>
      </c>
      <c r="E7" s="103">
        <f>Effort!F5</f>
        <v>187.6335443982187</v>
      </c>
      <c r="F7" s="104">
        <f>Harvest!F5</f>
        <v>394.03044323625932</v>
      </c>
      <c r="G7" s="105">
        <f>+CPUE!F5</f>
        <v>2.1</v>
      </c>
      <c r="H7" s="41">
        <f>Effort!H5</f>
        <v>454.5980131977438</v>
      </c>
      <c r="I7" s="42">
        <f>Harvest!H5</f>
        <v>2272.9900659887189</v>
      </c>
      <c r="J7" s="43">
        <f>CPUE!H5</f>
        <v>5</v>
      </c>
      <c r="K7" s="103">
        <f>Effort!J5</f>
        <v>566.17643981914398</v>
      </c>
      <c r="L7" s="104">
        <f>Harvest!J5</f>
        <v>4367.6468214619699</v>
      </c>
      <c r="M7" s="105">
        <f>CPUE!J5</f>
        <v>7.714285714285718</v>
      </c>
      <c r="N7" s="41" t="str">
        <f>Effort!L5</f>
        <v>CLOSED</v>
      </c>
      <c r="O7" s="42" t="str">
        <f>Harvest!L5</f>
        <v>CLOSED</v>
      </c>
      <c r="P7" s="43" t="str">
        <f>CPUE!L5</f>
        <v>CLOSED</v>
      </c>
      <c r="Q7" s="41" t="s">
        <v>10</v>
      </c>
      <c r="R7" s="42" t="s">
        <v>10</v>
      </c>
      <c r="S7" s="44" t="s">
        <v>10</v>
      </c>
      <c r="T7" s="41">
        <f>SUM(E7,H7,K7)</f>
        <v>1208.4079974151064</v>
      </c>
      <c r="U7" s="42">
        <f>SUM(F7,I7,L7)</f>
        <v>7034.6673306869479</v>
      </c>
      <c r="V7" s="42"/>
    </row>
    <row r="8" spans="1:24" x14ac:dyDescent="0.25">
      <c r="A8" s="129" t="s">
        <v>50</v>
      </c>
      <c r="B8" s="129"/>
      <c r="C8" s="129"/>
      <c r="D8" s="130"/>
      <c r="E8" s="47">
        <f>SUM(E4:E7)</f>
        <v>9564.6697855014318</v>
      </c>
      <c r="F8" s="48">
        <f>SUM(F4:F7)</f>
        <v>139258.1345732648</v>
      </c>
      <c r="G8" s="49">
        <f>+F8/E8</f>
        <v>14.559638513015758</v>
      </c>
      <c r="H8" s="47">
        <f>SUM(H4:H7)</f>
        <v>9117.1714509095236</v>
      </c>
      <c r="I8" s="48">
        <f>SUM(I4:I7)</f>
        <v>130488.20820952051</v>
      </c>
      <c r="J8" s="49">
        <f>+I8/H8</f>
        <v>14.312356514530951</v>
      </c>
      <c r="K8" s="47">
        <f>SUM(K4:K7)</f>
        <v>5460.5706900517234</v>
      </c>
      <c r="L8" s="48">
        <f>SUM(L4:L7)</f>
        <v>77137.131145674663</v>
      </c>
      <c r="M8" s="49">
        <f>+L8/K8</f>
        <v>14.126203198175977</v>
      </c>
      <c r="N8" s="47">
        <f>SUM(N4:N7)</f>
        <v>0</v>
      </c>
      <c r="O8" s="48">
        <v>0</v>
      </c>
      <c r="P8" s="49">
        <v>0</v>
      </c>
      <c r="Q8" s="47"/>
      <c r="R8" s="48"/>
      <c r="S8" s="49"/>
      <c r="T8" s="47">
        <f>SUM(T4:T7)</f>
        <v>24142.411926462682</v>
      </c>
      <c r="U8" s="48">
        <f>SUM(U4:U7)</f>
        <v>346883.47392845998</v>
      </c>
      <c r="V8" s="63"/>
      <c r="W8" s="20">
        <f>SUM(H8,K8,N8,Q8,E8)</f>
        <v>24142.411926462679</v>
      </c>
      <c r="X8" s="20">
        <f>SUM(R8,O8,L8,I8,F8)</f>
        <v>346883.47392845998</v>
      </c>
    </row>
    <row r="9" spans="1:24" x14ac:dyDescent="0.25">
      <c r="A9" s="39">
        <v>45213</v>
      </c>
      <c r="B9" s="40" t="s">
        <v>19</v>
      </c>
      <c r="C9" s="8">
        <v>0.2</v>
      </c>
      <c r="D9" s="13">
        <v>0.80347222222222225</v>
      </c>
      <c r="E9" s="103">
        <f>Effort!F7</f>
        <v>2046.3485917937671</v>
      </c>
      <c r="F9" s="104">
        <f>Harvest!F7</f>
        <v>13563.489711467719</v>
      </c>
      <c r="G9" s="105">
        <f>+CPUE!F7</f>
        <v>6.628142324264692</v>
      </c>
      <c r="H9" s="41">
        <f>Effort!H7</f>
        <v>2003.96372652524</v>
      </c>
      <c r="I9" s="42">
        <f>Harvest!H7</f>
        <v>21041.61912851502</v>
      </c>
      <c r="J9" s="43">
        <f>CPUE!H7</f>
        <v>10.5</v>
      </c>
      <c r="K9" s="41" t="str">
        <f>Effort!J7</f>
        <v>CLOSED</v>
      </c>
      <c r="L9" s="42" t="str">
        <f>Harvest!J7</f>
        <v>CLOSED</v>
      </c>
      <c r="M9" s="43" t="str">
        <f>CPUE!J7</f>
        <v>CLOSED</v>
      </c>
      <c r="N9" s="103">
        <f>Effort!L7</f>
        <v>1765.40393744314</v>
      </c>
      <c r="O9" s="104">
        <f>Harvest!L7</f>
        <v>22050.241336299601</v>
      </c>
      <c r="P9" s="105">
        <f>CPUE!L7</f>
        <v>12.490196078431367</v>
      </c>
      <c r="Q9" s="41" t="s">
        <v>10</v>
      </c>
      <c r="R9" s="42" t="s">
        <v>10</v>
      </c>
      <c r="S9" s="44" t="s">
        <v>10</v>
      </c>
      <c r="T9" s="41">
        <f>SUM(E9,H9,N9)</f>
        <v>5815.7162557621468</v>
      </c>
      <c r="U9" s="42">
        <f>SUM(F9,I9,O9)</f>
        <v>56655.350176282343</v>
      </c>
      <c r="V9" s="42"/>
    </row>
    <row r="10" spans="1:24" x14ac:dyDescent="0.25">
      <c r="A10" s="39">
        <v>45214</v>
      </c>
      <c r="B10" s="40" t="s">
        <v>20</v>
      </c>
      <c r="C10" s="8">
        <v>-0.1</v>
      </c>
      <c r="D10" s="13">
        <v>0.82777777777777783</v>
      </c>
      <c r="E10" s="41">
        <f>Effort!F8</f>
        <v>1317.8028498004965</v>
      </c>
      <c r="F10" s="42">
        <f>Harvest!F8</f>
        <v>6589.0142490024828</v>
      </c>
      <c r="G10" s="43">
        <f>+CPUE!F8</f>
        <v>5</v>
      </c>
      <c r="H10" s="103">
        <f>Effort!H8</f>
        <v>858.22633169735798</v>
      </c>
      <c r="I10" s="104">
        <f>Harvest!H8</f>
        <v>3269.4336445613599</v>
      </c>
      <c r="J10" s="105">
        <f>CPUE!H8</f>
        <v>3.8095238095238049</v>
      </c>
      <c r="K10" s="103">
        <f>Effort!J8</f>
        <v>1476.99083050996</v>
      </c>
      <c r="L10" s="104">
        <f>Harvest!J8</f>
        <v>13056.598941708</v>
      </c>
      <c r="M10" s="105">
        <f>CPUE!J8</f>
        <v>8.8399999999999679</v>
      </c>
      <c r="N10" s="41" t="str">
        <f>Effort!L8</f>
        <v>CLOSED</v>
      </c>
      <c r="O10" s="42" t="str">
        <f>Harvest!L8</f>
        <v>CLOSED</v>
      </c>
      <c r="P10" s="43" t="str">
        <f>CPUE!L8</f>
        <v>CLOSED</v>
      </c>
      <c r="Q10" s="41" t="s">
        <v>10</v>
      </c>
      <c r="R10" s="42" t="s">
        <v>10</v>
      </c>
      <c r="S10" s="44" t="s">
        <v>10</v>
      </c>
      <c r="T10" s="41">
        <f>SUM(E10,H10,K10)</f>
        <v>3653.0200120078143</v>
      </c>
      <c r="U10" s="42">
        <f>SUM(F10,I10,L10)</f>
        <v>22915.046835271845</v>
      </c>
      <c r="V10" s="42"/>
    </row>
    <row r="11" spans="1:24" x14ac:dyDescent="0.25">
      <c r="A11" s="39">
        <v>45215</v>
      </c>
      <c r="B11" s="40" t="s">
        <v>21</v>
      </c>
      <c r="C11" s="8">
        <v>-0.3</v>
      </c>
      <c r="D11" s="13">
        <v>0.85277777777777775</v>
      </c>
      <c r="E11" s="41">
        <f>Effort!F9</f>
        <v>330.12069156235435</v>
      </c>
      <c r="F11" s="42">
        <f>Harvest!F9</f>
        <v>4291.5689903106068</v>
      </c>
      <c r="G11" s="43">
        <f>+CPUE!F9</f>
        <v>13</v>
      </c>
      <c r="H11" s="103">
        <f>Effort!H9</f>
        <v>323.28308770036602</v>
      </c>
      <c r="I11" s="104">
        <f>Harvest!H9</f>
        <v>4238.6004831825703</v>
      </c>
      <c r="J11" s="105">
        <f>CPUE!H9</f>
        <v>13.111111111111091</v>
      </c>
      <c r="K11" s="41" t="str">
        <f>Effort!J9</f>
        <v>CLOSED</v>
      </c>
      <c r="L11" s="42" t="str">
        <f>Harvest!J9</f>
        <v>CLOSED</v>
      </c>
      <c r="M11" s="43" t="str">
        <f>CPUE!J9</f>
        <v>CLOSED</v>
      </c>
      <c r="N11" s="103">
        <f>Effort!L9</f>
        <v>284.798186903616</v>
      </c>
      <c r="O11" s="104">
        <f>Harvest!L9</f>
        <v>3987.17461665063</v>
      </c>
      <c r="P11" s="105">
        <f>CPUE!L9</f>
        <v>14.000000000000021</v>
      </c>
      <c r="Q11" s="41" t="s">
        <v>10</v>
      </c>
      <c r="R11" s="42" t="s">
        <v>10</v>
      </c>
      <c r="S11" s="44" t="s">
        <v>10</v>
      </c>
      <c r="T11" s="41">
        <f>SUM(E11,H11,N11)</f>
        <v>938.20196616633643</v>
      </c>
      <c r="U11" s="42">
        <f>SUM(F11,I11,O11)</f>
        <v>12517.344090143808</v>
      </c>
      <c r="V11" s="42"/>
    </row>
    <row r="12" spans="1:24" x14ac:dyDescent="0.25">
      <c r="A12" s="39">
        <v>45216</v>
      </c>
      <c r="B12" s="40" t="s">
        <v>66</v>
      </c>
      <c r="C12" s="8">
        <v>-0.4</v>
      </c>
      <c r="D12" s="13">
        <v>0.87916666666666676</v>
      </c>
      <c r="E12" s="103">
        <f>Effort!F10</f>
        <v>351.83275789788343</v>
      </c>
      <c r="F12" s="104">
        <f>Harvest!F10</f>
        <v>4433.092749513331</v>
      </c>
      <c r="G12" s="105">
        <f>+CPUE!F10</f>
        <v>12.6</v>
      </c>
      <c r="H12" s="41">
        <f>Effort!H10</f>
        <v>229.13301274722392</v>
      </c>
      <c r="I12" s="42">
        <f>Harvest!H10</f>
        <v>2978.7291657139108</v>
      </c>
      <c r="J12" s="43">
        <f>CPUE!H10</f>
        <v>13</v>
      </c>
      <c r="K12" s="103">
        <f>Effort!J10</f>
        <v>394.33345994575399</v>
      </c>
      <c r="L12" s="104">
        <f>Harvest!J10</f>
        <v>5366.3640418704799</v>
      </c>
      <c r="M12" s="105">
        <f>CPUE!J10</f>
        <v>13.608695652173918</v>
      </c>
      <c r="N12" s="41" t="str">
        <f>Effort!L10</f>
        <v>CLOSED</v>
      </c>
      <c r="O12" s="42" t="str">
        <f>Harvest!L10</f>
        <v>CLOSED</v>
      </c>
      <c r="P12" s="43" t="str">
        <f>CPUE!L10</f>
        <v>CLOSED</v>
      </c>
      <c r="Q12" s="41" t="s">
        <v>10</v>
      </c>
      <c r="R12" s="42" t="s">
        <v>10</v>
      </c>
      <c r="S12" s="44" t="s">
        <v>10</v>
      </c>
      <c r="T12" s="41">
        <f>SUM(E12,H12,K12)</f>
        <v>975.29923059086127</v>
      </c>
      <c r="U12" s="42">
        <f>SUM(F12,I12,L12)</f>
        <v>12778.185957097721</v>
      </c>
      <c r="V12" s="42"/>
    </row>
    <row r="13" spans="1:24" x14ac:dyDescent="0.25">
      <c r="A13" s="39">
        <v>45217</v>
      </c>
      <c r="B13" s="40" t="s">
        <v>67</v>
      </c>
      <c r="C13" s="8">
        <v>-0.3</v>
      </c>
      <c r="D13" s="13">
        <v>0.90902777777777777</v>
      </c>
      <c r="E13" s="41" t="str">
        <f>Effort!F11</f>
        <v>CLOSED</v>
      </c>
      <c r="F13" s="42" t="str">
        <f>Harvest!F11</f>
        <v>CLOSED</v>
      </c>
      <c r="G13" s="43" t="str">
        <f>+CPUE!F11</f>
        <v>CLOSED</v>
      </c>
      <c r="H13" s="41" t="str">
        <f>Effort!H11</f>
        <v>CLOSED</v>
      </c>
      <c r="I13" s="42" t="str">
        <f>Harvest!H11</f>
        <v>CLOSED</v>
      </c>
      <c r="J13" s="43" t="str">
        <f>CPUE!H11</f>
        <v>CLOSED</v>
      </c>
      <c r="K13" s="41" t="str">
        <f>Effort!J11</f>
        <v>CLOSED</v>
      </c>
      <c r="L13" s="42" t="str">
        <f>Harvest!J11</f>
        <v>CLOSED</v>
      </c>
      <c r="M13" s="43" t="str">
        <f>CPUE!J11</f>
        <v>CLOSED</v>
      </c>
      <c r="N13" s="103">
        <f>Effort!L11</f>
        <v>407.60234680324498</v>
      </c>
      <c r="O13" s="104">
        <f>Harvest!L11</f>
        <v>3764.3275557711499</v>
      </c>
      <c r="P13" s="105">
        <f>CPUE!L11</f>
        <v>9.2352941176470722</v>
      </c>
      <c r="Q13" s="41" t="s">
        <v>10</v>
      </c>
      <c r="R13" s="42" t="s">
        <v>10</v>
      </c>
      <c r="S13" s="44" t="s">
        <v>10</v>
      </c>
      <c r="T13" s="41">
        <f>SUM(E13,H13,N13)</f>
        <v>407.60234680324498</v>
      </c>
      <c r="U13" s="42">
        <f>SUM(F13,I13,O13)</f>
        <v>3764.3275557711499</v>
      </c>
      <c r="V13" s="42"/>
    </row>
    <row r="14" spans="1:24" x14ac:dyDescent="0.25">
      <c r="A14" s="129" t="s">
        <v>50</v>
      </c>
      <c r="B14" s="129"/>
      <c r="C14" s="129"/>
      <c r="D14" s="130"/>
      <c r="E14" s="47">
        <f>SUM(E9:E13)</f>
        <v>4046.1048910545014</v>
      </c>
      <c r="F14" s="48">
        <f>SUM(F9:F13)</f>
        <v>28877.165700294143</v>
      </c>
      <c r="G14" s="49">
        <f>+F14/E14</f>
        <v>7.1370284453421906</v>
      </c>
      <c r="H14" s="47">
        <f>SUM(H9:H13)</f>
        <v>3414.6061586701881</v>
      </c>
      <c r="I14" s="48">
        <f>SUM(I9:I13)</f>
        <v>31528.382421972859</v>
      </c>
      <c r="J14" s="49">
        <f>+I14/H14</f>
        <v>9.2333876754476218</v>
      </c>
      <c r="K14" s="47">
        <f>SUM(K9:K13)</f>
        <v>1871.3242904557139</v>
      </c>
      <c r="L14" s="48">
        <f>SUM(L9:L13)</f>
        <v>18422.96298357848</v>
      </c>
      <c r="M14" s="49">
        <f>+L14/K14</f>
        <v>9.8448799481419815</v>
      </c>
      <c r="N14" s="47">
        <f>SUM(N9:N13)</f>
        <v>2457.8044711500011</v>
      </c>
      <c r="O14" s="48">
        <f>SUM(O9:O13)</f>
        <v>29801.743508721382</v>
      </c>
      <c r="P14" s="49">
        <f>+O14/N14</f>
        <v>12.125351653696526</v>
      </c>
      <c r="Q14" s="47"/>
      <c r="R14" s="48"/>
      <c r="S14" s="49"/>
      <c r="T14" s="47">
        <f>SUM(T9:T13)</f>
        <v>11789.839811330403</v>
      </c>
      <c r="U14" s="48">
        <f>SUM(U9:U13)</f>
        <v>108630.25461456686</v>
      </c>
      <c r="V14" s="63"/>
      <c r="W14" s="20">
        <f>SUM(H14,K14,N14,Q14,E14)</f>
        <v>11789.839811330405</v>
      </c>
      <c r="X14" s="20">
        <f>SUM(R14,O14,L14,I14,F14)</f>
        <v>108630.25461456686</v>
      </c>
    </row>
    <row r="15" spans="1:24" s="114" customFormat="1" x14ac:dyDescent="0.25">
      <c r="A15" s="109">
        <v>45226</v>
      </c>
      <c r="B15" s="110" t="s">
        <v>18</v>
      </c>
      <c r="C15" s="111">
        <v>-0.4</v>
      </c>
      <c r="D15" s="112">
        <v>0.76250000000000007</v>
      </c>
      <c r="E15" s="103">
        <f>Effort!F13</f>
        <v>2370.3999880464953</v>
      </c>
      <c r="F15" s="104">
        <f>Harvest!F13</f>
        <v>34747.418269698901</v>
      </c>
      <c r="G15" s="105">
        <f>+CPUE!F13</f>
        <v>14.658883920403282</v>
      </c>
      <c r="H15" s="106">
        <f>Effort!H13</f>
        <v>2389.6520864055901</v>
      </c>
      <c r="I15" s="107">
        <f>Harvest!H13</f>
        <v>35127.88567016217</v>
      </c>
      <c r="J15" s="108">
        <f>CPUE!H13</f>
        <v>14.7</v>
      </c>
      <c r="K15" s="106" t="str">
        <f>Effort!J13</f>
        <v>CLOSED</v>
      </c>
      <c r="L15" s="107" t="str">
        <f>Harvest!J13</f>
        <v>CLOSED</v>
      </c>
      <c r="M15" s="108" t="str">
        <f>CPUE!J13</f>
        <v>CLOSED</v>
      </c>
      <c r="N15" s="103">
        <f>Effort!L13</f>
        <v>1854.54330265823</v>
      </c>
      <c r="O15" s="104">
        <f>Harvest!L13</f>
        <v>27143.770157088598</v>
      </c>
      <c r="P15" s="105">
        <f>CPUE!L13</f>
        <v>14.636363636363614</v>
      </c>
      <c r="Q15" s="106" t="s">
        <v>10</v>
      </c>
      <c r="R15" s="107" t="s">
        <v>10</v>
      </c>
      <c r="S15" s="113" t="s">
        <v>10</v>
      </c>
      <c r="T15" s="106">
        <f>SUM(E15,H15,N15)</f>
        <v>6614.5953771103159</v>
      </c>
      <c r="U15" s="107">
        <f>SUM(F15,I15,O15)</f>
        <v>97019.074096949669</v>
      </c>
      <c r="V15" s="107"/>
    </row>
    <row r="16" spans="1:24" s="114" customFormat="1" x14ac:dyDescent="0.25">
      <c r="A16" s="109">
        <v>45227</v>
      </c>
      <c r="B16" s="110" t="s">
        <v>19</v>
      </c>
      <c r="C16" s="111">
        <v>-1</v>
      </c>
      <c r="D16" s="112">
        <v>0.79375000000000007</v>
      </c>
      <c r="E16" s="103">
        <f>Effort!F14</f>
        <v>4305.8988351462121</v>
      </c>
      <c r="F16" s="104">
        <f>Harvest!F14</f>
        <v>64588.482527193184</v>
      </c>
      <c r="G16" s="105">
        <f>+CPUE!F14</f>
        <v>15</v>
      </c>
      <c r="H16" s="106">
        <f>Effort!H14</f>
        <v>4132.6285894096272</v>
      </c>
      <c r="I16" s="107">
        <f>Harvest!H14</f>
        <v>61989.428841144407</v>
      </c>
      <c r="J16" s="108">
        <f>CPUE!H14</f>
        <v>15</v>
      </c>
      <c r="K16" s="103">
        <f>Effort!J14</f>
        <v>5902.8030789941804</v>
      </c>
      <c r="L16" s="104">
        <f>Harvest!J14</f>
        <v>88542.046184912702</v>
      </c>
      <c r="M16" s="105">
        <f>CPUE!J14</f>
        <v>15</v>
      </c>
      <c r="N16" s="106" t="str">
        <f>Effort!L14</f>
        <v>CLOSED</v>
      </c>
      <c r="O16" s="107" t="str">
        <f>Harvest!L14</f>
        <v>CLOSED</v>
      </c>
      <c r="P16" s="108" t="str">
        <f>CPUE!L14</f>
        <v>CLOSED</v>
      </c>
      <c r="Q16" s="106" t="s">
        <v>10</v>
      </c>
      <c r="R16" s="107" t="s">
        <v>10</v>
      </c>
      <c r="S16" s="113" t="s">
        <v>10</v>
      </c>
      <c r="T16" s="106">
        <f>SUM(E16,H16,K16)</f>
        <v>14341.33050355002</v>
      </c>
      <c r="U16" s="107">
        <f>SUM(F16,I16,L16)</f>
        <v>215119.95755325031</v>
      </c>
      <c r="V16" s="107"/>
    </row>
    <row r="17" spans="1:24" s="114" customFormat="1" x14ac:dyDescent="0.25">
      <c r="A17" s="109">
        <v>45228</v>
      </c>
      <c r="B17" s="110" t="s">
        <v>20</v>
      </c>
      <c r="C17" s="111">
        <v>-1.3</v>
      </c>
      <c r="D17" s="112">
        <v>0.82361111111111107</v>
      </c>
      <c r="E17" s="106">
        <f>Effort!F15</f>
        <v>1984.5658957728083</v>
      </c>
      <c r="F17" s="107">
        <f>Harvest!F15</f>
        <v>28776.20548870572</v>
      </c>
      <c r="G17" s="108">
        <f>+CPUE!F15</f>
        <v>14.5</v>
      </c>
      <c r="H17" s="103">
        <f>Effort!H15</f>
        <v>2000.6842968942201</v>
      </c>
      <c r="I17" s="104">
        <f>Harvest!H15</f>
        <v>29622.071977896601</v>
      </c>
      <c r="J17" s="105">
        <f>CPUE!H15</f>
        <v>14.805970149253776</v>
      </c>
      <c r="K17" s="106" t="str">
        <f>Effort!J15</f>
        <v>CLOSED</v>
      </c>
      <c r="L17" s="107" t="str">
        <f>Harvest!J15</f>
        <v>CLOSED</v>
      </c>
      <c r="M17" s="108" t="str">
        <f>CPUE!J15</f>
        <v>CLOSED</v>
      </c>
      <c r="N17" s="103">
        <f>Effort!L15</f>
        <v>1552.6760923259001</v>
      </c>
      <c r="O17" s="104">
        <f>Harvest!L15</f>
        <v>22419.127967242301</v>
      </c>
      <c r="P17" s="105">
        <f>CPUE!L15</f>
        <v>14.439024390243926</v>
      </c>
      <c r="Q17" s="106" t="s">
        <v>10</v>
      </c>
      <c r="R17" s="107" t="s">
        <v>10</v>
      </c>
      <c r="S17" s="113" t="s">
        <v>10</v>
      </c>
      <c r="T17" s="106">
        <f>SUM(E17,H17,N17)</f>
        <v>5537.9262849929282</v>
      </c>
      <c r="U17" s="107">
        <f>SUM(F17,I17,O17)</f>
        <v>80817.405433844615</v>
      </c>
      <c r="V17" s="107"/>
    </row>
    <row r="18" spans="1:24" s="114" customFormat="1" x14ac:dyDescent="0.25">
      <c r="A18" s="109">
        <v>45229</v>
      </c>
      <c r="B18" s="110" t="s">
        <v>21</v>
      </c>
      <c r="C18" s="111">
        <v>-1.3</v>
      </c>
      <c r="D18" s="112">
        <v>0.8534722222222223</v>
      </c>
      <c r="E18" s="106">
        <f>Effort!F16</f>
        <v>801.51878974833176</v>
      </c>
      <c r="F18" s="107">
        <f>Harvest!F16</f>
        <v>11622.022451350811</v>
      </c>
      <c r="G18" s="108">
        <f>+CPUE!F16</f>
        <v>14.5</v>
      </c>
      <c r="H18" s="103">
        <f>Effort!H16</f>
        <v>769.26551047279395</v>
      </c>
      <c r="I18" s="104">
        <f>Harvest!H16</f>
        <v>11137.6267385844</v>
      </c>
      <c r="J18" s="105">
        <f>CPUE!H16</f>
        <v>14.478260869565263</v>
      </c>
      <c r="K18" s="103">
        <f>Effort!J16</f>
        <v>1098.7735107430799</v>
      </c>
      <c r="L18" s="104">
        <f>Harvest!J16</f>
        <v>16481.6026611462</v>
      </c>
      <c r="M18" s="105">
        <f>CPUE!J16</f>
        <v>15.000000000000002</v>
      </c>
      <c r="N18" s="106" t="str">
        <f>Effort!L16</f>
        <v>CLOSED</v>
      </c>
      <c r="O18" s="107" t="str">
        <f>Harvest!L16</f>
        <v>CLOSED</v>
      </c>
      <c r="P18" s="108" t="str">
        <f>CPUE!L16</f>
        <v>CLOSED</v>
      </c>
      <c r="Q18" s="106" t="s">
        <v>10</v>
      </c>
      <c r="R18" s="107" t="s">
        <v>10</v>
      </c>
      <c r="S18" s="113" t="s">
        <v>10</v>
      </c>
      <c r="T18" s="106">
        <f>SUM(E18,H18,K18)</f>
        <v>2669.5578109642056</v>
      </c>
      <c r="U18" s="107">
        <f>SUM(F18,I18,L18)</f>
        <v>39241.251851081412</v>
      </c>
      <c r="V18" s="107"/>
    </row>
    <row r="19" spans="1:24" s="114" customFormat="1" x14ac:dyDescent="0.25">
      <c r="A19" s="109">
        <v>45230</v>
      </c>
      <c r="B19" s="110" t="s">
        <v>66</v>
      </c>
      <c r="C19" s="111">
        <v>-1</v>
      </c>
      <c r="D19" s="112">
        <v>0.8833333333333333</v>
      </c>
      <c r="E19" s="106" t="str">
        <f>Effort!F17</f>
        <v>CLOSED</v>
      </c>
      <c r="F19" s="107" t="str">
        <f>Harvest!F17</f>
        <v>CLOSED</v>
      </c>
      <c r="G19" s="108" t="str">
        <f>+CPUE!F17</f>
        <v>CLOSED</v>
      </c>
      <c r="H19" s="106" t="str">
        <f>Effort!H17</f>
        <v>CLOSED</v>
      </c>
      <c r="I19" s="107" t="str">
        <f>Harvest!H17</f>
        <v>CLOSED</v>
      </c>
      <c r="J19" s="108" t="str">
        <f>CPUE!H17</f>
        <v>CLOSED</v>
      </c>
      <c r="K19" s="106" t="str">
        <f>Effort!J17</f>
        <v>CLOSED</v>
      </c>
      <c r="L19" s="107" t="str">
        <f>Harvest!J17</f>
        <v>CLOSED</v>
      </c>
      <c r="M19" s="108" t="str">
        <f>CPUE!J17</f>
        <v>CLOSED</v>
      </c>
      <c r="N19" s="103">
        <f>Effort!L17</f>
        <v>239.97715213868901</v>
      </c>
      <c r="O19" s="104">
        <f>Harvest!L17</f>
        <v>3479.6687060109898</v>
      </c>
      <c r="P19" s="105">
        <f>CPUE!L17</f>
        <v>14.499999999999996</v>
      </c>
      <c r="Q19" s="106" t="s">
        <v>10</v>
      </c>
      <c r="R19" s="107" t="s">
        <v>10</v>
      </c>
      <c r="S19" s="113" t="s">
        <v>10</v>
      </c>
      <c r="T19" s="106">
        <f>SUM(E19,H19,N19)</f>
        <v>239.97715213868901</v>
      </c>
      <c r="U19" s="107">
        <f>SUM(F19,I19,O19)</f>
        <v>3479.6687060109898</v>
      </c>
      <c r="V19" s="107"/>
    </row>
    <row r="20" spans="1:24" s="114" customFormat="1" x14ac:dyDescent="0.25">
      <c r="A20" s="125" t="s">
        <v>50</v>
      </c>
      <c r="B20" s="125"/>
      <c r="C20" s="125"/>
      <c r="D20" s="126"/>
      <c r="E20" s="115">
        <f>SUM(E15:E19)</f>
        <v>9462.3835087138486</v>
      </c>
      <c r="F20" s="116">
        <f>SUM(F15:F19)</f>
        <v>139734.12873694862</v>
      </c>
      <c r="G20" s="117">
        <f>+F20/E20</f>
        <v>14.767328824525908</v>
      </c>
      <c r="H20" s="115">
        <f>SUM(H15:H19)</f>
        <v>9292.2304831822312</v>
      </c>
      <c r="I20" s="116">
        <f>SUM(I15:I19)</f>
        <v>137877.0132277876</v>
      </c>
      <c r="J20" s="117">
        <f>+I20/H20</f>
        <v>14.837881332940208</v>
      </c>
      <c r="K20" s="115">
        <f>SUM(K15:K19)</f>
        <v>7001.5765897372603</v>
      </c>
      <c r="L20" s="116">
        <f>SUM(L15:L19)</f>
        <v>105023.6488460589</v>
      </c>
      <c r="M20" s="117">
        <f>+L20/K20</f>
        <v>15</v>
      </c>
      <c r="N20" s="115">
        <f>SUM(N15:N19)</f>
        <v>3647.1965471228195</v>
      </c>
      <c r="O20" s="116">
        <f>SUM(O15:O19)</f>
        <v>53042.566830341886</v>
      </c>
      <c r="P20" s="117">
        <f>+O20/N20</f>
        <v>14.543380414248807</v>
      </c>
      <c r="Q20" s="115"/>
      <c r="R20" s="116"/>
      <c r="S20" s="117"/>
      <c r="T20" s="115">
        <f>SUM(T15:T19)</f>
        <v>29403.38712875616</v>
      </c>
      <c r="U20" s="116">
        <f>SUM(U15:U19)</f>
        <v>435677.35764113691</v>
      </c>
      <c r="V20" s="118"/>
      <c r="W20" s="119">
        <f>SUM(H20,K20,N20,Q20,E20)</f>
        <v>29403.387128756163</v>
      </c>
      <c r="X20" s="119">
        <f>SUM(R20,O20,L20,I20,F20)</f>
        <v>435677.35764113697</v>
      </c>
    </row>
    <row r="21" spans="1:24" s="114" customFormat="1" x14ac:dyDescent="0.25">
      <c r="A21" s="109">
        <v>45226</v>
      </c>
      <c r="B21" s="110" t="s">
        <v>18</v>
      </c>
      <c r="C21" s="111">
        <v>-0.4</v>
      </c>
      <c r="D21" s="112">
        <v>0.76250000000000007</v>
      </c>
      <c r="E21" s="106" t="str">
        <f>Effort!F19</f>
        <v>CLOSED</v>
      </c>
      <c r="F21" s="107" t="str">
        <f>Harvest!F19</f>
        <v>CLOSED</v>
      </c>
      <c r="G21" s="108" t="str">
        <f>+CPUE!F19</f>
        <v>CLOSED</v>
      </c>
      <c r="H21" s="106" t="str">
        <f>Effort!H19</f>
        <v>CLOSED</v>
      </c>
      <c r="I21" s="107" t="str">
        <f>Harvest!H19</f>
        <v>CLOSED</v>
      </c>
      <c r="J21" s="108" t="str">
        <f>CPUE!H19</f>
        <v>CLOSED</v>
      </c>
      <c r="K21" s="106" t="str">
        <f>Effort!J19</f>
        <v>CLOSED</v>
      </c>
      <c r="L21" s="107" t="str">
        <f>Harvest!J19</f>
        <v>CLOSED</v>
      </c>
      <c r="M21" s="108" t="str">
        <f>CPUE!J19</f>
        <v>CLOSED</v>
      </c>
      <c r="N21" s="106">
        <f>Effort!L19</f>
        <v>1064.35418358775</v>
      </c>
      <c r="O21" s="107">
        <f>Harvest!L19</f>
        <v>7083.4606011184596</v>
      </c>
      <c r="P21" s="108">
        <f>CPUE!L19</f>
        <v>6.6551724137930899</v>
      </c>
      <c r="Q21" s="106" t="s">
        <v>10</v>
      </c>
      <c r="R21" s="107" t="s">
        <v>10</v>
      </c>
      <c r="S21" s="113" t="s">
        <v>10</v>
      </c>
      <c r="T21" s="106">
        <f>SUM(E21,H21,N21)</f>
        <v>1064.35418358775</v>
      </c>
      <c r="U21" s="107">
        <f>SUM(F21,I21,O21)</f>
        <v>7083.4606011184596</v>
      </c>
      <c r="V21" s="107"/>
    </row>
    <row r="22" spans="1:24" s="114" customFormat="1" x14ac:dyDescent="0.25">
      <c r="A22" s="109">
        <v>45227</v>
      </c>
      <c r="B22" s="110" t="s">
        <v>19</v>
      </c>
      <c r="C22" s="111">
        <v>-1</v>
      </c>
      <c r="D22" s="112">
        <v>0.79375000000000007</v>
      </c>
      <c r="E22" s="106">
        <f>Effort!F20</f>
        <v>952.83861161248706</v>
      </c>
      <c r="F22" s="107">
        <f>Harvest!F20</f>
        <v>9528.3861161248715</v>
      </c>
      <c r="G22" s="108">
        <f>+CPUE!F20</f>
        <v>10</v>
      </c>
      <c r="H22" s="106">
        <f>Effort!H20</f>
        <v>857.322183999206</v>
      </c>
      <c r="I22" s="107">
        <f>Harvest!H20</f>
        <v>8573.2218399920603</v>
      </c>
      <c r="J22" s="108">
        <f>CPUE!H20</f>
        <v>10</v>
      </c>
      <c r="K22" s="106">
        <f>Effort!J20</f>
        <v>941.25877673887203</v>
      </c>
      <c r="L22" s="107">
        <f>Harvest!J20</f>
        <v>9347.6733689929406</v>
      </c>
      <c r="M22" s="108">
        <f>CPUE!J20</f>
        <v>9.9310344827586263</v>
      </c>
      <c r="N22" s="106" t="str">
        <f>Effort!L20</f>
        <v>CLOSED</v>
      </c>
      <c r="O22" s="107" t="str">
        <f>Harvest!L20</f>
        <v>CLOSED</v>
      </c>
      <c r="P22" s="108" t="str">
        <f>CPUE!L20</f>
        <v>CLOSED</v>
      </c>
      <c r="Q22" s="106" t="s">
        <v>10</v>
      </c>
      <c r="R22" s="107" t="s">
        <v>10</v>
      </c>
      <c r="S22" s="113" t="s">
        <v>10</v>
      </c>
      <c r="T22" s="106">
        <f>SUM(E22,H22,K22)</f>
        <v>2751.4195723505654</v>
      </c>
      <c r="U22" s="107">
        <f>SUM(F22,I22,L22)</f>
        <v>27449.281325109871</v>
      </c>
      <c r="V22" s="107"/>
    </row>
    <row r="23" spans="1:24" s="114" customFormat="1" x14ac:dyDescent="0.25">
      <c r="A23" s="109">
        <v>45228</v>
      </c>
      <c r="B23" s="110" t="s">
        <v>20</v>
      </c>
      <c r="C23" s="111">
        <v>-1.3</v>
      </c>
      <c r="D23" s="112">
        <v>0.82361111111111107</v>
      </c>
      <c r="E23" s="106">
        <f>Effort!F21</f>
        <v>690.09620832862959</v>
      </c>
      <c r="F23" s="107">
        <f>Harvest!F21</f>
        <v>7177.0005666177476</v>
      </c>
      <c r="G23" s="108">
        <f>+CPUE!F21</f>
        <v>10.4</v>
      </c>
      <c r="H23" s="106">
        <f>Effort!H21</f>
        <v>620.91815054875804</v>
      </c>
      <c r="I23" s="107">
        <f>Harvest!H21</f>
        <v>7304.9194182206802</v>
      </c>
      <c r="J23" s="108">
        <f>CPUE!H21</f>
        <v>11.764705882352937</v>
      </c>
      <c r="K23" s="106" t="str">
        <f>Effort!J21</f>
        <v>CLOSED</v>
      </c>
      <c r="L23" s="107" t="str">
        <f>Harvest!J21</f>
        <v>CLOSED</v>
      </c>
      <c r="M23" s="108" t="str">
        <f>CPUE!J21</f>
        <v>CLOSED</v>
      </c>
      <c r="N23" s="106">
        <f>Effort!L21</f>
        <v>550.00002497718594</v>
      </c>
      <c r="O23" s="107">
        <f>Harvest!L21</f>
        <v>8066.6670329987201</v>
      </c>
      <c r="P23" s="108">
        <f>CPUE!L21</f>
        <v>14.666666666666654</v>
      </c>
      <c r="Q23" s="106" t="s">
        <v>10</v>
      </c>
      <c r="R23" s="107" t="s">
        <v>10</v>
      </c>
      <c r="S23" s="113" t="s">
        <v>10</v>
      </c>
      <c r="T23" s="106">
        <f>SUM(E23,H23,N23)</f>
        <v>1861.0143838545737</v>
      </c>
      <c r="U23" s="107">
        <f>SUM(F23,I23,O23)</f>
        <v>22548.587017837148</v>
      </c>
      <c r="V23" s="107"/>
    </row>
    <row r="24" spans="1:24" s="114" customFormat="1" x14ac:dyDescent="0.25">
      <c r="A24" s="109">
        <v>45229</v>
      </c>
      <c r="B24" s="110" t="s">
        <v>21</v>
      </c>
      <c r="C24" s="111">
        <v>-1.3</v>
      </c>
      <c r="D24" s="112">
        <v>0.8534722222222223</v>
      </c>
      <c r="E24" s="106">
        <f>Effort!F22</f>
        <v>262.10548548330928</v>
      </c>
      <c r="F24" s="107">
        <f>Harvest!F22</f>
        <v>3852.9506366046462</v>
      </c>
      <c r="G24" s="108">
        <f>+CPUE!F22</f>
        <v>14.7</v>
      </c>
      <c r="H24" s="106">
        <f>Effort!H22</f>
        <v>235.83096288724965</v>
      </c>
      <c r="I24" s="107">
        <f>Harvest!H22</f>
        <v>3419.54896186512</v>
      </c>
      <c r="J24" s="108">
        <f>CPUE!H22</f>
        <v>14.5</v>
      </c>
      <c r="K24" s="106">
        <f>Effort!J22</f>
        <v>467.41024984556901</v>
      </c>
      <c r="L24" s="107">
        <f>Harvest!J22</f>
        <v>6721.8045453981804</v>
      </c>
      <c r="M24" s="108">
        <f>CPUE!J22</f>
        <v>14.380952380952376</v>
      </c>
      <c r="N24" s="106" t="str">
        <f>Effort!L22</f>
        <v>CLOSED</v>
      </c>
      <c r="O24" s="107" t="str">
        <f>Harvest!L22</f>
        <v>CLOSED</v>
      </c>
      <c r="P24" s="108" t="str">
        <f>CPUE!L22</f>
        <v>CLOSED</v>
      </c>
      <c r="Q24" s="106" t="s">
        <v>10</v>
      </c>
      <c r="R24" s="107" t="s">
        <v>10</v>
      </c>
      <c r="S24" s="113" t="s">
        <v>10</v>
      </c>
      <c r="T24" s="106">
        <f>SUM(E24,H24,K24)</f>
        <v>965.34669821612795</v>
      </c>
      <c r="U24" s="107">
        <f>SUM(F24,I24,L24)</f>
        <v>13994.304143867947</v>
      </c>
      <c r="V24" s="107"/>
    </row>
    <row r="25" spans="1:24" s="114" customFormat="1" x14ac:dyDescent="0.25">
      <c r="A25" s="109">
        <v>45228</v>
      </c>
      <c r="B25" s="110" t="s">
        <v>20</v>
      </c>
      <c r="C25" s="111">
        <v>-1.3</v>
      </c>
      <c r="D25" s="112">
        <v>0.82361111111111107</v>
      </c>
      <c r="E25" s="106">
        <f>Effort!F23</f>
        <v>420.21549599661614</v>
      </c>
      <c r="F25" s="107">
        <f>Harvest!F23</f>
        <v>5462.8014479560097</v>
      </c>
      <c r="G25" s="108">
        <f>+CPUE!F23</f>
        <v>13</v>
      </c>
      <c r="H25" s="106">
        <f>Effort!H23</f>
        <v>378.09138125548998</v>
      </c>
      <c r="I25" s="107">
        <f>Harvest!H23</f>
        <v>4915.1879563213697</v>
      </c>
      <c r="J25" s="108">
        <f>CPUE!H23</f>
        <v>13</v>
      </c>
      <c r="K25" s="106" t="str">
        <f>Effort!J23</f>
        <v>CLOSED</v>
      </c>
      <c r="L25" s="107" t="str">
        <f>Harvest!J23</f>
        <v>CLOSED</v>
      </c>
      <c r="M25" s="108" t="str">
        <f>CPUE!J23</f>
        <v>CLOSED</v>
      </c>
      <c r="N25" s="106">
        <f>Effort!L23</f>
        <v>334.90769910719303</v>
      </c>
      <c r="O25" s="107">
        <f>Harvest!L23</f>
        <v>4395.6635507819101</v>
      </c>
      <c r="P25" s="108">
        <f>CPUE!L23</f>
        <v>13.125000000000005</v>
      </c>
      <c r="Q25" s="106" t="s">
        <v>10</v>
      </c>
      <c r="R25" s="107" t="s">
        <v>10</v>
      </c>
      <c r="S25" s="113" t="s">
        <v>10</v>
      </c>
      <c r="T25" s="106">
        <f>SUM(E25,H25,N25)</f>
        <v>1133.2145763592991</v>
      </c>
      <c r="U25" s="107">
        <f>SUM(F25,I25,O25)</f>
        <v>14773.65295505929</v>
      </c>
      <c r="V25" s="107"/>
    </row>
    <row r="26" spans="1:24" s="114" customFormat="1" x14ac:dyDescent="0.25">
      <c r="A26" s="109">
        <v>45229</v>
      </c>
      <c r="B26" s="110" t="s">
        <v>21</v>
      </c>
      <c r="C26" s="111">
        <v>-1.3</v>
      </c>
      <c r="D26" s="112">
        <v>0.8534722222222223</v>
      </c>
      <c r="E26" s="106" t="str">
        <f>Effort!F24</f>
        <v>CLOSED</v>
      </c>
      <c r="F26" s="107" t="str">
        <f>Harvest!F24</f>
        <v>CLOSED</v>
      </c>
      <c r="G26" s="108" t="str">
        <f>+CPUE!F24</f>
        <v>CLOSED</v>
      </c>
      <c r="H26" s="106" t="str">
        <f>Effort!H24</f>
        <v>CLOSED</v>
      </c>
      <c r="I26" s="107" t="str">
        <f>Harvest!H24</f>
        <v>CLOSED</v>
      </c>
      <c r="J26" s="108" t="str">
        <f>CPUE!H24</f>
        <v>CLOSED</v>
      </c>
      <c r="K26" s="106">
        <f>Effort!J24</f>
        <v>982.94927419673797</v>
      </c>
      <c r="L26" s="107">
        <f>Harvest!J24</f>
        <v>14744.2391129511</v>
      </c>
      <c r="M26" s="108">
        <f>CPUE!J24</f>
        <v>15.00000000000003</v>
      </c>
      <c r="N26" s="106" t="str">
        <f>Effort!L24</f>
        <v>CLOSED</v>
      </c>
      <c r="O26" s="107" t="str">
        <f>Harvest!L24</f>
        <v>CLOSED</v>
      </c>
      <c r="P26" s="108" t="str">
        <f>CPUE!L24</f>
        <v>CLOSED</v>
      </c>
      <c r="Q26" s="106" t="s">
        <v>10</v>
      </c>
      <c r="R26" s="107" t="s">
        <v>10</v>
      </c>
      <c r="S26" s="113" t="s">
        <v>10</v>
      </c>
      <c r="T26" s="106">
        <f>SUM(E26,H26,K26)</f>
        <v>982.94927419673797</v>
      </c>
      <c r="U26" s="107">
        <f>SUM(F26,I26,L26)</f>
        <v>14744.2391129511</v>
      </c>
      <c r="V26" s="107"/>
    </row>
    <row r="27" spans="1:24" s="114" customFormat="1" x14ac:dyDescent="0.25">
      <c r="A27" s="109">
        <v>45230</v>
      </c>
      <c r="B27" s="110" t="s">
        <v>66</v>
      </c>
      <c r="C27" s="111">
        <v>-1</v>
      </c>
      <c r="D27" s="112">
        <v>0.8833333333333333</v>
      </c>
      <c r="E27" s="106" t="str">
        <f>Effort!F25</f>
        <v>CLOSED</v>
      </c>
      <c r="F27" s="107" t="str">
        <f>Harvest!F25</f>
        <v>CLOSED</v>
      </c>
      <c r="G27" s="108" t="str">
        <f>+CPUE!F25</f>
        <v>CLOSED</v>
      </c>
      <c r="H27" s="106" t="str">
        <f>Effort!H25</f>
        <v>CLOSED</v>
      </c>
      <c r="I27" s="107" t="str">
        <f>Harvest!H25</f>
        <v>CLOSED</v>
      </c>
      <c r="J27" s="108" t="str">
        <f>CPUE!H25</f>
        <v>CLOSED</v>
      </c>
      <c r="K27" s="106" t="str">
        <f>Effort!J25</f>
        <v>CLOSED</v>
      </c>
      <c r="L27" s="107" t="str">
        <f>Harvest!J25</f>
        <v>CLOSED</v>
      </c>
      <c r="M27" s="108" t="str">
        <f>CPUE!J25</f>
        <v>CLOSED</v>
      </c>
      <c r="N27" s="106">
        <f>Effort!L25</f>
        <v>445.654617948571</v>
      </c>
      <c r="O27" s="107">
        <f>Harvest!L25</f>
        <v>1406.5973879001799</v>
      </c>
      <c r="P27" s="108">
        <f>CPUE!L25</f>
        <v>3.1562500000000062</v>
      </c>
      <c r="Q27" s="106" t="s">
        <v>10</v>
      </c>
      <c r="R27" s="107" t="s">
        <v>10</v>
      </c>
      <c r="S27" s="113" t="s">
        <v>10</v>
      </c>
      <c r="T27" s="106">
        <f>SUM(E27,H27,N27)</f>
        <v>445.654617948571</v>
      </c>
      <c r="U27" s="107">
        <f>SUM(F27,I27,O27)</f>
        <v>1406.5973879001799</v>
      </c>
      <c r="V27" s="107"/>
    </row>
    <row r="28" spans="1:24" s="114" customFormat="1" x14ac:dyDescent="0.25">
      <c r="A28" s="125" t="s">
        <v>50</v>
      </c>
      <c r="B28" s="125"/>
      <c r="C28" s="125"/>
      <c r="D28" s="126"/>
      <c r="E28" s="115">
        <f>SUM(E21:E27)</f>
        <v>2325.2558014210417</v>
      </c>
      <c r="F28" s="116">
        <f>SUM(F21:F27)</f>
        <v>26021.138767303273</v>
      </c>
      <c r="G28" s="117">
        <f>+F28/E28</f>
        <v>11.19065642214542</v>
      </c>
      <c r="H28" s="115">
        <f>SUM(H21:H27)</f>
        <v>2092.1626786907036</v>
      </c>
      <c r="I28" s="116">
        <f>SUM(I21:I27)</f>
        <v>24212.87817639923</v>
      </c>
      <c r="J28" s="117">
        <f>+I28/H28</f>
        <v>11.573133591863847</v>
      </c>
      <c r="K28" s="115">
        <f>SUM(K21:K27)</f>
        <v>2391.6183007811792</v>
      </c>
      <c r="L28" s="116">
        <f>SUM(L21:L27)</f>
        <v>30813.717027342223</v>
      </c>
      <c r="M28" s="117">
        <f>+L28/K28</f>
        <v>12.884044672712813</v>
      </c>
      <c r="N28" s="115">
        <f>SUM(N21:N27)</f>
        <v>2394.9165256206998</v>
      </c>
      <c r="O28" s="116">
        <f>SUM(O21:O27)</f>
        <v>20952.388572799271</v>
      </c>
      <c r="P28" s="117">
        <f>+O28/N28</f>
        <v>8.7486926365289328</v>
      </c>
      <c r="Q28" s="115"/>
      <c r="R28" s="116"/>
      <c r="S28" s="117"/>
      <c r="T28" s="115">
        <f>SUM(T21:T27)</f>
        <v>9203.9533065136238</v>
      </c>
      <c r="U28" s="116">
        <f>SUM(U21:U27)</f>
        <v>102000.122543844</v>
      </c>
      <c r="V28" s="118"/>
      <c r="W28" s="119">
        <f>SUM(H28,K28,N28,Q28,E28)</f>
        <v>9203.9533065136238</v>
      </c>
      <c r="X28" s="119">
        <f>SUM(R28,O28,L28,I28,F28)</f>
        <v>102000.122543844</v>
      </c>
    </row>
    <row r="29" spans="1:24" ht="15.75" thickBot="1" x14ac:dyDescent="0.3">
      <c r="A29" s="85"/>
      <c r="B29" s="85"/>
      <c r="C29" s="85"/>
      <c r="D29" s="85"/>
      <c r="E29" s="63"/>
      <c r="F29" s="63"/>
      <c r="G29" s="64"/>
      <c r="H29" s="63"/>
      <c r="I29" s="63"/>
      <c r="J29" s="64"/>
      <c r="K29" s="63"/>
      <c r="L29" s="63"/>
      <c r="M29" s="64"/>
      <c r="N29" s="63"/>
      <c r="O29" s="63"/>
      <c r="P29" s="64"/>
      <c r="Q29" s="63"/>
      <c r="R29" s="63"/>
      <c r="S29" s="64"/>
      <c r="T29" s="63"/>
      <c r="U29" s="63"/>
    </row>
    <row r="30" spans="1:24" ht="15.75" thickTop="1" x14ac:dyDescent="0.25">
      <c r="A30" s="57" t="s">
        <v>51</v>
      </c>
      <c r="B30" s="58"/>
      <c r="C30" s="58"/>
      <c r="D30" s="58"/>
      <c r="E30" s="59">
        <f>+SUM(E8,E14,E20)</f>
        <v>23073.158185269782</v>
      </c>
      <c r="F30" s="59">
        <f>+SUM(F8,F14,F20)</f>
        <v>307869.42901050753</v>
      </c>
      <c r="G30" s="60">
        <f>+F30/E30</f>
        <v>13.343185468517941</v>
      </c>
      <c r="H30" s="59">
        <f>+SUM(H8,H14,H20)</f>
        <v>21824.008092761942</v>
      </c>
      <c r="I30" s="59">
        <f>+SUM(I8,I14,I20)</f>
        <v>299893.60385928093</v>
      </c>
      <c r="J30" s="60">
        <f>+I30/H30</f>
        <v>13.741454025520746</v>
      </c>
      <c r="K30" s="59">
        <f>+SUM(K8,K14,K20)</f>
        <v>14333.471570244697</v>
      </c>
      <c r="L30" s="59">
        <f>+SUM(L8,L14,L20)</f>
        <v>200583.74297531205</v>
      </c>
      <c r="M30" s="60">
        <f>+L30/K30</f>
        <v>13.994079661183417</v>
      </c>
      <c r="N30" s="59">
        <f>+SUM(N8,N14,N20)</f>
        <v>6105.0010182728201</v>
      </c>
      <c r="O30" s="59">
        <f>+SUM(O8,O14,O20)</f>
        <v>82844.31033906326</v>
      </c>
      <c r="P30" s="60">
        <f>+O30/N30</f>
        <v>13.56990934008082</v>
      </c>
      <c r="Q30" s="59">
        <f>+SUM(Q8)</f>
        <v>0</v>
      </c>
      <c r="R30" s="59">
        <f>+SUM(R8)</f>
        <v>0</v>
      </c>
      <c r="S30" s="60">
        <v>0</v>
      </c>
      <c r="T30" s="59">
        <f>+SUM(T8,T14,T20)</f>
        <v>65335.638866549241</v>
      </c>
      <c r="U30" s="59">
        <f>+SUM(U8,U14,U20)</f>
        <v>891191.08618416381</v>
      </c>
      <c r="V30" s="63"/>
      <c r="W30" s="20">
        <f>SUM(W4:W29)</f>
        <v>74539.592173062876</v>
      </c>
      <c r="X30" s="20">
        <f>SUM(X4:X29)</f>
        <v>993191.20872800786</v>
      </c>
    </row>
    <row r="31" spans="1:24" x14ac:dyDescent="0.25">
      <c r="A31" s="61" t="s">
        <v>52</v>
      </c>
      <c r="B31" s="62"/>
      <c r="C31" s="62"/>
      <c r="D31" s="62"/>
      <c r="E31" s="63"/>
      <c r="F31" s="63">
        <f>Harvest!F120</f>
        <v>42684.499656806271</v>
      </c>
      <c r="G31" s="64"/>
      <c r="H31" s="63"/>
      <c r="I31" s="63">
        <f>Harvest!H120</f>
        <v>32536.226900905363</v>
      </c>
      <c r="J31" s="64"/>
      <c r="K31" s="63"/>
      <c r="L31" s="63">
        <f>Harvest!J120</f>
        <v>19951.441080389308</v>
      </c>
      <c r="M31" s="64"/>
      <c r="N31" s="63"/>
      <c r="O31" s="63">
        <f>Harvest!L120</f>
        <v>20847.744186075426</v>
      </c>
      <c r="P31" s="64"/>
      <c r="Q31" s="63"/>
      <c r="R31" s="63">
        <f>Harvest!N120</f>
        <v>0</v>
      </c>
      <c r="S31" s="64"/>
      <c r="T31" s="63"/>
      <c r="U31" s="63">
        <f>F31+I31+L31+O31+R31</f>
        <v>116019.91182417638</v>
      </c>
      <c r="V31" s="63"/>
      <c r="W31" s="20">
        <f>SUM(H30,K30,N30,Q30,E30)</f>
        <v>65335.638866549241</v>
      </c>
      <c r="X31" s="20">
        <f>SUM(R30,O30,L30,I30,F30)</f>
        <v>891191.08618416381</v>
      </c>
    </row>
    <row r="32" spans="1:24" x14ac:dyDescent="0.25">
      <c r="A32" s="65" t="s">
        <v>53</v>
      </c>
      <c r="B32" s="66"/>
      <c r="C32" s="66"/>
      <c r="D32" s="66"/>
      <c r="E32" s="67">
        <f>Effort!F118</f>
        <v>114614.46032409262</v>
      </c>
      <c r="F32" s="67">
        <f>F30+F31</f>
        <v>350553.92866731383</v>
      </c>
      <c r="G32" s="68"/>
      <c r="H32" s="67">
        <f>Effort!H118</f>
        <v>90081.645551532711</v>
      </c>
      <c r="I32" s="67">
        <f>I30+I31</f>
        <v>332429.83076018631</v>
      </c>
      <c r="J32" s="68"/>
      <c r="K32" s="67">
        <f>Effort!J118</f>
        <v>86087.506403076652</v>
      </c>
      <c r="L32" s="67">
        <f>L30+L31</f>
        <v>220535.18405570136</v>
      </c>
      <c r="M32" s="68"/>
      <c r="N32" s="67">
        <f>Effort!L118</f>
        <v>60278.382162280803</v>
      </c>
      <c r="O32" s="67">
        <f>O30+O31</f>
        <v>103692.05452513869</v>
      </c>
      <c r="P32" s="68"/>
      <c r="Q32" s="67">
        <f>Effort!N118</f>
        <v>0</v>
      </c>
      <c r="R32" s="67">
        <f>R30+R31</f>
        <v>0</v>
      </c>
      <c r="S32" s="68"/>
      <c r="T32" s="67">
        <f>SUM(T30:T31)</f>
        <v>65335.638866549241</v>
      </c>
      <c r="U32" s="69">
        <f>SUM(U30:U31)</f>
        <v>1007210.9980083401</v>
      </c>
      <c r="V32" s="63"/>
    </row>
    <row r="33" spans="1:24" x14ac:dyDescent="0.25">
      <c r="A33" s="70" t="s">
        <v>14</v>
      </c>
      <c r="B33" s="71"/>
      <c r="C33" s="71"/>
      <c r="D33" s="71"/>
      <c r="E33" s="71"/>
      <c r="F33" s="72">
        <f>Harvest!F123</f>
        <v>0.6920990008969945</v>
      </c>
      <c r="G33" s="71"/>
      <c r="H33" s="71"/>
      <c r="I33" s="72">
        <f>Harvest!H123</f>
        <v>0.89417417585650272</v>
      </c>
      <c r="J33" s="71"/>
      <c r="K33" s="71"/>
      <c r="L33" s="72">
        <f>Harvest!J123</f>
        <v>0.80860097028456135</v>
      </c>
      <c r="M33" s="71"/>
      <c r="N33" s="71"/>
      <c r="O33" s="72">
        <f>Harvest!L123</f>
        <v>0.56271901861084794</v>
      </c>
      <c r="P33" s="71"/>
      <c r="Q33" s="71"/>
      <c r="R33" s="72">
        <f>Harvest!N123</f>
        <v>0</v>
      </c>
      <c r="S33" s="71"/>
      <c r="T33" s="91"/>
      <c r="U33" s="92"/>
      <c r="V33" s="62"/>
      <c r="X33" s="20">
        <f>SUM(R32,O32,L32,I32,F32)</f>
        <v>1007210.9980083401</v>
      </c>
    </row>
    <row r="35" spans="1:24" x14ac:dyDescent="0.25">
      <c r="F35" s="20"/>
    </row>
  </sheetData>
  <mergeCells count="10">
    <mergeCell ref="H2:J2"/>
    <mergeCell ref="K2:M2"/>
    <mergeCell ref="N2:P2"/>
    <mergeCell ref="Q2:S2"/>
    <mergeCell ref="T2:U2"/>
    <mergeCell ref="A8:D8"/>
    <mergeCell ref="A14:D14"/>
    <mergeCell ref="A20:D20"/>
    <mergeCell ref="A28:D28"/>
    <mergeCell ref="E2:G2"/>
  </mergeCells>
  <pageMargins left="0.7" right="0.7" top="0.75" bottom="0.75" header="0.3" footer="0.3"/>
  <pageSetup scale="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D22" sqref="D22"/>
    </sheetView>
  </sheetViews>
  <sheetFormatPr defaultRowHeight="15" x14ac:dyDescent="0.25"/>
  <cols>
    <col min="1" max="1" width="17.140625" customWidth="1"/>
    <col min="2" max="2" width="16.7109375" customWidth="1"/>
    <col min="4" max="4" width="16.42578125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Harvest</vt:lpstr>
      <vt:lpstr>Effort</vt:lpstr>
      <vt:lpstr>CPUE</vt:lpstr>
      <vt:lpstr>Summary Table</vt:lpstr>
      <vt:lpstr>Summary Table Public</vt:lpstr>
      <vt:lpstr>Tribal Update</vt:lpstr>
      <vt:lpstr>TAC</vt:lpstr>
      <vt:lpstr>TH Wastage</vt:lpstr>
      <vt:lpstr>LB Wastage</vt:lpstr>
      <vt:lpstr>Cop Wastage</vt:lpstr>
      <vt:lpstr>Moc Wastage</vt:lpstr>
      <vt:lpstr>Kal Wastage</vt:lpstr>
      <vt:lpstr>Summary Table (2)</vt:lpstr>
      <vt:lpstr>Copy Sheet</vt:lpstr>
      <vt:lpstr>'Tribal Update'!Print_Area</vt:lpstr>
    </vt:vector>
  </TitlesOfParts>
  <Company>Washington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Blumenthal, Bryce W (DFW)</dc:creator>
  <cp:lastModifiedBy>Blumenthal, Bryce W (DFW)</cp:lastModifiedBy>
  <cp:lastPrinted>2024-05-03T21:09:56Z</cp:lastPrinted>
  <dcterms:created xsi:type="dcterms:W3CDTF">2019-10-01T18:03:52Z</dcterms:created>
  <dcterms:modified xsi:type="dcterms:W3CDTF">2024-05-20T19:20:22Z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2024-05-03T21:09:46Z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1da2ddb8-8f57-43fd-ab04-fabd66231eb5</vt:lpwstr>
  </property>
  <property fmtid="{D5CDD505-2E9C-101B-9397-08002B2CF9AE}" pid="8" name="MSIP_Label_45011977-b912-4387-97a4-f4c94a801377_ContentBits">
    <vt:lpwstr>0</vt:lpwstr>
  </property>
</Properties>
</file>