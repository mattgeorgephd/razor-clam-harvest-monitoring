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ateofwa.sharepoint.com/sites/DFW-TeamR6CoastalShellfish-RazorClamData/Shared Documents/02_data/historical_harvest_recreational/"/>
    </mc:Choice>
  </mc:AlternateContent>
  <xr:revisionPtr revIDLastSave="0" documentId="8_{EFDFB112-A4D0-45AB-BEF2-4923B5277A1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harvest" sheetId="1" r:id="rId1"/>
    <sheet name="cpue" sheetId="56" r:id="rId2"/>
    <sheet name="effort" sheetId="57200" r:id="rId3"/>
    <sheet name="Wastage - TH" sheetId="57207" r:id="rId4"/>
    <sheet name="Wastage - LB" sheetId="57209" r:id="rId5"/>
    <sheet name="table" sheetId="52" r:id="rId6"/>
    <sheet name="Wastage" sheetId="57203" r:id="rId7"/>
    <sheet name="2007-2008 TAC" sheetId="57201" r:id="rId8"/>
    <sheet name="State-Tribal Update" sheetId="5720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5" i="52" l="1"/>
  <c r="L55" i="52"/>
  <c r="O45" i="52"/>
  <c r="P45" i="52" s="1"/>
  <c r="K53" i="52"/>
  <c r="L17" i="52"/>
  <c r="M52" i="52"/>
  <c r="L52" i="52"/>
  <c r="L53" i="52" s="1"/>
  <c r="K52" i="52"/>
  <c r="M50" i="52"/>
  <c r="L50" i="52"/>
  <c r="K50" i="52"/>
  <c r="K51" i="52" s="1"/>
  <c r="M49" i="52"/>
  <c r="L49" i="52"/>
  <c r="K49" i="52"/>
  <c r="M48" i="52"/>
  <c r="L48" i="52"/>
  <c r="K48" i="52"/>
  <c r="M47" i="52"/>
  <c r="L47" i="52"/>
  <c r="L51" i="52" s="1"/>
  <c r="K47" i="52"/>
  <c r="M46" i="52"/>
  <c r="L46" i="52"/>
  <c r="K46" i="52"/>
  <c r="M44" i="52"/>
  <c r="L44" i="52"/>
  <c r="K44" i="52"/>
  <c r="M43" i="52"/>
  <c r="L43" i="52"/>
  <c r="K43" i="52"/>
  <c r="M42" i="52"/>
  <c r="L42" i="52"/>
  <c r="K42" i="52"/>
  <c r="M41" i="52"/>
  <c r="L41" i="52"/>
  <c r="K41" i="52"/>
  <c r="M40" i="52"/>
  <c r="L40" i="52"/>
  <c r="L45" i="52" s="1"/>
  <c r="K40" i="52"/>
  <c r="K45" i="52" s="1"/>
  <c r="M38" i="52"/>
  <c r="L38" i="52"/>
  <c r="K38" i="52"/>
  <c r="M37" i="52"/>
  <c r="L37" i="52"/>
  <c r="K37" i="52"/>
  <c r="M36" i="52"/>
  <c r="L36" i="52"/>
  <c r="K36" i="52"/>
  <c r="M35" i="52"/>
  <c r="L35" i="52"/>
  <c r="K35" i="52"/>
  <c r="M33" i="52"/>
  <c r="L33" i="52"/>
  <c r="K33" i="52"/>
  <c r="M32" i="52"/>
  <c r="L32" i="52"/>
  <c r="K32" i="52"/>
  <c r="M31" i="52"/>
  <c r="L31" i="52"/>
  <c r="K31" i="52"/>
  <c r="M30" i="52"/>
  <c r="L30" i="52"/>
  <c r="K30" i="52"/>
  <c r="M29" i="52"/>
  <c r="L29" i="52"/>
  <c r="K29" i="52"/>
  <c r="M28" i="52"/>
  <c r="L28" i="52"/>
  <c r="K28" i="52"/>
  <c r="M26" i="52"/>
  <c r="L26" i="52"/>
  <c r="K26" i="52"/>
  <c r="M25" i="52"/>
  <c r="L25" i="52"/>
  <c r="K25" i="52"/>
  <c r="M24" i="52"/>
  <c r="L24" i="52"/>
  <c r="K24" i="52"/>
  <c r="M23" i="52"/>
  <c r="L23" i="52"/>
  <c r="K23" i="52"/>
  <c r="M21" i="52"/>
  <c r="L21" i="52"/>
  <c r="K21" i="52"/>
  <c r="M20" i="52"/>
  <c r="L20" i="52"/>
  <c r="K20" i="52"/>
  <c r="M19" i="52"/>
  <c r="L19" i="52"/>
  <c r="L22" i="52" s="1"/>
  <c r="K19" i="52"/>
  <c r="K22" i="52" s="1"/>
  <c r="M18" i="52"/>
  <c r="L18" i="52"/>
  <c r="K18" i="52"/>
  <c r="M16" i="52"/>
  <c r="L16" i="52"/>
  <c r="K16" i="52"/>
  <c r="M15" i="52"/>
  <c r="L15" i="52"/>
  <c r="K15" i="52"/>
  <c r="K17" i="52" s="1"/>
  <c r="M14" i="52"/>
  <c r="L14" i="52"/>
  <c r="K14" i="52"/>
  <c r="M12" i="52"/>
  <c r="L12" i="52"/>
  <c r="K12" i="52"/>
  <c r="M11" i="52"/>
  <c r="L11" i="52"/>
  <c r="K11" i="52"/>
  <c r="K13" i="52" s="1"/>
  <c r="M10" i="52"/>
  <c r="L10" i="52"/>
  <c r="K10" i="52"/>
  <c r="M9" i="52"/>
  <c r="L9" i="52"/>
  <c r="L13" i="52" s="1"/>
  <c r="K9" i="52"/>
  <c r="M7" i="52"/>
  <c r="L7" i="52"/>
  <c r="K7" i="52"/>
  <c r="M6" i="52"/>
  <c r="L6" i="52"/>
  <c r="K6" i="52"/>
  <c r="L5" i="52"/>
  <c r="L8" i="52" s="1"/>
  <c r="L54" i="52" s="1"/>
  <c r="K5" i="52"/>
  <c r="K8" i="52" s="1"/>
  <c r="M4" i="52"/>
  <c r="L4" i="52"/>
  <c r="K4" i="52"/>
  <c r="P52" i="52"/>
  <c r="O52" i="52"/>
  <c r="O53" i="52" s="1"/>
  <c r="N52" i="52"/>
  <c r="N53" i="52" s="1"/>
  <c r="P50" i="52"/>
  <c r="O50" i="52"/>
  <c r="N50" i="52"/>
  <c r="P49" i="52"/>
  <c r="O49" i="52"/>
  <c r="N49" i="52"/>
  <c r="P48" i="52"/>
  <c r="O48" i="52"/>
  <c r="N48" i="52"/>
  <c r="N51" i="52" s="1"/>
  <c r="P47" i="52"/>
  <c r="O47" i="52"/>
  <c r="O51" i="52" s="1"/>
  <c r="N47" i="52"/>
  <c r="P46" i="52"/>
  <c r="O46" i="52"/>
  <c r="N46" i="52"/>
  <c r="P44" i="52"/>
  <c r="O44" i="52"/>
  <c r="N44" i="52"/>
  <c r="P43" i="52"/>
  <c r="O43" i="52"/>
  <c r="N43" i="52"/>
  <c r="P42" i="52"/>
  <c r="O42" i="52"/>
  <c r="N42" i="52"/>
  <c r="P41" i="52"/>
  <c r="O41" i="52"/>
  <c r="N41" i="52"/>
  <c r="N45" i="52" s="1"/>
  <c r="P40" i="52"/>
  <c r="O40" i="52"/>
  <c r="N40" i="52"/>
  <c r="P38" i="52"/>
  <c r="O38" i="52"/>
  <c r="N38" i="52"/>
  <c r="P37" i="52"/>
  <c r="O37" i="52"/>
  <c r="N37" i="52"/>
  <c r="P36" i="52"/>
  <c r="O36" i="52"/>
  <c r="N36" i="52"/>
  <c r="P35" i="52"/>
  <c r="O35" i="52"/>
  <c r="N35" i="52"/>
  <c r="P33" i="52"/>
  <c r="O33" i="52"/>
  <c r="N33" i="52"/>
  <c r="P32" i="52"/>
  <c r="O32" i="52"/>
  <c r="N32" i="52"/>
  <c r="P31" i="52"/>
  <c r="O31" i="52"/>
  <c r="N31" i="52"/>
  <c r="P30" i="52"/>
  <c r="O30" i="52"/>
  <c r="N30" i="52"/>
  <c r="P29" i="52"/>
  <c r="O29" i="52"/>
  <c r="N29" i="52"/>
  <c r="P28" i="52"/>
  <c r="O28" i="52"/>
  <c r="N28" i="52"/>
  <c r="P26" i="52"/>
  <c r="O26" i="52"/>
  <c r="N26" i="52"/>
  <c r="P25" i="52"/>
  <c r="O25" i="52"/>
  <c r="N25" i="52"/>
  <c r="P24" i="52"/>
  <c r="O24" i="52"/>
  <c r="N24" i="52"/>
  <c r="P23" i="52"/>
  <c r="O23" i="52"/>
  <c r="N23" i="52"/>
  <c r="P21" i="52"/>
  <c r="O21" i="52"/>
  <c r="N21" i="52"/>
  <c r="P20" i="52"/>
  <c r="O20" i="52"/>
  <c r="N20" i="52"/>
  <c r="P19" i="52"/>
  <c r="O19" i="52"/>
  <c r="N19" i="52"/>
  <c r="P18" i="52"/>
  <c r="O18" i="52"/>
  <c r="N18" i="52"/>
  <c r="P16" i="52"/>
  <c r="O16" i="52"/>
  <c r="N16" i="52"/>
  <c r="P15" i="52"/>
  <c r="O15" i="52"/>
  <c r="N15" i="52"/>
  <c r="P14" i="52"/>
  <c r="O14" i="52"/>
  <c r="O17" i="52" s="1"/>
  <c r="P17" i="52" s="1"/>
  <c r="N14" i="52"/>
  <c r="N17" i="52" s="1"/>
  <c r="P12" i="52"/>
  <c r="O12" i="52"/>
  <c r="N12" i="52"/>
  <c r="P11" i="52"/>
  <c r="O11" i="52"/>
  <c r="N11" i="52"/>
  <c r="P10" i="52"/>
  <c r="O10" i="52"/>
  <c r="N10" i="52"/>
  <c r="P9" i="52"/>
  <c r="O9" i="52"/>
  <c r="O13" i="52" s="1"/>
  <c r="N9" i="52"/>
  <c r="N13" i="52" s="1"/>
  <c r="P7" i="52"/>
  <c r="O7" i="52"/>
  <c r="N7" i="52"/>
  <c r="P6" i="52"/>
  <c r="O6" i="52"/>
  <c r="N6" i="52"/>
  <c r="O5" i="52"/>
  <c r="O8" i="52" s="1"/>
  <c r="N5" i="52"/>
  <c r="N8" i="52" s="1"/>
  <c r="N54" i="52" s="1"/>
  <c r="P4" i="52"/>
  <c r="O4" i="52"/>
  <c r="N4" i="52"/>
  <c r="L56" i="52" l="1"/>
  <c r="P53" i="52"/>
  <c r="P51" i="52"/>
  <c r="O54" i="52"/>
  <c r="O56" i="52" s="1"/>
  <c r="P8" i="52"/>
  <c r="K54" i="52"/>
  <c r="M54" i="52" s="1"/>
  <c r="P54" i="52"/>
  <c r="G27" i="57200"/>
  <c r="G27" i="1"/>
  <c r="D7" i="57209"/>
  <c r="G56" i="1" s="1"/>
  <c r="E7" i="57209"/>
  <c r="G52" i="52"/>
  <c r="F52" i="52"/>
  <c r="E52" i="52"/>
  <c r="F50" i="52"/>
  <c r="E50" i="52"/>
  <c r="E49" i="52"/>
  <c r="F48" i="52"/>
  <c r="E48" i="52"/>
  <c r="F47" i="52"/>
  <c r="E47" i="52"/>
  <c r="F46" i="52"/>
  <c r="E46" i="52"/>
  <c r="E51" i="52" s="1"/>
  <c r="G44" i="52"/>
  <c r="F44" i="52"/>
  <c r="E44" i="52"/>
  <c r="G43" i="52"/>
  <c r="F43" i="52"/>
  <c r="E43" i="52"/>
  <c r="G42" i="52"/>
  <c r="F42" i="52"/>
  <c r="E42" i="52"/>
  <c r="F41" i="52"/>
  <c r="E41" i="52"/>
  <c r="F40" i="52"/>
  <c r="E40" i="52"/>
  <c r="G38" i="52"/>
  <c r="F38" i="52"/>
  <c r="E38" i="52"/>
  <c r="F37" i="52"/>
  <c r="E37" i="52"/>
  <c r="F36" i="52"/>
  <c r="E36" i="52"/>
  <c r="F35" i="52"/>
  <c r="E35" i="52"/>
  <c r="G33" i="52"/>
  <c r="F33" i="52"/>
  <c r="E33" i="52"/>
  <c r="G32" i="52"/>
  <c r="F32" i="52"/>
  <c r="E32" i="52"/>
  <c r="G31" i="52"/>
  <c r="F31" i="52"/>
  <c r="E31" i="52"/>
  <c r="F30" i="52"/>
  <c r="E30" i="52"/>
  <c r="F29" i="52"/>
  <c r="F34" i="52" s="1"/>
  <c r="G34" i="52" s="1"/>
  <c r="E29" i="52"/>
  <c r="E34" i="52" s="1"/>
  <c r="G28" i="52"/>
  <c r="F28" i="52"/>
  <c r="E28" i="52"/>
  <c r="F26" i="52"/>
  <c r="E26" i="52"/>
  <c r="F25" i="52"/>
  <c r="E25" i="52"/>
  <c r="G24" i="52"/>
  <c r="F24" i="52"/>
  <c r="E24" i="52"/>
  <c r="G23" i="52"/>
  <c r="F23" i="52"/>
  <c r="E23" i="52"/>
  <c r="G21" i="52"/>
  <c r="F21" i="52"/>
  <c r="E21" i="52"/>
  <c r="F20" i="52"/>
  <c r="E20" i="52"/>
  <c r="F19" i="52"/>
  <c r="F22" i="52" s="1"/>
  <c r="E19" i="52"/>
  <c r="E22" i="52" s="1"/>
  <c r="G18" i="52"/>
  <c r="F18" i="52"/>
  <c r="E18" i="52"/>
  <c r="G16" i="52"/>
  <c r="F16" i="52"/>
  <c r="E16" i="52"/>
  <c r="E17" i="52" s="1"/>
  <c r="F15" i="52"/>
  <c r="E15" i="52"/>
  <c r="F14" i="52"/>
  <c r="E14" i="52"/>
  <c r="G12" i="52"/>
  <c r="F12" i="52"/>
  <c r="E12" i="52"/>
  <c r="G11" i="52"/>
  <c r="F11" i="52"/>
  <c r="E11" i="52"/>
  <c r="F10" i="52"/>
  <c r="E10" i="52"/>
  <c r="F9" i="52"/>
  <c r="F13" i="52" s="1"/>
  <c r="G13" i="52" s="1"/>
  <c r="E9" i="52"/>
  <c r="E13" i="52" s="1"/>
  <c r="G7" i="52"/>
  <c r="F7" i="52"/>
  <c r="E7" i="52"/>
  <c r="F6" i="52"/>
  <c r="E6" i="52"/>
  <c r="F5" i="52"/>
  <c r="F8" i="52" s="1"/>
  <c r="E5" i="52"/>
  <c r="E8" i="52" s="1"/>
  <c r="G4" i="52"/>
  <c r="F4" i="52"/>
  <c r="E4" i="52"/>
  <c r="G50" i="57200"/>
  <c r="G50" i="1"/>
  <c r="F49" i="52" s="1"/>
  <c r="G8" i="52" l="1"/>
  <c r="G22" i="52"/>
  <c r="E27" i="52"/>
  <c r="E54" i="52" s="1"/>
  <c r="F27" i="52"/>
  <c r="F51" i="52"/>
  <c r="G51" i="52" s="1"/>
  <c r="E45" i="52"/>
  <c r="G57" i="1"/>
  <c r="F55" i="52" s="1"/>
  <c r="F39" i="52"/>
  <c r="G39" i="52" s="1"/>
  <c r="E39" i="52"/>
  <c r="G55" i="1"/>
  <c r="G58" i="1" s="1"/>
  <c r="G61" i="1" s="1"/>
  <c r="F17" i="52"/>
  <c r="G17" i="52" s="1"/>
  <c r="F45" i="52"/>
  <c r="G45" i="52" s="1"/>
  <c r="M55" i="1"/>
  <c r="M58" i="1" s="1"/>
  <c r="M60" i="1" l="1"/>
  <c r="O57" i="52" s="1"/>
  <c r="M61" i="1"/>
  <c r="M59" i="1"/>
  <c r="G60" i="1"/>
  <c r="F57" i="52" s="1"/>
  <c r="G59" i="1"/>
  <c r="F54" i="52"/>
  <c r="F56" i="52" s="1"/>
  <c r="G27" i="52"/>
  <c r="K55" i="1"/>
  <c r="K58" i="1" s="1"/>
  <c r="K61" i="1" l="1"/>
  <c r="K59" i="1"/>
  <c r="K60" i="1"/>
  <c r="L57" i="52" s="1"/>
  <c r="G54" i="52"/>
  <c r="H39" i="52"/>
  <c r="I8" i="52"/>
  <c r="I50" i="52"/>
  <c r="U50" i="52" s="1"/>
  <c r="I49" i="52"/>
  <c r="U49" i="52" s="1"/>
  <c r="H49" i="52"/>
  <c r="T49" i="52" s="1"/>
  <c r="I48" i="52"/>
  <c r="U48" i="52" s="1"/>
  <c r="H48" i="52"/>
  <c r="T48" i="52" s="1"/>
  <c r="I47" i="52"/>
  <c r="U47" i="52" s="1"/>
  <c r="H47" i="52"/>
  <c r="T47" i="52" s="1"/>
  <c r="I46" i="52"/>
  <c r="H46" i="52"/>
  <c r="T46" i="52" s="1"/>
  <c r="I44" i="52"/>
  <c r="U44" i="52" s="1"/>
  <c r="H44" i="52"/>
  <c r="T44" i="52" s="1"/>
  <c r="I43" i="52"/>
  <c r="U43" i="52" s="1"/>
  <c r="H43" i="52"/>
  <c r="T43" i="52" s="1"/>
  <c r="I42" i="52"/>
  <c r="U42" i="52" s="1"/>
  <c r="H42" i="52"/>
  <c r="T42" i="52" s="1"/>
  <c r="I41" i="52"/>
  <c r="U41" i="52" s="1"/>
  <c r="H41" i="52"/>
  <c r="T41" i="52" s="1"/>
  <c r="I40" i="52"/>
  <c r="H40" i="52"/>
  <c r="T40" i="52" s="1"/>
  <c r="I38" i="52"/>
  <c r="U38" i="52" s="1"/>
  <c r="H38" i="52"/>
  <c r="T38" i="52" s="1"/>
  <c r="I37" i="52"/>
  <c r="U37" i="52" s="1"/>
  <c r="H37" i="52"/>
  <c r="T37" i="52" s="1"/>
  <c r="I36" i="52"/>
  <c r="U36" i="52" s="1"/>
  <c r="H36" i="52"/>
  <c r="T36" i="52" s="1"/>
  <c r="I35" i="52"/>
  <c r="H35" i="52"/>
  <c r="T35" i="52" s="1"/>
  <c r="I33" i="52"/>
  <c r="U33" i="52" s="1"/>
  <c r="H33" i="52"/>
  <c r="T33" i="52" s="1"/>
  <c r="I32" i="52"/>
  <c r="U32" i="52" s="1"/>
  <c r="H32" i="52"/>
  <c r="T32" i="52" s="1"/>
  <c r="I31" i="52"/>
  <c r="U31" i="52" s="1"/>
  <c r="H31" i="52"/>
  <c r="T31" i="52" s="1"/>
  <c r="I30" i="52"/>
  <c r="U30" i="52" s="1"/>
  <c r="H30" i="52"/>
  <c r="T30" i="52" s="1"/>
  <c r="I29" i="52"/>
  <c r="U29" i="52" s="1"/>
  <c r="H29" i="52"/>
  <c r="T29" i="52" s="1"/>
  <c r="I28" i="52"/>
  <c r="H28" i="52"/>
  <c r="T28" i="52" s="1"/>
  <c r="T34" i="52" s="1"/>
  <c r="I26" i="52"/>
  <c r="U26" i="52" s="1"/>
  <c r="H26" i="52"/>
  <c r="T26" i="52" s="1"/>
  <c r="I25" i="52"/>
  <c r="U25" i="52" s="1"/>
  <c r="H25" i="52"/>
  <c r="T25" i="52" s="1"/>
  <c r="I24" i="52"/>
  <c r="U24" i="52" s="1"/>
  <c r="H24" i="52"/>
  <c r="T24" i="52" s="1"/>
  <c r="I23" i="52"/>
  <c r="H23" i="52"/>
  <c r="T23" i="52" s="1"/>
  <c r="T27" i="52" s="1"/>
  <c r="I21" i="52"/>
  <c r="U21" i="52" s="1"/>
  <c r="H21" i="52"/>
  <c r="T21" i="52" s="1"/>
  <c r="I20" i="52"/>
  <c r="U20" i="52" s="1"/>
  <c r="H20" i="52"/>
  <c r="T20" i="52" s="1"/>
  <c r="I19" i="52"/>
  <c r="U19" i="52" s="1"/>
  <c r="H19" i="52"/>
  <c r="T19" i="52" s="1"/>
  <c r="I18" i="52"/>
  <c r="H18" i="52"/>
  <c r="T18" i="52" s="1"/>
  <c r="T22" i="52" s="1"/>
  <c r="I16" i="52"/>
  <c r="U16" i="52" s="1"/>
  <c r="H16" i="52"/>
  <c r="T16" i="52" s="1"/>
  <c r="I14" i="52"/>
  <c r="U14" i="52" s="1"/>
  <c r="H14" i="52"/>
  <c r="T14" i="52" s="1"/>
  <c r="I12" i="52"/>
  <c r="U12" i="52" s="1"/>
  <c r="H12" i="52"/>
  <c r="T12" i="52" s="1"/>
  <c r="I11" i="52"/>
  <c r="U11" i="52" s="1"/>
  <c r="H11" i="52"/>
  <c r="T11" i="52" s="1"/>
  <c r="I10" i="52"/>
  <c r="U10" i="52" s="1"/>
  <c r="H10" i="52"/>
  <c r="T10" i="52" s="1"/>
  <c r="I9" i="52"/>
  <c r="U9" i="52" s="1"/>
  <c r="U13" i="52" s="1"/>
  <c r="H9" i="52"/>
  <c r="T9" i="52" s="1"/>
  <c r="I7" i="52"/>
  <c r="U7" i="52" s="1"/>
  <c r="H7" i="52"/>
  <c r="T7" i="52" s="1"/>
  <c r="I6" i="52"/>
  <c r="U6" i="52" s="1"/>
  <c r="H6" i="52"/>
  <c r="T6" i="52" s="1"/>
  <c r="I5" i="52"/>
  <c r="U5" i="52" s="1"/>
  <c r="H5" i="52"/>
  <c r="T5" i="52" s="1"/>
  <c r="I4" i="52"/>
  <c r="U4" i="52" s="1"/>
  <c r="H4" i="52"/>
  <c r="T4" i="52" s="1"/>
  <c r="I27" i="52" l="1"/>
  <c r="U23" i="52"/>
  <c r="U27" i="52" s="1"/>
  <c r="H8" i="52"/>
  <c r="J8" i="52" s="1"/>
  <c r="I13" i="52"/>
  <c r="I22" i="52"/>
  <c r="U18" i="52"/>
  <c r="U22" i="52" s="1"/>
  <c r="H13" i="52"/>
  <c r="T39" i="52"/>
  <c r="T45" i="52"/>
  <c r="I39" i="52"/>
  <c r="J39" i="52" s="1"/>
  <c r="U35" i="52"/>
  <c r="U39" i="52" s="1"/>
  <c r="I45" i="52"/>
  <c r="U40" i="52"/>
  <c r="U45" i="52" s="1"/>
  <c r="H22" i="52"/>
  <c r="T8" i="52"/>
  <c r="U8" i="52"/>
  <c r="H27" i="52"/>
  <c r="I34" i="52"/>
  <c r="J34" i="52" s="1"/>
  <c r="U28" i="52"/>
  <c r="U34" i="52" s="1"/>
  <c r="H45" i="52"/>
  <c r="T13" i="52"/>
  <c r="I51" i="52"/>
  <c r="U46" i="52"/>
  <c r="U51" i="52" s="1"/>
  <c r="H34" i="52"/>
  <c r="D15" i="57207"/>
  <c r="E15" i="57207"/>
  <c r="I50" i="56"/>
  <c r="J49" i="52" s="1"/>
  <c r="I49" i="56"/>
  <c r="J48" i="52" s="1"/>
  <c r="I48" i="56"/>
  <c r="J47" i="52" s="1"/>
  <c r="I47" i="56"/>
  <c r="J46" i="52" s="1"/>
  <c r="I45" i="56"/>
  <c r="J44" i="52" s="1"/>
  <c r="I44" i="56"/>
  <c r="J43" i="52" s="1"/>
  <c r="I43" i="56"/>
  <c r="J42" i="52" s="1"/>
  <c r="I42" i="56"/>
  <c r="J41" i="52" s="1"/>
  <c r="I41" i="56"/>
  <c r="J40" i="52" s="1"/>
  <c r="I39" i="56"/>
  <c r="J38" i="52" s="1"/>
  <c r="I38" i="56"/>
  <c r="J37" i="52" s="1"/>
  <c r="I37" i="56"/>
  <c r="J36" i="52" s="1"/>
  <c r="I36" i="56"/>
  <c r="J35" i="52" s="1"/>
  <c r="I34" i="56"/>
  <c r="J33" i="52" s="1"/>
  <c r="I33" i="56"/>
  <c r="J32" i="52" s="1"/>
  <c r="I32" i="56"/>
  <c r="J31" i="52" s="1"/>
  <c r="I31" i="56"/>
  <c r="J30" i="52" s="1"/>
  <c r="I30" i="56"/>
  <c r="J29" i="52" s="1"/>
  <c r="I29" i="56"/>
  <c r="J28" i="52" s="1"/>
  <c r="I27" i="56"/>
  <c r="J26" i="52" s="1"/>
  <c r="I26" i="56"/>
  <c r="J25" i="52" s="1"/>
  <c r="I25" i="56"/>
  <c r="J24" i="52" s="1"/>
  <c r="I24" i="56"/>
  <c r="J23" i="52" s="1"/>
  <c r="I22" i="56"/>
  <c r="J21" i="52" s="1"/>
  <c r="I21" i="56"/>
  <c r="J20" i="52" s="1"/>
  <c r="I20" i="56"/>
  <c r="J19" i="52" s="1"/>
  <c r="I19" i="56"/>
  <c r="J18" i="52" s="1"/>
  <c r="I17" i="56"/>
  <c r="J16" i="52" s="1"/>
  <c r="I15" i="56"/>
  <c r="J14" i="52" s="1"/>
  <c r="I13" i="56"/>
  <c r="J12" i="52" s="1"/>
  <c r="I12" i="56"/>
  <c r="J11" i="52" s="1"/>
  <c r="I11" i="56"/>
  <c r="J10" i="52" s="1"/>
  <c r="I10" i="56"/>
  <c r="J9" i="52" s="1"/>
  <c r="I8" i="56"/>
  <c r="J7" i="52" s="1"/>
  <c r="I7" i="56"/>
  <c r="J6" i="52" s="1"/>
  <c r="G51" i="56"/>
  <c r="G50" i="52" s="1"/>
  <c r="G50" i="56"/>
  <c r="G49" i="52" s="1"/>
  <c r="G49" i="56"/>
  <c r="G48" i="52" s="1"/>
  <c r="G48" i="56"/>
  <c r="G47" i="52" s="1"/>
  <c r="G47" i="56"/>
  <c r="G46" i="52" s="1"/>
  <c r="G42" i="56"/>
  <c r="G41" i="52" s="1"/>
  <c r="G41" i="56"/>
  <c r="G40" i="52" s="1"/>
  <c r="G38" i="56"/>
  <c r="G37" i="52" s="1"/>
  <c r="G37" i="56"/>
  <c r="G36" i="52" s="1"/>
  <c r="G36" i="56"/>
  <c r="G35" i="52" s="1"/>
  <c r="G31" i="56"/>
  <c r="G30" i="52" s="1"/>
  <c r="G30" i="56"/>
  <c r="G29" i="52" s="1"/>
  <c r="G27" i="56"/>
  <c r="G26" i="52" s="1"/>
  <c r="G26" i="56"/>
  <c r="G25" i="52" s="1"/>
  <c r="G21" i="56"/>
  <c r="G20" i="52" s="1"/>
  <c r="G20" i="56"/>
  <c r="G19" i="52" s="1"/>
  <c r="G16" i="56"/>
  <c r="G15" i="52" s="1"/>
  <c r="G15" i="56"/>
  <c r="G14" i="52" s="1"/>
  <c r="G11" i="56"/>
  <c r="G10" i="52" s="1"/>
  <c r="G10" i="56"/>
  <c r="G9" i="52" s="1"/>
  <c r="G7" i="56"/>
  <c r="G6" i="52" s="1"/>
  <c r="I5" i="56"/>
  <c r="J4" i="52" s="1"/>
  <c r="M6" i="56"/>
  <c r="P5" i="52" s="1"/>
  <c r="K4" i="57205" s="1"/>
  <c r="K6" i="56"/>
  <c r="M5" i="52" s="1"/>
  <c r="I6" i="56"/>
  <c r="J5" i="52" s="1"/>
  <c r="G6" i="56"/>
  <c r="G5" i="52" s="1"/>
  <c r="I53" i="57200"/>
  <c r="H52" i="52" s="1"/>
  <c r="I51" i="57200"/>
  <c r="H50" i="52" s="1"/>
  <c r="I16" i="57200"/>
  <c r="H15" i="52" s="1"/>
  <c r="I53" i="1"/>
  <c r="I52" i="52" s="1"/>
  <c r="I16" i="1"/>
  <c r="I15" i="52" s="1"/>
  <c r="B9" i="57201"/>
  <c r="A4" i="57205"/>
  <c r="B4" i="57205"/>
  <c r="C4" i="57205"/>
  <c r="D4" i="57205"/>
  <c r="E4" i="57205"/>
  <c r="F4" i="57205"/>
  <c r="G4" i="57205"/>
  <c r="I4" i="57205"/>
  <c r="J4" i="57205"/>
  <c r="A5" i="57205"/>
  <c r="B5" i="57205"/>
  <c r="C5" i="57205"/>
  <c r="D5" i="57205"/>
  <c r="E5" i="57205"/>
  <c r="E6" i="57205" s="1"/>
  <c r="F5" i="57205"/>
  <c r="G5" i="57205"/>
  <c r="I5" i="57205"/>
  <c r="J5" i="57205"/>
  <c r="K5" i="57205"/>
  <c r="G6" i="57205"/>
  <c r="J6" i="57205"/>
  <c r="K6" i="57205"/>
  <c r="B7" i="57205"/>
  <c r="C7" i="57205"/>
  <c r="D7" i="57205"/>
  <c r="E7" i="57205"/>
  <c r="F7" i="57205"/>
  <c r="G7" i="57205"/>
  <c r="I7" i="57205"/>
  <c r="J7" i="57205"/>
  <c r="K7" i="57205"/>
  <c r="B8" i="57205"/>
  <c r="C8" i="57205"/>
  <c r="D8" i="57205"/>
  <c r="E8" i="57205"/>
  <c r="F8" i="57205"/>
  <c r="G8" i="57205"/>
  <c r="I8" i="57205"/>
  <c r="J8" i="57205"/>
  <c r="K8" i="57205"/>
  <c r="G9" i="57205"/>
  <c r="J9" i="57205"/>
  <c r="K9" i="57205"/>
  <c r="B10" i="57205"/>
  <c r="D10" i="57205"/>
  <c r="E10" i="57205"/>
  <c r="F10" i="57205"/>
  <c r="G10" i="57205"/>
  <c r="I10" i="57205"/>
  <c r="Q10" i="57205" s="1"/>
  <c r="J10" i="57205"/>
  <c r="K10" i="57205"/>
  <c r="B11" i="57205"/>
  <c r="D11" i="57205"/>
  <c r="E11" i="57205"/>
  <c r="F11" i="57205"/>
  <c r="G11" i="57205"/>
  <c r="I11" i="57205"/>
  <c r="Q11" i="57205" s="1"/>
  <c r="J11" i="57205"/>
  <c r="J12" i="57205" s="1"/>
  <c r="K11" i="57205"/>
  <c r="E12" i="57205"/>
  <c r="G12" i="57205"/>
  <c r="K12" i="57205"/>
  <c r="M12" i="57205"/>
  <c r="M24" i="57205" s="1"/>
  <c r="N12" i="57205"/>
  <c r="Q13" i="57205"/>
  <c r="R13" i="57205"/>
  <c r="R15" i="57205" s="1"/>
  <c r="Q14" i="57205"/>
  <c r="R14" i="57205"/>
  <c r="E15" i="57205"/>
  <c r="F15" i="57205"/>
  <c r="G15" i="57205"/>
  <c r="Q16" i="57205"/>
  <c r="R16" i="57205"/>
  <c r="Q17" i="57205"/>
  <c r="R17" i="57205"/>
  <c r="E18" i="57205"/>
  <c r="F18" i="57205"/>
  <c r="G18" i="57205"/>
  <c r="I18" i="57205"/>
  <c r="J18" i="57205"/>
  <c r="K18" i="57205"/>
  <c r="Q18" i="57205"/>
  <c r="R18" i="57205"/>
  <c r="Q19" i="57205"/>
  <c r="Q21" i="57205" s="1"/>
  <c r="R19" i="57205"/>
  <c r="Q20" i="57205"/>
  <c r="R20" i="57205"/>
  <c r="E21" i="57205"/>
  <c r="F21" i="57205"/>
  <c r="G21" i="57205"/>
  <c r="I21" i="57205"/>
  <c r="J21" i="57205"/>
  <c r="K21" i="57205"/>
  <c r="R21" i="57205"/>
  <c r="Q22" i="57205"/>
  <c r="R22" i="57205"/>
  <c r="E23" i="57205"/>
  <c r="F23" i="57205"/>
  <c r="G23" i="57205"/>
  <c r="I23" i="57205"/>
  <c r="J23" i="57205"/>
  <c r="K23" i="57205"/>
  <c r="Q23" i="57205"/>
  <c r="R23" i="57205"/>
  <c r="N24" i="57205"/>
  <c r="F25" i="57205"/>
  <c r="J25" i="57205"/>
  <c r="N25" i="57205"/>
  <c r="F26" i="57205"/>
  <c r="J26" i="57205"/>
  <c r="N26" i="57205"/>
  <c r="N27" i="57205"/>
  <c r="F28" i="57205"/>
  <c r="J28" i="57205"/>
  <c r="N28" i="57205"/>
  <c r="F29" i="57205"/>
  <c r="J29" i="57205"/>
  <c r="N29" i="57205"/>
  <c r="I53" i="52" l="1"/>
  <c r="U52" i="52"/>
  <c r="U53" i="52" s="1"/>
  <c r="H17" i="52"/>
  <c r="T15" i="52"/>
  <c r="T17" i="52" s="1"/>
  <c r="J45" i="52"/>
  <c r="J22" i="52"/>
  <c r="I17" i="52"/>
  <c r="I54" i="52" s="1"/>
  <c r="U15" i="52"/>
  <c r="U17" i="52" s="1"/>
  <c r="U54" i="52" s="1"/>
  <c r="E9" i="57205"/>
  <c r="I56" i="1"/>
  <c r="I57" i="1"/>
  <c r="I55" i="52" s="1"/>
  <c r="Q15" i="57205"/>
  <c r="H53" i="52"/>
  <c r="T52" i="52"/>
  <c r="T53" i="52" s="1"/>
  <c r="Q5" i="57205"/>
  <c r="H51" i="52"/>
  <c r="J51" i="52" s="1"/>
  <c r="T50" i="52"/>
  <c r="T51" i="52" s="1"/>
  <c r="J13" i="52"/>
  <c r="J27" i="52"/>
  <c r="Q8" i="57205"/>
  <c r="Q4" i="57205"/>
  <c r="T54" i="52"/>
  <c r="Q7" i="57205"/>
  <c r="Q9" i="57205" s="1"/>
  <c r="F6" i="57205"/>
  <c r="R7" i="57205"/>
  <c r="R9" i="57205" s="1"/>
  <c r="I51" i="56"/>
  <c r="J50" i="52" s="1"/>
  <c r="I12" i="57205"/>
  <c r="Q12" i="57205"/>
  <c r="F12" i="57205"/>
  <c r="R10" i="57205"/>
  <c r="R11" i="57205"/>
  <c r="I16" i="56"/>
  <c r="J15" i="52" s="1"/>
  <c r="I53" i="56"/>
  <c r="J52" i="52" s="1"/>
  <c r="I55" i="1"/>
  <c r="I58" i="1" s="1"/>
  <c r="J53" i="52"/>
  <c r="Q6" i="57205"/>
  <c r="I6" i="57205"/>
  <c r="F9" i="57205"/>
  <c r="R5" i="57205"/>
  <c r="R8" i="57205"/>
  <c r="J24" i="57205"/>
  <c r="J27" i="57205" s="1"/>
  <c r="E24" i="57205"/>
  <c r="R4" i="57205"/>
  <c r="R6" i="57205" s="1"/>
  <c r="I9" i="57205"/>
  <c r="Q24" i="57205" l="1"/>
  <c r="J17" i="52"/>
  <c r="I24" i="57205"/>
  <c r="F24" i="57205"/>
  <c r="F27" i="57205" s="1"/>
  <c r="H54" i="52"/>
  <c r="J54" i="52"/>
  <c r="I56" i="52"/>
  <c r="K24" i="57205"/>
  <c r="R12" i="57205"/>
  <c r="R24" i="57205" s="1"/>
  <c r="I60" i="1"/>
  <c r="I57" i="52" s="1"/>
  <c r="I59" i="1"/>
  <c r="I61" i="1"/>
  <c r="G24" i="5720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U5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Test:</t>
        </r>
        <r>
          <rPr>
            <sz val="8"/>
            <color indexed="81"/>
            <rFont val="Tahoma"/>
            <family val="2"/>
          </rPr>
          <t xml:space="preserve">
no wastage included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R. Deibert</author>
  </authors>
  <commentList>
    <comment ref="B4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LAST TAC = 1,339,219
</t>
        </r>
      </text>
    </comment>
    <comment ref="B5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803,256
</t>
        </r>
      </text>
    </comment>
    <comment ref="B6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743,026
</t>
        </r>
      </text>
    </comment>
    <comment ref="B7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688,889</t>
        </r>
      </text>
    </comment>
    <comment ref="B8" authorId="0" shapeId="0" xr:uid="{00000000-0006-0000-0700-000005000000}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188,801</t>
        </r>
      </text>
    </comment>
    <comment ref="B9" authorId="0" shapeId="0" xr:uid="{00000000-0006-0000-0700-000006000000}">
      <text>
        <r>
          <rPr>
            <b/>
            <sz val="8"/>
            <color indexed="81"/>
            <rFont val="Tahoma"/>
            <family val="2"/>
          </rPr>
          <t>John R. Deibert:</t>
        </r>
        <r>
          <rPr>
            <sz val="8"/>
            <color indexed="81"/>
            <rFont val="Tahoma"/>
            <family val="2"/>
          </rPr>
          <t xml:space="preserve">
3,763,191</t>
        </r>
      </text>
    </comment>
  </commentList>
</comments>
</file>

<file path=xl/sharedStrings.xml><?xml version="1.0" encoding="utf-8"?>
<sst xmlns="http://schemas.openxmlformats.org/spreadsheetml/2006/main" count="1144" uniqueCount="82">
  <si>
    <t>update</t>
  </si>
  <si>
    <t>page 1 of 3</t>
  </si>
  <si>
    <t>LONG BEACH</t>
  </si>
  <si>
    <t>DATE</t>
  </si>
  <si>
    <t>DAY</t>
  </si>
  <si>
    <t>TIDE</t>
  </si>
  <si>
    <t>TIME</t>
  </si>
  <si>
    <t>Longbeach</t>
  </si>
  <si>
    <t>Twin Harbors</t>
  </si>
  <si>
    <t>Copalis</t>
  </si>
  <si>
    <t>Mocrocks</t>
  </si>
  <si>
    <t>Kalaloch</t>
  </si>
  <si>
    <t>Daily Totals</t>
  </si>
  <si>
    <t>TWIN HARBORS</t>
  </si>
  <si>
    <t>COPALIS</t>
  </si>
  <si>
    <t>Sat</t>
  </si>
  <si>
    <t>MOCROCKS</t>
  </si>
  <si>
    <t>Sun</t>
  </si>
  <si>
    <t>KALALOCH</t>
  </si>
  <si>
    <t>October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</si>
  <si>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</si>
  <si>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</si>
  <si>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</si>
  <si>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</si>
  <si>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SEASON TOTALS :</t>
  </si>
  <si>
    <t>page 2 of 3</t>
  </si>
  <si>
    <t>page 3 of 3</t>
  </si>
  <si>
    <t>DAILY TOTALS</t>
  </si>
  <si>
    <t>Effort</t>
  </si>
  <si>
    <t>Harvest</t>
  </si>
  <si>
    <t>CPUE</t>
  </si>
  <si>
    <t>Tide Series Totals</t>
  </si>
  <si>
    <t>SEASON TOTALS:</t>
  </si>
  <si>
    <t>November</t>
  </si>
  <si>
    <t>ESTIMATED WASTAGE RATE:</t>
  </si>
  <si>
    <t>ESTIMATED TOTAL WASTAGE:</t>
  </si>
  <si>
    <t>COASTWIDE TAC</t>
  </si>
  <si>
    <t>Mon</t>
  </si>
  <si>
    <t>Area</t>
  </si>
  <si>
    <t>Holes Checked</t>
  </si>
  <si>
    <t>Clams found</t>
  </si>
  <si>
    <t># of Mortalities</t>
  </si>
  <si>
    <t>Wastage %</t>
  </si>
  <si>
    <t>Date</t>
  </si>
  <si>
    <t>Totals</t>
  </si>
  <si>
    <t>December</t>
  </si>
  <si>
    <t>Fri</t>
  </si>
  <si>
    <t>CLOSED</t>
  </si>
  <si>
    <t>Thu</t>
  </si>
  <si>
    <t>2007 FALL / 2008 SPRING RAZOR CLAM HARVEST TOTALS (number of clams): NON-INDIAN FISHERY</t>
  </si>
  <si>
    <t>Wastage for Fall 2007 through Spring 2008 Non - Tribal Razor Clam Fishery</t>
  </si>
  <si>
    <t>2007 FALL / 2008 SPRING RAZOR CLAM EFFORT TOTALS (number of diggers): NON-INDIAN FISHERY</t>
  </si>
  <si>
    <t>2007 FALL - 2008 SPRING NON-TRIBAL TOTAL ALLOWABLE CATCH (TAC)</t>
  </si>
  <si>
    <t>Estimated Wastage Rate:</t>
  </si>
  <si>
    <t>Estimated Total Wastage:</t>
  </si>
  <si>
    <t>SEASON TOTALS (including wastage):</t>
  </si>
  <si>
    <t>% of State's Share of TAC Harvested</t>
  </si>
  <si>
    <t>2007 - 2008 Non-Indian recreational razor clam effort, harvest and CPUE totals / Co-managed beaches only.</t>
  </si>
  <si>
    <t>Avg. Size</t>
  </si>
  <si>
    <t>2007-2008 State (non-Indian) Recreational Razor Clam Effort, Harvest and CPUE totals.</t>
  </si>
  <si>
    <t>Clams remaning in State's Share of TAC</t>
  </si>
  <si>
    <t>closed</t>
  </si>
  <si>
    <t>*</t>
  </si>
  <si>
    <t>January</t>
  </si>
  <si>
    <t>February</t>
  </si>
  <si>
    <t>Wed</t>
  </si>
  <si>
    <t>March</t>
  </si>
  <si>
    <t>0.0</t>
  </si>
  <si>
    <t>Tue</t>
  </si>
  <si>
    <t>April</t>
  </si>
  <si>
    <t>2007 FALL / 2008 SPRING RAZOR CLAM CPUE TOTALS (clams per digger trip): NON-INDIAN FISHERY</t>
  </si>
  <si>
    <t>May</t>
  </si>
  <si>
    <t>(FINAL  ESTIMATE)</t>
  </si>
  <si>
    <t>EventID</t>
  </si>
  <si>
    <t>BeachName</t>
  </si>
  <si>
    <t>SumOfTotHarvest</t>
  </si>
  <si>
    <t>SumOfWastage</t>
  </si>
  <si>
    <t>wastage</t>
  </si>
  <si>
    <t>Total harvest, including wastage</t>
  </si>
  <si>
    <t>LongBeach</t>
  </si>
  <si>
    <t xml:space="preserve">FALL 2007 - SPRING 2008 SEASON TOTALS: </t>
  </si>
  <si>
    <t>Fall 2007 / Spring 2008 Harvest Rate (clams/day):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</si>
</sst>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3" formatCode="_(* #,##0.00_);_(* \(#,##0.00\);_(* &quot;-&quot;??_);_(@_)"/>
    <numFmt numFmtId="164" formatCode="0.0%"/>
    <numFmt numFmtId="165" formatCode="0.0"/>
    <numFmt numFmtId="166" formatCode="d\-mmm\-yyyy"/>
    <numFmt numFmtId="167" formatCode="#,##0.0"/>
    <numFmt numFmtId="168" formatCode="dd\-mmm\-yy"/>
    <numFmt numFmtId="169" formatCode="_(* #,##0_);_(* \(#,##0\);_(* &quot;-&quot;??_);_(@_)"/>
  </numFmts>
  <fonts count="28" x14ac:knownFonts="1">
    <font>
      <sz val="12"/>
      <name val="Times New Roman"/>
    </font>
    <font>
      <sz val="8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6"/>
      <name val="Times New Roman"/>
      <family val="1"/>
    </font>
    <font>
      <sz val="10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0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ck">
        <color indexed="0"/>
      </top>
      <bottom/>
      <diagonal/>
    </border>
    <border>
      <left/>
      <right/>
      <top/>
      <bottom style="thick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ck">
        <color indexed="0"/>
      </top>
      <bottom/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medium">
        <color indexed="64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0"/>
      </bottom>
      <diagonal/>
    </border>
    <border>
      <left/>
      <right style="medium">
        <color indexed="64"/>
      </right>
      <top/>
      <bottom style="thick">
        <color indexed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>
      <alignment vertical="top"/>
    </xf>
    <xf numFmtId="0" fontId="12" fillId="0" borderId="0"/>
    <xf numFmtId="9" fontId="12" fillId="0" borderId="0" applyFont="0" applyFill="0" applyBorder="0" applyAlignment="0" applyProtection="0"/>
    <xf numFmtId="0" fontId="14" fillId="0" borderId="0"/>
    <xf numFmtId="43" fontId="16" fillId="0" borderId="0" applyFont="0" applyFill="0" applyBorder="0" applyAlignment="0" applyProtection="0"/>
    <xf numFmtId="0" fontId="22" fillId="0" borderId="0"/>
  </cellStyleXfs>
  <cellXfs count="222">
    <xf numFmtId="0" fontId="0" fillId="0" borderId="0" xfId="0" applyAlignment="1"/>
    <xf numFmtId="4" fontId="0" fillId="0" borderId="0" xfId="0" applyNumberFormat="1" applyAlignment="1">
      <alignment horizontal="center"/>
    </xf>
    <xf numFmtId="164" fontId="0" fillId="0" borderId="0" xfId="0" applyNumberFormat="1" applyAlignment="1"/>
    <xf numFmtId="15" fontId="0" fillId="0" borderId="0" xfId="0" applyNumberFormat="1" applyAlignment="1"/>
    <xf numFmtId="1" fontId="0" fillId="0" borderId="0" xfId="0" applyNumberFormat="1" applyAlignment="1">
      <alignment horizontal="center"/>
    </xf>
    <xf numFmtId="165" fontId="0" fillId="0" borderId="0" xfId="0" applyNumberFormat="1" applyAlignme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left"/>
    </xf>
    <xf numFmtId="3" fontId="0" fillId="0" borderId="0" xfId="0" applyNumberFormat="1" applyAlignment="1"/>
    <xf numFmtId="164" fontId="0" fillId="0" borderId="0" xfId="0" applyNumberFormat="1" applyAlignment="1">
      <alignment horizontal="center"/>
    </xf>
    <xf numFmtId="16" fontId="0" fillId="0" borderId="0" xfId="0" applyNumberFormat="1" applyAlignment="1">
      <alignment horizontal="left"/>
    </xf>
    <xf numFmtId="0" fontId="0" fillId="0" borderId="10" xfId="0" applyBorder="1" applyAlignment="1"/>
    <xf numFmtId="3" fontId="0" fillId="0" borderId="11" xfId="0" applyNumberFormat="1" applyBorder="1" applyAlignment="1"/>
    <xf numFmtId="0" fontId="0" fillId="0" borderId="12" xfId="0" applyBorder="1" applyAlignment="1"/>
    <xf numFmtId="3" fontId="0" fillId="0" borderId="13" xfId="0" applyNumberFormat="1" applyBorder="1" applyAlignment="1"/>
    <xf numFmtId="0" fontId="0" fillId="0" borderId="14" xfId="0" applyBorder="1" applyAlignment="1"/>
    <xf numFmtId="3" fontId="0" fillId="0" borderId="15" xfId="0" applyNumberFormat="1" applyBorder="1" applyAlignment="1"/>
    <xf numFmtId="3" fontId="0" fillId="0" borderId="16" xfId="0" applyNumberFormat="1" applyBorder="1" applyAlignment="1"/>
    <xf numFmtId="0" fontId="6" fillId="0" borderId="17" xfId="0" applyFont="1" applyBorder="1" applyAlignment="1"/>
    <xf numFmtId="0" fontId="0" fillId="0" borderId="18" xfId="0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19" xfId="0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5" fillId="0" borderId="0" xfId="0" applyFont="1" applyAlignment="1"/>
    <xf numFmtId="0" fontId="12" fillId="0" borderId="0" xfId="1"/>
    <xf numFmtId="16" fontId="2" fillId="0" borderId="24" xfId="1" applyNumberFormat="1" applyFont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18" fontId="2" fillId="0" borderId="25" xfId="1" applyNumberFormat="1" applyFont="1" applyBorder="1" applyAlignment="1">
      <alignment horizontal="center"/>
    </xf>
    <xf numFmtId="3" fontId="2" fillId="0" borderId="24" xfId="1" applyNumberFormat="1" applyFont="1" applyBorder="1" applyAlignment="1">
      <alignment horizontal="center"/>
    </xf>
    <xf numFmtId="3" fontId="2" fillId="0" borderId="0" xfId="1" applyNumberFormat="1" applyFont="1" applyAlignment="1">
      <alignment horizontal="center"/>
    </xf>
    <xf numFmtId="165" fontId="2" fillId="0" borderId="25" xfId="1" applyNumberFormat="1" applyFont="1" applyBorder="1" applyAlignment="1">
      <alignment horizontal="center"/>
    </xf>
    <xf numFmtId="3" fontId="2" fillId="0" borderId="25" xfId="1" applyNumberFormat="1" applyFont="1" applyBorder="1" applyAlignment="1">
      <alignment horizontal="center"/>
    </xf>
    <xf numFmtId="0" fontId="2" fillId="0" borderId="0" xfId="1" applyFont="1" applyAlignment="1">
      <alignment horizontal="center"/>
    </xf>
    <xf numFmtId="3" fontId="4" fillId="0" borderId="26" xfId="1" applyNumberFormat="1" applyFont="1" applyBorder="1" applyAlignment="1">
      <alignment horizontal="center"/>
    </xf>
    <xf numFmtId="3" fontId="4" fillId="0" borderId="27" xfId="1" applyNumberFormat="1" applyFont="1" applyBorder="1" applyAlignment="1">
      <alignment horizontal="center"/>
    </xf>
    <xf numFmtId="167" fontId="2" fillId="0" borderId="0" xfId="1" applyNumberFormat="1" applyFont="1" applyAlignment="1">
      <alignment horizontal="center"/>
    </xf>
    <xf numFmtId="3" fontId="12" fillId="0" borderId="0" xfId="1" applyNumberFormat="1"/>
    <xf numFmtId="16" fontId="4" fillId="0" borderId="0" xfId="1" applyNumberFormat="1" applyFont="1" applyAlignment="1">
      <alignment horizontal="left"/>
    </xf>
    <xf numFmtId="0" fontId="9" fillId="0" borderId="0" xfId="1" applyFont="1"/>
    <xf numFmtId="16" fontId="2" fillId="0" borderId="0" xfId="1" applyNumberFormat="1" applyFont="1" applyAlignment="1">
      <alignment horizontal="center"/>
    </xf>
    <xf numFmtId="2" fontId="2" fillId="0" borderId="0" xfId="1" applyNumberFormat="1" applyFont="1" applyAlignment="1">
      <alignment horizontal="center"/>
    </xf>
    <xf numFmtId="3" fontId="4" fillId="2" borderId="26" xfId="1" applyNumberFormat="1" applyFont="1" applyFill="1" applyBorder="1" applyAlignment="1">
      <alignment horizontal="center"/>
    </xf>
    <xf numFmtId="3" fontId="4" fillId="2" borderId="4" xfId="1" applyNumberFormat="1" applyFont="1" applyFill="1" applyBorder="1" applyAlignment="1">
      <alignment horizontal="center"/>
    </xf>
    <xf numFmtId="165" fontId="4" fillId="2" borderId="4" xfId="1" applyNumberFormat="1" applyFont="1" applyFill="1" applyBorder="1" applyAlignment="1">
      <alignment horizontal="center"/>
    </xf>
    <xf numFmtId="165" fontId="4" fillId="2" borderId="27" xfId="1" applyNumberFormat="1" applyFont="1" applyFill="1" applyBorder="1" applyAlignment="1">
      <alignment horizontal="center"/>
    </xf>
    <xf numFmtId="3" fontId="4" fillId="2" borderId="27" xfId="1" applyNumberFormat="1" applyFont="1" applyFill="1" applyBorder="1" applyAlignment="1">
      <alignment horizontal="center"/>
    </xf>
    <xf numFmtId="167" fontId="4" fillId="2" borderId="4" xfId="1" applyNumberFormat="1" applyFont="1" applyFill="1" applyBorder="1" applyAlignment="1">
      <alignment horizontal="center"/>
    </xf>
    <xf numFmtId="3" fontId="4" fillId="2" borderId="28" xfId="1" applyNumberFormat="1" applyFont="1" applyFill="1" applyBorder="1" applyAlignment="1">
      <alignment horizontal="center"/>
    </xf>
    <xf numFmtId="3" fontId="4" fillId="2" borderId="29" xfId="1" applyNumberFormat="1" applyFont="1" applyFill="1" applyBorder="1" applyAlignment="1">
      <alignment horizontal="center"/>
    </xf>
    <xf numFmtId="165" fontId="4" fillId="2" borderId="29" xfId="1" applyNumberFormat="1" applyFont="1" applyFill="1" applyBorder="1" applyAlignment="1">
      <alignment horizontal="center"/>
    </xf>
    <xf numFmtId="165" fontId="4" fillId="2" borderId="30" xfId="1" applyNumberFormat="1" applyFont="1" applyFill="1" applyBorder="1" applyAlignment="1">
      <alignment horizontal="center"/>
    </xf>
    <xf numFmtId="3" fontId="4" fillId="2" borderId="24" xfId="1" applyNumberFormat="1" applyFont="1" applyFill="1" applyBorder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5" fontId="4" fillId="2" borderId="0" xfId="1" applyNumberFormat="1" applyFont="1" applyFill="1" applyAlignment="1">
      <alignment horizontal="center"/>
    </xf>
    <xf numFmtId="165" fontId="4" fillId="2" borderId="25" xfId="1" applyNumberFormat="1" applyFont="1" applyFill="1" applyBorder="1" applyAlignment="1">
      <alignment horizontal="center"/>
    </xf>
    <xf numFmtId="3" fontId="4" fillId="2" borderId="0" xfId="1" applyNumberFormat="1" applyFont="1" applyFill="1" applyAlignment="1">
      <alignment horizontal="center"/>
    </xf>
    <xf numFmtId="9" fontId="4" fillId="2" borderId="0" xfId="2" applyFont="1" applyFill="1" applyBorder="1" applyAlignment="1">
      <alignment horizontal="center"/>
    </xf>
    <xf numFmtId="16" fontId="4" fillId="3" borderId="24" xfId="1" quotePrefix="1" applyNumberFormat="1" applyFont="1" applyFill="1" applyBorder="1" applyAlignment="1">
      <alignment horizontal="centerContinuous"/>
    </xf>
    <xf numFmtId="16" fontId="4" fillId="3" borderId="0" xfId="1" applyNumberFormat="1" applyFont="1" applyFill="1" applyAlignment="1">
      <alignment horizontal="centerContinuous"/>
    </xf>
    <xf numFmtId="164" fontId="4" fillId="2" borderId="0" xfId="1" applyNumberFormat="1" applyFont="1" applyFill="1" applyAlignment="1">
      <alignment horizontal="center"/>
    </xf>
    <xf numFmtId="0" fontId="6" fillId="4" borderId="31" xfId="1" applyFont="1" applyFill="1" applyBorder="1"/>
    <xf numFmtId="3" fontId="10" fillId="4" borderId="32" xfId="1" applyNumberFormat="1" applyFont="1" applyFill="1" applyBorder="1" applyAlignment="1">
      <alignment horizontal="center"/>
    </xf>
    <xf numFmtId="164" fontId="9" fillId="4" borderId="32" xfId="1" applyNumberFormat="1" applyFont="1" applyFill="1" applyBorder="1" applyAlignment="1">
      <alignment horizontal="center"/>
    </xf>
    <xf numFmtId="0" fontId="6" fillId="4" borderId="32" xfId="1" applyFont="1" applyFill="1" applyBorder="1"/>
    <xf numFmtId="0" fontId="6" fillId="4" borderId="33" xfId="1" applyFont="1" applyFill="1" applyBorder="1"/>
    <xf numFmtId="3" fontId="4" fillId="0" borderId="24" xfId="1" applyNumberFormat="1" applyFont="1" applyBorder="1" applyAlignment="1">
      <alignment horizontal="center"/>
    </xf>
    <xf numFmtId="3" fontId="4" fillId="0" borderId="25" xfId="1" applyNumberFormat="1" applyFont="1" applyBorder="1" applyAlignment="1">
      <alignment horizontal="center"/>
    </xf>
    <xf numFmtId="0" fontId="6" fillId="0" borderId="31" xfId="1" applyFont="1" applyBorder="1"/>
    <xf numFmtId="0" fontId="6" fillId="0" borderId="33" xfId="1" applyFont="1" applyBorder="1"/>
    <xf numFmtId="3" fontId="4" fillId="3" borderId="28" xfId="1" applyNumberFormat="1" applyFont="1" applyFill="1" applyBorder="1" applyAlignment="1">
      <alignment horizontal="center"/>
    </xf>
    <xf numFmtId="3" fontId="4" fillId="3" borderId="30" xfId="1" applyNumberFormat="1" applyFont="1" applyFill="1" applyBorder="1" applyAlignment="1">
      <alignment horizontal="center"/>
    </xf>
    <xf numFmtId="0" fontId="13" fillId="5" borderId="28" xfId="1" applyFont="1" applyFill="1" applyBorder="1"/>
    <xf numFmtId="0" fontId="13" fillId="5" borderId="29" xfId="1" applyFont="1" applyFill="1" applyBorder="1"/>
    <xf numFmtId="0" fontId="13" fillId="5" borderId="30" xfId="1" applyFont="1" applyFill="1" applyBorder="1"/>
    <xf numFmtId="0" fontId="3" fillId="5" borderId="31" xfId="1" applyFont="1" applyFill="1" applyBorder="1" applyAlignment="1">
      <alignment horizontal="center"/>
    </xf>
    <xf numFmtId="0" fontId="3" fillId="5" borderId="32" xfId="1" applyFont="1" applyFill="1" applyBorder="1" applyAlignment="1">
      <alignment horizontal="center"/>
    </xf>
    <xf numFmtId="0" fontId="3" fillId="5" borderId="33" xfId="1" applyFont="1" applyFill="1" applyBorder="1" applyAlignment="1">
      <alignment horizontal="center"/>
    </xf>
    <xf numFmtId="0" fontId="3" fillId="5" borderId="34" xfId="1" applyFont="1" applyFill="1" applyBorder="1" applyAlignment="1">
      <alignment horizontal="center"/>
    </xf>
    <xf numFmtId="0" fontId="3" fillId="5" borderId="3" xfId="1" applyFont="1" applyFill="1" applyBorder="1" applyAlignment="1">
      <alignment horizontal="center"/>
    </xf>
    <xf numFmtId="0" fontId="3" fillId="5" borderId="35" xfId="1" applyFont="1" applyFill="1" applyBorder="1" applyAlignment="1">
      <alignment horizontal="center"/>
    </xf>
    <xf numFmtId="0" fontId="15" fillId="6" borderId="40" xfId="3" applyFont="1" applyFill="1" applyBorder="1" applyAlignment="1">
      <alignment horizontal="center"/>
    </xf>
    <xf numFmtId="4" fontId="0" fillId="0" borderId="0" xfId="0" applyNumberFormat="1" applyAlignment="1"/>
    <xf numFmtId="0" fontId="15" fillId="0" borderId="41" xfId="3" applyFont="1" applyBorder="1" applyAlignment="1">
      <alignment horizontal="right" wrapText="1"/>
    </xf>
    <xf numFmtId="0" fontId="15" fillId="0" borderId="41" xfId="3" applyFont="1" applyBorder="1" applyAlignment="1">
      <alignment wrapText="1"/>
    </xf>
    <xf numFmtId="168" fontId="15" fillId="0" borderId="41" xfId="3" applyNumberFormat="1" applyFont="1" applyBorder="1" applyAlignment="1">
      <alignment horizontal="right" wrapText="1"/>
    </xf>
    <xf numFmtId="4" fontId="15" fillId="0" borderId="41" xfId="3" applyNumberFormat="1" applyFont="1" applyBorder="1" applyAlignment="1">
      <alignment horizontal="right" wrapText="1"/>
    </xf>
    <xf numFmtId="0" fontId="17" fillId="0" borderId="0" xfId="0" applyFont="1" applyAlignment="1"/>
    <xf numFmtId="0" fontId="17" fillId="0" borderId="0" xfId="0" applyFont="1" applyAlignment="1">
      <alignment horizontal="left"/>
    </xf>
    <xf numFmtId="0" fontId="18" fillId="0" borderId="0" xfId="0" applyFont="1" applyAlignment="1"/>
    <xf numFmtId="0" fontId="19" fillId="0" borderId="0" xfId="0" applyFont="1" applyAlignment="1"/>
    <xf numFmtId="3" fontId="17" fillId="0" borderId="0" xfId="0" applyNumberFormat="1" applyFont="1" applyAlignment="1"/>
    <xf numFmtId="0" fontId="17" fillId="0" borderId="2" xfId="0" applyFont="1" applyBorder="1" applyAlignment="1"/>
    <xf numFmtId="0" fontId="17" fillId="0" borderId="5" xfId="0" applyFont="1" applyBorder="1" applyAlignment="1">
      <alignment horizontal="centerContinuous"/>
    </xf>
    <xf numFmtId="0" fontId="17" fillId="0" borderId="2" xfId="0" applyFont="1" applyBorder="1" applyAlignment="1">
      <alignment horizontal="centerContinuous"/>
    </xf>
    <xf numFmtId="0" fontId="17" fillId="0" borderId="5" xfId="0" applyFont="1" applyBorder="1" applyAlignment="1">
      <alignment horizontal="left"/>
    </xf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16" fontId="17" fillId="0" borderId="5" xfId="0" applyNumberFormat="1" applyFont="1" applyBorder="1" applyAlignment="1">
      <alignment horizontal="centerContinuous"/>
    </xf>
    <xf numFmtId="3" fontId="17" fillId="0" borderId="5" xfId="0" applyNumberFormat="1" applyFont="1" applyBorder="1" applyAlignment="1">
      <alignment horizontal="centerContinuous"/>
    </xf>
    <xf numFmtId="0" fontId="17" fillId="0" borderId="3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3" fontId="17" fillId="0" borderId="3" xfId="0" applyNumberFormat="1" applyFont="1" applyBorder="1" applyAlignment="1">
      <alignment horizontal="center"/>
    </xf>
    <xf numFmtId="16" fontId="17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/>
    </xf>
    <xf numFmtId="18" fontId="17" fillId="0" borderId="0" xfId="0" applyNumberFormat="1" applyFont="1" applyAlignment="1">
      <alignment horizontal="center"/>
    </xf>
    <xf numFmtId="3" fontId="17" fillId="0" borderId="7" xfId="0" applyNumberFormat="1" applyFont="1" applyBorder="1" applyAlignment="1">
      <alignment horizontal="center"/>
    </xf>
    <xf numFmtId="3" fontId="17" fillId="0" borderId="0" xfId="0" applyNumberFormat="1" applyFont="1" applyAlignment="1">
      <alignment horizontal="center"/>
    </xf>
    <xf numFmtId="165" fontId="17" fillId="0" borderId="8" xfId="0" applyNumberFormat="1" applyFont="1" applyBorder="1" applyAlignment="1">
      <alignment horizontal="center"/>
    </xf>
    <xf numFmtId="2" fontId="17" fillId="0" borderId="0" xfId="0" applyNumberFormat="1" applyFont="1" applyAlignment="1">
      <alignment horizontal="center"/>
    </xf>
    <xf numFmtId="16" fontId="20" fillId="0" borderId="4" xfId="0" applyNumberFormat="1" applyFont="1" applyBorder="1" applyAlignment="1">
      <alignment horizontal="left"/>
    </xf>
    <xf numFmtId="0" fontId="20" fillId="0" borderId="4" xfId="0" applyFont="1" applyBorder="1" applyAlignment="1">
      <alignment horizontal="center"/>
    </xf>
    <xf numFmtId="165" fontId="20" fillId="0" borderId="4" xfId="0" applyNumberFormat="1" applyFont="1" applyBorder="1" applyAlignment="1">
      <alignment horizontal="center"/>
    </xf>
    <xf numFmtId="3" fontId="20" fillId="0" borderId="9" xfId="0" applyNumberFormat="1" applyFont="1" applyBorder="1" applyAlignment="1">
      <alignment horizontal="center"/>
    </xf>
    <xf numFmtId="3" fontId="20" fillId="0" borderId="4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quotePrefix="1" applyFont="1" applyAlignment="1">
      <alignment horizontal="center"/>
    </xf>
    <xf numFmtId="16" fontId="17" fillId="0" borderId="0" xfId="0" applyNumberFormat="1" applyFont="1" applyAlignment="1">
      <alignment horizontal="left"/>
    </xf>
    <xf numFmtId="16" fontId="17" fillId="0" borderId="4" xfId="0" applyNumberFormat="1" applyFont="1" applyBorder="1" applyAlignment="1">
      <alignment horizontal="left"/>
    </xf>
    <xf numFmtId="0" fontId="17" fillId="0" borderId="4" xfId="0" applyFont="1" applyBorder="1" applyAlignment="1">
      <alignment horizontal="center"/>
    </xf>
    <xf numFmtId="18" fontId="17" fillId="0" borderId="4" xfId="0" applyNumberFormat="1" applyFont="1" applyBorder="1" applyAlignment="1">
      <alignment horizontal="center"/>
    </xf>
    <xf numFmtId="3" fontId="17" fillId="0" borderId="9" xfId="0" applyNumberFormat="1" applyFont="1" applyBorder="1" applyAlignment="1">
      <alignment horizontal="center"/>
    </xf>
    <xf numFmtId="3" fontId="17" fillId="0" borderId="4" xfId="0" applyNumberFormat="1" applyFont="1" applyBorder="1" applyAlignment="1">
      <alignment horizontal="center"/>
    </xf>
    <xf numFmtId="16" fontId="20" fillId="0" borderId="2" xfId="0" applyNumberFormat="1" applyFont="1" applyBorder="1" applyAlignment="1">
      <alignment horizontal="left"/>
    </xf>
    <xf numFmtId="0" fontId="20" fillId="0" borderId="2" xfId="0" applyFont="1" applyBorder="1" applyAlignment="1"/>
    <xf numFmtId="3" fontId="20" fillId="0" borderId="5" xfId="0" applyNumberFormat="1" applyFont="1" applyBorder="1" applyAlignment="1">
      <alignment horizontal="center"/>
    </xf>
    <xf numFmtId="3" fontId="20" fillId="0" borderId="2" xfId="0" applyNumberFormat="1" applyFont="1" applyBorder="1" applyAlignment="1">
      <alignment horizontal="center"/>
    </xf>
    <xf numFmtId="165" fontId="20" fillId="0" borderId="2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/>
    <xf numFmtId="164" fontId="20" fillId="0" borderId="0" xfId="0" applyNumberFormat="1" applyFont="1" applyAlignment="1">
      <alignment horizontal="center"/>
    </xf>
    <xf numFmtId="169" fontId="20" fillId="0" borderId="0" xfId="4" applyNumberFormat="1" applyFont="1" applyAlignment="1">
      <alignment horizontal="center"/>
    </xf>
    <xf numFmtId="16" fontId="20" fillId="0" borderId="0" xfId="0" applyNumberFormat="1" applyFont="1" applyAlignment="1">
      <alignment horizontal="left"/>
    </xf>
    <xf numFmtId="0" fontId="21" fillId="6" borderId="40" xfId="5" applyFont="1" applyFill="1" applyBorder="1" applyAlignment="1">
      <alignment horizontal="center"/>
    </xf>
    <xf numFmtId="0" fontId="21" fillId="0" borderId="41" xfId="5" applyFont="1" applyBorder="1" applyAlignment="1">
      <alignment horizontal="right"/>
    </xf>
    <xf numFmtId="0" fontId="21" fillId="0" borderId="41" xfId="5" applyFont="1" applyBorder="1"/>
    <xf numFmtId="168" fontId="21" fillId="0" borderId="41" xfId="5" applyNumberFormat="1" applyFont="1" applyBorder="1" applyAlignment="1">
      <alignment horizontal="right"/>
    </xf>
    <xf numFmtId="3" fontId="21" fillId="0" borderId="41" xfId="5" applyNumberFormat="1" applyFont="1" applyBorder="1" applyAlignment="1">
      <alignment horizontal="right"/>
    </xf>
    <xf numFmtId="0" fontId="23" fillId="0" borderId="0" xfId="0" applyFont="1" applyAlignment="1">
      <alignment horizontal="left"/>
    </xf>
    <xf numFmtId="0" fontId="24" fillId="0" borderId="0" xfId="0" applyFont="1" applyAlignme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/>
    <xf numFmtId="0" fontId="23" fillId="0" borderId="0" xfId="0" applyFont="1" applyAlignment="1">
      <alignment horizontal="center"/>
    </xf>
    <xf numFmtId="3" fontId="24" fillId="0" borderId="0" xfId="0" applyNumberFormat="1" applyFont="1" applyAlignment="1"/>
    <xf numFmtId="0" fontId="26" fillId="0" borderId="0" xfId="0" applyFont="1" applyAlignment="1"/>
    <xf numFmtId="166" fontId="24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3" fontId="24" fillId="0" borderId="1" xfId="0" applyNumberFormat="1" applyFont="1" applyBorder="1" applyAlignment="1">
      <alignment horizontal="center"/>
    </xf>
    <xf numFmtId="7" fontId="24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18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left"/>
    </xf>
    <xf numFmtId="3" fontId="27" fillId="0" borderId="0" xfId="0" applyNumberFormat="1" applyFont="1" applyAlignment="1">
      <alignment horizontal="right"/>
    </xf>
    <xf numFmtId="0" fontId="23" fillId="0" borderId="0" xfId="0" applyFont="1" applyAlignment="1"/>
    <xf numFmtId="3" fontId="27" fillId="0" borderId="0" xfId="0" quotePrefix="1" applyNumberFormat="1" applyFont="1" applyAlignment="1">
      <alignment horizontal="right"/>
    </xf>
    <xf numFmtId="0" fontId="24" fillId="0" borderId="0" xfId="0" quotePrefix="1" applyFont="1" applyAlignment="1">
      <alignment horizontal="center"/>
    </xf>
    <xf numFmtId="0" fontId="24" fillId="0" borderId="0" xfId="0" applyFont="1" applyAlignment="1">
      <alignment horizontal="right"/>
    </xf>
    <xf numFmtId="3" fontId="24" fillId="0" borderId="0" xfId="0" applyNumberFormat="1" applyFont="1" applyAlignment="1">
      <alignment horizontal="right"/>
    </xf>
    <xf numFmtId="10" fontId="24" fillId="0" borderId="0" xfId="0" applyNumberFormat="1" applyFont="1" applyAlignment="1">
      <alignment horizontal="center"/>
    </xf>
    <xf numFmtId="164" fontId="24" fillId="0" borderId="0" xfId="0" applyNumberFormat="1" applyFont="1" applyAlignment="1">
      <alignment horizontal="center"/>
    </xf>
    <xf numFmtId="0" fontId="25" fillId="0" borderId="0" xfId="0" applyFont="1" applyAlignment="1">
      <alignment horizontal="left"/>
    </xf>
    <xf numFmtId="1" fontId="24" fillId="0" borderId="0" xfId="0" applyNumberFormat="1" applyFont="1" applyAlignment="1">
      <alignment horizontal="center"/>
    </xf>
    <xf numFmtId="165" fontId="23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24" fillId="0" borderId="0" xfId="0" applyNumberFormat="1" applyFont="1" applyAlignment="1"/>
    <xf numFmtId="0" fontId="24" fillId="0" borderId="1" xfId="0" applyFont="1" applyBorder="1" applyAlignment="1">
      <alignment horizontal="centerContinuous"/>
    </xf>
    <xf numFmtId="165" fontId="24" fillId="0" borderId="1" xfId="0" applyNumberFormat="1" applyFont="1" applyBorder="1" applyAlignment="1">
      <alignment horizontal="center"/>
    </xf>
    <xf numFmtId="167" fontId="24" fillId="0" borderId="0" xfId="0" applyNumberFormat="1" applyFont="1" applyAlignment="1">
      <alignment horizontal="center"/>
    </xf>
    <xf numFmtId="167" fontId="24" fillId="0" borderId="0" xfId="0" applyNumberFormat="1" applyFont="1" applyAlignment="1">
      <alignment horizontal="left"/>
    </xf>
    <xf numFmtId="167" fontId="24" fillId="0" borderId="0" xfId="0" applyNumberFormat="1" applyFont="1" applyAlignment="1">
      <alignment horizontal="right"/>
    </xf>
    <xf numFmtId="165" fontId="23" fillId="0" borderId="0" xfId="0" applyNumberFormat="1" applyFont="1" applyAlignment="1"/>
    <xf numFmtId="0" fontId="23" fillId="0" borderId="0" xfId="0" applyFont="1" applyAlignment="1">
      <alignment horizontal="right"/>
    </xf>
    <xf numFmtId="165" fontId="23" fillId="0" borderId="0" xfId="0" applyNumberFormat="1" applyFont="1" applyAlignment="1">
      <alignment horizontal="right"/>
    </xf>
    <xf numFmtId="165" fontId="23" fillId="0" borderId="0" xfId="0" applyNumberFormat="1" applyFont="1" applyAlignment="1">
      <alignment horizontal="left"/>
    </xf>
    <xf numFmtId="3" fontId="23" fillId="0" borderId="0" xfId="0" applyNumberFormat="1" applyFont="1" applyAlignment="1">
      <alignment horizontal="left"/>
    </xf>
    <xf numFmtId="164" fontId="20" fillId="0" borderId="0" xfId="2" applyNumberFormat="1" applyFont="1" applyAlignment="1"/>
    <xf numFmtId="166" fontId="24" fillId="0" borderId="0" xfId="0" applyNumberFormat="1" applyFont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9" xfId="0" applyNumberFormat="1" applyBorder="1" applyAlignment="1">
      <alignment horizontal="center"/>
    </xf>
    <xf numFmtId="16" fontId="10" fillId="2" borderId="26" xfId="1" applyNumberFormat="1" applyFont="1" applyFill="1" applyBorder="1" applyAlignment="1">
      <alignment horizontal="center"/>
    </xf>
    <xf numFmtId="16" fontId="10" fillId="2" borderId="4" xfId="1" applyNumberFormat="1" applyFont="1" applyFill="1" applyBorder="1" applyAlignment="1">
      <alignment horizontal="center"/>
    </xf>
    <xf numFmtId="16" fontId="10" fillId="2" borderId="27" xfId="1" applyNumberFormat="1" applyFont="1" applyFill="1" applyBorder="1" applyAlignment="1">
      <alignment horizontal="center"/>
    </xf>
    <xf numFmtId="0" fontId="11" fillId="0" borderId="32" xfId="1" applyFont="1" applyBorder="1" applyAlignment="1">
      <alignment horizontal="center"/>
    </xf>
    <xf numFmtId="0" fontId="3" fillId="5" borderId="28" xfId="1" applyFont="1" applyFill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16" fontId="3" fillId="5" borderId="28" xfId="1" applyNumberFormat="1" applyFont="1" applyFill="1" applyBorder="1" applyAlignment="1">
      <alignment horizontal="center"/>
    </xf>
    <xf numFmtId="16" fontId="3" fillId="5" borderId="29" xfId="1" applyNumberFormat="1" applyFont="1" applyFill="1" applyBorder="1" applyAlignment="1">
      <alignment horizontal="center"/>
    </xf>
    <xf numFmtId="16" fontId="3" fillId="5" borderId="30" xfId="1" applyNumberFormat="1" applyFont="1" applyFill="1" applyBorder="1" applyAlignment="1">
      <alignment horizontal="center"/>
    </xf>
    <xf numFmtId="0" fontId="9" fillId="4" borderId="31" xfId="1" applyFont="1" applyFill="1" applyBorder="1" applyAlignment="1">
      <alignment horizontal="center"/>
    </xf>
    <xf numFmtId="0" fontId="9" fillId="4" borderId="32" xfId="1" applyFont="1" applyFill="1" applyBorder="1" applyAlignment="1">
      <alignment horizontal="center"/>
    </xf>
    <xf numFmtId="0" fontId="9" fillId="4" borderId="33" xfId="1" applyFont="1" applyFill="1" applyBorder="1" applyAlignment="1">
      <alignment horizontal="center"/>
    </xf>
    <xf numFmtId="16" fontId="4" fillId="2" borderId="28" xfId="1" applyNumberFormat="1" applyFont="1" applyFill="1" applyBorder="1" applyAlignment="1">
      <alignment horizontal="center"/>
    </xf>
    <xf numFmtId="16" fontId="4" fillId="2" borderId="29" xfId="1" applyNumberFormat="1" applyFont="1" applyFill="1" applyBorder="1" applyAlignment="1">
      <alignment horizontal="center"/>
    </xf>
    <xf numFmtId="16" fontId="4" fillId="3" borderId="24" xfId="1" applyNumberFormat="1" applyFont="1" applyFill="1" applyBorder="1" applyAlignment="1">
      <alignment horizontal="center"/>
    </xf>
    <xf numFmtId="16" fontId="4" fillId="3" borderId="0" xfId="1" applyNumberFormat="1" applyFont="1" applyFill="1" applyAlignment="1">
      <alignment horizontal="center"/>
    </xf>
  </cellXfs>
  <cellStyles count="6">
    <cellStyle name="Comma" xfId="4" builtinId="3"/>
    <cellStyle name="Normal" xfId="0" builtinId="0"/>
    <cellStyle name="Normal_Sheet2" xfId="3" xr:uid="{00000000-0005-0000-0000-000002000000}"/>
    <cellStyle name="Normal_Sheet4" xfId="5" xr:uid="{00000000-0005-0000-0000-000003000000}"/>
    <cellStyle name="Normal_State Razor Clam Harvest Update 2006.07" xfId="1" xr:uid="{00000000-0005-0000-0000-000004000000}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102"/>
  <sheetViews>
    <sheetView tabSelected="1" workbookViewId="0">
      <selection activeCell="M60" sqref="M60"/>
    </sheetView>
  </sheetViews>
  <sheetFormatPr defaultRowHeight="15.75" x14ac:dyDescent="0.25"/>
  <cols>
    <col min="1" max="1" width="9.625" style="9" customWidth="1"/>
    <col min="2" max="2" width="4.125" customWidth="1"/>
    <col min="3" max="3" width="6.625" style="7" customWidth="1"/>
    <col min="4" max="4" width="7.625" style="7" customWidth="1"/>
    <col min="5" max="5" width="8.625" style="7" customWidth="1"/>
    <col min="6" max="6" width="2.625" customWidth="1"/>
    <col min="7" max="7" width="10.625" customWidth="1"/>
    <col min="8" max="8" width="2.625" style="9" customWidth="1"/>
    <col min="9" max="9" width="10.625" customWidth="1"/>
    <col min="10" max="10" width="2.625" style="7" customWidth="1"/>
    <col min="11" max="11" width="10.625" customWidth="1"/>
    <col min="12" max="12" width="2.625" style="7" customWidth="1"/>
    <col min="13" max="13" width="10.625" customWidth="1"/>
    <col min="14" max="14" width="2.625" style="7" customWidth="1"/>
    <col min="15" max="15" width="10.625" customWidth="1"/>
    <col min="16" max="16" width="2.625" style="7" customWidth="1"/>
    <col min="17" max="17" width="10.625" customWidth="1"/>
  </cols>
  <sheetData>
    <row r="1" spans="1:18" x14ac:dyDescent="0.25">
      <c r="A1" s="153" t="s">
        <v>49</v>
      </c>
      <c r="B1" s="154"/>
      <c r="C1" s="155"/>
      <c r="D1" s="155"/>
      <c r="E1" s="155"/>
      <c r="F1" s="154"/>
      <c r="G1" s="154"/>
      <c r="H1" s="156"/>
      <c r="I1" s="154"/>
      <c r="J1" s="155"/>
      <c r="K1" s="154"/>
      <c r="L1" s="155"/>
      <c r="M1" s="157"/>
      <c r="N1" s="158"/>
      <c r="O1" s="154"/>
      <c r="P1" s="155"/>
      <c r="Q1" s="159"/>
      <c r="R1" s="3"/>
    </row>
    <row r="2" spans="1:18" x14ac:dyDescent="0.25">
      <c r="A2" s="160" t="s">
        <v>72</v>
      </c>
      <c r="B2" s="154"/>
      <c r="C2" s="155"/>
      <c r="D2" s="155"/>
      <c r="E2" s="155"/>
      <c r="F2" s="154"/>
      <c r="G2" s="154"/>
      <c r="H2" s="154"/>
      <c r="I2" s="154"/>
      <c r="J2" s="155"/>
      <c r="K2" s="154"/>
      <c r="L2" s="155"/>
      <c r="M2" s="154"/>
      <c r="N2" s="155"/>
      <c r="O2" s="161">
        <v>39667</v>
      </c>
      <c r="P2" s="154" t="s">
        <v>0</v>
      </c>
      <c r="Q2" s="159"/>
      <c r="R2" s="3"/>
    </row>
    <row r="3" spans="1:18" x14ac:dyDescent="0.25">
      <c r="A3" s="162"/>
      <c r="B3" s="154"/>
      <c r="C3" s="155"/>
      <c r="D3" s="155"/>
      <c r="E3" s="155"/>
      <c r="F3" s="154"/>
      <c r="G3" s="154"/>
      <c r="H3" s="154"/>
      <c r="I3" s="154"/>
      <c r="J3" s="155"/>
      <c r="K3" s="154"/>
      <c r="L3" s="155"/>
      <c r="M3" s="154"/>
      <c r="N3" s="155"/>
      <c r="O3" s="155"/>
      <c r="P3" s="155"/>
      <c r="Q3" s="159"/>
      <c r="R3" s="3"/>
    </row>
    <row r="4" spans="1:18" x14ac:dyDescent="0.25">
      <c r="A4" s="163" t="s">
        <v>3</v>
      </c>
      <c r="B4" s="163"/>
      <c r="C4" s="163" t="s">
        <v>4</v>
      </c>
      <c r="D4" s="163" t="s">
        <v>5</v>
      </c>
      <c r="E4" s="163" t="s">
        <v>6</v>
      </c>
      <c r="F4" s="163"/>
      <c r="G4" s="163" t="s">
        <v>7</v>
      </c>
      <c r="H4" s="164"/>
      <c r="I4" s="163" t="s">
        <v>8</v>
      </c>
      <c r="J4" s="163"/>
      <c r="K4" s="163" t="s">
        <v>9</v>
      </c>
      <c r="L4" s="163"/>
      <c r="M4" s="163" t="s">
        <v>10</v>
      </c>
      <c r="N4" s="163"/>
      <c r="O4" s="163" t="s">
        <v>11</v>
      </c>
      <c r="P4" s="163"/>
      <c r="Q4" s="165" t="s">
        <v>12</v>
      </c>
      <c r="R4" s="2"/>
    </row>
    <row r="5" spans="1:18" x14ac:dyDescent="0.25">
      <c r="A5" s="166" t="s">
        <v>19</v>
      </c>
      <c r="B5" s="155">
        <v>25</v>
      </c>
      <c r="C5" s="167" t="s">
        <v>48</v>
      </c>
      <c r="D5" s="168">
        <v>-1.1000000000000001</v>
      </c>
      <c r="E5" s="169">
        <v>0.77083333333333337</v>
      </c>
      <c r="F5" s="155"/>
      <c r="G5" s="170" t="s">
        <v>47</v>
      </c>
      <c r="H5" s="171"/>
      <c r="I5" s="170">
        <v>59809.699115913398</v>
      </c>
      <c r="J5" s="170"/>
      <c r="K5" s="170" t="s">
        <v>47</v>
      </c>
      <c r="L5" s="170"/>
      <c r="M5" s="170" t="s">
        <v>47</v>
      </c>
      <c r="N5" s="170"/>
      <c r="O5" s="170" t="s">
        <v>47</v>
      </c>
      <c r="P5" s="170"/>
      <c r="Q5" s="170">
        <v>34356.507836990597</v>
      </c>
    </row>
    <row r="6" spans="1:18" x14ac:dyDescent="0.25">
      <c r="A6" s="166" t="s">
        <v>19</v>
      </c>
      <c r="B6" s="155">
        <v>26</v>
      </c>
      <c r="C6" s="167" t="s">
        <v>46</v>
      </c>
      <c r="D6" s="168">
        <v>-1.7</v>
      </c>
      <c r="E6" s="169">
        <v>0.80972222222222223</v>
      </c>
      <c r="F6" s="155"/>
      <c r="G6" s="170">
        <v>73328.176121417448</v>
      </c>
      <c r="H6" s="171"/>
      <c r="I6" s="170">
        <v>35723.473873807568</v>
      </c>
      <c r="J6" s="170"/>
      <c r="K6" s="170">
        <v>54755</v>
      </c>
      <c r="L6" s="170"/>
      <c r="M6" s="170">
        <v>69732</v>
      </c>
      <c r="N6" s="170"/>
      <c r="O6" s="170" t="s">
        <v>47</v>
      </c>
      <c r="P6" s="170"/>
      <c r="Q6" s="170">
        <v>155570.42896436766</v>
      </c>
    </row>
    <row r="7" spans="1:18" x14ac:dyDescent="0.25">
      <c r="A7" s="166" t="s">
        <v>19</v>
      </c>
      <c r="B7" s="155">
        <v>27</v>
      </c>
      <c r="C7" s="155" t="s">
        <v>15</v>
      </c>
      <c r="D7" s="168">
        <v>-1.9</v>
      </c>
      <c r="E7" s="169">
        <v>0.84305555555555556</v>
      </c>
      <c r="F7" s="155"/>
      <c r="G7" s="170">
        <v>205165.53456727738</v>
      </c>
      <c r="H7" s="171"/>
      <c r="I7" s="170">
        <v>59831.191728791571</v>
      </c>
      <c r="J7" s="170"/>
      <c r="K7" s="170">
        <v>77105</v>
      </c>
      <c r="L7" s="170"/>
      <c r="M7" s="170">
        <v>45317</v>
      </c>
      <c r="N7" s="170"/>
      <c r="O7" s="170" t="s">
        <v>47</v>
      </c>
      <c r="P7" s="170"/>
      <c r="Q7" s="170">
        <v>324233.76540382608</v>
      </c>
    </row>
    <row r="8" spans="1:18" x14ac:dyDescent="0.25">
      <c r="A8" s="166" t="s">
        <v>19</v>
      </c>
      <c r="B8" s="155">
        <v>28</v>
      </c>
      <c r="C8" s="155" t="s">
        <v>17</v>
      </c>
      <c r="D8" s="168">
        <v>-1.8</v>
      </c>
      <c r="E8" s="169">
        <v>0.87708333333333333</v>
      </c>
      <c r="F8" s="155"/>
      <c r="G8" s="170" t="s">
        <v>47</v>
      </c>
      <c r="H8" s="171"/>
      <c r="I8" s="170">
        <v>53554.69322993049</v>
      </c>
      <c r="J8" s="170"/>
      <c r="K8" s="170" t="s">
        <v>47</v>
      </c>
      <c r="L8" s="170"/>
      <c r="M8" s="170" t="s">
        <v>47</v>
      </c>
      <c r="N8" s="170"/>
      <c r="O8" s="170" t="s">
        <v>47</v>
      </c>
      <c r="P8" s="170"/>
      <c r="Q8" s="170">
        <v>27406.537791710201</v>
      </c>
    </row>
    <row r="9" spans="1:18" x14ac:dyDescent="0.25">
      <c r="A9" s="166"/>
      <c r="B9" s="155"/>
      <c r="C9" s="167"/>
      <c r="D9" s="168"/>
      <c r="E9" s="169"/>
      <c r="F9" s="155"/>
      <c r="G9" s="170"/>
      <c r="H9" s="171"/>
      <c r="I9" s="170"/>
      <c r="J9" s="170"/>
      <c r="K9" s="170"/>
      <c r="L9" s="170"/>
      <c r="M9" s="170"/>
      <c r="N9" s="170"/>
      <c r="O9" s="170"/>
      <c r="P9" s="170"/>
      <c r="Q9" s="170"/>
    </row>
    <row r="10" spans="1:18" x14ac:dyDescent="0.25">
      <c r="A10" s="166" t="s">
        <v>33</v>
      </c>
      <c r="B10" s="155">
        <v>23</v>
      </c>
      <c r="C10" s="167" t="s">
        <v>46</v>
      </c>
      <c r="D10" s="168">
        <v>-1.3</v>
      </c>
      <c r="E10" s="169">
        <v>0.72291666666666676</v>
      </c>
      <c r="F10" s="155"/>
      <c r="G10" s="170">
        <v>192287.05129595107</v>
      </c>
      <c r="H10" s="171"/>
      <c r="I10" s="170">
        <v>47047.310292626775</v>
      </c>
      <c r="J10" s="170"/>
      <c r="K10" s="170">
        <v>76690</v>
      </c>
      <c r="L10" s="170"/>
      <c r="M10" s="170">
        <v>54433</v>
      </c>
      <c r="N10" s="170"/>
      <c r="O10" s="170" t="s">
        <v>47</v>
      </c>
      <c r="P10" s="170"/>
      <c r="Q10" s="170">
        <v>299944.35149491514</v>
      </c>
    </row>
    <row r="11" spans="1:18" x14ac:dyDescent="0.25">
      <c r="A11" s="166" t="s">
        <v>33</v>
      </c>
      <c r="B11" s="155">
        <v>24</v>
      </c>
      <c r="C11" s="155" t="s">
        <v>15</v>
      </c>
      <c r="D11" s="168">
        <v>-1.7</v>
      </c>
      <c r="E11" s="169">
        <v>0.75763888888888886</v>
      </c>
      <c r="F11" s="155"/>
      <c r="G11" s="170">
        <v>135678.55567053967</v>
      </c>
      <c r="H11" s="172"/>
      <c r="I11" s="170">
        <v>49794.213898270391</v>
      </c>
      <c r="J11" s="170"/>
      <c r="K11" s="170">
        <v>52027</v>
      </c>
      <c r="L11" s="170"/>
      <c r="M11" s="170">
        <v>35545</v>
      </c>
      <c r="N11" s="170"/>
      <c r="O11" s="170" t="s">
        <v>47</v>
      </c>
      <c r="P11" s="170"/>
      <c r="Q11" s="170">
        <v>246318.22859616901</v>
      </c>
    </row>
    <row r="12" spans="1:18" x14ac:dyDescent="0.25">
      <c r="A12" s="166" t="s">
        <v>33</v>
      </c>
      <c r="B12" s="155">
        <v>25</v>
      </c>
      <c r="C12" s="155" t="s">
        <v>17</v>
      </c>
      <c r="D12" s="168">
        <v>-1.8</v>
      </c>
      <c r="E12" s="169">
        <v>0.79166666666666663</v>
      </c>
      <c r="F12" s="173"/>
      <c r="G12" s="170" t="s">
        <v>47</v>
      </c>
      <c r="H12" s="172"/>
      <c r="I12" s="170">
        <v>24088.360941147788</v>
      </c>
      <c r="J12" s="170"/>
      <c r="K12" s="170" t="s">
        <v>47</v>
      </c>
      <c r="L12" s="170"/>
      <c r="M12" s="170" t="s">
        <v>47</v>
      </c>
      <c r="N12" s="170"/>
      <c r="O12" s="170" t="s">
        <v>47</v>
      </c>
      <c r="P12" s="170"/>
      <c r="Q12" s="170">
        <v>21209.720147126438</v>
      </c>
    </row>
    <row r="13" spans="1:18" x14ac:dyDescent="0.25">
      <c r="A13" s="155" t="s">
        <v>33</v>
      </c>
      <c r="B13" s="155">
        <v>26</v>
      </c>
      <c r="C13" s="155" t="s">
        <v>37</v>
      </c>
      <c r="D13" s="168">
        <v>-1.6</v>
      </c>
      <c r="E13" s="169">
        <v>0.79166666666666663</v>
      </c>
      <c r="F13" s="173"/>
      <c r="G13" s="170" t="s">
        <v>47</v>
      </c>
      <c r="H13" s="174"/>
      <c r="I13" s="170">
        <v>1145.5877485384938</v>
      </c>
      <c r="J13" s="170"/>
      <c r="K13" s="170" t="s">
        <v>47</v>
      </c>
      <c r="L13" s="170"/>
      <c r="M13" s="170" t="s">
        <v>47</v>
      </c>
      <c r="N13" s="170"/>
      <c r="O13" s="170" t="s">
        <v>47</v>
      </c>
      <c r="P13" s="170"/>
      <c r="Q13" s="170">
        <v>945.87121510673239</v>
      </c>
    </row>
    <row r="14" spans="1:18" x14ac:dyDescent="0.25">
      <c r="A14" s="155"/>
      <c r="B14" s="155"/>
      <c r="C14" s="168"/>
      <c r="D14" s="168"/>
      <c r="E14" s="169"/>
      <c r="F14" s="173"/>
      <c r="G14" s="170"/>
      <c r="H14" s="172"/>
      <c r="I14" s="170"/>
      <c r="J14" s="170"/>
      <c r="K14" s="170"/>
      <c r="L14" s="170"/>
      <c r="M14" s="170"/>
      <c r="N14" s="170"/>
      <c r="O14" s="170"/>
      <c r="P14" s="170"/>
      <c r="Q14" s="170"/>
    </row>
    <row r="15" spans="1:18" x14ac:dyDescent="0.25">
      <c r="A15" s="155" t="s">
        <v>45</v>
      </c>
      <c r="B15" s="155">
        <v>21</v>
      </c>
      <c r="C15" s="167" t="s">
        <v>46</v>
      </c>
      <c r="D15" s="168">
        <v>-0.4</v>
      </c>
      <c r="E15" s="169">
        <v>0.67500000000000004</v>
      </c>
      <c r="F15" s="154"/>
      <c r="G15" s="170">
        <v>33797.129031279386</v>
      </c>
      <c r="H15" s="172"/>
      <c r="I15" s="170">
        <v>14001.182617161008</v>
      </c>
      <c r="J15" s="170"/>
      <c r="K15" s="170">
        <v>27481</v>
      </c>
      <c r="L15" s="170"/>
      <c r="M15" s="170">
        <v>19911</v>
      </c>
      <c r="N15" s="170"/>
      <c r="O15" s="170" t="s">
        <v>47</v>
      </c>
      <c r="P15" s="170"/>
      <c r="Q15" s="170">
        <v>78687.181499613682</v>
      </c>
    </row>
    <row r="16" spans="1:18" x14ac:dyDescent="0.25">
      <c r="A16" s="155" t="s">
        <v>45</v>
      </c>
      <c r="B16" s="155">
        <v>22</v>
      </c>
      <c r="C16" s="155" t="s">
        <v>15</v>
      </c>
      <c r="D16" s="168">
        <v>-0.9</v>
      </c>
      <c r="E16" s="169">
        <v>0.71250000000000002</v>
      </c>
      <c r="F16" s="154"/>
      <c r="G16" s="170">
        <v>29818.253624163182</v>
      </c>
      <c r="H16" s="172" t="s">
        <v>62</v>
      </c>
      <c r="I16" s="170">
        <f>+(K16+M16)*(I11+I10)/(K10+K11+M10+M11)</f>
        <v>29509.66420634024</v>
      </c>
      <c r="J16" s="170"/>
      <c r="K16" s="170">
        <v>42683</v>
      </c>
      <c r="L16" s="170"/>
      <c r="M16" s="170">
        <v>23958</v>
      </c>
      <c r="N16" s="170"/>
      <c r="O16" s="170" t="s">
        <v>47</v>
      </c>
      <c r="P16" s="170"/>
      <c r="Q16" s="170">
        <v>115688.55096602964</v>
      </c>
    </row>
    <row r="17" spans="1:23" x14ac:dyDescent="0.25">
      <c r="A17" s="155" t="s">
        <v>45</v>
      </c>
      <c r="B17" s="155">
        <v>23</v>
      </c>
      <c r="C17" s="155" t="s">
        <v>17</v>
      </c>
      <c r="D17" s="168">
        <v>-1.2</v>
      </c>
      <c r="E17" s="169">
        <v>0.74861111111111101</v>
      </c>
      <c r="F17" s="154"/>
      <c r="G17" s="170" t="s">
        <v>47</v>
      </c>
      <c r="H17" s="172"/>
      <c r="I17" s="170">
        <v>2113.1076937479652</v>
      </c>
      <c r="J17" s="170"/>
      <c r="K17" s="170" t="s">
        <v>47</v>
      </c>
      <c r="L17" s="170"/>
      <c r="M17" s="170" t="s">
        <v>47</v>
      </c>
      <c r="N17" s="170"/>
      <c r="O17" s="170" t="s">
        <v>47</v>
      </c>
      <c r="P17" s="170"/>
      <c r="Q17" s="170">
        <v>1962.4456278657508</v>
      </c>
    </row>
    <row r="18" spans="1:23" x14ac:dyDescent="0.25">
      <c r="A18" s="155"/>
      <c r="B18" s="155"/>
      <c r="C18" s="155"/>
      <c r="D18" s="173"/>
      <c r="E18" s="173"/>
      <c r="F18" s="154"/>
      <c r="G18" s="170"/>
      <c r="H18" s="172"/>
      <c r="I18" s="170"/>
      <c r="J18" s="170"/>
      <c r="K18" s="170"/>
      <c r="L18" s="170"/>
      <c r="M18" s="170"/>
      <c r="N18" s="170"/>
      <c r="O18" s="170"/>
      <c r="P18" s="170"/>
      <c r="Q18" s="170"/>
    </row>
    <row r="19" spans="1:23" x14ac:dyDescent="0.25">
      <c r="A19" s="155" t="s">
        <v>63</v>
      </c>
      <c r="B19" s="155">
        <v>18</v>
      </c>
      <c r="C19" s="167" t="s">
        <v>46</v>
      </c>
      <c r="D19" s="168">
        <v>0.6</v>
      </c>
      <c r="E19" s="169">
        <v>0.62222222222222223</v>
      </c>
      <c r="F19" s="154"/>
      <c r="G19" s="170" t="s">
        <v>47</v>
      </c>
      <c r="H19" s="172"/>
      <c r="I19" s="170">
        <v>26136.299559709267</v>
      </c>
      <c r="J19" s="170"/>
      <c r="K19" s="170" t="s">
        <v>47</v>
      </c>
      <c r="L19" s="170"/>
      <c r="M19" s="170" t="s">
        <v>47</v>
      </c>
      <c r="N19" s="170"/>
      <c r="O19" s="170" t="s">
        <v>47</v>
      </c>
      <c r="P19" s="170"/>
      <c r="Q19" s="170">
        <v>22404.455810983396</v>
      </c>
      <c r="R19" s="39"/>
      <c r="S19" s="39"/>
      <c r="T19" s="39"/>
      <c r="U19" s="39"/>
      <c r="V19" s="39"/>
      <c r="W19" s="39"/>
    </row>
    <row r="20" spans="1:23" x14ac:dyDescent="0.25">
      <c r="A20" s="155" t="s">
        <v>63</v>
      </c>
      <c r="B20" s="155">
        <v>19</v>
      </c>
      <c r="C20" s="155" t="s">
        <v>15</v>
      </c>
      <c r="D20" s="168">
        <v>0.1</v>
      </c>
      <c r="E20" s="169">
        <v>0.66527777777777775</v>
      </c>
      <c r="F20" s="154"/>
      <c r="G20" s="170">
        <v>34947.518910171013</v>
      </c>
      <c r="H20" s="172"/>
      <c r="I20" s="170">
        <v>37135.742039179488</v>
      </c>
      <c r="J20" s="170"/>
      <c r="K20" s="170">
        <v>115271</v>
      </c>
      <c r="L20" s="170"/>
      <c r="M20" s="170" t="s">
        <v>47</v>
      </c>
      <c r="N20" s="170"/>
      <c r="O20" s="170" t="s">
        <v>47</v>
      </c>
      <c r="P20" s="170"/>
      <c r="Q20" s="170">
        <v>157258.45212021013</v>
      </c>
      <c r="R20" s="39"/>
      <c r="S20" s="39"/>
      <c r="T20" s="39"/>
      <c r="U20" s="39"/>
      <c r="V20" s="39"/>
      <c r="W20" s="39"/>
    </row>
    <row r="21" spans="1:23" x14ac:dyDescent="0.25">
      <c r="A21" s="155" t="s">
        <v>63</v>
      </c>
      <c r="B21" s="155">
        <v>20</v>
      </c>
      <c r="C21" s="155" t="s">
        <v>17</v>
      </c>
      <c r="D21" s="168">
        <v>-0.4</v>
      </c>
      <c r="E21" s="169">
        <v>0.70347222222222217</v>
      </c>
      <c r="F21" s="154"/>
      <c r="G21" s="170">
        <v>68469.643291954722</v>
      </c>
      <c r="H21" s="172"/>
      <c r="I21" s="170">
        <v>25534.907395740283</v>
      </c>
      <c r="J21" s="170"/>
      <c r="K21" s="170">
        <v>73652</v>
      </c>
      <c r="L21" s="170"/>
      <c r="M21" s="170" t="s">
        <v>47</v>
      </c>
      <c r="N21" s="170"/>
      <c r="O21" s="170" t="s">
        <v>47</v>
      </c>
      <c r="P21" s="170"/>
      <c r="Q21" s="170">
        <v>135957.94866731277</v>
      </c>
      <c r="R21" s="39"/>
      <c r="S21" s="39"/>
      <c r="T21" s="39"/>
      <c r="U21" s="39"/>
      <c r="V21" s="39"/>
      <c r="W21" s="39"/>
    </row>
    <row r="22" spans="1:23" x14ac:dyDescent="0.25">
      <c r="A22" s="155" t="s">
        <v>63</v>
      </c>
      <c r="B22" s="155">
        <v>21</v>
      </c>
      <c r="C22" s="155" t="s">
        <v>37</v>
      </c>
      <c r="D22" s="168">
        <v>-0.6</v>
      </c>
      <c r="E22" s="169">
        <v>0.73888888888888893</v>
      </c>
      <c r="F22" s="154"/>
      <c r="G22" s="170" t="s">
        <v>47</v>
      </c>
      <c r="H22" s="172"/>
      <c r="I22" s="170">
        <v>22584.489064275513</v>
      </c>
      <c r="J22" s="170"/>
      <c r="K22" s="170" t="s">
        <v>47</v>
      </c>
      <c r="L22" s="170"/>
      <c r="M22" s="170" t="s">
        <v>47</v>
      </c>
      <c r="N22" s="170"/>
      <c r="O22" s="170" t="s">
        <v>47</v>
      </c>
      <c r="P22" s="170"/>
      <c r="Q22" s="170">
        <v>19713.285077288943</v>
      </c>
    </row>
    <row r="23" spans="1:23" x14ac:dyDescent="0.25">
      <c r="A23" s="155"/>
      <c r="B23" s="155"/>
      <c r="C23" s="155"/>
      <c r="D23" s="155"/>
      <c r="E23" s="169"/>
      <c r="F23" s="154"/>
      <c r="G23" s="170"/>
      <c r="H23" s="171"/>
      <c r="I23" s="170"/>
      <c r="J23" s="170"/>
      <c r="K23" s="170"/>
      <c r="L23" s="170"/>
      <c r="M23" s="170"/>
      <c r="N23" s="170"/>
      <c r="O23" s="170"/>
      <c r="P23" s="170"/>
      <c r="Q23" s="170"/>
    </row>
    <row r="24" spans="1:23" x14ac:dyDescent="0.25">
      <c r="A24" s="155" t="s">
        <v>64</v>
      </c>
      <c r="B24" s="155">
        <v>6</v>
      </c>
      <c r="C24" s="155" t="s">
        <v>65</v>
      </c>
      <c r="D24" s="155">
        <v>0.1</v>
      </c>
      <c r="E24" s="169">
        <v>0.76041666666666663</v>
      </c>
      <c r="F24" s="154"/>
      <c r="G24" s="170" t="s">
        <v>47</v>
      </c>
      <c r="H24" s="171"/>
      <c r="I24" s="170">
        <v>837.37326594042474</v>
      </c>
      <c r="J24" s="170"/>
      <c r="K24" s="170" t="s">
        <v>47</v>
      </c>
      <c r="L24" s="170"/>
      <c r="M24" s="170" t="s">
        <v>47</v>
      </c>
      <c r="N24" s="170"/>
      <c r="O24" s="170" t="s">
        <v>47</v>
      </c>
      <c r="P24" s="170"/>
      <c r="Q24" s="170">
        <v>797.38093869731813</v>
      </c>
    </row>
    <row r="25" spans="1:23" x14ac:dyDescent="0.25">
      <c r="A25" s="155" t="s">
        <v>64</v>
      </c>
      <c r="B25" s="155">
        <v>7</v>
      </c>
      <c r="C25" s="155" t="s">
        <v>48</v>
      </c>
      <c r="D25" s="168">
        <v>0</v>
      </c>
      <c r="E25" s="169">
        <v>0.78611111111111109</v>
      </c>
      <c r="F25" s="154"/>
      <c r="G25" s="170" t="s">
        <v>47</v>
      </c>
      <c r="H25" s="171"/>
      <c r="I25" s="170">
        <v>1076.1656311557131</v>
      </c>
      <c r="J25" s="170"/>
      <c r="K25" s="170" t="s">
        <v>47</v>
      </c>
      <c r="L25" s="170"/>
      <c r="M25" s="170" t="s">
        <v>47</v>
      </c>
      <c r="N25" s="170"/>
      <c r="O25" s="170" t="s">
        <v>47</v>
      </c>
      <c r="P25" s="170"/>
      <c r="Q25" s="170">
        <v>1050.8923765325671</v>
      </c>
    </row>
    <row r="26" spans="1:23" x14ac:dyDescent="0.25">
      <c r="A26" s="155" t="s">
        <v>64</v>
      </c>
      <c r="B26" s="155">
        <v>8</v>
      </c>
      <c r="C26" s="155" t="s">
        <v>46</v>
      </c>
      <c r="D26" s="155">
        <v>0.1</v>
      </c>
      <c r="E26" s="169">
        <v>0.81041666666666667</v>
      </c>
      <c r="F26" s="154"/>
      <c r="G26" s="170">
        <v>383.54854441595887</v>
      </c>
      <c r="H26" s="172"/>
      <c r="I26" s="170">
        <v>255.09111257024307</v>
      </c>
      <c r="J26" s="170"/>
      <c r="K26" s="170" t="s">
        <v>47</v>
      </c>
      <c r="L26" s="172"/>
      <c r="M26" s="170" t="s">
        <v>47</v>
      </c>
      <c r="N26" s="170"/>
      <c r="O26" s="170" t="s">
        <v>47</v>
      </c>
      <c r="P26" s="170"/>
      <c r="Q26" s="170">
        <v>410.16664785271007</v>
      </c>
    </row>
    <row r="27" spans="1:23" x14ac:dyDescent="0.25">
      <c r="A27" s="155" t="s">
        <v>64</v>
      </c>
      <c r="B27" s="155">
        <v>9</v>
      </c>
      <c r="C27" s="155" t="s">
        <v>15</v>
      </c>
      <c r="D27" s="175">
        <v>0.4</v>
      </c>
      <c r="E27" s="169">
        <v>0.83472222222222225</v>
      </c>
      <c r="F27" s="154" t="s">
        <v>62</v>
      </c>
      <c r="G27" s="170">
        <f>+I27*(G30+G31+G36+G37+G38)/(I30+I31+I36+I37+I38)</f>
        <v>3039.4623114060164</v>
      </c>
      <c r="H27" s="170"/>
      <c r="I27" s="170">
        <v>1822.3679403591188</v>
      </c>
      <c r="J27" s="170"/>
      <c r="K27" s="170" t="s">
        <v>47</v>
      </c>
      <c r="L27" s="170"/>
      <c r="M27" s="170" t="s">
        <v>47</v>
      </c>
      <c r="N27" s="170"/>
      <c r="O27" s="170" t="s">
        <v>47</v>
      </c>
      <c r="P27" s="170"/>
      <c r="Q27" s="170">
        <v>4616.5868044649778</v>
      </c>
    </row>
    <row r="28" spans="1:23" x14ac:dyDescent="0.25">
      <c r="A28" s="155"/>
      <c r="B28" s="155"/>
      <c r="C28" s="155"/>
      <c r="D28" s="155"/>
      <c r="E28" s="169"/>
      <c r="F28" s="154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</row>
    <row r="29" spans="1:23" x14ac:dyDescent="0.25">
      <c r="A29" s="155" t="s">
        <v>66</v>
      </c>
      <c r="B29" s="155">
        <v>7</v>
      </c>
      <c r="C29" s="167" t="s">
        <v>46</v>
      </c>
      <c r="D29" s="155">
        <v>0.3</v>
      </c>
      <c r="E29" s="169">
        <v>0.76458333333333339</v>
      </c>
      <c r="F29" s="154"/>
      <c r="G29" s="170" t="s">
        <v>47</v>
      </c>
      <c r="H29" s="171"/>
      <c r="I29" s="170">
        <v>29915.740146699278</v>
      </c>
      <c r="J29" s="170"/>
      <c r="K29" s="170" t="s">
        <v>47</v>
      </c>
      <c r="L29" s="170"/>
      <c r="M29" s="170" t="s">
        <v>47</v>
      </c>
      <c r="N29" s="170"/>
      <c r="O29" s="170" t="s">
        <v>47</v>
      </c>
      <c r="P29" s="170"/>
      <c r="Q29" s="170">
        <v>25644.252991452995</v>
      </c>
    </row>
    <row r="30" spans="1:23" x14ac:dyDescent="0.25">
      <c r="A30" s="155" t="s">
        <v>66</v>
      </c>
      <c r="B30" s="155">
        <v>8</v>
      </c>
      <c r="C30" s="155" t="s">
        <v>15</v>
      </c>
      <c r="D30" s="155">
        <v>0.5</v>
      </c>
      <c r="E30" s="169">
        <v>0.79027777777777775</v>
      </c>
      <c r="F30" s="154"/>
      <c r="G30" s="170">
        <v>40586.107669861929</v>
      </c>
      <c r="H30" s="170"/>
      <c r="I30" s="170">
        <v>46979.240722919028</v>
      </c>
      <c r="J30" s="170"/>
      <c r="K30" s="170" t="s">
        <v>47</v>
      </c>
      <c r="L30" s="170"/>
      <c r="M30" s="170" t="s">
        <v>47</v>
      </c>
      <c r="N30" s="170"/>
      <c r="O30" s="170" t="s">
        <v>47</v>
      </c>
      <c r="P30" s="170"/>
      <c r="Q30" s="170">
        <v>64392.863675539891</v>
      </c>
    </row>
    <row r="31" spans="1:23" x14ac:dyDescent="0.25">
      <c r="A31" s="155" t="s">
        <v>66</v>
      </c>
      <c r="B31" s="155">
        <v>9</v>
      </c>
      <c r="C31" s="155" t="s">
        <v>17</v>
      </c>
      <c r="D31" s="175">
        <v>0.3</v>
      </c>
      <c r="E31" s="169">
        <v>0.3527777777777778</v>
      </c>
      <c r="F31" s="154"/>
      <c r="G31" s="170">
        <v>42208.67313567669</v>
      </c>
      <c r="H31" s="170"/>
      <c r="I31" s="170">
        <v>24822.714752972686</v>
      </c>
      <c r="J31" s="170"/>
      <c r="K31" s="170" t="s">
        <v>47</v>
      </c>
      <c r="L31" s="170"/>
      <c r="M31" s="170" t="s">
        <v>47</v>
      </c>
      <c r="N31" s="170"/>
      <c r="O31" s="170" t="s">
        <v>47</v>
      </c>
      <c r="P31" s="170"/>
      <c r="Q31" s="170">
        <v>49425.306007293912</v>
      </c>
    </row>
    <row r="32" spans="1:23" x14ac:dyDescent="0.25">
      <c r="A32" s="155" t="s">
        <v>66</v>
      </c>
      <c r="B32" s="155">
        <v>10</v>
      </c>
      <c r="C32" s="155" t="s">
        <v>37</v>
      </c>
      <c r="D32" s="175" t="s">
        <v>67</v>
      </c>
      <c r="E32" s="169">
        <v>0.3833333333333333</v>
      </c>
      <c r="F32" s="154"/>
      <c r="G32" s="170" t="s">
        <v>47</v>
      </c>
      <c r="H32" s="170"/>
      <c r="I32" s="170">
        <v>15829.480450244733</v>
      </c>
      <c r="J32" s="170"/>
      <c r="K32" s="170" t="s">
        <v>47</v>
      </c>
      <c r="L32" s="170"/>
      <c r="M32" s="170" t="s">
        <v>47</v>
      </c>
      <c r="N32" s="170"/>
      <c r="O32" s="170" t="s">
        <v>47</v>
      </c>
      <c r="P32" s="170"/>
      <c r="Q32" s="170">
        <v>12047.280242917092</v>
      </c>
    </row>
    <row r="33" spans="1:17" x14ac:dyDescent="0.25">
      <c r="A33" s="155" t="s">
        <v>66</v>
      </c>
      <c r="B33" s="155">
        <v>11</v>
      </c>
      <c r="C33" s="155" t="s">
        <v>68</v>
      </c>
      <c r="D33" s="155">
        <v>-0.1</v>
      </c>
      <c r="E33" s="169">
        <v>0.41597222222222219</v>
      </c>
      <c r="F33" s="176"/>
      <c r="G33" s="170" t="s">
        <v>47</v>
      </c>
      <c r="H33" s="170"/>
      <c r="I33" s="170">
        <v>679.30775887001573</v>
      </c>
      <c r="J33" s="170"/>
      <c r="K33" s="170" t="s">
        <v>47</v>
      </c>
      <c r="L33" s="170"/>
      <c r="M33" s="170" t="s">
        <v>47</v>
      </c>
      <c r="N33" s="170"/>
      <c r="O33" s="170" t="s">
        <v>47</v>
      </c>
      <c r="P33" s="170"/>
      <c r="Q33" s="170">
        <v>709.26646382691001</v>
      </c>
    </row>
    <row r="34" spans="1:17" x14ac:dyDescent="0.25">
      <c r="A34" s="155" t="s">
        <v>66</v>
      </c>
      <c r="B34" s="155">
        <v>12</v>
      </c>
      <c r="C34" s="155" t="s">
        <v>65</v>
      </c>
      <c r="D34" s="175" t="s">
        <v>67</v>
      </c>
      <c r="E34" s="169">
        <v>0.45208333333333334</v>
      </c>
      <c r="F34" s="154"/>
      <c r="G34" s="170" t="s">
        <v>47</v>
      </c>
      <c r="H34" s="170"/>
      <c r="I34" s="170">
        <v>14656.503432623611</v>
      </c>
      <c r="J34" s="170"/>
      <c r="K34" s="170" t="s">
        <v>47</v>
      </c>
      <c r="L34" s="170"/>
      <c r="M34" s="170" t="s">
        <v>47</v>
      </c>
      <c r="N34" s="170"/>
      <c r="O34" s="170" t="s">
        <v>47</v>
      </c>
      <c r="P34" s="170"/>
      <c r="Q34" s="170">
        <v>12557.387554498615</v>
      </c>
    </row>
    <row r="35" spans="1:17" x14ac:dyDescent="0.25">
      <c r="A35" s="155"/>
      <c r="B35" s="155"/>
      <c r="C35" s="155"/>
      <c r="D35" s="155"/>
      <c r="E35" s="169"/>
      <c r="F35" s="154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</row>
    <row r="36" spans="1:17" x14ac:dyDescent="0.25">
      <c r="A36" s="155" t="s">
        <v>69</v>
      </c>
      <c r="B36" s="155">
        <v>6</v>
      </c>
      <c r="C36" s="155" t="s">
        <v>17</v>
      </c>
      <c r="D36" s="155">
        <v>-0.7</v>
      </c>
      <c r="E36" s="169">
        <v>0.30763888888888891</v>
      </c>
      <c r="F36" s="154"/>
      <c r="G36" s="170">
        <v>68841.33341277836</v>
      </c>
      <c r="H36" s="170"/>
      <c r="I36" s="170">
        <v>29518.870516777832</v>
      </c>
      <c r="J36" s="170"/>
      <c r="K36" s="170" t="s">
        <v>47</v>
      </c>
      <c r="L36" s="170"/>
      <c r="M36" s="170" t="s">
        <v>47</v>
      </c>
      <c r="N36" s="170"/>
      <c r="O36" s="170" t="s">
        <v>47</v>
      </c>
      <c r="P36" s="170"/>
      <c r="Q36" s="170">
        <v>82456.641289879481</v>
      </c>
    </row>
    <row r="37" spans="1:17" x14ac:dyDescent="0.25">
      <c r="A37" s="155" t="s">
        <v>69</v>
      </c>
      <c r="B37" s="155">
        <v>7</v>
      </c>
      <c r="C37" s="155" t="s">
        <v>37</v>
      </c>
      <c r="D37" s="155">
        <v>-1.2</v>
      </c>
      <c r="E37" s="169">
        <v>0.33958333333333335</v>
      </c>
      <c r="F37" s="154"/>
      <c r="G37" s="170">
        <v>46176.300510414811</v>
      </c>
      <c r="H37" s="177"/>
      <c r="I37" s="170">
        <v>15321.945854448904</v>
      </c>
      <c r="J37" s="170"/>
      <c r="K37" s="170" t="s">
        <v>47</v>
      </c>
      <c r="L37" s="177"/>
      <c r="M37" s="170" t="s">
        <v>47</v>
      </c>
      <c r="N37" s="170"/>
      <c r="O37" s="170" t="s">
        <v>47</v>
      </c>
      <c r="P37" s="170"/>
      <c r="Q37" s="170">
        <v>51064.716677133583</v>
      </c>
    </row>
    <row r="38" spans="1:17" x14ac:dyDescent="0.25">
      <c r="A38" s="155" t="s">
        <v>69</v>
      </c>
      <c r="B38" s="155">
        <v>8</v>
      </c>
      <c r="C38" s="155" t="s">
        <v>68</v>
      </c>
      <c r="D38" s="155">
        <v>-1.5</v>
      </c>
      <c r="E38" s="169">
        <v>0.37152777777777773</v>
      </c>
      <c r="F38" s="176"/>
      <c r="G38" s="170">
        <v>43416.463869542029</v>
      </c>
      <c r="H38" s="177"/>
      <c r="I38" s="170">
        <v>27990.630250543763</v>
      </c>
      <c r="J38" s="170"/>
      <c r="K38" s="170" t="s">
        <v>47</v>
      </c>
      <c r="L38" s="170"/>
      <c r="M38" s="170" t="s">
        <v>47</v>
      </c>
      <c r="N38" s="170"/>
      <c r="O38" s="170" t="s">
        <v>47</v>
      </c>
      <c r="P38" s="170"/>
      <c r="Q38" s="170">
        <v>59868.56363727319</v>
      </c>
    </row>
    <row r="39" spans="1:17" x14ac:dyDescent="0.25">
      <c r="A39" s="155" t="s">
        <v>69</v>
      </c>
      <c r="B39" s="155">
        <v>9</v>
      </c>
      <c r="C39" s="155" t="s">
        <v>65</v>
      </c>
      <c r="D39" s="155">
        <v>-1.4</v>
      </c>
      <c r="E39" s="169">
        <v>0.40486111111111112</v>
      </c>
      <c r="F39" s="154"/>
      <c r="G39" s="170" t="s">
        <v>47</v>
      </c>
      <c r="H39" s="171"/>
      <c r="I39" s="170">
        <v>18683.420174462211</v>
      </c>
      <c r="J39" s="170"/>
      <c r="K39" s="170" t="s">
        <v>47</v>
      </c>
      <c r="L39" s="170"/>
      <c r="M39" s="170" t="s">
        <v>47</v>
      </c>
      <c r="N39" s="170"/>
      <c r="O39" s="170" t="s">
        <v>47</v>
      </c>
      <c r="P39" s="170"/>
      <c r="Q39" s="170">
        <v>16339.392965171552</v>
      </c>
    </row>
    <row r="40" spans="1:17" x14ac:dyDescent="0.25">
      <c r="A40" s="154"/>
      <c r="B40" s="155"/>
      <c r="C40" s="155"/>
      <c r="D40" s="155"/>
      <c r="E40" s="169"/>
      <c r="F40" s="154"/>
      <c r="G40" s="159"/>
      <c r="H40" s="171"/>
      <c r="I40" s="170"/>
      <c r="J40" s="170"/>
      <c r="K40" s="159"/>
      <c r="L40" s="170"/>
      <c r="M40" s="159"/>
      <c r="N40" s="170"/>
      <c r="O40" s="159"/>
      <c r="P40" s="170"/>
      <c r="Q40" s="159"/>
    </row>
    <row r="41" spans="1:17" x14ac:dyDescent="0.25">
      <c r="A41" s="155" t="s">
        <v>69</v>
      </c>
      <c r="B41" s="155">
        <v>19</v>
      </c>
      <c r="C41" s="155" t="s">
        <v>15</v>
      </c>
      <c r="D41" s="155">
        <v>-0.1</v>
      </c>
      <c r="E41" s="169">
        <v>0.27777777777777779</v>
      </c>
      <c r="F41" s="154"/>
      <c r="G41" s="170">
        <v>13403.595901731978</v>
      </c>
      <c r="H41" s="177"/>
      <c r="I41" s="170">
        <v>8296.924816681536</v>
      </c>
      <c r="J41" s="170"/>
      <c r="K41" s="170">
        <v>42634</v>
      </c>
      <c r="L41" s="170"/>
      <c r="M41" s="170">
        <v>28286</v>
      </c>
      <c r="N41" s="170"/>
      <c r="O41" s="170" t="s">
        <v>47</v>
      </c>
      <c r="P41" s="170"/>
      <c r="Q41" s="170">
        <v>76540.20960400725</v>
      </c>
    </row>
    <row r="42" spans="1:17" x14ac:dyDescent="0.25">
      <c r="A42" s="155" t="s">
        <v>69</v>
      </c>
      <c r="B42" s="155">
        <v>20</v>
      </c>
      <c r="C42" s="155" t="s">
        <v>17</v>
      </c>
      <c r="D42" s="155">
        <v>-0.4</v>
      </c>
      <c r="E42" s="169">
        <v>0.3</v>
      </c>
      <c r="F42" s="154"/>
      <c r="G42" s="170">
        <v>27669.046724624488</v>
      </c>
      <c r="H42" s="171"/>
      <c r="I42" s="170">
        <v>19033.784723432211</v>
      </c>
      <c r="J42" s="170"/>
      <c r="K42" s="170">
        <v>71891</v>
      </c>
      <c r="L42" s="170"/>
      <c r="M42" s="170">
        <v>33582</v>
      </c>
      <c r="N42" s="170"/>
      <c r="O42" s="170" t="s">
        <v>47</v>
      </c>
      <c r="P42" s="170"/>
      <c r="Q42" s="170">
        <v>128110.8636738155</v>
      </c>
    </row>
    <row r="43" spans="1:17" x14ac:dyDescent="0.25">
      <c r="A43" s="155" t="s">
        <v>69</v>
      </c>
      <c r="B43" s="155">
        <v>21</v>
      </c>
      <c r="C43" s="155" t="s">
        <v>37</v>
      </c>
      <c r="D43" s="155">
        <v>-0.6</v>
      </c>
      <c r="E43" s="169">
        <v>0.3298611111111111</v>
      </c>
      <c r="F43" s="154"/>
      <c r="G43" s="170" t="s">
        <v>47</v>
      </c>
      <c r="H43" s="171"/>
      <c r="I43" s="170">
        <v>22813.505592679096</v>
      </c>
      <c r="J43" s="170"/>
      <c r="K43" s="170" t="s">
        <v>47</v>
      </c>
      <c r="L43" s="170"/>
      <c r="M43" s="170" t="s">
        <v>47</v>
      </c>
      <c r="N43" s="170"/>
      <c r="O43" s="170" t="s">
        <v>47</v>
      </c>
      <c r="P43" s="170"/>
      <c r="Q43" s="170">
        <v>18427.866710875336</v>
      </c>
    </row>
    <row r="44" spans="1:17" x14ac:dyDescent="0.25">
      <c r="A44" s="155" t="s">
        <v>69</v>
      </c>
      <c r="B44" s="155">
        <v>22</v>
      </c>
      <c r="C44" s="155" t="s">
        <v>68</v>
      </c>
      <c r="D44" s="155">
        <v>-0.6</v>
      </c>
      <c r="E44" s="169">
        <v>0.35416666666666669</v>
      </c>
      <c r="F44" s="154"/>
      <c r="G44" s="170" t="s">
        <v>47</v>
      </c>
      <c r="H44" s="177" t="s">
        <v>62</v>
      </c>
      <c r="I44" s="170">
        <v>22500</v>
      </c>
      <c r="J44" s="170"/>
      <c r="K44" s="170" t="s">
        <v>47</v>
      </c>
      <c r="L44" s="170"/>
      <c r="M44" s="170" t="s">
        <v>47</v>
      </c>
      <c r="N44" s="170"/>
      <c r="O44" s="170" t="s">
        <v>47</v>
      </c>
      <c r="P44" s="170"/>
      <c r="Q44" s="170">
        <v>18000</v>
      </c>
    </row>
    <row r="45" spans="1:17" x14ac:dyDescent="0.25">
      <c r="A45" s="155" t="s">
        <v>69</v>
      </c>
      <c r="B45" s="155">
        <v>23</v>
      </c>
      <c r="C45" s="155" t="s">
        <v>65</v>
      </c>
      <c r="D45" s="155">
        <v>-0.5</v>
      </c>
      <c r="E45" s="169">
        <v>0.37916666666666665</v>
      </c>
      <c r="F45" s="176"/>
      <c r="G45" s="170" t="s">
        <v>47</v>
      </c>
      <c r="H45" s="177" t="s">
        <v>62</v>
      </c>
      <c r="I45" s="170">
        <v>23000</v>
      </c>
      <c r="J45" s="170"/>
      <c r="K45" s="170" t="s">
        <v>47</v>
      </c>
      <c r="L45" s="170"/>
      <c r="M45" s="170" t="s">
        <v>47</v>
      </c>
      <c r="N45" s="170"/>
      <c r="O45" s="170" t="s">
        <v>47</v>
      </c>
      <c r="P45" s="170"/>
      <c r="Q45" s="170">
        <v>18500</v>
      </c>
    </row>
    <row r="46" spans="1:17" x14ac:dyDescent="0.25">
      <c r="A46" s="155"/>
      <c r="B46" s="155"/>
      <c r="C46" s="155"/>
      <c r="D46" s="155"/>
      <c r="E46" s="169"/>
      <c r="F46" s="176"/>
      <c r="G46" s="170"/>
      <c r="H46" s="171"/>
      <c r="I46" s="170"/>
      <c r="J46" s="170"/>
      <c r="K46" s="170"/>
      <c r="L46" s="170"/>
      <c r="M46" s="170"/>
      <c r="N46" s="170"/>
      <c r="O46" s="170"/>
      <c r="P46" s="170"/>
      <c r="Q46" s="170"/>
    </row>
    <row r="47" spans="1:17" x14ac:dyDescent="0.25">
      <c r="A47" s="155" t="s">
        <v>71</v>
      </c>
      <c r="B47" s="175">
        <v>3</v>
      </c>
      <c r="C47" s="155" t="s">
        <v>15</v>
      </c>
      <c r="D47" s="155">
        <v>-0.3</v>
      </c>
      <c r="E47" s="169">
        <v>0.22708333333333333</v>
      </c>
      <c r="F47" s="176" t="s">
        <v>62</v>
      </c>
      <c r="G47" s="170">
        <v>112339.12</v>
      </c>
      <c r="H47" s="177" t="s">
        <v>62</v>
      </c>
      <c r="I47" s="170">
        <v>45720</v>
      </c>
      <c r="J47" s="170"/>
      <c r="K47" s="170" t="s">
        <v>47</v>
      </c>
      <c r="L47" s="170"/>
      <c r="M47" s="170" t="s">
        <v>47</v>
      </c>
      <c r="N47" s="170"/>
      <c r="O47" s="170" t="s">
        <v>47</v>
      </c>
      <c r="P47" s="170"/>
      <c r="Q47" s="170">
        <v>124389.1597820648</v>
      </c>
    </row>
    <row r="48" spans="1:17" x14ac:dyDescent="0.25">
      <c r="A48" s="155" t="s">
        <v>71</v>
      </c>
      <c r="B48" s="175">
        <v>4</v>
      </c>
      <c r="C48" s="155" t="s">
        <v>17</v>
      </c>
      <c r="D48" s="155">
        <v>-1.2</v>
      </c>
      <c r="E48" s="169">
        <v>0.26111111111111113</v>
      </c>
      <c r="F48" s="176" t="s">
        <v>62</v>
      </c>
      <c r="G48" s="170">
        <v>106989.88</v>
      </c>
      <c r="H48" s="177" t="s">
        <v>62</v>
      </c>
      <c r="I48" s="170">
        <v>29845</v>
      </c>
      <c r="J48" s="170"/>
      <c r="K48" s="170">
        <v>48270</v>
      </c>
      <c r="L48" s="170"/>
      <c r="M48" s="170">
        <v>35034</v>
      </c>
      <c r="N48" s="170"/>
      <c r="O48" s="170" t="s">
        <v>47</v>
      </c>
      <c r="P48" s="170"/>
      <c r="Q48" s="170">
        <v>173026.06928643025</v>
      </c>
    </row>
    <row r="49" spans="1:17" x14ac:dyDescent="0.25">
      <c r="A49" s="155" t="s">
        <v>71</v>
      </c>
      <c r="B49" s="155">
        <v>5</v>
      </c>
      <c r="C49" s="155" t="s">
        <v>37</v>
      </c>
      <c r="D49" s="155">
        <v>-1.9</v>
      </c>
      <c r="E49" s="169">
        <v>0.29444444444444445</v>
      </c>
      <c r="F49" s="176"/>
      <c r="G49" s="170">
        <v>51261.584348489698</v>
      </c>
      <c r="H49" s="177"/>
      <c r="I49" s="170">
        <v>14363.14767262257</v>
      </c>
      <c r="J49" s="170"/>
      <c r="K49" s="170">
        <v>26632</v>
      </c>
      <c r="L49" s="170"/>
      <c r="M49" s="170">
        <v>16972</v>
      </c>
      <c r="N49" s="170"/>
      <c r="O49" s="170" t="s">
        <v>47</v>
      </c>
      <c r="P49" s="170"/>
      <c r="Q49" s="170">
        <v>90530.079349316642</v>
      </c>
    </row>
    <row r="50" spans="1:17" x14ac:dyDescent="0.25">
      <c r="A50" s="155" t="s">
        <v>71</v>
      </c>
      <c r="B50" s="155">
        <v>6</v>
      </c>
      <c r="C50" s="155" t="s">
        <v>68</v>
      </c>
      <c r="D50" s="155">
        <v>-2.2999999999999998</v>
      </c>
      <c r="E50" s="169">
        <v>0.32708333333333334</v>
      </c>
      <c r="F50" s="176" t="s">
        <v>62</v>
      </c>
      <c r="G50" s="170">
        <f>+I50*(G38+G37+G36)/(I36+I37+I38)</f>
        <v>36669.736023771962</v>
      </c>
      <c r="H50" s="177"/>
      <c r="I50" s="170">
        <v>16856.913751884444</v>
      </c>
      <c r="J50" s="170"/>
      <c r="K50" s="170" t="s">
        <v>47</v>
      </c>
      <c r="L50" s="170"/>
      <c r="M50" s="170" t="s">
        <v>47</v>
      </c>
      <c r="N50" s="170"/>
      <c r="O50" s="170" t="s">
        <v>47</v>
      </c>
      <c r="P50" s="170"/>
      <c r="Q50" s="170">
        <v>66180.544387632122</v>
      </c>
    </row>
    <row r="51" spans="1:17" x14ac:dyDescent="0.25">
      <c r="A51" s="155" t="s">
        <v>71</v>
      </c>
      <c r="B51" s="155">
        <v>7</v>
      </c>
      <c r="C51" s="155" t="s">
        <v>65</v>
      </c>
      <c r="D51" s="155">
        <v>-2.4</v>
      </c>
      <c r="E51" s="169">
        <v>0.36041666666666666</v>
      </c>
      <c r="F51" s="176"/>
      <c r="G51" s="170">
        <v>57404.23700781446</v>
      </c>
      <c r="H51" s="177" t="s">
        <v>62</v>
      </c>
      <c r="I51" s="170">
        <v>25750</v>
      </c>
      <c r="J51" s="170"/>
      <c r="K51" s="170" t="s">
        <v>47</v>
      </c>
      <c r="L51" s="170"/>
      <c r="M51" s="170" t="s">
        <v>47</v>
      </c>
      <c r="N51" s="170"/>
      <c r="O51" s="170" t="s">
        <v>47</v>
      </c>
      <c r="P51" s="170"/>
      <c r="Q51" s="170">
        <v>63139.723666611651</v>
      </c>
    </row>
    <row r="52" spans="1:17" x14ac:dyDescent="0.25">
      <c r="A52" s="155"/>
      <c r="B52" s="155"/>
      <c r="C52" s="155"/>
      <c r="D52" s="155"/>
      <c r="E52" s="169"/>
      <c r="F52" s="176"/>
      <c r="G52" s="170"/>
      <c r="H52" s="177"/>
      <c r="I52" s="170"/>
      <c r="J52" s="170"/>
      <c r="K52" s="170"/>
      <c r="L52" s="170"/>
      <c r="M52" s="170"/>
      <c r="N52" s="170"/>
      <c r="O52" s="170"/>
      <c r="P52" s="170"/>
      <c r="Q52" s="170"/>
    </row>
    <row r="53" spans="1:17" x14ac:dyDescent="0.25">
      <c r="A53" s="155" t="s">
        <v>71</v>
      </c>
      <c r="B53" s="155">
        <v>24</v>
      </c>
      <c r="C53" s="155" t="s">
        <v>15</v>
      </c>
      <c r="D53" s="155">
        <v>-0.5</v>
      </c>
      <c r="E53" s="169">
        <v>0.4152777777777778</v>
      </c>
      <c r="F53" s="176"/>
      <c r="G53" s="170" t="s">
        <v>47</v>
      </c>
      <c r="H53" s="177" t="s">
        <v>62</v>
      </c>
      <c r="I53" s="170">
        <f>+(K53+M53)*(I49+I42+I41)/(K49+K42+K41+M41+M42+M49)</f>
        <v>24473.680328216768</v>
      </c>
      <c r="J53" s="170"/>
      <c r="K53" s="170">
        <v>73537</v>
      </c>
      <c r="L53" s="170"/>
      <c r="M53" s="170">
        <v>55598</v>
      </c>
      <c r="N53" s="170"/>
      <c r="O53" s="170" t="s">
        <v>47</v>
      </c>
      <c r="P53" s="170"/>
      <c r="Q53" s="170">
        <v>140520.01591111138</v>
      </c>
    </row>
    <row r="54" spans="1:17" x14ac:dyDescent="0.25">
      <c r="A54" s="154"/>
      <c r="B54" s="154"/>
      <c r="C54" s="155"/>
      <c r="D54" s="155"/>
      <c r="E54" s="155"/>
      <c r="F54" s="154"/>
      <c r="G54" s="159"/>
      <c r="H54" s="171"/>
      <c r="I54" s="159"/>
      <c r="J54" s="170"/>
      <c r="K54" s="159"/>
      <c r="L54" s="170"/>
      <c r="M54" s="159"/>
      <c r="N54" s="170"/>
      <c r="O54" s="159"/>
      <c r="P54" s="170"/>
      <c r="Q54" s="159"/>
    </row>
    <row r="55" spans="1:17" x14ac:dyDescent="0.25">
      <c r="A55" s="156" t="s">
        <v>80</v>
      </c>
      <c r="B55" s="155"/>
      <c r="C55" s="155"/>
      <c r="D55" s="155"/>
      <c r="E55" s="155"/>
      <c r="F55" s="155"/>
      <c r="G55" s="170">
        <f>SUM(G6:G54)</f>
        <v>1423880.9519732825</v>
      </c>
      <c r="H55" s="171"/>
      <c r="I55" s="170">
        <f>SUM(I5:I54)</f>
        <v>969051.73230128468</v>
      </c>
      <c r="J55" s="170"/>
      <c r="K55" s="170">
        <f>SUM(K5:K54)</f>
        <v>782628</v>
      </c>
      <c r="L55" s="170"/>
      <c r="M55" s="170">
        <f>SUM(M5:M54)</f>
        <v>418368</v>
      </c>
      <c r="N55" s="170"/>
      <c r="O55" s="170">
        <v>0</v>
      </c>
      <c r="P55" s="170"/>
      <c r="Q55" s="170">
        <v>2940402.9618639159</v>
      </c>
    </row>
    <row r="56" spans="1:17" x14ac:dyDescent="0.25">
      <c r="A56" s="154" t="s">
        <v>34</v>
      </c>
      <c r="B56" s="155"/>
      <c r="C56" s="155"/>
      <c r="D56" s="155"/>
      <c r="E56" s="155"/>
      <c r="F56" s="155"/>
      <c r="G56" s="178">
        <f>+'Wastage - LB'!D7/'Wastage - LB'!E7</f>
        <v>2.4379607504135873E-2</v>
      </c>
      <c r="H56" s="154"/>
      <c r="I56" s="178">
        <f>+'Wastage - TH'!D15/'Wastage - TH'!E15</f>
        <v>3.7409319783158451E-2</v>
      </c>
      <c r="J56" s="170"/>
      <c r="K56" s="178"/>
      <c r="L56" s="170"/>
      <c r="M56" s="178"/>
      <c r="N56" s="170"/>
      <c r="O56" s="179">
        <v>0</v>
      </c>
      <c r="P56" s="155"/>
      <c r="Q56" s="170"/>
    </row>
    <row r="57" spans="1:17" x14ac:dyDescent="0.25">
      <c r="A57" s="156" t="s">
        <v>35</v>
      </c>
      <c r="B57" s="155"/>
      <c r="C57" s="155"/>
      <c r="D57" s="155"/>
      <c r="E57" s="155"/>
      <c r="F57" s="155"/>
      <c r="G57" s="170">
        <f>+'Wastage - LB'!D7</f>
        <v>3487</v>
      </c>
      <c r="H57" s="156"/>
      <c r="I57" s="170">
        <f>+'Wastage - TH'!D15</f>
        <v>15218</v>
      </c>
      <c r="J57" s="155"/>
      <c r="K57" s="170">
        <v>16416</v>
      </c>
      <c r="L57" s="155"/>
      <c r="M57" s="170">
        <v>26899</v>
      </c>
      <c r="N57" s="155"/>
      <c r="O57" s="170">
        <v>0</v>
      </c>
      <c r="P57" s="155"/>
      <c r="Q57" s="170">
        <v>90435.767051368239</v>
      </c>
    </row>
    <row r="58" spans="1:17" x14ac:dyDescent="0.25">
      <c r="A58" s="154" t="s">
        <v>20</v>
      </c>
      <c r="B58" s="155"/>
      <c r="C58" s="155"/>
      <c r="D58" s="155"/>
      <c r="E58" s="155"/>
      <c r="F58" s="155"/>
      <c r="G58" s="170">
        <f>+G55+G57</f>
        <v>1427367.9519732825</v>
      </c>
      <c r="H58" s="154"/>
      <c r="I58" s="170">
        <f>+I55+I57</f>
        <v>984269.73230128468</v>
      </c>
      <c r="J58" s="155"/>
      <c r="K58" s="170">
        <f>+K55+K57</f>
        <v>799044</v>
      </c>
      <c r="L58" s="155"/>
      <c r="M58" s="170">
        <f>+M55+M57</f>
        <v>445267</v>
      </c>
      <c r="N58" s="155"/>
      <c r="O58" s="170">
        <v>0</v>
      </c>
      <c r="P58" s="155"/>
      <c r="Q58" s="170">
        <v>3030838.7289152839</v>
      </c>
    </row>
    <row r="59" spans="1:17" x14ac:dyDescent="0.25">
      <c r="A59" s="180" t="s">
        <v>81</v>
      </c>
      <c r="B59" s="155"/>
      <c r="C59" s="155"/>
      <c r="D59" s="155"/>
      <c r="E59" s="155"/>
      <c r="F59" s="155"/>
      <c r="G59" s="170">
        <f>+G58/22</f>
        <v>64880.361453331025</v>
      </c>
      <c r="H59" s="170"/>
      <c r="I59" s="170">
        <f>+I58/40</f>
        <v>24606.743307532117</v>
      </c>
      <c r="J59" s="155"/>
      <c r="K59" s="170">
        <f>+K58/13</f>
        <v>61464.923076923078</v>
      </c>
      <c r="L59" s="155"/>
      <c r="M59" s="170">
        <f>+M58/11</f>
        <v>40478.818181818184</v>
      </c>
      <c r="N59" s="155"/>
      <c r="O59" s="170">
        <v>0</v>
      </c>
      <c r="P59" s="155"/>
      <c r="Q59" s="170">
        <v>156952.80739325858</v>
      </c>
    </row>
    <row r="60" spans="1:17" x14ac:dyDescent="0.25">
      <c r="A60" s="180" t="s">
        <v>21</v>
      </c>
      <c r="B60" s="155"/>
      <c r="C60" s="155"/>
      <c r="D60" s="168"/>
      <c r="E60" s="181"/>
      <c r="F60" s="155"/>
      <c r="G60" s="179">
        <f>+G58/'2007-2008 TAC'!B4</f>
        <v>1.1461700342744836</v>
      </c>
      <c r="H60" s="156"/>
      <c r="I60" s="179">
        <f>+I58/'2007-2008 TAC'!B5</f>
        <v>0.83386542550326137</v>
      </c>
      <c r="J60" s="155"/>
      <c r="K60" s="179">
        <f>+K58/'2007-2008 TAC'!B6</f>
        <v>1.1211568466779664</v>
      </c>
      <c r="L60" s="155"/>
      <c r="M60" s="179">
        <f>+M58/'2007-2008 TAC'!B7</f>
        <v>1.1859112990859311</v>
      </c>
      <c r="N60" s="155"/>
      <c r="O60" s="179">
        <v>0</v>
      </c>
      <c r="P60" s="155"/>
      <c r="Q60" s="179">
        <v>0.8541437982690997</v>
      </c>
    </row>
    <row r="61" spans="1:17" x14ac:dyDescent="0.25">
      <c r="A61" s="180" t="s">
        <v>22</v>
      </c>
      <c r="B61" s="155"/>
      <c r="C61" s="155"/>
      <c r="D61" s="182"/>
      <c r="E61" s="183"/>
      <c r="F61" s="155"/>
      <c r="G61" s="170">
        <f>+'2007-2008 TAC'!B4-harvest!G58</f>
        <v>-182030.9519732825</v>
      </c>
      <c r="H61" s="153"/>
      <c r="I61" s="170">
        <f>+'2007-2008 TAC'!B5-harvest!I58</f>
        <v>196100.26769871532</v>
      </c>
      <c r="J61" s="158"/>
      <c r="K61" s="170">
        <f>+'2007-2008 TAC'!B6-harvest!K58</f>
        <v>-86348</v>
      </c>
      <c r="L61" s="158"/>
      <c r="M61" s="170">
        <f>+'2007-2008 TAC'!B7-harvest!M58</f>
        <v>-69803</v>
      </c>
      <c r="N61" s="158"/>
      <c r="O61" s="170">
        <v>34527</v>
      </c>
      <c r="P61" s="158"/>
      <c r="Q61" s="170">
        <v>517555.27108471608</v>
      </c>
    </row>
    <row r="62" spans="1:17" x14ac:dyDescent="0.25">
      <c r="A62" s="156" t="s">
        <v>23</v>
      </c>
      <c r="B62" s="158"/>
      <c r="C62" s="158"/>
      <c r="D62" s="182"/>
      <c r="E62" s="183"/>
      <c r="F62" s="158"/>
      <c r="G62" s="158"/>
      <c r="H62" s="154"/>
      <c r="I62" s="170"/>
      <c r="J62" s="155"/>
      <c r="K62" s="170"/>
      <c r="L62" s="155"/>
      <c r="M62" s="170"/>
      <c r="N62" s="155"/>
      <c r="O62" s="170"/>
      <c r="P62" s="155"/>
      <c r="Q62" s="170"/>
    </row>
    <row r="63" spans="1:17" x14ac:dyDescent="0.25">
      <c r="A63" s="162" t="s">
        <v>1</v>
      </c>
      <c r="B63" s="158"/>
      <c r="C63" s="158"/>
      <c r="D63" s="158"/>
      <c r="E63" s="183"/>
      <c r="F63" s="158"/>
      <c r="G63" s="158"/>
      <c r="H63" s="153"/>
      <c r="I63" s="184"/>
      <c r="J63" s="158"/>
      <c r="K63" s="158"/>
      <c r="L63" s="158"/>
      <c r="M63" s="184"/>
      <c r="N63" s="158"/>
      <c r="O63" s="158"/>
      <c r="P63" s="158"/>
      <c r="Q63" s="184"/>
    </row>
    <row r="64" spans="1:17" x14ac:dyDescent="0.25">
      <c r="A64" s="153"/>
      <c r="B64" s="158"/>
      <c r="C64" s="158"/>
      <c r="D64" s="158"/>
      <c r="E64" s="183"/>
      <c r="F64" s="158"/>
      <c r="G64" s="184"/>
      <c r="H64" s="153"/>
      <c r="I64" s="184"/>
      <c r="J64" s="158"/>
      <c r="K64" s="184"/>
      <c r="L64" s="158"/>
      <c r="M64" s="184"/>
      <c r="N64" s="158"/>
      <c r="O64" s="184"/>
      <c r="P64" s="158"/>
      <c r="Q64" s="184"/>
    </row>
    <row r="65" spans="1:20" x14ac:dyDescent="0.25">
      <c r="A65" s="14"/>
      <c r="B65" s="7"/>
      <c r="E65" s="4"/>
      <c r="F65" s="7"/>
      <c r="G65" s="10"/>
      <c r="I65" s="10"/>
      <c r="K65" s="13"/>
      <c r="M65" s="1"/>
      <c r="O65" s="7"/>
      <c r="Q65" s="10"/>
    </row>
    <row r="66" spans="1:20" x14ac:dyDescent="0.25">
      <c r="A66" s="14"/>
      <c r="B66" s="7"/>
      <c r="E66" s="4"/>
      <c r="F66" s="7"/>
      <c r="G66" s="7"/>
      <c r="I66" s="10"/>
      <c r="K66" s="7"/>
      <c r="M66" s="10"/>
      <c r="O66" s="7"/>
      <c r="Q66" s="10"/>
    </row>
    <row r="67" spans="1:20" x14ac:dyDescent="0.25">
      <c r="A67" s="14"/>
      <c r="B67" s="7"/>
      <c r="D67" s="6"/>
      <c r="E67" s="4"/>
      <c r="F67" s="7"/>
      <c r="G67" s="7"/>
      <c r="I67" s="10"/>
      <c r="K67" s="10"/>
      <c r="M67" s="10"/>
      <c r="O67" s="7"/>
      <c r="Q67" s="10"/>
    </row>
    <row r="68" spans="1:20" x14ac:dyDescent="0.25">
      <c r="A68" s="14"/>
      <c r="B68" s="7"/>
      <c r="D68" s="6"/>
      <c r="E68" s="4"/>
      <c r="F68" s="7"/>
      <c r="G68" s="7"/>
      <c r="I68" s="10"/>
      <c r="K68" s="7"/>
      <c r="M68" s="10"/>
      <c r="O68" s="7"/>
      <c r="Q68" s="10"/>
    </row>
    <row r="69" spans="1:20" x14ac:dyDescent="0.25">
      <c r="A69" s="14"/>
      <c r="B69" s="7"/>
      <c r="E69" s="4"/>
      <c r="F69" s="7"/>
      <c r="G69" s="7"/>
      <c r="I69" s="10"/>
      <c r="K69" s="10"/>
      <c r="M69" s="10"/>
      <c r="O69" s="7"/>
      <c r="Q69" s="10"/>
    </row>
    <row r="70" spans="1:20" x14ac:dyDescent="0.25">
      <c r="A70" s="14"/>
      <c r="B70" s="7"/>
      <c r="D70" s="6"/>
      <c r="E70" s="4"/>
      <c r="F70" s="7"/>
      <c r="G70" s="7"/>
      <c r="I70" s="10"/>
      <c r="K70" s="7"/>
      <c r="M70" s="10"/>
      <c r="O70" s="7"/>
      <c r="Q70" s="10"/>
    </row>
    <row r="71" spans="1:20" x14ac:dyDescent="0.25">
      <c r="A71" s="14"/>
      <c r="B71" s="7"/>
      <c r="F71" s="7"/>
      <c r="G71" s="7"/>
      <c r="I71" s="10"/>
      <c r="K71" s="10"/>
      <c r="M71" s="10"/>
      <c r="O71" s="7"/>
      <c r="Q71" s="10"/>
    </row>
    <row r="72" spans="1:20" x14ac:dyDescent="0.25">
      <c r="B72" s="7"/>
      <c r="F72" s="7"/>
      <c r="G72" s="7"/>
      <c r="I72" s="7"/>
      <c r="K72" s="7"/>
      <c r="M72" s="10"/>
      <c r="O72" s="7"/>
      <c r="Q72" s="7"/>
    </row>
    <row r="73" spans="1:20" x14ac:dyDescent="0.25">
      <c r="B73" s="7"/>
      <c r="F73" s="7"/>
      <c r="G73" s="10"/>
      <c r="H73" s="11"/>
      <c r="I73" s="10"/>
      <c r="J73" s="10"/>
      <c r="K73" s="10"/>
      <c r="L73" s="10"/>
      <c r="M73" s="10"/>
      <c r="N73" s="10"/>
      <c r="O73" s="10"/>
      <c r="P73" s="10"/>
      <c r="Q73" s="10"/>
    </row>
    <row r="74" spans="1:20" x14ac:dyDescent="0.25">
      <c r="B74" s="7"/>
      <c r="F74" s="7"/>
      <c r="G74" s="7"/>
      <c r="I74" s="7"/>
      <c r="K74" s="7"/>
      <c r="M74" s="7"/>
      <c r="O74" s="7"/>
      <c r="Q74" s="7"/>
    </row>
    <row r="75" spans="1:20" x14ac:dyDescent="0.25">
      <c r="A75" s="14"/>
      <c r="B75" s="7"/>
      <c r="F75" s="7"/>
      <c r="G75" s="7"/>
      <c r="I75" s="10"/>
      <c r="K75" s="7"/>
      <c r="M75" s="10"/>
      <c r="O75" s="7"/>
      <c r="Q75" s="10"/>
    </row>
    <row r="76" spans="1:20" x14ac:dyDescent="0.25">
      <c r="A76" s="14"/>
      <c r="B76" s="7"/>
      <c r="F76" s="7"/>
      <c r="G76" s="7"/>
      <c r="I76" s="10"/>
      <c r="K76" s="7"/>
      <c r="M76" s="10"/>
      <c r="O76" s="7"/>
      <c r="Q76" s="10"/>
    </row>
    <row r="77" spans="1:20" x14ac:dyDescent="0.25">
      <c r="A77" s="14"/>
      <c r="B77" s="7"/>
      <c r="F77" s="7"/>
      <c r="G77" s="7"/>
      <c r="I77" s="10"/>
      <c r="K77" s="7"/>
      <c r="M77" s="10"/>
      <c r="O77" s="7"/>
      <c r="Q77" s="10"/>
    </row>
    <row r="78" spans="1:20" x14ac:dyDescent="0.25">
      <c r="A78" s="14"/>
      <c r="B78" s="7"/>
      <c r="F78" s="7"/>
      <c r="G78" s="7"/>
      <c r="I78" s="10"/>
      <c r="K78" s="7"/>
      <c r="M78" s="10"/>
      <c r="O78" s="7"/>
      <c r="Q78" s="10"/>
      <c r="R78" s="7"/>
      <c r="S78" s="7"/>
      <c r="T78" s="7"/>
    </row>
    <row r="79" spans="1:20" x14ac:dyDescent="0.25">
      <c r="A79" s="14"/>
      <c r="B79" s="7"/>
      <c r="F79" s="7"/>
      <c r="G79" s="7"/>
      <c r="I79" s="10"/>
      <c r="K79" s="7"/>
      <c r="M79" s="10"/>
      <c r="O79" s="7"/>
      <c r="Q79" s="10"/>
      <c r="R79" s="7"/>
      <c r="S79" s="7"/>
      <c r="T79" s="7"/>
    </row>
    <row r="80" spans="1:20" x14ac:dyDescent="0.25">
      <c r="A80" s="14"/>
      <c r="I80" s="12"/>
      <c r="R80" s="7"/>
      <c r="S80" s="7"/>
      <c r="T80" s="7"/>
    </row>
    <row r="81" spans="1:20" x14ac:dyDescent="0.25">
      <c r="A81" s="14"/>
      <c r="R81" s="7"/>
      <c r="S81" s="7"/>
      <c r="T81" s="7"/>
    </row>
    <row r="82" spans="1:20" x14ac:dyDescent="0.25">
      <c r="A82" s="14"/>
      <c r="R82" s="7"/>
      <c r="S82" s="7"/>
      <c r="T82" s="7"/>
    </row>
    <row r="83" spans="1:20" x14ac:dyDescent="0.25">
      <c r="A83" s="14"/>
      <c r="R83" s="7"/>
      <c r="S83" s="7"/>
      <c r="T83" s="7"/>
    </row>
    <row r="84" spans="1:20" x14ac:dyDescent="0.25">
      <c r="A84" s="14"/>
      <c r="R84" s="7"/>
      <c r="S84" s="7"/>
      <c r="T84" s="7"/>
    </row>
    <row r="85" spans="1:20" x14ac:dyDescent="0.25">
      <c r="A85" s="14"/>
      <c r="R85" s="7"/>
      <c r="S85" s="7"/>
      <c r="T85" s="7"/>
    </row>
    <row r="86" spans="1:20" x14ac:dyDescent="0.25">
      <c r="A86" s="14"/>
      <c r="R86" s="7"/>
      <c r="S86" s="7"/>
      <c r="T86" s="7"/>
    </row>
    <row r="87" spans="1:20" x14ac:dyDescent="0.25">
      <c r="A87" s="14"/>
      <c r="R87" s="7"/>
      <c r="S87" s="7"/>
      <c r="T87" s="7"/>
    </row>
    <row r="88" spans="1:20" x14ac:dyDescent="0.25">
      <c r="A88" s="14"/>
      <c r="R88" s="7"/>
      <c r="S88" s="7"/>
      <c r="T88" s="7"/>
    </row>
    <row r="89" spans="1:20" x14ac:dyDescent="0.25">
      <c r="A89" s="14"/>
      <c r="R89" s="7"/>
      <c r="S89" s="7"/>
      <c r="T89" s="7"/>
    </row>
    <row r="90" spans="1:20" x14ac:dyDescent="0.25">
      <c r="A90" s="14"/>
      <c r="R90" s="7"/>
      <c r="S90" s="7"/>
      <c r="T90" s="7"/>
    </row>
    <row r="91" spans="1:20" x14ac:dyDescent="0.25">
      <c r="A91" s="14"/>
      <c r="R91" s="7"/>
      <c r="S91" s="7"/>
      <c r="T91" s="7"/>
    </row>
    <row r="92" spans="1:20" x14ac:dyDescent="0.25">
      <c r="A92" s="14"/>
      <c r="R92" s="7"/>
      <c r="S92" s="7"/>
      <c r="T92" s="7"/>
    </row>
    <row r="93" spans="1:20" x14ac:dyDescent="0.25">
      <c r="A93" s="14"/>
      <c r="R93" s="7"/>
      <c r="S93" s="7"/>
      <c r="T93" s="7"/>
    </row>
    <row r="94" spans="1:20" x14ac:dyDescent="0.25">
      <c r="A94" s="14"/>
      <c r="R94" s="7"/>
      <c r="S94" s="7"/>
      <c r="T94" s="7"/>
    </row>
    <row r="95" spans="1:20" x14ac:dyDescent="0.25">
      <c r="A95" s="14"/>
      <c r="R95" s="7"/>
      <c r="S95" s="7"/>
      <c r="T95" s="7"/>
    </row>
    <row r="96" spans="1:20" x14ac:dyDescent="0.25">
      <c r="A96" s="14"/>
      <c r="R96" s="7"/>
      <c r="S96" s="7"/>
      <c r="T96" s="7"/>
    </row>
    <row r="97" spans="1:20" x14ac:dyDescent="0.25">
      <c r="A97" s="14"/>
      <c r="R97" s="7"/>
      <c r="S97" s="7"/>
      <c r="T97" s="7"/>
    </row>
    <row r="98" spans="1:20" x14ac:dyDescent="0.25">
      <c r="A98" s="14"/>
      <c r="R98" s="7"/>
      <c r="S98" s="7"/>
      <c r="T98" s="7"/>
    </row>
    <row r="99" spans="1:20" x14ac:dyDescent="0.25">
      <c r="A99" s="14"/>
      <c r="R99" s="7"/>
      <c r="S99" s="7"/>
      <c r="T99" s="7"/>
    </row>
    <row r="100" spans="1:20" x14ac:dyDescent="0.25">
      <c r="R100" s="7"/>
      <c r="S100" s="7"/>
      <c r="T100" s="7"/>
    </row>
    <row r="101" spans="1:20" x14ac:dyDescent="0.25">
      <c r="R101" s="7"/>
      <c r="S101" s="7"/>
      <c r="T101" s="7"/>
    </row>
    <row r="102" spans="1:20" x14ac:dyDescent="0.25">
      <c r="R102" s="7"/>
      <c r="S102" s="7"/>
      <c r="T102" s="7"/>
    </row>
  </sheetData>
  <phoneticPr fontId="1" type="noConversion"/>
  <pageMargins left="0.75" right="0.75" top="0.25" bottom="0.25" header="0.25" footer="0.2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76"/>
  <sheetViews>
    <sheetView topLeftCell="A4" zoomScaleNormal="100" workbookViewId="0">
      <selection activeCell="G27" sqref="G27"/>
    </sheetView>
  </sheetViews>
  <sheetFormatPr defaultColWidth="8" defaultRowHeight="15.75" x14ac:dyDescent="0.25"/>
  <cols>
    <col min="1" max="1" width="9.625" customWidth="1"/>
    <col min="2" max="2" width="4.125" customWidth="1"/>
    <col min="3" max="3" width="6.625" style="7" customWidth="1"/>
    <col min="4" max="4" width="7.625" style="7" customWidth="1"/>
    <col min="5" max="5" width="8.625" style="7" customWidth="1"/>
    <col min="6" max="6" width="2.625" customWidth="1"/>
    <col min="7" max="7" width="10.625" style="5" customWidth="1"/>
    <col min="8" max="8" width="2.625" customWidth="1"/>
    <col min="9" max="9" width="10.625" customWidth="1"/>
    <col min="10" max="10" width="2.625" customWidth="1"/>
    <col min="11" max="11" width="10.625" customWidth="1"/>
    <col min="12" max="12" width="2.625" customWidth="1"/>
    <col min="13" max="13" width="10.625" customWidth="1"/>
    <col min="14" max="14" width="2.625" customWidth="1"/>
    <col min="15" max="15" width="10.625" customWidth="1"/>
    <col min="16" max="16" width="2.625" style="9" customWidth="1"/>
    <col min="17" max="17" width="10.625" customWidth="1"/>
  </cols>
  <sheetData>
    <row r="1" spans="1:21" x14ac:dyDescent="0.25">
      <c r="A1" s="153" t="s">
        <v>70</v>
      </c>
      <c r="B1" s="154"/>
      <c r="C1" s="155"/>
      <c r="D1" s="155"/>
      <c r="E1" s="155"/>
      <c r="F1" s="154"/>
      <c r="G1" s="185"/>
      <c r="H1" s="156"/>
      <c r="I1" s="154"/>
      <c r="J1" s="156"/>
      <c r="K1" s="154"/>
      <c r="L1" s="156"/>
      <c r="M1" s="157"/>
      <c r="N1" s="173"/>
      <c r="O1" s="154"/>
      <c r="P1" s="154"/>
      <c r="Q1" s="159"/>
    </row>
    <row r="2" spans="1:21" x14ac:dyDescent="0.25">
      <c r="A2" s="160" t="s">
        <v>72</v>
      </c>
      <c r="B2" s="154"/>
      <c r="C2" s="155"/>
      <c r="D2" s="155"/>
      <c r="E2" s="155"/>
      <c r="F2" s="154"/>
      <c r="G2" s="185"/>
      <c r="H2" s="154"/>
      <c r="I2" s="154"/>
      <c r="J2" s="154"/>
      <c r="K2" s="154"/>
      <c r="L2" s="154"/>
      <c r="M2" s="154"/>
      <c r="N2" s="197">
        <v>39667</v>
      </c>
      <c r="O2" s="197"/>
      <c r="P2" s="154" t="s">
        <v>0</v>
      </c>
      <c r="Q2" s="159"/>
    </row>
    <row r="3" spans="1:21" x14ac:dyDescent="0.25">
      <c r="A3" s="160"/>
      <c r="B3" s="154"/>
      <c r="C3" s="155"/>
      <c r="D3" s="155"/>
      <c r="E3" s="155"/>
      <c r="F3" s="154"/>
      <c r="G3" s="185"/>
      <c r="H3" s="154"/>
      <c r="I3" s="154"/>
      <c r="J3" s="154"/>
      <c r="K3" s="154"/>
      <c r="L3" s="154"/>
      <c r="M3" s="154"/>
      <c r="N3" s="154"/>
      <c r="O3" s="155"/>
      <c r="P3" s="154"/>
      <c r="Q3" s="159"/>
    </row>
    <row r="4" spans="1:21" x14ac:dyDescent="0.25">
      <c r="A4" s="163" t="s">
        <v>3</v>
      </c>
      <c r="B4" s="186"/>
      <c r="C4" s="163" t="s">
        <v>4</v>
      </c>
      <c r="D4" s="163" t="s">
        <v>5</v>
      </c>
      <c r="E4" s="163" t="s">
        <v>6</v>
      </c>
      <c r="F4" s="163"/>
      <c r="G4" s="187" t="s">
        <v>7</v>
      </c>
      <c r="H4" s="164"/>
      <c r="I4" s="163" t="s">
        <v>8</v>
      </c>
      <c r="J4" s="164"/>
      <c r="K4" s="163" t="s">
        <v>9</v>
      </c>
      <c r="L4" s="164"/>
      <c r="M4" s="163" t="s">
        <v>10</v>
      </c>
      <c r="N4" s="164"/>
      <c r="O4" s="163" t="s">
        <v>11</v>
      </c>
      <c r="P4" s="164"/>
      <c r="Q4" s="165" t="s">
        <v>12</v>
      </c>
    </row>
    <row r="5" spans="1:21" x14ac:dyDescent="0.25">
      <c r="A5" s="166" t="s">
        <v>19</v>
      </c>
      <c r="B5" s="155">
        <v>25</v>
      </c>
      <c r="C5" s="167" t="s">
        <v>48</v>
      </c>
      <c r="D5" s="168">
        <v>-1.1000000000000001</v>
      </c>
      <c r="E5" s="169">
        <v>0.77083333333333337</v>
      </c>
      <c r="F5" s="155"/>
      <c r="G5" s="188" t="s">
        <v>47</v>
      </c>
      <c r="H5" s="189"/>
      <c r="I5" s="188">
        <f>+harvest!I5/effort!I5</f>
        <v>14.552238805970148</v>
      </c>
      <c r="J5" s="188"/>
      <c r="K5" s="188" t="s">
        <v>47</v>
      </c>
      <c r="L5" s="188"/>
      <c r="M5" s="188" t="s">
        <v>47</v>
      </c>
      <c r="N5" s="188"/>
      <c r="O5" s="188" t="s">
        <v>47</v>
      </c>
      <c r="P5" s="188"/>
      <c r="Q5" s="168">
        <v>15</v>
      </c>
      <c r="R5" s="5"/>
      <c r="S5" s="5"/>
      <c r="T5" s="5"/>
      <c r="U5" s="5"/>
    </row>
    <row r="6" spans="1:21" x14ac:dyDescent="0.25">
      <c r="A6" s="166" t="s">
        <v>19</v>
      </c>
      <c r="B6" s="155">
        <v>26</v>
      </c>
      <c r="C6" s="167" t="s">
        <v>46</v>
      </c>
      <c r="D6" s="168">
        <v>-1.7</v>
      </c>
      <c r="E6" s="169">
        <v>0.80972222222222223</v>
      </c>
      <c r="F6" s="155"/>
      <c r="G6" s="188">
        <f>+harvest!G6/effort!G6</f>
        <v>14.822222222222223</v>
      </c>
      <c r="H6" s="189"/>
      <c r="I6" s="188">
        <f>+harvest!I6/effort!I6</f>
        <v>15.085714285714282</v>
      </c>
      <c r="J6" s="188"/>
      <c r="K6" s="188">
        <f>+harvest!K6/effort!K6</f>
        <v>15.001369863013698</v>
      </c>
      <c r="L6" s="188"/>
      <c r="M6" s="188">
        <f>+harvest!M6/effort!M6</f>
        <v>14.748730964467006</v>
      </c>
      <c r="N6" s="188"/>
      <c r="O6" s="188" t="s">
        <v>47</v>
      </c>
      <c r="P6" s="188"/>
      <c r="Q6" s="168">
        <v>14.889259944597187</v>
      </c>
      <c r="R6" s="5"/>
      <c r="S6" s="5"/>
      <c r="T6" s="5"/>
      <c r="U6" s="5"/>
    </row>
    <row r="7" spans="1:21" x14ac:dyDescent="0.25">
      <c r="A7" s="166" t="s">
        <v>19</v>
      </c>
      <c r="B7" s="155">
        <v>27</v>
      </c>
      <c r="C7" s="155" t="s">
        <v>15</v>
      </c>
      <c r="D7" s="168">
        <v>-1.9</v>
      </c>
      <c r="E7" s="169">
        <v>0.84305555555555556</v>
      </c>
      <c r="F7" s="176"/>
      <c r="G7" s="188">
        <f>+harvest!G7/effort!G7</f>
        <v>15.000000000000004</v>
      </c>
      <c r="H7" s="189"/>
      <c r="I7" s="188">
        <f>+harvest!I7/effort!I7</f>
        <v>14.999999999999998</v>
      </c>
      <c r="J7" s="188"/>
      <c r="K7" s="188">
        <v>14.847222222222221</v>
      </c>
      <c r="L7" s="188"/>
      <c r="M7" s="188">
        <v>15</v>
      </c>
      <c r="N7" s="188"/>
      <c r="O7" s="188" t="s">
        <v>47</v>
      </c>
      <c r="P7" s="188"/>
      <c r="Q7" s="168">
        <v>14.976892730935722</v>
      </c>
      <c r="R7" s="5"/>
      <c r="S7" s="5"/>
      <c r="T7" s="5"/>
      <c r="U7" s="5"/>
    </row>
    <row r="8" spans="1:21" x14ac:dyDescent="0.25">
      <c r="A8" s="166" t="s">
        <v>19</v>
      </c>
      <c r="B8" s="155">
        <v>28</v>
      </c>
      <c r="C8" s="155" t="s">
        <v>17</v>
      </c>
      <c r="D8" s="168">
        <v>-1.8</v>
      </c>
      <c r="E8" s="169">
        <v>0.87708333333333333</v>
      </c>
      <c r="F8" s="155"/>
      <c r="G8" s="188" t="s">
        <v>47</v>
      </c>
      <c r="H8" s="189"/>
      <c r="I8" s="188">
        <f>+harvest!I8/effort!I8</f>
        <v>12.916666666666666</v>
      </c>
      <c r="J8" s="188"/>
      <c r="K8" s="188" t="s">
        <v>47</v>
      </c>
      <c r="L8" s="190"/>
      <c r="M8" s="188" t="s">
        <v>47</v>
      </c>
      <c r="N8" s="188"/>
      <c r="O8" s="188" t="s">
        <v>47</v>
      </c>
      <c r="P8" s="188"/>
      <c r="Q8" s="168">
        <v>12.783049612759758</v>
      </c>
      <c r="R8" s="5"/>
      <c r="S8" s="5"/>
      <c r="T8" s="5"/>
      <c r="U8" s="5"/>
    </row>
    <row r="9" spans="1:21" x14ac:dyDescent="0.25">
      <c r="A9" s="166"/>
      <c r="B9" s="155"/>
      <c r="C9" s="167"/>
      <c r="D9" s="168"/>
      <c r="E9" s="169"/>
      <c r="F9" s="155"/>
      <c r="G9" s="188"/>
      <c r="H9" s="190"/>
      <c r="I9" s="188"/>
      <c r="J9" s="188"/>
      <c r="K9" s="188"/>
      <c r="L9" s="190"/>
      <c r="M9" s="188"/>
      <c r="N9" s="188"/>
      <c r="O9" s="170"/>
      <c r="P9" s="188"/>
      <c r="Q9" s="168"/>
      <c r="R9" s="5"/>
      <c r="S9" s="5"/>
      <c r="T9" s="5"/>
      <c r="U9" s="5"/>
    </row>
    <row r="10" spans="1:21" x14ac:dyDescent="0.25">
      <c r="A10" s="166" t="s">
        <v>33</v>
      </c>
      <c r="B10" s="155">
        <v>23</v>
      </c>
      <c r="C10" s="167" t="s">
        <v>46</v>
      </c>
      <c r="D10" s="168">
        <v>-1.3</v>
      </c>
      <c r="E10" s="169">
        <v>0.72291666666666676</v>
      </c>
      <c r="F10" s="155"/>
      <c r="G10" s="188">
        <f>+harvest!G10/effort!G10</f>
        <v>15.012345679012347</v>
      </c>
      <c r="H10" s="189"/>
      <c r="I10" s="188">
        <f>+harvest!I10/effort!I10</f>
        <v>15.000000000000002</v>
      </c>
      <c r="J10" s="170"/>
      <c r="K10" s="188">
        <v>15</v>
      </c>
      <c r="L10" s="188"/>
      <c r="M10" s="188">
        <v>15</v>
      </c>
      <c r="N10" s="170"/>
      <c r="O10" s="188" t="s">
        <v>47</v>
      </c>
      <c r="P10" s="188"/>
      <c r="Q10" s="168">
        <v>14.264836244507727</v>
      </c>
      <c r="R10" s="5"/>
      <c r="S10" s="5"/>
      <c r="T10" s="5"/>
      <c r="U10" s="5"/>
    </row>
    <row r="11" spans="1:21" x14ac:dyDescent="0.25">
      <c r="A11" s="166" t="s">
        <v>33</v>
      </c>
      <c r="B11" s="155">
        <v>24</v>
      </c>
      <c r="C11" s="155" t="s">
        <v>15</v>
      </c>
      <c r="D11" s="168">
        <v>-1.7</v>
      </c>
      <c r="E11" s="169">
        <v>0.75763888888888886</v>
      </c>
      <c r="F11" s="155"/>
      <c r="G11" s="188">
        <f>+harvest!G11/effort!G11</f>
        <v>13.76923076923077</v>
      </c>
      <c r="H11" s="189"/>
      <c r="I11" s="188">
        <f>+harvest!I11/effort!I11</f>
        <v>10.470588235294118</v>
      </c>
      <c r="J11" s="170"/>
      <c r="K11" s="188">
        <v>14.064102564102564</v>
      </c>
      <c r="L11" s="188"/>
      <c r="M11" s="188">
        <v>14.915094339622641</v>
      </c>
      <c r="N11" s="170"/>
      <c r="O11" s="188" t="s">
        <v>47</v>
      </c>
      <c r="P11" s="188"/>
      <c r="Q11" s="168">
        <v>12.711824956861964</v>
      </c>
      <c r="R11" s="5"/>
      <c r="S11" s="5"/>
      <c r="T11" s="5"/>
      <c r="U11" s="5"/>
    </row>
    <row r="12" spans="1:21" x14ac:dyDescent="0.25">
      <c r="A12" s="166" t="s">
        <v>33</v>
      </c>
      <c r="B12" s="155">
        <v>25</v>
      </c>
      <c r="C12" s="155" t="s">
        <v>17</v>
      </c>
      <c r="D12" s="168">
        <v>-1.8</v>
      </c>
      <c r="E12" s="169">
        <v>0.79166666666666663</v>
      </c>
      <c r="F12" s="155"/>
      <c r="G12" s="188" t="s">
        <v>47</v>
      </c>
      <c r="H12" s="172"/>
      <c r="I12" s="188">
        <f>+harvest!I12/effort!I12</f>
        <v>13.583333333333334</v>
      </c>
      <c r="J12" s="170"/>
      <c r="K12" s="188" t="s">
        <v>47</v>
      </c>
      <c r="L12" s="170"/>
      <c r="M12" s="188" t="s">
        <v>47</v>
      </c>
      <c r="N12" s="170"/>
      <c r="O12" s="188" t="s">
        <v>47</v>
      </c>
      <c r="P12" s="188"/>
      <c r="Q12" s="168">
        <v>13.95223382651581</v>
      </c>
      <c r="R12" s="5"/>
      <c r="S12" s="5"/>
      <c r="T12" s="5"/>
      <c r="U12" s="5"/>
    </row>
    <row r="13" spans="1:21" x14ac:dyDescent="0.25">
      <c r="A13" s="155" t="s">
        <v>33</v>
      </c>
      <c r="B13" s="155">
        <v>26</v>
      </c>
      <c r="C13" s="155" t="s">
        <v>37</v>
      </c>
      <c r="D13" s="168">
        <v>-1.6</v>
      </c>
      <c r="E13" s="169">
        <v>0.79166666666666663</v>
      </c>
      <c r="F13" s="155"/>
      <c r="G13" s="188" t="s">
        <v>47</v>
      </c>
      <c r="H13" s="174"/>
      <c r="I13" s="188">
        <f>+harvest!I13/effort!I13</f>
        <v>8.0666666666666682</v>
      </c>
      <c r="J13" s="170"/>
      <c r="K13" s="188" t="s">
        <v>47</v>
      </c>
      <c r="L13" s="170"/>
      <c r="M13" s="188" t="s">
        <v>47</v>
      </c>
      <c r="N13" s="170"/>
      <c r="O13" s="188" t="s">
        <v>47</v>
      </c>
      <c r="P13" s="188"/>
      <c r="Q13" s="168">
        <v>8.6330637915543562</v>
      </c>
      <c r="R13" s="5"/>
      <c r="S13" s="5"/>
      <c r="T13" s="5"/>
      <c r="U13" s="5"/>
    </row>
    <row r="14" spans="1:21" x14ac:dyDescent="0.25">
      <c r="A14" s="155"/>
      <c r="B14" s="155"/>
      <c r="C14" s="168"/>
      <c r="D14" s="168"/>
      <c r="E14" s="169"/>
      <c r="F14" s="155"/>
      <c r="G14" s="170"/>
      <c r="H14" s="172"/>
      <c r="I14" s="170"/>
      <c r="J14" s="170"/>
      <c r="K14" s="170"/>
      <c r="L14" s="170"/>
      <c r="M14" s="170"/>
      <c r="N14" s="170"/>
      <c r="O14" s="170"/>
      <c r="P14" s="188"/>
      <c r="Q14" s="168"/>
      <c r="R14" s="5"/>
      <c r="S14" s="5"/>
      <c r="T14" s="5"/>
      <c r="U14" s="5"/>
    </row>
    <row r="15" spans="1:21" x14ac:dyDescent="0.25">
      <c r="A15" s="155" t="s">
        <v>45</v>
      </c>
      <c r="B15" s="155">
        <v>21</v>
      </c>
      <c r="C15" s="167" t="s">
        <v>46</v>
      </c>
      <c r="D15" s="168">
        <v>-0.4</v>
      </c>
      <c r="E15" s="169">
        <v>0.67500000000000004</v>
      </c>
      <c r="F15" s="155"/>
      <c r="G15" s="188">
        <f>+harvest!G15/effort!G15</f>
        <v>9.284210526315789</v>
      </c>
      <c r="H15" s="172"/>
      <c r="I15" s="188">
        <f>+harvest!I15/effort!I15</f>
        <v>13.903225806451612</v>
      </c>
      <c r="J15" s="170"/>
      <c r="K15" s="188">
        <v>14.72972972972973</v>
      </c>
      <c r="L15" s="170"/>
      <c r="M15" s="188">
        <v>15.2</v>
      </c>
      <c r="N15" s="170"/>
      <c r="O15" s="188" t="s">
        <v>47</v>
      </c>
      <c r="P15" s="188"/>
      <c r="Q15" s="168">
        <v>12.085231138805128</v>
      </c>
      <c r="R15" s="5"/>
      <c r="S15" s="5"/>
      <c r="T15" s="5"/>
      <c r="U15" s="5"/>
    </row>
    <row r="16" spans="1:21" x14ac:dyDescent="0.25">
      <c r="A16" s="155" t="s">
        <v>45</v>
      </c>
      <c r="B16" s="155">
        <v>22</v>
      </c>
      <c r="C16" s="155" t="s">
        <v>15</v>
      </c>
      <c r="D16" s="168">
        <v>-0.9</v>
      </c>
      <c r="E16" s="169">
        <v>0.71250000000000002</v>
      </c>
      <c r="F16" s="173"/>
      <c r="G16" s="188">
        <f>+harvest!G16/effort!G16</f>
        <v>6.9047619047619051</v>
      </c>
      <c r="H16" s="172" t="s">
        <v>62</v>
      </c>
      <c r="I16" s="188">
        <f>+harvest!I16/effort!I16</f>
        <v>12.133972838390429</v>
      </c>
      <c r="J16" s="170"/>
      <c r="K16" s="188">
        <v>15</v>
      </c>
      <c r="L16" s="170"/>
      <c r="M16" s="188">
        <v>13.6875</v>
      </c>
      <c r="N16" s="170"/>
      <c r="O16" s="188" t="s">
        <v>47</v>
      </c>
      <c r="P16" s="182"/>
      <c r="Q16" s="168">
        <v>10.45647148674994</v>
      </c>
      <c r="R16" s="5"/>
      <c r="S16" s="5"/>
      <c r="T16" s="5"/>
      <c r="U16" s="5"/>
    </row>
    <row r="17" spans="1:21" x14ac:dyDescent="0.25">
      <c r="A17" s="155" t="s">
        <v>45</v>
      </c>
      <c r="B17" s="155">
        <v>23</v>
      </c>
      <c r="C17" s="155" t="s">
        <v>17</v>
      </c>
      <c r="D17" s="168">
        <v>-1.2</v>
      </c>
      <c r="E17" s="169">
        <v>0.74861111111111101</v>
      </c>
      <c r="F17" s="173"/>
      <c r="G17" s="188" t="s">
        <v>47</v>
      </c>
      <c r="H17" s="172"/>
      <c r="I17" s="188">
        <f>+harvest!I17/effort!I17</f>
        <v>3.5625</v>
      </c>
      <c r="J17" s="170"/>
      <c r="K17" s="188" t="s">
        <v>47</v>
      </c>
      <c r="L17" s="170"/>
      <c r="M17" s="188" t="s">
        <v>47</v>
      </c>
      <c r="N17" s="170"/>
      <c r="O17" s="188" t="s">
        <v>47</v>
      </c>
      <c r="P17" s="182"/>
      <c r="Q17" s="168">
        <v>3.8595846820871205</v>
      </c>
      <c r="R17" s="5"/>
      <c r="S17" s="5"/>
      <c r="T17" s="5"/>
      <c r="U17" s="5"/>
    </row>
    <row r="18" spans="1:21" x14ac:dyDescent="0.25">
      <c r="A18" s="155"/>
      <c r="B18" s="155"/>
      <c r="C18" s="155"/>
      <c r="D18" s="168"/>
      <c r="E18" s="169"/>
      <c r="F18" s="173"/>
      <c r="G18" s="170"/>
      <c r="H18" s="172"/>
      <c r="I18" s="170"/>
      <c r="J18" s="170"/>
      <c r="K18" s="170"/>
      <c r="L18" s="170"/>
      <c r="M18" s="170"/>
      <c r="N18" s="170"/>
      <c r="O18" s="170"/>
      <c r="P18" s="182"/>
      <c r="Q18" s="168"/>
      <c r="R18" s="5"/>
      <c r="S18" s="5"/>
      <c r="T18" s="5"/>
      <c r="U18" s="5"/>
    </row>
    <row r="19" spans="1:21" x14ac:dyDescent="0.25">
      <c r="A19" s="155" t="s">
        <v>63</v>
      </c>
      <c r="B19" s="155">
        <v>18</v>
      </c>
      <c r="C19" s="167" t="s">
        <v>46</v>
      </c>
      <c r="D19" s="168">
        <v>0.6</v>
      </c>
      <c r="E19" s="169">
        <v>0.62222222222222223</v>
      </c>
      <c r="F19" s="173"/>
      <c r="G19" s="188" t="s">
        <v>47</v>
      </c>
      <c r="H19" s="172"/>
      <c r="I19" s="188">
        <f>+harvest!I19/effort!I19</f>
        <v>14.361111111111111</v>
      </c>
      <c r="J19" s="170"/>
      <c r="K19" s="188" t="s">
        <v>47</v>
      </c>
      <c r="L19" s="170"/>
      <c r="M19" s="188" t="s">
        <v>47</v>
      </c>
      <c r="N19" s="170"/>
      <c r="O19" s="188" t="s">
        <v>47</v>
      </c>
      <c r="P19" s="182"/>
      <c r="Q19" s="168">
        <v>14.361111111111109</v>
      </c>
      <c r="R19" s="5"/>
      <c r="S19" s="5"/>
      <c r="T19" s="5"/>
      <c r="U19" s="5"/>
    </row>
    <row r="20" spans="1:21" x14ac:dyDescent="0.25">
      <c r="A20" s="155" t="s">
        <v>63</v>
      </c>
      <c r="B20" s="155">
        <v>19</v>
      </c>
      <c r="C20" s="155" t="s">
        <v>15</v>
      </c>
      <c r="D20" s="168">
        <v>0.1</v>
      </c>
      <c r="E20" s="169">
        <v>0.66527777777777775</v>
      </c>
      <c r="F20" s="173"/>
      <c r="G20" s="188">
        <f>+harvest!G20/effort!G20</f>
        <v>4.8455882352941178</v>
      </c>
      <c r="H20" s="172"/>
      <c r="I20" s="188">
        <f>+harvest!I20/effort!I20</f>
        <v>11.44262295081967</v>
      </c>
      <c r="J20" s="170"/>
      <c r="K20" s="188">
        <v>14.780487804878049</v>
      </c>
      <c r="L20" s="170"/>
      <c r="M20" s="188" t="s">
        <v>47</v>
      </c>
      <c r="N20" s="170"/>
      <c r="O20" s="188" t="s">
        <v>47</v>
      </c>
      <c r="P20" s="182"/>
      <c r="Q20" s="168">
        <v>10.196638014073534</v>
      </c>
      <c r="R20" s="5"/>
      <c r="S20" s="5"/>
      <c r="T20" s="5"/>
      <c r="U20" s="5"/>
    </row>
    <row r="21" spans="1:21" x14ac:dyDescent="0.25">
      <c r="A21" s="155" t="s">
        <v>63</v>
      </c>
      <c r="B21" s="155">
        <v>20</v>
      </c>
      <c r="C21" s="155" t="s">
        <v>17</v>
      </c>
      <c r="D21" s="168">
        <v>-0.4</v>
      </c>
      <c r="E21" s="169">
        <v>0.70347222222222217</v>
      </c>
      <c r="F21" s="173"/>
      <c r="G21" s="188">
        <f>+harvest!G21/effort!G21</f>
        <v>9.9090909090909083</v>
      </c>
      <c r="H21" s="172"/>
      <c r="I21" s="188">
        <f>+harvest!I21/effort!I21</f>
        <v>12.214285714285715</v>
      </c>
      <c r="J21" s="170"/>
      <c r="K21" s="188">
        <v>14.920353982300885</v>
      </c>
      <c r="L21" s="170"/>
      <c r="M21" s="188" t="s">
        <v>47</v>
      </c>
      <c r="N21" s="170"/>
      <c r="O21" s="188" t="s">
        <v>47</v>
      </c>
      <c r="P21" s="182"/>
      <c r="Q21" s="168">
        <v>11.060176118118411</v>
      </c>
      <c r="R21" s="5"/>
      <c r="S21" s="5"/>
      <c r="T21" s="5"/>
      <c r="U21" s="5"/>
    </row>
    <row r="22" spans="1:21" x14ac:dyDescent="0.25">
      <c r="A22" s="155" t="s">
        <v>63</v>
      </c>
      <c r="B22" s="155">
        <v>21</v>
      </c>
      <c r="C22" s="155" t="s">
        <v>37</v>
      </c>
      <c r="D22" s="168">
        <v>-0.6</v>
      </c>
      <c r="E22" s="169">
        <v>0.73888888888888893</v>
      </c>
      <c r="F22" s="173"/>
      <c r="G22" s="188" t="s">
        <v>47</v>
      </c>
      <c r="H22" s="191"/>
      <c r="I22" s="188">
        <f>+harvest!I22/effort!I22</f>
        <v>14</v>
      </c>
      <c r="J22" s="182"/>
      <c r="K22" s="188" t="s">
        <v>47</v>
      </c>
      <c r="L22" s="168"/>
      <c r="M22" s="188" t="s">
        <v>47</v>
      </c>
      <c r="N22" s="168"/>
      <c r="O22" s="188" t="s">
        <v>47</v>
      </c>
      <c r="P22" s="182"/>
      <c r="Q22" s="168">
        <v>14.255631733594516</v>
      </c>
      <c r="R22" s="5"/>
      <c r="S22" s="5"/>
      <c r="T22" s="5"/>
      <c r="U22" s="5"/>
    </row>
    <row r="23" spans="1:21" x14ac:dyDescent="0.25">
      <c r="A23" s="155"/>
      <c r="B23" s="155"/>
      <c r="C23" s="155"/>
      <c r="D23" s="155"/>
      <c r="E23" s="169"/>
      <c r="F23" s="173"/>
      <c r="G23" s="170"/>
      <c r="H23" s="171"/>
      <c r="I23" s="188"/>
      <c r="J23" s="170"/>
      <c r="K23" s="170"/>
      <c r="L23" s="170"/>
      <c r="M23" s="170"/>
      <c r="N23" s="170"/>
      <c r="O23" s="170"/>
      <c r="P23" s="191"/>
      <c r="Q23" s="168"/>
      <c r="R23" s="5"/>
      <c r="S23" s="5"/>
      <c r="T23" s="5"/>
      <c r="U23" s="5"/>
    </row>
    <row r="24" spans="1:21" x14ac:dyDescent="0.25">
      <c r="A24" s="155" t="s">
        <v>64</v>
      </c>
      <c r="B24" s="155">
        <v>6</v>
      </c>
      <c r="C24" s="155" t="s">
        <v>65</v>
      </c>
      <c r="D24" s="155">
        <v>0.1</v>
      </c>
      <c r="E24" s="169">
        <v>0.76041666666666663</v>
      </c>
      <c r="F24" s="173"/>
      <c r="G24" s="188" t="s">
        <v>47</v>
      </c>
      <c r="H24" s="171"/>
      <c r="I24" s="188">
        <f>+harvest!I24/effort!I24</f>
        <v>2.8461538461538463</v>
      </c>
      <c r="J24" s="170"/>
      <c r="K24" s="188" t="s">
        <v>47</v>
      </c>
      <c r="L24" s="170"/>
      <c r="M24" s="188" t="s">
        <v>47</v>
      </c>
      <c r="N24" s="170"/>
      <c r="O24" s="188" t="s">
        <v>47</v>
      </c>
      <c r="P24" s="191"/>
      <c r="Q24" s="168">
        <v>3.1616575591985425</v>
      </c>
      <c r="R24" s="5"/>
      <c r="S24" s="5"/>
      <c r="T24" s="5"/>
      <c r="U24" s="5"/>
    </row>
    <row r="25" spans="1:21" x14ac:dyDescent="0.25">
      <c r="A25" s="155" t="s">
        <v>64</v>
      </c>
      <c r="B25" s="155">
        <v>7</v>
      </c>
      <c r="C25" s="155" t="s">
        <v>48</v>
      </c>
      <c r="D25" s="155">
        <v>0</v>
      </c>
      <c r="E25" s="169">
        <v>0.78611111111111109</v>
      </c>
      <c r="F25" s="173"/>
      <c r="G25" s="188" t="s">
        <v>47</v>
      </c>
      <c r="H25" s="171"/>
      <c r="I25" s="188">
        <f>+harvest!I25/effort!I25</f>
        <v>3.695652173913043</v>
      </c>
      <c r="J25" s="170"/>
      <c r="K25" s="188" t="s">
        <v>47</v>
      </c>
      <c r="L25" s="170"/>
      <c r="M25" s="188" t="s">
        <v>47</v>
      </c>
      <c r="N25" s="170"/>
      <c r="O25" s="188" t="s">
        <v>47</v>
      </c>
      <c r="P25" s="191"/>
      <c r="Q25" s="168">
        <v>4.2099788359788359</v>
      </c>
      <c r="R25" s="5"/>
      <c r="S25" s="5"/>
      <c r="T25" s="5"/>
      <c r="U25" s="5"/>
    </row>
    <row r="26" spans="1:21" x14ac:dyDescent="0.25">
      <c r="A26" s="155" t="s">
        <v>64</v>
      </c>
      <c r="B26" s="155">
        <v>8</v>
      </c>
      <c r="C26" s="155" t="s">
        <v>46</v>
      </c>
      <c r="D26" s="155">
        <v>0.1</v>
      </c>
      <c r="E26" s="169">
        <v>0.81041666666666667</v>
      </c>
      <c r="F26" s="173"/>
      <c r="G26" s="188">
        <f>+harvest!G26/effort!G26</f>
        <v>0.73170731707317083</v>
      </c>
      <c r="H26" s="172"/>
      <c r="I26" s="188">
        <f>+harvest!I26/effort!I26</f>
        <v>0.94444444444444431</v>
      </c>
      <c r="J26" s="170"/>
      <c r="K26" s="188" t="s">
        <v>47</v>
      </c>
      <c r="L26" s="172"/>
      <c r="M26" s="188" t="s">
        <v>47</v>
      </c>
      <c r="N26" s="170"/>
      <c r="O26" s="188" t="s">
        <v>47</v>
      </c>
      <c r="P26" s="191"/>
      <c r="Q26" s="168">
        <v>1.0633233177194141</v>
      </c>
      <c r="R26" s="5"/>
      <c r="S26" s="5"/>
      <c r="T26" s="5"/>
      <c r="U26" s="5"/>
    </row>
    <row r="27" spans="1:21" x14ac:dyDescent="0.25">
      <c r="A27" s="155" t="s">
        <v>64</v>
      </c>
      <c r="B27" s="155">
        <v>9</v>
      </c>
      <c r="C27" s="155" t="s">
        <v>15</v>
      </c>
      <c r="D27" s="175">
        <v>0.4</v>
      </c>
      <c r="E27" s="169">
        <v>0.83472222222222225</v>
      </c>
      <c r="F27" s="173" t="s">
        <v>62</v>
      </c>
      <c r="G27" s="188">
        <f>+harvest!G27/effort!G27</f>
        <v>5.0643741585756201</v>
      </c>
      <c r="H27" s="170"/>
      <c r="I27" s="188">
        <f>+harvest!I27/effort!I27</f>
        <v>5.2727272727272725</v>
      </c>
      <c r="J27" s="170"/>
      <c r="K27" s="188" t="s">
        <v>47</v>
      </c>
      <c r="L27" s="170"/>
      <c r="M27" s="188" t="s">
        <v>47</v>
      </c>
      <c r="N27" s="170"/>
      <c r="O27" s="188" t="s">
        <v>47</v>
      </c>
      <c r="P27" s="191"/>
      <c r="Q27" s="168">
        <v>6.8195073588552226</v>
      </c>
      <c r="R27" s="5"/>
      <c r="S27" s="5"/>
      <c r="T27" s="5"/>
      <c r="U27" s="5"/>
    </row>
    <row r="28" spans="1:21" x14ac:dyDescent="0.25">
      <c r="A28" s="155"/>
      <c r="B28" s="155"/>
      <c r="C28" s="155"/>
      <c r="D28" s="155"/>
      <c r="E28" s="169"/>
      <c r="F28" s="173"/>
      <c r="G28" s="188"/>
      <c r="H28" s="170"/>
      <c r="I28" s="188"/>
      <c r="J28" s="170"/>
      <c r="K28" s="170"/>
      <c r="L28" s="170"/>
      <c r="M28" s="188"/>
      <c r="N28" s="170"/>
      <c r="O28" s="188"/>
      <c r="P28" s="191"/>
      <c r="Q28" s="168"/>
      <c r="R28" s="5"/>
      <c r="S28" s="5"/>
      <c r="T28" s="5"/>
      <c r="U28" s="5"/>
    </row>
    <row r="29" spans="1:21" x14ac:dyDescent="0.25">
      <c r="A29" s="155" t="s">
        <v>66</v>
      </c>
      <c r="B29" s="155">
        <v>7</v>
      </c>
      <c r="C29" s="167" t="s">
        <v>46</v>
      </c>
      <c r="D29" s="155">
        <v>0.3</v>
      </c>
      <c r="E29" s="169">
        <v>0.76458333333333339</v>
      </c>
      <c r="F29" s="173"/>
      <c r="G29" s="188" t="s">
        <v>47</v>
      </c>
      <c r="H29" s="171"/>
      <c r="I29" s="188">
        <f>+harvest!I29/effort!I29</f>
        <v>13.948717948717949</v>
      </c>
      <c r="J29" s="170"/>
      <c r="K29" s="188" t="s">
        <v>47</v>
      </c>
      <c r="L29" s="170"/>
      <c r="M29" s="188" t="s">
        <v>47</v>
      </c>
      <c r="N29" s="170"/>
      <c r="O29" s="188" t="s">
        <v>47</v>
      </c>
      <c r="P29" s="191"/>
      <c r="Q29" s="168">
        <v>13.948717948717951</v>
      </c>
      <c r="R29" s="5"/>
      <c r="S29" s="5"/>
      <c r="T29" s="5"/>
      <c r="U29" s="5"/>
    </row>
    <row r="30" spans="1:21" x14ac:dyDescent="0.25">
      <c r="A30" s="155" t="s">
        <v>66</v>
      </c>
      <c r="B30" s="155">
        <v>8</v>
      </c>
      <c r="C30" s="155" t="s">
        <v>15</v>
      </c>
      <c r="D30" s="155">
        <v>0.5</v>
      </c>
      <c r="E30" s="169">
        <v>0.79027777777777775</v>
      </c>
      <c r="F30" s="173"/>
      <c r="G30" s="188">
        <f>+harvest!G30/effort!G30</f>
        <v>4.4941176470588227</v>
      </c>
      <c r="H30" s="170"/>
      <c r="I30" s="188">
        <f>+harvest!I30/effort!I30</f>
        <v>7.5833333333333321</v>
      </c>
      <c r="J30" s="170"/>
      <c r="K30" s="188" t="s">
        <v>47</v>
      </c>
      <c r="L30" s="170"/>
      <c r="M30" s="188" t="s">
        <v>47</v>
      </c>
      <c r="N30" s="170"/>
      <c r="O30" s="188" t="s">
        <v>47</v>
      </c>
      <c r="P30" s="191"/>
      <c r="Q30" s="168">
        <v>4.9615524602144854</v>
      </c>
      <c r="R30" s="5"/>
      <c r="S30" s="5"/>
      <c r="T30" s="5"/>
      <c r="U30" s="5"/>
    </row>
    <row r="31" spans="1:21" x14ac:dyDescent="0.25">
      <c r="A31" s="155" t="s">
        <v>66</v>
      </c>
      <c r="B31" s="155">
        <v>9</v>
      </c>
      <c r="C31" s="155" t="s">
        <v>17</v>
      </c>
      <c r="D31" s="175">
        <v>0.3</v>
      </c>
      <c r="E31" s="169">
        <v>0.3527777777777778</v>
      </c>
      <c r="F31" s="173"/>
      <c r="G31" s="188">
        <f>+harvest!G31/effort!G31</f>
        <v>8.546875</v>
      </c>
      <c r="H31" s="170"/>
      <c r="I31" s="188">
        <f>+harvest!I31/effort!I31</f>
        <v>6.3962264150943406</v>
      </c>
      <c r="J31" s="170"/>
      <c r="K31" s="188" t="s">
        <v>47</v>
      </c>
      <c r="L31" s="170"/>
      <c r="M31" s="188" t="s">
        <v>47</v>
      </c>
      <c r="N31" s="170"/>
      <c r="O31" s="188" t="s">
        <v>47</v>
      </c>
      <c r="P31" s="191"/>
      <c r="Q31" s="168">
        <v>6.6084259385865938</v>
      </c>
      <c r="R31" s="5"/>
      <c r="S31" s="5"/>
      <c r="T31" s="5"/>
      <c r="U31" s="5"/>
    </row>
    <row r="32" spans="1:21" x14ac:dyDescent="0.25">
      <c r="A32" s="155" t="s">
        <v>66</v>
      </c>
      <c r="B32" s="155">
        <v>10</v>
      </c>
      <c r="C32" s="155" t="s">
        <v>37</v>
      </c>
      <c r="D32" s="175" t="s">
        <v>67</v>
      </c>
      <c r="E32" s="169">
        <v>0.3833333333333333</v>
      </c>
      <c r="F32" s="173"/>
      <c r="G32" s="188" t="s">
        <v>47</v>
      </c>
      <c r="H32" s="170"/>
      <c r="I32" s="188">
        <f>+harvest!I32/effort!I32</f>
        <v>11.614035087719298</v>
      </c>
      <c r="J32" s="170"/>
      <c r="K32" s="188" t="s">
        <v>47</v>
      </c>
      <c r="L32" s="170"/>
      <c r="M32" s="188" t="s">
        <v>47</v>
      </c>
      <c r="N32" s="170"/>
      <c r="O32" s="188" t="s">
        <v>47</v>
      </c>
      <c r="P32" s="191"/>
      <c r="Q32" s="168">
        <v>10.311341855171547</v>
      </c>
      <c r="R32" s="5"/>
      <c r="S32" s="5"/>
      <c r="T32" s="5"/>
      <c r="U32" s="5"/>
    </row>
    <row r="33" spans="1:21" x14ac:dyDescent="0.25">
      <c r="A33" s="155" t="s">
        <v>66</v>
      </c>
      <c r="B33" s="155">
        <v>11</v>
      </c>
      <c r="C33" s="155" t="s">
        <v>68</v>
      </c>
      <c r="D33" s="155">
        <v>-0.1</v>
      </c>
      <c r="E33" s="169">
        <v>0.41597222222222219</v>
      </c>
      <c r="F33" s="192"/>
      <c r="G33" s="188" t="s">
        <v>47</v>
      </c>
      <c r="H33" s="170"/>
      <c r="I33" s="188">
        <f>+harvest!I33/effort!I33</f>
        <v>0.68749999999999989</v>
      </c>
      <c r="J33" s="170"/>
      <c r="K33" s="188" t="s">
        <v>47</v>
      </c>
      <c r="L33" s="170"/>
      <c r="M33" s="188" t="s">
        <v>47</v>
      </c>
      <c r="N33" s="170"/>
      <c r="O33" s="188" t="s">
        <v>47</v>
      </c>
      <c r="P33" s="191"/>
      <c r="Q33" s="168">
        <v>0.83738514548238885</v>
      </c>
      <c r="R33" s="5"/>
      <c r="S33" s="5"/>
      <c r="T33" s="5"/>
      <c r="U33" s="5"/>
    </row>
    <row r="34" spans="1:21" x14ac:dyDescent="0.25">
      <c r="A34" s="155" t="s">
        <v>66</v>
      </c>
      <c r="B34" s="155">
        <v>12</v>
      </c>
      <c r="C34" s="155" t="s">
        <v>65</v>
      </c>
      <c r="D34" s="175" t="s">
        <v>67</v>
      </c>
      <c r="E34" s="169">
        <v>0.45208333333333334</v>
      </c>
      <c r="F34" s="173"/>
      <c r="G34" s="188" t="s">
        <v>47</v>
      </c>
      <c r="H34" s="191"/>
      <c r="I34" s="188">
        <f>+harvest!I34/effort!I34</f>
        <v>13.586206896551722</v>
      </c>
      <c r="J34" s="191"/>
      <c r="K34" s="188" t="s">
        <v>47</v>
      </c>
      <c r="L34" s="191"/>
      <c r="M34" s="188" t="s">
        <v>47</v>
      </c>
      <c r="N34" s="191"/>
      <c r="O34" s="188" t="s">
        <v>47</v>
      </c>
      <c r="P34" s="191"/>
      <c r="Q34" s="168">
        <v>13.579283248228212</v>
      </c>
      <c r="R34" s="5"/>
      <c r="S34" s="5"/>
      <c r="T34" s="5"/>
      <c r="U34" s="5"/>
    </row>
    <row r="35" spans="1:21" x14ac:dyDescent="0.25">
      <c r="A35" s="155"/>
      <c r="B35" s="155"/>
      <c r="C35" s="155"/>
      <c r="D35" s="155"/>
      <c r="E35" s="169"/>
      <c r="F35" s="173"/>
      <c r="G35" s="170"/>
      <c r="H35" s="191"/>
      <c r="I35" s="188"/>
      <c r="J35" s="191"/>
      <c r="K35" s="170"/>
      <c r="L35" s="191"/>
      <c r="M35" s="170"/>
      <c r="N35" s="191"/>
      <c r="O35" s="170"/>
      <c r="P35" s="191"/>
      <c r="Q35" s="168"/>
      <c r="R35" s="5"/>
      <c r="S35" s="5"/>
      <c r="T35" s="5"/>
      <c r="U35" s="5"/>
    </row>
    <row r="36" spans="1:21" x14ac:dyDescent="0.25">
      <c r="A36" s="155" t="s">
        <v>69</v>
      </c>
      <c r="B36" s="155">
        <v>6</v>
      </c>
      <c r="C36" s="155" t="s">
        <v>17</v>
      </c>
      <c r="D36" s="155">
        <v>-0.7</v>
      </c>
      <c r="E36" s="169">
        <v>0.30763888888888891</v>
      </c>
      <c r="F36" s="173"/>
      <c r="G36" s="188">
        <f>+harvest!G36/effort!G36</f>
        <v>12.785714285714286</v>
      </c>
      <c r="H36" s="191"/>
      <c r="I36" s="188">
        <f>+harvest!I36/effort!I36</f>
        <v>12.208791208791208</v>
      </c>
      <c r="J36" s="191"/>
      <c r="K36" s="188" t="s">
        <v>47</v>
      </c>
      <c r="L36" s="191"/>
      <c r="M36" s="188" t="s">
        <v>47</v>
      </c>
      <c r="N36" s="191"/>
      <c r="O36" s="188" t="s">
        <v>47</v>
      </c>
      <c r="P36" s="191"/>
      <c r="Q36" s="168">
        <v>12.742831565833866</v>
      </c>
      <c r="R36" s="5"/>
      <c r="S36" s="5"/>
      <c r="T36" s="5"/>
      <c r="U36" s="5"/>
    </row>
    <row r="37" spans="1:21" x14ac:dyDescent="0.25">
      <c r="A37" s="155" t="s">
        <v>69</v>
      </c>
      <c r="B37" s="155">
        <v>7</v>
      </c>
      <c r="C37" s="155" t="s">
        <v>37</v>
      </c>
      <c r="D37" s="155">
        <v>-1.2</v>
      </c>
      <c r="E37" s="169">
        <v>0.33958333333333335</v>
      </c>
      <c r="F37" s="173"/>
      <c r="G37" s="188">
        <f>+harvest!G37/effort!G37</f>
        <v>9.7413793103448274</v>
      </c>
      <c r="H37" s="193"/>
      <c r="I37" s="188">
        <f>+harvest!I37/effort!I37</f>
        <v>9.3571428571428594</v>
      </c>
      <c r="J37" s="191"/>
      <c r="K37" s="188" t="s">
        <v>47</v>
      </c>
      <c r="L37" s="193"/>
      <c r="M37" s="188" t="s">
        <v>47</v>
      </c>
      <c r="N37" s="191"/>
      <c r="O37" s="188" t="s">
        <v>47</v>
      </c>
      <c r="P37" s="191"/>
      <c r="Q37" s="168">
        <v>9.4033365756911547</v>
      </c>
      <c r="R37" s="5"/>
      <c r="S37" s="5"/>
      <c r="T37" s="5"/>
      <c r="U37" s="5"/>
    </row>
    <row r="38" spans="1:21" x14ac:dyDescent="0.25">
      <c r="A38" s="155" t="s">
        <v>69</v>
      </c>
      <c r="B38" s="155">
        <v>8</v>
      </c>
      <c r="C38" s="155" t="s">
        <v>68</v>
      </c>
      <c r="D38" s="155">
        <v>-1.5</v>
      </c>
      <c r="E38" s="169">
        <v>0.37152777777777773</v>
      </c>
      <c r="F38" s="192"/>
      <c r="G38" s="188">
        <f>+harvest!G38/effort!G38</f>
        <v>11.551020408163266</v>
      </c>
      <c r="H38" s="191"/>
      <c r="I38" s="188">
        <f>+harvest!I38/effort!I38</f>
        <v>14.666666666666666</v>
      </c>
      <c r="J38" s="191"/>
      <c r="K38" s="188" t="s">
        <v>47</v>
      </c>
      <c r="L38" s="191"/>
      <c r="M38" s="188" t="s">
        <v>47</v>
      </c>
      <c r="N38" s="191"/>
      <c r="O38" s="188" t="s">
        <v>47</v>
      </c>
      <c r="P38" s="191"/>
      <c r="Q38" s="168">
        <v>12.309011235539421</v>
      </c>
      <c r="R38" s="5"/>
      <c r="S38" s="5"/>
      <c r="T38" s="5"/>
      <c r="U38" s="5"/>
    </row>
    <row r="39" spans="1:21" x14ac:dyDescent="0.25">
      <c r="A39" s="155" t="s">
        <v>69</v>
      </c>
      <c r="B39" s="155">
        <v>9</v>
      </c>
      <c r="C39" s="155" t="s">
        <v>65</v>
      </c>
      <c r="D39" s="155">
        <v>-1.4</v>
      </c>
      <c r="E39" s="169">
        <v>0.40486111111111112</v>
      </c>
      <c r="F39" s="173"/>
      <c r="G39" s="170" t="s">
        <v>47</v>
      </c>
      <c r="H39" s="191"/>
      <c r="I39" s="188">
        <f>+harvest!I39/effort!I39</f>
        <v>14.045454545454545</v>
      </c>
      <c r="J39" s="191"/>
      <c r="K39" s="188" t="s">
        <v>47</v>
      </c>
      <c r="L39" s="191"/>
      <c r="M39" s="188" t="s">
        <v>47</v>
      </c>
      <c r="N39" s="191"/>
      <c r="O39" s="188" t="s">
        <v>47</v>
      </c>
      <c r="P39" s="182"/>
      <c r="Q39" s="168">
        <v>13.706288843496022</v>
      </c>
      <c r="R39" s="5"/>
      <c r="S39" s="5"/>
      <c r="T39" s="5"/>
      <c r="U39" s="5"/>
    </row>
    <row r="40" spans="1:21" x14ac:dyDescent="0.25">
      <c r="A40" s="155"/>
      <c r="B40" s="155"/>
      <c r="C40" s="155"/>
      <c r="D40" s="155"/>
      <c r="E40" s="169"/>
      <c r="F40" s="173"/>
      <c r="G40" s="170"/>
      <c r="H40" s="191"/>
      <c r="I40" s="188"/>
      <c r="J40" s="191"/>
      <c r="K40" s="170"/>
      <c r="L40" s="191"/>
      <c r="M40" s="170"/>
      <c r="N40" s="191"/>
      <c r="O40" s="170"/>
      <c r="P40" s="182"/>
      <c r="Q40" s="168"/>
      <c r="R40" s="5"/>
      <c r="S40" s="5"/>
      <c r="T40" s="5"/>
      <c r="U40" s="5"/>
    </row>
    <row r="41" spans="1:21" x14ac:dyDescent="0.25">
      <c r="A41" s="155" t="s">
        <v>69</v>
      </c>
      <c r="B41" s="155">
        <v>19</v>
      </c>
      <c r="C41" s="155" t="s">
        <v>15</v>
      </c>
      <c r="D41" s="155">
        <v>-0.1</v>
      </c>
      <c r="E41" s="169">
        <v>0.27777777777777779</v>
      </c>
      <c r="F41" s="173"/>
      <c r="G41" s="188">
        <f>+harvest!G41/effort!G41</f>
        <v>2.929824561403509</v>
      </c>
      <c r="H41" s="191"/>
      <c r="I41" s="188">
        <f>+harvest!I41/effort!I41</f>
        <v>3.9512195121951219</v>
      </c>
      <c r="J41" s="191"/>
      <c r="K41" s="188">
        <v>12.538461538461538</v>
      </c>
      <c r="L41" s="191"/>
      <c r="M41" s="188">
        <v>9.2911392405063289</v>
      </c>
      <c r="N41" s="191"/>
      <c r="O41" s="188" t="s">
        <v>47</v>
      </c>
      <c r="P41" s="182"/>
      <c r="Q41" s="168">
        <v>7.041593847509569</v>
      </c>
      <c r="R41" s="5"/>
      <c r="S41" s="5"/>
      <c r="T41" s="5"/>
      <c r="U41" s="5"/>
    </row>
    <row r="42" spans="1:21" x14ac:dyDescent="0.25">
      <c r="A42" s="155" t="s">
        <v>69</v>
      </c>
      <c r="B42" s="155">
        <v>20</v>
      </c>
      <c r="C42" s="155" t="s">
        <v>17</v>
      </c>
      <c r="D42" s="155">
        <v>-0.4</v>
      </c>
      <c r="E42" s="169">
        <v>0.3</v>
      </c>
      <c r="F42" s="173"/>
      <c r="G42" s="188">
        <f>+harvest!G42/effort!G42</f>
        <v>5.8930481283422465</v>
      </c>
      <c r="H42" s="191"/>
      <c r="I42" s="188">
        <f>+harvest!I42/effort!I42</f>
        <v>12.028169014084511</v>
      </c>
      <c r="J42" s="191"/>
      <c r="K42" s="188">
        <v>15.571428571428571</v>
      </c>
      <c r="L42" s="191"/>
      <c r="M42" s="188">
        <v>14.932203389830509</v>
      </c>
      <c r="N42" s="191"/>
      <c r="O42" s="188" t="s">
        <v>47</v>
      </c>
      <c r="P42" s="182"/>
      <c r="Q42" s="168">
        <v>11.761626420235102</v>
      </c>
      <c r="R42" s="5"/>
      <c r="S42" s="5"/>
      <c r="T42" s="5"/>
      <c r="U42" s="5"/>
    </row>
    <row r="43" spans="1:21" x14ac:dyDescent="0.25">
      <c r="A43" s="155" t="s">
        <v>69</v>
      </c>
      <c r="B43" s="155">
        <v>21</v>
      </c>
      <c r="C43" s="155" t="s">
        <v>37</v>
      </c>
      <c r="D43" s="155">
        <v>-0.6</v>
      </c>
      <c r="E43" s="169">
        <v>0.3298611111111111</v>
      </c>
      <c r="F43" s="173"/>
      <c r="G43" s="188" t="s">
        <v>47</v>
      </c>
      <c r="H43" s="191"/>
      <c r="I43" s="188">
        <f>+harvest!I43/effort!I43</f>
        <v>15.000000000000002</v>
      </c>
      <c r="J43" s="191"/>
      <c r="K43" s="188" t="s">
        <v>47</v>
      </c>
      <c r="L43" s="191"/>
      <c r="M43" s="188" t="s">
        <v>47</v>
      </c>
      <c r="N43" s="191"/>
      <c r="O43" s="188" t="s">
        <v>47</v>
      </c>
      <c r="P43" s="182"/>
      <c r="Q43" s="168">
        <v>15</v>
      </c>
      <c r="R43" s="5"/>
      <c r="S43" s="5"/>
      <c r="T43" s="5"/>
      <c r="U43" s="5"/>
    </row>
    <row r="44" spans="1:21" x14ac:dyDescent="0.25">
      <c r="A44" s="155" t="s">
        <v>69</v>
      </c>
      <c r="B44" s="155">
        <v>22</v>
      </c>
      <c r="C44" s="155" t="s">
        <v>68</v>
      </c>
      <c r="D44" s="155">
        <v>-0.6</v>
      </c>
      <c r="E44" s="169">
        <v>0.35416666666666669</v>
      </c>
      <c r="F44" s="173"/>
      <c r="G44" s="188" t="s">
        <v>47</v>
      </c>
      <c r="H44" s="191"/>
      <c r="I44" s="188">
        <f>+harvest!I44/effort!I44</f>
        <v>15</v>
      </c>
      <c r="J44" s="191"/>
      <c r="K44" s="188" t="s">
        <v>47</v>
      </c>
      <c r="L44" s="191"/>
      <c r="M44" s="188" t="s">
        <v>47</v>
      </c>
      <c r="N44" s="191"/>
      <c r="O44" s="188" t="s">
        <v>47</v>
      </c>
      <c r="P44" s="182"/>
      <c r="Q44" s="168">
        <v>15</v>
      </c>
      <c r="R44" s="5"/>
      <c r="S44" s="5"/>
      <c r="T44" s="5"/>
      <c r="U44" s="5"/>
    </row>
    <row r="45" spans="1:21" x14ac:dyDescent="0.25">
      <c r="A45" s="155" t="s">
        <v>69</v>
      </c>
      <c r="B45" s="155">
        <v>23</v>
      </c>
      <c r="C45" s="155" t="s">
        <v>65</v>
      </c>
      <c r="D45" s="155">
        <v>-0.5</v>
      </c>
      <c r="E45" s="169">
        <v>0.37916666666666665</v>
      </c>
      <c r="F45" s="192"/>
      <c r="G45" s="188" t="s">
        <v>47</v>
      </c>
      <c r="H45" s="191"/>
      <c r="I45" s="188">
        <f>+harvest!I45/effort!I45</f>
        <v>14.838709677419354</v>
      </c>
      <c r="J45" s="191"/>
      <c r="K45" s="188" t="s">
        <v>47</v>
      </c>
      <c r="L45" s="191"/>
      <c r="M45" s="188" t="s">
        <v>47</v>
      </c>
      <c r="N45" s="191"/>
      <c r="O45" s="188" t="s">
        <v>47</v>
      </c>
      <c r="P45" s="182"/>
      <c r="Q45" s="168">
        <v>14.8</v>
      </c>
      <c r="R45" s="5"/>
      <c r="S45" s="5"/>
      <c r="T45" s="5"/>
      <c r="U45" s="5"/>
    </row>
    <row r="46" spans="1:21" x14ac:dyDescent="0.25">
      <c r="A46" s="155"/>
      <c r="B46" s="155"/>
      <c r="C46" s="155"/>
      <c r="D46" s="155"/>
      <c r="E46" s="169"/>
      <c r="F46" s="192"/>
      <c r="G46" s="188"/>
      <c r="H46" s="191"/>
      <c r="I46" s="188"/>
      <c r="J46" s="191"/>
      <c r="K46" s="188"/>
      <c r="L46" s="191"/>
      <c r="M46" s="188"/>
      <c r="N46" s="191"/>
      <c r="O46" s="188"/>
      <c r="P46" s="182"/>
      <c r="Q46" s="168"/>
      <c r="R46" s="5"/>
      <c r="S46" s="5"/>
      <c r="T46" s="5"/>
      <c r="U46" s="5"/>
    </row>
    <row r="47" spans="1:21" x14ac:dyDescent="0.25">
      <c r="A47" s="155" t="s">
        <v>71</v>
      </c>
      <c r="B47" s="175">
        <v>3</v>
      </c>
      <c r="C47" s="155" t="s">
        <v>15</v>
      </c>
      <c r="D47" s="155">
        <v>-0.3</v>
      </c>
      <c r="E47" s="169">
        <v>0.22708333333333333</v>
      </c>
      <c r="F47" s="192" t="s">
        <v>62</v>
      </c>
      <c r="G47" s="188">
        <f>+harvest!G47/effort!G47</f>
        <v>14.348094079480941</v>
      </c>
      <c r="H47" s="191" t="s">
        <v>62</v>
      </c>
      <c r="I47" s="188">
        <f>+harvest!I47/effort!I47</f>
        <v>15</v>
      </c>
      <c r="J47" s="191"/>
      <c r="K47" s="188" t="s">
        <v>47</v>
      </c>
      <c r="L47" s="191"/>
      <c r="M47" s="188" t="s">
        <v>47</v>
      </c>
      <c r="N47" s="191"/>
      <c r="O47" s="188" t="s">
        <v>47</v>
      </c>
      <c r="P47" s="182"/>
      <c r="Q47" s="168">
        <v>14.531344241826217</v>
      </c>
      <c r="R47" s="5"/>
      <c r="S47" s="5"/>
      <c r="T47" s="5"/>
      <c r="U47" s="5"/>
    </row>
    <row r="48" spans="1:21" x14ac:dyDescent="0.25">
      <c r="A48" s="155" t="s">
        <v>71</v>
      </c>
      <c r="B48" s="175">
        <v>4</v>
      </c>
      <c r="C48" s="155" t="s">
        <v>17</v>
      </c>
      <c r="D48" s="155">
        <v>-1.2</v>
      </c>
      <c r="E48" s="169">
        <v>0.26111111111111113</v>
      </c>
      <c r="F48" s="192" t="s">
        <v>62</v>
      </c>
      <c r="G48" s="188">
        <f>+harvest!G48/effort!G48</f>
        <v>14.349173905637882</v>
      </c>
      <c r="H48" s="191" t="s">
        <v>62</v>
      </c>
      <c r="I48" s="188">
        <f>+harvest!I48/effort!I48</f>
        <v>14.6875</v>
      </c>
      <c r="J48" s="191"/>
      <c r="K48" s="188">
        <v>15</v>
      </c>
      <c r="L48" s="191"/>
      <c r="M48" s="188">
        <v>15</v>
      </c>
      <c r="N48" s="191"/>
      <c r="O48" s="188" t="s">
        <v>47</v>
      </c>
      <c r="P48" s="182"/>
      <c r="Q48" s="168">
        <v>14.675932436907967</v>
      </c>
      <c r="R48" s="5"/>
      <c r="S48" s="5"/>
      <c r="T48" s="5"/>
      <c r="U48" s="5"/>
    </row>
    <row r="49" spans="1:21" x14ac:dyDescent="0.25">
      <c r="A49" s="155" t="s">
        <v>71</v>
      </c>
      <c r="B49" s="155">
        <v>5</v>
      </c>
      <c r="C49" s="155" t="s">
        <v>37</v>
      </c>
      <c r="D49" s="155">
        <v>-1.9</v>
      </c>
      <c r="E49" s="169">
        <v>0.29444444444444445</v>
      </c>
      <c r="F49" s="192"/>
      <c r="G49" s="188">
        <f>+harvest!G49/effort!G49</f>
        <v>14.164948453608247</v>
      </c>
      <c r="H49" s="191"/>
      <c r="I49" s="188">
        <f>+harvest!I49/effort!I49</f>
        <v>15</v>
      </c>
      <c r="J49" s="191"/>
      <c r="K49" s="188">
        <v>15</v>
      </c>
      <c r="L49" s="191"/>
      <c r="M49" s="188">
        <v>15</v>
      </c>
      <c r="N49" s="191"/>
      <c r="O49" s="188" t="s">
        <v>47</v>
      </c>
      <c r="P49" s="182"/>
      <c r="Q49" s="168">
        <v>14.675932436907969</v>
      </c>
      <c r="R49" s="5"/>
      <c r="S49" s="5"/>
      <c r="T49" s="5"/>
      <c r="U49" s="5"/>
    </row>
    <row r="50" spans="1:21" x14ac:dyDescent="0.25">
      <c r="A50" s="155" t="s">
        <v>71</v>
      </c>
      <c r="B50" s="155">
        <v>6</v>
      </c>
      <c r="C50" s="155" t="s">
        <v>68</v>
      </c>
      <c r="D50" s="155">
        <v>-2.2999999999999998</v>
      </c>
      <c r="E50" s="169">
        <v>0.32708333333333334</v>
      </c>
      <c r="F50" s="192" t="s">
        <v>62</v>
      </c>
      <c r="G50" s="188">
        <f>+harvest!G50/effort!G50</f>
        <v>14.016932267507864</v>
      </c>
      <c r="H50" s="191"/>
      <c r="I50" s="188">
        <f>+harvest!I50/effort!I50</f>
        <v>14.999999999999996</v>
      </c>
      <c r="J50" s="191"/>
      <c r="K50" s="188" t="s">
        <v>47</v>
      </c>
      <c r="L50" s="191"/>
      <c r="M50" s="188" t="s">
        <v>47</v>
      </c>
      <c r="N50" s="191"/>
      <c r="O50" s="188" t="s">
        <v>47</v>
      </c>
      <c r="P50" s="182"/>
      <c r="Q50" s="168">
        <v>14.486449882671668</v>
      </c>
      <c r="R50" s="5"/>
      <c r="S50" s="5"/>
      <c r="T50" s="5"/>
      <c r="U50" s="5"/>
    </row>
    <row r="51" spans="1:21" x14ac:dyDescent="0.25">
      <c r="A51" s="155" t="s">
        <v>71</v>
      </c>
      <c r="B51" s="155">
        <v>7</v>
      </c>
      <c r="C51" s="155" t="s">
        <v>65</v>
      </c>
      <c r="D51" s="155">
        <v>-2.4</v>
      </c>
      <c r="E51" s="169">
        <v>0.36041666666666666</v>
      </c>
      <c r="F51" s="192"/>
      <c r="G51" s="188">
        <f>+harvest!G51/effort!G51</f>
        <v>14.818181818181817</v>
      </c>
      <c r="H51" s="191" t="s">
        <v>62</v>
      </c>
      <c r="I51" s="188">
        <f>+harvest!I51/effort!I51</f>
        <v>15.473772480563261</v>
      </c>
      <c r="J51" s="191"/>
      <c r="K51" s="188" t="s">
        <v>47</v>
      </c>
      <c r="L51" s="191"/>
      <c r="M51" s="188" t="s">
        <v>47</v>
      </c>
      <c r="N51" s="191"/>
      <c r="O51" s="188" t="s">
        <v>47</v>
      </c>
      <c r="P51" s="182"/>
      <c r="Q51" s="168">
        <v>14.856521283308096</v>
      </c>
      <c r="R51" s="5"/>
      <c r="S51" s="5"/>
      <c r="T51" s="5"/>
      <c r="U51" s="5"/>
    </row>
    <row r="52" spans="1:21" x14ac:dyDescent="0.25">
      <c r="A52" s="155"/>
      <c r="B52" s="155"/>
      <c r="C52" s="155"/>
      <c r="D52" s="155"/>
      <c r="E52" s="169"/>
      <c r="F52" s="192"/>
      <c r="G52" s="188"/>
      <c r="H52" s="191"/>
      <c r="I52" s="188"/>
      <c r="J52" s="191"/>
      <c r="K52" s="188"/>
      <c r="L52" s="191"/>
      <c r="M52" s="188"/>
      <c r="N52" s="191"/>
      <c r="O52" s="188"/>
      <c r="P52" s="182"/>
      <c r="Q52" s="168"/>
      <c r="R52" s="5"/>
      <c r="S52" s="5"/>
      <c r="T52" s="5"/>
      <c r="U52" s="5"/>
    </row>
    <row r="53" spans="1:21" x14ac:dyDescent="0.25">
      <c r="A53" s="155" t="s">
        <v>71</v>
      </c>
      <c r="B53" s="155">
        <v>24</v>
      </c>
      <c r="C53" s="155" t="s">
        <v>15</v>
      </c>
      <c r="D53" s="155">
        <v>-0.5</v>
      </c>
      <c r="E53" s="169">
        <v>0.4152777777777778</v>
      </c>
      <c r="F53" s="176"/>
      <c r="G53" s="170" t="s">
        <v>47</v>
      </c>
      <c r="H53" s="191"/>
      <c r="I53" s="188">
        <f>+harvest!I53/effort!I53</f>
        <v>9.8005581268651216</v>
      </c>
      <c r="J53" s="191"/>
      <c r="K53" s="188">
        <v>14.741935483870968</v>
      </c>
      <c r="L53" s="191"/>
      <c r="M53" s="188">
        <v>15</v>
      </c>
      <c r="N53" s="191"/>
      <c r="O53" s="188" t="s">
        <v>47</v>
      </c>
      <c r="P53" s="182"/>
      <c r="Q53" s="168">
        <v>14.830272763188288</v>
      </c>
      <c r="R53" s="5"/>
      <c r="S53" s="5"/>
      <c r="T53" s="5"/>
      <c r="U53" s="5"/>
    </row>
    <row r="54" spans="1:21" x14ac:dyDescent="0.25">
      <c r="A54" s="173"/>
      <c r="B54" s="173"/>
      <c r="C54" s="158"/>
      <c r="D54" s="158"/>
      <c r="E54" s="158"/>
      <c r="F54" s="173"/>
      <c r="G54" s="191"/>
      <c r="H54" s="191"/>
      <c r="I54" s="170"/>
      <c r="J54" s="191"/>
      <c r="K54" s="170"/>
      <c r="L54" s="191"/>
      <c r="M54" s="170"/>
      <c r="N54" s="191"/>
      <c r="O54" s="170"/>
      <c r="P54" s="182"/>
      <c r="Q54" s="191"/>
      <c r="R54" s="5"/>
      <c r="S54" s="5"/>
      <c r="T54" s="5"/>
      <c r="U54" s="5"/>
    </row>
    <row r="55" spans="1:21" x14ac:dyDescent="0.25">
      <c r="A55" s="154" t="s">
        <v>24</v>
      </c>
      <c r="B55" s="173"/>
      <c r="C55" s="158"/>
      <c r="D55" s="158"/>
      <c r="E55" s="158"/>
      <c r="F55" s="173"/>
      <c r="G55" s="168">
        <v>10.701915888927877</v>
      </c>
      <c r="H55" s="191"/>
      <c r="I55" s="168">
        <v>12.152749991493156</v>
      </c>
      <c r="J55" s="191"/>
      <c r="K55" s="168">
        <v>14.708765452438024</v>
      </c>
      <c r="L55" s="191"/>
      <c r="M55" s="168">
        <v>14.418098138406521</v>
      </c>
      <c r="N55" s="191"/>
      <c r="O55" s="168" t="e">
        <v>#DIV/0!</v>
      </c>
      <c r="P55" s="182"/>
      <c r="Q55" s="168">
        <v>12.507727412681946</v>
      </c>
      <c r="R55" s="5"/>
      <c r="S55" s="5"/>
      <c r="T55" s="5"/>
      <c r="U55" s="5"/>
    </row>
    <row r="56" spans="1:21" x14ac:dyDescent="0.25">
      <c r="A56" s="156" t="s">
        <v>23</v>
      </c>
      <c r="B56" s="158"/>
      <c r="C56" s="158"/>
      <c r="D56" s="182"/>
      <c r="E56" s="183"/>
      <c r="F56" s="158"/>
      <c r="G56" s="158"/>
      <c r="H56" s="173"/>
      <c r="I56" s="191"/>
      <c r="J56" s="191"/>
      <c r="K56" s="191"/>
      <c r="L56" s="191"/>
      <c r="M56" s="191"/>
      <c r="N56" s="191"/>
      <c r="O56" s="191"/>
      <c r="P56" s="194"/>
      <c r="Q56" s="191"/>
      <c r="R56" s="5"/>
      <c r="S56" s="5"/>
      <c r="T56" s="5"/>
      <c r="U56" s="5"/>
    </row>
    <row r="57" spans="1:21" x14ac:dyDescent="0.25">
      <c r="A57" s="162" t="s">
        <v>25</v>
      </c>
      <c r="B57" s="173"/>
      <c r="C57" s="158"/>
      <c r="D57" s="158"/>
      <c r="E57" s="158"/>
      <c r="F57" s="173"/>
      <c r="G57" s="191"/>
      <c r="H57" s="173"/>
      <c r="I57" s="191"/>
      <c r="J57" s="191"/>
      <c r="K57" s="191"/>
      <c r="L57" s="191"/>
      <c r="M57" s="191"/>
      <c r="N57" s="191"/>
      <c r="O57" s="191"/>
      <c r="P57" s="194"/>
      <c r="Q57" s="191"/>
      <c r="R57" s="5"/>
      <c r="S57" s="5"/>
      <c r="T57" s="5"/>
      <c r="U57" s="5"/>
    </row>
    <row r="58" spans="1:21" x14ac:dyDescent="0.25">
      <c r="A58" s="173"/>
      <c r="B58" s="173"/>
      <c r="C58" s="158"/>
      <c r="D58" s="158"/>
      <c r="E58" s="158"/>
      <c r="F58" s="173"/>
      <c r="G58" s="168"/>
      <c r="H58" s="173"/>
      <c r="I58" s="168"/>
      <c r="J58" s="191"/>
      <c r="K58" s="168"/>
      <c r="L58" s="191"/>
      <c r="M58" s="168"/>
      <c r="N58" s="191"/>
      <c r="O58" s="168"/>
      <c r="P58" s="194"/>
      <c r="Q58" s="168"/>
      <c r="R58" s="5"/>
      <c r="S58" s="5"/>
      <c r="T58" s="5"/>
      <c r="U58" s="5"/>
    </row>
    <row r="59" spans="1:21" x14ac:dyDescent="0.25">
      <c r="I59" s="5"/>
      <c r="J59" s="5"/>
      <c r="K59" s="5"/>
      <c r="L59" s="5"/>
      <c r="M59" s="5"/>
      <c r="N59" s="5"/>
      <c r="O59" s="5"/>
      <c r="P59" s="8"/>
      <c r="Q59" s="5"/>
      <c r="R59" s="5"/>
      <c r="S59" s="5"/>
      <c r="T59" s="5"/>
      <c r="U59" s="5"/>
    </row>
    <row r="60" spans="1:21" x14ac:dyDescent="0.25">
      <c r="I60" s="5"/>
      <c r="J60" s="5"/>
      <c r="K60" s="5"/>
      <c r="L60" s="5"/>
      <c r="M60" s="5"/>
      <c r="N60" s="5"/>
      <c r="O60" s="5"/>
      <c r="P60" s="8"/>
      <c r="Q60" s="5"/>
      <c r="R60" s="5"/>
      <c r="S60" s="5"/>
      <c r="T60" s="5"/>
      <c r="U60" s="5"/>
    </row>
    <row r="61" spans="1:21" x14ac:dyDescent="0.25">
      <c r="I61" s="5"/>
      <c r="J61" s="5"/>
      <c r="K61" s="5"/>
      <c r="L61" s="5"/>
      <c r="M61" s="5"/>
      <c r="N61" s="5"/>
      <c r="O61" s="5"/>
      <c r="P61" s="8"/>
      <c r="Q61" s="5"/>
      <c r="R61" s="5"/>
      <c r="S61" s="5"/>
      <c r="T61" s="5"/>
      <c r="U61" s="5"/>
    </row>
    <row r="62" spans="1:21" x14ac:dyDescent="0.25">
      <c r="I62" s="5"/>
      <c r="J62" s="5"/>
      <c r="K62" s="5"/>
      <c r="L62" s="5"/>
      <c r="M62" s="5"/>
      <c r="N62" s="5"/>
      <c r="O62" s="5"/>
      <c r="P62" s="8"/>
      <c r="Q62" s="5"/>
      <c r="R62" s="5"/>
      <c r="S62" s="5"/>
      <c r="T62" s="5"/>
      <c r="U62" s="5"/>
    </row>
    <row r="63" spans="1:21" x14ac:dyDescent="0.25">
      <c r="I63" s="5"/>
      <c r="J63" s="5"/>
      <c r="K63" s="5"/>
      <c r="L63" s="5"/>
      <c r="M63" s="5"/>
      <c r="N63" s="5"/>
      <c r="O63" s="5"/>
      <c r="P63" s="8"/>
      <c r="Q63" s="5"/>
      <c r="R63" s="5"/>
      <c r="S63" s="5"/>
      <c r="T63" s="5"/>
      <c r="U63" s="5"/>
    </row>
    <row r="64" spans="1:21" x14ac:dyDescent="0.25">
      <c r="I64" s="5"/>
      <c r="J64" s="5"/>
      <c r="K64" s="5"/>
      <c r="L64" s="5"/>
      <c r="M64" s="5"/>
      <c r="N64" s="5"/>
      <c r="O64" s="5"/>
      <c r="P64" s="8"/>
      <c r="Q64" s="5"/>
      <c r="R64" s="5"/>
      <c r="S64" s="5"/>
      <c r="T64" s="5"/>
      <c r="U64" s="5"/>
    </row>
    <row r="65" spans="9:21" x14ac:dyDescent="0.25">
      <c r="I65" s="5"/>
      <c r="J65" s="5"/>
      <c r="K65" s="5"/>
      <c r="L65" s="5"/>
      <c r="M65" s="5"/>
      <c r="N65" s="5"/>
      <c r="O65" s="5"/>
      <c r="P65" s="8"/>
      <c r="Q65" s="5"/>
      <c r="R65" s="5"/>
      <c r="S65" s="5"/>
      <c r="T65" s="5"/>
      <c r="U65" s="5"/>
    </row>
    <row r="66" spans="9:21" x14ac:dyDescent="0.25">
      <c r="I66" s="5"/>
      <c r="J66" s="5"/>
      <c r="K66" s="5"/>
      <c r="L66" s="5"/>
      <c r="M66" s="5"/>
      <c r="N66" s="5"/>
      <c r="O66" s="5"/>
      <c r="P66" s="8"/>
      <c r="Q66" s="5"/>
      <c r="R66" s="5"/>
      <c r="S66" s="5"/>
      <c r="T66" s="5"/>
      <c r="U66" s="5"/>
    </row>
    <row r="67" spans="9:21" x14ac:dyDescent="0.25">
      <c r="I67" s="5"/>
      <c r="J67" s="5"/>
      <c r="K67" s="5"/>
      <c r="L67" s="5"/>
      <c r="M67" s="5"/>
      <c r="N67" s="5"/>
      <c r="O67" s="5"/>
      <c r="P67" s="8"/>
      <c r="Q67" s="5"/>
      <c r="R67" s="5"/>
      <c r="S67" s="5"/>
      <c r="T67" s="5"/>
      <c r="U67" s="5"/>
    </row>
    <row r="68" spans="9:21" x14ac:dyDescent="0.25">
      <c r="R68" s="5"/>
      <c r="S68" s="5"/>
      <c r="T68" s="5"/>
      <c r="U68" s="5"/>
    </row>
    <row r="69" spans="9:21" x14ac:dyDescent="0.25">
      <c r="R69" s="5"/>
      <c r="S69" s="5"/>
      <c r="T69" s="5"/>
      <c r="U69" s="5"/>
    </row>
    <row r="70" spans="9:21" x14ac:dyDescent="0.25">
      <c r="R70" s="5"/>
      <c r="S70" s="5"/>
      <c r="T70" s="5"/>
      <c r="U70" s="5"/>
    </row>
    <row r="71" spans="9:21" x14ac:dyDescent="0.25">
      <c r="R71" s="5"/>
      <c r="S71" s="5"/>
      <c r="T71" s="5"/>
      <c r="U71" s="5"/>
    </row>
    <row r="72" spans="9:21" x14ac:dyDescent="0.25">
      <c r="R72" s="5"/>
      <c r="S72" s="5"/>
      <c r="T72" s="5"/>
      <c r="U72" s="5"/>
    </row>
    <row r="73" spans="9:21" x14ac:dyDescent="0.25">
      <c r="R73" s="5"/>
      <c r="S73" s="5"/>
      <c r="T73" s="5"/>
      <c r="U73" s="5"/>
    </row>
    <row r="74" spans="9:21" x14ac:dyDescent="0.25">
      <c r="R74" s="5"/>
      <c r="S74" s="5"/>
      <c r="T74" s="5"/>
      <c r="U74" s="5"/>
    </row>
    <row r="75" spans="9:21" x14ac:dyDescent="0.25">
      <c r="R75" s="5"/>
      <c r="S75" s="5"/>
      <c r="T75" s="5"/>
      <c r="U75" s="5"/>
    </row>
    <row r="76" spans="9:21" x14ac:dyDescent="0.25">
      <c r="R76" s="5"/>
      <c r="S76" s="5"/>
      <c r="T76" s="5"/>
      <c r="U76" s="5"/>
    </row>
  </sheetData>
  <mergeCells count="1">
    <mergeCell ref="N2:O2"/>
  </mergeCells>
  <phoneticPr fontId="1" type="noConversion"/>
  <pageMargins left="0.75" right="0.75" top="0.49" bottom="0.5" header="0.5" footer="0.5"/>
  <pageSetup scale="6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73"/>
  <sheetViews>
    <sheetView workbookViewId="0">
      <selection activeCell="G27" sqref="G27"/>
    </sheetView>
  </sheetViews>
  <sheetFormatPr defaultColWidth="8" defaultRowHeight="15.75" x14ac:dyDescent="0.25"/>
  <cols>
    <col min="1" max="1" width="9.625" customWidth="1"/>
    <col min="2" max="2" width="4.125" customWidth="1"/>
    <col min="3" max="3" width="6.625" style="7" customWidth="1"/>
    <col min="4" max="4" width="7.625" style="7" customWidth="1"/>
    <col min="5" max="5" width="8.625" style="7" customWidth="1"/>
    <col min="6" max="6" width="2.625" customWidth="1"/>
    <col min="7" max="7" width="10.625" customWidth="1"/>
    <col min="8" max="8" width="2.625" customWidth="1"/>
    <col min="9" max="9" width="10.625" customWidth="1"/>
    <col min="10" max="10" width="2.625" customWidth="1"/>
    <col min="11" max="11" width="10.625" customWidth="1"/>
    <col min="12" max="12" width="2.625" customWidth="1"/>
    <col min="13" max="13" width="10.625" customWidth="1"/>
    <col min="14" max="14" width="2.625" customWidth="1"/>
    <col min="15" max="15" width="10.625" customWidth="1"/>
    <col min="16" max="16" width="2.625" customWidth="1"/>
    <col min="17" max="17" width="10.625" customWidth="1"/>
  </cols>
  <sheetData>
    <row r="1" spans="1:22" x14ac:dyDescent="0.25">
      <c r="A1" s="173" t="s">
        <v>51</v>
      </c>
      <c r="B1" s="154"/>
      <c r="C1" s="155"/>
      <c r="D1" s="155"/>
      <c r="E1" s="155"/>
      <c r="F1" s="154"/>
      <c r="G1" s="154"/>
      <c r="H1" s="156"/>
      <c r="I1" s="154"/>
      <c r="J1" s="156"/>
      <c r="K1" s="154"/>
      <c r="L1" s="156"/>
      <c r="M1" s="157"/>
      <c r="N1" s="173"/>
      <c r="O1" s="154"/>
      <c r="P1" s="154"/>
      <c r="Q1" s="159"/>
    </row>
    <row r="2" spans="1:22" x14ac:dyDescent="0.25">
      <c r="A2" s="160" t="s">
        <v>72</v>
      </c>
      <c r="B2" s="154"/>
      <c r="C2" s="155"/>
      <c r="D2" s="155"/>
      <c r="E2" s="155"/>
      <c r="F2" s="154"/>
      <c r="G2" s="154"/>
      <c r="H2" s="154"/>
      <c r="I2" s="154"/>
      <c r="J2" s="154"/>
      <c r="K2" s="154"/>
      <c r="L2" s="154"/>
      <c r="M2" s="154"/>
      <c r="N2" s="197">
        <v>39667</v>
      </c>
      <c r="O2" s="197"/>
      <c r="P2" s="154" t="s">
        <v>0</v>
      </c>
      <c r="Q2" s="159"/>
    </row>
    <row r="3" spans="1:22" x14ac:dyDescent="0.25">
      <c r="A3" s="160"/>
      <c r="B3" s="154"/>
      <c r="C3" s="155"/>
      <c r="D3" s="155"/>
      <c r="E3" s="155"/>
      <c r="F3" s="154"/>
      <c r="G3" s="154"/>
      <c r="H3" s="154"/>
      <c r="I3" s="154"/>
      <c r="J3" s="154"/>
      <c r="K3" s="154"/>
      <c r="L3" s="154"/>
      <c r="M3" s="154"/>
      <c r="N3" s="154"/>
      <c r="O3" s="155"/>
      <c r="P3" s="154"/>
      <c r="Q3" s="159"/>
    </row>
    <row r="4" spans="1:22" x14ac:dyDescent="0.25">
      <c r="A4" s="163" t="s">
        <v>3</v>
      </c>
      <c r="B4" s="163"/>
      <c r="C4" s="163" t="s">
        <v>4</v>
      </c>
      <c r="D4" s="163" t="s">
        <v>5</v>
      </c>
      <c r="E4" s="163" t="s">
        <v>6</v>
      </c>
      <c r="F4" s="163"/>
      <c r="G4" s="163" t="s">
        <v>7</v>
      </c>
      <c r="H4" s="164"/>
      <c r="I4" s="163" t="s">
        <v>8</v>
      </c>
      <c r="J4" s="164"/>
      <c r="K4" s="163" t="s">
        <v>9</v>
      </c>
      <c r="L4" s="164"/>
      <c r="M4" s="163" t="s">
        <v>10</v>
      </c>
      <c r="N4" s="164"/>
      <c r="O4" s="163" t="s">
        <v>11</v>
      </c>
      <c r="P4" s="164"/>
      <c r="Q4" s="165" t="s">
        <v>12</v>
      </c>
    </row>
    <row r="5" spans="1:22" x14ac:dyDescent="0.25">
      <c r="A5" s="166" t="s">
        <v>19</v>
      </c>
      <c r="B5" s="155">
        <v>25</v>
      </c>
      <c r="C5" s="167" t="s">
        <v>48</v>
      </c>
      <c r="D5" s="168">
        <v>-1.1000000000000001</v>
      </c>
      <c r="E5" s="169">
        <v>0.77083333333333337</v>
      </c>
      <c r="F5" s="155"/>
      <c r="G5" s="170" t="s">
        <v>47</v>
      </c>
      <c r="H5" s="171"/>
      <c r="I5" s="170">
        <v>4109.9998366832797</v>
      </c>
      <c r="J5" s="170"/>
      <c r="K5" s="170" t="s">
        <v>47</v>
      </c>
      <c r="L5" s="170"/>
      <c r="M5" s="170" t="s">
        <v>47</v>
      </c>
      <c r="N5" s="170"/>
      <c r="O5" s="170" t="s">
        <v>47</v>
      </c>
      <c r="P5" s="170"/>
      <c r="Q5" s="170">
        <v>2290.4338557993733</v>
      </c>
      <c r="R5" s="12"/>
      <c r="S5" s="12"/>
      <c r="T5" s="12"/>
      <c r="U5" s="12"/>
      <c r="V5" s="12"/>
    </row>
    <row r="6" spans="1:22" x14ac:dyDescent="0.25">
      <c r="A6" s="166" t="s">
        <v>19</v>
      </c>
      <c r="B6" s="155">
        <v>26</v>
      </c>
      <c r="C6" s="167" t="s">
        <v>46</v>
      </c>
      <c r="D6" s="168">
        <v>-1.7</v>
      </c>
      <c r="E6" s="169">
        <v>0.80972222222222223</v>
      </c>
      <c r="F6" s="155"/>
      <c r="G6" s="170">
        <v>4947.1782990461543</v>
      </c>
      <c r="H6" s="171"/>
      <c r="I6" s="170">
        <v>2368.0333060289113</v>
      </c>
      <c r="J6" s="170"/>
      <c r="K6" s="170">
        <v>3650</v>
      </c>
      <c r="L6" s="170"/>
      <c r="M6" s="170">
        <v>4728</v>
      </c>
      <c r="N6" s="170"/>
      <c r="O6" s="170" t="s">
        <v>47</v>
      </c>
      <c r="P6" s="170"/>
      <c r="Q6" s="170">
        <v>10448.499760447728</v>
      </c>
      <c r="R6" s="12"/>
      <c r="S6" s="12"/>
      <c r="T6" s="12"/>
      <c r="U6" s="12"/>
      <c r="V6" s="12"/>
    </row>
    <row r="7" spans="1:22" x14ac:dyDescent="0.25">
      <c r="A7" s="166" t="s">
        <v>19</v>
      </c>
      <c r="B7" s="155">
        <v>27</v>
      </c>
      <c r="C7" s="155" t="s">
        <v>15</v>
      </c>
      <c r="D7" s="168">
        <v>-1.9</v>
      </c>
      <c r="E7" s="169">
        <v>0.84305555555555556</v>
      </c>
      <c r="F7" s="176"/>
      <c r="G7" s="170">
        <v>13677.702304485156</v>
      </c>
      <c r="H7" s="171"/>
      <c r="I7" s="170">
        <v>3988.7461152527717</v>
      </c>
      <c r="J7" s="170"/>
      <c r="K7" s="170">
        <v>5184</v>
      </c>
      <c r="L7" s="170"/>
      <c r="M7" s="170">
        <v>3021</v>
      </c>
      <c r="N7" s="170"/>
      <c r="O7" s="170" t="s">
        <v>47</v>
      </c>
      <c r="P7" s="170"/>
      <c r="Q7" s="170">
        <v>21648.934210104922</v>
      </c>
      <c r="R7" s="12"/>
      <c r="S7" s="12"/>
      <c r="T7" s="12"/>
      <c r="U7" s="12"/>
      <c r="V7" s="12"/>
    </row>
    <row r="8" spans="1:22" x14ac:dyDescent="0.25">
      <c r="A8" s="166" t="s">
        <v>19</v>
      </c>
      <c r="B8" s="155">
        <v>28</v>
      </c>
      <c r="C8" s="155" t="s">
        <v>17</v>
      </c>
      <c r="D8" s="168">
        <v>-1.8</v>
      </c>
      <c r="E8" s="169">
        <v>0.87708333333333333</v>
      </c>
      <c r="F8" s="155"/>
      <c r="G8" s="170" t="s">
        <v>47</v>
      </c>
      <c r="H8" s="171"/>
      <c r="I8" s="170">
        <v>4146.1697984462317</v>
      </c>
      <c r="J8" s="170"/>
      <c r="K8" s="170" t="s">
        <v>47</v>
      </c>
      <c r="L8" s="170"/>
      <c r="M8" s="170" t="s">
        <v>47</v>
      </c>
      <c r="N8" s="170"/>
      <c r="O8" s="170" t="s">
        <v>47</v>
      </c>
      <c r="P8" s="170"/>
      <c r="Q8" s="170">
        <v>2143.9749216300938</v>
      </c>
      <c r="R8" s="12"/>
      <c r="S8" s="12"/>
      <c r="T8" s="12"/>
      <c r="U8" s="12"/>
      <c r="V8" s="12"/>
    </row>
    <row r="9" spans="1:22" x14ac:dyDescent="0.25">
      <c r="A9" s="166"/>
      <c r="B9" s="155"/>
      <c r="C9" s="167"/>
      <c r="D9" s="168"/>
      <c r="E9" s="169"/>
      <c r="F9" s="155"/>
      <c r="G9" s="170"/>
      <c r="H9" s="171"/>
      <c r="I9" s="170"/>
      <c r="J9" s="170"/>
      <c r="K9" s="170"/>
      <c r="L9" s="170"/>
      <c r="M9" s="170"/>
      <c r="N9" s="170"/>
      <c r="O9" s="170"/>
      <c r="P9" s="170"/>
      <c r="Q9" s="170"/>
      <c r="R9" s="12"/>
      <c r="S9" s="12"/>
      <c r="T9" s="12"/>
      <c r="U9" s="12"/>
      <c r="V9" s="12"/>
    </row>
    <row r="10" spans="1:22" x14ac:dyDescent="0.25">
      <c r="A10" s="166" t="s">
        <v>33</v>
      </c>
      <c r="B10" s="155">
        <v>23</v>
      </c>
      <c r="C10" s="167" t="s">
        <v>46</v>
      </c>
      <c r="D10" s="168">
        <v>-1.3</v>
      </c>
      <c r="E10" s="169">
        <v>0.72291666666666676</v>
      </c>
      <c r="F10" s="155"/>
      <c r="G10" s="170">
        <v>12808.594699812529</v>
      </c>
      <c r="H10" s="171"/>
      <c r="I10" s="170">
        <v>3136.4873528417847</v>
      </c>
      <c r="J10" s="170"/>
      <c r="K10" s="170">
        <v>5113</v>
      </c>
      <c r="L10" s="170"/>
      <c r="M10" s="170">
        <v>3630</v>
      </c>
      <c r="N10" s="170"/>
      <c r="O10" s="170" t="s">
        <v>47</v>
      </c>
      <c r="P10" s="170"/>
      <c r="Q10" s="170">
        <v>21026.834542906181</v>
      </c>
      <c r="R10" s="12"/>
      <c r="S10" s="12"/>
      <c r="T10" s="12"/>
      <c r="U10" s="12"/>
      <c r="V10" s="12"/>
    </row>
    <row r="11" spans="1:22" x14ac:dyDescent="0.25">
      <c r="A11" s="166" t="s">
        <v>33</v>
      </c>
      <c r="B11" s="155">
        <v>24</v>
      </c>
      <c r="C11" s="155" t="s">
        <v>15</v>
      </c>
      <c r="D11" s="168">
        <v>-1.7</v>
      </c>
      <c r="E11" s="169">
        <v>0.75763888888888886</v>
      </c>
      <c r="F11" s="155"/>
      <c r="G11" s="170">
        <v>9853.7498531676847</v>
      </c>
      <c r="H11" s="171"/>
      <c r="I11" s="170">
        <v>4755.6271700595316</v>
      </c>
      <c r="J11" s="170"/>
      <c r="K11" s="170">
        <v>3699</v>
      </c>
      <c r="L11" s="170"/>
      <c r="M11" s="170">
        <v>2385</v>
      </c>
      <c r="N11" s="170"/>
      <c r="O11" s="170" t="s">
        <v>47</v>
      </c>
      <c r="P11" s="170"/>
      <c r="Q11" s="170">
        <v>19377.094117647055</v>
      </c>
      <c r="R11" s="12"/>
      <c r="S11" s="12"/>
      <c r="T11" s="12"/>
      <c r="U11" s="12"/>
      <c r="V11" s="12"/>
    </row>
    <row r="12" spans="1:22" x14ac:dyDescent="0.25">
      <c r="A12" s="166" t="s">
        <v>33</v>
      </c>
      <c r="B12" s="155">
        <v>25</v>
      </c>
      <c r="C12" s="155" t="s">
        <v>17</v>
      </c>
      <c r="D12" s="168">
        <v>-1.8</v>
      </c>
      <c r="E12" s="169">
        <v>0.79166666666666663</v>
      </c>
      <c r="F12" s="192"/>
      <c r="G12" s="170" t="s">
        <v>47</v>
      </c>
      <c r="H12" s="171"/>
      <c r="I12" s="170">
        <v>1773.3762656059721</v>
      </c>
      <c r="J12" s="170"/>
      <c r="K12" s="170" t="s">
        <v>47</v>
      </c>
      <c r="L12" s="170"/>
      <c r="M12" s="170" t="s">
        <v>47</v>
      </c>
      <c r="N12" s="170"/>
      <c r="O12" s="170" t="s">
        <v>47</v>
      </c>
      <c r="P12" s="173"/>
      <c r="Q12" s="170">
        <v>1520.1666206896552</v>
      </c>
      <c r="R12" s="12"/>
      <c r="S12" s="12"/>
      <c r="T12" s="12"/>
      <c r="U12" s="12"/>
      <c r="V12" s="12"/>
    </row>
    <row r="13" spans="1:22" x14ac:dyDescent="0.25">
      <c r="A13" s="155" t="s">
        <v>33</v>
      </c>
      <c r="B13" s="155">
        <v>26</v>
      </c>
      <c r="C13" s="155" t="s">
        <v>37</v>
      </c>
      <c r="D13" s="168">
        <v>-1.6</v>
      </c>
      <c r="E13" s="169">
        <v>0.79166666666666663</v>
      </c>
      <c r="F13" s="173"/>
      <c r="G13" s="170" t="s">
        <v>47</v>
      </c>
      <c r="H13" s="174"/>
      <c r="I13" s="170">
        <v>142.01501014940004</v>
      </c>
      <c r="J13" s="170"/>
      <c r="K13" s="170" t="s">
        <v>47</v>
      </c>
      <c r="L13" s="170"/>
      <c r="M13" s="170" t="s">
        <v>47</v>
      </c>
      <c r="N13" s="170"/>
      <c r="O13" s="170" t="s">
        <v>47</v>
      </c>
      <c r="P13" s="173"/>
      <c r="Q13" s="170">
        <v>109.56379310344829</v>
      </c>
      <c r="R13" s="12"/>
      <c r="S13" s="12"/>
      <c r="T13" s="12"/>
      <c r="U13" s="12"/>
      <c r="V13" s="12"/>
    </row>
    <row r="14" spans="1:22" x14ac:dyDescent="0.25">
      <c r="A14" s="155"/>
      <c r="B14" s="155"/>
      <c r="C14" s="168"/>
      <c r="D14" s="168"/>
      <c r="E14" s="169"/>
      <c r="F14" s="173"/>
      <c r="G14" s="170"/>
      <c r="H14" s="172"/>
      <c r="I14" s="170"/>
      <c r="J14" s="170"/>
      <c r="K14" s="170"/>
      <c r="L14" s="170"/>
      <c r="M14" s="170"/>
      <c r="N14" s="170"/>
      <c r="O14" s="170"/>
      <c r="P14" s="173"/>
      <c r="Q14" s="170"/>
      <c r="R14" s="12"/>
      <c r="S14" s="12"/>
      <c r="T14" s="12"/>
      <c r="U14" s="12"/>
      <c r="V14" s="12"/>
    </row>
    <row r="15" spans="1:22" x14ac:dyDescent="0.25">
      <c r="A15" s="155" t="s">
        <v>45</v>
      </c>
      <c r="B15" s="155">
        <v>21</v>
      </c>
      <c r="C15" s="167" t="s">
        <v>46</v>
      </c>
      <c r="D15" s="168">
        <v>-0.4</v>
      </c>
      <c r="E15" s="169">
        <v>0.67500000000000004</v>
      </c>
      <c r="F15" s="173"/>
      <c r="G15" s="170">
        <v>3640.280337836215</v>
      </c>
      <c r="H15" s="172"/>
      <c r="I15" s="170">
        <v>1007.0456174756179</v>
      </c>
      <c r="J15" s="170"/>
      <c r="K15" s="170">
        <v>1861</v>
      </c>
      <c r="L15" s="170"/>
      <c r="M15" s="170">
        <v>1310</v>
      </c>
      <c r="N15" s="170"/>
      <c r="O15" s="170" t="s">
        <v>47</v>
      </c>
      <c r="P15" s="173"/>
      <c r="Q15" s="170">
        <v>6511.0199876072475</v>
      </c>
      <c r="R15" s="12"/>
      <c r="S15" s="12"/>
      <c r="T15" s="12"/>
      <c r="U15" s="12"/>
      <c r="V15" s="12"/>
    </row>
    <row r="16" spans="1:22" x14ac:dyDescent="0.25">
      <c r="A16" s="155" t="s">
        <v>45</v>
      </c>
      <c r="B16" s="155">
        <v>22</v>
      </c>
      <c r="C16" s="155" t="s">
        <v>15</v>
      </c>
      <c r="D16" s="168">
        <v>-0.9</v>
      </c>
      <c r="E16" s="169">
        <v>0.71250000000000002</v>
      </c>
      <c r="F16" s="192"/>
      <c r="G16" s="170">
        <v>4318.5056972925986</v>
      </c>
      <c r="H16" s="172" t="s">
        <v>62</v>
      </c>
      <c r="I16" s="170">
        <f>+(K16+M16)*(I11+I10)/(K10+K11+M10+M11)</f>
        <v>2431.9870004138475</v>
      </c>
      <c r="J16" s="170"/>
      <c r="K16" s="170">
        <v>2846</v>
      </c>
      <c r="L16" s="170"/>
      <c r="M16" s="170">
        <v>1723</v>
      </c>
      <c r="N16" s="170"/>
      <c r="O16" s="170" t="s">
        <v>47</v>
      </c>
      <c r="P16" s="173"/>
      <c r="Q16" s="170">
        <v>11063.823117829561</v>
      </c>
      <c r="R16" s="12"/>
      <c r="S16" s="12"/>
      <c r="T16" s="12"/>
      <c r="U16" s="12"/>
      <c r="V16" s="12"/>
    </row>
    <row r="17" spans="1:22" x14ac:dyDescent="0.25">
      <c r="A17" s="155" t="s">
        <v>45</v>
      </c>
      <c r="B17" s="155">
        <v>23</v>
      </c>
      <c r="C17" s="155" t="s">
        <v>17</v>
      </c>
      <c r="D17" s="168">
        <v>-1.2</v>
      </c>
      <c r="E17" s="169">
        <v>0.74861111111111101</v>
      </c>
      <c r="F17" s="173"/>
      <c r="G17" s="170" t="s">
        <v>47</v>
      </c>
      <c r="H17" s="172"/>
      <c r="I17" s="170">
        <v>593.15303684153412</v>
      </c>
      <c r="J17" s="170"/>
      <c r="K17" s="170" t="s">
        <v>47</v>
      </c>
      <c r="L17" s="170"/>
      <c r="M17" s="170" t="s">
        <v>47</v>
      </c>
      <c r="N17" s="170"/>
      <c r="O17" s="170" t="s">
        <v>47</v>
      </c>
      <c r="P17" s="173"/>
      <c r="Q17" s="170">
        <v>508.46031102096015</v>
      </c>
      <c r="R17" s="12"/>
      <c r="S17" s="12"/>
      <c r="T17" s="12"/>
      <c r="U17" s="12"/>
      <c r="V17" s="12"/>
    </row>
    <row r="18" spans="1:22" x14ac:dyDescent="0.25">
      <c r="A18" s="155"/>
      <c r="B18" s="155"/>
      <c r="C18" s="155"/>
      <c r="D18" s="168"/>
      <c r="E18" s="169"/>
      <c r="F18" s="173"/>
      <c r="G18" s="170"/>
      <c r="H18" s="172"/>
      <c r="I18" s="170"/>
      <c r="J18" s="170"/>
      <c r="K18" s="170"/>
      <c r="L18" s="170"/>
      <c r="M18" s="170"/>
      <c r="N18" s="170"/>
      <c r="O18" s="170"/>
      <c r="P18" s="173"/>
      <c r="Q18" s="170"/>
      <c r="R18" s="12"/>
      <c r="S18" s="12"/>
      <c r="T18" s="12"/>
      <c r="U18" s="12"/>
      <c r="V18" s="12"/>
    </row>
    <row r="19" spans="1:22" x14ac:dyDescent="0.25">
      <c r="A19" s="155" t="s">
        <v>63</v>
      </c>
      <c r="B19" s="155">
        <v>18</v>
      </c>
      <c r="C19" s="167" t="s">
        <v>46</v>
      </c>
      <c r="D19" s="168">
        <v>0.6</v>
      </c>
      <c r="E19" s="169">
        <v>0.62222222222222223</v>
      </c>
      <c r="F19" s="173"/>
      <c r="G19" s="170" t="s">
        <v>47</v>
      </c>
      <c r="H19" s="172"/>
      <c r="I19" s="170">
        <v>1819.9357527070283</v>
      </c>
      <c r="J19" s="170"/>
      <c r="K19" s="170" t="s">
        <v>47</v>
      </c>
      <c r="L19" s="170"/>
      <c r="M19" s="170" t="s">
        <v>47</v>
      </c>
      <c r="N19" s="170"/>
      <c r="O19" s="170" t="s">
        <v>47</v>
      </c>
      <c r="P19" s="173"/>
      <c r="Q19" s="170">
        <v>1560.0781609195403</v>
      </c>
      <c r="R19" s="12"/>
      <c r="S19" s="12"/>
      <c r="T19" s="12"/>
      <c r="U19" s="12"/>
      <c r="V19" s="12"/>
    </row>
    <row r="20" spans="1:22" x14ac:dyDescent="0.25">
      <c r="A20" s="155" t="s">
        <v>63</v>
      </c>
      <c r="B20" s="155">
        <v>19</v>
      </c>
      <c r="C20" s="155" t="s">
        <v>15</v>
      </c>
      <c r="D20" s="168">
        <v>0.1</v>
      </c>
      <c r="E20" s="169">
        <v>0.66527777777777775</v>
      </c>
      <c r="F20" s="173"/>
      <c r="G20" s="170">
        <v>7212.234555058054</v>
      </c>
      <c r="H20" s="172"/>
      <c r="I20" s="170">
        <v>3245.3871982664027</v>
      </c>
      <c r="J20" s="170"/>
      <c r="K20" s="170">
        <v>7795</v>
      </c>
      <c r="L20" s="170"/>
      <c r="M20" s="170" t="s">
        <v>47</v>
      </c>
      <c r="N20" s="170"/>
      <c r="O20" s="170" t="s">
        <v>47</v>
      </c>
      <c r="P20" s="173"/>
      <c r="Q20" s="170">
        <v>15422.578687520334</v>
      </c>
      <c r="R20" s="12"/>
      <c r="S20" s="12"/>
      <c r="T20" s="12"/>
      <c r="U20" s="12"/>
      <c r="V20" s="12"/>
    </row>
    <row r="21" spans="1:22" x14ac:dyDescent="0.25">
      <c r="A21" s="155" t="s">
        <v>63</v>
      </c>
      <c r="B21" s="155">
        <v>20</v>
      </c>
      <c r="C21" s="155" t="s">
        <v>17</v>
      </c>
      <c r="D21" s="168">
        <v>-0.4</v>
      </c>
      <c r="E21" s="169">
        <v>0.70347222222222217</v>
      </c>
      <c r="F21" s="173"/>
      <c r="G21" s="170">
        <v>6909.7805157018538</v>
      </c>
      <c r="H21" s="172"/>
      <c r="I21" s="170">
        <v>2090.5772136863388</v>
      </c>
      <c r="J21" s="170"/>
      <c r="K21" s="170">
        <v>4944</v>
      </c>
      <c r="L21" s="170"/>
      <c r="M21" s="170" t="s">
        <v>47</v>
      </c>
      <c r="N21" s="170"/>
      <c r="O21" s="170" t="s">
        <v>47</v>
      </c>
      <c r="P21" s="173"/>
      <c r="Q21" s="170">
        <v>12292.566340294617</v>
      </c>
      <c r="R21" s="12"/>
      <c r="S21" s="12"/>
      <c r="T21" s="12"/>
      <c r="U21" s="12"/>
      <c r="V21" s="12"/>
    </row>
    <row r="22" spans="1:22" x14ac:dyDescent="0.25">
      <c r="A22" s="155" t="s">
        <v>63</v>
      </c>
      <c r="B22" s="155">
        <v>21</v>
      </c>
      <c r="C22" s="155" t="s">
        <v>37</v>
      </c>
      <c r="D22" s="168">
        <v>-0.6</v>
      </c>
      <c r="E22" s="169">
        <v>0.73888888888888893</v>
      </c>
      <c r="F22" s="173"/>
      <c r="G22" s="170" t="s">
        <v>47</v>
      </c>
      <c r="H22" s="173"/>
      <c r="I22" s="170">
        <v>1613.1777903053937</v>
      </c>
      <c r="J22" s="158"/>
      <c r="K22" s="170" t="s">
        <v>47</v>
      </c>
      <c r="L22" s="158"/>
      <c r="M22" s="170" t="s">
        <v>47</v>
      </c>
      <c r="N22" s="173"/>
      <c r="O22" s="170" t="s">
        <v>47</v>
      </c>
      <c r="P22" s="173"/>
      <c r="Q22" s="170">
        <v>1382.8419143876338</v>
      </c>
      <c r="R22" s="12"/>
      <c r="S22" s="12"/>
      <c r="T22" s="12"/>
      <c r="U22" s="12"/>
      <c r="V22" s="12"/>
    </row>
    <row r="23" spans="1:22" x14ac:dyDescent="0.25">
      <c r="A23" s="155"/>
      <c r="B23" s="155"/>
      <c r="C23" s="155"/>
      <c r="D23" s="155"/>
      <c r="E23" s="169"/>
      <c r="F23" s="173"/>
      <c r="G23" s="170"/>
      <c r="H23" s="171"/>
      <c r="I23" s="170"/>
      <c r="J23" s="170"/>
      <c r="K23" s="170"/>
      <c r="L23" s="170"/>
      <c r="M23" s="170"/>
      <c r="N23" s="170"/>
      <c r="O23" s="170"/>
      <c r="P23" s="173"/>
      <c r="Q23" s="170"/>
      <c r="R23" s="12"/>
      <c r="S23" s="12"/>
      <c r="T23" s="12"/>
      <c r="U23" s="12"/>
      <c r="V23" s="12"/>
    </row>
    <row r="24" spans="1:22" x14ac:dyDescent="0.25">
      <c r="A24" s="155" t="s">
        <v>64</v>
      </c>
      <c r="B24" s="155">
        <v>6</v>
      </c>
      <c r="C24" s="155" t="s">
        <v>65</v>
      </c>
      <c r="D24" s="155">
        <v>0.1</v>
      </c>
      <c r="E24" s="169">
        <v>0.76041666666666663</v>
      </c>
      <c r="F24" s="173"/>
      <c r="G24" s="170" t="s">
        <v>47</v>
      </c>
      <c r="H24" s="171"/>
      <c r="I24" s="170">
        <v>294.21222857366274</v>
      </c>
      <c r="J24" s="170"/>
      <c r="K24" s="170" t="s">
        <v>47</v>
      </c>
      <c r="L24" s="170"/>
      <c r="M24" s="170" t="s">
        <v>47</v>
      </c>
      <c r="N24" s="170"/>
      <c r="O24" s="170" t="s">
        <v>47</v>
      </c>
      <c r="P24" s="173"/>
      <c r="Q24" s="170">
        <v>252.20344827586212</v>
      </c>
      <c r="R24" s="12"/>
      <c r="S24" s="12"/>
      <c r="T24" s="12"/>
      <c r="U24" s="12"/>
      <c r="V24" s="12"/>
    </row>
    <row r="25" spans="1:22" x14ac:dyDescent="0.25">
      <c r="A25" s="155" t="s">
        <v>64</v>
      </c>
      <c r="B25" s="155">
        <v>7</v>
      </c>
      <c r="C25" s="155" t="s">
        <v>48</v>
      </c>
      <c r="D25" s="155">
        <v>0</v>
      </c>
      <c r="E25" s="169">
        <v>0.78611111111111109</v>
      </c>
      <c r="F25" s="173"/>
      <c r="G25" s="170" t="s">
        <v>47</v>
      </c>
      <c r="H25" s="171"/>
      <c r="I25" s="170">
        <v>291.19775901860476</v>
      </c>
      <c r="J25" s="170"/>
      <c r="K25" s="170" t="s">
        <v>47</v>
      </c>
      <c r="L25" s="170"/>
      <c r="M25" s="170" t="s">
        <v>47</v>
      </c>
      <c r="N25" s="170"/>
      <c r="O25" s="170" t="s">
        <v>47</v>
      </c>
      <c r="P25" s="173"/>
      <c r="Q25" s="170">
        <v>249.61939655172415</v>
      </c>
      <c r="R25" s="12"/>
      <c r="S25" s="12"/>
      <c r="T25" s="12"/>
      <c r="U25" s="12"/>
      <c r="V25" s="12"/>
    </row>
    <row r="26" spans="1:22" x14ac:dyDescent="0.25">
      <c r="A26" s="155" t="s">
        <v>64</v>
      </c>
      <c r="B26" s="155">
        <v>8</v>
      </c>
      <c r="C26" s="155" t="s">
        <v>46</v>
      </c>
      <c r="D26" s="155">
        <v>0.1</v>
      </c>
      <c r="E26" s="169">
        <v>0.81041666666666667</v>
      </c>
      <c r="F26" s="173"/>
      <c r="G26" s="170">
        <v>524.18301070181042</v>
      </c>
      <c r="H26" s="172"/>
      <c r="I26" s="170">
        <v>270.09647213319857</v>
      </c>
      <c r="J26" s="170"/>
      <c r="K26" s="170" t="s">
        <v>47</v>
      </c>
      <c r="L26" s="172"/>
      <c r="M26" s="170" t="s">
        <v>47</v>
      </c>
      <c r="N26" s="170"/>
      <c r="O26" s="170" t="s">
        <v>47</v>
      </c>
      <c r="P26" s="173"/>
      <c r="Q26" s="170">
        <v>385.74029273845321</v>
      </c>
      <c r="R26" s="12"/>
      <c r="S26" s="12"/>
      <c r="T26" s="12"/>
      <c r="U26" s="12"/>
      <c r="V26" s="12"/>
    </row>
    <row r="27" spans="1:22" x14ac:dyDescent="0.25">
      <c r="A27" s="155" t="s">
        <v>64</v>
      </c>
      <c r="B27" s="155">
        <v>9</v>
      </c>
      <c r="C27" s="155" t="s">
        <v>15</v>
      </c>
      <c r="D27" s="175">
        <v>0.4</v>
      </c>
      <c r="E27" s="169">
        <v>0.83472222222222225</v>
      </c>
      <c r="F27" s="173" t="s">
        <v>62</v>
      </c>
      <c r="G27" s="170">
        <f>+I27*(G30+G31+G36+G37+G38)/(I30+I31+I36+I37+I38)</f>
        <v>600.16543332589788</v>
      </c>
      <c r="H27" s="170"/>
      <c r="I27" s="170">
        <v>345.6215059301777</v>
      </c>
      <c r="J27" s="170"/>
      <c r="K27" s="170" t="s">
        <v>47</v>
      </c>
      <c r="L27" s="170"/>
      <c r="M27" s="170" t="s">
        <v>47</v>
      </c>
      <c r="N27" s="170"/>
      <c r="O27" s="170" t="s">
        <v>47</v>
      </c>
      <c r="P27" s="173"/>
      <c r="Q27" s="170">
        <v>676.96778689889925</v>
      </c>
      <c r="R27" s="12"/>
      <c r="S27" s="12"/>
      <c r="T27" s="12"/>
      <c r="U27" s="12"/>
      <c r="V27" s="12"/>
    </row>
    <row r="28" spans="1:22" x14ac:dyDescent="0.25">
      <c r="A28" s="155"/>
      <c r="B28" s="155"/>
      <c r="C28" s="155"/>
      <c r="D28" s="155"/>
      <c r="E28" s="169"/>
      <c r="F28" s="173"/>
      <c r="G28" s="170"/>
      <c r="H28" s="170"/>
      <c r="I28" s="170"/>
      <c r="J28" s="170"/>
      <c r="K28" s="170"/>
      <c r="L28" s="170"/>
      <c r="M28" s="170"/>
      <c r="N28" s="170"/>
      <c r="O28" s="170"/>
      <c r="P28" s="173"/>
      <c r="Q28" s="170"/>
      <c r="R28" s="12"/>
      <c r="S28" s="12"/>
      <c r="T28" s="12"/>
      <c r="U28" s="12"/>
      <c r="V28" s="12"/>
    </row>
    <row r="29" spans="1:22" x14ac:dyDescent="0.25">
      <c r="A29" s="155" t="s">
        <v>66</v>
      </c>
      <c r="B29" s="155">
        <v>7</v>
      </c>
      <c r="C29" s="167" t="s">
        <v>46</v>
      </c>
      <c r="D29" s="155">
        <v>0.3</v>
      </c>
      <c r="E29" s="169">
        <v>0.76458333333333339</v>
      </c>
      <c r="F29" s="173"/>
      <c r="G29" s="170" t="s">
        <v>47</v>
      </c>
      <c r="H29" s="171"/>
      <c r="I29" s="170">
        <v>2144.694606105279</v>
      </c>
      <c r="J29" s="170"/>
      <c r="K29" s="170" t="s">
        <v>47</v>
      </c>
      <c r="L29" s="170"/>
      <c r="M29" s="170" t="s">
        <v>47</v>
      </c>
      <c r="N29" s="170"/>
      <c r="O29" s="170" t="s">
        <v>47</v>
      </c>
      <c r="P29" s="173"/>
      <c r="Q29" s="170">
        <v>1838.4666666666667</v>
      </c>
      <c r="R29" s="12"/>
      <c r="S29" s="12"/>
      <c r="T29" s="12"/>
      <c r="U29" s="12"/>
      <c r="V29" s="12"/>
    </row>
    <row r="30" spans="1:22" x14ac:dyDescent="0.25">
      <c r="A30" s="155" t="s">
        <v>66</v>
      </c>
      <c r="B30" s="155">
        <v>8</v>
      </c>
      <c r="C30" s="155" t="s">
        <v>15</v>
      </c>
      <c r="D30" s="155">
        <v>0.5</v>
      </c>
      <c r="E30" s="169">
        <v>0.79027777777777775</v>
      </c>
      <c r="F30" s="173"/>
      <c r="G30" s="170">
        <v>9030.9401883200644</v>
      </c>
      <c r="H30" s="170"/>
      <c r="I30" s="170">
        <v>6195.0647107145978</v>
      </c>
      <c r="J30" s="170"/>
      <c r="K30" s="170" t="s">
        <v>47</v>
      </c>
      <c r="L30" s="170"/>
      <c r="M30" s="170" t="s">
        <v>47</v>
      </c>
      <c r="N30" s="170"/>
      <c r="O30" s="170" t="s">
        <v>47</v>
      </c>
      <c r="P30" s="173"/>
      <c r="Q30" s="170">
        <v>12978.370014605514</v>
      </c>
      <c r="R30" s="12"/>
      <c r="S30" s="12"/>
      <c r="T30" s="12"/>
      <c r="U30" s="12"/>
      <c r="V30" s="12"/>
    </row>
    <row r="31" spans="1:22" x14ac:dyDescent="0.25">
      <c r="A31" s="155" t="s">
        <v>66</v>
      </c>
      <c r="B31" s="155">
        <v>9</v>
      </c>
      <c r="C31" s="155" t="s">
        <v>17</v>
      </c>
      <c r="D31" s="175">
        <v>0.3</v>
      </c>
      <c r="E31" s="169">
        <v>0.3527777777777778</v>
      </c>
      <c r="F31" s="173"/>
      <c r="G31" s="170">
        <v>4938.4919208104357</v>
      </c>
      <c r="H31" s="170"/>
      <c r="I31" s="170">
        <v>3880.8374097567912</v>
      </c>
      <c r="J31" s="170"/>
      <c r="K31" s="170" t="s">
        <v>47</v>
      </c>
      <c r="L31" s="170"/>
      <c r="M31" s="170" t="s">
        <v>47</v>
      </c>
      <c r="N31" s="170"/>
      <c r="O31" s="170" t="s">
        <v>47</v>
      </c>
      <c r="P31" s="173"/>
      <c r="Q31" s="170">
        <v>7479.1344363412763</v>
      </c>
      <c r="R31" s="12"/>
      <c r="S31" s="12"/>
      <c r="T31" s="12"/>
      <c r="U31" s="12"/>
      <c r="V31" s="12"/>
    </row>
    <row r="32" spans="1:22" x14ac:dyDescent="0.25">
      <c r="A32" s="155" t="s">
        <v>66</v>
      </c>
      <c r="B32" s="155">
        <v>10</v>
      </c>
      <c r="C32" s="155" t="s">
        <v>37</v>
      </c>
      <c r="D32" s="175" t="s">
        <v>67</v>
      </c>
      <c r="E32" s="169">
        <v>0.3833333333333333</v>
      </c>
      <c r="F32" s="173"/>
      <c r="G32" s="170" t="s">
        <v>47</v>
      </c>
      <c r="H32" s="170"/>
      <c r="I32" s="170">
        <v>1362.9613076494711</v>
      </c>
      <c r="J32" s="170"/>
      <c r="K32" s="170" t="s">
        <v>47</v>
      </c>
      <c r="L32" s="170"/>
      <c r="M32" s="170" t="s">
        <v>47</v>
      </c>
      <c r="N32" s="170"/>
      <c r="O32" s="170" t="s">
        <v>47</v>
      </c>
      <c r="P32" s="173"/>
      <c r="Q32" s="170">
        <v>1168.3523262178437</v>
      </c>
      <c r="R32" s="12"/>
      <c r="S32" s="12"/>
      <c r="T32" s="12"/>
      <c r="U32" s="12"/>
      <c r="V32" s="12"/>
    </row>
    <row r="33" spans="1:22" x14ac:dyDescent="0.25">
      <c r="A33" s="155" t="s">
        <v>66</v>
      </c>
      <c r="B33" s="155">
        <v>11</v>
      </c>
      <c r="C33" s="155" t="s">
        <v>68</v>
      </c>
      <c r="D33" s="155">
        <v>-0.1</v>
      </c>
      <c r="E33" s="169">
        <v>0.41597222222222219</v>
      </c>
      <c r="F33" s="192"/>
      <c r="G33" s="170" t="s">
        <v>47</v>
      </c>
      <c r="H33" s="170"/>
      <c r="I33" s="170">
        <v>988.08401290184122</v>
      </c>
      <c r="J33" s="170"/>
      <c r="K33" s="170" t="s">
        <v>47</v>
      </c>
      <c r="L33" s="170"/>
      <c r="M33" s="170" t="s">
        <v>47</v>
      </c>
      <c r="N33" s="170"/>
      <c r="O33" s="170" t="s">
        <v>47</v>
      </c>
      <c r="P33" s="173"/>
      <c r="Q33" s="170">
        <v>847.00148749154835</v>
      </c>
      <c r="R33" s="12"/>
      <c r="S33" s="12"/>
      <c r="T33" s="12"/>
      <c r="U33" s="12"/>
      <c r="V33" s="12"/>
    </row>
    <row r="34" spans="1:22" x14ac:dyDescent="0.25">
      <c r="A34" s="155" t="s">
        <v>66</v>
      </c>
      <c r="B34" s="155">
        <v>12</v>
      </c>
      <c r="C34" s="155" t="s">
        <v>65</v>
      </c>
      <c r="D34" s="175" t="s">
        <v>67</v>
      </c>
      <c r="E34" s="169">
        <v>0.45208333333333334</v>
      </c>
      <c r="F34" s="173"/>
      <c r="G34" s="170" t="s">
        <v>47</v>
      </c>
      <c r="H34" s="173"/>
      <c r="I34" s="170">
        <v>1078.7781714367634</v>
      </c>
      <c r="J34" s="173"/>
      <c r="K34" s="170" t="s">
        <v>47</v>
      </c>
      <c r="L34" s="173"/>
      <c r="M34" s="170" t="s">
        <v>47</v>
      </c>
      <c r="N34" s="173"/>
      <c r="O34" s="170" t="s">
        <v>47</v>
      </c>
      <c r="P34" s="173"/>
      <c r="Q34" s="170">
        <v>924.74597701149423</v>
      </c>
      <c r="R34" s="12"/>
      <c r="S34" s="12"/>
      <c r="T34" s="12"/>
      <c r="U34" s="12"/>
      <c r="V34" s="12"/>
    </row>
    <row r="35" spans="1:22" x14ac:dyDescent="0.25">
      <c r="A35" s="155"/>
      <c r="B35" s="155"/>
      <c r="C35" s="155"/>
      <c r="D35" s="155"/>
      <c r="E35" s="169"/>
      <c r="F35" s="173"/>
      <c r="G35" s="170"/>
      <c r="H35" s="173"/>
      <c r="I35" s="170"/>
      <c r="J35" s="173"/>
      <c r="K35" s="170"/>
      <c r="L35" s="173"/>
      <c r="M35" s="170"/>
      <c r="N35" s="173"/>
      <c r="O35" s="170"/>
      <c r="P35" s="173"/>
      <c r="Q35" s="170"/>
      <c r="R35" s="12"/>
      <c r="S35" s="12"/>
      <c r="T35" s="12"/>
      <c r="U35" s="12"/>
      <c r="V35" s="12"/>
    </row>
    <row r="36" spans="1:22" x14ac:dyDescent="0.25">
      <c r="A36" s="155" t="s">
        <v>69</v>
      </c>
      <c r="B36" s="155">
        <v>6</v>
      </c>
      <c r="C36" s="155" t="s">
        <v>17</v>
      </c>
      <c r="D36" s="155">
        <v>-0.7</v>
      </c>
      <c r="E36" s="169">
        <v>0.30763888888888891</v>
      </c>
      <c r="F36" s="173"/>
      <c r="G36" s="170">
        <v>5384.2383674798712</v>
      </c>
      <c r="H36" s="173"/>
      <c r="I36" s="170">
        <v>2417.8372790520098</v>
      </c>
      <c r="J36" s="173"/>
      <c r="K36" s="170" t="s">
        <v>47</v>
      </c>
      <c r="L36" s="173"/>
      <c r="M36" s="170" t="s">
        <v>47</v>
      </c>
      <c r="N36" s="173"/>
      <c r="O36" s="170" t="s">
        <v>47</v>
      </c>
      <c r="P36" s="173"/>
      <c r="Q36" s="170">
        <v>6470.8256452955538</v>
      </c>
      <c r="R36" s="12"/>
      <c r="S36" s="12"/>
      <c r="T36" s="12"/>
      <c r="U36" s="12"/>
      <c r="V36" s="12"/>
    </row>
    <row r="37" spans="1:22" x14ac:dyDescent="0.25">
      <c r="A37" s="155" t="s">
        <v>69</v>
      </c>
      <c r="B37" s="155">
        <v>7</v>
      </c>
      <c r="C37" s="155" t="s">
        <v>37</v>
      </c>
      <c r="D37" s="155">
        <v>-1.2</v>
      </c>
      <c r="E37" s="169">
        <v>0.33958333333333335</v>
      </c>
      <c r="F37" s="173"/>
      <c r="G37" s="170">
        <v>4740.2219992992195</v>
      </c>
      <c r="H37" s="192"/>
      <c r="I37" s="170">
        <v>1637.4598623075162</v>
      </c>
      <c r="J37" s="173"/>
      <c r="K37" s="170" t="s">
        <v>47</v>
      </c>
      <c r="L37" s="192"/>
      <c r="M37" s="170" t="s">
        <v>47</v>
      </c>
      <c r="N37" s="173"/>
      <c r="O37" s="170" t="s">
        <v>47</v>
      </c>
      <c r="P37" s="173"/>
      <c r="Q37" s="170">
        <v>5430.4890892816175</v>
      </c>
      <c r="R37" s="12"/>
      <c r="S37" s="12"/>
      <c r="T37" s="12"/>
      <c r="U37" s="12"/>
      <c r="V37" s="12"/>
    </row>
    <row r="38" spans="1:22" x14ac:dyDescent="0.25">
      <c r="A38" s="155" t="s">
        <v>69</v>
      </c>
      <c r="B38" s="155">
        <v>8</v>
      </c>
      <c r="C38" s="155" t="s">
        <v>68</v>
      </c>
      <c r="D38" s="155">
        <v>-1.5</v>
      </c>
      <c r="E38" s="169">
        <v>0.37152777777777773</v>
      </c>
      <c r="F38" s="192"/>
      <c r="G38" s="170">
        <v>3758.6691335822602</v>
      </c>
      <c r="H38" s="192"/>
      <c r="I38" s="170">
        <v>1908.4520625370749</v>
      </c>
      <c r="J38" s="173"/>
      <c r="K38" s="170" t="s">
        <v>47</v>
      </c>
      <c r="L38" s="173"/>
      <c r="M38" s="170" t="s">
        <v>47</v>
      </c>
      <c r="N38" s="173"/>
      <c r="O38" s="170" t="s">
        <v>47</v>
      </c>
      <c r="P38" s="173"/>
      <c r="Q38" s="170">
        <v>4863.7995767212051</v>
      </c>
      <c r="R38" s="12"/>
      <c r="S38" s="12"/>
      <c r="T38" s="12"/>
      <c r="U38" s="12"/>
      <c r="V38" s="12"/>
    </row>
    <row r="39" spans="1:22" x14ac:dyDescent="0.25">
      <c r="A39" s="155" t="s">
        <v>69</v>
      </c>
      <c r="B39" s="155">
        <v>9</v>
      </c>
      <c r="C39" s="155" t="s">
        <v>65</v>
      </c>
      <c r="D39" s="155">
        <v>-1.4</v>
      </c>
      <c r="E39" s="169">
        <v>0.40486111111111112</v>
      </c>
      <c r="F39" s="173"/>
      <c r="G39" s="170" t="s">
        <v>47</v>
      </c>
      <c r="H39" s="173"/>
      <c r="I39" s="170">
        <v>1330.211145107342</v>
      </c>
      <c r="J39" s="173"/>
      <c r="K39" s="170" t="s">
        <v>47</v>
      </c>
      <c r="L39" s="173"/>
      <c r="M39" s="170" t="s">
        <v>47</v>
      </c>
      <c r="N39" s="173"/>
      <c r="O39" s="170" t="s">
        <v>47</v>
      </c>
      <c r="P39" s="173"/>
      <c r="Q39" s="170">
        <v>1192.1091954022991</v>
      </c>
      <c r="R39" s="12"/>
      <c r="S39" s="12"/>
      <c r="T39" s="12"/>
      <c r="U39" s="12"/>
      <c r="V39" s="12"/>
    </row>
    <row r="40" spans="1:22" x14ac:dyDescent="0.25">
      <c r="A40" s="155"/>
      <c r="B40" s="155"/>
      <c r="C40" s="155"/>
      <c r="D40" s="155"/>
      <c r="E40" s="169"/>
      <c r="F40" s="173"/>
      <c r="G40" s="170"/>
      <c r="H40" s="173"/>
      <c r="I40" s="170"/>
      <c r="J40" s="173"/>
      <c r="K40" s="170"/>
      <c r="L40" s="173"/>
      <c r="M40" s="170"/>
      <c r="N40" s="173"/>
      <c r="O40" s="170"/>
      <c r="P40" s="173"/>
      <c r="Q40" s="170"/>
      <c r="R40" s="12"/>
      <c r="S40" s="12"/>
      <c r="T40" s="12"/>
      <c r="U40" s="12"/>
      <c r="V40" s="12"/>
    </row>
    <row r="41" spans="1:22" x14ac:dyDescent="0.25">
      <c r="A41" s="155" t="s">
        <v>69</v>
      </c>
      <c r="B41" s="155">
        <v>19</v>
      </c>
      <c r="C41" s="155" t="s">
        <v>15</v>
      </c>
      <c r="D41" s="155">
        <v>-0.1</v>
      </c>
      <c r="E41" s="169">
        <v>0.27777777777777779</v>
      </c>
      <c r="F41" s="173"/>
      <c r="G41" s="170">
        <v>4574.880038315705</v>
      </c>
      <c r="H41" s="173"/>
      <c r="I41" s="170">
        <v>2099.8389968144629</v>
      </c>
      <c r="J41" s="173"/>
      <c r="K41" s="170">
        <v>3670</v>
      </c>
      <c r="L41" s="173"/>
      <c r="M41" s="170">
        <v>2722</v>
      </c>
      <c r="N41" s="173"/>
      <c r="O41" s="170" t="s">
        <v>47</v>
      </c>
      <c r="P41" s="173"/>
      <c r="Q41" s="170">
        <v>10869.72797090215</v>
      </c>
      <c r="R41" s="12"/>
      <c r="S41" s="12"/>
      <c r="T41" s="12"/>
      <c r="U41" s="12"/>
      <c r="V41" s="12"/>
    </row>
    <row r="42" spans="1:22" x14ac:dyDescent="0.25">
      <c r="A42" s="155" t="s">
        <v>69</v>
      </c>
      <c r="B42" s="155">
        <v>20</v>
      </c>
      <c r="C42" s="155" t="s">
        <v>17</v>
      </c>
      <c r="D42" s="155">
        <v>-0.4</v>
      </c>
      <c r="E42" s="169">
        <v>0.3</v>
      </c>
      <c r="F42" s="173"/>
      <c r="G42" s="170">
        <v>4695.2012137066959</v>
      </c>
      <c r="H42" s="173"/>
      <c r="I42" s="170">
        <v>1582.4340929317173</v>
      </c>
      <c r="J42" s="173"/>
      <c r="K42" s="170">
        <v>4640</v>
      </c>
      <c r="L42" s="173"/>
      <c r="M42" s="170">
        <v>2251</v>
      </c>
      <c r="N42" s="173"/>
      <c r="O42" s="170" t="s">
        <v>47</v>
      </c>
      <c r="P42" s="173"/>
      <c r="Q42" s="170">
        <v>10892.27451174688</v>
      </c>
      <c r="R42" s="12"/>
      <c r="S42" s="12"/>
      <c r="T42" s="12"/>
      <c r="U42" s="12"/>
      <c r="V42" s="12"/>
    </row>
    <row r="43" spans="1:22" x14ac:dyDescent="0.25">
      <c r="A43" s="155" t="s">
        <v>69</v>
      </c>
      <c r="B43" s="155">
        <v>21</v>
      </c>
      <c r="C43" s="155" t="s">
        <v>37</v>
      </c>
      <c r="D43" s="155">
        <v>-0.6</v>
      </c>
      <c r="E43" s="169">
        <v>0.3298611111111111</v>
      </c>
      <c r="F43" s="173"/>
      <c r="G43" s="170" t="s">
        <v>47</v>
      </c>
      <c r="H43" s="173"/>
      <c r="I43" s="170">
        <v>1520.9003728452728</v>
      </c>
      <c r="J43" s="173"/>
      <c r="K43" s="170" t="s">
        <v>47</v>
      </c>
      <c r="L43" s="173"/>
      <c r="M43" s="170" t="s">
        <v>47</v>
      </c>
      <c r="N43" s="173"/>
      <c r="O43" s="170" t="s">
        <v>47</v>
      </c>
      <c r="P43" s="173"/>
      <c r="Q43" s="170">
        <v>1228.5244473916887</v>
      </c>
      <c r="R43" s="12"/>
      <c r="S43" s="12"/>
      <c r="T43" s="12"/>
      <c r="U43" s="12"/>
      <c r="V43" s="12"/>
    </row>
    <row r="44" spans="1:22" x14ac:dyDescent="0.25">
      <c r="A44" s="155" t="s">
        <v>69</v>
      </c>
      <c r="B44" s="155">
        <v>22</v>
      </c>
      <c r="C44" s="155" t="s">
        <v>68</v>
      </c>
      <c r="D44" s="155">
        <v>-0.6</v>
      </c>
      <c r="E44" s="169">
        <v>0.35416666666666669</v>
      </c>
      <c r="F44" s="173"/>
      <c r="G44" s="170" t="s">
        <v>47</v>
      </c>
      <c r="H44" s="173" t="s">
        <v>62</v>
      </c>
      <c r="I44" s="170">
        <v>1500</v>
      </c>
      <c r="J44" s="173"/>
      <c r="K44" s="170" t="s">
        <v>47</v>
      </c>
      <c r="L44" s="173"/>
      <c r="M44" s="170" t="s">
        <v>47</v>
      </c>
      <c r="N44" s="173"/>
      <c r="O44" s="170" t="s">
        <v>47</v>
      </c>
      <c r="P44" s="173"/>
      <c r="Q44" s="170">
        <v>1200</v>
      </c>
      <c r="R44" s="12"/>
      <c r="S44" s="12"/>
      <c r="T44" s="12"/>
      <c r="U44" s="12"/>
      <c r="V44" s="12"/>
    </row>
    <row r="45" spans="1:22" x14ac:dyDescent="0.25">
      <c r="A45" s="155" t="s">
        <v>69</v>
      </c>
      <c r="B45" s="155">
        <v>23</v>
      </c>
      <c r="C45" s="155" t="s">
        <v>65</v>
      </c>
      <c r="D45" s="155">
        <v>-0.5</v>
      </c>
      <c r="E45" s="169">
        <v>0.37916666666666665</v>
      </c>
      <c r="F45" s="192"/>
      <c r="G45" s="170" t="s">
        <v>47</v>
      </c>
      <c r="H45" s="173" t="s">
        <v>62</v>
      </c>
      <c r="I45" s="170">
        <v>1550</v>
      </c>
      <c r="J45" s="173"/>
      <c r="K45" s="170" t="s">
        <v>47</v>
      </c>
      <c r="L45" s="173"/>
      <c r="M45" s="170" t="s">
        <v>47</v>
      </c>
      <c r="N45" s="173"/>
      <c r="O45" s="170" t="s">
        <v>47</v>
      </c>
      <c r="P45" s="173"/>
      <c r="Q45" s="170">
        <v>1250</v>
      </c>
      <c r="R45" s="12"/>
      <c r="S45" s="12"/>
      <c r="T45" s="12"/>
      <c r="U45" s="12"/>
      <c r="V45" s="12"/>
    </row>
    <row r="46" spans="1:22" x14ac:dyDescent="0.25">
      <c r="A46" s="155"/>
      <c r="B46" s="155"/>
      <c r="C46" s="155"/>
      <c r="D46" s="155"/>
      <c r="E46" s="169"/>
      <c r="F46" s="192"/>
      <c r="G46" s="170"/>
      <c r="H46" s="173"/>
      <c r="I46" s="170"/>
      <c r="J46" s="173"/>
      <c r="K46" s="170"/>
      <c r="L46" s="173"/>
      <c r="M46" s="170"/>
      <c r="N46" s="173"/>
      <c r="O46" s="170"/>
      <c r="P46" s="173"/>
      <c r="Q46" s="170"/>
      <c r="R46" s="12"/>
      <c r="S46" s="12"/>
      <c r="T46" s="12"/>
      <c r="U46" s="12"/>
      <c r="V46" s="12"/>
    </row>
    <row r="47" spans="1:22" x14ac:dyDescent="0.25">
      <c r="A47" s="155" t="s">
        <v>71</v>
      </c>
      <c r="B47" s="175">
        <v>3</v>
      </c>
      <c r="C47" s="155" t="s">
        <v>15</v>
      </c>
      <c r="D47" s="155">
        <v>-0.3</v>
      </c>
      <c r="E47" s="169">
        <v>0.22708333333333333</v>
      </c>
      <c r="F47" s="192" t="s">
        <v>62</v>
      </c>
      <c r="G47" s="170">
        <v>7829.55</v>
      </c>
      <c r="H47" s="195" t="s">
        <v>62</v>
      </c>
      <c r="I47" s="170">
        <v>3048</v>
      </c>
      <c r="J47" s="173"/>
      <c r="K47" s="170" t="s">
        <v>47</v>
      </c>
      <c r="L47" s="173"/>
      <c r="M47" s="170" t="s">
        <v>47</v>
      </c>
      <c r="N47" s="173"/>
      <c r="O47" s="170" t="s">
        <v>47</v>
      </c>
      <c r="P47" s="173"/>
      <c r="Q47" s="170">
        <v>8560.0587056516033</v>
      </c>
      <c r="R47" s="12"/>
      <c r="S47" s="12"/>
      <c r="T47" s="12"/>
      <c r="U47" s="12"/>
      <c r="V47" s="12"/>
    </row>
    <row r="48" spans="1:22" x14ac:dyDescent="0.25">
      <c r="A48" s="155" t="s">
        <v>71</v>
      </c>
      <c r="B48" s="175">
        <v>4</v>
      </c>
      <c r="C48" s="155" t="s">
        <v>17</v>
      </c>
      <c r="D48" s="155">
        <v>-1.2</v>
      </c>
      <c r="E48" s="169">
        <v>0.26111111111111113</v>
      </c>
      <c r="F48" s="192" t="s">
        <v>62</v>
      </c>
      <c r="G48" s="170">
        <v>7456.17</v>
      </c>
      <c r="H48" s="195" t="s">
        <v>62</v>
      </c>
      <c r="I48" s="170">
        <v>2032</v>
      </c>
      <c r="J48" s="173"/>
      <c r="K48" s="170">
        <v>3218</v>
      </c>
      <c r="L48" s="173"/>
      <c r="M48" s="170">
        <v>2336</v>
      </c>
      <c r="N48" s="173"/>
      <c r="O48" s="170" t="s">
        <v>47</v>
      </c>
      <c r="P48" s="173"/>
      <c r="Q48" s="170">
        <v>11789.783717680064</v>
      </c>
      <c r="R48" s="12"/>
      <c r="S48" s="12"/>
      <c r="T48" s="12"/>
      <c r="U48" s="12"/>
      <c r="V48" s="12"/>
    </row>
    <row r="49" spans="1:22" x14ac:dyDescent="0.25">
      <c r="A49" s="155" t="s">
        <v>71</v>
      </c>
      <c r="B49" s="155">
        <v>5</v>
      </c>
      <c r="C49" s="155" t="s">
        <v>37</v>
      </c>
      <c r="D49" s="155">
        <v>-1.9</v>
      </c>
      <c r="E49" s="169">
        <v>0.29444444444444445</v>
      </c>
      <c r="F49" s="192"/>
      <c r="G49" s="170">
        <v>3618.9036985469438</v>
      </c>
      <c r="H49" s="173"/>
      <c r="I49" s="170">
        <v>957.54317817483798</v>
      </c>
      <c r="J49" s="173"/>
      <c r="K49" s="170">
        <v>1775</v>
      </c>
      <c r="L49" s="173"/>
      <c r="M49" s="170">
        <v>1131</v>
      </c>
      <c r="N49" s="173"/>
      <c r="O49" s="170" t="s">
        <v>47</v>
      </c>
      <c r="P49" s="173"/>
      <c r="Q49" s="170">
        <v>6168.6083482945069</v>
      </c>
      <c r="R49" s="12"/>
      <c r="S49" s="12"/>
      <c r="T49" s="12"/>
      <c r="U49" s="12"/>
      <c r="V49" s="12"/>
    </row>
    <row r="50" spans="1:22" x14ac:dyDescent="0.25">
      <c r="A50" s="155" t="s">
        <v>71</v>
      </c>
      <c r="B50" s="155">
        <v>6</v>
      </c>
      <c r="C50" s="155" t="s">
        <v>68</v>
      </c>
      <c r="D50" s="155">
        <v>-2.2999999999999998</v>
      </c>
      <c r="E50" s="169">
        <v>0.32708333333333334</v>
      </c>
      <c r="F50" s="192" t="s">
        <v>62</v>
      </c>
      <c r="G50" s="170">
        <f>+I50*(G38+G37+G36)/(I36+I37+I38)</f>
        <v>2616.102819357609</v>
      </c>
      <c r="H50" s="173"/>
      <c r="I50" s="170">
        <v>1123.7942501256298</v>
      </c>
      <c r="J50" s="173"/>
      <c r="K50" s="170" t="s">
        <v>47</v>
      </c>
      <c r="L50" s="173"/>
      <c r="M50" s="170" t="s">
        <v>47</v>
      </c>
      <c r="N50" s="173"/>
      <c r="O50" s="170" t="s">
        <v>47</v>
      </c>
      <c r="P50" s="173"/>
      <c r="Q50" s="170">
        <v>4568.4446447293931</v>
      </c>
      <c r="R50" s="12"/>
      <c r="S50" s="12"/>
      <c r="T50" s="12"/>
      <c r="U50" s="12"/>
      <c r="V50" s="12"/>
    </row>
    <row r="51" spans="1:22" x14ac:dyDescent="0.25">
      <c r="A51" s="155" t="s">
        <v>71</v>
      </c>
      <c r="B51" s="155">
        <v>7</v>
      </c>
      <c r="C51" s="155" t="s">
        <v>65</v>
      </c>
      <c r="D51" s="155">
        <v>-2.4</v>
      </c>
      <c r="E51" s="169">
        <v>0.36041666666666666</v>
      </c>
      <c r="F51" s="192"/>
      <c r="G51" s="170">
        <v>3873.9055649445345</v>
      </c>
      <c r="H51" s="173" t="s">
        <v>62</v>
      </c>
      <c r="I51" s="170">
        <f>+G51*(I38+I37+I36)/(G38+G37+G36)</f>
        <v>1664.1061533213569</v>
      </c>
      <c r="J51" s="173"/>
      <c r="K51" s="170" t="s">
        <v>47</v>
      </c>
      <c r="L51" s="173"/>
      <c r="M51" s="170" t="s">
        <v>47</v>
      </c>
      <c r="N51" s="173"/>
      <c r="O51" s="170" t="s">
        <v>47</v>
      </c>
      <c r="P51" s="173"/>
      <c r="Q51" s="170">
        <v>4249.9668975368877</v>
      </c>
      <c r="R51" s="12"/>
      <c r="S51" s="12"/>
      <c r="T51" s="12"/>
      <c r="U51" s="12"/>
      <c r="V51" s="12"/>
    </row>
    <row r="52" spans="1:22" x14ac:dyDescent="0.25">
      <c r="A52" s="155"/>
      <c r="B52" s="155"/>
      <c r="C52" s="155"/>
      <c r="D52" s="155"/>
      <c r="E52" s="169"/>
      <c r="F52" s="192"/>
      <c r="G52" s="170"/>
      <c r="H52" s="173"/>
      <c r="I52" s="170"/>
      <c r="J52" s="173"/>
      <c r="K52" s="170"/>
      <c r="L52" s="173"/>
      <c r="M52" s="170"/>
      <c r="N52" s="173"/>
      <c r="O52" s="170"/>
      <c r="P52" s="173"/>
      <c r="Q52" s="170"/>
      <c r="R52" s="12"/>
      <c r="S52" s="12"/>
      <c r="T52" s="12"/>
      <c r="U52" s="12"/>
      <c r="V52" s="12"/>
    </row>
    <row r="53" spans="1:22" x14ac:dyDescent="0.25">
      <c r="A53" s="155" t="s">
        <v>71</v>
      </c>
      <c r="B53" s="155">
        <v>24</v>
      </c>
      <c r="C53" s="155" t="s">
        <v>15</v>
      </c>
      <c r="D53" s="155">
        <v>-0.5</v>
      </c>
      <c r="E53" s="169">
        <v>0.4152777777777778</v>
      </c>
      <c r="F53" s="176"/>
      <c r="G53" s="170" t="s">
        <v>47</v>
      </c>
      <c r="H53" s="173" t="s">
        <v>62</v>
      </c>
      <c r="I53" s="170">
        <f>+(K53+M53)*(I49+I42+I41)/(K49+K42+K41+M41+M42+M49)</f>
        <v>2497.1721009571829</v>
      </c>
      <c r="J53" s="173"/>
      <c r="K53" s="170">
        <v>5006</v>
      </c>
      <c r="L53" s="173"/>
      <c r="M53" s="170">
        <v>3707</v>
      </c>
      <c r="N53" s="173"/>
      <c r="O53" s="170" t="s">
        <v>47</v>
      </c>
      <c r="P53" s="173"/>
      <c r="Q53" s="170">
        <v>9475.214526054453</v>
      </c>
      <c r="R53" s="12"/>
      <c r="S53" s="12"/>
      <c r="T53" s="12"/>
      <c r="U53" s="12"/>
      <c r="V53" s="12"/>
    </row>
    <row r="54" spans="1:22" x14ac:dyDescent="0.25">
      <c r="A54" s="173"/>
      <c r="B54" s="173"/>
      <c r="C54" s="158"/>
      <c r="D54" s="158"/>
      <c r="E54" s="158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2"/>
      <c r="S54" s="12"/>
      <c r="T54" s="12"/>
      <c r="U54" s="12"/>
      <c r="V54" s="12"/>
    </row>
    <row r="55" spans="1:22" x14ac:dyDescent="0.25">
      <c r="A55" s="154" t="s">
        <v>24</v>
      </c>
      <c r="B55" s="173"/>
      <c r="C55" s="158"/>
      <c r="D55" s="158"/>
      <c r="E55" s="158"/>
      <c r="F55" s="173"/>
      <c r="G55" s="170">
        <v>112441.0001286303</v>
      </c>
      <c r="H55" s="173"/>
      <c r="I55" s="170">
        <v>65251.676690582994</v>
      </c>
      <c r="J55" s="173"/>
      <c r="K55" s="170">
        <v>42376.183392802588</v>
      </c>
      <c r="L55" s="173"/>
      <c r="M55" s="170">
        <v>22248.439239380066</v>
      </c>
      <c r="N55" s="173"/>
      <c r="O55" s="170">
        <v>0</v>
      </c>
      <c r="P55" s="173"/>
      <c r="Q55" s="170">
        <v>242317.29945139587</v>
      </c>
      <c r="R55" s="12"/>
      <c r="S55" s="12"/>
      <c r="T55" s="12"/>
      <c r="U55" s="12"/>
      <c r="V55" s="12"/>
    </row>
    <row r="56" spans="1:22" x14ac:dyDescent="0.25">
      <c r="A56" s="156" t="s">
        <v>23</v>
      </c>
      <c r="B56" s="158"/>
      <c r="C56" s="158"/>
      <c r="D56" s="182"/>
      <c r="E56" s="183"/>
      <c r="F56" s="158"/>
      <c r="G56" s="158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2"/>
      <c r="S56" s="12"/>
      <c r="T56" s="12"/>
      <c r="U56" s="12"/>
      <c r="V56" s="12"/>
    </row>
    <row r="57" spans="1:22" x14ac:dyDescent="0.25">
      <c r="A57" s="162" t="s">
        <v>26</v>
      </c>
      <c r="B57" s="173"/>
      <c r="C57" s="158"/>
      <c r="D57" s="158"/>
      <c r="E57" s="158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2"/>
      <c r="S57" s="12"/>
      <c r="T57" s="12"/>
      <c r="U57" s="12"/>
      <c r="V57" s="12"/>
    </row>
    <row r="58" spans="1:22" x14ac:dyDescent="0.25">
      <c r="A58" s="173"/>
      <c r="B58" s="173"/>
      <c r="C58" s="158"/>
      <c r="D58" s="158"/>
      <c r="E58" s="158"/>
      <c r="F58" s="173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</row>
    <row r="59" spans="1:22" x14ac:dyDescent="0.25">
      <c r="A59" s="173"/>
      <c r="B59" s="173"/>
      <c r="C59" s="158"/>
      <c r="D59" s="158"/>
      <c r="E59" s="158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</row>
    <row r="60" spans="1:22" x14ac:dyDescent="0.25">
      <c r="A60" s="173"/>
      <c r="B60" s="173"/>
      <c r="C60" s="158"/>
      <c r="D60" s="158"/>
      <c r="E60" s="158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7"/>
    </row>
    <row r="61" spans="1:22" x14ac:dyDescent="0.25">
      <c r="A61" s="173"/>
      <c r="B61" s="173"/>
      <c r="C61" s="158"/>
      <c r="D61" s="158"/>
      <c r="E61" s="158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7"/>
    </row>
    <row r="62" spans="1:22" x14ac:dyDescent="0.25">
      <c r="A62" s="173"/>
      <c r="B62" s="173"/>
      <c r="C62" s="158"/>
      <c r="D62" s="158"/>
      <c r="E62" s="158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7"/>
    </row>
    <row r="63" spans="1:22" x14ac:dyDescent="0.25">
      <c r="R63" s="7"/>
    </row>
    <row r="64" spans="1:22" x14ac:dyDescent="0.25">
      <c r="R64" s="7"/>
    </row>
    <row r="65" spans="18:18" x14ac:dyDescent="0.25">
      <c r="R65" s="7"/>
    </row>
    <row r="66" spans="18:18" x14ac:dyDescent="0.25">
      <c r="R66" s="7"/>
    </row>
    <row r="67" spans="18:18" x14ac:dyDescent="0.25">
      <c r="R67" s="7"/>
    </row>
    <row r="68" spans="18:18" x14ac:dyDescent="0.25">
      <c r="R68" s="7"/>
    </row>
    <row r="69" spans="18:18" x14ac:dyDescent="0.25">
      <c r="R69" s="7"/>
    </row>
    <row r="70" spans="18:18" x14ac:dyDescent="0.25">
      <c r="R70" s="7"/>
    </row>
    <row r="71" spans="18:18" x14ac:dyDescent="0.25">
      <c r="R71" s="7"/>
    </row>
    <row r="72" spans="18:18" x14ac:dyDescent="0.25">
      <c r="R72" s="7"/>
    </row>
    <row r="73" spans="18:18" x14ac:dyDescent="0.25">
      <c r="R73" s="7"/>
    </row>
  </sheetData>
  <mergeCells count="1">
    <mergeCell ref="N2:O2"/>
  </mergeCells>
  <phoneticPr fontId="1" type="noConversion"/>
  <pageMargins left="0.75" right="0.75" top="0.49" bottom="0.5" header="0.5" footer="0.5"/>
  <pageSetup scale="6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sqref="A1:E13"/>
    </sheetView>
  </sheetViews>
  <sheetFormatPr defaultRowHeight="15.75" x14ac:dyDescent="0.25"/>
  <cols>
    <col min="1" max="1" width="6.875" bestFit="1" customWidth="1"/>
    <col min="2" max="2" width="11" bestFit="1" customWidth="1"/>
    <col min="3" max="3" width="8.875" bestFit="1" customWidth="1"/>
    <col min="4" max="4" width="12.75" bestFit="1" customWidth="1"/>
    <col min="5" max="5" width="14.625" bestFit="1" customWidth="1"/>
  </cols>
  <sheetData>
    <row r="1" spans="1:5" x14ac:dyDescent="0.25">
      <c r="A1" s="96" t="s">
        <v>73</v>
      </c>
      <c r="B1" s="96" t="s">
        <v>74</v>
      </c>
      <c r="C1" s="96" t="s">
        <v>43</v>
      </c>
      <c r="D1" s="96" t="s">
        <v>76</v>
      </c>
      <c r="E1" s="96" t="s">
        <v>75</v>
      </c>
    </row>
    <row r="2" spans="1:5" x14ac:dyDescent="0.25">
      <c r="A2" s="98">
        <v>30</v>
      </c>
      <c r="B2" s="99" t="s">
        <v>8</v>
      </c>
      <c r="C2" s="100">
        <v>39380</v>
      </c>
      <c r="D2" s="98">
        <v>2392</v>
      </c>
      <c r="E2" s="101">
        <v>59809.699115913398</v>
      </c>
    </row>
    <row r="3" spans="1:5" x14ac:dyDescent="0.25">
      <c r="A3" s="98">
        <v>31</v>
      </c>
      <c r="B3" s="99" t="s">
        <v>8</v>
      </c>
      <c r="C3" s="100">
        <v>39381</v>
      </c>
      <c r="D3" s="98">
        <v>1607</v>
      </c>
      <c r="E3" s="101">
        <v>35723.473873807568</v>
      </c>
    </row>
    <row r="4" spans="1:5" x14ac:dyDescent="0.25">
      <c r="A4" s="98">
        <v>32</v>
      </c>
      <c r="B4" s="99" t="s">
        <v>8</v>
      </c>
      <c r="C4" s="100">
        <v>39382</v>
      </c>
      <c r="D4" s="98">
        <v>2094</v>
      </c>
      <c r="E4" s="101">
        <v>59831.191728791571</v>
      </c>
    </row>
    <row r="5" spans="1:5" x14ac:dyDescent="0.25">
      <c r="A5" s="98">
        <v>34</v>
      </c>
      <c r="B5" s="99" t="s">
        <v>8</v>
      </c>
      <c r="C5" s="100">
        <v>39409</v>
      </c>
      <c r="D5" s="98">
        <v>2348</v>
      </c>
      <c r="E5" s="101">
        <v>46973.541365729245</v>
      </c>
    </row>
    <row r="6" spans="1:5" x14ac:dyDescent="0.25">
      <c r="A6" s="98">
        <v>80</v>
      </c>
      <c r="B6" s="99" t="s">
        <v>8</v>
      </c>
      <c r="C6" s="100">
        <v>39409</v>
      </c>
      <c r="D6" s="98">
        <v>2353</v>
      </c>
      <c r="E6" s="101">
        <v>47047.310292626775</v>
      </c>
    </row>
    <row r="7" spans="1:5" x14ac:dyDescent="0.25">
      <c r="A7" s="98">
        <v>38</v>
      </c>
      <c r="B7" s="99" t="s">
        <v>8</v>
      </c>
      <c r="C7" s="100">
        <v>39437</v>
      </c>
      <c r="D7" s="98">
        <v>140</v>
      </c>
      <c r="E7" s="101">
        <v>14001.182617161008</v>
      </c>
    </row>
    <row r="8" spans="1:5" x14ac:dyDescent="0.25">
      <c r="A8" s="98">
        <v>41</v>
      </c>
      <c r="B8" s="99" t="s">
        <v>8</v>
      </c>
      <c r="C8" s="100">
        <v>39466</v>
      </c>
      <c r="D8" s="98">
        <v>372</v>
      </c>
      <c r="E8" s="101">
        <v>37135.742039179488</v>
      </c>
    </row>
    <row r="9" spans="1:5" x14ac:dyDescent="0.25">
      <c r="A9" s="98">
        <v>446</v>
      </c>
      <c r="B9" s="99" t="s">
        <v>8</v>
      </c>
      <c r="C9" s="100">
        <v>39514</v>
      </c>
      <c r="D9" s="98">
        <v>717</v>
      </c>
      <c r="E9" s="101">
        <v>29915.740146699278</v>
      </c>
    </row>
    <row r="10" spans="1:5" x14ac:dyDescent="0.25">
      <c r="A10" s="98">
        <v>453</v>
      </c>
      <c r="B10" s="99" t="s">
        <v>8</v>
      </c>
      <c r="C10" s="100">
        <v>39545</v>
      </c>
      <c r="D10" s="98">
        <v>409</v>
      </c>
      <c r="E10" s="101">
        <v>15321.945854448904</v>
      </c>
    </row>
    <row r="11" spans="1:5" x14ac:dyDescent="0.25">
      <c r="A11" s="98">
        <v>454</v>
      </c>
      <c r="B11" s="99" t="s">
        <v>8</v>
      </c>
      <c r="C11" s="100">
        <v>39546</v>
      </c>
      <c r="D11" s="98">
        <v>560</v>
      </c>
      <c r="E11" s="101">
        <v>27990.630250543763</v>
      </c>
    </row>
    <row r="12" spans="1:5" x14ac:dyDescent="0.25">
      <c r="A12" s="98">
        <v>455</v>
      </c>
      <c r="B12" s="99" t="s">
        <v>8</v>
      </c>
      <c r="C12" s="100">
        <v>39547</v>
      </c>
      <c r="D12" s="98">
        <v>934</v>
      </c>
      <c r="E12" s="101">
        <v>18683.420174462211</v>
      </c>
    </row>
    <row r="13" spans="1:5" x14ac:dyDescent="0.25">
      <c r="A13" s="98">
        <v>459</v>
      </c>
      <c r="B13" s="99" t="s">
        <v>8</v>
      </c>
      <c r="C13" s="100">
        <v>39573</v>
      </c>
      <c r="D13" s="98">
        <v>1292</v>
      </c>
      <c r="E13" s="101">
        <v>14363.14767262257</v>
      </c>
    </row>
    <row r="15" spans="1:5" x14ac:dyDescent="0.25">
      <c r="D15">
        <f>SUM(D2:D14)</f>
        <v>15218</v>
      </c>
      <c r="E15" s="97">
        <f>SUM(E2:E14)</f>
        <v>406797.02513198578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E15" sqref="E15"/>
    </sheetView>
  </sheetViews>
  <sheetFormatPr defaultRowHeight="15.75" x14ac:dyDescent="0.25"/>
  <cols>
    <col min="1" max="1" width="6.875" bestFit="1" customWidth="1"/>
    <col min="2" max="2" width="10.125" bestFit="1" customWidth="1"/>
    <col min="3" max="3" width="8.875" bestFit="1" customWidth="1"/>
    <col min="4" max="4" width="12.75" bestFit="1" customWidth="1"/>
    <col min="5" max="5" width="14.625" bestFit="1" customWidth="1"/>
  </cols>
  <sheetData>
    <row r="1" spans="1:5" x14ac:dyDescent="0.25">
      <c r="A1" s="148" t="s">
        <v>73</v>
      </c>
      <c r="B1" s="148" t="s">
        <v>74</v>
      </c>
      <c r="C1" s="148" t="s">
        <v>43</v>
      </c>
      <c r="D1" s="148" t="s">
        <v>76</v>
      </c>
      <c r="E1" s="148" t="s">
        <v>75</v>
      </c>
    </row>
    <row r="2" spans="1:5" x14ac:dyDescent="0.25">
      <c r="A2" s="149">
        <v>661</v>
      </c>
      <c r="B2" s="150" t="s">
        <v>79</v>
      </c>
      <c r="C2" s="151">
        <v>39516</v>
      </c>
      <c r="D2" s="152">
        <v>421</v>
      </c>
      <c r="E2" s="152">
        <v>42208.67313567669</v>
      </c>
    </row>
    <row r="3" spans="1:5" x14ac:dyDescent="0.25">
      <c r="A3" s="149">
        <v>664</v>
      </c>
      <c r="B3" s="150" t="s">
        <v>79</v>
      </c>
      <c r="C3" s="151">
        <v>39546</v>
      </c>
      <c r="D3" s="152">
        <v>433</v>
      </c>
      <c r="E3" s="152">
        <v>43416.463869542029</v>
      </c>
    </row>
    <row r="4" spans="1:5" x14ac:dyDescent="0.25">
      <c r="A4" s="149">
        <v>668</v>
      </c>
      <c r="B4" s="150" t="s">
        <v>79</v>
      </c>
      <c r="C4" s="151">
        <v>39575</v>
      </c>
      <c r="D4" s="152">
        <v>2633</v>
      </c>
      <c r="E4" s="152">
        <v>57404.23700781446</v>
      </c>
    </row>
    <row r="5" spans="1:5" x14ac:dyDescent="0.25">
      <c r="D5" s="12"/>
      <c r="E5" s="12"/>
    </row>
    <row r="6" spans="1:5" x14ac:dyDescent="0.25">
      <c r="D6" s="12"/>
      <c r="E6" s="12"/>
    </row>
    <row r="7" spans="1:5" x14ac:dyDescent="0.25">
      <c r="D7" s="106">
        <f>SUM(D2:D6)</f>
        <v>3487</v>
      </c>
      <c r="E7" s="106">
        <f>SUM(E2:E6)</f>
        <v>143029.37401303317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U59"/>
  <sheetViews>
    <sheetView topLeftCell="E1" zoomScaleNormal="100" workbookViewId="0">
      <selection activeCell="A41" sqref="A41"/>
    </sheetView>
  </sheetViews>
  <sheetFormatPr defaultColWidth="8" defaultRowHeight="15" x14ac:dyDescent="0.25"/>
  <cols>
    <col min="1" max="5" width="8" style="102" customWidth="1"/>
    <col min="6" max="6" width="9.25" style="102" bestFit="1" customWidth="1"/>
    <col min="7" max="20" width="8" style="102" customWidth="1"/>
    <col min="21" max="21" width="9.5" style="102" customWidth="1"/>
    <col min="22" max="16384" width="8" style="102"/>
  </cols>
  <sheetData>
    <row r="1" spans="1:21" x14ac:dyDescent="0.25">
      <c r="A1" s="102" t="s">
        <v>59</v>
      </c>
      <c r="G1" s="103"/>
      <c r="J1" s="103"/>
      <c r="K1" s="103"/>
      <c r="L1" s="103"/>
      <c r="M1" s="103"/>
      <c r="N1" s="103"/>
      <c r="O1" s="104"/>
      <c r="P1" s="105"/>
      <c r="Q1" s="105"/>
      <c r="S1" s="103"/>
      <c r="U1" s="106"/>
    </row>
    <row r="2" spans="1:21" x14ac:dyDescent="0.25">
      <c r="A2" s="107"/>
      <c r="B2" s="107"/>
      <c r="C2" s="107"/>
      <c r="D2" s="107"/>
      <c r="E2" s="108" t="s">
        <v>2</v>
      </c>
      <c r="F2" s="109"/>
      <c r="G2" s="109"/>
      <c r="H2" s="108" t="s">
        <v>13</v>
      </c>
      <c r="I2" s="109"/>
      <c r="J2" s="109"/>
      <c r="K2" s="108" t="s">
        <v>14</v>
      </c>
      <c r="L2" s="109"/>
      <c r="M2" s="109"/>
      <c r="N2" s="110"/>
      <c r="O2" s="111" t="s">
        <v>16</v>
      </c>
      <c r="P2" s="112"/>
      <c r="Q2" s="113" t="s">
        <v>18</v>
      </c>
      <c r="R2" s="109"/>
      <c r="S2" s="109"/>
      <c r="T2" s="114" t="s">
        <v>27</v>
      </c>
      <c r="U2" s="109"/>
    </row>
    <row r="3" spans="1:21" x14ac:dyDescent="0.25">
      <c r="A3" s="115" t="s">
        <v>3</v>
      </c>
      <c r="B3" s="115" t="s">
        <v>4</v>
      </c>
      <c r="C3" s="115" t="s">
        <v>5</v>
      </c>
      <c r="D3" s="115" t="s">
        <v>6</v>
      </c>
      <c r="E3" s="116" t="s">
        <v>28</v>
      </c>
      <c r="F3" s="115" t="s">
        <v>29</v>
      </c>
      <c r="G3" s="115" t="s">
        <v>30</v>
      </c>
      <c r="H3" s="116" t="s">
        <v>28</v>
      </c>
      <c r="I3" s="115" t="s">
        <v>29</v>
      </c>
      <c r="J3" s="115" t="s">
        <v>30</v>
      </c>
      <c r="K3" s="116" t="s">
        <v>28</v>
      </c>
      <c r="L3" s="115" t="s">
        <v>29</v>
      </c>
      <c r="M3" s="115" t="s">
        <v>30</v>
      </c>
      <c r="N3" s="116" t="s">
        <v>28</v>
      </c>
      <c r="O3" s="115" t="s">
        <v>29</v>
      </c>
      <c r="P3" s="115" t="s">
        <v>30</v>
      </c>
      <c r="Q3" s="116" t="s">
        <v>28</v>
      </c>
      <c r="R3" s="115" t="s">
        <v>29</v>
      </c>
      <c r="S3" s="115" t="s">
        <v>30</v>
      </c>
      <c r="T3" s="116" t="s">
        <v>28</v>
      </c>
      <c r="U3" s="117" t="s">
        <v>29</v>
      </c>
    </row>
    <row r="4" spans="1:21" x14ac:dyDescent="0.25">
      <c r="A4" s="118">
        <v>39380</v>
      </c>
      <c r="B4" s="119" t="s">
        <v>46</v>
      </c>
      <c r="C4" s="119">
        <v>-1.1000000000000001</v>
      </c>
      <c r="D4" s="120">
        <v>0.77083333333333337</v>
      </c>
      <c r="E4" s="121" t="str">
        <f>+effort!G5</f>
        <v>CLOSED</v>
      </c>
      <c r="F4" s="122" t="str">
        <f>+harvest!G5</f>
        <v>CLOSED</v>
      </c>
      <c r="G4" s="119" t="str">
        <f>+cpue!G5</f>
        <v>CLOSED</v>
      </c>
      <c r="H4" s="121">
        <f>+effort!I5</f>
        <v>4109.9998366832797</v>
      </c>
      <c r="I4" s="122">
        <f>+harvest!I5</f>
        <v>59809.699115913398</v>
      </c>
      <c r="J4" s="119">
        <f>+cpue!I5</f>
        <v>14.552238805970148</v>
      </c>
      <c r="K4" s="121" t="str">
        <f>+effort!K5</f>
        <v>CLOSED</v>
      </c>
      <c r="L4" s="122" t="str">
        <f>+harvest!K5</f>
        <v>CLOSED</v>
      </c>
      <c r="M4" s="119" t="str">
        <f>+cpue!K5</f>
        <v>CLOSED</v>
      </c>
      <c r="N4" s="121" t="str">
        <f>+effort!M5</f>
        <v>CLOSED</v>
      </c>
      <c r="O4" s="122" t="str">
        <f>+harvest!M5</f>
        <v>CLOSED</v>
      </c>
      <c r="P4" s="119" t="str">
        <f>+cpue!M5</f>
        <v>CLOSED</v>
      </c>
      <c r="Q4" s="121" t="s">
        <v>47</v>
      </c>
      <c r="R4" s="122" t="s">
        <v>47</v>
      </c>
      <c r="S4" s="123" t="s">
        <v>47</v>
      </c>
      <c r="T4" s="121">
        <f>+H4</f>
        <v>4109.9998366832797</v>
      </c>
      <c r="U4" s="122">
        <f>+I4</f>
        <v>59809.699115913398</v>
      </c>
    </row>
    <row r="5" spans="1:21" x14ac:dyDescent="0.25">
      <c r="A5" s="118">
        <v>39381</v>
      </c>
      <c r="B5" s="119" t="s">
        <v>15</v>
      </c>
      <c r="C5" s="119">
        <v>-1.7</v>
      </c>
      <c r="D5" s="120">
        <v>0.80972222222222223</v>
      </c>
      <c r="E5" s="121">
        <f>+effort!G6</f>
        <v>4947.1782990461543</v>
      </c>
      <c r="F5" s="122">
        <f>+harvest!G6</f>
        <v>73328.176121417448</v>
      </c>
      <c r="G5" s="119">
        <f>+cpue!G6</f>
        <v>14.822222222222223</v>
      </c>
      <c r="H5" s="121">
        <f>+effort!I6</f>
        <v>2368.0333060289113</v>
      </c>
      <c r="I5" s="122">
        <f>+harvest!I6</f>
        <v>35723.473873807568</v>
      </c>
      <c r="J5" s="119">
        <f>+cpue!I6</f>
        <v>15.085714285714282</v>
      </c>
      <c r="K5" s="121">
        <f>+effort!K6</f>
        <v>3650</v>
      </c>
      <c r="L5" s="122">
        <f>+harvest!K6</f>
        <v>54755</v>
      </c>
      <c r="M5" s="119">
        <f>+cpue!K6</f>
        <v>15.001369863013698</v>
      </c>
      <c r="N5" s="121">
        <f>+effort!M6</f>
        <v>4728</v>
      </c>
      <c r="O5" s="122">
        <f>+harvest!M6</f>
        <v>69732</v>
      </c>
      <c r="P5" s="119">
        <f>+cpue!M6</f>
        <v>14.748730964467006</v>
      </c>
      <c r="Q5" s="121" t="s">
        <v>47</v>
      </c>
      <c r="R5" s="122" t="s">
        <v>47</v>
      </c>
      <c r="S5" s="123" t="s">
        <v>47</v>
      </c>
      <c r="T5" s="121">
        <f>+E5+H5+K5+N5</f>
        <v>15693.211605075066</v>
      </c>
      <c r="U5" s="122">
        <f>+F5+I5+L5+O5</f>
        <v>233538.64999522502</v>
      </c>
    </row>
    <row r="6" spans="1:21" x14ac:dyDescent="0.25">
      <c r="A6" s="118">
        <v>39382</v>
      </c>
      <c r="B6" s="119" t="s">
        <v>17</v>
      </c>
      <c r="C6" s="119">
        <v>-1.9</v>
      </c>
      <c r="D6" s="120">
        <v>0.84305555555555556</v>
      </c>
      <c r="E6" s="121">
        <f>+effort!G7</f>
        <v>13677.702304485156</v>
      </c>
      <c r="F6" s="122">
        <f>+harvest!G7</f>
        <v>205165.53456727738</v>
      </c>
      <c r="G6" s="119">
        <f>+cpue!G7</f>
        <v>15.000000000000004</v>
      </c>
      <c r="H6" s="121">
        <f>+effort!I7</f>
        <v>3988.7461152527717</v>
      </c>
      <c r="I6" s="122">
        <f>+harvest!I7</f>
        <v>59831.191728791571</v>
      </c>
      <c r="J6" s="119">
        <f>+cpue!I7</f>
        <v>14.999999999999998</v>
      </c>
      <c r="K6" s="121">
        <f>+effort!K7</f>
        <v>5184</v>
      </c>
      <c r="L6" s="122">
        <f>+harvest!K7</f>
        <v>77105</v>
      </c>
      <c r="M6" s="119">
        <f>+cpue!K7</f>
        <v>14.847222222222221</v>
      </c>
      <c r="N6" s="121">
        <f>+effort!M7</f>
        <v>3021</v>
      </c>
      <c r="O6" s="122">
        <f>+harvest!M7</f>
        <v>45317</v>
      </c>
      <c r="P6" s="119">
        <f>+cpue!M7</f>
        <v>15</v>
      </c>
      <c r="Q6" s="121" t="s">
        <v>47</v>
      </c>
      <c r="R6" s="122" t="s">
        <v>47</v>
      </c>
      <c r="S6" s="123" t="s">
        <v>47</v>
      </c>
      <c r="T6" s="121">
        <f>+E6+H6+K6+N6</f>
        <v>25871.448419737928</v>
      </c>
      <c r="U6" s="122">
        <f>+F6+I6+L6+O6</f>
        <v>387418.72629606898</v>
      </c>
    </row>
    <row r="7" spans="1:21" x14ac:dyDescent="0.25">
      <c r="A7" s="118">
        <v>39383</v>
      </c>
      <c r="B7" s="124" t="s">
        <v>37</v>
      </c>
      <c r="C7" s="119">
        <v>-1.8</v>
      </c>
      <c r="D7" s="120">
        <v>0.87708333333333333</v>
      </c>
      <c r="E7" s="121" t="str">
        <f>+effort!G8</f>
        <v>CLOSED</v>
      </c>
      <c r="F7" s="122" t="str">
        <f>+harvest!G8</f>
        <v>CLOSED</v>
      </c>
      <c r="G7" s="119" t="str">
        <f>+cpue!G8</f>
        <v>CLOSED</v>
      </c>
      <c r="H7" s="121">
        <f>+effort!I8</f>
        <v>4146.1697984462317</v>
      </c>
      <c r="I7" s="122">
        <f>+harvest!I8</f>
        <v>53554.69322993049</v>
      </c>
      <c r="J7" s="119">
        <f>+cpue!I8</f>
        <v>12.916666666666666</v>
      </c>
      <c r="K7" s="121" t="str">
        <f>+effort!K8</f>
        <v>CLOSED</v>
      </c>
      <c r="L7" s="122" t="str">
        <f>+harvest!K8</f>
        <v>CLOSED</v>
      </c>
      <c r="M7" s="119" t="str">
        <f>+cpue!K8</f>
        <v>CLOSED</v>
      </c>
      <c r="N7" s="121" t="str">
        <f>+effort!M8</f>
        <v>CLOSED</v>
      </c>
      <c r="O7" s="122" t="str">
        <f>+harvest!M8</f>
        <v>CLOSED</v>
      </c>
      <c r="P7" s="119" t="str">
        <f>+cpue!M8</f>
        <v>CLOSED</v>
      </c>
      <c r="Q7" s="121" t="s">
        <v>47</v>
      </c>
      <c r="R7" s="122" t="s">
        <v>47</v>
      </c>
      <c r="S7" s="119" t="s">
        <v>47</v>
      </c>
      <c r="T7" s="121">
        <f>+H7</f>
        <v>4146.1697984462317</v>
      </c>
      <c r="U7" s="122">
        <f>+I7</f>
        <v>53554.69322993049</v>
      </c>
    </row>
    <row r="8" spans="1:21" x14ac:dyDescent="0.25">
      <c r="A8" s="125" t="s">
        <v>31</v>
      </c>
      <c r="B8" s="126"/>
      <c r="C8" s="127"/>
      <c r="D8" s="126"/>
      <c r="E8" s="128">
        <f>SUM(E5:E7)</f>
        <v>18624.88060353131</v>
      </c>
      <c r="F8" s="129">
        <f>SUM(F5:F7)</f>
        <v>278493.71068869485</v>
      </c>
      <c r="G8" s="127">
        <f>+F8/E8</f>
        <v>14.952778308597154</v>
      </c>
      <c r="H8" s="128">
        <f>SUM(H4:H7)</f>
        <v>14612.949056411195</v>
      </c>
      <c r="I8" s="129">
        <f>SUM(I4:I7)</f>
        <v>208919.05794844305</v>
      </c>
      <c r="J8" s="127">
        <f>+I8/H8</f>
        <v>14.296844335933901</v>
      </c>
      <c r="K8" s="128">
        <f>SUM(K5:K7)</f>
        <v>8834</v>
      </c>
      <c r="L8" s="129">
        <f>SUM(L5:L7)</f>
        <v>131860</v>
      </c>
      <c r="M8" s="127"/>
      <c r="N8" s="128">
        <f>SUM(N5:N7)</f>
        <v>7749</v>
      </c>
      <c r="O8" s="129">
        <f>SUM(O5:O7)</f>
        <v>115049</v>
      </c>
      <c r="P8" s="127">
        <f>+O8/N8</f>
        <v>14.846947993289456</v>
      </c>
      <c r="Q8" s="128">
        <v>0</v>
      </c>
      <c r="R8" s="129">
        <v>0</v>
      </c>
      <c r="S8" s="127" t="e">
        <v>#DIV/0!</v>
      </c>
      <c r="T8" s="128">
        <f>SUM(T4:T7)</f>
        <v>49820.829659942501</v>
      </c>
      <c r="U8" s="129">
        <f>SUM(U4:U7)</f>
        <v>734321.76863713795</v>
      </c>
    </row>
    <row r="9" spans="1:21" x14ac:dyDescent="0.25">
      <c r="A9" s="118">
        <v>39409</v>
      </c>
      <c r="B9" s="119" t="s">
        <v>46</v>
      </c>
      <c r="C9" s="119">
        <v>-1.3</v>
      </c>
      <c r="D9" s="120">
        <v>0.72291666666666676</v>
      </c>
      <c r="E9" s="121">
        <f>+effort!G10</f>
        <v>12808.594699812529</v>
      </c>
      <c r="F9" s="122">
        <f>+harvest!G10</f>
        <v>192287.05129595107</v>
      </c>
      <c r="G9" s="119">
        <f>+cpue!G10</f>
        <v>15.012345679012347</v>
      </c>
      <c r="H9" s="121">
        <f>+effort!I10</f>
        <v>3136.4873528417847</v>
      </c>
      <c r="I9" s="122">
        <f>+harvest!I10</f>
        <v>47047.310292626775</v>
      </c>
      <c r="J9" s="119">
        <f>+cpue!I10</f>
        <v>15.000000000000002</v>
      </c>
      <c r="K9" s="121">
        <f>+effort!K10</f>
        <v>5113</v>
      </c>
      <c r="L9" s="122">
        <f>+harvest!K10</f>
        <v>76690</v>
      </c>
      <c r="M9" s="119">
        <f>+cpue!K10</f>
        <v>15</v>
      </c>
      <c r="N9" s="121">
        <f>+effort!M10</f>
        <v>3630</v>
      </c>
      <c r="O9" s="122">
        <f>+harvest!M10</f>
        <v>54433</v>
      </c>
      <c r="P9" s="119">
        <f>+cpue!M10</f>
        <v>15</v>
      </c>
      <c r="Q9" s="121" t="s">
        <v>47</v>
      </c>
      <c r="R9" s="122" t="s">
        <v>47</v>
      </c>
      <c r="S9" s="119" t="s">
        <v>47</v>
      </c>
      <c r="T9" s="121">
        <f>+E9+H9+K9+N9</f>
        <v>24688.082052654314</v>
      </c>
      <c r="U9" s="122">
        <f>+F9+I9+L9+O9</f>
        <v>370457.36158857786</v>
      </c>
    </row>
    <row r="10" spans="1:21" x14ac:dyDescent="0.25">
      <c r="A10" s="118">
        <v>39410</v>
      </c>
      <c r="B10" s="119" t="s">
        <v>15</v>
      </c>
      <c r="C10" s="119">
        <v>-1.7</v>
      </c>
      <c r="D10" s="120">
        <v>0.75763888888888886</v>
      </c>
      <c r="E10" s="121">
        <f>+effort!G11</f>
        <v>9853.7498531676847</v>
      </c>
      <c r="F10" s="122">
        <f>+harvest!G11</f>
        <v>135678.55567053967</v>
      </c>
      <c r="G10" s="119">
        <f>+cpue!G11</f>
        <v>13.76923076923077</v>
      </c>
      <c r="H10" s="121">
        <f>+effort!I11</f>
        <v>4755.6271700595316</v>
      </c>
      <c r="I10" s="122">
        <f>+harvest!I11</f>
        <v>49794.213898270391</v>
      </c>
      <c r="J10" s="119">
        <f>+cpue!I11</f>
        <v>10.470588235294118</v>
      </c>
      <c r="K10" s="121">
        <f>+effort!K11</f>
        <v>3699</v>
      </c>
      <c r="L10" s="122">
        <f>+harvest!K11</f>
        <v>52027</v>
      </c>
      <c r="M10" s="119">
        <f>+cpue!K11</f>
        <v>14.064102564102564</v>
      </c>
      <c r="N10" s="121">
        <f>+effort!M11</f>
        <v>2385</v>
      </c>
      <c r="O10" s="122">
        <f>+harvest!M11</f>
        <v>35545</v>
      </c>
      <c r="P10" s="119">
        <f>+cpue!M11</f>
        <v>14.915094339622641</v>
      </c>
      <c r="Q10" s="121" t="s">
        <v>47</v>
      </c>
      <c r="R10" s="122" t="s">
        <v>47</v>
      </c>
      <c r="S10" s="119" t="s">
        <v>47</v>
      </c>
      <c r="T10" s="121">
        <f>+E10+H10+K10+N10</f>
        <v>20693.377023227215</v>
      </c>
      <c r="U10" s="122">
        <f>+F10+I10+L10+O10</f>
        <v>273044.76956881006</v>
      </c>
    </row>
    <row r="11" spans="1:21" x14ac:dyDescent="0.25">
      <c r="A11" s="118">
        <v>39411</v>
      </c>
      <c r="B11" s="119" t="s">
        <v>17</v>
      </c>
      <c r="C11" s="119">
        <v>-1.8</v>
      </c>
      <c r="D11" s="120">
        <v>0.79166666666666663</v>
      </c>
      <c r="E11" s="121" t="str">
        <f>+effort!G12</f>
        <v>CLOSED</v>
      </c>
      <c r="F11" s="122" t="str">
        <f>+harvest!G12</f>
        <v>CLOSED</v>
      </c>
      <c r="G11" s="119" t="str">
        <f>+cpue!G12</f>
        <v>CLOSED</v>
      </c>
      <c r="H11" s="121">
        <f>+effort!I12</f>
        <v>1773.3762656059721</v>
      </c>
      <c r="I11" s="122">
        <f>+harvest!I12</f>
        <v>24088.360941147788</v>
      </c>
      <c r="J11" s="119">
        <f>+cpue!I12</f>
        <v>13.583333333333334</v>
      </c>
      <c r="K11" s="121" t="str">
        <f>+effort!K12</f>
        <v>CLOSED</v>
      </c>
      <c r="L11" s="122" t="str">
        <f>+harvest!K12</f>
        <v>CLOSED</v>
      </c>
      <c r="M11" s="119" t="str">
        <f>+cpue!K12</f>
        <v>CLOSED</v>
      </c>
      <c r="N11" s="121" t="str">
        <f>+effort!M12</f>
        <v>CLOSED</v>
      </c>
      <c r="O11" s="122" t="str">
        <f>+harvest!M12</f>
        <v>CLOSED</v>
      </c>
      <c r="P11" s="119" t="str">
        <f>+cpue!M12</f>
        <v>CLOSED</v>
      </c>
      <c r="Q11" s="121" t="s">
        <v>47</v>
      </c>
      <c r="R11" s="122" t="s">
        <v>47</v>
      </c>
      <c r="S11" s="119" t="s">
        <v>47</v>
      </c>
      <c r="T11" s="121">
        <f>+H11</f>
        <v>1773.3762656059721</v>
      </c>
      <c r="U11" s="122">
        <f>+I11</f>
        <v>24088.360941147788</v>
      </c>
    </row>
    <row r="12" spans="1:21" x14ac:dyDescent="0.25">
      <c r="A12" s="118">
        <v>39412</v>
      </c>
      <c r="B12" s="119" t="s">
        <v>37</v>
      </c>
      <c r="C12" s="119">
        <v>-1.5</v>
      </c>
      <c r="D12" s="120">
        <v>0.82499999999999996</v>
      </c>
      <c r="E12" s="121" t="str">
        <f>+effort!G13</f>
        <v>CLOSED</v>
      </c>
      <c r="F12" s="122" t="str">
        <f>+harvest!G13</f>
        <v>CLOSED</v>
      </c>
      <c r="G12" s="119" t="str">
        <f>+cpue!G13</f>
        <v>CLOSED</v>
      </c>
      <c r="H12" s="121">
        <f>+effort!I13</f>
        <v>142.01501014940004</v>
      </c>
      <c r="I12" s="122">
        <f>+harvest!I13</f>
        <v>1145.5877485384938</v>
      </c>
      <c r="J12" s="119">
        <f>+cpue!I13</f>
        <v>8.0666666666666682</v>
      </c>
      <c r="K12" s="121" t="str">
        <f>+effort!K13</f>
        <v>CLOSED</v>
      </c>
      <c r="L12" s="122" t="str">
        <f>+harvest!K13</f>
        <v>CLOSED</v>
      </c>
      <c r="M12" s="119" t="str">
        <f>+cpue!K13</f>
        <v>CLOSED</v>
      </c>
      <c r="N12" s="121" t="str">
        <f>+effort!M13</f>
        <v>CLOSED</v>
      </c>
      <c r="O12" s="122" t="str">
        <f>+harvest!M13</f>
        <v>CLOSED</v>
      </c>
      <c r="P12" s="119" t="str">
        <f>+cpue!M13</f>
        <v>CLOSED</v>
      </c>
      <c r="Q12" s="121" t="s">
        <v>47</v>
      </c>
      <c r="R12" s="122" t="s">
        <v>47</v>
      </c>
      <c r="S12" s="119" t="s">
        <v>47</v>
      </c>
      <c r="T12" s="121">
        <f>+H12</f>
        <v>142.01501014940004</v>
      </c>
      <c r="U12" s="122">
        <f>+I12</f>
        <v>1145.5877485384938</v>
      </c>
    </row>
    <row r="13" spans="1:21" x14ac:dyDescent="0.25">
      <c r="A13" s="125" t="s">
        <v>31</v>
      </c>
      <c r="B13" s="126"/>
      <c r="C13" s="127"/>
      <c r="D13" s="126"/>
      <c r="E13" s="128">
        <f>SUM(E9:E12)</f>
        <v>22662.344552980212</v>
      </c>
      <c r="F13" s="129">
        <f>SUM(F9:F12)</f>
        <v>327965.60696649074</v>
      </c>
      <c r="G13" s="127">
        <f>+F13/E13</f>
        <v>14.471830405709794</v>
      </c>
      <c r="H13" s="128">
        <f>SUM(H9:H12)</f>
        <v>9807.5057986566881</v>
      </c>
      <c r="I13" s="129">
        <f>SUM(I9:I12)</f>
        <v>122075.47288058346</v>
      </c>
      <c r="J13" s="127">
        <f>+I13/H13</f>
        <v>12.44714766289548</v>
      </c>
      <c r="K13" s="128">
        <f>SUM(K9:K12)</f>
        <v>8812</v>
      </c>
      <c r="L13" s="129">
        <f>SUM(L9:L12)</f>
        <v>128717</v>
      </c>
      <c r="M13" s="127"/>
      <c r="N13" s="128">
        <f>SUM(N9:N12)</f>
        <v>6015</v>
      </c>
      <c r="O13" s="129">
        <f>SUM(O9:O12)</f>
        <v>89978</v>
      </c>
      <c r="P13" s="127"/>
      <c r="Q13" s="128">
        <v>0</v>
      </c>
      <c r="R13" s="129">
        <v>0</v>
      </c>
      <c r="S13" s="127">
        <v>0</v>
      </c>
      <c r="T13" s="128">
        <f>SUM(T9:T12)</f>
        <v>47296.850351636902</v>
      </c>
      <c r="U13" s="129">
        <f>SUM(U9:U12)</f>
        <v>668736.07984707423</v>
      </c>
    </row>
    <row r="14" spans="1:21" x14ac:dyDescent="0.25">
      <c r="A14" s="118">
        <v>39437</v>
      </c>
      <c r="B14" s="119" t="s">
        <v>46</v>
      </c>
      <c r="C14" s="119">
        <v>-0.4</v>
      </c>
      <c r="D14" s="120">
        <v>0.67500000000000004</v>
      </c>
      <c r="E14" s="121">
        <f>+effort!G15</f>
        <v>3640.280337836215</v>
      </c>
      <c r="F14" s="122">
        <f>+harvest!G15</f>
        <v>33797.129031279386</v>
      </c>
      <c r="G14" s="119">
        <f>+cpue!G15</f>
        <v>9.284210526315789</v>
      </c>
      <c r="H14" s="121">
        <f>+effort!I15</f>
        <v>1007.0456174756179</v>
      </c>
      <c r="I14" s="122">
        <f>+harvest!I15</f>
        <v>14001.182617161008</v>
      </c>
      <c r="J14" s="119">
        <f>+cpue!I15</f>
        <v>13.903225806451612</v>
      </c>
      <c r="K14" s="121">
        <f>+effort!K15</f>
        <v>1861</v>
      </c>
      <c r="L14" s="122">
        <f>+harvest!K15</f>
        <v>27481</v>
      </c>
      <c r="M14" s="119">
        <f>+cpue!K15</f>
        <v>14.72972972972973</v>
      </c>
      <c r="N14" s="121">
        <f>+effort!M15</f>
        <v>1310</v>
      </c>
      <c r="O14" s="122">
        <f>+harvest!M15</f>
        <v>19911</v>
      </c>
      <c r="P14" s="119">
        <f>+cpue!M15</f>
        <v>15.2</v>
      </c>
      <c r="Q14" s="121" t="s">
        <v>47</v>
      </c>
      <c r="R14" s="122" t="s">
        <v>47</v>
      </c>
      <c r="S14" s="119" t="s">
        <v>47</v>
      </c>
      <c r="T14" s="121">
        <f>+E14+H14+K14+N14</f>
        <v>7818.3259553118332</v>
      </c>
      <c r="U14" s="122">
        <f>+F14+I14+L14+O14</f>
        <v>95190.311648440402</v>
      </c>
    </row>
    <row r="15" spans="1:21" x14ac:dyDescent="0.25">
      <c r="A15" s="118">
        <v>39438</v>
      </c>
      <c r="B15" s="119" t="s">
        <v>15</v>
      </c>
      <c r="C15" s="119">
        <v>-0.9</v>
      </c>
      <c r="D15" s="120">
        <v>0.71250000000000002</v>
      </c>
      <c r="E15" s="121">
        <f>+effort!G16</f>
        <v>4318.5056972925986</v>
      </c>
      <c r="F15" s="122">
        <f>+harvest!G16</f>
        <v>29818.253624163182</v>
      </c>
      <c r="G15" s="119">
        <f>+cpue!G16</f>
        <v>6.9047619047619051</v>
      </c>
      <c r="H15" s="121">
        <f>+effort!I16</f>
        <v>2431.9870004138475</v>
      </c>
      <c r="I15" s="122">
        <f>+harvest!I16</f>
        <v>29509.66420634024</v>
      </c>
      <c r="J15" s="119">
        <f>+cpue!I16</f>
        <v>12.133972838390429</v>
      </c>
      <c r="K15" s="121">
        <f>+effort!K16</f>
        <v>2846</v>
      </c>
      <c r="L15" s="122">
        <f>+harvest!K16</f>
        <v>42683</v>
      </c>
      <c r="M15" s="119">
        <f>+cpue!K16</f>
        <v>15</v>
      </c>
      <c r="N15" s="121">
        <f>+effort!M16</f>
        <v>1723</v>
      </c>
      <c r="O15" s="122">
        <f>+harvest!M16</f>
        <v>23958</v>
      </c>
      <c r="P15" s="119">
        <f>+cpue!M16</f>
        <v>13.6875</v>
      </c>
      <c r="Q15" s="121" t="s">
        <v>47</v>
      </c>
      <c r="R15" s="122" t="s">
        <v>47</v>
      </c>
      <c r="S15" s="119" t="s">
        <v>47</v>
      </c>
      <c r="T15" s="121">
        <f>+E15+H15+K15+N15</f>
        <v>11319.492697706446</v>
      </c>
      <c r="U15" s="122">
        <f>+F15+I15+L15+O15</f>
        <v>125968.91783050343</v>
      </c>
    </row>
    <row r="16" spans="1:21" x14ac:dyDescent="0.25">
      <c r="A16" s="118">
        <v>39439</v>
      </c>
      <c r="B16" s="119" t="s">
        <v>17</v>
      </c>
      <c r="C16" s="119">
        <v>-1.2</v>
      </c>
      <c r="D16" s="120">
        <v>0.74861111111111101</v>
      </c>
      <c r="E16" s="121" t="str">
        <f>+effort!G17</f>
        <v>CLOSED</v>
      </c>
      <c r="F16" s="122" t="str">
        <f>+harvest!G17</f>
        <v>CLOSED</v>
      </c>
      <c r="G16" s="119" t="str">
        <f>+cpue!G17</f>
        <v>CLOSED</v>
      </c>
      <c r="H16" s="121">
        <f>+effort!I17</f>
        <v>593.15303684153412</v>
      </c>
      <c r="I16" s="122">
        <f>+harvest!I17</f>
        <v>2113.1076937479652</v>
      </c>
      <c r="J16" s="119">
        <f>+cpue!I17</f>
        <v>3.5625</v>
      </c>
      <c r="K16" s="121" t="str">
        <f>+effort!K17</f>
        <v>CLOSED</v>
      </c>
      <c r="L16" s="122" t="str">
        <f>+harvest!K17</f>
        <v>CLOSED</v>
      </c>
      <c r="M16" s="119" t="str">
        <f>+cpue!K17</f>
        <v>CLOSED</v>
      </c>
      <c r="N16" s="121" t="str">
        <f>+effort!M17</f>
        <v>CLOSED</v>
      </c>
      <c r="O16" s="122" t="str">
        <f>+harvest!M17</f>
        <v>CLOSED</v>
      </c>
      <c r="P16" s="119" t="str">
        <f>+cpue!M17</f>
        <v>CLOSED</v>
      </c>
      <c r="Q16" s="121" t="s">
        <v>47</v>
      </c>
      <c r="R16" s="122" t="s">
        <v>47</v>
      </c>
      <c r="S16" s="119" t="s">
        <v>47</v>
      </c>
      <c r="T16" s="121">
        <f>+H16</f>
        <v>593.15303684153412</v>
      </c>
      <c r="U16" s="122">
        <f>+I16</f>
        <v>2113.1076937479652</v>
      </c>
    </row>
    <row r="17" spans="1:21" x14ac:dyDescent="0.25">
      <c r="A17" s="125" t="s">
        <v>31</v>
      </c>
      <c r="B17" s="126"/>
      <c r="C17" s="126"/>
      <c r="D17" s="126"/>
      <c r="E17" s="128">
        <f>SUM(E14:E16)</f>
        <v>7958.7860351288136</v>
      </c>
      <c r="F17" s="129">
        <f>SUM(F14:F16)</f>
        <v>63615.382655442569</v>
      </c>
      <c r="G17" s="127">
        <f>+F17/E17</f>
        <v>7.9931012562285764</v>
      </c>
      <c r="H17" s="128">
        <f>SUM(H14:H16)</f>
        <v>4032.1856547309994</v>
      </c>
      <c r="I17" s="129">
        <f>SUM(I14:I16)</f>
        <v>45623.954517249214</v>
      </c>
      <c r="J17" s="127">
        <f>+I17/H17</f>
        <v>11.314943909816806</v>
      </c>
      <c r="K17" s="128">
        <f>SUM(K14:K16)</f>
        <v>4707</v>
      </c>
      <c r="L17" s="129">
        <f>SUM(L14:L16)</f>
        <v>70164</v>
      </c>
      <c r="M17" s="127"/>
      <c r="N17" s="128">
        <f>SUM(N14:N16)</f>
        <v>3033</v>
      </c>
      <c r="O17" s="129">
        <f>SUM(O14:O16)</f>
        <v>43869</v>
      </c>
      <c r="P17" s="127">
        <f>+O17/N17</f>
        <v>14.463897131552917</v>
      </c>
      <c r="Q17" s="128">
        <v>0</v>
      </c>
      <c r="R17" s="129">
        <v>0</v>
      </c>
      <c r="S17" s="127">
        <v>0</v>
      </c>
      <c r="T17" s="128">
        <f>SUM(T14:T16)</f>
        <v>19730.971689859813</v>
      </c>
      <c r="U17" s="129">
        <f>SUM(U14:U16)</f>
        <v>223272.3371726918</v>
      </c>
    </row>
    <row r="18" spans="1:21" x14ac:dyDescent="0.25">
      <c r="A18" s="118">
        <v>39465</v>
      </c>
      <c r="B18" s="119" t="s">
        <v>46</v>
      </c>
      <c r="C18" s="119">
        <v>0.6</v>
      </c>
      <c r="D18" s="120">
        <v>0.62222222222222223</v>
      </c>
      <c r="E18" s="121" t="str">
        <f>+effort!G19</f>
        <v>CLOSED</v>
      </c>
      <c r="F18" s="122" t="str">
        <f>+harvest!G19</f>
        <v>CLOSED</v>
      </c>
      <c r="G18" s="119" t="str">
        <f>+cpue!G19</f>
        <v>CLOSED</v>
      </c>
      <c r="H18" s="121">
        <f>+effort!I19</f>
        <v>1819.9357527070283</v>
      </c>
      <c r="I18" s="122">
        <f>+harvest!I19</f>
        <v>26136.299559709267</v>
      </c>
      <c r="J18" s="119">
        <f>+cpue!I19</f>
        <v>14.361111111111111</v>
      </c>
      <c r="K18" s="121" t="str">
        <f>+effort!K19</f>
        <v>CLOSED</v>
      </c>
      <c r="L18" s="122" t="str">
        <f>+harvest!K19</f>
        <v>CLOSED</v>
      </c>
      <c r="M18" s="119" t="str">
        <f>+cpue!K19</f>
        <v>CLOSED</v>
      </c>
      <c r="N18" s="121" t="str">
        <f>+effort!M19</f>
        <v>CLOSED</v>
      </c>
      <c r="O18" s="122" t="str">
        <f>+harvest!M19</f>
        <v>CLOSED</v>
      </c>
      <c r="P18" s="119" t="str">
        <f>+cpue!M19</f>
        <v>CLOSED</v>
      </c>
      <c r="Q18" s="121" t="s">
        <v>47</v>
      </c>
      <c r="R18" s="122" t="s">
        <v>47</v>
      </c>
      <c r="S18" s="119" t="s">
        <v>47</v>
      </c>
      <c r="T18" s="121">
        <f>+H18</f>
        <v>1819.9357527070283</v>
      </c>
      <c r="U18" s="122">
        <f>+I18</f>
        <v>26136.299559709267</v>
      </c>
    </row>
    <row r="19" spans="1:21" x14ac:dyDescent="0.25">
      <c r="A19" s="118">
        <v>39466</v>
      </c>
      <c r="B19" s="119" t="s">
        <v>15</v>
      </c>
      <c r="C19" s="119">
        <v>0.1</v>
      </c>
      <c r="D19" s="120">
        <v>0.66527777777777775</v>
      </c>
      <c r="E19" s="121">
        <f>+effort!G20</f>
        <v>7212.234555058054</v>
      </c>
      <c r="F19" s="122">
        <f>+harvest!G20</f>
        <v>34947.518910171013</v>
      </c>
      <c r="G19" s="119">
        <f>+cpue!G20</f>
        <v>4.8455882352941178</v>
      </c>
      <c r="H19" s="121">
        <f>+effort!I20</f>
        <v>3245.3871982664027</v>
      </c>
      <c r="I19" s="122">
        <f>+harvest!I20</f>
        <v>37135.742039179488</v>
      </c>
      <c r="J19" s="119">
        <f>+cpue!I20</f>
        <v>11.44262295081967</v>
      </c>
      <c r="K19" s="121">
        <f>+effort!K20</f>
        <v>7795</v>
      </c>
      <c r="L19" s="122">
        <f>+harvest!K20</f>
        <v>115271</v>
      </c>
      <c r="M19" s="119">
        <f>+cpue!K20</f>
        <v>14.780487804878049</v>
      </c>
      <c r="N19" s="121" t="str">
        <f>+effort!M20</f>
        <v>CLOSED</v>
      </c>
      <c r="O19" s="122" t="str">
        <f>+harvest!M20</f>
        <v>CLOSED</v>
      </c>
      <c r="P19" s="119" t="str">
        <f>+cpue!M20</f>
        <v>CLOSED</v>
      </c>
      <c r="Q19" s="121" t="s">
        <v>47</v>
      </c>
      <c r="R19" s="122" t="s">
        <v>47</v>
      </c>
      <c r="S19" s="119" t="s">
        <v>47</v>
      </c>
      <c r="T19" s="121">
        <f>+E19+H19+K19</f>
        <v>18252.621753324456</v>
      </c>
      <c r="U19" s="122">
        <f>+F19+I19+L19</f>
        <v>187354.26094935049</v>
      </c>
    </row>
    <row r="20" spans="1:21" x14ac:dyDescent="0.25">
      <c r="A20" s="118">
        <v>39467</v>
      </c>
      <c r="B20" s="119" t="s">
        <v>17</v>
      </c>
      <c r="C20" s="119">
        <v>-0.4</v>
      </c>
      <c r="D20" s="120">
        <v>0.70347222222222217</v>
      </c>
      <c r="E20" s="121">
        <f>+effort!G21</f>
        <v>6909.7805157018538</v>
      </c>
      <c r="F20" s="122">
        <f>+harvest!G21</f>
        <v>68469.643291954722</v>
      </c>
      <c r="G20" s="119">
        <f>+cpue!G21</f>
        <v>9.9090909090909083</v>
      </c>
      <c r="H20" s="121">
        <f>+effort!I21</f>
        <v>2090.5772136863388</v>
      </c>
      <c r="I20" s="122">
        <f>+harvest!I21</f>
        <v>25534.907395740283</v>
      </c>
      <c r="J20" s="119">
        <f>+cpue!I21</f>
        <v>12.214285714285715</v>
      </c>
      <c r="K20" s="121">
        <f>+effort!K21</f>
        <v>4944</v>
      </c>
      <c r="L20" s="122">
        <f>+harvest!K21</f>
        <v>73652</v>
      </c>
      <c r="M20" s="119">
        <f>+cpue!K21</f>
        <v>14.920353982300885</v>
      </c>
      <c r="N20" s="121" t="str">
        <f>+effort!M21</f>
        <v>CLOSED</v>
      </c>
      <c r="O20" s="122" t="str">
        <f>+harvest!M21</f>
        <v>CLOSED</v>
      </c>
      <c r="P20" s="119" t="str">
        <f>+cpue!M21</f>
        <v>CLOSED</v>
      </c>
      <c r="Q20" s="121" t="s">
        <v>47</v>
      </c>
      <c r="R20" s="122" t="s">
        <v>47</v>
      </c>
      <c r="S20" s="119" t="s">
        <v>47</v>
      </c>
      <c r="T20" s="121">
        <f>+E20+H20+K20</f>
        <v>13944.357729388194</v>
      </c>
      <c r="U20" s="122">
        <f>+F20+I20+L20</f>
        <v>167656.55068769501</v>
      </c>
    </row>
    <row r="21" spans="1:21" x14ac:dyDescent="0.25">
      <c r="A21" s="118">
        <v>39468</v>
      </c>
      <c r="B21" s="119" t="s">
        <v>37</v>
      </c>
      <c r="C21" s="119">
        <v>-0.6</v>
      </c>
      <c r="D21" s="120">
        <v>0.73888888888888893</v>
      </c>
      <c r="E21" s="121" t="str">
        <f>+effort!G22</f>
        <v>CLOSED</v>
      </c>
      <c r="F21" s="122" t="str">
        <f>+harvest!G22</f>
        <v>CLOSED</v>
      </c>
      <c r="G21" s="119" t="str">
        <f>+cpue!G22</f>
        <v>CLOSED</v>
      </c>
      <c r="H21" s="121">
        <f>+effort!I22</f>
        <v>1613.1777903053937</v>
      </c>
      <c r="I21" s="122">
        <f>+harvest!I22</f>
        <v>22584.489064275513</v>
      </c>
      <c r="J21" s="119">
        <f>+cpue!I22</f>
        <v>14</v>
      </c>
      <c r="K21" s="121" t="str">
        <f>+effort!K22</f>
        <v>CLOSED</v>
      </c>
      <c r="L21" s="122" t="str">
        <f>+harvest!K22</f>
        <v>CLOSED</v>
      </c>
      <c r="M21" s="119" t="str">
        <f>+cpue!K22</f>
        <v>CLOSED</v>
      </c>
      <c r="N21" s="121" t="str">
        <f>+effort!M22</f>
        <v>CLOSED</v>
      </c>
      <c r="O21" s="122" t="str">
        <f>+harvest!M22</f>
        <v>CLOSED</v>
      </c>
      <c r="P21" s="119" t="str">
        <f>+cpue!M22</f>
        <v>CLOSED</v>
      </c>
      <c r="Q21" s="121" t="s">
        <v>47</v>
      </c>
      <c r="R21" s="122" t="s">
        <v>47</v>
      </c>
      <c r="S21" s="119" t="s">
        <v>47</v>
      </c>
      <c r="T21" s="121">
        <f>+H21</f>
        <v>1613.1777903053937</v>
      </c>
      <c r="U21" s="122">
        <f>+I21</f>
        <v>22584.489064275513</v>
      </c>
    </row>
    <row r="22" spans="1:21" x14ac:dyDescent="0.25">
      <c r="A22" s="125" t="s">
        <v>31</v>
      </c>
      <c r="B22" s="126"/>
      <c r="C22" s="126"/>
      <c r="D22" s="126"/>
      <c r="E22" s="128">
        <f>SUM(E19:E21)</f>
        <v>14122.015070759908</v>
      </c>
      <c r="F22" s="129">
        <f>SUM(F19:F21)</f>
        <v>103417.16220212574</v>
      </c>
      <c r="G22" s="127">
        <f>+F22/E22</f>
        <v>7.3231165442001505</v>
      </c>
      <c r="H22" s="128">
        <f>SUM(H18:H21)</f>
        <v>8769.0779549651634</v>
      </c>
      <c r="I22" s="129">
        <f>SUM(I18:I21)</f>
        <v>111391.43805890455</v>
      </c>
      <c r="J22" s="127">
        <f>+I22/H22</f>
        <v>12.702753770803611</v>
      </c>
      <c r="K22" s="128">
        <f>SUM(K19:K21)</f>
        <v>12739</v>
      </c>
      <c r="L22" s="129">
        <f>SUM(L19:L21)</f>
        <v>188923</v>
      </c>
      <c r="M22" s="127"/>
      <c r="N22" s="128"/>
      <c r="O22" s="129"/>
      <c r="P22" s="127"/>
      <c r="Q22" s="128">
        <v>0</v>
      </c>
      <c r="R22" s="129">
        <v>0</v>
      </c>
      <c r="S22" s="127">
        <v>0</v>
      </c>
      <c r="T22" s="128">
        <f>SUM(T18:T21)</f>
        <v>35630.093025725073</v>
      </c>
      <c r="U22" s="129">
        <f>SUM(U18:U21)</f>
        <v>403731.60026103025</v>
      </c>
    </row>
    <row r="23" spans="1:21" x14ac:dyDescent="0.25">
      <c r="A23" s="118">
        <v>39484</v>
      </c>
      <c r="B23" s="130" t="s">
        <v>65</v>
      </c>
      <c r="C23" s="130">
        <v>0.1</v>
      </c>
      <c r="D23" s="120">
        <v>0.76041666666666663</v>
      </c>
      <c r="E23" s="121" t="str">
        <f>+effort!G24</f>
        <v>CLOSED</v>
      </c>
      <c r="F23" s="122" t="str">
        <f>+harvest!G24</f>
        <v>CLOSED</v>
      </c>
      <c r="G23" s="119" t="str">
        <f>+cpue!G24</f>
        <v>CLOSED</v>
      </c>
      <c r="H23" s="121">
        <f>+effort!I24</f>
        <v>294.21222857366274</v>
      </c>
      <c r="I23" s="122">
        <f>+harvest!I24</f>
        <v>837.37326594042474</v>
      </c>
      <c r="J23" s="119">
        <f>+cpue!I24</f>
        <v>2.8461538461538463</v>
      </c>
      <c r="K23" s="121" t="str">
        <f>+effort!K24</f>
        <v>CLOSED</v>
      </c>
      <c r="L23" s="122" t="str">
        <f>+harvest!K24</f>
        <v>CLOSED</v>
      </c>
      <c r="M23" s="119" t="str">
        <f>+cpue!K24</f>
        <v>CLOSED</v>
      </c>
      <c r="N23" s="121" t="str">
        <f>+effort!M24</f>
        <v>CLOSED</v>
      </c>
      <c r="O23" s="122" t="str">
        <f>+harvest!M24</f>
        <v>CLOSED</v>
      </c>
      <c r="P23" s="119" t="str">
        <f>+cpue!M24</f>
        <v>CLOSED</v>
      </c>
      <c r="Q23" s="121" t="s">
        <v>47</v>
      </c>
      <c r="R23" s="122" t="s">
        <v>47</v>
      </c>
      <c r="S23" s="119" t="s">
        <v>47</v>
      </c>
      <c r="T23" s="121">
        <f>+H23</f>
        <v>294.21222857366274</v>
      </c>
      <c r="U23" s="122">
        <f>+I23</f>
        <v>837.37326594042474</v>
      </c>
    </row>
    <row r="24" spans="1:21" x14ac:dyDescent="0.25">
      <c r="A24" s="118">
        <v>39485</v>
      </c>
      <c r="B24" s="130" t="s">
        <v>48</v>
      </c>
      <c r="C24" s="130">
        <v>0</v>
      </c>
      <c r="D24" s="120">
        <v>0.78611111111111109</v>
      </c>
      <c r="E24" s="121" t="str">
        <f>+effort!G25</f>
        <v>CLOSED</v>
      </c>
      <c r="F24" s="122" t="str">
        <f>+harvest!G25</f>
        <v>CLOSED</v>
      </c>
      <c r="G24" s="119" t="str">
        <f>+cpue!G25</f>
        <v>CLOSED</v>
      </c>
      <c r="H24" s="121">
        <f>+effort!I25</f>
        <v>291.19775901860476</v>
      </c>
      <c r="I24" s="122">
        <f>+harvest!I25</f>
        <v>1076.1656311557131</v>
      </c>
      <c r="J24" s="119">
        <f>+cpue!I25</f>
        <v>3.695652173913043</v>
      </c>
      <c r="K24" s="121" t="str">
        <f>+effort!K25</f>
        <v>CLOSED</v>
      </c>
      <c r="L24" s="122" t="str">
        <f>+harvest!K25</f>
        <v>CLOSED</v>
      </c>
      <c r="M24" s="119" t="str">
        <f>+cpue!K25</f>
        <v>CLOSED</v>
      </c>
      <c r="N24" s="121" t="str">
        <f>+effort!M25</f>
        <v>CLOSED</v>
      </c>
      <c r="O24" s="122" t="str">
        <f>+harvest!M25</f>
        <v>CLOSED</v>
      </c>
      <c r="P24" s="119" t="str">
        <f>+cpue!M25</f>
        <v>CLOSED</v>
      </c>
      <c r="Q24" s="121" t="s">
        <v>47</v>
      </c>
      <c r="R24" s="122" t="s">
        <v>47</v>
      </c>
      <c r="S24" s="119" t="s">
        <v>47</v>
      </c>
      <c r="T24" s="121">
        <f>+H24</f>
        <v>291.19775901860476</v>
      </c>
      <c r="U24" s="122">
        <f>+I24</f>
        <v>1076.1656311557131</v>
      </c>
    </row>
    <row r="25" spans="1:21" x14ac:dyDescent="0.25">
      <c r="A25" s="118">
        <v>39486</v>
      </c>
      <c r="B25" s="130" t="s">
        <v>46</v>
      </c>
      <c r="C25" s="130">
        <v>0.1</v>
      </c>
      <c r="D25" s="120">
        <v>0.81041666666666667</v>
      </c>
      <c r="E25" s="121">
        <f>+effort!G26</f>
        <v>524.18301070181042</v>
      </c>
      <c r="F25" s="122">
        <f>+harvest!G26</f>
        <v>383.54854441595887</v>
      </c>
      <c r="G25" s="119">
        <f>+cpue!G26</f>
        <v>0.73170731707317083</v>
      </c>
      <c r="H25" s="121">
        <f>+effort!I26</f>
        <v>270.09647213319857</v>
      </c>
      <c r="I25" s="122">
        <f>+harvest!I26</f>
        <v>255.09111257024307</v>
      </c>
      <c r="J25" s="119">
        <f>+cpue!I26</f>
        <v>0.94444444444444431</v>
      </c>
      <c r="K25" s="121" t="str">
        <f>+effort!K26</f>
        <v>CLOSED</v>
      </c>
      <c r="L25" s="122" t="str">
        <f>+harvest!K26</f>
        <v>CLOSED</v>
      </c>
      <c r="M25" s="119" t="str">
        <f>+cpue!K26</f>
        <v>CLOSED</v>
      </c>
      <c r="N25" s="121" t="str">
        <f>+effort!M26</f>
        <v>CLOSED</v>
      </c>
      <c r="O25" s="122" t="str">
        <f>+harvest!M26</f>
        <v>CLOSED</v>
      </c>
      <c r="P25" s="119" t="str">
        <f>+cpue!M26</f>
        <v>CLOSED</v>
      </c>
      <c r="Q25" s="121" t="s">
        <v>47</v>
      </c>
      <c r="R25" s="122" t="s">
        <v>47</v>
      </c>
      <c r="S25" s="119" t="s">
        <v>47</v>
      </c>
      <c r="T25" s="121">
        <f>+E25+H25</f>
        <v>794.27948283500905</v>
      </c>
      <c r="U25" s="122">
        <f>+F25+I25</f>
        <v>638.639656986202</v>
      </c>
    </row>
    <row r="26" spans="1:21" x14ac:dyDescent="0.25">
      <c r="A26" s="118">
        <v>39487</v>
      </c>
      <c r="B26" s="130" t="s">
        <v>15</v>
      </c>
      <c r="C26" s="130">
        <v>0.4</v>
      </c>
      <c r="D26" s="120">
        <v>0.83472222222222225</v>
      </c>
      <c r="E26" s="121">
        <f>+effort!G27</f>
        <v>600.16543332589788</v>
      </c>
      <c r="F26" s="122">
        <f>+harvest!G27</f>
        <v>3039.4623114060164</v>
      </c>
      <c r="G26" s="119">
        <f>+cpue!G27</f>
        <v>5.0643741585756201</v>
      </c>
      <c r="H26" s="121">
        <f>+effort!I27</f>
        <v>345.6215059301777</v>
      </c>
      <c r="I26" s="122">
        <f>+harvest!I27</f>
        <v>1822.3679403591188</v>
      </c>
      <c r="J26" s="119">
        <f>+cpue!I27</f>
        <v>5.2727272727272725</v>
      </c>
      <c r="K26" s="121" t="str">
        <f>+effort!K27</f>
        <v>CLOSED</v>
      </c>
      <c r="L26" s="122" t="str">
        <f>+harvest!K27</f>
        <v>CLOSED</v>
      </c>
      <c r="M26" s="119" t="str">
        <f>+cpue!K27</f>
        <v>CLOSED</v>
      </c>
      <c r="N26" s="121" t="str">
        <f>+effort!M27</f>
        <v>CLOSED</v>
      </c>
      <c r="O26" s="122" t="str">
        <f>+harvest!M27</f>
        <v>CLOSED</v>
      </c>
      <c r="P26" s="119" t="str">
        <f>+cpue!M27</f>
        <v>CLOSED</v>
      </c>
      <c r="Q26" s="121" t="s">
        <v>47</v>
      </c>
      <c r="R26" s="122" t="s">
        <v>47</v>
      </c>
      <c r="S26" s="119" t="s">
        <v>47</v>
      </c>
      <c r="T26" s="121">
        <f>+E26+H26</f>
        <v>945.78693925607558</v>
      </c>
      <c r="U26" s="122">
        <f>+F26+I26</f>
        <v>4861.8302517651355</v>
      </c>
    </row>
    <row r="27" spans="1:21" x14ac:dyDescent="0.25">
      <c r="A27" s="125" t="s">
        <v>31</v>
      </c>
      <c r="B27" s="126"/>
      <c r="C27" s="126"/>
      <c r="D27" s="126"/>
      <c r="E27" s="128">
        <f>SUM(E25:E26)</f>
        <v>1124.3484440277084</v>
      </c>
      <c r="F27" s="129">
        <f>SUM(F25:F26)</f>
        <v>3423.0108558219754</v>
      </c>
      <c r="G27" s="127">
        <f>+F27/E27</f>
        <v>3.0444395365193557</v>
      </c>
      <c r="H27" s="128">
        <f>SUM(H23:H26)</f>
        <v>1201.1279656556439</v>
      </c>
      <c r="I27" s="129">
        <f>SUM(I23:I26)</f>
        <v>3990.9979500254994</v>
      </c>
      <c r="J27" s="127">
        <f>+I27/H27</f>
        <v>3.3227083742463575</v>
      </c>
      <c r="K27" s="128"/>
      <c r="L27" s="129"/>
      <c r="M27" s="127"/>
      <c r="N27" s="128"/>
      <c r="O27" s="129"/>
      <c r="P27" s="127"/>
      <c r="Q27" s="128">
        <v>0</v>
      </c>
      <c r="R27" s="129">
        <v>0</v>
      </c>
      <c r="S27" s="127">
        <v>0</v>
      </c>
      <c r="T27" s="128">
        <f>SUM(T23:T26)</f>
        <v>2325.4764096833524</v>
      </c>
      <c r="U27" s="129">
        <f>SUM(U23:U26)</f>
        <v>7414.0088058474757</v>
      </c>
    </row>
    <row r="28" spans="1:21" x14ac:dyDescent="0.25">
      <c r="A28" s="118">
        <v>39514</v>
      </c>
      <c r="B28" s="119" t="s">
        <v>46</v>
      </c>
      <c r="C28" s="131">
        <v>0.3</v>
      </c>
      <c r="D28" s="120">
        <v>0.76458333333333339</v>
      </c>
      <c r="E28" s="121" t="str">
        <f>+effort!G29</f>
        <v>CLOSED</v>
      </c>
      <c r="F28" s="122" t="str">
        <f>+harvest!G29</f>
        <v>CLOSED</v>
      </c>
      <c r="G28" s="119" t="str">
        <f>+cpue!G29</f>
        <v>CLOSED</v>
      </c>
      <c r="H28" s="121">
        <f>+effort!I29</f>
        <v>2144.694606105279</v>
      </c>
      <c r="I28" s="122">
        <f>+harvest!I29</f>
        <v>29915.740146699278</v>
      </c>
      <c r="J28" s="119">
        <f>+cpue!I29</f>
        <v>13.948717948717949</v>
      </c>
      <c r="K28" s="121" t="str">
        <f>+effort!K29</f>
        <v>CLOSED</v>
      </c>
      <c r="L28" s="122" t="str">
        <f>+harvest!K29</f>
        <v>CLOSED</v>
      </c>
      <c r="M28" s="119" t="str">
        <f>+cpue!K29</f>
        <v>CLOSED</v>
      </c>
      <c r="N28" s="121" t="str">
        <f>+effort!M29</f>
        <v>CLOSED</v>
      </c>
      <c r="O28" s="122" t="str">
        <f>+harvest!M29</f>
        <v>CLOSED</v>
      </c>
      <c r="P28" s="119" t="str">
        <f>+cpue!M29</f>
        <v>CLOSED</v>
      </c>
      <c r="Q28" s="121" t="s">
        <v>47</v>
      </c>
      <c r="R28" s="122" t="s">
        <v>47</v>
      </c>
      <c r="S28" s="119" t="s">
        <v>47</v>
      </c>
      <c r="T28" s="121">
        <f>+H28</f>
        <v>2144.694606105279</v>
      </c>
      <c r="U28" s="122">
        <f>+I28</f>
        <v>29915.740146699278</v>
      </c>
    </row>
    <row r="29" spans="1:21" x14ac:dyDescent="0.25">
      <c r="A29" s="118">
        <v>39515</v>
      </c>
      <c r="B29" s="130" t="s">
        <v>15</v>
      </c>
      <c r="C29" s="131">
        <v>0.5</v>
      </c>
      <c r="D29" s="120">
        <v>0.79027777777777775</v>
      </c>
      <c r="E29" s="121">
        <f>+effort!G30</f>
        <v>9030.9401883200644</v>
      </c>
      <c r="F29" s="122">
        <f>+harvest!G30</f>
        <v>40586.107669861929</v>
      </c>
      <c r="G29" s="119">
        <f>+cpue!G30</f>
        <v>4.4941176470588227</v>
      </c>
      <c r="H29" s="121">
        <f>+effort!I30</f>
        <v>6195.0647107145978</v>
      </c>
      <c r="I29" s="122">
        <f>+harvest!I30</f>
        <v>46979.240722919028</v>
      </c>
      <c r="J29" s="119">
        <f>+cpue!I30</f>
        <v>7.5833333333333321</v>
      </c>
      <c r="K29" s="121" t="str">
        <f>+effort!K30</f>
        <v>CLOSED</v>
      </c>
      <c r="L29" s="122" t="str">
        <f>+harvest!K30</f>
        <v>CLOSED</v>
      </c>
      <c r="M29" s="119" t="str">
        <f>+cpue!K30</f>
        <v>CLOSED</v>
      </c>
      <c r="N29" s="121" t="str">
        <f>+effort!M30</f>
        <v>CLOSED</v>
      </c>
      <c r="O29" s="122" t="str">
        <f>+harvest!M30</f>
        <v>CLOSED</v>
      </c>
      <c r="P29" s="119" t="str">
        <f>+cpue!M30</f>
        <v>CLOSED</v>
      </c>
      <c r="Q29" s="121" t="s">
        <v>47</v>
      </c>
      <c r="R29" s="122" t="s">
        <v>47</v>
      </c>
      <c r="S29" s="119" t="s">
        <v>47</v>
      </c>
      <c r="T29" s="121">
        <f>+E29+H29</f>
        <v>15226.004899034662</v>
      </c>
      <c r="U29" s="122">
        <f>+F29+I29</f>
        <v>87565.348392780958</v>
      </c>
    </row>
    <row r="30" spans="1:21" x14ac:dyDescent="0.25">
      <c r="A30" s="118">
        <v>39516</v>
      </c>
      <c r="B30" s="130" t="s">
        <v>17</v>
      </c>
      <c r="C30" s="131">
        <v>0.3</v>
      </c>
      <c r="D30" s="120">
        <v>0.3527777777777778</v>
      </c>
      <c r="E30" s="121">
        <f>+effort!G31</f>
        <v>4938.4919208104357</v>
      </c>
      <c r="F30" s="122">
        <f>+harvest!G31</f>
        <v>42208.67313567669</v>
      </c>
      <c r="G30" s="119">
        <f>+cpue!G31</f>
        <v>8.546875</v>
      </c>
      <c r="H30" s="121">
        <f>+effort!I31</f>
        <v>3880.8374097567912</v>
      </c>
      <c r="I30" s="122">
        <f>+harvest!I31</f>
        <v>24822.714752972686</v>
      </c>
      <c r="J30" s="119">
        <f>+cpue!I31</f>
        <v>6.3962264150943406</v>
      </c>
      <c r="K30" s="121" t="str">
        <f>+effort!K31</f>
        <v>CLOSED</v>
      </c>
      <c r="L30" s="122" t="str">
        <f>+harvest!K31</f>
        <v>CLOSED</v>
      </c>
      <c r="M30" s="119" t="str">
        <f>+cpue!K31</f>
        <v>CLOSED</v>
      </c>
      <c r="N30" s="121" t="str">
        <f>+effort!M31</f>
        <v>CLOSED</v>
      </c>
      <c r="O30" s="122" t="str">
        <f>+harvest!M31</f>
        <v>CLOSED</v>
      </c>
      <c r="P30" s="119" t="str">
        <f>+cpue!M31</f>
        <v>CLOSED</v>
      </c>
      <c r="Q30" s="121" t="s">
        <v>47</v>
      </c>
      <c r="R30" s="122" t="s">
        <v>47</v>
      </c>
      <c r="S30" s="119" t="s">
        <v>47</v>
      </c>
      <c r="T30" s="121">
        <f>+E30+H30</f>
        <v>8819.3293305672269</v>
      </c>
      <c r="U30" s="122">
        <f>+F30+I30</f>
        <v>67031.387888649377</v>
      </c>
    </row>
    <row r="31" spans="1:21" x14ac:dyDescent="0.25">
      <c r="A31" s="118">
        <v>39517</v>
      </c>
      <c r="B31" s="130" t="s">
        <v>37</v>
      </c>
      <c r="C31" s="131" t="s">
        <v>67</v>
      </c>
      <c r="D31" s="120">
        <v>0.3833333333333333</v>
      </c>
      <c r="E31" s="121" t="str">
        <f>+effort!G32</f>
        <v>CLOSED</v>
      </c>
      <c r="F31" s="122" t="str">
        <f>+harvest!G32</f>
        <v>CLOSED</v>
      </c>
      <c r="G31" s="119" t="str">
        <f>+cpue!G32</f>
        <v>CLOSED</v>
      </c>
      <c r="H31" s="121">
        <f>+effort!I32</f>
        <v>1362.9613076494711</v>
      </c>
      <c r="I31" s="122">
        <f>+harvest!I32</f>
        <v>15829.480450244733</v>
      </c>
      <c r="J31" s="119">
        <f>+cpue!I32</f>
        <v>11.614035087719298</v>
      </c>
      <c r="K31" s="121" t="str">
        <f>+effort!K32</f>
        <v>CLOSED</v>
      </c>
      <c r="L31" s="122" t="str">
        <f>+harvest!K32</f>
        <v>CLOSED</v>
      </c>
      <c r="M31" s="119" t="str">
        <f>+cpue!K32</f>
        <v>CLOSED</v>
      </c>
      <c r="N31" s="121" t="str">
        <f>+effort!M32</f>
        <v>CLOSED</v>
      </c>
      <c r="O31" s="122" t="str">
        <f>+harvest!M32</f>
        <v>CLOSED</v>
      </c>
      <c r="P31" s="119" t="str">
        <f>+cpue!M32</f>
        <v>CLOSED</v>
      </c>
      <c r="Q31" s="121" t="s">
        <v>47</v>
      </c>
      <c r="R31" s="122" t="s">
        <v>47</v>
      </c>
      <c r="S31" s="119" t="s">
        <v>47</v>
      </c>
      <c r="T31" s="121">
        <f t="shared" ref="T31:U33" si="0">+H31</f>
        <v>1362.9613076494711</v>
      </c>
      <c r="U31" s="122">
        <f t="shared" si="0"/>
        <v>15829.480450244733</v>
      </c>
    </row>
    <row r="32" spans="1:21" x14ac:dyDescent="0.25">
      <c r="A32" s="118">
        <v>39518</v>
      </c>
      <c r="B32" s="130" t="s">
        <v>68</v>
      </c>
      <c r="C32" s="131">
        <v>-0.1</v>
      </c>
      <c r="D32" s="120">
        <v>0.41597222222222219</v>
      </c>
      <c r="E32" s="121" t="str">
        <f>+effort!G33</f>
        <v>CLOSED</v>
      </c>
      <c r="F32" s="122" t="str">
        <f>+harvest!G33</f>
        <v>CLOSED</v>
      </c>
      <c r="G32" s="119" t="str">
        <f>+cpue!G33</f>
        <v>CLOSED</v>
      </c>
      <c r="H32" s="121">
        <f>+effort!I33</f>
        <v>988.08401290184122</v>
      </c>
      <c r="I32" s="122">
        <f>+harvest!I33</f>
        <v>679.30775887001573</v>
      </c>
      <c r="J32" s="119">
        <f>+cpue!I33</f>
        <v>0.68749999999999989</v>
      </c>
      <c r="K32" s="121" t="str">
        <f>+effort!K33</f>
        <v>CLOSED</v>
      </c>
      <c r="L32" s="122" t="str">
        <f>+harvest!K33</f>
        <v>CLOSED</v>
      </c>
      <c r="M32" s="119" t="str">
        <f>+cpue!K33</f>
        <v>CLOSED</v>
      </c>
      <c r="N32" s="121" t="str">
        <f>+effort!M33</f>
        <v>CLOSED</v>
      </c>
      <c r="O32" s="122" t="str">
        <f>+harvest!M33</f>
        <v>CLOSED</v>
      </c>
      <c r="P32" s="119" t="str">
        <f>+cpue!M33</f>
        <v>CLOSED</v>
      </c>
      <c r="Q32" s="121" t="s">
        <v>47</v>
      </c>
      <c r="R32" s="122" t="s">
        <v>47</v>
      </c>
      <c r="S32" s="119" t="s">
        <v>47</v>
      </c>
      <c r="T32" s="121">
        <f t="shared" si="0"/>
        <v>988.08401290184122</v>
      </c>
      <c r="U32" s="122">
        <f t="shared" si="0"/>
        <v>679.30775887001573</v>
      </c>
    </row>
    <row r="33" spans="1:21" x14ac:dyDescent="0.25">
      <c r="A33" s="118">
        <v>39519</v>
      </c>
      <c r="B33" s="119" t="s">
        <v>65</v>
      </c>
      <c r="C33" s="131" t="s">
        <v>67</v>
      </c>
      <c r="D33" s="120">
        <v>0.45208333333333334</v>
      </c>
      <c r="E33" s="121" t="str">
        <f>+effort!G34</f>
        <v>CLOSED</v>
      </c>
      <c r="F33" s="122" t="str">
        <f>+harvest!G34</f>
        <v>CLOSED</v>
      </c>
      <c r="G33" s="119" t="str">
        <f>+cpue!G34</f>
        <v>CLOSED</v>
      </c>
      <c r="H33" s="121">
        <f>+effort!I34</f>
        <v>1078.7781714367634</v>
      </c>
      <c r="I33" s="122">
        <f>+harvest!I34</f>
        <v>14656.503432623611</v>
      </c>
      <c r="J33" s="119">
        <f>+cpue!I34</f>
        <v>13.586206896551722</v>
      </c>
      <c r="K33" s="121" t="str">
        <f>+effort!K34</f>
        <v>CLOSED</v>
      </c>
      <c r="L33" s="122" t="str">
        <f>+harvest!K34</f>
        <v>CLOSED</v>
      </c>
      <c r="M33" s="119" t="str">
        <f>+cpue!K34</f>
        <v>CLOSED</v>
      </c>
      <c r="N33" s="121" t="str">
        <f>+effort!M34</f>
        <v>CLOSED</v>
      </c>
      <c r="O33" s="122" t="str">
        <f>+harvest!M34</f>
        <v>CLOSED</v>
      </c>
      <c r="P33" s="119" t="str">
        <f>+cpue!M34</f>
        <v>CLOSED</v>
      </c>
      <c r="Q33" s="121" t="s">
        <v>47</v>
      </c>
      <c r="R33" s="122" t="s">
        <v>47</v>
      </c>
      <c r="S33" s="119" t="s">
        <v>47</v>
      </c>
      <c r="T33" s="121">
        <f t="shared" si="0"/>
        <v>1078.7781714367634</v>
      </c>
      <c r="U33" s="122">
        <f t="shared" si="0"/>
        <v>14656.503432623611</v>
      </c>
    </row>
    <row r="34" spans="1:21" x14ac:dyDescent="0.25">
      <c r="A34" s="125" t="s">
        <v>31</v>
      </c>
      <c r="B34" s="126"/>
      <c r="C34" s="126"/>
      <c r="D34" s="126"/>
      <c r="E34" s="128">
        <f>SUM(E29:E33)</f>
        <v>13969.432109130499</v>
      </c>
      <c r="F34" s="129">
        <f>SUM(F29:F33)</f>
        <v>82794.780805538612</v>
      </c>
      <c r="G34" s="127">
        <f>+F34/E34</f>
        <v>5.9268537302546092</v>
      </c>
      <c r="H34" s="128">
        <f>SUM(H28:H33)</f>
        <v>15650.420218564743</v>
      </c>
      <c r="I34" s="129">
        <f>SUM(I28:I33)</f>
        <v>132882.98726432933</v>
      </c>
      <c r="J34" s="127">
        <f>+I34/H34</f>
        <v>8.4906977198415241</v>
      </c>
      <c r="K34" s="128"/>
      <c r="L34" s="129"/>
      <c r="M34" s="127"/>
      <c r="N34" s="128"/>
      <c r="O34" s="129"/>
      <c r="P34" s="127"/>
      <c r="Q34" s="128">
        <v>0</v>
      </c>
      <c r="R34" s="129">
        <v>0</v>
      </c>
      <c r="S34" s="127">
        <v>0</v>
      </c>
      <c r="T34" s="128">
        <f>SUM(T28:T33)</f>
        <v>29619.852327695244</v>
      </c>
      <c r="U34" s="129">
        <f>SUM(U28:U33)</f>
        <v>215677.76806986795</v>
      </c>
    </row>
    <row r="35" spans="1:21" x14ac:dyDescent="0.25">
      <c r="A35" s="118">
        <v>39544</v>
      </c>
      <c r="B35" s="119" t="s">
        <v>17</v>
      </c>
      <c r="C35" s="130">
        <v>-0.7</v>
      </c>
      <c r="D35" s="120">
        <v>0.30763888888888891</v>
      </c>
      <c r="E35" s="121">
        <f>+effort!G36</f>
        <v>5384.2383674798712</v>
      </c>
      <c r="F35" s="122">
        <f>+harvest!G36</f>
        <v>68841.33341277836</v>
      </c>
      <c r="G35" s="119">
        <f>+cpue!G36</f>
        <v>12.785714285714286</v>
      </c>
      <c r="H35" s="121">
        <f>+effort!I36</f>
        <v>2417.8372790520098</v>
      </c>
      <c r="I35" s="122">
        <f>+harvest!I36</f>
        <v>29518.870516777832</v>
      </c>
      <c r="J35" s="119">
        <f>+cpue!I36</f>
        <v>12.208791208791208</v>
      </c>
      <c r="K35" s="121" t="str">
        <f>+effort!K36</f>
        <v>CLOSED</v>
      </c>
      <c r="L35" s="122" t="str">
        <f>+harvest!K36</f>
        <v>CLOSED</v>
      </c>
      <c r="M35" s="119" t="str">
        <f>+cpue!K36</f>
        <v>CLOSED</v>
      </c>
      <c r="N35" s="121" t="str">
        <f>+effort!M36</f>
        <v>CLOSED</v>
      </c>
      <c r="O35" s="122" t="str">
        <f>+harvest!M36</f>
        <v>CLOSED</v>
      </c>
      <c r="P35" s="119" t="str">
        <f>+cpue!M36</f>
        <v>CLOSED</v>
      </c>
      <c r="Q35" s="121" t="s">
        <v>47</v>
      </c>
      <c r="R35" s="122" t="s">
        <v>47</v>
      </c>
      <c r="S35" s="119" t="s">
        <v>47</v>
      </c>
      <c r="T35" s="121">
        <f t="shared" ref="T35:U37" si="1">+E35+H35</f>
        <v>7802.0756465318809</v>
      </c>
      <c r="U35" s="122">
        <f t="shared" si="1"/>
        <v>98360.203929556184</v>
      </c>
    </row>
    <row r="36" spans="1:21" x14ac:dyDescent="0.25">
      <c r="A36" s="118">
        <v>39545</v>
      </c>
      <c r="B36" s="130" t="s">
        <v>37</v>
      </c>
      <c r="C36" s="119">
        <v>-1.2</v>
      </c>
      <c r="D36" s="120">
        <v>0.33958333333333335</v>
      </c>
      <c r="E36" s="121">
        <f>+effort!G37</f>
        <v>4740.2219992992195</v>
      </c>
      <c r="F36" s="122">
        <f>+harvest!G37</f>
        <v>46176.300510414811</v>
      </c>
      <c r="G36" s="119">
        <f>+cpue!G37</f>
        <v>9.7413793103448274</v>
      </c>
      <c r="H36" s="121">
        <f>+effort!I37</f>
        <v>1637.4598623075162</v>
      </c>
      <c r="I36" s="122">
        <f>+harvest!I37</f>
        <v>15321.945854448904</v>
      </c>
      <c r="J36" s="119">
        <f>+cpue!I37</f>
        <v>9.3571428571428594</v>
      </c>
      <c r="K36" s="121" t="str">
        <f>+effort!K37</f>
        <v>CLOSED</v>
      </c>
      <c r="L36" s="122" t="str">
        <f>+harvest!K37</f>
        <v>CLOSED</v>
      </c>
      <c r="M36" s="119" t="str">
        <f>+cpue!K37</f>
        <v>CLOSED</v>
      </c>
      <c r="N36" s="121" t="str">
        <f>+effort!M37</f>
        <v>CLOSED</v>
      </c>
      <c r="O36" s="122" t="str">
        <f>+harvest!M37</f>
        <v>CLOSED</v>
      </c>
      <c r="P36" s="119" t="str">
        <f>+cpue!M37</f>
        <v>CLOSED</v>
      </c>
      <c r="Q36" s="121" t="s">
        <v>47</v>
      </c>
      <c r="R36" s="122" t="s">
        <v>47</v>
      </c>
      <c r="S36" s="119" t="s">
        <v>47</v>
      </c>
      <c r="T36" s="121">
        <f t="shared" si="1"/>
        <v>6377.6818616067358</v>
      </c>
      <c r="U36" s="122">
        <f t="shared" si="1"/>
        <v>61498.246364863713</v>
      </c>
    </row>
    <row r="37" spans="1:21" x14ac:dyDescent="0.25">
      <c r="A37" s="118">
        <v>39546</v>
      </c>
      <c r="B37" s="130" t="s">
        <v>68</v>
      </c>
      <c r="C37" s="119">
        <v>-1.5</v>
      </c>
      <c r="D37" s="120">
        <v>0.37152777777777773</v>
      </c>
      <c r="E37" s="121">
        <f>+effort!G38</f>
        <v>3758.6691335822602</v>
      </c>
      <c r="F37" s="122">
        <f>+harvest!G38</f>
        <v>43416.463869542029</v>
      </c>
      <c r="G37" s="119">
        <f>+cpue!G38</f>
        <v>11.551020408163266</v>
      </c>
      <c r="H37" s="121">
        <f>+effort!I38</f>
        <v>1908.4520625370749</v>
      </c>
      <c r="I37" s="122">
        <f>+harvest!I38</f>
        <v>27990.630250543763</v>
      </c>
      <c r="J37" s="119">
        <f>+cpue!I38</f>
        <v>14.666666666666666</v>
      </c>
      <c r="K37" s="121" t="str">
        <f>+effort!K38</f>
        <v>CLOSED</v>
      </c>
      <c r="L37" s="122" t="str">
        <f>+harvest!K38</f>
        <v>CLOSED</v>
      </c>
      <c r="M37" s="119" t="str">
        <f>+cpue!K38</f>
        <v>CLOSED</v>
      </c>
      <c r="N37" s="121" t="str">
        <f>+effort!M38</f>
        <v>CLOSED</v>
      </c>
      <c r="O37" s="122" t="str">
        <f>+harvest!M38</f>
        <v>CLOSED</v>
      </c>
      <c r="P37" s="119" t="str">
        <f>+cpue!M38</f>
        <v>CLOSED</v>
      </c>
      <c r="Q37" s="121" t="s">
        <v>47</v>
      </c>
      <c r="R37" s="122" t="s">
        <v>47</v>
      </c>
      <c r="S37" s="119" t="s">
        <v>47</v>
      </c>
      <c r="T37" s="121">
        <f t="shared" si="1"/>
        <v>5667.1211961193349</v>
      </c>
      <c r="U37" s="122">
        <f t="shared" si="1"/>
        <v>71407.094120085792</v>
      </c>
    </row>
    <row r="38" spans="1:21" x14ac:dyDescent="0.25">
      <c r="A38" s="118">
        <v>39547</v>
      </c>
      <c r="B38" s="119" t="s">
        <v>65</v>
      </c>
      <c r="C38" s="119">
        <v>-1.4</v>
      </c>
      <c r="D38" s="120">
        <v>0.40486111111111112</v>
      </c>
      <c r="E38" s="121" t="str">
        <f>+effort!G39</f>
        <v>CLOSED</v>
      </c>
      <c r="F38" s="122" t="str">
        <f>+harvest!G39</f>
        <v>CLOSED</v>
      </c>
      <c r="G38" s="119" t="str">
        <f>+cpue!G39</f>
        <v>CLOSED</v>
      </c>
      <c r="H38" s="121">
        <f>+effort!I39</f>
        <v>1330.211145107342</v>
      </c>
      <c r="I38" s="122">
        <f>+harvest!I39</f>
        <v>18683.420174462211</v>
      </c>
      <c r="J38" s="119">
        <f>+cpue!I39</f>
        <v>14.045454545454545</v>
      </c>
      <c r="K38" s="121" t="str">
        <f>+effort!K39</f>
        <v>CLOSED</v>
      </c>
      <c r="L38" s="122" t="str">
        <f>+harvest!K39</f>
        <v>CLOSED</v>
      </c>
      <c r="M38" s="119" t="str">
        <f>+cpue!K39</f>
        <v>CLOSED</v>
      </c>
      <c r="N38" s="121" t="str">
        <f>+effort!M39</f>
        <v>CLOSED</v>
      </c>
      <c r="O38" s="122" t="str">
        <f>+harvest!M39</f>
        <v>CLOSED</v>
      </c>
      <c r="P38" s="119" t="str">
        <f>+cpue!M39</f>
        <v>CLOSED</v>
      </c>
      <c r="Q38" s="121" t="s">
        <v>47</v>
      </c>
      <c r="R38" s="122" t="s">
        <v>47</v>
      </c>
      <c r="S38" s="119" t="s">
        <v>47</v>
      </c>
      <c r="T38" s="121">
        <f>+H38</f>
        <v>1330.211145107342</v>
      </c>
      <c r="U38" s="122">
        <f>+I38</f>
        <v>18683.420174462211</v>
      </c>
    </row>
    <row r="39" spans="1:21" x14ac:dyDescent="0.25">
      <c r="A39" s="125" t="s">
        <v>31</v>
      </c>
      <c r="B39" s="126"/>
      <c r="C39" s="126"/>
      <c r="D39" s="126"/>
      <c r="E39" s="128">
        <f>SUM(E35:E38)</f>
        <v>13883.12950036135</v>
      </c>
      <c r="F39" s="129">
        <f>SUM(F35:F38)</f>
        <v>158434.09779273521</v>
      </c>
      <c r="G39" s="127">
        <f>+F39/E39</f>
        <v>11.41198731803312</v>
      </c>
      <c r="H39" s="128">
        <f>SUM(H35:H38)</f>
        <v>7293.9603490039426</v>
      </c>
      <c r="I39" s="129">
        <f>SUM(I35:I38)</f>
        <v>91514.866796232716</v>
      </c>
      <c r="J39" s="127">
        <f>+I39/H39</f>
        <v>12.546663598017764</v>
      </c>
      <c r="K39" s="128"/>
      <c r="L39" s="129"/>
      <c r="M39" s="127"/>
      <c r="N39" s="128"/>
      <c r="O39" s="129"/>
      <c r="P39" s="127"/>
      <c r="Q39" s="128">
        <v>0</v>
      </c>
      <c r="R39" s="129">
        <v>0</v>
      </c>
      <c r="S39" s="127">
        <v>0</v>
      </c>
      <c r="T39" s="128">
        <f>SUM(T35:T38)</f>
        <v>21177.089849365293</v>
      </c>
      <c r="U39" s="129">
        <f>SUM(U35:U38)</f>
        <v>249948.96458896791</v>
      </c>
    </row>
    <row r="40" spans="1:21" x14ac:dyDescent="0.25">
      <c r="A40" s="118">
        <v>39557</v>
      </c>
      <c r="B40" s="119" t="s">
        <v>15</v>
      </c>
      <c r="C40" s="130">
        <v>-0.1</v>
      </c>
      <c r="D40" s="120">
        <v>0.27777777777777779</v>
      </c>
      <c r="E40" s="121">
        <f>+effort!G41</f>
        <v>4574.880038315705</v>
      </c>
      <c r="F40" s="122">
        <f>+harvest!G41</f>
        <v>13403.595901731978</v>
      </c>
      <c r="G40" s="119">
        <f>+cpue!G41</f>
        <v>2.929824561403509</v>
      </c>
      <c r="H40" s="121">
        <f>+effort!I41</f>
        <v>2099.8389968144629</v>
      </c>
      <c r="I40" s="122">
        <f>+harvest!I41</f>
        <v>8296.924816681536</v>
      </c>
      <c r="J40" s="119">
        <f>+cpue!I41</f>
        <v>3.9512195121951219</v>
      </c>
      <c r="K40" s="121">
        <f>+effort!K41</f>
        <v>3670</v>
      </c>
      <c r="L40" s="122">
        <f>+harvest!K41</f>
        <v>42634</v>
      </c>
      <c r="M40" s="119">
        <f>+cpue!K41</f>
        <v>12.538461538461538</v>
      </c>
      <c r="N40" s="121">
        <f>+effort!M41</f>
        <v>2722</v>
      </c>
      <c r="O40" s="122">
        <f>+harvest!M41</f>
        <v>28286</v>
      </c>
      <c r="P40" s="119">
        <f>+cpue!M41</f>
        <v>9.2911392405063289</v>
      </c>
      <c r="Q40" s="121" t="s">
        <v>47</v>
      </c>
      <c r="R40" s="122" t="s">
        <v>47</v>
      </c>
      <c r="S40" s="119" t="s">
        <v>47</v>
      </c>
      <c r="T40" s="121">
        <f>+E40+H40+K40+N40</f>
        <v>13066.719035130169</v>
      </c>
      <c r="U40" s="122">
        <f>+F40+I40+L40+O40</f>
        <v>92620.520718413522</v>
      </c>
    </row>
    <row r="41" spans="1:21" x14ac:dyDescent="0.25">
      <c r="A41" s="118">
        <v>39558</v>
      </c>
      <c r="B41" s="130" t="s">
        <v>17</v>
      </c>
      <c r="C41" s="119">
        <v>-0.4</v>
      </c>
      <c r="D41" s="120">
        <v>0.3</v>
      </c>
      <c r="E41" s="121">
        <f>+effort!G42</f>
        <v>4695.2012137066959</v>
      </c>
      <c r="F41" s="122">
        <f>+harvest!G42</f>
        <v>27669.046724624488</v>
      </c>
      <c r="G41" s="119">
        <f>+cpue!G42</f>
        <v>5.8930481283422465</v>
      </c>
      <c r="H41" s="121">
        <f>+effort!I42</f>
        <v>1582.4340929317173</v>
      </c>
      <c r="I41" s="122">
        <f>+harvest!I42</f>
        <v>19033.784723432211</v>
      </c>
      <c r="J41" s="119">
        <f>+cpue!I42</f>
        <v>12.028169014084511</v>
      </c>
      <c r="K41" s="121">
        <f>+effort!K42</f>
        <v>4640</v>
      </c>
      <c r="L41" s="122">
        <f>+harvest!K42</f>
        <v>71891</v>
      </c>
      <c r="M41" s="119">
        <f>+cpue!K42</f>
        <v>15.571428571428571</v>
      </c>
      <c r="N41" s="121">
        <f>+effort!M42</f>
        <v>2251</v>
      </c>
      <c r="O41" s="122">
        <f>+harvest!M42</f>
        <v>33582</v>
      </c>
      <c r="P41" s="119">
        <f>+cpue!M42</f>
        <v>14.932203389830509</v>
      </c>
      <c r="Q41" s="121" t="s">
        <v>47</v>
      </c>
      <c r="R41" s="122" t="s">
        <v>47</v>
      </c>
      <c r="S41" s="119" t="s">
        <v>47</v>
      </c>
      <c r="T41" s="121">
        <f>+E41+H41+K41+N41</f>
        <v>13168.635306638413</v>
      </c>
      <c r="U41" s="122">
        <f>+F41+I41+L41+O41</f>
        <v>152175.83144805671</v>
      </c>
    </row>
    <row r="42" spans="1:21" x14ac:dyDescent="0.25">
      <c r="A42" s="118">
        <v>39559</v>
      </c>
      <c r="B42" s="130" t="s">
        <v>37</v>
      </c>
      <c r="C42" s="119">
        <v>-0.6</v>
      </c>
      <c r="D42" s="120">
        <v>0.3298611111111111</v>
      </c>
      <c r="E42" s="121" t="str">
        <f>+effort!G43</f>
        <v>CLOSED</v>
      </c>
      <c r="F42" s="122" t="str">
        <f>+harvest!G43</f>
        <v>CLOSED</v>
      </c>
      <c r="G42" s="119" t="str">
        <f>+cpue!G43</f>
        <v>CLOSED</v>
      </c>
      <c r="H42" s="121">
        <f>+effort!I43</f>
        <v>1520.9003728452728</v>
      </c>
      <c r="I42" s="122">
        <f>+harvest!I43</f>
        <v>22813.505592679096</v>
      </c>
      <c r="J42" s="119">
        <f>+cpue!I43</f>
        <v>15.000000000000002</v>
      </c>
      <c r="K42" s="121" t="str">
        <f>+effort!K43</f>
        <v>CLOSED</v>
      </c>
      <c r="L42" s="122" t="str">
        <f>+harvest!K43</f>
        <v>CLOSED</v>
      </c>
      <c r="M42" s="119" t="str">
        <f>+cpue!K43</f>
        <v>CLOSED</v>
      </c>
      <c r="N42" s="121" t="str">
        <f>+effort!M43</f>
        <v>CLOSED</v>
      </c>
      <c r="O42" s="122" t="str">
        <f>+harvest!M43</f>
        <v>CLOSED</v>
      </c>
      <c r="P42" s="119" t="str">
        <f>+cpue!M43</f>
        <v>CLOSED</v>
      </c>
      <c r="Q42" s="121" t="s">
        <v>47</v>
      </c>
      <c r="R42" s="122" t="s">
        <v>47</v>
      </c>
      <c r="S42" s="119" t="s">
        <v>47</v>
      </c>
      <c r="T42" s="121">
        <f t="shared" ref="T42:U44" si="2">+H42</f>
        <v>1520.9003728452728</v>
      </c>
      <c r="U42" s="122">
        <f t="shared" si="2"/>
        <v>22813.505592679096</v>
      </c>
    </row>
    <row r="43" spans="1:21" x14ac:dyDescent="0.25">
      <c r="A43" s="118">
        <v>39560</v>
      </c>
      <c r="B43" s="130" t="s">
        <v>68</v>
      </c>
      <c r="C43" s="119">
        <v>-0.6</v>
      </c>
      <c r="D43" s="120">
        <v>0.35416666666666669</v>
      </c>
      <c r="E43" s="121" t="str">
        <f>+effort!G44</f>
        <v>CLOSED</v>
      </c>
      <c r="F43" s="122" t="str">
        <f>+harvest!G44</f>
        <v>CLOSED</v>
      </c>
      <c r="G43" s="119" t="str">
        <f>+cpue!G44</f>
        <v>CLOSED</v>
      </c>
      <c r="H43" s="121">
        <f>+effort!I44</f>
        <v>1500</v>
      </c>
      <c r="I43" s="122">
        <f>+harvest!I44</f>
        <v>22500</v>
      </c>
      <c r="J43" s="119">
        <f>+cpue!I44</f>
        <v>15</v>
      </c>
      <c r="K43" s="121" t="str">
        <f>+effort!K44</f>
        <v>CLOSED</v>
      </c>
      <c r="L43" s="122" t="str">
        <f>+harvest!K44</f>
        <v>CLOSED</v>
      </c>
      <c r="M43" s="119" t="str">
        <f>+cpue!K44</f>
        <v>CLOSED</v>
      </c>
      <c r="N43" s="121" t="str">
        <f>+effort!M44</f>
        <v>CLOSED</v>
      </c>
      <c r="O43" s="122" t="str">
        <f>+harvest!M44</f>
        <v>CLOSED</v>
      </c>
      <c r="P43" s="119" t="str">
        <f>+cpue!M44</f>
        <v>CLOSED</v>
      </c>
      <c r="Q43" s="121" t="s">
        <v>47</v>
      </c>
      <c r="R43" s="122" t="s">
        <v>47</v>
      </c>
      <c r="S43" s="119" t="s">
        <v>47</v>
      </c>
      <c r="T43" s="121">
        <f t="shared" si="2"/>
        <v>1500</v>
      </c>
      <c r="U43" s="122">
        <f t="shared" si="2"/>
        <v>22500</v>
      </c>
    </row>
    <row r="44" spans="1:21" x14ac:dyDescent="0.25">
      <c r="A44" s="118">
        <v>39561</v>
      </c>
      <c r="B44" s="130" t="s">
        <v>65</v>
      </c>
      <c r="C44" s="119">
        <v>-0.5</v>
      </c>
      <c r="D44" s="120">
        <v>0.37916666666666665</v>
      </c>
      <c r="E44" s="121" t="str">
        <f>+effort!G45</f>
        <v>CLOSED</v>
      </c>
      <c r="F44" s="122" t="str">
        <f>+harvest!G45</f>
        <v>CLOSED</v>
      </c>
      <c r="G44" s="119" t="str">
        <f>+cpue!G45</f>
        <v>CLOSED</v>
      </c>
      <c r="H44" s="121">
        <f>+effort!I45</f>
        <v>1550</v>
      </c>
      <c r="I44" s="122">
        <f>+harvest!I45</f>
        <v>23000</v>
      </c>
      <c r="J44" s="119">
        <f>+cpue!I45</f>
        <v>14.838709677419354</v>
      </c>
      <c r="K44" s="121" t="str">
        <f>+effort!K45</f>
        <v>CLOSED</v>
      </c>
      <c r="L44" s="122" t="str">
        <f>+harvest!K45</f>
        <v>CLOSED</v>
      </c>
      <c r="M44" s="119" t="str">
        <f>+cpue!K45</f>
        <v>CLOSED</v>
      </c>
      <c r="N44" s="121" t="str">
        <f>+effort!M45</f>
        <v>CLOSED</v>
      </c>
      <c r="O44" s="122" t="str">
        <f>+harvest!M45</f>
        <v>CLOSED</v>
      </c>
      <c r="P44" s="119" t="str">
        <f>+cpue!M45</f>
        <v>CLOSED</v>
      </c>
      <c r="Q44" s="121" t="s">
        <v>47</v>
      </c>
      <c r="R44" s="122" t="s">
        <v>47</v>
      </c>
      <c r="S44" s="119" t="s">
        <v>47</v>
      </c>
      <c r="T44" s="121">
        <f t="shared" si="2"/>
        <v>1550</v>
      </c>
      <c r="U44" s="122">
        <f t="shared" si="2"/>
        <v>23000</v>
      </c>
    </row>
    <row r="45" spans="1:21" x14ac:dyDescent="0.25">
      <c r="A45" s="125" t="s">
        <v>31</v>
      </c>
      <c r="B45" s="126"/>
      <c r="C45" s="126"/>
      <c r="D45" s="126"/>
      <c r="E45" s="128">
        <f>SUM(E40:E44)</f>
        <v>9270.0812520224008</v>
      </c>
      <c r="F45" s="129">
        <f>SUM(F40:F44)</f>
        <v>41072.642626356464</v>
      </c>
      <c r="G45" s="127">
        <f>+F45/E45</f>
        <v>4.4306669499143689</v>
      </c>
      <c r="H45" s="128">
        <f>SUM(H40:H44)</f>
        <v>8253.1734625914542</v>
      </c>
      <c r="I45" s="129">
        <f>SUM(I40:I44)</f>
        <v>95644.215132792844</v>
      </c>
      <c r="J45" s="127">
        <f>+I45/H45</f>
        <v>11.588780432922229</v>
      </c>
      <c r="K45" s="128">
        <f>SUM(K40:K44)</f>
        <v>8310</v>
      </c>
      <c r="L45" s="129">
        <f>SUM(L40:L44)</f>
        <v>114525</v>
      </c>
      <c r="M45" s="127"/>
      <c r="N45" s="128">
        <f>SUM(N40:N44)</f>
        <v>4973</v>
      </c>
      <c r="O45" s="129">
        <f>SUM(O40:O44)</f>
        <v>61868</v>
      </c>
      <c r="P45" s="127">
        <f>+O45/N45</f>
        <v>12.440780213151015</v>
      </c>
      <c r="Q45" s="128">
        <v>0</v>
      </c>
      <c r="R45" s="129">
        <v>0</v>
      </c>
      <c r="S45" s="127">
        <v>0</v>
      </c>
      <c r="T45" s="128">
        <f>SUM(T40:T44)</f>
        <v>30806.254714613853</v>
      </c>
      <c r="U45" s="129">
        <f>SUM(U40:U44)</f>
        <v>313109.85775914934</v>
      </c>
    </row>
    <row r="46" spans="1:21" x14ac:dyDescent="0.25">
      <c r="A46" s="132">
        <v>39571</v>
      </c>
      <c r="B46" s="119" t="s">
        <v>15</v>
      </c>
      <c r="C46" s="130">
        <v>-0.3</v>
      </c>
      <c r="D46" s="120">
        <v>0.22708333333333333</v>
      </c>
      <c r="E46" s="121">
        <f>+effort!G47</f>
        <v>7829.55</v>
      </c>
      <c r="F46" s="122">
        <f>+harvest!G47</f>
        <v>112339.12</v>
      </c>
      <c r="G46" s="119">
        <f>+cpue!G47</f>
        <v>14.348094079480941</v>
      </c>
      <c r="H46" s="121">
        <f>+effort!I47</f>
        <v>3048</v>
      </c>
      <c r="I46" s="122">
        <f>+harvest!I47</f>
        <v>45720</v>
      </c>
      <c r="J46" s="119">
        <f>+cpue!I47</f>
        <v>15</v>
      </c>
      <c r="K46" s="121" t="str">
        <f>+effort!K47</f>
        <v>CLOSED</v>
      </c>
      <c r="L46" s="122" t="str">
        <f>+harvest!K47</f>
        <v>CLOSED</v>
      </c>
      <c r="M46" s="119" t="str">
        <f>+cpue!K47</f>
        <v>CLOSED</v>
      </c>
      <c r="N46" s="121" t="str">
        <f>+effort!M47</f>
        <v>CLOSED</v>
      </c>
      <c r="O46" s="122" t="str">
        <f>+harvest!M47</f>
        <v>CLOSED</v>
      </c>
      <c r="P46" s="119" t="str">
        <f>+cpue!M47</f>
        <v>CLOSED</v>
      </c>
      <c r="Q46" s="121" t="s">
        <v>47</v>
      </c>
      <c r="R46" s="122" t="s">
        <v>47</v>
      </c>
      <c r="S46" s="119" t="s">
        <v>47</v>
      </c>
      <c r="T46" s="121">
        <f>+E46+H46</f>
        <v>10877.55</v>
      </c>
      <c r="U46" s="122">
        <f>+F46+I46</f>
        <v>158059.12</v>
      </c>
    </row>
    <row r="47" spans="1:21" x14ac:dyDescent="0.25">
      <c r="A47" s="132">
        <v>39572</v>
      </c>
      <c r="B47" s="130" t="s">
        <v>17</v>
      </c>
      <c r="C47" s="130">
        <v>-1.2</v>
      </c>
      <c r="D47" s="120">
        <v>0.26111111111111113</v>
      </c>
      <c r="E47" s="121">
        <f>+effort!G48</f>
        <v>7456.17</v>
      </c>
      <c r="F47" s="122">
        <f>+harvest!G48</f>
        <v>106989.88</v>
      </c>
      <c r="G47" s="119">
        <f>+cpue!G48</f>
        <v>14.349173905637882</v>
      </c>
      <c r="H47" s="121">
        <f>+effort!I48</f>
        <v>2032</v>
      </c>
      <c r="I47" s="122">
        <f>+harvest!I48</f>
        <v>29845</v>
      </c>
      <c r="J47" s="119">
        <f>+cpue!I48</f>
        <v>14.6875</v>
      </c>
      <c r="K47" s="121">
        <f>+effort!K48</f>
        <v>3218</v>
      </c>
      <c r="L47" s="122">
        <f>+harvest!K48</f>
        <v>48270</v>
      </c>
      <c r="M47" s="119">
        <f>+cpue!K48</f>
        <v>15</v>
      </c>
      <c r="N47" s="121">
        <f>+effort!M48</f>
        <v>2336</v>
      </c>
      <c r="O47" s="122">
        <f>+harvest!M48</f>
        <v>35034</v>
      </c>
      <c r="P47" s="119">
        <f>+cpue!M48</f>
        <v>15</v>
      </c>
      <c r="Q47" s="121" t="s">
        <v>47</v>
      </c>
      <c r="R47" s="122" t="s">
        <v>47</v>
      </c>
      <c r="S47" s="119" t="s">
        <v>47</v>
      </c>
      <c r="T47" s="121">
        <f>+E47+H47+K47+N47</f>
        <v>15042.17</v>
      </c>
      <c r="U47" s="122">
        <f>+F47+I47+L47+O47</f>
        <v>220138.88</v>
      </c>
    </row>
    <row r="48" spans="1:21" x14ac:dyDescent="0.25">
      <c r="A48" s="132">
        <v>39573</v>
      </c>
      <c r="B48" s="130" t="s">
        <v>37</v>
      </c>
      <c r="C48" s="130">
        <v>-1.9</v>
      </c>
      <c r="D48" s="120">
        <v>0.29444444444444445</v>
      </c>
      <c r="E48" s="121">
        <f>+effort!G49</f>
        <v>3618.9036985469438</v>
      </c>
      <c r="F48" s="122">
        <f>+harvest!G49</f>
        <v>51261.584348489698</v>
      </c>
      <c r="G48" s="119">
        <f>+cpue!G49</f>
        <v>14.164948453608247</v>
      </c>
      <c r="H48" s="121">
        <f>+effort!I49</f>
        <v>957.54317817483798</v>
      </c>
      <c r="I48" s="122">
        <f>+harvest!I49</f>
        <v>14363.14767262257</v>
      </c>
      <c r="J48" s="119">
        <f>+cpue!I49</f>
        <v>15</v>
      </c>
      <c r="K48" s="121">
        <f>+effort!K49</f>
        <v>1775</v>
      </c>
      <c r="L48" s="122">
        <f>+harvest!K49</f>
        <v>26632</v>
      </c>
      <c r="M48" s="119">
        <f>+cpue!K49</f>
        <v>15</v>
      </c>
      <c r="N48" s="121">
        <f>+effort!M49</f>
        <v>1131</v>
      </c>
      <c r="O48" s="122">
        <f>+harvest!M49</f>
        <v>16972</v>
      </c>
      <c r="P48" s="119">
        <f>+cpue!M49</f>
        <v>15</v>
      </c>
      <c r="Q48" s="121" t="s">
        <v>47</v>
      </c>
      <c r="R48" s="122" t="s">
        <v>47</v>
      </c>
      <c r="S48" s="119" t="s">
        <v>47</v>
      </c>
      <c r="T48" s="121">
        <f>+E48+H48+K48+N48</f>
        <v>7482.4468767217822</v>
      </c>
      <c r="U48" s="122">
        <f>+F48+I48+L48+O48</f>
        <v>109228.73202111227</v>
      </c>
    </row>
    <row r="49" spans="1:21" x14ac:dyDescent="0.25">
      <c r="A49" s="132">
        <v>39574</v>
      </c>
      <c r="B49" s="130" t="s">
        <v>68</v>
      </c>
      <c r="C49" s="130">
        <v>-2.2999999999999998</v>
      </c>
      <c r="D49" s="120">
        <v>0.32708333333333334</v>
      </c>
      <c r="E49" s="121">
        <f>+effort!G50</f>
        <v>2616.102819357609</v>
      </c>
      <c r="F49" s="122">
        <f>+harvest!G50</f>
        <v>36669.736023771962</v>
      </c>
      <c r="G49" s="119">
        <f>+cpue!G50</f>
        <v>14.016932267507864</v>
      </c>
      <c r="H49" s="121">
        <f>+effort!I50</f>
        <v>1123.7942501256298</v>
      </c>
      <c r="I49" s="122">
        <f>+harvest!I50</f>
        <v>16856.913751884444</v>
      </c>
      <c r="J49" s="119">
        <f>+cpue!I50</f>
        <v>14.999999999999996</v>
      </c>
      <c r="K49" s="121" t="str">
        <f>+effort!K50</f>
        <v>CLOSED</v>
      </c>
      <c r="L49" s="122" t="str">
        <f>+harvest!K50</f>
        <v>CLOSED</v>
      </c>
      <c r="M49" s="119" t="str">
        <f>+cpue!K50</f>
        <v>CLOSED</v>
      </c>
      <c r="N49" s="121" t="str">
        <f>+effort!M50</f>
        <v>CLOSED</v>
      </c>
      <c r="O49" s="122" t="str">
        <f>+harvest!M50</f>
        <v>CLOSED</v>
      </c>
      <c r="P49" s="119" t="str">
        <f>+cpue!M50</f>
        <v>CLOSED</v>
      </c>
      <c r="Q49" s="121" t="s">
        <v>47</v>
      </c>
      <c r="R49" s="122" t="s">
        <v>47</v>
      </c>
      <c r="S49" s="119" t="s">
        <v>47</v>
      </c>
      <c r="T49" s="121">
        <f>+E49+H49</f>
        <v>3739.8970694832387</v>
      </c>
      <c r="U49" s="122">
        <f>+F49+I49</f>
        <v>53526.649775656406</v>
      </c>
    </row>
    <row r="50" spans="1:21" x14ac:dyDescent="0.25">
      <c r="A50" s="132">
        <v>39575</v>
      </c>
      <c r="B50" s="130" t="s">
        <v>65</v>
      </c>
      <c r="C50" s="130">
        <v>-2.4</v>
      </c>
      <c r="D50" s="120">
        <v>0.36041666666666666</v>
      </c>
      <c r="E50" s="121">
        <f>+effort!G51</f>
        <v>3873.9055649445345</v>
      </c>
      <c r="F50" s="122">
        <f>+harvest!G51</f>
        <v>57404.23700781446</v>
      </c>
      <c r="G50" s="119">
        <f>+cpue!G51</f>
        <v>14.818181818181817</v>
      </c>
      <c r="H50" s="121">
        <f>+effort!I51</f>
        <v>1664.1061533213569</v>
      </c>
      <c r="I50" s="122">
        <f>+harvest!I51</f>
        <v>25750</v>
      </c>
      <c r="J50" s="119">
        <f>+cpue!I51</f>
        <v>15.473772480563261</v>
      </c>
      <c r="K50" s="121" t="str">
        <f>+effort!K51</f>
        <v>CLOSED</v>
      </c>
      <c r="L50" s="122" t="str">
        <f>+harvest!K51</f>
        <v>CLOSED</v>
      </c>
      <c r="M50" s="119" t="str">
        <f>+cpue!K51</f>
        <v>CLOSED</v>
      </c>
      <c r="N50" s="121" t="str">
        <f>+effort!M51</f>
        <v>CLOSED</v>
      </c>
      <c r="O50" s="122" t="str">
        <f>+harvest!M51</f>
        <v>CLOSED</v>
      </c>
      <c r="P50" s="119" t="str">
        <f>+cpue!M51</f>
        <v>CLOSED</v>
      </c>
      <c r="Q50" s="121" t="s">
        <v>47</v>
      </c>
      <c r="R50" s="122" t="s">
        <v>47</v>
      </c>
      <c r="S50" s="119" t="s">
        <v>47</v>
      </c>
      <c r="T50" s="121">
        <f>+E50+H50</f>
        <v>5538.0117182658914</v>
      </c>
      <c r="U50" s="122">
        <f>+F50+I50</f>
        <v>83154.23700781446</v>
      </c>
    </row>
    <row r="51" spans="1:21" x14ac:dyDescent="0.25">
      <c r="A51" s="125" t="s">
        <v>31</v>
      </c>
      <c r="B51" s="126"/>
      <c r="C51" s="126"/>
      <c r="D51" s="126"/>
      <c r="E51" s="128">
        <f>SUM(E46:E50)</f>
        <v>25394.632082849086</v>
      </c>
      <c r="F51" s="129">
        <f>SUM(F46:F50)</f>
        <v>364664.55738007615</v>
      </c>
      <c r="G51" s="127">
        <f>+F51/E51</f>
        <v>14.359907093371977</v>
      </c>
      <c r="H51" s="128">
        <f>SUM(H46:H50)</f>
        <v>8825.4435816218247</v>
      </c>
      <c r="I51" s="129">
        <f>SUM(I46:I50)</f>
        <v>132535.061424507</v>
      </c>
      <c r="J51" s="127">
        <f>+I51/H51</f>
        <v>15.017382435087919</v>
      </c>
      <c r="K51" s="128">
        <f>SUM(K47:K50)</f>
        <v>4993</v>
      </c>
      <c r="L51" s="129">
        <f>SUM(L47:L50)</f>
        <v>74902</v>
      </c>
      <c r="M51" s="127"/>
      <c r="N51" s="128">
        <f>SUM(N47:N50)</f>
        <v>3467</v>
      </c>
      <c r="O51" s="129">
        <f>SUM(O47:O50)</f>
        <v>52006</v>
      </c>
      <c r="P51" s="127">
        <f>+O51/N51</f>
        <v>15.000288433804442</v>
      </c>
      <c r="Q51" s="128">
        <v>0</v>
      </c>
      <c r="R51" s="129">
        <v>0</v>
      </c>
      <c r="S51" s="127">
        <v>0</v>
      </c>
      <c r="T51" s="128">
        <f>SUM(T46:T50)</f>
        <v>42680.075664470918</v>
      </c>
      <c r="U51" s="129">
        <f>SUM(U46:U50)</f>
        <v>624107.61880458309</v>
      </c>
    </row>
    <row r="52" spans="1:21" x14ac:dyDescent="0.25">
      <c r="A52" s="133">
        <v>39592</v>
      </c>
      <c r="B52" s="134" t="s">
        <v>15</v>
      </c>
      <c r="C52" s="134">
        <v>-0.5</v>
      </c>
      <c r="D52" s="135">
        <v>0.4152777777777778</v>
      </c>
      <c r="E52" s="121" t="str">
        <f>+effort!G53</f>
        <v>CLOSED</v>
      </c>
      <c r="F52" s="122" t="str">
        <f>+harvest!G53</f>
        <v>CLOSED</v>
      </c>
      <c r="G52" s="119" t="str">
        <f>+cpue!G53</f>
        <v>CLOSED</v>
      </c>
      <c r="H52" s="121">
        <f>+effort!I53</f>
        <v>2497.1721009571829</v>
      </c>
      <c r="I52" s="122">
        <f>+harvest!I53</f>
        <v>24473.680328216768</v>
      </c>
      <c r="J52" s="119">
        <f>+cpue!I53</f>
        <v>9.8005581268651216</v>
      </c>
      <c r="K52" s="121">
        <f>+effort!K53</f>
        <v>5006</v>
      </c>
      <c r="L52" s="122">
        <f>+harvest!K53</f>
        <v>73537</v>
      </c>
      <c r="M52" s="119">
        <f>+cpue!K53</f>
        <v>14.741935483870968</v>
      </c>
      <c r="N52" s="121">
        <f>+effort!M53</f>
        <v>3707</v>
      </c>
      <c r="O52" s="122">
        <f>+harvest!M53</f>
        <v>55598</v>
      </c>
      <c r="P52" s="119">
        <f>+cpue!M53</f>
        <v>15</v>
      </c>
      <c r="Q52" s="121" t="s">
        <v>47</v>
      </c>
      <c r="R52" s="122" t="s">
        <v>47</v>
      </c>
      <c r="S52" s="119" t="s">
        <v>47</v>
      </c>
      <c r="T52" s="136">
        <f>+H52+K52+N52</f>
        <v>11210.172100957183</v>
      </c>
      <c r="U52" s="137">
        <f>+I52+L52+O52</f>
        <v>153608.68032821675</v>
      </c>
    </row>
    <row r="53" spans="1:21" ht="15.75" thickBot="1" x14ac:dyDescent="0.3">
      <c r="A53" s="125" t="s">
        <v>31</v>
      </c>
      <c r="B53" s="126"/>
      <c r="C53" s="126"/>
      <c r="D53" s="126"/>
      <c r="E53" s="128"/>
      <c r="F53" s="129"/>
      <c r="G53" s="127"/>
      <c r="H53" s="128">
        <f>+H52</f>
        <v>2497.1721009571829</v>
      </c>
      <c r="I53" s="129">
        <f>+I52</f>
        <v>24473.680328216768</v>
      </c>
      <c r="J53" s="127">
        <f>+I53/H53</f>
        <v>9.8005581268651216</v>
      </c>
      <c r="K53" s="128">
        <f>+K52</f>
        <v>5006</v>
      </c>
      <c r="L53" s="129">
        <f>+L52</f>
        <v>73537</v>
      </c>
      <c r="M53" s="127"/>
      <c r="N53" s="128">
        <f>+N52</f>
        <v>3707</v>
      </c>
      <c r="O53" s="129">
        <f>+O52</f>
        <v>55598</v>
      </c>
      <c r="P53" s="127">
        <f>+O53/N53</f>
        <v>14.998111680604262</v>
      </c>
      <c r="Q53" s="128">
        <v>0</v>
      </c>
      <c r="R53" s="129">
        <v>0</v>
      </c>
      <c r="S53" s="127">
        <v>0</v>
      </c>
      <c r="T53" s="128">
        <f>SUM(T52)</f>
        <v>11210.172100957183</v>
      </c>
      <c r="U53" s="129">
        <f>SUM(U52)</f>
        <v>153608.68032821675</v>
      </c>
    </row>
    <row r="54" spans="1:21" ht="15.75" thickTop="1" x14ac:dyDescent="0.25">
      <c r="A54" s="138" t="s">
        <v>32</v>
      </c>
      <c r="B54" s="139"/>
      <c r="C54" s="139"/>
      <c r="D54" s="139"/>
      <c r="E54" s="140">
        <f>+E8+E13+E17+E22+E27+E34+E39+E45+E51</f>
        <v>127009.64965079128</v>
      </c>
      <c r="F54" s="140">
        <f>+F8+F13+F17+F22+F27+F34+F39+F45+F51</f>
        <v>1423880.9519732823</v>
      </c>
      <c r="G54" s="142">
        <f>+F54/E54</f>
        <v>11.210809225032859</v>
      </c>
      <c r="H54" s="140">
        <f>+H8+H13+H17+H22+H27+H34+H39+H45+H51+H53</f>
        <v>80943.01614315882</v>
      </c>
      <c r="I54" s="141">
        <f>+I8+I13+I17+I22+I27+I34+I39+I45+I51+I53</f>
        <v>969051.73230128444</v>
      </c>
      <c r="J54" s="142">
        <f>+I54/H54</f>
        <v>11.972024004978806</v>
      </c>
      <c r="K54" s="140">
        <f>+K8+K13+K17+K22+K45+K51+K53</f>
        <v>53401</v>
      </c>
      <c r="L54" s="141">
        <f>+L8+L13+L17+L22+L45+L51+L53</f>
        <v>782628</v>
      </c>
      <c r="M54" s="142">
        <f>+L54/K54</f>
        <v>14.655680605232112</v>
      </c>
      <c r="N54" s="140">
        <f>+N8+N13+N17+N45+N51+N53</f>
        <v>28944</v>
      </c>
      <c r="O54" s="141">
        <f>+O8+O13+O17+O45+O51+O53</f>
        <v>418368</v>
      </c>
      <c r="P54" s="142">
        <f>+O54/N54</f>
        <v>14.454394693200664</v>
      </c>
      <c r="Q54" s="140">
        <v>0</v>
      </c>
      <c r="R54" s="141">
        <v>0</v>
      </c>
      <c r="S54" s="142">
        <v>0</v>
      </c>
      <c r="T54" s="140">
        <f>+T8+T13+T17+T22+T27+T34+T39+T45+T51+T53</f>
        <v>290297.66579395009</v>
      </c>
      <c r="U54" s="141">
        <f>+U8+U13+U17+U22+U27+U34+U39+U45+U51+U53</f>
        <v>3593928.6842745668</v>
      </c>
    </row>
    <row r="55" spans="1:21" s="144" customFormat="1" x14ac:dyDescent="0.25">
      <c r="A55" s="143" t="s">
        <v>77</v>
      </c>
      <c r="F55" s="146">
        <f>+harvest!G57</f>
        <v>3487</v>
      </c>
      <c r="I55" s="146">
        <f>+harvest!I57</f>
        <v>15218</v>
      </c>
      <c r="L55" s="146">
        <f>+harvest!K57</f>
        <v>16416</v>
      </c>
      <c r="O55" s="146">
        <f>+harvest!M57</f>
        <v>26899</v>
      </c>
      <c r="R55" s="145"/>
    </row>
    <row r="56" spans="1:21" x14ac:dyDescent="0.25">
      <c r="A56" s="147" t="s">
        <v>78</v>
      </c>
      <c r="B56" s="105"/>
      <c r="C56" s="105"/>
      <c r="F56" s="146">
        <f>+F54+F55</f>
        <v>1427367.9519732823</v>
      </c>
      <c r="I56" s="146">
        <f>+I54+I55</f>
        <v>984269.73230128444</v>
      </c>
      <c r="L56" s="146">
        <f>+L54+L55</f>
        <v>799044</v>
      </c>
      <c r="O56" s="146">
        <f>+O54+O55</f>
        <v>445267</v>
      </c>
    </row>
    <row r="57" spans="1:21" x14ac:dyDescent="0.25">
      <c r="A57" s="143" t="s">
        <v>21</v>
      </c>
      <c r="F57" s="196">
        <f>+harvest!G60</f>
        <v>1.1461700342744836</v>
      </c>
      <c r="I57" s="196">
        <f>+harvest!I60</f>
        <v>0.83386542550326137</v>
      </c>
      <c r="L57" s="196">
        <f>+harvest!K60</f>
        <v>1.1211568466779664</v>
      </c>
      <c r="O57" s="196">
        <f>+harvest!M60</f>
        <v>1.1859112990859311</v>
      </c>
    </row>
    <row r="59" spans="1:21" x14ac:dyDescent="0.25">
      <c r="A59" s="143"/>
    </row>
  </sheetData>
  <phoneticPr fontId="1" type="noConversion"/>
  <pageMargins left="0.2" right="0.21" top="0.49" bottom="0.5" header="0.5" footer="0.5"/>
  <pageSetup scale="64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AH70"/>
  <sheetViews>
    <sheetView workbookViewId="0">
      <selection activeCell="E8" sqref="E8"/>
    </sheetView>
  </sheetViews>
  <sheetFormatPr defaultRowHeight="15.75" x14ac:dyDescent="0.25"/>
  <cols>
    <col min="1" max="1" width="16.25" bestFit="1" customWidth="1"/>
    <col min="2" max="2" width="5.875" bestFit="1" customWidth="1"/>
    <col min="3" max="3" width="13.75" bestFit="1" customWidth="1"/>
    <col min="4" max="4" width="11.25" bestFit="1" customWidth="1"/>
    <col min="5" max="5" width="14" bestFit="1" customWidth="1"/>
    <col min="6" max="6" width="10.75" bestFit="1" customWidth="1"/>
    <col min="7" max="7" width="2.25" customWidth="1"/>
    <col min="8" max="8" width="16.25" bestFit="1" customWidth="1"/>
    <col min="9" max="9" width="5.875" bestFit="1" customWidth="1"/>
    <col min="10" max="10" width="13.75" bestFit="1" customWidth="1"/>
    <col min="11" max="11" width="11.25" bestFit="1" customWidth="1"/>
    <col min="12" max="12" width="14" bestFit="1" customWidth="1"/>
    <col min="13" max="13" width="10.75" bestFit="1" customWidth="1"/>
    <col min="14" max="14" width="2.625" customWidth="1"/>
    <col min="15" max="15" width="16.25" bestFit="1" customWidth="1"/>
    <col min="16" max="16" width="5.875" bestFit="1" customWidth="1"/>
    <col min="17" max="17" width="13.75" bestFit="1" customWidth="1"/>
    <col min="18" max="18" width="11.25" bestFit="1" customWidth="1"/>
    <col min="19" max="19" width="14" bestFit="1" customWidth="1"/>
    <col min="20" max="20" width="10.75" bestFit="1" customWidth="1"/>
    <col min="21" max="21" width="2.625" customWidth="1"/>
    <col min="22" max="22" width="16.25" bestFit="1" customWidth="1"/>
    <col min="23" max="23" width="5.875" bestFit="1" customWidth="1"/>
    <col min="24" max="24" width="13.75" bestFit="1" customWidth="1"/>
    <col min="25" max="25" width="11.25" bestFit="1" customWidth="1"/>
    <col min="26" max="26" width="14" bestFit="1" customWidth="1"/>
    <col min="27" max="27" width="10.75" bestFit="1" customWidth="1"/>
    <col min="28" max="28" width="1.75" customWidth="1"/>
    <col min="29" max="29" width="16.25" bestFit="1" customWidth="1"/>
    <col min="30" max="30" width="5.875" bestFit="1" customWidth="1"/>
    <col min="31" max="31" width="13.75" bestFit="1" customWidth="1"/>
    <col min="32" max="32" width="11.25" bestFit="1" customWidth="1"/>
    <col min="33" max="33" width="14" bestFit="1" customWidth="1"/>
    <col min="34" max="34" width="10.75" bestFit="1" customWidth="1"/>
  </cols>
  <sheetData>
    <row r="1" spans="1:34" x14ac:dyDescent="0.25">
      <c r="A1" s="30" t="s">
        <v>50</v>
      </c>
    </row>
    <row r="2" spans="1:34" ht="16.5" thickBot="1" x14ac:dyDescent="0.3">
      <c r="A2" s="30"/>
    </row>
    <row r="3" spans="1:34" x14ac:dyDescent="0.25">
      <c r="A3" s="200" t="s">
        <v>7</v>
      </c>
      <c r="B3" s="201"/>
      <c r="C3" s="201"/>
      <c r="D3" s="201"/>
      <c r="E3" s="201"/>
      <c r="F3" s="202"/>
      <c r="H3" s="200" t="s">
        <v>8</v>
      </c>
      <c r="I3" s="201"/>
      <c r="J3" s="201"/>
      <c r="K3" s="201"/>
      <c r="L3" s="201"/>
      <c r="M3" s="202"/>
      <c r="O3" s="200" t="s">
        <v>9</v>
      </c>
      <c r="P3" s="201"/>
      <c r="Q3" s="201"/>
      <c r="R3" s="201"/>
      <c r="S3" s="201"/>
      <c r="T3" s="202"/>
      <c r="V3" s="200" t="s">
        <v>10</v>
      </c>
      <c r="W3" s="201"/>
      <c r="X3" s="201"/>
      <c r="Y3" s="201"/>
      <c r="Z3" s="201"/>
      <c r="AA3" s="202"/>
      <c r="AC3" s="200" t="s">
        <v>11</v>
      </c>
      <c r="AD3" s="201"/>
      <c r="AE3" s="201"/>
      <c r="AF3" s="201"/>
      <c r="AG3" s="201"/>
      <c r="AH3" s="202"/>
    </row>
    <row r="4" spans="1:34" x14ac:dyDescent="0.25">
      <c r="A4" s="25" t="s">
        <v>43</v>
      </c>
      <c r="B4" s="24" t="s">
        <v>38</v>
      </c>
      <c r="C4" s="24" t="s">
        <v>39</v>
      </c>
      <c r="D4" s="24" t="s">
        <v>40</v>
      </c>
      <c r="E4" s="24" t="s">
        <v>41</v>
      </c>
      <c r="F4" s="26" t="s">
        <v>42</v>
      </c>
      <c r="H4" s="25" t="s">
        <v>43</v>
      </c>
      <c r="I4" s="24" t="s">
        <v>38</v>
      </c>
      <c r="J4" s="24" t="s">
        <v>39</v>
      </c>
      <c r="K4" s="24" t="s">
        <v>40</v>
      </c>
      <c r="L4" s="24" t="s">
        <v>41</v>
      </c>
      <c r="M4" s="26" t="s">
        <v>42</v>
      </c>
      <c r="O4" s="25" t="s">
        <v>43</v>
      </c>
      <c r="P4" s="24" t="s">
        <v>38</v>
      </c>
      <c r="Q4" s="24" t="s">
        <v>39</v>
      </c>
      <c r="R4" s="24" t="s">
        <v>40</v>
      </c>
      <c r="S4" s="24" t="s">
        <v>41</v>
      </c>
      <c r="T4" s="26" t="s">
        <v>42</v>
      </c>
      <c r="V4" s="25" t="s">
        <v>43</v>
      </c>
      <c r="W4" s="24" t="s">
        <v>38</v>
      </c>
      <c r="X4" s="24" t="s">
        <v>39</v>
      </c>
      <c r="Y4" s="24" t="s">
        <v>40</v>
      </c>
      <c r="Z4" s="24" t="s">
        <v>41</v>
      </c>
      <c r="AA4" s="26" t="s">
        <v>42</v>
      </c>
      <c r="AC4" s="25" t="s">
        <v>43</v>
      </c>
      <c r="AD4" s="24" t="s">
        <v>38</v>
      </c>
      <c r="AE4" s="24" t="s">
        <v>39</v>
      </c>
      <c r="AF4" s="24" t="s">
        <v>40</v>
      </c>
      <c r="AG4" s="24" t="s">
        <v>41</v>
      </c>
      <c r="AH4" s="26" t="s">
        <v>42</v>
      </c>
    </row>
    <row r="5" spans="1:34" x14ac:dyDescent="0.25">
      <c r="A5" s="27">
        <v>39546</v>
      </c>
      <c r="B5" s="23">
        <v>12600</v>
      </c>
      <c r="C5" s="23">
        <v>100</v>
      </c>
      <c r="D5" s="23">
        <v>1</v>
      </c>
      <c r="E5" s="23">
        <v>1</v>
      </c>
      <c r="F5" s="28">
        <v>0.01</v>
      </c>
      <c r="G5" s="7"/>
      <c r="H5" s="27">
        <v>39380</v>
      </c>
      <c r="I5" s="23">
        <v>22307</v>
      </c>
      <c r="J5" s="23">
        <v>100</v>
      </c>
      <c r="K5" s="23">
        <v>4</v>
      </c>
      <c r="L5" s="23">
        <v>4</v>
      </c>
      <c r="M5" s="28">
        <v>0.04</v>
      </c>
      <c r="N5" s="7"/>
      <c r="O5" s="27">
        <v>39382</v>
      </c>
      <c r="P5" s="23">
        <v>32007</v>
      </c>
      <c r="Q5" s="23">
        <v>100</v>
      </c>
      <c r="R5" s="23">
        <v>1</v>
      </c>
      <c r="S5" s="23">
        <v>1</v>
      </c>
      <c r="T5" s="28">
        <v>0.01</v>
      </c>
      <c r="U5" s="7"/>
      <c r="V5" s="27">
        <v>39572</v>
      </c>
      <c r="W5" s="23">
        <v>32007</v>
      </c>
      <c r="X5" s="23">
        <v>100</v>
      </c>
      <c r="Y5" s="23">
        <v>7</v>
      </c>
      <c r="Z5" s="23">
        <v>7</v>
      </c>
      <c r="AA5" s="28">
        <v>7.0000000000000007E-2</v>
      </c>
      <c r="AC5" s="27"/>
      <c r="AD5" s="23"/>
      <c r="AE5" s="23"/>
      <c r="AF5" s="23"/>
      <c r="AG5" s="23"/>
      <c r="AH5" s="28" t="e">
        <v>#DIV/0!</v>
      </c>
    </row>
    <row r="6" spans="1:34" x14ac:dyDescent="0.25">
      <c r="A6" s="27"/>
      <c r="B6" s="23"/>
      <c r="C6" s="23"/>
      <c r="D6" s="23"/>
      <c r="E6" s="23"/>
      <c r="F6" s="28"/>
      <c r="G6" s="7"/>
      <c r="H6" s="27">
        <v>39381</v>
      </c>
      <c r="I6" s="23">
        <v>22307</v>
      </c>
      <c r="J6" s="23">
        <v>100</v>
      </c>
      <c r="K6" s="23">
        <v>1</v>
      </c>
      <c r="L6" s="23">
        <v>1</v>
      </c>
      <c r="M6" s="28">
        <v>0.01</v>
      </c>
      <c r="N6" s="7"/>
      <c r="O6" s="27"/>
      <c r="P6" s="23"/>
      <c r="Q6" s="23"/>
      <c r="R6" s="23"/>
      <c r="S6" s="23"/>
      <c r="T6" s="28" t="e">
        <v>#DIV/0!</v>
      </c>
      <c r="U6" s="7"/>
      <c r="V6" s="27">
        <v>39573</v>
      </c>
      <c r="W6" s="23">
        <v>31005</v>
      </c>
      <c r="X6" s="23">
        <v>100</v>
      </c>
      <c r="Y6" s="23">
        <v>3</v>
      </c>
      <c r="Z6" s="23">
        <v>3</v>
      </c>
      <c r="AA6" s="28">
        <v>0.03</v>
      </c>
      <c r="AC6" s="27"/>
      <c r="AD6" s="23"/>
      <c r="AE6" s="23"/>
      <c r="AF6" s="23"/>
      <c r="AG6" s="23"/>
      <c r="AH6" s="28" t="e">
        <v>#DIV/0!</v>
      </c>
    </row>
    <row r="7" spans="1:34" x14ac:dyDescent="0.25">
      <c r="A7" s="27"/>
      <c r="B7" s="23"/>
      <c r="C7" s="23"/>
      <c r="D7" s="23"/>
      <c r="E7" s="23"/>
      <c r="F7" s="28"/>
      <c r="G7" s="7"/>
      <c r="H7" s="27">
        <v>39381</v>
      </c>
      <c r="I7" s="23">
        <v>22309</v>
      </c>
      <c r="J7" s="23">
        <v>100</v>
      </c>
      <c r="K7" s="23">
        <v>9</v>
      </c>
      <c r="L7" s="23">
        <v>9</v>
      </c>
      <c r="M7" s="28">
        <v>0.09</v>
      </c>
      <c r="N7" s="7"/>
      <c r="O7" s="27"/>
      <c r="P7" s="23"/>
      <c r="Q7" s="23"/>
      <c r="R7" s="23"/>
      <c r="S7" s="23"/>
      <c r="T7" s="28" t="e">
        <v>#DIV/0!</v>
      </c>
      <c r="U7" s="7"/>
      <c r="V7" s="27"/>
      <c r="W7" s="23"/>
      <c r="X7" s="23"/>
      <c r="Y7" s="23"/>
      <c r="Z7" s="23"/>
      <c r="AA7" s="28"/>
      <c r="AC7" s="27"/>
      <c r="AD7" s="23"/>
      <c r="AE7" s="23"/>
      <c r="AF7" s="23"/>
      <c r="AG7" s="23"/>
      <c r="AH7" s="28" t="e">
        <v>#DIV/0!</v>
      </c>
    </row>
    <row r="8" spans="1:34" x14ac:dyDescent="0.25">
      <c r="A8" s="27"/>
      <c r="B8" s="23"/>
      <c r="C8" s="23"/>
      <c r="D8" s="23"/>
      <c r="E8" s="23"/>
      <c r="F8" s="28"/>
      <c r="G8" s="7"/>
      <c r="H8" s="27">
        <v>39382</v>
      </c>
      <c r="I8" s="23">
        <v>21200</v>
      </c>
      <c r="J8" s="23">
        <v>100</v>
      </c>
      <c r="K8" s="23">
        <v>2</v>
      </c>
      <c r="L8" s="23">
        <v>2</v>
      </c>
      <c r="M8" s="28">
        <v>0.02</v>
      </c>
      <c r="N8" s="7"/>
      <c r="O8" s="27"/>
      <c r="P8" s="23"/>
      <c r="Q8" s="23"/>
      <c r="R8" s="23"/>
      <c r="S8" s="23"/>
      <c r="T8" s="28" t="e">
        <v>#DIV/0!</v>
      </c>
      <c r="U8" s="7"/>
      <c r="V8" s="27"/>
      <c r="W8" s="23"/>
      <c r="X8" s="23"/>
      <c r="Y8" s="23"/>
      <c r="Z8" s="23"/>
      <c r="AA8" s="28"/>
      <c r="AC8" s="27"/>
      <c r="AD8" s="23"/>
      <c r="AE8" s="23"/>
      <c r="AF8" s="23"/>
      <c r="AG8" s="23"/>
      <c r="AH8" s="28" t="e">
        <v>#DIV/0!</v>
      </c>
    </row>
    <row r="9" spans="1:34" ht="16.5" thickBot="1" x14ac:dyDescent="0.3">
      <c r="A9" s="33"/>
      <c r="B9" s="31"/>
      <c r="C9" s="31"/>
      <c r="D9" s="31"/>
      <c r="E9" s="31"/>
      <c r="F9" s="32"/>
      <c r="G9" s="7"/>
      <c r="H9" s="27">
        <v>39382</v>
      </c>
      <c r="I9" s="23">
        <v>22307</v>
      </c>
      <c r="J9" s="23">
        <v>100</v>
      </c>
      <c r="K9" s="23">
        <v>5</v>
      </c>
      <c r="L9" s="23">
        <v>5</v>
      </c>
      <c r="M9" s="28">
        <v>0.05</v>
      </c>
      <c r="N9" s="7"/>
      <c r="O9" s="27"/>
      <c r="P9" s="23"/>
      <c r="Q9" s="23"/>
      <c r="R9" s="23"/>
      <c r="S9" s="23"/>
      <c r="T9" s="28"/>
      <c r="U9" s="7"/>
      <c r="V9" s="27"/>
      <c r="W9" s="23"/>
      <c r="X9" s="31"/>
      <c r="Y9" s="31"/>
      <c r="Z9" s="31"/>
      <c r="AA9" s="32"/>
      <c r="AC9" s="27"/>
      <c r="AD9" s="23"/>
      <c r="AE9" s="23"/>
      <c r="AF9" s="23"/>
      <c r="AG9" s="23"/>
      <c r="AH9" s="28" t="e">
        <v>#DIV/0!</v>
      </c>
    </row>
    <row r="10" spans="1:34" ht="16.5" thickBot="1" x14ac:dyDescent="0.3">
      <c r="A10" s="198" t="s">
        <v>44</v>
      </c>
      <c r="B10" s="199"/>
      <c r="C10" s="34">
        <v>100</v>
      </c>
      <c r="D10" s="34">
        <v>1</v>
      </c>
      <c r="E10" s="34">
        <v>1</v>
      </c>
      <c r="F10" s="35">
        <v>0.01</v>
      </c>
      <c r="G10" s="7"/>
      <c r="H10" s="27"/>
      <c r="I10" s="23"/>
      <c r="J10" s="23"/>
      <c r="K10" s="23"/>
      <c r="L10" s="23"/>
      <c r="M10" s="28"/>
      <c r="N10" s="7"/>
      <c r="O10" s="27"/>
      <c r="P10" s="23"/>
      <c r="Q10" s="31"/>
      <c r="R10" s="31"/>
      <c r="S10" s="31"/>
      <c r="T10" s="32"/>
      <c r="U10" s="7"/>
      <c r="V10" s="198" t="s">
        <v>44</v>
      </c>
      <c r="W10" s="199"/>
      <c r="X10" s="34">
        <v>200</v>
      </c>
      <c r="Y10" s="34">
        <v>10</v>
      </c>
      <c r="Z10" s="34">
        <v>10</v>
      </c>
      <c r="AA10" s="35">
        <v>0.05</v>
      </c>
      <c r="AC10" s="27"/>
      <c r="AD10" s="23"/>
      <c r="AE10" s="23"/>
      <c r="AF10" s="23"/>
      <c r="AG10" s="23"/>
      <c r="AH10" s="28"/>
    </row>
    <row r="11" spans="1:34" ht="16.5" thickBot="1" x14ac:dyDescent="0.3">
      <c r="G11" s="7"/>
      <c r="H11" s="27"/>
      <c r="I11" s="23"/>
      <c r="J11" s="23"/>
      <c r="K11" s="23"/>
      <c r="L11" s="23"/>
      <c r="M11" s="28"/>
      <c r="N11" s="7"/>
      <c r="O11" s="198" t="s">
        <v>44</v>
      </c>
      <c r="P11" s="199"/>
      <c r="Q11" s="34">
        <v>100</v>
      </c>
      <c r="R11" s="34">
        <v>1</v>
      </c>
      <c r="S11" s="34">
        <v>1</v>
      </c>
      <c r="T11" s="35">
        <v>0.01</v>
      </c>
      <c r="U11" s="7"/>
      <c r="AC11" s="27"/>
      <c r="AD11" s="23"/>
      <c r="AE11" s="23"/>
      <c r="AF11" s="23"/>
      <c r="AG11" s="23"/>
      <c r="AH11" s="28"/>
    </row>
    <row r="12" spans="1:34" ht="16.5" thickBot="1" x14ac:dyDescent="0.3">
      <c r="A12" s="200" t="s">
        <v>7</v>
      </c>
      <c r="B12" s="201"/>
      <c r="C12" s="201"/>
      <c r="D12" s="201"/>
      <c r="E12" s="201"/>
      <c r="F12" s="202"/>
      <c r="G12" s="7"/>
      <c r="H12" s="27"/>
      <c r="I12" s="23"/>
      <c r="J12" s="23"/>
      <c r="K12" s="23"/>
      <c r="L12" s="23"/>
      <c r="M12" s="28"/>
      <c r="N12" s="7"/>
      <c r="U12" s="7"/>
      <c r="AC12" s="27"/>
      <c r="AD12" s="23"/>
      <c r="AE12" s="23"/>
      <c r="AF12" s="23"/>
      <c r="AG12" s="23"/>
      <c r="AH12" s="28"/>
    </row>
    <row r="13" spans="1:34" ht="16.5" thickBot="1" x14ac:dyDescent="0.3">
      <c r="A13" s="25" t="s">
        <v>43</v>
      </c>
      <c r="B13" s="24" t="s">
        <v>38</v>
      </c>
      <c r="C13" s="24" t="s">
        <v>39</v>
      </c>
      <c r="D13" s="24" t="s">
        <v>40</v>
      </c>
      <c r="E13" s="24" t="s">
        <v>41</v>
      </c>
      <c r="F13" s="26" t="s">
        <v>42</v>
      </c>
      <c r="G13" s="7"/>
      <c r="H13" s="27"/>
      <c r="I13" s="23"/>
      <c r="J13" s="31"/>
      <c r="K13" s="31"/>
      <c r="L13" s="31"/>
      <c r="M13" s="36"/>
      <c r="N13" s="7"/>
      <c r="O13" s="200" t="s">
        <v>9</v>
      </c>
      <c r="P13" s="201"/>
      <c r="Q13" s="201"/>
      <c r="R13" s="201"/>
      <c r="S13" s="201"/>
      <c r="T13" s="202"/>
      <c r="U13" s="7"/>
      <c r="V13" s="200" t="s">
        <v>10</v>
      </c>
      <c r="W13" s="201"/>
      <c r="X13" s="201"/>
      <c r="Y13" s="201"/>
      <c r="Z13" s="201"/>
      <c r="AA13" s="202"/>
      <c r="AC13" s="27"/>
      <c r="AD13" s="23"/>
      <c r="AE13" s="23"/>
      <c r="AF13" s="23"/>
      <c r="AG13" s="23"/>
      <c r="AH13" s="28"/>
    </row>
    <row r="14" spans="1:34" ht="16.5" thickBot="1" x14ac:dyDescent="0.3">
      <c r="A14" s="27">
        <v>39575</v>
      </c>
      <c r="B14" s="23">
        <v>12600</v>
      </c>
      <c r="C14" s="23">
        <v>100</v>
      </c>
      <c r="D14" s="23">
        <v>8</v>
      </c>
      <c r="E14" s="23">
        <v>5</v>
      </c>
      <c r="F14" s="28">
        <v>0.05</v>
      </c>
      <c r="G14" s="7"/>
      <c r="H14" s="198" t="s">
        <v>44</v>
      </c>
      <c r="I14" s="199"/>
      <c r="J14" s="34">
        <v>500</v>
      </c>
      <c r="K14" s="34">
        <v>21</v>
      </c>
      <c r="L14" s="34">
        <v>21</v>
      </c>
      <c r="M14" s="35">
        <v>4.2000000000000003E-2</v>
      </c>
      <c r="N14" s="7"/>
      <c r="O14" s="25" t="s">
        <v>43</v>
      </c>
      <c r="P14" s="24" t="s">
        <v>38</v>
      </c>
      <c r="Q14" s="24" t="s">
        <v>39</v>
      </c>
      <c r="R14" s="24" t="s">
        <v>40</v>
      </c>
      <c r="S14" s="24" t="s">
        <v>41</v>
      </c>
      <c r="T14" s="26" t="s">
        <v>42</v>
      </c>
      <c r="U14" s="7"/>
      <c r="V14" s="25" t="s">
        <v>43</v>
      </c>
      <c r="W14" s="24" t="s">
        <v>38</v>
      </c>
      <c r="X14" s="24" t="s">
        <v>39</v>
      </c>
      <c r="Y14" s="24" t="s">
        <v>40</v>
      </c>
      <c r="Z14" s="24" t="s">
        <v>41</v>
      </c>
      <c r="AA14" s="26" t="s">
        <v>42</v>
      </c>
      <c r="AC14" s="27"/>
      <c r="AD14" s="23"/>
      <c r="AE14" s="23"/>
      <c r="AF14" s="23"/>
      <c r="AG14" s="23"/>
      <c r="AH14" s="28"/>
    </row>
    <row r="15" spans="1:34" ht="16.5" thickBot="1" x14ac:dyDescent="0.3">
      <c r="A15" s="27"/>
      <c r="B15" s="23"/>
      <c r="C15" s="23"/>
      <c r="D15" s="23"/>
      <c r="E15" s="23"/>
      <c r="F15" s="28"/>
      <c r="G15" s="7"/>
      <c r="N15" s="7"/>
      <c r="O15" s="27">
        <v>39437</v>
      </c>
      <c r="P15" s="23">
        <v>32009</v>
      </c>
      <c r="Q15" s="23">
        <v>100</v>
      </c>
      <c r="R15" s="23">
        <v>0</v>
      </c>
      <c r="S15" s="23">
        <v>0</v>
      </c>
      <c r="T15" s="28">
        <v>0</v>
      </c>
      <c r="U15" s="7"/>
      <c r="V15" s="27">
        <v>39592</v>
      </c>
      <c r="W15" s="23">
        <v>41300</v>
      </c>
      <c r="X15" s="23">
        <v>100</v>
      </c>
      <c r="Y15" s="23">
        <v>7</v>
      </c>
      <c r="Z15" s="23">
        <v>7</v>
      </c>
      <c r="AA15" s="28">
        <v>7.0000000000000007E-2</v>
      </c>
      <c r="AC15" s="27"/>
      <c r="AD15" s="23"/>
      <c r="AE15" s="23"/>
      <c r="AF15" s="23"/>
      <c r="AG15" s="23"/>
      <c r="AH15" s="28"/>
    </row>
    <row r="16" spans="1:34" x14ac:dyDescent="0.25">
      <c r="A16" s="27"/>
      <c r="B16" s="23"/>
      <c r="C16" s="23"/>
      <c r="D16" s="23"/>
      <c r="E16" s="23"/>
      <c r="F16" s="28"/>
      <c r="G16" s="7"/>
      <c r="H16" s="200" t="s">
        <v>8</v>
      </c>
      <c r="I16" s="201"/>
      <c r="J16" s="201"/>
      <c r="K16" s="201"/>
      <c r="L16" s="201"/>
      <c r="M16" s="202"/>
      <c r="N16" s="7"/>
      <c r="O16" s="27"/>
      <c r="P16" s="23"/>
      <c r="Q16" s="23"/>
      <c r="R16" s="23"/>
      <c r="S16" s="23"/>
      <c r="T16" s="28" t="e">
        <v>#DIV/0!</v>
      </c>
      <c r="U16" s="7"/>
      <c r="V16" s="27">
        <v>39592</v>
      </c>
      <c r="W16" s="23">
        <v>42500</v>
      </c>
      <c r="X16" s="23">
        <v>100</v>
      </c>
      <c r="Y16" s="23">
        <v>8</v>
      </c>
      <c r="Z16" s="23">
        <v>8</v>
      </c>
      <c r="AA16" s="28">
        <v>0.08</v>
      </c>
      <c r="AC16" s="27"/>
      <c r="AD16" s="23"/>
      <c r="AE16" s="23"/>
      <c r="AF16" s="23"/>
      <c r="AG16" s="23"/>
      <c r="AH16" s="28"/>
    </row>
    <row r="17" spans="1:34" x14ac:dyDescent="0.25">
      <c r="A17" s="27"/>
      <c r="B17" s="23"/>
      <c r="C17" s="23"/>
      <c r="D17" s="23"/>
      <c r="E17" s="23"/>
      <c r="F17" s="28"/>
      <c r="G17" s="7"/>
      <c r="H17" s="25" t="s">
        <v>43</v>
      </c>
      <c r="I17" s="24" t="s">
        <v>38</v>
      </c>
      <c r="J17" s="24" t="s">
        <v>39</v>
      </c>
      <c r="K17" s="24" t="s">
        <v>40</v>
      </c>
      <c r="L17" s="24" t="s">
        <v>41</v>
      </c>
      <c r="M17" s="26" t="s">
        <v>42</v>
      </c>
      <c r="N17" s="7"/>
      <c r="O17" s="27"/>
      <c r="P17" s="23"/>
      <c r="Q17" s="23"/>
      <c r="R17" s="23"/>
      <c r="S17" s="23"/>
      <c r="T17" s="28"/>
      <c r="U17" s="7"/>
      <c r="V17" s="27">
        <v>39592</v>
      </c>
      <c r="W17" s="23">
        <v>42600</v>
      </c>
      <c r="X17" s="23">
        <v>50</v>
      </c>
      <c r="Y17" s="23">
        <v>4</v>
      </c>
      <c r="Z17" s="23">
        <v>4</v>
      </c>
      <c r="AA17" s="28">
        <v>0.08</v>
      </c>
      <c r="AC17" s="27"/>
      <c r="AD17" s="23"/>
      <c r="AE17" s="23"/>
      <c r="AF17" s="23"/>
      <c r="AG17" s="23"/>
      <c r="AH17" s="28"/>
    </row>
    <row r="18" spans="1:34" ht="16.5" thickBot="1" x14ac:dyDescent="0.3">
      <c r="A18" s="33"/>
      <c r="B18" s="31"/>
      <c r="C18" s="31"/>
      <c r="D18" s="31"/>
      <c r="E18" s="31"/>
      <c r="F18" s="32"/>
      <c r="G18" s="7"/>
      <c r="H18" s="27">
        <v>39437</v>
      </c>
      <c r="I18" s="23">
        <v>22309</v>
      </c>
      <c r="J18" s="23">
        <v>100</v>
      </c>
      <c r="K18" s="23">
        <v>1</v>
      </c>
      <c r="L18" s="23">
        <v>1</v>
      </c>
      <c r="M18" s="28">
        <v>0.01</v>
      </c>
      <c r="N18" s="7"/>
      <c r="O18" s="27"/>
      <c r="P18" s="23"/>
      <c r="Q18" s="23"/>
      <c r="R18" s="23"/>
      <c r="S18" s="23"/>
      <c r="T18" s="28"/>
      <c r="U18" s="7"/>
      <c r="V18" s="27"/>
      <c r="W18" s="23"/>
      <c r="X18" s="23"/>
      <c r="Y18" s="23"/>
      <c r="Z18" s="23"/>
      <c r="AA18" s="28"/>
      <c r="AC18" s="27"/>
      <c r="AD18" s="23"/>
      <c r="AE18" s="23"/>
      <c r="AF18" s="23"/>
      <c r="AG18" s="23"/>
      <c r="AH18" s="28"/>
    </row>
    <row r="19" spans="1:34" ht="16.5" thickBot="1" x14ac:dyDescent="0.3">
      <c r="A19" s="198" t="s">
        <v>44</v>
      </c>
      <c r="B19" s="199"/>
      <c r="C19" s="34">
        <v>100</v>
      </c>
      <c r="D19" s="34">
        <v>8</v>
      </c>
      <c r="E19" s="34">
        <v>5</v>
      </c>
      <c r="F19" s="35">
        <v>0.05</v>
      </c>
      <c r="G19" s="7"/>
      <c r="H19" s="27"/>
      <c r="I19" s="23"/>
      <c r="J19" s="23"/>
      <c r="K19" s="23"/>
      <c r="L19" s="23"/>
      <c r="M19" s="28" t="e">
        <v>#DIV/0!</v>
      </c>
      <c r="N19" s="7"/>
      <c r="O19" s="27"/>
      <c r="P19" s="23"/>
      <c r="Q19" s="23"/>
      <c r="R19" s="23"/>
      <c r="S19" s="23"/>
      <c r="T19" s="28"/>
      <c r="U19" s="7"/>
      <c r="V19" s="27"/>
      <c r="W19" s="23"/>
      <c r="X19" s="31"/>
      <c r="Y19" s="31"/>
      <c r="Z19" s="31"/>
      <c r="AA19" s="32"/>
      <c r="AC19" s="27"/>
      <c r="AD19" s="23"/>
      <c r="AE19" s="37"/>
      <c r="AF19" s="37"/>
      <c r="AG19" s="37"/>
      <c r="AH19" s="38"/>
    </row>
    <row r="20" spans="1:34" ht="16.5" thickBot="1" x14ac:dyDescent="0.3">
      <c r="G20" s="7"/>
      <c r="H20" s="27"/>
      <c r="I20" s="23"/>
      <c r="J20" s="23"/>
      <c r="K20" s="23"/>
      <c r="L20" s="23"/>
      <c r="M20" s="28" t="e">
        <v>#DIV/0!</v>
      </c>
      <c r="N20" s="7"/>
      <c r="O20" s="27"/>
      <c r="P20" s="23"/>
      <c r="Q20" s="31"/>
      <c r="R20" s="31"/>
      <c r="S20" s="31"/>
      <c r="T20" s="32"/>
      <c r="U20" s="7"/>
      <c r="V20" s="198" t="s">
        <v>44</v>
      </c>
      <c r="W20" s="199"/>
      <c r="X20" s="34">
        <v>250</v>
      </c>
      <c r="Y20" s="34">
        <v>19</v>
      </c>
      <c r="Z20" s="34">
        <v>19</v>
      </c>
      <c r="AA20" s="35">
        <v>7.5999999999999998E-2</v>
      </c>
      <c r="AC20" s="27"/>
      <c r="AD20" s="23"/>
      <c r="AE20" s="37"/>
      <c r="AF20" s="37"/>
      <c r="AG20" s="37"/>
      <c r="AH20" s="38"/>
    </row>
    <row r="21" spans="1:34" ht="16.5" thickBot="1" x14ac:dyDescent="0.3">
      <c r="A21" s="200" t="s">
        <v>7</v>
      </c>
      <c r="B21" s="201"/>
      <c r="C21" s="201"/>
      <c r="D21" s="201"/>
      <c r="E21" s="201"/>
      <c r="F21" s="202"/>
      <c r="G21" s="7"/>
      <c r="H21" s="27"/>
      <c r="I21" s="23"/>
      <c r="J21" s="23"/>
      <c r="K21" s="23"/>
      <c r="L21" s="23"/>
      <c r="M21" s="28"/>
      <c r="N21" s="7"/>
      <c r="O21" s="198" t="s">
        <v>44</v>
      </c>
      <c r="P21" s="199"/>
      <c r="Q21" s="34">
        <v>100</v>
      </c>
      <c r="R21" s="34">
        <v>0</v>
      </c>
      <c r="S21" s="34">
        <v>0</v>
      </c>
      <c r="T21" s="35">
        <v>0</v>
      </c>
      <c r="U21" s="7"/>
      <c r="AC21" s="27"/>
      <c r="AD21" s="23"/>
      <c r="AE21" s="37"/>
      <c r="AF21" s="37"/>
      <c r="AG21" s="37"/>
      <c r="AH21" s="38"/>
    </row>
    <row r="22" spans="1:34" ht="16.5" thickBot="1" x14ac:dyDescent="0.3">
      <c r="A22" s="25" t="s">
        <v>43</v>
      </c>
      <c r="B22" s="24" t="s">
        <v>38</v>
      </c>
      <c r="C22" s="24" t="s">
        <v>39</v>
      </c>
      <c r="D22" s="24" t="s">
        <v>40</v>
      </c>
      <c r="E22" s="24" t="s">
        <v>41</v>
      </c>
      <c r="F22" s="26" t="s">
        <v>42</v>
      </c>
      <c r="G22" s="7"/>
      <c r="H22" s="27"/>
      <c r="I22" s="23"/>
      <c r="J22" s="31"/>
      <c r="K22" s="31"/>
      <c r="L22" s="31"/>
      <c r="M22" s="36"/>
      <c r="N22" s="7"/>
      <c r="U22" s="7"/>
      <c r="V22" s="200" t="s">
        <v>10</v>
      </c>
      <c r="W22" s="201"/>
      <c r="X22" s="201"/>
      <c r="Y22" s="201"/>
      <c r="Z22" s="201"/>
      <c r="AA22" s="202"/>
      <c r="AC22" s="27"/>
      <c r="AD22" s="23"/>
      <c r="AE22" s="37"/>
      <c r="AF22" s="37"/>
      <c r="AG22" s="37"/>
      <c r="AH22" s="38"/>
    </row>
    <row r="23" spans="1:34" ht="16.5" thickBot="1" x14ac:dyDescent="0.3">
      <c r="A23" s="27"/>
      <c r="B23" s="23"/>
      <c r="C23" s="23"/>
      <c r="D23" s="23"/>
      <c r="E23" s="23"/>
      <c r="F23" s="28"/>
      <c r="G23" s="7"/>
      <c r="H23" s="198" t="s">
        <v>44</v>
      </c>
      <c r="I23" s="199"/>
      <c r="J23" s="34">
        <v>100</v>
      </c>
      <c r="K23" s="34">
        <v>1</v>
      </c>
      <c r="L23" s="34">
        <v>1</v>
      </c>
      <c r="M23" s="35">
        <v>0.01</v>
      </c>
      <c r="N23" s="7"/>
      <c r="O23" s="200" t="s">
        <v>9</v>
      </c>
      <c r="P23" s="201"/>
      <c r="Q23" s="201"/>
      <c r="R23" s="201"/>
      <c r="S23" s="201"/>
      <c r="T23" s="202"/>
      <c r="U23" s="7"/>
      <c r="V23" s="25" t="s">
        <v>43</v>
      </c>
      <c r="W23" s="24" t="s">
        <v>38</v>
      </c>
      <c r="X23" s="24" t="s">
        <v>39</v>
      </c>
      <c r="Y23" s="24" t="s">
        <v>40</v>
      </c>
      <c r="Z23" s="24" t="s">
        <v>41</v>
      </c>
      <c r="AA23" s="26" t="s">
        <v>42</v>
      </c>
      <c r="AC23" s="27"/>
      <c r="AD23" s="23"/>
      <c r="AE23" s="37"/>
      <c r="AF23" s="37"/>
      <c r="AG23" s="37"/>
      <c r="AH23" s="38"/>
    </row>
    <row r="24" spans="1:34" ht="16.5" thickBot="1" x14ac:dyDescent="0.3">
      <c r="A24" s="27"/>
      <c r="B24" s="23"/>
      <c r="C24" s="23"/>
      <c r="D24" s="23"/>
      <c r="E24" s="23"/>
      <c r="F24" s="28"/>
      <c r="G24" s="7"/>
      <c r="N24" s="7"/>
      <c r="O24" s="25" t="s">
        <v>43</v>
      </c>
      <c r="P24" s="24" t="s">
        <v>38</v>
      </c>
      <c r="Q24" s="24" t="s">
        <v>39</v>
      </c>
      <c r="R24" s="24" t="s">
        <v>40</v>
      </c>
      <c r="S24" s="24" t="s">
        <v>41</v>
      </c>
      <c r="T24" s="26" t="s">
        <v>42</v>
      </c>
      <c r="U24" s="7"/>
      <c r="V24" s="27"/>
      <c r="W24" s="23"/>
      <c r="X24" s="23"/>
      <c r="Y24" s="23"/>
      <c r="Z24" s="23"/>
      <c r="AA24" s="28"/>
      <c r="AC24" s="27"/>
      <c r="AD24" s="23"/>
      <c r="AE24" s="37"/>
      <c r="AF24" s="37"/>
      <c r="AG24" s="37"/>
      <c r="AH24" s="38"/>
    </row>
    <row r="25" spans="1:34" x14ac:dyDescent="0.25">
      <c r="A25" s="27"/>
      <c r="B25" s="23"/>
      <c r="C25" s="23"/>
      <c r="D25" s="23"/>
      <c r="E25" s="23"/>
      <c r="F25" s="28"/>
      <c r="G25" s="7"/>
      <c r="H25" s="200" t="s">
        <v>8</v>
      </c>
      <c r="I25" s="201"/>
      <c r="J25" s="201"/>
      <c r="K25" s="201"/>
      <c r="L25" s="201"/>
      <c r="M25" s="202"/>
      <c r="N25" s="7"/>
      <c r="O25" s="27">
        <v>39467</v>
      </c>
      <c r="P25" s="23">
        <v>32005</v>
      </c>
      <c r="Q25" s="23">
        <v>100</v>
      </c>
      <c r="R25" s="23">
        <v>4</v>
      </c>
      <c r="S25" s="23">
        <v>4</v>
      </c>
      <c r="T25" s="28">
        <v>0.04</v>
      </c>
      <c r="U25" s="7"/>
      <c r="V25" s="27"/>
      <c r="W25" s="23"/>
      <c r="X25" s="23"/>
      <c r="Y25" s="23"/>
      <c r="Z25" s="23"/>
      <c r="AA25" s="28"/>
      <c r="AC25" s="27"/>
      <c r="AD25" s="23"/>
      <c r="AE25" s="37"/>
      <c r="AF25" s="37"/>
      <c r="AG25" s="37"/>
      <c r="AH25" s="38"/>
    </row>
    <row r="26" spans="1:34" x14ac:dyDescent="0.25">
      <c r="A26" s="27"/>
      <c r="B26" s="23"/>
      <c r="C26" s="23"/>
      <c r="D26" s="23"/>
      <c r="E26" s="23"/>
      <c r="F26" s="28"/>
      <c r="G26" s="7"/>
      <c r="H26" s="25" t="s">
        <v>43</v>
      </c>
      <c r="I26" s="24" t="s">
        <v>38</v>
      </c>
      <c r="J26" s="24" t="s">
        <v>39</v>
      </c>
      <c r="K26" s="24" t="s">
        <v>40</v>
      </c>
      <c r="L26" s="24" t="s">
        <v>41</v>
      </c>
      <c r="M26" s="26" t="s">
        <v>42</v>
      </c>
      <c r="N26" s="7"/>
      <c r="O26" s="27">
        <v>39467</v>
      </c>
      <c r="P26" s="23">
        <v>32007</v>
      </c>
      <c r="Q26" s="23">
        <v>100</v>
      </c>
      <c r="R26" s="23">
        <v>1</v>
      </c>
      <c r="S26" s="23">
        <v>1</v>
      </c>
      <c r="T26" s="28">
        <v>0.01</v>
      </c>
      <c r="U26" s="7"/>
      <c r="V26" s="27"/>
      <c r="W26" s="23"/>
      <c r="X26" s="23"/>
      <c r="Y26" s="23"/>
      <c r="Z26" s="23"/>
      <c r="AA26" s="28"/>
      <c r="AC26" s="27"/>
      <c r="AD26" s="23"/>
      <c r="AE26" s="37"/>
      <c r="AF26" s="37"/>
      <c r="AG26" s="37"/>
      <c r="AH26" s="38"/>
    </row>
    <row r="27" spans="1:34" x14ac:dyDescent="0.25">
      <c r="A27" s="27"/>
      <c r="B27" s="23"/>
      <c r="C27" s="23"/>
      <c r="D27" s="23"/>
      <c r="E27" s="23"/>
      <c r="F27" s="28"/>
      <c r="G27" s="7"/>
      <c r="H27" s="27">
        <v>39514</v>
      </c>
      <c r="I27" s="23">
        <v>21200</v>
      </c>
      <c r="J27" s="23">
        <v>100</v>
      </c>
      <c r="K27" s="23">
        <v>2</v>
      </c>
      <c r="L27" s="23">
        <v>2</v>
      </c>
      <c r="M27" s="28">
        <v>0.02</v>
      </c>
      <c r="N27" s="7"/>
      <c r="O27" s="27"/>
      <c r="P27" s="23"/>
      <c r="Q27" s="23"/>
      <c r="R27" s="23"/>
      <c r="S27" s="23"/>
      <c r="T27" s="28" t="e">
        <v>#DIV/0!</v>
      </c>
      <c r="U27" s="7"/>
      <c r="V27" s="27"/>
      <c r="W27" s="23"/>
      <c r="X27" s="23"/>
      <c r="Y27" s="23"/>
      <c r="Z27" s="23"/>
      <c r="AA27" s="28"/>
      <c r="AC27" s="27"/>
      <c r="AD27" s="23"/>
      <c r="AE27" s="37"/>
      <c r="AF27" s="37"/>
      <c r="AG27" s="37"/>
      <c r="AH27" s="38"/>
    </row>
    <row r="28" spans="1:34" x14ac:dyDescent="0.25">
      <c r="A28" s="27"/>
      <c r="B28" s="23"/>
      <c r="C28" s="23"/>
      <c r="D28" s="23"/>
      <c r="E28" s="23"/>
      <c r="F28" s="28"/>
      <c r="G28" s="7"/>
      <c r="H28" s="27">
        <v>39514</v>
      </c>
      <c r="I28" s="23">
        <v>22307</v>
      </c>
      <c r="J28" s="23">
        <v>100</v>
      </c>
      <c r="K28" s="23">
        <v>1</v>
      </c>
      <c r="L28" s="23">
        <v>1</v>
      </c>
      <c r="M28" s="28">
        <v>0.01</v>
      </c>
      <c r="N28" s="7"/>
      <c r="O28" s="27"/>
      <c r="P28" s="23"/>
      <c r="Q28" s="23"/>
      <c r="R28" s="23"/>
      <c r="S28" s="23"/>
      <c r="T28" s="28" t="e">
        <v>#DIV/0!</v>
      </c>
      <c r="U28" s="7"/>
      <c r="V28" s="27"/>
      <c r="W28" s="23"/>
      <c r="X28" s="37"/>
      <c r="Y28" s="37"/>
      <c r="Z28" s="37"/>
      <c r="AA28" s="38"/>
      <c r="AC28" s="27"/>
      <c r="AD28" s="23"/>
      <c r="AE28" s="37"/>
      <c r="AF28" s="37"/>
      <c r="AG28" s="37"/>
      <c r="AH28" s="38"/>
    </row>
    <row r="29" spans="1:34" ht="16.5" thickBot="1" x14ac:dyDescent="0.3">
      <c r="A29" s="27"/>
      <c r="B29" s="23"/>
      <c r="C29" s="23"/>
      <c r="D29" s="23"/>
      <c r="E29" s="23"/>
      <c r="F29" s="28"/>
      <c r="G29" s="7"/>
      <c r="H29" s="27">
        <v>39514</v>
      </c>
      <c r="I29" s="23">
        <v>22309</v>
      </c>
      <c r="J29" s="23">
        <v>50</v>
      </c>
      <c r="K29" s="23">
        <v>3</v>
      </c>
      <c r="L29" s="23">
        <v>3</v>
      </c>
      <c r="M29" s="28">
        <v>0.06</v>
      </c>
      <c r="N29" s="7"/>
      <c r="O29" s="27"/>
      <c r="P29" s="23"/>
      <c r="Q29" s="23"/>
      <c r="R29" s="23"/>
      <c r="S29" s="23"/>
      <c r="T29" s="28" t="e">
        <v>#DIV/0!</v>
      </c>
      <c r="U29" s="7"/>
      <c r="V29" s="27"/>
      <c r="W29" s="23"/>
      <c r="X29" s="31"/>
      <c r="Y29" s="31"/>
      <c r="Z29" s="31"/>
      <c r="AA29" s="32"/>
      <c r="AC29" s="27"/>
      <c r="AD29" s="23"/>
      <c r="AE29" s="37"/>
      <c r="AF29" s="37"/>
      <c r="AG29" s="37"/>
      <c r="AH29" s="38"/>
    </row>
    <row r="30" spans="1:34" ht="16.5" thickBot="1" x14ac:dyDescent="0.3">
      <c r="A30" s="27"/>
      <c r="B30" s="23"/>
      <c r="C30" s="23"/>
      <c r="D30" s="23"/>
      <c r="E30" s="23"/>
      <c r="F30" s="28"/>
      <c r="G30" s="7"/>
      <c r="H30" s="27">
        <v>39516</v>
      </c>
      <c r="I30" s="23">
        <v>22309</v>
      </c>
      <c r="J30" s="23">
        <v>100</v>
      </c>
      <c r="K30" s="23">
        <v>3</v>
      </c>
      <c r="L30" s="23">
        <v>3</v>
      </c>
      <c r="M30" s="28">
        <v>0.03</v>
      </c>
      <c r="N30" s="7"/>
      <c r="O30" s="27"/>
      <c r="P30" s="23"/>
      <c r="Q30" s="31"/>
      <c r="R30" s="31"/>
      <c r="S30" s="31"/>
      <c r="T30" s="32"/>
      <c r="U30" s="7"/>
      <c r="V30" s="198" t="s">
        <v>44</v>
      </c>
      <c r="W30" s="199"/>
      <c r="X30" s="34">
        <v>0</v>
      </c>
      <c r="Y30" s="34">
        <v>0</v>
      </c>
      <c r="Z30" s="34">
        <v>0</v>
      </c>
      <c r="AA30" s="35" t="e">
        <v>#DIV/0!</v>
      </c>
      <c r="AC30" s="27"/>
      <c r="AD30" s="23"/>
      <c r="AE30" s="37"/>
      <c r="AF30" s="37"/>
      <c r="AG30" s="37"/>
      <c r="AH30" s="38"/>
    </row>
    <row r="31" spans="1:34" ht="16.5" thickBot="1" x14ac:dyDescent="0.3">
      <c r="A31" s="33"/>
      <c r="B31" s="31"/>
      <c r="C31" s="31"/>
      <c r="D31" s="31"/>
      <c r="E31" s="31"/>
      <c r="F31" s="32"/>
      <c r="G31" s="7"/>
      <c r="H31" s="27"/>
      <c r="I31" s="23"/>
      <c r="J31" s="31"/>
      <c r="K31" s="31"/>
      <c r="L31" s="31"/>
      <c r="M31" s="36"/>
      <c r="N31" s="7"/>
      <c r="O31" s="198" t="s">
        <v>44</v>
      </c>
      <c r="P31" s="199"/>
      <c r="Q31" s="34">
        <v>200</v>
      </c>
      <c r="R31" s="34">
        <v>5</v>
      </c>
      <c r="S31" s="34">
        <v>5</v>
      </c>
      <c r="T31" s="35">
        <v>2.5000000000000001E-2</v>
      </c>
      <c r="U31" s="7"/>
      <c r="AC31" s="27"/>
      <c r="AD31" s="23"/>
      <c r="AE31" s="31"/>
      <c r="AF31" s="31"/>
      <c r="AG31" s="31"/>
      <c r="AH31" s="32"/>
    </row>
    <row r="32" spans="1:34" ht="16.5" thickBot="1" x14ac:dyDescent="0.3">
      <c r="A32" s="198" t="s">
        <v>44</v>
      </c>
      <c r="B32" s="199"/>
      <c r="C32" s="34">
        <v>0</v>
      </c>
      <c r="D32" s="34">
        <v>0</v>
      </c>
      <c r="E32" s="34">
        <v>0</v>
      </c>
      <c r="F32" s="29"/>
      <c r="G32" s="7"/>
      <c r="H32" s="198" t="s">
        <v>44</v>
      </c>
      <c r="I32" s="199"/>
      <c r="J32" s="34">
        <v>350</v>
      </c>
      <c r="K32" s="34">
        <v>9</v>
      </c>
      <c r="L32" s="34">
        <v>9</v>
      </c>
      <c r="M32" s="35">
        <v>2.5714285714285714E-2</v>
      </c>
      <c r="N32" s="7"/>
      <c r="U32" s="7"/>
      <c r="AC32" s="198" t="s">
        <v>44</v>
      </c>
      <c r="AD32" s="199"/>
      <c r="AE32" s="34">
        <v>0</v>
      </c>
      <c r="AF32" s="34">
        <v>0</v>
      </c>
      <c r="AG32" s="34">
        <v>0</v>
      </c>
      <c r="AH32" s="35" t="e">
        <v>#DIV/0!</v>
      </c>
    </row>
    <row r="33" spans="1:20" ht="16.5" thickBot="1" x14ac:dyDescent="0.3">
      <c r="O33" s="200" t="s">
        <v>9</v>
      </c>
      <c r="P33" s="201"/>
      <c r="Q33" s="201"/>
      <c r="R33" s="201"/>
      <c r="S33" s="201"/>
      <c r="T33" s="202"/>
    </row>
    <row r="34" spans="1:20" x14ac:dyDescent="0.25">
      <c r="A34" s="200" t="s">
        <v>7</v>
      </c>
      <c r="B34" s="201"/>
      <c r="C34" s="201"/>
      <c r="D34" s="201"/>
      <c r="E34" s="201"/>
      <c r="F34" s="202"/>
      <c r="H34" s="200" t="s">
        <v>8</v>
      </c>
      <c r="I34" s="201"/>
      <c r="J34" s="201"/>
      <c r="K34" s="201"/>
      <c r="L34" s="201"/>
      <c r="M34" s="202"/>
      <c r="O34" s="25" t="s">
        <v>43</v>
      </c>
      <c r="P34" s="24" t="s">
        <v>38</v>
      </c>
      <c r="Q34" s="24" t="s">
        <v>39</v>
      </c>
      <c r="R34" s="24" t="s">
        <v>40</v>
      </c>
      <c r="S34" s="24" t="s">
        <v>41</v>
      </c>
      <c r="T34" s="26" t="s">
        <v>42</v>
      </c>
    </row>
    <row r="35" spans="1:20" x14ac:dyDescent="0.25">
      <c r="A35" s="25" t="s">
        <v>43</v>
      </c>
      <c r="B35" s="24" t="s">
        <v>38</v>
      </c>
      <c r="C35" s="24" t="s">
        <v>39</v>
      </c>
      <c r="D35" s="24" t="s">
        <v>40</v>
      </c>
      <c r="E35" s="24" t="s">
        <v>41</v>
      </c>
      <c r="F35" s="26" t="s">
        <v>42</v>
      </c>
      <c r="H35" s="25" t="s">
        <v>43</v>
      </c>
      <c r="I35" s="24" t="s">
        <v>38</v>
      </c>
      <c r="J35" s="24" t="s">
        <v>39</v>
      </c>
      <c r="K35" s="24" t="s">
        <v>40</v>
      </c>
      <c r="L35" s="24" t="s">
        <v>41</v>
      </c>
      <c r="M35" s="26" t="s">
        <v>42</v>
      </c>
      <c r="O35" s="27">
        <v>39572</v>
      </c>
      <c r="P35" s="23">
        <v>32007</v>
      </c>
      <c r="Q35" s="23">
        <v>100</v>
      </c>
      <c r="R35" s="23">
        <v>7</v>
      </c>
      <c r="S35" s="23">
        <v>7</v>
      </c>
      <c r="T35" s="28">
        <v>7.0000000000000007E-2</v>
      </c>
    </row>
    <row r="36" spans="1:20" x14ac:dyDescent="0.25">
      <c r="A36" s="27"/>
      <c r="B36" s="23"/>
      <c r="C36" s="23"/>
      <c r="D36" s="23"/>
      <c r="E36" s="23"/>
      <c r="F36" s="28"/>
      <c r="H36" s="27">
        <v>39545</v>
      </c>
      <c r="I36" s="23">
        <v>21200</v>
      </c>
      <c r="J36" s="23">
        <v>100</v>
      </c>
      <c r="K36" s="23">
        <v>3</v>
      </c>
      <c r="L36" s="23">
        <v>3</v>
      </c>
      <c r="M36" s="28">
        <v>0.03</v>
      </c>
      <c r="O36" s="27">
        <v>39573</v>
      </c>
      <c r="P36" s="23">
        <v>31005</v>
      </c>
      <c r="Q36" s="23">
        <v>100</v>
      </c>
      <c r="R36" s="23">
        <v>3</v>
      </c>
      <c r="S36" s="23">
        <v>3</v>
      </c>
      <c r="T36" s="28">
        <v>0.03</v>
      </c>
    </row>
    <row r="37" spans="1:20" x14ac:dyDescent="0.25">
      <c r="A37" s="27"/>
      <c r="B37" s="23"/>
      <c r="C37" s="23"/>
      <c r="D37" s="23"/>
      <c r="E37" s="23"/>
      <c r="F37" s="28"/>
      <c r="H37" s="27">
        <v>39545</v>
      </c>
      <c r="I37" s="23">
        <v>22307</v>
      </c>
      <c r="J37" s="23">
        <v>50</v>
      </c>
      <c r="K37" s="23">
        <v>1</v>
      </c>
      <c r="L37" s="23">
        <v>1</v>
      </c>
      <c r="M37" s="28">
        <v>0.02</v>
      </c>
      <c r="O37" s="27"/>
      <c r="P37" s="23"/>
      <c r="Q37" s="23"/>
      <c r="R37" s="23"/>
      <c r="S37" s="23"/>
      <c r="T37" s="28"/>
    </row>
    <row r="38" spans="1:20" x14ac:dyDescent="0.25">
      <c r="A38" s="27"/>
      <c r="B38" s="23"/>
      <c r="C38" s="23"/>
      <c r="D38" s="23"/>
      <c r="E38" s="23"/>
      <c r="F38" s="28"/>
      <c r="H38" s="27">
        <v>39546</v>
      </c>
      <c r="I38" s="23">
        <v>22309</v>
      </c>
      <c r="J38" s="23">
        <v>100</v>
      </c>
      <c r="K38" s="23">
        <v>2</v>
      </c>
      <c r="L38" s="23">
        <v>2</v>
      </c>
      <c r="M38" s="28">
        <v>0.02</v>
      </c>
      <c r="O38" s="27"/>
      <c r="P38" s="23"/>
      <c r="Q38" s="23"/>
      <c r="R38" s="23"/>
      <c r="S38" s="23"/>
      <c r="T38" s="28"/>
    </row>
    <row r="39" spans="1:20" ht="16.5" thickBot="1" x14ac:dyDescent="0.3">
      <c r="A39" s="27"/>
      <c r="B39" s="23"/>
      <c r="C39" s="23"/>
      <c r="D39" s="23"/>
      <c r="E39" s="23"/>
      <c r="F39" s="28"/>
      <c r="H39" s="27">
        <v>39547</v>
      </c>
      <c r="I39" s="23">
        <v>22309</v>
      </c>
      <c r="J39" s="23">
        <v>100</v>
      </c>
      <c r="K39" s="23">
        <v>5</v>
      </c>
      <c r="L39" s="23">
        <v>5</v>
      </c>
      <c r="M39" s="28">
        <v>0.05</v>
      </c>
      <c r="O39" s="27"/>
      <c r="P39" s="23"/>
      <c r="Q39" s="31"/>
      <c r="R39" s="31"/>
      <c r="S39" s="31"/>
      <c r="T39" s="32"/>
    </row>
    <row r="40" spans="1:20" ht="16.5" thickBot="1" x14ac:dyDescent="0.3">
      <c r="A40" s="27"/>
      <c r="B40" s="23"/>
      <c r="C40" s="23"/>
      <c r="D40" s="23"/>
      <c r="E40" s="23"/>
      <c r="F40" s="28"/>
      <c r="H40" s="27"/>
      <c r="I40" s="23"/>
      <c r="J40" s="31"/>
      <c r="K40" s="31"/>
      <c r="L40" s="31"/>
      <c r="M40" s="36"/>
      <c r="O40" s="198" t="s">
        <v>44</v>
      </c>
      <c r="P40" s="199"/>
      <c r="Q40" s="34">
        <v>200</v>
      </c>
      <c r="R40" s="34">
        <v>10</v>
      </c>
      <c r="S40" s="34">
        <v>10</v>
      </c>
      <c r="T40" s="35">
        <v>0.05</v>
      </c>
    </row>
    <row r="41" spans="1:20" ht="16.5" thickBot="1" x14ac:dyDescent="0.3">
      <c r="A41" s="27"/>
      <c r="B41" s="23"/>
      <c r="C41" s="23"/>
      <c r="D41" s="23"/>
      <c r="E41" s="23"/>
      <c r="F41" s="28"/>
      <c r="H41" s="198" t="s">
        <v>44</v>
      </c>
      <c r="I41" s="199"/>
      <c r="J41" s="34">
        <v>350</v>
      </c>
      <c r="K41" s="34">
        <v>11</v>
      </c>
      <c r="L41" s="34">
        <v>11</v>
      </c>
      <c r="M41" s="35">
        <v>3.1428571428571431E-2</v>
      </c>
    </row>
    <row r="42" spans="1:20" ht="16.5" thickBot="1" x14ac:dyDescent="0.3">
      <c r="A42" s="27"/>
      <c r="B42" s="23"/>
      <c r="C42" s="23"/>
      <c r="D42" s="23"/>
      <c r="E42" s="23"/>
      <c r="F42" s="28"/>
      <c r="O42" s="200" t="s">
        <v>9</v>
      </c>
      <c r="P42" s="201"/>
      <c r="Q42" s="201"/>
      <c r="R42" s="201"/>
      <c r="S42" s="201"/>
      <c r="T42" s="202"/>
    </row>
    <row r="43" spans="1:20" x14ac:dyDescent="0.25">
      <c r="A43" s="27"/>
      <c r="B43" s="23"/>
      <c r="C43" s="23"/>
      <c r="D43" s="23"/>
      <c r="E43" s="23"/>
      <c r="F43" s="28"/>
      <c r="H43" s="200" t="s">
        <v>8</v>
      </c>
      <c r="I43" s="201"/>
      <c r="J43" s="201"/>
      <c r="K43" s="201"/>
      <c r="L43" s="201"/>
      <c r="M43" s="202"/>
      <c r="O43" s="25" t="s">
        <v>43</v>
      </c>
      <c r="P43" s="24" t="s">
        <v>38</v>
      </c>
      <c r="Q43" s="24" t="s">
        <v>39</v>
      </c>
      <c r="R43" s="24" t="s">
        <v>40</v>
      </c>
      <c r="S43" s="24" t="s">
        <v>41</v>
      </c>
      <c r="T43" s="26" t="s">
        <v>42</v>
      </c>
    </row>
    <row r="44" spans="1:20" ht="16.5" thickBot="1" x14ac:dyDescent="0.3">
      <c r="A44" s="33"/>
      <c r="B44" s="31"/>
      <c r="C44" s="31"/>
      <c r="D44" s="31"/>
      <c r="E44" s="31"/>
      <c r="F44" s="32"/>
      <c r="H44" s="25" t="s">
        <v>43</v>
      </c>
      <c r="I44" s="24" t="s">
        <v>38</v>
      </c>
      <c r="J44" s="24" t="s">
        <v>39</v>
      </c>
      <c r="K44" s="24" t="s">
        <v>40</v>
      </c>
      <c r="L44" s="24" t="s">
        <v>41</v>
      </c>
      <c r="M44" s="26" t="s">
        <v>42</v>
      </c>
      <c r="O44" s="27">
        <v>39592</v>
      </c>
      <c r="P44" s="23">
        <v>31005</v>
      </c>
      <c r="Q44" s="23">
        <v>100</v>
      </c>
      <c r="R44" s="23">
        <v>3</v>
      </c>
      <c r="S44" s="23">
        <v>3</v>
      </c>
      <c r="T44" s="28">
        <v>0.03</v>
      </c>
    </row>
    <row r="45" spans="1:20" ht="16.5" thickBot="1" x14ac:dyDescent="0.3">
      <c r="A45" s="198" t="s">
        <v>44</v>
      </c>
      <c r="B45" s="199"/>
      <c r="C45" s="34">
        <v>0</v>
      </c>
      <c r="D45" s="34">
        <v>0</v>
      </c>
      <c r="E45" s="34">
        <v>0</v>
      </c>
      <c r="F45" s="29"/>
      <c r="H45" s="27">
        <v>39573</v>
      </c>
      <c r="I45" s="23">
        <v>21200</v>
      </c>
      <c r="J45" s="23">
        <v>50</v>
      </c>
      <c r="K45" s="23">
        <v>4</v>
      </c>
      <c r="L45" s="23">
        <v>4</v>
      </c>
      <c r="M45" s="28">
        <v>0.08</v>
      </c>
      <c r="O45" s="27">
        <v>39592</v>
      </c>
      <c r="P45" s="23">
        <v>32007</v>
      </c>
      <c r="Q45" s="23">
        <v>100</v>
      </c>
      <c r="R45" s="23">
        <v>2</v>
      </c>
      <c r="S45" s="23">
        <v>2</v>
      </c>
      <c r="T45" s="28">
        <v>0.02</v>
      </c>
    </row>
    <row r="46" spans="1:20" x14ac:dyDescent="0.25">
      <c r="H46" s="27">
        <v>39573</v>
      </c>
      <c r="I46" s="23">
        <v>22307</v>
      </c>
      <c r="J46" s="23">
        <v>50</v>
      </c>
      <c r="K46" s="23">
        <v>5</v>
      </c>
      <c r="L46" s="23">
        <v>5</v>
      </c>
      <c r="M46" s="28">
        <v>0.1</v>
      </c>
      <c r="O46" s="27"/>
      <c r="P46" s="23"/>
      <c r="Q46" s="23"/>
      <c r="R46" s="23"/>
      <c r="S46" s="23"/>
      <c r="T46" s="28"/>
    </row>
    <row r="47" spans="1:20" x14ac:dyDescent="0.25">
      <c r="H47" s="27"/>
      <c r="I47" s="23"/>
      <c r="J47" s="23"/>
      <c r="K47" s="23"/>
      <c r="L47" s="23"/>
      <c r="M47" s="28"/>
      <c r="O47" s="27"/>
      <c r="P47" s="23"/>
      <c r="Q47" s="23"/>
      <c r="R47" s="23"/>
      <c r="S47" s="23"/>
      <c r="T47" s="28"/>
    </row>
    <row r="48" spans="1:20" ht="16.5" thickBot="1" x14ac:dyDescent="0.3">
      <c r="H48" s="27"/>
      <c r="I48" s="23"/>
      <c r="J48" s="23"/>
      <c r="K48" s="23"/>
      <c r="L48" s="23"/>
      <c r="M48" s="28"/>
      <c r="O48" s="27"/>
      <c r="P48" s="23"/>
      <c r="Q48" s="31"/>
      <c r="R48" s="31"/>
      <c r="S48" s="31"/>
      <c r="T48" s="32"/>
    </row>
    <row r="49" spans="8:20" ht="16.5" thickBot="1" x14ac:dyDescent="0.3">
      <c r="H49" s="27"/>
      <c r="I49" s="23"/>
      <c r="J49" s="31"/>
      <c r="K49" s="31"/>
      <c r="L49" s="31"/>
      <c r="M49" s="36"/>
      <c r="O49" s="198" t="s">
        <v>44</v>
      </c>
      <c r="P49" s="199"/>
      <c r="Q49" s="34">
        <v>200</v>
      </c>
      <c r="R49" s="34">
        <v>5</v>
      </c>
      <c r="S49" s="34">
        <v>5</v>
      </c>
      <c r="T49" s="35">
        <v>2.5000000000000001E-2</v>
      </c>
    </row>
    <row r="50" spans="8:20" ht="16.5" thickBot="1" x14ac:dyDescent="0.3">
      <c r="H50" s="198" t="s">
        <v>44</v>
      </c>
      <c r="I50" s="199"/>
      <c r="J50" s="34">
        <v>100</v>
      </c>
      <c r="K50" s="34">
        <v>9</v>
      </c>
      <c r="L50" s="34">
        <v>9</v>
      </c>
      <c r="M50" s="35">
        <v>0.09</v>
      </c>
    </row>
    <row r="51" spans="8:20" ht="16.5" thickBot="1" x14ac:dyDescent="0.3"/>
    <row r="52" spans="8:20" x14ac:dyDescent="0.25">
      <c r="H52" s="200" t="s">
        <v>8</v>
      </c>
      <c r="I52" s="201"/>
      <c r="J52" s="201"/>
      <c r="K52" s="201"/>
      <c r="L52" s="201"/>
      <c r="M52" s="202"/>
    </row>
    <row r="53" spans="8:20" x14ac:dyDescent="0.25">
      <c r="H53" s="25" t="s">
        <v>43</v>
      </c>
      <c r="I53" s="24" t="s">
        <v>38</v>
      </c>
      <c r="J53" s="24" t="s">
        <v>39</v>
      </c>
      <c r="K53" s="24" t="s">
        <v>40</v>
      </c>
      <c r="L53" s="24" t="s">
        <v>41</v>
      </c>
      <c r="M53" s="26" t="s">
        <v>42</v>
      </c>
    </row>
    <row r="54" spans="8:20" x14ac:dyDescent="0.25">
      <c r="H54" s="27"/>
      <c r="I54" s="23"/>
      <c r="J54" s="23"/>
      <c r="K54" s="23"/>
      <c r="L54" s="23"/>
      <c r="M54" s="28" t="e">
        <v>#DIV/0!</v>
      </c>
    </row>
    <row r="55" spans="8:20" x14ac:dyDescent="0.25">
      <c r="H55" s="27"/>
      <c r="I55" s="23"/>
      <c r="J55" s="23"/>
      <c r="K55" s="23"/>
      <c r="L55" s="23"/>
      <c r="M55" s="28" t="e">
        <v>#DIV/0!</v>
      </c>
    </row>
    <row r="56" spans="8:20" x14ac:dyDescent="0.25">
      <c r="H56" s="27"/>
      <c r="I56" s="23"/>
      <c r="J56" s="23"/>
      <c r="K56" s="23"/>
      <c r="L56" s="23"/>
      <c r="M56" s="28" t="e">
        <v>#DIV/0!</v>
      </c>
    </row>
    <row r="57" spans="8:20" x14ac:dyDescent="0.25">
      <c r="H57" s="27"/>
      <c r="I57" s="23"/>
      <c r="J57" s="23"/>
      <c r="K57" s="23"/>
      <c r="L57" s="23"/>
      <c r="M57" s="28" t="e">
        <v>#DIV/0!</v>
      </c>
    </row>
    <row r="58" spans="8:20" x14ac:dyDescent="0.25">
      <c r="H58" s="27"/>
      <c r="I58" s="23"/>
      <c r="J58" s="23"/>
      <c r="K58" s="23"/>
      <c r="L58" s="23"/>
      <c r="M58" s="28" t="e">
        <v>#DIV/0!</v>
      </c>
    </row>
    <row r="59" spans="8:20" ht="16.5" thickBot="1" x14ac:dyDescent="0.3">
      <c r="H59" s="27"/>
      <c r="I59" s="23"/>
      <c r="J59" s="31"/>
      <c r="K59" s="31"/>
      <c r="L59" s="31"/>
      <c r="M59" s="32" t="e">
        <v>#DIV/0!</v>
      </c>
    </row>
    <row r="60" spans="8:20" ht="16.5" thickBot="1" x14ac:dyDescent="0.3">
      <c r="H60" s="198" t="s">
        <v>44</v>
      </c>
      <c r="I60" s="199"/>
      <c r="J60" s="34">
        <v>0</v>
      </c>
      <c r="K60" s="34">
        <v>0</v>
      </c>
      <c r="L60" s="34">
        <v>0</v>
      </c>
      <c r="M60" s="35" t="e">
        <v>#DIV/0!</v>
      </c>
    </row>
    <row r="61" spans="8:20" ht="16.5" thickBot="1" x14ac:dyDescent="0.3"/>
    <row r="62" spans="8:20" x14ac:dyDescent="0.25">
      <c r="H62" s="200" t="s">
        <v>8</v>
      </c>
      <c r="I62" s="201"/>
      <c r="J62" s="201"/>
      <c r="K62" s="201"/>
      <c r="L62" s="201"/>
      <c r="M62" s="202"/>
    </row>
    <row r="63" spans="8:20" x14ac:dyDescent="0.25">
      <c r="H63" s="25" t="s">
        <v>43</v>
      </c>
      <c r="I63" s="24" t="s">
        <v>38</v>
      </c>
      <c r="J63" s="24" t="s">
        <v>39</v>
      </c>
      <c r="K63" s="24" t="s">
        <v>40</v>
      </c>
      <c r="L63" s="24" t="s">
        <v>41</v>
      </c>
      <c r="M63" s="26" t="s">
        <v>42</v>
      </c>
    </row>
    <row r="64" spans="8:20" x14ac:dyDescent="0.25">
      <c r="H64" s="27"/>
      <c r="I64" s="23"/>
      <c r="J64" s="23"/>
      <c r="K64" s="23"/>
      <c r="L64" s="23"/>
      <c r="M64" s="28" t="e">
        <v>#DIV/0!</v>
      </c>
    </row>
    <row r="65" spans="8:13" x14ac:dyDescent="0.25">
      <c r="H65" s="27"/>
      <c r="I65" s="23"/>
      <c r="J65" s="23"/>
      <c r="K65" s="23"/>
      <c r="L65" s="23"/>
      <c r="M65" s="28" t="e">
        <v>#DIV/0!</v>
      </c>
    </row>
    <row r="66" spans="8:13" x14ac:dyDescent="0.25">
      <c r="H66" s="27"/>
      <c r="I66" s="23"/>
      <c r="J66" s="23"/>
      <c r="K66" s="23"/>
      <c r="L66" s="23"/>
      <c r="M66" s="28" t="e">
        <v>#DIV/0!</v>
      </c>
    </row>
    <row r="67" spans="8:13" x14ac:dyDescent="0.25">
      <c r="H67" s="27"/>
      <c r="I67" s="23"/>
      <c r="J67" s="23"/>
      <c r="K67" s="23"/>
      <c r="L67" s="23"/>
      <c r="M67" s="28" t="e">
        <v>#DIV/0!</v>
      </c>
    </row>
    <row r="68" spans="8:13" x14ac:dyDescent="0.25">
      <c r="H68" s="27"/>
      <c r="I68" s="23"/>
      <c r="J68" s="23"/>
      <c r="K68" s="23"/>
      <c r="L68" s="23"/>
      <c r="M68" s="28" t="e">
        <v>#DIV/0!</v>
      </c>
    </row>
    <row r="69" spans="8:13" ht="16.5" thickBot="1" x14ac:dyDescent="0.3">
      <c r="H69" s="33"/>
      <c r="I69" s="31"/>
      <c r="J69" s="31"/>
      <c r="K69" s="31"/>
      <c r="L69" s="31"/>
      <c r="M69" s="32" t="e">
        <v>#DIV/0!</v>
      </c>
    </row>
    <row r="70" spans="8:13" ht="16.5" thickBot="1" x14ac:dyDescent="0.3">
      <c r="H70" s="203" t="s">
        <v>44</v>
      </c>
      <c r="I70" s="204"/>
      <c r="J70" s="34">
        <v>0</v>
      </c>
      <c r="K70" s="34">
        <v>0</v>
      </c>
      <c r="L70" s="34">
        <v>0</v>
      </c>
      <c r="M70" s="35" t="e">
        <v>#DIV/0!</v>
      </c>
    </row>
  </sheetData>
  <mergeCells count="40">
    <mergeCell ref="H34:M34"/>
    <mergeCell ref="O49:P49"/>
    <mergeCell ref="O33:T33"/>
    <mergeCell ref="O40:P40"/>
    <mergeCell ref="A34:F34"/>
    <mergeCell ref="A45:B45"/>
    <mergeCell ref="H41:I41"/>
    <mergeCell ref="H43:M43"/>
    <mergeCell ref="O42:T42"/>
    <mergeCell ref="H62:M62"/>
    <mergeCell ref="H70:I70"/>
    <mergeCell ref="H52:M52"/>
    <mergeCell ref="H60:I60"/>
    <mergeCell ref="H50:I50"/>
    <mergeCell ref="AC3:AH3"/>
    <mergeCell ref="AC32:AD32"/>
    <mergeCell ref="H23:I23"/>
    <mergeCell ref="V22:AA22"/>
    <mergeCell ref="V30:W30"/>
    <mergeCell ref="V3:AA3"/>
    <mergeCell ref="V10:W10"/>
    <mergeCell ref="V13:AA13"/>
    <mergeCell ref="V20:W20"/>
    <mergeCell ref="O21:P21"/>
    <mergeCell ref="O3:T3"/>
    <mergeCell ref="O11:P11"/>
    <mergeCell ref="A3:F3"/>
    <mergeCell ref="H3:M3"/>
    <mergeCell ref="A12:F12"/>
    <mergeCell ref="H16:M16"/>
    <mergeCell ref="A10:B10"/>
    <mergeCell ref="H14:I14"/>
    <mergeCell ref="A19:B19"/>
    <mergeCell ref="O13:T13"/>
    <mergeCell ref="A21:F21"/>
    <mergeCell ref="A32:B32"/>
    <mergeCell ref="O23:T23"/>
    <mergeCell ref="O31:P31"/>
    <mergeCell ref="H25:M25"/>
    <mergeCell ref="H32:I32"/>
  </mergeCells>
  <phoneticPr fontId="1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9"/>
  <sheetViews>
    <sheetView workbookViewId="0">
      <selection sqref="A1:B9"/>
    </sheetView>
  </sheetViews>
  <sheetFormatPr defaultRowHeight="15.75" x14ac:dyDescent="0.25"/>
  <cols>
    <col min="1" max="1" width="17.875" customWidth="1"/>
    <col min="2" max="2" width="8.875" bestFit="1" customWidth="1"/>
    <col min="4" max="4" width="8.875" bestFit="1" customWidth="1"/>
  </cols>
  <sheetData>
    <row r="1" spans="1:8" x14ac:dyDescent="0.25">
      <c r="A1" t="s">
        <v>52</v>
      </c>
    </row>
    <row r="3" spans="1:8" ht="16.5" thickBot="1" x14ac:dyDescent="0.3"/>
    <row r="4" spans="1:8" x14ac:dyDescent="0.25">
      <c r="A4" s="15" t="s">
        <v>2</v>
      </c>
      <c r="B4" s="16">
        <v>1245337</v>
      </c>
      <c r="D4" s="12"/>
      <c r="H4" s="12"/>
    </row>
    <row r="5" spans="1:8" x14ac:dyDescent="0.25">
      <c r="A5" s="17" t="s">
        <v>13</v>
      </c>
      <c r="B5" s="18">
        <v>1180370</v>
      </c>
      <c r="D5" s="12"/>
      <c r="H5" s="12"/>
    </row>
    <row r="6" spans="1:8" x14ac:dyDescent="0.25">
      <c r="A6" s="17" t="s">
        <v>14</v>
      </c>
      <c r="B6" s="18">
        <v>712696</v>
      </c>
      <c r="D6" s="12"/>
      <c r="H6" s="12"/>
    </row>
    <row r="7" spans="1:8" x14ac:dyDescent="0.25">
      <c r="A7" s="17" t="s">
        <v>16</v>
      </c>
      <c r="B7" s="18">
        <v>375464</v>
      </c>
      <c r="D7" s="12"/>
      <c r="H7" s="12"/>
    </row>
    <row r="8" spans="1:8" ht="16.5" thickBot="1" x14ac:dyDescent="0.3">
      <c r="A8" s="19" t="s">
        <v>18</v>
      </c>
      <c r="B8" s="20">
        <v>34527</v>
      </c>
      <c r="D8" s="12"/>
      <c r="H8" s="12"/>
    </row>
    <row r="9" spans="1:8" ht="16.5" thickBot="1" x14ac:dyDescent="0.3">
      <c r="A9" s="22" t="s">
        <v>36</v>
      </c>
      <c r="B9" s="21">
        <f>SUM(B4:B8)</f>
        <v>3548394</v>
      </c>
      <c r="D9" s="12"/>
      <c r="H9" s="12"/>
    </row>
  </sheetData>
  <phoneticPr fontId="1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36"/>
  <sheetViews>
    <sheetView workbookViewId="0">
      <selection activeCell="F17" sqref="F17"/>
    </sheetView>
  </sheetViews>
  <sheetFormatPr defaultColWidth="8" defaultRowHeight="12.75" x14ac:dyDescent="0.2"/>
  <cols>
    <col min="1" max="16384" width="8" style="40"/>
  </cols>
  <sheetData>
    <row r="1" spans="1:18" ht="21" thickBot="1" x14ac:dyDescent="0.35">
      <c r="A1" s="208" t="s">
        <v>57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</row>
    <row r="2" spans="1:18" x14ac:dyDescent="0.2">
      <c r="A2" s="87"/>
      <c r="B2" s="88"/>
      <c r="C2" s="88"/>
      <c r="D2" s="89"/>
      <c r="E2" s="209" t="s">
        <v>14</v>
      </c>
      <c r="F2" s="210"/>
      <c r="G2" s="210"/>
      <c r="H2" s="211"/>
      <c r="I2" s="209" t="s">
        <v>16</v>
      </c>
      <c r="J2" s="210"/>
      <c r="K2" s="210"/>
      <c r="L2" s="211"/>
      <c r="M2" s="212" t="s">
        <v>18</v>
      </c>
      <c r="N2" s="213"/>
      <c r="O2" s="213"/>
      <c r="P2" s="214"/>
      <c r="Q2" s="209" t="s">
        <v>27</v>
      </c>
      <c r="R2" s="211"/>
    </row>
    <row r="3" spans="1:18" ht="13.5" thickBot="1" x14ac:dyDescent="0.25">
      <c r="A3" s="90" t="s">
        <v>3</v>
      </c>
      <c r="B3" s="91" t="s">
        <v>4</v>
      </c>
      <c r="C3" s="91" t="s">
        <v>5</v>
      </c>
      <c r="D3" s="92" t="s">
        <v>6</v>
      </c>
      <c r="E3" s="93" t="s">
        <v>28</v>
      </c>
      <c r="F3" s="94" t="s">
        <v>29</v>
      </c>
      <c r="G3" s="94" t="s">
        <v>30</v>
      </c>
      <c r="H3" s="95" t="s">
        <v>58</v>
      </c>
      <c r="I3" s="93" t="s">
        <v>28</v>
      </c>
      <c r="J3" s="94" t="s">
        <v>29</v>
      </c>
      <c r="K3" s="94" t="s">
        <v>30</v>
      </c>
      <c r="L3" s="95" t="s">
        <v>58</v>
      </c>
      <c r="M3" s="93" t="s">
        <v>28</v>
      </c>
      <c r="N3" s="94" t="s">
        <v>29</v>
      </c>
      <c r="O3" s="94" t="s">
        <v>30</v>
      </c>
      <c r="P3" s="95" t="s">
        <v>58</v>
      </c>
      <c r="Q3" s="93" t="s">
        <v>28</v>
      </c>
      <c r="R3" s="95" t="s">
        <v>29</v>
      </c>
    </row>
    <row r="4" spans="1:18" x14ac:dyDescent="0.2">
      <c r="A4" s="41">
        <f>table!A5</f>
        <v>39381</v>
      </c>
      <c r="B4" s="55" t="str">
        <f>table!B5</f>
        <v>Sat</v>
      </c>
      <c r="C4" s="42">
        <f>table!C5</f>
        <v>-1.7</v>
      </c>
      <c r="D4" s="43">
        <f>table!D5</f>
        <v>0.80972222222222223</v>
      </c>
      <c r="E4" s="44">
        <f>table!K5</f>
        <v>3650</v>
      </c>
      <c r="F4" s="45">
        <f>table!L5</f>
        <v>54755</v>
      </c>
      <c r="G4" s="51">
        <f>table!M5</f>
        <v>15.001369863013698</v>
      </c>
      <c r="H4" s="46"/>
      <c r="I4" s="44">
        <f>table!N5</f>
        <v>4728</v>
      </c>
      <c r="J4" s="45">
        <f>table!O5</f>
        <v>69732</v>
      </c>
      <c r="K4" s="51">
        <f>table!P5</f>
        <v>14.748730964467006</v>
      </c>
      <c r="L4" s="46"/>
      <c r="M4" s="44" t="s">
        <v>61</v>
      </c>
      <c r="N4" s="45" t="s">
        <v>61</v>
      </c>
      <c r="O4" s="42"/>
      <c r="P4" s="46"/>
      <c r="Q4" s="44">
        <f>E4+I4</f>
        <v>8378</v>
      </c>
      <c r="R4" s="47">
        <f>F4+J4</f>
        <v>124487</v>
      </c>
    </row>
    <row r="5" spans="1:18" x14ac:dyDescent="0.2">
      <c r="A5" s="41">
        <f>table!A6</f>
        <v>39382</v>
      </c>
      <c r="B5" s="55" t="str">
        <f>table!B6</f>
        <v>Sun</v>
      </c>
      <c r="C5" s="42">
        <f>table!C6</f>
        <v>-1.9</v>
      </c>
      <c r="D5" s="43">
        <f>table!D6</f>
        <v>0.84305555555555556</v>
      </c>
      <c r="E5" s="44">
        <f>table!K6</f>
        <v>5184</v>
      </c>
      <c r="F5" s="45">
        <f>table!L6</f>
        <v>77105</v>
      </c>
      <c r="G5" s="51">
        <f>table!M6</f>
        <v>14.847222222222221</v>
      </c>
      <c r="H5" s="46"/>
      <c r="I5" s="44">
        <f>table!N6</f>
        <v>3021</v>
      </c>
      <c r="J5" s="45">
        <f>table!O6</f>
        <v>45317</v>
      </c>
      <c r="K5" s="51">
        <f>table!P6</f>
        <v>15</v>
      </c>
      <c r="L5" s="46"/>
      <c r="M5" s="44" t="s">
        <v>61</v>
      </c>
      <c r="N5" s="45" t="s">
        <v>61</v>
      </c>
      <c r="O5" s="42"/>
      <c r="P5" s="46"/>
      <c r="Q5" s="44">
        <f>E5+I5</f>
        <v>8205</v>
      </c>
      <c r="R5" s="47">
        <f>F5+J5</f>
        <v>122422</v>
      </c>
    </row>
    <row r="6" spans="1:18" ht="13.5" x14ac:dyDescent="0.25">
      <c r="A6" s="205" t="s">
        <v>31</v>
      </c>
      <c r="B6" s="206"/>
      <c r="C6" s="206"/>
      <c r="D6" s="207"/>
      <c r="E6" s="57">
        <f>SUM(E4:E5)</f>
        <v>8834</v>
      </c>
      <c r="F6" s="58">
        <f>SUM(F4:F5)</f>
        <v>131860</v>
      </c>
      <c r="G6" s="59">
        <f>table!M8</f>
        <v>0</v>
      </c>
      <c r="H6" s="60">
        <v>112.7</v>
      </c>
      <c r="I6" s="57">
        <f>SUM(I4:I5)</f>
        <v>7749</v>
      </c>
      <c r="J6" s="58">
        <f>SUM(J4:J5)</f>
        <v>115049</v>
      </c>
      <c r="K6" s="59">
        <f>table!P8</f>
        <v>14.846947993289456</v>
      </c>
      <c r="L6" s="60">
        <v>121.3</v>
      </c>
      <c r="M6" s="57">
        <v>0</v>
      </c>
      <c r="N6" s="58">
        <v>0</v>
      </c>
      <c r="O6" s="59">
        <v>0</v>
      </c>
      <c r="P6" s="60"/>
      <c r="Q6" s="57">
        <f>SUM(Q4:Q5)</f>
        <v>16583</v>
      </c>
      <c r="R6" s="61">
        <f>SUM(R4:R5)</f>
        <v>246909</v>
      </c>
    </row>
    <row r="7" spans="1:18" x14ac:dyDescent="0.2">
      <c r="A7" s="41">
        <v>39409</v>
      </c>
      <c r="B7" s="48" t="str">
        <f>table!B9</f>
        <v>Fri</v>
      </c>
      <c r="C7" s="42">
        <f>table!C9</f>
        <v>-1.3</v>
      </c>
      <c r="D7" s="43">
        <f>table!D9</f>
        <v>0.72291666666666676</v>
      </c>
      <c r="E7" s="44">
        <f>table!K9</f>
        <v>5113</v>
      </c>
      <c r="F7" s="45">
        <f>table!L9</f>
        <v>76690</v>
      </c>
      <c r="G7" s="51">
        <f>table!M9</f>
        <v>15</v>
      </c>
      <c r="H7" s="46"/>
      <c r="I7" s="44">
        <f>table!N9</f>
        <v>3630</v>
      </c>
      <c r="J7" s="45">
        <f>table!O9</f>
        <v>54433</v>
      </c>
      <c r="K7" s="51">
        <f>table!P9</f>
        <v>15</v>
      </c>
      <c r="L7" s="46"/>
      <c r="M7" s="44" t="s">
        <v>61</v>
      </c>
      <c r="N7" s="45" t="s">
        <v>61</v>
      </c>
      <c r="O7" s="45"/>
      <c r="P7" s="46"/>
      <c r="Q7" s="44">
        <f>E7+I7</f>
        <v>8743</v>
      </c>
      <c r="R7" s="47">
        <f>F7+J7</f>
        <v>131123</v>
      </c>
    </row>
    <row r="8" spans="1:18" x14ac:dyDescent="0.2">
      <c r="A8" s="41">
        <v>39410</v>
      </c>
      <c r="B8" s="48" t="str">
        <f>table!B10</f>
        <v>Sat</v>
      </c>
      <c r="C8" s="42">
        <f>table!C10</f>
        <v>-1.7</v>
      </c>
      <c r="D8" s="43">
        <f>table!D10</f>
        <v>0.75763888888888886</v>
      </c>
      <c r="E8" s="44">
        <f>table!K10</f>
        <v>3699</v>
      </c>
      <c r="F8" s="45">
        <f>table!L10</f>
        <v>52027</v>
      </c>
      <c r="G8" s="51">
        <f>table!M10</f>
        <v>14.064102564102564</v>
      </c>
      <c r="H8" s="46"/>
      <c r="I8" s="44">
        <f>table!N10</f>
        <v>2385</v>
      </c>
      <c r="J8" s="45">
        <f>table!O10</f>
        <v>35545</v>
      </c>
      <c r="K8" s="51">
        <f>table!P10</f>
        <v>14.915094339622641</v>
      </c>
      <c r="L8" s="46"/>
      <c r="M8" s="44" t="s">
        <v>61</v>
      </c>
      <c r="N8" s="45" t="s">
        <v>61</v>
      </c>
      <c r="O8" s="45"/>
      <c r="P8" s="46"/>
      <c r="Q8" s="44">
        <f>E8+I8</f>
        <v>6084</v>
      </c>
      <c r="R8" s="47">
        <f>F8+J8</f>
        <v>87572</v>
      </c>
    </row>
    <row r="9" spans="1:18" ht="13.5" x14ac:dyDescent="0.25">
      <c r="A9" s="205" t="s">
        <v>31</v>
      </c>
      <c r="B9" s="206"/>
      <c r="C9" s="206"/>
      <c r="D9" s="207"/>
      <c r="E9" s="57">
        <f>SUM(E7:E8)</f>
        <v>8812</v>
      </c>
      <c r="F9" s="58">
        <f>SUM(F7:F8)</f>
        <v>128717</v>
      </c>
      <c r="G9" s="62">
        <f>table!M13</f>
        <v>0</v>
      </c>
      <c r="H9" s="60">
        <v>111.6</v>
      </c>
      <c r="I9" s="57">
        <f>SUM(I7:I8)</f>
        <v>6015</v>
      </c>
      <c r="J9" s="58">
        <f>SUM(J7:J8)</f>
        <v>89978</v>
      </c>
      <c r="K9" s="62">
        <f>table!P13</f>
        <v>0</v>
      </c>
      <c r="L9" s="60">
        <v>119.2</v>
      </c>
      <c r="M9" s="57">
        <v>0</v>
      </c>
      <c r="N9" s="58">
        <v>0</v>
      </c>
      <c r="O9" s="59">
        <v>0</v>
      </c>
      <c r="P9" s="60"/>
      <c r="Q9" s="57">
        <f>SUM(Q7:Q8)</f>
        <v>14827</v>
      </c>
      <c r="R9" s="61">
        <f>SUM(R7:R8)</f>
        <v>218695</v>
      </c>
    </row>
    <row r="10" spans="1:18" x14ac:dyDescent="0.2">
      <c r="A10" s="41">
        <v>39437</v>
      </c>
      <c r="B10" s="56" t="str">
        <f>harvest!C15</f>
        <v>Fri</v>
      </c>
      <c r="C10" s="42">
        <v>-0.4</v>
      </c>
      <c r="D10" s="43">
        <f>harvest!E15</f>
        <v>0.67500000000000004</v>
      </c>
      <c r="E10" s="44">
        <f>effort!K15</f>
        <v>1861</v>
      </c>
      <c r="F10" s="45">
        <f>harvest!K15</f>
        <v>27481</v>
      </c>
      <c r="G10" s="51">
        <f>cpue!K15</f>
        <v>14.72972972972973</v>
      </c>
      <c r="H10" s="46"/>
      <c r="I10" s="44">
        <f>effort!M15</f>
        <v>1310</v>
      </c>
      <c r="J10" s="45">
        <f>harvest!M15</f>
        <v>19911</v>
      </c>
      <c r="K10" s="51">
        <f>cpue!M15</f>
        <v>15.2</v>
      </c>
      <c r="L10" s="46"/>
      <c r="M10" s="44" t="s">
        <v>61</v>
      </c>
      <c r="N10" s="45" t="s">
        <v>61</v>
      </c>
      <c r="O10" s="51"/>
      <c r="P10" s="46"/>
      <c r="Q10" s="44">
        <f>E10+I10</f>
        <v>3171</v>
      </c>
      <c r="R10" s="47">
        <f>F10+J10</f>
        <v>47392</v>
      </c>
    </row>
    <row r="11" spans="1:18" x14ac:dyDescent="0.2">
      <c r="A11" s="41">
        <v>39438</v>
      </c>
      <c r="B11" s="48" t="str">
        <f>harvest!C16</f>
        <v>Sat</v>
      </c>
      <c r="C11" s="42">
        <v>-0.9</v>
      </c>
      <c r="D11" s="43">
        <f>harvest!E16</f>
        <v>0.71250000000000002</v>
      </c>
      <c r="E11" s="44">
        <f>effort!K16</f>
        <v>2846</v>
      </c>
      <c r="F11" s="45">
        <f>harvest!K16</f>
        <v>42683</v>
      </c>
      <c r="G11" s="51">
        <f>cpue!K16</f>
        <v>15</v>
      </c>
      <c r="H11" s="46"/>
      <c r="I11" s="44">
        <f>effort!M16</f>
        <v>1723</v>
      </c>
      <c r="J11" s="45">
        <f>harvest!M16</f>
        <v>23958</v>
      </c>
      <c r="K11" s="51">
        <f>cpue!M16</f>
        <v>13.6875</v>
      </c>
      <c r="L11" s="46"/>
      <c r="M11" s="44" t="s">
        <v>61</v>
      </c>
      <c r="N11" s="45" t="s">
        <v>61</v>
      </c>
      <c r="O11" s="51"/>
      <c r="P11" s="46"/>
      <c r="Q11" s="44">
        <f>E11+I11</f>
        <v>4569</v>
      </c>
      <c r="R11" s="47">
        <f>F11+J11</f>
        <v>66641</v>
      </c>
    </row>
    <row r="12" spans="1:18" ht="13.5" x14ac:dyDescent="0.25">
      <c r="A12" s="205" t="s">
        <v>31</v>
      </c>
      <c r="B12" s="206"/>
      <c r="C12" s="206"/>
      <c r="D12" s="207"/>
      <c r="E12" s="57">
        <f>SUM(E10:E11)</f>
        <v>4707</v>
      </c>
      <c r="F12" s="58">
        <f>SUM(F10:F11)</f>
        <v>70164</v>
      </c>
      <c r="G12" s="62">
        <f>table!M17</f>
        <v>0</v>
      </c>
      <c r="H12" s="60">
        <v>115.02</v>
      </c>
      <c r="I12" s="57">
        <f>SUM(I10:I11)</f>
        <v>3033</v>
      </c>
      <c r="J12" s="58">
        <f>SUM(J10:J11)</f>
        <v>43869</v>
      </c>
      <c r="K12" s="62">
        <f>table!P17</f>
        <v>14.463897131552917</v>
      </c>
      <c r="L12" s="60">
        <v>120.12</v>
      </c>
      <c r="M12" s="57">
        <f>SUM(M10:M11)</f>
        <v>0</v>
      </c>
      <c r="N12" s="58">
        <f>SUM(N10:N11)</f>
        <v>0</v>
      </c>
      <c r="O12" s="62">
        <v>0</v>
      </c>
      <c r="P12" s="60"/>
      <c r="Q12" s="57">
        <f>SUM(Q10:Q11)</f>
        <v>7740</v>
      </c>
      <c r="R12" s="61">
        <f>SUM(R10:R11)</f>
        <v>114033</v>
      </c>
    </row>
    <row r="13" spans="1:18" x14ac:dyDescent="0.2">
      <c r="A13" s="41">
        <v>39466</v>
      </c>
      <c r="B13" s="48" t="s">
        <v>15</v>
      </c>
      <c r="C13" s="42">
        <v>0.1</v>
      </c>
      <c r="D13" s="43">
        <v>0.66527777777777775</v>
      </c>
      <c r="E13" s="44">
        <v>6072.0017618040874</v>
      </c>
      <c r="F13" s="45">
        <v>89747.147991543345</v>
      </c>
      <c r="G13" s="51">
        <v>14.780487804878049</v>
      </c>
      <c r="H13" s="46"/>
      <c r="I13" s="44" t="s">
        <v>61</v>
      </c>
      <c r="J13" s="45" t="s">
        <v>61</v>
      </c>
      <c r="K13" s="51" t="s">
        <v>61</v>
      </c>
      <c r="L13" s="46"/>
      <c r="M13" s="44" t="s">
        <v>61</v>
      </c>
      <c r="N13" s="45" t="s">
        <v>61</v>
      </c>
      <c r="O13" s="51"/>
      <c r="P13" s="46"/>
      <c r="Q13" s="44">
        <f>E13</f>
        <v>6072.0017618040874</v>
      </c>
      <c r="R13" s="47">
        <f>F13</f>
        <v>89747.147991543345</v>
      </c>
    </row>
    <row r="14" spans="1:18" x14ac:dyDescent="0.2">
      <c r="A14" s="41">
        <v>39467</v>
      </c>
      <c r="B14" s="48" t="s">
        <v>17</v>
      </c>
      <c r="C14" s="42">
        <v>-0.4</v>
      </c>
      <c r="D14" s="43">
        <v>0.70347222222222217</v>
      </c>
      <c r="E14" s="44">
        <v>4635.4662698412703</v>
      </c>
      <c r="F14" s="45">
        <v>69048.343837535009</v>
      </c>
      <c r="G14" s="51">
        <v>14.920353982300885</v>
      </c>
      <c r="H14" s="46"/>
      <c r="I14" s="44" t="s">
        <v>61</v>
      </c>
      <c r="J14" s="45" t="s">
        <v>61</v>
      </c>
      <c r="K14" s="51" t="s">
        <v>61</v>
      </c>
      <c r="L14" s="46"/>
      <c r="M14" s="44" t="s">
        <v>61</v>
      </c>
      <c r="N14" s="45" t="s">
        <v>61</v>
      </c>
      <c r="O14" s="51"/>
      <c r="P14" s="46"/>
      <c r="Q14" s="44">
        <f>E14</f>
        <v>4635.4662698412703</v>
      </c>
      <c r="R14" s="47">
        <f>F14</f>
        <v>69048.343837535009</v>
      </c>
    </row>
    <row r="15" spans="1:18" ht="13.5" x14ac:dyDescent="0.25">
      <c r="A15" s="205" t="s">
        <v>31</v>
      </c>
      <c r="B15" s="206"/>
      <c r="C15" s="206"/>
      <c r="D15" s="207"/>
      <c r="E15" s="57">
        <f>SUM(E13:E14)</f>
        <v>10707.468031645358</v>
      </c>
      <c r="F15" s="58">
        <f>SUM(F13:F14)</f>
        <v>158795.49182907835</v>
      </c>
      <c r="G15" s="62">
        <f>table!M22</f>
        <v>0</v>
      </c>
      <c r="H15" s="60">
        <v>115.45</v>
      </c>
      <c r="I15" s="57">
        <v>0</v>
      </c>
      <c r="J15" s="58">
        <v>0</v>
      </c>
      <c r="K15" s="62">
        <v>0</v>
      </c>
      <c r="L15" s="60"/>
      <c r="M15" s="57">
        <v>0</v>
      </c>
      <c r="N15" s="58">
        <v>0</v>
      </c>
      <c r="O15" s="62">
        <v>0</v>
      </c>
      <c r="P15" s="60"/>
      <c r="Q15" s="57">
        <f>SUM(Q13:Q14)</f>
        <v>10707.468031645358</v>
      </c>
      <c r="R15" s="61">
        <f>SUM(R13:R14)</f>
        <v>158795.49182907835</v>
      </c>
    </row>
    <row r="16" spans="1:18" x14ac:dyDescent="0.2">
      <c r="A16" s="41">
        <v>39557</v>
      </c>
      <c r="B16" s="48" t="s">
        <v>15</v>
      </c>
      <c r="C16" s="48">
        <v>-0.1</v>
      </c>
      <c r="D16" s="43">
        <v>0.27777777777777779</v>
      </c>
      <c r="E16" s="44">
        <v>2859.0854978354982</v>
      </c>
      <c r="F16" s="45">
        <v>35848.533549783555</v>
      </c>
      <c r="G16" s="51">
        <v>12.538461538461538</v>
      </c>
      <c r="H16" s="46"/>
      <c r="I16" s="44">
        <v>2330.1170869700209</v>
      </c>
      <c r="J16" s="45">
        <v>24209.844850783284</v>
      </c>
      <c r="K16" s="51">
        <v>9.2911392405063289</v>
      </c>
      <c r="L16" s="46"/>
      <c r="M16" s="44" t="s">
        <v>61</v>
      </c>
      <c r="N16" s="45" t="s">
        <v>61</v>
      </c>
      <c r="O16" s="51"/>
      <c r="P16" s="46"/>
      <c r="Q16" s="44">
        <f>E16+I16</f>
        <v>5189.2025848055191</v>
      </c>
      <c r="R16" s="47">
        <f>F16+J16</f>
        <v>60058.378400566842</v>
      </c>
    </row>
    <row r="17" spans="1:20" x14ac:dyDescent="0.2">
      <c r="A17" s="41">
        <v>39558</v>
      </c>
      <c r="B17" s="48" t="s">
        <v>17</v>
      </c>
      <c r="C17" s="48">
        <v>-0.4</v>
      </c>
      <c r="D17" s="43">
        <v>0.3</v>
      </c>
      <c r="E17" s="44">
        <v>3613.984848484849</v>
      </c>
      <c r="F17" s="45">
        <v>56068.939393939399</v>
      </c>
      <c r="G17" s="51">
        <v>15.571428571428571</v>
      </c>
      <c r="H17" s="46"/>
      <c r="I17" s="44">
        <v>1926.4896255859351</v>
      </c>
      <c r="J17" s="45">
        <v>28742.666095486555</v>
      </c>
      <c r="K17" s="51">
        <v>14.932203389830509</v>
      </c>
      <c r="L17" s="46"/>
      <c r="M17" s="44" t="s">
        <v>61</v>
      </c>
      <c r="N17" s="45" t="s">
        <v>61</v>
      </c>
      <c r="O17" s="51"/>
      <c r="P17" s="46"/>
      <c r="Q17" s="44">
        <f>E17+I17</f>
        <v>5540.4744740707838</v>
      </c>
      <c r="R17" s="47">
        <f>F17+J17</f>
        <v>84811.605489425958</v>
      </c>
    </row>
    <row r="18" spans="1:20" ht="13.5" x14ac:dyDescent="0.25">
      <c r="A18" s="205" t="s">
        <v>31</v>
      </c>
      <c r="B18" s="206"/>
      <c r="C18" s="206"/>
      <c r="D18" s="207"/>
      <c r="E18" s="57">
        <f>SUM(E16:E17)</f>
        <v>6473.0703463203472</v>
      </c>
      <c r="F18" s="58">
        <f>SUM(F16:F17)</f>
        <v>91917.472943722954</v>
      </c>
      <c r="G18" s="62">
        <f>table!M45</f>
        <v>0</v>
      </c>
      <c r="H18" s="60">
        <v>118.65</v>
      </c>
      <c r="I18" s="57">
        <f>SUM(I16:I17)</f>
        <v>4256.6067125559557</v>
      </c>
      <c r="J18" s="58">
        <f>SUM(J16:J17)</f>
        <v>52952.510946269838</v>
      </c>
      <c r="K18" s="62">
        <f>table!P45</f>
        <v>12.440780213151015</v>
      </c>
      <c r="L18" s="60">
        <v>127.67</v>
      </c>
      <c r="M18" s="57">
        <v>0</v>
      </c>
      <c r="N18" s="58">
        <v>0</v>
      </c>
      <c r="O18" s="62">
        <v>0</v>
      </c>
      <c r="P18" s="60"/>
      <c r="Q18" s="49">
        <f>SUM(Q16:Q17)</f>
        <v>10729.677058876303</v>
      </c>
      <c r="R18" s="50">
        <f>SUM(R16:R17)</f>
        <v>144869.98388999281</v>
      </c>
    </row>
    <row r="19" spans="1:20" x14ac:dyDescent="0.2">
      <c r="A19" s="41">
        <v>8</v>
      </c>
      <c r="B19" s="48" t="s">
        <v>17</v>
      </c>
      <c r="C19" s="48">
        <v>-1.2</v>
      </c>
      <c r="D19" s="43">
        <v>0.26111111111111113</v>
      </c>
      <c r="E19" s="44">
        <v>2506.6361089890497</v>
      </c>
      <c r="F19" s="45">
        <v>37599.541634835754</v>
      </c>
      <c r="G19" s="51">
        <v>15</v>
      </c>
      <c r="H19" s="46"/>
      <c r="I19" s="44">
        <v>1843.3937271278148</v>
      </c>
      <c r="J19" s="45">
        <v>27650.905906917222</v>
      </c>
      <c r="K19" s="51">
        <v>15</v>
      </c>
      <c r="L19" s="46"/>
      <c r="M19" s="44" t="s">
        <v>61</v>
      </c>
      <c r="N19" s="45" t="s">
        <v>61</v>
      </c>
      <c r="O19" s="45"/>
      <c r="P19" s="46"/>
      <c r="Q19" s="44">
        <f>E19+I19</f>
        <v>4350.0298361168643</v>
      </c>
      <c r="R19" s="47">
        <f>F19+J19</f>
        <v>65250.447541752976</v>
      </c>
    </row>
    <row r="20" spans="1:20" x14ac:dyDescent="0.2">
      <c r="A20" s="41">
        <v>39573</v>
      </c>
      <c r="B20" s="48" t="s">
        <v>37</v>
      </c>
      <c r="C20" s="48">
        <v>-1.9</v>
      </c>
      <c r="D20" s="43">
        <v>0.29444444444444445</v>
      </c>
      <c r="E20" s="44">
        <v>1382.9848484848483</v>
      </c>
      <c r="F20" s="45">
        <v>20744.772727272728</v>
      </c>
      <c r="G20" s="51">
        <v>15</v>
      </c>
      <c r="H20" s="46"/>
      <c r="I20" s="44">
        <v>893.02215935879303</v>
      </c>
      <c r="J20" s="45">
        <v>13395.332390381896</v>
      </c>
      <c r="K20" s="51">
        <v>15</v>
      </c>
      <c r="L20" s="46"/>
      <c r="M20" s="44" t="s">
        <v>61</v>
      </c>
      <c r="N20" s="45" t="s">
        <v>61</v>
      </c>
      <c r="O20" s="45"/>
      <c r="P20" s="46"/>
      <c r="Q20" s="44">
        <f>E20+I20</f>
        <v>2276.0070078436411</v>
      </c>
      <c r="R20" s="47">
        <f>F20+J20</f>
        <v>34140.105117654624</v>
      </c>
    </row>
    <row r="21" spans="1:20" ht="13.5" x14ac:dyDescent="0.25">
      <c r="A21" s="205" t="s">
        <v>31</v>
      </c>
      <c r="B21" s="206"/>
      <c r="C21" s="206"/>
      <c r="D21" s="207"/>
      <c r="E21" s="57">
        <f>SUM(E19:E20)</f>
        <v>3889.6209574738978</v>
      </c>
      <c r="F21" s="58">
        <f>SUM(F19:F20)</f>
        <v>58344.314362108482</v>
      </c>
      <c r="G21" s="62">
        <f>table!M51</f>
        <v>0</v>
      </c>
      <c r="H21" s="60">
        <v>124.28</v>
      </c>
      <c r="I21" s="57">
        <f>SUM(I19:I20)</f>
        <v>2736.4158864866076</v>
      </c>
      <c r="J21" s="58">
        <f>SUM(J19:J20)</f>
        <v>41046.238297299118</v>
      </c>
      <c r="K21" s="62">
        <f>table!P51</f>
        <v>15.000288433804442</v>
      </c>
      <c r="L21" s="60">
        <v>132.05000000000001</v>
      </c>
      <c r="M21" s="57">
        <v>0</v>
      </c>
      <c r="N21" s="58">
        <v>0</v>
      </c>
      <c r="O21" s="62">
        <v>0</v>
      </c>
      <c r="P21" s="60"/>
      <c r="Q21" s="57">
        <f>SUM(Q19:Q20)</f>
        <v>6626.0368439605054</v>
      </c>
      <c r="R21" s="61">
        <f>SUM(R19:R20)</f>
        <v>99390.552659407607</v>
      </c>
    </row>
    <row r="22" spans="1:20" x14ac:dyDescent="0.2">
      <c r="A22" s="41">
        <v>39592</v>
      </c>
      <c r="B22" s="48" t="s">
        <v>15</v>
      </c>
      <c r="C22" s="48">
        <v>-0.5</v>
      </c>
      <c r="D22" s="43">
        <v>0.4152777777777778</v>
      </c>
      <c r="E22" s="44">
        <v>3814.8039215686281</v>
      </c>
      <c r="F22" s="45">
        <v>56040.114427002482</v>
      </c>
      <c r="G22" s="51">
        <v>14.741935483870968</v>
      </c>
      <c r="H22" s="46"/>
      <c r="I22" s="44">
        <v>3148.9834983498349</v>
      </c>
      <c r="J22" s="45">
        <v>47234.752475247529</v>
      </c>
      <c r="K22" s="51">
        <v>15</v>
      </c>
      <c r="L22" s="46"/>
      <c r="M22" s="44" t="s">
        <v>61</v>
      </c>
      <c r="N22" s="45" t="s">
        <v>61</v>
      </c>
      <c r="O22" s="45"/>
      <c r="P22" s="46"/>
      <c r="Q22" s="44">
        <f>E22+I22</f>
        <v>6963.7874199184625</v>
      </c>
      <c r="R22" s="47">
        <f>F22+J22</f>
        <v>103274.86690225001</v>
      </c>
    </row>
    <row r="23" spans="1:20" ht="14.25" thickBot="1" x14ac:dyDescent="0.3">
      <c r="A23" s="205" t="s">
        <v>31</v>
      </c>
      <c r="B23" s="206"/>
      <c r="C23" s="206"/>
      <c r="D23" s="207"/>
      <c r="E23" s="57">
        <f>SUM(E22)</f>
        <v>3814.8039215686281</v>
      </c>
      <c r="F23" s="58">
        <f>SUM(F22)</f>
        <v>56040.114427002482</v>
      </c>
      <c r="G23" s="62">
        <f>table!M53</f>
        <v>0</v>
      </c>
      <c r="H23" s="60">
        <v>113.84</v>
      </c>
      <c r="I23" s="57">
        <f>I22</f>
        <v>3148.9834983498349</v>
      </c>
      <c r="J23" s="58">
        <f>J22</f>
        <v>47234.752475247529</v>
      </c>
      <c r="K23" s="62">
        <f>table!P53</f>
        <v>14.998111680604262</v>
      </c>
      <c r="L23" s="60">
        <v>119.36</v>
      </c>
      <c r="M23" s="57">
        <v>0</v>
      </c>
      <c r="N23" s="58">
        <v>0</v>
      </c>
      <c r="O23" s="62">
        <v>0</v>
      </c>
      <c r="P23" s="60"/>
      <c r="Q23" s="57">
        <f>SUM(Q22:Q22)</f>
        <v>6963.7874199184625</v>
      </c>
      <c r="R23" s="61">
        <f>SUM(R22:R22)</f>
        <v>103274.86690225001</v>
      </c>
    </row>
    <row r="24" spans="1:20" x14ac:dyDescent="0.2">
      <c r="A24" s="218" t="s">
        <v>32</v>
      </c>
      <c r="B24" s="219"/>
      <c r="C24" s="219"/>
      <c r="D24" s="219"/>
      <c r="E24" s="63">
        <f>SUM(E6+E9+E12+E15+E18+E21+E23)</f>
        <v>47237.963257008232</v>
      </c>
      <c r="F24" s="64">
        <f>SUM(F6+F9+F12+F15+F18+F21+F23)</f>
        <v>695838.39356191223</v>
      </c>
      <c r="G24" s="65">
        <f>F24/E24</f>
        <v>14.730491020030961</v>
      </c>
      <c r="H24" s="65"/>
      <c r="I24" s="63">
        <f>SUM(I6+I9+I12+I15+I18+I21+I23)</f>
        <v>26939.006097392397</v>
      </c>
      <c r="J24" s="64">
        <f>SUM(J6+J9+J12+J15+J18+J21+J23)</f>
        <v>390129.50171881652</v>
      </c>
      <c r="K24" s="65">
        <f>J24/I24</f>
        <v>14.481956027196553</v>
      </c>
      <c r="L24" s="66"/>
      <c r="M24" s="63">
        <f>SUM(M6+M9+M12+M15+M18+M21)</f>
        <v>0</v>
      </c>
      <c r="N24" s="64">
        <f>SUM(N6+N9+N12+N15+N18+N21+N23)</f>
        <v>0</v>
      </c>
      <c r="O24" s="65">
        <v>0</v>
      </c>
      <c r="P24" s="66"/>
      <c r="Q24" s="85">
        <f>SUM(Q6+Q9+Q12+Q15+Q18+Q21+Q23)</f>
        <v>74176.96935440063</v>
      </c>
      <c r="R24" s="86">
        <f>SUM(R6+R9+R12+R15+R18+R21+R23)</f>
        <v>1085967.8952807288</v>
      </c>
      <c r="S24" s="52"/>
      <c r="T24" s="52"/>
    </row>
    <row r="25" spans="1:20" x14ac:dyDescent="0.2">
      <c r="A25" s="220" t="s">
        <v>53</v>
      </c>
      <c r="B25" s="221"/>
      <c r="C25" s="221"/>
      <c r="D25" s="221"/>
      <c r="E25" s="67"/>
      <c r="F25" s="68">
        <f>harvest!K56</f>
        <v>0</v>
      </c>
      <c r="G25" s="68"/>
      <c r="H25" s="69"/>
      <c r="I25" s="67"/>
      <c r="J25" s="68">
        <f>harvest!M56</f>
        <v>0</v>
      </c>
      <c r="K25" s="68"/>
      <c r="L25" s="70"/>
      <c r="M25" s="71"/>
      <c r="N25" s="72">
        <f>harvest!O56</f>
        <v>0</v>
      </c>
      <c r="O25" s="71"/>
      <c r="P25" s="70"/>
      <c r="Q25" s="81"/>
      <c r="R25" s="82"/>
    </row>
    <row r="26" spans="1:20" x14ac:dyDescent="0.2">
      <c r="A26" s="220" t="s">
        <v>54</v>
      </c>
      <c r="B26" s="221"/>
      <c r="C26" s="221"/>
      <c r="D26" s="221"/>
      <c r="E26" s="67"/>
      <c r="F26" s="71">
        <f>harvest!K57</f>
        <v>16416</v>
      </c>
      <c r="G26" s="71"/>
      <c r="H26" s="69"/>
      <c r="I26" s="67"/>
      <c r="J26" s="71">
        <f>harvest!M57</f>
        <v>26899</v>
      </c>
      <c r="K26" s="71"/>
      <c r="L26" s="70"/>
      <c r="M26" s="71"/>
      <c r="N26" s="71">
        <f>harvest!O57</f>
        <v>0</v>
      </c>
      <c r="O26" s="71"/>
      <c r="P26" s="70"/>
      <c r="Q26" s="81"/>
      <c r="R26" s="82"/>
    </row>
    <row r="27" spans="1:20" x14ac:dyDescent="0.2">
      <c r="A27" s="220" t="s">
        <v>55</v>
      </c>
      <c r="B27" s="221"/>
      <c r="C27" s="221"/>
      <c r="D27" s="221"/>
      <c r="E27" s="67"/>
      <c r="F27" s="71">
        <f>F24+F26</f>
        <v>712254.39356191223</v>
      </c>
      <c r="G27" s="71"/>
      <c r="H27" s="69"/>
      <c r="I27" s="67"/>
      <c r="J27" s="71">
        <f>J24+J26</f>
        <v>417028.50171881652</v>
      </c>
      <c r="K27" s="71"/>
      <c r="L27" s="70"/>
      <c r="M27" s="71"/>
      <c r="N27" s="71">
        <f>harvest!O58</f>
        <v>0</v>
      </c>
      <c r="O27" s="71"/>
      <c r="P27" s="70"/>
      <c r="Q27" s="81"/>
      <c r="R27" s="82"/>
    </row>
    <row r="28" spans="1:20" x14ac:dyDescent="0.2">
      <c r="A28" s="73" t="s">
        <v>56</v>
      </c>
      <c r="B28" s="74"/>
      <c r="C28" s="74"/>
      <c r="D28" s="74"/>
      <c r="E28" s="67"/>
      <c r="F28" s="75">
        <f>harvest!K60</f>
        <v>1.1211568466779664</v>
      </c>
      <c r="G28" s="71"/>
      <c r="H28" s="69"/>
      <c r="I28" s="67"/>
      <c r="J28" s="75">
        <f>harvest!M60</f>
        <v>1.1859112990859311</v>
      </c>
      <c r="K28" s="71"/>
      <c r="L28" s="70"/>
      <c r="M28" s="71"/>
      <c r="N28" s="75">
        <f>harvest!O60</f>
        <v>0</v>
      </c>
      <c r="O28" s="71"/>
      <c r="P28" s="70"/>
      <c r="Q28" s="81"/>
      <c r="R28" s="82"/>
    </row>
    <row r="29" spans="1:20" ht="16.5" thickBot="1" x14ac:dyDescent="0.3">
      <c r="A29" s="215" t="s">
        <v>60</v>
      </c>
      <c r="B29" s="216"/>
      <c r="C29" s="216"/>
      <c r="D29" s="217"/>
      <c r="E29" s="76"/>
      <c r="F29" s="77">
        <f>harvest!K61</f>
        <v>-86348</v>
      </c>
      <c r="G29" s="78"/>
      <c r="H29" s="79"/>
      <c r="I29" s="76"/>
      <c r="J29" s="77">
        <f>harvest!M61</f>
        <v>-69803</v>
      </c>
      <c r="K29" s="78"/>
      <c r="L29" s="80"/>
      <c r="M29" s="79"/>
      <c r="N29" s="77">
        <f>harvest!O61</f>
        <v>34527</v>
      </c>
      <c r="O29" s="78"/>
      <c r="P29" s="80"/>
      <c r="Q29" s="83"/>
      <c r="R29" s="84"/>
    </row>
    <row r="32" spans="1:20" x14ac:dyDescent="0.2">
      <c r="A32" s="53"/>
    </row>
    <row r="33" spans="1:1" x14ac:dyDescent="0.2">
      <c r="A33" s="53"/>
    </row>
    <row r="34" spans="1:1" x14ac:dyDescent="0.2">
      <c r="A34" s="53"/>
    </row>
    <row r="35" spans="1:1" x14ac:dyDescent="0.2">
      <c r="A35" s="53"/>
    </row>
    <row r="36" spans="1:1" x14ac:dyDescent="0.2">
      <c r="A36" s="54"/>
    </row>
  </sheetData>
  <mergeCells count="17">
    <mergeCell ref="A18:D18"/>
    <mergeCell ref="A23:D23"/>
    <mergeCell ref="A29:D29"/>
    <mergeCell ref="A24:D24"/>
    <mergeCell ref="A25:D25"/>
    <mergeCell ref="A26:D26"/>
    <mergeCell ref="A27:D27"/>
    <mergeCell ref="A21:D21"/>
    <mergeCell ref="A6:D6"/>
    <mergeCell ref="A9:D9"/>
    <mergeCell ref="A12:D12"/>
    <mergeCell ref="A15:D15"/>
    <mergeCell ref="A1:R1"/>
    <mergeCell ref="E2:H2"/>
    <mergeCell ref="I2:L2"/>
    <mergeCell ref="M2:P2"/>
    <mergeCell ref="Q2:R2"/>
  </mergeCells>
  <phoneticPr fontId="12" type="noConversion"/>
  <pageMargins left="0.38" right="0.17" top="0.3" bottom="0.5" header="0.31" footer="0.5"/>
  <pageSetup scale="8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c15492-e82e-424f-ac49-b101091fc76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9" ma:contentTypeDescription="Create a new document." ma:contentTypeScope="" ma:versionID="b9b11016910d6c9cdeb171003dc4cdb7">
  <xsd:schema xmlns:xsd="http://www.w3.org/2001/XMLSchema" xmlns:xs="http://www.w3.org/2001/XMLSchema" xmlns:p="http://schemas.microsoft.com/office/2006/metadata/properties" xmlns:ns2="edc15492-e82e-424f-ac49-b101091fc76a" targetNamespace="http://schemas.microsoft.com/office/2006/metadata/properties" ma:root="true" ma:fieldsID="49cd9fd3fa5f1ac2094569d06a163469" ns2:_="">
    <xsd:import namespace="edc15492-e82e-424f-ac49-b101091fc7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5492-e82e-424f-ac49-b101091fc7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D48E19-4063-4396-B661-38863CD174B7}">
  <ds:schemaRefs>
    <ds:schemaRef ds:uri="http://schemas.microsoft.com/office/2006/metadata/properties"/>
    <ds:schemaRef ds:uri="http://schemas.microsoft.com/office/infopath/2007/PartnerControls"/>
    <ds:schemaRef ds:uri="edc15492-e82e-424f-ac49-b101091fc76a"/>
  </ds:schemaRefs>
</ds:datastoreItem>
</file>

<file path=customXml/itemProps2.xml><?xml version="1.0" encoding="utf-8"?>
<ds:datastoreItem xmlns:ds="http://schemas.openxmlformats.org/officeDocument/2006/customXml" ds:itemID="{833A8C1D-7935-4A77-8890-D62F8A4E1C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4C8011-A6AB-42CD-AF42-2DC9225C78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c15492-e82e-424f-ac49-b101091fc7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harvest</vt:lpstr>
      <vt:lpstr>cpue</vt:lpstr>
      <vt:lpstr>effort</vt:lpstr>
      <vt:lpstr>Wastage - TH</vt:lpstr>
      <vt:lpstr>Wastage - LB</vt:lpstr>
      <vt:lpstr>table</vt:lpstr>
      <vt:lpstr>Wastage</vt:lpstr>
      <vt:lpstr>2007-2008 TAC</vt:lpstr>
      <vt:lpstr>State-Tribal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Deibert, John R (DFW)</dc:creator>
  <cp:lastModifiedBy>George, Matthew (DFW)</cp:lastModifiedBy>
  <cp:lastPrinted>2008-08-26T20:38:47Z</cp:lastPrinted>
  <dcterms:created xsi:type="dcterms:W3CDTF">2004-08-09T22:20:27Z</dcterms:created>
  <dcterms:modified xsi:type="dcterms:W3CDTF">2026-07-09T00:53:39Z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0x010100245DFC7247A834468B68F53E17E77B58</vt:lpwstr>
  </property>
  <property fmtid="{D5CDD505-2E9C-101B-9397-08002B2CF9AE}" pid="3" name="MediaServiceImageTags">
    <vt:lpwstr/>
  </property>
</Properties>
</file>