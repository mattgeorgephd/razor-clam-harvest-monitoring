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2.xml" ContentType="application/vnd.openxmlformats-officedocument.spreadsheetml.comment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65" windowWidth="19095" windowHeight="11160" activeTab="3"/>
  </bookViews>
  <sheets>
    <sheet name="Harvest" sheetId="1" r:id="rId1"/>
    <sheet name="CPUE" sheetId="2" r:id="rId2"/>
    <sheet name="Effort" sheetId="3" r:id="rId3"/>
    <sheet name="Summary Table" sheetId="4" r:id="rId4"/>
    <sheet name="TAC" sheetId="6" r:id="rId5"/>
    <sheet name="Tribal Update" sheetId="7" r:id="rId6"/>
    <sheet name="TH Wastage" sheetId="8" r:id="rId7"/>
    <sheet name="LB Wastage" sheetId="9" r:id="rId8"/>
    <sheet name="Cop Wastage" sheetId="10" r:id="rId9"/>
    <sheet name="Moc Wastage" sheetId="11" r:id="rId10"/>
    <sheet name="Egress" sheetId="14" r:id="rId11"/>
    <sheet name="Copy Sheet" sheetId="5" r:id="rId12"/>
    <sheet name="Sheet2" sheetId="13" r:id="rId13"/>
    <sheet name="% Interviewed" sheetId="12" r:id="rId14"/>
  </sheets>
  <calcPr calcId="145621"/>
</workbook>
</file>

<file path=xl/calcChain.xml><?xml version="1.0" encoding="utf-8"?>
<calcChain xmlns="http://schemas.openxmlformats.org/spreadsheetml/2006/main">
  <c r="L33" i="3" l="1"/>
  <c r="J33" i="3"/>
  <c r="O22" i="1"/>
  <c r="M40" i="7"/>
  <c r="N40" i="7"/>
  <c r="R39" i="7"/>
  <c r="R38" i="7"/>
  <c r="Q39" i="7"/>
  <c r="Q38" i="7"/>
  <c r="J40" i="7"/>
  <c r="I40" i="7"/>
  <c r="K40" i="7" s="1"/>
  <c r="F40" i="7"/>
  <c r="E40" i="7"/>
  <c r="J59" i="3"/>
  <c r="N59" i="3"/>
  <c r="D6" i="14"/>
  <c r="D7" i="14"/>
  <c r="J6" i="14"/>
  <c r="K6" i="14" s="1"/>
  <c r="C9" i="14"/>
  <c r="J7" i="14" l="1"/>
  <c r="K7" i="14" s="1"/>
  <c r="G40" i="7"/>
  <c r="D4" i="14"/>
  <c r="J4" i="14" s="1"/>
  <c r="K4" i="14" s="1"/>
  <c r="D3" i="14"/>
  <c r="J3" i="14" s="1"/>
  <c r="K3" i="14" s="1"/>
  <c r="D5" i="14"/>
  <c r="J5" i="14" s="1"/>
  <c r="K5" i="14" s="1"/>
  <c r="E9" i="12"/>
  <c r="D9" i="12"/>
  <c r="C9" i="12"/>
  <c r="B9" i="12"/>
  <c r="B6" i="12"/>
  <c r="B5" i="12"/>
  <c r="T13" i="13"/>
  <c r="S49" i="13"/>
  <c r="Q44" i="13"/>
  <c r="R44" i="13"/>
  <c r="R46" i="13" s="1"/>
  <c r="C6" i="12"/>
  <c r="C5" i="12"/>
  <c r="N50" i="13"/>
  <c r="O50" i="13"/>
  <c r="E6" i="12"/>
  <c r="E5" i="12"/>
  <c r="K34" i="13"/>
  <c r="L34" i="13"/>
  <c r="D6" i="12"/>
  <c r="D5" i="12"/>
  <c r="H35" i="13"/>
  <c r="I35" i="13"/>
  <c r="F982" i="5"/>
  <c r="F972" i="5"/>
  <c r="F965" i="5"/>
  <c r="F956" i="5"/>
  <c r="F947" i="5"/>
  <c r="F937" i="5"/>
  <c r="F927" i="5"/>
  <c r="F918" i="5"/>
  <c r="F909" i="5"/>
  <c r="F900" i="5"/>
  <c r="F893" i="5"/>
  <c r="F883" i="5"/>
  <c r="F874" i="5"/>
  <c r="F867" i="5"/>
  <c r="F860" i="5"/>
  <c r="F846" i="5"/>
  <c r="F836" i="5"/>
  <c r="F826" i="5"/>
  <c r="F816" i="5"/>
  <c r="F807" i="5"/>
  <c r="F798" i="5"/>
  <c r="F788" i="5"/>
  <c r="F778" i="5"/>
  <c r="F771" i="5"/>
  <c r="F764" i="5"/>
  <c r="F757" i="5"/>
  <c r="F747" i="5"/>
  <c r="F737" i="5"/>
  <c r="F730" i="5"/>
  <c r="F723" i="5"/>
  <c r="F709" i="5"/>
  <c r="F699" i="5"/>
  <c r="F689" i="5"/>
  <c r="F679" i="5"/>
  <c r="F669" i="5"/>
  <c r="F650" i="5"/>
  <c r="F641" i="5"/>
  <c r="F632" i="5"/>
  <c r="F618" i="5"/>
  <c r="F608" i="5"/>
  <c r="F601" i="5"/>
  <c r="F592" i="5"/>
  <c r="F582" i="5"/>
  <c r="F572" i="5"/>
  <c r="F563" i="5"/>
  <c r="F556" i="5"/>
  <c r="F549" i="5"/>
  <c r="F540" i="5"/>
  <c r="F530" i="5"/>
  <c r="F522" i="5"/>
  <c r="F513" i="5"/>
  <c r="F505" i="5"/>
  <c r="F490" i="5"/>
  <c r="F483" i="5"/>
  <c r="F467" i="5"/>
  <c r="F458" i="5"/>
  <c r="F449" i="5"/>
  <c r="F431" i="5"/>
  <c r="F422" i="5"/>
  <c r="F415" i="5"/>
  <c r="F405" i="5"/>
  <c r="F395" i="5"/>
  <c r="F388" i="5"/>
  <c r="F381" i="5"/>
  <c r="F374" i="5"/>
  <c r="F365" i="5"/>
  <c r="F356" i="5"/>
  <c r="F347" i="5"/>
  <c r="F338" i="5"/>
  <c r="F329" i="5"/>
  <c r="F320" i="5"/>
  <c r="F311" i="5"/>
  <c r="F302" i="5"/>
  <c r="F293" i="5"/>
  <c r="F286" i="5"/>
  <c r="F277" i="5"/>
  <c r="F267" i="5"/>
  <c r="F258" i="5"/>
  <c r="F249" i="5"/>
  <c r="F242" i="5"/>
  <c r="F232" i="5"/>
  <c r="F225" i="5"/>
  <c r="F218" i="5"/>
  <c r="F209" i="5"/>
  <c r="F200" i="5"/>
  <c r="F191" i="5"/>
  <c r="F184" i="5"/>
  <c r="F174" i="5"/>
  <c r="F164" i="5"/>
  <c r="F155" i="5"/>
  <c r="F146" i="5"/>
  <c r="F139" i="5"/>
  <c r="F132" i="5"/>
  <c r="F125" i="5"/>
  <c r="F115" i="5"/>
  <c r="F108" i="5"/>
  <c r="F100" i="5"/>
  <c r="F92" i="5"/>
  <c r="F82" i="5"/>
  <c r="F72" i="5"/>
  <c r="F58" i="5"/>
  <c r="F51" i="5"/>
  <c r="F44" i="5"/>
  <c r="F35" i="5"/>
  <c r="F26" i="5"/>
  <c r="F17" i="5"/>
  <c r="F8" i="5"/>
  <c r="R45" i="7"/>
  <c r="R47" i="7" s="1"/>
  <c r="Q45" i="7"/>
  <c r="Q47" i="7" s="1"/>
  <c r="O46" i="7"/>
  <c r="N46" i="7"/>
  <c r="M46" i="7"/>
  <c r="O45" i="7"/>
  <c r="N45" i="7"/>
  <c r="M45" i="7"/>
  <c r="D23" i="8"/>
  <c r="D27" i="8"/>
  <c r="D26" i="8"/>
  <c r="D28" i="8" s="1"/>
  <c r="O28" i="8"/>
  <c r="F57" i="3"/>
  <c r="F57" i="1"/>
  <c r="O57" i="1" s="1"/>
  <c r="H56" i="1"/>
  <c r="H56" i="3"/>
  <c r="O56" i="3" s="1"/>
  <c r="G982" i="5"/>
  <c r="H982" i="5"/>
  <c r="G972" i="5"/>
  <c r="H972" i="5"/>
  <c r="D11" i="10"/>
  <c r="K14" i="10"/>
  <c r="L14" i="10"/>
  <c r="M14" i="10"/>
  <c r="N14" i="10" s="1"/>
  <c r="D12" i="11"/>
  <c r="S59" i="4"/>
  <c r="R59" i="4"/>
  <c r="Q59" i="4"/>
  <c r="P59" i="4"/>
  <c r="O59" i="4"/>
  <c r="N59" i="4"/>
  <c r="M59" i="4"/>
  <c r="L59" i="4"/>
  <c r="K59" i="4"/>
  <c r="I59" i="4"/>
  <c r="H59" i="4"/>
  <c r="E59" i="4"/>
  <c r="S58" i="4"/>
  <c r="R58" i="4"/>
  <c r="Q58" i="4"/>
  <c r="O58" i="4"/>
  <c r="N58" i="4"/>
  <c r="L58" i="4"/>
  <c r="K58" i="4"/>
  <c r="K60" i="4" s="1"/>
  <c r="I58" i="4"/>
  <c r="H58" i="4"/>
  <c r="F58" i="4"/>
  <c r="E58" i="4"/>
  <c r="G965" i="5"/>
  <c r="H965" i="5"/>
  <c r="L56" i="2"/>
  <c r="P58" i="4" s="1"/>
  <c r="J56" i="2"/>
  <c r="M58" i="4" s="1"/>
  <c r="H57" i="2"/>
  <c r="J59" i="4" s="1"/>
  <c r="F56" i="2"/>
  <c r="G58" i="4" s="1"/>
  <c r="G956" i="5"/>
  <c r="H956" i="5"/>
  <c r="N12" i="11"/>
  <c r="O56" i="1"/>
  <c r="B57" i="3"/>
  <c r="B56" i="3"/>
  <c r="B57" i="2"/>
  <c r="B56" i="2"/>
  <c r="B57" i="1"/>
  <c r="B56" i="1"/>
  <c r="F59" i="4" l="1"/>
  <c r="F60" i="4" s="1"/>
  <c r="F57" i="2"/>
  <c r="G59" i="4" s="1"/>
  <c r="N60" i="4"/>
  <c r="L60" i="4"/>
  <c r="O60" i="4"/>
  <c r="P60" i="4" s="1"/>
  <c r="D9" i="14"/>
  <c r="J9" i="14" s="1"/>
  <c r="K9" i="14" s="1"/>
  <c r="H56" i="2"/>
  <c r="J58" i="4" s="1"/>
  <c r="M60" i="4"/>
  <c r="H60" i="4"/>
  <c r="O57" i="3"/>
  <c r="O57" i="2" s="1"/>
  <c r="E60" i="4"/>
  <c r="T60" i="4" s="1"/>
  <c r="T58" i="4"/>
  <c r="T59" i="4"/>
  <c r="U58" i="4"/>
  <c r="I60" i="4"/>
  <c r="O56" i="2"/>
  <c r="R41" i="7"/>
  <c r="Q41" i="7"/>
  <c r="N54" i="2"/>
  <c r="N53" i="2"/>
  <c r="R49" i="7"/>
  <c r="R43" i="7"/>
  <c r="R42" i="7"/>
  <c r="Q43" i="7"/>
  <c r="Q42" i="7"/>
  <c r="I44" i="7"/>
  <c r="J44" i="7"/>
  <c r="R44" i="7" l="1"/>
  <c r="U59" i="4"/>
  <c r="Q44" i="7"/>
  <c r="K44" i="7"/>
  <c r="G60" i="4"/>
  <c r="J60" i="4"/>
  <c r="U60" i="4"/>
  <c r="E44" i="7"/>
  <c r="F44" i="7"/>
  <c r="B5" i="9"/>
  <c r="B17" i="9" s="1"/>
  <c r="B14" i="9"/>
  <c r="D14" i="9" s="1"/>
  <c r="D13" i="9"/>
  <c r="D12" i="9"/>
  <c r="D11" i="9"/>
  <c r="D10" i="9"/>
  <c r="D9" i="9"/>
  <c r="D8" i="9"/>
  <c r="K5" i="9"/>
  <c r="L5" i="9"/>
  <c r="M5" i="9"/>
  <c r="N5" i="9" s="1"/>
  <c r="D19" i="8"/>
  <c r="D18" i="8"/>
  <c r="D17" i="8"/>
  <c r="D16" i="8"/>
  <c r="D15" i="8"/>
  <c r="D14" i="8"/>
  <c r="D20" i="8" s="1"/>
  <c r="L22" i="8"/>
  <c r="L24" i="8" s="1"/>
  <c r="M22" i="8"/>
  <c r="M24" i="8" s="1"/>
  <c r="N22" i="8"/>
  <c r="N24" i="8" s="1"/>
  <c r="O24" i="8" s="1"/>
  <c r="O22" i="8"/>
  <c r="L18" i="8"/>
  <c r="M18" i="8"/>
  <c r="N18" i="8"/>
  <c r="O18" i="8" s="1"/>
  <c r="O14" i="8"/>
  <c r="H54" i="3"/>
  <c r="H54" i="1"/>
  <c r="F54" i="2"/>
  <c r="F53" i="2"/>
  <c r="G947" i="5"/>
  <c r="H947" i="5"/>
  <c r="G937" i="5"/>
  <c r="H937" i="5"/>
  <c r="H54" i="2" l="1"/>
  <c r="G44" i="7"/>
  <c r="O62" i="4"/>
  <c r="L62" i="4"/>
  <c r="K8" i="11"/>
  <c r="L8" i="11"/>
  <c r="M8" i="11"/>
  <c r="N8" i="11" s="1"/>
  <c r="N7" i="11"/>
  <c r="N5" i="11"/>
  <c r="N4" i="11"/>
  <c r="B5" i="11"/>
  <c r="B14" i="11" s="1"/>
  <c r="D4" i="11"/>
  <c r="D3" i="11"/>
  <c r="D2" i="11"/>
  <c r="L54" i="2"/>
  <c r="G927" i="5"/>
  <c r="H927" i="5"/>
  <c r="B5" i="10"/>
  <c r="B13" i="10" s="1"/>
  <c r="D4" i="10"/>
  <c r="D3" i="10"/>
  <c r="D2" i="10"/>
  <c r="D5" i="10" s="1"/>
  <c r="J54" i="2"/>
  <c r="M56" i="4" s="1"/>
  <c r="G918" i="5"/>
  <c r="H918" i="5"/>
  <c r="N6" i="10"/>
  <c r="N4" i="10"/>
  <c r="N3" i="10"/>
  <c r="K7" i="10"/>
  <c r="L7" i="10"/>
  <c r="M7" i="10"/>
  <c r="N7" i="10" s="1"/>
  <c r="O51" i="2"/>
  <c r="H53" i="2"/>
  <c r="J53" i="2"/>
  <c r="G909" i="5"/>
  <c r="H909" i="5"/>
  <c r="G900" i="5"/>
  <c r="H900" i="5"/>
  <c r="G893" i="5"/>
  <c r="H893" i="5"/>
  <c r="L53" i="2"/>
  <c r="P55" i="4" s="1"/>
  <c r="G883" i="5"/>
  <c r="H883" i="5"/>
  <c r="G874" i="5"/>
  <c r="H874" i="5"/>
  <c r="G867" i="5"/>
  <c r="H867" i="5"/>
  <c r="G860" i="5"/>
  <c r="H860" i="5"/>
  <c r="G853" i="5"/>
  <c r="H853" i="5"/>
  <c r="G846" i="5"/>
  <c r="H846" i="5"/>
  <c r="G836" i="5"/>
  <c r="H836" i="5"/>
  <c r="H52" i="2"/>
  <c r="J54" i="4" s="1"/>
  <c r="H51" i="2"/>
  <c r="J53" i="4" s="1"/>
  <c r="H50" i="2"/>
  <c r="H49" i="2"/>
  <c r="F52" i="2"/>
  <c r="G54" i="4" s="1"/>
  <c r="F51" i="2"/>
  <c r="G53" i="4" s="1"/>
  <c r="F50" i="2"/>
  <c r="F49" i="2"/>
  <c r="G51" i="4" s="1"/>
  <c r="G826" i="5"/>
  <c r="H826" i="5"/>
  <c r="L52" i="2"/>
  <c r="J52" i="2"/>
  <c r="S56" i="4"/>
  <c r="R56" i="4"/>
  <c r="Q56" i="4"/>
  <c r="P56" i="4"/>
  <c r="O56" i="4"/>
  <c r="N56" i="4"/>
  <c r="L56" i="4"/>
  <c r="K56" i="4"/>
  <c r="I56" i="4"/>
  <c r="H56" i="4"/>
  <c r="G56" i="4"/>
  <c r="F56" i="4"/>
  <c r="E56" i="4"/>
  <c r="S55" i="4"/>
  <c r="R55" i="4"/>
  <c r="Q55" i="4"/>
  <c r="O55" i="4"/>
  <c r="N55" i="4"/>
  <c r="M55" i="4"/>
  <c r="L55" i="4"/>
  <c r="K55" i="4"/>
  <c r="J55" i="4"/>
  <c r="I55" i="4"/>
  <c r="H55" i="4"/>
  <c r="G55" i="4"/>
  <c r="F55" i="4"/>
  <c r="E55" i="4"/>
  <c r="S54" i="4"/>
  <c r="R54" i="4"/>
  <c r="Q54" i="4"/>
  <c r="P54" i="4"/>
  <c r="O54" i="4"/>
  <c r="N54" i="4"/>
  <c r="M54" i="4"/>
  <c r="L54" i="4"/>
  <c r="K54" i="4"/>
  <c r="I54" i="4"/>
  <c r="H54" i="4"/>
  <c r="F54" i="4"/>
  <c r="E54" i="4"/>
  <c r="S53" i="4"/>
  <c r="R53" i="4"/>
  <c r="Q53" i="4"/>
  <c r="P53" i="4"/>
  <c r="O53" i="4"/>
  <c r="N53" i="4"/>
  <c r="M53" i="4"/>
  <c r="L53" i="4"/>
  <c r="K53" i="4"/>
  <c r="I53" i="4"/>
  <c r="H53" i="4"/>
  <c r="F53" i="4"/>
  <c r="E53" i="4"/>
  <c r="S52" i="4"/>
  <c r="R52" i="4"/>
  <c r="Q52" i="4"/>
  <c r="P52" i="4"/>
  <c r="O52" i="4"/>
  <c r="N52" i="4"/>
  <c r="M52" i="4"/>
  <c r="L52" i="4"/>
  <c r="K52" i="4"/>
  <c r="J52" i="4"/>
  <c r="I52" i="4"/>
  <c r="H52" i="4"/>
  <c r="G52" i="4"/>
  <c r="F52" i="4"/>
  <c r="E52" i="4"/>
  <c r="S51" i="4"/>
  <c r="R51" i="4"/>
  <c r="Q51" i="4"/>
  <c r="P51" i="4"/>
  <c r="O51" i="4"/>
  <c r="N51" i="4"/>
  <c r="M51" i="4"/>
  <c r="L51" i="4"/>
  <c r="K51" i="4"/>
  <c r="J51" i="4"/>
  <c r="I51" i="4"/>
  <c r="H51" i="4"/>
  <c r="F51" i="4"/>
  <c r="E51" i="4"/>
  <c r="G816" i="5"/>
  <c r="H816" i="5"/>
  <c r="O54" i="1"/>
  <c r="O53" i="1"/>
  <c r="O52" i="1"/>
  <c r="O51" i="1"/>
  <c r="O50" i="1"/>
  <c r="O50" i="2" s="1"/>
  <c r="O49" i="1"/>
  <c r="O52" i="3"/>
  <c r="O54" i="3"/>
  <c r="O53" i="3"/>
  <c r="O51" i="3"/>
  <c r="O50" i="3"/>
  <c r="O49" i="3"/>
  <c r="B54" i="3"/>
  <c r="B53" i="3"/>
  <c r="B52" i="3"/>
  <c r="B51" i="3"/>
  <c r="B50" i="3"/>
  <c r="B49" i="3"/>
  <c r="B54" i="2"/>
  <c r="B53" i="2"/>
  <c r="B52" i="2"/>
  <c r="B51" i="2"/>
  <c r="B50" i="2"/>
  <c r="B49" i="2"/>
  <c r="B54" i="1"/>
  <c r="B53" i="1"/>
  <c r="B52" i="1"/>
  <c r="B51" i="1"/>
  <c r="B50" i="1"/>
  <c r="B49" i="1"/>
  <c r="G807" i="5"/>
  <c r="H807" i="5"/>
  <c r="H57" i="4" l="1"/>
  <c r="U54" i="4"/>
  <c r="E5" i="10"/>
  <c r="D13" i="10"/>
  <c r="E13" i="10" s="1"/>
  <c r="O54" i="2"/>
  <c r="O52" i="2"/>
  <c r="E57" i="4"/>
  <c r="I57" i="4"/>
  <c r="J57" i="4" s="1"/>
  <c r="O49" i="2"/>
  <c r="T54" i="4"/>
  <c r="U52" i="4"/>
  <c r="U53" i="4"/>
  <c r="K57" i="4"/>
  <c r="O57" i="4"/>
  <c r="P57" i="4" s="1"/>
  <c r="L57" i="4"/>
  <c r="N57" i="4"/>
  <c r="O53" i="2"/>
  <c r="Q57" i="4"/>
  <c r="R57" i="4"/>
  <c r="D5" i="11"/>
  <c r="J56" i="4"/>
  <c r="T56" i="4"/>
  <c r="U56" i="4"/>
  <c r="U55" i="4"/>
  <c r="T55" i="4"/>
  <c r="T53" i="4"/>
  <c r="T52" i="4"/>
  <c r="T51" i="4"/>
  <c r="F57" i="4"/>
  <c r="U51" i="4"/>
  <c r="O47" i="3"/>
  <c r="O47" i="2" s="1"/>
  <c r="O46" i="3"/>
  <c r="O47" i="1"/>
  <c r="O46" i="1"/>
  <c r="O46" i="2"/>
  <c r="N47" i="2"/>
  <c r="N46" i="2"/>
  <c r="S48" i="4" s="1"/>
  <c r="F62" i="4"/>
  <c r="D9" i="8"/>
  <c r="J10" i="8"/>
  <c r="K10" i="8"/>
  <c r="L10" i="8"/>
  <c r="J5" i="8"/>
  <c r="K5" i="8"/>
  <c r="L5" i="8"/>
  <c r="D4" i="9"/>
  <c r="D3" i="9"/>
  <c r="D2" i="9"/>
  <c r="D11" i="8"/>
  <c r="D10" i="8"/>
  <c r="I49" i="4"/>
  <c r="H49" i="4"/>
  <c r="F49" i="4"/>
  <c r="E49" i="4"/>
  <c r="I48" i="4"/>
  <c r="H48" i="4"/>
  <c r="F48" i="4"/>
  <c r="E48" i="4"/>
  <c r="H47" i="2"/>
  <c r="J49" i="4" s="1"/>
  <c r="F47" i="2"/>
  <c r="G49" i="4" s="1"/>
  <c r="H46" i="2"/>
  <c r="J48" i="4" s="1"/>
  <c r="F46" i="2"/>
  <c r="G48" i="4" s="1"/>
  <c r="B47" i="3"/>
  <c r="B46" i="3"/>
  <c r="B45" i="3"/>
  <c r="B47" i="2"/>
  <c r="B46" i="2"/>
  <c r="B45" i="2"/>
  <c r="B47" i="1"/>
  <c r="B46" i="1"/>
  <c r="G798" i="5"/>
  <c r="H798" i="5"/>
  <c r="G788" i="5"/>
  <c r="H788" i="5"/>
  <c r="G778" i="5"/>
  <c r="H778" i="5"/>
  <c r="G771" i="5"/>
  <c r="H771" i="5"/>
  <c r="S49" i="4"/>
  <c r="R49" i="4"/>
  <c r="Q49" i="4"/>
  <c r="P49" i="4"/>
  <c r="O49" i="4"/>
  <c r="N49" i="4"/>
  <c r="M49" i="4"/>
  <c r="L49" i="4"/>
  <c r="K49" i="4"/>
  <c r="R48" i="4"/>
  <c r="R50" i="4" s="1"/>
  <c r="Q48" i="4"/>
  <c r="P48" i="4"/>
  <c r="O48" i="4"/>
  <c r="N48" i="4"/>
  <c r="M48" i="4"/>
  <c r="L48" i="4"/>
  <c r="K48" i="4"/>
  <c r="S47" i="4"/>
  <c r="R47" i="4"/>
  <c r="Q47" i="4"/>
  <c r="P47" i="4"/>
  <c r="O47" i="4"/>
  <c r="N47" i="4"/>
  <c r="M47" i="4"/>
  <c r="L47" i="4"/>
  <c r="K47" i="4"/>
  <c r="O45" i="3"/>
  <c r="O45" i="2" s="1"/>
  <c r="O45" i="1"/>
  <c r="I47" i="4"/>
  <c r="H47" i="4"/>
  <c r="H50" i="4" s="1"/>
  <c r="H45" i="2"/>
  <c r="J47" i="4" s="1"/>
  <c r="G764" i="5"/>
  <c r="H764" i="5"/>
  <c r="F45" i="2"/>
  <c r="G47" i="4" s="1"/>
  <c r="F47" i="4"/>
  <c r="F50" i="4" s="1"/>
  <c r="E47" i="4"/>
  <c r="B45" i="1"/>
  <c r="G757" i="5"/>
  <c r="H757" i="5"/>
  <c r="M37" i="7"/>
  <c r="N37" i="7"/>
  <c r="O40" i="7" s="1"/>
  <c r="I37" i="7"/>
  <c r="J37" i="7"/>
  <c r="E37" i="7"/>
  <c r="F37" i="7"/>
  <c r="R36" i="7"/>
  <c r="Q36" i="7"/>
  <c r="R35" i="7"/>
  <c r="Q35" i="7"/>
  <c r="R34" i="7"/>
  <c r="Q34" i="7"/>
  <c r="I50" i="4" l="1"/>
  <c r="J50" i="4" s="1"/>
  <c r="N2" i="8"/>
  <c r="M57" i="4"/>
  <c r="E50" i="4"/>
  <c r="E5" i="11"/>
  <c r="D14" i="11"/>
  <c r="E14" i="11" s="1"/>
  <c r="D5" i="9"/>
  <c r="C17" i="9" s="1"/>
  <c r="D17" i="9" s="1"/>
  <c r="R37" i="7"/>
  <c r="R40" i="7" s="1"/>
  <c r="T57" i="4"/>
  <c r="Q37" i="7"/>
  <c r="Q40" i="7" s="1"/>
  <c r="Q50" i="4"/>
  <c r="S57" i="4"/>
  <c r="G37" i="7"/>
  <c r="K37" i="7"/>
  <c r="O37" i="7"/>
  <c r="N3" i="8"/>
  <c r="N7" i="8"/>
  <c r="U57" i="4"/>
  <c r="G57" i="4"/>
  <c r="G50" i="4"/>
  <c r="S50" i="4"/>
  <c r="U48" i="4"/>
  <c r="U49" i="4"/>
  <c r="T48" i="4"/>
  <c r="T49" i="4"/>
  <c r="U47" i="4"/>
  <c r="T47" i="4"/>
  <c r="D12" i="8"/>
  <c r="O43" i="3"/>
  <c r="O42" i="3"/>
  <c r="O40" i="3"/>
  <c r="O37" i="3"/>
  <c r="O42" i="1"/>
  <c r="O40" i="1"/>
  <c r="O37" i="1"/>
  <c r="O37" i="2" s="1"/>
  <c r="N38" i="2"/>
  <c r="N37" i="2"/>
  <c r="F43" i="2"/>
  <c r="H43" i="1"/>
  <c r="H43" i="2" s="1"/>
  <c r="H43" i="3"/>
  <c r="G747" i="5"/>
  <c r="H747" i="5"/>
  <c r="O40" i="2" l="1"/>
  <c r="O42" i="2"/>
  <c r="U50" i="4"/>
  <c r="T50" i="4"/>
  <c r="O43" i="1"/>
  <c r="O43" i="2" s="1"/>
  <c r="H41" i="3"/>
  <c r="O41" i="3" s="1"/>
  <c r="H41" i="1"/>
  <c r="O41" i="1" s="1"/>
  <c r="O41" i="2" s="1"/>
  <c r="H39" i="3"/>
  <c r="O39" i="3" s="1"/>
  <c r="H39" i="1"/>
  <c r="O39" i="1" s="1"/>
  <c r="F38" i="3"/>
  <c r="O38" i="3" s="1"/>
  <c r="F38" i="1"/>
  <c r="O38" i="1" s="1"/>
  <c r="G45" i="4"/>
  <c r="H42" i="2"/>
  <c r="J44" i="4" s="1"/>
  <c r="F42" i="2"/>
  <c r="G44" i="4" s="1"/>
  <c r="F41" i="2"/>
  <c r="G43" i="4" s="1"/>
  <c r="H40" i="2"/>
  <c r="F40" i="2"/>
  <c r="G42" i="4" s="1"/>
  <c r="F39" i="2"/>
  <c r="G41" i="4" s="1"/>
  <c r="H38" i="2"/>
  <c r="H37" i="2"/>
  <c r="J39" i="4" s="1"/>
  <c r="F37" i="2"/>
  <c r="G39" i="4" s="1"/>
  <c r="G737" i="5"/>
  <c r="H737" i="5"/>
  <c r="G730" i="5"/>
  <c r="H730" i="5"/>
  <c r="G723" i="5"/>
  <c r="H723" i="5"/>
  <c r="G716" i="5"/>
  <c r="H716" i="5"/>
  <c r="G709" i="5"/>
  <c r="H709" i="5"/>
  <c r="G699" i="5"/>
  <c r="H699" i="5"/>
  <c r="G689" i="5"/>
  <c r="H689" i="5"/>
  <c r="G679" i="5"/>
  <c r="H679" i="5"/>
  <c r="G669" i="5"/>
  <c r="H669" i="5"/>
  <c r="L39" i="2"/>
  <c r="P41" i="4" s="1"/>
  <c r="J39" i="2"/>
  <c r="M41" i="4" s="1"/>
  <c r="L38" i="2"/>
  <c r="P40" i="4" s="1"/>
  <c r="J38" i="2"/>
  <c r="S45" i="4"/>
  <c r="R45" i="4"/>
  <c r="Q45" i="4"/>
  <c r="P45" i="4"/>
  <c r="O45" i="4"/>
  <c r="N45" i="4"/>
  <c r="M45" i="4"/>
  <c r="L45" i="4"/>
  <c r="K45" i="4"/>
  <c r="J45" i="4"/>
  <c r="I45" i="4"/>
  <c r="H45" i="4"/>
  <c r="F45" i="4"/>
  <c r="E45" i="4"/>
  <c r="S44" i="4"/>
  <c r="R44" i="4"/>
  <c r="Q44" i="4"/>
  <c r="P44" i="4"/>
  <c r="O44" i="4"/>
  <c r="N44" i="4"/>
  <c r="M44" i="4"/>
  <c r="L44" i="4"/>
  <c r="K44" i="4"/>
  <c r="I44" i="4"/>
  <c r="H44" i="4"/>
  <c r="F44" i="4"/>
  <c r="E44" i="4"/>
  <c r="S43" i="4"/>
  <c r="R43" i="4"/>
  <c r="Q43" i="4"/>
  <c r="P43" i="4"/>
  <c r="O43" i="4"/>
  <c r="N43" i="4"/>
  <c r="M43" i="4"/>
  <c r="L43" i="4"/>
  <c r="K43" i="4"/>
  <c r="F43" i="4"/>
  <c r="E43" i="4"/>
  <c r="S42" i="4"/>
  <c r="R42" i="4"/>
  <c r="Q42" i="4"/>
  <c r="P42" i="4"/>
  <c r="O42" i="4"/>
  <c r="N42" i="4"/>
  <c r="M42" i="4"/>
  <c r="L42" i="4"/>
  <c r="K42" i="4"/>
  <c r="J42" i="4"/>
  <c r="I42" i="4"/>
  <c r="H42" i="4"/>
  <c r="F42" i="4"/>
  <c r="E42" i="4"/>
  <c r="S41" i="4"/>
  <c r="R41" i="4"/>
  <c r="Q41" i="4"/>
  <c r="O41" i="4"/>
  <c r="N41" i="4"/>
  <c r="L41" i="4"/>
  <c r="K41" i="4"/>
  <c r="I41" i="4"/>
  <c r="H41" i="4"/>
  <c r="F41" i="4"/>
  <c r="E41" i="4"/>
  <c r="S40" i="4"/>
  <c r="R40" i="4"/>
  <c r="Q40" i="4"/>
  <c r="O40" i="4"/>
  <c r="N40" i="4"/>
  <c r="M40" i="4"/>
  <c r="L40" i="4"/>
  <c r="K40" i="4"/>
  <c r="J40" i="4"/>
  <c r="I40" i="4"/>
  <c r="H40" i="4"/>
  <c r="E40" i="4"/>
  <c r="S39" i="4"/>
  <c r="R39" i="4"/>
  <c r="Q39" i="4"/>
  <c r="P39" i="4"/>
  <c r="O39" i="4"/>
  <c r="N39" i="4"/>
  <c r="M39" i="4"/>
  <c r="L39" i="4"/>
  <c r="K39" i="4"/>
  <c r="I39" i="4"/>
  <c r="H39" i="4"/>
  <c r="F39" i="4"/>
  <c r="E39" i="4"/>
  <c r="B43" i="3"/>
  <c r="B42" i="3"/>
  <c r="B41" i="3"/>
  <c r="B40" i="3"/>
  <c r="B39" i="3"/>
  <c r="B38" i="3"/>
  <c r="B37" i="3"/>
  <c r="B43" i="2"/>
  <c r="B42" i="2"/>
  <c r="B41" i="2"/>
  <c r="B40" i="2"/>
  <c r="B39" i="2"/>
  <c r="B38" i="2"/>
  <c r="B37" i="2"/>
  <c r="B43" i="1"/>
  <c r="B42" i="1"/>
  <c r="B41" i="1"/>
  <c r="B40" i="1"/>
  <c r="B39" i="1"/>
  <c r="B38" i="1"/>
  <c r="B37" i="1"/>
  <c r="F659" i="5"/>
  <c r="G659" i="5"/>
  <c r="H659" i="5"/>
  <c r="G650" i="5"/>
  <c r="H650" i="5"/>
  <c r="G641" i="5"/>
  <c r="H641" i="5"/>
  <c r="G632" i="5"/>
  <c r="H632" i="5"/>
  <c r="N34" i="2"/>
  <c r="S36" i="4" s="1"/>
  <c r="N33" i="2"/>
  <c r="S35" i="4" s="1"/>
  <c r="O29" i="1"/>
  <c r="O30" i="1"/>
  <c r="O32" i="1"/>
  <c r="O33" i="1"/>
  <c r="R31" i="7"/>
  <c r="Q31" i="7"/>
  <c r="R30" i="7"/>
  <c r="Q30" i="7"/>
  <c r="R29" i="7"/>
  <c r="Q29" i="7"/>
  <c r="I33" i="7"/>
  <c r="J33" i="7"/>
  <c r="K33" i="7" s="1"/>
  <c r="E33" i="7"/>
  <c r="F33" i="7"/>
  <c r="G33" i="7" s="1"/>
  <c r="H35" i="4"/>
  <c r="E35" i="4"/>
  <c r="H35" i="2"/>
  <c r="F35" i="2"/>
  <c r="G618" i="5"/>
  <c r="H618" i="5"/>
  <c r="G608" i="5"/>
  <c r="H608" i="5"/>
  <c r="L34" i="2"/>
  <c r="P36" i="4" s="1"/>
  <c r="L32" i="2"/>
  <c r="P34" i="4" s="1"/>
  <c r="J34" i="2"/>
  <c r="M36" i="4" s="1"/>
  <c r="J32" i="2"/>
  <c r="M34" i="4" s="1"/>
  <c r="F34" i="2"/>
  <c r="G36" i="4" s="1"/>
  <c r="F32" i="2"/>
  <c r="G34" i="4" s="1"/>
  <c r="H34" i="2"/>
  <c r="H32" i="2"/>
  <c r="J34" i="4" s="1"/>
  <c r="S37" i="4"/>
  <c r="R37" i="4"/>
  <c r="Q37" i="4"/>
  <c r="P37" i="4"/>
  <c r="O37" i="4"/>
  <c r="N37" i="4"/>
  <c r="M37" i="4"/>
  <c r="L37" i="4"/>
  <c r="K37" i="4"/>
  <c r="J37" i="4"/>
  <c r="I37" i="4"/>
  <c r="H37" i="4"/>
  <c r="G37" i="4"/>
  <c r="F37" i="4"/>
  <c r="E37" i="4"/>
  <c r="R36" i="4"/>
  <c r="Q36" i="4"/>
  <c r="O36" i="4"/>
  <c r="N36" i="4"/>
  <c r="L36" i="4"/>
  <c r="K36" i="4"/>
  <c r="J36" i="4"/>
  <c r="I36" i="4"/>
  <c r="H36" i="4"/>
  <c r="F36" i="4"/>
  <c r="E36" i="4"/>
  <c r="R35" i="4"/>
  <c r="Q35" i="4"/>
  <c r="P35" i="4"/>
  <c r="O35" i="4"/>
  <c r="N35" i="4"/>
  <c r="M35" i="4"/>
  <c r="L35" i="4"/>
  <c r="K35" i="4"/>
  <c r="J35" i="4"/>
  <c r="I35" i="4"/>
  <c r="G35" i="4"/>
  <c r="F35" i="4"/>
  <c r="S34" i="4"/>
  <c r="R34" i="4"/>
  <c r="Q34" i="4"/>
  <c r="O34" i="4"/>
  <c r="N34" i="4"/>
  <c r="L34" i="4"/>
  <c r="K34" i="4"/>
  <c r="I34" i="4"/>
  <c r="H34" i="4"/>
  <c r="F34" i="4"/>
  <c r="E34" i="4"/>
  <c r="O35" i="1"/>
  <c r="O34" i="1"/>
  <c r="O35" i="3"/>
  <c r="O34" i="3"/>
  <c r="O33" i="3"/>
  <c r="O32" i="3"/>
  <c r="O32" i="2" s="1"/>
  <c r="G601" i="5"/>
  <c r="H601" i="5"/>
  <c r="B35" i="3"/>
  <c r="B34" i="3"/>
  <c r="B33" i="3"/>
  <c r="B32" i="3"/>
  <c r="B35" i="2"/>
  <c r="B34" i="2"/>
  <c r="B33" i="2"/>
  <c r="B32" i="2"/>
  <c r="B35" i="1"/>
  <c r="B34" i="1"/>
  <c r="B33" i="1"/>
  <c r="B32" i="1"/>
  <c r="G592" i="5"/>
  <c r="H592" i="5"/>
  <c r="G582" i="5"/>
  <c r="H582" i="5"/>
  <c r="G572" i="5"/>
  <c r="H572" i="5"/>
  <c r="G563" i="5"/>
  <c r="H563" i="5"/>
  <c r="G556" i="5"/>
  <c r="H556" i="5"/>
  <c r="G549" i="5"/>
  <c r="H549" i="5"/>
  <c r="G540" i="5"/>
  <c r="H540" i="5"/>
  <c r="R27" i="7"/>
  <c r="R26" i="7"/>
  <c r="R25" i="7"/>
  <c r="Q27" i="7"/>
  <c r="Q26" i="7"/>
  <c r="Q25" i="7"/>
  <c r="F28" i="7"/>
  <c r="E28" i="7"/>
  <c r="J28" i="7"/>
  <c r="I28" i="7"/>
  <c r="R33" i="7" l="1"/>
  <c r="H43" i="4"/>
  <c r="H46" i="4" s="1"/>
  <c r="F40" i="4"/>
  <c r="U40" i="4" s="1"/>
  <c r="I43" i="4"/>
  <c r="I46" i="4" s="1"/>
  <c r="T45" i="4"/>
  <c r="O38" i="2"/>
  <c r="O39" i="2"/>
  <c r="H39" i="2"/>
  <c r="J41" i="4" s="1"/>
  <c r="Q33" i="7"/>
  <c r="Q28" i="7"/>
  <c r="K28" i="7"/>
  <c r="G28" i="7"/>
  <c r="T42" i="4"/>
  <c r="T43" i="4"/>
  <c r="T44" i="4"/>
  <c r="R38" i="4"/>
  <c r="L46" i="4"/>
  <c r="N46" i="4"/>
  <c r="K46" i="4"/>
  <c r="M46" i="4" s="1"/>
  <c r="O46" i="4"/>
  <c r="P46" i="4" s="1"/>
  <c r="U41" i="4"/>
  <c r="U42" i="4"/>
  <c r="U44" i="4"/>
  <c r="T41" i="4"/>
  <c r="F38" i="2"/>
  <c r="G40" i="4" s="1"/>
  <c r="T39" i="4"/>
  <c r="Q46" i="4"/>
  <c r="T40" i="4"/>
  <c r="U39" i="4"/>
  <c r="R46" i="4"/>
  <c r="S46" i="4" s="1"/>
  <c r="E46" i="4"/>
  <c r="U45" i="4"/>
  <c r="H41" i="2"/>
  <c r="J43" i="4" s="1"/>
  <c r="U34" i="4"/>
  <c r="T34" i="4"/>
  <c r="K38" i="4"/>
  <c r="O38" i="4"/>
  <c r="U36" i="4"/>
  <c r="L38" i="4"/>
  <c r="N38" i="4"/>
  <c r="T36" i="4"/>
  <c r="Q38" i="4"/>
  <c r="S38" i="4" s="1"/>
  <c r="O34" i="2"/>
  <c r="H38" i="4"/>
  <c r="T35" i="4"/>
  <c r="E38" i="4"/>
  <c r="U35" i="4"/>
  <c r="I38" i="4"/>
  <c r="F38" i="4"/>
  <c r="T37" i="4"/>
  <c r="U37" i="4"/>
  <c r="O33" i="2"/>
  <c r="R28" i="7"/>
  <c r="N30" i="2"/>
  <c r="N29" i="2"/>
  <c r="G530" i="5"/>
  <c r="H530" i="5"/>
  <c r="G522" i="5"/>
  <c r="H522" i="5"/>
  <c r="O22" i="3"/>
  <c r="N23" i="2"/>
  <c r="N22" i="2"/>
  <c r="G513" i="5"/>
  <c r="H513" i="5"/>
  <c r="G505" i="5"/>
  <c r="H505" i="5"/>
  <c r="F46" i="4" l="1"/>
  <c r="U43" i="4"/>
  <c r="U46" i="4" s="1"/>
  <c r="J46" i="4"/>
  <c r="P38" i="4"/>
  <c r="M38" i="4"/>
  <c r="T46" i="4"/>
  <c r="G46" i="4"/>
  <c r="G38" i="4"/>
  <c r="T38" i="4"/>
  <c r="J38" i="4"/>
  <c r="U38" i="4"/>
  <c r="L30" i="2"/>
  <c r="P32" i="4" s="1"/>
  <c r="J30" i="2"/>
  <c r="H30" i="2"/>
  <c r="J32" i="4" s="1"/>
  <c r="L29" i="2"/>
  <c r="P31" i="4" s="1"/>
  <c r="J29" i="2"/>
  <c r="M31" i="4" s="1"/>
  <c r="H29" i="2"/>
  <c r="J31" i="4" s="1"/>
  <c r="L28" i="2"/>
  <c r="P30" i="4" s="1"/>
  <c r="J28" i="2"/>
  <c r="M30" i="4" s="1"/>
  <c r="H28" i="2"/>
  <c r="J30" i="4" s="1"/>
  <c r="O28" i="1"/>
  <c r="O30" i="3"/>
  <c r="O29" i="3"/>
  <c r="O29" i="2" s="1"/>
  <c r="O28" i="3"/>
  <c r="F496" i="5"/>
  <c r="F497" i="5" s="1"/>
  <c r="G490" i="5"/>
  <c r="H490" i="5"/>
  <c r="G483" i="5"/>
  <c r="H483" i="5"/>
  <c r="S32" i="4"/>
  <c r="R32" i="4"/>
  <c r="Q32" i="4"/>
  <c r="O32" i="4"/>
  <c r="N32" i="4"/>
  <c r="M32" i="4"/>
  <c r="L32" i="4"/>
  <c r="K32" i="4"/>
  <c r="I32" i="4"/>
  <c r="H32" i="4"/>
  <c r="G32" i="4"/>
  <c r="F32" i="4"/>
  <c r="E32" i="4"/>
  <c r="S31" i="4"/>
  <c r="R31" i="4"/>
  <c r="Q31" i="4"/>
  <c r="O31" i="4"/>
  <c r="N31" i="4"/>
  <c r="L31" i="4"/>
  <c r="K31" i="4"/>
  <c r="I31" i="4"/>
  <c r="H31" i="4"/>
  <c r="G31" i="4"/>
  <c r="F31" i="4"/>
  <c r="E31" i="4"/>
  <c r="S30" i="4"/>
  <c r="R30" i="4"/>
  <c r="Q30" i="4"/>
  <c r="O30" i="4"/>
  <c r="N30" i="4"/>
  <c r="L30" i="4"/>
  <c r="K30" i="4"/>
  <c r="I30" i="4"/>
  <c r="H30" i="4"/>
  <c r="G30" i="4"/>
  <c r="F30" i="4"/>
  <c r="E30" i="4"/>
  <c r="F474" i="5"/>
  <c r="F476" i="5" s="1"/>
  <c r="G467" i="5"/>
  <c r="H467" i="5"/>
  <c r="G458" i="5"/>
  <c r="H458" i="5"/>
  <c r="G449" i="5"/>
  <c r="H449" i="5"/>
  <c r="G440" i="5"/>
  <c r="H440" i="5"/>
  <c r="G431" i="5"/>
  <c r="H431" i="5"/>
  <c r="S29" i="4"/>
  <c r="R29" i="4"/>
  <c r="Q29" i="4"/>
  <c r="P29" i="4"/>
  <c r="O29" i="4"/>
  <c r="N29" i="4"/>
  <c r="M29" i="4"/>
  <c r="L29" i="4"/>
  <c r="K29" i="4"/>
  <c r="I29" i="4"/>
  <c r="U29" i="4" s="1"/>
  <c r="H29" i="4"/>
  <c r="T29" i="4" s="1"/>
  <c r="G29" i="4"/>
  <c r="F29" i="4"/>
  <c r="E29" i="4"/>
  <c r="B32" i="4"/>
  <c r="B31" i="4"/>
  <c r="B30" i="4"/>
  <c r="B29" i="4"/>
  <c r="O27" i="1"/>
  <c r="O27" i="3"/>
  <c r="O27" i="2" s="1"/>
  <c r="H27" i="2"/>
  <c r="J29" i="4" s="1"/>
  <c r="G422" i="5"/>
  <c r="H422" i="5"/>
  <c r="B30" i="3"/>
  <c r="B29" i="3"/>
  <c r="B28" i="3"/>
  <c r="B27" i="3"/>
  <c r="B30" i="2"/>
  <c r="B29" i="2"/>
  <c r="B28" i="2"/>
  <c r="B27" i="2"/>
  <c r="B30" i="1"/>
  <c r="B29" i="1"/>
  <c r="B28" i="1"/>
  <c r="B27" i="1"/>
  <c r="O25" i="3"/>
  <c r="O24" i="3"/>
  <c r="O25" i="1"/>
  <c r="O24" i="1"/>
  <c r="O22" i="2"/>
  <c r="F23" i="3"/>
  <c r="E25" i="4" s="1"/>
  <c r="F23" i="1"/>
  <c r="F25" i="4" s="1"/>
  <c r="H23" i="1"/>
  <c r="H23" i="3"/>
  <c r="G415" i="5"/>
  <c r="H415" i="5"/>
  <c r="I23" i="7"/>
  <c r="J23" i="7"/>
  <c r="F23" i="7"/>
  <c r="E23" i="7"/>
  <c r="R21" i="7"/>
  <c r="Q21" i="7"/>
  <c r="R20" i="7"/>
  <c r="Q20" i="7"/>
  <c r="R19" i="7"/>
  <c r="R23" i="7" s="1"/>
  <c r="Q19" i="7"/>
  <c r="B22" i="7"/>
  <c r="B21" i="7"/>
  <c r="B20" i="7"/>
  <c r="B19" i="7"/>
  <c r="F24" i="2"/>
  <c r="F23" i="2"/>
  <c r="G25" i="4" s="1"/>
  <c r="F22" i="2"/>
  <c r="G24" i="4" s="1"/>
  <c r="G405" i="5"/>
  <c r="H405" i="5"/>
  <c r="G395" i="5"/>
  <c r="H395" i="5"/>
  <c r="G388" i="5"/>
  <c r="H388" i="5"/>
  <c r="G381" i="5"/>
  <c r="H381" i="5"/>
  <c r="S27" i="4"/>
  <c r="R27" i="4"/>
  <c r="Q27" i="4"/>
  <c r="P27" i="4"/>
  <c r="O27" i="4"/>
  <c r="N27" i="4"/>
  <c r="M27" i="4"/>
  <c r="L27" i="4"/>
  <c r="K27" i="4"/>
  <c r="I27" i="4"/>
  <c r="U27" i="4" s="1"/>
  <c r="H27" i="4"/>
  <c r="T27" i="4" s="1"/>
  <c r="G27" i="4"/>
  <c r="F27" i="4"/>
  <c r="E27" i="4"/>
  <c r="S26" i="4"/>
  <c r="R26" i="4"/>
  <c r="Q26" i="4"/>
  <c r="O26" i="4"/>
  <c r="N26" i="4"/>
  <c r="L26" i="4"/>
  <c r="K26" i="4"/>
  <c r="I26" i="4"/>
  <c r="H26" i="4"/>
  <c r="G26" i="4"/>
  <c r="F26" i="4"/>
  <c r="E26" i="4"/>
  <c r="S25" i="4"/>
  <c r="R25" i="4"/>
  <c r="Q25" i="4"/>
  <c r="O25" i="4"/>
  <c r="N25" i="4"/>
  <c r="L25" i="4"/>
  <c r="K25" i="4"/>
  <c r="I25" i="4"/>
  <c r="H25" i="4"/>
  <c r="S24" i="4"/>
  <c r="R24" i="4"/>
  <c r="Q24" i="4"/>
  <c r="O24" i="4"/>
  <c r="N24" i="4"/>
  <c r="L24" i="4"/>
  <c r="K24" i="4"/>
  <c r="I24" i="4"/>
  <c r="H24" i="4"/>
  <c r="F24" i="4"/>
  <c r="E24" i="4"/>
  <c r="L24" i="2"/>
  <c r="P26" i="4" s="1"/>
  <c r="L23" i="2"/>
  <c r="P25" i="4" s="1"/>
  <c r="L22" i="2"/>
  <c r="P24" i="4" s="1"/>
  <c r="H25" i="2"/>
  <c r="J27" i="4" s="1"/>
  <c r="H24" i="2"/>
  <c r="J26" i="4" s="1"/>
  <c r="H23" i="2"/>
  <c r="J25" i="4" s="1"/>
  <c r="H22" i="2"/>
  <c r="J24" i="4" s="1"/>
  <c r="G374" i="5"/>
  <c r="H374" i="5"/>
  <c r="G365" i="5"/>
  <c r="H365" i="5"/>
  <c r="G356" i="5"/>
  <c r="H356" i="5"/>
  <c r="H323" i="5"/>
  <c r="G347" i="5"/>
  <c r="H347" i="5"/>
  <c r="J24" i="2"/>
  <c r="M26" i="4" s="1"/>
  <c r="J23" i="2"/>
  <c r="M25" i="4" s="1"/>
  <c r="J22" i="2"/>
  <c r="M24" i="4" s="1"/>
  <c r="G338" i="5"/>
  <c r="H338" i="5"/>
  <c r="G329" i="5"/>
  <c r="H329" i="5"/>
  <c r="B27" i="4"/>
  <c r="B26" i="4"/>
  <c r="B25" i="4"/>
  <c r="B24" i="4"/>
  <c r="B25" i="3"/>
  <c r="B24" i="3"/>
  <c r="B23" i="3"/>
  <c r="B22" i="3"/>
  <c r="B25" i="2"/>
  <c r="B24" i="2"/>
  <c r="B23" i="2"/>
  <c r="B22" i="2"/>
  <c r="B25" i="1"/>
  <c r="B24" i="1"/>
  <c r="B23" i="1"/>
  <c r="B22" i="1"/>
  <c r="M18" i="7"/>
  <c r="N18" i="7"/>
  <c r="M13" i="7"/>
  <c r="N13" i="7"/>
  <c r="N20" i="2"/>
  <c r="N19" i="2"/>
  <c r="R15" i="7"/>
  <c r="Q15" i="7"/>
  <c r="U25" i="4" l="1"/>
  <c r="U30" i="4"/>
  <c r="Q23" i="7"/>
  <c r="O28" i="2"/>
  <c r="O23" i="1"/>
  <c r="G23" i="7"/>
  <c r="G474" i="5"/>
  <c r="G496" i="5"/>
  <c r="O13" i="7"/>
  <c r="O18" i="7"/>
  <c r="O25" i="2"/>
  <c r="O24" i="2"/>
  <c r="E33" i="4"/>
  <c r="L33" i="4"/>
  <c r="N33" i="4"/>
  <c r="E28" i="4"/>
  <c r="U26" i="4"/>
  <c r="T26" i="4"/>
  <c r="F33" i="4"/>
  <c r="K33" i="4"/>
  <c r="O33" i="4"/>
  <c r="P33" i="4" s="1"/>
  <c r="R33" i="4"/>
  <c r="O23" i="3"/>
  <c r="I33" i="4"/>
  <c r="T30" i="4"/>
  <c r="T31" i="4"/>
  <c r="H28" i="4"/>
  <c r="K28" i="4"/>
  <c r="N28" i="4"/>
  <c r="U31" i="4"/>
  <c r="T32" i="4"/>
  <c r="K23" i="7"/>
  <c r="Q33" i="4"/>
  <c r="O30" i="2"/>
  <c r="U32" i="4"/>
  <c r="R28" i="4"/>
  <c r="U24" i="4"/>
  <c r="U28" i="4" s="1"/>
  <c r="H33" i="4"/>
  <c r="M33" i="4"/>
  <c r="T25" i="4"/>
  <c r="I28" i="4"/>
  <c r="L28" i="4"/>
  <c r="O28" i="4"/>
  <c r="Q28" i="4"/>
  <c r="F28" i="4"/>
  <c r="T24" i="4"/>
  <c r="R17" i="7"/>
  <c r="R16" i="7"/>
  <c r="Q17" i="7"/>
  <c r="Q16" i="7"/>
  <c r="Q18" i="7" s="1"/>
  <c r="I18" i="7"/>
  <c r="J18" i="7"/>
  <c r="K18" i="7" s="1"/>
  <c r="I13" i="7"/>
  <c r="J13" i="7"/>
  <c r="K13" i="7" s="1"/>
  <c r="E18" i="7"/>
  <c r="F18" i="7"/>
  <c r="E13" i="7"/>
  <c r="F13" i="7"/>
  <c r="G13" i="7" s="1"/>
  <c r="F20" i="3"/>
  <c r="F20" i="1"/>
  <c r="F20" i="2" s="1"/>
  <c r="H19" i="3"/>
  <c r="H19" i="1"/>
  <c r="L20" i="2"/>
  <c r="L19" i="2"/>
  <c r="J20" i="2"/>
  <c r="J19" i="2"/>
  <c r="H20" i="2"/>
  <c r="F19" i="2"/>
  <c r="G320" i="5"/>
  <c r="H320" i="5"/>
  <c r="G311" i="5"/>
  <c r="H311" i="5"/>
  <c r="G302" i="5"/>
  <c r="H302" i="5"/>
  <c r="G293" i="5"/>
  <c r="H293" i="5"/>
  <c r="G286" i="5"/>
  <c r="H286" i="5"/>
  <c r="G277" i="5"/>
  <c r="H277" i="5"/>
  <c r="L18" i="2"/>
  <c r="J18" i="2"/>
  <c r="H18" i="2"/>
  <c r="G267" i="5"/>
  <c r="H267" i="5"/>
  <c r="G258" i="5"/>
  <c r="H258" i="5"/>
  <c r="G249" i="5"/>
  <c r="H249" i="5"/>
  <c r="F17" i="2"/>
  <c r="G242" i="5"/>
  <c r="H242" i="5"/>
  <c r="H17" i="2"/>
  <c r="G232" i="5"/>
  <c r="H232" i="5"/>
  <c r="I62" i="4"/>
  <c r="U62" i="4" s="1"/>
  <c r="D6" i="8"/>
  <c r="D5" i="8"/>
  <c r="D4" i="8"/>
  <c r="D3" i="8"/>
  <c r="O23" i="2" l="1"/>
  <c r="G28" i="4"/>
  <c r="G33" i="4"/>
  <c r="G18" i="7"/>
  <c r="R18" i="7"/>
  <c r="H19" i="2"/>
  <c r="S28" i="4"/>
  <c r="M28" i="4"/>
  <c r="H474" i="5"/>
  <c r="H476" i="5" s="1"/>
  <c r="G476" i="5"/>
  <c r="G497" i="5"/>
  <c r="H496" i="5"/>
  <c r="H497" i="5" s="1"/>
  <c r="J33" i="4"/>
  <c r="D7" i="8"/>
  <c r="D22" i="8" s="1"/>
  <c r="E23" i="8" s="1"/>
  <c r="P28" i="4"/>
  <c r="J28" i="4"/>
  <c r="U33" i="4"/>
  <c r="S33" i="4"/>
  <c r="T33" i="4"/>
  <c r="T28" i="4"/>
  <c r="O61" i="1"/>
  <c r="K145" i="5"/>
  <c r="K144" i="5"/>
  <c r="K143" i="5"/>
  <c r="K142" i="5"/>
  <c r="I146" i="5"/>
  <c r="J146" i="5"/>
  <c r="R11" i="7"/>
  <c r="Q11" i="7"/>
  <c r="R10" i="7"/>
  <c r="Q10" i="7"/>
  <c r="R9" i="7"/>
  <c r="Q9" i="7"/>
  <c r="Q13" i="7" l="1"/>
  <c r="R13" i="7"/>
  <c r="S16" i="4"/>
  <c r="R16" i="4"/>
  <c r="Q16" i="4"/>
  <c r="H9" i="2"/>
  <c r="J11" i="4" s="1"/>
  <c r="F9" i="2"/>
  <c r="G11" i="4" s="1"/>
  <c r="I11" i="4"/>
  <c r="H15" i="2"/>
  <c r="J17" i="4" s="1"/>
  <c r="G225" i="5"/>
  <c r="H225" i="5"/>
  <c r="G218" i="5"/>
  <c r="H218" i="5"/>
  <c r="J14" i="2"/>
  <c r="M16" i="4" s="1"/>
  <c r="L14" i="1"/>
  <c r="O16" i="4" s="1"/>
  <c r="H14" i="1"/>
  <c r="I16" i="4" s="1"/>
  <c r="F14" i="1"/>
  <c r="F14" i="3"/>
  <c r="H14" i="3"/>
  <c r="L14" i="3"/>
  <c r="L59" i="3" s="1"/>
  <c r="G209" i="5"/>
  <c r="H209" i="5"/>
  <c r="G200" i="5"/>
  <c r="H200" i="5"/>
  <c r="L13" i="2"/>
  <c r="P15" i="4" s="1"/>
  <c r="J13" i="2"/>
  <c r="M15" i="4" s="1"/>
  <c r="H13" i="2"/>
  <c r="G191" i="5"/>
  <c r="H191" i="5"/>
  <c r="F13" i="2"/>
  <c r="G15" i="4" s="1"/>
  <c r="F12" i="2"/>
  <c r="G14" i="4" s="1"/>
  <c r="G184" i="5"/>
  <c r="H184" i="5"/>
  <c r="G174" i="5"/>
  <c r="H174" i="5"/>
  <c r="L12" i="2"/>
  <c r="P14" i="4" s="1"/>
  <c r="J12" i="2"/>
  <c r="M14" i="4" s="1"/>
  <c r="H12" i="2"/>
  <c r="J14" i="4" s="1"/>
  <c r="G164" i="5"/>
  <c r="H164" i="5"/>
  <c r="G155" i="5"/>
  <c r="H155" i="5"/>
  <c r="G146" i="5"/>
  <c r="H146" i="5"/>
  <c r="K146" i="5" s="1"/>
  <c r="S22" i="4"/>
  <c r="R22" i="4"/>
  <c r="Q22" i="4"/>
  <c r="P22" i="4"/>
  <c r="O22" i="4"/>
  <c r="N22" i="4"/>
  <c r="M22" i="4"/>
  <c r="L22" i="4"/>
  <c r="K22" i="4"/>
  <c r="J22" i="4"/>
  <c r="I22" i="4"/>
  <c r="H22" i="4"/>
  <c r="G22" i="4"/>
  <c r="F22" i="4"/>
  <c r="E22" i="4"/>
  <c r="S21" i="4"/>
  <c r="R21" i="4"/>
  <c r="Q21" i="4"/>
  <c r="P21" i="4"/>
  <c r="O21" i="4"/>
  <c r="N21" i="4"/>
  <c r="M21" i="4"/>
  <c r="L21" i="4"/>
  <c r="K21" i="4"/>
  <c r="J21" i="4"/>
  <c r="I21" i="4"/>
  <c r="H21" i="4"/>
  <c r="G21" i="4"/>
  <c r="F21" i="4"/>
  <c r="E21" i="4"/>
  <c r="S20" i="4"/>
  <c r="R20" i="4"/>
  <c r="Q20" i="4"/>
  <c r="P20" i="4"/>
  <c r="O20" i="4"/>
  <c r="N20" i="4"/>
  <c r="M20" i="4"/>
  <c r="L20" i="4"/>
  <c r="K20" i="4"/>
  <c r="J20" i="4"/>
  <c r="I20" i="4"/>
  <c r="H20" i="4"/>
  <c r="G20" i="4"/>
  <c r="F20" i="4"/>
  <c r="E20" i="4"/>
  <c r="S19" i="4"/>
  <c r="R19" i="4"/>
  <c r="Q19" i="4"/>
  <c r="P19" i="4"/>
  <c r="O19" i="4"/>
  <c r="N19" i="4"/>
  <c r="M19" i="4"/>
  <c r="L19" i="4"/>
  <c r="K19" i="4"/>
  <c r="J19" i="4"/>
  <c r="I19" i="4"/>
  <c r="H19" i="4"/>
  <c r="G19" i="4"/>
  <c r="F19" i="4"/>
  <c r="E19" i="4"/>
  <c r="S17" i="4"/>
  <c r="R17" i="4"/>
  <c r="Q17" i="4"/>
  <c r="P17" i="4"/>
  <c r="O17" i="4"/>
  <c r="N17" i="4"/>
  <c r="M17" i="4"/>
  <c r="L17" i="4"/>
  <c r="K17" i="4"/>
  <c r="I17" i="4"/>
  <c r="U17" i="4" s="1"/>
  <c r="H17" i="4"/>
  <c r="T17" i="4" s="1"/>
  <c r="G17" i="4"/>
  <c r="F17" i="4"/>
  <c r="E17" i="4"/>
  <c r="N16" i="4"/>
  <c r="L16" i="4"/>
  <c r="K16" i="4"/>
  <c r="H16" i="4"/>
  <c r="F16" i="4"/>
  <c r="E16" i="4"/>
  <c r="S15" i="4"/>
  <c r="R15" i="4"/>
  <c r="Q15" i="4"/>
  <c r="O15" i="4"/>
  <c r="N15" i="4"/>
  <c r="L15" i="4"/>
  <c r="K15" i="4"/>
  <c r="J15" i="4"/>
  <c r="I15" i="4"/>
  <c r="H15" i="4"/>
  <c r="F15" i="4"/>
  <c r="E15" i="4"/>
  <c r="S14" i="4"/>
  <c r="R14" i="4"/>
  <c r="Q14" i="4"/>
  <c r="O14" i="4"/>
  <c r="N14" i="4"/>
  <c r="L14" i="4"/>
  <c r="K14" i="4"/>
  <c r="I14" i="4"/>
  <c r="H14" i="4"/>
  <c r="F14" i="4"/>
  <c r="E14" i="4"/>
  <c r="O20" i="1"/>
  <c r="O19" i="1"/>
  <c r="O18" i="1"/>
  <c r="O17" i="1"/>
  <c r="O20" i="3"/>
  <c r="O19" i="3"/>
  <c r="O18" i="3"/>
  <c r="O17" i="3"/>
  <c r="B20" i="3"/>
  <c r="B19" i="3"/>
  <c r="B18" i="3"/>
  <c r="B17" i="3"/>
  <c r="B20" i="2"/>
  <c r="B19" i="2"/>
  <c r="B18" i="2"/>
  <c r="B17" i="2"/>
  <c r="B20" i="1"/>
  <c r="B19" i="1"/>
  <c r="B18" i="1"/>
  <c r="B17" i="1"/>
  <c r="O15" i="1"/>
  <c r="O13" i="1"/>
  <c r="O12" i="1"/>
  <c r="O15" i="3"/>
  <c r="O14" i="3"/>
  <c r="O13" i="3"/>
  <c r="O12" i="3"/>
  <c r="B15" i="3"/>
  <c r="B14" i="3"/>
  <c r="B13" i="3"/>
  <c r="B12" i="3"/>
  <c r="B15" i="2"/>
  <c r="B14" i="2"/>
  <c r="B13" i="2"/>
  <c r="B12" i="2"/>
  <c r="B15" i="1"/>
  <c r="B14" i="1"/>
  <c r="B13" i="1"/>
  <c r="B12" i="1"/>
  <c r="S12" i="4"/>
  <c r="R12" i="4"/>
  <c r="Q12" i="4"/>
  <c r="P12" i="4"/>
  <c r="O12" i="4"/>
  <c r="N12" i="4"/>
  <c r="M12" i="4"/>
  <c r="L12" i="4"/>
  <c r="K12" i="4"/>
  <c r="I12" i="4"/>
  <c r="H12" i="4"/>
  <c r="S11" i="4"/>
  <c r="R11" i="4"/>
  <c r="Q11" i="4"/>
  <c r="P11" i="4"/>
  <c r="O11" i="4"/>
  <c r="N11" i="4"/>
  <c r="M11" i="4"/>
  <c r="L11" i="4"/>
  <c r="K11" i="4"/>
  <c r="H11" i="4"/>
  <c r="F11" i="4"/>
  <c r="E11" i="4"/>
  <c r="H10" i="2"/>
  <c r="J12" i="4" s="1"/>
  <c r="F10" i="3"/>
  <c r="E12" i="4" s="1"/>
  <c r="F10" i="1"/>
  <c r="O10" i="1" s="1"/>
  <c r="G139" i="5"/>
  <c r="H139" i="5"/>
  <c r="O9" i="3"/>
  <c r="B10" i="3"/>
  <c r="B9" i="3"/>
  <c r="B10" i="2"/>
  <c r="B9" i="2"/>
  <c r="B10" i="1"/>
  <c r="B9" i="1"/>
  <c r="S10" i="4"/>
  <c r="R10" i="4"/>
  <c r="Q10" i="4"/>
  <c r="P10" i="4"/>
  <c r="O10" i="4"/>
  <c r="N10" i="4"/>
  <c r="M10" i="4"/>
  <c r="L10" i="4"/>
  <c r="K10" i="4"/>
  <c r="I10" i="4"/>
  <c r="U10" i="4" s="1"/>
  <c r="H10" i="4"/>
  <c r="T10" i="4" s="1"/>
  <c r="G10" i="4"/>
  <c r="F10" i="4"/>
  <c r="E10" i="4"/>
  <c r="B10" i="4"/>
  <c r="H8" i="2"/>
  <c r="J10" i="4" s="1"/>
  <c r="O8" i="1"/>
  <c r="O8" i="3"/>
  <c r="O8" i="2" s="1"/>
  <c r="B8" i="2"/>
  <c r="B8" i="1"/>
  <c r="B8" i="3"/>
  <c r="G132" i="5"/>
  <c r="H132" i="5"/>
  <c r="F7" i="2"/>
  <c r="G125" i="5"/>
  <c r="H125" i="5"/>
  <c r="O10" i="3" l="1"/>
  <c r="O14" i="1"/>
  <c r="O14" i="2" s="1"/>
  <c r="H14" i="2"/>
  <c r="J16" i="4" s="1"/>
  <c r="H59" i="3"/>
  <c r="F12" i="4"/>
  <c r="U12" i="4" s="1"/>
  <c r="O10" i="2"/>
  <c r="F10" i="2"/>
  <c r="G12" i="4" s="1"/>
  <c r="T12" i="4"/>
  <c r="L18" i="4"/>
  <c r="N18" i="4"/>
  <c r="R18" i="4"/>
  <c r="N23" i="4"/>
  <c r="U21" i="4"/>
  <c r="L23" i="4"/>
  <c r="R23" i="4"/>
  <c r="O20" i="2"/>
  <c r="T22" i="4"/>
  <c r="O19" i="2"/>
  <c r="U20" i="4"/>
  <c r="O18" i="2"/>
  <c r="H23" i="4"/>
  <c r="O17" i="2"/>
  <c r="U19" i="4"/>
  <c r="Q18" i="4"/>
  <c r="T19" i="4"/>
  <c r="I23" i="4"/>
  <c r="K23" i="4"/>
  <c r="O23" i="4"/>
  <c r="P23" i="4" s="1"/>
  <c r="Q23" i="4"/>
  <c r="S23" i="4" s="1"/>
  <c r="T20" i="4"/>
  <c r="T21" i="4"/>
  <c r="U22" i="4"/>
  <c r="F23" i="4"/>
  <c r="E23" i="4"/>
  <c r="T11" i="4"/>
  <c r="O9" i="1"/>
  <c r="O9" i="2" s="1"/>
  <c r="U11" i="4"/>
  <c r="O15" i="2"/>
  <c r="F14" i="2"/>
  <c r="G16" i="4" s="1"/>
  <c r="L14" i="2"/>
  <c r="P16" i="4" s="1"/>
  <c r="U16" i="4"/>
  <c r="O18" i="4"/>
  <c r="P18" i="4" s="1"/>
  <c r="T16" i="4"/>
  <c r="K18" i="4"/>
  <c r="T15" i="4"/>
  <c r="U15" i="4"/>
  <c r="E18" i="4"/>
  <c r="O13" i="2"/>
  <c r="F18" i="4"/>
  <c r="G18" i="4" s="1"/>
  <c r="T14" i="4"/>
  <c r="T18" i="4" s="1"/>
  <c r="U14" i="4"/>
  <c r="H18" i="4"/>
  <c r="O12" i="2"/>
  <c r="I18" i="4"/>
  <c r="S9" i="4"/>
  <c r="R9" i="4"/>
  <c r="Q9" i="4"/>
  <c r="P9" i="4"/>
  <c r="O9" i="4"/>
  <c r="N9" i="4"/>
  <c r="M9" i="4"/>
  <c r="L9" i="4"/>
  <c r="K9" i="4"/>
  <c r="I9" i="4"/>
  <c r="I13" i="4" s="1"/>
  <c r="H9" i="4"/>
  <c r="H13" i="4" s="1"/>
  <c r="G9" i="4"/>
  <c r="F9" i="4"/>
  <c r="F13" i="4" s="1"/>
  <c r="E9" i="4"/>
  <c r="O7" i="1"/>
  <c r="O7" i="3"/>
  <c r="H7" i="2"/>
  <c r="J9" i="4" s="1"/>
  <c r="B7" i="3"/>
  <c r="B7" i="2"/>
  <c r="B7" i="1"/>
  <c r="G115" i="5"/>
  <c r="H115" i="5"/>
  <c r="O7" i="7"/>
  <c r="N7" i="7"/>
  <c r="M7" i="7"/>
  <c r="K7" i="7"/>
  <c r="J7" i="7"/>
  <c r="I7" i="7"/>
  <c r="G7" i="7"/>
  <c r="F7" i="7"/>
  <c r="E7" i="7"/>
  <c r="B7" i="7"/>
  <c r="N6" i="7"/>
  <c r="M6" i="7"/>
  <c r="J6" i="7"/>
  <c r="I6" i="7"/>
  <c r="F6" i="7"/>
  <c r="E6" i="7"/>
  <c r="B6" i="7"/>
  <c r="N5" i="7"/>
  <c r="M5" i="7"/>
  <c r="J5" i="7"/>
  <c r="I5" i="7"/>
  <c r="F5" i="7"/>
  <c r="E5" i="7"/>
  <c r="B5" i="7"/>
  <c r="O4" i="7"/>
  <c r="N4" i="7"/>
  <c r="M4" i="7"/>
  <c r="K4" i="7"/>
  <c r="J4" i="7"/>
  <c r="I4" i="7"/>
  <c r="F4" i="7"/>
  <c r="E4" i="7"/>
  <c r="B4" i="7"/>
  <c r="B9" i="6"/>
  <c r="S7" i="4"/>
  <c r="R7" i="4"/>
  <c r="Q7" i="4"/>
  <c r="P7" i="4"/>
  <c r="O7" i="4"/>
  <c r="N7" i="4"/>
  <c r="M7" i="4"/>
  <c r="L7" i="4"/>
  <c r="K7" i="4"/>
  <c r="I7" i="4"/>
  <c r="U7" i="4" s="1"/>
  <c r="H7" i="4"/>
  <c r="T7" i="4" s="1"/>
  <c r="G7" i="4"/>
  <c r="F7" i="4"/>
  <c r="E7" i="4"/>
  <c r="R6" i="4"/>
  <c r="Q6" i="4"/>
  <c r="O6" i="4"/>
  <c r="N6" i="4"/>
  <c r="L6" i="4"/>
  <c r="K6" i="4"/>
  <c r="I6" i="4"/>
  <c r="H6" i="4"/>
  <c r="R5" i="4"/>
  <c r="Q5" i="4"/>
  <c r="O5" i="4"/>
  <c r="N5" i="4"/>
  <c r="L5" i="4"/>
  <c r="K5" i="4"/>
  <c r="I5" i="4"/>
  <c r="H5" i="4"/>
  <c r="F5" i="4"/>
  <c r="U5" i="4" s="1"/>
  <c r="E5" i="4"/>
  <c r="S4" i="4"/>
  <c r="R4" i="4"/>
  <c r="Q4" i="4"/>
  <c r="P4" i="4"/>
  <c r="O4" i="4"/>
  <c r="N4" i="4"/>
  <c r="L4" i="4"/>
  <c r="K4" i="4"/>
  <c r="I4" i="4"/>
  <c r="H4" i="4"/>
  <c r="F4" i="4"/>
  <c r="E4" i="4"/>
  <c r="B7" i="4"/>
  <c r="B6" i="4"/>
  <c r="B5" i="4"/>
  <c r="B4" i="4"/>
  <c r="N59" i="1"/>
  <c r="N63" i="1" s="1"/>
  <c r="L59" i="1"/>
  <c r="L63" i="1" s="1"/>
  <c r="J59" i="1"/>
  <c r="J63" i="1" s="1"/>
  <c r="H59" i="1"/>
  <c r="O5" i="3"/>
  <c r="O3" i="3"/>
  <c r="O2" i="3"/>
  <c r="O5" i="1"/>
  <c r="O3" i="1"/>
  <c r="O2" i="1"/>
  <c r="Q6" i="7" l="1"/>
  <c r="Q5" i="7"/>
  <c r="O8" i="4"/>
  <c r="O61" i="4" s="1"/>
  <c r="T5" i="4"/>
  <c r="J18" i="4"/>
  <c r="O5" i="2"/>
  <c r="O7" i="2"/>
  <c r="M18" i="4"/>
  <c r="U23" i="4"/>
  <c r="I8" i="7"/>
  <c r="I48" i="7" s="1"/>
  <c r="M8" i="7"/>
  <c r="M48" i="7" s="1"/>
  <c r="E8" i="7"/>
  <c r="E48" i="7" s="1"/>
  <c r="J8" i="7"/>
  <c r="N8" i="7"/>
  <c r="N48" i="7" s="1"/>
  <c r="O63" i="4"/>
  <c r="F8" i="7"/>
  <c r="F48" i="7" s="1"/>
  <c r="M23" i="4"/>
  <c r="N62" i="1"/>
  <c r="L62" i="1"/>
  <c r="J62" i="1"/>
  <c r="J23" i="4"/>
  <c r="G23" i="4"/>
  <c r="H62" i="1"/>
  <c r="H63" i="1" s="1"/>
  <c r="T23" i="4"/>
  <c r="U18" i="4"/>
  <c r="T9" i="4"/>
  <c r="T13" i="4" s="1"/>
  <c r="E13" i="4"/>
  <c r="G13" i="4" s="1"/>
  <c r="J13" i="4"/>
  <c r="U9" i="4"/>
  <c r="U13" i="4" s="1"/>
  <c r="H59" i="2"/>
  <c r="L59" i="2"/>
  <c r="J59" i="2"/>
  <c r="N59" i="2"/>
  <c r="R6" i="7"/>
  <c r="R4" i="7"/>
  <c r="R5" i="7"/>
  <c r="Q4" i="7"/>
  <c r="Q8" i="7" s="1"/>
  <c r="Q48" i="7" s="1"/>
  <c r="I8" i="4"/>
  <c r="I61" i="4" s="1"/>
  <c r="L8" i="4"/>
  <c r="L61" i="4" s="1"/>
  <c r="R8" i="4"/>
  <c r="R61" i="4" s="1"/>
  <c r="O2" i="2"/>
  <c r="O3" i="2"/>
  <c r="H8" i="4"/>
  <c r="H61" i="4" s="1"/>
  <c r="K8" i="4"/>
  <c r="K61" i="4" s="1"/>
  <c r="N8" i="4"/>
  <c r="N61" i="4" s="1"/>
  <c r="Q8" i="4"/>
  <c r="Q61" i="4" s="1"/>
  <c r="P8" i="4"/>
  <c r="U4" i="4"/>
  <c r="T4" i="4"/>
  <c r="N50" i="7" l="1"/>
  <c r="J48" i="7"/>
  <c r="K48" i="7" s="1"/>
  <c r="J64" i="1"/>
  <c r="F51" i="7" s="1"/>
  <c r="J65" i="1"/>
  <c r="F52" i="7" s="1"/>
  <c r="L64" i="1"/>
  <c r="O64" i="4" s="1"/>
  <c r="L65" i="1"/>
  <c r="J52" i="7" s="1"/>
  <c r="N64" i="1"/>
  <c r="R64" i="4" s="1"/>
  <c r="N65" i="1"/>
  <c r="N52" i="7" s="1"/>
  <c r="R8" i="7"/>
  <c r="R48" i="7" s="1"/>
  <c r="O8" i="7"/>
  <c r="O48" i="7"/>
  <c r="K8" i="7"/>
  <c r="G8" i="7"/>
  <c r="K63" i="4"/>
  <c r="R63" i="4"/>
  <c r="I63" i="4"/>
  <c r="N63" i="4"/>
  <c r="P63" i="4" s="1"/>
  <c r="H63" i="4"/>
  <c r="L63" i="4"/>
  <c r="H64" i="1"/>
  <c r="I64" i="4" s="1"/>
  <c r="H65" i="1"/>
  <c r="S8" i="4"/>
  <c r="Q63" i="4"/>
  <c r="N51" i="7"/>
  <c r="J8" i="4"/>
  <c r="M8" i="4"/>
  <c r="P61" i="4"/>
  <c r="J51" i="7" l="1"/>
  <c r="L64" i="4"/>
  <c r="J50" i="7"/>
  <c r="G48" i="7"/>
  <c r="F50" i="7"/>
  <c r="M61" i="4"/>
  <c r="J63" i="4"/>
  <c r="S63" i="4"/>
  <c r="M63" i="4"/>
  <c r="S61" i="4"/>
  <c r="J61" i="4"/>
  <c r="R50" i="7" l="1"/>
  <c r="N4" i="2"/>
  <c r="N3" i="2"/>
  <c r="G108" i="5"/>
  <c r="H108" i="5"/>
  <c r="G100" i="5"/>
  <c r="H100" i="5"/>
  <c r="F4" i="3"/>
  <c r="F59" i="3" s="1"/>
  <c r="F4" i="1"/>
  <c r="S6" i="4" l="1"/>
  <c r="O6" i="7"/>
  <c r="S5" i="4"/>
  <c r="O5" i="7"/>
  <c r="F6" i="4"/>
  <c r="F59" i="1"/>
  <c r="F63" i="1" s="1"/>
  <c r="O4" i="1"/>
  <c r="O59" i="1" s="1"/>
  <c r="O62" i="1" s="1"/>
  <c r="O64" i="1" s="1"/>
  <c r="F4" i="2"/>
  <c r="G6" i="4" s="1"/>
  <c r="O4" i="3"/>
  <c r="E6" i="4"/>
  <c r="F3" i="2"/>
  <c r="G5" i="4" s="1"/>
  <c r="F2" i="2"/>
  <c r="B5" i="2"/>
  <c r="B4" i="2"/>
  <c r="B3" i="2"/>
  <c r="B2" i="2"/>
  <c r="B5" i="1"/>
  <c r="B4" i="1"/>
  <c r="B3" i="1"/>
  <c r="B2" i="1"/>
  <c r="G92" i="5"/>
  <c r="H92" i="5"/>
  <c r="G82" i="5"/>
  <c r="H82" i="5"/>
  <c r="G72" i="5"/>
  <c r="H72" i="5"/>
  <c r="L4" i="2"/>
  <c r="H5" i="2"/>
  <c r="J7" i="4" s="1"/>
  <c r="H4" i="2"/>
  <c r="J6" i="4" s="1"/>
  <c r="H3" i="2"/>
  <c r="J5" i="4" s="1"/>
  <c r="H2" i="2"/>
  <c r="J4" i="4" s="1"/>
  <c r="G65" i="5"/>
  <c r="H65" i="5"/>
  <c r="G58" i="5"/>
  <c r="H58" i="5"/>
  <c r="G51" i="5"/>
  <c r="H51" i="5"/>
  <c r="G44" i="5"/>
  <c r="H44" i="5"/>
  <c r="L3" i="2"/>
  <c r="J4" i="2"/>
  <c r="J3" i="2"/>
  <c r="G35" i="5"/>
  <c r="H35" i="5"/>
  <c r="H26" i="5"/>
  <c r="G26" i="5"/>
  <c r="H17" i="5"/>
  <c r="G17" i="5"/>
  <c r="H8" i="5"/>
  <c r="G8" i="5"/>
  <c r="B5" i="3"/>
  <c r="B4" i="3"/>
  <c r="B3" i="3"/>
  <c r="B2" i="3"/>
  <c r="J2" i="2"/>
  <c r="O4" i="2" l="1"/>
  <c r="O59" i="3"/>
  <c r="M5" i="4"/>
  <c r="G5" i="7"/>
  <c r="P5" i="4"/>
  <c r="K5" i="7"/>
  <c r="M4" i="4"/>
  <c r="G4" i="7"/>
  <c r="M6" i="4"/>
  <c r="G6" i="7"/>
  <c r="P6" i="4"/>
  <c r="K6" i="7"/>
  <c r="F62" i="1"/>
  <c r="O65" i="1"/>
  <c r="O63" i="1"/>
  <c r="F59" i="2"/>
  <c r="U6" i="4"/>
  <c r="U8" i="4" s="1"/>
  <c r="U61" i="4" s="1"/>
  <c r="F8" i="4"/>
  <c r="F61" i="4" s="1"/>
  <c r="T6" i="4"/>
  <c r="T8" i="4" s="1"/>
  <c r="T61" i="4" s="1"/>
  <c r="E8" i="4"/>
  <c r="E61" i="4" s="1"/>
  <c r="G4" i="4"/>
  <c r="F64" i="1" l="1"/>
  <c r="F64" i="4" s="1"/>
  <c r="F65" i="1"/>
  <c r="E63" i="4"/>
  <c r="F63" i="4"/>
  <c r="T63" i="4"/>
  <c r="U63" i="4"/>
  <c r="G8" i="4"/>
  <c r="G61" i="4" l="1"/>
  <c r="G63" i="4"/>
</calcChain>
</file>

<file path=xl/comments1.xml><?xml version="1.0" encoding="utf-8"?>
<comments xmlns="http://schemas.openxmlformats.org/spreadsheetml/2006/main">
  <authors>
    <author>justincase</author>
    <author>John Deibert</author>
  </authors>
  <commentList>
    <comment ref="F33" authorId="0">
      <text>
        <r>
          <rPr>
            <b/>
            <sz val="9"/>
            <color indexed="81"/>
            <rFont val="Tahoma"/>
            <family val="2"/>
          </rPr>
          <t xml:space="preserve">John Deibert: </t>
        </r>
        <r>
          <rPr>
            <sz val="9"/>
            <color indexed="81"/>
            <rFont val="Tahoma"/>
            <family val="2"/>
          </rPr>
          <t>Due to Tsunami warning, no crews were on the beach to collect the creel data. Estimate of harvest is made based on observations made by Bruce Kauffman.</t>
        </r>
      </text>
    </comment>
    <comment ref="H33" authorId="0">
      <text>
        <r>
          <rPr>
            <b/>
            <sz val="9"/>
            <color indexed="81"/>
            <rFont val="Tahoma"/>
            <family val="2"/>
          </rPr>
          <t>John Deibert:</t>
        </r>
        <r>
          <rPr>
            <sz val="9"/>
            <color indexed="81"/>
            <rFont val="Tahoma"/>
            <family val="2"/>
          </rPr>
          <t xml:space="preserve"> 
Due to Tsunami warning, no crews were on the beach to collect the creel data. Estimate of harvest is made based on observations made by Matt Nixon, Fish and Wildlife officer. He was on the beach both 2/27 and 2/28. He estimated that the number of people on the beach Saturday was approximately 30% of the people we had on Sunday February 28th. </t>
        </r>
      </text>
    </comment>
    <comment ref="J33" authorId="0">
      <text>
        <r>
          <rPr>
            <b/>
            <sz val="9"/>
            <color indexed="81"/>
            <rFont val="Tahoma"/>
            <family val="2"/>
          </rPr>
          <t xml:space="preserve">John Deibert:
</t>
        </r>
        <r>
          <rPr>
            <sz val="9"/>
            <color indexed="81"/>
            <rFont val="Tahoma"/>
            <family val="2"/>
          </rPr>
          <t xml:space="preserve">Due to Tsunami warning, no crews were on the beach to collect the creel data. Estimate of harvest is made based on observations made by Matt Nixon, Fish and Wildlife officer. He was on the beach both 2/27 and 2/28. He estimated that the number of people on the beach Saturday was approximately 30% of the people we had on Sunday February 28th. </t>
        </r>
      </text>
    </comment>
    <comment ref="L33" authorId="0">
      <text>
        <r>
          <rPr>
            <b/>
            <sz val="9"/>
            <color indexed="81"/>
            <rFont val="Tahoma"/>
            <family val="2"/>
          </rPr>
          <t>John Deibert:</t>
        </r>
        <r>
          <rPr>
            <sz val="9"/>
            <color indexed="81"/>
            <rFont val="Tahoma"/>
            <family val="2"/>
          </rPr>
          <t xml:space="preserve">
Due to Tsunami warning, no crews were on the beach to collect the creel data. Estimate of harvest is made based on observations made by Matt Nixon, Fish and Wildlife officer. He was on the beach both 2/27 and 2/28. He estimated that the number of people on the beach Saturday was approximately 30% of the people we had on Sunday February 28th. </t>
        </r>
      </text>
    </comment>
    <comment ref="F60" authorId="1">
      <text>
        <r>
          <rPr>
            <b/>
            <sz val="9"/>
            <color indexed="81"/>
            <rFont val="Tahoma"/>
            <family val="2"/>
          </rPr>
          <t>John Deibert:</t>
        </r>
        <r>
          <rPr>
            <sz val="9"/>
            <color indexed="81"/>
            <rFont val="Tahoma"/>
            <family val="2"/>
          </rPr>
          <t xml:space="preserve">
Wastage % is only calculated for the tide series in which the wastage check was completed.</t>
        </r>
      </text>
    </comment>
  </commentList>
</comments>
</file>

<file path=xl/comments2.xml><?xml version="1.0" encoding="utf-8"?>
<comments xmlns="http://schemas.openxmlformats.org/spreadsheetml/2006/main">
  <authors>
    <author>John Deibert</author>
  </authors>
  <commentList>
    <comment ref="D3" authorId="0">
      <text>
        <r>
          <rPr>
            <b/>
            <sz val="9"/>
            <color indexed="81"/>
            <rFont val="Tahoma"/>
            <family val="2"/>
          </rPr>
          <t>John Deibert:</t>
        </r>
        <r>
          <rPr>
            <sz val="9"/>
            <color indexed="81"/>
            <rFont val="Tahoma"/>
            <family val="2"/>
          </rPr>
          <t xml:space="preserve">
Multiplied # of cars by Average # of people per car for Mocrocks beach. (3.01 PPL per Car)</t>
        </r>
      </text>
    </comment>
  </commentList>
</comments>
</file>

<file path=xl/sharedStrings.xml><?xml version="1.0" encoding="utf-8"?>
<sst xmlns="http://schemas.openxmlformats.org/spreadsheetml/2006/main" count="3291" uniqueCount="132">
  <si>
    <t>Longbeach</t>
  </si>
  <si>
    <t>Twin Harbors</t>
  </si>
  <si>
    <t>Copalis</t>
  </si>
  <si>
    <t>Mocrocks</t>
  </si>
  <si>
    <t>Kalaloch</t>
  </si>
  <si>
    <t>Day</t>
  </si>
  <si>
    <t>Tide</t>
  </si>
  <si>
    <t>Time</t>
  </si>
  <si>
    <t>Date</t>
  </si>
  <si>
    <t>BeachName</t>
  </si>
  <si>
    <t>LocationID</t>
  </si>
  <si>
    <t>CPUE</t>
  </si>
  <si>
    <t>CorrectionFactor</t>
  </si>
  <si>
    <t>Calc People</t>
  </si>
  <si>
    <t>EstCorEffort</t>
  </si>
  <si>
    <t>TotHarvest</t>
  </si>
  <si>
    <t>31002</t>
  </si>
  <si>
    <t>31005</t>
  </si>
  <si>
    <t>32007</t>
  </si>
  <si>
    <t>32009</t>
  </si>
  <si>
    <t>33012</t>
  </si>
  <si>
    <t>33013</t>
  </si>
  <si>
    <t>CLOSED</t>
  </si>
  <si>
    <t>41100</t>
  </si>
  <si>
    <t>41200</t>
  </si>
  <si>
    <t>41300</t>
  </si>
  <si>
    <t>41400</t>
  </si>
  <si>
    <t>42500</t>
  </si>
  <si>
    <t>42600</t>
  </si>
  <si>
    <t>21100</t>
  </si>
  <si>
    <t>21200</t>
  </si>
  <si>
    <t>22307</t>
  </si>
  <si>
    <t>22309</t>
  </si>
  <si>
    <t>LongBeach</t>
  </si>
  <si>
    <t>11101</t>
  </si>
  <si>
    <t>11104</t>
  </si>
  <si>
    <t>11200</t>
  </si>
  <si>
    <t>12400</t>
  </si>
  <si>
    <t>12500</t>
  </si>
  <si>
    <t>12600</t>
  </si>
  <si>
    <t>12300</t>
  </si>
  <si>
    <t>*</t>
  </si>
  <si>
    <t>CalcPeople</t>
  </si>
  <si>
    <t>EstCorrEffort</t>
  </si>
  <si>
    <t>CorrFactor</t>
  </si>
  <si>
    <t>South beach</t>
  </si>
  <si>
    <t>Trail 1</t>
  </si>
  <si>
    <t>Trail 2</t>
  </si>
  <si>
    <t>Campground</t>
  </si>
  <si>
    <t>Guard rail</t>
  </si>
  <si>
    <t>Daily Totals</t>
  </si>
  <si>
    <t>ESTIMATED WASTAGE RATE:</t>
  </si>
  <si>
    <t>ESTIMATED TOTAL WASTAGE:</t>
  </si>
  <si>
    <t>SEASON TOTAL INCLUDING WASTAGE:</t>
  </si>
  <si>
    <t>% of TAC Harvested:</t>
  </si>
  <si>
    <t>clams left in TAC :</t>
  </si>
  <si>
    <t>*- estimate based on comparison of other beaches.        + - no harvest due to very heavy surf and storm warnings.</t>
  </si>
  <si>
    <t>Fall 2009 / Spring 2010 Harvest Rate (clams/day):</t>
  </si>
  <si>
    <t>SEASON TOTALS :</t>
  </si>
  <si>
    <t>LONG BEACH</t>
  </si>
  <si>
    <t>TWIN HARBORS</t>
  </si>
  <si>
    <t>COPALIS</t>
  </si>
  <si>
    <t>MOCROCKS</t>
  </si>
  <si>
    <t>KALALOCH</t>
  </si>
  <si>
    <t>DAILY TOTALS</t>
  </si>
  <si>
    <t>DATE</t>
  </si>
  <si>
    <t>DAY</t>
  </si>
  <si>
    <t>TIDE</t>
  </si>
  <si>
    <t>TIME</t>
  </si>
  <si>
    <t>Effort</t>
  </si>
  <si>
    <t>Harvest</t>
  </si>
  <si>
    <t>Tide Series Totals</t>
  </si>
  <si>
    <t>SEASON TOTALS:</t>
  </si>
  <si>
    <t>2009-2010 State (non-Indian) Recreational Razor Clam Effort, Harvest and CPUE totals.</t>
  </si>
  <si>
    <t>COASTWIDE TAC</t>
  </si>
  <si>
    <t>2009 FALL - 2010 SPRING NON-TRIBAL TOTAL ALLOWABLE CATCH (TAC)</t>
  </si>
  <si>
    <t>Size (mm)</t>
  </si>
  <si>
    <t>Wastage</t>
  </si>
  <si>
    <t>Wastage%</t>
  </si>
  <si>
    <t>Total Harvest</t>
  </si>
  <si>
    <t>Clams Wasted</t>
  </si>
  <si>
    <t>WASTAGE</t>
  </si>
  <si>
    <t>SEASON SUBTOTALS:</t>
  </si>
  <si>
    <t>+</t>
  </si>
  <si>
    <t>12/31/2009</t>
  </si>
  <si>
    <t>1/1/2010</t>
  </si>
  <si>
    <t>1/30/2010</t>
  </si>
  <si>
    <t>1/31/2010</t>
  </si>
  <si>
    <t>EventID</t>
  </si>
  <si>
    <t>SumOfNHoles</t>
  </si>
  <si>
    <t>SumOfNClams</t>
  </si>
  <si>
    <t>SumOfNMorts</t>
  </si>
  <si>
    <t>Avg. Wastage</t>
  </si>
  <si>
    <t>NHoles</t>
  </si>
  <si>
    <t>NClams</t>
  </si>
  <si>
    <t>NMorts</t>
  </si>
  <si>
    <t>% Wastage</t>
  </si>
  <si>
    <t>Totals</t>
  </si>
  <si>
    <t>AVG wastage for tide series</t>
  </si>
  <si>
    <t>Total wastage for season</t>
  </si>
  <si>
    <t>Wastage:</t>
  </si>
  <si>
    <t>Clams left in TAC:</t>
  </si>
  <si>
    <t>Season total, including Wastage</t>
  </si>
  <si>
    <t>Twin harbors</t>
  </si>
  <si>
    <t># of ppl Interviewed</t>
  </si>
  <si>
    <t># of ppl counted</t>
  </si>
  <si>
    <t>Expanded # of ppl</t>
  </si>
  <si>
    <t>copalis</t>
  </si>
  <si>
    <t>% ppl counted</t>
  </si>
  <si>
    <t>% ppl counted (expanded)</t>
  </si>
  <si>
    <t>Harvest days</t>
  </si>
  <si>
    <t># of days sampled</t>
  </si>
  <si>
    <t>% of harvest days sampled</t>
  </si>
  <si>
    <t>February 27th, 2010: There was a Tsunami warning on the coast of</t>
  </si>
  <si>
    <t>Washington and all crews were instructed to stay off of the beaches.</t>
  </si>
  <si>
    <t>November 16th, 2009: Winter storm with High surf and Heavy rain. Crews</t>
  </si>
  <si>
    <t>were cancelled on all beaches except Copalis beach.</t>
  </si>
  <si>
    <t>Copalis: No crew on Feb. 27</t>
  </si>
  <si>
    <t xml:space="preserve">Mocrocks: 2 days with no crew. Feb 27th and Nov 16th. </t>
  </si>
  <si>
    <t>Estimated count</t>
  </si>
  <si>
    <t>Ingress Count</t>
  </si>
  <si>
    <t>Ocean City North to Copalis River.</t>
  </si>
  <si>
    <t>Roosevelt South to Copalis River.</t>
  </si>
  <si>
    <t>Oysterville North</t>
  </si>
  <si>
    <t>PPL count</t>
  </si>
  <si>
    <t>Car count</t>
  </si>
  <si>
    <t>Cranberry Rd. South</t>
  </si>
  <si>
    <t>Beach count</t>
  </si>
  <si>
    <t>Est Count compared</t>
  </si>
  <si>
    <t>to egress survey</t>
  </si>
  <si>
    <t>2009-2010 State (non-Indian) Recreational Razor Clam Effort, Harvest and CPUE totals - FINAL</t>
  </si>
  <si>
    <t xml:space="preserve">FALL 2009 - SPRING 2010 SEASON TOTALS: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</si>
</sst>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_(* \(#,##0.00\);_(* &quot;-&quot;??_);_(@_)"/>
    <numFmt numFmtId="164" formatCode="[$-409]mmmm\ d\,\ yyyy;@"/>
    <numFmt numFmtId="165" formatCode="ddd"/>
    <numFmt numFmtId="166" formatCode="_(* #,##0_);_(* \(#,##0\);_(* &quot;-&quot;??_);_(@_)"/>
    <numFmt numFmtId="167" formatCode="#,##0.0_);\(#,##0.0\)"/>
    <numFmt numFmtId="168" formatCode="0.000"/>
    <numFmt numFmtId="169" formatCode="0.0"/>
    <numFmt numFmtId="170" formatCode="0.0%"/>
    <numFmt numFmtId="171" formatCode="[$-409]d\-mmm\-yyyy;@"/>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0"/>
      <color indexed="8"/>
      <name val="Arial"/>
      <family val="2"/>
    </font>
    <font>
      <sz val="11"/>
      <color indexed="8"/>
      <name val="Calibri"/>
      <family val="2"/>
    </font>
    <font>
      <sz val="11"/>
      <color indexed="8"/>
      <name val="Calibri"/>
      <family val="2"/>
    </font>
    <font>
      <sz val="10"/>
      <color indexed="8"/>
      <name val="Arial"/>
      <family val="2"/>
    </font>
    <font>
      <sz val="10"/>
      <name val="Times New Roman"/>
      <family val="1"/>
    </font>
    <font>
      <sz val="10"/>
      <name val="Calibri"/>
      <family val="2"/>
    </font>
    <font>
      <i/>
      <sz val="10"/>
      <name val="Calibri"/>
      <family val="2"/>
    </font>
    <font>
      <sz val="10"/>
      <color theme="1"/>
      <name val="Calibri"/>
      <family val="2"/>
      <scheme val="minor"/>
    </font>
    <font>
      <b/>
      <sz val="12"/>
      <name val="Times New Roman"/>
      <family val="1"/>
    </font>
    <font>
      <b/>
      <i/>
      <sz val="10"/>
      <name val="Calibri"/>
      <family val="2"/>
    </font>
    <font>
      <b/>
      <sz val="10"/>
      <name val="Calibri"/>
      <family val="2"/>
    </font>
    <font>
      <sz val="11"/>
      <color indexed="8"/>
      <name val="Calibri"/>
      <family val="2"/>
    </font>
    <font>
      <sz val="10"/>
      <color indexed="8"/>
      <name val="Arial"/>
      <family val="2"/>
    </font>
    <font>
      <sz val="11"/>
      <name val="Calibri"/>
      <family val="2"/>
    </font>
    <font>
      <i/>
      <sz val="11"/>
      <name val="Calibri"/>
      <family val="2"/>
    </font>
    <font>
      <sz val="11"/>
      <color indexed="8"/>
      <name val="Calibri"/>
      <family val="2"/>
    </font>
    <font>
      <sz val="10"/>
      <color indexed="8"/>
      <name val="Arial"/>
      <family val="2"/>
    </font>
    <font>
      <sz val="11"/>
      <color indexed="8"/>
      <name val="Calibri"/>
      <family val="2"/>
    </font>
    <font>
      <sz val="10"/>
      <color indexed="8"/>
      <name val="Arial"/>
      <family val="2"/>
    </font>
    <font>
      <b/>
      <sz val="9"/>
      <color indexed="81"/>
      <name val="Tahoma"/>
      <family val="2"/>
    </font>
    <font>
      <sz val="9"/>
      <color indexed="81"/>
      <name val="Tahoma"/>
      <family val="2"/>
    </font>
    <font>
      <sz val="10"/>
      <name val="Arial"/>
      <family val="2"/>
    </font>
    <font>
      <sz val="11"/>
      <color indexed="8"/>
      <name val="Calibri"/>
      <family val="2"/>
    </font>
    <font>
      <sz val="10"/>
      <color indexed="8"/>
      <name val="Arial"/>
      <family val="2"/>
    </font>
    <font>
      <sz val="11"/>
      <color rgb="FFFF0000"/>
      <name val="Calibri"/>
      <family val="2"/>
      <scheme val="minor"/>
    </font>
  </fonts>
  <fills count="12">
    <fill>
      <patternFill patternType="none"/>
    </fill>
    <fill>
      <patternFill patternType="gray125"/>
    </fill>
    <fill>
      <patternFill patternType="solid">
        <fgColor indexed="22"/>
        <bgColor indexed="0"/>
      </patternFill>
    </fill>
    <fill>
      <patternFill patternType="solid">
        <fgColor theme="9" tint="0.59999389629810485"/>
        <bgColor indexed="64"/>
      </patternFill>
    </fill>
    <fill>
      <patternFill patternType="solid">
        <fgColor rgb="FFFFFF00"/>
        <bgColor indexed="64"/>
      </patternFill>
    </fill>
    <fill>
      <patternFill patternType="solid">
        <fgColor rgb="FFFFFF00"/>
        <bgColor indexed="0"/>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7" tint="0.59999389629810485"/>
        <bgColor indexed="64"/>
      </patternFill>
    </fill>
  </fills>
  <borders count="40">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right/>
      <top style="thick">
        <color indexed="0"/>
      </top>
      <bottom/>
      <diagonal/>
    </border>
    <border>
      <left style="thick">
        <color indexed="0"/>
      </left>
      <right/>
      <top style="thick">
        <color indexed="0"/>
      </top>
      <bottom/>
      <diagonal/>
    </border>
    <border>
      <left/>
      <right/>
      <top/>
      <bottom style="thick">
        <color indexed="0"/>
      </bottom>
      <diagonal/>
    </border>
    <border>
      <left style="thick">
        <color indexed="0"/>
      </left>
      <right/>
      <top/>
      <bottom style="thick">
        <color indexed="0"/>
      </bottom>
      <diagonal/>
    </border>
    <border>
      <left style="thick">
        <color indexed="0"/>
      </left>
      <right/>
      <top/>
      <bottom/>
      <diagonal/>
    </border>
    <border>
      <left/>
      <right style="thick">
        <color indexed="0"/>
      </right>
      <top/>
      <bottom/>
      <diagonal/>
    </border>
    <border>
      <left/>
      <right/>
      <top style="thin">
        <color indexed="0"/>
      </top>
      <bottom style="thin">
        <color indexed="0"/>
      </bottom>
      <diagonal/>
    </border>
    <border>
      <left style="thick">
        <color indexed="0"/>
      </left>
      <right/>
      <top style="thin">
        <color indexed="0"/>
      </top>
      <bottom style="thin">
        <color indexed="0"/>
      </bottom>
      <diagonal/>
    </border>
    <border>
      <left/>
      <right style="thick">
        <color indexed="0"/>
      </right>
      <top style="thick">
        <color indexed="0"/>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2"/>
      </left>
      <right/>
      <top/>
      <bottom/>
      <diagonal/>
    </border>
    <border>
      <left style="thin">
        <color indexed="8"/>
      </left>
      <right/>
      <top style="thin">
        <color indexed="8"/>
      </top>
      <bottom style="thin">
        <color indexed="8"/>
      </bottom>
      <diagonal/>
    </border>
    <border>
      <left style="thin">
        <color indexed="64"/>
      </left>
      <right style="thin">
        <color indexed="8"/>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diagonal/>
    </border>
    <border>
      <left style="thin">
        <color indexed="22"/>
      </left>
      <right style="thin">
        <color indexed="22"/>
      </right>
      <top style="thin">
        <color indexed="2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22"/>
      </left>
      <right/>
      <top style="thin">
        <color indexed="22"/>
      </top>
      <bottom style="thin">
        <color indexed="22"/>
      </bottom>
      <diagonal/>
    </border>
    <border>
      <left style="thin">
        <color indexed="22"/>
      </left>
      <right/>
      <top style="thin">
        <color indexed="22"/>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7">
    <xf numFmtId="0" fontId="0" fillId="0" borderId="0"/>
    <xf numFmtId="43" fontId="1" fillId="0" borderId="0" applyFont="0" applyFill="0" applyBorder="0" applyAlignment="0" applyProtection="0"/>
    <xf numFmtId="0" fontId="3" fillId="0" borderId="0"/>
    <xf numFmtId="0" fontId="3" fillId="0" borderId="0"/>
    <xf numFmtId="0" fontId="6" fillId="0" borderId="0"/>
    <xf numFmtId="0" fontId="15" fillId="0" borderId="0"/>
    <xf numFmtId="0" fontId="19" fillId="0" borderId="0"/>
    <xf numFmtId="9" fontId="1" fillId="0" borderId="0" applyFont="0" applyFill="0" applyBorder="0" applyAlignment="0" applyProtection="0"/>
    <xf numFmtId="0" fontId="21" fillId="0" borderId="0"/>
    <xf numFmtId="0" fontId="3" fillId="0" borderId="0"/>
    <xf numFmtId="0" fontId="26" fillId="0" borderId="0"/>
    <xf numFmtId="0" fontId="3" fillId="0" borderId="0"/>
    <xf numFmtId="0" fontId="26" fillId="0" borderId="0"/>
    <xf numFmtId="0" fontId="3" fillId="0" borderId="0"/>
    <xf numFmtId="0" fontId="26" fillId="0" borderId="0"/>
    <xf numFmtId="0" fontId="26" fillId="0" borderId="0"/>
    <xf numFmtId="0" fontId="26" fillId="0" borderId="0"/>
  </cellStyleXfs>
  <cellXfs count="266">
    <xf numFmtId="0" fontId="0" fillId="0" borderId="0" xfId="0"/>
    <xf numFmtId="0" fontId="0" fillId="0" borderId="0" xfId="0" applyAlignment="1">
      <alignment horizontal="center"/>
    </xf>
    <xf numFmtId="0" fontId="0" fillId="0" borderId="0" xfId="0" applyAlignment="1">
      <alignment horizontal="right"/>
    </xf>
    <xf numFmtId="0" fontId="0" fillId="0" borderId="0" xfId="0" applyAlignment="1"/>
    <xf numFmtId="0" fontId="0" fillId="0" borderId="0" xfId="0" applyAlignment="1">
      <alignment vertical="center"/>
    </xf>
    <xf numFmtId="164" fontId="0" fillId="0" borderId="0" xfId="0" applyNumberFormat="1" applyBorder="1"/>
    <xf numFmtId="165" fontId="0" fillId="0" borderId="0" xfId="0" applyNumberFormat="1" applyBorder="1" applyAlignment="1">
      <alignment horizontal="center"/>
    </xf>
    <xf numFmtId="0" fontId="0" fillId="0" borderId="0" xfId="0" applyBorder="1" applyAlignment="1">
      <alignment horizontal="center"/>
    </xf>
    <xf numFmtId="18" fontId="0" fillId="0" borderId="0" xfId="0" applyNumberFormat="1" applyBorder="1" applyAlignment="1">
      <alignment horizontal="center"/>
    </xf>
    <xf numFmtId="0" fontId="0" fillId="0" borderId="0" xfId="0" applyBorder="1"/>
    <xf numFmtId="0" fontId="0" fillId="0" borderId="0" xfId="0" applyBorder="1" applyAlignment="1">
      <alignment horizontal="right"/>
    </xf>
    <xf numFmtId="166" fontId="0" fillId="0" borderId="0" xfId="1" applyNumberFormat="1" applyFont="1" applyBorder="1" applyAlignment="1">
      <alignment horizontal="right"/>
    </xf>
    <xf numFmtId="18" fontId="0" fillId="0" borderId="0" xfId="0" applyNumberFormat="1" applyBorder="1" applyAlignment="1">
      <alignment horizontal="right"/>
    </xf>
    <xf numFmtId="37" fontId="0" fillId="0" borderId="0" xfId="1" applyNumberFormat="1" applyFont="1" applyBorder="1" applyAlignment="1">
      <alignment horizontal="center"/>
    </xf>
    <xf numFmtId="167" fontId="0" fillId="0" borderId="0" xfId="1" applyNumberFormat="1" applyFont="1" applyBorder="1" applyAlignment="1">
      <alignment horizontal="center"/>
    </xf>
    <xf numFmtId="15" fontId="4" fillId="0" borderId="1" xfId="2" applyNumberFormat="1" applyFont="1" applyFill="1" applyBorder="1" applyAlignment="1">
      <alignment horizontal="right" wrapText="1"/>
    </xf>
    <xf numFmtId="0" fontId="4" fillId="2" borderId="2" xfId="2" applyFont="1" applyFill="1" applyBorder="1" applyAlignment="1">
      <alignment horizontal="center"/>
    </xf>
    <xf numFmtId="0" fontId="4" fillId="0" borderId="1" xfId="2" applyFont="1" applyFill="1" applyBorder="1" applyAlignment="1">
      <alignment wrapText="1"/>
    </xf>
    <xf numFmtId="168" fontId="4" fillId="0" borderId="1" xfId="2" applyNumberFormat="1" applyFont="1" applyFill="1" applyBorder="1" applyAlignment="1">
      <alignment horizontal="right" wrapText="1"/>
    </xf>
    <xf numFmtId="0" fontId="4" fillId="0" borderId="1" xfId="2" applyFont="1" applyFill="1" applyBorder="1" applyAlignment="1">
      <alignment horizontal="right" wrapText="1"/>
    </xf>
    <xf numFmtId="3" fontId="0" fillId="0" borderId="0" xfId="0" applyNumberFormat="1"/>
    <xf numFmtId="0" fontId="4" fillId="2" borderId="2" xfId="3" applyFont="1" applyFill="1" applyBorder="1" applyAlignment="1">
      <alignment horizontal="center"/>
    </xf>
    <xf numFmtId="0" fontId="4" fillId="0" borderId="1" xfId="3" applyFont="1" applyFill="1" applyBorder="1" applyAlignment="1">
      <alignment wrapText="1"/>
    </xf>
    <xf numFmtId="15" fontId="4" fillId="0" borderId="1" xfId="3" applyNumberFormat="1" applyFont="1" applyFill="1" applyBorder="1" applyAlignment="1">
      <alignment horizontal="right" wrapText="1"/>
    </xf>
    <xf numFmtId="0" fontId="4" fillId="0" borderId="1" xfId="3" applyFont="1" applyFill="1" applyBorder="1" applyAlignment="1"/>
    <xf numFmtId="15" fontId="4" fillId="0" borderId="1" xfId="3" applyNumberFormat="1" applyFont="1" applyFill="1" applyBorder="1" applyAlignment="1">
      <alignment horizontal="right"/>
    </xf>
    <xf numFmtId="168" fontId="4" fillId="0" borderId="1" xfId="3" applyNumberFormat="1" applyFont="1" applyFill="1" applyBorder="1" applyAlignment="1">
      <alignment horizontal="right"/>
    </xf>
    <xf numFmtId="3" fontId="4" fillId="0" borderId="1" xfId="3" applyNumberFormat="1" applyFont="1" applyFill="1" applyBorder="1" applyAlignment="1">
      <alignment horizontal="right"/>
    </xf>
    <xf numFmtId="0" fontId="2" fillId="0" borderId="0" xfId="0" applyFont="1" applyBorder="1" applyAlignment="1">
      <alignment horizontal="center"/>
    </xf>
    <xf numFmtId="0" fontId="5" fillId="2" borderId="2" xfId="4" applyFont="1" applyFill="1" applyBorder="1" applyAlignment="1">
      <alignment horizontal="center"/>
    </xf>
    <xf numFmtId="0" fontId="5" fillId="0" borderId="1" xfId="4" applyFont="1" applyFill="1" applyBorder="1" applyAlignment="1">
      <alignment wrapText="1"/>
    </xf>
    <xf numFmtId="15" fontId="5" fillId="0" borderId="1" xfId="4" applyNumberFormat="1" applyFont="1" applyFill="1" applyBorder="1" applyAlignment="1">
      <alignment horizontal="right" wrapText="1"/>
    </xf>
    <xf numFmtId="0" fontId="5" fillId="0" borderId="1" xfId="4" applyFont="1" applyFill="1" applyBorder="1" applyAlignment="1"/>
    <xf numFmtId="15" fontId="5" fillId="0" borderId="1" xfId="4" applyNumberFormat="1" applyFont="1" applyFill="1" applyBorder="1" applyAlignment="1">
      <alignment horizontal="right"/>
    </xf>
    <xf numFmtId="18" fontId="0" fillId="0" borderId="0" xfId="0" applyNumberFormat="1" applyAlignment="1">
      <alignment horizontal="center"/>
    </xf>
    <xf numFmtId="169" fontId="0" fillId="0" borderId="0" xfId="0" applyNumberFormat="1" applyAlignment="1">
      <alignment horizontal="center"/>
    </xf>
    <xf numFmtId="0" fontId="2" fillId="0" borderId="0" xfId="0" applyFont="1"/>
    <xf numFmtId="37" fontId="0" fillId="0" borderId="0" xfId="0" applyNumberFormat="1"/>
    <xf numFmtId="167" fontId="0" fillId="0" borderId="0" xfId="0" applyNumberFormat="1"/>
    <xf numFmtId="0" fontId="7" fillId="0" borderId="0" xfId="0" applyFont="1" applyBorder="1" applyAlignment="1">
      <alignment horizontal="left"/>
    </xf>
    <xf numFmtId="0" fontId="7" fillId="0" borderId="0" xfId="0" applyFont="1" applyBorder="1" applyAlignment="1"/>
    <xf numFmtId="0" fontId="8" fillId="0" borderId="0" xfId="0" applyFont="1" applyBorder="1" applyAlignment="1">
      <alignment horizontal="left"/>
    </xf>
    <xf numFmtId="0" fontId="8" fillId="0" borderId="0" xfId="0" applyFont="1" applyBorder="1" applyAlignment="1"/>
    <xf numFmtId="164" fontId="10" fillId="0" borderId="0" xfId="0" applyNumberFormat="1" applyFont="1" applyBorder="1"/>
    <xf numFmtId="165" fontId="10" fillId="0" borderId="0" xfId="0" applyNumberFormat="1" applyFont="1" applyBorder="1" applyAlignment="1">
      <alignment horizontal="center"/>
    </xf>
    <xf numFmtId="0" fontId="10" fillId="0" borderId="0" xfId="0" applyFont="1" applyBorder="1" applyAlignment="1">
      <alignment horizontal="center"/>
    </xf>
    <xf numFmtId="18" fontId="10" fillId="0" borderId="0" xfId="0" applyNumberFormat="1" applyFont="1" applyBorder="1" applyAlignment="1">
      <alignment horizontal="center"/>
    </xf>
    <xf numFmtId="0" fontId="10" fillId="0" borderId="0" xfId="0" applyFont="1" applyAlignment="1">
      <alignment horizontal="center"/>
    </xf>
    <xf numFmtId="18" fontId="10" fillId="0" borderId="0" xfId="0" applyNumberFormat="1" applyFont="1" applyAlignment="1">
      <alignment horizontal="center"/>
    </xf>
    <xf numFmtId="169" fontId="10" fillId="0" borderId="0" xfId="0" applyNumberFormat="1" applyFont="1" applyAlignment="1">
      <alignment horizontal="center"/>
    </xf>
    <xf numFmtId="0" fontId="9" fillId="0" borderId="0" xfId="0" applyFont="1" applyBorder="1" applyAlignment="1"/>
    <xf numFmtId="0" fontId="12" fillId="0" borderId="0" xfId="0" applyFont="1" applyBorder="1" applyAlignment="1"/>
    <xf numFmtId="3" fontId="8" fillId="0" borderId="0" xfId="0" applyNumberFormat="1" applyFont="1" applyBorder="1" applyAlignment="1"/>
    <xf numFmtId="0" fontId="8" fillId="0" borderId="3" xfId="0" applyFont="1" applyFill="1" applyBorder="1" applyAlignment="1"/>
    <xf numFmtId="0" fontId="8" fillId="0" borderId="5" xfId="0" applyFont="1" applyFill="1" applyBorder="1" applyAlignment="1">
      <alignment horizontal="center"/>
    </xf>
    <xf numFmtId="0" fontId="8" fillId="0" borderId="6" xfId="0" applyFont="1" applyFill="1" applyBorder="1" applyAlignment="1">
      <alignment horizontal="center"/>
    </xf>
    <xf numFmtId="3" fontId="8" fillId="0" borderId="5" xfId="0" applyNumberFormat="1" applyFont="1" applyFill="1" applyBorder="1" applyAlignment="1">
      <alignment horizontal="center"/>
    </xf>
    <xf numFmtId="16" fontId="8" fillId="0" borderId="0" xfId="0" applyNumberFormat="1" applyFont="1" applyBorder="1" applyAlignment="1">
      <alignment horizontal="center"/>
    </xf>
    <xf numFmtId="169" fontId="8" fillId="0" borderId="0" xfId="0" applyNumberFormat="1" applyFont="1" applyBorder="1" applyAlignment="1">
      <alignment horizontal="center"/>
    </xf>
    <xf numFmtId="18" fontId="8" fillId="0" borderId="0" xfId="0" applyNumberFormat="1" applyFont="1" applyBorder="1" applyAlignment="1">
      <alignment horizontal="center"/>
    </xf>
    <xf numFmtId="3" fontId="8" fillId="0" borderId="7" xfId="0" applyNumberFormat="1" applyFont="1" applyFill="1" applyBorder="1" applyAlignment="1">
      <alignment horizontal="center"/>
    </xf>
    <xf numFmtId="3" fontId="8" fillId="0" borderId="0" xfId="0" applyNumberFormat="1" applyFont="1" applyBorder="1" applyAlignment="1">
      <alignment horizontal="center"/>
    </xf>
    <xf numFmtId="169" fontId="8" fillId="0" borderId="8" xfId="0" applyNumberFormat="1" applyFont="1" applyFill="1" applyBorder="1" applyAlignment="1">
      <alignment horizontal="center"/>
    </xf>
    <xf numFmtId="16" fontId="13" fillId="0" borderId="9" xfId="0" applyNumberFormat="1" applyFont="1" applyFill="1" applyBorder="1" applyAlignment="1">
      <alignment horizontal="left"/>
    </xf>
    <xf numFmtId="0" fontId="13" fillId="0" borderId="9" xfId="0" applyFont="1" applyFill="1" applyBorder="1" applyAlignment="1">
      <alignment horizontal="center"/>
    </xf>
    <xf numFmtId="169" fontId="13" fillId="0" borderId="9" xfId="0" applyNumberFormat="1" applyFont="1" applyFill="1" applyBorder="1" applyAlignment="1">
      <alignment horizontal="center"/>
    </xf>
    <xf numFmtId="3" fontId="13" fillId="0" borderId="10" xfId="0" applyNumberFormat="1" applyFont="1" applyFill="1" applyBorder="1" applyAlignment="1">
      <alignment horizontal="center"/>
    </xf>
    <xf numFmtId="3" fontId="13" fillId="0" borderId="9" xfId="0" applyNumberFormat="1" applyFont="1" applyFill="1" applyBorder="1" applyAlignment="1">
      <alignment horizontal="center"/>
    </xf>
    <xf numFmtId="169" fontId="8" fillId="0" borderId="0" xfId="0" applyNumberFormat="1" applyFont="1" applyFill="1" applyBorder="1" applyAlignment="1">
      <alignment horizontal="center"/>
    </xf>
    <xf numFmtId="16" fontId="8" fillId="0" borderId="0" xfId="0" applyNumberFormat="1" applyFont="1" applyFill="1" applyBorder="1" applyAlignment="1">
      <alignment horizontal="center"/>
    </xf>
    <xf numFmtId="3" fontId="8" fillId="0" borderId="0" xfId="0" applyNumberFormat="1" applyFont="1" applyFill="1" applyBorder="1" applyAlignment="1">
      <alignment horizontal="center"/>
    </xf>
    <xf numFmtId="16" fontId="13" fillId="0" borderId="3" xfId="0" applyNumberFormat="1" applyFont="1" applyFill="1" applyBorder="1" applyAlignment="1">
      <alignment horizontal="left"/>
    </xf>
    <xf numFmtId="3" fontId="13" fillId="0" borderId="3" xfId="0" applyNumberFormat="1" applyFont="1" applyFill="1" applyBorder="1" applyAlignment="1">
      <alignment horizontal="center"/>
    </xf>
    <xf numFmtId="169" fontId="13" fillId="0" borderId="3" xfId="0" applyNumberFormat="1" applyFont="1" applyFill="1" applyBorder="1" applyAlignment="1">
      <alignment horizontal="center"/>
    </xf>
    <xf numFmtId="170" fontId="13" fillId="0" borderId="0" xfId="0" applyNumberFormat="1" applyFont="1" applyAlignment="1">
      <alignment horizontal="center"/>
    </xf>
    <xf numFmtId="0" fontId="13" fillId="0" borderId="3" xfId="0" applyFont="1" applyFill="1" applyBorder="1" applyAlignment="1"/>
    <xf numFmtId="0" fontId="13" fillId="0" borderId="0" xfId="0" applyFont="1" applyAlignment="1"/>
    <xf numFmtId="167" fontId="0" fillId="0" borderId="0" xfId="0" applyNumberFormat="1" applyAlignment="1">
      <alignment horizontal="center"/>
    </xf>
    <xf numFmtId="0" fontId="0" fillId="0" borderId="12" xfId="0" applyBorder="1" applyAlignment="1"/>
    <xf numFmtId="3" fontId="0" fillId="0" borderId="13" xfId="0" applyNumberFormat="1" applyBorder="1" applyAlignment="1"/>
    <xf numFmtId="0" fontId="0" fillId="0" borderId="14" xfId="0" applyBorder="1" applyAlignment="1"/>
    <xf numFmtId="3" fontId="0" fillId="0" borderId="15" xfId="0" applyNumberFormat="1" applyBorder="1" applyAlignment="1"/>
    <xf numFmtId="0" fontId="0" fillId="0" borderId="16" xfId="0" applyBorder="1" applyAlignment="1"/>
    <xf numFmtId="3" fontId="0" fillId="0" borderId="17" xfId="0" applyNumberFormat="1" applyBorder="1" applyAlignment="1"/>
    <xf numFmtId="0" fontId="11" fillId="0" borderId="18" xfId="0" applyFont="1" applyBorder="1" applyAlignment="1"/>
    <xf numFmtId="3" fontId="0" fillId="0" borderId="19" xfId="0" applyNumberFormat="1" applyBorder="1" applyAlignment="1"/>
    <xf numFmtId="0" fontId="14" fillId="2" borderId="2" xfId="5" applyFont="1" applyFill="1" applyBorder="1" applyAlignment="1">
      <alignment horizontal="center"/>
    </xf>
    <xf numFmtId="0" fontId="14" fillId="0" borderId="1" xfId="5" applyFont="1" applyFill="1" applyBorder="1" applyAlignment="1"/>
    <xf numFmtId="15" fontId="14" fillId="0" borderId="1" xfId="5" applyNumberFormat="1" applyFont="1" applyFill="1" applyBorder="1" applyAlignment="1">
      <alignment horizontal="right"/>
    </xf>
    <xf numFmtId="0" fontId="14" fillId="0" borderId="1" xfId="5" applyFont="1" applyFill="1" applyBorder="1" applyAlignment="1">
      <alignment horizontal="right"/>
    </xf>
    <xf numFmtId="0" fontId="2" fillId="0" borderId="0" xfId="0" applyFont="1" applyBorder="1" applyAlignment="1">
      <alignment horizontal="center"/>
    </xf>
    <xf numFmtId="165" fontId="0" fillId="0" borderId="0" xfId="0" applyNumberFormat="1" applyFill="1" applyBorder="1" applyAlignment="1">
      <alignment horizontal="center"/>
    </xf>
    <xf numFmtId="164" fontId="0" fillId="0" borderId="0" xfId="0" applyNumberFormat="1" applyFont="1" applyBorder="1"/>
    <xf numFmtId="165" fontId="0" fillId="0" borderId="0" xfId="0" applyNumberFormat="1" applyFont="1" applyBorder="1" applyAlignment="1">
      <alignment horizontal="center"/>
    </xf>
    <xf numFmtId="0" fontId="0" fillId="0" borderId="0" xfId="0" applyFont="1" applyBorder="1" applyAlignment="1">
      <alignment horizontal="center"/>
    </xf>
    <xf numFmtId="18" fontId="0" fillId="0" borderId="0" xfId="0" applyNumberFormat="1" applyFont="1" applyBorder="1" applyAlignment="1">
      <alignment horizontal="center"/>
    </xf>
    <xf numFmtId="18" fontId="0" fillId="0" borderId="0" xfId="0" applyNumberFormat="1" applyFont="1" applyBorder="1" applyAlignment="1">
      <alignment horizontal="right"/>
    </xf>
    <xf numFmtId="0" fontId="0" fillId="0" borderId="0" xfId="0" applyFont="1" applyBorder="1" applyAlignment="1">
      <alignment horizontal="right"/>
    </xf>
    <xf numFmtId="0" fontId="0" fillId="0" borderId="0" xfId="0" applyFont="1" applyBorder="1"/>
    <xf numFmtId="37" fontId="0" fillId="0" borderId="0" xfId="0" applyNumberFormat="1" applyFont="1"/>
    <xf numFmtId="0" fontId="0" fillId="0" borderId="0" xfId="0" applyFont="1" applyAlignment="1">
      <alignment horizontal="center"/>
    </xf>
    <xf numFmtId="18" fontId="0" fillId="0" borderId="0" xfId="0" applyNumberFormat="1" applyFont="1" applyAlignment="1">
      <alignment horizontal="center"/>
    </xf>
    <xf numFmtId="0" fontId="0" fillId="0" borderId="0" xfId="0" applyFont="1" applyAlignment="1"/>
    <xf numFmtId="0" fontId="0" fillId="0" borderId="0" xfId="0" applyFont="1" applyAlignment="1">
      <alignment horizontal="right"/>
    </xf>
    <xf numFmtId="169" fontId="0" fillId="0" borderId="0" xfId="0" applyNumberFormat="1" applyFont="1" applyAlignment="1">
      <alignment horizontal="center"/>
    </xf>
    <xf numFmtId="0" fontId="0" fillId="0" borderId="0" xfId="0" applyFont="1" applyAlignment="1">
      <alignment vertical="center"/>
    </xf>
    <xf numFmtId="0" fontId="0" fillId="0" borderId="0" xfId="0" applyFont="1"/>
    <xf numFmtId="165" fontId="0" fillId="0" borderId="0" xfId="0" applyNumberFormat="1" applyFont="1" applyFill="1" applyBorder="1" applyAlignment="1">
      <alignment horizontal="center"/>
    </xf>
    <xf numFmtId="0" fontId="16" fillId="0" borderId="0" xfId="0" applyFont="1" applyBorder="1" applyAlignment="1">
      <alignment horizontal="left"/>
    </xf>
    <xf numFmtId="37" fontId="0" fillId="0" borderId="0" xfId="0" applyNumberFormat="1" applyFont="1" applyAlignment="1">
      <alignment horizontal="center"/>
    </xf>
    <xf numFmtId="0" fontId="16" fillId="0" borderId="0" xfId="0" applyFont="1" applyBorder="1" applyAlignment="1"/>
    <xf numFmtId="0" fontId="17" fillId="0" borderId="0" xfId="0" applyFont="1" applyBorder="1" applyAlignment="1">
      <alignment horizontal="left"/>
    </xf>
    <xf numFmtId="3" fontId="0" fillId="0" borderId="0" xfId="0" applyNumberFormat="1" applyFont="1" applyAlignment="1">
      <alignment horizontal="center"/>
    </xf>
    <xf numFmtId="170" fontId="0" fillId="0" borderId="0" xfId="0" applyNumberFormat="1" applyFont="1" applyAlignment="1">
      <alignment horizontal="center"/>
    </xf>
    <xf numFmtId="0" fontId="4" fillId="0" borderId="1" xfId="3" applyFont="1" applyFill="1" applyBorder="1" applyAlignment="1">
      <alignment horizontal="right" wrapText="1"/>
    </xf>
    <xf numFmtId="3" fontId="14" fillId="0" borderId="1" xfId="5" applyNumberFormat="1" applyFont="1" applyFill="1" applyBorder="1" applyAlignment="1">
      <alignment horizontal="right"/>
    </xf>
    <xf numFmtId="37" fontId="1" fillId="0" borderId="0" xfId="1" applyNumberFormat="1" applyFont="1" applyBorder="1" applyAlignment="1">
      <alignment horizontal="center"/>
    </xf>
    <xf numFmtId="0" fontId="18" fillId="2" borderId="2" xfId="6" applyFont="1" applyFill="1" applyBorder="1" applyAlignment="1">
      <alignment horizontal="center"/>
    </xf>
    <xf numFmtId="0" fontId="18" fillId="0" borderId="1" xfId="6" applyFont="1" applyFill="1" applyBorder="1" applyAlignment="1">
      <alignment wrapText="1"/>
    </xf>
    <xf numFmtId="15" fontId="18" fillId="0" borderId="1" xfId="6" applyNumberFormat="1" applyFont="1" applyFill="1" applyBorder="1" applyAlignment="1">
      <alignment horizontal="right" wrapText="1"/>
    </xf>
    <xf numFmtId="0" fontId="18" fillId="0" borderId="1" xfId="6" applyFont="1" applyFill="1" applyBorder="1" applyAlignment="1">
      <alignment horizontal="right" wrapText="1"/>
    </xf>
    <xf numFmtId="10" fontId="18" fillId="0" borderId="1" xfId="6" applyNumberFormat="1" applyFont="1" applyFill="1" applyBorder="1" applyAlignment="1">
      <alignment horizontal="right" wrapText="1"/>
    </xf>
    <xf numFmtId="10" fontId="0" fillId="0" borderId="0" xfId="0" applyNumberFormat="1"/>
    <xf numFmtId="37" fontId="0" fillId="0" borderId="0" xfId="1" applyNumberFormat="1" applyFont="1" applyBorder="1" applyAlignment="1">
      <alignment horizontal="right"/>
    </xf>
    <xf numFmtId="0" fontId="0" fillId="3" borderId="20" xfId="0" applyFill="1" applyBorder="1"/>
    <xf numFmtId="170" fontId="0" fillId="0" borderId="0" xfId="7" applyNumberFormat="1" applyFont="1" applyAlignment="1">
      <alignment horizontal="center"/>
    </xf>
    <xf numFmtId="16" fontId="13" fillId="0" borderId="0" xfId="0" applyNumberFormat="1" applyFont="1" applyFill="1" applyBorder="1" applyAlignment="1">
      <alignment horizontal="left"/>
    </xf>
    <xf numFmtId="0" fontId="13" fillId="0" borderId="0" xfId="0" applyFont="1" applyFill="1" applyBorder="1" applyAlignment="1"/>
    <xf numFmtId="3" fontId="13" fillId="0" borderId="0" xfId="0" applyNumberFormat="1" applyFont="1" applyFill="1" applyBorder="1" applyAlignment="1">
      <alignment horizontal="center"/>
    </xf>
    <xf numFmtId="169" fontId="13" fillId="0" borderId="0" xfId="0" applyNumberFormat="1" applyFont="1" applyFill="1" applyBorder="1" applyAlignment="1">
      <alignment horizontal="center"/>
    </xf>
    <xf numFmtId="3" fontId="13" fillId="0" borderId="22" xfId="0" applyNumberFormat="1" applyFont="1" applyFill="1" applyBorder="1" applyAlignment="1">
      <alignment horizontal="center"/>
    </xf>
    <xf numFmtId="169" fontId="13" fillId="0" borderId="22" xfId="0" applyNumberFormat="1" applyFont="1" applyFill="1" applyBorder="1" applyAlignment="1">
      <alignment horizontal="center"/>
    </xf>
    <xf numFmtId="3" fontId="13" fillId="0" borderId="23" xfId="0" applyNumberFormat="1" applyFont="1" applyFill="1" applyBorder="1" applyAlignment="1">
      <alignment horizontal="center"/>
    </xf>
    <xf numFmtId="170" fontId="13" fillId="0" borderId="25" xfId="0" applyNumberFormat="1" applyFont="1" applyBorder="1" applyAlignment="1">
      <alignment horizontal="center"/>
    </xf>
    <xf numFmtId="0" fontId="13" fillId="0" borderId="25" xfId="0" applyFont="1" applyBorder="1" applyAlignment="1"/>
    <xf numFmtId="0" fontId="13" fillId="0" borderId="26" xfId="0" applyFont="1" applyBorder="1" applyAlignment="1"/>
    <xf numFmtId="16" fontId="13" fillId="0" borderId="21" xfId="0" applyNumberFormat="1" applyFont="1" applyFill="1" applyBorder="1" applyAlignment="1">
      <alignment horizontal="left"/>
    </xf>
    <xf numFmtId="0" fontId="13" fillId="0" borderId="22" xfId="0" applyFont="1" applyFill="1" applyBorder="1" applyAlignment="1"/>
    <xf numFmtId="0" fontId="12" fillId="0" borderId="24" xfId="0" applyFont="1" applyBorder="1" applyAlignment="1">
      <alignment horizontal="left"/>
    </xf>
    <xf numFmtId="0" fontId="20" fillId="2" borderId="2" xfId="8" applyFont="1" applyFill="1" applyBorder="1" applyAlignment="1">
      <alignment horizontal="center"/>
    </xf>
    <xf numFmtId="0" fontId="20" fillId="0" borderId="1" xfId="8" applyFont="1" applyFill="1" applyBorder="1" applyAlignment="1">
      <alignment wrapText="1"/>
    </xf>
    <xf numFmtId="15" fontId="20" fillId="0" borderId="1" xfId="8" applyNumberFormat="1" applyFont="1" applyFill="1" applyBorder="1" applyAlignment="1">
      <alignment horizontal="right" wrapText="1"/>
    </xf>
    <xf numFmtId="0" fontId="20" fillId="0" borderId="1" xfId="8" applyFont="1" applyFill="1" applyBorder="1" applyAlignment="1">
      <alignment horizontal="right" wrapText="1"/>
    </xf>
    <xf numFmtId="0" fontId="0" fillId="0" borderId="0" xfId="0" applyAlignment="1">
      <alignment horizontal="left" indent="1"/>
    </xf>
    <xf numFmtId="0" fontId="4" fillId="0" borderId="1" xfId="9" applyFont="1" applyFill="1" applyBorder="1" applyAlignment="1">
      <alignment horizontal="right"/>
    </xf>
    <xf numFmtId="0" fontId="4" fillId="0" borderId="1" xfId="9" applyFont="1" applyFill="1" applyBorder="1" applyAlignment="1"/>
    <xf numFmtId="2" fontId="4" fillId="0" borderId="1" xfId="9" applyNumberFormat="1" applyFont="1" applyFill="1" applyBorder="1" applyAlignment="1">
      <alignment horizontal="right"/>
    </xf>
    <xf numFmtId="1" fontId="0" fillId="0" borderId="0" xfId="0" applyNumberFormat="1"/>
    <xf numFmtId="0" fontId="3" fillId="0" borderId="0" xfId="9" applyAlignment="1"/>
    <xf numFmtId="1" fontId="20" fillId="0" borderId="1" xfId="8" applyNumberFormat="1" applyFont="1" applyFill="1" applyBorder="1" applyAlignment="1">
      <alignment horizontal="right" wrapText="1"/>
    </xf>
    <xf numFmtId="168" fontId="4" fillId="0" borderId="27" xfId="9" applyNumberFormat="1" applyFont="1" applyFill="1" applyBorder="1" applyAlignment="1">
      <alignment horizontal="right"/>
    </xf>
    <xf numFmtId="1" fontId="0" fillId="0" borderId="0" xfId="0" applyNumberFormat="1" applyAlignment="1"/>
    <xf numFmtId="3" fontId="0" fillId="0" borderId="0" xfId="0" applyNumberFormat="1" applyAlignment="1">
      <alignment horizontal="center"/>
    </xf>
    <xf numFmtId="0" fontId="4" fillId="2" borderId="2" xfId="8" applyFont="1" applyFill="1" applyBorder="1" applyAlignment="1">
      <alignment horizontal="center"/>
    </xf>
    <xf numFmtId="16" fontId="0" fillId="0" borderId="0" xfId="0" applyNumberFormat="1"/>
    <xf numFmtId="0" fontId="24" fillId="0" borderId="0" xfId="0" applyFont="1"/>
    <xf numFmtId="0" fontId="25" fillId="2" borderId="2" xfId="10" applyFont="1" applyFill="1" applyBorder="1" applyAlignment="1">
      <alignment horizontal="center"/>
    </xf>
    <xf numFmtId="0" fontId="25" fillId="0" borderId="1" xfId="10" applyFont="1" applyFill="1" applyBorder="1" applyAlignment="1">
      <alignment wrapText="1"/>
    </xf>
    <xf numFmtId="15" fontId="25" fillId="0" borderId="1" xfId="10" applyNumberFormat="1" applyFont="1" applyFill="1" applyBorder="1" applyAlignment="1">
      <alignment horizontal="right" wrapText="1"/>
    </xf>
    <xf numFmtId="0" fontId="25" fillId="0" borderId="1" xfId="10" applyFont="1" applyFill="1" applyBorder="1" applyAlignment="1">
      <alignment horizontal="right" wrapText="1"/>
    </xf>
    <xf numFmtId="0" fontId="0" fillId="4" borderId="0" xfId="0" applyFill="1"/>
    <xf numFmtId="43" fontId="0" fillId="0" borderId="0" xfId="1" applyFont="1"/>
    <xf numFmtId="3" fontId="0" fillId="3" borderId="20" xfId="0" applyNumberFormat="1" applyFill="1" applyBorder="1"/>
    <xf numFmtId="37" fontId="0" fillId="0" borderId="0" xfId="1" applyNumberFormat="1" applyFont="1" applyAlignment="1">
      <alignment horizontal="center"/>
    </xf>
    <xf numFmtId="0" fontId="4" fillId="2" borderId="2" xfId="11" applyFont="1" applyFill="1" applyBorder="1" applyAlignment="1">
      <alignment horizontal="center"/>
    </xf>
    <xf numFmtId="0" fontId="4" fillId="2" borderId="28" xfId="11" applyFont="1" applyFill="1" applyBorder="1" applyAlignment="1">
      <alignment horizontal="center"/>
    </xf>
    <xf numFmtId="0" fontId="4" fillId="5" borderId="29" xfId="11" applyFont="1" applyFill="1" applyBorder="1" applyAlignment="1">
      <alignment horizontal="center"/>
    </xf>
    <xf numFmtId="170" fontId="0" fillId="4" borderId="30" xfId="7" applyNumberFormat="1" applyFont="1" applyFill="1" applyBorder="1"/>
    <xf numFmtId="0" fontId="4" fillId="6" borderId="1" xfId="11" applyFont="1" applyFill="1" applyBorder="1" applyAlignment="1">
      <alignment horizontal="right" wrapText="1"/>
    </xf>
    <xf numFmtId="0" fontId="4" fillId="6" borderId="1" xfId="11" applyFont="1" applyFill="1" applyBorder="1" applyAlignment="1">
      <alignment wrapText="1"/>
    </xf>
    <xf numFmtId="0" fontId="0" fillId="6" borderId="0" xfId="0" applyFill="1"/>
    <xf numFmtId="170" fontId="0" fillId="6" borderId="0" xfId="7" applyNumberFormat="1" applyFont="1" applyFill="1"/>
    <xf numFmtId="0" fontId="4" fillId="7" borderId="1" xfId="11" applyFont="1" applyFill="1" applyBorder="1" applyAlignment="1">
      <alignment horizontal="right" wrapText="1"/>
    </xf>
    <xf numFmtId="0" fontId="4" fillId="7" borderId="1" xfId="11" applyFont="1" applyFill="1" applyBorder="1" applyAlignment="1">
      <alignment wrapText="1"/>
    </xf>
    <xf numFmtId="0" fontId="0" fillId="7" borderId="0" xfId="0" applyFill="1"/>
    <xf numFmtId="170" fontId="0" fillId="7" borderId="0" xfId="7" applyNumberFormat="1" applyFont="1" applyFill="1"/>
    <xf numFmtId="0" fontId="8" fillId="0" borderId="0" xfId="0" applyFont="1" applyFill="1" applyBorder="1" applyAlignment="1">
      <alignment horizontal="center"/>
    </xf>
    <xf numFmtId="0" fontId="25" fillId="2" borderId="2" xfId="12" applyFont="1" applyFill="1" applyBorder="1" applyAlignment="1">
      <alignment horizontal="center"/>
    </xf>
    <xf numFmtId="170" fontId="0" fillId="0" borderId="0" xfId="7" applyNumberFormat="1" applyFont="1"/>
    <xf numFmtId="0" fontId="25" fillId="0" borderId="1" xfId="12" applyFont="1" applyFill="1" applyBorder="1" applyAlignment="1">
      <alignment horizontal="center" wrapText="1"/>
    </xf>
    <xf numFmtId="15" fontId="25" fillId="0" borderId="1" xfId="12" applyNumberFormat="1" applyFont="1" applyFill="1" applyBorder="1" applyAlignment="1">
      <alignment horizontal="center" wrapText="1"/>
    </xf>
    <xf numFmtId="0" fontId="25" fillId="2" borderId="31" xfId="12" applyFont="1" applyFill="1" applyBorder="1" applyAlignment="1">
      <alignment horizontal="center"/>
    </xf>
    <xf numFmtId="0" fontId="25" fillId="0" borderId="32" xfId="12" applyFont="1" applyFill="1" applyBorder="1" applyAlignment="1">
      <alignment horizontal="center" wrapText="1"/>
    </xf>
    <xf numFmtId="0" fontId="0" fillId="4" borderId="33" xfId="0" applyFill="1" applyBorder="1" applyAlignment="1">
      <alignment horizontal="center"/>
    </xf>
    <xf numFmtId="0" fontId="0" fillId="4" borderId="34" xfId="0" applyFill="1" applyBorder="1" applyAlignment="1">
      <alignment horizontal="center"/>
    </xf>
    <xf numFmtId="170" fontId="0" fillId="4" borderId="30" xfId="7" applyNumberFormat="1" applyFont="1" applyFill="1" applyBorder="1" applyAlignment="1">
      <alignment horizontal="center"/>
    </xf>
    <xf numFmtId="0" fontId="25" fillId="0" borderId="35" xfId="12" applyFont="1" applyFill="1" applyBorder="1" applyAlignment="1">
      <alignment horizontal="center" wrapText="1"/>
    </xf>
    <xf numFmtId="0" fontId="25" fillId="0" borderId="36" xfId="12" applyFont="1" applyFill="1" applyBorder="1" applyAlignment="1">
      <alignment horizontal="center" wrapText="1"/>
    </xf>
    <xf numFmtId="170" fontId="0" fillId="4" borderId="37" xfId="7" applyNumberFormat="1" applyFont="1" applyFill="1" applyBorder="1" applyAlignment="1">
      <alignment horizontal="center"/>
    </xf>
    <xf numFmtId="170" fontId="0" fillId="4" borderId="38" xfId="7" applyNumberFormat="1" applyFont="1" applyFill="1" applyBorder="1" applyAlignment="1">
      <alignment horizontal="center"/>
    </xf>
    <xf numFmtId="0" fontId="0" fillId="4" borderId="38" xfId="0" applyFill="1" applyBorder="1" applyAlignment="1">
      <alignment horizontal="center"/>
    </xf>
    <xf numFmtId="170" fontId="0" fillId="4" borderId="39" xfId="7" applyNumberFormat="1" applyFont="1" applyFill="1" applyBorder="1" applyAlignment="1">
      <alignment horizontal="center"/>
    </xf>
    <xf numFmtId="166" fontId="0" fillId="0" borderId="0" xfId="1" applyNumberFormat="1" applyFont="1"/>
    <xf numFmtId="0" fontId="4" fillId="2" borderId="2" xfId="13" applyFont="1" applyFill="1" applyBorder="1" applyAlignment="1">
      <alignment horizontal="center"/>
    </xf>
    <xf numFmtId="0" fontId="4" fillId="0" borderId="1" xfId="13" applyFont="1" applyFill="1" applyBorder="1" applyAlignment="1">
      <alignment horizontal="right" wrapText="1"/>
    </xf>
    <xf numFmtId="0" fontId="4" fillId="0" borderId="1" xfId="13" applyFont="1" applyFill="1" applyBorder="1" applyAlignment="1">
      <alignment wrapText="1"/>
    </xf>
    <xf numFmtId="15" fontId="4" fillId="0" borderId="1" xfId="13" applyNumberFormat="1" applyFont="1" applyFill="1" applyBorder="1" applyAlignment="1">
      <alignment horizontal="right" wrapText="1"/>
    </xf>
    <xf numFmtId="0" fontId="25" fillId="2" borderId="2" xfId="14" applyFont="1" applyFill="1" applyBorder="1" applyAlignment="1">
      <alignment horizontal="center"/>
    </xf>
    <xf numFmtId="0" fontId="25" fillId="0" borderId="1" xfId="14" applyFont="1" applyFill="1" applyBorder="1" applyAlignment="1">
      <alignment horizontal="right"/>
    </xf>
    <xf numFmtId="0" fontId="25" fillId="0" borderId="1" xfId="14" applyFont="1" applyFill="1" applyBorder="1" applyAlignment="1"/>
    <xf numFmtId="15" fontId="25" fillId="0" borderId="1" xfId="14" applyNumberFormat="1" applyFont="1" applyFill="1" applyBorder="1" applyAlignment="1">
      <alignment horizontal="right"/>
    </xf>
    <xf numFmtId="170" fontId="0" fillId="6" borderId="0" xfId="7" applyNumberFormat="1" applyFont="1" applyFill="1" applyAlignment="1">
      <alignment horizontal="center"/>
    </xf>
    <xf numFmtId="170" fontId="0" fillId="4" borderId="0" xfId="7" applyNumberFormat="1" applyFont="1" applyFill="1" applyAlignment="1">
      <alignment horizontal="center"/>
    </xf>
    <xf numFmtId="0" fontId="25" fillId="8" borderId="1" xfId="14" applyFont="1" applyFill="1" applyBorder="1" applyAlignment="1">
      <alignment horizontal="right"/>
    </xf>
    <xf numFmtId="0" fontId="25" fillId="8" borderId="1" xfId="14" applyFont="1" applyFill="1" applyBorder="1" applyAlignment="1"/>
    <xf numFmtId="15" fontId="25" fillId="8" borderId="1" xfId="14" applyNumberFormat="1" applyFont="1" applyFill="1" applyBorder="1" applyAlignment="1">
      <alignment horizontal="right"/>
    </xf>
    <xf numFmtId="170" fontId="0" fillId="8" borderId="0" xfId="7" applyNumberFormat="1" applyFont="1" applyFill="1" applyAlignment="1">
      <alignment horizontal="center"/>
    </xf>
    <xf numFmtId="0" fontId="25" fillId="9" borderId="1" xfId="14" applyFont="1" applyFill="1" applyBorder="1" applyAlignment="1">
      <alignment horizontal="right"/>
    </xf>
    <xf numFmtId="0" fontId="25" fillId="9" borderId="1" xfId="14" applyFont="1" applyFill="1" applyBorder="1" applyAlignment="1"/>
    <xf numFmtId="15" fontId="25" fillId="9" borderId="1" xfId="14" applyNumberFormat="1" applyFont="1" applyFill="1" applyBorder="1" applyAlignment="1">
      <alignment horizontal="right"/>
    </xf>
    <xf numFmtId="0" fontId="0" fillId="9" borderId="0" xfId="0" applyFill="1" applyAlignment="1">
      <alignment horizontal="center"/>
    </xf>
    <xf numFmtId="170" fontId="0" fillId="9" borderId="0" xfId="7" applyNumberFormat="1" applyFont="1" applyFill="1" applyAlignment="1">
      <alignment horizontal="center"/>
    </xf>
    <xf numFmtId="0" fontId="25" fillId="10" borderId="1" xfId="14" applyFont="1" applyFill="1" applyBorder="1" applyAlignment="1">
      <alignment horizontal="right"/>
    </xf>
    <xf numFmtId="0" fontId="25" fillId="10" borderId="1" xfId="14" applyFont="1" applyFill="1" applyBorder="1" applyAlignment="1"/>
    <xf numFmtId="15" fontId="25" fillId="10" borderId="1" xfId="14" applyNumberFormat="1" applyFont="1" applyFill="1" applyBorder="1" applyAlignment="1">
      <alignment horizontal="right"/>
    </xf>
    <xf numFmtId="0" fontId="0" fillId="10" borderId="0" xfId="0" applyFill="1" applyAlignment="1">
      <alignment horizontal="center"/>
    </xf>
    <xf numFmtId="0" fontId="0" fillId="10" borderId="0" xfId="0" applyFill="1"/>
    <xf numFmtId="170" fontId="0" fillId="10" borderId="0" xfId="7" applyNumberFormat="1" applyFont="1" applyFill="1" applyAlignment="1">
      <alignment horizontal="center"/>
    </xf>
    <xf numFmtId="3" fontId="0" fillId="4" borderId="0" xfId="0" applyNumberFormat="1" applyFill="1"/>
    <xf numFmtId="0" fontId="25" fillId="2" borderId="2" xfId="15" applyFont="1" applyFill="1" applyBorder="1" applyAlignment="1">
      <alignment horizontal="center"/>
    </xf>
    <xf numFmtId="0" fontId="25" fillId="0" borderId="1" xfId="15" applyFont="1" applyFill="1" applyBorder="1" applyAlignment="1">
      <alignment horizontal="right"/>
    </xf>
    <xf numFmtId="0" fontId="25" fillId="0" borderId="1" xfId="15" applyFont="1" applyFill="1" applyBorder="1" applyAlignment="1"/>
    <xf numFmtId="15" fontId="25" fillId="0" borderId="1" xfId="15" applyNumberFormat="1" applyFont="1" applyFill="1" applyBorder="1" applyAlignment="1">
      <alignment horizontal="right"/>
    </xf>
    <xf numFmtId="170" fontId="0" fillId="4" borderId="0" xfId="7" applyNumberFormat="1" applyFont="1" applyFill="1"/>
    <xf numFmtId="170" fontId="0" fillId="0" borderId="0" xfId="7" applyNumberFormat="1" applyFont="1" applyFill="1"/>
    <xf numFmtId="0" fontId="25" fillId="2" borderId="2" xfId="16" applyFont="1" applyFill="1" applyBorder="1" applyAlignment="1">
      <alignment horizontal="center"/>
    </xf>
    <xf numFmtId="0" fontId="25" fillId="0" borderId="1" xfId="16" applyFont="1" applyFill="1" applyBorder="1" applyAlignment="1">
      <alignment horizontal="right" wrapText="1"/>
    </xf>
    <xf numFmtId="0" fontId="25" fillId="0" borderId="1" xfId="16" applyFont="1" applyFill="1" applyBorder="1" applyAlignment="1">
      <alignment wrapText="1"/>
    </xf>
    <xf numFmtId="15" fontId="25" fillId="0" borderId="1" xfId="16" applyNumberFormat="1" applyFont="1" applyFill="1" applyBorder="1" applyAlignment="1">
      <alignment horizontal="right" wrapText="1"/>
    </xf>
    <xf numFmtId="37" fontId="0" fillId="4" borderId="0" xfId="0" applyNumberFormat="1" applyFill="1"/>
    <xf numFmtId="166" fontId="0" fillId="4" borderId="0" xfId="0" applyNumberFormat="1" applyFill="1"/>
    <xf numFmtId="0" fontId="25" fillId="11" borderId="1" xfId="14" applyFont="1" applyFill="1" applyBorder="1" applyAlignment="1">
      <alignment horizontal="right" wrapText="1"/>
    </xf>
    <xf numFmtId="0" fontId="25" fillId="11" borderId="1" xfId="14" applyFont="1" applyFill="1" applyBorder="1" applyAlignment="1">
      <alignment wrapText="1"/>
    </xf>
    <xf numFmtId="15" fontId="25" fillId="11" borderId="1" xfId="14" applyNumberFormat="1" applyFont="1" applyFill="1" applyBorder="1" applyAlignment="1">
      <alignment horizontal="right" wrapText="1"/>
    </xf>
    <xf numFmtId="170" fontId="0" fillId="11" borderId="0" xfId="7" applyNumberFormat="1" applyFont="1" applyFill="1" applyAlignment="1">
      <alignment horizontal="center"/>
    </xf>
    <xf numFmtId="166" fontId="0" fillId="0" borderId="0" xfId="0" applyNumberFormat="1"/>
    <xf numFmtId="171" fontId="0" fillId="0" borderId="0" xfId="0" applyNumberFormat="1"/>
    <xf numFmtId="10" fontId="0" fillId="0" borderId="0" xfId="7" applyNumberFormat="1" applyFont="1" applyAlignment="1">
      <alignment horizontal="center"/>
    </xf>
    <xf numFmtId="3" fontId="27" fillId="0" borderId="0" xfId="0" applyNumberFormat="1" applyFont="1"/>
    <xf numFmtId="3" fontId="0" fillId="8" borderId="0" xfId="0" applyNumberFormat="1" applyFill="1"/>
    <xf numFmtId="9" fontId="0" fillId="0" borderId="0" xfId="7" applyNumberFormat="1" applyFont="1" applyAlignment="1">
      <alignment horizontal="center"/>
    </xf>
    <xf numFmtId="14" fontId="0" fillId="0" borderId="0" xfId="0" applyNumberFormat="1"/>
    <xf numFmtId="170" fontId="0" fillId="0" borderId="0" xfId="0" applyNumberFormat="1"/>
    <xf numFmtId="3" fontId="13" fillId="0" borderId="7" xfId="0" applyNumberFormat="1" applyFont="1" applyFill="1" applyBorder="1" applyAlignment="1">
      <alignment horizontal="center"/>
    </xf>
    <xf numFmtId="0" fontId="2" fillId="0" borderId="0" xfId="0" applyFont="1" applyBorder="1" applyAlignment="1">
      <alignment horizontal="center"/>
    </xf>
    <xf numFmtId="3" fontId="8" fillId="0" borderId="4" xfId="0" applyNumberFormat="1" applyFont="1" applyFill="1" applyBorder="1" applyAlignment="1">
      <alignment horizontal="center"/>
    </xf>
    <xf numFmtId="3" fontId="8" fillId="0" borderId="3" xfId="0" applyNumberFormat="1" applyFont="1" applyFill="1" applyBorder="1" applyAlignment="1">
      <alignment horizontal="center"/>
    </xf>
    <xf numFmtId="0" fontId="8" fillId="0" borderId="4" xfId="0" applyFont="1" applyFill="1" applyBorder="1" applyAlignment="1">
      <alignment horizontal="center"/>
    </xf>
    <xf numFmtId="0" fontId="8" fillId="0" borderId="3" xfId="0" applyFont="1" applyFill="1" applyBorder="1" applyAlignment="1">
      <alignment horizontal="center"/>
    </xf>
    <xf numFmtId="0" fontId="8" fillId="0" borderId="11" xfId="0" applyFont="1" applyFill="1" applyBorder="1" applyAlignment="1">
      <alignment horizontal="center"/>
    </xf>
    <xf numFmtId="16" fontId="8" fillId="0" borderId="4" xfId="0" applyNumberFormat="1" applyFont="1" applyFill="1" applyBorder="1" applyAlignment="1">
      <alignment horizontal="center"/>
    </xf>
    <xf numFmtId="16" fontId="8" fillId="0" borderId="3" xfId="0" applyNumberFormat="1" applyFont="1" applyFill="1" applyBorder="1" applyAlignment="1">
      <alignment horizontal="center"/>
    </xf>
    <xf numFmtId="16" fontId="8" fillId="0" borderId="11" xfId="0" applyNumberFormat="1" applyFont="1" applyFill="1" applyBorder="1" applyAlignment="1">
      <alignment horizontal="center"/>
    </xf>
    <xf numFmtId="16" fontId="13" fillId="0" borderId="0" xfId="0" applyNumberFormat="1" applyFont="1" applyFill="1" applyBorder="1" applyAlignment="1">
      <alignment horizontal="center"/>
    </xf>
    <xf numFmtId="0" fontId="12" fillId="0" borderId="0" xfId="0" applyFont="1" applyBorder="1" applyAlignment="1">
      <alignment horizontal="center"/>
    </xf>
    <xf numFmtId="16" fontId="13" fillId="0" borderId="3" xfId="0" applyNumberFormat="1" applyFont="1" applyFill="1" applyBorder="1" applyAlignment="1">
      <alignment horizontal="center"/>
    </xf>
    <xf numFmtId="0" fontId="0" fillId="4" borderId="0" xfId="0" applyFill="1" applyAlignment="1">
      <alignment horizontal="center"/>
    </xf>
    <xf numFmtId="0" fontId="0" fillId="4" borderId="21" xfId="0" applyFill="1" applyBorder="1" applyAlignment="1">
      <alignment horizontal="center"/>
    </xf>
    <xf numFmtId="0" fontId="0" fillId="4" borderId="22" xfId="0" applyFill="1" applyBorder="1" applyAlignment="1">
      <alignment horizontal="center"/>
    </xf>
    <xf numFmtId="0" fontId="0" fillId="4" borderId="23" xfId="0" applyFill="1" applyBorder="1" applyAlignment="1">
      <alignment horizontal="center"/>
    </xf>
    <xf numFmtId="0" fontId="0" fillId="4" borderId="24" xfId="0" applyFill="1" applyBorder="1" applyAlignment="1">
      <alignment horizontal="center"/>
    </xf>
    <xf numFmtId="0" fontId="0" fillId="4" borderId="25" xfId="0" applyFill="1" applyBorder="1" applyAlignment="1">
      <alignment horizontal="center"/>
    </xf>
    <xf numFmtId="0" fontId="0" fillId="4" borderId="26" xfId="0" applyFill="1" applyBorder="1" applyAlignment="1">
      <alignment horizontal="center"/>
    </xf>
    <xf numFmtId="3" fontId="8" fillId="4" borderId="7" xfId="0" applyNumberFormat="1" applyFont="1" applyFill="1" applyBorder="1" applyAlignment="1">
      <alignment horizontal="center"/>
    </xf>
    <xf numFmtId="3" fontId="8" fillId="4" borderId="0" xfId="0" applyNumberFormat="1" applyFont="1" applyFill="1" applyBorder="1" applyAlignment="1">
      <alignment horizontal="center"/>
    </xf>
    <xf numFmtId="169" fontId="8" fillId="4" borderId="0" xfId="0" applyNumberFormat="1" applyFont="1" applyFill="1" applyBorder="1" applyAlignment="1">
      <alignment horizontal="center"/>
    </xf>
  </cellXfs>
  <cellStyles count="17">
    <cellStyle name="Comma" xfId="1" builtinId="3"/>
    <cellStyle name="Normal" xfId="0" builtinId="0"/>
    <cellStyle name="Normal_Cop Wastage" xfId="12"/>
    <cellStyle name="Normal_Copy Sheet" xfId="3"/>
    <cellStyle name="Normal_Copy Sheet_1" xfId="4"/>
    <cellStyle name="Normal_Copy Sheet_2" xfId="5"/>
    <cellStyle name="Normal_Copy Sheet_3" xfId="6"/>
    <cellStyle name="Normal_Copy Sheet_4" xfId="8"/>
    <cellStyle name="Normal_Copy Sheet_5" xfId="10"/>
    <cellStyle name="Normal_digger summary" xfId="9"/>
    <cellStyle name="Normal_LB Wastage" xfId="15"/>
    <cellStyle name="Normal_Moc Wastage" xfId="13"/>
    <cellStyle name="Normal_Moc Wastage_1" xfId="16"/>
    <cellStyle name="Normal_Sheet1_1" xfId="2"/>
    <cellStyle name="Normal_TH Wastage" xfId="11"/>
    <cellStyle name="Normal_TH Wastage_1" xfId="14"/>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67"/>
  <sheetViews>
    <sheetView zoomScaleNormal="100" workbookViewId="0">
      <selection activeCell="J62" sqref="J62"/>
    </sheetView>
  </sheetViews>
  <sheetFormatPr defaultRowHeight="15" x14ac:dyDescent="0.25"/>
  <cols>
    <col min="1" max="1" width="17.7109375" customWidth="1"/>
    <col min="2" max="2" width="5.42578125" customWidth="1"/>
    <col min="3" max="3" width="7.7109375" style="1" customWidth="1"/>
    <col min="4" max="4" width="9.140625" style="1"/>
    <col min="5" max="5" width="3.7109375" style="1" customWidth="1"/>
    <col min="6" max="6" width="12.7109375" customWidth="1"/>
    <col min="7" max="7" width="3.7109375" customWidth="1"/>
    <col min="8" max="8" width="12.7109375" customWidth="1"/>
    <col min="9" max="9" width="3.7109375" customWidth="1"/>
    <col min="10" max="10" width="12.7109375" customWidth="1"/>
    <col min="11" max="11" width="3.7109375" customWidth="1"/>
    <col min="12" max="12" width="12.7109375" customWidth="1"/>
    <col min="13" max="13" width="3.7109375" customWidth="1"/>
    <col min="14" max="14" width="12.7109375" customWidth="1"/>
    <col min="15" max="15" width="11.140625" bestFit="1" customWidth="1"/>
  </cols>
  <sheetData>
    <row r="1" spans="1:15" x14ac:dyDescent="0.25">
      <c r="A1" s="90" t="s">
        <v>8</v>
      </c>
      <c r="B1" s="90" t="s">
        <v>5</v>
      </c>
      <c r="C1" s="90" t="s">
        <v>6</v>
      </c>
      <c r="D1" s="90" t="s">
        <v>7</v>
      </c>
      <c r="E1" s="244" t="s">
        <v>0</v>
      </c>
      <c r="F1" s="244"/>
      <c r="G1" s="244" t="s">
        <v>1</v>
      </c>
      <c r="H1" s="244"/>
      <c r="I1" s="244" t="s">
        <v>2</v>
      </c>
      <c r="J1" s="244"/>
      <c r="K1" s="244" t="s">
        <v>3</v>
      </c>
      <c r="L1" s="244"/>
      <c r="M1" s="244" t="s">
        <v>4</v>
      </c>
      <c r="N1" s="244"/>
      <c r="O1" s="36" t="s">
        <v>50</v>
      </c>
    </row>
    <row r="2" spans="1:15" x14ac:dyDescent="0.25">
      <c r="A2" s="92">
        <v>40102</v>
      </c>
      <c r="B2" s="93">
        <f>+A2</f>
        <v>40102</v>
      </c>
      <c r="C2" s="94">
        <v>-0.2</v>
      </c>
      <c r="D2" s="95">
        <v>0.7909722222222223</v>
      </c>
      <c r="E2" s="96"/>
      <c r="F2" s="13">
        <v>26480</v>
      </c>
      <c r="G2" s="97"/>
      <c r="H2" s="13">
        <v>14564</v>
      </c>
      <c r="I2" s="97"/>
      <c r="J2" s="13">
        <v>67449</v>
      </c>
      <c r="K2" s="11"/>
      <c r="L2" s="13" t="s">
        <v>22</v>
      </c>
      <c r="M2" s="98"/>
      <c r="N2" s="13" t="s">
        <v>22</v>
      </c>
      <c r="O2" s="99">
        <f>+F2+H2+J2</f>
        <v>108493</v>
      </c>
    </row>
    <row r="3" spans="1:15" x14ac:dyDescent="0.25">
      <c r="A3" s="92">
        <v>40103</v>
      </c>
      <c r="B3" s="93">
        <f t="shared" ref="B3:B25" si="0">+A3</f>
        <v>40103</v>
      </c>
      <c r="C3" s="100">
        <v>-0.7</v>
      </c>
      <c r="D3" s="101">
        <v>0.78055555555555556</v>
      </c>
      <c r="E3" s="102"/>
      <c r="F3" s="13">
        <v>64965</v>
      </c>
      <c r="G3" s="103"/>
      <c r="H3" s="13">
        <v>25353</v>
      </c>
      <c r="I3" s="103"/>
      <c r="J3" s="13">
        <v>100367</v>
      </c>
      <c r="K3" s="103"/>
      <c r="L3" s="13">
        <v>46405</v>
      </c>
      <c r="M3" s="103"/>
      <c r="N3" s="13">
        <v>5826.3050937198022</v>
      </c>
      <c r="O3" s="99">
        <f>+F3+H3+J3+L3+N3</f>
        <v>242916.3050937198</v>
      </c>
    </row>
    <row r="4" spans="1:15" x14ac:dyDescent="0.25">
      <c r="A4" s="92">
        <v>40104</v>
      </c>
      <c r="B4" s="93">
        <f t="shared" si="0"/>
        <v>40104</v>
      </c>
      <c r="C4" s="104">
        <v>-1</v>
      </c>
      <c r="D4" s="101">
        <v>0.80972222222222223</v>
      </c>
      <c r="E4" s="103" t="s">
        <v>41</v>
      </c>
      <c r="F4" s="116">
        <f>(H4+J4)*(F2+F3)/(H2+H3+J2+J3)</f>
        <v>27625.473179514087</v>
      </c>
      <c r="G4" s="103"/>
      <c r="H4" s="13">
        <v>20115</v>
      </c>
      <c r="I4" s="103"/>
      <c r="J4" s="13">
        <v>42641</v>
      </c>
      <c r="K4" s="103"/>
      <c r="L4" s="13">
        <v>18037</v>
      </c>
      <c r="M4" s="103"/>
      <c r="N4" s="13">
        <v>2814.1556638655461</v>
      </c>
      <c r="O4" s="99">
        <f>+F4+H4+J4+L4+N4</f>
        <v>111232.62884337963</v>
      </c>
    </row>
    <row r="5" spans="1:15" x14ac:dyDescent="0.25">
      <c r="A5" s="92">
        <v>40105</v>
      </c>
      <c r="B5" s="93">
        <f t="shared" si="0"/>
        <v>40105</v>
      </c>
      <c r="C5" s="100">
        <v>-1.1000000000000001</v>
      </c>
      <c r="D5" s="101">
        <v>0.83819444444444446</v>
      </c>
      <c r="E5" s="105"/>
      <c r="F5" s="13" t="s">
        <v>22</v>
      </c>
      <c r="G5" s="103"/>
      <c r="H5" s="13">
        <v>19410</v>
      </c>
      <c r="I5" s="103"/>
      <c r="J5" s="13" t="s">
        <v>22</v>
      </c>
      <c r="K5" s="103"/>
      <c r="L5" s="13" t="s">
        <v>22</v>
      </c>
      <c r="M5" s="103"/>
      <c r="N5" s="13" t="s">
        <v>22</v>
      </c>
      <c r="O5" s="99">
        <f>+H5</f>
        <v>19410</v>
      </c>
    </row>
    <row r="6" spans="1:15" x14ac:dyDescent="0.25">
      <c r="A6" s="106"/>
      <c r="B6" s="106"/>
      <c r="C6" s="100"/>
      <c r="D6" s="100"/>
      <c r="E6" s="102"/>
      <c r="F6" s="13"/>
      <c r="G6" s="103"/>
      <c r="H6" s="13"/>
      <c r="I6" s="103"/>
      <c r="J6" s="13"/>
      <c r="K6" s="103"/>
      <c r="L6" s="13"/>
      <c r="M6" s="103"/>
      <c r="N6" s="13"/>
      <c r="O6" s="106"/>
    </row>
    <row r="7" spans="1:15" x14ac:dyDescent="0.25">
      <c r="A7" s="92">
        <v>40121</v>
      </c>
      <c r="B7" s="93">
        <f t="shared" si="0"/>
        <v>40121</v>
      </c>
      <c r="C7" s="100">
        <v>-1.2</v>
      </c>
      <c r="D7" s="101">
        <v>0.8125</v>
      </c>
      <c r="E7" s="102"/>
      <c r="F7" s="13">
        <v>12676</v>
      </c>
      <c r="G7" s="103"/>
      <c r="H7" s="13">
        <v>15951</v>
      </c>
      <c r="I7" s="103"/>
      <c r="J7" s="13" t="s">
        <v>22</v>
      </c>
      <c r="K7" s="103"/>
      <c r="L7" s="13" t="s">
        <v>22</v>
      </c>
      <c r="M7" s="103"/>
      <c r="N7" s="13" t="s">
        <v>22</v>
      </c>
      <c r="O7" s="99">
        <f>F7+H7</f>
        <v>28627</v>
      </c>
    </row>
    <row r="8" spans="1:15" x14ac:dyDescent="0.25">
      <c r="A8" s="92">
        <v>40122</v>
      </c>
      <c r="B8" s="107">
        <f t="shared" si="0"/>
        <v>40122</v>
      </c>
      <c r="C8" s="100">
        <v>-1.1000000000000001</v>
      </c>
      <c r="D8" s="101">
        <v>0.84444444444444444</v>
      </c>
      <c r="E8" s="102"/>
      <c r="F8" s="13" t="s">
        <v>22</v>
      </c>
      <c r="G8" s="103"/>
      <c r="H8" s="13">
        <v>1600</v>
      </c>
      <c r="I8" s="103"/>
      <c r="J8" s="13" t="s">
        <v>22</v>
      </c>
      <c r="K8" s="103"/>
      <c r="L8" s="13" t="s">
        <v>22</v>
      </c>
      <c r="M8" s="103"/>
      <c r="N8" s="13" t="s">
        <v>22</v>
      </c>
      <c r="O8" s="99">
        <f>H8</f>
        <v>1600</v>
      </c>
    </row>
    <row r="9" spans="1:15" x14ac:dyDescent="0.25">
      <c r="A9" s="92">
        <v>40123</v>
      </c>
      <c r="B9" s="107">
        <f t="shared" si="0"/>
        <v>40123</v>
      </c>
      <c r="C9" s="100">
        <v>-0.8</v>
      </c>
      <c r="D9" s="101">
        <v>0.87916666666666676</v>
      </c>
      <c r="E9" s="2"/>
      <c r="F9" s="13">
        <v>1776.3788041577131</v>
      </c>
      <c r="G9" s="2" t="s">
        <v>41</v>
      </c>
      <c r="H9" s="13">
        <v>650.90337814202189</v>
      </c>
      <c r="I9" s="103"/>
      <c r="J9" s="13" t="s">
        <v>22</v>
      </c>
      <c r="K9" s="103"/>
      <c r="L9" s="13" t="s">
        <v>22</v>
      </c>
      <c r="M9" s="103"/>
      <c r="N9" s="13" t="s">
        <v>22</v>
      </c>
      <c r="O9" s="99">
        <f t="shared" ref="O9:O10" si="1">F9+H9</f>
        <v>2427.2821822997348</v>
      </c>
    </row>
    <row r="10" spans="1:15" x14ac:dyDescent="0.25">
      <c r="A10" s="92">
        <v>40124</v>
      </c>
      <c r="B10" s="107">
        <f t="shared" si="0"/>
        <v>40124</v>
      </c>
      <c r="C10" s="100">
        <v>-0.4</v>
      </c>
      <c r="D10" s="101">
        <v>0.91666666666666663</v>
      </c>
      <c r="E10" s="102"/>
      <c r="F10" s="13">
        <f>H10*F7/H7</f>
        <v>5903.7053476271076</v>
      </c>
      <c r="G10" s="103"/>
      <c r="H10" s="13">
        <v>7429</v>
      </c>
      <c r="I10" s="103"/>
      <c r="J10" s="13" t="s">
        <v>22</v>
      </c>
      <c r="K10" s="103"/>
      <c r="L10" s="13" t="s">
        <v>22</v>
      </c>
      <c r="M10" s="103"/>
      <c r="N10" s="13" t="s">
        <v>22</v>
      </c>
      <c r="O10" s="99">
        <f t="shared" si="1"/>
        <v>13332.705347627107</v>
      </c>
    </row>
    <row r="11" spans="1:15" x14ac:dyDescent="0.25">
      <c r="A11" s="106"/>
      <c r="B11" s="106"/>
      <c r="C11" s="100"/>
      <c r="D11" s="100"/>
      <c r="E11" s="102"/>
      <c r="F11" s="13"/>
      <c r="G11" s="103"/>
      <c r="H11" s="13"/>
      <c r="I11" s="103"/>
      <c r="J11" s="13"/>
      <c r="K11" s="103"/>
      <c r="L11" s="13"/>
      <c r="M11" s="103"/>
      <c r="N11" s="13"/>
      <c r="O11" s="106"/>
    </row>
    <row r="12" spans="1:15" x14ac:dyDescent="0.25">
      <c r="A12" s="92">
        <v>40131</v>
      </c>
      <c r="B12" s="107">
        <f t="shared" si="0"/>
        <v>40131</v>
      </c>
      <c r="C12" s="100">
        <v>-0.4</v>
      </c>
      <c r="D12" s="101">
        <v>0.69861111111111107</v>
      </c>
      <c r="E12" s="102"/>
      <c r="F12" s="13">
        <v>62016</v>
      </c>
      <c r="G12" s="103"/>
      <c r="H12" s="13">
        <v>24308</v>
      </c>
      <c r="I12" s="103"/>
      <c r="J12" s="13">
        <v>59043</v>
      </c>
      <c r="K12" s="103"/>
      <c r="L12" s="13">
        <v>39565</v>
      </c>
      <c r="M12" s="103"/>
      <c r="N12" s="13" t="s">
        <v>22</v>
      </c>
      <c r="O12" s="99">
        <f>F12+H12+J12+L12</f>
        <v>184932</v>
      </c>
    </row>
    <row r="13" spans="1:15" x14ac:dyDescent="0.25">
      <c r="A13" s="92">
        <v>40132</v>
      </c>
      <c r="B13" s="107">
        <f t="shared" si="0"/>
        <v>40132</v>
      </c>
      <c r="C13" s="100">
        <v>-0.8</v>
      </c>
      <c r="D13" s="101">
        <v>0.72916666666666663</v>
      </c>
      <c r="E13" s="102"/>
      <c r="F13" s="13">
        <v>21871</v>
      </c>
      <c r="G13" s="103"/>
      <c r="H13" s="13">
        <v>6430</v>
      </c>
      <c r="I13" s="103"/>
      <c r="J13" s="13">
        <v>43442</v>
      </c>
      <c r="K13" s="103"/>
      <c r="L13" s="13">
        <v>15162</v>
      </c>
      <c r="M13" s="103"/>
      <c r="N13" s="13" t="s">
        <v>22</v>
      </c>
      <c r="O13" s="99">
        <f t="shared" ref="O13" si="2">F13+H13+J13+L13</f>
        <v>86905</v>
      </c>
    </row>
    <row r="14" spans="1:15" x14ac:dyDescent="0.25">
      <c r="A14" s="92">
        <v>40133</v>
      </c>
      <c r="B14" s="107">
        <f t="shared" si="0"/>
        <v>40133</v>
      </c>
      <c r="C14" s="104">
        <v>-1</v>
      </c>
      <c r="D14" s="101">
        <v>0.75694444444444453</v>
      </c>
      <c r="E14" s="2" t="s">
        <v>41</v>
      </c>
      <c r="F14" s="13">
        <f>J14*(F12+F13)/(J12+J13)</f>
        <v>1620.6884909986827</v>
      </c>
      <c r="G14" s="2" t="s">
        <v>41</v>
      </c>
      <c r="H14" s="13">
        <f>J14*(H12+H13)/(J12+J13)</f>
        <v>593.85510074645072</v>
      </c>
      <c r="I14" s="2"/>
      <c r="J14" s="13">
        <v>1980</v>
      </c>
      <c r="K14" s="2" t="s">
        <v>41</v>
      </c>
      <c r="L14" s="13">
        <f>J14*(L12+L13)/(J12+J13)</f>
        <v>1057.3201931990047</v>
      </c>
      <c r="M14" s="2" t="s">
        <v>83</v>
      </c>
      <c r="N14" s="13">
        <v>0</v>
      </c>
      <c r="O14" s="99">
        <f>F14+H14+J14+L14+N14</f>
        <v>5251.8637849441384</v>
      </c>
    </row>
    <row r="15" spans="1:15" x14ac:dyDescent="0.25">
      <c r="A15" s="92">
        <v>40134</v>
      </c>
      <c r="B15" s="107">
        <f t="shared" si="0"/>
        <v>40134</v>
      </c>
      <c r="C15" s="100">
        <v>-0.9</v>
      </c>
      <c r="D15" s="101">
        <v>0.78402777777777777</v>
      </c>
      <c r="E15" s="102"/>
      <c r="F15" s="13" t="s">
        <v>22</v>
      </c>
      <c r="G15" s="2"/>
      <c r="H15" s="13">
        <v>2901</v>
      </c>
      <c r="I15" s="2"/>
      <c r="J15" s="13" t="s">
        <v>22</v>
      </c>
      <c r="K15" s="2"/>
      <c r="L15" s="13" t="s">
        <v>22</v>
      </c>
      <c r="M15" s="103"/>
      <c r="N15" s="13" t="s">
        <v>22</v>
      </c>
      <c r="O15" s="99">
        <f>H15</f>
        <v>2901</v>
      </c>
    </row>
    <row r="16" spans="1:15" x14ac:dyDescent="0.25">
      <c r="A16" s="106"/>
      <c r="B16" s="106"/>
      <c r="C16" s="100"/>
      <c r="D16" s="100"/>
      <c r="E16" s="102"/>
      <c r="F16" s="13"/>
      <c r="G16" s="103"/>
      <c r="H16" s="13"/>
      <c r="I16" s="103"/>
      <c r="J16" s="13"/>
      <c r="K16" s="103"/>
      <c r="L16" s="13"/>
      <c r="M16" s="103"/>
      <c r="N16" s="13"/>
      <c r="O16" s="106"/>
    </row>
    <row r="17" spans="1:15" x14ac:dyDescent="0.25">
      <c r="A17" s="92">
        <v>40149</v>
      </c>
      <c r="B17" s="107">
        <f t="shared" si="0"/>
        <v>40149</v>
      </c>
      <c r="C17" s="100">
        <v>-1.5</v>
      </c>
      <c r="D17" s="101">
        <v>0.77222222222222225</v>
      </c>
      <c r="E17" s="102"/>
      <c r="F17" s="13">
        <v>20288</v>
      </c>
      <c r="G17" s="103"/>
      <c r="H17" s="13">
        <v>9801</v>
      </c>
      <c r="I17" s="103"/>
      <c r="J17" s="13" t="s">
        <v>22</v>
      </c>
      <c r="K17" s="103"/>
      <c r="L17" s="13" t="s">
        <v>22</v>
      </c>
      <c r="M17" s="103"/>
      <c r="N17" s="13" t="s">
        <v>22</v>
      </c>
      <c r="O17" s="99">
        <f>F17+H17</f>
        <v>30089</v>
      </c>
    </row>
    <row r="18" spans="1:15" x14ac:dyDescent="0.25">
      <c r="A18" s="92">
        <v>40150</v>
      </c>
      <c r="B18" s="107">
        <f t="shared" si="0"/>
        <v>40150</v>
      </c>
      <c r="C18" s="100">
        <v>-1.6</v>
      </c>
      <c r="D18" s="101">
        <v>0.80347222222222225</v>
      </c>
      <c r="E18" s="102"/>
      <c r="F18" s="13" t="s">
        <v>22</v>
      </c>
      <c r="G18" s="103"/>
      <c r="H18" s="13">
        <v>5295</v>
      </c>
      <c r="I18" s="103"/>
      <c r="J18" s="13">
        <v>20455</v>
      </c>
      <c r="K18" s="103"/>
      <c r="L18" s="13">
        <v>7196</v>
      </c>
      <c r="M18" s="103"/>
      <c r="N18" s="13" t="s">
        <v>22</v>
      </c>
      <c r="O18" s="99">
        <f>H18+J18+L18</f>
        <v>32946</v>
      </c>
    </row>
    <row r="19" spans="1:15" x14ac:dyDescent="0.25">
      <c r="A19" s="92">
        <v>40151</v>
      </c>
      <c r="B19" s="107">
        <f t="shared" si="0"/>
        <v>40151</v>
      </c>
      <c r="C19" s="100">
        <v>-1.5</v>
      </c>
      <c r="D19" s="101">
        <v>0.83611111111111114</v>
      </c>
      <c r="E19" s="100"/>
      <c r="F19" s="13">
        <v>13077</v>
      </c>
      <c r="G19" s="2" t="s">
        <v>41</v>
      </c>
      <c r="H19" s="13">
        <f>(J19+L19)*(H18+H20)/(J18+L18+J20+L20)</f>
        <v>6245.2478340287898</v>
      </c>
      <c r="I19" s="103"/>
      <c r="J19" s="13">
        <v>21434</v>
      </c>
      <c r="K19" s="103"/>
      <c r="L19" s="13">
        <v>12344</v>
      </c>
      <c r="M19" s="103"/>
      <c r="N19" s="13">
        <v>1908.9137988374132</v>
      </c>
      <c r="O19" s="99">
        <f>F19+H19+J19+L19+N19</f>
        <v>55009.161632866206</v>
      </c>
    </row>
    <row r="20" spans="1:15" x14ac:dyDescent="0.25">
      <c r="A20" s="92">
        <v>40152</v>
      </c>
      <c r="B20" s="107">
        <f t="shared" si="0"/>
        <v>40152</v>
      </c>
      <c r="C20" s="100">
        <v>-1.1000000000000001</v>
      </c>
      <c r="D20" s="101">
        <v>0.86875000000000002</v>
      </c>
      <c r="E20" s="2" t="s">
        <v>41</v>
      </c>
      <c r="F20" s="13">
        <f>H20*F17/H17</f>
        <v>11877.619018467503</v>
      </c>
      <c r="G20" s="103"/>
      <c r="H20" s="13">
        <v>5738</v>
      </c>
      <c r="I20" s="103"/>
      <c r="J20" s="13">
        <v>20200</v>
      </c>
      <c r="K20" s="103"/>
      <c r="L20" s="13">
        <v>11822</v>
      </c>
      <c r="M20" s="103"/>
      <c r="N20" s="13">
        <v>2735.726263191058</v>
      </c>
      <c r="O20" s="99">
        <f>F20+H20+J20+L20+N20</f>
        <v>52373.345281658563</v>
      </c>
    </row>
    <row r="21" spans="1:15" x14ac:dyDescent="0.25">
      <c r="A21" s="106"/>
      <c r="B21" s="106"/>
      <c r="C21" s="100"/>
      <c r="D21" s="100"/>
      <c r="E21" s="100"/>
      <c r="F21" s="106"/>
      <c r="G21" s="106"/>
      <c r="H21" s="106"/>
      <c r="I21" s="106"/>
      <c r="J21" s="106"/>
      <c r="K21" s="106"/>
      <c r="L21" s="106"/>
      <c r="M21" s="106"/>
      <c r="N21" s="106"/>
      <c r="O21" s="99"/>
    </row>
    <row r="22" spans="1:15" x14ac:dyDescent="0.25">
      <c r="A22" s="92">
        <v>40178</v>
      </c>
      <c r="B22" s="107">
        <f t="shared" si="0"/>
        <v>40178</v>
      </c>
      <c r="C22" s="100">
        <v>-1.6</v>
      </c>
      <c r="D22" s="101">
        <v>0.76250000000000007</v>
      </c>
      <c r="E22" s="100"/>
      <c r="F22" s="13">
        <v>25927</v>
      </c>
      <c r="G22" s="103"/>
      <c r="H22" s="13">
        <v>4351</v>
      </c>
      <c r="I22" s="103"/>
      <c r="J22" s="13">
        <v>28707</v>
      </c>
      <c r="K22" s="103"/>
      <c r="L22" s="13">
        <v>12106</v>
      </c>
      <c r="M22" s="103"/>
      <c r="N22" s="13">
        <v>573.56354648898719</v>
      </c>
      <c r="O22" s="99">
        <f>F22+H22+J22+L22+N22</f>
        <v>71664.563546488993</v>
      </c>
    </row>
    <row r="23" spans="1:15" x14ac:dyDescent="0.25">
      <c r="A23" s="92">
        <v>40179</v>
      </c>
      <c r="B23" s="107">
        <f t="shared" si="0"/>
        <v>40179</v>
      </c>
      <c r="C23" s="100">
        <v>-1.8</v>
      </c>
      <c r="D23" s="101">
        <v>0.79236111111111107</v>
      </c>
      <c r="E23" s="2" t="s">
        <v>41</v>
      </c>
      <c r="F23" s="13">
        <f>(J23+L23)*(F22+F24)/(J22+L22+J24+L24)</f>
        <v>18908.155006879919</v>
      </c>
      <c r="G23" s="2" t="s">
        <v>41</v>
      </c>
      <c r="H23" s="13">
        <f>(J23+L23)*(H22+H24)/(J22+L22+J24+L24)</f>
        <v>3361.5674386605033</v>
      </c>
      <c r="I23" s="103"/>
      <c r="J23" s="13">
        <v>19791</v>
      </c>
      <c r="K23" s="103"/>
      <c r="L23" s="13">
        <v>16258</v>
      </c>
      <c r="M23" s="103"/>
      <c r="N23" s="13">
        <v>660.59983324505367</v>
      </c>
      <c r="O23" s="99">
        <f>F23+H23+J23+L23+N23</f>
        <v>58979.322278785476</v>
      </c>
    </row>
    <row r="24" spans="1:15" x14ac:dyDescent="0.25">
      <c r="A24" s="92">
        <v>40180</v>
      </c>
      <c r="B24" s="107">
        <f t="shared" si="0"/>
        <v>40180</v>
      </c>
      <c r="C24" s="100">
        <v>-1.6</v>
      </c>
      <c r="D24" s="101">
        <v>0.82291666666666663</v>
      </c>
      <c r="E24" s="100"/>
      <c r="F24" s="13">
        <v>41925</v>
      </c>
      <c r="G24" s="103"/>
      <c r="H24" s="13">
        <v>7712</v>
      </c>
      <c r="I24" s="103"/>
      <c r="J24" s="13">
        <v>62498</v>
      </c>
      <c r="K24" s="103"/>
      <c r="L24" s="13">
        <v>26051</v>
      </c>
      <c r="M24" s="103"/>
      <c r="N24" s="13" t="s">
        <v>22</v>
      </c>
      <c r="O24" s="99">
        <f>F24+H24+J24+L24</f>
        <v>138186</v>
      </c>
    </row>
    <row r="25" spans="1:15" x14ac:dyDescent="0.25">
      <c r="A25" s="92">
        <v>40181</v>
      </c>
      <c r="B25" s="107">
        <f t="shared" si="0"/>
        <v>40181</v>
      </c>
      <c r="C25" s="100">
        <v>-1.2</v>
      </c>
      <c r="D25" s="101">
        <v>0.8534722222222223</v>
      </c>
      <c r="E25" s="100"/>
      <c r="F25" s="13" t="s">
        <v>22</v>
      </c>
      <c r="G25" s="103"/>
      <c r="H25" s="13">
        <v>5250</v>
      </c>
      <c r="I25" s="103"/>
      <c r="J25" s="13" t="s">
        <v>22</v>
      </c>
      <c r="K25" s="103"/>
      <c r="L25" s="13" t="s">
        <v>22</v>
      </c>
      <c r="M25" s="103"/>
      <c r="N25" s="13" t="s">
        <v>22</v>
      </c>
      <c r="O25" s="99">
        <f>H25</f>
        <v>5250</v>
      </c>
    </row>
    <row r="26" spans="1:15" x14ac:dyDescent="0.25">
      <c r="A26" s="92"/>
      <c r="B26" s="107"/>
      <c r="C26" s="100"/>
      <c r="D26" s="101"/>
      <c r="E26" s="100"/>
      <c r="F26" s="13"/>
      <c r="G26" s="103"/>
      <c r="H26" s="13"/>
      <c r="I26" s="103"/>
      <c r="J26" s="13"/>
      <c r="K26" s="103"/>
      <c r="L26" s="13"/>
      <c r="M26" s="103"/>
      <c r="N26" s="13"/>
      <c r="O26" s="99"/>
    </row>
    <row r="27" spans="1:15" x14ac:dyDescent="0.25">
      <c r="A27" s="92">
        <v>40206</v>
      </c>
      <c r="B27" s="107">
        <f>A27</f>
        <v>40206</v>
      </c>
      <c r="C27" s="100">
        <v>-1.1000000000000001</v>
      </c>
      <c r="D27" s="101">
        <v>0.71736111111111101</v>
      </c>
      <c r="E27" s="100"/>
      <c r="F27" s="13" t="s">
        <v>22</v>
      </c>
      <c r="G27" s="103"/>
      <c r="H27" s="13">
        <v>12915</v>
      </c>
      <c r="I27" s="103"/>
      <c r="J27" s="13" t="s">
        <v>22</v>
      </c>
      <c r="K27" s="103"/>
      <c r="L27" s="13" t="s">
        <v>22</v>
      </c>
      <c r="M27" s="103"/>
      <c r="N27" s="13" t="s">
        <v>22</v>
      </c>
      <c r="O27" s="99">
        <f>H27</f>
        <v>12915</v>
      </c>
    </row>
    <row r="28" spans="1:15" x14ac:dyDescent="0.25">
      <c r="A28" s="92">
        <v>40207</v>
      </c>
      <c r="B28" s="107">
        <f t="shared" ref="B28:B57" si="3">A28</f>
        <v>40207</v>
      </c>
      <c r="C28" s="100">
        <v>-1.5</v>
      </c>
      <c r="D28" s="101">
        <v>0.74861111111111101</v>
      </c>
      <c r="E28" s="100"/>
      <c r="F28" s="13" t="s">
        <v>22</v>
      </c>
      <c r="G28" s="103"/>
      <c r="H28" s="13">
        <v>25275</v>
      </c>
      <c r="I28" s="103"/>
      <c r="J28" s="13">
        <v>65435</v>
      </c>
      <c r="K28" s="103"/>
      <c r="L28" s="13">
        <v>28597</v>
      </c>
      <c r="M28" s="103"/>
      <c r="N28" s="13" t="s">
        <v>22</v>
      </c>
      <c r="O28" s="37">
        <f>H28+J28+L28</f>
        <v>119307</v>
      </c>
    </row>
    <row r="29" spans="1:15" x14ac:dyDescent="0.25">
      <c r="A29" s="92">
        <v>40208</v>
      </c>
      <c r="B29" s="107">
        <f t="shared" si="3"/>
        <v>40208</v>
      </c>
      <c r="C29" s="100">
        <v>-1.5</v>
      </c>
      <c r="D29" s="101">
        <v>0.77847222222222223</v>
      </c>
      <c r="E29" s="100"/>
      <c r="F29" s="13" t="s">
        <v>22</v>
      </c>
      <c r="G29" s="103"/>
      <c r="H29" s="13">
        <v>37350</v>
      </c>
      <c r="I29" s="103"/>
      <c r="J29" s="13">
        <v>64017</v>
      </c>
      <c r="K29" s="103"/>
      <c r="L29" s="13">
        <v>42276</v>
      </c>
      <c r="M29" s="103"/>
      <c r="N29" s="13">
        <v>1075.0326964030548</v>
      </c>
      <c r="O29" s="37">
        <f>H29+J29+L29+N29</f>
        <v>144718.03269640307</v>
      </c>
    </row>
    <row r="30" spans="1:15" x14ac:dyDescent="0.25">
      <c r="A30" s="92">
        <v>40209</v>
      </c>
      <c r="B30" s="107">
        <f t="shared" si="3"/>
        <v>40209</v>
      </c>
      <c r="C30" s="100">
        <v>-1.2</v>
      </c>
      <c r="D30" s="101">
        <v>0.80763888888888891</v>
      </c>
      <c r="E30" s="100"/>
      <c r="F30" s="13" t="s">
        <v>22</v>
      </c>
      <c r="G30" s="103"/>
      <c r="H30" s="13">
        <v>5848.2177102565765</v>
      </c>
      <c r="I30" s="103"/>
      <c r="J30" s="13">
        <v>33358</v>
      </c>
      <c r="K30" s="103"/>
      <c r="L30" s="13">
        <v>13902</v>
      </c>
      <c r="M30" s="103"/>
      <c r="N30" s="13">
        <v>1108.1596257309943</v>
      </c>
      <c r="O30" s="37">
        <f>H30+J30+L30+N30</f>
        <v>54216.37733598757</v>
      </c>
    </row>
    <row r="31" spans="1:15" x14ac:dyDescent="0.25">
      <c r="A31" s="92"/>
      <c r="B31" s="107"/>
      <c r="C31" s="100"/>
      <c r="D31" s="101"/>
      <c r="E31" s="100"/>
      <c r="F31" s="13"/>
      <c r="G31" s="103"/>
      <c r="H31" s="13"/>
      <c r="I31" s="103"/>
      <c r="J31" s="13"/>
      <c r="K31" s="103"/>
      <c r="L31" s="13"/>
      <c r="M31" s="103"/>
      <c r="N31" s="13"/>
      <c r="O31" s="37"/>
    </row>
    <row r="32" spans="1:15" x14ac:dyDescent="0.25">
      <c r="A32" s="92">
        <v>40235</v>
      </c>
      <c r="B32" s="107">
        <f t="shared" si="3"/>
        <v>40235</v>
      </c>
      <c r="C32" s="100">
        <v>-0.7</v>
      </c>
      <c r="D32" s="101">
        <v>0.7006944444444444</v>
      </c>
      <c r="E32" s="100"/>
      <c r="F32" s="13">
        <v>40476</v>
      </c>
      <c r="G32" s="103"/>
      <c r="H32" s="13">
        <v>19245</v>
      </c>
      <c r="I32" s="103"/>
      <c r="J32" s="152">
        <v>61050</v>
      </c>
      <c r="K32" s="103"/>
      <c r="L32" s="152">
        <v>25870</v>
      </c>
      <c r="M32" s="103"/>
      <c r="N32" s="13" t="s">
        <v>22</v>
      </c>
      <c r="O32" s="37">
        <f>F32+H32+J32+L32</f>
        <v>146641</v>
      </c>
    </row>
    <row r="33" spans="1:15" x14ac:dyDescent="0.25">
      <c r="A33" s="92">
        <v>40236</v>
      </c>
      <c r="B33" s="107">
        <f t="shared" si="3"/>
        <v>40236</v>
      </c>
      <c r="C33" s="100">
        <v>-0.9</v>
      </c>
      <c r="D33" s="101">
        <v>0.7319444444444444</v>
      </c>
      <c r="E33" s="100"/>
      <c r="F33" s="13">
        <v>69000</v>
      </c>
      <c r="G33" s="103"/>
      <c r="H33" s="13">
        <v>8000</v>
      </c>
      <c r="I33" s="103"/>
      <c r="J33" s="13">
        <v>42500</v>
      </c>
      <c r="K33" s="103"/>
      <c r="L33" s="13">
        <v>10000</v>
      </c>
      <c r="M33" s="103"/>
      <c r="N33" s="13">
        <v>338.78341269841269</v>
      </c>
      <c r="O33" s="37">
        <f>F33+H33+J33+L33+N33</f>
        <v>129838.78341269841</v>
      </c>
    </row>
    <row r="34" spans="1:15" x14ac:dyDescent="0.25">
      <c r="A34" s="92">
        <v>40237</v>
      </c>
      <c r="B34" s="107">
        <f t="shared" si="3"/>
        <v>40237</v>
      </c>
      <c r="C34" s="100">
        <v>-0.8</v>
      </c>
      <c r="D34" s="101">
        <v>0.76111111111111107</v>
      </c>
      <c r="E34" s="100"/>
      <c r="F34" s="13">
        <v>69915</v>
      </c>
      <c r="G34" s="103"/>
      <c r="H34" s="13">
        <v>26623</v>
      </c>
      <c r="I34" s="103"/>
      <c r="J34" s="13">
        <v>141678</v>
      </c>
      <c r="K34" s="103"/>
      <c r="L34" s="13">
        <v>33868</v>
      </c>
      <c r="M34" s="103"/>
      <c r="N34" s="13">
        <v>2373.199178571429</v>
      </c>
      <c r="O34" s="37">
        <f>F34+H34+J34+L34+N34</f>
        <v>274457.19917857141</v>
      </c>
    </row>
    <row r="35" spans="1:15" x14ac:dyDescent="0.25">
      <c r="A35" s="92">
        <v>40238</v>
      </c>
      <c r="B35" s="107">
        <f t="shared" si="3"/>
        <v>40238</v>
      </c>
      <c r="C35" s="100">
        <v>-0.4</v>
      </c>
      <c r="D35" s="101">
        <v>0.78888888888888886</v>
      </c>
      <c r="E35" s="100"/>
      <c r="F35" s="13">
        <v>4702</v>
      </c>
      <c r="G35" s="103"/>
      <c r="H35" s="13">
        <v>12984</v>
      </c>
      <c r="I35" s="103"/>
      <c r="J35" s="13" t="s">
        <v>22</v>
      </c>
      <c r="K35" s="103"/>
      <c r="L35" s="13" t="s">
        <v>22</v>
      </c>
      <c r="M35" s="103"/>
      <c r="N35" s="13" t="s">
        <v>22</v>
      </c>
      <c r="O35" s="37">
        <f>F35+H35</f>
        <v>17686</v>
      </c>
    </row>
    <row r="36" spans="1:15" x14ac:dyDescent="0.25">
      <c r="A36" s="92"/>
      <c r="B36" s="107"/>
      <c r="C36" s="100"/>
      <c r="D36" s="101"/>
      <c r="E36" s="100"/>
      <c r="F36" s="13"/>
      <c r="G36" s="103"/>
      <c r="H36" s="13"/>
      <c r="I36" s="103"/>
      <c r="J36" s="13"/>
      <c r="K36" s="103"/>
      <c r="L36" s="13"/>
      <c r="M36" s="103"/>
      <c r="N36" s="13"/>
      <c r="O36" s="37"/>
    </row>
    <row r="37" spans="1:15" x14ac:dyDescent="0.25">
      <c r="A37" s="92">
        <v>40263</v>
      </c>
      <c r="B37" s="107">
        <f t="shared" si="3"/>
        <v>40263</v>
      </c>
      <c r="C37" s="100">
        <v>0.1</v>
      </c>
      <c r="D37" s="101">
        <v>0.68680555555555556</v>
      </c>
      <c r="E37" s="100"/>
      <c r="F37" s="13">
        <v>61344</v>
      </c>
      <c r="G37" s="103"/>
      <c r="H37" s="13">
        <v>17021</v>
      </c>
      <c r="I37" s="103"/>
      <c r="J37" s="13" t="s">
        <v>22</v>
      </c>
      <c r="K37" s="103"/>
      <c r="L37" s="13" t="s">
        <v>22</v>
      </c>
      <c r="M37" s="103"/>
      <c r="N37" s="13">
        <v>2835.6658627067668</v>
      </c>
      <c r="O37" s="37">
        <f>F37+H37+N37</f>
        <v>81200.665862706766</v>
      </c>
    </row>
    <row r="38" spans="1:15" x14ac:dyDescent="0.25">
      <c r="A38" s="92">
        <v>40264</v>
      </c>
      <c r="B38" s="107">
        <f t="shared" si="3"/>
        <v>40264</v>
      </c>
      <c r="C38" s="100">
        <v>-0.1</v>
      </c>
      <c r="D38" s="101">
        <v>0.72152777777777777</v>
      </c>
      <c r="E38" s="1" t="s">
        <v>41</v>
      </c>
      <c r="F38" s="13">
        <f>(J38+L38)*F39/(J39+L39)</f>
        <v>56443.798776797375</v>
      </c>
      <c r="G38" s="103"/>
      <c r="H38" s="13">
        <v>53531</v>
      </c>
      <c r="I38" s="103"/>
      <c r="J38" s="13">
        <v>113112</v>
      </c>
      <c r="K38" s="103"/>
      <c r="L38" s="13">
        <v>74693</v>
      </c>
      <c r="M38" s="103"/>
      <c r="N38" s="13">
        <v>6094.2410270270266</v>
      </c>
      <c r="O38" s="37">
        <f>F38+H38+J38+L38+N38</f>
        <v>303874.03980382439</v>
      </c>
    </row>
    <row r="39" spans="1:15" x14ac:dyDescent="0.25">
      <c r="A39" s="92">
        <v>40265</v>
      </c>
      <c r="B39" s="107">
        <f t="shared" si="3"/>
        <v>40265</v>
      </c>
      <c r="C39" s="104">
        <v>0</v>
      </c>
      <c r="D39" s="101">
        <v>0.75277777777777777</v>
      </c>
      <c r="E39" s="100"/>
      <c r="F39" s="13">
        <v>9435</v>
      </c>
      <c r="G39" s="2" t="s">
        <v>41</v>
      </c>
      <c r="H39" s="13">
        <f>(J39+L39)*H38/(J38+L38)</f>
        <v>8948.1040600622982</v>
      </c>
      <c r="I39" s="103"/>
      <c r="J39" s="13">
        <v>18036</v>
      </c>
      <c r="K39" s="103"/>
      <c r="L39" s="13">
        <v>13357</v>
      </c>
      <c r="M39" s="103"/>
      <c r="N39" s="13" t="s">
        <v>22</v>
      </c>
      <c r="O39" s="37">
        <f>F39+H39+J39+L39</f>
        <v>49776.104060062295</v>
      </c>
    </row>
    <row r="40" spans="1:15" x14ac:dyDescent="0.25">
      <c r="A40" s="92">
        <v>40266</v>
      </c>
      <c r="B40" s="107">
        <f t="shared" si="3"/>
        <v>40266</v>
      </c>
      <c r="C40" s="100">
        <v>-0.1</v>
      </c>
      <c r="D40" s="101">
        <v>0.27430555555555552</v>
      </c>
      <c r="E40" s="100"/>
      <c r="F40" s="13">
        <v>186</v>
      </c>
      <c r="G40" s="103"/>
      <c r="H40" s="13">
        <v>0</v>
      </c>
      <c r="I40" s="103"/>
      <c r="J40" s="13" t="s">
        <v>22</v>
      </c>
      <c r="K40" s="103"/>
      <c r="L40" s="13" t="s">
        <v>22</v>
      </c>
      <c r="M40" s="103"/>
      <c r="N40" s="13" t="s">
        <v>22</v>
      </c>
      <c r="O40" s="37">
        <f>F40+H40</f>
        <v>186</v>
      </c>
    </row>
    <row r="41" spans="1:15" x14ac:dyDescent="0.25">
      <c r="A41" s="92">
        <v>40267</v>
      </c>
      <c r="B41" s="107">
        <f t="shared" si="3"/>
        <v>40267</v>
      </c>
      <c r="C41" s="100">
        <v>-0.7</v>
      </c>
      <c r="D41" s="101">
        <v>0.30694444444444441</v>
      </c>
      <c r="E41" s="100"/>
      <c r="F41" s="13">
        <v>8811</v>
      </c>
      <c r="G41" s="2" t="s">
        <v>41</v>
      </c>
      <c r="H41" s="13">
        <f>F41*H42/F42</f>
        <v>4760.7512019230771</v>
      </c>
      <c r="I41" s="103"/>
      <c r="J41" s="13" t="s">
        <v>22</v>
      </c>
      <c r="K41" s="103"/>
      <c r="L41" s="13" t="s">
        <v>22</v>
      </c>
      <c r="M41" s="103"/>
      <c r="N41" s="13" t="s">
        <v>22</v>
      </c>
      <c r="O41" s="37">
        <f t="shared" ref="O41:O43" si="4">F41+H41</f>
        <v>13571.751201923078</v>
      </c>
    </row>
    <row r="42" spans="1:15" x14ac:dyDescent="0.25">
      <c r="A42" s="92">
        <v>40268</v>
      </c>
      <c r="B42" s="107">
        <f t="shared" si="3"/>
        <v>40268</v>
      </c>
      <c r="C42" s="104">
        <v>-1</v>
      </c>
      <c r="D42" s="101">
        <v>0.33819444444444446</v>
      </c>
      <c r="E42" s="100"/>
      <c r="F42" s="13">
        <v>27456</v>
      </c>
      <c r="G42" s="103"/>
      <c r="H42" s="13">
        <v>14835</v>
      </c>
      <c r="I42" s="103"/>
      <c r="J42" s="13" t="s">
        <v>22</v>
      </c>
      <c r="K42" s="103"/>
      <c r="L42" s="13" t="s">
        <v>22</v>
      </c>
      <c r="M42" s="103"/>
      <c r="N42" s="13" t="s">
        <v>22</v>
      </c>
      <c r="O42" s="37">
        <f t="shared" si="4"/>
        <v>42291</v>
      </c>
    </row>
    <row r="43" spans="1:15" x14ac:dyDescent="0.25">
      <c r="A43" s="92">
        <v>40269</v>
      </c>
      <c r="B43" s="107">
        <f t="shared" si="3"/>
        <v>40269</v>
      </c>
      <c r="C43" s="104">
        <v>-1</v>
      </c>
      <c r="D43" s="101">
        <v>0.36944444444444446</v>
      </c>
      <c r="E43" s="100"/>
      <c r="F43" s="13">
        <v>29372</v>
      </c>
      <c r="G43" s="2" t="s">
        <v>41</v>
      </c>
      <c r="H43" s="13">
        <f>F43*H42/F42</f>
        <v>15870.251311188811</v>
      </c>
      <c r="I43" s="103"/>
      <c r="J43" s="13" t="s">
        <v>22</v>
      </c>
      <c r="K43" s="103"/>
      <c r="L43" s="13" t="s">
        <v>22</v>
      </c>
      <c r="M43" s="103"/>
      <c r="N43" s="13" t="s">
        <v>22</v>
      </c>
      <c r="O43" s="37">
        <f t="shared" si="4"/>
        <v>45242.251311188811</v>
      </c>
    </row>
    <row r="44" spans="1:15" x14ac:dyDescent="0.25">
      <c r="A44" s="106"/>
      <c r="B44" s="106"/>
      <c r="C44" s="100"/>
      <c r="D44" s="100"/>
      <c r="E44" s="100"/>
      <c r="F44" s="106"/>
      <c r="G44" s="106"/>
      <c r="H44" s="106"/>
      <c r="I44" s="106"/>
      <c r="J44" s="106"/>
      <c r="K44" s="106"/>
      <c r="L44" s="106"/>
      <c r="M44" s="106"/>
      <c r="N44" s="106"/>
      <c r="O44" s="106"/>
    </row>
    <row r="45" spans="1:15" x14ac:dyDescent="0.25">
      <c r="A45" s="92">
        <v>40284</v>
      </c>
      <c r="B45" s="107">
        <f t="shared" si="3"/>
        <v>40284</v>
      </c>
      <c r="C45" s="100">
        <v>-0.7</v>
      </c>
      <c r="D45" s="101">
        <v>0.35555555555555557</v>
      </c>
      <c r="E45" s="100"/>
      <c r="F45" s="13">
        <v>49598</v>
      </c>
      <c r="G45" s="106"/>
      <c r="H45" s="13">
        <v>26202</v>
      </c>
      <c r="I45" s="106"/>
      <c r="J45" s="13" t="s">
        <v>22</v>
      </c>
      <c r="K45" s="103"/>
      <c r="L45" s="13" t="s">
        <v>22</v>
      </c>
      <c r="M45" s="103"/>
      <c r="N45" s="13" t="s">
        <v>22</v>
      </c>
      <c r="O45" s="99">
        <f>F45+H45</f>
        <v>75800</v>
      </c>
    </row>
    <row r="46" spans="1:15" x14ac:dyDescent="0.25">
      <c r="A46" s="92">
        <v>40285</v>
      </c>
      <c r="B46" s="107">
        <f t="shared" si="3"/>
        <v>40285</v>
      </c>
      <c r="C46" s="100">
        <v>-0.7</v>
      </c>
      <c r="D46" s="101">
        <v>0.3833333333333333</v>
      </c>
      <c r="E46" s="100"/>
      <c r="F46" s="13">
        <v>106682</v>
      </c>
      <c r="G46" s="106"/>
      <c r="H46" s="13">
        <v>75878</v>
      </c>
      <c r="I46" s="106"/>
      <c r="J46" s="13" t="s">
        <v>22</v>
      </c>
      <c r="K46" s="103"/>
      <c r="L46" s="13" t="s">
        <v>22</v>
      </c>
      <c r="M46" s="103"/>
      <c r="N46" s="13">
        <v>4603.9196526315791</v>
      </c>
      <c r="O46" s="99">
        <f>F46+H46+N46</f>
        <v>187163.91965263156</v>
      </c>
    </row>
    <row r="47" spans="1:15" x14ac:dyDescent="0.25">
      <c r="A47" s="92">
        <v>40286</v>
      </c>
      <c r="B47" s="107">
        <f t="shared" si="3"/>
        <v>40286</v>
      </c>
      <c r="C47" s="100">
        <v>-0.6</v>
      </c>
      <c r="D47" s="101">
        <v>0.4152777777777778</v>
      </c>
      <c r="E47" s="100"/>
      <c r="F47" s="13">
        <v>92567</v>
      </c>
      <c r="G47" s="106"/>
      <c r="H47" s="13">
        <v>79617</v>
      </c>
      <c r="I47" s="106"/>
      <c r="J47" s="13" t="s">
        <v>22</v>
      </c>
      <c r="K47" s="103"/>
      <c r="L47" s="13" t="s">
        <v>22</v>
      </c>
      <c r="M47" s="103"/>
      <c r="N47" s="13">
        <v>7992.6457187134511</v>
      </c>
      <c r="O47" s="99">
        <f>F47+H47+N47</f>
        <v>180176.64571871347</v>
      </c>
    </row>
    <row r="48" spans="1:15" x14ac:dyDescent="0.25">
      <c r="A48" s="106"/>
      <c r="B48" s="106"/>
      <c r="C48" s="100"/>
      <c r="D48" s="100"/>
      <c r="E48" s="100"/>
      <c r="F48" s="106"/>
      <c r="G48" s="106"/>
      <c r="H48" s="106"/>
      <c r="I48" s="106"/>
      <c r="J48" s="106"/>
      <c r="K48" s="106"/>
      <c r="L48" s="106"/>
      <c r="M48" s="106"/>
      <c r="N48" s="106"/>
      <c r="O48" s="106"/>
    </row>
    <row r="49" spans="1:15" x14ac:dyDescent="0.25">
      <c r="A49" s="92">
        <v>40295</v>
      </c>
      <c r="B49" s="107">
        <f t="shared" si="3"/>
        <v>40295</v>
      </c>
      <c r="C49" s="104">
        <v>-1</v>
      </c>
      <c r="D49" s="101">
        <v>0.26458333333333334</v>
      </c>
      <c r="E49" s="100"/>
      <c r="F49" s="13">
        <v>10575</v>
      </c>
      <c r="G49" s="106"/>
      <c r="H49" s="13">
        <v>7443</v>
      </c>
      <c r="I49" s="106"/>
      <c r="J49" s="13" t="s">
        <v>22</v>
      </c>
      <c r="K49" s="106"/>
      <c r="L49" s="13" t="s">
        <v>22</v>
      </c>
      <c r="M49" s="106"/>
      <c r="N49" s="13" t="s">
        <v>22</v>
      </c>
      <c r="O49" s="37">
        <f>F49+H49</f>
        <v>18018</v>
      </c>
    </row>
    <row r="50" spans="1:15" x14ac:dyDescent="0.25">
      <c r="A50" s="92">
        <v>40296</v>
      </c>
      <c r="B50" s="107">
        <f t="shared" si="3"/>
        <v>40296</v>
      </c>
      <c r="C50" s="100">
        <v>-1.4</v>
      </c>
      <c r="D50" s="101">
        <v>0.29583333333333334</v>
      </c>
      <c r="E50" s="100"/>
      <c r="F50" s="13">
        <v>19638</v>
      </c>
      <c r="G50" s="106"/>
      <c r="H50" s="13">
        <v>17070</v>
      </c>
      <c r="I50" s="106"/>
      <c r="J50" s="13" t="s">
        <v>22</v>
      </c>
      <c r="K50" s="106"/>
      <c r="L50" s="13" t="s">
        <v>22</v>
      </c>
      <c r="M50" s="106"/>
      <c r="N50" s="13" t="s">
        <v>22</v>
      </c>
      <c r="O50" s="37">
        <f>F50+H50</f>
        <v>36708</v>
      </c>
    </row>
    <row r="51" spans="1:15" x14ac:dyDescent="0.25">
      <c r="A51" s="92">
        <v>40297</v>
      </c>
      <c r="B51" s="107">
        <f t="shared" si="3"/>
        <v>40297</v>
      </c>
      <c r="C51" s="100">
        <v>-1.6</v>
      </c>
      <c r="D51" s="101">
        <v>0.3263888888888889</v>
      </c>
      <c r="E51" s="100"/>
      <c r="F51" s="13">
        <v>32732</v>
      </c>
      <c r="G51" s="106"/>
      <c r="H51" s="13">
        <v>13080</v>
      </c>
      <c r="I51" s="106"/>
      <c r="J51" s="13" t="s">
        <v>22</v>
      </c>
      <c r="K51" s="106"/>
      <c r="L51" s="13" t="s">
        <v>22</v>
      </c>
      <c r="M51" s="106"/>
      <c r="N51" s="13" t="s">
        <v>22</v>
      </c>
      <c r="O51" s="37">
        <f>F51+H51</f>
        <v>45812</v>
      </c>
    </row>
    <row r="52" spans="1:15" x14ac:dyDescent="0.25">
      <c r="A52" s="92">
        <v>40298</v>
      </c>
      <c r="B52" s="107">
        <f t="shared" si="3"/>
        <v>40298</v>
      </c>
      <c r="C52" s="100">
        <v>-1.5</v>
      </c>
      <c r="D52" s="101">
        <v>0.35625000000000001</v>
      </c>
      <c r="E52" s="100"/>
      <c r="F52" s="13">
        <v>47910</v>
      </c>
      <c r="G52" s="106"/>
      <c r="H52" s="13">
        <v>14925</v>
      </c>
      <c r="I52" s="106"/>
      <c r="J52" s="13">
        <v>37954</v>
      </c>
      <c r="K52" s="106"/>
      <c r="L52" s="13">
        <v>23923</v>
      </c>
      <c r="M52" s="106"/>
      <c r="N52" s="13" t="s">
        <v>22</v>
      </c>
      <c r="O52" s="37">
        <f>F52+H52+J52+L52</f>
        <v>124712</v>
      </c>
    </row>
    <row r="53" spans="1:15" x14ac:dyDescent="0.25">
      <c r="A53" s="92">
        <v>40299</v>
      </c>
      <c r="B53" s="107">
        <f t="shared" si="3"/>
        <v>40299</v>
      </c>
      <c r="C53" s="100">
        <v>-1.1000000000000001</v>
      </c>
      <c r="D53" s="101">
        <v>0.38541666666666669</v>
      </c>
      <c r="E53" s="100"/>
      <c r="F53" s="13">
        <v>84345</v>
      </c>
      <c r="G53" s="106"/>
      <c r="H53" s="13">
        <v>34517</v>
      </c>
      <c r="I53" s="106"/>
      <c r="J53" s="13">
        <v>107192</v>
      </c>
      <c r="K53" s="106"/>
      <c r="L53" s="13">
        <v>43321</v>
      </c>
      <c r="M53" s="106"/>
      <c r="N53" s="13">
        <v>3106.6071206896549</v>
      </c>
      <c r="O53" s="37">
        <f>F53+H53+J53+L53+N53</f>
        <v>272481.60712068964</v>
      </c>
    </row>
    <row r="54" spans="1:15" x14ac:dyDescent="0.25">
      <c r="A54" s="92">
        <v>40300</v>
      </c>
      <c r="B54" s="107">
        <f t="shared" si="3"/>
        <v>40300</v>
      </c>
      <c r="C54" s="100">
        <v>-0.7</v>
      </c>
      <c r="D54" s="101">
        <v>0.4152777777777778</v>
      </c>
      <c r="E54" s="100"/>
      <c r="F54" s="13">
        <v>94080</v>
      </c>
      <c r="G54" s="2" t="s">
        <v>41</v>
      </c>
      <c r="H54" s="13">
        <f>(F54+J54+L54)*H53/(F53+J53+L53)</f>
        <v>34034.351642268943</v>
      </c>
      <c r="I54" s="106"/>
      <c r="J54" s="13">
        <v>101428</v>
      </c>
      <c r="K54" s="106"/>
      <c r="L54" s="13">
        <v>36066</v>
      </c>
      <c r="M54" s="106"/>
      <c r="N54" s="13">
        <v>2325.4135172413794</v>
      </c>
      <c r="O54" s="37">
        <f>F54+H54+J54+L54+N54</f>
        <v>267933.76515951031</v>
      </c>
    </row>
    <row r="55" spans="1:15" x14ac:dyDescent="0.25">
      <c r="A55" s="106"/>
      <c r="B55" s="106"/>
      <c r="C55" s="100"/>
      <c r="D55" s="100"/>
      <c r="E55" s="100"/>
      <c r="F55" s="106"/>
      <c r="G55" s="106"/>
      <c r="H55" s="106"/>
      <c r="I55" s="106"/>
      <c r="J55" s="106"/>
      <c r="K55" s="106"/>
      <c r="L55" s="106"/>
      <c r="M55" s="106"/>
      <c r="N55" s="106"/>
      <c r="O55" s="106"/>
    </row>
    <row r="56" spans="1:15" x14ac:dyDescent="0.25">
      <c r="A56" s="92">
        <v>40313</v>
      </c>
      <c r="B56" s="107">
        <f t="shared" si="3"/>
        <v>40313</v>
      </c>
      <c r="C56" s="100">
        <v>-1.6</v>
      </c>
      <c r="D56" s="101">
        <v>0.34375</v>
      </c>
      <c r="E56" s="100"/>
      <c r="F56" s="13">
        <v>82950</v>
      </c>
      <c r="G56" s="2" t="s">
        <v>41</v>
      </c>
      <c r="H56" s="13">
        <f>(J56+L56+F56)*H53/(J53+L53+F53)</f>
        <v>28966.543886092873</v>
      </c>
      <c r="I56" s="106"/>
      <c r="J56" s="13">
        <v>72491</v>
      </c>
      <c r="K56" s="106"/>
      <c r="L56" s="13">
        <v>41651</v>
      </c>
      <c r="M56" s="106"/>
      <c r="N56" s="13" t="s">
        <v>22</v>
      </c>
      <c r="O56" s="37">
        <f>F56+H56+J56+L56</f>
        <v>226058.54388609287</v>
      </c>
    </row>
    <row r="57" spans="1:15" x14ac:dyDescent="0.25">
      <c r="A57" s="92">
        <v>40314</v>
      </c>
      <c r="B57" s="107">
        <f t="shared" si="3"/>
        <v>40314</v>
      </c>
      <c r="C57" s="100">
        <v>-1.6</v>
      </c>
      <c r="D57" s="101">
        <v>0.37361111111111112</v>
      </c>
      <c r="E57" s="2" t="s">
        <v>41</v>
      </c>
      <c r="F57" s="13">
        <f>H57*F47/H47</f>
        <v>49180.251705037866</v>
      </c>
      <c r="G57" s="106"/>
      <c r="H57" s="13">
        <v>42300</v>
      </c>
      <c r="I57" s="106"/>
      <c r="J57" s="13" t="s">
        <v>22</v>
      </c>
      <c r="K57" s="106"/>
      <c r="L57" s="13" t="s">
        <v>22</v>
      </c>
      <c r="M57" s="106"/>
      <c r="N57" s="13" t="s">
        <v>22</v>
      </c>
      <c r="O57" s="37">
        <f>F57+H57</f>
        <v>91480.251705037866</v>
      </c>
    </row>
    <row r="58" spans="1:15" x14ac:dyDescent="0.25">
      <c r="A58" s="106"/>
      <c r="B58" s="106"/>
      <c r="C58" s="100"/>
      <c r="D58" s="100"/>
      <c r="E58" s="100"/>
      <c r="F58" s="106"/>
      <c r="G58" s="106"/>
      <c r="H58" s="106"/>
      <c r="I58" s="106"/>
      <c r="J58" s="106"/>
      <c r="K58" s="106"/>
      <c r="L58" s="106"/>
      <c r="M58" s="106"/>
      <c r="N58" s="106"/>
      <c r="O58" s="106"/>
    </row>
    <row r="59" spans="1:15" x14ac:dyDescent="0.25">
      <c r="A59" s="108" t="s">
        <v>131</v>
      </c>
      <c r="B59" s="106"/>
      <c r="C59" s="100"/>
      <c r="D59" s="100"/>
      <c r="E59" s="100"/>
      <c r="F59" s="109">
        <f>SUM(F2:F58)</f>
        <v>1404335.0703294803</v>
      </c>
      <c r="G59" s="100"/>
      <c r="H59" s="109">
        <f>SUM(H2:H58)</f>
        <v>824298.79356337024</v>
      </c>
      <c r="I59" s="100"/>
      <c r="J59" s="109">
        <f>SUM(J2:J58)</f>
        <v>1346258</v>
      </c>
      <c r="K59" s="100"/>
      <c r="L59" s="109">
        <f>SUM(L3:L58)</f>
        <v>593527.32019319898</v>
      </c>
      <c r="M59" s="100"/>
      <c r="N59" s="109">
        <f>SUM(N3:N58)</f>
        <v>46372.932011761608</v>
      </c>
      <c r="O59" s="109">
        <f>SUM(O2:O58)</f>
        <v>4214792.1160978116</v>
      </c>
    </row>
    <row r="60" spans="1:15" x14ac:dyDescent="0.25">
      <c r="A60" s="110" t="s">
        <v>51</v>
      </c>
      <c r="B60" s="106"/>
      <c r="C60" s="100"/>
      <c r="D60" s="100"/>
      <c r="E60" s="100"/>
      <c r="F60" s="125">
        <v>3.6631482902734852E-2</v>
      </c>
      <c r="G60" s="106"/>
      <c r="H60" s="125">
        <v>4.2781962451229547E-2</v>
      </c>
      <c r="I60" s="106"/>
      <c r="J60" s="125">
        <v>3.2000000000000001E-2</v>
      </c>
      <c r="K60" s="106"/>
      <c r="L60" s="125">
        <v>7.1999999999999995E-2</v>
      </c>
      <c r="M60" s="106"/>
      <c r="N60" s="106"/>
      <c r="O60" s="106"/>
    </row>
    <row r="61" spans="1:15" x14ac:dyDescent="0.25">
      <c r="A61" s="108" t="s">
        <v>52</v>
      </c>
      <c r="B61" s="106"/>
      <c r="C61" s="100"/>
      <c r="D61" s="100"/>
      <c r="E61" s="100"/>
      <c r="F61" s="112">
        <v>20000</v>
      </c>
      <c r="G61" s="106"/>
      <c r="H61" s="163">
        <v>14100</v>
      </c>
      <c r="I61" s="106"/>
      <c r="J61" s="163">
        <v>10442</v>
      </c>
      <c r="K61" s="106"/>
      <c r="L61" s="163">
        <v>10342</v>
      </c>
      <c r="M61" s="106"/>
      <c r="N61" s="106"/>
      <c r="O61" s="109">
        <f>F61+H61+J61+L61+N61</f>
        <v>54884</v>
      </c>
    </row>
    <row r="62" spans="1:15" x14ac:dyDescent="0.25">
      <c r="A62" s="110" t="s">
        <v>53</v>
      </c>
      <c r="B62" s="106"/>
      <c r="C62" s="100"/>
      <c r="D62" s="100"/>
      <c r="E62" s="100"/>
      <c r="F62" s="109">
        <f>F59+F61</f>
        <v>1424335.0703294803</v>
      </c>
      <c r="G62" s="106"/>
      <c r="H62" s="109">
        <f>H59+H61</f>
        <v>838398.79356337024</v>
      </c>
      <c r="I62" s="106"/>
      <c r="J62" s="109">
        <f>J59+J61</f>
        <v>1356700</v>
      </c>
      <c r="K62" s="106"/>
      <c r="L62" s="109">
        <f>L59+L61</f>
        <v>603869.32019319898</v>
      </c>
      <c r="M62" s="106"/>
      <c r="N62" s="109">
        <f>N59+N61</f>
        <v>46372.932011761608</v>
      </c>
      <c r="O62" s="109">
        <f>O59+O61</f>
        <v>4269676.1160978116</v>
      </c>
    </row>
    <row r="63" spans="1:15" x14ac:dyDescent="0.25">
      <c r="A63" s="111" t="s">
        <v>57</v>
      </c>
      <c r="B63" s="106"/>
      <c r="C63" s="100"/>
      <c r="D63" s="100"/>
      <c r="E63" s="100"/>
      <c r="F63" s="112">
        <f>F59/37</f>
        <v>37955.001900796764</v>
      </c>
      <c r="G63" s="106"/>
      <c r="H63" s="112">
        <f>H62/46</f>
        <v>18226.060729638484</v>
      </c>
      <c r="I63" s="106"/>
      <c r="J63" s="112">
        <f>J59/24</f>
        <v>56094.083333333336</v>
      </c>
      <c r="K63" s="106"/>
      <c r="L63" s="112">
        <f>L59/23</f>
        <v>25805.535660573867</v>
      </c>
      <c r="M63" s="106"/>
      <c r="N63" s="112">
        <f>N59/17</f>
        <v>2727.8195301036239</v>
      </c>
      <c r="O63" s="112">
        <f>F63+H63+J63+L63+N63</f>
        <v>140808.50115444607</v>
      </c>
    </row>
    <row r="64" spans="1:15" x14ac:dyDescent="0.25">
      <c r="A64" s="111" t="s">
        <v>54</v>
      </c>
      <c r="B64" s="106"/>
      <c r="C64" s="100"/>
      <c r="D64" s="100"/>
      <c r="E64" s="100"/>
      <c r="F64" s="113">
        <f>F62/TAC!B4</f>
        <v>0.84603019791290002</v>
      </c>
      <c r="G64" s="106"/>
      <c r="H64" s="113">
        <f>H62/TAC!B5</f>
        <v>0.71187304184821865</v>
      </c>
      <c r="I64" s="106"/>
      <c r="J64" s="113">
        <f>J62/TAC!B6</f>
        <v>1.328039666378275</v>
      </c>
      <c r="K64" s="106"/>
      <c r="L64" s="113">
        <f>L62/TAC!B7</f>
        <v>0.95908420309643938</v>
      </c>
      <c r="M64" s="106"/>
      <c r="N64" s="113">
        <f>N62/TAC!B8</f>
        <v>0.10337334206718829</v>
      </c>
      <c r="O64" s="113">
        <f>O62/TAC!B9</f>
        <v>0.86063158496556857</v>
      </c>
    </row>
    <row r="65" spans="1:15" x14ac:dyDescent="0.25">
      <c r="A65" s="111" t="s">
        <v>55</v>
      </c>
      <c r="B65" s="106"/>
      <c r="C65" s="100"/>
      <c r="D65" s="100"/>
      <c r="E65" s="100"/>
      <c r="F65" s="112">
        <f>TAC!B4-F62</f>
        <v>259216.02967051952</v>
      </c>
      <c r="G65" s="106"/>
      <c r="H65" s="112">
        <f>TAC!B5-Harvest!H62</f>
        <v>339337.60643662966</v>
      </c>
      <c r="I65" s="106"/>
      <c r="J65" s="112">
        <f>TAC!B6-J62</f>
        <v>-335119.06808409933</v>
      </c>
      <c r="K65" s="106"/>
      <c r="L65" s="112">
        <f>TAC!B7-L62</f>
        <v>25761.861556624644</v>
      </c>
      <c r="M65" s="106"/>
      <c r="N65" s="112">
        <f>TAC!B8-N62</f>
        <v>402223.6895584414</v>
      </c>
      <c r="O65" s="112">
        <f>TAC!B9-Harvest!O59</f>
        <v>746304.11913811602</v>
      </c>
    </row>
    <row r="66" spans="1:15" x14ac:dyDescent="0.25">
      <c r="A66" s="108" t="s">
        <v>56</v>
      </c>
      <c r="B66" s="106"/>
      <c r="C66" s="100"/>
      <c r="D66" s="100"/>
      <c r="E66" s="100"/>
      <c r="F66" s="106"/>
      <c r="G66" s="106"/>
      <c r="H66" s="106"/>
      <c r="I66" s="106"/>
      <c r="J66" s="106"/>
      <c r="K66" s="106"/>
      <c r="L66" s="106"/>
      <c r="M66" s="106"/>
      <c r="N66" s="106"/>
      <c r="O66" s="106"/>
    </row>
    <row r="67" spans="1:15" x14ac:dyDescent="0.25">
      <c r="J67" s="20"/>
    </row>
  </sheetData>
  <mergeCells count="5">
    <mergeCell ref="E1:F1"/>
    <mergeCell ref="G1:H1"/>
    <mergeCell ref="I1:J1"/>
    <mergeCell ref="K1:L1"/>
    <mergeCell ref="M1:N1"/>
  </mergeCells>
  <pageMargins left="0.28999999999999998" right="0.36" top="0.66" bottom="0.5" header="0.2" footer="0.25"/>
  <pageSetup scale="54" orientation="landscape" r:id="rId1"/>
  <headerFooter>
    <oddHeader>&amp;L&amp;12 2009 Fall / 2010 Spring Razor clam Harvest Totals
(Number of Clams) &amp;C&amp;12Non-Indian Fishery&amp;R&amp;12&amp;KFF0000FINAL ESTIMATE</oddHeader>
    <oddFooter>&amp;LPage 1 of 3</oddFooter>
  </headerFooter>
  <ignoredErrors>
    <ignoredError sqref="O8 O62"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0"/>
  <sheetViews>
    <sheetView topLeftCell="A34" workbookViewId="0">
      <selection activeCell="F38" sqref="F38"/>
    </sheetView>
  </sheetViews>
  <sheetFormatPr defaultRowHeight="15" x14ac:dyDescent="0.25"/>
  <cols>
    <col min="1" max="1" width="18.42578125" customWidth="1"/>
    <col min="2" max="2" width="5.42578125" customWidth="1"/>
    <col min="3" max="3" width="7.7109375" style="1" customWidth="1"/>
    <col min="4" max="4" width="9.140625" style="1"/>
    <col min="5" max="5" width="3.7109375" style="1" customWidth="1"/>
    <col min="6" max="6" width="12.7109375" customWidth="1"/>
    <col min="7" max="7" width="3.7109375" customWidth="1"/>
    <col min="8" max="8" width="12.7109375" customWidth="1"/>
    <col min="9" max="9" width="3.7109375" customWidth="1"/>
    <col min="10" max="10" width="12.7109375" customWidth="1"/>
    <col min="11" max="11" width="3.7109375" customWidth="1"/>
    <col min="12" max="12" width="12.7109375" customWidth="1"/>
    <col min="13" max="13" width="3.7109375" customWidth="1"/>
    <col min="14" max="14" width="12.7109375" customWidth="1"/>
    <col min="15" max="15" width="11.140625" bestFit="1" customWidth="1"/>
  </cols>
  <sheetData>
    <row r="1" spans="1:15" x14ac:dyDescent="0.25">
      <c r="A1" s="28" t="s">
        <v>8</v>
      </c>
      <c r="B1" s="28" t="s">
        <v>5</v>
      </c>
      <c r="C1" s="28" t="s">
        <v>6</v>
      </c>
      <c r="D1" s="28" t="s">
        <v>7</v>
      </c>
      <c r="E1" s="244" t="s">
        <v>0</v>
      </c>
      <c r="F1" s="244"/>
      <c r="G1" s="244" t="s">
        <v>1</v>
      </c>
      <c r="H1" s="244"/>
      <c r="I1" s="244" t="s">
        <v>2</v>
      </c>
      <c r="J1" s="244"/>
      <c r="K1" s="244" t="s">
        <v>3</v>
      </c>
      <c r="L1" s="244"/>
      <c r="M1" s="244" t="s">
        <v>4</v>
      </c>
      <c r="N1" s="244"/>
      <c r="O1" s="36" t="s">
        <v>50</v>
      </c>
    </row>
    <row r="2" spans="1:15" x14ac:dyDescent="0.25">
      <c r="A2" s="5">
        <v>40102</v>
      </c>
      <c r="B2" s="6">
        <f>+A2</f>
        <v>40102</v>
      </c>
      <c r="C2" s="7">
        <v>-0.2</v>
      </c>
      <c r="D2" s="8">
        <v>0.7909722222222223</v>
      </c>
      <c r="E2" s="12"/>
      <c r="F2" s="14">
        <f>+Harvest!F2/Effort!F2</f>
        <v>10.466403162055336</v>
      </c>
      <c r="G2" s="10"/>
      <c r="H2" s="14">
        <f>+Harvest!H2/Effort!H2</f>
        <v>11.888979591836735</v>
      </c>
      <c r="I2" s="10"/>
      <c r="J2" s="14">
        <f>+Harvest!J2/Effort!J2</f>
        <v>13.698009748172218</v>
      </c>
      <c r="K2" s="11"/>
      <c r="L2" s="13" t="s">
        <v>22</v>
      </c>
      <c r="M2" s="9"/>
      <c r="N2" s="13" t="s">
        <v>22</v>
      </c>
      <c r="O2" s="38">
        <f>Harvest!O2/Effort!O2</f>
        <v>12.50063371356147</v>
      </c>
    </row>
    <row r="3" spans="1:15" x14ac:dyDescent="0.25">
      <c r="A3" s="5">
        <v>40103</v>
      </c>
      <c r="B3" s="6">
        <f t="shared" ref="B3:B5" si="0">+A3</f>
        <v>40103</v>
      </c>
      <c r="C3" s="1">
        <v>-0.7</v>
      </c>
      <c r="D3" s="34">
        <v>0.78055555555555556</v>
      </c>
      <c r="E3" s="3"/>
      <c r="F3" s="14">
        <f>+Harvest!F3/Effort!F3</f>
        <v>15</v>
      </c>
      <c r="G3" s="2"/>
      <c r="H3" s="14">
        <f>+Harvest!H3/Effort!H3</f>
        <v>13.2046875</v>
      </c>
      <c r="I3" s="2"/>
      <c r="J3" s="14">
        <f>+Harvest!J3/Effort!J3</f>
        <v>14.818691864757124</v>
      </c>
      <c r="K3" s="2"/>
      <c r="L3" s="14">
        <f>+Harvest!L3/Effort!L3</f>
        <v>13.273741418764303</v>
      </c>
      <c r="M3" s="2"/>
      <c r="N3" s="14">
        <f>+Harvest!N3/Effort!N3</f>
        <v>13.635766411333487</v>
      </c>
      <c r="O3" s="38">
        <f>Harvest!O3/Effort!O3</f>
        <v>14.333644662368902</v>
      </c>
    </row>
    <row r="4" spans="1:15" x14ac:dyDescent="0.25">
      <c r="A4" s="5">
        <v>40104</v>
      </c>
      <c r="B4" s="6">
        <f t="shared" si="0"/>
        <v>40104</v>
      </c>
      <c r="C4" s="35">
        <v>-1</v>
      </c>
      <c r="D4" s="34">
        <v>0.80972222222222223</v>
      </c>
      <c r="E4" s="2" t="s">
        <v>41</v>
      </c>
      <c r="F4" s="14">
        <f>+Harvest!F4/Effort!F4</f>
        <v>14.225320236818291</v>
      </c>
      <c r="G4" s="2"/>
      <c r="H4" s="14">
        <f>+Harvest!H4/Effort!H4</f>
        <v>15</v>
      </c>
      <c r="I4" s="2"/>
      <c r="J4" s="14">
        <f>+Harvest!J4/Effort!J4</f>
        <v>14.90944055944056</v>
      </c>
      <c r="K4" s="2"/>
      <c r="L4" s="14">
        <f>+Harvest!L4/Effort!L4</f>
        <v>15.005823627287853</v>
      </c>
      <c r="M4" s="2"/>
      <c r="N4" s="14">
        <f>+Harvest!N4/Effort!N4</f>
        <v>14.606858623063957</v>
      </c>
      <c r="O4" s="38">
        <f>Harvest!O4/Effort!O4</f>
        <v>14.756931592713709</v>
      </c>
    </row>
    <row r="5" spans="1:15" x14ac:dyDescent="0.25">
      <c r="A5" s="5">
        <v>40105</v>
      </c>
      <c r="B5" s="6">
        <f t="shared" si="0"/>
        <v>40105</v>
      </c>
      <c r="C5" s="1">
        <v>-1.1000000000000001</v>
      </c>
      <c r="D5" s="34">
        <v>0.83819444444444446</v>
      </c>
      <c r="E5" s="4"/>
      <c r="F5" s="13" t="s">
        <v>22</v>
      </c>
      <c r="G5" s="2"/>
      <c r="H5" s="14">
        <f>+Harvest!H5/Effort!H5</f>
        <v>15</v>
      </c>
      <c r="I5" s="2"/>
      <c r="J5" s="13" t="s">
        <v>22</v>
      </c>
      <c r="K5" s="2"/>
      <c r="L5" s="13" t="s">
        <v>22</v>
      </c>
      <c r="M5" s="2"/>
      <c r="N5" s="13" t="s">
        <v>22</v>
      </c>
      <c r="O5" s="38">
        <f>Harvest!O5/Effort!O5</f>
        <v>15</v>
      </c>
    </row>
    <row r="6" spans="1:15" x14ac:dyDescent="0.25">
      <c r="E6" s="3"/>
      <c r="F6" s="13"/>
      <c r="G6" s="2"/>
      <c r="H6" s="13"/>
      <c r="I6" s="2"/>
      <c r="J6" s="13"/>
      <c r="K6" s="2"/>
      <c r="L6" s="13"/>
      <c r="M6" s="2"/>
      <c r="N6" s="13"/>
    </row>
    <row r="7" spans="1:15" x14ac:dyDescent="0.25">
      <c r="A7" s="43">
        <v>40121</v>
      </c>
      <c r="B7" s="44">
        <f t="shared" ref="B7:B10" si="1">+A7</f>
        <v>40121</v>
      </c>
      <c r="C7" s="47">
        <v>-1.2</v>
      </c>
      <c r="D7" s="48">
        <v>0.8125</v>
      </c>
      <c r="E7" s="3"/>
      <c r="F7" s="14">
        <f>+Harvest!F7/Effort!F7</f>
        <v>14.654335260115607</v>
      </c>
      <c r="G7" s="2"/>
      <c r="H7" s="14">
        <f>+Harvest!H7/Effort!H7</f>
        <v>14.977464788732394</v>
      </c>
      <c r="I7" s="2"/>
      <c r="J7" s="13" t="s">
        <v>22</v>
      </c>
      <c r="K7" s="2"/>
      <c r="L7" s="13" t="s">
        <v>22</v>
      </c>
      <c r="M7" s="2"/>
      <c r="N7" s="13" t="s">
        <v>22</v>
      </c>
      <c r="O7" s="38">
        <f>Harvest!O7/Effort!O7</f>
        <v>14.832642487046632</v>
      </c>
    </row>
    <row r="8" spans="1:15" x14ac:dyDescent="0.25">
      <c r="A8" s="43">
        <v>40122</v>
      </c>
      <c r="B8" s="91">
        <f t="shared" si="1"/>
        <v>40122</v>
      </c>
      <c r="C8" s="1">
        <v>-1.1000000000000001</v>
      </c>
      <c r="D8" s="34">
        <v>0.84444444444444444</v>
      </c>
      <c r="E8" s="3"/>
      <c r="F8" s="13" t="s">
        <v>22</v>
      </c>
      <c r="G8" s="2"/>
      <c r="H8" s="14">
        <f>+Harvest!H8/Effort!H8</f>
        <v>10.256410256410257</v>
      </c>
      <c r="I8" s="2"/>
      <c r="J8" s="13" t="s">
        <v>22</v>
      </c>
      <c r="K8" s="2"/>
      <c r="L8" s="13" t="s">
        <v>22</v>
      </c>
      <c r="M8" s="2"/>
      <c r="N8" s="13" t="s">
        <v>22</v>
      </c>
      <c r="O8" s="38">
        <f>Harvest!O8/Effort!O8</f>
        <v>10.256410256410257</v>
      </c>
    </row>
    <row r="9" spans="1:15" x14ac:dyDescent="0.25">
      <c r="A9" s="43">
        <v>40123</v>
      </c>
      <c r="B9" s="91">
        <f t="shared" si="1"/>
        <v>40123</v>
      </c>
      <c r="C9" s="47">
        <v>-0.8</v>
      </c>
      <c r="D9" s="48">
        <v>0.87916666666666676</v>
      </c>
      <c r="E9" s="2"/>
      <c r="F9" s="14">
        <f>+Harvest!F9/Effort!F9</f>
        <v>4.8211508244372263</v>
      </c>
      <c r="G9" s="2" t="s">
        <v>41</v>
      </c>
      <c r="H9" s="14">
        <f>+Harvest!H9/Effort!H9</f>
        <v>4.488988814772565</v>
      </c>
      <c r="I9" s="2"/>
      <c r="J9" s="13" t="s">
        <v>22</v>
      </c>
      <c r="K9" s="2"/>
      <c r="L9" s="13" t="s">
        <v>22</v>
      </c>
      <c r="M9" s="2"/>
      <c r="N9" s="13" t="s">
        <v>22</v>
      </c>
      <c r="O9" s="38">
        <f>Harvest!O9/Effort!O9</f>
        <v>4.7273481372102646</v>
      </c>
    </row>
    <row r="10" spans="1:15" x14ac:dyDescent="0.25">
      <c r="A10" s="43">
        <v>40124</v>
      </c>
      <c r="B10" s="91">
        <f t="shared" si="1"/>
        <v>40124</v>
      </c>
      <c r="C10" s="47">
        <v>-0.4</v>
      </c>
      <c r="D10" s="48">
        <v>0.91666666666666663</v>
      </c>
      <c r="E10" s="3"/>
      <c r="F10" s="14">
        <f>+Harvest!F10/Effort!F10</f>
        <v>11.99459393583027</v>
      </c>
      <c r="G10" s="2"/>
      <c r="H10" s="14">
        <f>+Harvest!H10/Effort!H10</f>
        <v>12.259075907590759</v>
      </c>
      <c r="I10" s="2"/>
      <c r="J10" s="13" t="s">
        <v>22</v>
      </c>
      <c r="K10" s="2"/>
      <c r="L10" s="13" t="s">
        <v>22</v>
      </c>
      <c r="M10" s="2"/>
      <c r="N10" s="13" t="s">
        <v>22</v>
      </c>
      <c r="O10" s="38">
        <f>Harvest!O10/Effort!O10</f>
        <v>12.140538650817275</v>
      </c>
    </row>
    <row r="11" spans="1:15" x14ac:dyDescent="0.25">
      <c r="E11" s="3"/>
      <c r="F11" s="13"/>
      <c r="G11" s="2"/>
      <c r="H11" s="13"/>
      <c r="I11" s="2"/>
      <c r="J11" s="13"/>
      <c r="K11" s="2"/>
      <c r="L11" s="13"/>
      <c r="M11" s="2"/>
      <c r="N11" s="13"/>
    </row>
    <row r="12" spans="1:15" x14ac:dyDescent="0.25">
      <c r="A12" s="92">
        <v>40131</v>
      </c>
      <c r="B12" s="107">
        <f t="shared" ref="B12:B15" si="2">+A12</f>
        <v>40131</v>
      </c>
      <c r="C12" s="100">
        <v>-0.4</v>
      </c>
      <c r="D12" s="101">
        <v>0.69861111111111107</v>
      </c>
      <c r="E12" s="3"/>
      <c r="F12" s="14">
        <f>+Harvest!F12/Effort!F12</f>
        <v>14.48295189163942</v>
      </c>
      <c r="G12" s="2"/>
      <c r="H12" s="14">
        <f>+Harvest!H12/Effort!H12</f>
        <v>14.026543566070398</v>
      </c>
      <c r="I12" s="2"/>
      <c r="J12" s="14">
        <f>+Harvest!J12/Effort!J12</f>
        <v>15.000762195121951</v>
      </c>
      <c r="K12" s="2"/>
      <c r="L12" s="14">
        <f>+Harvest!L12/Effort!L12</f>
        <v>14.998104624715694</v>
      </c>
      <c r="M12" s="2"/>
      <c r="N12" s="13" t="s">
        <v>22</v>
      </c>
      <c r="O12" s="38">
        <f>Harvest!O12/Effort!O12</f>
        <v>14.689967431884979</v>
      </c>
    </row>
    <row r="13" spans="1:15" x14ac:dyDescent="0.25">
      <c r="A13" s="92">
        <v>40132</v>
      </c>
      <c r="B13" s="107">
        <f t="shared" si="2"/>
        <v>40132</v>
      </c>
      <c r="C13" s="100">
        <v>-0.8</v>
      </c>
      <c r="D13" s="101">
        <v>0.72916666666666663</v>
      </c>
      <c r="E13" s="3"/>
      <c r="F13" s="14">
        <f>+Harvest!F13/Effort!F13</f>
        <v>12.752769679300291</v>
      </c>
      <c r="G13" s="2"/>
      <c r="H13" s="14">
        <f>+Harvest!H13/Effort!H13</f>
        <v>10.288</v>
      </c>
      <c r="I13" s="2"/>
      <c r="J13" s="14">
        <f>+Harvest!J13/Effort!J13</f>
        <v>11.333681189668667</v>
      </c>
      <c r="K13" s="2"/>
      <c r="L13" s="14">
        <f>+Harvest!L13/Effort!L13</f>
        <v>11.443018867924529</v>
      </c>
      <c r="M13" s="2"/>
      <c r="N13" s="13" t="s">
        <v>22</v>
      </c>
      <c r="O13" s="38">
        <f>Harvest!O13/Effort!O13</f>
        <v>11.590424113096827</v>
      </c>
    </row>
    <row r="14" spans="1:15" x14ac:dyDescent="0.25">
      <c r="A14" s="92">
        <v>40133</v>
      </c>
      <c r="B14" s="107">
        <f t="shared" si="2"/>
        <v>40133</v>
      </c>
      <c r="C14" s="104">
        <v>-1</v>
      </c>
      <c r="D14" s="101">
        <v>0.75694444444444453</v>
      </c>
      <c r="E14" s="2" t="s">
        <v>41</v>
      </c>
      <c r="F14" s="14">
        <f>+Harvest!F14/Effort!F14</f>
        <v>5.3835160685337389</v>
      </c>
      <c r="G14" s="2" t="s">
        <v>41</v>
      </c>
      <c r="H14" s="14">
        <f>+Harvest!H14/Effort!H14</f>
        <v>5.0169203341588648</v>
      </c>
      <c r="I14" s="2"/>
      <c r="J14" s="14">
        <f>+Harvest!J14/Effort!J14</f>
        <v>5.0769230769230766</v>
      </c>
      <c r="K14" s="2" t="s">
        <v>41</v>
      </c>
      <c r="L14" s="14">
        <f>+Harvest!L14/Effort!L14</f>
        <v>5.314751568006022</v>
      </c>
      <c r="M14" s="2" t="s">
        <v>83</v>
      </c>
      <c r="N14" s="13">
        <v>0</v>
      </c>
      <c r="O14" s="38">
        <f>Harvest!O14/Effort!O14</f>
        <v>5.0971273589743378</v>
      </c>
    </row>
    <row r="15" spans="1:15" x14ac:dyDescent="0.25">
      <c r="A15" s="92">
        <v>40134</v>
      </c>
      <c r="B15" s="107">
        <f t="shared" si="2"/>
        <v>40134</v>
      </c>
      <c r="C15" s="100">
        <v>-0.9</v>
      </c>
      <c r="D15" s="101">
        <v>0.78402777777777777</v>
      </c>
      <c r="E15" s="3"/>
      <c r="F15" s="13" t="s">
        <v>22</v>
      </c>
      <c r="G15" s="2"/>
      <c r="H15" s="14">
        <f>+Harvest!H15/Effort!H15</f>
        <v>10.250883392226148</v>
      </c>
      <c r="I15" s="2"/>
      <c r="J15" s="13" t="s">
        <v>22</v>
      </c>
      <c r="K15" s="2"/>
      <c r="L15" s="13" t="s">
        <v>22</v>
      </c>
      <c r="M15" s="2"/>
      <c r="N15" s="13" t="s">
        <v>22</v>
      </c>
      <c r="O15" s="38">
        <f>Harvest!O15/Effort!O15</f>
        <v>10.250883392226148</v>
      </c>
    </row>
    <row r="16" spans="1:15" x14ac:dyDescent="0.25">
      <c r="E16" s="3"/>
      <c r="F16" s="13"/>
      <c r="G16" s="2"/>
      <c r="H16" s="13"/>
      <c r="I16" s="2"/>
      <c r="J16" s="13"/>
      <c r="K16" s="2"/>
      <c r="L16" s="13"/>
      <c r="M16" s="2"/>
      <c r="N16" s="13"/>
    </row>
    <row r="17" spans="1:15" x14ac:dyDescent="0.25">
      <c r="A17" s="92">
        <v>40149</v>
      </c>
      <c r="B17" s="107">
        <f t="shared" ref="B17:B20" si="3">+A17</f>
        <v>40149</v>
      </c>
      <c r="C17" s="100">
        <v>-1.5</v>
      </c>
      <c r="D17" s="101">
        <v>0.77222222222222225</v>
      </c>
      <c r="E17" s="3"/>
      <c r="F17" s="14">
        <f>+Harvest!F17/Effort!F17</f>
        <v>14.53295128939828</v>
      </c>
      <c r="G17" s="2"/>
      <c r="H17" s="14">
        <f>+Harvest!H17/Effort!H17</f>
        <v>15.055299539170507</v>
      </c>
      <c r="I17" s="2"/>
      <c r="J17" s="13" t="s">
        <v>22</v>
      </c>
      <c r="K17" s="2"/>
      <c r="L17" s="13" t="s">
        <v>22</v>
      </c>
      <c r="M17" s="2"/>
      <c r="N17" s="13" t="s">
        <v>22</v>
      </c>
      <c r="O17" s="38">
        <f>Harvest!O17/Effort!O17</f>
        <v>14.699071812408402</v>
      </c>
    </row>
    <row r="18" spans="1:15" x14ac:dyDescent="0.25">
      <c r="A18" s="92">
        <v>40150</v>
      </c>
      <c r="B18" s="107">
        <f t="shared" si="3"/>
        <v>40150</v>
      </c>
      <c r="C18" s="100">
        <v>-1.6</v>
      </c>
      <c r="D18" s="101">
        <v>0.80347222222222225</v>
      </c>
      <c r="E18" s="3"/>
      <c r="F18" s="13" t="s">
        <v>22</v>
      </c>
      <c r="G18" s="2"/>
      <c r="H18" s="14">
        <f>+Harvest!H18/Effort!H18</f>
        <v>13.542199488491049</v>
      </c>
      <c r="I18" s="2"/>
      <c r="J18" s="14">
        <f>+Harvest!J18/Effort!J18</f>
        <v>14.99633431085044</v>
      </c>
      <c r="K18" s="2"/>
      <c r="L18" s="14">
        <f>+Harvest!L18/Effort!L18</f>
        <v>13.131386861313869</v>
      </c>
      <c r="M18" s="2"/>
      <c r="N18" s="13" t="s">
        <v>22</v>
      </c>
      <c r="O18" s="38">
        <f>Harvest!O18/Effort!O18</f>
        <v>14.305688232739904</v>
      </c>
    </row>
    <row r="19" spans="1:15" x14ac:dyDescent="0.25">
      <c r="A19" s="92">
        <v>40151</v>
      </c>
      <c r="B19" s="107">
        <f t="shared" si="3"/>
        <v>40151</v>
      </c>
      <c r="C19" s="100">
        <v>-1.5</v>
      </c>
      <c r="D19" s="101">
        <v>0.83611111111111114</v>
      </c>
      <c r="F19" s="14">
        <f>+Harvest!F19/Effort!F19</f>
        <v>14.627516778523489</v>
      </c>
      <c r="G19" s="2" t="s">
        <v>41</v>
      </c>
      <c r="H19" s="14">
        <f>+Harvest!H19/Effort!H19</f>
        <v>13.443563606589684</v>
      </c>
      <c r="J19" s="14">
        <f>+Harvest!J19/Effort!J19</f>
        <v>14.443396226415095</v>
      </c>
      <c r="L19" s="14">
        <f>+Harvest!L19/Effort!L19</f>
        <v>13.062433862433862</v>
      </c>
      <c r="N19" s="14">
        <f>+Harvest!N19/Effort!N19</f>
        <v>11.788098020204028</v>
      </c>
      <c r="O19" s="38">
        <f>Harvest!O19/Effort!O19</f>
        <v>13.92817296244449</v>
      </c>
    </row>
    <row r="20" spans="1:15" x14ac:dyDescent="0.25">
      <c r="A20" s="92">
        <v>40152</v>
      </c>
      <c r="B20" s="107">
        <f t="shared" si="3"/>
        <v>40152</v>
      </c>
      <c r="C20" s="100">
        <v>-1.1000000000000001</v>
      </c>
      <c r="D20" s="101">
        <v>0.86875000000000002</v>
      </c>
      <c r="E20" s="2" t="s">
        <v>41</v>
      </c>
      <c r="F20" s="14">
        <f>+Harvest!F20/Effort!F20</f>
        <v>14.461927740246928</v>
      </c>
      <c r="H20" s="14">
        <f>+Harvest!H20/Effort!H20</f>
        <v>14.981723237597912</v>
      </c>
      <c r="J20" s="14">
        <f>+Harvest!J20/Effort!J20</f>
        <v>14.996288047512992</v>
      </c>
      <c r="L20" s="14">
        <f>+Harvest!L20/Effort!L20</f>
        <v>15.00253807106599</v>
      </c>
      <c r="N20" s="14">
        <f>+Harvest!N20/Effort!N20</f>
        <v>12.477639858881128</v>
      </c>
      <c r="O20" s="38">
        <f>Harvest!O20/Effort!O20</f>
        <v>14.717596340063405</v>
      </c>
    </row>
    <row r="22" spans="1:15" x14ac:dyDescent="0.25">
      <c r="A22" s="92">
        <v>40178</v>
      </c>
      <c r="B22" s="107">
        <f t="shared" ref="B22:B25" si="4">+A22</f>
        <v>40178</v>
      </c>
      <c r="C22" s="100">
        <v>-1.6</v>
      </c>
      <c r="D22" s="101">
        <v>0.76250000000000007</v>
      </c>
      <c r="F22" s="14">
        <f>+Harvest!F22/Effort!F22</f>
        <v>12.803456790123457</v>
      </c>
      <c r="H22" s="14">
        <f>+Harvest!H22/Effort!H22</f>
        <v>5.4049689440993784</v>
      </c>
      <c r="J22" s="14">
        <f>+Harvest!J22/Effort!J22</f>
        <v>8.7950367647058822</v>
      </c>
      <c r="L22" s="14">
        <f>+Harvest!L22/Effort!L22</f>
        <v>8.1412239408204439</v>
      </c>
      <c r="N22" s="14">
        <f>+Harvest!N22/Effort!N22</f>
        <v>1.9137193970955291</v>
      </c>
      <c r="O22" s="38">
        <f>Harvest!O22/Effort!O22</f>
        <v>9.0936667747080495</v>
      </c>
    </row>
    <row r="23" spans="1:15" x14ac:dyDescent="0.25">
      <c r="A23" s="92">
        <v>40179</v>
      </c>
      <c r="B23" s="107">
        <f t="shared" si="4"/>
        <v>40179</v>
      </c>
      <c r="C23" s="100">
        <v>-1.8</v>
      </c>
      <c r="D23" s="101">
        <v>0.79236111111111107</v>
      </c>
      <c r="E23" s="143" t="s">
        <v>41</v>
      </c>
      <c r="F23" s="14">
        <f>+Harvest!F23/Effort!F23</f>
        <v>4.5659720035620079</v>
      </c>
      <c r="G23" s="2" t="s">
        <v>41</v>
      </c>
      <c r="H23" s="14">
        <f>+Harvest!H23/Effort!H23</f>
        <v>2.6365684809858498</v>
      </c>
      <c r="J23" s="14">
        <f>+Harvest!J23/Effort!J23</f>
        <v>3.0349639625824261</v>
      </c>
      <c r="L23" s="14">
        <f>+Harvest!L23/Effort!L23</f>
        <v>5.7327221438645983</v>
      </c>
      <c r="N23" s="14">
        <f>+Harvest!N23/Effort!N23</f>
        <v>3.2571428571428571</v>
      </c>
      <c r="O23" s="38">
        <f>Harvest!O23/Effort!O23</f>
        <v>3.93828342886238</v>
      </c>
    </row>
    <row r="24" spans="1:15" x14ac:dyDescent="0.25">
      <c r="A24" s="92">
        <v>40180</v>
      </c>
      <c r="B24" s="107">
        <f t="shared" si="4"/>
        <v>40180</v>
      </c>
      <c r="C24" s="100">
        <v>-1.6</v>
      </c>
      <c r="D24" s="101">
        <v>0.82291666666666663</v>
      </c>
      <c r="F24" s="14">
        <f>+Harvest!F24/Effort!F24</f>
        <v>15</v>
      </c>
      <c r="G24" s="106"/>
      <c r="H24" s="14">
        <f>+Harvest!H24/Effort!H24</f>
        <v>11.357879234167894</v>
      </c>
      <c r="I24" s="106"/>
      <c r="J24" s="14">
        <f>+Harvest!J24/Effort!J24</f>
        <v>14.99832013438925</v>
      </c>
      <c r="K24" s="106"/>
      <c r="L24" s="14">
        <f>+Harvest!L24/Effort!L24</f>
        <v>13.203750633552964</v>
      </c>
      <c r="M24" s="106"/>
      <c r="N24" s="13" t="s">
        <v>22</v>
      </c>
      <c r="O24" s="38">
        <f>Harvest!O24/Effort!O24</f>
        <v>14.373413771583108</v>
      </c>
    </row>
    <row r="25" spans="1:15" x14ac:dyDescent="0.25">
      <c r="A25" s="92">
        <v>40181</v>
      </c>
      <c r="B25" s="107">
        <f t="shared" si="4"/>
        <v>40181</v>
      </c>
      <c r="C25" s="100">
        <v>-1.2</v>
      </c>
      <c r="D25" s="101">
        <v>0.8534722222222223</v>
      </c>
      <c r="F25" s="13" t="s">
        <v>22</v>
      </c>
      <c r="G25" s="106"/>
      <c r="H25" s="14">
        <f>+Harvest!H25/Effort!H25</f>
        <v>15</v>
      </c>
      <c r="I25" s="106"/>
      <c r="J25" s="13" t="s">
        <v>22</v>
      </c>
      <c r="K25" s="106"/>
      <c r="L25" s="13" t="s">
        <v>22</v>
      </c>
      <c r="M25" s="106"/>
      <c r="N25" s="13" t="s">
        <v>22</v>
      </c>
      <c r="O25" s="38">
        <f>Harvest!O25/Effort!O25</f>
        <v>15</v>
      </c>
    </row>
    <row r="27" spans="1:15" x14ac:dyDescent="0.25">
      <c r="A27" s="92">
        <v>40206</v>
      </c>
      <c r="B27" s="107">
        <f>A27</f>
        <v>40206</v>
      </c>
      <c r="C27" s="100">
        <v>-1.1000000000000001</v>
      </c>
      <c r="D27" s="101">
        <v>0.71736111111111101</v>
      </c>
      <c r="F27" s="13" t="s">
        <v>22</v>
      </c>
      <c r="H27" s="14">
        <f>+Harvest!H27/Effort!H27</f>
        <v>15</v>
      </c>
      <c r="J27" s="13" t="s">
        <v>22</v>
      </c>
      <c r="L27" s="13" t="s">
        <v>22</v>
      </c>
      <c r="N27" s="13" t="s">
        <v>22</v>
      </c>
      <c r="O27" s="38">
        <f>Harvest!O27/Effort!O27</f>
        <v>15</v>
      </c>
    </row>
    <row r="28" spans="1:15" x14ac:dyDescent="0.25">
      <c r="A28" s="92">
        <v>40207</v>
      </c>
      <c r="B28" s="107">
        <f t="shared" ref="B28:B30" si="5">A28</f>
        <v>40207</v>
      </c>
      <c r="C28" s="100">
        <v>-1.5</v>
      </c>
      <c r="D28" s="101">
        <v>0.74861111111111101</v>
      </c>
      <c r="F28" s="13" t="s">
        <v>22</v>
      </c>
      <c r="H28" s="14">
        <f>+Harvest!H28/Effort!H28</f>
        <v>15</v>
      </c>
      <c r="I28" s="106"/>
      <c r="J28" s="14">
        <f>+Harvest!J28/Effort!J28</f>
        <v>14.293359545653123</v>
      </c>
      <c r="K28" s="106"/>
      <c r="L28" s="14">
        <f>+Harvest!L28/Effort!L28</f>
        <v>12.02565180824222</v>
      </c>
      <c r="N28" s="13" t="s">
        <v>22</v>
      </c>
      <c r="O28" s="38">
        <f>Harvest!O28/Effort!O28</f>
        <v>13.807082513597964</v>
      </c>
    </row>
    <row r="29" spans="1:15" x14ac:dyDescent="0.25">
      <c r="A29" s="92">
        <v>40208</v>
      </c>
      <c r="B29" s="107">
        <f t="shared" si="5"/>
        <v>40208</v>
      </c>
      <c r="C29" s="100">
        <v>-1.5</v>
      </c>
      <c r="D29" s="101">
        <v>0.77847222222222223</v>
      </c>
      <c r="F29" s="13" t="s">
        <v>22</v>
      </c>
      <c r="H29" s="14">
        <f>+Harvest!H29/Effort!H29</f>
        <v>15</v>
      </c>
      <c r="I29" s="106"/>
      <c r="J29" s="14">
        <f>+Harvest!J29/Effort!J29</f>
        <v>12.216984732824427</v>
      </c>
      <c r="K29" s="106"/>
      <c r="L29" s="14">
        <f>+Harvest!L29/Effort!L29</f>
        <v>12.368636629607957</v>
      </c>
      <c r="N29" s="14">
        <f>+Harvest!N29/Effort!N29</f>
        <v>4.7046358335715643</v>
      </c>
      <c r="O29" s="38">
        <f>Harvest!O29/Effort!O29</f>
        <v>12.720781382917339</v>
      </c>
    </row>
    <row r="30" spans="1:15" x14ac:dyDescent="0.25">
      <c r="A30" s="92">
        <v>40209</v>
      </c>
      <c r="B30" s="107">
        <f t="shared" si="5"/>
        <v>40209</v>
      </c>
      <c r="C30" s="100">
        <v>-1.2</v>
      </c>
      <c r="D30" s="101">
        <v>0.80763888888888891</v>
      </c>
      <c r="F30" s="13" t="s">
        <v>22</v>
      </c>
      <c r="H30" s="14">
        <f>+Harvest!H30/Effort!H30</f>
        <v>10.830032796771437</v>
      </c>
      <c r="I30" s="106"/>
      <c r="J30" s="14">
        <f>+Harvest!J30/Effort!J30</f>
        <v>12.187796857873584</v>
      </c>
      <c r="K30" s="106"/>
      <c r="L30" s="14">
        <f>+Harvest!L30/Effort!L30</f>
        <v>14.996763754045308</v>
      </c>
      <c r="N30" s="14">
        <f>+Harvest!N30/Effort!N30</f>
        <v>9.9259259259259274</v>
      </c>
      <c r="O30" s="38">
        <f>Harvest!O30/Effort!O30</f>
        <v>12.562757854897949</v>
      </c>
    </row>
    <row r="31" spans="1:15" x14ac:dyDescent="0.25">
      <c r="A31" s="92"/>
      <c r="B31" s="107"/>
      <c r="C31" s="100"/>
      <c r="D31" s="101"/>
      <c r="F31" s="13"/>
      <c r="H31" s="14"/>
      <c r="I31" s="106"/>
      <c r="J31" s="14"/>
      <c r="K31" s="106"/>
      <c r="L31" s="14"/>
      <c r="N31" s="14"/>
      <c r="O31" s="38"/>
    </row>
    <row r="32" spans="1:15" x14ac:dyDescent="0.25">
      <c r="A32" s="92">
        <v>40235</v>
      </c>
      <c r="B32" s="107">
        <f t="shared" ref="B32:B35" si="6">A32</f>
        <v>40235</v>
      </c>
      <c r="C32" s="100">
        <v>-0.7</v>
      </c>
      <c r="D32" s="101">
        <v>0.7006944444444444</v>
      </c>
      <c r="F32" s="14">
        <f>+Harvest!F32/Effort!F32</f>
        <v>14.974472807991122</v>
      </c>
      <c r="H32" s="14">
        <f>+Harvest!H32/Effort!H32</f>
        <v>15</v>
      </c>
      <c r="I32" s="106"/>
      <c r="J32" s="14">
        <f>+Harvest!J32/Effort!J32</f>
        <v>14.933953033268102</v>
      </c>
      <c r="K32" s="106"/>
      <c r="L32" s="14">
        <f>+Harvest!L32/Effort!L32</f>
        <v>14.997101449275362</v>
      </c>
      <c r="N32" s="13" t="s">
        <v>22</v>
      </c>
      <c r="O32" s="38">
        <f>Harvest!O32/Effort!O32</f>
        <v>14.964894376977243</v>
      </c>
    </row>
    <row r="33" spans="1:15" x14ac:dyDescent="0.25">
      <c r="A33" s="92">
        <v>40236</v>
      </c>
      <c r="B33" s="107">
        <f t="shared" si="6"/>
        <v>40236</v>
      </c>
      <c r="C33" s="100">
        <v>-0.9</v>
      </c>
      <c r="D33" s="101">
        <v>0.7319444444444444</v>
      </c>
      <c r="E33" s="1" t="s">
        <v>41</v>
      </c>
      <c r="F33" s="14">
        <v>15</v>
      </c>
      <c r="G33" t="s">
        <v>41</v>
      </c>
      <c r="H33" s="14">
        <v>15</v>
      </c>
      <c r="I33" t="s">
        <v>41</v>
      </c>
      <c r="J33" s="14">
        <v>15</v>
      </c>
      <c r="K33" t="s">
        <v>41</v>
      </c>
      <c r="L33" s="14">
        <v>15</v>
      </c>
      <c r="N33" s="14">
        <f>+Harvest!N33/Effort!N33</f>
        <v>2.6261682242990654</v>
      </c>
      <c r="O33" s="38">
        <f>Harvest!O33/Effort!O33</f>
        <v>14.702609018046692</v>
      </c>
    </row>
    <row r="34" spans="1:15" x14ac:dyDescent="0.25">
      <c r="A34" s="92">
        <v>40237</v>
      </c>
      <c r="B34" s="107">
        <f t="shared" si="6"/>
        <v>40237</v>
      </c>
      <c r="C34" s="100">
        <v>-0.8</v>
      </c>
      <c r="D34" s="101">
        <v>0.76111111111111107</v>
      </c>
      <c r="F34" s="14">
        <f>+Harvest!F34/Effort!F34</f>
        <v>15</v>
      </c>
      <c r="H34" s="14">
        <f>+Harvest!H34/Effort!H34</f>
        <v>14.252141327623127</v>
      </c>
      <c r="I34" s="106"/>
      <c r="J34" s="14">
        <f>+Harvest!J34/Effort!J34</f>
        <v>14.844719195305951</v>
      </c>
      <c r="K34" s="106"/>
      <c r="L34" s="14">
        <f>+Harvest!L34/Effort!L34</f>
        <v>14.750871080139373</v>
      </c>
      <c r="N34" s="14">
        <f>+Harvest!N34/Effort!N34</f>
        <v>14.346153846153848</v>
      </c>
      <c r="O34" s="38">
        <f>Harvest!O34/Effort!O34</f>
        <v>14.807970192160235</v>
      </c>
    </row>
    <row r="35" spans="1:15" x14ac:dyDescent="0.25">
      <c r="A35" s="92">
        <v>40238</v>
      </c>
      <c r="B35" s="107">
        <f t="shared" si="6"/>
        <v>40238</v>
      </c>
      <c r="C35" s="100">
        <v>-0.4</v>
      </c>
      <c r="D35" s="101">
        <v>0.78888888888888886</v>
      </c>
      <c r="F35" s="14">
        <f>+Harvest!F35/Effort!F35</f>
        <v>3.332388377037562</v>
      </c>
      <c r="H35" s="14">
        <f>+Harvest!H35/Effort!H35</f>
        <v>13.036144578313253</v>
      </c>
      <c r="J35" s="13" t="s">
        <v>22</v>
      </c>
      <c r="L35" s="13" t="s">
        <v>22</v>
      </c>
      <c r="N35" s="13" t="s">
        <v>22</v>
      </c>
      <c r="O35" s="38"/>
    </row>
    <row r="36" spans="1:15" x14ac:dyDescent="0.25">
      <c r="A36" s="92"/>
      <c r="B36" s="107"/>
      <c r="C36" s="100"/>
      <c r="D36" s="101"/>
      <c r="F36" s="14"/>
      <c r="H36" s="14"/>
      <c r="J36" s="13"/>
      <c r="L36" s="13"/>
      <c r="N36" s="13"/>
      <c r="O36" s="38"/>
    </row>
    <row r="37" spans="1:15" x14ac:dyDescent="0.25">
      <c r="A37" s="92">
        <v>40263</v>
      </c>
      <c r="B37" s="107">
        <f t="shared" ref="B37:B43" si="7">A37</f>
        <v>40263</v>
      </c>
      <c r="C37" s="100">
        <v>0.1</v>
      </c>
      <c r="D37" s="101">
        <v>0.68680555555555556</v>
      </c>
      <c r="F37" s="14">
        <f>+Harvest!F37/Effort!F37</f>
        <v>14.788813886210221</v>
      </c>
      <c r="H37" s="14">
        <f>+Harvest!H37/Effort!H37</f>
        <v>14.762359063313097</v>
      </c>
      <c r="J37" s="13" t="s">
        <v>22</v>
      </c>
      <c r="K37" s="103"/>
      <c r="L37" s="13" t="s">
        <v>22</v>
      </c>
      <c r="M37" s="103"/>
      <c r="N37" s="14">
        <f>+Harvest!N37/Effort!N37</f>
        <v>11.86787587283432</v>
      </c>
      <c r="O37" s="38">
        <f>Harvest!O37/Effort!O37</f>
        <v>14.657328544450714</v>
      </c>
    </row>
    <row r="38" spans="1:15" x14ac:dyDescent="0.25">
      <c r="A38" s="92">
        <v>40264</v>
      </c>
      <c r="B38" s="107">
        <f t="shared" si="7"/>
        <v>40264</v>
      </c>
      <c r="C38" s="100">
        <v>-0.1</v>
      </c>
      <c r="D38" s="101">
        <v>0.72152777777777777</v>
      </c>
      <c r="E38" s="1" t="s">
        <v>41</v>
      </c>
      <c r="F38" s="14">
        <f>+Harvest!F38/Effort!F38</f>
        <v>10.666873304446396</v>
      </c>
      <c r="H38" s="14">
        <f>+Harvest!H38/Effort!H38</f>
        <v>14.734654555463804</v>
      </c>
      <c r="J38" s="14">
        <f>+Harvest!J38/Effort!J38</f>
        <v>13.841409691629956</v>
      </c>
      <c r="K38" s="106"/>
      <c r="L38" s="14">
        <f>+Harvest!L38/Effort!L38</f>
        <v>14.069127896025616</v>
      </c>
      <c r="M38" s="103"/>
      <c r="N38" s="14">
        <f>+Harvest!N38/Effort!N38</f>
        <v>11.859813084112149</v>
      </c>
      <c r="O38" s="38">
        <f>Harvest!O38/Effort!O38</f>
        <v>13.258399853126621</v>
      </c>
    </row>
    <row r="39" spans="1:15" x14ac:dyDescent="0.25">
      <c r="A39" s="92">
        <v>40265</v>
      </c>
      <c r="B39" s="107">
        <f t="shared" si="7"/>
        <v>40265</v>
      </c>
      <c r="C39" s="104">
        <v>0</v>
      </c>
      <c r="D39" s="101">
        <v>0.75277777777777777</v>
      </c>
      <c r="F39" s="14">
        <f>+Harvest!F39/Effort!F39</f>
        <v>3.9626207475850483</v>
      </c>
      <c r="G39" s="2" t="s">
        <v>41</v>
      </c>
      <c r="H39" s="14">
        <f>+Harvest!H39/Effort!H39</f>
        <v>5.4737546967620716</v>
      </c>
      <c r="J39" s="14">
        <f>+Harvest!J39/Effort!J39</f>
        <v>4.337662337662338</v>
      </c>
      <c r="K39" s="106"/>
      <c r="L39" s="14">
        <f>+Harvest!L39/Effort!L39</f>
        <v>7.000524109014675</v>
      </c>
      <c r="M39" s="103"/>
      <c r="N39" s="13" t="s">
        <v>22</v>
      </c>
      <c r="O39" s="38">
        <f>Harvest!O39/Effort!O39</f>
        <v>4.9372588170606377</v>
      </c>
    </row>
    <row r="40" spans="1:15" x14ac:dyDescent="0.25">
      <c r="A40" s="92">
        <v>40266</v>
      </c>
      <c r="B40" s="107">
        <f t="shared" si="7"/>
        <v>40266</v>
      </c>
      <c r="C40" s="100">
        <v>-0.1</v>
      </c>
      <c r="D40" s="101">
        <v>0.27430555555555552</v>
      </c>
      <c r="F40" s="14">
        <f>+Harvest!F40/Effort!F40</f>
        <v>1.0689655172413792</v>
      </c>
      <c r="H40" s="14">
        <f>+Harvest!H40/Effort!H40</f>
        <v>0</v>
      </c>
      <c r="J40" s="13" t="s">
        <v>22</v>
      </c>
      <c r="K40" s="103"/>
      <c r="L40" s="13" t="s">
        <v>22</v>
      </c>
      <c r="M40" s="103"/>
      <c r="N40" s="13" t="s">
        <v>22</v>
      </c>
      <c r="O40" s="38">
        <f>Harvest!O40/Effort!O40</f>
        <v>0.6992481203007519</v>
      </c>
    </row>
    <row r="41" spans="1:15" x14ac:dyDescent="0.25">
      <c r="A41" s="92">
        <v>40267</v>
      </c>
      <c r="B41" s="107">
        <f t="shared" si="7"/>
        <v>40267</v>
      </c>
      <c r="C41" s="100">
        <v>-0.7</v>
      </c>
      <c r="D41" s="101">
        <v>0.30694444444444441</v>
      </c>
      <c r="F41" s="14">
        <f>+Harvest!F41/Effort!F41</f>
        <v>5.2665869695158394</v>
      </c>
      <c r="G41" s="2" t="s">
        <v>41</v>
      </c>
      <c r="H41" s="14">
        <f>+Harvest!H41/Effort!H41</f>
        <v>6.6724296232010669</v>
      </c>
      <c r="J41" s="13" t="s">
        <v>22</v>
      </c>
      <c r="K41" s="103"/>
      <c r="L41" s="13" t="s">
        <v>22</v>
      </c>
      <c r="M41" s="103"/>
      <c r="N41" s="13" t="s">
        <v>22</v>
      </c>
      <c r="O41" s="38">
        <f>Harvest!O41/Effort!O41</f>
        <v>5.6868948245626028</v>
      </c>
    </row>
    <row r="42" spans="1:15" x14ac:dyDescent="0.25">
      <c r="A42" s="92">
        <v>40268</v>
      </c>
      <c r="B42" s="107">
        <f t="shared" si="7"/>
        <v>40268</v>
      </c>
      <c r="C42" s="104">
        <v>-1</v>
      </c>
      <c r="D42" s="101">
        <v>0.33819444444444446</v>
      </c>
      <c r="F42" s="14">
        <f>+Harvest!F42/Effort!F42</f>
        <v>11.839586028460543</v>
      </c>
      <c r="H42" s="14">
        <f>+Harvest!H42/Effort!H42</f>
        <v>15</v>
      </c>
      <c r="J42" s="13" t="s">
        <v>22</v>
      </c>
      <c r="K42" s="103"/>
      <c r="L42" s="13" t="s">
        <v>22</v>
      </c>
      <c r="M42" s="103"/>
      <c r="N42" s="13" t="s">
        <v>22</v>
      </c>
      <c r="O42" s="38">
        <f>Harvest!O42/Effort!O42</f>
        <v>12.784461910519951</v>
      </c>
    </row>
    <row r="43" spans="1:15" x14ac:dyDescent="0.25">
      <c r="A43" s="92">
        <v>40269</v>
      </c>
      <c r="B43" s="107">
        <f t="shared" si="7"/>
        <v>40269</v>
      </c>
      <c r="C43" s="104">
        <v>-1</v>
      </c>
      <c r="D43" s="101">
        <v>0.36944444444444446</v>
      </c>
      <c r="E43" s="2" t="s">
        <v>41</v>
      </c>
      <c r="F43" s="14">
        <f>+Harvest!F43/Effort!F43</f>
        <v>10.523826585453243</v>
      </c>
      <c r="G43" s="2" t="s">
        <v>41</v>
      </c>
      <c r="H43" s="14">
        <f>+Harvest!H43/Effort!H43</f>
        <v>13.333016745883997</v>
      </c>
      <c r="J43" s="13" t="s">
        <v>22</v>
      </c>
      <c r="K43" s="103"/>
      <c r="L43" s="13" t="s">
        <v>22</v>
      </c>
      <c r="M43" s="103"/>
      <c r="N43" s="13" t="s">
        <v>22</v>
      </c>
      <c r="O43" s="38">
        <f>Harvest!O43/Effort!O43</f>
        <v>11.363696316005244</v>
      </c>
    </row>
    <row r="45" spans="1:15" x14ac:dyDescent="0.25">
      <c r="A45" s="92">
        <v>40284</v>
      </c>
      <c r="B45" s="107">
        <f t="shared" ref="B45:B47" si="8">A45</f>
        <v>40284</v>
      </c>
      <c r="C45" s="100">
        <v>-0.7</v>
      </c>
      <c r="D45" s="101">
        <v>0.35555555555555557</v>
      </c>
      <c r="F45" s="14">
        <f>+Harvest!F45/Effort!F45</f>
        <v>14.721875927574947</v>
      </c>
      <c r="H45" s="14">
        <f>+Harvest!H45/Effort!H45</f>
        <v>14.492256637168142</v>
      </c>
      <c r="J45" s="13" t="s">
        <v>22</v>
      </c>
      <c r="K45" s="103"/>
      <c r="L45" s="13" t="s">
        <v>22</v>
      </c>
      <c r="M45" s="103"/>
      <c r="N45" s="13" t="s">
        <v>22</v>
      </c>
      <c r="O45" s="38">
        <f>Harvest!O45/Effort!O45</f>
        <v>14.641684373189106</v>
      </c>
    </row>
    <row r="46" spans="1:15" x14ac:dyDescent="0.25">
      <c r="A46" s="92">
        <v>40285</v>
      </c>
      <c r="B46" s="107">
        <f t="shared" si="8"/>
        <v>40285</v>
      </c>
      <c r="C46" s="100">
        <v>-0.7</v>
      </c>
      <c r="D46" s="101">
        <v>0.3833333333333333</v>
      </c>
      <c r="F46" s="14">
        <f>+Harvest!F46/Effort!F46</f>
        <v>14.605969331872947</v>
      </c>
      <c r="H46" s="14">
        <f>+Harvest!H46/Effort!H46</f>
        <v>14.747910592808552</v>
      </c>
      <c r="J46" s="13" t="s">
        <v>22</v>
      </c>
      <c r="K46" s="103"/>
      <c r="L46" s="13" t="s">
        <v>22</v>
      </c>
      <c r="M46" s="103"/>
      <c r="N46" s="14">
        <f>+Harvest!N46/Effort!N46</f>
        <v>7.8068181818181817</v>
      </c>
      <c r="O46" s="38">
        <f>Harvest!O46/Effort!O46</f>
        <v>14.354458669583371</v>
      </c>
    </row>
    <row r="47" spans="1:15" x14ac:dyDescent="0.25">
      <c r="A47" s="92">
        <v>40286</v>
      </c>
      <c r="B47" s="107">
        <f t="shared" si="8"/>
        <v>40286</v>
      </c>
      <c r="C47" s="100">
        <v>-0.6</v>
      </c>
      <c r="D47" s="101">
        <v>0.4152777777777778</v>
      </c>
      <c r="F47" s="14">
        <f>+Harvest!F47/Effort!F47</f>
        <v>14.100076161462301</v>
      </c>
      <c r="H47" s="14">
        <f>+Harvest!H47/Effort!H47</f>
        <v>14.965601503759398</v>
      </c>
      <c r="J47" s="13" t="s">
        <v>22</v>
      </c>
      <c r="K47" s="103"/>
      <c r="L47" s="13" t="s">
        <v>22</v>
      </c>
      <c r="M47" s="103"/>
      <c r="N47" s="14">
        <f>+Harvest!N47/Effort!N47</f>
        <v>12.506353475788174</v>
      </c>
      <c r="O47" s="38">
        <f>Harvest!O47/Effort!O47</f>
        <v>14.386409824146437</v>
      </c>
    </row>
    <row r="49" spans="1:15" x14ac:dyDescent="0.25">
      <c r="A49" s="92">
        <v>40295</v>
      </c>
      <c r="B49" s="107">
        <f t="shared" ref="B49:B54" si="9">A49</f>
        <v>40295</v>
      </c>
      <c r="C49" s="104">
        <v>-1</v>
      </c>
      <c r="D49" s="101">
        <v>0.26458333333333334</v>
      </c>
      <c r="F49" s="14">
        <f>+Harvest!F49/Effort!F49</f>
        <v>15</v>
      </c>
      <c r="H49" s="14">
        <f>+Harvest!H49/Effort!H49</f>
        <v>14.797216699801194</v>
      </c>
      <c r="J49" s="13" t="s">
        <v>22</v>
      </c>
      <c r="K49" s="106"/>
      <c r="L49" s="13" t="s">
        <v>22</v>
      </c>
      <c r="M49" s="106"/>
      <c r="N49" s="13" t="s">
        <v>22</v>
      </c>
      <c r="O49" s="38">
        <f>Harvest!O49/Effort!O49</f>
        <v>14.915562913907285</v>
      </c>
    </row>
    <row r="50" spans="1:15" x14ac:dyDescent="0.25">
      <c r="A50" s="92">
        <v>40296</v>
      </c>
      <c r="B50" s="107">
        <f t="shared" si="9"/>
        <v>40296</v>
      </c>
      <c r="C50" s="100">
        <v>-1.4</v>
      </c>
      <c r="D50" s="101">
        <v>0.29583333333333334</v>
      </c>
      <c r="F50" s="14">
        <f>+Harvest!F50/Effort!F50</f>
        <v>14.888551933282789</v>
      </c>
      <c r="H50" s="14">
        <f>+Harvest!H50/Effort!H50</f>
        <v>15</v>
      </c>
      <c r="J50" s="13" t="s">
        <v>22</v>
      </c>
      <c r="K50" s="106"/>
      <c r="L50" s="13" t="s">
        <v>22</v>
      </c>
      <c r="M50" s="106"/>
      <c r="N50" s="13" t="s">
        <v>22</v>
      </c>
      <c r="O50" s="38">
        <f>Harvest!O50/Effort!O50</f>
        <v>14.94017094017094</v>
      </c>
    </row>
    <row r="51" spans="1:15" x14ac:dyDescent="0.25">
      <c r="A51" s="92">
        <v>40297</v>
      </c>
      <c r="B51" s="107">
        <f t="shared" si="9"/>
        <v>40297</v>
      </c>
      <c r="C51" s="100">
        <v>-1.6</v>
      </c>
      <c r="D51" s="101">
        <v>0.3263888888888889</v>
      </c>
      <c r="F51" s="14">
        <f>+Harvest!F51/Effort!F51</f>
        <v>14.878181818181819</v>
      </c>
      <c r="H51" s="14">
        <f>+Harvest!H51/Effort!H51</f>
        <v>15</v>
      </c>
      <c r="J51" s="13" t="s">
        <v>22</v>
      </c>
      <c r="K51" s="106"/>
      <c r="L51" s="13" t="s">
        <v>22</v>
      </c>
      <c r="M51" s="106"/>
      <c r="N51" s="13" t="s">
        <v>22</v>
      </c>
      <c r="O51" s="38">
        <f>Harvest!O51/Effort!O51</f>
        <v>14.912760416666666</v>
      </c>
    </row>
    <row r="52" spans="1:15" x14ac:dyDescent="0.25">
      <c r="A52" s="92">
        <v>40298</v>
      </c>
      <c r="B52" s="107">
        <f t="shared" si="9"/>
        <v>40298</v>
      </c>
      <c r="C52" s="100">
        <v>-1.5</v>
      </c>
      <c r="D52" s="101">
        <v>0.35625000000000001</v>
      </c>
      <c r="F52" s="14">
        <f>+Harvest!F52/Effort!F52</f>
        <v>15</v>
      </c>
      <c r="H52" s="14">
        <f>+Harvest!H52/Effort!H52</f>
        <v>15</v>
      </c>
      <c r="J52" s="14">
        <f>+Harvest!J52/Effort!J52</f>
        <v>14.848982785602503</v>
      </c>
      <c r="K52" s="106"/>
      <c r="L52" s="14">
        <f>+Harvest!L52/Effort!L52</f>
        <v>14.89601494396015</v>
      </c>
      <c r="M52" s="106"/>
      <c r="N52" s="13" t="s">
        <v>22</v>
      </c>
      <c r="O52" s="38">
        <f>Harvest!O52/Effort!O52</f>
        <v>14.933780385582565</v>
      </c>
    </row>
    <row r="53" spans="1:15" x14ac:dyDescent="0.25">
      <c r="A53" s="92">
        <v>40299</v>
      </c>
      <c r="B53" s="107">
        <f t="shared" si="9"/>
        <v>40299</v>
      </c>
      <c r="C53" s="100">
        <v>-1.1000000000000001</v>
      </c>
      <c r="D53" s="101">
        <v>0.38541666666666669</v>
      </c>
      <c r="F53" s="14">
        <f>+Harvest!F53/Effort!F53</f>
        <v>15</v>
      </c>
      <c r="H53" s="14">
        <f>+Harvest!H53/Effort!H53</f>
        <v>14.744553609568561</v>
      </c>
      <c r="J53" s="14">
        <f>+Harvest!J53/Effort!J53</f>
        <v>15.059286316381005</v>
      </c>
      <c r="L53" s="14">
        <f>+Harvest!L53/Effort!L53</f>
        <v>15.000346260387811</v>
      </c>
      <c r="N53" s="14">
        <f>+Harvest!N53/Effort!N53</f>
        <v>13.3859649122807</v>
      </c>
      <c r="O53" s="38">
        <f>Harvest!O53/Effort!O53</f>
        <v>14.969806507717434</v>
      </c>
    </row>
    <row r="54" spans="1:15" x14ac:dyDescent="0.25">
      <c r="A54" s="92">
        <v>40300</v>
      </c>
      <c r="B54" s="107">
        <f t="shared" si="9"/>
        <v>40300</v>
      </c>
      <c r="C54" s="100">
        <v>-0.7</v>
      </c>
      <c r="D54" s="101">
        <v>0.4152777777777778</v>
      </c>
      <c r="F54" s="14">
        <f>+Harvest!F54/Effort!F54</f>
        <v>15</v>
      </c>
      <c r="G54" s="2" t="s">
        <v>41</v>
      </c>
      <c r="H54" s="14">
        <f>+Harvest!H54/Effort!H54</f>
        <v>14.710628521335448</v>
      </c>
      <c r="J54" s="14">
        <f>+Harvest!J54/Effort!J54</f>
        <v>14.999704229517894</v>
      </c>
      <c r="L54" s="14">
        <f>+Harvest!L54/Effort!L54</f>
        <v>14.952736318407959</v>
      </c>
      <c r="N54" s="14">
        <f>+Harvest!N54/Effort!N54</f>
        <v>13.385964912280702</v>
      </c>
      <c r="O54" s="38">
        <f>Harvest!O54/Effort!O54</f>
        <v>14.940564380727638</v>
      </c>
    </row>
    <row r="56" spans="1:15" x14ac:dyDescent="0.25">
      <c r="A56" s="92">
        <v>40313</v>
      </c>
      <c r="B56" s="107">
        <f t="shared" ref="B56:B57" si="10">A56</f>
        <v>40313</v>
      </c>
      <c r="C56" s="100">
        <v>-1.6</v>
      </c>
      <c r="D56" s="101">
        <v>0.34375</v>
      </c>
      <c r="F56" s="14">
        <f>+Harvest!F56/Effort!F56</f>
        <v>15</v>
      </c>
      <c r="H56" s="14">
        <f>+Harvest!H56/Effort!H56</f>
        <v>14.618386559441433</v>
      </c>
      <c r="J56" s="14">
        <f>+Harvest!J56/Effort!J56</f>
        <v>14.727956115400243</v>
      </c>
      <c r="L56" s="14">
        <f>+Harvest!L56/Effort!L56</f>
        <v>14.998559596687072</v>
      </c>
      <c r="N56" s="13" t="s">
        <v>22</v>
      </c>
      <c r="O56" s="38">
        <f>Harvest!O56/Effort!O56</f>
        <v>14.861992008988471</v>
      </c>
    </row>
    <row r="57" spans="1:15" x14ac:dyDescent="0.25">
      <c r="A57" s="92">
        <v>40314</v>
      </c>
      <c r="B57" s="107">
        <f t="shared" si="10"/>
        <v>40314</v>
      </c>
      <c r="C57" s="100">
        <v>-1.6</v>
      </c>
      <c r="D57" s="101">
        <v>0.37361111111111112</v>
      </c>
      <c r="F57" s="14">
        <f>+Harvest!F57/Effort!F57</f>
        <v>14.132485244165084</v>
      </c>
      <c r="H57" s="14">
        <f>+Harvest!H57/Effort!H57</f>
        <v>15</v>
      </c>
      <c r="J57" s="13" t="s">
        <v>22</v>
      </c>
      <c r="L57" s="13" t="s">
        <v>22</v>
      </c>
      <c r="N57" s="13" t="s">
        <v>22</v>
      </c>
      <c r="O57" s="38">
        <f>Harvest!O57/Effort!O57</f>
        <v>14.52080484879628</v>
      </c>
    </row>
    <row r="59" spans="1:15" x14ac:dyDescent="0.25">
      <c r="A59" s="40" t="s">
        <v>58</v>
      </c>
      <c r="F59" s="77">
        <f>Harvest!F59/Effort!F59</f>
        <v>13.172324955080784</v>
      </c>
      <c r="H59" s="77">
        <f>Harvest!H59/Effort!H59</f>
        <v>13.641565631799065</v>
      </c>
      <c r="J59" s="77">
        <f>Harvest!J59/Effort!J59</f>
        <v>12.994617822959579</v>
      </c>
      <c r="L59" s="77">
        <f>Harvest!L59/Effort!L59</f>
        <v>12.96767933603584</v>
      </c>
      <c r="N59" s="77">
        <f>Harvest!N59/Effort!N59</f>
        <v>10.197144820748223</v>
      </c>
      <c r="O59" s="77"/>
    </row>
    <row r="60" spans="1:15" x14ac:dyDescent="0.25">
      <c r="A60" s="39" t="s">
        <v>56</v>
      </c>
    </row>
  </sheetData>
  <mergeCells count="5">
    <mergeCell ref="E1:F1"/>
    <mergeCell ref="G1:H1"/>
    <mergeCell ref="I1:J1"/>
    <mergeCell ref="K1:L1"/>
    <mergeCell ref="M1:N1"/>
  </mergeCells>
  <pageMargins left="0.2" right="0.37" top="0.75" bottom="0.5" header="0.2" footer="0.25"/>
  <pageSetup scale="59" orientation="landscape" r:id="rId1"/>
  <headerFooter>
    <oddHeader>&amp;L&amp;12 2009 Fall / 2010 Spring Razor Clam Harvest Totals
&amp;"-,Italic"(Clams per Digger Trip)&amp;C&amp;12Non-Indian fishery&amp;R&amp;12&amp;KFF0000FINAL ESTIMATE</oddHeader>
    <oddFooter>&amp;LPage 2 of 3</oddFooter>
  </headerFooter>
  <ignoredErrors>
    <ignoredError sqref="J13:L13 L14 J14 H14 F14"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0"/>
  <sheetViews>
    <sheetView topLeftCell="A20" workbookViewId="0">
      <selection activeCell="J55" sqref="J55"/>
    </sheetView>
  </sheetViews>
  <sheetFormatPr defaultRowHeight="15" x14ac:dyDescent="0.25"/>
  <cols>
    <col min="1" max="1" width="17.7109375" customWidth="1"/>
    <col min="2" max="2" width="5.42578125" customWidth="1"/>
    <col min="3" max="3" width="7.7109375" style="1" customWidth="1"/>
    <col min="4" max="4" width="9.140625" style="1"/>
    <col min="5" max="5" width="3.7109375" style="1" customWidth="1"/>
    <col min="6" max="6" width="12.7109375" customWidth="1"/>
    <col min="7" max="7" width="3.7109375" customWidth="1"/>
    <col min="8" max="8" width="12.7109375" customWidth="1"/>
    <col min="9" max="9" width="3.7109375" customWidth="1"/>
    <col min="10" max="10" width="12.7109375" customWidth="1"/>
    <col min="11" max="11" width="3.7109375" customWidth="1"/>
    <col min="12" max="12" width="12.7109375" customWidth="1"/>
    <col min="13" max="13" width="3.7109375" customWidth="1"/>
    <col min="14" max="14" width="12.7109375" customWidth="1"/>
    <col min="15" max="15" width="13.42578125" customWidth="1"/>
  </cols>
  <sheetData>
    <row r="1" spans="1:17" x14ac:dyDescent="0.25">
      <c r="A1" s="28" t="s">
        <v>8</v>
      </c>
      <c r="B1" s="28" t="s">
        <v>5</v>
      </c>
      <c r="C1" s="28" t="s">
        <v>6</v>
      </c>
      <c r="D1" s="28" t="s">
        <v>7</v>
      </c>
      <c r="E1" s="244" t="s">
        <v>0</v>
      </c>
      <c r="F1" s="244"/>
      <c r="G1" s="244" t="s">
        <v>1</v>
      </c>
      <c r="H1" s="244"/>
      <c r="I1" s="244" t="s">
        <v>2</v>
      </c>
      <c r="J1" s="244"/>
      <c r="K1" s="244" t="s">
        <v>3</v>
      </c>
      <c r="L1" s="244"/>
      <c r="M1" s="244" t="s">
        <v>4</v>
      </c>
      <c r="N1" s="244"/>
      <c r="O1" s="36" t="s">
        <v>50</v>
      </c>
    </row>
    <row r="2" spans="1:17" x14ac:dyDescent="0.25">
      <c r="A2" s="5">
        <v>40102</v>
      </c>
      <c r="B2" s="6">
        <f>+A2</f>
        <v>40102</v>
      </c>
      <c r="C2" s="7">
        <v>-0.2</v>
      </c>
      <c r="D2" s="8">
        <v>0.7909722222222223</v>
      </c>
      <c r="E2" s="12"/>
      <c r="F2" s="13">
        <v>2530</v>
      </c>
      <c r="G2" s="10"/>
      <c r="H2" s="13">
        <v>1225</v>
      </c>
      <c r="I2" s="10"/>
      <c r="J2" s="13">
        <v>4924</v>
      </c>
      <c r="K2" s="11"/>
      <c r="L2" s="13" t="s">
        <v>22</v>
      </c>
      <c r="M2" s="9"/>
      <c r="N2" s="13" t="s">
        <v>22</v>
      </c>
      <c r="O2" s="37">
        <f>+F2+H2+J2</f>
        <v>8679</v>
      </c>
    </row>
    <row r="3" spans="1:17" x14ac:dyDescent="0.25">
      <c r="A3" s="5">
        <v>40103</v>
      </c>
      <c r="B3" s="6">
        <f t="shared" ref="B3:B5" si="0">+A3</f>
        <v>40103</v>
      </c>
      <c r="C3" s="1">
        <v>-0.7</v>
      </c>
      <c r="D3" s="34">
        <v>0.78055555555555556</v>
      </c>
      <c r="E3" s="3"/>
      <c r="F3" s="13">
        <v>4331</v>
      </c>
      <c r="G3" s="2"/>
      <c r="H3" s="13">
        <v>1920</v>
      </c>
      <c r="I3" s="2"/>
      <c r="J3" s="13">
        <v>6773</v>
      </c>
      <c r="K3" s="2"/>
      <c r="L3" s="13">
        <v>3496</v>
      </c>
      <c r="M3" s="2"/>
      <c r="N3" s="13">
        <v>427.28108695652179</v>
      </c>
      <c r="O3" s="37">
        <f>+F3+H3+J3+L3+N3</f>
        <v>16947.281086956522</v>
      </c>
    </row>
    <row r="4" spans="1:17" x14ac:dyDescent="0.25">
      <c r="A4" s="5">
        <v>40104</v>
      </c>
      <c r="B4" s="6">
        <f t="shared" si="0"/>
        <v>40104</v>
      </c>
      <c r="C4" s="35">
        <v>-1</v>
      </c>
      <c r="D4" s="34">
        <v>0.80972222222222223</v>
      </c>
      <c r="E4" s="2" t="s">
        <v>41</v>
      </c>
      <c r="F4" s="13">
        <f>(H4+J4)*(F2+F3)/(H2+H3+J2+J3)</f>
        <v>1941.9930602344698</v>
      </c>
      <c r="G4" s="2"/>
      <c r="H4" s="13">
        <v>1341</v>
      </c>
      <c r="I4" s="2"/>
      <c r="J4" s="13">
        <v>2860</v>
      </c>
      <c r="K4" s="2"/>
      <c r="L4" s="13">
        <v>1202</v>
      </c>
      <c r="M4" s="2"/>
      <c r="N4" s="13">
        <v>192.65988235294117</v>
      </c>
      <c r="O4" s="37">
        <f>+F4+H4+J4+L4+N4</f>
        <v>7537.6529425874114</v>
      </c>
    </row>
    <row r="5" spans="1:17" x14ac:dyDescent="0.25">
      <c r="A5" s="5">
        <v>40105</v>
      </c>
      <c r="B5" s="6">
        <f t="shared" si="0"/>
        <v>40105</v>
      </c>
      <c r="C5" s="1">
        <v>-1.1000000000000001</v>
      </c>
      <c r="D5" s="34">
        <v>0.83819444444444446</v>
      </c>
      <c r="E5" s="4"/>
      <c r="F5" s="13" t="s">
        <v>22</v>
      </c>
      <c r="G5" s="2"/>
      <c r="H5" s="13">
        <v>1294</v>
      </c>
      <c r="I5" s="2"/>
      <c r="J5" s="13" t="s">
        <v>22</v>
      </c>
      <c r="K5" s="2"/>
      <c r="L5" s="13" t="s">
        <v>22</v>
      </c>
      <c r="M5" s="2"/>
      <c r="N5" s="13" t="s">
        <v>22</v>
      </c>
      <c r="O5" s="37">
        <f>+H5</f>
        <v>1294</v>
      </c>
      <c r="Q5" s="37"/>
    </row>
    <row r="6" spans="1:17" x14ac:dyDescent="0.25">
      <c r="E6" s="3"/>
      <c r="F6" s="13"/>
      <c r="G6" s="2"/>
      <c r="H6" s="13"/>
      <c r="I6" s="2"/>
      <c r="J6" s="13"/>
      <c r="K6" s="2"/>
      <c r="L6" s="13"/>
      <c r="M6" s="2"/>
      <c r="N6" s="13"/>
    </row>
    <row r="7" spans="1:17" x14ac:dyDescent="0.25">
      <c r="A7" s="43">
        <v>40121</v>
      </c>
      <c r="B7" s="44">
        <f t="shared" ref="B7:B10" si="1">+A7</f>
        <v>40121</v>
      </c>
      <c r="C7" s="47">
        <v>-1.2</v>
      </c>
      <c r="D7" s="48">
        <v>0.8125</v>
      </c>
      <c r="E7" s="3"/>
      <c r="F7" s="13">
        <v>865</v>
      </c>
      <c r="G7" s="2"/>
      <c r="H7" s="13">
        <v>1065</v>
      </c>
      <c r="I7" s="2"/>
      <c r="J7" s="13" t="s">
        <v>22</v>
      </c>
      <c r="K7" s="2"/>
      <c r="L7" s="13" t="s">
        <v>22</v>
      </c>
      <c r="M7" s="2"/>
      <c r="N7" s="13" t="s">
        <v>22</v>
      </c>
      <c r="O7" s="37">
        <f>F7+H7</f>
        <v>1930</v>
      </c>
    </row>
    <row r="8" spans="1:17" x14ac:dyDescent="0.25">
      <c r="A8" s="43">
        <v>40122</v>
      </c>
      <c r="B8" s="91">
        <f t="shared" si="1"/>
        <v>40122</v>
      </c>
      <c r="C8" s="1">
        <v>-1.1000000000000001</v>
      </c>
      <c r="D8" s="34">
        <v>0.84444444444444444</v>
      </c>
      <c r="E8" s="3"/>
      <c r="F8" s="13" t="s">
        <v>22</v>
      </c>
      <c r="G8" s="2"/>
      <c r="H8" s="13">
        <v>156</v>
      </c>
      <c r="I8" s="2"/>
      <c r="J8" s="13" t="s">
        <v>22</v>
      </c>
      <c r="K8" s="2"/>
      <c r="L8" s="13" t="s">
        <v>22</v>
      </c>
      <c r="M8" s="2"/>
      <c r="N8" s="13" t="s">
        <v>22</v>
      </c>
      <c r="O8" s="37">
        <f>H8</f>
        <v>156</v>
      </c>
    </row>
    <row r="9" spans="1:17" x14ac:dyDescent="0.25">
      <c r="A9" s="43">
        <v>40123</v>
      </c>
      <c r="B9" s="91">
        <f t="shared" si="1"/>
        <v>40123</v>
      </c>
      <c r="C9" s="47">
        <v>-0.8</v>
      </c>
      <c r="D9" s="48">
        <v>0.87916666666666676</v>
      </c>
      <c r="E9" s="2"/>
      <c r="F9" s="13">
        <v>368.45534787123574</v>
      </c>
      <c r="G9" s="2" t="s">
        <v>41</v>
      </c>
      <c r="H9" s="13">
        <v>145</v>
      </c>
      <c r="I9" s="2"/>
      <c r="J9" s="13" t="s">
        <v>22</v>
      </c>
      <c r="K9" s="2"/>
      <c r="L9" s="13" t="s">
        <v>22</v>
      </c>
      <c r="M9" s="2"/>
      <c r="N9" s="13" t="s">
        <v>22</v>
      </c>
      <c r="O9" s="37">
        <f t="shared" ref="O9:O10" si="2">F9+H9</f>
        <v>513.45534787123574</v>
      </c>
    </row>
    <row r="10" spans="1:17" x14ac:dyDescent="0.25">
      <c r="A10" s="43">
        <v>40124</v>
      </c>
      <c r="B10" s="91">
        <f t="shared" si="1"/>
        <v>40124</v>
      </c>
      <c r="C10" s="47">
        <v>-0.4</v>
      </c>
      <c r="D10" s="48">
        <v>0.91666666666666663</v>
      </c>
      <c r="E10" s="3"/>
      <c r="F10" s="13">
        <f>H10*F7/H7</f>
        <v>492.19718309859155</v>
      </c>
      <c r="G10" s="2"/>
      <c r="H10" s="13">
        <v>606</v>
      </c>
      <c r="I10" s="2"/>
      <c r="J10" s="13" t="s">
        <v>22</v>
      </c>
      <c r="K10" s="2"/>
      <c r="L10" s="13" t="s">
        <v>22</v>
      </c>
      <c r="M10" s="2"/>
      <c r="N10" s="13" t="s">
        <v>22</v>
      </c>
      <c r="O10" s="37">
        <f t="shared" si="2"/>
        <v>1098.1971830985915</v>
      </c>
    </row>
    <row r="11" spans="1:17" x14ac:dyDescent="0.25">
      <c r="E11" s="3"/>
      <c r="F11" s="13"/>
      <c r="G11" s="2"/>
      <c r="H11" s="13"/>
      <c r="I11" s="2"/>
      <c r="J11" s="13"/>
      <c r="K11" s="2"/>
      <c r="L11" s="13"/>
      <c r="M11" s="2"/>
      <c r="N11" s="13"/>
    </row>
    <row r="12" spans="1:17" x14ac:dyDescent="0.25">
      <c r="A12" s="92">
        <v>40131</v>
      </c>
      <c r="B12" s="107">
        <f t="shared" ref="B12:B15" si="3">+A12</f>
        <v>40131</v>
      </c>
      <c r="C12" s="100">
        <v>-0.4</v>
      </c>
      <c r="D12" s="101">
        <v>0.69861111111111107</v>
      </c>
      <c r="E12" s="3"/>
      <c r="F12" s="13">
        <v>4282</v>
      </c>
      <c r="G12" s="2"/>
      <c r="H12" s="13">
        <v>1733</v>
      </c>
      <c r="I12" s="2"/>
      <c r="J12" s="13">
        <v>3936</v>
      </c>
      <c r="K12" s="2"/>
      <c r="L12" s="13">
        <v>2638</v>
      </c>
      <c r="M12" s="2"/>
      <c r="N12" s="13" t="s">
        <v>22</v>
      </c>
      <c r="O12" s="37">
        <f>F12+H12+J12+L12</f>
        <v>12589</v>
      </c>
    </row>
    <row r="13" spans="1:17" x14ac:dyDescent="0.25">
      <c r="A13" s="92">
        <v>40132</v>
      </c>
      <c r="B13" s="107">
        <f t="shared" si="3"/>
        <v>40132</v>
      </c>
      <c r="C13" s="100">
        <v>-0.8</v>
      </c>
      <c r="D13" s="101">
        <v>0.72916666666666663</v>
      </c>
      <c r="E13" s="3"/>
      <c r="F13" s="13">
        <v>1715</v>
      </c>
      <c r="G13" s="2"/>
      <c r="H13" s="13">
        <v>625</v>
      </c>
      <c r="I13" s="2"/>
      <c r="J13" s="13">
        <v>3833</v>
      </c>
      <c r="K13" s="2"/>
      <c r="L13" s="13">
        <v>1325</v>
      </c>
      <c r="M13" s="2"/>
      <c r="N13" s="13" t="s">
        <v>22</v>
      </c>
      <c r="O13" s="37">
        <f>F13+H13+J13+L13</f>
        <v>7498</v>
      </c>
    </row>
    <row r="14" spans="1:17" x14ac:dyDescent="0.25">
      <c r="A14" s="92">
        <v>40133</v>
      </c>
      <c r="B14" s="107">
        <f t="shared" si="3"/>
        <v>40133</v>
      </c>
      <c r="C14" s="104">
        <v>-1</v>
      </c>
      <c r="D14" s="101">
        <v>0.75694444444444453</v>
      </c>
      <c r="E14" s="2" t="s">
        <v>41</v>
      </c>
      <c r="F14" s="13">
        <f>J14*(F12+F13)/(J12+J13)</f>
        <v>301.04646672673448</v>
      </c>
      <c r="G14" s="2" t="s">
        <v>41</v>
      </c>
      <c r="H14" s="13">
        <f>J14*(H12+H13)/(J12+J13)</f>
        <v>118.37044664693011</v>
      </c>
      <c r="I14" s="2"/>
      <c r="J14" s="13">
        <v>390</v>
      </c>
      <c r="K14" s="2" t="s">
        <v>41</v>
      </c>
      <c r="L14" s="13">
        <f>J14*(L12+L13)/(J12+J13)</f>
        <v>198.94066160381001</v>
      </c>
      <c r="M14" s="2" t="s">
        <v>83</v>
      </c>
      <c r="N14" s="13">
        <v>22</v>
      </c>
      <c r="O14" s="37">
        <f>F14+H14+J14+L14+N14</f>
        <v>1030.3575749774745</v>
      </c>
      <c r="Q14" s="37"/>
    </row>
    <row r="15" spans="1:17" x14ac:dyDescent="0.25">
      <c r="A15" s="92">
        <v>40134</v>
      </c>
      <c r="B15" s="107">
        <f t="shared" si="3"/>
        <v>40134</v>
      </c>
      <c r="C15" s="100">
        <v>-0.9</v>
      </c>
      <c r="D15" s="101">
        <v>0.78402777777777777</v>
      </c>
      <c r="E15" s="3"/>
      <c r="F15" s="13" t="s">
        <v>22</v>
      </c>
      <c r="G15" s="2"/>
      <c r="H15" s="13">
        <v>283</v>
      </c>
      <c r="I15" s="2"/>
      <c r="J15" s="13" t="s">
        <v>22</v>
      </c>
      <c r="K15" s="2"/>
      <c r="L15" s="13" t="s">
        <v>22</v>
      </c>
      <c r="M15" s="2"/>
      <c r="N15" s="13" t="s">
        <v>22</v>
      </c>
      <c r="O15" s="37">
        <f>H15</f>
        <v>283</v>
      </c>
    </row>
    <row r="16" spans="1:17" x14ac:dyDescent="0.25">
      <c r="E16" s="3"/>
      <c r="F16" s="13"/>
      <c r="G16" s="2"/>
      <c r="H16" s="13"/>
      <c r="I16" s="2"/>
      <c r="J16" s="13"/>
      <c r="K16" s="2"/>
      <c r="L16" s="13"/>
      <c r="M16" s="2"/>
      <c r="N16" s="13"/>
    </row>
    <row r="17" spans="1:15" x14ac:dyDescent="0.25">
      <c r="A17" s="92">
        <v>40149</v>
      </c>
      <c r="B17" s="107">
        <f t="shared" ref="B17:B20" si="4">+A17</f>
        <v>40149</v>
      </c>
      <c r="C17" s="100">
        <v>-1.5</v>
      </c>
      <c r="D17" s="101">
        <v>0.77222222222222225</v>
      </c>
      <c r="E17" s="3"/>
      <c r="F17" s="13">
        <v>1396</v>
      </c>
      <c r="G17" s="2"/>
      <c r="H17" s="13">
        <v>651</v>
      </c>
      <c r="I17" s="2"/>
      <c r="J17" s="13" t="s">
        <v>22</v>
      </c>
      <c r="K17" s="2"/>
      <c r="L17" s="13" t="s">
        <v>22</v>
      </c>
      <c r="M17" s="2"/>
      <c r="N17" s="13" t="s">
        <v>22</v>
      </c>
      <c r="O17" s="37">
        <f>F17+H17</f>
        <v>2047</v>
      </c>
    </row>
    <row r="18" spans="1:15" x14ac:dyDescent="0.25">
      <c r="A18" s="92">
        <v>40150</v>
      </c>
      <c r="B18" s="107">
        <f t="shared" si="4"/>
        <v>40150</v>
      </c>
      <c r="C18" s="100">
        <v>-1.6</v>
      </c>
      <c r="D18" s="101">
        <v>0.80347222222222225</v>
      </c>
      <c r="E18" s="3"/>
      <c r="F18" s="13" t="s">
        <v>22</v>
      </c>
      <c r="G18" s="2"/>
      <c r="H18" s="13">
        <v>391</v>
      </c>
      <c r="I18" s="2"/>
      <c r="J18" s="13">
        <v>1364</v>
      </c>
      <c r="K18" s="2"/>
      <c r="L18" s="13">
        <v>548</v>
      </c>
      <c r="M18" s="2"/>
      <c r="N18" s="13" t="s">
        <v>22</v>
      </c>
      <c r="O18" s="37">
        <f>H18+J18+L18</f>
        <v>2303</v>
      </c>
    </row>
    <row r="19" spans="1:15" x14ac:dyDescent="0.25">
      <c r="A19" s="92">
        <v>40151</v>
      </c>
      <c r="B19" s="107">
        <f t="shared" si="4"/>
        <v>40151</v>
      </c>
      <c r="C19" s="100">
        <v>-1.5</v>
      </c>
      <c r="D19" s="101">
        <v>0.83611111111111114</v>
      </c>
      <c r="F19" s="13">
        <v>894</v>
      </c>
      <c r="G19" s="2" t="s">
        <v>41</v>
      </c>
      <c r="H19" s="13">
        <f>(J19+L19)*(H18+H20)/(J18+L18+J20+L20)</f>
        <v>464.55300222386956</v>
      </c>
      <c r="I19" s="2"/>
      <c r="J19" s="13">
        <v>1484</v>
      </c>
      <c r="K19" s="2"/>
      <c r="L19" s="13">
        <v>945</v>
      </c>
      <c r="M19" s="2"/>
      <c r="N19" s="13">
        <v>161.93569103053434</v>
      </c>
      <c r="O19" s="37">
        <f>F19+H19+J19+L19+N19</f>
        <v>3949.4886932544036</v>
      </c>
    </row>
    <row r="20" spans="1:15" x14ac:dyDescent="0.25">
      <c r="A20" s="92">
        <v>40152</v>
      </c>
      <c r="B20" s="107">
        <f t="shared" si="4"/>
        <v>40152</v>
      </c>
      <c r="C20" s="100">
        <v>-1.1000000000000001</v>
      </c>
      <c r="D20" s="101">
        <v>0.86875000000000002</v>
      </c>
      <c r="E20" s="2" t="s">
        <v>41</v>
      </c>
      <c r="F20" s="13">
        <f>H20*F17/H17</f>
        <v>821.3026113671275</v>
      </c>
      <c r="G20" s="2"/>
      <c r="H20" s="13">
        <v>383</v>
      </c>
      <c r="I20" s="2"/>
      <c r="J20" s="13">
        <v>1347</v>
      </c>
      <c r="K20" s="2"/>
      <c r="L20" s="13">
        <v>788</v>
      </c>
      <c r="M20" s="2"/>
      <c r="N20" s="13">
        <v>219.25029846440617</v>
      </c>
      <c r="O20" s="37">
        <f>F20+H20+J20+L20+N20</f>
        <v>3558.5529098315337</v>
      </c>
    </row>
    <row r="21" spans="1:15" x14ac:dyDescent="0.25">
      <c r="O21" s="37"/>
    </row>
    <row r="22" spans="1:15" x14ac:dyDescent="0.25">
      <c r="A22" s="92">
        <v>40178</v>
      </c>
      <c r="B22" s="107">
        <f t="shared" ref="B22:B25" si="5">+A22</f>
        <v>40178</v>
      </c>
      <c r="C22" s="100">
        <v>-1.6</v>
      </c>
      <c r="D22" s="101">
        <v>0.76250000000000007</v>
      </c>
      <c r="F22" s="13">
        <v>2025</v>
      </c>
      <c r="G22" s="2"/>
      <c r="H22" s="13">
        <v>805</v>
      </c>
      <c r="I22" s="2"/>
      <c r="J22" s="13">
        <v>3264</v>
      </c>
      <c r="K22" s="2"/>
      <c r="L22" s="13">
        <v>1487</v>
      </c>
      <c r="M22" s="2"/>
      <c r="N22" s="13">
        <v>299.71141399281959</v>
      </c>
      <c r="O22" s="37">
        <f>F22+H22+J22+L22+N22</f>
        <v>7880.7114139928199</v>
      </c>
    </row>
    <row r="23" spans="1:15" x14ac:dyDescent="0.25">
      <c r="A23" s="92">
        <v>40179</v>
      </c>
      <c r="B23" s="107">
        <f t="shared" si="5"/>
        <v>40179</v>
      </c>
      <c r="C23" s="100">
        <v>-1.8</v>
      </c>
      <c r="D23" s="101">
        <v>0.79236111111111107</v>
      </c>
      <c r="E23" s="2" t="s">
        <v>41</v>
      </c>
      <c r="F23" s="13">
        <f>(J23+L23)*(F22+F24)/(J22+L22+J24+L24)</f>
        <v>4141.1018271967678</v>
      </c>
      <c r="G23" s="2" t="s">
        <v>41</v>
      </c>
      <c r="H23" s="13">
        <f>(J23+L23)*(H22+H24)/(J22+L22+J24+L24)</f>
        <v>1274.9782389128638</v>
      </c>
      <c r="I23" s="2"/>
      <c r="J23" s="13">
        <v>6521</v>
      </c>
      <c r="K23" s="2"/>
      <c r="L23" s="13">
        <v>2836</v>
      </c>
      <c r="M23" s="2"/>
      <c r="N23" s="13">
        <v>202.81573827699017</v>
      </c>
      <c r="O23" s="37">
        <f>F23+H23+J23+L23+N23</f>
        <v>14975.895804386622</v>
      </c>
    </row>
    <row r="24" spans="1:15" x14ac:dyDescent="0.25">
      <c r="A24" s="92">
        <v>40180</v>
      </c>
      <c r="B24" s="107">
        <f t="shared" si="5"/>
        <v>40180</v>
      </c>
      <c r="C24" s="100">
        <v>-1.6</v>
      </c>
      <c r="D24" s="101">
        <v>0.82291666666666663</v>
      </c>
      <c r="F24" s="13">
        <v>2795</v>
      </c>
      <c r="G24" s="2"/>
      <c r="H24" s="13">
        <v>679</v>
      </c>
      <c r="I24" s="2"/>
      <c r="J24" s="13">
        <v>4167</v>
      </c>
      <c r="K24" s="2"/>
      <c r="L24" s="13">
        <v>1973</v>
      </c>
      <c r="M24" s="2"/>
      <c r="N24" s="13" t="s">
        <v>22</v>
      </c>
      <c r="O24" s="37">
        <f>F24+H24+J24+L24</f>
        <v>9614</v>
      </c>
    </row>
    <row r="25" spans="1:15" x14ac:dyDescent="0.25">
      <c r="A25" s="92">
        <v>40181</v>
      </c>
      <c r="B25" s="107">
        <f t="shared" si="5"/>
        <v>40181</v>
      </c>
      <c r="C25" s="100">
        <v>-1.2</v>
      </c>
      <c r="D25" s="101">
        <v>0.8534722222222223</v>
      </c>
      <c r="F25" s="13" t="s">
        <v>22</v>
      </c>
      <c r="G25" s="2"/>
      <c r="H25" s="13">
        <v>350</v>
      </c>
      <c r="I25" s="2"/>
      <c r="J25" s="13" t="s">
        <v>22</v>
      </c>
      <c r="K25" s="2"/>
      <c r="L25" s="13" t="s">
        <v>22</v>
      </c>
      <c r="M25" s="2"/>
      <c r="N25" s="13" t="s">
        <v>22</v>
      </c>
      <c r="O25" s="37">
        <f>H25</f>
        <v>350</v>
      </c>
    </row>
    <row r="26" spans="1:15" x14ac:dyDescent="0.25">
      <c r="O26" s="37"/>
    </row>
    <row r="27" spans="1:15" x14ac:dyDescent="0.25">
      <c r="A27" s="92">
        <v>40206</v>
      </c>
      <c r="B27" s="107">
        <f>A27</f>
        <v>40206</v>
      </c>
      <c r="C27" s="100">
        <v>-1.1000000000000001</v>
      </c>
      <c r="D27" s="101">
        <v>0.71736111111111101</v>
      </c>
      <c r="F27" s="13" t="s">
        <v>22</v>
      </c>
      <c r="H27" s="13">
        <v>861</v>
      </c>
      <c r="J27" s="13" t="s">
        <v>22</v>
      </c>
      <c r="L27" s="13" t="s">
        <v>22</v>
      </c>
      <c r="N27" s="13" t="s">
        <v>22</v>
      </c>
      <c r="O27" s="37">
        <f>H27</f>
        <v>861</v>
      </c>
    </row>
    <row r="28" spans="1:15" x14ac:dyDescent="0.25">
      <c r="A28" s="92">
        <v>40207</v>
      </c>
      <c r="B28" s="107">
        <f t="shared" ref="B28:B30" si="6">A28</f>
        <v>40207</v>
      </c>
      <c r="C28" s="100">
        <v>-1.5</v>
      </c>
      <c r="D28" s="101">
        <v>0.74861111111111101</v>
      </c>
      <c r="F28" s="13" t="s">
        <v>22</v>
      </c>
      <c r="H28" s="13">
        <v>1685</v>
      </c>
      <c r="J28" s="13">
        <v>4578</v>
      </c>
      <c r="L28" s="13">
        <v>2378</v>
      </c>
      <c r="N28" s="13" t="s">
        <v>22</v>
      </c>
      <c r="O28" s="37">
        <f>H28+J28+L28</f>
        <v>8641</v>
      </c>
    </row>
    <row r="29" spans="1:15" x14ac:dyDescent="0.25">
      <c r="A29" s="92">
        <v>40208</v>
      </c>
      <c r="B29" s="107">
        <f t="shared" si="6"/>
        <v>40208</v>
      </c>
      <c r="C29" s="100">
        <v>-1.5</v>
      </c>
      <c r="D29" s="101">
        <v>0.77847222222222223</v>
      </c>
      <c r="F29" s="13" t="s">
        <v>22</v>
      </c>
      <c r="H29" s="13">
        <v>2490</v>
      </c>
      <c r="J29" s="13">
        <v>5240</v>
      </c>
      <c r="L29" s="13">
        <v>3418</v>
      </c>
      <c r="N29" s="13">
        <v>228.50497560975612</v>
      </c>
      <c r="O29" s="37">
        <f>H29+J29+L29+N29</f>
        <v>11376.504975609756</v>
      </c>
    </row>
    <row r="30" spans="1:15" x14ac:dyDescent="0.25">
      <c r="A30" s="92">
        <v>40209</v>
      </c>
      <c r="B30" s="107">
        <f t="shared" si="6"/>
        <v>40209</v>
      </c>
      <c r="C30" s="100">
        <v>-1.2</v>
      </c>
      <c r="D30" s="101">
        <v>0.80763888888888891</v>
      </c>
      <c r="F30" s="13" t="s">
        <v>22</v>
      </c>
      <c r="H30" s="13">
        <v>540</v>
      </c>
      <c r="J30" s="13">
        <v>2737</v>
      </c>
      <c r="L30" s="13">
        <v>927</v>
      </c>
      <c r="N30" s="13">
        <v>111.64294736842106</v>
      </c>
      <c r="O30" s="37">
        <f>H30+J30+L30+N30</f>
        <v>4315.6429473684211</v>
      </c>
    </row>
    <row r="31" spans="1:15" x14ac:dyDescent="0.25">
      <c r="A31" s="92"/>
      <c r="B31" s="107"/>
      <c r="C31" s="100"/>
      <c r="D31" s="101"/>
      <c r="F31" s="13"/>
      <c r="H31" s="13"/>
      <c r="J31" s="13"/>
      <c r="L31" s="13"/>
      <c r="N31" s="13"/>
      <c r="O31" s="37"/>
    </row>
    <row r="32" spans="1:15" x14ac:dyDescent="0.25">
      <c r="A32" s="92">
        <v>40235</v>
      </c>
      <c r="B32" s="107">
        <f t="shared" ref="B32:B35" si="7">A32</f>
        <v>40235</v>
      </c>
      <c r="C32" s="100">
        <v>-0.7</v>
      </c>
      <c r="D32" s="101">
        <v>0.7006944444444444</v>
      </c>
      <c r="F32" s="13">
        <v>2703</v>
      </c>
      <c r="H32" s="13">
        <v>1283</v>
      </c>
      <c r="J32" s="13">
        <v>4088</v>
      </c>
      <c r="L32" s="152">
        <v>1725</v>
      </c>
      <c r="N32" s="13" t="s">
        <v>22</v>
      </c>
      <c r="O32" s="37">
        <f>F32+H32+J32+L32</f>
        <v>9799</v>
      </c>
    </row>
    <row r="33" spans="1:15" x14ac:dyDescent="0.25">
      <c r="A33" s="92">
        <v>40236</v>
      </c>
      <c r="B33" s="107">
        <f t="shared" si="7"/>
        <v>40236</v>
      </c>
      <c r="C33" s="100">
        <v>-0.9</v>
      </c>
      <c r="D33" s="101">
        <v>0.7319444444444444</v>
      </c>
      <c r="E33" s="2" t="s">
        <v>41</v>
      </c>
      <c r="F33" s="13">
        <v>4600</v>
      </c>
      <c r="G33" s="2" t="s">
        <v>41</v>
      </c>
      <c r="H33" s="13">
        <v>550</v>
      </c>
      <c r="I33" s="2" t="s">
        <v>41</v>
      </c>
      <c r="J33" s="13">
        <f>+J34*0.3</f>
        <v>2863.2</v>
      </c>
      <c r="K33" s="2" t="s">
        <v>41</v>
      </c>
      <c r="L33" s="13">
        <f>+L34*0.3</f>
        <v>688.8</v>
      </c>
      <c r="M33" s="2"/>
      <c r="N33" s="13">
        <v>129.00293650793651</v>
      </c>
      <c r="O33" s="37">
        <f>F33+H33+J33+L33+N33</f>
        <v>8831.0029365079372</v>
      </c>
    </row>
    <row r="34" spans="1:15" x14ac:dyDescent="0.25">
      <c r="A34" s="92">
        <v>40237</v>
      </c>
      <c r="B34" s="107">
        <f t="shared" si="7"/>
        <v>40237</v>
      </c>
      <c r="C34" s="100">
        <v>-0.8</v>
      </c>
      <c r="D34" s="101">
        <v>0.76111111111111107</v>
      </c>
      <c r="F34" s="13">
        <v>4661</v>
      </c>
      <c r="H34" s="13">
        <v>1868</v>
      </c>
      <c r="J34" s="13">
        <v>9544</v>
      </c>
      <c r="L34" s="13">
        <v>2296</v>
      </c>
      <c r="N34" s="13">
        <v>165.42407142857144</v>
      </c>
      <c r="O34" s="37">
        <f>F34+H34+J34+L34+N34</f>
        <v>18534.42407142857</v>
      </c>
    </row>
    <row r="35" spans="1:15" x14ac:dyDescent="0.25">
      <c r="A35" s="92">
        <v>40238</v>
      </c>
      <c r="B35" s="107">
        <f t="shared" si="7"/>
        <v>40238</v>
      </c>
      <c r="C35" s="100">
        <v>-0.4</v>
      </c>
      <c r="D35" s="101">
        <v>0.78888888888888886</v>
      </c>
      <c r="F35" s="13">
        <v>1411</v>
      </c>
      <c r="H35" s="13">
        <v>996</v>
      </c>
      <c r="J35" s="13" t="s">
        <v>22</v>
      </c>
      <c r="L35" s="13" t="s">
        <v>22</v>
      </c>
      <c r="N35" s="13" t="s">
        <v>22</v>
      </c>
      <c r="O35">
        <f>F35+H35</f>
        <v>2407</v>
      </c>
    </row>
    <row r="36" spans="1:15" x14ac:dyDescent="0.25">
      <c r="A36" s="92"/>
      <c r="B36" s="107"/>
      <c r="C36" s="100"/>
      <c r="D36" s="101"/>
      <c r="F36" s="13"/>
      <c r="H36" s="13"/>
      <c r="J36" s="13"/>
      <c r="L36" s="13"/>
      <c r="N36" s="13"/>
    </row>
    <row r="37" spans="1:15" x14ac:dyDescent="0.25">
      <c r="A37" s="92">
        <v>40263</v>
      </c>
      <c r="B37" s="107">
        <f t="shared" ref="B37:B43" si="8">A37</f>
        <v>40263</v>
      </c>
      <c r="C37" s="100">
        <v>0.1</v>
      </c>
      <c r="D37" s="101">
        <v>0.68680555555555556</v>
      </c>
      <c r="F37" s="13">
        <v>4148</v>
      </c>
      <c r="H37" s="13">
        <v>1153</v>
      </c>
      <c r="J37" s="13" t="s">
        <v>22</v>
      </c>
      <c r="K37" s="103"/>
      <c r="L37" s="13" t="s">
        <v>22</v>
      </c>
      <c r="M37" s="103"/>
      <c r="N37" s="13">
        <v>238.9362589473684</v>
      </c>
      <c r="O37" s="37">
        <f>F37+H37+N37</f>
        <v>5539.9362589473685</v>
      </c>
    </row>
    <row r="38" spans="1:15" x14ac:dyDescent="0.25">
      <c r="A38" s="92">
        <v>40264</v>
      </c>
      <c r="B38" s="107">
        <f t="shared" si="8"/>
        <v>40264</v>
      </c>
      <c r="C38" s="100">
        <v>-0.1</v>
      </c>
      <c r="D38" s="101">
        <v>0.72152777777777777</v>
      </c>
      <c r="E38" s="1" t="s">
        <v>41</v>
      </c>
      <c r="F38" s="13">
        <f>(J38+L38)*F39/(J39+L39)</f>
        <v>5291.5036267721725</v>
      </c>
      <c r="H38" s="13">
        <v>3633</v>
      </c>
      <c r="J38" s="13">
        <v>8172</v>
      </c>
      <c r="K38" s="103"/>
      <c r="L38" s="13">
        <v>5309</v>
      </c>
      <c r="M38" s="103"/>
      <c r="N38" s="13">
        <v>513.85641441441442</v>
      </c>
      <c r="O38" s="37">
        <f>F38+H38+J38+L38+N38</f>
        <v>22919.360041186588</v>
      </c>
    </row>
    <row r="39" spans="1:15" x14ac:dyDescent="0.25">
      <c r="A39" s="92">
        <v>40265</v>
      </c>
      <c r="B39" s="107">
        <f t="shared" si="8"/>
        <v>40265</v>
      </c>
      <c r="C39" s="104">
        <v>0</v>
      </c>
      <c r="D39" s="101">
        <v>0.75277777777777777</v>
      </c>
      <c r="F39" s="13">
        <v>2381</v>
      </c>
      <c r="G39" s="2" t="s">
        <v>41</v>
      </c>
      <c r="H39" s="13">
        <f>(J39+L39)*H38/(J38+L38)</f>
        <v>1634.7287293227505</v>
      </c>
      <c r="J39" s="13">
        <v>4158</v>
      </c>
      <c r="K39" s="103"/>
      <c r="L39" s="13">
        <v>1908</v>
      </c>
      <c r="M39" s="103"/>
      <c r="N39" s="13" t="s">
        <v>22</v>
      </c>
      <c r="O39" s="37">
        <f>F39+H39+J39+L39</f>
        <v>10081.728729322751</v>
      </c>
    </row>
    <row r="40" spans="1:15" x14ac:dyDescent="0.25">
      <c r="A40" s="92">
        <v>40266</v>
      </c>
      <c r="B40" s="107">
        <f t="shared" si="8"/>
        <v>40266</v>
      </c>
      <c r="C40" s="100">
        <v>-0.1</v>
      </c>
      <c r="D40" s="101">
        <v>0.27430555555555552</v>
      </c>
      <c r="F40" s="13">
        <v>174</v>
      </c>
      <c r="H40" s="13">
        <v>92</v>
      </c>
      <c r="J40" s="13" t="s">
        <v>22</v>
      </c>
      <c r="K40" s="103"/>
      <c r="L40" s="13" t="s">
        <v>22</v>
      </c>
      <c r="M40" s="103"/>
      <c r="N40" s="13" t="s">
        <v>22</v>
      </c>
      <c r="O40" s="37">
        <f>F40+H40</f>
        <v>266</v>
      </c>
    </row>
    <row r="41" spans="1:15" x14ac:dyDescent="0.25">
      <c r="A41" s="92">
        <v>40267</v>
      </c>
      <c r="B41" s="107">
        <f t="shared" si="8"/>
        <v>40267</v>
      </c>
      <c r="C41" s="100">
        <v>-0.7</v>
      </c>
      <c r="D41" s="101">
        <v>0.30694444444444441</v>
      </c>
      <c r="F41" s="13">
        <v>1673</v>
      </c>
      <c r="G41" s="2" t="s">
        <v>41</v>
      </c>
      <c r="H41" s="13">
        <f>F41*H42/F42</f>
        <v>713.49590340664076</v>
      </c>
      <c r="J41" s="13" t="s">
        <v>22</v>
      </c>
      <c r="K41" s="103"/>
      <c r="L41" s="13" t="s">
        <v>22</v>
      </c>
      <c r="M41" s="103"/>
      <c r="N41" s="13" t="s">
        <v>22</v>
      </c>
      <c r="O41" s="37">
        <f t="shared" ref="O41:O43" si="9">F41+H41</f>
        <v>2386.4959034066405</v>
      </c>
    </row>
    <row r="42" spans="1:15" x14ac:dyDescent="0.25">
      <c r="A42" s="92">
        <v>40268</v>
      </c>
      <c r="B42" s="107">
        <f t="shared" si="8"/>
        <v>40268</v>
      </c>
      <c r="C42" s="104">
        <v>-1</v>
      </c>
      <c r="D42" s="101">
        <v>0.33819444444444446</v>
      </c>
      <c r="F42" s="13">
        <v>2319</v>
      </c>
      <c r="H42" s="13">
        <v>989</v>
      </c>
      <c r="J42" s="13" t="s">
        <v>22</v>
      </c>
      <c r="K42" s="103"/>
      <c r="L42" s="13" t="s">
        <v>22</v>
      </c>
      <c r="M42" s="103"/>
      <c r="N42" s="13" t="s">
        <v>22</v>
      </c>
      <c r="O42" s="37">
        <f t="shared" si="9"/>
        <v>3308</v>
      </c>
    </row>
    <row r="43" spans="1:15" x14ac:dyDescent="0.25">
      <c r="A43" s="92">
        <v>40269</v>
      </c>
      <c r="B43" s="107">
        <f t="shared" si="8"/>
        <v>40269</v>
      </c>
      <c r="C43" s="104">
        <v>-1</v>
      </c>
      <c r="D43" s="101">
        <v>0.36944444444444446</v>
      </c>
      <c r="F43" s="13">
        <v>2791</v>
      </c>
      <c r="G43" s="2" t="s">
        <v>41</v>
      </c>
      <c r="H43" s="13">
        <f>F43*H42/F42</f>
        <v>1190.2971108236309</v>
      </c>
      <c r="J43" s="13" t="s">
        <v>22</v>
      </c>
      <c r="K43" s="103"/>
      <c r="L43" s="13" t="s">
        <v>22</v>
      </c>
      <c r="M43" s="103"/>
      <c r="N43" s="13" t="s">
        <v>22</v>
      </c>
      <c r="O43" s="37">
        <f t="shared" si="9"/>
        <v>3981.2971108236306</v>
      </c>
    </row>
    <row r="45" spans="1:15" x14ac:dyDescent="0.25">
      <c r="A45" s="92">
        <v>40284</v>
      </c>
      <c r="B45" s="107">
        <f t="shared" ref="B45:B47" si="10">A45</f>
        <v>40284</v>
      </c>
      <c r="C45" s="100">
        <v>-0.7</v>
      </c>
      <c r="D45" s="101">
        <v>0.35555555555555557</v>
      </c>
      <c r="F45" s="13">
        <v>3369</v>
      </c>
      <c r="H45" s="13">
        <v>1808</v>
      </c>
      <c r="J45" s="13" t="s">
        <v>22</v>
      </c>
      <c r="K45" s="103"/>
      <c r="L45" s="13" t="s">
        <v>22</v>
      </c>
      <c r="M45" s="103"/>
      <c r="N45" s="13" t="s">
        <v>22</v>
      </c>
      <c r="O45" s="37">
        <f>F45+H45</f>
        <v>5177</v>
      </c>
    </row>
    <row r="46" spans="1:15" x14ac:dyDescent="0.25">
      <c r="A46" s="92">
        <v>40285</v>
      </c>
      <c r="B46" s="107">
        <f t="shared" si="10"/>
        <v>40285</v>
      </c>
      <c r="C46" s="100">
        <v>-0.7</v>
      </c>
      <c r="D46" s="101">
        <v>0.3833333333333333</v>
      </c>
      <c r="F46" s="13">
        <v>7304</v>
      </c>
      <c r="H46" s="13">
        <v>5145</v>
      </c>
      <c r="J46" s="13" t="s">
        <v>22</v>
      </c>
      <c r="K46" s="103"/>
      <c r="L46" s="13" t="s">
        <v>22</v>
      </c>
      <c r="M46" s="103"/>
      <c r="N46" s="13">
        <v>589.73061052631579</v>
      </c>
      <c r="O46" s="37">
        <f>F46+H46+N46</f>
        <v>13038.730610526316</v>
      </c>
    </row>
    <row r="47" spans="1:15" x14ac:dyDescent="0.25">
      <c r="A47" s="92">
        <v>40286</v>
      </c>
      <c r="B47" s="107">
        <f t="shared" si="10"/>
        <v>40286</v>
      </c>
      <c r="C47" s="100">
        <v>-0.6</v>
      </c>
      <c r="D47" s="101">
        <v>0.4152777777777778</v>
      </c>
      <c r="F47" s="13">
        <v>6565</v>
      </c>
      <c r="H47" s="13">
        <v>5320</v>
      </c>
      <c r="J47" s="13" t="s">
        <v>22</v>
      </c>
      <c r="K47" s="103"/>
      <c r="L47" s="13" t="s">
        <v>22</v>
      </c>
      <c r="M47" s="103"/>
      <c r="N47" s="13">
        <v>639.08682368421057</v>
      </c>
      <c r="O47" s="37">
        <f>F47+H47+N47</f>
        <v>12524.086823684211</v>
      </c>
    </row>
    <row r="48" spans="1:15" x14ac:dyDescent="0.25">
      <c r="J48" s="13"/>
      <c r="K48" s="103"/>
      <c r="L48" s="13"/>
      <c r="M48" s="103"/>
      <c r="N48" s="13"/>
    </row>
    <row r="49" spans="1:15" x14ac:dyDescent="0.25">
      <c r="A49" s="92">
        <v>40295</v>
      </c>
      <c r="B49" s="107">
        <f t="shared" ref="B49:B54" si="11">A49</f>
        <v>40295</v>
      </c>
      <c r="C49" s="104">
        <v>-1</v>
      </c>
      <c r="D49" s="101">
        <v>0.26458333333333334</v>
      </c>
      <c r="F49" s="13">
        <v>705</v>
      </c>
      <c r="H49" s="13">
        <v>503</v>
      </c>
      <c r="J49" s="13" t="s">
        <v>22</v>
      </c>
      <c r="K49" s="106"/>
      <c r="L49" s="13" t="s">
        <v>22</v>
      </c>
      <c r="M49" s="106"/>
      <c r="N49" s="13" t="s">
        <v>22</v>
      </c>
      <c r="O49" s="37">
        <f>F49+H49</f>
        <v>1208</v>
      </c>
    </row>
    <row r="50" spans="1:15" x14ac:dyDescent="0.25">
      <c r="A50" s="92">
        <v>40296</v>
      </c>
      <c r="B50" s="107">
        <f t="shared" si="11"/>
        <v>40296</v>
      </c>
      <c r="C50" s="100">
        <v>-1.4</v>
      </c>
      <c r="D50" s="101">
        <v>0.29583333333333334</v>
      </c>
      <c r="F50" s="13">
        <v>1319</v>
      </c>
      <c r="H50" s="13">
        <v>1138</v>
      </c>
      <c r="J50" s="13" t="s">
        <v>22</v>
      </c>
      <c r="K50" s="106"/>
      <c r="L50" s="13" t="s">
        <v>22</v>
      </c>
      <c r="M50" s="106"/>
      <c r="N50" s="13" t="s">
        <v>22</v>
      </c>
      <c r="O50" s="37">
        <f>F50+H50</f>
        <v>2457</v>
      </c>
    </row>
    <row r="51" spans="1:15" x14ac:dyDescent="0.25">
      <c r="A51" s="92">
        <v>40297</v>
      </c>
      <c r="B51" s="107">
        <f t="shared" si="11"/>
        <v>40297</v>
      </c>
      <c r="C51" s="100">
        <v>-1.6</v>
      </c>
      <c r="D51" s="101">
        <v>0.3263888888888889</v>
      </c>
      <c r="F51" s="13">
        <v>2200</v>
      </c>
      <c r="H51" s="13">
        <v>872</v>
      </c>
      <c r="J51" s="13" t="s">
        <v>22</v>
      </c>
      <c r="K51" s="106"/>
      <c r="L51" s="13" t="s">
        <v>22</v>
      </c>
      <c r="M51" s="106"/>
      <c r="N51" s="13" t="s">
        <v>22</v>
      </c>
      <c r="O51" s="37">
        <f>F51+H51</f>
        <v>3072</v>
      </c>
    </row>
    <row r="52" spans="1:15" x14ac:dyDescent="0.25">
      <c r="A52" s="92">
        <v>40298</v>
      </c>
      <c r="B52" s="107">
        <f t="shared" si="11"/>
        <v>40298</v>
      </c>
      <c r="C52" s="100">
        <v>-1.5</v>
      </c>
      <c r="D52" s="101">
        <v>0.35625000000000001</v>
      </c>
      <c r="F52" s="13">
        <v>3194</v>
      </c>
      <c r="H52" s="13">
        <v>995</v>
      </c>
      <c r="J52" s="13">
        <v>2556</v>
      </c>
      <c r="K52" s="106"/>
      <c r="L52" s="13">
        <v>1606</v>
      </c>
      <c r="M52" s="106"/>
      <c r="N52" s="13" t="s">
        <v>22</v>
      </c>
      <c r="O52" s="37">
        <f>F52+H52+J52+L52</f>
        <v>8351</v>
      </c>
    </row>
    <row r="53" spans="1:15" x14ac:dyDescent="0.25">
      <c r="A53" s="92">
        <v>40299</v>
      </c>
      <c r="B53" s="107">
        <f t="shared" si="11"/>
        <v>40299</v>
      </c>
      <c r="C53" s="100">
        <v>-1.1000000000000001</v>
      </c>
      <c r="D53" s="101">
        <v>0.38541666666666669</v>
      </c>
      <c r="F53" s="13">
        <v>5623</v>
      </c>
      <c r="H53" s="13">
        <v>2341</v>
      </c>
      <c r="J53" s="13">
        <v>7118</v>
      </c>
      <c r="K53" s="103"/>
      <c r="L53" s="13">
        <v>2888</v>
      </c>
      <c r="M53" s="103"/>
      <c r="N53" s="13">
        <v>232.07943103448275</v>
      </c>
      <c r="O53" s="37">
        <f>F53+H53+J53+L53+N53</f>
        <v>18202.079431034483</v>
      </c>
    </row>
    <row r="54" spans="1:15" x14ac:dyDescent="0.25">
      <c r="A54" s="92">
        <v>40300</v>
      </c>
      <c r="B54" s="107">
        <f t="shared" si="11"/>
        <v>40300</v>
      </c>
      <c r="C54" s="100">
        <v>-0.7</v>
      </c>
      <c r="D54" s="101">
        <v>0.4152777777777778</v>
      </c>
      <c r="F54" s="13">
        <v>6272</v>
      </c>
      <c r="G54" s="2" t="s">
        <v>41</v>
      </c>
      <c r="H54" s="13">
        <f>(F54+J54+L54)*H53/(F53+J53+L53)</f>
        <v>2313.5892251583596</v>
      </c>
      <c r="J54" s="13">
        <v>6762</v>
      </c>
      <c r="K54" s="103"/>
      <c r="L54" s="13">
        <v>2412</v>
      </c>
      <c r="M54" s="103"/>
      <c r="N54" s="13">
        <v>173.72027586206897</v>
      </c>
      <c r="O54" s="37">
        <f>F54+H54+J54+L54+N54</f>
        <v>17933.309501020427</v>
      </c>
    </row>
    <row r="55" spans="1:15" x14ac:dyDescent="0.25">
      <c r="J55" s="13"/>
      <c r="K55" s="103"/>
      <c r="L55" s="13"/>
      <c r="M55" s="103"/>
      <c r="N55" s="13"/>
    </row>
    <row r="56" spans="1:15" x14ac:dyDescent="0.25">
      <c r="A56" s="92">
        <v>40313</v>
      </c>
      <c r="B56" s="107">
        <f t="shared" ref="B56:B57" si="12">A56</f>
        <v>40313</v>
      </c>
      <c r="C56" s="100">
        <v>-1.6</v>
      </c>
      <c r="D56" s="101">
        <v>0.34375</v>
      </c>
      <c r="F56" s="13">
        <v>5530</v>
      </c>
      <c r="G56" s="2" t="s">
        <v>41</v>
      </c>
      <c r="H56" s="13">
        <f>(J56+L56+F56)*H53/(J53+L53+F53)</f>
        <v>1981.5144283063535</v>
      </c>
      <c r="J56" s="13">
        <v>4922</v>
      </c>
      <c r="K56" s="103"/>
      <c r="L56" s="13">
        <v>2777</v>
      </c>
      <c r="M56" s="103"/>
      <c r="N56" s="13" t="s">
        <v>22</v>
      </c>
      <c r="O56" s="37">
        <f>F56+H56+J56+L56</f>
        <v>15210.514428306353</v>
      </c>
    </row>
    <row r="57" spans="1:15" x14ac:dyDescent="0.25">
      <c r="A57" s="92">
        <v>40314</v>
      </c>
      <c r="B57" s="107">
        <f t="shared" si="12"/>
        <v>40314</v>
      </c>
      <c r="C57" s="100">
        <v>-1.6</v>
      </c>
      <c r="D57" s="101">
        <v>0.37361111111111112</v>
      </c>
      <c r="E57" s="2" t="s">
        <v>41</v>
      </c>
      <c r="F57" s="13">
        <f>H57*F47/H47</f>
        <v>3479.9436090225563</v>
      </c>
      <c r="H57" s="13">
        <v>2820</v>
      </c>
      <c r="J57" s="13" t="s">
        <v>22</v>
      </c>
      <c r="L57" s="13" t="s">
        <v>22</v>
      </c>
      <c r="N57" s="13" t="s">
        <v>22</v>
      </c>
      <c r="O57" s="37">
        <f>F57+H57</f>
        <v>6299.9436090225563</v>
      </c>
    </row>
    <row r="59" spans="1:15" x14ac:dyDescent="0.25">
      <c r="A59" s="40" t="s">
        <v>58</v>
      </c>
      <c r="F59" s="37">
        <f>SUM(F2:F58)</f>
        <v>106612.54373228965</v>
      </c>
      <c r="H59" s="37">
        <f>SUM(H2:H58)</f>
        <v>60425.527084801397</v>
      </c>
      <c r="J59" s="37">
        <f>SUM(J2:J58)</f>
        <v>103601.2</v>
      </c>
      <c r="L59" s="37">
        <f>SUM(L3:L58)</f>
        <v>45769.740661603806</v>
      </c>
      <c r="N59" s="37">
        <f>SUM(N3:N58)</f>
        <v>4547.6388564577592</v>
      </c>
      <c r="O59" s="37">
        <f>SUM(O2:O57)</f>
        <v>320956.65033515263</v>
      </c>
    </row>
    <row r="60" spans="1:15" x14ac:dyDescent="0.25">
      <c r="A60" s="39" t="s">
        <v>56</v>
      </c>
    </row>
  </sheetData>
  <mergeCells count="5">
    <mergeCell ref="E1:F1"/>
    <mergeCell ref="G1:H1"/>
    <mergeCell ref="I1:J1"/>
    <mergeCell ref="K1:L1"/>
    <mergeCell ref="M1:N1"/>
  </mergeCells>
  <pageMargins left="0.2" right="0.28999999999999998" top="0.68" bottom="0.37" header="0.2" footer="0"/>
  <pageSetup scale="61" orientation="landscape" r:id="rId1"/>
  <headerFooter>
    <oddHeader>&amp;L&amp;12 2009 Fall / 2010 Spring Razor Clam Harvst Totals
&amp;"-,Italic"(Number of Diggers)&amp;C&amp;12Non-Indian Fishery&amp;R&amp;12&amp;KFF0000FINAL ESTIMATE</oddHeader>
    <oddFooter>&amp;LPage 3 of 3</oddFooter>
  </headerFooter>
  <ignoredErrors>
    <ignoredError sqref="O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4"/>
  <sheetViews>
    <sheetView tabSelected="1" topLeftCell="A13" workbookViewId="0">
      <selection activeCell="L20" sqref="L20"/>
    </sheetView>
  </sheetViews>
  <sheetFormatPr defaultRowHeight="15" x14ac:dyDescent="0.25"/>
  <cols>
    <col min="1" max="1" width="8" customWidth="1"/>
    <col min="2" max="2" width="4.5703125" bestFit="1" customWidth="1"/>
    <col min="3" max="3" width="4.5703125" customWidth="1"/>
    <col min="4" max="4" width="8.42578125" bestFit="1" customWidth="1"/>
    <col min="5" max="5" width="7.5703125" bestFit="1" customWidth="1"/>
    <col min="6" max="6" width="8.85546875" bestFit="1" customWidth="1"/>
    <col min="7" max="7" width="7.5703125" bestFit="1" customWidth="1"/>
    <col min="8" max="8" width="6.42578125" bestFit="1" customWidth="1"/>
    <col min="9" max="9" width="7.42578125" bestFit="1" customWidth="1"/>
    <col min="10" max="10" width="7" bestFit="1" customWidth="1"/>
    <col min="11" max="11" width="7.5703125" bestFit="1" customWidth="1"/>
    <col min="12" max="12" width="8.85546875" bestFit="1" customWidth="1"/>
    <col min="13" max="19" width="7.5703125" bestFit="1" customWidth="1"/>
  </cols>
  <sheetData>
    <row r="1" spans="1:21" ht="15.75" thickBot="1" x14ac:dyDescent="0.3">
      <c r="A1" s="42" t="s">
        <v>73</v>
      </c>
      <c r="B1" s="42"/>
      <c r="C1" s="42"/>
      <c r="D1" s="42"/>
      <c r="E1" s="42"/>
      <c r="F1" s="42"/>
      <c r="G1" s="41"/>
      <c r="H1" s="42"/>
      <c r="I1" s="42"/>
      <c r="J1" s="41"/>
      <c r="K1" s="41"/>
      <c r="L1" s="41"/>
      <c r="M1" s="41"/>
      <c r="N1" s="41"/>
      <c r="O1" s="50"/>
      <c r="P1" s="51"/>
      <c r="Q1" s="51"/>
      <c r="R1" s="42"/>
      <c r="S1" s="41"/>
      <c r="T1" s="42"/>
      <c r="U1" s="52"/>
    </row>
    <row r="2" spans="1:21" ht="15.75" thickTop="1" x14ac:dyDescent="0.25">
      <c r="A2" s="53"/>
      <c r="B2" s="53"/>
      <c r="C2" s="53"/>
      <c r="D2" s="53"/>
      <c r="E2" s="247" t="s">
        <v>59</v>
      </c>
      <c r="F2" s="248"/>
      <c r="G2" s="249"/>
      <c r="H2" s="247" t="s">
        <v>60</v>
      </c>
      <c r="I2" s="248"/>
      <c r="J2" s="249"/>
      <c r="K2" s="247" t="s">
        <v>61</v>
      </c>
      <c r="L2" s="248"/>
      <c r="M2" s="249"/>
      <c r="N2" s="247" t="s">
        <v>62</v>
      </c>
      <c r="O2" s="248"/>
      <c r="P2" s="249"/>
      <c r="Q2" s="250" t="s">
        <v>63</v>
      </c>
      <c r="R2" s="251"/>
      <c r="S2" s="252"/>
      <c r="T2" s="245" t="s">
        <v>64</v>
      </c>
      <c r="U2" s="246"/>
    </row>
    <row r="3" spans="1:21" ht="15.75" thickBot="1" x14ac:dyDescent="0.3">
      <c r="A3" s="54" t="s">
        <v>65</v>
      </c>
      <c r="B3" s="54" t="s">
        <v>66</v>
      </c>
      <c r="C3" s="54" t="s">
        <v>67</v>
      </c>
      <c r="D3" s="54" t="s">
        <v>68</v>
      </c>
      <c r="E3" s="55" t="s">
        <v>69</v>
      </c>
      <c r="F3" s="54" t="s">
        <v>70</v>
      </c>
      <c r="G3" s="54" t="s">
        <v>11</v>
      </c>
      <c r="H3" s="55" t="s">
        <v>69</v>
      </c>
      <c r="I3" s="54" t="s">
        <v>70</v>
      </c>
      <c r="J3" s="54" t="s">
        <v>11</v>
      </c>
      <c r="K3" s="55" t="s">
        <v>69</v>
      </c>
      <c r="L3" s="54" t="s">
        <v>70</v>
      </c>
      <c r="M3" s="54" t="s">
        <v>11</v>
      </c>
      <c r="N3" s="55" t="s">
        <v>69</v>
      </c>
      <c r="O3" s="54" t="s">
        <v>70</v>
      </c>
      <c r="P3" s="54" t="s">
        <v>11</v>
      </c>
      <c r="Q3" s="55" t="s">
        <v>69</v>
      </c>
      <c r="R3" s="54" t="s">
        <v>70</v>
      </c>
      <c r="S3" s="54" t="s">
        <v>11</v>
      </c>
      <c r="T3" s="55" t="s">
        <v>69</v>
      </c>
      <c r="U3" s="56" t="s">
        <v>70</v>
      </c>
    </row>
    <row r="4" spans="1:21" ht="15.75" thickTop="1" x14ac:dyDescent="0.25">
      <c r="A4" s="57">
        <v>40102</v>
      </c>
      <c r="B4" s="44">
        <f>+A4</f>
        <v>40102</v>
      </c>
      <c r="C4" s="45">
        <v>-0.2</v>
      </c>
      <c r="D4" s="46">
        <v>0.7909722222222223</v>
      </c>
      <c r="E4" s="60">
        <f>Effort!F2</f>
        <v>2530</v>
      </c>
      <c r="F4" s="61">
        <f>Harvest!F2</f>
        <v>26480</v>
      </c>
      <c r="G4" s="58">
        <f>CPUE!F2</f>
        <v>10.466403162055336</v>
      </c>
      <c r="H4" s="60">
        <f>Effort!H2</f>
        <v>1225</v>
      </c>
      <c r="I4" s="61">
        <f>Harvest!H2</f>
        <v>14564</v>
      </c>
      <c r="J4" s="58">
        <f>CPUE!H2</f>
        <v>11.888979591836735</v>
      </c>
      <c r="K4" s="60">
        <f>Effort!J2</f>
        <v>4924</v>
      </c>
      <c r="L4" s="61">
        <f>Harvest!J2</f>
        <v>67449</v>
      </c>
      <c r="M4" s="58">
        <f>CPUE!J2</f>
        <v>13.698009748172218</v>
      </c>
      <c r="N4" s="60" t="str">
        <f>Effort!L2</f>
        <v>CLOSED</v>
      </c>
      <c r="O4" s="61" t="str">
        <f>Harvest!L2</f>
        <v>CLOSED</v>
      </c>
      <c r="P4" s="58" t="str">
        <f>CPUE!L2</f>
        <v>CLOSED</v>
      </c>
      <c r="Q4" s="60" t="str">
        <f>Effort!N2</f>
        <v>CLOSED</v>
      </c>
      <c r="R4" s="61" t="str">
        <f>Harvest!N2</f>
        <v>CLOSED</v>
      </c>
      <c r="S4" s="62" t="str">
        <f>CPUE!N2</f>
        <v>CLOSED</v>
      </c>
      <c r="T4" s="60">
        <f>E4+H4+K4</f>
        <v>8679</v>
      </c>
      <c r="U4" s="61">
        <f>F4+I4+L4</f>
        <v>108493</v>
      </c>
    </row>
    <row r="5" spans="1:21" x14ac:dyDescent="0.25">
      <c r="A5" s="57">
        <v>40103</v>
      </c>
      <c r="B5" s="44">
        <f t="shared" ref="B5:B7" si="0">+A5</f>
        <v>40103</v>
      </c>
      <c r="C5" s="47">
        <v>-0.7</v>
      </c>
      <c r="D5" s="48">
        <v>0.78055555555555556</v>
      </c>
      <c r="E5" s="60">
        <f>Effort!F3</f>
        <v>4331</v>
      </c>
      <c r="F5" s="61">
        <f>Harvest!F3</f>
        <v>64965</v>
      </c>
      <c r="G5" s="58">
        <f>CPUE!F3</f>
        <v>15</v>
      </c>
      <c r="H5" s="60">
        <f>Effort!H3</f>
        <v>1920</v>
      </c>
      <c r="I5" s="61">
        <f>Harvest!H3</f>
        <v>25353</v>
      </c>
      <c r="J5" s="58">
        <f>CPUE!H3</f>
        <v>13.2046875</v>
      </c>
      <c r="K5" s="60">
        <f>Effort!J3</f>
        <v>6773</v>
      </c>
      <c r="L5" s="61">
        <f>Harvest!J3</f>
        <v>100367</v>
      </c>
      <c r="M5" s="58">
        <f>CPUE!J3</f>
        <v>14.818691864757124</v>
      </c>
      <c r="N5" s="60">
        <f>Effort!L3</f>
        <v>3496</v>
      </c>
      <c r="O5" s="61">
        <f>Harvest!L3</f>
        <v>46405</v>
      </c>
      <c r="P5" s="58">
        <f>CPUE!L3</f>
        <v>13.273741418764303</v>
      </c>
      <c r="Q5" s="60">
        <f>Effort!N3</f>
        <v>427.28108695652179</v>
      </c>
      <c r="R5" s="61">
        <f>Harvest!N3</f>
        <v>5826.3050937198022</v>
      </c>
      <c r="S5" s="62">
        <f>CPUE!N3</f>
        <v>13.635766411333487</v>
      </c>
      <c r="T5" s="60">
        <f>E5+H5+K5+N5+Q5</f>
        <v>16947.281086956522</v>
      </c>
      <c r="U5" s="61">
        <f>F5+I5+L5+O5+R5</f>
        <v>242916.3050937198</v>
      </c>
    </row>
    <row r="6" spans="1:21" x14ac:dyDescent="0.25">
      <c r="A6" s="57">
        <v>40104</v>
      </c>
      <c r="B6" s="44">
        <f t="shared" si="0"/>
        <v>40104</v>
      </c>
      <c r="C6" s="49">
        <v>-1</v>
      </c>
      <c r="D6" s="48">
        <v>0.80972222222222223</v>
      </c>
      <c r="E6" s="60">
        <f>Effort!F4</f>
        <v>1941.9930602344698</v>
      </c>
      <c r="F6" s="61">
        <f>Harvest!F4</f>
        <v>27625.473179514087</v>
      </c>
      <c r="G6" s="58">
        <f>CPUE!F4</f>
        <v>14.225320236818291</v>
      </c>
      <c r="H6" s="60">
        <f>Effort!H4</f>
        <v>1341</v>
      </c>
      <c r="I6" s="61">
        <f>Harvest!H4</f>
        <v>20115</v>
      </c>
      <c r="J6" s="58">
        <f>CPUE!H4</f>
        <v>15</v>
      </c>
      <c r="K6" s="60">
        <f>Effort!J4</f>
        <v>2860</v>
      </c>
      <c r="L6" s="61">
        <f>Harvest!J4</f>
        <v>42641</v>
      </c>
      <c r="M6" s="58">
        <f>CPUE!J4</f>
        <v>14.90944055944056</v>
      </c>
      <c r="N6" s="60">
        <f>Effort!L4</f>
        <v>1202</v>
      </c>
      <c r="O6" s="61">
        <f>Harvest!L4</f>
        <v>18037</v>
      </c>
      <c r="P6" s="58">
        <f>CPUE!L4</f>
        <v>15.005823627287853</v>
      </c>
      <c r="Q6" s="60">
        <f>Effort!N4</f>
        <v>192.65988235294117</v>
      </c>
      <c r="R6" s="61">
        <f>Harvest!N4</f>
        <v>2814.1556638655461</v>
      </c>
      <c r="S6" s="62">
        <f>CPUE!N4</f>
        <v>14.606858623063957</v>
      </c>
      <c r="T6" s="60">
        <f>E6+H6+K6+N6+Q6</f>
        <v>7537.6529425874114</v>
      </c>
      <c r="U6" s="61">
        <f>F6+I6+L6+O6+R6</f>
        <v>111232.62884337963</v>
      </c>
    </row>
    <row r="7" spans="1:21" x14ac:dyDescent="0.25">
      <c r="A7" s="57">
        <v>40105</v>
      </c>
      <c r="B7" s="44">
        <f t="shared" si="0"/>
        <v>40105</v>
      </c>
      <c r="C7" s="47">
        <v>-1.1000000000000001</v>
      </c>
      <c r="D7" s="48">
        <v>0.83819444444444446</v>
      </c>
      <c r="E7" s="60" t="str">
        <f>Effort!F5</f>
        <v>CLOSED</v>
      </c>
      <c r="F7" s="61" t="str">
        <f>Harvest!F5</f>
        <v>CLOSED</v>
      </c>
      <c r="G7" s="58" t="str">
        <f>CPUE!F5</f>
        <v>CLOSED</v>
      </c>
      <c r="H7" s="60">
        <f>Effort!H5</f>
        <v>1294</v>
      </c>
      <c r="I7" s="61">
        <f>Harvest!H5</f>
        <v>19410</v>
      </c>
      <c r="J7" s="58">
        <f>CPUE!H5</f>
        <v>15</v>
      </c>
      <c r="K7" s="60" t="str">
        <f>Effort!J5</f>
        <v>CLOSED</v>
      </c>
      <c r="L7" s="61" t="str">
        <f>Harvest!J5</f>
        <v>CLOSED</v>
      </c>
      <c r="M7" s="58" t="str">
        <f>CPUE!J5</f>
        <v>CLOSED</v>
      </c>
      <c r="N7" s="60" t="str">
        <f>Effort!L5</f>
        <v>CLOSED</v>
      </c>
      <c r="O7" s="61" t="str">
        <f>Harvest!L5</f>
        <v>CLOSED</v>
      </c>
      <c r="P7" s="58" t="str">
        <f>CPUE!L5</f>
        <v>CLOSED</v>
      </c>
      <c r="Q7" s="60" t="str">
        <f>Effort!N5</f>
        <v>CLOSED</v>
      </c>
      <c r="R7" s="61" t="str">
        <f>Harvest!N5</f>
        <v>CLOSED</v>
      </c>
      <c r="S7" s="68" t="str">
        <f>CPUE!N5</f>
        <v>CLOSED</v>
      </c>
      <c r="T7" s="60">
        <f>+H7</f>
        <v>1294</v>
      </c>
      <c r="U7" s="61">
        <f>+I7</f>
        <v>19410</v>
      </c>
    </row>
    <row r="8" spans="1:21" x14ac:dyDescent="0.25">
      <c r="A8" s="63" t="s">
        <v>71</v>
      </c>
      <c r="B8" s="64"/>
      <c r="C8" s="65"/>
      <c r="D8" s="64"/>
      <c r="E8" s="66">
        <f>SUM(E4:E7)</f>
        <v>8802.9930602344702</v>
      </c>
      <c r="F8" s="67">
        <f>SUM(F4:F7)</f>
        <v>119070.47317951408</v>
      </c>
      <c r="G8" s="65">
        <f>F8/E8</f>
        <v>13.526135073011474</v>
      </c>
      <c r="H8" s="66">
        <f>SUM(H4:H7)</f>
        <v>5780</v>
      </c>
      <c r="I8" s="67">
        <f>SUM(I4:I7)</f>
        <v>79442</v>
      </c>
      <c r="J8" s="65">
        <f>I8/H8</f>
        <v>13.744290657439446</v>
      </c>
      <c r="K8" s="66">
        <f>SUM(K4:K7)</f>
        <v>14557</v>
      </c>
      <c r="L8" s="67">
        <f>SUM(L4:L7)</f>
        <v>210457</v>
      </c>
      <c r="M8" s="65">
        <f>L8/K8</f>
        <v>14.457443154496119</v>
      </c>
      <c r="N8" s="66">
        <f>SUM(N5:N7)</f>
        <v>4698</v>
      </c>
      <c r="O8" s="67">
        <f>SUM(O5:O7)</f>
        <v>64442</v>
      </c>
      <c r="P8" s="65">
        <f>O8/N8</f>
        <v>13.716900808854831</v>
      </c>
      <c r="Q8" s="66">
        <f>SUM(Q5:Q7)</f>
        <v>619.94096930946296</v>
      </c>
      <c r="R8" s="67">
        <f>SUM(R5:R7)</f>
        <v>8640.4607575853479</v>
      </c>
      <c r="S8" s="65">
        <f>R8/Q8</f>
        <v>13.937554033910269</v>
      </c>
      <c r="T8" s="66">
        <f>SUM(T4:T7)</f>
        <v>34457.934029543932</v>
      </c>
      <c r="U8" s="67">
        <f>SUM(U4:U7)</f>
        <v>482051.93393709941</v>
      </c>
    </row>
    <row r="9" spans="1:21" x14ac:dyDescent="0.25">
      <c r="A9" s="57">
        <v>40121</v>
      </c>
      <c r="B9" s="44">
        <v>40121</v>
      </c>
      <c r="C9" s="45">
        <v>-1.2</v>
      </c>
      <c r="D9" s="46">
        <v>0.8125</v>
      </c>
      <c r="E9" s="60">
        <f>Effort!F7</f>
        <v>865</v>
      </c>
      <c r="F9" s="61">
        <f>Harvest!F7</f>
        <v>12676</v>
      </c>
      <c r="G9" s="58">
        <f>CPUE!F7</f>
        <v>14.654335260115607</v>
      </c>
      <c r="H9" s="60">
        <f>Effort!H7</f>
        <v>1065</v>
      </c>
      <c r="I9" s="61">
        <f>Harvest!H7</f>
        <v>15951</v>
      </c>
      <c r="J9" s="58">
        <f>CPUE!H7</f>
        <v>14.977464788732394</v>
      </c>
      <c r="K9" s="60" t="str">
        <f>Effort!J7</f>
        <v>CLOSED</v>
      </c>
      <c r="L9" s="61" t="str">
        <f>Harvest!J7</f>
        <v>CLOSED</v>
      </c>
      <c r="M9" s="58" t="str">
        <f>CPUE!J7</f>
        <v>CLOSED</v>
      </c>
      <c r="N9" s="60" t="str">
        <f>Effort!L7</f>
        <v>CLOSED</v>
      </c>
      <c r="O9" s="61" t="str">
        <f>Harvest!L7</f>
        <v>CLOSED</v>
      </c>
      <c r="P9" s="58" t="str">
        <f>CPUE!L7</f>
        <v>CLOSED</v>
      </c>
      <c r="Q9" s="60" t="str">
        <f>Effort!N7</f>
        <v>CLOSED</v>
      </c>
      <c r="R9" s="61" t="str">
        <f>Harvest!N7</f>
        <v>CLOSED</v>
      </c>
      <c r="S9" s="68" t="str">
        <f>CPUE!N7</f>
        <v>CLOSED</v>
      </c>
      <c r="T9" s="60">
        <f>E9+H9</f>
        <v>1930</v>
      </c>
      <c r="U9" s="61">
        <f>F9+I9</f>
        <v>28627</v>
      </c>
    </row>
    <row r="10" spans="1:21" x14ac:dyDescent="0.25">
      <c r="A10" s="57">
        <v>40122</v>
      </c>
      <c r="B10" s="44">
        <f t="shared" ref="B10" si="1">+A10</f>
        <v>40122</v>
      </c>
      <c r="C10" s="49">
        <v>-1.1000000000000001</v>
      </c>
      <c r="D10" s="48">
        <v>0.84444444444444444</v>
      </c>
      <c r="E10" s="60" t="str">
        <f>Effort!F8</f>
        <v>CLOSED</v>
      </c>
      <c r="F10" s="61" t="str">
        <f>Harvest!F8</f>
        <v>CLOSED</v>
      </c>
      <c r="G10" s="58" t="str">
        <f>CPUE!F8</f>
        <v>CLOSED</v>
      </c>
      <c r="H10" s="60">
        <f>Effort!H8</f>
        <v>156</v>
      </c>
      <c r="I10" s="61">
        <f>Harvest!H8</f>
        <v>1600</v>
      </c>
      <c r="J10" s="58">
        <f>CPUE!H8</f>
        <v>10.256410256410257</v>
      </c>
      <c r="K10" s="60" t="str">
        <f>Effort!J8</f>
        <v>CLOSED</v>
      </c>
      <c r="L10" s="61" t="str">
        <f>Harvest!J8</f>
        <v>CLOSED</v>
      </c>
      <c r="M10" s="58" t="str">
        <f>CPUE!J8</f>
        <v>CLOSED</v>
      </c>
      <c r="N10" s="60" t="str">
        <f>Effort!L8</f>
        <v>CLOSED</v>
      </c>
      <c r="O10" s="61" t="str">
        <f>Harvest!L8</f>
        <v>CLOSED</v>
      </c>
      <c r="P10" s="58" t="str">
        <f>CPUE!L8</f>
        <v>CLOSED</v>
      </c>
      <c r="Q10" s="60" t="str">
        <f>Effort!N8</f>
        <v>CLOSED</v>
      </c>
      <c r="R10" s="61" t="str">
        <f>Harvest!N8</f>
        <v>CLOSED</v>
      </c>
      <c r="S10" s="68" t="str">
        <f>CPUE!N8</f>
        <v>CLOSED</v>
      </c>
      <c r="T10" s="60">
        <f>H10</f>
        <v>156</v>
      </c>
      <c r="U10" s="61">
        <f>I10</f>
        <v>1600</v>
      </c>
    </row>
    <row r="11" spans="1:21" x14ac:dyDescent="0.25">
      <c r="A11" s="57">
        <v>40123</v>
      </c>
      <c r="B11" s="44">
        <v>40123</v>
      </c>
      <c r="C11" s="49">
        <v>-0.8</v>
      </c>
      <c r="D11" s="48">
        <v>0.87916666666666676</v>
      </c>
      <c r="E11" s="60">
        <f>Effort!F9</f>
        <v>368.45534787123574</v>
      </c>
      <c r="F11" s="61">
        <f>Harvest!F9</f>
        <v>1776.3788041577131</v>
      </c>
      <c r="G11" s="58">
        <f>CPUE!F9</f>
        <v>4.8211508244372263</v>
      </c>
      <c r="H11" s="60">
        <f>Effort!H9</f>
        <v>145</v>
      </c>
      <c r="I11" s="61">
        <f>Harvest!H9</f>
        <v>650.90337814202189</v>
      </c>
      <c r="J11" s="58">
        <f>CPUE!H9</f>
        <v>4.488988814772565</v>
      </c>
      <c r="K11" s="60" t="str">
        <f>Effort!J9</f>
        <v>CLOSED</v>
      </c>
      <c r="L11" s="61" t="str">
        <f>Harvest!J9</f>
        <v>CLOSED</v>
      </c>
      <c r="M11" s="58" t="str">
        <f>CPUE!J9</f>
        <v>CLOSED</v>
      </c>
      <c r="N11" s="60" t="str">
        <f>Effort!L9</f>
        <v>CLOSED</v>
      </c>
      <c r="O11" s="61" t="str">
        <f>Harvest!L9</f>
        <v>CLOSED</v>
      </c>
      <c r="P11" s="58" t="str">
        <f>CPUE!L9</f>
        <v>CLOSED</v>
      </c>
      <c r="Q11" s="60" t="str">
        <f>Effort!N9</f>
        <v>CLOSED</v>
      </c>
      <c r="R11" s="61" t="str">
        <f>Harvest!N9</f>
        <v>CLOSED</v>
      </c>
      <c r="S11" s="68" t="str">
        <f>CPUE!N9</f>
        <v>CLOSED</v>
      </c>
      <c r="T11" s="60">
        <f t="shared" ref="T11:T12" si="2">E11+H11</f>
        <v>513.45534787123574</v>
      </c>
      <c r="U11" s="61">
        <f t="shared" ref="U11:U12" si="3">F11+I11</f>
        <v>2427.2821822997348</v>
      </c>
    </row>
    <row r="12" spans="1:21" x14ac:dyDescent="0.25">
      <c r="A12" s="57">
        <v>40124</v>
      </c>
      <c r="B12" s="44">
        <v>40124</v>
      </c>
      <c r="C12" s="47">
        <v>-0.4</v>
      </c>
      <c r="D12" s="48">
        <v>0.91666666666666663</v>
      </c>
      <c r="E12" s="60">
        <f>Effort!F10</f>
        <v>492.19718309859155</v>
      </c>
      <c r="F12" s="61">
        <f>Harvest!F10</f>
        <v>5903.7053476271076</v>
      </c>
      <c r="G12" s="58">
        <f>CPUE!F10</f>
        <v>11.99459393583027</v>
      </c>
      <c r="H12" s="60">
        <f>Effort!H10</f>
        <v>606</v>
      </c>
      <c r="I12" s="61">
        <f>Harvest!H10</f>
        <v>7429</v>
      </c>
      <c r="J12" s="58">
        <f>CPUE!H10</f>
        <v>12.259075907590759</v>
      </c>
      <c r="K12" s="60" t="str">
        <f>Effort!J10</f>
        <v>CLOSED</v>
      </c>
      <c r="L12" s="61" t="str">
        <f>Harvest!J10</f>
        <v>CLOSED</v>
      </c>
      <c r="M12" s="58" t="str">
        <f>CPUE!J10</f>
        <v>CLOSED</v>
      </c>
      <c r="N12" s="60" t="str">
        <f>Effort!L10</f>
        <v>CLOSED</v>
      </c>
      <c r="O12" s="61" t="str">
        <f>Harvest!L10</f>
        <v>CLOSED</v>
      </c>
      <c r="P12" s="58" t="str">
        <f>CPUE!L10</f>
        <v>CLOSED</v>
      </c>
      <c r="Q12" s="60" t="str">
        <f>Effort!N10</f>
        <v>CLOSED</v>
      </c>
      <c r="R12" s="61" t="str">
        <f>Harvest!N10</f>
        <v>CLOSED</v>
      </c>
      <c r="S12" s="68" t="str">
        <f>CPUE!N10</f>
        <v>CLOSED</v>
      </c>
      <c r="T12" s="60">
        <f t="shared" si="2"/>
        <v>1098.1971830985915</v>
      </c>
      <c r="U12" s="61">
        <f t="shared" si="3"/>
        <v>13332.705347627107</v>
      </c>
    </row>
    <row r="13" spans="1:21" x14ac:dyDescent="0.25">
      <c r="A13" s="63" t="s">
        <v>71</v>
      </c>
      <c r="B13" s="64"/>
      <c r="C13" s="65"/>
      <c r="D13" s="64"/>
      <c r="E13" s="66">
        <f>SUM(E9:E12)</f>
        <v>1725.6525309698272</v>
      </c>
      <c r="F13" s="67">
        <f>SUM(F9:F12)</f>
        <v>20356.08415178482</v>
      </c>
      <c r="G13" s="65">
        <f>F13/E13</f>
        <v>11.796166253900823</v>
      </c>
      <c r="H13" s="66">
        <f>SUM(H9:H12)</f>
        <v>1972</v>
      </c>
      <c r="I13" s="67">
        <f>SUM(I9:I12)</f>
        <v>25630.903378142022</v>
      </c>
      <c r="J13" s="65">
        <f>I13/H13</f>
        <v>12.997415506157212</v>
      </c>
      <c r="K13" s="66"/>
      <c r="L13" s="67"/>
      <c r="M13" s="65"/>
      <c r="N13" s="66"/>
      <c r="O13" s="67"/>
      <c r="P13" s="65"/>
      <c r="Q13" s="66"/>
      <c r="R13" s="67"/>
      <c r="S13" s="65"/>
      <c r="T13" s="66">
        <f>SUM(T9:T12)</f>
        <v>3697.6525309698272</v>
      </c>
      <c r="U13" s="67">
        <f>SUM(U9:U12)</f>
        <v>45986.987529926846</v>
      </c>
    </row>
    <row r="14" spans="1:21" x14ac:dyDescent="0.25">
      <c r="A14" s="57">
        <v>40131</v>
      </c>
      <c r="B14" s="44">
        <v>40131</v>
      </c>
      <c r="C14" s="58">
        <v>-0.4</v>
      </c>
      <c r="D14" s="59">
        <v>0.69861111111111107</v>
      </c>
      <c r="E14" s="60">
        <f>Effort!F12</f>
        <v>4282</v>
      </c>
      <c r="F14" s="61">
        <f>Harvest!F12</f>
        <v>62016</v>
      </c>
      <c r="G14" s="58">
        <f>CPUE!F12</f>
        <v>14.48295189163942</v>
      </c>
      <c r="H14" s="60">
        <f>Effort!H12</f>
        <v>1733</v>
      </c>
      <c r="I14" s="61">
        <f>Harvest!H12</f>
        <v>24308</v>
      </c>
      <c r="J14" s="58">
        <f>CPUE!H12</f>
        <v>14.026543566070398</v>
      </c>
      <c r="K14" s="60">
        <f>Effort!J12</f>
        <v>3936</v>
      </c>
      <c r="L14" s="61">
        <f>Harvest!J12</f>
        <v>59043</v>
      </c>
      <c r="M14" s="58">
        <f>CPUE!J12</f>
        <v>15.000762195121951</v>
      </c>
      <c r="N14" s="60">
        <f>Effort!L12</f>
        <v>2638</v>
      </c>
      <c r="O14" s="61">
        <f>Harvest!L12</f>
        <v>39565</v>
      </c>
      <c r="P14" s="58">
        <f>CPUE!L12</f>
        <v>14.998104624715694</v>
      </c>
      <c r="Q14" s="60" t="str">
        <f>Effort!N12</f>
        <v>CLOSED</v>
      </c>
      <c r="R14" s="61" t="str">
        <f>Harvest!N12</f>
        <v>CLOSED</v>
      </c>
      <c r="S14" s="68" t="str">
        <f>CPUE!N12</f>
        <v>CLOSED</v>
      </c>
      <c r="T14" s="60">
        <f>E14+H14+K14+N14</f>
        <v>12589</v>
      </c>
      <c r="U14" s="61">
        <f>F14+I14+L14+O14</f>
        <v>184932</v>
      </c>
    </row>
    <row r="15" spans="1:21" x14ac:dyDescent="0.25">
      <c r="A15" s="57">
        <v>40132</v>
      </c>
      <c r="B15" s="44">
        <v>40132</v>
      </c>
      <c r="C15" s="58">
        <v>-0.8</v>
      </c>
      <c r="D15" s="59">
        <v>0.72916666666666663</v>
      </c>
      <c r="E15" s="60">
        <f>Effort!F13</f>
        <v>1715</v>
      </c>
      <c r="F15" s="61">
        <f>Harvest!F13</f>
        <v>21871</v>
      </c>
      <c r="G15" s="58">
        <f>CPUE!F13</f>
        <v>12.752769679300291</v>
      </c>
      <c r="H15" s="60">
        <f>Effort!H13</f>
        <v>625</v>
      </c>
      <c r="I15" s="61">
        <f>Harvest!H13</f>
        <v>6430</v>
      </c>
      <c r="J15" s="58">
        <f>CPUE!H13</f>
        <v>10.288</v>
      </c>
      <c r="K15" s="60">
        <f>Effort!J13</f>
        <v>3833</v>
      </c>
      <c r="L15" s="61">
        <f>Harvest!J13</f>
        <v>43442</v>
      </c>
      <c r="M15" s="58">
        <f>CPUE!J13</f>
        <v>11.333681189668667</v>
      </c>
      <c r="N15" s="60">
        <f>Effort!L13</f>
        <v>1325</v>
      </c>
      <c r="O15" s="61">
        <f>Harvest!L13</f>
        <v>15162</v>
      </c>
      <c r="P15" s="58">
        <f>CPUE!L13</f>
        <v>11.443018867924529</v>
      </c>
      <c r="Q15" s="60" t="str">
        <f>Effort!N13</f>
        <v>CLOSED</v>
      </c>
      <c r="R15" s="61" t="str">
        <f>Harvest!N13</f>
        <v>CLOSED</v>
      </c>
      <c r="S15" s="68" t="str">
        <f>CPUE!N13</f>
        <v>CLOSED</v>
      </c>
      <c r="T15" s="60">
        <f>E15+H15+K15+N15</f>
        <v>7498</v>
      </c>
      <c r="U15" s="61">
        <f>F15+I15+L15+O15</f>
        <v>86905</v>
      </c>
    </row>
    <row r="16" spans="1:21" x14ac:dyDescent="0.25">
      <c r="A16" s="57">
        <v>40133</v>
      </c>
      <c r="B16" s="44">
        <v>40133</v>
      </c>
      <c r="C16" s="58">
        <v>-1</v>
      </c>
      <c r="D16" s="59">
        <v>0.75694444444444453</v>
      </c>
      <c r="E16" s="60">
        <f>Effort!F14</f>
        <v>301.04646672673448</v>
      </c>
      <c r="F16" s="61">
        <f>Harvest!F14</f>
        <v>1620.6884909986827</v>
      </c>
      <c r="G16" s="58">
        <f>CPUE!F14</f>
        <v>5.3835160685337389</v>
      </c>
      <c r="H16" s="60">
        <f>Effort!H14</f>
        <v>118.37044664693011</v>
      </c>
      <c r="I16" s="61">
        <f>Harvest!H14</f>
        <v>593.85510074645072</v>
      </c>
      <c r="J16" s="58">
        <f>CPUE!H14</f>
        <v>5.0169203341588648</v>
      </c>
      <c r="K16" s="60">
        <f>Effort!J14</f>
        <v>390</v>
      </c>
      <c r="L16" s="61">
        <f>Harvest!J14</f>
        <v>1980</v>
      </c>
      <c r="M16" s="58">
        <f>CPUE!J14</f>
        <v>5.0769230769230766</v>
      </c>
      <c r="N16" s="60">
        <f>Effort!L14</f>
        <v>198.94066160381001</v>
      </c>
      <c r="O16" s="61">
        <f>Harvest!L14</f>
        <v>1057.3201931990047</v>
      </c>
      <c r="P16" s="58">
        <f>CPUE!L14</f>
        <v>5.314751568006022</v>
      </c>
      <c r="Q16" s="60">
        <f>Effort!N14</f>
        <v>22</v>
      </c>
      <c r="R16" s="61">
        <f>Harvest!N14</f>
        <v>0</v>
      </c>
      <c r="S16" s="68">
        <f>CPUE!N14</f>
        <v>0</v>
      </c>
      <c r="T16" s="60">
        <f>E16+H16+K16+N16+Q16</f>
        <v>1030.3575749774745</v>
      </c>
      <c r="U16" s="61">
        <f>F16+I16+L16+O16+R16</f>
        <v>5251.8637849441384</v>
      </c>
    </row>
    <row r="17" spans="1:21" x14ac:dyDescent="0.25">
      <c r="A17" s="57">
        <v>40134</v>
      </c>
      <c r="B17" s="44">
        <v>40134</v>
      </c>
      <c r="C17" s="58">
        <v>-0.9</v>
      </c>
      <c r="D17" s="59">
        <v>0.78402777777777777</v>
      </c>
      <c r="E17" s="60" t="str">
        <f>Effort!F15</f>
        <v>CLOSED</v>
      </c>
      <c r="F17" s="61" t="str">
        <f>Harvest!F15</f>
        <v>CLOSED</v>
      </c>
      <c r="G17" s="58" t="str">
        <f>CPUE!F15</f>
        <v>CLOSED</v>
      </c>
      <c r="H17" s="60">
        <f>Effort!H15</f>
        <v>283</v>
      </c>
      <c r="I17" s="61">
        <f>Harvest!H15</f>
        <v>2901</v>
      </c>
      <c r="J17" s="58">
        <f>CPUE!H15</f>
        <v>10.250883392226148</v>
      </c>
      <c r="K17" s="60" t="str">
        <f>Effort!J15</f>
        <v>CLOSED</v>
      </c>
      <c r="L17" s="61" t="str">
        <f>Harvest!J15</f>
        <v>CLOSED</v>
      </c>
      <c r="M17" s="58" t="str">
        <f>CPUE!J15</f>
        <v>CLOSED</v>
      </c>
      <c r="N17" s="60" t="str">
        <f>Effort!L15</f>
        <v>CLOSED</v>
      </c>
      <c r="O17" s="61" t="str">
        <f>Harvest!L15</f>
        <v>CLOSED</v>
      </c>
      <c r="P17" s="58" t="str">
        <f>CPUE!L15</f>
        <v>CLOSED</v>
      </c>
      <c r="Q17" s="60" t="str">
        <f>Effort!N15</f>
        <v>CLOSED</v>
      </c>
      <c r="R17" s="61" t="str">
        <f>Harvest!N15</f>
        <v>CLOSED</v>
      </c>
      <c r="S17" s="68" t="str">
        <f>CPUE!N15</f>
        <v>CLOSED</v>
      </c>
      <c r="T17" s="60">
        <f>H17</f>
        <v>283</v>
      </c>
      <c r="U17" s="61">
        <f>I17</f>
        <v>2901</v>
      </c>
    </row>
    <row r="18" spans="1:21" x14ac:dyDescent="0.25">
      <c r="A18" s="63" t="s">
        <v>71</v>
      </c>
      <c r="B18" s="64"/>
      <c r="C18" s="64"/>
      <c r="D18" s="64"/>
      <c r="E18" s="66">
        <f>SUM(E14:E17)</f>
        <v>6298.0464667267343</v>
      </c>
      <c r="F18" s="67">
        <f>SUM(F14:F17)</f>
        <v>85507.688490998684</v>
      </c>
      <c r="G18" s="65">
        <f>F18/E18</f>
        <v>13.576858942331581</v>
      </c>
      <c r="H18" s="66">
        <f>SUM(H14:H17)</f>
        <v>2759.3704466469303</v>
      </c>
      <c r="I18" s="67">
        <f>SUM(I14:I17)</f>
        <v>34232.855100746456</v>
      </c>
      <c r="J18" s="65">
        <f>I18/H18</f>
        <v>12.40603817524565</v>
      </c>
      <c r="K18" s="66">
        <f>SUM(K14:K17)</f>
        <v>8159</v>
      </c>
      <c r="L18" s="67">
        <f>SUM(L14:L17)</f>
        <v>104465</v>
      </c>
      <c r="M18" s="65">
        <f>L18/K18</f>
        <v>12.80365240838338</v>
      </c>
      <c r="N18" s="66">
        <f>SUM(N14:N17)</f>
        <v>4161.9406616038104</v>
      </c>
      <c r="O18" s="67">
        <f>SUM(O14:O17)</f>
        <v>55784.320193199004</v>
      </c>
      <c r="P18" s="65">
        <f>O18/N18</f>
        <v>13.403439579963264</v>
      </c>
      <c r="Q18" s="66">
        <f>SUM(Q14:Q17)</f>
        <v>22</v>
      </c>
      <c r="R18" s="67">
        <f>SUM(R14:R17)</f>
        <v>0</v>
      </c>
      <c r="S18" s="65">
        <v>0</v>
      </c>
      <c r="T18" s="66">
        <f>SUM(T14:T17)</f>
        <v>21400.357574977475</v>
      </c>
      <c r="U18" s="67">
        <f>SUM(U14:U17)</f>
        <v>279989.86378494411</v>
      </c>
    </row>
    <row r="19" spans="1:21" x14ac:dyDescent="0.25">
      <c r="A19" s="69">
        <v>40149</v>
      </c>
      <c r="B19" s="44">
        <v>40149</v>
      </c>
      <c r="C19" s="58">
        <v>-1.5</v>
      </c>
      <c r="D19" s="59">
        <v>0.77222222222222225</v>
      </c>
      <c r="E19" s="60">
        <f>Effort!F17</f>
        <v>1396</v>
      </c>
      <c r="F19" s="61">
        <f>Harvest!F17</f>
        <v>20288</v>
      </c>
      <c r="G19" s="58">
        <f>CPUE!F17</f>
        <v>14.53295128939828</v>
      </c>
      <c r="H19" s="60">
        <f>Effort!H17</f>
        <v>651</v>
      </c>
      <c r="I19" s="61">
        <f>Harvest!H17</f>
        <v>9801</v>
      </c>
      <c r="J19" s="58">
        <f>CPUE!H17</f>
        <v>15.055299539170507</v>
      </c>
      <c r="K19" s="60" t="str">
        <f>Effort!J17</f>
        <v>CLOSED</v>
      </c>
      <c r="L19" s="61" t="str">
        <f>Harvest!J17</f>
        <v>CLOSED</v>
      </c>
      <c r="M19" s="58" t="str">
        <f>CPUE!J17</f>
        <v>CLOSED</v>
      </c>
      <c r="N19" s="60" t="str">
        <f>Effort!L17</f>
        <v>CLOSED</v>
      </c>
      <c r="O19" s="61" t="str">
        <f>Harvest!L17</f>
        <v>CLOSED</v>
      </c>
      <c r="P19" s="58" t="str">
        <f>CPUE!L17</f>
        <v>CLOSED</v>
      </c>
      <c r="Q19" s="60" t="str">
        <f>Effort!N17</f>
        <v>CLOSED</v>
      </c>
      <c r="R19" s="61" t="str">
        <f>Harvest!N17</f>
        <v>CLOSED</v>
      </c>
      <c r="S19" s="68" t="str">
        <f>CPUE!N17</f>
        <v>CLOSED</v>
      </c>
      <c r="T19" s="60">
        <f>E19+H19</f>
        <v>2047</v>
      </c>
      <c r="U19" s="70">
        <f>F19+I19</f>
        <v>30089</v>
      </c>
    </row>
    <row r="20" spans="1:21" x14ac:dyDescent="0.25">
      <c r="A20" s="69">
        <v>40150</v>
      </c>
      <c r="B20" s="44">
        <v>40150</v>
      </c>
      <c r="C20" s="58">
        <v>-1.6</v>
      </c>
      <c r="D20" s="59">
        <v>0.80347222222222225</v>
      </c>
      <c r="E20" s="60" t="str">
        <f>Effort!F18</f>
        <v>CLOSED</v>
      </c>
      <c r="F20" s="61" t="str">
        <f>Harvest!F18</f>
        <v>CLOSED</v>
      </c>
      <c r="G20" s="58" t="str">
        <f>CPUE!F18</f>
        <v>CLOSED</v>
      </c>
      <c r="H20" s="60">
        <f>Effort!H18</f>
        <v>391</v>
      </c>
      <c r="I20" s="61">
        <f>Harvest!H18</f>
        <v>5295</v>
      </c>
      <c r="J20" s="58">
        <f>CPUE!H18</f>
        <v>13.542199488491049</v>
      </c>
      <c r="K20" s="60">
        <f>Effort!J18</f>
        <v>1364</v>
      </c>
      <c r="L20" s="61">
        <f>Harvest!J18</f>
        <v>20455</v>
      </c>
      <c r="M20" s="58">
        <f>CPUE!J18</f>
        <v>14.99633431085044</v>
      </c>
      <c r="N20" s="60">
        <f>Effort!L18</f>
        <v>548</v>
      </c>
      <c r="O20" s="61">
        <f>Harvest!L18</f>
        <v>7196</v>
      </c>
      <c r="P20" s="58">
        <f>CPUE!L18</f>
        <v>13.131386861313869</v>
      </c>
      <c r="Q20" s="60" t="str">
        <f>Effort!N18</f>
        <v>CLOSED</v>
      </c>
      <c r="R20" s="61" t="str">
        <f>Harvest!N18</f>
        <v>CLOSED</v>
      </c>
      <c r="S20" s="68" t="str">
        <f>CPUE!N18</f>
        <v>CLOSED</v>
      </c>
      <c r="T20" s="60">
        <f>H20+K20+N20</f>
        <v>2303</v>
      </c>
      <c r="U20" s="70">
        <f>I20+L20+O20</f>
        <v>32946</v>
      </c>
    </row>
    <row r="21" spans="1:21" x14ac:dyDescent="0.25">
      <c r="A21" s="69">
        <v>40151</v>
      </c>
      <c r="B21" s="44">
        <v>40151</v>
      </c>
      <c r="C21" s="58">
        <v>-1.5</v>
      </c>
      <c r="D21" s="59">
        <v>0.83611111111111114</v>
      </c>
      <c r="E21" s="60">
        <f>Effort!F19</f>
        <v>894</v>
      </c>
      <c r="F21" s="61">
        <f>Harvest!F19</f>
        <v>13077</v>
      </c>
      <c r="G21" s="58">
        <f>CPUE!F19</f>
        <v>14.627516778523489</v>
      </c>
      <c r="H21" s="60">
        <f>Effort!H19</f>
        <v>464.55300222386956</v>
      </c>
      <c r="I21" s="61">
        <f>Harvest!H19</f>
        <v>6245.2478340287898</v>
      </c>
      <c r="J21" s="58">
        <f>CPUE!H19</f>
        <v>13.443563606589684</v>
      </c>
      <c r="K21" s="60">
        <f>Effort!J19</f>
        <v>1484</v>
      </c>
      <c r="L21" s="61">
        <f>Harvest!J19</f>
        <v>21434</v>
      </c>
      <c r="M21" s="58">
        <f>CPUE!J19</f>
        <v>14.443396226415095</v>
      </c>
      <c r="N21" s="60">
        <f>Effort!L19</f>
        <v>945</v>
      </c>
      <c r="O21" s="61">
        <f>Harvest!L19</f>
        <v>12344</v>
      </c>
      <c r="P21" s="58">
        <f>CPUE!L19</f>
        <v>13.062433862433862</v>
      </c>
      <c r="Q21" s="60">
        <f>Effort!N19</f>
        <v>161.93569103053434</v>
      </c>
      <c r="R21" s="61">
        <f>Harvest!N19</f>
        <v>1908.9137988374132</v>
      </c>
      <c r="S21" s="68">
        <f>CPUE!N19</f>
        <v>11.788098020204028</v>
      </c>
      <c r="T21" s="60">
        <f>E21+H21+K21+N21+Q21</f>
        <v>3949.4886932544036</v>
      </c>
      <c r="U21" s="70">
        <f>F21+I21+L21+O21+R21</f>
        <v>55009.161632866206</v>
      </c>
    </row>
    <row r="22" spans="1:21" x14ac:dyDescent="0.25">
      <c r="A22" s="69">
        <v>40152</v>
      </c>
      <c r="B22" s="44">
        <v>40152</v>
      </c>
      <c r="C22" s="58">
        <v>-1.1000000000000001</v>
      </c>
      <c r="D22" s="59">
        <v>0.86875000000000002</v>
      </c>
      <c r="E22" s="60">
        <f>Effort!F20</f>
        <v>821.3026113671275</v>
      </c>
      <c r="F22" s="61">
        <f>Harvest!F20</f>
        <v>11877.619018467503</v>
      </c>
      <c r="G22" s="58">
        <f>CPUE!F20</f>
        <v>14.461927740246928</v>
      </c>
      <c r="H22" s="60">
        <f>Effort!H20</f>
        <v>383</v>
      </c>
      <c r="I22" s="61">
        <f>Harvest!H20</f>
        <v>5738</v>
      </c>
      <c r="J22" s="58">
        <f>CPUE!H20</f>
        <v>14.981723237597912</v>
      </c>
      <c r="K22" s="60">
        <f>Effort!J20</f>
        <v>1347</v>
      </c>
      <c r="L22" s="61">
        <f>Harvest!J20</f>
        <v>20200</v>
      </c>
      <c r="M22" s="58">
        <f>CPUE!J20</f>
        <v>14.996288047512992</v>
      </c>
      <c r="N22" s="60">
        <f>Effort!L20</f>
        <v>788</v>
      </c>
      <c r="O22" s="61">
        <f>Harvest!L20</f>
        <v>11822</v>
      </c>
      <c r="P22" s="58">
        <f>CPUE!L20</f>
        <v>15.00253807106599</v>
      </c>
      <c r="Q22" s="60">
        <f>Effort!N20</f>
        <v>219.25029846440617</v>
      </c>
      <c r="R22" s="61">
        <f>Harvest!N20</f>
        <v>2735.726263191058</v>
      </c>
      <c r="S22" s="68">
        <f>CPUE!N20</f>
        <v>12.477639858881128</v>
      </c>
      <c r="T22" s="60">
        <f>E22+H22+K22+N22+Q22</f>
        <v>3558.5529098315337</v>
      </c>
      <c r="U22" s="70">
        <f>F22+I22+L22+O22+R22</f>
        <v>52373.345281658563</v>
      </c>
    </row>
    <row r="23" spans="1:21" x14ac:dyDescent="0.25">
      <c r="A23" s="63" t="s">
        <v>71</v>
      </c>
      <c r="B23" s="64"/>
      <c r="C23" s="64"/>
      <c r="D23" s="64"/>
      <c r="E23" s="66">
        <f>SUM(E19:E22)</f>
        <v>3111.3026113671276</v>
      </c>
      <c r="F23" s="67">
        <f>SUM(F19:F22)</f>
        <v>45242.619018467507</v>
      </c>
      <c r="G23" s="65">
        <f>F23/E23</f>
        <v>14.541375324011826</v>
      </c>
      <c r="H23" s="66">
        <f>SUM(H19:H22)</f>
        <v>1889.5530022238695</v>
      </c>
      <c r="I23" s="67">
        <f>SUM(I19:I22)</f>
        <v>27079.247834028789</v>
      </c>
      <c r="J23" s="65">
        <f>I23/H23</f>
        <v>14.33103374298495</v>
      </c>
      <c r="K23" s="66">
        <f>SUM(K19:K22)</f>
        <v>4195</v>
      </c>
      <c r="L23" s="67">
        <f>SUM(L19:L22)</f>
        <v>62089</v>
      </c>
      <c r="M23" s="65">
        <f>L23/K23</f>
        <v>14.800715137067938</v>
      </c>
      <c r="N23" s="66">
        <f>SUM(N19:N22)</f>
        <v>2281</v>
      </c>
      <c r="O23" s="67">
        <f>SUM(O19:O22)</f>
        <v>31362</v>
      </c>
      <c r="P23" s="65">
        <f>O23/N23</f>
        <v>13.749232792634809</v>
      </c>
      <c r="Q23" s="66">
        <f>SUM(Q19:Q22)</f>
        <v>381.18598949494049</v>
      </c>
      <c r="R23" s="67">
        <f>SUM(R19:R22)</f>
        <v>4644.6400620284712</v>
      </c>
      <c r="S23" s="65">
        <f>R23/Q23</f>
        <v>12.184708226507679</v>
      </c>
      <c r="T23" s="66">
        <f>SUM(T19:T22)</f>
        <v>11858.041603085938</v>
      </c>
      <c r="U23" s="67">
        <f>SUM(U19:U22)</f>
        <v>170417.50691452477</v>
      </c>
    </row>
    <row r="24" spans="1:21" x14ac:dyDescent="0.25">
      <c r="A24" s="69">
        <v>40178</v>
      </c>
      <c r="B24" s="44">
        <f>A24</f>
        <v>40178</v>
      </c>
      <c r="C24" s="58">
        <v>-1.6</v>
      </c>
      <c r="D24" s="59">
        <v>0.76250000000000007</v>
      </c>
      <c r="E24" s="60">
        <f>Effort!F22</f>
        <v>2025</v>
      </c>
      <c r="F24" s="70">
        <f>Harvest!F22</f>
        <v>25927</v>
      </c>
      <c r="G24" s="68">
        <f>CPUE!F22</f>
        <v>12.803456790123457</v>
      </c>
      <c r="H24" s="60">
        <f>Effort!H22</f>
        <v>805</v>
      </c>
      <c r="I24" s="70">
        <f>Harvest!H22</f>
        <v>4351</v>
      </c>
      <c r="J24" s="68">
        <f>CPUE!H22</f>
        <v>5.4049689440993784</v>
      </c>
      <c r="K24" s="60">
        <f>Effort!J22</f>
        <v>3264</v>
      </c>
      <c r="L24" s="70">
        <f>Harvest!J22</f>
        <v>28707</v>
      </c>
      <c r="M24" s="68">
        <f>CPUE!J22</f>
        <v>8.7950367647058822</v>
      </c>
      <c r="N24" s="60">
        <f>Effort!L22</f>
        <v>1487</v>
      </c>
      <c r="O24" s="70">
        <f>Harvest!L22</f>
        <v>12106</v>
      </c>
      <c r="P24" s="68">
        <f>CPUE!L22</f>
        <v>8.1412239408204439</v>
      </c>
      <c r="Q24" s="60">
        <f>Effort!N22</f>
        <v>299.71141399281959</v>
      </c>
      <c r="R24" s="70">
        <f>Harvest!N22</f>
        <v>573.56354648898719</v>
      </c>
      <c r="S24" s="68">
        <f>CPUE!N22</f>
        <v>1.9137193970955291</v>
      </c>
      <c r="T24" s="60">
        <f>E24+H24+K24+N24+Q24</f>
        <v>7880.7114139928199</v>
      </c>
      <c r="U24" s="70">
        <f>F24+I24+L24+O24+R24</f>
        <v>71664.563546488993</v>
      </c>
    </row>
    <row r="25" spans="1:21" x14ac:dyDescent="0.25">
      <c r="A25" s="69">
        <v>40179</v>
      </c>
      <c r="B25" s="44">
        <f t="shared" ref="B25:B32" si="4">A25</f>
        <v>40179</v>
      </c>
      <c r="C25" s="58">
        <v>-1.8</v>
      </c>
      <c r="D25" s="59">
        <v>0.79236111111111107</v>
      </c>
      <c r="E25" s="60">
        <f>Effort!F23</f>
        <v>4141.1018271967678</v>
      </c>
      <c r="F25" s="70">
        <f>Harvest!F23</f>
        <v>18908.155006879919</v>
      </c>
      <c r="G25" s="68">
        <f>CPUE!F23</f>
        <v>4.5659720035620079</v>
      </c>
      <c r="H25" s="60">
        <f>Effort!H23</f>
        <v>1274.9782389128638</v>
      </c>
      <c r="I25" s="70">
        <f>Harvest!H23</f>
        <v>3361.5674386605033</v>
      </c>
      <c r="J25" s="68">
        <f>CPUE!H23</f>
        <v>2.6365684809858498</v>
      </c>
      <c r="K25" s="60">
        <f>Effort!J23</f>
        <v>6521</v>
      </c>
      <c r="L25" s="70">
        <f>Harvest!J23</f>
        <v>19791</v>
      </c>
      <c r="M25" s="68">
        <f>CPUE!J23</f>
        <v>3.0349639625824261</v>
      </c>
      <c r="N25" s="60">
        <f>Effort!L23</f>
        <v>2836</v>
      </c>
      <c r="O25" s="70">
        <f>Harvest!L23</f>
        <v>16258</v>
      </c>
      <c r="P25" s="68">
        <f>CPUE!L23</f>
        <v>5.7327221438645983</v>
      </c>
      <c r="Q25" s="60">
        <f>Effort!N23</f>
        <v>202.81573827699017</v>
      </c>
      <c r="R25" s="70">
        <f>Harvest!N23</f>
        <v>660.59983324505367</v>
      </c>
      <c r="S25" s="68">
        <f>CPUE!N23</f>
        <v>3.2571428571428571</v>
      </c>
      <c r="T25" s="60">
        <f>E25+H25+K25+N25+Q25</f>
        <v>14975.895804386622</v>
      </c>
      <c r="U25" s="70">
        <f>F25+I25+L25+O25+R25</f>
        <v>58979.322278785476</v>
      </c>
    </row>
    <row r="26" spans="1:21" x14ac:dyDescent="0.25">
      <c r="A26" s="69">
        <v>40180</v>
      </c>
      <c r="B26" s="44">
        <f t="shared" si="4"/>
        <v>40180</v>
      </c>
      <c r="C26" s="58">
        <v>-1.6</v>
      </c>
      <c r="D26" s="59">
        <v>0.82291666666666663</v>
      </c>
      <c r="E26" s="60">
        <f>Effort!F24</f>
        <v>2795</v>
      </c>
      <c r="F26" s="70">
        <f>Harvest!F24</f>
        <v>41925</v>
      </c>
      <c r="G26" s="68">
        <f>CPUE!F24</f>
        <v>15</v>
      </c>
      <c r="H26" s="60">
        <f>Effort!H24</f>
        <v>679</v>
      </c>
      <c r="I26" s="70">
        <f>Harvest!H24</f>
        <v>7712</v>
      </c>
      <c r="J26" s="68">
        <f>CPUE!H24</f>
        <v>11.357879234167894</v>
      </c>
      <c r="K26" s="60">
        <f>Effort!J24</f>
        <v>4167</v>
      </c>
      <c r="L26" s="70">
        <f>Harvest!J24</f>
        <v>62498</v>
      </c>
      <c r="M26" s="68">
        <f>CPUE!J24</f>
        <v>14.99832013438925</v>
      </c>
      <c r="N26" s="60">
        <f>Effort!L24</f>
        <v>1973</v>
      </c>
      <c r="O26" s="70">
        <f>Harvest!L24</f>
        <v>26051</v>
      </c>
      <c r="P26" s="68">
        <f>CPUE!L24</f>
        <v>13.203750633552964</v>
      </c>
      <c r="Q26" s="60" t="str">
        <f>Effort!N24</f>
        <v>CLOSED</v>
      </c>
      <c r="R26" s="70" t="str">
        <f>Harvest!N24</f>
        <v>CLOSED</v>
      </c>
      <c r="S26" s="68" t="str">
        <f>CPUE!N24</f>
        <v>CLOSED</v>
      </c>
      <c r="T26" s="60">
        <f>E26+H26+K26+N26</f>
        <v>9614</v>
      </c>
      <c r="U26" s="70">
        <f>F26+I26+L26+O26</f>
        <v>138186</v>
      </c>
    </row>
    <row r="27" spans="1:21" x14ac:dyDescent="0.25">
      <c r="A27" s="69">
        <v>40181</v>
      </c>
      <c r="B27" s="44">
        <f t="shared" si="4"/>
        <v>40181</v>
      </c>
      <c r="C27" s="58">
        <v>-1.2</v>
      </c>
      <c r="D27" s="59">
        <v>0.8534722222222223</v>
      </c>
      <c r="E27" s="60" t="str">
        <f>Effort!F25</f>
        <v>CLOSED</v>
      </c>
      <c r="F27" s="70" t="str">
        <f>Harvest!F25</f>
        <v>CLOSED</v>
      </c>
      <c r="G27" s="68" t="str">
        <f>CPUE!F25</f>
        <v>CLOSED</v>
      </c>
      <c r="H27" s="60">
        <f>Effort!H25</f>
        <v>350</v>
      </c>
      <c r="I27" s="70">
        <f>Harvest!H25</f>
        <v>5250</v>
      </c>
      <c r="J27" s="68">
        <f>CPUE!H25</f>
        <v>15</v>
      </c>
      <c r="K27" s="60" t="str">
        <f>Effort!J25</f>
        <v>CLOSED</v>
      </c>
      <c r="L27" s="70" t="str">
        <f>Harvest!J25</f>
        <v>CLOSED</v>
      </c>
      <c r="M27" s="68" t="str">
        <f>CPUE!J25</f>
        <v>CLOSED</v>
      </c>
      <c r="N27" s="60" t="str">
        <f>Effort!L25</f>
        <v>CLOSED</v>
      </c>
      <c r="O27" s="70" t="str">
        <f>Harvest!L25</f>
        <v>CLOSED</v>
      </c>
      <c r="P27" s="68" t="str">
        <f>CPUE!L25</f>
        <v>CLOSED</v>
      </c>
      <c r="Q27" s="60" t="str">
        <f>Effort!N25</f>
        <v>CLOSED</v>
      </c>
      <c r="R27" s="70" t="str">
        <f>Harvest!N25</f>
        <v>CLOSED</v>
      </c>
      <c r="S27" s="68" t="str">
        <f>CPUE!N25</f>
        <v>CLOSED</v>
      </c>
      <c r="T27" s="60">
        <f>H27</f>
        <v>350</v>
      </c>
      <c r="U27" s="70">
        <f>I27</f>
        <v>5250</v>
      </c>
    </row>
    <row r="28" spans="1:21" x14ac:dyDescent="0.25">
      <c r="A28" s="63" t="s">
        <v>71</v>
      </c>
      <c r="B28" s="64"/>
      <c r="C28" s="64"/>
      <c r="D28" s="64"/>
      <c r="E28" s="66">
        <f>SUM(E24:E27)</f>
        <v>8961.1018271967678</v>
      </c>
      <c r="F28" s="67">
        <f>SUM(F24:F27)</f>
        <v>86760.155006879912</v>
      </c>
      <c r="G28" s="65">
        <f>F28/E28</f>
        <v>9.6818624182535835</v>
      </c>
      <c r="H28" s="66">
        <f>SUM(H24:H27)</f>
        <v>3108.9782389128641</v>
      </c>
      <c r="I28" s="67">
        <f>SUM(I24:I27)</f>
        <v>20674.567438660502</v>
      </c>
      <c r="J28" s="65">
        <f>I28/H28</f>
        <v>6.6499556606384962</v>
      </c>
      <c r="K28" s="66">
        <f>SUM(K24:K27)</f>
        <v>13952</v>
      </c>
      <c r="L28" s="67">
        <f>SUM(L24:L27)</f>
        <v>110996</v>
      </c>
      <c r="M28" s="65">
        <f>L28/K28</f>
        <v>7.9555619266055047</v>
      </c>
      <c r="N28" s="66">
        <f>SUM(N24:N27)</f>
        <v>6296</v>
      </c>
      <c r="O28" s="67">
        <f>SUM(O24:O27)</f>
        <v>54415</v>
      </c>
      <c r="P28" s="65">
        <f>O28/N28</f>
        <v>8.6427890724269378</v>
      </c>
      <c r="Q28" s="66">
        <f>SUM(Q24:Q27)</f>
        <v>502.52715226980979</v>
      </c>
      <c r="R28" s="67">
        <f>SUM(R24:R27)</f>
        <v>1234.163379734041</v>
      </c>
      <c r="S28" s="65">
        <f>R28/Q28</f>
        <v>2.4559138230831583</v>
      </c>
      <c r="T28" s="66">
        <f>SUM(T24:T27)</f>
        <v>32820.607218379446</v>
      </c>
      <c r="U28" s="67">
        <f>SUM(U24:U27)</f>
        <v>274079.88582527445</v>
      </c>
    </row>
    <row r="29" spans="1:21" x14ac:dyDescent="0.25">
      <c r="A29" s="69">
        <v>40206</v>
      </c>
      <c r="B29" s="44">
        <f t="shared" si="4"/>
        <v>40206</v>
      </c>
      <c r="C29" s="58">
        <v>-1.1000000000000001</v>
      </c>
      <c r="D29" s="59">
        <v>0.71736111111111101</v>
      </c>
      <c r="E29" s="60" t="str">
        <f>Effort!F27</f>
        <v>CLOSED</v>
      </c>
      <c r="F29" s="70" t="str">
        <f>Harvest!F27</f>
        <v>CLOSED</v>
      </c>
      <c r="G29" s="68" t="str">
        <f>CPUE!F27</f>
        <v>CLOSED</v>
      </c>
      <c r="H29" s="60">
        <f>Effort!H27</f>
        <v>861</v>
      </c>
      <c r="I29" s="70">
        <f>Harvest!H27</f>
        <v>12915</v>
      </c>
      <c r="J29" s="68">
        <f>CPUE!H27</f>
        <v>15</v>
      </c>
      <c r="K29" s="60" t="str">
        <f>Effort!J27</f>
        <v>CLOSED</v>
      </c>
      <c r="L29" s="70" t="str">
        <f>Harvest!J27</f>
        <v>CLOSED</v>
      </c>
      <c r="M29" s="68" t="str">
        <f>CPUE!J27</f>
        <v>CLOSED</v>
      </c>
      <c r="N29" s="60" t="str">
        <f>Effort!L27</f>
        <v>CLOSED</v>
      </c>
      <c r="O29" s="70" t="str">
        <f>Harvest!L27</f>
        <v>CLOSED</v>
      </c>
      <c r="P29" s="68" t="str">
        <f>CPUE!L27</f>
        <v>CLOSED</v>
      </c>
      <c r="Q29" s="60" t="str">
        <f>Effort!N27</f>
        <v>CLOSED</v>
      </c>
      <c r="R29" s="70" t="str">
        <f>Harvest!N27</f>
        <v>CLOSED</v>
      </c>
      <c r="S29" s="68" t="str">
        <f>CPUE!N27</f>
        <v>CLOSED</v>
      </c>
      <c r="T29" s="60">
        <f>H29</f>
        <v>861</v>
      </c>
      <c r="U29" s="70">
        <f>I29</f>
        <v>12915</v>
      </c>
    </row>
    <row r="30" spans="1:21" x14ac:dyDescent="0.25">
      <c r="A30" s="69">
        <v>40207</v>
      </c>
      <c r="B30" s="44">
        <f t="shared" si="4"/>
        <v>40207</v>
      </c>
      <c r="C30" s="58">
        <v>-1.5</v>
      </c>
      <c r="D30" s="59">
        <v>0.74861111111111101</v>
      </c>
      <c r="E30" s="60" t="str">
        <f>Effort!F28</f>
        <v>CLOSED</v>
      </c>
      <c r="F30" s="70" t="str">
        <f>Harvest!F28</f>
        <v>CLOSED</v>
      </c>
      <c r="G30" s="68" t="str">
        <f>CPUE!F28</f>
        <v>CLOSED</v>
      </c>
      <c r="H30" s="60">
        <f>Effort!H28</f>
        <v>1685</v>
      </c>
      <c r="I30" s="70">
        <f>Harvest!H28</f>
        <v>25275</v>
      </c>
      <c r="J30" s="68">
        <f>CPUE!H28</f>
        <v>15</v>
      </c>
      <c r="K30" s="60">
        <f>Effort!J28</f>
        <v>4578</v>
      </c>
      <c r="L30" s="70">
        <f>Harvest!J28</f>
        <v>65435</v>
      </c>
      <c r="M30" s="68">
        <f>CPUE!J28</f>
        <v>14.293359545653123</v>
      </c>
      <c r="N30" s="60">
        <f>Effort!L28</f>
        <v>2378</v>
      </c>
      <c r="O30" s="70">
        <f>Harvest!L28</f>
        <v>28597</v>
      </c>
      <c r="P30" s="68">
        <f>CPUE!L28</f>
        <v>12.02565180824222</v>
      </c>
      <c r="Q30" s="60" t="str">
        <f>Effort!N28</f>
        <v>CLOSED</v>
      </c>
      <c r="R30" s="70" t="str">
        <f>Harvest!N28</f>
        <v>CLOSED</v>
      </c>
      <c r="S30" s="68" t="str">
        <f>CPUE!N28</f>
        <v>CLOSED</v>
      </c>
      <c r="T30" s="60">
        <f>H30+K30+N30</f>
        <v>8641</v>
      </c>
      <c r="U30" s="70">
        <f>I30+L30+O30</f>
        <v>119307</v>
      </c>
    </row>
    <row r="31" spans="1:21" x14ac:dyDescent="0.25">
      <c r="A31" s="69">
        <v>40208</v>
      </c>
      <c r="B31" s="44">
        <f t="shared" si="4"/>
        <v>40208</v>
      </c>
      <c r="C31" s="58">
        <v>-1.5</v>
      </c>
      <c r="D31" s="59">
        <v>0.77847222222222223</v>
      </c>
      <c r="E31" s="60" t="str">
        <f>Effort!F29</f>
        <v>CLOSED</v>
      </c>
      <c r="F31" s="70" t="str">
        <f>Harvest!F29</f>
        <v>CLOSED</v>
      </c>
      <c r="G31" s="68" t="str">
        <f>CPUE!F29</f>
        <v>CLOSED</v>
      </c>
      <c r="H31" s="60">
        <f>Effort!H29</f>
        <v>2490</v>
      </c>
      <c r="I31" s="70">
        <f>Harvest!H29</f>
        <v>37350</v>
      </c>
      <c r="J31" s="68">
        <f>CPUE!H29</f>
        <v>15</v>
      </c>
      <c r="K31" s="60">
        <f>Effort!J29</f>
        <v>5240</v>
      </c>
      <c r="L31" s="70">
        <f>Harvest!J29</f>
        <v>64017</v>
      </c>
      <c r="M31" s="68">
        <f>CPUE!J29</f>
        <v>12.216984732824427</v>
      </c>
      <c r="N31" s="60">
        <f>Effort!L29</f>
        <v>3418</v>
      </c>
      <c r="O31" s="70">
        <f>Harvest!L29</f>
        <v>42276</v>
      </c>
      <c r="P31" s="68">
        <f>CPUE!L29</f>
        <v>12.368636629607957</v>
      </c>
      <c r="Q31" s="60">
        <f>Effort!N29</f>
        <v>228.50497560975612</v>
      </c>
      <c r="R31" s="70">
        <f>Harvest!N29</f>
        <v>1075.0326964030548</v>
      </c>
      <c r="S31" s="68">
        <f>CPUE!N29</f>
        <v>4.7046358335715643</v>
      </c>
      <c r="T31" s="60">
        <f>H31+K31+N31+Q31</f>
        <v>11376.504975609756</v>
      </c>
      <c r="U31" s="70">
        <f>I31+L31+O31+R31</f>
        <v>144718.03269640307</v>
      </c>
    </row>
    <row r="32" spans="1:21" x14ac:dyDescent="0.25">
      <c r="A32" s="69">
        <v>40209</v>
      </c>
      <c r="B32" s="44">
        <f t="shared" si="4"/>
        <v>40209</v>
      </c>
      <c r="C32" s="58">
        <v>-1.2</v>
      </c>
      <c r="D32" s="59">
        <v>0.80763888888888891</v>
      </c>
      <c r="E32" s="60" t="str">
        <f>Effort!F30</f>
        <v>CLOSED</v>
      </c>
      <c r="F32" s="70" t="str">
        <f>Harvest!F30</f>
        <v>CLOSED</v>
      </c>
      <c r="G32" s="68" t="str">
        <f>CPUE!F30</f>
        <v>CLOSED</v>
      </c>
      <c r="H32" s="60">
        <f>Effort!H30</f>
        <v>540</v>
      </c>
      <c r="I32" s="70">
        <f>Harvest!H30</f>
        <v>5848.2177102565765</v>
      </c>
      <c r="J32" s="68">
        <f>CPUE!H30</f>
        <v>10.830032796771437</v>
      </c>
      <c r="K32" s="60">
        <f>Effort!J30</f>
        <v>2737</v>
      </c>
      <c r="L32" s="70">
        <f>Harvest!J30</f>
        <v>33358</v>
      </c>
      <c r="M32" s="68">
        <f>CPUE!J30</f>
        <v>12.187796857873584</v>
      </c>
      <c r="N32" s="60">
        <f>Effort!L30</f>
        <v>927</v>
      </c>
      <c r="O32" s="70">
        <f>Harvest!L30</f>
        <v>13902</v>
      </c>
      <c r="P32" s="68">
        <f>CPUE!L30</f>
        <v>14.996763754045308</v>
      </c>
      <c r="Q32" s="60">
        <f>Effort!N30</f>
        <v>111.64294736842106</v>
      </c>
      <c r="R32" s="70">
        <f>Harvest!N30</f>
        <v>1108.1596257309943</v>
      </c>
      <c r="S32" s="68">
        <f>CPUE!N30</f>
        <v>9.9259259259259274</v>
      </c>
      <c r="T32" s="60">
        <f>H32+K32+N32+Q32</f>
        <v>4315.6429473684211</v>
      </c>
      <c r="U32" s="70">
        <f>I32+L32+O32+R32</f>
        <v>54216.37733598757</v>
      </c>
    </row>
    <row r="33" spans="1:21" x14ac:dyDescent="0.25">
      <c r="A33" s="63" t="s">
        <v>71</v>
      </c>
      <c r="B33" s="64"/>
      <c r="C33" s="64"/>
      <c r="D33" s="64"/>
      <c r="E33" s="66">
        <f>SUM(E29:E32)</f>
        <v>0</v>
      </c>
      <c r="F33" s="67">
        <f>SUM(F29:F32)</f>
        <v>0</v>
      </c>
      <c r="G33" s="65" t="e">
        <f>F33/E33</f>
        <v>#DIV/0!</v>
      </c>
      <c r="H33" s="66">
        <f>SUM(H29:H32)</f>
        <v>5576</v>
      </c>
      <c r="I33" s="67">
        <f>SUM(I29:I32)</f>
        <v>81388.217710256577</v>
      </c>
      <c r="J33" s="65">
        <f>I33/H33</f>
        <v>14.596165299543863</v>
      </c>
      <c r="K33" s="66">
        <f>SUM(K29:K32)</f>
        <v>12555</v>
      </c>
      <c r="L33" s="67">
        <f>SUM(L29:L32)</f>
        <v>162810</v>
      </c>
      <c r="M33" s="65">
        <f>L33/K33</f>
        <v>12.96774193548387</v>
      </c>
      <c r="N33" s="66">
        <f>SUM(N29:N32)</f>
        <v>6723</v>
      </c>
      <c r="O33" s="67">
        <f>SUM(O29:O32)</f>
        <v>84775</v>
      </c>
      <c r="P33" s="65">
        <f>O33/N33</f>
        <v>12.60969805146512</v>
      </c>
      <c r="Q33" s="66">
        <f>SUM(Q29:Q32)</f>
        <v>340.14792297817718</v>
      </c>
      <c r="R33" s="67">
        <f>SUM(R29:R32)</f>
        <v>2183.1923221340494</v>
      </c>
      <c r="S33" s="65">
        <f>R33/Q33</f>
        <v>6.4183614676198273</v>
      </c>
      <c r="T33" s="66">
        <f>SUM(T29:T32)</f>
        <v>25194.14792297818</v>
      </c>
      <c r="U33" s="67">
        <f>SUM(U29:U32)</f>
        <v>331156.41003239068</v>
      </c>
    </row>
    <row r="34" spans="1:21" x14ac:dyDescent="0.25">
      <c r="A34" s="69">
        <v>40235</v>
      </c>
      <c r="B34" s="44">
        <v>40235</v>
      </c>
      <c r="C34" s="58">
        <v>-0.7</v>
      </c>
      <c r="D34" s="59">
        <v>0.7006944444444444</v>
      </c>
      <c r="E34" s="60">
        <f>Effort!F32</f>
        <v>2703</v>
      </c>
      <c r="F34" s="70">
        <f>Harvest!F32</f>
        <v>40476</v>
      </c>
      <c r="G34" s="68">
        <f>CPUE!F32</f>
        <v>14.974472807991122</v>
      </c>
      <c r="H34" s="60">
        <f>Effort!H32</f>
        <v>1283</v>
      </c>
      <c r="I34" s="70">
        <f>Harvest!H32</f>
        <v>19245</v>
      </c>
      <c r="J34" s="68">
        <f>CPUE!H32</f>
        <v>15</v>
      </c>
      <c r="K34" s="60">
        <f>Effort!J32</f>
        <v>4088</v>
      </c>
      <c r="L34" s="70">
        <f>Harvest!J32</f>
        <v>61050</v>
      </c>
      <c r="M34" s="68">
        <f>CPUE!J32</f>
        <v>14.933953033268102</v>
      </c>
      <c r="N34" s="60">
        <f>Effort!L32</f>
        <v>1725</v>
      </c>
      <c r="O34" s="70">
        <f>Harvest!L32</f>
        <v>25870</v>
      </c>
      <c r="P34" s="68">
        <f>CPUE!L32</f>
        <v>14.997101449275362</v>
      </c>
      <c r="Q34" s="60" t="str">
        <f>Effort!N32</f>
        <v>CLOSED</v>
      </c>
      <c r="R34" s="70" t="str">
        <f>Harvest!N32</f>
        <v>CLOSED</v>
      </c>
      <c r="S34" s="68" t="str">
        <f>CPUE!N32</f>
        <v>CLOSED</v>
      </c>
      <c r="T34" s="60">
        <f>E34+H34+K34+N34</f>
        <v>9799</v>
      </c>
      <c r="U34" s="70">
        <f>F34+I34+L34+O34</f>
        <v>146641</v>
      </c>
    </row>
    <row r="35" spans="1:21" x14ac:dyDescent="0.25">
      <c r="A35" s="69">
        <v>40236</v>
      </c>
      <c r="B35" s="44">
        <v>40236</v>
      </c>
      <c r="C35" s="58">
        <v>-0.9</v>
      </c>
      <c r="D35" s="59">
        <v>0.7319444444444444</v>
      </c>
      <c r="E35" s="263">
        <f>Effort!F33</f>
        <v>4600</v>
      </c>
      <c r="F35" s="264">
        <f>Harvest!F33</f>
        <v>69000</v>
      </c>
      <c r="G35" s="265">
        <f>CPUE!F33</f>
        <v>15</v>
      </c>
      <c r="H35" s="263">
        <f>Effort!H33</f>
        <v>550</v>
      </c>
      <c r="I35" s="264">
        <f>Harvest!H33</f>
        <v>8000</v>
      </c>
      <c r="J35" s="265">
        <f>CPUE!H33</f>
        <v>15</v>
      </c>
      <c r="K35" s="263">
        <f>Effort!J33</f>
        <v>2863.2</v>
      </c>
      <c r="L35" s="264">
        <f>Harvest!J33</f>
        <v>42500</v>
      </c>
      <c r="M35" s="265">
        <f>CPUE!J33</f>
        <v>15</v>
      </c>
      <c r="N35" s="263">
        <f>Effort!L33</f>
        <v>688.8</v>
      </c>
      <c r="O35" s="264">
        <f>Harvest!L33</f>
        <v>10000</v>
      </c>
      <c r="P35" s="265">
        <f>CPUE!L33</f>
        <v>15</v>
      </c>
      <c r="Q35" s="263">
        <f>Effort!N33</f>
        <v>129.00293650793651</v>
      </c>
      <c r="R35" s="264">
        <f>Harvest!N33</f>
        <v>338.78341269841269</v>
      </c>
      <c r="S35" s="265">
        <f>CPUE!N33</f>
        <v>2.6261682242990654</v>
      </c>
      <c r="T35" s="263">
        <f>E35+H35+K35+N35+Q35</f>
        <v>8831.0029365079372</v>
      </c>
      <c r="U35" s="264">
        <f>F35+I35+L35+O35+R35</f>
        <v>129838.78341269841</v>
      </c>
    </row>
    <row r="36" spans="1:21" x14ac:dyDescent="0.25">
      <c r="A36" s="69">
        <v>40237</v>
      </c>
      <c r="B36" s="44">
        <v>40237</v>
      </c>
      <c r="C36" s="58">
        <v>-0.8</v>
      </c>
      <c r="D36" s="59">
        <v>0.76111111111111107</v>
      </c>
      <c r="E36" s="60">
        <f>Effort!F34</f>
        <v>4661</v>
      </c>
      <c r="F36" s="70">
        <f>Harvest!F34</f>
        <v>69915</v>
      </c>
      <c r="G36" s="68">
        <f>CPUE!F34</f>
        <v>15</v>
      </c>
      <c r="H36" s="60">
        <f>Effort!H34</f>
        <v>1868</v>
      </c>
      <c r="I36" s="70">
        <f>Harvest!H34</f>
        <v>26623</v>
      </c>
      <c r="J36" s="68">
        <f>CPUE!H34</f>
        <v>14.252141327623127</v>
      </c>
      <c r="K36" s="60">
        <f>Effort!J34</f>
        <v>9544</v>
      </c>
      <c r="L36" s="70">
        <f>Harvest!J34</f>
        <v>141678</v>
      </c>
      <c r="M36" s="68">
        <f>CPUE!J34</f>
        <v>14.844719195305951</v>
      </c>
      <c r="N36" s="60">
        <f>Effort!L34</f>
        <v>2296</v>
      </c>
      <c r="O36" s="70">
        <f>Harvest!L34</f>
        <v>33868</v>
      </c>
      <c r="P36" s="68">
        <f>CPUE!L34</f>
        <v>14.750871080139373</v>
      </c>
      <c r="Q36" s="60">
        <f>Effort!N34</f>
        <v>165.42407142857144</v>
      </c>
      <c r="R36" s="70">
        <f>Harvest!N34</f>
        <v>2373.199178571429</v>
      </c>
      <c r="S36" s="68">
        <f>CPUE!N34</f>
        <v>14.346153846153848</v>
      </c>
      <c r="T36" s="60">
        <f>E36+H36+K36+N36+Q36</f>
        <v>18534.42407142857</v>
      </c>
      <c r="U36" s="70">
        <f>F36+I36+L36+O36+R36</f>
        <v>274457.19917857141</v>
      </c>
    </row>
    <row r="37" spans="1:21" x14ac:dyDescent="0.25">
      <c r="A37" s="69">
        <v>40238</v>
      </c>
      <c r="B37" s="44">
        <v>40238</v>
      </c>
      <c r="C37" s="58">
        <v>-0.4</v>
      </c>
      <c r="D37" s="59">
        <v>0.78888888888888886</v>
      </c>
      <c r="E37" s="60">
        <f>Effort!F35</f>
        <v>1411</v>
      </c>
      <c r="F37" s="70">
        <f>Harvest!F35</f>
        <v>4702</v>
      </c>
      <c r="G37" s="68">
        <f>CPUE!F35</f>
        <v>3.332388377037562</v>
      </c>
      <c r="H37" s="60">
        <f>Effort!H35</f>
        <v>996</v>
      </c>
      <c r="I37" s="70">
        <f>Harvest!H35</f>
        <v>12984</v>
      </c>
      <c r="J37" s="68">
        <f>CPUE!H35</f>
        <v>13.036144578313253</v>
      </c>
      <c r="K37" s="60" t="str">
        <f>Effort!J35</f>
        <v>CLOSED</v>
      </c>
      <c r="L37" s="70" t="str">
        <f>Harvest!J35</f>
        <v>CLOSED</v>
      </c>
      <c r="M37" s="68" t="str">
        <f>CPUE!J35</f>
        <v>CLOSED</v>
      </c>
      <c r="N37" s="60" t="str">
        <f>Effort!L35</f>
        <v>CLOSED</v>
      </c>
      <c r="O37" s="70" t="str">
        <f>Harvest!L35</f>
        <v>CLOSED</v>
      </c>
      <c r="P37" s="68" t="str">
        <f>CPUE!L35</f>
        <v>CLOSED</v>
      </c>
      <c r="Q37" s="60" t="str">
        <f>Effort!N35</f>
        <v>CLOSED</v>
      </c>
      <c r="R37" s="70" t="str">
        <f>Harvest!N35</f>
        <v>CLOSED</v>
      </c>
      <c r="S37" s="68" t="str">
        <f>CPUE!N35</f>
        <v>CLOSED</v>
      </c>
      <c r="T37" s="60">
        <f>E37+H37</f>
        <v>2407</v>
      </c>
      <c r="U37" s="70">
        <f>F37+I37</f>
        <v>17686</v>
      </c>
    </row>
    <row r="38" spans="1:21" x14ac:dyDescent="0.25">
      <c r="A38" s="63" t="s">
        <v>71</v>
      </c>
      <c r="B38" s="64"/>
      <c r="C38" s="64"/>
      <c r="D38" s="64"/>
      <c r="E38" s="66">
        <f>SUM(E34:E37)</f>
        <v>13375</v>
      </c>
      <c r="F38" s="67">
        <f>SUM(F34:F37)</f>
        <v>184093</v>
      </c>
      <c r="G38" s="65">
        <f>F38/E38</f>
        <v>13.763962616822431</v>
      </c>
      <c r="H38" s="66">
        <f>SUM(H34:H37)</f>
        <v>4697</v>
      </c>
      <c r="I38" s="67">
        <f>SUM(I34:I37)</f>
        <v>66852</v>
      </c>
      <c r="J38" s="65">
        <f>I38/H38</f>
        <v>14.23291462635725</v>
      </c>
      <c r="K38" s="66">
        <f>SUM(K34:K37)</f>
        <v>16495.2</v>
      </c>
      <c r="L38" s="67">
        <f>SUM(L34:L37)</f>
        <v>245228</v>
      </c>
      <c r="M38" s="65">
        <f>L38/K38</f>
        <v>14.866627867500847</v>
      </c>
      <c r="N38" s="66">
        <f>SUM(N34:N37)</f>
        <v>4709.8</v>
      </c>
      <c r="O38" s="67">
        <f>SUM(O34:O37)</f>
        <v>69738</v>
      </c>
      <c r="P38" s="65">
        <f>O38/N38</f>
        <v>14.806998174020128</v>
      </c>
      <c r="Q38" s="66">
        <f>SUM(Q34:Q37)</f>
        <v>294.42700793650795</v>
      </c>
      <c r="R38" s="67">
        <f>SUM(R34:R37)</f>
        <v>2711.9825912698416</v>
      </c>
      <c r="S38" s="65">
        <f>R38/Q38</f>
        <v>9.2110523768752568</v>
      </c>
      <c r="T38" s="66">
        <f>SUM(T34:T37)</f>
        <v>39571.427007936509</v>
      </c>
      <c r="U38" s="67">
        <f>SUM(U34:U37)</f>
        <v>568622.98259126977</v>
      </c>
    </row>
    <row r="39" spans="1:21" x14ac:dyDescent="0.25">
      <c r="A39" s="69">
        <v>40263</v>
      </c>
      <c r="B39" s="44">
        <v>40263</v>
      </c>
      <c r="C39" s="58">
        <v>0.1</v>
      </c>
      <c r="D39" s="59">
        <v>0.68680555555555556</v>
      </c>
      <c r="E39" s="60">
        <f>Effort!F37</f>
        <v>4148</v>
      </c>
      <c r="F39" s="70">
        <f>Harvest!F37</f>
        <v>61344</v>
      </c>
      <c r="G39" s="68">
        <f>CPUE!F37</f>
        <v>14.788813886210221</v>
      </c>
      <c r="H39" s="60">
        <f>Effort!H37</f>
        <v>1153</v>
      </c>
      <c r="I39" s="70">
        <f>Harvest!H37</f>
        <v>17021</v>
      </c>
      <c r="J39" s="68">
        <f>CPUE!H37</f>
        <v>14.762359063313097</v>
      </c>
      <c r="K39" s="60" t="str">
        <f>Effort!J37</f>
        <v>CLOSED</v>
      </c>
      <c r="L39" s="70" t="str">
        <f>Harvest!J37</f>
        <v>CLOSED</v>
      </c>
      <c r="M39" s="68" t="str">
        <f>CPUE!J37</f>
        <v>CLOSED</v>
      </c>
      <c r="N39" s="60" t="str">
        <f>Effort!L37</f>
        <v>CLOSED</v>
      </c>
      <c r="O39" s="70" t="str">
        <f>Harvest!L37</f>
        <v>CLOSED</v>
      </c>
      <c r="P39" s="68" t="str">
        <f>CPUE!L37</f>
        <v>CLOSED</v>
      </c>
      <c r="Q39" s="60">
        <f>Effort!N37</f>
        <v>238.9362589473684</v>
      </c>
      <c r="R39" s="70">
        <f>Harvest!N37</f>
        <v>2835.6658627067668</v>
      </c>
      <c r="S39" s="68">
        <f>CPUE!N37</f>
        <v>11.86787587283432</v>
      </c>
      <c r="T39" s="60">
        <f>+E39+H39+Q39</f>
        <v>5539.9362589473685</v>
      </c>
      <c r="U39" s="70">
        <f>+F39+I39+R39</f>
        <v>81200.665862706766</v>
      </c>
    </row>
    <row r="40" spans="1:21" x14ac:dyDescent="0.25">
      <c r="A40" s="69">
        <v>40264</v>
      </c>
      <c r="B40" s="44">
        <v>40264</v>
      </c>
      <c r="C40" s="58">
        <v>-0.1</v>
      </c>
      <c r="D40" s="59">
        <v>0.72152777777777777</v>
      </c>
      <c r="E40" s="60">
        <f>Effort!F38</f>
        <v>5291.5036267721725</v>
      </c>
      <c r="F40" s="70">
        <f>Harvest!F38</f>
        <v>56443.798776797375</v>
      </c>
      <c r="G40" s="68">
        <f>CPUE!F38</f>
        <v>10.666873304446396</v>
      </c>
      <c r="H40" s="60">
        <f>Effort!H38</f>
        <v>3633</v>
      </c>
      <c r="I40" s="70">
        <f>Harvest!H38</f>
        <v>53531</v>
      </c>
      <c r="J40" s="68">
        <f>CPUE!H38</f>
        <v>14.734654555463804</v>
      </c>
      <c r="K40" s="60">
        <f>Effort!J38</f>
        <v>8172</v>
      </c>
      <c r="L40" s="70">
        <f>Harvest!J38</f>
        <v>113112</v>
      </c>
      <c r="M40" s="68">
        <f>CPUE!J38</f>
        <v>13.841409691629956</v>
      </c>
      <c r="N40" s="60">
        <f>Effort!L38</f>
        <v>5309</v>
      </c>
      <c r="O40" s="70">
        <f>Harvest!L38</f>
        <v>74693</v>
      </c>
      <c r="P40" s="68">
        <f>CPUE!L38</f>
        <v>14.069127896025616</v>
      </c>
      <c r="Q40" s="60">
        <f>Effort!N38</f>
        <v>513.85641441441442</v>
      </c>
      <c r="R40" s="70">
        <f>Harvest!N38</f>
        <v>6094.2410270270266</v>
      </c>
      <c r="S40" s="68">
        <f>CPUE!N38</f>
        <v>11.859813084112149</v>
      </c>
      <c r="T40" s="60">
        <f>+E40+H40+K40+N40+Q40</f>
        <v>22919.360041186588</v>
      </c>
      <c r="U40" s="70">
        <f>+F40+I40+L40+O40+R40</f>
        <v>303874.03980382439</v>
      </c>
    </row>
    <row r="41" spans="1:21" x14ac:dyDescent="0.25">
      <c r="A41" s="69">
        <v>40265</v>
      </c>
      <c r="B41" s="44">
        <v>40265</v>
      </c>
      <c r="C41" s="58">
        <v>0</v>
      </c>
      <c r="D41" s="59">
        <v>0.75277777777777777</v>
      </c>
      <c r="E41" s="60">
        <f>Effort!F39</f>
        <v>2381</v>
      </c>
      <c r="F41" s="70">
        <f>Harvest!F39</f>
        <v>9435</v>
      </c>
      <c r="G41" s="68">
        <f>CPUE!F39</f>
        <v>3.9626207475850483</v>
      </c>
      <c r="H41" s="60">
        <f>Effort!H39</f>
        <v>1634.7287293227505</v>
      </c>
      <c r="I41" s="70">
        <f>Harvest!H39</f>
        <v>8948.1040600622982</v>
      </c>
      <c r="J41" s="68">
        <f>CPUE!H39</f>
        <v>5.4737546967620716</v>
      </c>
      <c r="K41" s="60">
        <f>Effort!J39</f>
        <v>4158</v>
      </c>
      <c r="L41" s="70">
        <f>Harvest!J39</f>
        <v>18036</v>
      </c>
      <c r="M41" s="68">
        <f>CPUE!J39</f>
        <v>4.337662337662338</v>
      </c>
      <c r="N41" s="60">
        <f>Effort!L39</f>
        <v>1908</v>
      </c>
      <c r="O41" s="70">
        <f>Harvest!L39</f>
        <v>13357</v>
      </c>
      <c r="P41" s="68">
        <f>CPUE!L39</f>
        <v>7.000524109014675</v>
      </c>
      <c r="Q41" s="60" t="str">
        <f>Effort!N39</f>
        <v>CLOSED</v>
      </c>
      <c r="R41" s="70" t="str">
        <f>Harvest!N39</f>
        <v>CLOSED</v>
      </c>
      <c r="S41" s="68" t="str">
        <f>CPUE!N39</f>
        <v>CLOSED</v>
      </c>
      <c r="T41" s="60">
        <f>+E41+H41+K41+N41</f>
        <v>10081.728729322751</v>
      </c>
      <c r="U41" s="70">
        <f>+F41+I41+L41+O41</f>
        <v>49776.104060062295</v>
      </c>
    </row>
    <row r="42" spans="1:21" x14ac:dyDescent="0.25">
      <c r="A42" s="69">
        <v>40266</v>
      </c>
      <c r="B42" s="44">
        <v>40266</v>
      </c>
      <c r="C42" s="58">
        <v>-0.1</v>
      </c>
      <c r="D42" s="59">
        <v>0.27430555555555552</v>
      </c>
      <c r="E42" s="60">
        <f>Effort!F40</f>
        <v>174</v>
      </c>
      <c r="F42" s="70">
        <f>Harvest!F40</f>
        <v>186</v>
      </c>
      <c r="G42" s="68">
        <f>CPUE!F40</f>
        <v>1.0689655172413792</v>
      </c>
      <c r="H42" s="60">
        <f>Effort!H40</f>
        <v>92</v>
      </c>
      <c r="I42" s="70">
        <f>Harvest!H40</f>
        <v>0</v>
      </c>
      <c r="J42" s="68">
        <f>CPUE!H40</f>
        <v>0</v>
      </c>
      <c r="K42" s="60" t="str">
        <f>Effort!J40</f>
        <v>CLOSED</v>
      </c>
      <c r="L42" s="70" t="str">
        <f>Harvest!J40</f>
        <v>CLOSED</v>
      </c>
      <c r="M42" s="68" t="str">
        <f>CPUE!J40</f>
        <v>CLOSED</v>
      </c>
      <c r="N42" s="60" t="str">
        <f>Effort!L40</f>
        <v>CLOSED</v>
      </c>
      <c r="O42" s="70" t="str">
        <f>Harvest!L40</f>
        <v>CLOSED</v>
      </c>
      <c r="P42" s="68" t="str">
        <f>CPUE!L40</f>
        <v>CLOSED</v>
      </c>
      <c r="Q42" s="60" t="str">
        <f>Effort!N40</f>
        <v>CLOSED</v>
      </c>
      <c r="R42" s="70" t="str">
        <f>Harvest!N40</f>
        <v>CLOSED</v>
      </c>
      <c r="S42" s="68" t="str">
        <f>CPUE!N40</f>
        <v>CLOSED</v>
      </c>
      <c r="T42" s="60">
        <f t="shared" ref="T42:U45" si="5">+E42+H42</f>
        <v>266</v>
      </c>
      <c r="U42" s="70">
        <f t="shared" si="5"/>
        <v>186</v>
      </c>
    </row>
    <row r="43" spans="1:21" x14ac:dyDescent="0.25">
      <c r="A43" s="69">
        <v>40267</v>
      </c>
      <c r="B43" s="44">
        <v>40267</v>
      </c>
      <c r="C43" s="58">
        <v>-0.7</v>
      </c>
      <c r="D43" s="59">
        <v>0.30694444444444441</v>
      </c>
      <c r="E43" s="60">
        <f>Effort!F41</f>
        <v>1673</v>
      </c>
      <c r="F43" s="70">
        <f>Harvest!F41</f>
        <v>8811</v>
      </c>
      <c r="G43" s="68">
        <f>CPUE!F41</f>
        <v>5.2665869695158394</v>
      </c>
      <c r="H43" s="60">
        <f>Effort!H41</f>
        <v>713.49590340664076</v>
      </c>
      <c r="I43" s="70">
        <f>Harvest!H41</f>
        <v>4760.7512019230771</v>
      </c>
      <c r="J43" s="68">
        <f>CPUE!H41</f>
        <v>6.6724296232010669</v>
      </c>
      <c r="K43" s="60" t="str">
        <f>Effort!J41</f>
        <v>CLOSED</v>
      </c>
      <c r="L43" s="70" t="str">
        <f>Harvest!J41</f>
        <v>CLOSED</v>
      </c>
      <c r="M43" s="68" t="str">
        <f>CPUE!J41</f>
        <v>CLOSED</v>
      </c>
      <c r="N43" s="60" t="str">
        <f>Effort!L41</f>
        <v>CLOSED</v>
      </c>
      <c r="O43" s="70" t="str">
        <f>Harvest!L41</f>
        <v>CLOSED</v>
      </c>
      <c r="P43" s="68" t="str">
        <f>CPUE!L41</f>
        <v>CLOSED</v>
      </c>
      <c r="Q43" s="60" t="str">
        <f>Effort!N41</f>
        <v>CLOSED</v>
      </c>
      <c r="R43" s="70" t="str">
        <f>Harvest!N41</f>
        <v>CLOSED</v>
      </c>
      <c r="S43" s="68" t="str">
        <f>CPUE!N41</f>
        <v>CLOSED</v>
      </c>
      <c r="T43" s="60">
        <f t="shared" si="5"/>
        <v>2386.4959034066405</v>
      </c>
      <c r="U43" s="70">
        <f t="shared" si="5"/>
        <v>13571.751201923078</v>
      </c>
    </row>
    <row r="44" spans="1:21" x14ac:dyDescent="0.25">
      <c r="A44" s="69">
        <v>40268</v>
      </c>
      <c r="B44" s="44">
        <v>40268</v>
      </c>
      <c r="C44" s="58">
        <v>-1</v>
      </c>
      <c r="D44" s="59">
        <v>0.33819444444444446</v>
      </c>
      <c r="E44" s="60">
        <f>Effort!F42</f>
        <v>2319</v>
      </c>
      <c r="F44" s="70">
        <f>Harvest!F42</f>
        <v>27456</v>
      </c>
      <c r="G44" s="68">
        <f>CPUE!F42</f>
        <v>11.839586028460543</v>
      </c>
      <c r="H44" s="60">
        <f>Effort!H42</f>
        <v>989</v>
      </c>
      <c r="I44" s="70">
        <f>Harvest!H42</f>
        <v>14835</v>
      </c>
      <c r="J44" s="68">
        <f>CPUE!H42</f>
        <v>15</v>
      </c>
      <c r="K44" s="60" t="str">
        <f>Effort!J42</f>
        <v>CLOSED</v>
      </c>
      <c r="L44" s="70" t="str">
        <f>Harvest!J42</f>
        <v>CLOSED</v>
      </c>
      <c r="M44" s="68" t="str">
        <f>CPUE!J42</f>
        <v>CLOSED</v>
      </c>
      <c r="N44" s="60" t="str">
        <f>Effort!L42</f>
        <v>CLOSED</v>
      </c>
      <c r="O44" s="70" t="str">
        <f>Harvest!L42</f>
        <v>CLOSED</v>
      </c>
      <c r="P44" s="68" t="str">
        <f>CPUE!L42</f>
        <v>CLOSED</v>
      </c>
      <c r="Q44" s="60" t="str">
        <f>Effort!N42</f>
        <v>CLOSED</v>
      </c>
      <c r="R44" s="70" t="str">
        <f>Harvest!N42</f>
        <v>CLOSED</v>
      </c>
      <c r="S44" s="68" t="str">
        <f>CPUE!N42</f>
        <v>CLOSED</v>
      </c>
      <c r="T44" s="60">
        <f t="shared" si="5"/>
        <v>3308</v>
      </c>
      <c r="U44" s="70">
        <f t="shared" si="5"/>
        <v>42291</v>
      </c>
    </row>
    <row r="45" spans="1:21" x14ac:dyDescent="0.25">
      <c r="A45" s="69">
        <v>40269</v>
      </c>
      <c r="B45" s="44">
        <v>40269</v>
      </c>
      <c r="C45" s="58">
        <v>-1</v>
      </c>
      <c r="D45" s="59">
        <v>0.36944444444444446</v>
      </c>
      <c r="E45" s="60">
        <f>Effort!F43</f>
        <v>2791</v>
      </c>
      <c r="F45" s="70">
        <f>Harvest!F43</f>
        <v>29372</v>
      </c>
      <c r="G45" s="68">
        <f>CPUE!F43</f>
        <v>10.523826585453243</v>
      </c>
      <c r="H45" s="60">
        <f>Effort!H43</f>
        <v>1190.2971108236309</v>
      </c>
      <c r="I45" s="70">
        <f>Harvest!H43</f>
        <v>15870.251311188811</v>
      </c>
      <c r="J45" s="68">
        <f>CPUE!H43</f>
        <v>13.333016745883997</v>
      </c>
      <c r="K45" s="60" t="str">
        <f>Effort!J43</f>
        <v>CLOSED</v>
      </c>
      <c r="L45" s="70" t="str">
        <f>Harvest!J43</f>
        <v>CLOSED</v>
      </c>
      <c r="M45" s="68" t="str">
        <f>CPUE!J43</f>
        <v>CLOSED</v>
      </c>
      <c r="N45" s="60" t="str">
        <f>Effort!L43</f>
        <v>CLOSED</v>
      </c>
      <c r="O45" s="70" t="str">
        <f>Harvest!L43</f>
        <v>CLOSED</v>
      </c>
      <c r="P45" s="68" t="str">
        <f>CPUE!L43</f>
        <v>CLOSED</v>
      </c>
      <c r="Q45" s="60" t="str">
        <f>Effort!N43</f>
        <v>CLOSED</v>
      </c>
      <c r="R45" s="70" t="str">
        <f>Harvest!N43</f>
        <v>CLOSED</v>
      </c>
      <c r="S45" s="68" t="str">
        <f>CPUE!N43</f>
        <v>CLOSED</v>
      </c>
      <c r="T45" s="60">
        <f t="shared" si="5"/>
        <v>3981.2971108236306</v>
      </c>
      <c r="U45" s="70">
        <f t="shared" si="5"/>
        <v>45242.251311188811</v>
      </c>
    </row>
    <row r="46" spans="1:21" x14ac:dyDescent="0.25">
      <c r="A46" s="63" t="s">
        <v>71</v>
      </c>
      <c r="B46" s="64"/>
      <c r="C46" s="64"/>
      <c r="D46" s="64"/>
      <c r="E46" s="66">
        <f>SUM(E39:E45)</f>
        <v>18777.503626772173</v>
      </c>
      <c r="F46" s="67">
        <f>SUM(F39:F45)</f>
        <v>193047.79877679737</v>
      </c>
      <c r="G46" s="65">
        <f>F46/E46</f>
        <v>10.280802103084563</v>
      </c>
      <c r="H46" s="66">
        <f>SUM(H39:H45)</f>
        <v>9405.5217435530212</v>
      </c>
      <c r="I46" s="67">
        <f>SUM(I39:I45)</f>
        <v>114966.10657317418</v>
      </c>
      <c r="J46" s="65">
        <f>I46/H46</f>
        <v>12.223256689824492</v>
      </c>
      <c r="K46" s="66">
        <f>SUM(K40:K45)</f>
        <v>12330</v>
      </c>
      <c r="L46" s="67">
        <f>SUM(L40:L45)</f>
        <v>131148</v>
      </c>
      <c r="M46" s="65">
        <f>L46/K46</f>
        <v>10.636496350364963</v>
      </c>
      <c r="N46" s="66">
        <f>SUM(N40:N45)</f>
        <v>7217</v>
      </c>
      <c r="O46" s="67">
        <f>SUM(O40:O45)</f>
        <v>88050</v>
      </c>
      <c r="P46" s="65">
        <f>O46/N46</f>
        <v>12.200360260496051</v>
      </c>
      <c r="Q46" s="66">
        <f>SUM(Q39:Q45)</f>
        <v>752.79267336178282</v>
      </c>
      <c r="R46" s="67">
        <f>SUM(R39:R45)</f>
        <v>8929.9068897337929</v>
      </c>
      <c r="S46" s="65">
        <f>R46/Q46</f>
        <v>11.86237221180046</v>
      </c>
      <c r="T46" s="66">
        <f>SUM(T39:T45)</f>
        <v>48482.818043686981</v>
      </c>
      <c r="U46" s="67">
        <f>SUM(U39:U45)</f>
        <v>536141.81223970535</v>
      </c>
    </row>
    <row r="47" spans="1:21" x14ac:dyDescent="0.25">
      <c r="A47" s="69">
        <v>40284</v>
      </c>
      <c r="B47" s="44">
        <v>40284</v>
      </c>
      <c r="C47" s="58">
        <v>-0.7</v>
      </c>
      <c r="D47" s="59">
        <v>0.35555555555555557</v>
      </c>
      <c r="E47" s="60">
        <f>Effort!F45</f>
        <v>3369</v>
      </c>
      <c r="F47" s="70">
        <f>Harvest!F45</f>
        <v>49598</v>
      </c>
      <c r="G47" s="68">
        <f>CPUE!F45</f>
        <v>14.721875927574947</v>
      </c>
      <c r="H47" s="60">
        <f>Effort!H45</f>
        <v>1808</v>
      </c>
      <c r="I47" s="70">
        <f>Harvest!H45</f>
        <v>26202</v>
      </c>
      <c r="J47" s="68">
        <f>CPUE!H45</f>
        <v>14.492256637168142</v>
      </c>
      <c r="K47" s="60" t="str">
        <f>Effort!J45</f>
        <v>CLOSED</v>
      </c>
      <c r="L47" s="70" t="str">
        <f>Harvest!J45</f>
        <v>CLOSED</v>
      </c>
      <c r="M47" s="68" t="str">
        <f>CPUE!J45</f>
        <v>CLOSED</v>
      </c>
      <c r="N47" s="60" t="str">
        <f>Effort!L45</f>
        <v>CLOSED</v>
      </c>
      <c r="O47" s="70" t="str">
        <f>Harvest!L45</f>
        <v>CLOSED</v>
      </c>
      <c r="P47" s="68" t="str">
        <f>CPUE!L45</f>
        <v>CLOSED</v>
      </c>
      <c r="Q47" s="60" t="str">
        <f>Effort!N45</f>
        <v>CLOSED</v>
      </c>
      <c r="R47" s="70" t="str">
        <f>Harvest!N45</f>
        <v>CLOSED</v>
      </c>
      <c r="S47" s="68" t="str">
        <f>CPUE!N45</f>
        <v>CLOSED</v>
      </c>
      <c r="T47" s="60">
        <f>E47+H47</f>
        <v>5177</v>
      </c>
      <c r="U47" s="70">
        <f>F47+I47</f>
        <v>75800</v>
      </c>
    </row>
    <row r="48" spans="1:21" x14ac:dyDescent="0.25">
      <c r="A48" s="69">
        <v>40285</v>
      </c>
      <c r="B48" s="44">
        <v>40285</v>
      </c>
      <c r="C48" s="176">
        <v>-0.7</v>
      </c>
      <c r="D48" s="59">
        <v>0.3833333333333333</v>
      </c>
      <c r="E48" s="60">
        <f>Effort!F46</f>
        <v>7304</v>
      </c>
      <c r="F48" s="70">
        <f>Harvest!F46</f>
        <v>106682</v>
      </c>
      <c r="G48" s="68">
        <f>CPUE!F46</f>
        <v>14.605969331872947</v>
      </c>
      <c r="H48" s="60">
        <f>Effort!H46</f>
        <v>5145</v>
      </c>
      <c r="I48" s="70">
        <f>Harvest!H46</f>
        <v>75878</v>
      </c>
      <c r="J48" s="68">
        <f>CPUE!H46</f>
        <v>14.747910592808552</v>
      </c>
      <c r="K48" s="60" t="str">
        <f>Effort!J46</f>
        <v>CLOSED</v>
      </c>
      <c r="L48" s="70" t="str">
        <f>Harvest!J46</f>
        <v>CLOSED</v>
      </c>
      <c r="M48" s="68" t="str">
        <f>CPUE!J46</f>
        <v>CLOSED</v>
      </c>
      <c r="N48" s="60" t="str">
        <f>Effort!L46</f>
        <v>CLOSED</v>
      </c>
      <c r="O48" s="70" t="str">
        <f>Harvest!L46</f>
        <v>CLOSED</v>
      </c>
      <c r="P48" s="68" t="str">
        <f>CPUE!L46</f>
        <v>CLOSED</v>
      </c>
      <c r="Q48" s="60">
        <f>Effort!N46</f>
        <v>589.73061052631579</v>
      </c>
      <c r="R48" s="70">
        <f>Harvest!N46</f>
        <v>4603.9196526315791</v>
      </c>
      <c r="S48" s="68">
        <f>CPUE!N46</f>
        <v>7.8068181818181817</v>
      </c>
      <c r="T48" s="60">
        <f>E48+H48+Q48</f>
        <v>13038.730610526316</v>
      </c>
      <c r="U48" s="70">
        <f>F48+I48+R48</f>
        <v>187163.91965263156</v>
      </c>
    </row>
    <row r="49" spans="1:21" x14ac:dyDescent="0.25">
      <c r="A49" s="69">
        <v>40286</v>
      </c>
      <c r="B49" s="44">
        <v>40286</v>
      </c>
      <c r="C49" s="176">
        <v>-0.6</v>
      </c>
      <c r="D49" s="59">
        <v>0.4152777777777778</v>
      </c>
      <c r="E49" s="60">
        <f>Effort!F47</f>
        <v>6565</v>
      </c>
      <c r="F49" s="70">
        <f>Harvest!F47</f>
        <v>92567</v>
      </c>
      <c r="G49" s="68">
        <f>CPUE!F47</f>
        <v>14.100076161462301</v>
      </c>
      <c r="H49" s="60">
        <f>Effort!H47</f>
        <v>5320</v>
      </c>
      <c r="I49" s="70">
        <f>Harvest!H47</f>
        <v>79617</v>
      </c>
      <c r="J49" s="68">
        <f>CPUE!H47</f>
        <v>14.965601503759398</v>
      </c>
      <c r="K49" s="60" t="str">
        <f>Effort!J47</f>
        <v>CLOSED</v>
      </c>
      <c r="L49" s="70" t="str">
        <f>Harvest!J47</f>
        <v>CLOSED</v>
      </c>
      <c r="M49" s="68" t="str">
        <f>CPUE!J47</f>
        <v>CLOSED</v>
      </c>
      <c r="N49" s="60" t="str">
        <f>Effort!L47</f>
        <v>CLOSED</v>
      </c>
      <c r="O49" s="70" t="str">
        <f>Harvest!L47</f>
        <v>CLOSED</v>
      </c>
      <c r="P49" s="68" t="str">
        <f>CPUE!L47</f>
        <v>CLOSED</v>
      </c>
      <c r="Q49" s="60">
        <f>Effort!N47</f>
        <v>639.08682368421057</v>
      </c>
      <c r="R49" s="70">
        <f>Harvest!N47</f>
        <v>7992.6457187134511</v>
      </c>
      <c r="S49" s="68">
        <f>CPUE!N47</f>
        <v>12.506353475788174</v>
      </c>
      <c r="T49" s="60">
        <f>E49+H49+Q49</f>
        <v>12524.086823684211</v>
      </c>
      <c r="U49" s="70">
        <f>F49+I49+R49</f>
        <v>180176.64571871347</v>
      </c>
    </row>
    <row r="50" spans="1:21" x14ac:dyDescent="0.25">
      <c r="A50" s="63" t="s">
        <v>71</v>
      </c>
      <c r="B50" s="64"/>
      <c r="C50" s="64"/>
      <c r="D50" s="64"/>
      <c r="E50" s="66">
        <f>SUM(E47:E49)</f>
        <v>17238</v>
      </c>
      <c r="F50" s="67">
        <f>SUM(F47:F49)</f>
        <v>248847</v>
      </c>
      <c r="G50" s="65">
        <f>F50/E50</f>
        <v>14.435955447267665</v>
      </c>
      <c r="H50" s="66">
        <f>SUM(H47:H49)</f>
        <v>12273</v>
      </c>
      <c r="I50" s="67">
        <f>SUM(I47:I49)</f>
        <v>181697</v>
      </c>
      <c r="J50" s="65">
        <f>I50/H50</f>
        <v>14.804611749368533</v>
      </c>
      <c r="K50" s="66"/>
      <c r="L50" s="67"/>
      <c r="M50" s="65"/>
      <c r="N50" s="66"/>
      <c r="O50" s="67"/>
      <c r="P50" s="65"/>
      <c r="Q50" s="66">
        <f>SUM(Q48:Q49)</f>
        <v>1228.8174342105262</v>
      </c>
      <c r="R50" s="67">
        <f>SUM(R48:R49)</f>
        <v>12596.56537134503</v>
      </c>
      <c r="S50" s="65">
        <f>R50/Q50</f>
        <v>10.250965701376053</v>
      </c>
      <c r="T50" s="66">
        <f>SUM(T47:T49)</f>
        <v>30739.817434210527</v>
      </c>
      <c r="U50" s="67">
        <f>SUM(U47:U49)</f>
        <v>443140.56537134503</v>
      </c>
    </row>
    <row r="51" spans="1:21" x14ac:dyDescent="0.25">
      <c r="A51" s="69">
        <v>40295</v>
      </c>
      <c r="B51" s="44">
        <v>40295</v>
      </c>
      <c r="C51" s="58">
        <v>-1</v>
      </c>
      <c r="D51" s="59">
        <v>0.26458333333333334</v>
      </c>
      <c r="E51" s="60">
        <f>Effort!F49</f>
        <v>705</v>
      </c>
      <c r="F51" s="70">
        <f>Harvest!F49</f>
        <v>10575</v>
      </c>
      <c r="G51" s="68">
        <f>CPUE!F49</f>
        <v>15</v>
      </c>
      <c r="H51" s="60">
        <f>Effort!H49</f>
        <v>503</v>
      </c>
      <c r="I51" s="70">
        <f>Harvest!H49</f>
        <v>7443</v>
      </c>
      <c r="J51" s="68">
        <f>CPUE!H49</f>
        <v>14.797216699801194</v>
      </c>
      <c r="K51" s="60" t="str">
        <f>Effort!J49</f>
        <v>CLOSED</v>
      </c>
      <c r="L51" s="70" t="str">
        <f>Harvest!J49</f>
        <v>CLOSED</v>
      </c>
      <c r="M51" s="68" t="str">
        <f>CPUE!J49</f>
        <v>CLOSED</v>
      </c>
      <c r="N51" s="60" t="str">
        <f>Effort!L49</f>
        <v>CLOSED</v>
      </c>
      <c r="O51" s="70" t="str">
        <f>Harvest!L49</f>
        <v>CLOSED</v>
      </c>
      <c r="P51" s="68" t="str">
        <f>CPUE!L49</f>
        <v>CLOSED</v>
      </c>
      <c r="Q51" s="60" t="str">
        <f>Effort!N49</f>
        <v>CLOSED</v>
      </c>
      <c r="R51" s="70" t="str">
        <f>Harvest!N49</f>
        <v>CLOSED</v>
      </c>
      <c r="S51" s="68" t="str">
        <f>CPUE!N49</f>
        <v>CLOSED</v>
      </c>
      <c r="T51" s="60">
        <f>E51+H51</f>
        <v>1208</v>
      </c>
      <c r="U51" s="70">
        <f>F51+I51</f>
        <v>18018</v>
      </c>
    </row>
    <row r="52" spans="1:21" x14ac:dyDescent="0.25">
      <c r="A52" s="69">
        <v>40296</v>
      </c>
      <c r="B52" s="44">
        <v>40296</v>
      </c>
      <c r="C52" s="176">
        <v>-1.4</v>
      </c>
      <c r="D52" s="59">
        <v>0.29583333333333334</v>
      </c>
      <c r="E52" s="60">
        <f>Effort!F50</f>
        <v>1319</v>
      </c>
      <c r="F52" s="70">
        <f>Harvest!F50</f>
        <v>19638</v>
      </c>
      <c r="G52" s="68">
        <f>CPUE!F50</f>
        <v>14.888551933282789</v>
      </c>
      <c r="H52" s="60">
        <f>Effort!H50</f>
        <v>1138</v>
      </c>
      <c r="I52" s="70">
        <f>Harvest!H50</f>
        <v>17070</v>
      </c>
      <c r="J52" s="68">
        <f>CPUE!H50</f>
        <v>15</v>
      </c>
      <c r="K52" s="60" t="str">
        <f>Effort!J50</f>
        <v>CLOSED</v>
      </c>
      <c r="L52" s="70" t="str">
        <f>Harvest!J50</f>
        <v>CLOSED</v>
      </c>
      <c r="M52" s="68" t="str">
        <f>CPUE!J50</f>
        <v>CLOSED</v>
      </c>
      <c r="N52" s="60" t="str">
        <f>Effort!L50</f>
        <v>CLOSED</v>
      </c>
      <c r="O52" s="70" t="str">
        <f>Harvest!L50</f>
        <v>CLOSED</v>
      </c>
      <c r="P52" s="68" t="str">
        <f>CPUE!L50</f>
        <v>CLOSED</v>
      </c>
      <c r="Q52" s="60" t="str">
        <f>Effort!N50</f>
        <v>CLOSED</v>
      </c>
      <c r="R52" s="70" t="str">
        <f>Harvest!N50</f>
        <v>CLOSED</v>
      </c>
      <c r="S52" s="68" t="str">
        <f>CPUE!N50</f>
        <v>CLOSED</v>
      </c>
      <c r="T52" s="60">
        <f t="shared" ref="T52:T53" si="6">E52+H52</f>
        <v>2457</v>
      </c>
      <c r="U52" s="70">
        <f t="shared" ref="U52:U53" si="7">F52+I52</f>
        <v>36708</v>
      </c>
    </row>
    <row r="53" spans="1:21" x14ac:dyDescent="0.25">
      <c r="A53" s="69">
        <v>40297</v>
      </c>
      <c r="B53" s="44">
        <v>40297</v>
      </c>
      <c r="C53" s="176">
        <v>-1.6</v>
      </c>
      <c r="D53" s="59">
        <v>0.3263888888888889</v>
      </c>
      <c r="E53" s="60">
        <f>Effort!F51</f>
        <v>2200</v>
      </c>
      <c r="F53" s="70">
        <f>Harvest!F51</f>
        <v>32732</v>
      </c>
      <c r="G53" s="68">
        <f>CPUE!F51</f>
        <v>14.878181818181819</v>
      </c>
      <c r="H53" s="60">
        <f>Effort!H51</f>
        <v>872</v>
      </c>
      <c r="I53" s="70">
        <f>Harvest!H51</f>
        <v>13080</v>
      </c>
      <c r="J53" s="68">
        <f>CPUE!H51</f>
        <v>15</v>
      </c>
      <c r="K53" s="60" t="str">
        <f>Effort!J51</f>
        <v>CLOSED</v>
      </c>
      <c r="L53" s="70" t="str">
        <f>Harvest!J51</f>
        <v>CLOSED</v>
      </c>
      <c r="M53" s="68" t="str">
        <f>CPUE!J51</f>
        <v>CLOSED</v>
      </c>
      <c r="N53" s="60" t="str">
        <f>Effort!L51</f>
        <v>CLOSED</v>
      </c>
      <c r="O53" s="70" t="str">
        <f>Harvest!L51</f>
        <v>CLOSED</v>
      </c>
      <c r="P53" s="68" t="str">
        <f>CPUE!L51</f>
        <v>CLOSED</v>
      </c>
      <c r="Q53" s="60" t="str">
        <f>Effort!N51</f>
        <v>CLOSED</v>
      </c>
      <c r="R53" s="70" t="str">
        <f>Harvest!N51</f>
        <v>CLOSED</v>
      </c>
      <c r="S53" s="68" t="str">
        <f>CPUE!N51</f>
        <v>CLOSED</v>
      </c>
      <c r="T53" s="60">
        <f t="shared" si="6"/>
        <v>3072</v>
      </c>
      <c r="U53" s="70">
        <f t="shared" si="7"/>
        <v>45812</v>
      </c>
    </row>
    <row r="54" spans="1:21" x14ac:dyDescent="0.25">
      <c r="A54" s="69">
        <v>40298</v>
      </c>
      <c r="B54" s="44">
        <v>40298</v>
      </c>
      <c r="C54" s="176">
        <v>-1.5</v>
      </c>
      <c r="D54" s="59">
        <v>0.35625000000000001</v>
      </c>
      <c r="E54" s="60">
        <f>Effort!F52</f>
        <v>3194</v>
      </c>
      <c r="F54" s="70">
        <f>Harvest!F52</f>
        <v>47910</v>
      </c>
      <c r="G54" s="68">
        <f>CPUE!F52</f>
        <v>15</v>
      </c>
      <c r="H54" s="60">
        <f>Effort!H52</f>
        <v>995</v>
      </c>
      <c r="I54" s="70">
        <f>Harvest!H52</f>
        <v>14925</v>
      </c>
      <c r="J54" s="68">
        <f>CPUE!H52</f>
        <v>15</v>
      </c>
      <c r="K54" s="60">
        <f>Effort!J52</f>
        <v>2556</v>
      </c>
      <c r="L54" s="70">
        <f>Harvest!J52</f>
        <v>37954</v>
      </c>
      <c r="M54" s="68">
        <f>CPUE!J52</f>
        <v>14.848982785602503</v>
      </c>
      <c r="N54" s="60">
        <f>Effort!L52</f>
        <v>1606</v>
      </c>
      <c r="O54" s="70">
        <f>Harvest!L52</f>
        <v>23923</v>
      </c>
      <c r="P54" s="68">
        <f>CPUE!L52</f>
        <v>14.89601494396015</v>
      </c>
      <c r="Q54" s="60" t="str">
        <f>Effort!N52</f>
        <v>CLOSED</v>
      </c>
      <c r="R54" s="70" t="str">
        <f>Harvest!N52</f>
        <v>CLOSED</v>
      </c>
      <c r="S54" s="68" t="str">
        <f>CPUE!N52</f>
        <v>CLOSED</v>
      </c>
      <c r="T54" s="60">
        <f>E54+H54+K54+N54</f>
        <v>8351</v>
      </c>
      <c r="U54" s="70">
        <f>F54+I54+L54+O54</f>
        <v>124712</v>
      </c>
    </row>
    <row r="55" spans="1:21" x14ac:dyDescent="0.25">
      <c r="A55" s="69">
        <v>40299</v>
      </c>
      <c r="B55" s="44">
        <v>40299</v>
      </c>
      <c r="C55" s="176">
        <v>-1.1000000000000001</v>
      </c>
      <c r="D55" s="59">
        <v>0.38541666666666669</v>
      </c>
      <c r="E55" s="60">
        <f>Effort!F53</f>
        <v>5623</v>
      </c>
      <c r="F55" s="70">
        <f>Harvest!F53</f>
        <v>84345</v>
      </c>
      <c r="G55" s="68">
        <f>CPUE!F53</f>
        <v>15</v>
      </c>
      <c r="H55" s="60">
        <f>Effort!H53</f>
        <v>2341</v>
      </c>
      <c r="I55" s="70">
        <f>Harvest!H53</f>
        <v>34517</v>
      </c>
      <c r="J55" s="68">
        <f>CPUE!H53</f>
        <v>14.744553609568561</v>
      </c>
      <c r="K55" s="60">
        <f>Effort!J53</f>
        <v>7118</v>
      </c>
      <c r="L55" s="70">
        <f>Harvest!J53</f>
        <v>107192</v>
      </c>
      <c r="M55" s="68">
        <f>CPUE!J53</f>
        <v>15.059286316381005</v>
      </c>
      <c r="N55" s="60">
        <f>Effort!L53</f>
        <v>2888</v>
      </c>
      <c r="O55" s="70">
        <f>Harvest!L53</f>
        <v>43321</v>
      </c>
      <c r="P55" s="68">
        <f>CPUE!L53</f>
        <v>15.000346260387811</v>
      </c>
      <c r="Q55" s="60">
        <f>Effort!N53</f>
        <v>232.07943103448275</v>
      </c>
      <c r="R55" s="70">
        <f>Harvest!N53</f>
        <v>3106.6071206896549</v>
      </c>
      <c r="S55" s="68">
        <f>CPUE!N53</f>
        <v>13.3859649122807</v>
      </c>
      <c r="T55" s="60">
        <f t="shared" ref="T55:U57" si="8">E55+H55+K55+N55+Q55</f>
        <v>18202.079431034483</v>
      </c>
      <c r="U55" s="70">
        <f t="shared" si="8"/>
        <v>272481.60712068964</v>
      </c>
    </row>
    <row r="56" spans="1:21" x14ac:dyDescent="0.25">
      <c r="A56" s="69">
        <v>40300</v>
      </c>
      <c r="B56" s="44">
        <v>40300</v>
      </c>
      <c r="C56" s="176">
        <v>-0.7</v>
      </c>
      <c r="D56" s="59">
        <v>0.4152777777777778</v>
      </c>
      <c r="E56" s="60">
        <f>Effort!F54</f>
        <v>6272</v>
      </c>
      <c r="F56" s="70">
        <f>Harvest!F54</f>
        <v>94080</v>
      </c>
      <c r="G56" s="68">
        <f>CPUE!F54</f>
        <v>15</v>
      </c>
      <c r="H56" s="60">
        <f>Effort!H54</f>
        <v>2313.5892251583596</v>
      </c>
      <c r="I56" s="70">
        <f>Harvest!H54</f>
        <v>34034.351642268943</v>
      </c>
      <c r="J56" s="68">
        <f>CPUE!H54</f>
        <v>14.710628521335448</v>
      </c>
      <c r="K56" s="60">
        <f>Effort!J54</f>
        <v>6762</v>
      </c>
      <c r="L56" s="70">
        <f>Harvest!J54</f>
        <v>101428</v>
      </c>
      <c r="M56" s="68">
        <f>CPUE!J54</f>
        <v>14.999704229517894</v>
      </c>
      <c r="N56" s="60">
        <f>Effort!L54</f>
        <v>2412</v>
      </c>
      <c r="O56" s="70">
        <f>Harvest!L54</f>
        <v>36066</v>
      </c>
      <c r="P56" s="68">
        <f>CPUE!L54</f>
        <v>14.952736318407959</v>
      </c>
      <c r="Q56" s="60">
        <f>Effort!N54</f>
        <v>173.72027586206897</v>
      </c>
      <c r="R56" s="70">
        <f>Harvest!N54</f>
        <v>2325.4135172413794</v>
      </c>
      <c r="S56" s="68">
        <f>CPUE!N54</f>
        <v>13.385964912280702</v>
      </c>
      <c r="T56" s="60">
        <f t="shared" si="8"/>
        <v>17933.309501020427</v>
      </c>
      <c r="U56" s="70">
        <f t="shared" si="8"/>
        <v>267933.76515951031</v>
      </c>
    </row>
    <row r="57" spans="1:21" x14ac:dyDescent="0.25">
      <c r="A57" s="63" t="s">
        <v>71</v>
      </c>
      <c r="B57" s="64"/>
      <c r="C57" s="64"/>
      <c r="D57" s="64"/>
      <c r="E57" s="66">
        <f>SUM(E51:E56)</f>
        <v>19313</v>
      </c>
      <c r="F57" s="67">
        <f>SUM(F51:F56)</f>
        <v>289280</v>
      </c>
      <c r="G57" s="65">
        <f>F57/E57</f>
        <v>14.97851188318749</v>
      </c>
      <c r="H57" s="66">
        <f>SUM(H51:H56)</f>
        <v>8162.5892251583591</v>
      </c>
      <c r="I57" s="67">
        <f>SUM(I51:I56)</f>
        <v>121069.35164226894</v>
      </c>
      <c r="J57" s="65">
        <f>I57/H57</f>
        <v>14.832223979753204</v>
      </c>
      <c r="K57" s="66">
        <f>SUM(K54:K56)</f>
        <v>16436</v>
      </c>
      <c r="L57" s="67">
        <f>SUM(L54:L56)</f>
        <v>246574</v>
      </c>
      <c r="M57" s="65">
        <f>L57/K57</f>
        <v>15.002068629836943</v>
      </c>
      <c r="N57" s="66">
        <f>SUM(N54:N56)</f>
        <v>6906</v>
      </c>
      <c r="O57" s="67">
        <f>SUM(O54:O56)</f>
        <v>103310</v>
      </c>
      <c r="P57" s="65">
        <f>O57/N57</f>
        <v>14.959455545902115</v>
      </c>
      <c r="Q57" s="66">
        <f>SUM(Q55:Q56)</f>
        <v>405.7997068965517</v>
      </c>
      <c r="R57" s="67">
        <f>SUM(R55:R56)</f>
        <v>5432.0206379310348</v>
      </c>
      <c r="S57" s="65">
        <f>R57/Q57</f>
        <v>13.385964912280704</v>
      </c>
      <c r="T57" s="66">
        <f t="shared" si="8"/>
        <v>51223.388932054906</v>
      </c>
      <c r="U57" s="67">
        <f t="shared" si="8"/>
        <v>765665.37228020001</v>
      </c>
    </row>
    <row r="58" spans="1:21" x14ac:dyDescent="0.25">
      <c r="A58" s="69">
        <v>40313</v>
      </c>
      <c r="B58" s="44">
        <v>40313</v>
      </c>
      <c r="C58" s="58">
        <v>-1.6</v>
      </c>
      <c r="D58" s="59">
        <v>0.34375</v>
      </c>
      <c r="E58" s="60">
        <f>Effort!F56</f>
        <v>5530</v>
      </c>
      <c r="F58" s="70">
        <f>Harvest!F56</f>
        <v>82950</v>
      </c>
      <c r="G58" s="68">
        <f>CPUE!F56</f>
        <v>15</v>
      </c>
      <c r="H58" s="60">
        <f>Effort!H56</f>
        <v>1981.5144283063535</v>
      </c>
      <c r="I58" s="70">
        <f>Harvest!H56</f>
        <v>28966.543886092873</v>
      </c>
      <c r="J58" s="68">
        <f>CPUE!H56</f>
        <v>14.618386559441433</v>
      </c>
      <c r="K58" s="60">
        <f>Effort!J56</f>
        <v>4922</v>
      </c>
      <c r="L58" s="70">
        <f>Harvest!J56</f>
        <v>72491</v>
      </c>
      <c r="M58" s="68">
        <f>CPUE!J56</f>
        <v>14.727956115400243</v>
      </c>
      <c r="N58" s="60">
        <f>Effort!L56</f>
        <v>2777</v>
      </c>
      <c r="O58" s="70">
        <f>Harvest!L56</f>
        <v>41651</v>
      </c>
      <c r="P58" s="68">
        <f>CPUE!L56</f>
        <v>14.998559596687072</v>
      </c>
      <c r="Q58" s="60" t="str">
        <f>Effort!N56</f>
        <v>CLOSED</v>
      </c>
      <c r="R58" s="70" t="str">
        <f>Harvest!N56</f>
        <v>CLOSED</v>
      </c>
      <c r="S58" s="68" t="str">
        <f>CPUE!N56</f>
        <v>CLOSED</v>
      </c>
      <c r="T58" s="60">
        <f>E58+H58+K58+N58</f>
        <v>15210.514428306353</v>
      </c>
      <c r="U58" s="70">
        <f>F58+I58+L58+O58</f>
        <v>226058.54388609287</v>
      </c>
    </row>
    <row r="59" spans="1:21" x14ac:dyDescent="0.25">
      <c r="A59" s="69">
        <v>40314</v>
      </c>
      <c r="B59" s="44">
        <v>40314</v>
      </c>
      <c r="C59" s="176">
        <v>-1.6</v>
      </c>
      <c r="D59" s="59">
        <v>0.37361111111111112</v>
      </c>
      <c r="E59" s="60">
        <f>Effort!F57</f>
        <v>3479.9436090225563</v>
      </c>
      <c r="F59" s="70">
        <f>Harvest!F57</f>
        <v>49180.251705037866</v>
      </c>
      <c r="G59" s="68">
        <f>CPUE!F57</f>
        <v>14.132485244165084</v>
      </c>
      <c r="H59" s="60">
        <f>Effort!H57</f>
        <v>2820</v>
      </c>
      <c r="I59" s="70">
        <f>Harvest!H57</f>
        <v>42300</v>
      </c>
      <c r="J59" s="68">
        <f>CPUE!H57</f>
        <v>15</v>
      </c>
      <c r="K59" s="60" t="str">
        <f>Effort!J57</f>
        <v>CLOSED</v>
      </c>
      <c r="L59" s="70" t="str">
        <f>Harvest!J57</f>
        <v>CLOSED</v>
      </c>
      <c r="M59" s="68" t="str">
        <f>CPUE!J57</f>
        <v>CLOSED</v>
      </c>
      <c r="N59" s="60" t="str">
        <f>Effort!L57</f>
        <v>CLOSED</v>
      </c>
      <c r="O59" s="70" t="str">
        <f>Harvest!L57</f>
        <v>CLOSED</v>
      </c>
      <c r="P59" s="68" t="str">
        <f>CPUE!L57</f>
        <v>CLOSED</v>
      </c>
      <c r="Q59" s="60" t="str">
        <f>Effort!N57</f>
        <v>CLOSED</v>
      </c>
      <c r="R59" s="70" t="str">
        <f>Harvest!N57</f>
        <v>CLOSED</v>
      </c>
      <c r="S59" s="68" t="str">
        <f>CPUE!N57</f>
        <v>CLOSED</v>
      </c>
      <c r="T59" s="60">
        <f>E59+H59</f>
        <v>6299.9436090225563</v>
      </c>
      <c r="U59" s="70">
        <f>F59+I59</f>
        <v>91480.251705037866</v>
      </c>
    </row>
    <row r="60" spans="1:21" ht="15.75" thickBot="1" x14ac:dyDescent="0.3">
      <c r="A60" s="63" t="s">
        <v>71</v>
      </c>
      <c r="B60" s="64"/>
      <c r="C60" s="64"/>
      <c r="D60" s="64"/>
      <c r="E60" s="66">
        <f>SUM(E58:E59)</f>
        <v>9009.9436090225572</v>
      </c>
      <c r="F60" s="67">
        <f>SUM(F58:F59)</f>
        <v>132130.25170503787</v>
      </c>
      <c r="G60" s="65">
        <f>F60/E60</f>
        <v>14.66493658991635</v>
      </c>
      <c r="H60" s="66">
        <f>SUM(H58:H59)</f>
        <v>4801.5144283063537</v>
      </c>
      <c r="I60" s="67">
        <f>SUM(I58:I59)</f>
        <v>71266.54388609287</v>
      </c>
      <c r="J60" s="65">
        <f>I60/H60</f>
        <v>14.842513742321678</v>
      </c>
      <c r="K60" s="66">
        <f>SUM(K58:K59)</f>
        <v>4922</v>
      </c>
      <c r="L60" s="67">
        <f>SUM(L58:L59)</f>
        <v>72491</v>
      </c>
      <c r="M60" s="65">
        <f>L60/K60</f>
        <v>14.727956115400243</v>
      </c>
      <c r="N60" s="66">
        <f>SUM(N58:N59)</f>
        <v>2777</v>
      </c>
      <c r="O60" s="67">
        <f>SUM(O58:O59)</f>
        <v>41651</v>
      </c>
      <c r="P60" s="65">
        <f>O60/N60</f>
        <v>14.998559596687072</v>
      </c>
      <c r="Q60" s="66"/>
      <c r="R60" s="67"/>
      <c r="S60" s="65"/>
      <c r="T60" s="66">
        <f t="shared" ref="T60" si="9">E60+H60+K60+N60+Q60</f>
        <v>21510.45803732891</v>
      </c>
      <c r="U60" s="67">
        <f t="shared" ref="U60" si="10">F60+I60+L60+O60+R60</f>
        <v>317538.79559113074</v>
      </c>
    </row>
    <row r="61" spans="1:21" ht="15.75" thickTop="1" x14ac:dyDescent="0.25">
      <c r="A61" s="71" t="s">
        <v>82</v>
      </c>
      <c r="B61" s="75"/>
      <c r="C61" s="75"/>
      <c r="D61" s="75"/>
      <c r="E61" s="72">
        <f>E8+E13+E18+E23+E28+E33+E38+E46+E50+E57+E60</f>
        <v>106612.54373228966</v>
      </c>
      <c r="F61" s="72">
        <f>F8+F13+F18+F23+F28+F33+F38+F46+F50+F57+F60</f>
        <v>1404335.0703294803</v>
      </c>
      <c r="G61" s="73">
        <f>F61/E61</f>
        <v>13.172324955080782</v>
      </c>
      <c r="H61" s="72">
        <f>H8+H13+H18+H23+H28+H33+H38+H46+H50+H57+H60</f>
        <v>60425.527084801397</v>
      </c>
      <c r="I61" s="72">
        <f>I8+I13+I18+I23+I28+I33+I38+I46+I50+I57+I60</f>
        <v>824298.79356337024</v>
      </c>
      <c r="J61" s="73">
        <f>I61/H61</f>
        <v>13.641565631799065</v>
      </c>
      <c r="K61" s="72">
        <f>K8+K13+K18+K23+K28+K33+K38+K46+K50+K57+K60</f>
        <v>103601.2</v>
      </c>
      <c r="L61" s="72">
        <f>L8+L13+L18+L23+L28+L33+L38+L46+L50+L57+L60</f>
        <v>1346258</v>
      </c>
      <c r="M61" s="73">
        <f>L61/K61</f>
        <v>12.994617822959579</v>
      </c>
      <c r="N61" s="72">
        <f>N8+N13+N18+N23+N28+N33+N38+N46+N50+N57+N60</f>
        <v>45769.740661603806</v>
      </c>
      <c r="O61" s="72">
        <f>O8+O13+O18+O23+O28+O33+O38+O46+O50+O57+O60</f>
        <v>593527.32019319898</v>
      </c>
      <c r="P61" s="73">
        <f>O61/N61</f>
        <v>12.96767933603584</v>
      </c>
      <c r="Q61" s="72">
        <f>Q8+Q13+Q18+Q23+Q28+Q33+Q38+Q46+Q50+Q57</f>
        <v>4547.6388564577583</v>
      </c>
      <c r="R61" s="72">
        <f>R8+R13+R18+R23+R28+R33+R38+R46+R50+R57</f>
        <v>46372.932011761608</v>
      </c>
      <c r="S61" s="73">
        <f>R61/Q61</f>
        <v>10.197144820748225</v>
      </c>
      <c r="T61" s="72">
        <f>T8+T13+T18+T23+T28+T33+T38+T46+T50+T57+T60</f>
        <v>320956.65033515263</v>
      </c>
      <c r="U61" s="72">
        <f>U8+U13+U18+U23+U28+U33+U38+U46+U50+U57+U60</f>
        <v>4214792.1160978116</v>
      </c>
    </row>
    <row r="62" spans="1:21" x14ac:dyDescent="0.25">
      <c r="A62" s="126" t="s">
        <v>81</v>
      </c>
      <c r="B62" s="127"/>
      <c r="C62" s="127"/>
      <c r="D62" s="127"/>
      <c r="E62" s="128"/>
      <c r="F62" s="128">
        <f>+Harvest!F61</f>
        <v>20000</v>
      </c>
      <c r="G62" s="129"/>
      <c r="H62" s="128"/>
      <c r="I62" s="128">
        <f>Harvest!H61</f>
        <v>14100</v>
      </c>
      <c r="J62" s="129"/>
      <c r="K62" s="128"/>
      <c r="L62" s="128">
        <f>Harvest!J61</f>
        <v>10442</v>
      </c>
      <c r="M62" s="129"/>
      <c r="N62" s="128"/>
      <c r="O62" s="128">
        <f>Harvest!L61</f>
        <v>10342</v>
      </c>
      <c r="P62" s="129"/>
      <c r="Q62" s="128"/>
      <c r="R62" s="128"/>
      <c r="S62" s="129"/>
      <c r="T62" s="128"/>
      <c r="U62" s="128">
        <f>F62+I62+L62+O62+R62</f>
        <v>54884</v>
      </c>
    </row>
    <row r="63" spans="1:21" x14ac:dyDescent="0.25">
      <c r="A63" s="136" t="s">
        <v>72</v>
      </c>
      <c r="B63" s="137"/>
      <c r="C63" s="137"/>
      <c r="D63" s="137"/>
      <c r="E63" s="130">
        <f>E61</f>
        <v>106612.54373228966</v>
      </c>
      <c r="F63" s="130">
        <f>F61+F62</f>
        <v>1424335.0703294803</v>
      </c>
      <c r="G63" s="131">
        <f>F63/E63</f>
        <v>13.359920141349118</v>
      </c>
      <c r="H63" s="130">
        <f>H61</f>
        <v>60425.527084801397</v>
      </c>
      <c r="I63" s="130">
        <f>I61+I62</f>
        <v>838398.79356337024</v>
      </c>
      <c r="J63" s="131">
        <f>I63/H63</f>
        <v>13.874910720873952</v>
      </c>
      <c r="K63" s="130">
        <f>K61</f>
        <v>103601.2</v>
      </c>
      <c r="L63" s="130">
        <f>L61+L62</f>
        <v>1356700</v>
      </c>
      <c r="M63" s="131">
        <f>L63/K63</f>
        <v>13.095408161295429</v>
      </c>
      <c r="N63" s="130">
        <f>N61</f>
        <v>45769.740661603806</v>
      </c>
      <c r="O63" s="130">
        <f>O61+O62</f>
        <v>603869.32019319898</v>
      </c>
      <c r="P63" s="131">
        <f>O63/N63</f>
        <v>13.193636482624521</v>
      </c>
      <c r="Q63" s="130">
        <f>Q61</f>
        <v>4547.6388564577583</v>
      </c>
      <c r="R63" s="130">
        <f>R61+R62</f>
        <v>46372.932011761608</v>
      </c>
      <c r="S63" s="131">
        <f>R63/Q63</f>
        <v>10.197144820748225</v>
      </c>
      <c r="T63" s="130">
        <f>SUM(T61:T62)</f>
        <v>320956.65033515263</v>
      </c>
      <c r="U63" s="132">
        <f>SUM(U61:U62)</f>
        <v>4269676.1160978116</v>
      </c>
    </row>
    <row r="64" spans="1:21" x14ac:dyDescent="0.25">
      <c r="A64" s="138" t="s">
        <v>54</v>
      </c>
      <c r="B64" s="134"/>
      <c r="C64" s="134"/>
      <c r="D64" s="134"/>
      <c r="E64" s="134"/>
      <c r="F64" s="133">
        <f>Harvest!F64</f>
        <v>0.84603019791290002</v>
      </c>
      <c r="G64" s="134"/>
      <c r="H64" s="134"/>
      <c r="I64" s="133">
        <f>Harvest!H64</f>
        <v>0.71187304184821865</v>
      </c>
      <c r="J64" s="134"/>
      <c r="K64" s="134"/>
      <c r="L64" s="133">
        <f>Harvest!J64</f>
        <v>1.328039666378275</v>
      </c>
      <c r="M64" s="134"/>
      <c r="N64" s="134"/>
      <c r="O64" s="133">
        <f>Harvest!L64</f>
        <v>0.95908420309643938</v>
      </c>
      <c r="P64" s="134"/>
      <c r="Q64" s="134"/>
      <c r="R64" s="133">
        <f>Harvest!N64</f>
        <v>0.10337334206718829</v>
      </c>
      <c r="S64" s="134"/>
      <c r="T64" s="134"/>
      <c r="U64" s="135"/>
    </row>
  </sheetData>
  <mergeCells count="6">
    <mergeCell ref="T2:U2"/>
    <mergeCell ref="N2:P2"/>
    <mergeCell ref="K2:M2"/>
    <mergeCell ref="H2:J2"/>
    <mergeCell ref="E2:G2"/>
    <mergeCell ref="Q2:S2"/>
  </mergeCells>
  <pageMargins left="0.19685039370078741" right="0" top="0.39370078740157483" bottom="0" header="0.19685039370078741" footer="0"/>
  <pageSetup scale="65" orientation="portrait" r:id="rId1"/>
  <headerFooter>
    <oddHeader>&amp;L&amp;KFF0000FINAL ESTIMATE</oddHeader>
  </headerFooter>
  <ignoredErrors>
    <ignoredError sqref="P8 G8 J8 T10:U10 S61 P61 M61 J61 G61"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D12" sqref="D12"/>
    </sheetView>
  </sheetViews>
  <sheetFormatPr defaultRowHeight="15" x14ac:dyDescent="0.25"/>
  <cols>
    <col min="1" max="1" width="21.5703125" customWidth="1"/>
    <col min="2" max="2" width="15.28515625" customWidth="1"/>
  </cols>
  <sheetData>
    <row r="1" spans="1:2" x14ac:dyDescent="0.25">
      <c r="A1" s="3" t="s">
        <v>75</v>
      </c>
      <c r="B1" s="3"/>
    </row>
    <row r="2" spans="1:2" x14ac:dyDescent="0.25">
      <c r="A2" s="3"/>
      <c r="B2" s="3"/>
    </row>
    <row r="3" spans="1:2" ht="15.75" thickBot="1" x14ac:dyDescent="0.3">
      <c r="A3" s="3"/>
      <c r="B3" s="3"/>
    </row>
    <row r="4" spans="1:2" x14ac:dyDescent="0.25">
      <c r="A4" s="78" t="s">
        <v>59</v>
      </c>
      <c r="B4" s="79">
        <v>1683551.0999999999</v>
      </c>
    </row>
    <row r="5" spans="1:2" x14ac:dyDescent="0.25">
      <c r="A5" s="80" t="s">
        <v>60</v>
      </c>
      <c r="B5" s="81">
        <v>1177736.3999999999</v>
      </c>
    </row>
    <row r="6" spans="1:2" x14ac:dyDescent="0.25">
      <c r="A6" s="80" t="s">
        <v>61</v>
      </c>
      <c r="B6" s="81">
        <v>1021580.9319159007</v>
      </c>
    </row>
    <row r="7" spans="1:2" x14ac:dyDescent="0.25">
      <c r="A7" s="80" t="s">
        <v>62</v>
      </c>
      <c r="B7" s="81">
        <v>629631.18174982362</v>
      </c>
    </row>
    <row r="8" spans="1:2" ht="15.75" thickBot="1" x14ac:dyDescent="0.3">
      <c r="A8" s="82" t="s">
        <v>63</v>
      </c>
      <c r="B8" s="83">
        <v>448596.62157020299</v>
      </c>
    </row>
    <row r="9" spans="1:2" ht="16.5" thickBot="1" x14ac:dyDescent="0.3">
      <c r="A9" s="84" t="s">
        <v>74</v>
      </c>
      <c r="B9" s="85">
        <f>SUM(B4:B8)</f>
        <v>4961096.2352359276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workbookViewId="0"/>
  </sheetViews>
  <sheetFormatPr defaultRowHeight="15" x14ac:dyDescent="0.25"/>
  <cols>
    <col min="1" max="1" width="8" customWidth="1"/>
    <col min="2" max="2" width="4.5703125" bestFit="1" customWidth="1"/>
    <col min="3" max="3" width="4.5703125" customWidth="1"/>
    <col min="4" max="4" width="7.42578125" bestFit="1" customWidth="1"/>
    <col min="5" max="5" width="7.5703125" bestFit="1" customWidth="1"/>
    <col min="6" max="6" width="8.85546875" bestFit="1" customWidth="1"/>
    <col min="7" max="7" width="7.5703125" bestFit="1" customWidth="1"/>
    <col min="8" max="8" width="8.42578125" bestFit="1" customWidth="1"/>
    <col min="9" max="11" width="7.5703125" bestFit="1" customWidth="1"/>
    <col min="12" max="12" width="8.42578125" bestFit="1" customWidth="1"/>
    <col min="13" max="15" width="7.5703125" bestFit="1" customWidth="1"/>
    <col min="16" max="16" width="8.42578125" bestFit="1" customWidth="1"/>
  </cols>
  <sheetData>
    <row r="1" spans="1:18" ht="15.75" thickBot="1" x14ac:dyDescent="0.3">
      <c r="A1" s="42" t="s">
        <v>130</v>
      </c>
      <c r="B1" s="42"/>
      <c r="C1" s="42"/>
      <c r="D1" s="42"/>
      <c r="E1" s="41"/>
      <c r="F1" s="41"/>
      <c r="G1" s="41"/>
      <c r="H1" s="41"/>
      <c r="I1" s="41"/>
      <c r="J1" s="50"/>
      <c r="K1" s="51"/>
      <c r="L1" s="51"/>
      <c r="M1" s="51"/>
      <c r="N1" s="42"/>
      <c r="O1" s="41"/>
      <c r="P1" s="41"/>
      <c r="Q1" s="42"/>
      <c r="R1" s="52"/>
    </row>
    <row r="2" spans="1:18" ht="15.75" thickTop="1" x14ac:dyDescent="0.25">
      <c r="A2" s="53"/>
      <c r="B2" s="53"/>
      <c r="C2" s="53"/>
      <c r="D2" s="53"/>
      <c r="E2" s="247" t="s">
        <v>61</v>
      </c>
      <c r="F2" s="248"/>
      <c r="G2" s="248"/>
      <c r="H2" s="249"/>
      <c r="I2" s="247" t="s">
        <v>62</v>
      </c>
      <c r="J2" s="248"/>
      <c r="K2" s="248"/>
      <c r="L2" s="249"/>
      <c r="M2" s="247" t="s">
        <v>63</v>
      </c>
      <c r="N2" s="248"/>
      <c r="O2" s="248"/>
      <c r="P2" s="249"/>
      <c r="Q2" s="245" t="s">
        <v>64</v>
      </c>
      <c r="R2" s="246"/>
    </row>
    <row r="3" spans="1:18" ht="15.75" thickBot="1" x14ac:dyDescent="0.3">
      <c r="A3" s="54" t="s">
        <v>65</v>
      </c>
      <c r="B3" s="54" t="s">
        <v>66</v>
      </c>
      <c r="C3" s="54" t="s">
        <v>67</v>
      </c>
      <c r="D3" s="54" t="s">
        <v>68</v>
      </c>
      <c r="E3" s="55" t="s">
        <v>69</v>
      </c>
      <c r="F3" s="54" t="s">
        <v>70</v>
      </c>
      <c r="G3" s="54" t="s">
        <v>11</v>
      </c>
      <c r="H3" s="54" t="s">
        <v>76</v>
      </c>
      <c r="I3" s="55" t="s">
        <v>69</v>
      </c>
      <c r="J3" s="54" t="s">
        <v>70</v>
      </c>
      <c r="K3" s="54" t="s">
        <v>11</v>
      </c>
      <c r="L3" s="54" t="s">
        <v>76</v>
      </c>
      <c r="M3" s="55" t="s">
        <v>69</v>
      </c>
      <c r="N3" s="54" t="s">
        <v>70</v>
      </c>
      <c r="O3" s="54" t="s">
        <v>11</v>
      </c>
      <c r="P3" s="54" t="s">
        <v>76</v>
      </c>
      <c r="Q3" s="55" t="s">
        <v>69</v>
      </c>
      <c r="R3" s="56" t="s">
        <v>70</v>
      </c>
    </row>
    <row r="4" spans="1:18" ht="15.75" thickTop="1" x14ac:dyDescent="0.25">
      <c r="A4" s="57">
        <v>40102</v>
      </c>
      <c r="B4" s="44">
        <f>+A4</f>
        <v>40102</v>
      </c>
      <c r="C4" s="45">
        <v>-0.2</v>
      </c>
      <c r="D4" s="46">
        <v>0.7909722222222223</v>
      </c>
      <c r="E4" s="60">
        <f>Effort!J2</f>
        <v>4924</v>
      </c>
      <c r="F4" s="61">
        <f>Harvest!J2</f>
        <v>67449</v>
      </c>
      <c r="G4" s="58">
        <f>CPUE!J2</f>
        <v>13.698009748172218</v>
      </c>
      <c r="H4" s="58"/>
      <c r="I4" s="60" t="str">
        <f>Effort!L2</f>
        <v>CLOSED</v>
      </c>
      <c r="J4" s="61" t="str">
        <f>Harvest!L2</f>
        <v>CLOSED</v>
      </c>
      <c r="K4" s="58" t="str">
        <f>CPUE!L2</f>
        <v>CLOSED</v>
      </c>
      <c r="L4" s="58"/>
      <c r="M4" s="60" t="str">
        <f>Effort!N2</f>
        <v>CLOSED</v>
      </c>
      <c r="N4" s="61" t="str">
        <f>Harvest!N2</f>
        <v>CLOSED</v>
      </c>
      <c r="O4" s="58" t="str">
        <f>CPUE!N2</f>
        <v>CLOSED</v>
      </c>
      <c r="P4" s="58"/>
      <c r="Q4" s="60">
        <f>E4</f>
        <v>4924</v>
      </c>
      <c r="R4" s="61">
        <f>F4</f>
        <v>67449</v>
      </c>
    </row>
    <row r="5" spans="1:18" x14ac:dyDescent="0.25">
      <c r="A5" s="57">
        <v>40103</v>
      </c>
      <c r="B5" s="44">
        <f t="shared" ref="B5:B7" si="0">+A5</f>
        <v>40103</v>
      </c>
      <c r="C5" s="47">
        <v>-0.7</v>
      </c>
      <c r="D5" s="48">
        <v>0.78055555555555556</v>
      </c>
      <c r="E5" s="60">
        <f>Effort!J3</f>
        <v>6773</v>
      </c>
      <c r="F5" s="61">
        <f>Harvest!J3</f>
        <v>100367</v>
      </c>
      <c r="G5" s="58">
        <f>CPUE!J3</f>
        <v>14.818691864757124</v>
      </c>
      <c r="H5" s="58"/>
      <c r="I5" s="60">
        <f>Effort!L3</f>
        <v>3496</v>
      </c>
      <c r="J5" s="61">
        <f>Harvest!L3</f>
        <v>46405</v>
      </c>
      <c r="K5" s="58">
        <f>CPUE!L3</f>
        <v>13.273741418764303</v>
      </c>
      <c r="L5" s="58"/>
      <c r="M5" s="60">
        <f>Effort!N3</f>
        <v>427.28108695652179</v>
      </c>
      <c r="N5" s="61">
        <f>Harvest!N3</f>
        <v>5826.3050937198022</v>
      </c>
      <c r="O5" s="58">
        <f>CPUE!N3</f>
        <v>13.635766411333487</v>
      </c>
      <c r="P5" s="58"/>
      <c r="Q5" s="60">
        <f>E5+I5+M5</f>
        <v>10696.281086956522</v>
      </c>
      <c r="R5" s="61">
        <f>F5+J5+N5</f>
        <v>152598.3050937198</v>
      </c>
    </row>
    <row r="6" spans="1:18" x14ac:dyDescent="0.25">
      <c r="A6" s="57">
        <v>40104</v>
      </c>
      <c r="B6" s="44">
        <f t="shared" si="0"/>
        <v>40104</v>
      </c>
      <c r="C6" s="49">
        <v>-1</v>
      </c>
      <c r="D6" s="48">
        <v>0.80972222222222223</v>
      </c>
      <c r="E6" s="60">
        <f>Effort!J4</f>
        <v>2860</v>
      </c>
      <c r="F6" s="61">
        <f>Harvest!J4</f>
        <v>42641</v>
      </c>
      <c r="G6" s="58">
        <f>CPUE!J4</f>
        <v>14.90944055944056</v>
      </c>
      <c r="H6" s="58"/>
      <c r="I6" s="60">
        <f>Effort!L4</f>
        <v>1202</v>
      </c>
      <c r="J6" s="61">
        <f>Harvest!L4</f>
        <v>18037</v>
      </c>
      <c r="K6" s="58">
        <f>CPUE!L4</f>
        <v>15.005823627287853</v>
      </c>
      <c r="L6" s="58"/>
      <c r="M6" s="60">
        <f>Effort!N4</f>
        <v>192.65988235294117</v>
      </c>
      <c r="N6" s="61">
        <f>Harvest!N4</f>
        <v>2814.1556638655461</v>
      </c>
      <c r="O6" s="58">
        <f>CPUE!N4</f>
        <v>14.606858623063957</v>
      </c>
      <c r="P6" s="58"/>
      <c r="Q6" s="60">
        <f>E6+I6+M6</f>
        <v>4254.6598823529412</v>
      </c>
      <c r="R6" s="61">
        <f>F6+J6+N6</f>
        <v>63492.155663865546</v>
      </c>
    </row>
    <row r="7" spans="1:18" x14ac:dyDescent="0.25">
      <c r="A7" s="57">
        <v>40105</v>
      </c>
      <c r="B7" s="44">
        <f t="shared" si="0"/>
        <v>40105</v>
      </c>
      <c r="C7" s="47">
        <v>-1.1000000000000001</v>
      </c>
      <c r="D7" s="48">
        <v>0.83819444444444446</v>
      </c>
      <c r="E7" s="60" t="str">
        <f>Effort!J5</f>
        <v>CLOSED</v>
      </c>
      <c r="F7" s="61" t="str">
        <f>Harvest!J5</f>
        <v>CLOSED</v>
      </c>
      <c r="G7" s="58" t="str">
        <f>CPUE!J5</f>
        <v>CLOSED</v>
      </c>
      <c r="H7" s="58"/>
      <c r="I7" s="60" t="str">
        <f>Effort!L5</f>
        <v>CLOSED</v>
      </c>
      <c r="J7" s="61" t="str">
        <f>Harvest!L5</f>
        <v>CLOSED</v>
      </c>
      <c r="K7" s="58" t="str">
        <f>CPUE!L5</f>
        <v>CLOSED</v>
      </c>
      <c r="L7" s="58"/>
      <c r="M7" s="60" t="str">
        <f>Effort!N5</f>
        <v>CLOSED</v>
      </c>
      <c r="N7" s="61" t="str">
        <f>Harvest!N5</f>
        <v>CLOSED</v>
      </c>
      <c r="O7" s="58" t="str">
        <f>CPUE!N5</f>
        <v>CLOSED</v>
      </c>
      <c r="P7" s="58"/>
      <c r="Q7" s="60">
        <v>0</v>
      </c>
      <c r="R7" s="61">
        <v>0</v>
      </c>
    </row>
    <row r="8" spans="1:18" x14ac:dyDescent="0.25">
      <c r="A8" s="63" t="s">
        <v>71</v>
      </c>
      <c r="B8" s="64"/>
      <c r="C8" s="65"/>
      <c r="D8" s="64"/>
      <c r="E8" s="66">
        <f>SUM(E4:E7)</f>
        <v>14557</v>
      </c>
      <c r="F8" s="67">
        <f>SUM(F4:F7)</f>
        <v>210457</v>
      </c>
      <c r="G8" s="65">
        <f>F8/E8</f>
        <v>14.457443154496119</v>
      </c>
      <c r="H8" s="65">
        <v>117.74</v>
      </c>
      <c r="I8" s="66">
        <f>SUM(I5:I7)</f>
        <v>4698</v>
      </c>
      <c r="J8" s="67">
        <f>SUM(J5:J7)</f>
        <v>64442</v>
      </c>
      <c r="K8" s="65">
        <f>J8/I8</f>
        <v>13.716900808854831</v>
      </c>
      <c r="L8" s="65">
        <v>124.27</v>
      </c>
      <c r="M8" s="66">
        <f>SUM(M5:M7)</f>
        <v>619.94096930946296</v>
      </c>
      <c r="N8" s="67">
        <f>SUM(N5:N7)</f>
        <v>8640.4607575853479</v>
      </c>
      <c r="O8" s="65">
        <f>N8/M8</f>
        <v>13.937554033910269</v>
      </c>
      <c r="P8" s="65">
        <v>103.83</v>
      </c>
      <c r="Q8" s="66">
        <f>SUM(Q4:Q7)</f>
        <v>19874.940969309464</v>
      </c>
      <c r="R8" s="67">
        <f>SUM(R4:R7)</f>
        <v>283539.46075758536</v>
      </c>
    </row>
    <row r="9" spans="1:18" x14ac:dyDescent="0.25">
      <c r="A9" s="57">
        <v>40131</v>
      </c>
      <c r="B9" s="44">
        <v>40131</v>
      </c>
      <c r="C9" s="58">
        <v>-0.4</v>
      </c>
      <c r="D9" s="59">
        <v>0.69861111111111107</v>
      </c>
      <c r="E9" s="60">
        <v>3582</v>
      </c>
      <c r="F9" s="61">
        <v>53730</v>
      </c>
      <c r="G9" s="58">
        <v>15</v>
      </c>
      <c r="H9" s="58"/>
      <c r="I9" s="60">
        <v>2232</v>
      </c>
      <c r="J9" s="61">
        <v>33480</v>
      </c>
      <c r="K9" s="58">
        <v>15</v>
      </c>
      <c r="L9" s="58"/>
      <c r="M9" s="60" t="s">
        <v>22</v>
      </c>
      <c r="N9" s="61" t="s">
        <v>22</v>
      </c>
      <c r="O9" s="58" t="s">
        <v>22</v>
      </c>
      <c r="P9" s="58"/>
      <c r="Q9" s="60">
        <f>E9+I9</f>
        <v>5814</v>
      </c>
      <c r="R9" s="61">
        <f>F9+J9</f>
        <v>87210</v>
      </c>
    </row>
    <row r="10" spans="1:18" x14ac:dyDescent="0.25">
      <c r="A10" s="57">
        <v>40132</v>
      </c>
      <c r="B10" s="44">
        <v>40132</v>
      </c>
      <c r="C10" s="58">
        <v>-0.8</v>
      </c>
      <c r="D10" s="59">
        <v>0.72916666666666663</v>
      </c>
      <c r="E10" s="60">
        <v>2196</v>
      </c>
      <c r="F10" s="61">
        <v>26314</v>
      </c>
      <c r="G10" s="58">
        <v>11.982695810564662</v>
      </c>
      <c r="H10" s="58"/>
      <c r="I10" s="60">
        <v>942</v>
      </c>
      <c r="J10" s="61">
        <v>10426</v>
      </c>
      <c r="K10" s="58">
        <v>11.067940552016985</v>
      </c>
      <c r="L10" s="58"/>
      <c r="M10" s="60" t="s">
        <v>22</v>
      </c>
      <c r="N10" s="61" t="s">
        <v>22</v>
      </c>
      <c r="O10" s="58" t="s">
        <v>22</v>
      </c>
      <c r="P10" s="58"/>
      <c r="Q10" s="60">
        <f>E10+I10</f>
        <v>3138</v>
      </c>
      <c r="R10" s="61">
        <f>F10+J10</f>
        <v>36740</v>
      </c>
    </row>
    <row r="11" spans="1:18" x14ac:dyDescent="0.25">
      <c r="A11" s="57">
        <v>40133</v>
      </c>
      <c r="B11" s="44">
        <v>40133</v>
      </c>
      <c r="C11" s="58">
        <v>-1</v>
      </c>
      <c r="D11" s="59">
        <v>0.75694444444444453</v>
      </c>
      <c r="E11" s="60">
        <v>355</v>
      </c>
      <c r="F11" s="61">
        <v>1695</v>
      </c>
      <c r="G11" s="58">
        <v>4.774647887323944</v>
      </c>
      <c r="H11" s="58"/>
      <c r="I11" s="60">
        <v>195.01038421599171</v>
      </c>
      <c r="J11" s="61">
        <v>929.74701414222181</v>
      </c>
      <c r="K11" s="58">
        <v>4.7676795155300171</v>
      </c>
      <c r="L11" s="58"/>
      <c r="M11" s="60">
        <v>22</v>
      </c>
      <c r="N11" s="61">
        <v>0</v>
      </c>
      <c r="O11" s="58">
        <v>0</v>
      </c>
      <c r="P11" s="58"/>
      <c r="Q11" s="60">
        <f>E11+I11+M11</f>
        <v>572.01038421599173</v>
      </c>
      <c r="R11" s="61">
        <f>F11+J11+N11</f>
        <v>2624.7470141422218</v>
      </c>
    </row>
    <row r="12" spans="1:18" x14ac:dyDescent="0.25">
      <c r="A12" s="57">
        <v>40134</v>
      </c>
      <c r="B12" s="44">
        <v>40134</v>
      </c>
      <c r="C12" s="58">
        <v>-0.9</v>
      </c>
      <c r="D12" s="59">
        <v>0.78402777777777777</v>
      </c>
      <c r="E12" s="60" t="s">
        <v>22</v>
      </c>
      <c r="F12" s="61" t="s">
        <v>22</v>
      </c>
      <c r="G12" s="58" t="s">
        <v>22</v>
      </c>
      <c r="H12" s="58"/>
      <c r="I12" s="60" t="s">
        <v>22</v>
      </c>
      <c r="J12" s="61" t="s">
        <v>22</v>
      </c>
      <c r="K12" s="58" t="s">
        <v>22</v>
      </c>
      <c r="L12" s="58"/>
      <c r="M12" s="60" t="s">
        <v>22</v>
      </c>
      <c r="N12" s="61" t="s">
        <v>22</v>
      </c>
      <c r="O12" s="58" t="s">
        <v>22</v>
      </c>
      <c r="P12" s="58"/>
      <c r="Q12" s="60">
        <v>0</v>
      </c>
      <c r="R12" s="61">
        <v>0</v>
      </c>
    </row>
    <row r="13" spans="1:18" x14ac:dyDescent="0.25">
      <c r="A13" s="63" t="s">
        <v>71</v>
      </c>
      <c r="B13" s="64"/>
      <c r="C13" s="65"/>
      <c r="D13" s="64"/>
      <c r="E13" s="66">
        <f>SUM(E9:E12)</f>
        <v>6133</v>
      </c>
      <c r="F13" s="67">
        <f>SUM(F9:F12)</f>
        <v>81739</v>
      </c>
      <c r="G13" s="65">
        <f>F13/E13</f>
        <v>13.327735203000163</v>
      </c>
      <c r="H13" s="65">
        <v>123.95</v>
      </c>
      <c r="I13" s="66">
        <f>SUM(I9:I12)</f>
        <v>3369.0103842159915</v>
      </c>
      <c r="J13" s="67">
        <f>SUM(J9:J12)</f>
        <v>44835.747014142224</v>
      </c>
      <c r="K13" s="65">
        <f>J13/I13</f>
        <v>13.308284006543966</v>
      </c>
      <c r="L13" s="65">
        <v>123.14</v>
      </c>
      <c r="M13" s="66">
        <f>SUM(M11:M12)</f>
        <v>22</v>
      </c>
      <c r="N13" s="67">
        <f>SUM(N11:N12)</f>
        <v>0</v>
      </c>
      <c r="O13" s="65">
        <f>N13/M13</f>
        <v>0</v>
      </c>
      <c r="P13" s="65"/>
      <c r="Q13" s="66">
        <f>SUM(Q9:Q12)</f>
        <v>9524.0103842159915</v>
      </c>
      <c r="R13" s="67">
        <f>SUM(R9:R12)</f>
        <v>126574.74701414222</v>
      </c>
    </row>
    <row r="14" spans="1:18" x14ac:dyDescent="0.25">
      <c r="A14" s="57">
        <v>40149</v>
      </c>
      <c r="B14" s="44">
        <v>40149</v>
      </c>
      <c r="C14" s="58">
        <v>-1.5</v>
      </c>
      <c r="D14" s="59">
        <v>0.77222222222222225</v>
      </c>
      <c r="E14" s="60" t="s">
        <v>22</v>
      </c>
      <c r="F14" s="61" t="s">
        <v>22</v>
      </c>
      <c r="G14" s="58" t="s">
        <v>22</v>
      </c>
      <c r="H14" s="58"/>
      <c r="I14" s="60" t="s">
        <v>22</v>
      </c>
      <c r="J14" s="61" t="s">
        <v>22</v>
      </c>
      <c r="K14" s="58" t="s">
        <v>22</v>
      </c>
      <c r="L14" s="58"/>
      <c r="M14" s="60" t="s">
        <v>22</v>
      </c>
      <c r="N14" s="61" t="s">
        <v>22</v>
      </c>
      <c r="O14" s="58" t="s">
        <v>22</v>
      </c>
      <c r="P14" s="58"/>
      <c r="Q14" s="60">
        <v>0</v>
      </c>
      <c r="R14" s="61">
        <v>0</v>
      </c>
    </row>
    <row r="15" spans="1:18" x14ac:dyDescent="0.25">
      <c r="A15" s="57">
        <v>40150</v>
      </c>
      <c r="B15" s="44">
        <v>40150</v>
      </c>
      <c r="C15" s="58">
        <v>-1.6</v>
      </c>
      <c r="D15" s="59">
        <v>0.80347222222222225</v>
      </c>
      <c r="E15" s="60">
        <v>1231</v>
      </c>
      <c r="F15" s="61">
        <v>18465</v>
      </c>
      <c r="G15" s="58">
        <v>15</v>
      </c>
      <c r="H15" s="58"/>
      <c r="I15" s="60">
        <v>459</v>
      </c>
      <c r="J15" s="61">
        <v>6181</v>
      </c>
      <c r="K15" s="58">
        <v>13.466230936819173</v>
      </c>
      <c r="L15" s="58"/>
      <c r="M15" s="60" t="s">
        <v>22</v>
      </c>
      <c r="N15" s="61" t="s">
        <v>22</v>
      </c>
      <c r="O15" s="58" t="s">
        <v>22</v>
      </c>
      <c r="P15" s="58"/>
      <c r="Q15" s="60">
        <f>E15+I15</f>
        <v>1690</v>
      </c>
      <c r="R15" s="61">
        <f>F15+J15</f>
        <v>24646</v>
      </c>
    </row>
    <row r="16" spans="1:18" x14ac:dyDescent="0.25">
      <c r="A16" s="57">
        <v>40151</v>
      </c>
      <c r="B16" s="44">
        <v>40151</v>
      </c>
      <c r="C16" s="58">
        <v>-1.5</v>
      </c>
      <c r="D16" s="59">
        <v>0.83611111111111114</v>
      </c>
      <c r="E16" s="60">
        <v>1395</v>
      </c>
      <c r="F16" s="61">
        <v>20242</v>
      </c>
      <c r="G16" s="58">
        <v>14.510394265232975</v>
      </c>
      <c r="H16" s="58"/>
      <c r="I16" s="60">
        <v>813</v>
      </c>
      <c r="J16" s="61">
        <v>10653</v>
      </c>
      <c r="K16" s="58">
        <v>13.103321033210332</v>
      </c>
      <c r="L16" s="58"/>
      <c r="M16" s="60">
        <v>161.93569103053434</v>
      </c>
      <c r="N16" s="61">
        <v>1908.9137988374132</v>
      </c>
      <c r="O16" s="58">
        <v>11.788098020204028</v>
      </c>
      <c r="P16" s="58"/>
      <c r="Q16" s="60">
        <f t="shared" ref="Q16:Q17" si="1">E16+I16+M16</f>
        <v>2369.9356910305341</v>
      </c>
      <c r="R16" s="61">
        <f t="shared" ref="R16:R17" si="2">F16+J16+N16</f>
        <v>32803.913798837413</v>
      </c>
    </row>
    <row r="17" spans="1:18" x14ac:dyDescent="0.25">
      <c r="A17" s="57">
        <v>40152</v>
      </c>
      <c r="B17" s="44">
        <v>40152</v>
      </c>
      <c r="C17" s="58">
        <v>-1.1000000000000001</v>
      </c>
      <c r="D17" s="59">
        <v>0.86875000000000002</v>
      </c>
      <c r="E17" s="60">
        <v>1071</v>
      </c>
      <c r="F17" s="61">
        <v>16065</v>
      </c>
      <c r="G17" s="58">
        <v>15</v>
      </c>
      <c r="H17" s="58"/>
      <c r="I17" s="60">
        <v>576</v>
      </c>
      <c r="J17" s="61">
        <v>8640</v>
      </c>
      <c r="K17" s="58">
        <v>15</v>
      </c>
      <c r="L17" s="58"/>
      <c r="M17" s="60">
        <v>219.25029846440617</v>
      </c>
      <c r="N17" s="61">
        <v>2735.726263191058</v>
      </c>
      <c r="O17" s="58">
        <v>12.477639858881128</v>
      </c>
      <c r="P17" s="58"/>
      <c r="Q17" s="60">
        <f t="shared" si="1"/>
        <v>1866.2502984644061</v>
      </c>
      <c r="R17" s="61">
        <f t="shared" si="2"/>
        <v>27440.726263191056</v>
      </c>
    </row>
    <row r="18" spans="1:18" x14ac:dyDescent="0.25">
      <c r="A18" s="63" t="s">
        <v>71</v>
      </c>
      <c r="B18" s="64"/>
      <c r="C18" s="64"/>
      <c r="D18" s="64"/>
      <c r="E18" s="66">
        <f>SUM(E15:E17)</f>
        <v>3697</v>
      </c>
      <c r="F18" s="67">
        <f>SUM(F15:F17)</f>
        <v>54772</v>
      </c>
      <c r="G18" s="65">
        <f>F18/E18</f>
        <v>14.815255612658913</v>
      </c>
      <c r="H18" s="65">
        <v>123.34177215189874</v>
      </c>
      <c r="I18" s="66">
        <f>SUM(I15:I17)</f>
        <v>1848</v>
      </c>
      <c r="J18" s="67">
        <f>SUM(J15:J17)</f>
        <v>25474</v>
      </c>
      <c r="K18" s="65">
        <f>J18/I18</f>
        <v>13.784632034632034</v>
      </c>
      <c r="L18" s="65">
        <v>122.88333333333334</v>
      </c>
      <c r="M18" s="66">
        <f>SUM(M16:M17)</f>
        <v>381.18598949494049</v>
      </c>
      <c r="N18" s="67">
        <f>SUM(N16:N17)</f>
        <v>4644.6400620284712</v>
      </c>
      <c r="O18" s="65">
        <f>N18/M18</f>
        <v>12.184708226507679</v>
      </c>
      <c r="P18" s="65">
        <v>102.7</v>
      </c>
      <c r="Q18" s="66">
        <f>SUM(Q14:Q17)</f>
        <v>5926.1859894949403</v>
      </c>
      <c r="R18" s="67">
        <f>SUM(R14:R17)</f>
        <v>84890.640062028469</v>
      </c>
    </row>
    <row r="19" spans="1:18" x14ac:dyDescent="0.25">
      <c r="A19" s="69">
        <v>40178</v>
      </c>
      <c r="B19" s="44">
        <f>A19</f>
        <v>40178</v>
      </c>
      <c r="C19" s="58">
        <v>-1.6</v>
      </c>
      <c r="D19" s="59">
        <v>0.76250000000000007</v>
      </c>
      <c r="E19" s="60">
        <v>2742</v>
      </c>
      <c r="F19" s="70">
        <v>24193</v>
      </c>
      <c r="G19" s="68">
        <v>8.8231218088986143</v>
      </c>
      <c r="H19" s="68"/>
      <c r="I19" s="60">
        <v>1150</v>
      </c>
      <c r="J19" s="70">
        <v>8692</v>
      </c>
      <c r="K19" s="68">
        <v>7.5582608695652178</v>
      </c>
      <c r="L19" s="68"/>
      <c r="M19" s="60">
        <v>299.71141399281959</v>
      </c>
      <c r="N19" s="70">
        <v>573.56354648898719</v>
      </c>
      <c r="O19" s="68">
        <v>1.9137193970955291</v>
      </c>
      <c r="P19" s="68"/>
      <c r="Q19" s="60">
        <f>E19+I19</f>
        <v>3892</v>
      </c>
      <c r="R19" s="70">
        <f>F19+J19</f>
        <v>32885</v>
      </c>
    </row>
    <row r="20" spans="1:18" x14ac:dyDescent="0.25">
      <c r="A20" s="69">
        <v>40179</v>
      </c>
      <c r="B20" s="44">
        <f t="shared" ref="B20:B22" si="3">A20</f>
        <v>40179</v>
      </c>
      <c r="C20" s="58">
        <v>-1.8</v>
      </c>
      <c r="D20" s="59">
        <v>0.79236111111111107</v>
      </c>
      <c r="E20" s="60">
        <v>3582</v>
      </c>
      <c r="F20" s="70">
        <v>10871.84</v>
      </c>
      <c r="G20" s="68">
        <v>3.0351312116136238</v>
      </c>
      <c r="H20" s="68"/>
      <c r="I20" s="60">
        <v>1884</v>
      </c>
      <c r="J20" s="70">
        <v>10283</v>
      </c>
      <c r="K20" s="68">
        <v>5.4580679405520174</v>
      </c>
      <c r="L20" s="68"/>
      <c r="M20" s="60">
        <v>202.81573827699017</v>
      </c>
      <c r="N20" s="70">
        <v>660.59983324505367</v>
      </c>
      <c r="O20" s="68">
        <v>3.2571428571428571</v>
      </c>
      <c r="P20" s="68"/>
      <c r="Q20" s="60">
        <f t="shared" ref="Q20:Q21" si="4">E20+I20</f>
        <v>5466</v>
      </c>
      <c r="R20" s="70">
        <f t="shared" ref="R20:R21" si="5">F20+J20</f>
        <v>21154.84</v>
      </c>
    </row>
    <row r="21" spans="1:18" x14ac:dyDescent="0.25">
      <c r="A21" s="69">
        <v>40180</v>
      </c>
      <c r="B21" s="44">
        <f t="shared" si="3"/>
        <v>40180</v>
      </c>
      <c r="C21" s="58">
        <v>-1.6</v>
      </c>
      <c r="D21" s="59">
        <v>0.82291666666666663</v>
      </c>
      <c r="E21" s="60">
        <v>3727</v>
      </c>
      <c r="F21" s="70">
        <v>55905</v>
      </c>
      <c r="G21" s="68">
        <v>15</v>
      </c>
      <c r="H21" s="68"/>
      <c r="I21" s="60">
        <v>1578</v>
      </c>
      <c r="J21" s="70">
        <v>20832</v>
      </c>
      <c r="K21" s="68">
        <v>13.201520912547528</v>
      </c>
      <c r="L21" s="68"/>
      <c r="M21" s="60" t="s">
        <v>22</v>
      </c>
      <c r="N21" s="70" t="s">
        <v>22</v>
      </c>
      <c r="O21" s="68" t="s">
        <v>22</v>
      </c>
      <c r="P21" s="68"/>
      <c r="Q21" s="60">
        <f t="shared" si="4"/>
        <v>5305</v>
      </c>
      <c r="R21" s="70">
        <f t="shared" si="5"/>
        <v>76737</v>
      </c>
    </row>
    <row r="22" spans="1:18" x14ac:dyDescent="0.25">
      <c r="A22" s="69">
        <v>40181</v>
      </c>
      <c r="B22" s="44">
        <f t="shared" si="3"/>
        <v>40181</v>
      </c>
      <c r="C22" s="58">
        <v>-1.2</v>
      </c>
      <c r="D22" s="59">
        <v>0.8534722222222223</v>
      </c>
      <c r="E22" s="60" t="s">
        <v>22</v>
      </c>
      <c r="F22" s="70" t="s">
        <v>22</v>
      </c>
      <c r="G22" s="68" t="s">
        <v>22</v>
      </c>
      <c r="H22" s="68"/>
      <c r="I22" s="60" t="s">
        <v>22</v>
      </c>
      <c r="J22" s="70" t="s">
        <v>22</v>
      </c>
      <c r="K22" s="68" t="s">
        <v>22</v>
      </c>
      <c r="L22" s="68"/>
      <c r="M22" s="60" t="s">
        <v>22</v>
      </c>
      <c r="N22" s="70" t="s">
        <v>22</v>
      </c>
      <c r="O22" s="68" t="s">
        <v>22</v>
      </c>
      <c r="P22" s="68"/>
      <c r="Q22" s="60">
        <v>0</v>
      </c>
      <c r="R22" s="70">
        <v>0</v>
      </c>
    </row>
    <row r="23" spans="1:18" x14ac:dyDescent="0.25">
      <c r="A23" s="63" t="s">
        <v>71</v>
      </c>
      <c r="B23" s="64"/>
      <c r="C23" s="64"/>
      <c r="D23" s="64"/>
      <c r="E23" s="66">
        <f>SUM(E19:E22)</f>
        <v>10051</v>
      </c>
      <c r="F23" s="67">
        <f>SUM(F19:F22)</f>
        <v>90969.84</v>
      </c>
      <c r="G23" s="65">
        <f>F23/E23</f>
        <v>9.0508247935528807</v>
      </c>
      <c r="H23" s="65">
        <v>121.3</v>
      </c>
      <c r="I23" s="66">
        <f>SUM(I19:I22)</f>
        <v>4612</v>
      </c>
      <c r="J23" s="67">
        <f>SUM(J19:J22)</f>
        <v>39807</v>
      </c>
      <c r="K23" s="65">
        <f>J23/I23</f>
        <v>8.6311795316565476</v>
      </c>
      <c r="L23" s="65">
        <v>121.16</v>
      </c>
      <c r="M23" s="66">
        <v>502.52715226980979</v>
      </c>
      <c r="N23" s="67">
        <v>1234.163379734041</v>
      </c>
      <c r="O23" s="65">
        <v>2.4559138230831583</v>
      </c>
      <c r="P23" s="65">
        <v>100.56</v>
      </c>
      <c r="Q23" s="66">
        <f>SUM(Q19:Q22)</f>
        <v>14663</v>
      </c>
      <c r="R23" s="67">
        <f>SUM(R19:R22)</f>
        <v>130776.84</v>
      </c>
    </row>
    <row r="24" spans="1:18" x14ac:dyDescent="0.25">
      <c r="A24" s="69">
        <v>40206</v>
      </c>
      <c r="B24" s="44">
        <v>40206</v>
      </c>
      <c r="C24" s="58">
        <v>-1.1000000000000001</v>
      </c>
      <c r="D24" s="59">
        <v>0.71736111111111101</v>
      </c>
      <c r="E24" s="60" t="s">
        <v>22</v>
      </c>
      <c r="F24" s="70" t="s">
        <v>22</v>
      </c>
      <c r="G24" s="68" t="s">
        <v>22</v>
      </c>
      <c r="H24" s="68"/>
      <c r="I24" s="60" t="s">
        <v>22</v>
      </c>
      <c r="J24" s="70" t="s">
        <v>22</v>
      </c>
      <c r="K24" s="68" t="s">
        <v>22</v>
      </c>
      <c r="L24" s="68"/>
      <c r="M24" s="60" t="s">
        <v>22</v>
      </c>
      <c r="N24" s="70" t="s">
        <v>22</v>
      </c>
      <c r="O24" s="68" t="s">
        <v>22</v>
      </c>
      <c r="P24" s="68"/>
      <c r="Q24" s="60">
        <v>0</v>
      </c>
      <c r="R24" s="70">
        <v>0</v>
      </c>
    </row>
    <row r="25" spans="1:18" x14ac:dyDescent="0.25">
      <c r="A25" s="69">
        <v>40207</v>
      </c>
      <c r="B25" s="44">
        <v>40207</v>
      </c>
      <c r="C25" s="58">
        <v>-1.5</v>
      </c>
      <c r="D25" s="59">
        <v>0.74861111111111101</v>
      </c>
      <c r="E25" s="60">
        <v>3899</v>
      </c>
      <c r="F25" s="70">
        <v>55727</v>
      </c>
      <c r="G25" s="68">
        <v>14.292639138240574</v>
      </c>
      <c r="H25" s="68"/>
      <c r="I25" s="60">
        <v>1690</v>
      </c>
      <c r="J25" s="70">
        <v>20938</v>
      </c>
      <c r="K25" s="68">
        <v>12.389349112426036</v>
      </c>
      <c r="L25" s="68"/>
      <c r="M25" s="60" t="s">
        <v>22</v>
      </c>
      <c r="N25" s="70" t="s">
        <v>22</v>
      </c>
      <c r="O25" s="68" t="s">
        <v>22</v>
      </c>
      <c r="P25" s="68"/>
      <c r="Q25" s="60">
        <f>E25+I25</f>
        <v>5589</v>
      </c>
      <c r="R25" s="70">
        <f>F25+J25</f>
        <v>76665</v>
      </c>
    </row>
    <row r="26" spans="1:18" x14ac:dyDescent="0.25">
      <c r="A26" s="69">
        <v>40208</v>
      </c>
      <c r="B26" s="44">
        <v>40208</v>
      </c>
      <c r="C26" s="58">
        <v>-1.5</v>
      </c>
      <c r="D26" s="59">
        <v>0.77847222222222223</v>
      </c>
      <c r="E26" s="60">
        <v>4402</v>
      </c>
      <c r="F26" s="70">
        <v>49673</v>
      </c>
      <c r="G26" s="68">
        <v>11.284189004997728</v>
      </c>
      <c r="H26" s="68"/>
      <c r="I26" s="60">
        <v>2584</v>
      </c>
      <c r="J26" s="70">
        <v>32381</v>
      </c>
      <c r="K26" s="68">
        <v>12.531346749226007</v>
      </c>
      <c r="L26" s="68"/>
      <c r="M26" s="60">
        <v>228.50497560975612</v>
      </c>
      <c r="N26" s="70">
        <v>1075.0326964030548</v>
      </c>
      <c r="O26" s="68">
        <v>4.7046358335715643</v>
      </c>
      <c r="P26" s="68"/>
      <c r="Q26" s="60">
        <f>E26+I26+M26</f>
        <v>7214.504975609756</v>
      </c>
      <c r="R26" s="70">
        <f>F26+J26+N26</f>
        <v>83129.032696403054</v>
      </c>
    </row>
    <row r="27" spans="1:18" x14ac:dyDescent="0.25">
      <c r="A27" s="69">
        <v>40209</v>
      </c>
      <c r="B27" s="44">
        <v>40209</v>
      </c>
      <c r="C27" s="58">
        <v>-1.2</v>
      </c>
      <c r="D27" s="59">
        <v>0.80763888888888891</v>
      </c>
      <c r="E27" s="60">
        <v>1568</v>
      </c>
      <c r="F27" s="70">
        <v>18018</v>
      </c>
      <c r="G27" s="68">
        <v>11.491071428571429</v>
      </c>
      <c r="H27" s="68"/>
      <c r="I27" s="60">
        <v>994.4480094909668</v>
      </c>
      <c r="J27" s="70">
        <v>14916.720142364502</v>
      </c>
      <c r="K27" s="68">
        <v>15</v>
      </c>
      <c r="L27" s="68"/>
      <c r="M27" s="60">
        <v>111.64294736842106</v>
      </c>
      <c r="N27" s="70">
        <v>1108.1596257309943</v>
      </c>
      <c r="O27" s="68">
        <v>9.9259259259259274</v>
      </c>
      <c r="P27" s="68"/>
      <c r="Q27" s="60">
        <f>E27+I27+M27</f>
        <v>2674.0909568593879</v>
      </c>
      <c r="R27" s="70">
        <f>F27+J27+N27</f>
        <v>34042.879768095496</v>
      </c>
    </row>
    <row r="28" spans="1:18" x14ac:dyDescent="0.25">
      <c r="A28" s="63" t="s">
        <v>71</v>
      </c>
      <c r="B28" s="64"/>
      <c r="C28" s="64"/>
      <c r="D28" s="64"/>
      <c r="E28" s="66">
        <f>SUM(E24:E27)</f>
        <v>9869</v>
      </c>
      <c r="F28" s="67">
        <f>SUM(F24:F27)</f>
        <v>123418</v>
      </c>
      <c r="G28" s="65">
        <f>F28/E28</f>
        <v>12.505623670078021</v>
      </c>
      <c r="H28" s="65">
        <v>121.38</v>
      </c>
      <c r="I28" s="66">
        <f>SUM(I24:I27)</f>
        <v>5268.4480094909668</v>
      </c>
      <c r="J28" s="67">
        <f>SUM(J24:J27)</f>
        <v>68235.720142364502</v>
      </c>
      <c r="K28" s="65">
        <f>J28/I28</f>
        <v>12.951768721915769</v>
      </c>
      <c r="L28" s="65">
        <v>120.85</v>
      </c>
      <c r="M28" s="66">
        <v>340.14792297817718</v>
      </c>
      <c r="N28" s="67">
        <v>2183.1923221340494</v>
      </c>
      <c r="O28" s="65">
        <v>6.4183614676198273</v>
      </c>
      <c r="P28" s="65">
        <v>102.41</v>
      </c>
      <c r="Q28" s="66">
        <f>SUM(Q24:Q27)</f>
        <v>15477.595932469143</v>
      </c>
      <c r="R28" s="67">
        <f>SUM(R24:R27)</f>
        <v>193836.91246449854</v>
      </c>
    </row>
    <row r="29" spans="1:18" x14ac:dyDescent="0.25">
      <c r="A29" s="69">
        <v>40235</v>
      </c>
      <c r="B29" s="44">
        <v>40235</v>
      </c>
      <c r="C29" s="58">
        <v>-0.7</v>
      </c>
      <c r="D29" s="59">
        <v>0.7006944444444444</v>
      </c>
      <c r="E29" s="60">
        <v>3187</v>
      </c>
      <c r="F29" s="70">
        <v>47579</v>
      </c>
      <c r="G29" s="68">
        <v>14.929086915594603</v>
      </c>
      <c r="H29" s="68"/>
      <c r="I29" s="60">
        <v>1560</v>
      </c>
      <c r="J29" s="70">
        <v>23400</v>
      </c>
      <c r="K29" s="68">
        <v>15</v>
      </c>
      <c r="L29" s="68"/>
      <c r="M29" s="60" t="s">
        <v>22</v>
      </c>
      <c r="N29" s="70" t="s">
        <v>22</v>
      </c>
      <c r="O29" s="68" t="s">
        <v>22</v>
      </c>
      <c r="P29" s="68"/>
      <c r="Q29" s="60">
        <f t="shared" ref="Q29" si="6">E29+I29</f>
        <v>4747</v>
      </c>
      <c r="R29" s="70">
        <f t="shared" ref="R29" si="7">F29+J29</f>
        <v>70979</v>
      </c>
    </row>
    <row r="30" spans="1:18" x14ac:dyDescent="0.25">
      <c r="A30" s="69">
        <v>40236</v>
      </c>
      <c r="B30" s="44">
        <v>40236</v>
      </c>
      <c r="C30" s="58">
        <v>-0.9</v>
      </c>
      <c r="D30" s="59">
        <v>0.7319444444444444</v>
      </c>
      <c r="E30" s="60">
        <v>1500</v>
      </c>
      <c r="F30" s="70">
        <v>22000</v>
      </c>
      <c r="G30" s="68">
        <v>15</v>
      </c>
      <c r="H30" s="68"/>
      <c r="I30" s="60">
        <v>550</v>
      </c>
      <c r="J30" s="70">
        <v>8000</v>
      </c>
      <c r="K30" s="68">
        <v>15</v>
      </c>
      <c r="L30" s="68"/>
      <c r="M30" s="60">
        <v>129.00293650793651</v>
      </c>
      <c r="N30" s="70">
        <v>338.78341269841269</v>
      </c>
      <c r="O30" s="68">
        <v>2.6261682242990654</v>
      </c>
      <c r="P30" s="68"/>
      <c r="Q30" s="60">
        <f t="shared" ref="Q30:Q31" si="8">E30+I30+M30</f>
        <v>2179.0029365079363</v>
      </c>
      <c r="R30" s="70">
        <f t="shared" ref="R30:R31" si="9">F30+J30+N30</f>
        <v>30338.783412698413</v>
      </c>
    </row>
    <row r="31" spans="1:18" x14ac:dyDescent="0.25">
      <c r="A31" s="69">
        <v>40237</v>
      </c>
      <c r="B31" s="44">
        <v>40237</v>
      </c>
      <c r="C31" s="58">
        <v>-0.8</v>
      </c>
      <c r="D31" s="59">
        <v>0.76111111111111107</v>
      </c>
      <c r="E31" s="60">
        <v>5079</v>
      </c>
      <c r="F31" s="70">
        <v>75395</v>
      </c>
      <c r="G31" s="68">
        <v>14.844457570387872</v>
      </c>
      <c r="H31" s="68"/>
      <c r="I31" s="60">
        <v>1843</v>
      </c>
      <c r="J31" s="70">
        <v>27069</v>
      </c>
      <c r="K31" s="68">
        <v>14.687466087900162</v>
      </c>
      <c r="L31" s="68"/>
      <c r="M31" s="60">
        <v>165.42407142857144</v>
      </c>
      <c r="N31" s="70">
        <v>2373.199178571429</v>
      </c>
      <c r="O31" s="68">
        <v>14.346153846153848</v>
      </c>
      <c r="P31" s="68"/>
      <c r="Q31" s="60">
        <f t="shared" si="8"/>
        <v>7087.4240714285716</v>
      </c>
      <c r="R31" s="70">
        <f t="shared" si="9"/>
        <v>104837.19917857143</v>
      </c>
    </row>
    <row r="32" spans="1:18" x14ac:dyDescent="0.25">
      <c r="A32" s="69">
        <v>40238</v>
      </c>
      <c r="B32" s="44">
        <v>40238</v>
      </c>
      <c r="C32" s="58">
        <v>-0.4</v>
      </c>
      <c r="D32" s="59">
        <v>0.78888888888888886</v>
      </c>
      <c r="E32" s="60" t="s">
        <v>22</v>
      </c>
      <c r="F32" s="70" t="s">
        <v>22</v>
      </c>
      <c r="G32" s="68" t="s">
        <v>22</v>
      </c>
      <c r="H32" s="68"/>
      <c r="I32" s="60" t="s">
        <v>22</v>
      </c>
      <c r="J32" s="70" t="s">
        <v>22</v>
      </c>
      <c r="K32" s="68" t="s">
        <v>22</v>
      </c>
      <c r="L32" s="68"/>
      <c r="M32" s="60" t="s">
        <v>22</v>
      </c>
      <c r="N32" s="70" t="s">
        <v>22</v>
      </c>
      <c r="O32" s="68" t="s">
        <v>22</v>
      </c>
      <c r="P32" s="68"/>
      <c r="Q32" s="60">
        <v>0</v>
      </c>
      <c r="R32" s="70">
        <v>0</v>
      </c>
    </row>
    <row r="33" spans="1:18" x14ac:dyDescent="0.25">
      <c r="A33" s="63" t="s">
        <v>71</v>
      </c>
      <c r="B33" s="64"/>
      <c r="C33" s="64"/>
      <c r="D33" s="64"/>
      <c r="E33" s="66">
        <f>SUM(E29:E32)</f>
        <v>9766</v>
      </c>
      <c r="F33" s="67">
        <f>SUM(F29:F32)</f>
        <v>144974</v>
      </c>
      <c r="G33" s="65">
        <f>F33/E33</f>
        <v>14.844767560925661</v>
      </c>
      <c r="H33" s="65">
        <v>122.26</v>
      </c>
      <c r="I33" s="66">
        <f>SUM(I29:I32)</f>
        <v>3953</v>
      </c>
      <c r="J33" s="67">
        <f>SUM(J29:J32)</f>
        <v>58469</v>
      </c>
      <c r="K33" s="65">
        <f>J33/I33</f>
        <v>14.791044776119403</v>
      </c>
      <c r="L33" s="65">
        <v>119.11</v>
      </c>
      <c r="M33" s="66">
        <v>294.42700793650795</v>
      </c>
      <c r="N33" s="67">
        <v>2711.9825912698416</v>
      </c>
      <c r="O33" s="65">
        <v>9.2110523768752568</v>
      </c>
      <c r="P33" s="65">
        <v>104.02</v>
      </c>
      <c r="Q33" s="66">
        <f>SUM(Q29:Q32)</f>
        <v>14013.427007936509</v>
      </c>
      <c r="R33" s="67">
        <f>SUM(R29:R32)</f>
        <v>206154.98259126983</v>
      </c>
    </row>
    <row r="34" spans="1:18" x14ac:dyDescent="0.25">
      <c r="A34" s="69">
        <v>40263</v>
      </c>
      <c r="B34" s="44">
        <v>40263</v>
      </c>
      <c r="C34" s="58">
        <v>0.1</v>
      </c>
      <c r="D34" s="59">
        <v>0.68680555555555556</v>
      </c>
      <c r="E34" s="60" t="s">
        <v>22</v>
      </c>
      <c r="F34" s="70" t="s">
        <v>22</v>
      </c>
      <c r="G34" s="68" t="s">
        <v>22</v>
      </c>
      <c r="H34" s="68"/>
      <c r="I34" s="60" t="s">
        <v>22</v>
      </c>
      <c r="J34" s="70" t="s">
        <v>22</v>
      </c>
      <c r="K34" s="68" t="s">
        <v>22</v>
      </c>
      <c r="L34" s="68"/>
      <c r="M34" s="60">
        <v>238.9362589473684</v>
      </c>
      <c r="N34" s="70">
        <v>2835.6658627067668</v>
      </c>
      <c r="O34" s="68">
        <v>11.86787587283432</v>
      </c>
      <c r="P34" s="68"/>
      <c r="Q34" s="60">
        <f>M34</f>
        <v>238.9362589473684</v>
      </c>
      <c r="R34" s="70">
        <f>N34</f>
        <v>2835.6658627067668</v>
      </c>
    </row>
    <row r="35" spans="1:18" x14ac:dyDescent="0.25">
      <c r="A35" s="69">
        <v>40264</v>
      </c>
      <c r="B35" s="44">
        <v>40264</v>
      </c>
      <c r="C35" s="58">
        <v>-0.1</v>
      </c>
      <c r="D35" s="59">
        <v>0.72152777777777777</v>
      </c>
      <c r="E35" s="60">
        <v>6205</v>
      </c>
      <c r="F35" s="70">
        <v>85952</v>
      </c>
      <c r="G35" s="68">
        <v>13.852054794520548</v>
      </c>
      <c r="H35" s="68"/>
      <c r="I35" s="60">
        <v>4730</v>
      </c>
      <c r="J35" s="70">
        <v>66540</v>
      </c>
      <c r="K35" s="68">
        <v>14.067653276955603</v>
      </c>
      <c r="L35" s="68"/>
      <c r="M35" s="60">
        <v>513.85641441441442</v>
      </c>
      <c r="N35" s="70">
        <v>6094.2410270270266</v>
      </c>
      <c r="O35" s="68">
        <v>11.859813084112149</v>
      </c>
      <c r="P35" s="68"/>
      <c r="Q35" s="60">
        <f>E35+I35+M35</f>
        <v>11448.856414414415</v>
      </c>
      <c r="R35" s="70">
        <f>F35+J35+N35</f>
        <v>158586.24102702702</v>
      </c>
    </row>
    <row r="36" spans="1:18" x14ac:dyDescent="0.25">
      <c r="A36" s="69">
        <v>40265</v>
      </c>
      <c r="B36" s="44">
        <v>40265</v>
      </c>
      <c r="C36" s="58">
        <v>0</v>
      </c>
      <c r="D36" s="59">
        <v>0.75277777777777777</v>
      </c>
      <c r="E36" s="60">
        <v>3097</v>
      </c>
      <c r="F36" s="70">
        <v>13071</v>
      </c>
      <c r="G36" s="68">
        <v>4.2205360025831453</v>
      </c>
      <c r="H36" s="68"/>
      <c r="I36" s="60">
        <v>1516</v>
      </c>
      <c r="J36" s="70">
        <v>11425</v>
      </c>
      <c r="K36" s="68">
        <v>7.5362796833773089</v>
      </c>
      <c r="L36" s="68"/>
      <c r="M36" s="60" t="s">
        <v>22</v>
      </c>
      <c r="N36" s="70" t="s">
        <v>22</v>
      </c>
      <c r="O36" s="68" t="s">
        <v>22</v>
      </c>
      <c r="P36" s="68"/>
      <c r="Q36" s="60">
        <f>E36+I36</f>
        <v>4613</v>
      </c>
      <c r="R36" s="70">
        <f>F36+J36</f>
        <v>24496</v>
      </c>
    </row>
    <row r="37" spans="1:18" x14ac:dyDescent="0.25">
      <c r="A37" s="63" t="s">
        <v>71</v>
      </c>
      <c r="B37" s="64"/>
      <c r="C37" s="64"/>
      <c r="D37" s="64"/>
      <c r="E37" s="66">
        <f>SUM(E35:E36)</f>
        <v>9302</v>
      </c>
      <c r="F37" s="67">
        <f>SUM(F35:F36)</f>
        <v>99023</v>
      </c>
      <c r="G37" s="65">
        <f>F37/E37</f>
        <v>10.645345087078049</v>
      </c>
      <c r="H37" s="65">
        <v>125.7</v>
      </c>
      <c r="I37" s="66">
        <f>SUM(I35:I36)</f>
        <v>6246</v>
      </c>
      <c r="J37" s="67">
        <f>SUM(J35:J36)</f>
        <v>77965</v>
      </c>
      <c r="K37" s="65">
        <f>J37/I37</f>
        <v>12.482388728786423</v>
      </c>
      <c r="L37" s="65">
        <v>127.27</v>
      </c>
      <c r="M37" s="66">
        <f>SUM(M34:M36)</f>
        <v>752.79267336178282</v>
      </c>
      <c r="N37" s="67">
        <f>SUM(N34:N36)</f>
        <v>8929.9068897337929</v>
      </c>
      <c r="O37" s="65">
        <f>N37/M37</f>
        <v>11.86237221180046</v>
      </c>
      <c r="P37" s="65">
        <v>106.98</v>
      </c>
      <c r="Q37" s="66">
        <f>SUM(Q34:Q36)</f>
        <v>16300.792673361782</v>
      </c>
      <c r="R37" s="67">
        <f>SUM(R34:R36)</f>
        <v>185917.9068897338</v>
      </c>
    </row>
    <row r="38" spans="1:18" x14ac:dyDescent="0.25">
      <c r="A38" s="69">
        <v>40285</v>
      </c>
      <c r="B38" s="44">
        <v>40264</v>
      </c>
      <c r="C38" s="58">
        <v>-0.7</v>
      </c>
      <c r="D38" s="59">
        <v>0.3833333333333333</v>
      </c>
      <c r="E38" s="60" t="s">
        <v>22</v>
      </c>
      <c r="F38" s="68" t="s">
        <v>22</v>
      </c>
      <c r="G38" s="68" t="s">
        <v>22</v>
      </c>
      <c r="H38" s="129"/>
      <c r="I38" s="60" t="s">
        <v>22</v>
      </c>
      <c r="J38" s="68" t="s">
        <v>22</v>
      </c>
      <c r="K38" s="68" t="s">
        <v>22</v>
      </c>
      <c r="L38" s="129"/>
      <c r="M38" s="60">
        <v>590</v>
      </c>
      <c r="N38" s="70">
        <v>4604</v>
      </c>
      <c r="O38" s="68">
        <v>7.8</v>
      </c>
      <c r="P38" s="129"/>
      <c r="Q38" s="243">
        <f>M38</f>
        <v>590</v>
      </c>
      <c r="R38" s="128">
        <f>N38</f>
        <v>4604</v>
      </c>
    </row>
    <row r="39" spans="1:18" x14ac:dyDescent="0.25">
      <c r="A39" s="69">
        <v>40286</v>
      </c>
      <c r="B39" s="44">
        <v>40265</v>
      </c>
      <c r="C39" s="58">
        <v>-0.6</v>
      </c>
      <c r="D39" s="59">
        <v>0.4152777777777778</v>
      </c>
      <c r="E39" s="60" t="s">
        <v>22</v>
      </c>
      <c r="F39" s="68" t="s">
        <v>22</v>
      </c>
      <c r="G39" s="68" t="s">
        <v>22</v>
      </c>
      <c r="H39" s="129"/>
      <c r="I39" s="60" t="s">
        <v>22</v>
      </c>
      <c r="J39" s="68" t="s">
        <v>22</v>
      </c>
      <c r="K39" s="68" t="s">
        <v>22</v>
      </c>
      <c r="L39" s="129"/>
      <c r="M39" s="60">
        <v>639</v>
      </c>
      <c r="N39" s="70">
        <v>7993</v>
      </c>
      <c r="O39" s="68">
        <v>12.5</v>
      </c>
      <c r="P39" s="129"/>
      <c r="Q39" s="243">
        <f>M39</f>
        <v>639</v>
      </c>
      <c r="R39" s="128">
        <f>N39</f>
        <v>7993</v>
      </c>
    </row>
    <row r="40" spans="1:18" x14ac:dyDescent="0.25">
      <c r="A40" s="63" t="s">
        <v>71</v>
      </c>
      <c r="B40" s="64"/>
      <c r="C40" s="64"/>
      <c r="D40" s="64"/>
      <c r="E40" s="66">
        <f>SUM(E38:E39)</f>
        <v>0</v>
      </c>
      <c r="F40" s="67">
        <f>SUM(F38:F39)</f>
        <v>0</v>
      </c>
      <c r="G40" s="65" t="e">
        <f>F40/E40</f>
        <v>#DIV/0!</v>
      </c>
      <c r="H40" s="65">
        <v>125.7</v>
      </c>
      <c r="I40" s="66">
        <f>SUM(I38:I39)</f>
        <v>0</v>
      </c>
      <c r="J40" s="67">
        <f>SUM(J38:J39)</f>
        <v>0</v>
      </c>
      <c r="K40" s="65" t="e">
        <f>J40/I40</f>
        <v>#DIV/0!</v>
      </c>
      <c r="L40" s="65">
        <v>127.27</v>
      </c>
      <c r="M40" s="66">
        <f>SUM(M38:M39)</f>
        <v>1229</v>
      </c>
      <c r="N40" s="67">
        <f>SUM(N38:N39)</f>
        <v>12597</v>
      </c>
      <c r="O40" s="65">
        <f>N40/M40</f>
        <v>10.24979658258747</v>
      </c>
      <c r="P40" s="65">
        <v>106.7</v>
      </c>
      <c r="Q40" s="66">
        <f>SUM(Q37:Q39)</f>
        <v>17529.792673361782</v>
      </c>
      <c r="R40" s="67">
        <f>SUM(R37:R39)</f>
        <v>198514.9068897338</v>
      </c>
    </row>
    <row r="41" spans="1:18" x14ac:dyDescent="0.25">
      <c r="A41" s="69">
        <v>40298</v>
      </c>
      <c r="B41" s="44">
        <v>40298</v>
      </c>
      <c r="C41" s="58">
        <v>-1.5</v>
      </c>
      <c r="D41" s="59">
        <v>0.35625000000000001</v>
      </c>
      <c r="E41" s="60">
        <v>1947</v>
      </c>
      <c r="F41" s="70">
        <v>28915</v>
      </c>
      <c r="G41" s="68">
        <v>14.85105290190036</v>
      </c>
      <c r="H41" s="68"/>
      <c r="I41" s="60">
        <v>1351</v>
      </c>
      <c r="J41" s="70">
        <v>20147</v>
      </c>
      <c r="K41" s="68">
        <v>14.912657290895632</v>
      </c>
      <c r="L41" s="68"/>
      <c r="M41" s="60" t="s">
        <v>22</v>
      </c>
      <c r="N41" s="70" t="s">
        <v>22</v>
      </c>
      <c r="O41" s="68" t="s">
        <v>22</v>
      </c>
      <c r="P41" s="68"/>
      <c r="Q41" s="60">
        <f>E41+I41</f>
        <v>3298</v>
      </c>
      <c r="R41" s="70">
        <f>F41+J41</f>
        <v>49062</v>
      </c>
    </row>
    <row r="42" spans="1:18" x14ac:dyDescent="0.25">
      <c r="A42" s="69">
        <v>40299</v>
      </c>
      <c r="B42" s="44">
        <v>40299</v>
      </c>
      <c r="C42" s="58">
        <v>-1.1000000000000001</v>
      </c>
      <c r="D42" s="59">
        <v>0.38541666666666669</v>
      </c>
      <c r="E42" s="60">
        <v>5098</v>
      </c>
      <c r="F42" s="70">
        <v>76770</v>
      </c>
      <c r="G42" s="68">
        <v>15.058846606512358</v>
      </c>
      <c r="H42" s="68"/>
      <c r="I42" s="60">
        <v>2349</v>
      </c>
      <c r="J42" s="70">
        <v>35235</v>
      </c>
      <c r="K42" s="68">
        <v>15</v>
      </c>
      <c r="L42" s="68"/>
      <c r="M42" s="60">
        <v>232.07943103448275</v>
      </c>
      <c r="N42" s="70">
        <v>3106.6071206896549</v>
      </c>
      <c r="O42" s="68">
        <v>13.3859649122807</v>
      </c>
      <c r="P42" s="68"/>
      <c r="Q42" s="60">
        <f t="shared" ref="Q42:Q43" si="10">E42+I42+M42</f>
        <v>7679.0794310344827</v>
      </c>
      <c r="R42" s="70">
        <f t="shared" ref="R42:R43" si="11">F42+J42+N42</f>
        <v>115111.60712068966</v>
      </c>
    </row>
    <row r="43" spans="1:18" x14ac:dyDescent="0.25">
      <c r="A43" s="69">
        <v>40300</v>
      </c>
      <c r="B43" s="44">
        <v>40300</v>
      </c>
      <c r="C43" s="58">
        <v>-0.7</v>
      </c>
      <c r="D43" s="59">
        <v>0.4152777777777778</v>
      </c>
      <c r="E43" s="60">
        <v>5149</v>
      </c>
      <c r="F43" s="70">
        <v>77235</v>
      </c>
      <c r="G43" s="68">
        <v>15</v>
      </c>
      <c r="H43" s="68"/>
      <c r="I43" s="60">
        <v>1990</v>
      </c>
      <c r="J43" s="70">
        <v>29741</v>
      </c>
      <c r="K43" s="68">
        <v>14.945226130653266</v>
      </c>
      <c r="L43" s="68"/>
      <c r="M43" s="60">
        <v>173.72027586206897</v>
      </c>
      <c r="N43" s="70">
        <v>2325.4135172413794</v>
      </c>
      <c r="O43" s="68">
        <v>13.385964912280702</v>
      </c>
      <c r="P43" s="68"/>
      <c r="Q43" s="60">
        <f t="shared" si="10"/>
        <v>7312.7202758620688</v>
      </c>
      <c r="R43" s="70">
        <f t="shared" si="11"/>
        <v>109301.41351724138</v>
      </c>
    </row>
    <row r="44" spans="1:18" x14ac:dyDescent="0.25">
      <c r="A44" s="63" t="s">
        <v>71</v>
      </c>
      <c r="B44" s="64"/>
      <c r="C44" s="64"/>
      <c r="D44" s="64"/>
      <c r="E44" s="66">
        <f>SUM(E41:E43)</f>
        <v>12194</v>
      </c>
      <c r="F44" s="67">
        <f>SUM(F41:F43)</f>
        <v>182920</v>
      </c>
      <c r="G44" s="65">
        <f>F44/E44</f>
        <v>15.00082007544694</v>
      </c>
      <c r="H44" s="65">
        <v>126.51</v>
      </c>
      <c r="I44" s="66">
        <f>SUM(I41:I43)</f>
        <v>5690</v>
      </c>
      <c r="J44" s="67">
        <f>SUM(J41:J43)</f>
        <v>85123</v>
      </c>
      <c r="K44" s="65">
        <f>J44/I44</f>
        <v>14.960105448154657</v>
      </c>
      <c r="L44" s="65">
        <v>130.05000000000001</v>
      </c>
      <c r="M44" s="66">
        <v>405.7997068965517</v>
      </c>
      <c r="N44" s="67">
        <v>5432.0206379310348</v>
      </c>
      <c r="O44" s="65">
        <v>13.385964912280704</v>
      </c>
      <c r="P44" s="65">
        <v>104.94</v>
      </c>
      <c r="Q44" s="66">
        <f>SUM(Q41:Q43)</f>
        <v>18289.799706896552</v>
      </c>
      <c r="R44" s="67">
        <f>SUM(R41:R43)</f>
        <v>273475.02063793101</v>
      </c>
    </row>
    <row r="45" spans="1:18" x14ac:dyDescent="0.25">
      <c r="A45" s="69">
        <v>40313</v>
      </c>
      <c r="B45" s="44">
        <v>40313</v>
      </c>
      <c r="C45" s="58">
        <v>-1.6</v>
      </c>
      <c r="D45" s="59">
        <v>0.34375</v>
      </c>
      <c r="E45" s="60">
        <v>3748</v>
      </c>
      <c r="F45" s="70">
        <v>55147</v>
      </c>
      <c r="G45" s="68">
        <v>14.713713980789754</v>
      </c>
      <c r="H45" s="68"/>
      <c r="I45" s="60">
        <v>2186</v>
      </c>
      <c r="J45" s="70">
        <v>32790</v>
      </c>
      <c r="K45" s="68">
        <v>15</v>
      </c>
      <c r="L45" s="68"/>
      <c r="M45" s="60" t="str">
        <f>Effort!J40</f>
        <v>CLOSED</v>
      </c>
      <c r="N45" s="70" t="str">
        <f>Harvest!J40</f>
        <v>CLOSED</v>
      </c>
      <c r="O45" s="68" t="str">
        <f>CPUE!J40</f>
        <v>CLOSED</v>
      </c>
      <c r="P45" s="68"/>
      <c r="Q45" s="60">
        <f>E45+I45</f>
        <v>5934</v>
      </c>
      <c r="R45" s="70">
        <f>F45+J45</f>
        <v>87937</v>
      </c>
    </row>
    <row r="46" spans="1:18" x14ac:dyDescent="0.25">
      <c r="A46" s="69">
        <v>40314</v>
      </c>
      <c r="B46" s="44">
        <v>40314</v>
      </c>
      <c r="C46" s="176">
        <v>-1.6</v>
      </c>
      <c r="D46" s="59">
        <v>0.37361111111111112</v>
      </c>
      <c r="E46" s="60" t="s">
        <v>22</v>
      </c>
      <c r="F46" s="70" t="s">
        <v>22</v>
      </c>
      <c r="G46" s="68" t="s">
        <v>22</v>
      </c>
      <c r="H46" s="68"/>
      <c r="I46" s="60" t="s">
        <v>22</v>
      </c>
      <c r="J46" s="70" t="s">
        <v>22</v>
      </c>
      <c r="K46" s="68" t="s">
        <v>22</v>
      </c>
      <c r="L46" s="68"/>
      <c r="M46" s="60" t="str">
        <f>Effort!J41</f>
        <v>CLOSED</v>
      </c>
      <c r="N46" s="70" t="str">
        <f>Harvest!J41</f>
        <v>CLOSED</v>
      </c>
      <c r="O46" s="68" t="str">
        <f>CPUE!J41</f>
        <v>CLOSED</v>
      </c>
      <c r="P46" s="68"/>
      <c r="Q46" s="60"/>
      <c r="R46" s="70"/>
    </row>
    <row r="47" spans="1:18" ht="15.75" thickBot="1" x14ac:dyDescent="0.3">
      <c r="A47" s="63" t="s">
        <v>71</v>
      </c>
      <c r="B47" s="64"/>
      <c r="C47" s="64"/>
      <c r="D47" s="64"/>
      <c r="E47" s="66">
        <v>3748</v>
      </c>
      <c r="F47" s="67">
        <v>55147</v>
      </c>
      <c r="G47" s="65">
        <v>14.713713980789754</v>
      </c>
      <c r="H47" s="65">
        <v>129.11000000000001</v>
      </c>
      <c r="I47" s="66">
        <v>2186</v>
      </c>
      <c r="J47" s="67">
        <v>32790</v>
      </c>
      <c r="K47" s="65">
        <v>15</v>
      </c>
      <c r="L47" s="65">
        <v>135.1</v>
      </c>
      <c r="M47" s="66"/>
      <c r="N47" s="67"/>
      <c r="O47" s="65"/>
      <c r="P47" s="65"/>
      <c r="Q47" s="66">
        <f>SUM(Q45:Q46)</f>
        <v>5934</v>
      </c>
      <c r="R47" s="67">
        <f>SUM(R45:R46)</f>
        <v>87937</v>
      </c>
    </row>
    <row r="48" spans="1:18" ht="15.75" thickTop="1" x14ac:dyDescent="0.25">
      <c r="A48" s="255" t="s">
        <v>72</v>
      </c>
      <c r="B48" s="255"/>
      <c r="C48" s="255"/>
      <c r="D48" s="255"/>
      <c r="E48" s="72">
        <f>E8+E13+E18+E23+E28+E33+E37+E44+E47</f>
        <v>79317</v>
      </c>
      <c r="F48" s="72">
        <f>F8+F13+F18+F23+F28+F33+F37+F44+F47</f>
        <v>1043419.84</v>
      </c>
      <c r="G48" s="73">
        <f>F48/E48</f>
        <v>13.155059318935411</v>
      </c>
      <c r="H48" s="73"/>
      <c r="I48" s="72">
        <f>I8+I13+I18+I23+I28+I33+I37+I44+I47</f>
        <v>37870.458393706955</v>
      </c>
      <c r="J48" s="72">
        <f>J8+J13+J18+J23+J28+J33+J37+J44+J47</f>
        <v>497141.46715650673</v>
      </c>
      <c r="K48" s="73">
        <f>J48/I48</f>
        <v>13.12742143198135</v>
      </c>
      <c r="L48" s="73"/>
      <c r="M48" s="72">
        <f>M8+M13+M18+M23+M28+M33+M37+M40+M44</f>
        <v>4547.8214222472325</v>
      </c>
      <c r="N48" s="72">
        <f>N8+N13+N18+N23+N28+N33+N37+N40+N44</f>
        <v>46373.366640416578</v>
      </c>
      <c r="O48" s="73">
        <f>N48/M48</f>
        <v>10.196831039487458</v>
      </c>
      <c r="P48" s="73"/>
      <c r="Q48" s="72">
        <f>Q8+Q13+Q18+Q23+Q28+Q33+Q37+Q44+Q47</f>
        <v>120003.75266368438</v>
      </c>
      <c r="R48" s="72">
        <f>R8+R13+R18+R23+R28+R33+R37+R44+R47</f>
        <v>1573103.5104171894</v>
      </c>
    </row>
    <row r="49" spans="1:18" x14ac:dyDescent="0.25">
      <c r="A49" s="253" t="s">
        <v>100</v>
      </c>
      <c r="B49" s="253"/>
      <c r="C49" s="253"/>
      <c r="D49" s="253"/>
      <c r="E49" s="128"/>
      <c r="F49" s="128">
        <v>7700</v>
      </c>
      <c r="G49" s="129"/>
      <c r="H49" s="129"/>
      <c r="I49" s="128"/>
      <c r="J49" s="128">
        <v>8500</v>
      </c>
      <c r="K49" s="129"/>
      <c r="L49" s="129"/>
      <c r="M49" s="128"/>
      <c r="N49" s="128"/>
      <c r="O49" s="129"/>
      <c r="P49" s="129"/>
      <c r="Q49" s="128"/>
      <c r="R49" s="128">
        <f>F49+J49+N49</f>
        <v>16200</v>
      </c>
    </row>
    <row r="50" spans="1:18" x14ac:dyDescent="0.25">
      <c r="A50" s="253" t="s">
        <v>102</v>
      </c>
      <c r="B50" s="253"/>
      <c r="C50" s="253"/>
      <c r="D50" s="253"/>
      <c r="E50" s="128"/>
      <c r="F50" s="128">
        <f>F48+F49</f>
        <v>1051119.8399999999</v>
      </c>
      <c r="G50" s="129"/>
      <c r="H50" s="129"/>
      <c r="I50" s="128"/>
      <c r="J50" s="128">
        <f>J48+J49</f>
        <v>505641.46715650673</v>
      </c>
      <c r="K50" s="129"/>
      <c r="L50" s="129"/>
      <c r="M50" s="128"/>
      <c r="N50" s="128">
        <f>N48+N49</f>
        <v>46373.366640416578</v>
      </c>
      <c r="O50" s="129"/>
      <c r="P50" s="129"/>
      <c r="Q50" s="128"/>
      <c r="R50" s="128">
        <f>F50+J50+N50</f>
        <v>1603134.6737969231</v>
      </c>
    </row>
    <row r="51" spans="1:18" x14ac:dyDescent="0.25">
      <c r="A51" s="254" t="s">
        <v>54</v>
      </c>
      <c r="B51" s="254"/>
      <c r="C51" s="254"/>
      <c r="D51" s="254"/>
      <c r="E51" s="76"/>
      <c r="F51" s="74">
        <f>Harvest!J64</f>
        <v>1.328039666378275</v>
      </c>
      <c r="G51" s="76"/>
      <c r="H51" s="76"/>
      <c r="I51" s="76"/>
      <c r="J51" s="74">
        <f>Harvest!L64</f>
        <v>0.95908420309643938</v>
      </c>
      <c r="K51" s="76"/>
      <c r="L51" s="76"/>
      <c r="M51" s="76"/>
      <c r="N51" s="74">
        <f>Harvest!N64</f>
        <v>0.10337334206718829</v>
      </c>
      <c r="O51" s="76"/>
      <c r="P51" s="76"/>
      <c r="Q51" s="76"/>
      <c r="R51" s="76"/>
    </row>
    <row r="52" spans="1:18" x14ac:dyDescent="0.25">
      <c r="A52" s="254" t="s">
        <v>101</v>
      </c>
      <c r="B52" s="254"/>
      <c r="C52" s="254"/>
      <c r="D52" s="254"/>
      <c r="F52" s="128">
        <f>Harvest!J65</f>
        <v>-335119.06808409933</v>
      </c>
      <c r="J52" s="128">
        <f>Harvest!L65</f>
        <v>25761.861556624644</v>
      </c>
      <c r="N52" s="128">
        <f>Harvest!N65</f>
        <v>402223.6895584414</v>
      </c>
    </row>
  </sheetData>
  <mergeCells count="9">
    <mergeCell ref="A49:D49"/>
    <mergeCell ref="A51:D51"/>
    <mergeCell ref="A52:D52"/>
    <mergeCell ref="A50:D50"/>
    <mergeCell ref="Q2:R2"/>
    <mergeCell ref="E2:H2"/>
    <mergeCell ref="I2:L2"/>
    <mergeCell ref="M2:P2"/>
    <mergeCell ref="A48:D48"/>
  </mergeCells>
  <pageMargins left="0.7" right="0.7" top="0.75" bottom="0.75" header="0.3" footer="0.3"/>
  <pageSetup scale="6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29"/>
  <sheetViews>
    <sheetView workbookViewId="0">
      <selection activeCell="E23" sqref="E23"/>
    </sheetView>
  </sheetViews>
  <sheetFormatPr defaultRowHeight="15" x14ac:dyDescent="0.25"/>
  <cols>
    <col min="1" max="1" width="18.140625" bestFit="1" customWidth="1"/>
    <col min="2" max="2" width="12.5703125" bestFit="1" customWidth="1"/>
    <col min="3" max="3" width="10.140625" bestFit="1" customWidth="1"/>
    <col min="4" max="4" width="13.5703125" bestFit="1" customWidth="1"/>
    <col min="9" max="9" width="12.5703125" bestFit="1" customWidth="1"/>
    <col min="10" max="10" width="13.5703125" bestFit="1" customWidth="1"/>
    <col min="11" max="11" width="13.85546875" bestFit="1" customWidth="1"/>
    <col min="12" max="12" width="13.7109375" bestFit="1" customWidth="1"/>
    <col min="13" max="13" width="12.85546875" bestFit="1" customWidth="1"/>
    <col min="14" max="14" width="7.5703125" bestFit="1" customWidth="1"/>
  </cols>
  <sheetData>
    <row r="2" spans="1:15" x14ac:dyDescent="0.25">
      <c r="B2" t="s">
        <v>79</v>
      </c>
      <c r="C2" t="s">
        <v>78</v>
      </c>
      <c r="D2" t="s">
        <v>80</v>
      </c>
      <c r="H2" s="164" t="s">
        <v>88</v>
      </c>
      <c r="I2" s="164" t="s">
        <v>10</v>
      </c>
      <c r="J2" s="164" t="s">
        <v>89</v>
      </c>
      <c r="K2" s="164" t="s">
        <v>90</v>
      </c>
      <c r="L2" s="165" t="s">
        <v>91</v>
      </c>
      <c r="M2" s="166" t="s">
        <v>92</v>
      </c>
      <c r="N2" s="167">
        <f>+(L5+L10)/(J5+J10)</f>
        <v>3.4000000000000002E-2</v>
      </c>
    </row>
    <row r="3" spans="1:15" x14ac:dyDescent="0.25">
      <c r="A3" s="92">
        <v>40131</v>
      </c>
      <c r="B3" s="123">
        <v>24308</v>
      </c>
      <c r="C3" s="122">
        <v>0.04</v>
      </c>
      <c r="D3">
        <f>B3*C3</f>
        <v>972.32</v>
      </c>
      <c r="H3" s="168">
        <v>252</v>
      </c>
      <c r="I3" s="169" t="s">
        <v>30</v>
      </c>
      <c r="J3" s="168">
        <v>100</v>
      </c>
      <c r="K3" s="168">
        <v>2</v>
      </c>
      <c r="L3" s="168">
        <v>2</v>
      </c>
      <c r="M3" s="170"/>
      <c r="N3" s="171">
        <f>+L5/J5</f>
        <v>0.02</v>
      </c>
    </row>
    <row r="4" spans="1:15" x14ac:dyDescent="0.25">
      <c r="A4" s="92">
        <v>40132</v>
      </c>
      <c r="B4" s="123">
        <v>6430</v>
      </c>
      <c r="C4" s="122">
        <v>0</v>
      </c>
      <c r="D4">
        <f t="shared" ref="D4:D6" si="0">B4*C4</f>
        <v>0</v>
      </c>
      <c r="H4" s="168">
        <v>252</v>
      </c>
      <c r="I4" s="169" t="s">
        <v>31</v>
      </c>
      <c r="J4" s="168">
        <v>100</v>
      </c>
      <c r="K4" s="168">
        <v>3</v>
      </c>
      <c r="L4" s="168">
        <v>2</v>
      </c>
      <c r="M4" s="170"/>
      <c r="N4" s="170"/>
    </row>
    <row r="5" spans="1:15" x14ac:dyDescent="0.25">
      <c r="A5" s="92">
        <v>40133</v>
      </c>
      <c r="B5" s="123">
        <v>650.90337814202189</v>
      </c>
      <c r="C5" s="122">
        <v>0</v>
      </c>
      <c r="D5">
        <f t="shared" si="0"/>
        <v>0</v>
      </c>
      <c r="H5" s="170"/>
      <c r="I5" s="170"/>
      <c r="J5" s="170">
        <f>SUM(J3:J4)</f>
        <v>200</v>
      </c>
      <c r="K5" s="170">
        <f>SUM(K3:K4)</f>
        <v>5</v>
      </c>
      <c r="L5" s="170">
        <f>SUM(L3:L4)</f>
        <v>4</v>
      </c>
      <c r="M5" s="170"/>
      <c r="N5" s="170"/>
    </row>
    <row r="6" spans="1:15" x14ac:dyDescent="0.25">
      <c r="A6" s="92">
        <v>40134</v>
      </c>
      <c r="B6" s="123">
        <v>2901</v>
      </c>
      <c r="C6" s="122">
        <v>0</v>
      </c>
      <c r="D6">
        <f t="shared" si="0"/>
        <v>0</v>
      </c>
    </row>
    <row r="7" spans="1:15" x14ac:dyDescent="0.25">
      <c r="D7" s="124">
        <f>SUM(D3:D6)</f>
        <v>972.32</v>
      </c>
      <c r="H7" s="172">
        <v>254</v>
      </c>
      <c r="I7" s="173" t="s">
        <v>30</v>
      </c>
      <c r="J7" s="172">
        <v>100</v>
      </c>
      <c r="K7" s="172">
        <v>6</v>
      </c>
      <c r="L7" s="172">
        <v>5</v>
      </c>
      <c r="M7" s="174"/>
      <c r="N7" s="175">
        <f>+L10/J10</f>
        <v>4.3333333333333335E-2</v>
      </c>
    </row>
    <row r="8" spans="1:15" x14ac:dyDescent="0.25">
      <c r="H8" s="172">
        <v>254</v>
      </c>
      <c r="I8" s="173" t="s">
        <v>31</v>
      </c>
      <c r="J8" s="172">
        <v>100</v>
      </c>
      <c r="K8" s="172">
        <v>5</v>
      </c>
      <c r="L8" s="172">
        <v>5</v>
      </c>
      <c r="M8" s="174"/>
      <c r="N8" s="174"/>
    </row>
    <row r="9" spans="1:15" x14ac:dyDescent="0.25">
      <c r="A9" s="92">
        <v>40284</v>
      </c>
      <c r="B9" s="123">
        <v>26202</v>
      </c>
      <c r="C9" s="122">
        <v>0.02</v>
      </c>
      <c r="D9" s="161">
        <f t="shared" ref="D9:D11" si="1">B9*C9</f>
        <v>524.04</v>
      </c>
      <c r="H9" s="172">
        <v>254</v>
      </c>
      <c r="I9" s="173" t="s">
        <v>32</v>
      </c>
      <c r="J9" s="172">
        <v>100</v>
      </c>
      <c r="K9" s="172">
        <v>3</v>
      </c>
      <c r="L9" s="172">
        <v>3</v>
      </c>
      <c r="M9" s="174"/>
      <c r="N9" s="174"/>
    </row>
    <row r="10" spans="1:15" x14ac:dyDescent="0.25">
      <c r="A10" s="92">
        <v>40285</v>
      </c>
      <c r="B10" s="123">
        <v>75878</v>
      </c>
      <c r="C10" s="122">
        <v>3.4000000000000002E-2</v>
      </c>
      <c r="D10" s="161">
        <f t="shared" si="1"/>
        <v>2579.8520000000003</v>
      </c>
      <c r="H10" s="174"/>
      <c r="I10" s="174"/>
      <c r="J10" s="174">
        <f>SUM(J7:J9)</f>
        <v>300</v>
      </c>
      <c r="K10" s="174">
        <f>SUM(K7:K9)</f>
        <v>14</v>
      </c>
      <c r="L10" s="174">
        <f>SUM(L7:L9)</f>
        <v>13</v>
      </c>
      <c r="M10" s="174"/>
      <c r="N10" s="174"/>
    </row>
    <row r="11" spans="1:15" x14ac:dyDescent="0.25">
      <c r="A11" s="92">
        <v>40286</v>
      </c>
      <c r="B11" s="123">
        <v>79617</v>
      </c>
      <c r="C11" s="122">
        <v>4.3333333333333335E-2</v>
      </c>
      <c r="D11" s="161">
        <f t="shared" si="1"/>
        <v>3450.07</v>
      </c>
    </row>
    <row r="12" spans="1:15" x14ac:dyDescent="0.25">
      <c r="D12" s="162">
        <f>SUM(D9:D11)</f>
        <v>6553.9620000000004</v>
      </c>
    </row>
    <row r="13" spans="1:15" x14ac:dyDescent="0.25">
      <c r="H13" s="197" t="s">
        <v>88</v>
      </c>
      <c r="I13" s="197" t="s">
        <v>9</v>
      </c>
      <c r="J13" s="197" t="s">
        <v>8</v>
      </c>
      <c r="K13" s="197" t="s">
        <v>10</v>
      </c>
      <c r="L13" s="197" t="s">
        <v>93</v>
      </c>
      <c r="M13" s="197" t="s">
        <v>94</v>
      </c>
      <c r="N13" s="197" t="s">
        <v>95</v>
      </c>
    </row>
    <row r="14" spans="1:15" x14ac:dyDescent="0.25">
      <c r="A14" s="92">
        <v>40295</v>
      </c>
      <c r="B14" s="13">
        <v>10068</v>
      </c>
      <c r="C14" s="201">
        <v>4.2000000000000003E-2</v>
      </c>
      <c r="D14" s="161">
        <f t="shared" ref="D14:D19" si="2">B14*C14</f>
        <v>422.85600000000005</v>
      </c>
      <c r="H14" s="203">
        <v>263</v>
      </c>
      <c r="I14" s="204" t="s">
        <v>1</v>
      </c>
      <c r="J14" s="205">
        <v>40296</v>
      </c>
      <c r="K14" s="204" t="s">
        <v>30</v>
      </c>
      <c r="L14" s="203">
        <v>100</v>
      </c>
      <c r="M14" s="203">
        <v>3</v>
      </c>
      <c r="N14" s="203">
        <v>3</v>
      </c>
      <c r="O14" s="206">
        <f>N14/L14</f>
        <v>0.03</v>
      </c>
    </row>
    <row r="15" spans="1:15" x14ac:dyDescent="0.25">
      <c r="A15" s="92">
        <v>40296</v>
      </c>
      <c r="B15" s="13">
        <v>17070</v>
      </c>
      <c r="C15" s="125">
        <v>0.03</v>
      </c>
      <c r="D15" s="161">
        <f t="shared" si="2"/>
        <v>512.1</v>
      </c>
      <c r="H15" s="198"/>
      <c r="I15" s="199"/>
      <c r="J15" s="200"/>
      <c r="K15" s="199"/>
      <c r="L15" s="198"/>
      <c r="M15" s="198"/>
      <c r="N15" s="198"/>
      <c r="O15" s="1"/>
    </row>
    <row r="16" spans="1:15" x14ac:dyDescent="0.25">
      <c r="A16" s="92">
        <v>40297</v>
      </c>
      <c r="B16" s="13">
        <v>13080</v>
      </c>
      <c r="C16" s="125">
        <v>4.4999999999999998E-2</v>
      </c>
      <c r="D16" s="161">
        <f t="shared" si="2"/>
        <v>588.6</v>
      </c>
      <c r="H16" s="207">
        <v>264</v>
      </c>
      <c r="I16" s="208" t="s">
        <v>1</v>
      </c>
      <c r="J16" s="209">
        <v>40297</v>
      </c>
      <c r="K16" s="208" t="s">
        <v>30</v>
      </c>
      <c r="L16" s="207">
        <v>100</v>
      </c>
      <c r="M16" s="207">
        <v>10</v>
      </c>
      <c r="N16" s="207">
        <v>8</v>
      </c>
      <c r="O16" s="210"/>
    </row>
    <row r="17" spans="1:15" x14ac:dyDescent="0.25">
      <c r="A17" s="92">
        <v>40298</v>
      </c>
      <c r="B17" s="13">
        <v>14925</v>
      </c>
      <c r="C17" s="201">
        <v>4.2000000000000003E-2</v>
      </c>
      <c r="D17" s="161">
        <f t="shared" si="2"/>
        <v>626.85</v>
      </c>
      <c r="H17" s="207">
        <v>264</v>
      </c>
      <c r="I17" s="208" t="s">
        <v>1</v>
      </c>
      <c r="J17" s="209">
        <v>40297</v>
      </c>
      <c r="K17" s="208" t="s">
        <v>31</v>
      </c>
      <c r="L17" s="207">
        <v>100</v>
      </c>
      <c r="M17" s="207">
        <v>1</v>
      </c>
      <c r="N17" s="207">
        <v>1</v>
      </c>
      <c r="O17" s="210"/>
    </row>
    <row r="18" spans="1:15" x14ac:dyDescent="0.25">
      <c r="A18" s="92">
        <v>40299</v>
      </c>
      <c r="B18" s="13">
        <v>34517</v>
      </c>
      <c r="C18" s="125">
        <v>4.4999999999999998E-2</v>
      </c>
      <c r="D18" s="161">
        <f t="shared" si="2"/>
        <v>1553.2649999999999</v>
      </c>
      <c r="H18" s="207"/>
      <c r="I18" s="208"/>
      <c r="J18" s="209"/>
      <c r="K18" s="208"/>
      <c r="L18" s="207">
        <f>SUM(L16:L17)</f>
        <v>200</v>
      </c>
      <c r="M18" s="207">
        <f>SUM(M16:M17)</f>
        <v>11</v>
      </c>
      <c r="N18" s="207">
        <f>SUM(N16:N17)</f>
        <v>9</v>
      </c>
      <c r="O18" s="211">
        <f>N18/L18</f>
        <v>4.4999999999999998E-2</v>
      </c>
    </row>
    <row r="19" spans="1:15" x14ac:dyDescent="0.25">
      <c r="A19" s="92">
        <v>40300</v>
      </c>
      <c r="B19" s="13">
        <v>35344.282923351158</v>
      </c>
      <c r="C19" s="201">
        <v>4.2000000000000003E-2</v>
      </c>
      <c r="D19" s="161">
        <f t="shared" si="2"/>
        <v>1484.4598827807488</v>
      </c>
      <c r="H19" s="198"/>
      <c r="I19" s="199"/>
      <c r="J19" s="200"/>
      <c r="K19" s="199"/>
      <c r="L19" s="198"/>
      <c r="M19" s="198"/>
      <c r="N19" s="198"/>
      <c r="O19" s="1"/>
    </row>
    <row r="20" spans="1:15" x14ac:dyDescent="0.25">
      <c r="D20" s="162">
        <f>SUM(D14:D19)</f>
        <v>5188.1308827807488</v>
      </c>
      <c r="H20" s="212">
        <v>268</v>
      </c>
      <c r="I20" s="213" t="s">
        <v>1</v>
      </c>
      <c r="J20" s="214">
        <v>40299</v>
      </c>
      <c r="K20" s="213" t="s">
        <v>30</v>
      </c>
      <c r="L20" s="212">
        <v>100</v>
      </c>
      <c r="M20" s="212">
        <v>6</v>
      </c>
      <c r="N20" s="212">
        <v>6</v>
      </c>
      <c r="O20" s="215"/>
    </row>
    <row r="21" spans="1:15" x14ac:dyDescent="0.25">
      <c r="H21" s="212">
        <v>268</v>
      </c>
      <c r="I21" s="213" t="s">
        <v>1</v>
      </c>
      <c r="J21" s="214">
        <v>40299</v>
      </c>
      <c r="K21" s="213" t="s">
        <v>31</v>
      </c>
      <c r="L21" s="212">
        <v>100</v>
      </c>
      <c r="M21" s="212">
        <v>4</v>
      </c>
      <c r="N21" s="212">
        <v>3</v>
      </c>
      <c r="O21" s="215"/>
    </row>
    <row r="22" spans="1:15" x14ac:dyDescent="0.25">
      <c r="A22" s="256" t="s">
        <v>99</v>
      </c>
      <c r="B22" s="256"/>
      <c r="C22" s="256"/>
      <c r="D22" s="218">
        <f>D7+D12+D20+D28</f>
        <v>14161.228424313726</v>
      </c>
      <c r="H22" s="216"/>
      <c r="I22" s="216"/>
      <c r="J22" s="216"/>
      <c r="K22" s="216"/>
      <c r="L22" s="216">
        <f>SUM(L20:L21)</f>
        <v>200</v>
      </c>
      <c r="M22" s="216">
        <f>SUM(M20:M21)</f>
        <v>10</v>
      </c>
      <c r="N22" s="216">
        <f>SUM(N20:N21)</f>
        <v>9</v>
      </c>
      <c r="O22" s="217">
        <f>N22/L22</f>
        <v>4.4999999999999998E-2</v>
      </c>
    </row>
    <row r="23" spans="1:15" x14ac:dyDescent="0.25">
      <c r="D23" s="37">
        <f>SUM(B3,B9:B11,B14:B19,C26:C27)</f>
        <v>331009.3229233512</v>
      </c>
      <c r="E23" s="178">
        <f>D22/D23</f>
        <v>4.2781962451229547E-2</v>
      </c>
    </row>
    <row r="24" spans="1:15" x14ac:dyDescent="0.25">
      <c r="J24" s="160" t="s">
        <v>98</v>
      </c>
      <c r="K24" s="160"/>
      <c r="L24" s="160">
        <f>L22+L18+L14</f>
        <v>500</v>
      </c>
      <c r="M24" s="160">
        <f t="shared" ref="M24:N24" si="3">M22+M18+M14</f>
        <v>24</v>
      </c>
      <c r="N24" s="160">
        <f t="shared" si="3"/>
        <v>21</v>
      </c>
      <c r="O24" s="202">
        <f>N24/L24</f>
        <v>4.2000000000000003E-2</v>
      </c>
    </row>
    <row r="26" spans="1:15" x14ac:dyDescent="0.25">
      <c r="A26" s="92">
        <v>40313</v>
      </c>
      <c r="B26" s="13">
        <v>30040.777076648843</v>
      </c>
      <c r="C26" s="234">
        <v>0.02</v>
      </c>
      <c r="D26" s="161">
        <f t="shared" ref="D26:D27" si="4">B26*C26</f>
        <v>600.81554153297691</v>
      </c>
    </row>
    <row r="27" spans="1:15" x14ac:dyDescent="0.25">
      <c r="A27" s="92">
        <v>40314</v>
      </c>
      <c r="B27" s="13">
        <v>42300</v>
      </c>
      <c r="C27" s="234">
        <v>0.02</v>
      </c>
      <c r="D27" s="161">
        <f t="shared" si="4"/>
        <v>846</v>
      </c>
      <c r="H27" s="197" t="s">
        <v>88</v>
      </c>
      <c r="I27" s="197" t="s">
        <v>9</v>
      </c>
      <c r="J27" s="197" t="s">
        <v>8</v>
      </c>
      <c r="K27" s="197" t="s">
        <v>10</v>
      </c>
      <c r="L27" s="197" t="s">
        <v>93</v>
      </c>
      <c r="M27" s="197" t="s">
        <v>94</v>
      </c>
      <c r="N27" s="197" t="s">
        <v>95</v>
      </c>
    </row>
    <row r="28" spans="1:15" x14ac:dyDescent="0.25">
      <c r="A28" s="92"/>
      <c r="D28" s="235">
        <f>SUM(D26:D27)</f>
        <v>1446.815541532977</v>
      </c>
      <c r="H28" s="231">
        <v>276</v>
      </c>
      <c r="I28" s="232" t="s">
        <v>1</v>
      </c>
      <c r="J28" s="233">
        <v>40314</v>
      </c>
      <c r="K28" s="232" t="s">
        <v>30</v>
      </c>
      <c r="L28" s="231">
        <v>100</v>
      </c>
      <c r="M28" s="231">
        <v>2</v>
      </c>
      <c r="N28" s="231">
        <v>2</v>
      </c>
      <c r="O28" s="234">
        <f>N28/L28</f>
        <v>0.02</v>
      </c>
    </row>
    <row r="29" spans="1:15" x14ac:dyDescent="0.25">
      <c r="A29" s="92"/>
    </row>
  </sheetData>
  <mergeCells count="1">
    <mergeCell ref="A22:C2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selection activeCell="C17" sqref="C17"/>
    </sheetView>
  </sheetViews>
  <sheetFormatPr defaultRowHeight="15" x14ac:dyDescent="0.25"/>
  <cols>
    <col min="1" max="1" width="12.7109375" bestFit="1" customWidth="1"/>
    <col min="2" max="2" width="12.5703125" bestFit="1" customWidth="1"/>
    <col min="3" max="3" width="10.140625" bestFit="1" customWidth="1"/>
    <col min="4" max="4" width="13.5703125" bestFit="1" customWidth="1"/>
    <col min="8" max="8" width="11.5703125" bestFit="1" customWidth="1"/>
    <col min="9" max="9" width="9.5703125" bestFit="1" customWidth="1"/>
    <col min="10" max="10" width="10.28515625" bestFit="1" customWidth="1"/>
    <col min="11" max="11" width="7.42578125" bestFit="1" customWidth="1"/>
    <col min="12" max="12" width="7.7109375" bestFit="1" customWidth="1"/>
    <col min="13" max="13" width="7.5703125" bestFit="1" customWidth="1"/>
  </cols>
  <sheetData>
    <row r="1" spans="1:14" x14ac:dyDescent="0.25">
      <c r="B1" t="s">
        <v>79</v>
      </c>
      <c r="C1" t="s">
        <v>78</v>
      </c>
      <c r="D1" t="s">
        <v>80</v>
      </c>
      <c r="G1" s="219" t="s">
        <v>88</v>
      </c>
      <c r="H1" s="219" t="s">
        <v>9</v>
      </c>
      <c r="I1" s="219" t="s">
        <v>8</v>
      </c>
      <c r="J1" s="219" t="s">
        <v>10</v>
      </c>
      <c r="K1" s="219" t="s">
        <v>93</v>
      </c>
      <c r="L1" s="219" t="s">
        <v>94</v>
      </c>
      <c r="M1" s="219" t="s">
        <v>95</v>
      </c>
    </row>
    <row r="2" spans="1:14" x14ac:dyDescent="0.25">
      <c r="A2" s="92">
        <v>40284</v>
      </c>
      <c r="B2" s="123">
        <v>49598</v>
      </c>
      <c r="C2" s="122">
        <v>0.05</v>
      </c>
      <c r="D2" s="161">
        <f t="shared" ref="D2:D4" si="0">B2*C2</f>
        <v>2479.9</v>
      </c>
      <c r="G2" s="220">
        <v>267</v>
      </c>
      <c r="H2" s="221" t="s">
        <v>33</v>
      </c>
      <c r="I2" s="222">
        <v>40298</v>
      </c>
      <c r="J2" s="221" t="s">
        <v>37</v>
      </c>
      <c r="K2" s="220">
        <v>100</v>
      </c>
      <c r="L2" s="220">
        <v>0</v>
      </c>
      <c r="M2" s="220">
        <v>0</v>
      </c>
    </row>
    <row r="3" spans="1:14" x14ac:dyDescent="0.25">
      <c r="A3" s="92">
        <v>40285</v>
      </c>
      <c r="B3" s="123">
        <v>106682</v>
      </c>
      <c r="C3" s="122">
        <v>6.5000000000000002E-2</v>
      </c>
      <c r="D3" s="161">
        <f t="shared" si="0"/>
        <v>6934.33</v>
      </c>
      <c r="G3" s="220">
        <v>267</v>
      </c>
      <c r="H3" s="221" t="s">
        <v>33</v>
      </c>
      <c r="I3" s="222">
        <v>40298</v>
      </c>
      <c r="J3" s="221" t="s">
        <v>38</v>
      </c>
      <c r="K3" s="220">
        <v>100</v>
      </c>
      <c r="L3" s="220">
        <v>3</v>
      </c>
      <c r="M3" s="220">
        <v>3</v>
      </c>
    </row>
    <row r="4" spans="1:14" x14ac:dyDescent="0.25">
      <c r="A4" s="92">
        <v>40286</v>
      </c>
      <c r="B4" s="123">
        <v>92567</v>
      </c>
      <c r="C4" s="122">
        <v>0.08</v>
      </c>
      <c r="D4" s="161">
        <f t="shared" si="0"/>
        <v>7405.3600000000006</v>
      </c>
      <c r="G4" s="220">
        <v>267</v>
      </c>
      <c r="H4" s="221" t="s">
        <v>33</v>
      </c>
      <c r="I4" s="222">
        <v>40298</v>
      </c>
      <c r="J4" s="221" t="s">
        <v>39</v>
      </c>
      <c r="K4" s="220">
        <v>100</v>
      </c>
      <c r="L4" s="220">
        <v>0</v>
      </c>
      <c r="M4" s="220">
        <v>0</v>
      </c>
    </row>
    <row r="5" spans="1:14" x14ac:dyDescent="0.25">
      <c r="B5" s="37">
        <f>SUM(B2:B4)</f>
        <v>248847</v>
      </c>
      <c r="D5" s="162">
        <f>SUM(D2:D4)</f>
        <v>16819.59</v>
      </c>
      <c r="K5">
        <f>SUM(K2:K4)</f>
        <v>300</v>
      </c>
      <c r="L5">
        <f>SUM(L2:L4)</f>
        <v>3</v>
      </c>
      <c r="M5">
        <f>SUM(M2:M4)</f>
        <v>3</v>
      </c>
      <c r="N5" s="178">
        <f>M5/K5</f>
        <v>0.01</v>
      </c>
    </row>
    <row r="8" spans="1:14" x14ac:dyDescent="0.25">
      <c r="A8" s="92">
        <v>40295</v>
      </c>
      <c r="B8" s="13">
        <v>10575</v>
      </c>
      <c r="C8" s="122">
        <v>0.01</v>
      </c>
      <c r="D8" s="161">
        <f t="shared" ref="D8:D14" si="1">B8*C8</f>
        <v>105.75</v>
      </c>
    </row>
    <row r="9" spans="1:14" x14ac:dyDescent="0.25">
      <c r="A9" s="92">
        <v>40296</v>
      </c>
      <c r="B9" s="13">
        <v>19638</v>
      </c>
      <c r="C9" s="122">
        <v>0.01</v>
      </c>
      <c r="D9" s="161">
        <f t="shared" si="1"/>
        <v>196.38</v>
      </c>
    </row>
    <row r="10" spans="1:14" x14ac:dyDescent="0.25">
      <c r="A10" s="92">
        <v>40297</v>
      </c>
      <c r="B10" s="13">
        <v>32732</v>
      </c>
      <c r="C10" s="122">
        <v>0.01</v>
      </c>
      <c r="D10" s="161">
        <f t="shared" si="1"/>
        <v>327.32</v>
      </c>
    </row>
    <row r="11" spans="1:14" x14ac:dyDescent="0.25">
      <c r="A11" s="92">
        <v>40298</v>
      </c>
      <c r="B11" s="13">
        <v>47910</v>
      </c>
      <c r="C11" s="122">
        <v>0.01</v>
      </c>
      <c r="D11" s="161">
        <f t="shared" si="1"/>
        <v>479.1</v>
      </c>
    </row>
    <row r="12" spans="1:14" x14ac:dyDescent="0.25">
      <c r="A12" s="92">
        <v>40299</v>
      </c>
      <c r="B12" s="13">
        <v>84345</v>
      </c>
      <c r="C12" s="122">
        <v>0.01</v>
      </c>
      <c r="D12" s="161">
        <f t="shared" si="1"/>
        <v>843.45</v>
      </c>
    </row>
    <row r="13" spans="1:14" x14ac:dyDescent="0.25">
      <c r="A13" s="92">
        <v>40300</v>
      </c>
      <c r="B13" s="13">
        <v>94080</v>
      </c>
      <c r="C13" s="122">
        <v>0.01</v>
      </c>
      <c r="D13" s="161">
        <f t="shared" si="1"/>
        <v>940.80000000000007</v>
      </c>
    </row>
    <row r="14" spans="1:14" x14ac:dyDescent="0.25">
      <c r="B14" s="37">
        <f>SUM(B8:B13)</f>
        <v>289280</v>
      </c>
      <c r="C14" s="122">
        <v>0.01</v>
      </c>
      <c r="D14" s="162">
        <f t="shared" si="1"/>
        <v>2892.8</v>
      </c>
      <c r="E14" s="224"/>
    </row>
    <row r="17" spans="2:4" x14ac:dyDescent="0.25">
      <c r="B17" s="37">
        <f>B5+B14</f>
        <v>538127</v>
      </c>
      <c r="C17" s="20">
        <f>D5+D14</f>
        <v>19712.39</v>
      </c>
      <c r="D17" s="223">
        <f>C17/B17</f>
        <v>3.6631482902734852E-2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14"/>
  <sheetViews>
    <sheetView workbookViewId="0">
      <selection activeCell="D13" sqref="D13"/>
    </sheetView>
  </sheetViews>
  <sheetFormatPr defaultRowHeight="15" x14ac:dyDescent="0.25"/>
  <cols>
    <col min="1" max="1" width="18.140625" bestFit="1" customWidth="1"/>
    <col min="2" max="2" width="12.5703125" bestFit="1" customWidth="1"/>
    <col min="3" max="3" width="10.140625" bestFit="1" customWidth="1"/>
    <col min="4" max="4" width="13.5703125" bestFit="1" customWidth="1"/>
    <col min="9" max="10" width="10.28515625" bestFit="1" customWidth="1"/>
    <col min="12" max="12" width="13.7109375" bestFit="1" customWidth="1"/>
    <col min="13" max="13" width="12.85546875" bestFit="1" customWidth="1"/>
    <col min="14" max="14" width="10.5703125" bestFit="1" customWidth="1"/>
  </cols>
  <sheetData>
    <row r="2" spans="1:14" x14ac:dyDescent="0.25">
      <c r="A2" s="92">
        <v>40298</v>
      </c>
      <c r="B2" s="123">
        <v>28915</v>
      </c>
      <c r="C2" s="178">
        <v>0.03</v>
      </c>
      <c r="D2" s="192">
        <f t="shared" ref="D2:D4" si="0">B2*C2</f>
        <v>867.44999999999993</v>
      </c>
      <c r="H2" s="177" t="s">
        <v>88</v>
      </c>
      <c r="I2" s="177" t="s">
        <v>8</v>
      </c>
      <c r="J2" s="177" t="s">
        <v>10</v>
      </c>
      <c r="K2" s="177" t="s">
        <v>93</v>
      </c>
      <c r="L2" s="177" t="s">
        <v>94</v>
      </c>
      <c r="M2" s="177" t="s">
        <v>95</v>
      </c>
      <c r="N2" s="181" t="s">
        <v>96</v>
      </c>
    </row>
    <row r="3" spans="1:14" x14ac:dyDescent="0.25">
      <c r="A3" s="92">
        <v>40299</v>
      </c>
      <c r="B3" s="123">
        <v>76770</v>
      </c>
      <c r="C3" s="178">
        <v>1.7391304347826087E-2</v>
      </c>
      <c r="D3" s="192">
        <f t="shared" si="0"/>
        <v>1335.1304347826087</v>
      </c>
      <c r="H3" s="179">
        <v>259</v>
      </c>
      <c r="I3" s="180">
        <v>40298</v>
      </c>
      <c r="J3" s="179" t="s">
        <v>20</v>
      </c>
      <c r="K3" s="179">
        <v>100</v>
      </c>
      <c r="L3" s="179">
        <v>3</v>
      </c>
      <c r="M3" s="186">
        <v>3</v>
      </c>
      <c r="N3" s="188">
        <f>M3/K3</f>
        <v>0.03</v>
      </c>
    </row>
    <row r="4" spans="1:14" x14ac:dyDescent="0.25">
      <c r="A4" s="92">
        <v>40300</v>
      </c>
      <c r="B4" s="123">
        <v>77235</v>
      </c>
      <c r="C4" s="178">
        <v>0.05</v>
      </c>
      <c r="D4" s="192">
        <f t="shared" si="0"/>
        <v>3861.75</v>
      </c>
      <c r="H4" s="179">
        <v>269</v>
      </c>
      <c r="I4" s="180">
        <v>40299</v>
      </c>
      <c r="J4" s="179" t="s">
        <v>17</v>
      </c>
      <c r="K4" s="179">
        <v>130</v>
      </c>
      <c r="L4" s="179">
        <v>3</v>
      </c>
      <c r="M4" s="186">
        <v>3</v>
      </c>
      <c r="N4" s="189">
        <f>(M4+M5)/(K4+K5)</f>
        <v>1.7391304347826087E-2</v>
      </c>
    </row>
    <row r="5" spans="1:14" x14ac:dyDescent="0.25">
      <c r="B5" s="37">
        <f>SUM(B2:B4)</f>
        <v>182920</v>
      </c>
      <c r="D5" s="162">
        <f>SUM(D2:D4)</f>
        <v>6064.3304347826088</v>
      </c>
      <c r="E5" s="178">
        <f>D5/B5</f>
        <v>3.3152910752146339E-2</v>
      </c>
      <c r="H5" s="179">
        <v>269</v>
      </c>
      <c r="I5" s="180">
        <v>40299</v>
      </c>
      <c r="J5" s="179" t="s">
        <v>18</v>
      </c>
      <c r="K5" s="179">
        <v>100</v>
      </c>
      <c r="L5" s="179">
        <v>1</v>
      </c>
      <c r="M5" s="186">
        <v>1</v>
      </c>
      <c r="N5" s="190"/>
    </row>
    <row r="6" spans="1:14" x14ac:dyDescent="0.25">
      <c r="H6" s="179">
        <v>270</v>
      </c>
      <c r="I6" s="180">
        <v>40300</v>
      </c>
      <c r="J6" s="182" t="s">
        <v>16</v>
      </c>
      <c r="K6" s="182">
        <v>100</v>
      </c>
      <c r="L6" s="182">
        <v>5</v>
      </c>
      <c r="M6" s="187">
        <v>5</v>
      </c>
      <c r="N6" s="191">
        <f>M6/K6</f>
        <v>0.05</v>
      </c>
    </row>
    <row r="7" spans="1:14" x14ac:dyDescent="0.25">
      <c r="H7" s="1"/>
      <c r="I7" s="1"/>
      <c r="J7" s="183" t="s">
        <v>97</v>
      </c>
      <c r="K7" s="184">
        <f>SUM(K3:K6)</f>
        <v>430</v>
      </c>
      <c r="L7" s="184">
        <f>SUM(L3:L6)</f>
        <v>12</v>
      </c>
      <c r="M7" s="184">
        <f>SUM(M3:M6)</f>
        <v>12</v>
      </c>
      <c r="N7" s="185">
        <f>M7/K7</f>
        <v>2.7906976744186046E-2</v>
      </c>
    </row>
    <row r="10" spans="1:14" x14ac:dyDescent="0.25">
      <c r="H10" s="177" t="s">
        <v>88</v>
      </c>
      <c r="I10" s="177" t="s">
        <v>8</v>
      </c>
      <c r="J10" s="177" t="s">
        <v>10</v>
      </c>
      <c r="K10" s="177" t="s">
        <v>93</v>
      </c>
      <c r="L10" s="177" t="s">
        <v>94</v>
      </c>
      <c r="M10" s="177" t="s">
        <v>95</v>
      </c>
    </row>
    <row r="11" spans="1:14" x14ac:dyDescent="0.25">
      <c r="A11" s="180">
        <v>40313</v>
      </c>
      <c r="B11" s="13">
        <v>55147</v>
      </c>
      <c r="C11" s="178">
        <v>0.03</v>
      </c>
      <c r="D11" s="192">
        <f t="shared" ref="D11" si="1">B11*C11</f>
        <v>1654.4099999999999</v>
      </c>
      <c r="H11" s="179">
        <v>275</v>
      </c>
      <c r="I11" s="180">
        <v>40313</v>
      </c>
      <c r="J11" s="179" t="s">
        <v>17</v>
      </c>
      <c r="K11" s="179">
        <v>100</v>
      </c>
      <c r="L11" s="179">
        <v>5</v>
      </c>
      <c r="M11" s="186">
        <v>5</v>
      </c>
    </row>
    <row r="12" spans="1:14" x14ac:dyDescent="0.25">
      <c r="H12" s="179">
        <v>275</v>
      </c>
      <c r="I12" s="180">
        <v>40313</v>
      </c>
      <c r="J12" s="179" t="s">
        <v>17</v>
      </c>
      <c r="K12" s="179">
        <v>100</v>
      </c>
      <c r="L12" s="179">
        <v>2</v>
      </c>
      <c r="M12" s="186">
        <v>2</v>
      </c>
    </row>
    <row r="13" spans="1:14" x14ac:dyDescent="0.25">
      <c r="B13" s="229">
        <f>+B5+B11</f>
        <v>238067</v>
      </c>
      <c r="C13" s="160"/>
      <c r="D13" s="230">
        <f>+D5+D11</f>
        <v>7718.7404347826086</v>
      </c>
      <c r="E13" s="223">
        <f>D13/B13</f>
        <v>3.2422555141126692E-2</v>
      </c>
      <c r="H13" s="179">
        <v>275</v>
      </c>
      <c r="I13" s="180">
        <v>40313</v>
      </c>
      <c r="J13" s="179" t="s">
        <v>20</v>
      </c>
      <c r="K13" s="179">
        <v>100</v>
      </c>
      <c r="L13" s="179">
        <v>2</v>
      </c>
      <c r="M13" s="186">
        <v>2</v>
      </c>
    </row>
    <row r="14" spans="1:14" x14ac:dyDescent="0.25">
      <c r="J14" s="183"/>
      <c r="K14" s="184">
        <f>SUM(K11:K13)</f>
        <v>300</v>
      </c>
      <c r="L14" s="184">
        <f>SUM(L11:L13)</f>
        <v>9</v>
      </c>
      <c r="M14" s="184">
        <f>SUM(M11:M13)</f>
        <v>9</v>
      </c>
      <c r="N14" s="185">
        <f>M14/K14</f>
        <v>0.03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14"/>
  <sheetViews>
    <sheetView workbookViewId="0">
      <selection activeCell="E14" sqref="E14"/>
    </sheetView>
  </sheetViews>
  <sheetFormatPr defaultRowHeight="15" x14ac:dyDescent="0.25"/>
  <cols>
    <col min="1" max="1" width="18.140625" bestFit="1" customWidth="1"/>
    <col min="2" max="2" width="12.5703125" bestFit="1" customWidth="1"/>
    <col min="3" max="3" width="10.140625" bestFit="1" customWidth="1"/>
    <col min="4" max="4" width="13.5703125" bestFit="1" customWidth="1"/>
    <col min="9" max="10" width="10.28515625" bestFit="1" customWidth="1"/>
    <col min="12" max="12" width="13.7109375" bestFit="1" customWidth="1"/>
    <col min="13" max="13" width="12.85546875" bestFit="1" customWidth="1"/>
    <col min="14" max="14" width="10.5703125" bestFit="1" customWidth="1"/>
  </cols>
  <sheetData>
    <row r="2" spans="1:14" x14ac:dyDescent="0.25">
      <c r="A2" s="92">
        <v>40298</v>
      </c>
      <c r="B2" s="123">
        <v>20147</v>
      </c>
      <c r="C2" s="178">
        <v>0.03</v>
      </c>
      <c r="D2" s="192">
        <f t="shared" ref="D2:D4" si="0">B2*C2</f>
        <v>604.41</v>
      </c>
      <c r="H2" s="193" t="s">
        <v>88</v>
      </c>
      <c r="I2" s="193" t="s">
        <v>8</v>
      </c>
      <c r="J2" s="193" t="s">
        <v>10</v>
      </c>
      <c r="K2" s="193" t="s">
        <v>93</v>
      </c>
      <c r="L2" s="193" t="s">
        <v>94</v>
      </c>
      <c r="M2" s="193" t="s">
        <v>95</v>
      </c>
      <c r="N2" s="181" t="s">
        <v>96</v>
      </c>
    </row>
    <row r="3" spans="1:14" x14ac:dyDescent="0.25">
      <c r="A3" s="92">
        <v>40299</v>
      </c>
      <c r="B3" s="123">
        <v>35235</v>
      </c>
      <c r="C3" s="178">
        <v>0.06</v>
      </c>
      <c r="D3" s="192">
        <f t="shared" si="0"/>
        <v>2114.1</v>
      </c>
      <c r="H3" s="194">
        <v>258</v>
      </c>
      <c r="I3" s="196">
        <v>40298</v>
      </c>
      <c r="J3" s="195" t="s">
        <v>28</v>
      </c>
      <c r="K3" s="194">
        <v>100</v>
      </c>
      <c r="L3" s="194">
        <v>3</v>
      </c>
      <c r="M3" s="194">
        <v>3</v>
      </c>
      <c r="N3" s="188"/>
    </row>
    <row r="4" spans="1:14" x14ac:dyDescent="0.25">
      <c r="A4" s="92">
        <v>40300</v>
      </c>
      <c r="B4" s="123">
        <v>29741</v>
      </c>
      <c r="C4" s="178">
        <v>0.04</v>
      </c>
      <c r="D4" s="192">
        <f t="shared" si="0"/>
        <v>1189.6400000000001</v>
      </c>
      <c r="H4" s="194">
        <v>258</v>
      </c>
      <c r="I4" s="196">
        <v>40298</v>
      </c>
      <c r="J4" s="195" t="s">
        <v>27</v>
      </c>
      <c r="K4" s="194">
        <v>100</v>
      </c>
      <c r="L4" s="194">
        <v>3</v>
      </c>
      <c r="M4" s="194">
        <v>3</v>
      </c>
      <c r="N4" s="189">
        <f>(M3+M4)/(K3+K4)</f>
        <v>0.03</v>
      </c>
    </row>
    <row r="5" spans="1:14" x14ac:dyDescent="0.25">
      <c r="B5" s="37">
        <f>SUM(B2:B4)</f>
        <v>85123</v>
      </c>
      <c r="D5" s="162">
        <f>SUM(D2:D4)</f>
        <v>3908.1499999999996</v>
      </c>
      <c r="E5" s="178">
        <f>D5/B5</f>
        <v>4.5911798221397265E-2</v>
      </c>
      <c r="H5" s="194">
        <v>266</v>
      </c>
      <c r="I5" s="196">
        <v>40299</v>
      </c>
      <c r="J5" s="195" t="s">
        <v>26</v>
      </c>
      <c r="K5" s="194">
        <v>100</v>
      </c>
      <c r="L5" s="194">
        <v>6</v>
      </c>
      <c r="M5" s="194">
        <v>6</v>
      </c>
      <c r="N5" s="189">
        <f>M5/K5</f>
        <v>0.06</v>
      </c>
    </row>
    <row r="6" spans="1:14" x14ac:dyDescent="0.25">
      <c r="H6" s="194">
        <v>271</v>
      </c>
      <c r="I6" s="196">
        <v>40300</v>
      </c>
      <c r="J6" s="195" t="s">
        <v>26</v>
      </c>
      <c r="K6" s="194">
        <v>100</v>
      </c>
      <c r="L6" s="194">
        <v>5</v>
      </c>
      <c r="M6" s="194">
        <v>5</v>
      </c>
      <c r="N6" s="190"/>
    </row>
    <row r="7" spans="1:14" x14ac:dyDescent="0.25">
      <c r="H7" s="194">
        <v>271</v>
      </c>
      <c r="I7" s="196">
        <v>40300</v>
      </c>
      <c r="J7" s="195" t="s">
        <v>25</v>
      </c>
      <c r="K7" s="194">
        <v>100</v>
      </c>
      <c r="L7" s="194">
        <v>3</v>
      </c>
      <c r="M7" s="194">
        <v>3</v>
      </c>
      <c r="N7" s="191">
        <f>(M6+M7)/(K6+K7)</f>
        <v>0.04</v>
      </c>
    </row>
    <row r="8" spans="1:14" x14ac:dyDescent="0.25">
      <c r="J8" s="183" t="s">
        <v>97</v>
      </c>
      <c r="K8" s="184">
        <f>SUM(K3:K7)</f>
        <v>500</v>
      </c>
      <c r="L8" s="184">
        <f>SUM(L3:L7)</f>
        <v>20</v>
      </c>
      <c r="M8" s="184">
        <f>SUM(M3:M7)</f>
        <v>20</v>
      </c>
      <c r="N8" s="185">
        <f>M8/K8</f>
        <v>0.04</v>
      </c>
    </row>
    <row r="11" spans="1:14" x14ac:dyDescent="0.25">
      <c r="H11" s="225" t="s">
        <v>88</v>
      </c>
      <c r="I11" s="225" t="s">
        <v>8</v>
      </c>
      <c r="J11" s="225" t="s">
        <v>10</v>
      </c>
      <c r="K11" s="225" t="s">
        <v>93</v>
      </c>
      <c r="L11" s="225" t="s">
        <v>94</v>
      </c>
      <c r="M11" s="225" t="s">
        <v>95</v>
      </c>
    </row>
    <row r="12" spans="1:14" x14ac:dyDescent="0.25">
      <c r="A12" s="92">
        <v>40313</v>
      </c>
      <c r="B12" s="37">
        <v>32790</v>
      </c>
      <c r="C12" s="178">
        <v>0.14000000000000001</v>
      </c>
      <c r="D12" s="162">
        <f t="shared" ref="D12" si="1">B12*C12</f>
        <v>4590.6000000000004</v>
      </c>
      <c r="H12" s="226">
        <v>274</v>
      </c>
      <c r="I12" s="228">
        <v>40313</v>
      </c>
      <c r="J12" s="227" t="s">
        <v>26</v>
      </c>
      <c r="K12" s="226">
        <v>100</v>
      </c>
      <c r="L12" s="226">
        <v>14</v>
      </c>
      <c r="M12" s="226">
        <v>14</v>
      </c>
      <c r="N12" s="189">
        <f>M12/K12</f>
        <v>0.14000000000000001</v>
      </c>
    </row>
    <row r="14" spans="1:14" x14ac:dyDescent="0.25">
      <c r="B14" s="37">
        <f>+B5+B12</f>
        <v>117913</v>
      </c>
      <c r="D14" s="218">
        <f>+D5+D12</f>
        <v>8498.75</v>
      </c>
      <c r="E14" s="178">
        <f>D14/B14</f>
        <v>7.207644619337987E-2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9"/>
  <sheetViews>
    <sheetView workbookViewId="0"/>
  </sheetViews>
  <sheetFormatPr defaultRowHeight="15" x14ac:dyDescent="0.25"/>
  <cols>
    <col min="1" max="1" width="12.5703125" bestFit="1" customWidth="1"/>
    <col min="2" max="2" width="10.7109375" bestFit="1" customWidth="1"/>
    <col min="3" max="3" width="15.42578125" bestFit="1" customWidth="1"/>
    <col min="4" max="4" width="13.140625" bestFit="1" customWidth="1"/>
    <col min="5" max="5" width="30.42578125" bestFit="1" customWidth="1"/>
    <col min="7" max="7" width="13.140625" bestFit="1" customWidth="1"/>
    <col min="8" max="8" width="11.7109375" bestFit="1" customWidth="1"/>
    <col min="11" max="11" width="18.140625" customWidth="1"/>
  </cols>
  <sheetData>
    <row r="1" spans="1:11" x14ac:dyDescent="0.25">
      <c r="K1" t="s">
        <v>128</v>
      </c>
    </row>
    <row r="2" spans="1:11" x14ac:dyDescent="0.25">
      <c r="B2" t="s">
        <v>8</v>
      </c>
      <c r="C2" t="s">
        <v>119</v>
      </c>
      <c r="D2" t="s">
        <v>120</v>
      </c>
      <c r="G2" t="s">
        <v>120</v>
      </c>
      <c r="H2" t="s">
        <v>127</v>
      </c>
      <c r="K2" t="s">
        <v>129</v>
      </c>
    </row>
    <row r="3" spans="1:11" x14ac:dyDescent="0.25">
      <c r="A3" t="s">
        <v>3</v>
      </c>
      <c r="B3" s="241">
        <v>39025</v>
      </c>
      <c r="C3" s="152">
        <v>815</v>
      </c>
      <c r="D3" s="152">
        <f>259*3.01</f>
        <v>779.58999999999992</v>
      </c>
      <c r="E3" t="s">
        <v>122</v>
      </c>
      <c r="F3" t="s">
        <v>124</v>
      </c>
      <c r="J3" s="147">
        <f>C3-D3</f>
        <v>35.410000000000082</v>
      </c>
      <c r="K3" s="242">
        <f>J3/D3</f>
        <v>4.5421311202042208E-2</v>
      </c>
    </row>
    <row r="4" spans="1:11" x14ac:dyDescent="0.25">
      <c r="A4" t="s">
        <v>2</v>
      </c>
      <c r="B4" s="241">
        <v>39765</v>
      </c>
      <c r="C4" s="152">
        <v>472</v>
      </c>
      <c r="D4" s="152">
        <f>231*2.5</f>
        <v>577.5</v>
      </c>
      <c r="E4" t="s">
        <v>121</v>
      </c>
      <c r="F4" t="s">
        <v>124</v>
      </c>
      <c r="J4" s="147">
        <f>C4-D4</f>
        <v>-105.5</v>
      </c>
      <c r="K4" s="242">
        <f>J4/D4</f>
        <v>-0.18268398268398267</v>
      </c>
    </row>
    <row r="5" spans="1:11" x14ac:dyDescent="0.25">
      <c r="A5" t="s">
        <v>3</v>
      </c>
      <c r="B5" s="241">
        <v>39765</v>
      </c>
      <c r="C5" s="152">
        <v>346</v>
      </c>
      <c r="D5" s="152">
        <f>194*2.384</f>
        <v>462.49599999999998</v>
      </c>
      <c r="E5" t="s">
        <v>122</v>
      </c>
      <c r="F5" t="s">
        <v>124</v>
      </c>
      <c r="J5" s="147">
        <f>C5-D5</f>
        <v>-116.49599999999998</v>
      </c>
      <c r="K5" s="242">
        <f>J5/D5</f>
        <v>-0.25188542171175532</v>
      </c>
    </row>
    <row r="6" spans="1:11" x14ac:dyDescent="0.25">
      <c r="A6" t="s">
        <v>0</v>
      </c>
      <c r="B6" s="241">
        <v>39823</v>
      </c>
      <c r="C6" s="152">
        <v>2997</v>
      </c>
      <c r="D6" s="152">
        <f>972*3</f>
        <v>2916</v>
      </c>
      <c r="E6" t="s">
        <v>123</v>
      </c>
      <c r="F6" t="s">
        <v>125</v>
      </c>
      <c r="G6" s="1">
        <v>972</v>
      </c>
      <c r="H6" s="1">
        <v>898</v>
      </c>
      <c r="J6" s="147">
        <f>C6-D6</f>
        <v>81</v>
      </c>
      <c r="K6" s="242">
        <f>J6/D6</f>
        <v>2.7777777777777776E-2</v>
      </c>
    </row>
    <row r="7" spans="1:11" x14ac:dyDescent="0.25">
      <c r="A7" t="s">
        <v>1</v>
      </c>
      <c r="B7" s="241">
        <v>40295</v>
      </c>
      <c r="C7" s="152">
        <v>503</v>
      </c>
      <c r="D7" s="152">
        <f>232*2.47</f>
        <v>573.04000000000008</v>
      </c>
      <c r="E7" t="s">
        <v>126</v>
      </c>
      <c r="F7" t="s">
        <v>124</v>
      </c>
      <c r="J7" s="147">
        <f>C7-D7</f>
        <v>-70.040000000000077</v>
      </c>
      <c r="K7" s="242">
        <f>J7/D7</f>
        <v>-0.12222532458467135</v>
      </c>
    </row>
    <row r="8" spans="1:11" x14ac:dyDescent="0.25">
      <c r="J8" s="147"/>
    </row>
    <row r="9" spans="1:11" x14ac:dyDescent="0.25">
      <c r="C9" s="20">
        <f>SUM(C3:C7)</f>
        <v>5133</v>
      </c>
      <c r="D9" s="20">
        <f>SUM(D3:D7)</f>
        <v>5308.6259999999993</v>
      </c>
      <c r="J9" s="147">
        <f>C9-D9</f>
        <v>-175.62599999999929</v>
      </c>
      <c r="K9" s="242">
        <f>J9/D9</f>
        <v>-3.3083136766462608E-2</v>
      </c>
    </row>
  </sheetData>
  <pageMargins left="0.23" right="0.17" top="0.72" bottom="0.75" header="0.3" footer="0.3"/>
  <pageSetup scale="85" orientation="landscape"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82"/>
  <sheetViews>
    <sheetView topLeftCell="A826" workbookViewId="0">
      <selection activeCell="G853" sqref="G853"/>
    </sheetView>
  </sheetViews>
  <sheetFormatPr defaultRowHeight="15" x14ac:dyDescent="0.25"/>
  <cols>
    <col min="1" max="1" width="12.5703125" bestFit="1" customWidth="1"/>
    <col min="2" max="2" width="10" bestFit="1" customWidth="1"/>
    <col min="3" max="3" width="12.28515625" bestFit="1" customWidth="1"/>
    <col min="4" max="4" width="12.5703125" bestFit="1" customWidth="1"/>
    <col min="5" max="5" width="16" bestFit="1" customWidth="1"/>
    <col min="6" max="6" width="11.28515625" bestFit="1" customWidth="1"/>
    <col min="7" max="7" width="12.28515625" bestFit="1" customWidth="1"/>
    <col min="8" max="8" width="11.5703125" bestFit="1" customWidth="1"/>
  </cols>
  <sheetData>
    <row r="1" spans="1:8" x14ac:dyDescent="0.25">
      <c r="A1" s="16" t="s">
        <v>9</v>
      </c>
      <c r="B1" s="16" t="s">
        <v>8</v>
      </c>
      <c r="C1" s="16" t="s">
        <v>10</v>
      </c>
      <c r="D1" s="16" t="s">
        <v>11</v>
      </c>
      <c r="E1" s="16" t="s">
        <v>12</v>
      </c>
      <c r="F1" s="16" t="s">
        <v>13</v>
      </c>
      <c r="G1" s="16" t="s">
        <v>14</v>
      </c>
      <c r="H1" s="16" t="s">
        <v>15</v>
      </c>
    </row>
    <row r="2" spans="1:8" x14ac:dyDescent="0.25">
      <c r="A2" s="17" t="s">
        <v>2</v>
      </c>
      <c r="B2" s="15">
        <v>40102</v>
      </c>
      <c r="C2" s="17" t="s">
        <v>16</v>
      </c>
      <c r="D2" s="18">
        <v>13.661971830985916</v>
      </c>
      <c r="E2" s="18">
        <v>1.4883999824523926</v>
      </c>
      <c r="F2" s="19">
        <v>11</v>
      </c>
      <c r="G2" s="19">
        <v>16</v>
      </c>
      <c r="H2" s="19">
        <v>219</v>
      </c>
    </row>
    <row r="3" spans="1:8" x14ac:dyDescent="0.25">
      <c r="A3" s="17" t="s">
        <v>2</v>
      </c>
      <c r="B3" s="15">
        <v>40102</v>
      </c>
      <c r="C3" s="17" t="s">
        <v>17</v>
      </c>
      <c r="D3" s="18">
        <v>10.476190476190476</v>
      </c>
      <c r="E3" s="18">
        <v>1.4883999824523926</v>
      </c>
      <c r="F3" s="19">
        <v>758</v>
      </c>
      <c r="G3" s="19">
        <v>1128</v>
      </c>
      <c r="H3" s="19">
        <v>15411</v>
      </c>
    </row>
    <row r="4" spans="1:8" x14ac:dyDescent="0.25">
      <c r="A4" s="17" t="s">
        <v>2</v>
      </c>
      <c r="B4" s="15">
        <v>40102</v>
      </c>
      <c r="C4" s="17" t="s">
        <v>18</v>
      </c>
      <c r="D4" s="18">
        <v>15</v>
      </c>
      <c r="E4" s="18">
        <v>1.4883999824523926</v>
      </c>
      <c r="F4" s="19">
        <v>467</v>
      </c>
      <c r="G4" s="19">
        <v>695</v>
      </c>
      <c r="H4" s="19">
        <v>9495</v>
      </c>
    </row>
    <row r="5" spans="1:8" x14ac:dyDescent="0.25">
      <c r="A5" s="17" t="s">
        <v>2</v>
      </c>
      <c r="B5" s="15">
        <v>40102</v>
      </c>
      <c r="C5" s="17" t="s">
        <v>19</v>
      </c>
      <c r="D5" s="18">
        <v>15</v>
      </c>
      <c r="E5" s="18">
        <v>1.4883999824523926</v>
      </c>
      <c r="F5" s="19">
        <v>397</v>
      </c>
      <c r="G5" s="19">
        <v>591</v>
      </c>
      <c r="H5" s="19">
        <v>8074</v>
      </c>
    </row>
    <row r="6" spans="1:8" x14ac:dyDescent="0.25">
      <c r="A6" s="17" t="s">
        <v>2</v>
      </c>
      <c r="B6" s="15">
        <v>40102</v>
      </c>
      <c r="C6" s="17" t="s">
        <v>20</v>
      </c>
      <c r="D6" s="18">
        <v>15</v>
      </c>
      <c r="E6" s="18">
        <v>1.4883999824523926</v>
      </c>
      <c r="F6" s="19">
        <v>868</v>
      </c>
      <c r="G6" s="19">
        <v>1292</v>
      </c>
      <c r="H6" s="19">
        <v>17651</v>
      </c>
    </row>
    <row r="7" spans="1:8" x14ac:dyDescent="0.25">
      <c r="A7" s="17" t="s">
        <v>2</v>
      </c>
      <c r="B7" s="15">
        <v>40102</v>
      </c>
      <c r="C7" s="17" t="s">
        <v>21</v>
      </c>
      <c r="D7" s="18">
        <v>13.661971830985916</v>
      </c>
      <c r="E7" s="18">
        <v>1.4883999824523926</v>
      </c>
      <c r="F7" s="19">
        <v>18</v>
      </c>
      <c r="G7" s="19">
        <v>27</v>
      </c>
      <c r="H7" s="19">
        <v>369</v>
      </c>
    </row>
    <row r="8" spans="1:8" x14ac:dyDescent="0.25">
      <c r="F8">
        <f>SUM(F2:F7)</f>
        <v>2519</v>
      </c>
      <c r="G8">
        <f>SUM(G2:G7)</f>
        <v>3749</v>
      </c>
      <c r="H8">
        <f>SUM(H2:H7)</f>
        <v>51219</v>
      </c>
    </row>
    <row r="10" spans="1:8" x14ac:dyDescent="0.25">
      <c r="A10" s="16" t="s">
        <v>9</v>
      </c>
      <c r="B10" s="16" t="s">
        <v>8</v>
      </c>
      <c r="C10" s="16" t="s">
        <v>10</v>
      </c>
      <c r="D10" s="16" t="s">
        <v>11</v>
      </c>
      <c r="E10" s="16" t="s">
        <v>12</v>
      </c>
      <c r="F10" s="16" t="s">
        <v>13</v>
      </c>
      <c r="G10" s="16" t="s">
        <v>14</v>
      </c>
      <c r="H10" s="16" t="s">
        <v>15</v>
      </c>
    </row>
    <row r="11" spans="1:8" x14ac:dyDescent="0.25">
      <c r="A11" s="17" t="s">
        <v>2</v>
      </c>
      <c r="B11" s="15">
        <v>40103</v>
      </c>
      <c r="C11" s="17" t="s">
        <v>16</v>
      </c>
      <c r="D11" s="18">
        <v>14.817073170731707</v>
      </c>
      <c r="E11" s="18">
        <v>1.4906250238418579</v>
      </c>
      <c r="F11" s="19">
        <v>56</v>
      </c>
      <c r="G11" s="19">
        <v>81</v>
      </c>
      <c r="H11" s="19">
        <v>1200</v>
      </c>
    </row>
    <row r="12" spans="1:8" x14ac:dyDescent="0.25">
      <c r="A12" s="17" t="s">
        <v>2</v>
      </c>
      <c r="B12" s="15">
        <v>40103</v>
      </c>
      <c r="C12" s="17" t="s">
        <v>17</v>
      </c>
      <c r="D12" s="18">
        <v>14.25</v>
      </c>
      <c r="E12" s="18">
        <v>1.4906250238418579</v>
      </c>
      <c r="F12" s="19">
        <v>1177</v>
      </c>
      <c r="G12" s="19">
        <v>1713</v>
      </c>
      <c r="H12" s="19">
        <v>25382</v>
      </c>
    </row>
    <row r="13" spans="1:8" x14ac:dyDescent="0.25">
      <c r="A13" s="17" t="s">
        <v>2</v>
      </c>
      <c r="B13" s="15">
        <v>40103</v>
      </c>
      <c r="C13" s="17" t="s">
        <v>18</v>
      </c>
      <c r="D13" s="18">
        <v>15</v>
      </c>
      <c r="E13" s="18">
        <v>1.4906250238418579</v>
      </c>
      <c r="F13" s="19">
        <v>869</v>
      </c>
      <c r="G13" s="19">
        <v>1265</v>
      </c>
      <c r="H13" s="19">
        <v>18744</v>
      </c>
    </row>
    <row r="14" spans="1:8" x14ac:dyDescent="0.25">
      <c r="A14" s="17" t="s">
        <v>2</v>
      </c>
      <c r="B14" s="15">
        <v>40103</v>
      </c>
      <c r="C14" s="17" t="s">
        <v>19</v>
      </c>
      <c r="D14" s="18">
        <v>15</v>
      </c>
      <c r="E14" s="18">
        <v>1.4906250238418579</v>
      </c>
      <c r="F14" s="19">
        <v>475</v>
      </c>
      <c r="G14" s="19">
        <v>691</v>
      </c>
      <c r="H14" s="19">
        <v>10239</v>
      </c>
    </row>
    <row r="15" spans="1:8" x14ac:dyDescent="0.25">
      <c r="A15" s="17" t="s">
        <v>2</v>
      </c>
      <c r="B15" s="15">
        <v>40103</v>
      </c>
      <c r="C15" s="17" t="s">
        <v>20</v>
      </c>
      <c r="D15" s="18">
        <v>15</v>
      </c>
      <c r="E15" s="18">
        <v>1.4906250238418579</v>
      </c>
      <c r="F15" s="19">
        <v>948</v>
      </c>
      <c r="G15" s="19">
        <v>1379</v>
      </c>
      <c r="H15" s="19">
        <v>20433</v>
      </c>
    </row>
    <row r="16" spans="1:8" x14ac:dyDescent="0.25">
      <c r="A16" s="17" t="s">
        <v>2</v>
      </c>
      <c r="B16" s="15">
        <v>40103</v>
      </c>
      <c r="C16" s="17" t="s">
        <v>21</v>
      </c>
      <c r="D16" s="18">
        <v>14.817073170731707</v>
      </c>
      <c r="E16" s="18">
        <v>1.4906250238418579</v>
      </c>
      <c r="F16" s="19">
        <v>8</v>
      </c>
      <c r="G16" s="19">
        <v>12</v>
      </c>
      <c r="H16" s="19">
        <v>178</v>
      </c>
    </row>
    <row r="17" spans="1:8" x14ac:dyDescent="0.25">
      <c r="F17">
        <f>SUM(F11:F16)</f>
        <v>3533</v>
      </c>
      <c r="G17" s="20">
        <f>SUM(G11:G16)</f>
        <v>5141</v>
      </c>
      <c r="H17" s="20">
        <f>SUM(H11:H16)</f>
        <v>76176</v>
      </c>
    </row>
    <row r="19" spans="1:8" x14ac:dyDescent="0.25">
      <c r="A19" s="16" t="s">
        <v>9</v>
      </c>
      <c r="B19" s="16" t="s">
        <v>8</v>
      </c>
      <c r="C19" s="16" t="s">
        <v>10</v>
      </c>
      <c r="D19" s="16" t="s">
        <v>11</v>
      </c>
      <c r="E19" s="16" t="s">
        <v>12</v>
      </c>
      <c r="F19" s="16" t="s">
        <v>13</v>
      </c>
      <c r="G19" s="16" t="s">
        <v>14</v>
      </c>
      <c r="H19" s="16" t="s">
        <v>15</v>
      </c>
    </row>
    <row r="20" spans="1:8" x14ac:dyDescent="0.25">
      <c r="A20" s="17" t="s">
        <v>2</v>
      </c>
      <c r="B20" s="15">
        <v>40104</v>
      </c>
      <c r="C20" s="17" t="s">
        <v>16</v>
      </c>
      <c r="D20" s="18">
        <v>14.907894736842104</v>
      </c>
      <c r="E20" s="18">
        <v>1.4906250238418579</v>
      </c>
      <c r="F20" s="19">
        <v>15</v>
      </c>
      <c r="G20" s="20">
        <v>21</v>
      </c>
      <c r="H20" s="20">
        <v>313</v>
      </c>
    </row>
    <row r="21" spans="1:8" x14ac:dyDescent="0.25">
      <c r="A21" s="17" t="s">
        <v>2</v>
      </c>
      <c r="B21" s="15">
        <v>40104</v>
      </c>
      <c r="C21" s="17" t="s">
        <v>17</v>
      </c>
      <c r="D21" s="18">
        <v>14.75</v>
      </c>
      <c r="E21" s="18">
        <v>1.4906250238418579</v>
      </c>
      <c r="F21" s="19">
        <v>396</v>
      </c>
      <c r="G21" s="20">
        <v>547</v>
      </c>
      <c r="H21" s="20">
        <v>8068</v>
      </c>
    </row>
    <row r="22" spans="1:8" x14ac:dyDescent="0.25">
      <c r="A22" s="17" t="s">
        <v>2</v>
      </c>
      <c r="B22" s="15">
        <v>40104</v>
      </c>
      <c r="C22" s="17" t="s">
        <v>18</v>
      </c>
      <c r="D22" s="18">
        <v>15</v>
      </c>
      <c r="E22" s="18">
        <v>1.4906250238418579</v>
      </c>
      <c r="F22" s="19">
        <v>276</v>
      </c>
      <c r="G22" s="20">
        <v>381</v>
      </c>
      <c r="H22" s="20">
        <v>5715</v>
      </c>
    </row>
    <row r="23" spans="1:8" x14ac:dyDescent="0.25">
      <c r="A23" s="17" t="s">
        <v>2</v>
      </c>
      <c r="B23" s="15">
        <v>40104</v>
      </c>
      <c r="C23" s="17" t="s">
        <v>19</v>
      </c>
      <c r="D23" s="18">
        <v>15</v>
      </c>
      <c r="E23" s="18">
        <v>1.4906250238418579</v>
      </c>
      <c r="F23" s="19">
        <v>206</v>
      </c>
      <c r="G23" s="20">
        <v>285</v>
      </c>
      <c r="H23" s="20">
        <v>4275</v>
      </c>
    </row>
    <row r="24" spans="1:8" x14ac:dyDescent="0.25">
      <c r="A24" s="17" t="s">
        <v>2</v>
      </c>
      <c r="B24" s="15">
        <v>40104</v>
      </c>
      <c r="C24" s="17" t="s">
        <v>20</v>
      </c>
      <c r="D24" s="18">
        <v>15</v>
      </c>
      <c r="E24" s="18">
        <v>1.4906250238418579</v>
      </c>
      <c r="F24" s="19">
        <v>671</v>
      </c>
      <c r="G24" s="20">
        <v>927</v>
      </c>
      <c r="H24" s="20">
        <v>13820</v>
      </c>
    </row>
    <row r="25" spans="1:8" x14ac:dyDescent="0.25">
      <c r="A25" s="17" t="s">
        <v>2</v>
      </c>
      <c r="B25" s="15">
        <v>40104</v>
      </c>
      <c r="C25" s="17" t="s">
        <v>21</v>
      </c>
      <c r="D25" s="18">
        <v>14.907894736842104</v>
      </c>
      <c r="E25" s="18">
        <v>1.4906250238418579</v>
      </c>
      <c r="F25" s="19">
        <v>8</v>
      </c>
      <c r="G25" s="20">
        <v>11</v>
      </c>
      <c r="H25" s="20">
        <v>164</v>
      </c>
    </row>
    <row r="26" spans="1:8" x14ac:dyDescent="0.25">
      <c r="F26">
        <f>SUM(F20:F25)</f>
        <v>1572</v>
      </c>
      <c r="G26" s="20">
        <f>SUM(G20:G25)</f>
        <v>2172</v>
      </c>
      <c r="H26" s="20">
        <f>SUM(H20:H25)</f>
        <v>32355</v>
      </c>
    </row>
    <row r="28" spans="1:8" x14ac:dyDescent="0.25">
      <c r="A28" s="21" t="s">
        <v>9</v>
      </c>
      <c r="B28" s="21" t="s">
        <v>8</v>
      </c>
      <c r="C28" s="21" t="s">
        <v>10</v>
      </c>
      <c r="D28" s="21" t="s">
        <v>11</v>
      </c>
      <c r="E28" s="21" t="s">
        <v>12</v>
      </c>
      <c r="F28" s="21" t="s">
        <v>13</v>
      </c>
      <c r="G28" s="21" t="s">
        <v>14</v>
      </c>
      <c r="H28" s="21" t="s">
        <v>15</v>
      </c>
    </row>
    <row r="29" spans="1:8" x14ac:dyDescent="0.25">
      <c r="A29" s="24" t="s">
        <v>3</v>
      </c>
      <c r="B29" s="25">
        <v>40103</v>
      </c>
      <c r="C29" s="24" t="s">
        <v>23</v>
      </c>
      <c r="D29" s="26">
        <v>13.272727272727273</v>
      </c>
      <c r="E29" s="26">
        <v>1.4123250246047974</v>
      </c>
      <c r="F29" s="27">
        <v>71</v>
      </c>
      <c r="G29" s="27">
        <v>99</v>
      </c>
      <c r="H29" s="27">
        <v>1314</v>
      </c>
    </row>
    <row r="30" spans="1:8" x14ac:dyDescent="0.25">
      <c r="A30" s="24" t="s">
        <v>3</v>
      </c>
      <c r="B30" s="25">
        <v>40103</v>
      </c>
      <c r="C30" s="24" t="s">
        <v>24</v>
      </c>
      <c r="D30" s="26">
        <v>13.272727272727273</v>
      </c>
      <c r="E30" s="26">
        <v>1.4123250246047974</v>
      </c>
      <c r="F30" s="27">
        <v>128</v>
      </c>
      <c r="G30" s="27">
        <v>179</v>
      </c>
      <c r="H30" s="27">
        <v>2376</v>
      </c>
    </row>
    <row r="31" spans="1:8" x14ac:dyDescent="0.25">
      <c r="A31" s="24" t="s">
        <v>3</v>
      </c>
      <c r="B31" s="25">
        <v>40103</v>
      </c>
      <c r="C31" s="24" t="s">
        <v>25</v>
      </c>
      <c r="D31" s="26">
        <v>13.272727272727273</v>
      </c>
      <c r="E31" s="26">
        <v>1.4123250246047974</v>
      </c>
      <c r="F31" s="27">
        <v>574</v>
      </c>
      <c r="G31" s="27">
        <v>802</v>
      </c>
      <c r="H31" s="27">
        <v>10645</v>
      </c>
    </row>
    <row r="32" spans="1:8" x14ac:dyDescent="0.25">
      <c r="A32" s="24" t="s">
        <v>3</v>
      </c>
      <c r="B32" s="25">
        <v>40103</v>
      </c>
      <c r="C32" s="24" t="s">
        <v>26</v>
      </c>
      <c r="D32" s="26">
        <v>15</v>
      </c>
      <c r="E32" s="26">
        <v>1.4123250246047974</v>
      </c>
      <c r="F32" s="27">
        <v>549</v>
      </c>
      <c r="G32" s="27">
        <v>767</v>
      </c>
      <c r="H32" s="27">
        <v>11505</v>
      </c>
    </row>
    <row r="33" spans="1:8" x14ac:dyDescent="0.25">
      <c r="A33" s="24" t="s">
        <v>3</v>
      </c>
      <c r="B33" s="25">
        <v>40103</v>
      </c>
      <c r="C33" s="24" t="s">
        <v>27</v>
      </c>
      <c r="D33" s="26">
        <v>9.7857142857142865</v>
      </c>
      <c r="E33" s="26">
        <v>1.4123250246047974</v>
      </c>
      <c r="F33" s="27">
        <v>231</v>
      </c>
      <c r="G33" s="27">
        <v>323</v>
      </c>
      <c r="H33" s="27">
        <v>3161</v>
      </c>
    </row>
    <row r="34" spans="1:8" x14ac:dyDescent="0.25">
      <c r="A34" s="24" t="s">
        <v>3</v>
      </c>
      <c r="B34" s="25">
        <v>40103</v>
      </c>
      <c r="C34" s="24" t="s">
        <v>28</v>
      </c>
      <c r="D34" s="26">
        <v>14.8</v>
      </c>
      <c r="E34" s="26">
        <v>1.4123250246047974</v>
      </c>
      <c r="F34" s="27">
        <v>525</v>
      </c>
      <c r="G34" s="27">
        <v>733</v>
      </c>
      <c r="H34" s="27">
        <v>10848</v>
      </c>
    </row>
    <row r="35" spans="1:8" x14ac:dyDescent="0.25">
      <c r="F35">
        <f>SUM(F29:F34)</f>
        <v>2078</v>
      </c>
      <c r="G35" s="20">
        <f>SUM(G29:G34)</f>
        <v>2903</v>
      </c>
      <c r="H35" s="20">
        <f>SUM(H29:H34)</f>
        <v>39849</v>
      </c>
    </row>
    <row r="37" spans="1:8" x14ac:dyDescent="0.25">
      <c r="A37" s="21" t="s">
        <v>9</v>
      </c>
      <c r="B37" s="21" t="s">
        <v>8</v>
      </c>
      <c r="C37" s="21" t="s">
        <v>10</v>
      </c>
      <c r="D37" s="21" t="s">
        <v>11</v>
      </c>
      <c r="E37" s="21" t="s">
        <v>12</v>
      </c>
      <c r="F37" s="21" t="s">
        <v>13</v>
      </c>
      <c r="G37" s="21" t="s">
        <v>14</v>
      </c>
      <c r="H37" s="21" t="s">
        <v>15</v>
      </c>
    </row>
    <row r="38" spans="1:8" x14ac:dyDescent="0.25">
      <c r="A38" s="22" t="s">
        <v>3</v>
      </c>
      <c r="B38" s="23">
        <v>40104</v>
      </c>
      <c r="C38" s="22" t="s">
        <v>23</v>
      </c>
      <c r="D38" s="26">
        <v>15</v>
      </c>
      <c r="E38" s="26">
        <v>1.3927667140960693</v>
      </c>
      <c r="F38" s="27">
        <v>25</v>
      </c>
      <c r="G38" s="27">
        <v>33</v>
      </c>
      <c r="H38" s="27">
        <v>495</v>
      </c>
    </row>
    <row r="39" spans="1:8" x14ac:dyDescent="0.25">
      <c r="A39" s="22" t="s">
        <v>3</v>
      </c>
      <c r="B39" s="23">
        <v>40104</v>
      </c>
      <c r="C39" s="22" t="s">
        <v>24</v>
      </c>
      <c r="D39" s="26">
        <v>15</v>
      </c>
      <c r="E39" s="26">
        <v>1.3927667140960693</v>
      </c>
      <c r="F39" s="27">
        <v>55</v>
      </c>
      <c r="G39" s="27">
        <v>74</v>
      </c>
      <c r="H39" s="27">
        <v>1110</v>
      </c>
    </row>
    <row r="40" spans="1:8" x14ac:dyDescent="0.25">
      <c r="A40" s="22" t="s">
        <v>3</v>
      </c>
      <c r="B40" s="23">
        <v>40104</v>
      </c>
      <c r="C40" s="22" t="s">
        <v>25</v>
      </c>
      <c r="D40" s="26">
        <v>15</v>
      </c>
      <c r="E40" s="26">
        <v>1.3927667140960693</v>
      </c>
      <c r="F40" s="27">
        <v>192</v>
      </c>
      <c r="G40" s="27">
        <v>257</v>
      </c>
      <c r="H40" s="27">
        <v>3855</v>
      </c>
    </row>
    <row r="41" spans="1:8" x14ac:dyDescent="0.25">
      <c r="A41" s="22" t="s">
        <v>3</v>
      </c>
      <c r="B41" s="23">
        <v>40104</v>
      </c>
      <c r="C41" s="22" t="s">
        <v>26</v>
      </c>
      <c r="D41" s="26">
        <v>15</v>
      </c>
      <c r="E41" s="26">
        <v>1.3927667140960693</v>
      </c>
      <c r="F41" s="27">
        <v>241</v>
      </c>
      <c r="G41" s="27">
        <v>322</v>
      </c>
      <c r="H41" s="27">
        <v>4830</v>
      </c>
    </row>
    <row r="42" spans="1:8" x14ac:dyDescent="0.25">
      <c r="A42" s="22" t="s">
        <v>3</v>
      </c>
      <c r="B42" s="23">
        <v>40104</v>
      </c>
      <c r="C42" s="22" t="s">
        <v>27</v>
      </c>
      <c r="D42" s="26">
        <v>15</v>
      </c>
      <c r="E42" s="26">
        <v>1.3927667140960693</v>
      </c>
      <c r="F42" s="27">
        <v>53</v>
      </c>
      <c r="G42" s="27">
        <v>71</v>
      </c>
      <c r="H42" s="27">
        <v>1065</v>
      </c>
    </row>
    <row r="43" spans="1:8" x14ac:dyDescent="0.25">
      <c r="A43" s="22" t="s">
        <v>3</v>
      </c>
      <c r="B43" s="23">
        <v>40104</v>
      </c>
      <c r="C43" s="22" t="s">
        <v>28</v>
      </c>
      <c r="D43" s="26">
        <v>15</v>
      </c>
      <c r="E43" s="26">
        <v>1.3927667140960693</v>
      </c>
      <c r="F43" s="27">
        <v>194</v>
      </c>
      <c r="G43" s="27">
        <v>260</v>
      </c>
      <c r="H43" s="27">
        <v>3900</v>
      </c>
    </row>
    <row r="44" spans="1:8" x14ac:dyDescent="0.25">
      <c r="F44" s="20">
        <f>SUM(F38:F43)</f>
        <v>760</v>
      </c>
      <c r="G44" s="20">
        <f>SUM(G38:G43)</f>
        <v>1017</v>
      </c>
      <c r="H44" s="20">
        <f>SUM(H38:H43)</f>
        <v>15255</v>
      </c>
    </row>
    <row r="46" spans="1:8" x14ac:dyDescent="0.25">
      <c r="A46" s="21" t="s">
        <v>9</v>
      </c>
      <c r="B46" s="21" t="s">
        <v>8</v>
      </c>
      <c r="C46" s="21" t="s">
        <v>10</v>
      </c>
      <c r="D46" s="21" t="s">
        <v>11</v>
      </c>
      <c r="E46" s="21" t="s">
        <v>12</v>
      </c>
      <c r="F46" s="21" t="s">
        <v>13</v>
      </c>
      <c r="G46" s="21" t="s">
        <v>14</v>
      </c>
      <c r="H46" s="21" t="s">
        <v>15</v>
      </c>
    </row>
    <row r="47" spans="1:8" x14ac:dyDescent="0.25">
      <c r="A47" s="24" t="s">
        <v>1</v>
      </c>
      <c r="B47" s="25">
        <v>40102</v>
      </c>
      <c r="C47" s="24" t="s">
        <v>29</v>
      </c>
      <c r="D47" s="26">
        <v>11.634615384615385</v>
      </c>
      <c r="E47" s="26">
        <v>1.4352333545684814</v>
      </c>
      <c r="F47" s="27">
        <v>21</v>
      </c>
      <c r="G47" s="27">
        <v>30</v>
      </c>
      <c r="H47" s="27">
        <v>349</v>
      </c>
    </row>
    <row r="48" spans="1:8" x14ac:dyDescent="0.25">
      <c r="A48" s="24" t="s">
        <v>1</v>
      </c>
      <c r="B48" s="25">
        <v>40102</v>
      </c>
      <c r="C48" s="24" t="s">
        <v>30</v>
      </c>
      <c r="D48" s="26">
        <v>13.75</v>
      </c>
      <c r="E48" s="26">
        <v>1.4352333545684814</v>
      </c>
      <c r="F48" s="27">
        <v>233</v>
      </c>
      <c r="G48" s="27">
        <v>328</v>
      </c>
      <c r="H48" s="27">
        <v>4510</v>
      </c>
    </row>
    <row r="49" spans="1:8" x14ac:dyDescent="0.25">
      <c r="A49" s="24" t="s">
        <v>1</v>
      </c>
      <c r="B49" s="25">
        <v>40102</v>
      </c>
      <c r="C49" s="24" t="s">
        <v>31</v>
      </c>
      <c r="D49" s="26">
        <v>10.695652173913043</v>
      </c>
      <c r="E49" s="26">
        <v>1.4352333545684814</v>
      </c>
      <c r="F49" s="27">
        <v>289</v>
      </c>
      <c r="G49" s="27">
        <v>407</v>
      </c>
      <c r="H49" s="27">
        <v>4353</v>
      </c>
    </row>
    <row r="50" spans="1:8" x14ac:dyDescent="0.25">
      <c r="A50" s="24" t="s">
        <v>1</v>
      </c>
      <c r="B50" s="25">
        <v>40102</v>
      </c>
      <c r="C50" s="24" t="s">
        <v>32</v>
      </c>
      <c r="D50" s="26">
        <v>10.692307692307692</v>
      </c>
      <c r="E50" s="26">
        <v>1.4352333545684814</v>
      </c>
      <c r="F50" s="27">
        <v>327</v>
      </c>
      <c r="G50" s="27">
        <v>460</v>
      </c>
      <c r="H50" s="27">
        <v>5352</v>
      </c>
    </row>
    <row r="51" spans="1:8" x14ac:dyDescent="0.25">
      <c r="F51" s="20">
        <f>SUM(F47:F50)</f>
        <v>870</v>
      </c>
      <c r="G51" s="20">
        <f>SUM(G47:G50)</f>
        <v>1225</v>
      </c>
      <c r="H51" s="20">
        <f>SUM(H47:H50)</f>
        <v>14564</v>
      </c>
    </row>
    <row r="53" spans="1:8" x14ac:dyDescent="0.25">
      <c r="A53" s="21" t="s">
        <v>9</v>
      </c>
      <c r="B53" s="21" t="s">
        <v>8</v>
      </c>
      <c r="C53" s="21" t="s">
        <v>10</v>
      </c>
      <c r="D53" s="21" t="s">
        <v>11</v>
      </c>
      <c r="E53" s="21" t="s">
        <v>12</v>
      </c>
      <c r="F53" s="21" t="s">
        <v>13</v>
      </c>
      <c r="G53" s="21" t="s">
        <v>14</v>
      </c>
      <c r="H53" s="21" t="s">
        <v>15</v>
      </c>
    </row>
    <row r="54" spans="1:8" x14ac:dyDescent="0.25">
      <c r="A54" s="24" t="s">
        <v>1</v>
      </c>
      <c r="B54" s="25">
        <v>40103</v>
      </c>
      <c r="C54" s="24" t="s">
        <v>29</v>
      </c>
      <c r="D54" s="26">
        <v>13.205128205128204</v>
      </c>
      <c r="E54" s="26">
        <v>1.3785333633422852</v>
      </c>
      <c r="F54" s="27">
        <v>9</v>
      </c>
      <c r="G54" s="27">
        <v>12</v>
      </c>
      <c r="H54" s="27">
        <v>158</v>
      </c>
    </row>
    <row r="55" spans="1:8" x14ac:dyDescent="0.25">
      <c r="A55" s="24" t="s">
        <v>1</v>
      </c>
      <c r="B55" s="25">
        <v>40103</v>
      </c>
      <c r="C55" s="24" t="s">
        <v>30</v>
      </c>
      <c r="D55" s="26">
        <v>13.666666666666666</v>
      </c>
      <c r="E55" s="26">
        <v>1.3785333633422852</v>
      </c>
      <c r="F55" s="27">
        <v>389</v>
      </c>
      <c r="G55" s="27">
        <v>536</v>
      </c>
      <c r="H55" s="27">
        <v>7078</v>
      </c>
    </row>
    <row r="56" spans="1:8" x14ac:dyDescent="0.25">
      <c r="A56" s="24" t="s">
        <v>1</v>
      </c>
      <c r="B56" s="25">
        <v>40103</v>
      </c>
      <c r="C56" s="24" t="s">
        <v>31</v>
      </c>
      <c r="D56" s="26">
        <v>9.8888888888888893</v>
      </c>
      <c r="E56" s="26">
        <v>1.3785333633422852</v>
      </c>
      <c r="F56" s="27">
        <v>449</v>
      </c>
      <c r="G56" s="27">
        <v>619</v>
      </c>
      <c r="H56" s="27">
        <v>8174</v>
      </c>
    </row>
    <row r="57" spans="1:8" x14ac:dyDescent="0.25">
      <c r="A57" s="24" t="s">
        <v>1</v>
      </c>
      <c r="B57" s="25">
        <v>40103</v>
      </c>
      <c r="C57" s="24" t="s">
        <v>32</v>
      </c>
      <c r="D57" s="26">
        <v>15</v>
      </c>
      <c r="E57" s="26">
        <v>1.3785333633422852</v>
      </c>
      <c r="F57" s="27">
        <v>546</v>
      </c>
      <c r="G57" s="27">
        <v>753</v>
      </c>
      <c r="H57" s="27">
        <v>9943</v>
      </c>
    </row>
    <row r="58" spans="1:8" x14ac:dyDescent="0.25">
      <c r="F58" s="20">
        <f>SUM(F54:F57)</f>
        <v>1393</v>
      </c>
      <c r="G58" s="20">
        <f>SUM(G54:G57)</f>
        <v>1920</v>
      </c>
      <c r="H58" s="20">
        <f>SUM(H54:H57)</f>
        <v>25353</v>
      </c>
    </row>
    <row r="60" spans="1:8" x14ac:dyDescent="0.25">
      <c r="A60" s="21" t="s">
        <v>9</v>
      </c>
      <c r="B60" s="21" t="s">
        <v>8</v>
      </c>
      <c r="C60" s="21" t="s">
        <v>10</v>
      </c>
      <c r="D60" s="21" t="s">
        <v>11</v>
      </c>
      <c r="E60" s="21" t="s">
        <v>12</v>
      </c>
      <c r="F60" s="21" t="s">
        <v>13</v>
      </c>
      <c r="G60" s="21" t="s">
        <v>14</v>
      </c>
      <c r="H60" s="21" t="s">
        <v>15</v>
      </c>
    </row>
    <row r="61" spans="1:8" x14ac:dyDescent="0.25">
      <c r="A61" s="24" t="s">
        <v>1</v>
      </c>
      <c r="B61" s="25">
        <v>40104</v>
      </c>
      <c r="C61" s="24" t="s">
        <v>29</v>
      </c>
      <c r="D61" s="26">
        <v>15</v>
      </c>
      <c r="E61" s="26">
        <v>1.5156999826431274</v>
      </c>
      <c r="F61" s="27">
        <v>16</v>
      </c>
      <c r="G61" s="27">
        <v>23</v>
      </c>
      <c r="H61" s="27">
        <v>345</v>
      </c>
    </row>
    <row r="62" spans="1:8" x14ac:dyDescent="0.25">
      <c r="A62" s="24" t="s">
        <v>1</v>
      </c>
      <c r="B62" s="25">
        <v>40104</v>
      </c>
      <c r="C62" s="24" t="s">
        <v>30</v>
      </c>
      <c r="D62" s="26">
        <v>15</v>
      </c>
      <c r="E62" s="26">
        <v>1.5156999826431274</v>
      </c>
      <c r="F62" s="27">
        <v>210</v>
      </c>
      <c r="G62" s="27">
        <v>308</v>
      </c>
      <c r="H62" s="27">
        <v>4620</v>
      </c>
    </row>
    <row r="63" spans="1:8" x14ac:dyDescent="0.25">
      <c r="A63" s="24" t="s">
        <v>1</v>
      </c>
      <c r="B63" s="25">
        <v>40104</v>
      </c>
      <c r="C63" s="24" t="s">
        <v>31</v>
      </c>
      <c r="D63" s="26">
        <v>15</v>
      </c>
      <c r="E63" s="26">
        <v>1.5156999826431274</v>
      </c>
      <c r="F63" s="27">
        <v>316</v>
      </c>
      <c r="G63" s="27">
        <v>463</v>
      </c>
      <c r="H63" s="27">
        <v>6945</v>
      </c>
    </row>
    <row r="64" spans="1:8" x14ac:dyDescent="0.25">
      <c r="A64" s="24" t="s">
        <v>1</v>
      </c>
      <c r="B64" s="25">
        <v>40104</v>
      </c>
      <c r="C64" s="24" t="s">
        <v>32</v>
      </c>
      <c r="D64" s="26">
        <v>15</v>
      </c>
      <c r="E64" s="26">
        <v>1.5156999826431274</v>
      </c>
      <c r="F64" s="27">
        <v>373</v>
      </c>
      <c r="G64" s="27">
        <v>547</v>
      </c>
      <c r="H64" s="27">
        <v>8205</v>
      </c>
    </row>
    <row r="65" spans="1:8" x14ac:dyDescent="0.25">
      <c r="G65" s="20">
        <f>SUM(G61:G64)</f>
        <v>1341</v>
      </c>
      <c r="H65" s="20">
        <f>SUM(H61:H64)</f>
        <v>20115</v>
      </c>
    </row>
    <row r="67" spans="1:8" x14ac:dyDescent="0.25">
      <c r="A67" s="21" t="s">
        <v>9</v>
      </c>
      <c r="B67" s="21" t="s">
        <v>8</v>
      </c>
      <c r="C67" s="21" t="s">
        <v>10</v>
      </c>
      <c r="D67" s="21" t="s">
        <v>11</v>
      </c>
      <c r="E67" s="21" t="s">
        <v>12</v>
      </c>
      <c r="F67" s="21" t="s">
        <v>13</v>
      </c>
      <c r="G67" s="21" t="s">
        <v>14</v>
      </c>
      <c r="H67" s="21" t="s">
        <v>15</v>
      </c>
    </row>
    <row r="68" spans="1:8" x14ac:dyDescent="0.25">
      <c r="A68" s="24" t="s">
        <v>1</v>
      </c>
      <c r="B68" s="25">
        <v>40105</v>
      </c>
      <c r="C68" s="24" t="s">
        <v>29</v>
      </c>
      <c r="D68" s="26">
        <v>15</v>
      </c>
      <c r="E68" s="26">
        <v>1.5156999826431274</v>
      </c>
      <c r="F68" s="27">
        <v>8</v>
      </c>
      <c r="G68" s="27">
        <v>12</v>
      </c>
      <c r="H68" s="27">
        <v>180</v>
      </c>
    </row>
    <row r="69" spans="1:8" x14ac:dyDescent="0.25">
      <c r="A69" s="24" t="s">
        <v>1</v>
      </c>
      <c r="B69" s="25">
        <v>40105</v>
      </c>
      <c r="C69" s="24" t="s">
        <v>30</v>
      </c>
      <c r="D69" s="26">
        <v>15</v>
      </c>
      <c r="E69" s="26">
        <v>1.5156999826431274</v>
      </c>
      <c r="F69" s="27">
        <v>196</v>
      </c>
      <c r="G69" s="27">
        <v>297</v>
      </c>
      <c r="H69" s="27">
        <v>4455</v>
      </c>
    </row>
    <row r="70" spans="1:8" x14ac:dyDescent="0.25">
      <c r="A70" s="24" t="s">
        <v>1</v>
      </c>
      <c r="B70" s="25">
        <v>40105</v>
      </c>
      <c r="C70" s="24" t="s">
        <v>31</v>
      </c>
      <c r="D70" s="26">
        <v>15</v>
      </c>
      <c r="E70" s="26">
        <v>1.5156999826431274</v>
      </c>
      <c r="F70" s="27">
        <v>280</v>
      </c>
      <c r="G70" s="27">
        <v>424</v>
      </c>
      <c r="H70" s="27">
        <v>6360</v>
      </c>
    </row>
    <row r="71" spans="1:8" x14ac:dyDescent="0.25">
      <c r="A71" s="24" t="s">
        <v>1</v>
      </c>
      <c r="B71" s="25">
        <v>40105</v>
      </c>
      <c r="C71" s="24" t="s">
        <v>32</v>
      </c>
      <c r="D71" s="26">
        <v>15</v>
      </c>
      <c r="E71" s="26">
        <v>1.5156999826431274</v>
      </c>
      <c r="F71" s="27">
        <v>370</v>
      </c>
      <c r="G71" s="27">
        <v>561</v>
      </c>
      <c r="H71" s="27">
        <v>8415</v>
      </c>
    </row>
    <row r="72" spans="1:8" x14ac:dyDescent="0.25">
      <c r="F72" s="20">
        <f>SUM(F68:F71)</f>
        <v>854</v>
      </c>
      <c r="G72" s="20">
        <f>SUM(G68:G71)</f>
        <v>1294</v>
      </c>
      <c r="H72" s="20">
        <f>SUM(H68:H71)</f>
        <v>19410</v>
      </c>
    </row>
    <row r="74" spans="1:8" x14ac:dyDescent="0.25">
      <c r="A74" s="29" t="s">
        <v>9</v>
      </c>
      <c r="B74" s="29" t="s">
        <v>8</v>
      </c>
      <c r="C74" s="29" t="s">
        <v>10</v>
      </c>
      <c r="D74" s="29" t="s">
        <v>11</v>
      </c>
      <c r="E74" s="29" t="s">
        <v>12</v>
      </c>
      <c r="F74" s="29" t="s">
        <v>13</v>
      </c>
      <c r="G74" s="29" t="s">
        <v>14</v>
      </c>
      <c r="H74" s="29" t="s">
        <v>15</v>
      </c>
    </row>
    <row r="75" spans="1:8" x14ac:dyDescent="0.25">
      <c r="A75" s="30" t="s">
        <v>33</v>
      </c>
      <c r="B75" s="31">
        <v>40102</v>
      </c>
      <c r="C75" s="30" t="s">
        <v>34</v>
      </c>
      <c r="D75" s="26">
        <v>15</v>
      </c>
      <c r="E75" s="26">
        <v>1.4973000288009644</v>
      </c>
      <c r="F75" s="27">
        <v>29</v>
      </c>
      <c r="G75" s="27">
        <v>43</v>
      </c>
      <c r="H75" s="27">
        <v>645</v>
      </c>
    </row>
    <row r="76" spans="1:8" x14ac:dyDescent="0.25">
      <c r="A76" s="30" t="s">
        <v>33</v>
      </c>
      <c r="B76" s="31">
        <v>40102</v>
      </c>
      <c r="C76" s="30" t="s">
        <v>35</v>
      </c>
      <c r="D76" s="26">
        <v>4.25</v>
      </c>
      <c r="E76" s="26">
        <v>1.4973000288009644</v>
      </c>
      <c r="F76" s="27">
        <v>79</v>
      </c>
      <c r="G76" s="27">
        <v>118</v>
      </c>
      <c r="H76" s="27">
        <v>502</v>
      </c>
    </row>
    <row r="77" spans="1:8" x14ac:dyDescent="0.25">
      <c r="A77" s="30" t="s">
        <v>33</v>
      </c>
      <c r="B77" s="31">
        <v>40102</v>
      </c>
      <c r="C77" s="30" t="s">
        <v>36</v>
      </c>
      <c r="D77" s="26">
        <v>5.6923076923076925</v>
      </c>
      <c r="E77" s="26">
        <v>1.4973000288009644</v>
      </c>
      <c r="F77" s="27">
        <v>145</v>
      </c>
      <c r="G77" s="27">
        <v>217</v>
      </c>
      <c r="H77" s="27">
        <v>1235</v>
      </c>
    </row>
    <row r="78" spans="1:8" x14ac:dyDescent="0.25">
      <c r="A78" s="30" t="s">
        <v>33</v>
      </c>
      <c r="B78" s="31">
        <v>40102</v>
      </c>
      <c r="C78" s="30" t="s">
        <v>40</v>
      </c>
      <c r="D78" s="26">
        <v>8.384615384615385</v>
      </c>
      <c r="E78" s="26">
        <v>1.4973000288009644</v>
      </c>
      <c r="F78" s="27">
        <v>74</v>
      </c>
      <c r="G78" s="27">
        <v>111</v>
      </c>
      <c r="H78" s="27">
        <v>931</v>
      </c>
    </row>
    <row r="79" spans="1:8" x14ac:dyDescent="0.25">
      <c r="A79" s="30" t="s">
        <v>33</v>
      </c>
      <c r="B79" s="31">
        <v>40102</v>
      </c>
      <c r="C79" s="30" t="s">
        <v>37</v>
      </c>
      <c r="D79" s="26">
        <v>12.764705882352942</v>
      </c>
      <c r="E79" s="26">
        <v>1.4973000288009644</v>
      </c>
      <c r="F79" s="27">
        <v>295</v>
      </c>
      <c r="G79" s="27">
        <v>442</v>
      </c>
      <c r="H79" s="27">
        <v>5642</v>
      </c>
    </row>
    <row r="80" spans="1:8" x14ac:dyDescent="0.25">
      <c r="A80" s="30" t="s">
        <v>33</v>
      </c>
      <c r="B80" s="31">
        <v>40102</v>
      </c>
      <c r="C80" s="30" t="s">
        <v>38</v>
      </c>
      <c r="D80" s="26">
        <v>13.928571428571429</v>
      </c>
      <c r="E80" s="26">
        <v>1.4973000288009644</v>
      </c>
      <c r="F80" s="27">
        <v>525</v>
      </c>
      <c r="G80" s="27">
        <v>786</v>
      </c>
      <c r="H80" s="27">
        <v>8615</v>
      </c>
    </row>
    <row r="81" spans="1:8" x14ac:dyDescent="0.25">
      <c r="A81" s="30" t="s">
        <v>33</v>
      </c>
      <c r="B81" s="31">
        <v>40102</v>
      </c>
      <c r="C81" s="30" t="s">
        <v>39</v>
      </c>
      <c r="D81" s="26">
        <v>15</v>
      </c>
      <c r="E81" s="26">
        <v>1.4973000288009644</v>
      </c>
      <c r="F81" s="27">
        <v>543</v>
      </c>
      <c r="G81" s="27">
        <v>813</v>
      </c>
      <c r="H81" s="27">
        <v>8910</v>
      </c>
    </row>
    <row r="82" spans="1:8" x14ac:dyDescent="0.25">
      <c r="F82" s="20">
        <f>SUM(F75:F81)</f>
        <v>1690</v>
      </c>
      <c r="G82" s="20">
        <f>SUM(G75:G81)</f>
        <v>2530</v>
      </c>
      <c r="H82" s="20">
        <f>SUM(H75:H81)</f>
        <v>26480</v>
      </c>
    </row>
    <row r="84" spans="1:8" x14ac:dyDescent="0.25">
      <c r="A84" s="29" t="s">
        <v>9</v>
      </c>
      <c r="B84" s="29" t="s">
        <v>8</v>
      </c>
      <c r="C84" s="29" t="s">
        <v>10</v>
      </c>
      <c r="D84" s="29" t="s">
        <v>11</v>
      </c>
      <c r="E84" s="29" t="s">
        <v>12</v>
      </c>
      <c r="F84" s="29" t="s">
        <v>13</v>
      </c>
      <c r="G84" s="29" t="s">
        <v>14</v>
      </c>
      <c r="H84" s="29" t="s">
        <v>15</v>
      </c>
    </row>
    <row r="85" spans="1:8" x14ac:dyDescent="0.25">
      <c r="A85" s="32" t="s">
        <v>33</v>
      </c>
      <c r="B85" s="33">
        <v>40103</v>
      </c>
      <c r="C85" s="32" t="s">
        <v>34</v>
      </c>
      <c r="D85" s="26">
        <v>15</v>
      </c>
      <c r="E85" s="26">
        <v>1.4442000389099121</v>
      </c>
      <c r="F85" s="27">
        <v>55</v>
      </c>
      <c r="G85" s="27">
        <v>79</v>
      </c>
      <c r="H85" s="27">
        <v>1185</v>
      </c>
    </row>
    <row r="86" spans="1:8" x14ac:dyDescent="0.25">
      <c r="A86" s="32" t="s">
        <v>33</v>
      </c>
      <c r="B86" s="33">
        <v>40103</v>
      </c>
      <c r="C86" s="32" t="s">
        <v>35</v>
      </c>
      <c r="D86" s="26">
        <v>15</v>
      </c>
      <c r="E86" s="26">
        <v>1.4442000389099121</v>
      </c>
      <c r="F86" s="27">
        <v>149</v>
      </c>
      <c r="G86" s="27">
        <v>215</v>
      </c>
      <c r="H86" s="27">
        <v>3225</v>
      </c>
    </row>
    <row r="87" spans="1:8" x14ac:dyDescent="0.25">
      <c r="A87" s="32" t="s">
        <v>33</v>
      </c>
      <c r="B87" s="33">
        <v>40103</v>
      </c>
      <c r="C87" s="32" t="s">
        <v>36</v>
      </c>
      <c r="D87" s="26">
        <v>15</v>
      </c>
      <c r="E87" s="26">
        <v>1.4442000389099121</v>
      </c>
      <c r="F87" s="27">
        <v>273</v>
      </c>
      <c r="G87" s="27">
        <v>394</v>
      </c>
      <c r="H87" s="27">
        <v>5910</v>
      </c>
    </row>
    <row r="88" spans="1:8" x14ac:dyDescent="0.25">
      <c r="A88" s="32" t="s">
        <v>33</v>
      </c>
      <c r="B88" s="33">
        <v>40103</v>
      </c>
      <c r="C88" s="32" t="s">
        <v>40</v>
      </c>
      <c r="D88" s="26">
        <v>15</v>
      </c>
      <c r="E88" s="26">
        <v>1.4442000389099121</v>
      </c>
      <c r="F88" s="27">
        <v>139</v>
      </c>
      <c r="G88" s="27">
        <v>201</v>
      </c>
      <c r="H88" s="27">
        <v>3015</v>
      </c>
    </row>
    <row r="89" spans="1:8" x14ac:dyDescent="0.25">
      <c r="A89" s="32" t="s">
        <v>33</v>
      </c>
      <c r="B89" s="33">
        <v>40103</v>
      </c>
      <c r="C89" s="32" t="s">
        <v>37</v>
      </c>
      <c r="D89" s="26">
        <v>15</v>
      </c>
      <c r="E89" s="26">
        <v>1.4442000389099121</v>
      </c>
      <c r="F89" s="27">
        <v>568</v>
      </c>
      <c r="G89" s="27">
        <v>820</v>
      </c>
      <c r="H89" s="27">
        <v>12300</v>
      </c>
    </row>
    <row r="90" spans="1:8" x14ac:dyDescent="0.25">
      <c r="A90" s="32" t="s">
        <v>33</v>
      </c>
      <c r="B90" s="33">
        <v>40103</v>
      </c>
      <c r="C90" s="32" t="s">
        <v>38</v>
      </c>
      <c r="D90" s="26">
        <v>15</v>
      </c>
      <c r="E90" s="26">
        <v>1.4442000389099121</v>
      </c>
      <c r="F90" s="27">
        <v>692</v>
      </c>
      <c r="G90" s="27">
        <v>999</v>
      </c>
      <c r="H90" s="27">
        <v>14985</v>
      </c>
    </row>
    <row r="91" spans="1:8" x14ac:dyDescent="0.25">
      <c r="A91" s="32" t="s">
        <v>33</v>
      </c>
      <c r="B91" s="33">
        <v>40103</v>
      </c>
      <c r="C91" s="32" t="s">
        <v>39</v>
      </c>
      <c r="D91" s="26">
        <v>15</v>
      </c>
      <c r="E91" s="26">
        <v>1.4442000389099121</v>
      </c>
      <c r="F91" s="27">
        <v>1124</v>
      </c>
      <c r="G91" s="27">
        <v>1623</v>
      </c>
      <c r="H91" s="27">
        <v>24345</v>
      </c>
    </row>
    <row r="92" spans="1:8" x14ac:dyDescent="0.25">
      <c r="F92" s="20">
        <f>SUM(F85:F91)</f>
        <v>3000</v>
      </c>
      <c r="G92" s="20">
        <f>SUM(G85:G91)</f>
        <v>4331</v>
      </c>
      <c r="H92" s="20">
        <f>SUM(H85:H91)</f>
        <v>64965</v>
      </c>
    </row>
    <row r="94" spans="1:8" x14ac:dyDescent="0.25">
      <c r="A94" s="29" t="s">
        <v>9</v>
      </c>
      <c r="B94" s="29" t="s">
        <v>8</v>
      </c>
      <c r="C94" s="29" t="s">
        <v>10</v>
      </c>
      <c r="D94" s="29" t="s">
        <v>11</v>
      </c>
      <c r="E94" s="29" t="s">
        <v>44</v>
      </c>
      <c r="F94" s="29" t="s">
        <v>42</v>
      </c>
      <c r="G94" s="29" t="s">
        <v>43</v>
      </c>
      <c r="H94" s="29" t="s">
        <v>15</v>
      </c>
    </row>
    <row r="95" spans="1:8" x14ac:dyDescent="0.25">
      <c r="A95" s="32" t="s">
        <v>4</v>
      </c>
      <c r="B95" s="33">
        <v>40103</v>
      </c>
      <c r="C95" s="32" t="s">
        <v>45</v>
      </c>
      <c r="D95" s="26"/>
      <c r="E95" s="26">
        <v>1.4570000000000001</v>
      </c>
      <c r="F95" s="27">
        <v>0</v>
      </c>
      <c r="G95" s="27">
        <v>0</v>
      </c>
      <c r="H95" s="27">
        <v>0</v>
      </c>
    </row>
    <row r="96" spans="1:8" x14ac:dyDescent="0.25">
      <c r="A96" s="32" t="s">
        <v>4</v>
      </c>
      <c r="B96" s="33">
        <v>40103</v>
      </c>
      <c r="C96" s="32" t="s">
        <v>46</v>
      </c>
      <c r="D96" s="26"/>
      <c r="E96" s="26">
        <v>1.4570000000000001</v>
      </c>
      <c r="F96" s="27">
        <v>20</v>
      </c>
      <c r="G96" s="27">
        <v>28.56862745098039</v>
      </c>
      <c r="H96" s="27">
        <v>418.81607843137255</v>
      </c>
    </row>
    <row r="97" spans="1:8" x14ac:dyDescent="0.25">
      <c r="A97" s="32" t="s">
        <v>4</v>
      </c>
      <c r="B97" s="33">
        <v>40103</v>
      </c>
      <c r="C97" s="32" t="s">
        <v>47</v>
      </c>
      <c r="D97" s="26">
        <v>9.5777777777777793</v>
      </c>
      <c r="E97" s="26">
        <v>1.4570000000000001</v>
      </c>
      <c r="F97" s="27">
        <v>62</v>
      </c>
      <c r="G97" s="27">
        <v>90.334000000000003</v>
      </c>
      <c r="H97" s="27">
        <v>865.19897777777794</v>
      </c>
    </row>
    <row r="98" spans="1:8" x14ac:dyDescent="0.25">
      <c r="A98" s="32" t="s">
        <v>4</v>
      </c>
      <c r="B98" s="33">
        <v>40103</v>
      </c>
      <c r="C98" s="32" t="s">
        <v>48</v>
      </c>
      <c r="D98" s="26"/>
      <c r="E98" s="26">
        <v>1.4570000000000001</v>
      </c>
      <c r="F98" s="27">
        <v>133</v>
      </c>
      <c r="G98" s="27">
        <v>189.9813725490196</v>
      </c>
      <c r="H98" s="27">
        <v>2785.1269215686275</v>
      </c>
    </row>
    <row r="99" spans="1:8" x14ac:dyDescent="0.25">
      <c r="A99" s="32" t="s">
        <v>4</v>
      </c>
      <c r="B99" s="33">
        <v>40103</v>
      </c>
      <c r="C99" s="32" t="s">
        <v>49</v>
      </c>
      <c r="D99" s="26">
        <v>14.841269841269799</v>
      </c>
      <c r="E99" s="26">
        <v>1.4570000000000001</v>
      </c>
      <c r="F99" s="27">
        <v>89</v>
      </c>
      <c r="G99" s="27">
        <v>118.39708695652175</v>
      </c>
      <c r="H99" s="27">
        <v>1757.1631159420242</v>
      </c>
    </row>
    <row r="100" spans="1:8" x14ac:dyDescent="0.25">
      <c r="A100" s="32"/>
      <c r="B100" s="33"/>
      <c r="C100" s="32"/>
      <c r="D100" s="26"/>
      <c r="E100" s="26"/>
      <c r="F100" s="27">
        <f>SUM(F95:F99)</f>
        <v>304</v>
      </c>
      <c r="G100" s="27">
        <f>SUM(G95:G99)</f>
        <v>427.28108695652179</v>
      </c>
      <c r="H100" s="27">
        <f>SUM(H95:H99)</f>
        <v>5826.3050937198022</v>
      </c>
    </row>
    <row r="101" spans="1:8" x14ac:dyDescent="0.25">
      <c r="A101" s="32"/>
      <c r="B101" s="33"/>
      <c r="C101" s="32"/>
      <c r="D101" s="26"/>
      <c r="E101" s="26"/>
      <c r="F101" s="27"/>
      <c r="G101" s="27"/>
      <c r="H101" s="27"/>
    </row>
    <row r="102" spans="1:8" x14ac:dyDescent="0.25">
      <c r="A102" s="32"/>
      <c r="B102" s="33"/>
      <c r="C102" s="32"/>
      <c r="D102" s="26"/>
      <c r="E102" s="26"/>
      <c r="F102" s="27"/>
      <c r="G102" s="27"/>
      <c r="H102" s="27"/>
    </row>
    <row r="103" spans="1:8" x14ac:dyDescent="0.25">
      <c r="A103" s="32" t="s">
        <v>4</v>
      </c>
      <c r="B103" s="33">
        <v>40104</v>
      </c>
      <c r="C103" s="32" t="s">
        <v>45</v>
      </c>
      <c r="D103" s="26"/>
      <c r="E103" s="26">
        <v>1.4059999999999999</v>
      </c>
      <c r="F103" s="27">
        <v>6</v>
      </c>
      <c r="G103" s="27">
        <v>8.2705882352941167</v>
      </c>
      <c r="H103" s="27">
        <v>121.24682352941176</v>
      </c>
    </row>
    <row r="104" spans="1:8" x14ac:dyDescent="0.25">
      <c r="A104" s="32" t="s">
        <v>4</v>
      </c>
      <c r="B104" s="33">
        <v>40104</v>
      </c>
      <c r="C104" s="32" t="s">
        <v>46</v>
      </c>
      <c r="D104" s="26"/>
      <c r="E104" s="26">
        <v>1.41</v>
      </c>
      <c r="F104" s="27">
        <v>13</v>
      </c>
      <c r="G104" s="27">
        <v>17.970588235294116</v>
      </c>
      <c r="H104" s="27">
        <v>263.44882352941175</v>
      </c>
    </row>
    <row r="105" spans="1:8" x14ac:dyDescent="0.25">
      <c r="A105" s="32" t="s">
        <v>4</v>
      </c>
      <c r="B105" s="33">
        <v>40104</v>
      </c>
      <c r="C105" s="32" t="s">
        <v>47</v>
      </c>
      <c r="D105" s="26">
        <v>14.285714285714301</v>
      </c>
      <c r="E105" s="26">
        <v>1.41</v>
      </c>
      <c r="F105" s="27">
        <v>39</v>
      </c>
      <c r="G105" s="27">
        <v>54.989999999999995</v>
      </c>
      <c r="H105" s="27">
        <v>785.57142857142935</v>
      </c>
    </row>
    <row r="106" spans="1:8" x14ac:dyDescent="0.25">
      <c r="A106" s="32" t="s">
        <v>4</v>
      </c>
      <c r="B106" s="33">
        <v>40104</v>
      </c>
      <c r="C106" s="32" t="s">
        <v>48</v>
      </c>
      <c r="D106" s="26"/>
      <c r="E106" s="26">
        <v>1.41</v>
      </c>
      <c r="F106" s="27">
        <v>53</v>
      </c>
      <c r="G106" s="27">
        <v>73.264705882352942</v>
      </c>
      <c r="H106" s="27">
        <v>1074.0605882352941</v>
      </c>
    </row>
    <row r="107" spans="1:8" x14ac:dyDescent="0.25">
      <c r="A107" s="32" t="s">
        <v>4</v>
      </c>
      <c r="B107" s="33">
        <v>40104</v>
      </c>
      <c r="C107" s="32" t="s">
        <v>49</v>
      </c>
      <c r="D107" s="26">
        <v>14.9310344827586</v>
      </c>
      <c r="E107" s="26">
        <v>1.41</v>
      </c>
      <c r="F107" s="27">
        <v>28</v>
      </c>
      <c r="G107" s="27">
        <v>38.163999999999994</v>
      </c>
      <c r="H107" s="27">
        <v>569.82799999999907</v>
      </c>
    </row>
    <row r="108" spans="1:8" x14ac:dyDescent="0.25">
      <c r="F108" s="20">
        <f>SUM(F103:F107)</f>
        <v>139</v>
      </c>
      <c r="G108" s="20">
        <f>SUM(G103:G107)</f>
        <v>192.65988235294117</v>
      </c>
      <c r="H108" s="20">
        <f>SUM(H103:H107)</f>
        <v>2814.1556638655461</v>
      </c>
    </row>
    <row r="110" spans="1:8" x14ac:dyDescent="0.25">
      <c r="A110" s="86" t="s">
        <v>9</v>
      </c>
      <c r="B110" s="86" t="s">
        <v>8</v>
      </c>
      <c r="C110" s="86" t="s">
        <v>10</v>
      </c>
      <c r="D110" s="86" t="s">
        <v>11</v>
      </c>
      <c r="E110" s="86" t="s">
        <v>12</v>
      </c>
      <c r="F110" s="86" t="s">
        <v>13</v>
      </c>
      <c r="G110" s="86" t="s">
        <v>14</v>
      </c>
      <c r="H110" s="86" t="s">
        <v>15</v>
      </c>
    </row>
    <row r="111" spans="1:8" x14ac:dyDescent="0.25">
      <c r="A111" s="87" t="s">
        <v>1</v>
      </c>
      <c r="B111" s="88">
        <v>40121</v>
      </c>
      <c r="C111" s="87" t="s">
        <v>29</v>
      </c>
      <c r="D111" s="89">
        <v>14.970588235294118</v>
      </c>
      <c r="E111" s="89">
        <v>1.4696667194366455</v>
      </c>
      <c r="F111" s="89">
        <v>5</v>
      </c>
      <c r="G111" s="89">
        <v>7</v>
      </c>
      <c r="H111" s="89">
        <v>105</v>
      </c>
    </row>
    <row r="112" spans="1:8" x14ac:dyDescent="0.25">
      <c r="A112" s="87" t="s">
        <v>1</v>
      </c>
      <c r="B112" s="88">
        <v>40121</v>
      </c>
      <c r="C112" s="87" t="s">
        <v>30</v>
      </c>
      <c r="D112" s="89">
        <v>15</v>
      </c>
      <c r="E112" s="89">
        <v>1.4696667194366455</v>
      </c>
      <c r="F112" s="89">
        <v>174</v>
      </c>
      <c r="G112" s="89">
        <v>256</v>
      </c>
      <c r="H112" s="89">
        <v>3840</v>
      </c>
    </row>
    <row r="113" spans="1:8" x14ac:dyDescent="0.25">
      <c r="A113" s="87" t="s">
        <v>1</v>
      </c>
      <c r="B113" s="88">
        <v>40121</v>
      </c>
      <c r="C113" s="87" t="s">
        <v>31</v>
      </c>
      <c r="D113" s="89">
        <v>14.875</v>
      </c>
      <c r="E113" s="89">
        <v>1.4696667194366455</v>
      </c>
      <c r="F113" s="89">
        <v>247</v>
      </c>
      <c r="G113" s="89">
        <v>363</v>
      </c>
      <c r="H113" s="89">
        <v>5434</v>
      </c>
    </row>
    <row r="114" spans="1:8" x14ac:dyDescent="0.25">
      <c r="A114" s="87" t="s">
        <v>1</v>
      </c>
      <c r="B114" s="88">
        <v>40121</v>
      </c>
      <c r="C114" s="87" t="s">
        <v>32</v>
      </c>
      <c r="D114" s="89">
        <v>15</v>
      </c>
      <c r="E114" s="89">
        <v>1.4696667194366455</v>
      </c>
      <c r="F114" s="89">
        <v>299</v>
      </c>
      <c r="G114" s="89">
        <v>439</v>
      </c>
      <c r="H114" s="89">
        <v>6572</v>
      </c>
    </row>
    <row r="115" spans="1:8" x14ac:dyDescent="0.25">
      <c r="F115">
        <f>SUM(F111:F114)</f>
        <v>725</v>
      </c>
      <c r="G115" s="20">
        <f>SUM(G111:G114)</f>
        <v>1065</v>
      </c>
      <c r="H115" s="20">
        <f>SUM(H111:H114)</f>
        <v>15951</v>
      </c>
    </row>
    <row r="117" spans="1:8" x14ac:dyDescent="0.25">
      <c r="A117" s="86" t="s">
        <v>9</v>
      </c>
      <c r="B117" s="86" t="s">
        <v>8</v>
      </c>
      <c r="C117" s="86" t="s">
        <v>10</v>
      </c>
      <c r="D117" s="86" t="s">
        <v>11</v>
      </c>
      <c r="E117" s="86" t="s">
        <v>12</v>
      </c>
      <c r="F117" s="86" t="s">
        <v>13</v>
      </c>
      <c r="G117" s="86" t="s">
        <v>14</v>
      </c>
      <c r="H117" s="86" t="s">
        <v>15</v>
      </c>
    </row>
    <row r="118" spans="1:8" x14ac:dyDescent="0.25">
      <c r="A118" s="32" t="s">
        <v>33</v>
      </c>
      <c r="B118" s="33">
        <v>40121</v>
      </c>
      <c r="C118" s="32" t="s">
        <v>34</v>
      </c>
      <c r="D118" s="26">
        <v>14.666666666666666</v>
      </c>
      <c r="E118" s="26">
        <v>1.6503666639328003</v>
      </c>
      <c r="F118" s="27">
        <v>9</v>
      </c>
      <c r="G118" s="27">
        <v>15</v>
      </c>
      <c r="H118" s="27">
        <v>220</v>
      </c>
    </row>
    <row r="119" spans="1:8" x14ac:dyDescent="0.25">
      <c r="A119" s="32" t="s">
        <v>33</v>
      </c>
      <c r="B119" s="33">
        <v>40121</v>
      </c>
      <c r="C119" s="32" t="s">
        <v>35</v>
      </c>
      <c r="D119" s="26">
        <v>14.666666666666666</v>
      </c>
      <c r="E119" s="26">
        <v>1.6503666639328003</v>
      </c>
      <c r="F119" s="27">
        <v>27</v>
      </c>
      <c r="G119" s="27">
        <v>45</v>
      </c>
      <c r="H119" s="27">
        <v>660</v>
      </c>
    </row>
    <row r="120" spans="1:8" x14ac:dyDescent="0.25">
      <c r="A120" s="32" t="s">
        <v>33</v>
      </c>
      <c r="B120" s="33">
        <v>40121</v>
      </c>
      <c r="C120" s="32" t="s">
        <v>36</v>
      </c>
      <c r="D120" s="26">
        <v>14.666666666666666</v>
      </c>
      <c r="E120" s="26">
        <v>1.6503666639328003</v>
      </c>
      <c r="F120" s="27">
        <v>47</v>
      </c>
      <c r="G120" s="27">
        <v>78</v>
      </c>
      <c r="H120" s="27">
        <v>1144</v>
      </c>
    </row>
    <row r="121" spans="1:8" x14ac:dyDescent="0.25">
      <c r="A121" s="32" t="s">
        <v>33</v>
      </c>
      <c r="B121" s="33">
        <v>40121</v>
      </c>
      <c r="C121" s="32" t="s">
        <v>40</v>
      </c>
      <c r="D121" s="26">
        <v>14.666666666666666</v>
      </c>
      <c r="E121" s="26">
        <v>1.6503666639328003</v>
      </c>
      <c r="F121" s="27">
        <v>25</v>
      </c>
      <c r="G121" s="27">
        <v>41</v>
      </c>
      <c r="H121" s="27">
        <v>601</v>
      </c>
    </row>
    <row r="122" spans="1:8" x14ac:dyDescent="0.25">
      <c r="A122" s="32" t="s">
        <v>33</v>
      </c>
      <c r="B122" s="33">
        <v>40121</v>
      </c>
      <c r="C122" s="32" t="s">
        <v>37</v>
      </c>
      <c r="D122" s="26">
        <v>14</v>
      </c>
      <c r="E122" s="26">
        <v>1.6503666639328003</v>
      </c>
      <c r="F122" s="27">
        <v>137</v>
      </c>
      <c r="G122" s="27">
        <v>226</v>
      </c>
      <c r="H122" s="27">
        <v>3164</v>
      </c>
    </row>
    <row r="123" spans="1:8" x14ac:dyDescent="0.25">
      <c r="A123" s="32" t="s">
        <v>33</v>
      </c>
      <c r="B123" s="33">
        <v>40121</v>
      </c>
      <c r="C123" s="32" t="s">
        <v>38</v>
      </c>
      <c r="D123" s="26">
        <v>14.777777777777779</v>
      </c>
      <c r="E123" s="26">
        <v>1.6503666639328003</v>
      </c>
      <c r="F123" s="27">
        <v>117</v>
      </c>
      <c r="G123" s="27">
        <v>193</v>
      </c>
      <c r="H123" s="27">
        <v>2852</v>
      </c>
    </row>
    <row r="124" spans="1:8" x14ac:dyDescent="0.25">
      <c r="A124" s="32" t="s">
        <v>33</v>
      </c>
      <c r="B124" s="33">
        <v>40121</v>
      </c>
      <c r="C124" s="32" t="s">
        <v>39</v>
      </c>
      <c r="D124" s="26">
        <v>15.111111111111111</v>
      </c>
      <c r="E124" s="26">
        <v>1.6503666639328003</v>
      </c>
      <c r="F124" s="27">
        <v>162</v>
      </c>
      <c r="G124" s="27">
        <v>267</v>
      </c>
      <c r="H124" s="27">
        <v>4035</v>
      </c>
    </row>
    <row r="125" spans="1:8" x14ac:dyDescent="0.25">
      <c r="F125" s="20">
        <f>SUM(F118:F124)</f>
        <v>524</v>
      </c>
      <c r="G125" s="20">
        <f>SUM(G118:G124)</f>
        <v>865</v>
      </c>
      <c r="H125" s="20">
        <f>SUM(H118:H124)</f>
        <v>12676</v>
      </c>
    </row>
    <row r="127" spans="1:8" x14ac:dyDescent="0.25">
      <c r="A127" s="86" t="s">
        <v>9</v>
      </c>
      <c r="B127" s="86" t="s">
        <v>8</v>
      </c>
      <c r="C127" s="86" t="s">
        <v>10</v>
      </c>
      <c r="D127" s="86" t="s">
        <v>11</v>
      </c>
      <c r="E127" s="86" t="s">
        <v>12</v>
      </c>
      <c r="F127" s="86" t="s">
        <v>13</v>
      </c>
      <c r="G127" s="86" t="s">
        <v>14</v>
      </c>
      <c r="H127" s="86" t="s">
        <v>15</v>
      </c>
    </row>
    <row r="128" spans="1:8" x14ac:dyDescent="0.25">
      <c r="A128" s="87" t="s">
        <v>1</v>
      </c>
      <c r="B128" s="88">
        <v>40122</v>
      </c>
      <c r="C128" s="87" t="s">
        <v>29</v>
      </c>
      <c r="D128" s="89">
        <v>10.181818181818182</v>
      </c>
      <c r="E128" s="89">
        <v>1.4665499925613403</v>
      </c>
      <c r="F128" s="89">
        <v>0</v>
      </c>
      <c r="G128" s="89">
        <v>0</v>
      </c>
      <c r="H128" s="89">
        <v>0</v>
      </c>
    </row>
    <row r="129" spans="1:11" x14ac:dyDescent="0.25">
      <c r="A129" s="87" t="s">
        <v>1</v>
      </c>
      <c r="B129" s="88">
        <v>40122</v>
      </c>
      <c r="C129" s="87" t="s">
        <v>30</v>
      </c>
      <c r="D129" s="89">
        <v>2.3333333333333335</v>
      </c>
      <c r="E129" s="89">
        <v>1.4665499925613403</v>
      </c>
      <c r="F129" s="89">
        <v>29</v>
      </c>
      <c r="G129" s="89">
        <v>43</v>
      </c>
      <c r="H129" s="89">
        <v>100</v>
      </c>
    </row>
    <row r="130" spans="1:11" x14ac:dyDescent="0.25">
      <c r="A130" s="87" t="s">
        <v>1</v>
      </c>
      <c r="B130" s="88">
        <v>40122</v>
      </c>
      <c r="C130" s="87" t="s">
        <v>31</v>
      </c>
      <c r="D130" s="89">
        <v>12</v>
      </c>
      <c r="E130" s="89">
        <v>1.4665499925613403</v>
      </c>
      <c r="F130" s="89">
        <v>44</v>
      </c>
      <c r="G130" s="89">
        <v>65</v>
      </c>
      <c r="H130" s="89">
        <v>780</v>
      </c>
    </row>
    <row r="131" spans="1:11" x14ac:dyDescent="0.25">
      <c r="A131" s="87" t="s">
        <v>1</v>
      </c>
      <c r="B131" s="88">
        <v>40122</v>
      </c>
      <c r="C131" s="87" t="s">
        <v>32</v>
      </c>
      <c r="D131" s="89">
        <v>15</v>
      </c>
      <c r="E131" s="89">
        <v>1.4665499925613403</v>
      </c>
      <c r="F131" s="89">
        <v>33</v>
      </c>
      <c r="G131" s="89">
        <v>48</v>
      </c>
      <c r="H131" s="89">
        <v>720</v>
      </c>
    </row>
    <row r="132" spans="1:11" x14ac:dyDescent="0.25">
      <c r="F132">
        <f>SUM(F128:F131)</f>
        <v>106</v>
      </c>
      <c r="G132" s="20">
        <f>SUM(G128:G131)</f>
        <v>156</v>
      </c>
      <c r="H132" s="20">
        <f>SUM(H128:H131)</f>
        <v>1600</v>
      </c>
    </row>
    <row r="134" spans="1:11" x14ac:dyDescent="0.25">
      <c r="A134" s="21" t="s">
        <v>9</v>
      </c>
      <c r="B134" s="21" t="s">
        <v>8</v>
      </c>
      <c r="C134" s="21" t="s">
        <v>10</v>
      </c>
      <c r="D134" s="21" t="s">
        <v>11</v>
      </c>
      <c r="E134" s="21" t="s">
        <v>12</v>
      </c>
      <c r="F134" s="21" t="s">
        <v>13</v>
      </c>
      <c r="G134" s="21" t="s">
        <v>14</v>
      </c>
      <c r="H134" s="21" t="s">
        <v>15</v>
      </c>
    </row>
    <row r="135" spans="1:11" x14ac:dyDescent="0.25">
      <c r="A135" s="22" t="s">
        <v>1</v>
      </c>
      <c r="B135" s="23">
        <v>40124</v>
      </c>
      <c r="C135" s="22" t="s">
        <v>29</v>
      </c>
      <c r="D135" s="114">
        <v>13</v>
      </c>
      <c r="E135" s="114">
        <v>1.4352333545684814</v>
      </c>
      <c r="F135" s="114">
        <v>0</v>
      </c>
      <c r="G135" s="115">
        <v>0</v>
      </c>
      <c r="H135" s="115">
        <v>0</v>
      </c>
    </row>
    <row r="136" spans="1:11" x14ac:dyDescent="0.25">
      <c r="A136" s="22" t="s">
        <v>1</v>
      </c>
      <c r="B136" s="23">
        <v>40124</v>
      </c>
      <c r="C136" s="22" t="s">
        <v>30</v>
      </c>
      <c r="D136" s="114">
        <v>15</v>
      </c>
      <c r="E136" s="114">
        <v>1.4352333545684814</v>
      </c>
      <c r="F136" s="114">
        <v>80</v>
      </c>
      <c r="G136" s="115">
        <v>112</v>
      </c>
      <c r="H136" s="115">
        <v>1680</v>
      </c>
    </row>
    <row r="137" spans="1:11" x14ac:dyDescent="0.25">
      <c r="A137" s="22" t="s">
        <v>1</v>
      </c>
      <c r="B137" s="23">
        <v>40124</v>
      </c>
      <c r="C137" s="22" t="s">
        <v>31</v>
      </c>
      <c r="D137" s="114">
        <v>11.086956521739131</v>
      </c>
      <c r="E137" s="114">
        <v>1.4352333545684814</v>
      </c>
      <c r="F137" s="114">
        <v>251</v>
      </c>
      <c r="G137" s="115">
        <v>352</v>
      </c>
      <c r="H137" s="115">
        <v>3903</v>
      </c>
    </row>
    <row r="138" spans="1:11" x14ac:dyDescent="0.25">
      <c r="A138" s="22" t="s">
        <v>1</v>
      </c>
      <c r="B138" s="23">
        <v>40124</v>
      </c>
      <c r="C138" s="22" t="s">
        <v>32</v>
      </c>
      <c r="D138" s="114">
        <v>13</v>
      </c>
      <c r="E138" s="114">
        <v>1.4352333545684814</v>
      </c>
      <c r="F138" s="114">
        <v>101</v>
      </c>
      <c r="G138" s="115">
        <v>142</v>
      </c>
      <c r="H138" s="115">
        <v>1846</v>
      </c>
    </row>
    <row r="139" spans="1:11" x14ac:dyDescent="0.25">
      <c r="F139">
        <f>SUM(F135:F138)</f>
        <v>432</v>
      </c>
      <c r="G139" s="20">
        <f>SUM(G135:G138)</f>
        <v>606</v>
      </c>
      <c r="H139" s="20">
        <f>SUM(H135:H138)</f>
        <v>7429</v>
      </c>
    </row>
    <row r="141" spans="1:11" x14ac:dyDescent="0.25">
      <c r="A141" s="117" t="s">
        <v>9</v>
      </c>
      <c r="B141" s="117" t="s">
        <v>8</v>
      </c>
      <c r="C141" s="117" t="s">
        <v>10</v>
      </c>
      <c r="D141" s="117" t="s">
        <v>11</v>
      </c>
      <c r="E141" s="117" t="s">
        <v>12</v>
      </c>
      <c r="F141" s="117" t="s">
        <v>13</v>
      </c>
      <c r="G141" s="117" t="s">
        <v>14</v>
      </c>
      <c r="H141" s="117" t="s">
        <v>15</v>
      </c>
      <c r="I141" s="117" t="s">
        <v>78</v>
      </c>
      <c r="J141" s="117" t="s">
        <v>77</v>
      </c>
    </row>
    <row r="142" spans="1:11" x14ac:dyDescent="0.25">
      <c r="A142" s="118" t="s">
        <v>1</v>
      </c>
      <c r="B142" s="119">
        <v>40131</v>
      </c>
      <c r="C142" s="118" t="s">
        <v>29</v>
      </c>
      <c r="D142" s="120">
        <v>15</v>
      </c>
      <c r="E142" s="120">
        <v>1.3792999982833862</v>
      </c>
      <c r="F142" s="114">
        <v>12</v>
      </c>
      <c r="G142" s="115">
        <v>15</v>
      </c>
      <c r="H142" s="115">
        <v>225</v>
      </c>
      <c r="I142" s="121">
        <v>0.04</v>
      </c>
      <c r="J142" s="120">
        <v>0</v>
      </c>
      <c r="K142">
        <f>H142*I142</f>
        <v>9</v>
      </c>
    </row>
    <row r="143" spans="1:11" x14ac:dyDescent="0.25">
      <c r="A143" s="118" t="s">
        <v>1</v>
      </c>
      <c r="B143" s="119">
        <v>40131</v>
      </c>
      <c r="C143" s="118" t="s">
        <v>30</v>
      </c>
      <c r="D143" s="120">
        <v>14.652173913043478</v>
      </c>
      <c r="E143" s="120">
        <v>1.3792999982833862</v>
      </c>
      <c r="F143" s="114">
        <v>482</v>
      </c>
      <c r="G143" s="115">
        <v>590</v>
      </c>
      <c r="H143" s="115">
        <v>8271</v>
      </c>
      <c r="I143" s="121">
        <v>0.04</v>
      </c>
      <c r="J143" s="120">
        <v>83.24</v>
      </c>
      <c r="K143">
        <f t="shared" ref="K143:K146" si="0">H143*I143</f>
        <v>330.84000000000003</v>
      </c>
    </row>
    <row r="144" spans="1:11" x14ac:dyDescent="0.25">
      <c r="A144" s="118" t="s">
        <v>1</v>
      </c>
      <c r="B144" s="119">
        <v>40131</v>
      </c>
      <c r="C144" s="118" t="s">
        <v>31</v>
      </c>
      <c r="D144" s="120">
        <v>13.846153846153847</v>
      </c>
      <c r="E144" s="120">
        <v>1.3792999982833862</v>
      </c>
      <c r="F144" s="114">
        <v>556</v>
      </c>
      <c r="G144" s="115">
        <v>680</v>
      </c>
      <c r="H144" s="115">
        <v>9532</v>
      </c>
      <c r="I144" s="121">
        <v>0.04</v>
      </c>
      <c r="J144" s="120">
        <v>7.8</v>
      </c>
      <c r="K144">
        <f t="shared" si="0"/>
        <v>381.28000000000003</v>
      </c>
    </row>
    <row r="145" spans="1:11" x14ac:dyDescent="0.25">
      <c r="A145" s="118" t="s">
        <v>1</v>
      </c>
      <c r="B145" s="119">
        <v>40131</v>
      </c>
      <c r="C145" s="118" t="s">
        <v>32</v>
      </c>
      <c r="D145" s="120">
        <v>13.277777777777779</v>
      </c>
      <c r="E145" s="120">
        <v>1.3792999982833862</v>
      </c>
      <c r="F145" s="114">
        <v>366</v>
      </c>
      <c r="G145" s="115">
        <v>448</v>
      </c>
      <c r="H145" s="115">
        <v>6280</v>
      </c>
      <c r="I145" s="121">
        <v>0.04</v>
      </c>
      <c r="J145" s="120">
        <v>25</v>
      </c>
      <c r="K145">
        <f t="shared" si="0"/>
        <v>251.20000000000002</v>
      </c>
    </row>
    <row r="146" spans="1:11" x14ac:dyDescent="0.25">
      <c r="F146">
        <f>SUM(F142:F145)</f>
        <v>1416</v>
      </c>
      <c r="G146" s="20">
        <f>SUM(G142:G145)</f>
        <v>1733</v>
      </c>
      <c r="H146" s="20">
        <f>SUM(H142:H145)</f>
        <v>24308</v>
      </c>
      <c r="I146" s="122">
        <f>AVERAGE(I142:I145)</f>
        <v>0.04</v>
      </c>
      <c r="J146">
        <f>SUM(J142:J145)</f>
        <v>116.03999999999999</v>
      </c>
      <c r="K146">
        <f t="shared" si="0"/>
        <v>972.32</v>
      </c>
    </row>
    <row r="148" spans="1:11" x14ac:dyDescent="0.25">
      <c r="A148" s="117" t="s">
        <v>9</v>
      </c>
      <c r="B148" s="117" t="s">
        <v>8</v>
      </c>
      <c r="C148" s="117" t="s">
        <v>10</v>
      </c>
      <c r="D148" s="117" t="s">
        <v>11</v>
      </c>
      <c r="E148" s="117" t="s">
        <v>12</v>
      </c>
      <c r="F148" s="117" t="s">
        <v>13</v>
      </c>
      <c r="G148" s="117" t="s">
        <v>14</v>
      </c>
      <c r="H148" s="117" t="s">
        <v>15</v>
      </c>
    </row>
    <row r="149" spans="1:11" x14ac:dyDescent="0.25">
      <c r="A149" s="118" t="s">
        <v>2</v>
      </c>
      <c r="B149" s="119">
        <v>40131</v>
      </c>
      <c r="C149" s="118" t="s">
        <v>16</v>
      </c>
      <c r="D149" s="120">
        <v>15</v>
      </c>
      <c r="E149" s="120">
        <v>1.2999999523162842</v>
      </c>
      <c r="F149" s="114">
        <v>70</v>
      </c>
      <c r="G149" s="115">
        <v>90</v>
      </c>
      <c r="H149" s="115">
        <v>1350</v>
      </c>
    </row>
    <row r="150" spans="1:11" x14ac:dyDescent="0.25">
      <c r="A150" s="118" t="s">
        <v>2</v>
      </c>
      <c r="B150" s="119">
        <v>40131</v>
      </c>
      <c r="C150" s="118" t="s">
        <v>17</v>
      </c>
      <c r="D150" s="120">
        <v>15</v>
      </c>
      <c r="E150" s="120">
        <v>1.2999999523162842</v>
      </c>
      <c r="F150" s="114">
        <v>943</v>
      </c>
      <c r="G150" s="115">
        <v>1212</v>
      </c>
      <c r="H150" s="115">
        <v>18180</v>
      </c>
    </row>
    <row r="151" spans="1:11" x14ac:dyDescent="0.25">
      <c r="A151" s="118" t="s">
        <v>2</v>
      </c>
      <c r="B151" s="119">
        <v>40131</v>
      </c>
      <c r="C151" s="118" t="s">
        <v>18</v>
      </c>
      <c r="D151" s="120">
        <v>15</v>
      </c>
      <c r="E151" s="120">
        <v>1.2999999523162842</v>
      </c>
      <c r="F151" s="114">
        <v>699</v>
      </c>
      <c r="G151" s="115">
        <v>898</v>
      </c>
      <c r="H151" s="115">
        <v>13470</v>
      </c>
    </row>
    <row r="152" spans="1:11" x14ac:dyDescent="0.25">
      <c r="A152" s="118" t="s">
        <v>2</v>
      </c>
      <c r="B152" s="119">
        <v>40131</v>
      </c>
      <c r="C152" s="118" t="s">
        <v>19</v>
      </c>
      <c r="D152" s="120">
        <v>15</v>
      </c>
      <c r="E152" s="120">
        <v>1.2999999523162842</v>
      </c>
      <c r="F152" s="114">
        <v>400</v>
      </c>
      <c r="G152" s="115">
        <v>514</v>
      </c>
      <c r="H152" s="115">
        <v>7710</v>
      </c>
    </row>
    <row r="153" spans="1:11" x14ac:dyDescent="0.25">
      <c r="A153" s="118" t="s">
        <v>2</v>
      </c>
      <c r="B153" s="119">
        <v>40131</v>
      </c>
      <c r="C153" s="118" t="s">
        <v>20</v>
      </c>
      <c r="D153" s="120">
        <v>15</v>
      </c>
      <c r="E153" s="120">
        <v>1.2999999523162842</v>
      </c>
      <c r="F153" s="114">
        <v>668</v>
      </c>
      <c r="G153" s="115">
        <v>859</v>
      </c>
      <c r="H153" s="115">
        <v>12885</v>
      </c>
    </row>
    <row r="154" spans="1:11" x14ac:dyDescent="0.25">
      <c r="A154" s="118" t="s">
        <v>2</v>
      </c>
      <c r="B154" s="119">
        <v>40131</v>
      </c>
      <c r="C154" s="118" t="s">
        <v>21</v>
      </c>
      <c r="D154" s="120">
        <v>15</v>
      </c>
      <c r="E154" s="120">
        <v>1.2999999523162842</v>
      </c>
      <c r="F154" s="114">
        <v>7</v>
      </c>
      <c r="G154" s="115">
        <v>9</v>
      </c>
      <c r="H154" s="115">
        <v>135</v>
      </c>
    </row>
    <row r="155" spans="1:11" x14ac:dyDescent="0.25">
      <c r="F155" s="114">
        <f>SUM(F149:F154)</f>
        <v>2787</v>
      </c>
      <c r="G155" s="115">
        <f>SUM(G149:G154)</f>
        <v>3582</v>
      </c>
      <c r="H155" s="115">
        <f>SUM(H149:H154)</f>
        <v>53730</v>
      </c>
    </row>
    <row r="157" spans="1:11" x14ac:dyDescent="0.25">
      <c r="A157" s="117" t="s">
        <v>9</v>
      </c>
      <c r="B157" s="117" t="s">
        <v>8</v>
      </c>
      <c r="C157" s="117" t="s">
        <v>10</v>
      </c>
      <c r="D157" s="117" t="s">
        <v>11</v>
      </c>
      <c r="E157" s="117" t="s">
        <v>12</v>
      </c>
      <c r="F157" s="117" t="s">
        <v>13</v>
      </c>
      <c r="G157" s="117" t="s">
        <v>14</v>
      </c>
      <c r="H157" s="117" t="s">
        <v>15</v>
      </c>
    </row>
    <row r="158" spans="1:11" x14ac:dyDescent="0.25">
      <c r="A158" s="118" t="s">
        <v>3</v>
      </c>
      <c r="B158" s="119">
        <v>40131</v>
      </c>
      <c r="C158" s="118" t="s">
        <v>23</v>
      </c>
      <c r="D158" s="120">
        <v>15</v>
      </c>
      <c r="E158" s="120">
        <v>1.3918000459671021</v>
      </c>
      <c r="F158" s="114">
        <v>81</v>
      </c>
      <c r="G158" s="115">
        <v>103</v>
      </c>
      <c r="H158" s="115">
        <v>1545</v>
      </c>
    </row>
    <row r="159" spans="1:11" x14ac:dyDescent="0.25">
      <c r="A159" s="118" t="s">
        <v>3</v>
      </c>
      <c r="B159" s="119">
        <v>40131</v>
      </c>
      <c r="C159" s="118" t="s">
        <v>24</v>
      </c>
      <c r="D159" s="120">
        <v>15</v>
      </c>
      <c r="E159" s="120">
        <v>1.3918000459671021</v>
      </c>
      <c r="F159" s="114">
        <v>63</v>
      </c>
      <c r="G159" s="115">
        <v>80</v>
      </c>
      <c r="H159" s="115">
        <v>1200</v>
      </c>
    </row>
    <row r="160" spans="1:11" x14ac:dyDescent="0.25">
      <c r="A160" s="118" t="s">
        <v>3</v>
      </c>
      <c r="B160" s="119">
        <v>40131</v>
      </c>
      <c r="C160" s="118" t="s">
        <v>25</v>
      </c>
      <c r="D160" s="120">
        <v>15</v>
      </c>
      <c r="E160" s="120">
        <v>1.3918000459671021</v>
      </c>
      <c r="F160" s="114">
        <v>431</v>
      </c>
      <c r="G160" s="115">
        <v>549</v>
      </c>
      <c r="H160" s="115">
        <v>8235</v>
      </c>
    </row>
    <row r="161" spans="1:8" x14ac:dyDescent="0.25">
      <c r="A161" s="118" t="s">
        <v>3</v>
      </c>
      <c r="B161" s="119">
        <v>40131</v>
      </c>
      <c r="C161" s="118" t="s">
        <v>26</v>
      </c>
      <c r="D161" s="120">
        <v>15</v>
      </c>
      <c r="E161" s="120">
        <v>1.3918000459671021</v>
      </c>
      <c r="F161" s="114">
        <v>579</v>
      </c>
      <c r="G161" s="115">
        <v>738</v>
      </c>
      <c r="H161" s="115">
        <v>11070</v>
      </c>
    </row>
    <row r="162" spans="1:8" x14ac:dyDescent="0.25">
      <c r="A162" s="118" t="s">
        <v>3</v>
      </c>
      <c r="B162" s="119">
        <v>40131</v>
      </c>
      <c r="C162" s="118" t="s">
        <v>27</v>
      </c>
      <c r="D162" s="120">
        <v>15</v>
      </c>
      <c r="E162" s="120">
        <v>1.3918000459671021</v>
      </c>
      <c r="F162" s="114">
        <v>199</v>
      </c>
      <c r="G162" s="115">
        <v>254</v>
      </c>
      <c r="H162" s="115">
        <v>3810</v>
      </c>
    </row>
    <row r="163" spans="1:8" x14ac:dyDescent="0.25">
      <c r="A163" s="118" t="s">
        <v>3</v>
      </c>
      <c r="B163" s="119">
        <v>40131</v>
      </c>
      <c r="C163" s="118" t="s">
        <v>28</v>
      </c>
      <c r="D163" s="120">
        <v>15</v>
      </c>
      <c r="E163" s="120">
        <v>1.3918000459671021</v>
      </c>
      <c r="F163" s="114">
        <v>399</v>
      </c>
      <c r="G163" s="115">
        <v>508</v>
      </c>
      <c r="H163" s="115">
        <v>7620</v>
      </c>
    </row>
    <row r="164" spans="1:8" x14ac:dyDescent="0.25">
      <c r="F164" s="114">
        <f>SUM(F158:F163)</f>
        <v>1752</v>
      </c>
      <c r="G164" s="115">
        <f>SUM(G158:G163)</f>
        <v>2232</v>
      </c>
      <c r="H164" s="115">
        <f>SUM(H158:H163)</f>
        <v>33480</v>
      </c>
    </row>
    <row r="166" spans="1:8" x14ac:dyDescent="0.25">
      <c r="A166" s="117" t="s">
        <v>9</v>
      </c>
      <c r="B166" s="117" t="s">
        <v>8</v>
      </c>
      <c r="C166" s="117" t="s">
        <v>10</v>
      </c>
      <c r="D166" s="117" t="s">
        <v>11</v>
      </c>
      <c r="E166" s="117" t="s">
        <v>12</v>
      </c>
      <c r="F166" s="117" t="s">
        <v>13</v>
      </c>
      <c r="G166" s="117" t="s">
        <v>14</v>
      </c>
      <c r="H166" s="117" t="s">
        <v>15</v>
      </c>
    </row>
    <row r="167" spans="1:8" x14ac:dyDescent="0.25">
      <c r="A167" s="118" t="s">
        <v>33</v>
      </c>
      <c r="B167" s="119">
        <v>40131</v>
      </c>
      <c r="C167" s="118" t="s">
        <v>34</v>
      </c>
      <c r="D167" s="120">
        <v>14.482758620689655</v>
      </c>
      <c r="E167" s="120">
        <v>1.4488999843597412</v>
      </c>
      <c r="F167" s="114">
        <v>54</v>
      </c>
      <c r="G167" s="115">
        <v>78</v>
      </c>
      <c r="H167" s="115">
        <v>1130</v>
      </c>
    </row>
    <row r="168" spans="1:8" x14ac:dyDescent="0.25">
      <c r="A168" s="118" t="s">
        <v>33</v>
      </c>
      <c r="B168" s="119">
        <v>40131</v>
      </c>
      <c r="C168" s="118" t="s">
        <v>35</v>
      </c>
      <c r="D168" s="120">
        <v>14.482758620689655</v>
      </c>
      <c r="E168" s="120">
        <v>1.4488999843597412</v>
      </c>
      <c r="F168" s="114">
        <v>147</v>
      </c>
      <c r="G168" s="115">
        <v>213</v>
      </c>
      <c r="H168" s="115">
        <v>3085</v>
      </c>
    </row>
    <row r="169" spans="1:8" x14ac:dyDescent="0.25">
      <c r="A169" s="118" t="s">
        <v>33</v>
      </c>
      <c r="B169" s="119">
        <v>40131</v>
      </c>
      <c r="C169" s="118" t="s">
        <v>36</v>
      </c>
      <c r="D169" s="120">
        <v>14.482758620689655</v>
      </c>
      <c r="E169" s="120">
        <v>1.4488999843597412</v>
      </c>
      <c r="F169" s="114">
        <v>269</v>
      </c>
      <c r="G169" s="115">
        <v>390</v>
      </c>
      <c r="H169" s="115">
        <v>5648</v>
      </c>
    </row>
    <row r="170" spans="1:8" x14ac:dyDescent="0.25">
      <c r="A170" s="118" t="s">
        <v>33</v>
      </c>
      <c r="B170" s="119">
        <v>40131</v>
      </c>
      <c r="C170" s="118" t="s">
        <v>40</v>
      </c>
      <c r="D170" s="120">
        <v>14.482758620689655</v>
      </c>
      <c r="E170" s="120">
        <v>1.4488999843597412</v>
      </c>
      <c r="F170" s="114">
        <v>138</v>
      </c>
      <c r="G170" s="115">
        <v>200</v>
      </c>
      <c r="H170" s="115">
        <v>2897</v>
      </c>
    </row>
    <row r="171" spans="1:8" x14ac:dyDescent="0.25">
      <c r="A171" s="118" t="s">
        <v>33</v>
      </c>
      <c r="B171" s="119">
        <v>40131</v>
      </c>
      <c r="C171" s="118" t="s">
        <v>37</v>
      </c>
      <c r="D171" s="120">
        <v>13.695652173913043</v>
      </c>
      <c r="E171" s="120">
        <v>1.4488999843597412</v>
      </c>
      <c r="F171" s="114">
        <v>592</v>
      </c>
      <c r="G171" s="115">
        <v>858</v>
      </c>
      <c r="H171" s="115">
        <v>12426</v>
      </c>
    </row>
    <row r="172" spans="1:8" x14ac:dyDescent="0.25">
      <c r="A172" s="118" t="s">
        <v>33</v>
      </c>
      <c r="B172" s="119">
        <v>40131</v>
      </c>
      <c r="C172" s="118" t="s">
        <v>38</v>
      </c>
      <c r="D172" s="120">
        <v>15</v>
      </c>
      <c r="E172" s="120">
        <v>1.4488999843597412</v>
      </c>
      <c r="F172" s="114">
        <v>723</v>
      </c>
      <c r="G172" s="115">
        <v>1048</v>
      </c>
      <c r="H172" s="115">
        <v>15178</v>
      </c>
    </row>
    <row r="173" spans="1:8" x14ac:dyDescent="0.25">
      <c r="A173" s="118" t="s">
        <v>33</v>
      </c>
      <c r="B173" s="119">
        <v>40131</v>
      </c>
      <c r="C173" s="118" t="s">
        <v>39</v>
      </c>
      <c r="D173" s="120">
        <v>15</v>
      </c>
      <c r="E173" s="120">
        <v>1.4488999843597412</v>
      </c>
      <c r="F173" s="114">
        <v>1032</v>
      </c>
      <c r="G173" s="115">
        <v>1495</v>
      </c>
      <c r="H173" s="115">
        <v>21652</v>
      </c>
    </row>
    <row r="174" spans="1:8" x14ac:dyDescent="0.25">
      <c r="F174" s="114">
        <f>SUM(F167:F173)</f>
        <v>2955</v>
      </c>
      <c r="G174" s="115">
        <f>SUM(G167:G173)</f>
        <v>4282</v>
      </c>
      <c r="H174" s="115">
        <f>SUM(H167:H173)</f>
        <v>62016</v>
      </c>
    </row>
    <row r="176" spans="1:8" x14ac:dyDescent="0.25">
      <c r="A176" s="117" t="s">
        <v>9</v>
      </c>
      <c r="B176" s="117" t="s">
        <v>8</v>
      </c>
      <c r="C176" s="117" t="s">
        <v>10</v>
      </c>
      <c r="D176" s="117" t="s">
        <v>11</v>
      </c>
      <c r="E176" s="117" t="s">
        <v>12</v>
      </c>
      <c r="F176" s="117" t="s">
        <v>13</v>
      </c>
      <c r="G176" s="117" t="s">
        <v>14</v>
      </c>
      <c r="H176" s="117" t="s">
        <v>15</v>
      </c>
    </row>
    <row r="177" spans="1:8" x14ac:dyDescent="0.25">
      <c r="A177" s="118" t="s">
        <v>33</v>
      </c>
      <c r="B177" s="119">
        <v>40132</v>
      </c>
      <c r="C177" s="118" t="s">
        <v>34</v>
      </c>
      <c r="D177" s="120">
        <v>13.093023255813954</v>
      </c>
      <c r="E177" s="120">
        <v>1.2860250473022461</v>
      </c>
      <c r="F177" s="114">
        <v>24</v>
      </c>
      <c r="G177" s="115">
        <v>31</v>
      </c>
      <c r="H177" s="115">
        <v>406</v>
      </c>
    </row>
    <row r="178" spans="1:8" x14ac:dyDescent="0.25">
      <c r="A178" s="118" t="s">
        <v>33</v>
      </c>
      <c r="B178" s="119">
        <v>40132</v>
      </c>
      <c r="C178" s="118" t="s">
        <v>35</v>
      </c>
      <c r="D178" s="120">
        <v>13.093023255813954</v>
      </c>
      <c r="E178" s="120">
        <v>1.2860250473022461</v>
      </c>
      <c r="F178" s="114">
        <v>66</v>
      </c>
      <c r="G178" s="115">
        <v>85</v>
      </c>
      <c r="H178" s="115">
        <v>1113</v>
      </c>
    </row>
    <row r="179" spans="1:8" x14ac:dyDescent="0.25">
      <c r="A179" s="118" t="s">
        <v>33</v>
      </c>
      <c r="B179" s="119">
        <v>40132</v>
      </c>
      <c r="C179" s="118" t="s">
        <v>36</v>
      </c>
      <c r="D179" s="120">
        <v>13.093023255813954</v>
      </c>
      <c r="E179" s="120">
        <v>1.2860250473022461</v>
      </c>
      <c r="F179" s="114">
        <v>122</v>
      </c>
      <c r="G179" s="115">
        <v>157</v>
      </c>
      <c r="H179" s="115">
        <v>2056</v>
      </c>
    </row>
    <row r="180" spans="1:8" x14ac:dyDescent="0.25">
      <c r="A180" s="118" t="s">
        <v>33</v>
      </c>
      <c r="B180" s="119">
        <v>40132</v>
      </c>
      <c r="C180" s="118" t="s">
        <v>40</v>
      </c>
      <c r="D180" s="120">
        <v>13.093023255813954</v>
      </c>
      <c r="E180" s="120">
        <v>1.2860250473022461</v>
      </c>
      <c r="F180" s="114">
        <v>62</v>
      </c>
      <c r="G180" s="115">
        <v>80</v>
      </c>
      <c r="H180" s="115">
        <v>1047</v>
      </c>
    </row>
    <row r="181" spans="1:8" x14ac:dyDescent="0.25">
      <c r="A181" s="118" t="s">
        <v>33</v>
      </c>
      <c r="B181" s="119">
        <v>40132</v>
      </c>
      <c r="C181" s="118" t="s">
        <v>37</v>
      </c>
      <c r="D181" s="120">
        <v>11.285714285714286</v>
      </c>
      <c r="E181" s="120">
        <v>1.2860250473022461</v>
      </c>
      <c r="F181" s="114">
        <v>251</v>
      </c>
      <c r="G181" s="115">
        <v>323</v>
      </c>
      <c r="H181" s="115">
        <v>3645</v>
      </c>
    </row>
    <row r="182" spans="1:8" x14ac:dyDescent="0.25">
      <c r="A182" s="118" t="s">
        <v>33</v>
      </c>
      <c r="B182" s="119">
        <v>40132</v>
      </c>
      <c r="C182" s="118" t="s">
        <v>38</v>
      </c>
      <c r="D182" s="120">
        <v>14.444444444444445</v>
      </c>
      <c r="E182" s="120">
        <v>1.2860250473022461</v>
      </c>
      <c r="F182" s="114">
        <v>381</v>
      </c>
      <c r="G182" s="115">
        <v>490</v>
      </c>
      <c r="H182" s="115">
        <v>6416</v>
      </c>
    </row>
    <row r="183" spans="1:8" x14ac:dyDescent="0.25">
      <c r="A183" s="118" t="s">
        <v>33</v>
      </c>
      <c r="B183" s="119">
        <v>40132</v>
      </c>
      <c r="C183" s="118" t="s">
        <v>39</v>
      </c>
      <c r="D183" s="120">
        <v>13.181818181818182</v>
      </c>
      <c r="E183" s="120">
        <v>1.2860250473022461</v>
      </c>
      <c r="F183" s="114">
        <v>427</v>
      </c>
      <c r="G183" s="115">
        <v>549</v>
      </c>
      <c r="H183" s="115">
        <v>7188</v>
      </c>
    </row>
    <row r="184" spans="1:8" x14ac:dyDescent="0.25">
      <c r="F184" s="114">
        <f>SUM(F177:F183)</f>
        <v>1333</v>
      </c>
      <c r="G184" s="115">
        <f>SUM(G177:G183)</f>
        <v>1715</v>
      </c>
      <c r="H184" s="115">
        <f>SUM(H177:H183)</f>
        <v>21871</v>
      </c>
    </row>
    <row r="186" spans="1:8" x14ac:dyDescent="0.25">
      <c r="A186" s="117" t="s">
        <v>9</v>
      </c>
      <c r="B186" s="117" t="s">
        <v>8</v>
      </c>
      <c r="C186" s="117" t="s">
        <v>10</v>
      </c>
      <c r="D186" s="117" t="s">
        <v>11</v>
      </c>
      <c r="E186" s="117" t="s">
        <v>12</v>
      </c>
      <c r="F186" s="117" t="s">
        <v>13</v>
      </c>
      <c r="G186" s="117" t="s">
        <v>14</v>
      </c>
      <c r="H186" s="117" t="s">
        <v>15</v>
      </c>
    </row>
    <row r="187" spans="1:8" x14ac:dyDescent="0.25">
      <c r="A187" s="118" t="s">
        <v>1</v>
      </c>
      <c r="B187" s="119">
        <v>40132</v>
      </c>
      <c r="C187" s="118" t="s">
        <v>29</v>
      </c>
      <c r="D187" s="120">
        <v>10.163636363636364</v>
      </c>
      <c r="E187" s="120">
        <v>1.3792999982833862</v>
      </c>
      <c r="F187" s="120">
        <v>2</v>
      </c>
      <c r="G187" s="115">
        <v>3</v>
      </c>
      <c r="H187" s="115">
        <v>30</v>
      </c>
    </row>
    <row r="188" spans="1:8" x14ac:dyDescent="0.25">
      <c r="A188" s="118" t="s">
        <v>1</v>
      </c>
      <c r="B188" s="119">
        <v>40132</v>
      </c>
      <c r="C188" s="118" t="s">
        <v>30</v>
      </c>
      <c r="D188" s="120">
        <v>12.266666666666667</v>
      </c>
      <c r="E188" s="120">
        <v>1.3792999982833862</v>
      </c>
      <c r="F188" s="120">
        <v>129</v>
      </c>
      <c r="G188" s="115">
        <v>169</v>
      </c>
      <c r="H188" s="115">
        <v>2073</v>
      </c>
    </row>
    <row r="189" spans="1:8" x14ac:dyDescent="0.25">
      <c r="A189" s="118" t="s">
        <v>1</v>
      </c>
      <c r="B189" s="119">
        <v>40132</v>
      </c>
      <c r="C189" s="118" t="s">
        <v>31</v>
      </c>
      <c r="D189" s="120">
        <v>8.9285714285714288</v>
      </c>
      <c r="E189" s="120">
        <v>1.3792999982833862</v>
      </c>
      <c r="F189" s="120">
        <v>201</v>
      </c>
      <c r="G189" s="115">
        <v>263</v>
      </c>
      <c r="H189" s="115">
        <v>2348</v>
      </c>
    </row>
    <row r="190" spans="1:8" x14ac:dyDescent="0.25">
      <c r="A190" s="118" t="s">
        <v>1</v>
      </c>
      <c r="B190" s="119">
        <v>40132</v>
      </c>
      <c r="C190" s="118" t="s">
        <v>32</v>
      </c>
      <c r="D190" s="120">
        <v>10.416666666666666</v>
      </c>
      <c r="E190" s="120">
        <v>1.3792999982833862</v>
      </c>
      <c r="F190" s="120">
        <v>145</v>
      </c>
      <c r="G190" s="115">
        <v>190</v>
      </c>
      <c r="H190" s="115">
        <v>1979</v>
      </c>
    </row>
    <row r="191" spans="1:8" x14ac:dyDescent="0.25">
      <c r="F191">
        <f>SUM(F187:F190)</f>
        <v>477</v>
      </c>
      <c r="G191" s="115">
        <f>SUM(G187:G190)</f>
        <v>625</v>
      </c>
      <c r="H191" s="115">
        <f>SUM(H187:H190)</f>
        <v>6430</v>
      </c>
    </row>
    <row r="193" spans="1:8" x14ac:dyDescent="0.25">
      <c r="A193" s="117" t="s">
        <v>9</v>
      </c>
      <c r="B193" s="117" t="s">
        <v>8</v>
      </c>
      <c r="C193" s="117" t="s">
        <v>10</v>
      </c>
      <c r="D193" s="117" t="s">
        <v>11</v>
      </c>
      <c r="E193" s="117" t="s">
        <v>12</v>
      </c>
      <c r="F193" s="117" t="s">
        <v>13</v>
      </c>
      <c r="G193" s="117" t="s">
        <v>14</v>
      </c>
      <c r="H193" s="117" t="s">
        <v>15</v>
      </c>
    </row>
    <row r="194" spans="1:8" x14ac:dyDescent="0.25">
      <c r="A194" s="118" t="s">
        <v>2</v>
      </c>
      <c r="B194" s="119">
        <v>40132</v>
      </c>
      <c r="C194" s="118" t="s">
        <v>16</v>
      </c>
      <c r="D194" s="120">
        <v>11.333333333333334</v>
      </c>
      <c r="E194" s="120">
        <v>1.6536999940872192</v>
      </c>
      <c r="F194" s="120">
        <v>2</v>
      </c>
      <c r="G194" s="115">
        <v>3</v>
      </c>
      <c r="H194" s="115">
        <v>34</v>
      </c>
    </row>
    <row r="195" spans="1:8" x14ac:dyDescent="0.25">
      <c r="A195" s="118" t="s">
        <v>2</v>
      </c>
      <c r="B195" s="119">
        <v>40132</v>
      </c>
      <c r="C195" s="118" t="s">
        <v>17</v>
      </c>
      <c r="D195" s="120">
        <v>8.1764705882352935</v>
      </c>
      <c r="E195" s="120">
        <v>1.6536999940872192</v>
      </c>
      <c r="F195" s="120">
        <v>389</v>
      </c>
      <c r="G195" s="115">
        <v>632</v>
      </c>
      <c r="H195" s="115">
        <v>7163</v>
      </c>
    </row>
    <row r="196" spans="1:8" x14ac:dyDescent="0.25">
      <c r="A196" s="118" t="s">
        <v>2</v>
      </c>
      <c r="B196" s="119">
        <v>40132</v>
      </c>
      <c r="C196" s="118" t="s">
        <v>18</v>
      </c>
      <c r="D196" s="120">
        <v>14.074074074074074</v>
      </c>
      <c r="E196" s="120">
        <v>1.6536999940872192</v>
      </c>
      <c r="F196" s="120">
        <v>320</v>
      </c>
      <c r="G196" s="115">
        <v>520</v>
      </c>
      <c r="H196" s="115">
        <v>7319</v>
      </c>
    </row>
    <row r="197" spans="1:8" x14ac:dyDescent="0.25">
      <c r="A197" s="118" t="s">
        <v>2</v>
      </c>
      <c r="B197" s="119">
        <v>40132</v>
      </c>
      <c r="C197" s="118" t="s">
        <v>19</v>
      </c>
      <c r="D197" s="120">
        <v>11.333333333333334</v>
      </c>
      <c r="E197" s="120">
        <v>1.6536999940872192</v>
      </c>
      <c r="F197" s="120">
        <v>212</v>
      </c>
      <c r="G197" s="115">
        <v>344</v>
      </c>
      <c r="H197" s="115">
        <v>3899</v>
      </c>
    </row>
    <row r="198" spans="1:8" x14ac:dyDescent="0.25">
      <c r="A198" s="118" t="s">
        <v>2</v>
      </c>
      <c r="B198" s="119">
        <v>40132</v>
      </c>
      <c r="C198" s="118" t="s">
        <v>20</v>
      </c>
      <c r="D198" s="120">
        <v>9.3000000000000007</v>
      </c>
      <c r="E198" s="120">
        <v>1.6536999940872192</v>
      </c>
      <c r="F198" s="120">
        <v>429</v>
      </c>
      <c r="G198" s="115">
        <v>697</v>
      </c>
      <c r="H198" s="115">
        <v>7899</v>
      </c>
    </row>
    <row r="199" spans="1:8" x14ac:dyDescent="0.25">
      <c r="A199" s="118" t="s">
        <v>2</v>
      </c>
      <c r="B199" s="119">
        <v>40132</v>
      </c>
      <c r="C199" s="118" t="s">
        <v>21</v>
      </c>
      <c r="D199" s="120">
        <v>11.333333333333334</v>
      </c>
      <c r="E199" s="120">
        <v>1.6536999940872192</v>
      </c>
      <c r="F199" s="120">
        <v>0</v>
      </c>
      <c r="G199" s="115">
        <v>0</v>
      </c>
      <c r="H199" s="115">
        <v>0</v>
      </c>
    </row>
    <row r="200" spans="1:8" x14ac:dyDescent="0.25">
      <c r="F200" s="120">
        <f>SUM(F194:F199)</f>
        <v>1352</v>
      </c>
      <c r="G200" s="115">
        <f>SUM(G194:G199)</f>
        <v>2196</v>
      </c>
      <c r="H200" s="115">
        <f>SUM(H194:H199)</f>
        <v>26314</v>
      </c>
    </row>
    <row r="202" spans="1:8" x14ac:dyDescent="0.25">
      <c r="A202" s="117" t="s">
        <v>9</v>
      </c>
      <c r="B202" s="117" t="s">
        <v>8</v>
      </c>
      <c r="C202" s="117" t="s">
        <v>10</v>
      </c>
      <c r="D202" s="117" t="s">
        <v>11</v>
      </c>
      <c r="E202" s="117" t="s">
        <v>12</v>
      </c>
      <c r="F202" s="117" t="s">
        <v>13</v>
      </c>
      <c r="G202" s="117" t="s">
        <v>14</v>
      </c>
      <c r="H202" s="117" t="s">
        <v>15</v>
      </c>
    </row>
    <row r="203" spans="1:8" x14ac:dyDescent="0.25">
      <c r="A203" s="118" t="s">
        <v>3</v>
      </c>
      <c r="B203" s="119">
        <v>40132</v>
      </c>
      <c r="C203" s="118" t="s">
        <v>23</v>
      </c>
      <c r="D203" s="120">
        <v>15</v>
      </c>
      <c r="E203" s="120">
        <v>1.5377999544143677</v>
      </c>
      <c r="F203" s="120">
        <v>25</v>
      </c>
      <c r="G203" s="115">
        <v>37</v>
      </c>
      <c r="H203" s="115">
        <v>555</v>
      </c>
    </row>
    <row r="204" spans="1:8" x14ac:dyDescent="0.25">
      <c r="A204" s="118" t="s">
        <v>3</v>
      </c>
      <c r="B204" s="119">
        <v>40132</v>
      </c>
      <c r="C204" s="118" t="s">
        <v>24</v>
      </c>
      <c r="D204" s="120">
        <v>11.444444444444445</v>
      </c>
      <c r="E204" s="120">
        <v>1.5377999544143677</v>
      </c>
      <c r="F204" s="120">
        <v>20</v>
      </c>
      <c r="G204" s="115">
        <v>30</v>
      </c>
      <c r="H204" s="115">
        <v>343</v>
      </c>
    </row>
    <row r="205" spans="1:8" x14ac:dyDescent="0.25">
      <c r="A205" s="118" t="s">
        <v>3</v>
      </c>
      <c r="B205" s="119">
        <v>40132</v>
      </c>
      <c r="C205" s="118" t="s">
        <v>25</v>
      </c>
      <c r="D205" s="120">
        <v>15</v>
      </c>
      <c r="E205" s="120">
        <v>1.5377999544143677</v>
      </c>
      <c r="F205" s="120">
        <v>111</v>
      </c>
      <c r="G205" s="115">
        <v>165</v>
      </c>
      <c r="H205" s="115">
        <v>1888</v>
      </c>
    </row>
    <row r="206" spans="1:8" x14ac:dyDescent="0.25">
      <c r="A206" s="118" t="s">
        <v>3</v>
      </c>
      <c r="B206" s="119">
        <v>40132</v>
      </c>
      <c r="C206" s="118" t="s">
        <v>26</v>
      </c>
      <c r="D206" s="120">
        <v>15</v>
      </c>
      <c r="E206" s="120">
        <v>1.5377999544143677</v>
      </c>
      <c r="F206" s="120">
        <v>232</v>
      </c>
      <c r="G206" s="115">
        <v>344</v>
      </c>
      <c r="H206" s="115">
        <v>3937</v>
      </c>
    </row>
    <row r="207" spans="1:8" x14ac:dyDescent="0.25">
      <c r="A207" s="118" t="s">
        <v>3</v>
      </c>
      <c r="B207" s="119">
        <v>40132</v>
      </c>
      <c r="C207" s="118" t="s">
        <v>27</v>
      </c>
      <c r="D207" s="120">
        <v>7.333333333333333</v>
      </c>
      <c r="E207" s="120">
        <v>1.5377999544143677</v>
      </c>
      <c r="F207" s="120">
        <v>88</v>
      </c>
      <c r="G207" s="115">
        <v>130</v>
      </c>
      <c r="H207" s="115">
        <v>1488</v>
      </c>
    </row>
    <row r="208" spans="1:8" x14ac:dyDescent="0.25">
      <c r="A208" s="118" t="s">
        <v>3</v>
      </c>
      <c r="B208" s="119">
        <v>40132</v>
      </c>
      <c r="C208" s="118" t="s">
        <v>28</v>
      </c>
      <c r="D208" s="120">
        <v>9.384615384615385</v>
      </c>
      <c r="E208" s="120">
        <v>1.5377999544143677</v>
      </c>
      <c r="F208" s="120">
        <v>159</v>
      </c>
      <c r="G208" s="115">
        <v>236</v>
      </c>
      <c r="H208" s="115">
        <v>2215</v>
      </c>
    </row>
    <row r="209" spans="1:8" x14ac:dyDescent="0.25">
      <c r="F209" s="120">
        <f>SUM(F203:F208)</f>
        <v>635</v>
      </c>
      <c r="G209" s="115">
        <f>SUM(G203:G208)</f>
        <v>942</v>
      </c>
      <c r="H209" s="115">
        <f>SUM(H203:H208)</f>
        <v>10426</v>
      </c>
    </row>
    <row r="211" spans="1:8" x14ac:dyDescent="0.25">
      <c r="A211" s="117" t="s">
        <v>9</v>
      </c>
      <c r="B211" s="117" t="s">
        <v>8</v>
      </c>
      <c r="C211" s="117" t="s">
        <v>10</v>
      </c>
      <c r="D211" s="117" t="s">
        <v>11</v>
      </c>
      <c r="E211" s="117" t="s">
        <v>12</v>
      </c>
      <c r="F211" s="117" t="s">
        <v>13</v>
      </c>
      <c r="G211" s="117" t="s">
        <v>14</v>
      </c>
      <c r="H211" s="117" t="s">
        <v>15</v>
      </c>
    </row>
    <row r="212" spans="1:8" x14ac:dyDescent="0.25">
      <c r="A212" s="118" t="s">
        <v>2</v>
      </c>
      <c r="B212" s="119">
        <v>40133</v>
      </c>
      <c r="C212" s="118" t="s">
        <v>16</v>
      </c>
      <c r="D212" s="120">
        <v>5.0769230769230766</v>
      </c>
      <c r="E212" s="120">
        <v>1.2999999523162842</v>
      </c>
      <c r="F212" s="120">
        <v>0</v>
      </c>
      <c r="G212" s="120">
        <v>0</v>
      </c>
      <c r="H212" s="120">
        <v>0</v>
      </c>
    </row>
    <row r="213" spans="1:8" x14ac:dyDescent="0.25">
      <c r="A213" s="118" t="s">
        <v>2</v>
      </c>
      <c r="B213" s="119">
        <v>40133</v>
      </c>
      <c r="C213" s="118" t="s">
        <v>17</v>
      </c>
      <c r="D213" s="120">
        <v>1</v>
      </c>
      <c r="E213" s="120">
        <v>1.2999999523162842</v>
      </c>
      <c r="F213" s="120">
        <v>88</v>
      </c>
      <c r="G213" s="120">
        <v>114</v>
      </c>
      <c r="H213" s="120">
        <v>114</v>
      </c>
    </row>
    <row r="214" spans="1:8" x14ac:dyDescent="0.25">
      <c r="A214" s="118" t="s">
        <v>2</v>
      </c>
      <c r="B214" s="119">
        <v>40133</v>
      </c>
      <c r="C214" s="118" t="s">
        <v>18</v>
      </c>
      <c r="D214" s="120">
        <v>14.25</v>
      </c>
      <c r="E214" s="120">
        <v>1.2999999523162842</v>
      </c>
      <c r="F214" s="120">
        <v>30</v>
      </c>
      <c r="G214" s="120">
        <v>39</v>
      </c>
      <c r="H214" s="120">
        <v>556</v>
      </c>
    </row>
    <row r="215" spans="1:8" x14ac:dyDescent="0.25">
      <c r="A215" s="118" t="s">
        <v>2</v>
      </c>
      <c r="B215" s="119">
        <v>40133</v>
      </c>
      <c r="C215" s="118" t="s">
        <v>19</v>
      </c>
      <c r="D215" s="120">
        <v>5.0769230769230766</v>
      </c>
      <c r="E215" s="120">
        <v>1.2999999523162842</v>
      </c>
      <c r="F215" s="120">
        <v>53</v>
      </c>
      <c r="G215" s="120">
        <v>69</v>
      </c>
      <c r="H215" s="120">
        <v>350</v>
      </c>
    </row>
    <row r="216" spans="1:8" x14ac:dyDescent="0.25">
      <c r="A216" s="118" t="s">
        <v>2</v>
      </c>
      <c r="B216" s="119">
        <v>40133</v>
      </c>
      <c r="C216" s="118" t="s">
        <v>20</v>
      </c>
      <c r="D216" s="120">
        <v>5.0769230769230766</v>
      </c>
      <c r="E216" s="120">
        <v>1.2999999523162842</v>
      </c>
      <c r="F216" s="120">
        <v>102</v>
      </c>
      <c r="G216" s="120">
        <v>133</v>
      </c>
      <c r="H216" s="120">
        <v>675</v>
      </c>
    </row>
    <row r="217" spans="1:8" x14ac:dyDescent="0.25">
      <c r="A217" s="118" t="s">
        <v>2</v>
      </c>
      <c r="B217" s="119">
        <v>40133</v>
      </c>
      <c r="C217" s="118" t="s">
        <v>21</v>
      </c>
      <c r="D217" s="120">
        <v>5.0769230769230766</v>
      </c>
      <c r="E217" s="120">
        <v>1.2999999523162842</v>
      </c>
      <c r="F217" s="120">
        <v>0</v>
      </c>
      <c r="G217" s="120">
        <v>0</v>
      </c>
      <c r="H217" s="120">
        <v>0</v>
      </c>
    </row>
    <row r="218" spans="1:8" x14ac:dyDescent="0.25">
      <c r="F218" s="120">
        <f>SUM(F212:F217)</f>
        <v>273</v>
      </c>
      <c r="G218" s="115">
        <f>SUM(G212:G217)</f>
        <v>355</v>
      </c>
      <c r="H218" s="115">
        <f>SUM(H212:H217)</f>
        <v>1695</v>
      </c>
    </row>
    <row r="220" spans="1:8" x14ac:dyDescent="0.25">
      <c r="A220" s="117" t="s">
        <v>9</v>
      </c>
      <c r="B220" s="117" t="s">
        <v>8</v>
      </c>
      <c r="C220" s="117" t="s">
        <v>10</v>
      </c>
      <c r="D220" s="117" t="s">
        <v>11</v>
      </c>
      <c r="E220" s="117" t="s">
        <v>12</v>
      </c>
      <c r="F220" s="117" t="s">
        <v>13</v>
      </c>
      <c r="G220" s="117" t="s">
        <v>14</v>
      </c>
      <c r="H220" s="117" t="s">
        <v>15</v>
      </c>
    </row>
    <row r="221" spans="1:8" x14ac:dyDescent="0.25">
      <c r="A221" s="118" t="s">
        <v>1</v>
      </c>
      <c r="B221" s="119">
        <v>40134</v>
      </c>
      <c r="C221" s="118" t="s">
        <v>29</v>
      </c>
      <c r="D221" s="120">
        <v>10.25</v>
      </c>
      <c r="E221" s="120">
        <v>1.3781499862670898</v>
      </c>
      <c r="F221" s="120">
        <v>0</v>
      </c>
      <c r="G221" s="120">
        <v>0</v>
      </c>
      <c r="H221" s="120">
        <v>0</v>
      </c>
    </row>
    <row r="222" spans="1:8" x14ac:dyDescent="0.25">
      <c r="A222" s="118" t="s">
        <v>1</v>
      </c>
      <c r="B222" s="119">
        <v>40134</v>
      </c>
      <c r="C222" s="118" t="s">
        <v>30</v>
      </c>
      <c r="D222" s="120">
        <v>13.333333333333334</v>
      </c>
      <c r="E222" s="120">
        <v>1.3781499862670898</v>
      </c>
      <c r="F222" s="120">
        <v>147</v>
      </c>
      <c r="G222" s="120">
        <v>203</v>
      </c>
      <c r="H222" s="120">
        <v>2081</v>
      </c>
    </row>
    <row r="223" spans="1:8" x14ac:dyDescent="0.25">
      <c r="A223" s="118" t="s">
        <v>1</v>
      </c>
      <c r="B223" s="119">
        <v>40134</v>
      </c>
      <c r="C223" s="118" t="s">
        <v>31</v>
      </c>
      <c r="D223" s="120">
        <v>10.25</v>
      </c>
      <c r="E223" s="120">
        <v>1.3781499862670898</v>
      </c>
      <c r="F223" s="120">
        <v>14</v>
      </c>
      <c r="G223" s="120">
        <v>19</v>
      </c>
      <c r="H223" s="120">
        <v>195</v>
      </c>
    </row>
    <row r="224" spans="1:8" x14ac:dyDescent="0.25">
      <c r="A224" s="118" t="s">
        <v>1</v>
      </c>
      <c r="B224" s="119">
        <v>40134</v>
      </c>
      <c r="C224" s="118" t="s">
        <v>32</v>
      </c>
      <c r="D224" s="120">
        <v>1</v>
      </c>
      <c r="E224" s="120">
        <v>1.3781499862670898</v>
      </c>
      <c r="F224" s="120">
        <v>44</v>
      </c>
      <c r="G224" s="120">
        <v>61</v>
      </c>
      <c r="H224" s="120">
        <v>625</v>
      </c>
    </row>
    <row r="225" spans="1:8" x14ac:dyDescent="0.25">
      <c r="F225">
        <f>SUM(F221:F224)</f>
        <v>205</v>
      </c>
      <c r="G225">
        <f>SUM(G221:G224)</f>
        <v>283</v>
      </c>
      <c r="H225">
        <f>SUM(H221:H224)</f>
        <v>2901</v>
      </c>
    </row>
    <row r="227" spans="1:8" x14ac:dyDescent="0.25">
      <c r="A227" s="117" t="s">
        <v>9</v>
      </c>
      <c r="B227" s="117" t="s">
        <v>8</v>
      </c>
      <c r="C227" s="117" t="s">
        <v>10</v>
      </c>
      <c r="D227" s="117" t="s">
        <v>11</v>
      </c>
      <c r="E227" s="117" t="s">
        <v>12</v>
      </c>
      <c r="F227" s="117" t="s">
        <v>13</v>
      </c>
      <c r="G227" s="117" t="s">
        <v>14</v>
      </c>
      <c r="H227" s="117" t="s">
        <v>15</v>
      </c>
    </row>
    <row r="228" spans="1:8" x14ac:dyDescent="0.25">
      <c r="A228" s="118" t="s">
        <v>1</v>
      </c>
      <c r="B228" s="119">
        <v>40149</v>
      </c>
      <c r="C228" s="118" t="s">
        <v>29</v>
      </c>
      <c r="D228" s="120">
        <v>15.043478260869565</v>
      </c>
      <c r="E228" s="120">
        <v>1.3781499862670898</v>
      </c>
      <c r="F228" s="120">
        <v>2</v>
      </c>
      <c r="G228" s="115">
        <v>3</v>
      </c>
      <c r="H228" s="115">
        <v>45</v>
      </c>
    </row>
    <row r="229" spans="1:8" x14ac:dyDescent="0.25">
      <c r="A229" s="118" t="s">
        <v>1</v>
      </c>
      <c r="B229" s="119">
        <v>40149</v>
      </c>
      <c r="C229" s="118" t="s">
        <v>30</v>
      </c>
      <c r="D229" s="120">
        <v>15</v>
      </c>
      <c r="E229" s="120">
        <v>1.3781499862670898</v>
      </c>
      <c r="F229" s="120">
        <v>133</v>
      </c>
      <c r="G229" s="115">
        <v>183</v>
      </c>
      <c r="H229" s="115">
        <v>2745</v>
      </c>
    </row>
    <row r="230" spans="1:8" x14ac:dyDescent="0.25">
      <c r="A230" s="118" t="s">
        <v>1</v>
      </c>
      <c r="B230" s="119">
        <v>40149</v>
      </c>
      <c r="C230" s="118" t="s">
        <v>31</v>
      </c>
      <c r="D230" s="120">
        <v>15</v>
      </c>
      <c r="E230" s="120">
        <v>1.3781499862670898</v>
      </c>
      <c r="F230" s="120">
        <v>195</v>
      </c>
      <c r="G230" s="115">
        <v>269</v>
      </c>
      <c r="H230" s="115">
        <v>4047</v>
      </c>
    </row>
    <row r="231" spans="1:8" x14ac:dyDescent="0.25">
      <c r="A231" s="118" t="s">
        <v>1</v>
      </c>
      <c r="B231" s="119">
        <v>40149</v>
      </c>
      <c r="C231" s="118" t="s">
        <v>32</v>
      </c>
      <c r="D231" s="120">
        <v>15.125</v>
      </c>
      <c r="E231" s="120">
        <v>1.3781499862670898</v>
      </c>
      <c r="F231" s="120">
        <v>142</v>
      </c>
      <c r="G231" s="115">
        <v>196</v>
      </c>
      <c r="H231" s="115">
        <v>2964</v>
      </c>
    </row>
    <row r="232" spans="1:8" x14ac:dyDescent="0.25">
      <c r="F232" s="120">
        <f>SUM(F228:F231)</f>
        <v>472</v>
      </c>
      <c r="G232" s="115">
        <f>SUM(G228:G231)</f>
        <v>651</v>
      </c>
      <c r="H232" s="115">
        <f>SUM(H228:H231)</f>
        <v>9801</v>
      </c>
    </row>
    <row r="234" spans="1:8" x14ac:dyDescent="0.25">
      <c r="A234" s="117" t="s">
        <v>9</v>
      </c>
      <c r="B234" s="117" t="s">
        <v>8</v>
      </c>
      <c r="C234" s="117" t="s">
        <v>10</v>
      </c>
      <c r="D234" s="117" t="s">
        <v>11</v>
      </c>
      <c r="E234" s="117" t="s">
        <v>12</v>
      </c>
      <c r="F234" s="117" t="s">
        <v>13</v>
      </c>
      <c r="G234" s="117" t="s">
        <v>14</v>
      </c>
      <c r="H234" s="117" t="s">
        <v>15</v>
      </c>
    </row>
    <row r="235" spans="1:8" x14ac:dyDescent="0.25">
      <c r="A235" s="118" t="s">
        <v>33</v>
      </c>
      <c r="B235" s="119">
        <v>40149</v>
      </c>
      <c r="C235" s="118" t="s">
        <v>34</v>
      </c>
      <c r="D235" s="120">
        <v>15</v>
      </c>
      <c r="E235" s="120">
        <v>1.4225000143051147</v>
      </c>
      <c r="F235" s="120">
        <v>47</v>
      </c>
      <c r="G235" s="115">
        <v>66</v>
      </c>
      <c r="H235" s="115">
        <v>990</v>
      </c>
    </row>
    <row r="236" spans="1:8" x14ac:dyDescent="0.25">
      <c r="A236" s="118" t="s">
        <v>33</v>
      </c>
      <c r="B236" s="119">
        <v>40149</v>
      </c>
      <c r="C236" s="118" t="s">
        <v>35</v>
      </c>
      <c r="D236" s="120">
        <v>12.666666666666666</v>
      </c>
      <c r="E236" s="120">
        <v>1.4225000143051147</v>
      </c>
      <c r="F236" s="120">
        <v>69</v>
      </c>
      <c r="G236" s="115">
        <v>97</v>
      </c>
      <c r="H236" s="115">
        <v>1229</v>
      </c>
    </row>
    <row r="237" spans="1:8" x14ac:dyDescent="0.25">
      <c r="A237" s="118" t="s">
        <v>33</v>
      </c>
      <c r="B237" s="119">
        <v>40149</v>
      </c>
      <c r="C237" s="118" t="s">
        <v>36</v>
      </c>
      <c r="D237" s="120">
        <v>12.857142857142858</v>
      </c>
      <c r="E237" s="120">
        <v>1.4225000143051147</v>
      </c>
      <c r="F237" s="120">
        <v>64</v>
      </c>
      <c r="G237" s="115">
        <v>90</v>
      </c>
      <c r="H237" s="115">
        <v>1157</v>
      </c>
    </row>
    <row r="238" spans="1:8" x14ac:dyDescent="0.25">
      <c r="A238" s="118" t="s">
        <v>33</v>
      </c>
      <c r="B238" s="119">
        <v>40149</v>
      </c>
      <c r="C238" s="118" t="s">
        <v>40</v>
      </c>
      <c r="D238" s="120">
        <v>15</v>
      </c>
      <c r="E238" s="120">
        <v>1.4225000143051147</v>
      </c>
      <c r="F238" s="120">
        <v>34</v>
      </c>
      <c r="G238" s="115">
        <v>48</v>
      </c>
      <c r="H238" s="115">
        <v>720</v>
      </c>
    </row>
    <row r="239" spans="1:8" x14ac:dyDescent="0.25">
      <c r="A239" s="118" t="s">
        <v>33</v>
      </c>
      <c r="B239" s="119">
        <v>40149</v>
      </c>
      <c r="C239" s="118" t="s">
        <v>37</v>
      </c>
      <c r="D239" s="120">
        <v>15</v>
      </c>
      <c r="E239" s="120">
        <v>1.4225000143051147</v>
      </c>
      <c r="F239" s="120">
        <v>163</v>
      </c>
      <c r="G239" s="115">
        <v>228</v>
      </c>
      <c r="H239" s="115">
        <v>3420</v>
      </c>
    </row>
    <row r="240" spans="1:8" x14ac:dyDescent="0.25">
      <c r="A240" s="118" t="s">
        <v>33</v>
      </c>
      <c r="B240" s="119">
        <v>40149</v>
      </c>
      <c r="C240" s="118" t="s">
        <v>38</v>
      </c>
      <c r="D240" s="120">
        <v>15</v>
      </c>
      <c r="E240" s="120">
        <v>1.4225000143051147</v>
      </c>
      <c r="F240" s="120">
        <v>269</v>
      </c>
      <c r="G240" s="115">
        <v>376</v>
      </c>
      <c r="H240" s="115">
        <v>5640</v>
      </c>
    </row>
    <row r="241" spans="1:8" x14ac:dyDescent="0.25">
      <c r="A241" s="118" t="s">
        <v>33</v>
      </c>
      <c r="B241" s="119">
        <v>40149</v>
      </c>
      <c r="C241" s="118" t="s">
        <v>39</v>
      </c>
      <c r="D241" s="120">
        <v>15</v>
      </c>
      <c r="E241" s="120">
        <v>1.4225000143051147</v>
      </c>
      <c r="F241" s="120">
        <v>351</v>
      </c>
      <c r="G241" s="115">
        <v>491</v>
      </c>
      <c r="H241" s="115">
        <v>7132</v>
      </c>
    </row>
    <row r="242" spans="1:8" x14ac:dyDescent="0.25">
      <c r="F242">
        <f>SUM(F235:F241)</f>
        <v>997</v>
      </c>
      <c r="G242" s="20">
        <f>SUM(G235:G241)</f>
        <v>1396</v>
      </c>
      <c r="H242" s="20">
        <f>SUM(H235:H241)</f>
        <v>20288</v>
      </c>
    </row>
    <row r="244" spans="1:8" x14ac:dyDescent="0.25">
      <c r="A244" s="117" t="s">
        <v>9</v>
      </c>
      <c r="B244" s="117" t="s">
        <v>8</v>
      </c>
      <c r="C244" s="117" t="s">
        <v>10</v>
      </c>
      <c r="D244" s="117" t="s">
        <v>11</v>
      </c>
      <c r="E244" s="117" t="s">
        <v>12</v>
      </c>
      <c r="F244" s="117" t="s">
        <v>13</v>
      </c>
      <c r="G244" s="117" t="s">
        <v>14</v>
      </c>
      <c r="H244" s="117" t="s">
        <v>15</v>
      </c>
    </row>
    <row r="245" spans="1:8" x14ac:dyDescent="0.25">
      <c r="A245" s="118" t="s">
        <v>1</v>
      </c>
      <c r="B245" s="119">
        <v>40150</v>
      </c>
      <c r="C245" s="118" t="s">
        <v>29</v>
      </c>
      <c r="D245" s="120">
        <v>13.6</v>
      </c>
      <c r="E245" s="120">
        <v>1.3781499862670898</v>
      </c>
      <c r="F245" s="120">
        <v>0</v>
      </c>
      <c r="G245" s="115">
        <v>0</v>
      </c>
      <c r="H245" s="115">
        <v>0</v>
      </c>
    </row>
    <row r="246" spans="1:8" x14ac:dyDescent="0.25">
      <c r="A246" s="118" t="s">
        <v>1</v>
      </c>
      <c r="B246" s="119">
        <v>40150</v>
      </c>
      <c r="C246" s="118" t="s">
        <v>30</v>
      </c>
      <c r="D246" s="120">
        <v>13.6</v>
      </c>
      <c r="E246" s="120">
        <v>1.3781499862670898</v>
      </c>
      <c r="F246" s="120">
        <v>88</v>
      </c>
      <c r="G246" s="115">
        <v>121</v>
      </c>
      <c r="H246" s="115">
        <v>1646</v>
      </c>
    </row>
    <row r="247" spans="1:8" x14ac:dyDescent="0.25">
      <c r="A247" s="118" t="s">
        <v>1</v>
      </c>
      <c r="B247" s="119">
        <v>40150</v>
      </c>
      <c r="C247" s="118" t="s">
        <v>31</v>
      </c>
      <c r="D247" s="120">
        <v>14.4</v>
      </c>
      <c r="E247" s="120">
        <v>1.3781499862670898</v>
      </c>
      <c r="F247" s="120">
        <v>88</v>
      </c>
      <c r="G247" s="115">
        <v>121</v>
      </c>
      <c r="H247" s="115">
        <v>1742</v>
      </c>
    </row>
    <row r="248" spans="1:8" x14ac:dyDescent="0.25">
      <c r="A248" s="118" t="s">
        <v>1</v>
      </c>
      <c r="B248" s="119">
        <v>40150</v>
      </c>
      <c r="C248" s="118" t="s">
        <v>32</v>
      </c>
      <c r="D248" s="120">
        <v>12.8</v>
      </c>
      <c r="E248" s="120">
        <v>1.3781499862670898</v>
      </c>
      <c r="F248" s="120">
        <v>108</v>
      </c>
      <c r="G248" s="115">
        <v>149</v>
      </c>
      <c r="H248" s="115">
        <v>1907</v>
      </c>
    </row>
    <row r="249" spans="1:8" x14ac:dyDescent="0.25">
      <c r="F249">
        <f>SUM(F245:F248)</f>
        <v>284</v>
      </c>
      <c r="G249" s="20">
        <f>SUM(G245:G248)</f>
        <v>391</v>
      </c>
      <c r="H249" s="20">
        <f>SUM(H245:H248)</f>
        <v>5295</v>
      </c>
    </row>
    <row r="251" spans="1:8" x14ac:dyDescent="0.25">
      <c r="A251" s="117" t="s">
        <v>9</v>
      </c>
      <c r="B251" s="117" t="s">
        <v>8</v>
      </c>
      <c r="C251" s="117" t="s">
        <v>10</v>
      </c>
      <c r="D251" s="117" t="s">
        <v>11</v>
      </c>
      <c r="E251" s="117" t="s">
        <v>12</v>
      </c>
      <c r="F251" s="117" t="s">
        <v>13</v>
      </c>
      <c r="G251" s="117" t="s">
        <v>14</v>
      </c>
      <c r="H251" s="117" t="s">
        <v>15</v>
      </c>
    </row>
    <row r="252" spans="1:8" x14ac:dyDescent="0.25">
      <c r="A252" s="118" t="s">
        <v>2</v>
      </c>
      <c r="B252" s="119">
        <v>40150</v>
      </c>
      <c r="C252" s="118" t="s">
        <v>16</v>
      </c>
      <c r="D252" s="120">
        <v>15</v>
      </c>
      <c r="E252" s="120">
        <v>1.6666749715805054</v>
      </c>
      <c r="F252" s="120">
        <v>0</v>
      </c>
      <c r="G252" s="115">
        <v>0</v>
      </c>
      <c r="H252" s="115">
        <v>0</v>
      </c>
    </row>
    <row r="253" spans="1:8" x14ac:dyDescent="0.25">
      <c r="A253" s="118" t="s">
        <v>2</v>
      </c>
      <c r="B253" s="119">
        <v>40150</v>
      </c>
      <c r="C253" s="118" t="s">
        <v>17</v>
      </c>
      <c r="D253" s="120">
        <v>15</v>
      </c>
      <c r="E253" s="120">
        <v>1.6666749715805054</v>
      </c>
      <c r="F253" s="120">
        <v>232</v>
      </c>
      <c r="G253" s="115">
        <v>373</v>
      </c>
      <c r="H253" s="115">
        <v>5595</v>
      </c>
    </row>
    <row r="254" spans="1:8" x14ac:dyDescent="0.25">
      <c r="A254" s="118" t="s">
        <v>2</v>
      </c>
      <c r="B254" s="119">
        <v>40150</v>
      </c>
      <c r="C254" s="118" t="s">
        <v>18</v>
      </c>
      <c r="D254" s="120">
        <v>15</v>
      </c>
      <c r="E254" s="120">
        <v>1.6666749715805054</v>
      </c>
      <c r="F254" s="120">
        <v>190</v>
      </c>
      <c r="G254" s="115">
        <v>306</v>
      </c>
      <c r="H254" s="115">
        <v>4590</v>
      </c>
    </row>
    <row r="255" spans="1:8" x14ac:dyDescent="0.25">
      <c r="A255" s="118" t="s">
        <v>2</v>
      </c>
      <c r="B255" s="119">
        <v>40150</v>
      </c>
      <c r="C255" s="118" t="s">
        <v>19</v>
      </c>
      <c r="D255" s="120">
        <v>15</v>
      </c>
      <c r="E255" s="120">
        <v>1.6666749715805054</v>
      </c>
      <c r="F255" s="120">
        <v>121</v>
      </c>
      <c r="G255" s="115">
        <v>195</v>
      </c>
      <c r="H255" s="115">
        <v>2925</v>
      </c>
    </row>
    <row r="256" spans="1:8" x14ac:dyDescent="0.25">
      <c r="A256" s="118" t="s">
        <v>2</v>
      </c>
      <c r="B256" s="119">
        <v>40150</v>
      </c>
      <c r="C256" s="118" t="s">
        <v>20</v>
      </c>
      <c r="D256" s="120">
        <v>15</v>
      </c>
      <c r="E256" s="120">
        <v>1.6666749715805054</v>
      </c>
      <c r="F256" s="120">
        <v>222</v>
      </c>
      <c r="G256" s="115">
        <v>357</v>
      </c>
      <c r="H256" s="115">
        <v>5355</v>
      </c>
    </row>
    <row r="257" spans="1:8" x14ac:dyDescent="0.25">
      <c r="A257" s="118" t="s">
        <v>2</v>
      </c>
      <c r="B257" s="119">
        <v>40150</v>
      </c>
      <c r="C257" s="118" t="s">
        <v>21</v>
      </c>
      <c r="D257" s="120">
        <v>15</v>
      </c>
      <c r="E257" s="120">
        <v>1.6666749715805054</v>
      </c>
      <c r="F257" s="120">
        <v>0</v>
      </c>
      <c r="G257" s="115">
        <v>0</v>
      </c>
      <c r="H257" s="115">
        <v>0</v>
      </c>
    </row>
    <row r="258" spans="1:8" x14ac:dyDescent="0.25">
      <c r="F258">
        <f>SUM(F252:F257)</f>
        <v>765</v>
      </c>
      <c r="G258" s="20">
        <f>SUM(G252:G257)</f>
        <v>1231</v>
      </c>
      <c r="H258" s="20">
        <f>SUM(H252:H257)</f>
        <v>18465</v>
      </c>
    </row>
    <row r="260" spans="1:8" x14ac:dyDescent="0.25">
      <c r="A260" s="117" t="s">
        <v>9</v>
      </c>
      <c r="B260" s="117" t="s">
        <v>8</v>
      </c>
      <c r="C260" s="117" t="s">
        <v>10</v>
      </c>
      <c r="D260" s="117" t="s">
        <v>11</v>
      </c>
      <c r="E260" s="117" t="s">
        <v>12</v>
      </c>
      <c r="F260" s="117" t="s">
        <v>13</v>
      </c>
      <c r="G260" s="117" t="s">
        <v>14</v>
      </c>
      <c r="H260" s="117" t="s">
        <v>15</v>
      </c>
    </row>
    <row r="261" spans="1:8" x14ac:dyDescent="0.25">
      <c r="A261" s="118" t="s">
        <v>3</v>
      </c>
      <c r="B261" s="119">
        <v>40150</v>
      </c>
      <c r="C261" s="118" t="s">
        <v>23</v>
      </c>
      <c r="D261" s="120">
        <v>15</v>
      </c>
      <c r="E261" s="120">
        <v>1.4398332834243774</v>
      </c>
      <c r="F261" s="120">
        <v>19</v>
      </c>
      <c r="G261" s="115">
        <v>27</v>
      </c>
      <c r="H261" s="115">
        <v>405</v>
      </c>
    </row>
    <row r="262" spans="1:8" x14ac:dyDescent="0.25">
      <c r="A262" s="118" t="s">
        <v>3</v>
      </c>
      <c r="B262" s="119">
        <v>40150</v>
      </c>
      <c r="C262" s="118" t="s">
        <v>24</v>
      </c>
      <c r="D262" s="120">
        <v>2</v>
      </c>
      <c r="E262" s="120">
        <v>1.4398332834243774</v>
      </c>
      <c r="F262" s="120">
        <v>5</v>
      </c>
      <c r="G262" s="115">
        <v>7</v>
      </c>
      <c r="H262" s="115">
        <v>14</v>
      </c>
    </row>
    <row r="263" spans="1:8" x14ac:dyDescent="0.25">
      <c r="A263" s="118" t="s">
        <v>3</v>
      </c>
      <c r="B263" s="119">
        <v>40150</v>
      </c>
      <c r="C263" s="118" t="s">
        <v>25</v>
      </c>
      <c r="D263" s="120">
        <v>15</v>
      </c>
      <c r="E263" s="120">
        <v>1.4398332834243774</v>
      </c>
      <c r="F263" s="120">
        <v>53</v>
      </c>
      <c r="G263" s="115">
        <v>76</v>
      </c>
      <c r="H263" s="115">
        <v>998</v>
      </c>
    </row>
    <row r="264" spans="1:8" x14ac:dyDescent="0.25">
      <c r="A264" s="118" t="s">
        <v>3</v>
      </c>
      <c r="B264" s="119">
        <v>40150</v>
      </c>
      <c r="C264" s="118" t="s">
        <v>26</v>
      </c>
      <c r="D264" s="120">
        <v>13.076923076923077</v>
      </c>
      <c r="E264" s="120">
        <v>1.4398332834243774</v>
      </c>
      <c r="F264" s="120">
        <v>141</v>
      </c>
      <c r="G264" s="115">
        <v>203</v>
      </c>
      <c r="H264" s="115">
        <v>2655</v>
      </c>
    </row>
    <row r="265" spans="1:8" x14ac:dyDescent="0.25">
      <c r="A265" s="118" t="s">
        <v>3</v>
      </c>
      <c r="B265" s="119">
        <v>40150</v>
      </c>
      <c r="C265" s="118" t="s">
        <v>27</v>
      </c>
      <c r="D265" s="120">
        <v>15</v>
      </c>
      <c r="E265" s="120">
        <v>1.4398332834243774</v>
      </c>
      <c r="F265" s="120">
        <v>22</v>
      </c>
      <c r="G265" s="115">
        <v>32</v>
      </c>
      <c r="H265" s="115">
        <v>480</v>
      </c>
    </row>
    <row r="266" spans="1:8" x14ac:dyDescent="0.25">
      <c r="A266" s="118" t="s">
        <v>3</v>
      </c>
      <c r="B266" s="119">
        <v>40150</v>
      </c>
      <c r="C266" s="118" t="s">
        <v>28</v>
      </c>
      <c r="D266" s="120">
        <v>14.285714285714286</v>
      </c>
      <c r="E266" s="120">
        <v>1.4398332834243774</v>
      </c>
      <c r="F266" s="120">
        <v>79</v>
      </c>
      <c r="G266" s="115">
        <v>114</v>
      </c>
      <c r="H266" s="115">
        <v>1629</v>
      </c>
    </row>
    <row r="267" spans="1:8" x14ac:dyDescent="0.25">
      <c r="F267">
        <f>SUM(F261:F266)</f>
        <v>319</v>
      </c>
      <c r="G267" s="20">
        <f>SUM(G261:G266)</f>
        <v>459</v>
      </c>
      <c r="H267" s="20">
        <f>SUM(H261:H266)</f>
        <v>6181</v>
      </c>
    </row>
    <row r="269" spans="1:8" x14ac:dyDescent="0.25">
      <c r="A269" s="117" t="s">
        <v>9</v>
      </c>
      <c r="B269" s="117" t="s">
        <v>8</v>
      </c>
      <c r="C269" s="117" t="s">
        <v>10</v>
      </c>
      <c r="D269" s="117" t="s">
        <v>11</v>
      </c>
      <c r="E269" s="117" t="s">
        <v>12</v>
      </c>
      <c r="F269" s="117" t="s">
        <v>13</v>
      </c>
      <c r="G269" s="117" t="s">
        <v>14</v>
      </c>
      <c r="H269" s="117" t="s">
        <v>15</v>
      </c>
    </row>
    <row r="270" spans="1:8" x14ac:dyDescent="0.25">
      <c r="A270" s="118" t="s">
        <v>33</v>
      </c>
      <c r="B270" s="119">
        <v>40151</v>
      </c>
      <c r="C270" s="118" t="s">
        <v>34</v>
      </c>
      <c r="D270" s="120">
        <v>14.615384615384615</v>
      </c>
      <c r="E270" s="120">
        <v>1.2628999948501587</v>
      </c>
      <c r="F270" s="120">
        <v>22</v>
      </c>
      <c r="G270" s="115">
        <v>26</v>
      </c>
      <c r="H270" s="115">
        <v>380</v>
      </c>
    </row>
    <row r="271" spans="1:8" x14ac:dyDescent="0.25">
      <c r="A271" s="118" t="s">
        <v>33</v>
      </c>
      <c r="B271" s="119">
        <v>40151</v>
      </c>
      <c r="C271" s="118" t="s">
        <v>35</v>
      </c>
      <c r="D271" s="120">
        <v>14.615384615384615</v>
      </c>
      <c r="E271" s="120">
        <v>1.2628999948501587</v>
      </c>
      <c r="F271" s="120">
        <v>43</v>
      </c>
      <c r="G271" s="115">
        <v>52</v>
      </c>
      <c r="H271" s="115">
        <v>760</v>
      </c>
    </row>
    <row r="272" spans="1:8" x14ac:dyDescent="0.25">
      <c r="A272" s="118" t="s">
        <v>33</v>
      </c>
      <c r="B272" s="119">
        <v>40151</v>
      </c>
      <c r="C272" s="118" t="s">
        <v>36</v>
      </c>
      <c r="D272" s="120">
        <v>14.615384615384615</v>
      </c>
      <c r="E272" s="120">
        <v>1.2628999948501587</v>
      </c>
      <c r="F272" s="120">
        <v>61</v>
      </c>
      <c r="G272" s="115">
        <v>73</v>
      </c>
      <c r="H272" s="115">
        <v>1067</v>
      </c>
    </row>
    <row r="273" spans="1:8" x14ac:dyDescent="0.25">
      <c r="A273" s="118" t="s">
        <v>33</v>
      </c>
      <c r="B273" s="119">
        <v>40151</v>
      </c>
      <c r="C273" s="118" t="s">
        <v>40</v>
      </c>
      <c r="D273" s="120">
        <v>14.615384615384615</v>
      </c>
      <c r="E273" s="120">
        <v>1.2628999948501587</v>
      </c>
      <c r="F273" s="120">
        <v>30</v>
      </c>
      <c r="G273" s="115">
        <v>36</v>
      </c>
      <c r="H273" s="115">
        <v>526</v>
      </c>
    </row>
    <row r="274" spans="1:8" x14ac:dyDescent="0.25">
      <c r="A274" s="118" t="s">
        <v>33</v>
      </c>
      <c r="B274" s="119">
        <v>40151</v>
      </c>
      <c r="C274" s="118" t="s">
        <v>37</v>
      </c>
      <c r="D274" s="120">
        <v>13.75</v>
      </c>
      <c r="E274" s="120">
        <v>1.2628999948501587</v>
      </c>
      <c r="F274" s="120">
        <v>108</v>
      </c>
      <c r="G274" s="115">
        <v>130</v>
      </c>
      <c r="H274" s="115">
        <v>1788</v>
      </c>
    </row>
    <row r="275" spans="1:8" x14ac:dyDescent="0.25">
      <c r="A275" s="118" t="s">
        <v>33</v>
      </c>
      <c r="B275" s="119">
        <v>40151</v>
      </c>
      <c r="C275" s="118" t="s">
        <v>38</v>
      </c>
      <c r="D275" s="120">
        <v>15</v>
      </c>
      <c r="E275" s="120">
        <v>1.2628999948501587</v>
      </c>
      <c r="F275" s="120">
        <v>266</v>
      </c>
      <c r="G275" s="115">
        <v>320</v>
      </c>
      <c r="H275" s="115">
        <v>4800</v>
      </c>
    </row>
    <row r="276" spans="1:8" x14ac:dyDescent="0.25">
      <c r="A276" s="118" t="s">
        <v>33</v>
      </c>
      <c r="B276" s="119">
        <v>40151</v>
      </c>
      <c r="C276" s="118" t="s">
        <v>39</v>
      </c>
      <c r="D276" s="120">
        <v>15</v>
      </c>
      <c r="E276" s="120">
        <v>1.2628999948501587</v>
      </c>
      <c r="F276" s="120">
        <v>214</v>
      </c>
      <c r="G276" s="115">
        <v>257</v>
      </c>
      <c r="H276" s="115">
        <v>3756</v>
      </c>
    </row>
    <row r="277" spans="1:8" x14ac:dyDescent="0.25">
      <c r="F277">
        <f>SUM(F270:F276)</f>
        <v>744</v>
      </c>
      <c r="G277" s="20">
        <f>SUM(G270:G276)</f>
        <v>894</v>
      </c>
      <c r="H277" s="20">
        <f>SUM(H270:H276)</f>
        <v>13077</v>
      </c>
    </row>
    <row r="279" spans="1:8" x14ac:dyDescent="0.25">
      <c r="A279" s="117" t="s">
        <v>9</v>
      </c>
      <c r="B279" s="117" t="s">
        <v>8</v>
      </c>
      <c r="C279" s="117" t="s">
        <v>10</v>
      </c>
      <c r="D279" s="117" t="s">
        <v>11</v>
      </c>
      <c r="E279" s="117" t="s">
        <v>12</v>
      </c>
      <c r="F279" s="117" t="s">
        <v>13</v>
      </c>
      <c r="G279" s="117" t="s">
        <v>14</v>
      </c>
      <c r="H279" s="117" t="s">
        <v>15</v>
      </c>
    </row>
    <row r="280" spans="1:8" x14ac:dyDescent="0.25">
      <c r="A280" s="118" t="s">
        <v>3</v>
      </c>
      <c r="B280" s="119">
        <v>40151</v>
      </c>
      <c r="C280" s="118" t="s">
        <v>23</v>
      </c>
      <c r="D280" s="120">
        <v>13.068181818181818</v>
      </c>
      <c r="E280" s="120">
        <v>1.451866626739502</v>
      </c>
      <c r="F280" s="120">
        <v>7</v>
      </c>
      <c r="G280" s="115">
        <v>10</v>
      </c>
      <c r="H280" s="115">
        <v>131</v>
      </c>
    </row>
    <row r="281" spans="1:8" x14ac:dyDescent="0.25">
      <c r="A281" s="118" t="s">
        <v>3</v>
      </c>
      <c r="B281" s="119">
        <v>40151</v>
      </c>
      <c r="C281" s="118" t="s">
        <v>24</v>
      </c>
      <c r="D281" s="120">
        <v>13.068181818181818</v>
      </c>
      <c r="E281" s="120">
        <v>1.451866626739502</v>
      </c>
      <c r="F281" s="120">
        <v>24</v>
      </c>
      <c r="G281" s="115">
        <v>35</v>
      </c>
      <c r="H281" s="115">
        <v>457</v>
      </c>
    </row>
    <row r="282" spans="1:8" x14ac:dyDescent="0.25">
      <c r="A282" s="118" t="s">
        <v>3</v>
      </c>
      <c r="B282" s="119">
        <v>40151</v>
      </c>
      <c r="C282" s="118" t="s">
        <v>25</v>
      </c>
      <c r="D282" s="120">
        <v>11.142857142857142</v>
      </c>
      <c r="E282" s="120">
        <v>1.451866626739502</v>
      </c>
      <c r="F282" s="120">
        <v>130</v>
      </c>
      <c r="G282" s="115">
        <v>189</v>
      </c>
      <c r="H282" s="115">
        <v>2106</v>
      </c>
    </row>
    <row r="283" spans="1:8" x14ac:dyDescent="0.25">
      <c r="A283" s="118" t="s">
        <v>3</v>
      </c>
      <c r="B283" s="119">
        <v>40151</v>
      </c>
      <c r="C283" s="118" t="s">
        <v>26</v>
      </c>
      <c r="D283" s="120">
        <v>14.0625</v>
      </c>
      <c r="E283" s="120">
        <v>1.451866626739502</v>
      </c>
      <c r="F283" s="120">
        <v>206</v>
      </c>
      <c r="G283" s="115">
        <v>299</v>
      </c>
      <c r="H283" s="115">
        <v>4205</v>
      </c>
    </row>
    <row r="284" spans="1:8" x14ac:dyDescent="0.25">
      <c r="A284" s="118" t="s">
        <v>3</v>
      </c>
      <c r="B284" s="119">
        <v>40151</v>
      </c>
      <c r="C284" s="118" t="s">
        <v>27</v>
      </c>
      <c r="D284" s="120">
        <v>11.333333333333334</v>
      </c>
      <c r="E284" s="120">
        <v>1.451866626739502</v>
      </c>
      <c r="F284" s="120">
        <v>52</v>
      </c>
      <c r="G284" s="115">
        <v>75</v>
      </c>
      <c r="H284" s="115">
        <v>850</v>
      </c>
    </row>
    <row r="285" spans="1:8" x14ac:dyDescent="0.25">
      <c r="A285" s="118" t="s">
        <v>3</v>
      </c>
      <c r="B285" s="119">
        <v>40151</v>
      </c>
      <c r="C285" s="118" t="s">
        <v>28</v>
      </c>
      <c r="D285" s="120">
        <v>14.166666666666666</v>
      </c>
      <c r="E285" s="120">
        <v>1.451866626739502</v>
      </c>
      <c r="F285" s="120">
        <v>141</v>
      </c>
      <c r="G285" s="115">
        <v>205</v>
      </c>
      <c r="H285" s="115">
        <v>2904</v>
      </c>
    </row>
    <row r="286" spans="1:8" x14ac:dyDescent="0.25">
      <c r="F286">
        <f>SUM(F280:F285)</f>
        <v>560</v>
      </c>
      <c r="G286" s="20">
        <f>SUM(G280:G285)</f>
        <v>813</v>
      </c>
      <c r="H286" s="20">
        <f>SUM(H280:H285)</f>
        <v>10653</v>
      </c>
    </row>
    <row r="288" spans="1:8" x14ac:dyDescent="0.25">
      <c r="A288" s="117" t="s">
        <v>9</v>
      </c>
      <c r="B288" s="117" t="s">
        <v>8</v>
      </c>
      <c r="C288" s="117" t="s">
        <v>10</v>
      </c>
      <c r="D288" s="117" t="s">
        <v>11</v>
      </c>
      <c r="E288" s="117" t="s">
        <v>12</v>
      </c>
      <c r="F288" s="117" t="s">
        <v>13</v>
      </c>
      <c r="G288" s="117" t="s">
        <v>14</v>
      </c>
      <c r="H288" s="117" t="s">
        <v>15</v>
      </c>
    </row>
    <row r="289" spans="1:8" x14ac:dyDescent="0.25">
      <c r="A289" s="118" t="s">
        <v>1</v>
      </c>
      <c r="B289" s="119">
        <v>40152</v>
      </c>
      <c r="C289" s="118" t="s">
        <v>29</v>
      </c>
      <c r="D289" s="120">
        <v>14.977777777777778</v>
      </c>
      <c r="E289" s="120">
        <v>1.4631999731063843</v>
      </c>
      <c r="F289" s="120">
        <v>2</v>
      </c>
      <c r="G289" s="115">
        <v>3</v>
      </c>
      <c r="H289" s="115">
        <v>45</v>
      </c>
    </row>
    <row r="290" spans="1:8" x14ac:dyDescent="0.25">
      <c r="A290" s="118" t="s">
        <v>1</v>
      </c>
      <c r="B290" s="119">
        <v>40152</v>
      </c>
      <c r="C290" s="118" t="s">
        <v>30</v>
      </c>
      <c r="D290" s="120">
        <v>15</v>
      </c>
      <c r="E290" s="120">
        <v>1.4631999731063843</v>
      </c>
      <c r="F290" s="120">
        <v>73</v>
      </c>
      <c r="G290" s="115">
        <v>107</v>
      </c>
      <c r="H290" s="115">
        <v>1605</v>
      </c>
    </row>
    <row r="291" spans="1:8" x14ac:dyDescent="0.25">
      <c r="A291" s="118" t="s">
        <v>1</v>
      </c>
      <c r="B291" s="119">
        <v>40152</v>
      </c>
      <c r="C291" s="118" t="s">
        <v>31</v>
      </c>
      <c r="D291" s="120">
        <v>15</v>
      </c>
      <c r="E291" s="120">
        <v>1.4631999731063843</v>
      </c>
      <c r="F291" s="120">
        <v>128</v>
      </c>
      <c r="G291" s="115">
        <v>187</v>
      </c>
      <c r="H291" s="115">
        <v>2805</v>
      </c>
    </row>
    <row r="292" spans="1:8" x14ac:dyDescent="0.25">
      <c r="A292" s="118" t="s">
        <v>1</v>
      </c>
      <c r="B292" s="119">
        <v>40152</v>
      </c>
      <c r="C292" s="118" t="s">
        <v>32</v>
      </c>
      <c r="D292" s="120">
        <v>14.916666666666666</v>
      </c>
      <c r="E292" s="120">
        <v>1.4631999731063843</v>
      </c>
      <c r="F292" s="120">
        <v>59</v>
      </c>
      <c r="G292" s="115">
        <v>86</v>
      </c>
      <c r="H292" s="115">
        <v>1283</v>
      </c>
    </row>
    <row r="293" spans="1:8" x14ac:dyDescent="0.25">
      <c r="F293">
        <f>SUM(F289:F292)</f>
        <v>262</v>
      </c>
      <c r="G293" s="20">
        <f>SUM(G289:G292)</f>
        <v>383</v>
      </c>
      <c r="H293" s="20">
        <f>SUM(H289:H292)</f>
        <v>5738</v>
      </c>
    </row>
    <row r="295" spans="1:8" x14ac:dyDescent="0.25">
      <c r="A295" s="117" t="s">
        <v>9</v>
      </c>
      <c r="B295" s="117" t="s">
        <v>8</v>
      </c>
      <c r="C295" s="117" t="s">
        <v>10</v>
      </c>
      <c r="D295" s="117" t="s">
        <v>11</v>
      </c>
      <c r="E295" s="117" t="s">
        <v>12</v>
      </c>
      <c r="F295" s="117" t="s">
        <v>13</v>
      </c>
      <c r="G295" s="117" t="s">
        <v>14</v>
      </c>
      <c r="H295" s="117" t="s">
        <v>15</v>
      </c>
    </row>
    <row r="296" spans="1:8" x14ac:dyDescent="0.25">
      <c r="A296" s="118" t="s">
        <v>2</v>
      </c>
      <c r="B296" s="119">
        <v>40151</v>
      </c>
      <c r="C296" s="118" t="s">
        <v>16</v>
      </c>
      <c r="D296" s="120">
        <v>14.439024390243903</v>
      </c>
      <c r="E296" s="120">
        <v>1.6840000152587891</v>
      </c>
      <c r="F296" s="120">
        <v>0</v>
      </c>
      <c r="G296" s="120">
        <v>0</v>
      </c>
      <c r="H296" s="120">
        <v>0</v>
      </c>
    </row>
    <row r="297" spans="1:8" x14ac:dyDescent="0.25">
      <c r="A297" s="118" t="s">
        <v>2</v>
      </c>
      <c r="B297" s="119">
        <v>40151</v>
      </c>
      <c r="C297" s="118" t="s">
        <v>17</v>
      </c>
      <c r="D297" s="120">
        <v>14.439024390243903</v>
      </c>
      <c r="E297" s="120">
        <v>1.6840000152587891</v>
      </c>
      <c r="F297" s="120">
        <v>335</v>
      </c>
      <c r="G297" s="120">
        <v>551</v>
      </c>
      <c r="H297" s="120">
        <v>7956</v>
      </c>
    </row>
    <row r="298" spans="1:8" x14ac:dyDescent="0.25">
      <c r="A298" s="118" t="s">
        <v>2</v>
      </c>
      <c r="B298" s="119">
        <v>40151</v>
      </c>
      <c r="C298" s="118" t="s">
        <v>18</v>
      </c>
      <c r="D298" s="120">
        <v>15</v>
      </c>
      <c r="E298" s="120">
        <v>1.6840000152587891</v>
      </c>
      <c r="F298" s="120">
        <v>155</v>
      </c>
      <c r="G298" s="120">
        <v>255</v>
      </c>
      <c r="H298" s="120">
        <v>3825</v>
      </c>
    </row>
    <row r="299" spans="1:8" x14ac:dyDescent="0.25">
      <c r="A299" s="118" t="s">
        <v>2</v>
      </c>
      <c r="B299" s="119">
        <v>40151</v>
      </c>
      <c r="C299" s="118" t="s">
        <v>19</v>
      </c>
      <c r="D299" s="120">
        <v>15</v>
      </c>
      <c r="E299" s="120">
        <v>1.6840000152587891</v>
      </c>
      <c r="F299" s="120">
        <v>139</v>
      </c>
      <c r="G299" s="120">
        <v>229</v>
      </c>
      <c r="H299" s="120">
        <v>3435</v>
      </c>
    </row>
    <row r="300" spans="1:8" x14ac:dyDescent="0.25">
      <c r="A300" s="118" t="s">
        <v>2</v>
      </c>
      <c r="B300" s="119">
        <v>40151</v>
      </c>
      <c r="C300" s="118" t="s">
        <v>20</v>
      </c>
      <c r="D300" s="120">
        <v>13.954545454545455</v>
      </c>
      <c r="E300" s="120">
        <v>1.6840000152587891</v>
      </c>
      <c r="F300" s="120">
        <v>216</v>
      </c>
      <c r="G300" s="120">
        <v>355</v>
      </c>
      <c r="H300" s="120">
        <v>4954</v>
      </c>
    </row>
    <row r="301" spans="1:8" x14ac:dyDescent="0.25">
      <c r="A301" s="118" t="s">
        <v>2</v>
      </c>
      <c r="B301" s="119">
        <v>40151</v>
      </c>
      <c r="C301" s="118" t="s">
        <v>21</v>
      </c>
      <c r="D301" s="120">
        <v>14.439024390243903</v>
      </c>
      <c r="E301" s="120">
        <v>1.6840000152587891</v>
      </c>
      <c r="F301" s="120">
        <v>3</v>
      </c>
      <c r="G301" s="120">
        <v>5</v>
      </c>
      <c r="H301" s="120">
        <v>72</v>
      </c>
    </row>
    <row r="302" spans="1:8" x14ac:dyDescent="0.25">
      <c r="F302">
        <f>SUM(F296:F301)</f>
        <v>848</v>
      </c>
      <c r="G302" s="20">
        <f>SUM(G296:G301)</f>
        <v>1395</v>
      </c>
      <c r="H302" s="20">
        <f>SUM(H296:H301)</f>
        <v>20242</v>
      </c>
    </row>
    <row r="304" spans="1:8" x14ac:dyDescent="0.25">
      <c r="A304" s="117" t="s">
        <v>9</v>
      </c>
      <c r="B304" s="117" t="s">
        <v>8</v>
      </c>
      <c r="C304" s="117" t="s">
        <v>10</v>
      </c>
      <c r="D304" s="117" t="s">
        <v>11</v>
      </c>
      <c r="E304" s="117" t="s">
        <v>12</v>
      </c>
      <c r="F304" s="117" t="s">
        <v>13</v>
      </c>
      <c r="G304" s="117" t="s">
        <v>14</v>
      </c>
      <c r="H304" s="117" t="s">
        <v>15</v>
      </c>
    </row>
    <row r="305" spans="1:8" x14ac:dyDescent="0.25">
      <c r="A305" s="118" t="s">
        <v>2</v>
      </c>
      <c r="B305" s="119">
        <v>40152</v>
      </c>
      <c r="C305" s="118" t="s">
        <v>16</v>
      </c>
      <c r="D305" s="120">
        <v>15</v>
      </c>
      <c r="E305" s="120">
        <v>1.6681333780288696</v>
      </c>
      <c r="F305" s="120">
        <v>0</v>
      </c>
      <c r="G305" s="120">
        <v>0</v>
      </c>
      <c r="H305" s="120">
        <v>0</v>
      </c>
    </row>
    <row r="306" spans="1:8" x14ac:dyDescent="0.25">
      <c r="A306" s="118" t="s">
        <v>2</v>
      </c>
      <c r="B306" s="119">
        <v>40152</v>
      </c>
      <c r="C306" s="118" t="s">
        <v>17</v>
      </c>
      <c r="D306" s="120">
        <v>15</v>
      </c>
      <c r="E306" s="120">
        <v>1.6681333780288696</v>
      </c>
      <c r="F306" s="120">
        <v>225</v>
      </c>
      <c r="G306" s="120">
        <v>364</v>
      </c>
      <c r="H306" s="120">
        <v>5460</v>
      </c>
    </row>
    <row r="307" spans="1:8" x14ac:dyDescent="0.25">
      <c r="A307" s="118" t="s">
        <v>2</v>
      </c>
      <c r="B307" s="119">
        <v>40152</v>
      </c>
      <c r="C307" s="118" t="s">
        <v>18</v>
      </c>
      <c r="D307" s="120">
        <v>15</v>
      </c>
      <c r="E307" s="120">
        <v>1.6681333780288696</v>
      </c>
      <c r="F307" s="120">
        <v>163</v>
      </c>
      <c r="G307" s="120">
        <v>264</v>
      </c>
      <c r="H307" s="120">
        <v>3960</v>
      </c>
    </row>
    <row r="308" spans="1:8" x14ac:dyDescent="0.25">
      <c r="A308" s="118" t="s">
        <v>2</v>
      </c>
      <c r="B308" s="119">
        <v>40152</v>
      </c>
      <c r="C308" s="118" t="s">
        <v>19</v>
      </c>
      <c r="D308" s="120">
        <v>15</v>
      </c>
      <c r="E308" s="120">
        <v>1.6681333780288696</v>
      </c>
      <c r="F308" s="120">
        <v>82</v>
      </c>
      <c r="G308" s="120">
        <v>133</v>
      </c>
      <c r="H308" s="120">
        <v>1995</v>
      </c>
    </row>
    <row r="309" spans="1:8" x14ac:dyDescent="0.25">
      <c r="A309" s="118" t="s">
        <v>2</v>
      </c>
      <c r="B309" s="119">
        <v>40152</v>
      </c>
      <c r="C309" s="118" t="s">
        <v>20</v>
      </c>
      <c r="D309" s="120">
        <v>15</v>
      </c>
      <c r="E309" s="120">
        <v>1.6681333780288696</v>
      </c>
      <c r="F309" s="120">
        <v>188</v>
      </c>
      <c r="G309" s="120">
        <v>304</v>
      </c>
      <c r="H309" s="120">
        <v>4560</v>
      </c>
    </row>
    <row r="310" spans="1:8" x14ac:dyDescent="0.25">
      <c r="A310" s="118" t="s">
        <v>2</v>
      </c>
      <c r="B310" s="119">
        <v>40152</v>
      </c>
      <c r="C310" s="118" t="s">
        <v>21</v>
      </c>
      <c r="D310" s="120">
        <v>15</v>
      </c>
      <c r="E310" s="120">
        <v>1.6681333780288696</v>
      </c>
      <c r="F310" s="120">
        <v>4</v>
      </c>
      <c r="G310" s="120">
        <v>6</v>
      </c>
      <c r="H310" s="120">
        <v>90</v>
      </c>
    </row>
    <row r="311" spans="1:8" x14ac:dyDescent="0.25">
      <c r="F311">
        <f>SUM(F305:F310)</f>
        <v>662</v>
      </c>
      <c r="G311" s="20">
        <f>SUM(G305:G310)</f>
        <v>1071</v>
      </c>
      <c r="H311" s="20">
        <f>SUM(H305:H310)</f>
        <v>16065</v>
      </c>
    </row>
    <row r="313" spans="1:8" x14ac:dyDescent="0.25">
      <c r="A313" s="117" t="s">
        <v>9</v>
      </c>
      <c r="B313" s="117" t="s">
        <v>8</v>
      </c>
      <c r="C313" s="117" t="s">
        <v>10</v>
      </c>
      <c r="D313" s="117" t="s">
        <v>11</v>
      </c>
      <c r="E313" s="117" t="s">
        <v>12</v>
      </c>
      <c r="F313" s="117" t="s">
        <v>13</v>
      </c>
      <c r="G313" s="117" t="s">
        <v>14</v>
      </c>
      <c r="H313" s="117" t="s">
        <v>15</v>
      </c>
    </row>
    <row r="314" spans="1:8" x14ac:dyDescent="0.25">
      <c r="A314" s="118" t="s">
        <v>3</v>
      </c>
      <c r="B314" s="119">
        <v>40152</v>
      </c>
      <c r="C314" s="118" t="s">
        <v>23</v>
      </c>
      <c r="D314" s="120">
        <v>15</v>
      </c>
      <c r="E314" s="120">
        <v>1.5377999544143677</v>
      </c>
      <c r="F314" s="120">
        <v>2</v>
      </c>
      <c r="G314" s="115">
        <v>3</v>
      </c>
      <c r="H314" s="115">
        <v>45</v>
      </c>
    </row>
    <row r="315" spans="1:8" x14ac:dyDescent="0.25">
      <c r="A315" s="118" t="s">
        <v>3</v>
      </c>
      <c r="B315" s="119">
        <v>40152</v>
      </c>
      <c r="C315" s="118" t="s">
        <v>24</v>
      </c>
      <c r="D315" s="120">
        <v>15</v>
      </c>
      <c r="E315" s="120">
        <v>1.5377999544143677</v>
      </c>
      <c r="F315" s="120">
        <v>18</v>
      </c>
      <c r="G315" s="115">
        <v>28</v>
      </c>
      <c r="H315" s="115">
        <v>420</v>
      </c>
    </row>
    <row r="316" spans="1:8" x14ac:dyDescent="0.25">
      <c r="A316" s="118" t="s">
        <v>3</v>
      </c>
      <c r="B316" s="119">
        <v>40152</v>
      </c>
      <c r="C316" s="118" t="s">
        <v>25</v>
      </c>
      <c r="D316" s="120">
        <v>15</v>
      </c>
      <c r="E316" s="120">
        <v>1.5377999544143677</v>
      </c>
      <c r="F316" s="120">
        <v>106</v>
      </c>
      <c r="G316" s="115">
        <v>163</v>
      </c>
      <c r="H316" s="115">
        <v>2445</v>
      </c>
    </row>
    <row r="317" spans="1:8" x14ac:dyDescent="0.25">
      <c r="A317" s="118" t="s">
        <v>3</v>
      </c>
      <c r="B317" s="119">
        <v>40152</v>
      </c>
      <c r="C317" s="118" t="s">
        <v>26</v>
      </c>
      <c r="D317" s="120">
        <v>15</v>
      </c>
      <c r="E317" s="120">
        <v>1.5377999544143677</v>
      </c>
      <c r="F317" s="120">
        <v>147</v>
      </c>
      <c r="G317" s="115">
        <v>226</v>
      </c>
      <c r="H317" s="115">
        <v>3390</v>
      </c>
    </row>
    <row r="318" spans="1:8" x14ac:dyDescent="0.25">
      <c r="A318" s="118" t="s">
        <v>3</v>
      </c>
      <c r="B318" s="119">
        <v>40152</v>
      </c>
      <c r="C318" s="118" t="s">
        <v>27</v>
      </c>
      <c r="D318" s="120">
        <v>15</v>
      </c>
      <c r="E318" s="120">
        <v>1.5377999544143677</v>
      </c>
      <c r="F318" s="120">
        <v>42</v>
      </c>
      <c r="G318" s="115">
        <v>65</v>
      </c>
      <c r="H318" s="115">
        <v>975</v>
      </c>
    </row>
    <row r="319" spans="1:8" x14ac:dyDescent="0.25">
      <c r="A319" s="118" t="s">
        <v>3</v>
      </c>
      <c r="B319" s="119">
        <v>40152</v>
      </c>
      <c r="C319" s="118" t="s">
        <v>28</v>
      </c>
      <c r="D319" s="120">
        <v>15</v>
      </c>
      <c r="E319" s="120">
        <v>1.5377999544143677</v>
      </c>
      <c r="F319" s="120">
        <v>59</v>
      </c>
      <c r="G319" s="115">
        <v>91</v>
      </c>
      <c r="H319" s="115">
        <v>1365</v>
      </c>
    </row>
    <row r="320" spans="1:8" x14ac:dyDescent="0.25">
      <c r="F320">
        <f>SUM(F314:F319)</f>
        <v>374</v>
      </c>
      <c r="G320" s="20">
        <f>SUM(G314:G319)</f>
        <v>576</v>
      </c>
      <c r="H320" s="20">
        <f>SUM(H314:H319)</f>
        <v>8640</v>
      </c>
    </row>
    <row r="322" spans="1:8" x14ac:dyDescent="0.25">
      <c r="A322" s="139" t="s">
        <v>9</v>
      </c>
      <c r="B322" s="139" t="s">
        <v>8</v>
      </c>
      <c r="C322" s="139" t="s">
        <v>10</v>
      </c>
      <c r="D322" s="139" t="s">
        <v>11</v>
      </c>
      <c r="E322" s="139" t="s">
        <v>12</v>
      </c>
      <c r="F322" s="139" t="s">
        <v>13</v>
      </c>
      <c r="G322" s="139" t="s">
        <v>14</v>
      </c>
      <c r="H322" s="139" t="s">
        <v>15</v>
      </c>
    </row>
    <row r="323" spans="1:8" x14ac:dyDescent="0.25">
      <c r="A323" s="140" t="s">
        <v>2</v>
      </c>
      <c r="B323" s="141">
        <v>40179</v>
      </c>
      <c r="C323" s="140" t="s">
        <v>16</v>
      </c>
      <c r="D323" s="142">
        <v>0</v>
      </c>
      <c r="E323" s="142">
        <v>1.6666749715805054</v>
      </c>
      <c r="F323" s="120">
        <v>28</v>
      </c>
      <c r="G323" s="115">
        <v>46</v>
      </c>
      <c r="H323" s="115">
        <f>G323*3.04</f>
        <v>139.84</v>
      </c>
    </row>
    <row r="324" spans="1:8" x14ac:dyDescent="0.25">
      <c r="A324" s="140" t="s">
        <v>2</v>
      </c>
      <c r="B324" s="141">
        <v>40179</v>
      </c>
      <c r="C324" s="140" t="s">
        <v>17</v>
      </c>
      <c r="D324" s="142">
        <v>0.15789473684210525</v>
      </c>
      <c r="E324" s="142">
        <v>1.6666749715805054</v>
      </c>
      <c r="F324" s="120">
        <v>760</v>
      </c>
      <c r="G324" s="115">
        <v>1245</v>
      </c>
      <c r="H324" s="115">
        <v>3779</v>
      </c>
    </row>
    <row r="325" spans="1:8" x14ac:dyDescent="0.25">
      <c r="A325" s="140" t="s">
        <v>2</v>
      </c>
      <c r="B325" s="141">
        <v>40179</v>
      </c>
      <c r="C325" s="140" t="s">
        <v>18</v>
      </c>
      <c r="D325" s="142">
        <v>11.4</v>
      </c>
      <c r="E325" s="142">
        <v>1.6666749715805054</v>
      </c>
      <c r="F325" s="120">
        <v>422</v>
      </c>
      <c r="G325" s="115">
        <v>691</v>
      </c>
      <c r="H325" s="115">
        <v>2097</v>
      </c>
    </row>
    <row r="326" spans="1:8" x14ac:dyDescent="0.25">
      <c r="A326" s="140" t="s">
        <v>2</v>
      </c>
      <c r="B326" s="141">
        <v>40179</v>
      </c>
      <c r="C326" s="140" t="s">
        <v>19</v>
      </c>
      <c r="D326" s="142">
        <v>2.75</v>
      </c>
      <c r="E326" s="142">
        <v>1.6666749715805054</v>
      </c>
      <c r="F326" s="120">
        <v>232</v>
      </c>
      <c r="G326" s="115">
        <v>380</v>
      </c>
      <c r="H326" s="115">
        <v>1153</v>
      </c>
    </row>
    <row r="327" spans="1:8" x14ac:dyDescent="0.25">
      <c r="A327" s="140" t="s">
        <v>2</v>
      </c>
      <c r="B327" s="141">
        <v>40179</v>
      </c>
      <c r="C327" s="140" t="s">
        <v>20</v>
      </c>
      <c r="D327" s="142">
        <v>2.125</v>
      </c>
      <c r="E327" s="142">
        <v>1.6666749715805054</v>
      </c>
      <c r="F327" s="120">
        <v>742</v>
      </c>
      <c r="G327" s="115">
        <v>1215</v>
      </c>
      <c r="H327" s="115">
        <v>3688</v>
      </c>
    </row>
    <row r="328" spans="1:8" x14ac:dyDescent="0.25">
      <c r="A328" s="140" t="s">
        <v>2</v>
      </c>
      <c r="B328" s="141">
        <v>40179</v>
      </c>
      <c r="C328" s="140" t="s">
        <v>21</v>
      </c>
      <c r="D328" s="142">
        <v>3.0350877192982457</v>
      </c>
      <c r="E328" s="142">
        <v>1.6666749715805054</v>
      </c>
      <c r="F328" s="120">
        <v>3</v>
      </c>
      <c r="G328" s="115">
        <v>5</v>
      </c>
      <c r="H328" s="115">
        <v>15</v>
      </c>
    </row>
    <row r="329" spans="1:8" x14ac:dyDescent="0.25">
      <c r="F329" s="120">
        <f>SUM(F323:F328)</f>
        <v>2187</v>
      </c>
      <c r="G329" s="115">
        <f>SUM(G323:G328)</f>
        <v>3582</v>
      </c>
      <c r="H329" s="115">
        <f>SUM(H323:H328)</f>
        <v>10871.84</v>
      </c>
    </row>
    <row r="331" spans="1:8" x14ac:dyDescent="0.25">
      <c r="A331" s="139" t="s">
        <v>9</v>
      </c>
      <c r="B331" s="139" t="s">
        <v>8</v>
      </c>
      <c r="C331" s="139" t="s">
        <v>10</v>
      </c>
      <c r="D331" s="139" t="s">
        <v>11</v>
      </c>
      <c r="E331" s="139" t="s">
        <v>12</v>
      </c>
      <c r="F331" s="139" t="s">
        <v>13</v>
      </c>
      <c r="G331" s="139" t="s">
        <v>14</v>
      </c>
      <c r="H331" s="139" t="s">
        <v>15</v>
      </c>
    </row>
    <row r="332" spans="1:8" x14ac:dyDescent="0.25">
      <c r="A332" s="140" t="s">
        <v>2</v>
      </c>
      <c r="B332" s="141">
        <v>40180</v>
      </c>
      <c r="C332" s="140" t="s">
        <v>16</v>
      </c>
      <c r="D332" s="142">
        <v>15</v>
      </c>
      <c r="E332" s="142">
        <v>1.7143000364303589</v>
      </c>
      <c r="F332" s="142">
        <v>3</v>
      </c>
      <c r="G332" s="142">
        <v>5</v>
      </c>
      <c r="H332" s="142">
        <v>75</v>
      </c>
    </row>
    <row r="333" spans="1:8" x14ac:dyDescent="0.25">
      <c r="A333" s="140" t="s">
        <v>2</v>
      </c>
      <c r="B333" s="141">
        <v>40180</v>
      </c>
      <c r="C333" s="140" t="s">
        <v>17</v>
      </c>
      <c r="D333" s="142">
        <v>15</v>
      </c>
      <c r="E333" s="142">
        <v>1.7143000364303589</v>
      </c>
      <c r="F333" s="142">
        <v>824</v>
      </c>
      <c r="G333" s="142">
        <v>1413</v>
      </c>
      <c r="H333" s="142">
        <v>21195</v>
      </c>
    </row>
    <row r="334" spans="1:8" x14ac:dyDescent="0.25">
      <c r="A334" s="140" t="s">
        <v>2</v>
      </c>
      <c r="B334" s="141">
        <v>40180</v>
      </c>
      <c r="C334" s="140" t="s">
        <v>18</v>
      </c>
      <c r="D334" s="142">
        <v>15</v>
      </c>
      <c r="E334" s="142">
        <v>1.7143000364303589</v>
      </c>
      <c r="F334" s="142">
        <v>495</v>
      </c>
      <c r="G334" s="142">
        <v>849</v>
      </c>
      <c r="H334" s="142">
        <v>12735</v>
      </c>
    </row>
    <row r="335" spans="1:8" x14ac:dyDescent="0.25">
      <c r="A335" s="140" t="s">
        <v>2</v>
      </c>
      <c r="B335" s="141">
        <v>40180</v>
      </c>
      <c r="C335" s="140" t="s">
        <v>19</v>
      </c>
      <c r="D335" s="142">
        <v>15</v>
      </c>
      <c r="E335" s="142">
        <v>1.7143000364303589</v>
      </c>
      <c r="F335" s="142">
        <v>464</v>
      </c>
      <c r="G335" s="142">
        <v>795</v>
      </c>
      <c r="H335" s="142">
        <v>11925</v>
      </c>
    </row>
    <row r="336" spans="1:8" x14ac:dyDescent="0.25">
      <c r="A336" s="140" t="s">
        <v>2</v>
      </c>
      <c r="B336" s="141">
        <v>40180</v>
      </c>
      <c r="C336" s="140" t="s">
        <v>20</v>
      </c>
      <c r="D336" s="142">
        <v>15</v>
      </c>
      <c r="E336" s="142">
        <v>1.7143000364303589</v>
      </c>
      <c r="F336" s="142">
        <v>382</v>
      </c>
      <c r="G336" s="142">
        <v>655</v>
      </c>
      <c r="H336" s="142">
        <v>9825</v>
      </c>
    </row>
    <row r="337" spans="1:8" x14ac:dyDescent="0.25">
      <c r="A337" s="140" t="s">
        <v>2</v>
      </c>
      <c r="B337" s="141">
        <v>40180</v>
      </c>
      <c r="C337" s="140" t="s">
        <v>21</v>
      </c>
      <c r="D337" s="142">
        <v>15</v>
      </c>
      <c r="E337" s="142">
        <v>1.7143000364303589</v>
      </c>
      <c r="F337" s="142">
        <v>6</v>
      </c>
      <c r="G337" s="142">
        <v>10</v>
      </c>
      <c r="H337" s="142">
        <v>150</v>
      </c>
    </row>
    <row r="338" spans="1:8" x14ac:dyDescent="0.25">
      <c r="F338" s="120">
        <f>SUM(F332:F337)</f>
        <v>2174</v>
      </c>
      <c r="G338" s="115">
        <f>SUM(G332:G337)</f>
        <v>3727</v>
      </c>
      <c r="H338" s="115">
        <f>SUM(H332:H337)</f>
        <v>55905</v>
      </c>
    </row>
    <row r="340" spans="1:8" x14ac:dyDescent="0.25">
      <c r="A340" s="139" t="s">
        <v>9</v>
      </c>
      <c r="B340" s="139" t="s">
        <v>8</v>
      </c>
      <c r="C340" s="139" t="s">
        <v>10</v>
      </c>
      <c r="D340" s="139" t="s">
        <v>11</v>
      </c>
      <c r="E340" s="139" t="s">
        <v>12</v>
      </c>
      <c r="F340" s="139" t="s">
        <v>13</v>
      </c>
      <c r="G340" s="139" t="s">
        <v>14</v>
      </c>
      <c r="H340" s="139" t="s">
        <v>15</v>
      </c>
    </row>
    <row r="341" spans="1:8" x14ac:dyDescent="0.25">
      <c r="A341" s="140" t="s">
        <v>3</v>
      </c>
      <c r="B341" s="141">
        <v>40178</v>
      </c>
      <c r="C341" s="140" t="s">
        <v>23</v>
      </c>
      <c r="D341" s="142">
        <v>4.5</v>
      </c>
      <c r="E341" s="142">
        <v>1.475933313369751</v>
      </c>
      <c r="F341" s="120">
        <v>32</v>
      </c>
      <c r="G341" s="115">
        <v>46</v>
      </c>
      <c r="H341" s="115">
        <v>207</v>
      </c>
    </row>
    <row r="342" spans="1:8" x14ac:dyDescent="0.25">
      <c r="A342" s="140" t="s">
        <v>3</v>
      </c>
      <c r="B342" s="141">
        <v>40178</v>
      </c>
      <c r="C342" s="140" t="s">
        <v>24</v>
      </c>
      <c r="D342" s="142">
        <v>9.5</v>
      </c>
      <c r="E342" s="142">
        <v>1.475933313369751</v>
      </c>
      <c r="F342" s="120">
        <v>51</v>
      </c>
      <c r="G342" s="115">
        <v>74</v>
      </c>
      <c r="H342" s="115">
        <v>703</v>
      </c>
    </row>
    <row r="343" spans="1:8" x14ac:dyDescent="0.25">
      <c r="A343" s="140" t="s">
        <v>3</v>
      </c>
      <c r="B343" s="141">
        <v>40178</v>
      </c>
      <c r="C343" s="140" t="s">
        <v>25</v>
      </c>
      <c r="D343" s="142">
        <v>5.833333333333333</v>
      </c>
      <c r="E343" s="142">
        <v>1.475933313369751</v>
      </c>
      <c r="F343" s="120">
        <v>181</v>
      </c>
      <c r="G343" s="115">
        <v>262</v>
      </c>
      <c r="H343" s="115">
        <v>1528</v>
      </c>
    </row>
    <row r="344" spans="1:8" x14ac:dyDescent="0.25">
      <c r="A344" s="140" t="s">
        <v>3</v>
      </c>
      <c r="B344" s="141">
        <v>40178</v>
      </c>
      <c r="C344" s="140" t="s">
        <v>26</v>
      </c>
      <c r="D344" s="142">
        <v>12.428571428571429</v>
      </c>
      <c r="E344" s="142">
        <v>1.475933313369751</v>
      </c>
      <c r="F344" s="120">
        <v>269</v>
      </c>
      <c r="G344" s="115">
        <v>389</v>
      </c>
      <c r="H344" s="115">
        <v>3168</v>
      </c>
    </row>
    <row r="345" spans="1:8" x14ac:dyDescent="0.25">
      <c r="A345" s="140" t="s">
        <v>3</v>
      </c>
      <c r="B345" s="141">
        <v>40178</v>
      </c>
      <c r="C345" s="140" t="s">
        <v>27</v>
      </c>
      <c r="D345" s="142">
        <v>15</v>
      </c>
      <c r="E345" s="142">
        <v>1.475933313369751</v>
      </c>
      <c r="F345" s="120">
        <v>102</v>
      </c>
      <c r="G345" s="115">
        <v>148</v>
      </c>
      <c r="H345" s="115">
        <v>1205</v>
      </c>
    </row>
    <row r="346" spans="1:8" x14ac:dyDescent="0.25">
      <c r="A346" s="140" t="s">
        <v>3</v>
      </c>
      <c r="B346" s="141">
        <v>40178</v>
      </c>
      <c r="C346" s="140" t="s">
        <v>28</v>
      </c>
      <c r="D346" s="142">
        <v>9.1666666666666661</v>
      </c>
      <c r="E346" s="142">
        <v>1.475933313369751</v>
      </c>
      <c r="F346" s="120">
        <v>160</v>
      </c>
      <c r="G346" s="115">
        <v>231</v>
      </c>
      <c r="H346" s="115">
        <v>1881</v>
      </c>
    </row>
    <row r="347" spans="1:8" x14ac:dyDescent="0.25">
      <c r="F347">
        <f>SUM(F341:F346)</f>
        <v>795</v>
      </c>
      <c r="G347" s="20">
        <f>SUM(G341:G346)</f>
        <v>1150</v>
      </c>
      <c r="H347" s="20">
        <f>SUM(H341:H346)</f>
        <v>8692</v>
      </c>
    </row>
    <row r="349" spans="1:8" x14ac:dyDescent="0.25">
      <c r="A349" s="139" t="s">
        <v>9</v>
      </c>
      <c r="B349" s="139" t="s">
        <v>8</v>
      </c>
      <c r="C349" s="139" t="s">
        <v>10</v>
      </c>
      <c r="D349" s="139" t="s">
        <v>11</v>
      </c>
      <c r="E349" s="139" t="s">
        <v>12</v>
      </c>
      <c r="F349" s="139" t="s">
        <v>13</v>
      </c>
      <c r="G349" s="139" t="s">
        <v>14</v>
      </c>
      <c r="H349" s="139" t="s">
        <v>15</v>
      </c>
    </row>
    <row r="350" spans="1:8" x14ac:dyDescent="0.25">
      <c r="A350" s="140" t="s">
        <v>3</v>
      </c>
      <c r="B350" s="141">
        <v>40179</v>
      </c>
      <c r="C350" s="140" t="s">
        <v>23</v>
      </c>
      <c r="D350" s="142">
        <v>5.7321428571428568</v>
      </c>
      <c r="E350" s="142">
        <v>1.5989799499511719</v>
      </c>
      <c r="F350" s="120">
        <v>26</v>
      </c>
      <c r="G350" s="115">
        <v>38</v>
      </c>
      <c r="H350" s="115">
        <v>218</v>
      </c>
    </row>
    <row r="351" spans="1:8" x14ac:dyDescent="0.25">
      <c r="A351" s="140" t="s">
        <v>3</v>
      </c>
      <c r="B351" s="141">
        <v>40179</v>
      </c>
      <c r="C351" s="140" t="s">
        <v>24</v>
      </c>
      <c r="D351" s="142">
        <v>0</v>
      </c>
      <c r="E351" s="142">
        <v>1.5989799499511719</v>
      </c>
      <c r="F351" s="120">
        <v>112</v>
      </c>
      <c r="G351" s="115">
        <v>162</v>
      </c>
      <c r="H351" s="115">
        <v>929</v>
      </c>
    </row>
    <row r="352" spans="1:8" x14ac:dyDescent="0.25">
      <c r="A352" s="140" t="s">
        <v>3</v>
      </c>
      <c r="B352" s="141">
        <v>40179</v>
      </c>
      <c r="C352" s="140" t="s">
        <v>25</v>
      </c>
      <c r="D352" s="142">
        <v>6.666666666666667</v>
      </c>
      <c r="E352" s="142">
        <v>1.5989799499511719</v>
      </c>
      <c r="F352" s="120">
        <v>592</v>
      </c>
      <c r="G352" s="115">
        <v>855</v>
      </c>
      <c r="H352" s="115">
        <v>4901</v>
      </c>
    </row>
    <row r="353" spans="1:8" x14ac:dyDescent="0.25">
      <c r="A353" s="140" t="s">
        <v>3</v>
      </c>
      <c r="B353" s="141">
        <v>40179</v>
      </c>
      <c r="C353" s="140" t="s">
        <v>26</v>
      </c>
      <c r="D353" s="142">
        <v>8.764705882352942</v>
      </c>
      <c r="E353" s="142">
        <v>1.5989799499511719</v>
      </c>
      <c r="F353" s="120">
        <v>354</v>
      </c>
      <c r="G353" s="115">
        <v>511</v>
      </c>
      <c r="H353" s="115">
        <v>2929</v>
      </c>
    </row>
    <row r="354" spans="1:8" x14ac:dyDescent="0.25">
      <c r="A354" s="140" t="s">
        <v>3</v>
      </c>
      <c r="B354" s="141">
        <v>40179</v>
      </c>
      <c r="C354" s="140" t="s">
        <v>27</v>
      </c>
      <c r="D354" s="142">
        <v>0</v>
      </c>
      <c r="E354" s="142">
        <v>1.5989799499511719</v>
      </c>
      <c r="F354" s="120">
        <v>62</v>
      </c>
      <c r="G354" s="115">
        <v>90</v>
      </c>
      <c r="H354" s="115">
        <v>516</v>
      </c>
    </row>
    <row r="355" spans="1:8" x14ac:dyDescent="0.25">
      <c r="A355" s="140" t="s">
        <v>3</v>
      </c>
      <c r="B355" s="141">
        <v>40179</v>
      </c>
      <c r="C355" s="140" t="s">
        <v>28</v>
      </c>
      <c r="D355" s="142">
        <v>3.4666666666666668</v>
      </c>
      <c r="E355" s="142">
        <v>1.5989799499511719</v>
      </c>
      <c r="F355" s="120">
        <v>158</v>
      </c>
      <c r="G355" s="115">
        <v>228</v>
      </c>
      <c r="H355" s="115">
        <v>790</v>
      </c>
    </row>
    <row r="356" spans="1:8" x14ac:dyDescent="0.25">
      <c r="F356">
        <f>SUM(F350:F355)</f>
        <v>1304</v>
      </c>
      <c r="G356" s="20">
        <f>SUM(G350:G355)</f>
        <v>1884</v>
      </c>
      <c r="H356" s="20">
        <f>SUM(H350:H355)</f>
        <v>10283</v>
      </c>
    </row>
    <row r="358" spans="1:8" x14ac:dyDescent="0.25">
      <c r="A358" s="139" t="s">
        <v>9</v>
      </c>
      <c r="B358" s="139" t="s">
        <v>8</v>
      </c>
      <c r="C358" s="139" t="s">
        <v>10</v>
      </c>
      <c r="D358" s="139" t="s">
        <v>11</v>
      </c>
      <c r="E358" s="139" t="s">
        <v>12</v>
      </c>
      <c r="F358" s="139" t="s">
        <v>13</v>
      </c>
      <c r="G358" s="139" t="s">
        <v>14</v>
      </c>
      <c r="H358" s="139" t="s">
        <v>15</v>
      </c>
    </row>
    <row r="359" spans="1:8" x14ac:dyDescent="0.25">
      <c r="A359" s="140" t="s">
        <v>3</v>
      </c>
      <c r="B359" s="141">
        <v>40180</v>
      </c>
      <c r="C359" s="140" t="s">
        <v>23</v>
      </c>
      <c r="D359" s="142">
        <v>13.20253164556962</v>
      </c>
      <c r="E359" s="142">
        <v>1.475933313369751</v>
      </c>
      <c r="F359" s="120">
        <v>56</v>
      </c>
      <c r="G359" s="115">
        <v>73</v>
      </c>
      <c r="H359" s="115">
        <v>964</v>
      </c>
    </row>
    <row r="360" spans="1:8" x14ac:dyDescent="0.25">
      <c r="A360" s="140" t="s">
        <v>3</v>
      </c>
      <c r="B360" s="141">
        <v>40180</v>
      </c>
      <c r="C360" s="140" t="s">
        <v>24</v>
      </c>
      <c r="D360" s="142">
        <v>15</v>
      </c>
      <c r="E360" s="142">
        <v>1.475933313369751</v>
      </c>
      <c r="F360" s="120">
        <v>115</v>
      </c>
      <c r="G360" s="115">
        <v>151</v>
      </c>
      <c r="H360" s="115">
        <v>1994</v>
      </c>
    </row>
    <row r="361" spans="1:8" x14ac:dyDescent="0.25">
      <c r="A361" s="140" t="s">
        <v>3</v>
      </c>
      <c r="B361" s="141">
        <v>40180</v>
      </c>
      <c r="C361" s="140" t="s">
        <v>25</v>
      </c>
      <c r="D361" s="142">
        <v>13.3</v>
      </c>
      <c r="E361" s="142">
        <v>1.475933313369751</v>
      </c>
      <c r="F361" s="120">
        <v>520</v>
      </c>
      <c r="G361" s="115">
        <v>681</v>
      </c>
      <c r="H361" s="115">
        <v>9057</v>
      </c>
    </row>
    <row r="362" spans="1:8" x14ac:dyDescent="0.25">
      <c r="A362" s="140" t="s">
        <v>3</v>
      </c>
      <c r="B362" s="141">
        <v>40180</v>
      </c>
      <c r="C362" s="140" t="s">
        <v>26</v>
      </c>
      <c r="D362" s="142">
        <v>13.5625</v>
      </c>
      <c r="E362" s="142">
        <v>1.475933313369751</v>
      </c>
      <c r="F362" s="120">
        <v>284</v>
      </c>
      <c r="G362" s="115">
        <v>372</v>
      </c>
      <c r="H362" s="115">
        <v>5045</v>
      </c>
    </row>
    <row r="363" spans="1:8" x14ac:dyDescent="0.25">
      <c r="A363" s="140" t="s">
        <v>3</v>
      </c>
      <c r="B363" s="141">
        <v>40180</v>
      </c>
      <c r="C363" s="140" t="s">
        <v>27</v>
      </c>
      <c r="D363" s="142">
        <v>10</v>
      </c>
      <c r="E363" s="142">
        <v>1.475933313369751</v>
      </c>
      <c r="F363" s="120">
        <v>48</v>
      </c>
      <c r="G363" s="115">
        <v>63</v>
      </c>
      <c r="H363" s="115">
        <v>630</v>
      </c>
    </row>
    <row r="364" spans="1:8" x14ac:dyDescent="0.25">
      <c r="A364" s="140" t="s">
        <v>3</v>
      </c>
      <c r="B364" s="141">
        <v>40180</v>
      </c>
      <c r="C364" s="140" t="s">
        <v>28</v>
      </c>
      <c r="D364" s="142">
        <v>15</v>
      </c>
      <c r="E364" s="142">
        <v>1.475933313369751</v>
      </c>
      <c r="F364" s="120">
        <v>182</v>
      </c>
      <c r="G364" s="115">
        <v>238</v>
      </c>
      <c r="H364" s="115">
        <v>3142</v>
      </c>
    </row>
    <row r="365" spans="1:8" x14ac:dyDescent="0.25">
      <c r="F365">
        <f>SUM(F359:F364)</f>
        <v>1205</v>
      </c>
      <c r="G365" s="20">
        <f>SUM(G359:G364)</f>
        <v>1578</v>
      </c>
      <c r="H365" s="20">
        <f>SUM(H359:H364)</f>
        <v>20832</v>
      </c>
    </row>
    <row r="367" spans="1:8" x14ac:dyDescent="0.25">
      <c r="A367" s="139" t="s">
        <v>9</v>
      </c>
      <c r="B367" s="139" t="s">
        <v>8</v>
      </c>
      <c r="C367" s="139" t="s">
        <v>10</v>
      </c>
      <c r="D367" s="139" t="s">
        <v>11</v>
      </c>
      <c r="E367" s="139" t="s">
        <v>12</v>
      </c>
      <c r="F367" s="139" t="s">
        <v>13</v>
      </c>
      <c r="G367" s="139" t="s">
        <v>14</v>
      </c>
      <c r="H367" s="139" t="s">
        <v>15</v>
      </c>
    </row>
    <row r="368" spans="1:8" x14ac:dyDescent="0.25">
      <c r="A368" s="140" t="s">
        <v>2</v>
      </c>
      <c r="B368" s="141">
        <v>40178</v>
      </c>
      <c r="C368" s="140" t="s">
        <v>16</v>
      </c>
      <c r="D368" s="142">
        <v>8.795918367346939</v>
      </c>
      <c r="E368" s="142">
        <v>1.6526249647140503</v>
      </c>
      <c r="F368" s="120">
        <v>9</v>
      </c>
      <c r="G368" s="115">
        <v>15</v>
      </c>
      <c r="H368" s="115">
        <v>132</v>
      </c>
    </row>
    <row r="369" spans="1:8" x14ac:dyDescent="0.25">
      <c r="A369" s="140" t="s">
        <v>2</v>
      </c>
      <c r="B369" s="141">
        <v>40178</v>
      </c>
      <c r="C369" s="140" t="s">
        <v>17</v>
      </c>
      <c r="D369" s="142">
        <v>10.055555555555555</v>
      </c>
      <c r="E369" s="142">
        <v>1.6526249647140503</v>
      </c>
      <c r="F369" s="120">
        <v>600</v>
      </c>
      <c r="G369" s="115">
        <v>972</v>
      </c>
      <c r="H369" s="115">
        <v>9774</v>
      </c>
    </row>
    <row r="370" spans="1:8" x14ac:dyDescent="0.25">
      <c r="A370" s="140" t="s">
        <v>2</v>
      </c>
      <c r="B370" s="141">
        <v>40178</v>
      </c>
      <c r="C370" s="140" t="s">
        <v>18</v>
      </c>
      <c r="D370" s="142">
        <v>8.9333333333333336</v>
      </c>
      <c r="E370" s="142">
        <v>1.6526249647140503</v>
      </c>
      <c r="F370" s="120">
        <v>434</v>
      </c>
      <c r="G370" s="115">
        <v>703</v>
      </c>
      <c r="H370" s="115">
        <v>6184</v>
      </c>
    </row>
    <row r="371" spans="1:8" x14ac:dyDescent="0.25">
      <c r="A371" s="140" t="s">
        <v>2</v>
      </c>
      <c r="B371" s="141">
        <v>40178</v>
      </c>
      <c r="C371" s="140" t="s">
        <v>19</v>
      </c>
      <c r="D371" s="142">
        <v>8.08</v>
      </c>
      <c r="E371" s="142">
        <v>1.6526249647140503</v>
      </c>
      <c r="F371" s="120">
        <v>250</v>
      </c>
      <c r="G371" s="115">
        <v>405</v>
      </c>
      <c r="H371" s="115">
        <v>3272</v>
      </c>
    </row>
    <row r="372" spans="1:8" x14ac:dyDescent="0.25">
      <c r="A372" s="140" t="s">
        <v>2</v>
      </c>
      <c r="B372" s="141">
        <v>40178</v>
      </c>
      <c r="C372" s="140" t="s">
        <v>20</v>
      </c>
      <c r="D372" s="142">
        <v>7.4545454545454541</v>
      </c>
      <c r="E372" s="142">
        <v>1.6526249647140503</v>
      </c>
      <c r="F372" s="120">
        <v>396</v>
      </c>
      <c r="G372" s="115">
        <v>641</v>
      </c>
      <c r="H372" s="115">
        <v>4778</v>
      </c>
    </row>
    <row r="373" spans="1:8" x14ac:dyDescent="0.25">
      <c r="A373" s="140" t="s">
        <v>2</v>
      </c>
      <c r="B373" s="141">
        <v>40178</v>
      </c>
      <c r="C373" s="140" t="s">
        <v>21</v>
      </c>
      <c r="D373" s="142">
        <v>8.795918367346939</v>
      </c>
      <c r="E373" s="142">
        <v>1.6526249647140503</v>
      </c>
      <c r="F373" s="120">
        <v>4</v>
      </c>
      <c r="G373" s="115">
        <v>6</v>
      </c>
      <c r="H373" s="115">
        <v>53</v>
      </c>
    </row>
    <row r="374" spans="1:8" x14ac:dyDescent="0.25">
      <c r="F374">
        <f>SUM(F368:F373)</f>
        <v>1693</v>
      </c>
      <c r="G374" s="20">
        <f>SUM(G368:G373)</f>
        <v>2742</v>
      </c>
      <c r="H374" s="20">
        <f>SUM(H368:H373)</f>
        <v>24193</v>
      </c>
    </row>
    <row r="376" spans="1:8" x14ac:dyDescent="0.25">
      <c r="A376" s="139" t="s">
        <v>9</v>
      </c>
      <c r="B376" s="139" t="s">
        <v>8</v>
      </c>
      <c r="C376" s="139" t="s">
        <v>10</v>
      </c>
      <c r="D376" s="139" t="s">
        <v>11</v>
      </c>
      <c r="E376" s="139" t="s">
        <v>12</v>
      </c>
      <c r="F376" s="139" t="s">
        <v>13</v>
      </c>
      <c r="G376" s="139" t="s">
        <v>14</v>
      </c>
      <c r="H376" s="139" t="s">
        <v>15</v>
      </c>
    </row>
    <row r="377" spans="1:8" x14ac:dyDescent="0.25">
      <c r="A377" s="140" t="s">
        <v>1</v>
      </c>
      <c r="B377" s="141">
        <v>40178</v>
      </c>
      <c r="C377" s="140" t="s">
        <v>29</v>
      </c>
      <c r="D377" s="142">
        <v>6.290322580645161</v>
      </c>
      <c r="E377" s="142">
        <v>1.3792999982833862</v>
      </c>
      <c r="F377" s="120">
        <v>0</v>
      </c>
      <c r="G377" s="115">
        <v>0</v>
      </c>
      <c r="H377" s="115">
        <v>0</v>
      </c>
    </row>
    <row r="378" spans="1:8" x14ac:dyDescent="0.25">
      <c r="A378" s="140" t="s">
        <v>1</v>
      </c>
      <c r="B378" s="141">
        <v>40178</v>
      </c>
      <c r="C378" s="140" t="s">
        <v>30</v>
      </c>
      <c r="D378" s="142">
        <v>1.4545454545454546</v>
      </c>
      <c r="E378" s="142">
        <v>1.3792999982833862</v>
      </c>
      <c r="F378" s="120">
        <v>197</v>
      </c>
      <c r="G378" s="115">
        <v>241</v>
      </c>
      <c r="H378" s="115">
        <v>351</v>
      </c>
    </row>
    <row r="379" spans="1:8" x14ac:dyDescent="0.25">
      <c r="A379" s="140" t="s">
        <v>1</v>
      </c>
      <c r="B379" s="141">
        <v>40178</v>
      </c>
      <c r="C379" s="140" t="s">
        <v>31</v>
      </c>
      <c r="D379" s="142">
        <v>7.75</v>
      </c>
      <c r="E379" s="142">
        <v>1.3792999982833862</v>
      </c>
      <c r="F379" s="120">
        <v>254</v>
      </c>
      <c r="G379" s="115">
        <v>310</v>
      </c>
      <c r="H379" s="115">
        <v>2402</v>
      </c>
    </row>
    <row r="380" spans="1:8" x14ac:dyDescent="0.25">
      <c r="A380" s="140" t="s">
        <v>1</v>
      </c>
      <c r="B380" s="141">
        <v>40178</v>
      </c>
      <c r="C380" s="140" t="s">
        <v>32</v>
      </c>
      <c r="D380" s="142">
        <v>13.75</v>
      </c>
      <c r="E380" s="142">
        <v>1.3792999982833862</v>
      </c>
      <c r="F380" s="120">
        <v>208</v>
      </c>
      <c r="G380" s="115">
        <v>254</v>
      </c>
      <c r="H380" s="115">
        <v>1598</v>
      </c>
    </row>
    <row r="381" spans="1:8" x14ac:dyDescent="0.25">
      <c r="F381">
        <f>SUM(F377:F380)</f>
        <v>659</v>
      </c>
      <c r="G381" s="20">
        <f>SUM(G377:G380)</f>
        <v>805</v>
      </c>
      <c r="H381" s="20">
        <f>SUM(H377:H380)</f>
        <v>4351</v>
      </c>
    </row>
    <row r="383" spans="1:8" x14ac:dyDescent="0.25">
      <c r="A383" s="139" t="s">
        <v>9</v>
      </c>
      <c r="B383" s="139" t="s">
        <v>8</v>
      </c>
      <c r="C383" s="139" t="s">
        <v>10</v>
      </c>
      <c r="D383" s="139" t="s">
        <v>11</v>
      </c>
      <c r="E383" s="139" t="s">
        <v>12</v>
      </c>
      <c r="F383" s="139" t="s">
        <v>13</v>
      </c>
      <c r="G383" s="139" t="s">
        <v>14</v>
      </c>
      <c r="H383" s="139" t="s">
        <v>15</v>
      </c>
    </row>
    <row r="384" spans="1:8" x14ac:dyDescent="0.25">
      <c r="A384" s="140" t="s">
        <v>1</v>
      </c>
      <c r="B384" s="141">
        <v>40180</v>
      </c>
      <c r="C384" s="140" t="s">
        <v>29</v>
      </c>
      <c r="D384" s="142">
        <v>11.853658536585366</v>
      </c>
      <c r="E384" s="142">
        <v>1.3792999982833862</v>
      </c>
      <c r="F384" s="120">
        <v>0</v>
      </c>
      <c r="G384" s="115">
        <v>0</v>
      </c>
      <c r="H384" s="115">
        <v>0</v>
      </c>
    </row>
    <row r="385" spans="1:8" x14ac:dyDescent="0.25">
      <c r="A385" s="140" t="s">
        <v>1</v>
      </c>
      <c r="B385" s="141">
        <v>40180</v>
      </c>
      <c r="C385" s="140" t="s">
        <v>30</v>
      </c>
      <c r="D385" s="142">
        <v>11.857142857142858</v>
      </c>
      <c r="E385" s="142">
        <v>1.3792999982833862</v>
      </c>
      <c r="F385" s="120">
        <v>160</v>
      </c>
      <c r="G385" s="115">
        <v>189</v>
      </c>
      <c r="H385" s="115">
        <v>2240</v>
      </c>
    </row>
    <row r="386" spans="1:8" x14ac:dyDescent="0.25">
      <c r="A386" s="140" t="s">
        <v>1</v>
      </c>
      <c r="B386" s="141">
        <v>40180</v>
      </c>
      <c r="C386" s="140" t="s">
        <v>31</v>
      </c>
      <c r="D386" s="142">
        <v>7.9333333333333336</v>
      </c>
      <c r="E386" s="142">
        <v>1.3792999982833862</v>
      </c>
      <c r="F386" s="120">
        <v>224</v>
      </c>
      <c r="G386" s="115">
        <v>264</v>
      </c>
      <c r="H386" s="115">
        <v>2094</v>
      </c>
    </row>
    <row r="387" spans="1:8" x14ac:dyDescent="0.25">
      <c r="A387" s="140" t="s">
        <v>1</v>
      </c>
      <c r="B387" s="141">
        <v>40180</v>
      </c>
      <c r="C387" s="140" t="s">
        <v>32</v>
      </c>
      <c r="D387" s="142">
        <v>14.947368421052632</v>
      </c>
      <c r="E387" s="142">
        <v>1.3792999982833862</v>
      </c>
      <c r="F387" s="120">
        <v>192</v>
      </c>
      <c r="G387" s="115">
        <v>226</v>
      </c>
      <c r="H387" s="115">
        <v>3378</v>
      </c>
    </row>
    <row r="388" spans="1:8" x14ac:dyDescent="0.25">
      <c r="F388">
        <f>SUM(F384:F387)</f>
        <v>576</v>
      </c>
      <c r="G388" s="20">
        <f>SUM(G384:G387)</f>
        <v>679</v>
      </c>
      <c r="H388" s="20">
        <f>SUM(H384:H387)</f>
        <v>7712</v>
      </c>
    </row>
    <row r="390" spans="1:8" x14ac:dyDescent="0.25">
      <c r="A390" s="139" t="s">
        <v>9</v>
      </c>
      <c r="B390" s="139" t="s">
        <v>8</v>
      </c>
      <c r="C390" s="139" t="s">
        <v>10</v>
      </c>
      <c r="D390" s="139" t="s">
        <v>11</v>
      </c>
      <c r="E390" s="139" t="s">
        <v>12</v>
      </c>
      <c r="F390" s="139" t="s">
        <v>13</v>
      </c>
      <c r="G390" s="139" t="s">
        <v>14</v>
      </c>
      <c r="H390" s="139" t="s">
        <v>15</v>
      </c>
    </row>
    <row r="391" spans="1:8" x14ac:dyDescent="0.25">
      <c r="A391" s="140" t="s">
        <v>1</v>
      </c>
      <c r="B391" s="141">
        <v>40181</v>
      </c>
      <c r="C391" s="140" t="s">
        <v>29</v>
      </c>
      <c r="D391" s="142">
        <v>15</v>
      </c>
      <c r="E391" s="142">
        <v>1.3792999982833862</v>
      </c>
      <c r="F391" s="120">
        <v>0</v>
      </c>
      <c r="G391" s="115">
        <v>0</v>
      </c>
      <c r="H391" s="115">
        <v>0</v>
      </c>
    </row>
    <row r="392" spans="1:8" x14ac:dyDescent="0.25">
      <c r="A392" s="140" t="s">
        <v>1</v>
      </c>
      <c r="B392" s="141">
        <v>40181</v>
      </c>
      <c r="C392" s="140" t="s">
        <v>30</v>
      </c>
      <c r="D392" s="142">
        <v>15</v>
      </c>
      <c r="E392" s="142">
        <v>1.3792999982833862</v>
      </c>
      <c r="F392" s="120">
        <v>48</v>
      </c>
      <c r="G392" s="115">
        <v>66</v>
      </c>
      <c r="H392" s="115">
        <v>990</v>
      </c>
    </row>
    <row r="393" spans="1:8" x14ac:dyDescent="0.25">
      <c r="A393" s="140" t="s">
        <v>1</v>
      </c>
      <c r="B393" s="141">
        <v>40181</v>
      </c>
      <c r="C393" s="140" t="s">
        <v>31</v>
      </c>
      <c r="D393" s="142">
        <v>15</v>
      </c>
      <c r="E393" s="142">
        <v>1.3792999982833862</v>
      </c>
      <c r="F393" s="120">
        <v>134</v>
      </c>
      <c r="G393" s="115">
        <v>185</v>
      </c>
      <c r="H393" s="115">
        <v>2775</v>
      </c>
    </row>
    <row r="394" spans="1:8" x14ac:dyDescent="0.25">
      <c r="A394" s="140" t="s">
        <v>1</v>
      </c>
      <c r="B394" s="141">
        <v>40181</v>
      </c>
      <c r="C394" s="140" t="s">
        <v>32</v>
      </c>
      <c r="D394" s="142">
        <v>15</v>
      </c>
      <c r="E394" s="142">
        <v>1.3792999982833862</v>
      </c>
      <c r="F394" s="120">
        <v>72</v>
      </c>
      <c r="G394" s="115">
        <v>99</v>
      </c>
      <c r="H394" s="115">
        <v>1485</v>
      </c>
    </row>
    <row r="395" spans="1:8" x14ac:dyDescent="0.25">
      <c r="F395">
        <f>SUM(F391:F394)</f>
        <v>254</v>
      </c>
      <c r="G395" s="20">
        <f>SUM(G391:G394)</f>
        <v>350</v>
      </c>
      <c r="H395" s="20">
        <f>SUM(H391:H394)</f>
        <v>5250</v>
      </c>
    </row>
    <row r="397" spans="1:8" x14ac:dyDescent="0.25">
      <c r="A397" s="139" t="s">
        <v>9</v>
      </c>
      <c r="B397" s="139" t="s">
        <v>8</v>
      </c>
      <c r="C397" s="139" t="s">
        <v>10</v>
      </c>
      <c r="D397" s="139" t="s">
        <v>11</v>
      </c>
      <c r="E397" s="139" t="s">
        <v>12</v>
      </c>
      <c r="F397" s="139" t="s">
        <v>13</v>
      </c>
      <c r="G397" s="139" t="s">
        <v>14</v>
      </c>
      <c r="H397" s="139" t="s">
        <v>15</v>
      </c>
    </row>
    <row r="398" spans="1:8" x14ac:dyDescent="0.25">
      <c r="A398" s="140" t="s">
        <v>33</v>
      </c>
      <c r="B398" s="141">
        <v>40178</v>
      </c>
      <c r="C398" s="140" t="s">
        <v>34</v>
      </c>
      <c r="D398" s="142">
        <v>12.803921568627452</v>
      </c>
      <c r="E398" s="142">
        <v>1.3470333814620972</v>
      </c>
      <c r="F398" s="142">
        <v>45</v>
      </c>
      <c r="G398" s="115">
        <v>59</v>
      </c>
      <c r="H398" s="115">
        <v>755</v>
      </c>
    </row>
    <row r="399" spans="1:8" x14ac:dyDescent="0.25">
      <c r="A399" s="140" t="s">
        <v>33</v>
      </c>
      <c r="B399" s="141">
        <v>40178</v>
      </c>
      <c r="C399" s="140" t="s">
        <v>35</v>
      </c>
      <c r="D399" s="142">
        <v>12.803921568627452</v>
      </c>
      <c r="E399" s="142">
        <v>1.3470333814620972</v>
      </c>
      <c r="F399" s="142">
        <v>88</v>
      </c>
      <c r="G399" s="115">
        <v>116</v>
      </c>
      <c r="H399" s="115">
        <v>1485</v>
      </c>
    </row>
    <row r="400" spans="1:8" x14ac:dyDescent="0.25">
      <c r="A400" s="140" t="s">
        <v>33</v>
      </c>
      <c r="B400" s="141">
        <v>40178</v>
      </c>
      <c r="C400" s="140" t="s">
        <v>36</v>
      </c>
      <c r="D400" s="142">
        <v>12.803921568627452</v>
      </c>
      <c r="E400" s="142">
        <v>1.3470333814620972</v>
      </c>
      <c r="F400" s="142">
        <v>124</v>
      </c>
      <c r="G400" s="115">
        <v>164</v>
      </c>
      <c r="H400" s="115">
        <v>2100</v>
      </c>
    </row>
    <row r="401" spans="1:8" x14ac:dyDescent="0.25">
      <c r="A401" s="140" t="s">
        <v>33</v>
      </c>
      <c r="B401" s="141">
        <v>40178</v>
      </c>
      <c r="C401" s="140" t="s">
        <v>40</v>
      </c>
      <c r="D401" s="142">
        <v>12.803921568627452</v>
      </c>
      <c r="E401" s="142">
        <v>1.3470333814620972</v>
      </c>
      <c r="F401" s="142">
        <v>64</v>
      </c>
      <c r="G401" s="115">
        <v>85</v>
      </c>
      <c r="H401" s="115">
        <v>1088</v>
      </c>
    </row>
    <row r="402" spans="1:8" x14ac:dyDescent="0.25">
      <c r="A402" s="140" t="s">
        <v>33</v>
      </c>
      <c r="B402" s="141">
        <v>40178</v>
      </c>
      <c r="C402" s="140" t="s">
        <v>37</v>
      </c>
      <c r="D402" s="142">
        <v>7.6</v>
      </c>
      <c r="E402" s="142">
        <v>1.3470333814620972</v>
      </c>
      <c r="F402" s="142">
        <v>274</v>
      </c>
      <c r="G402" s="115">
        <v>362</v>
      </c>
      <c r="H402" s="115">
        <v>4635</v>
      </c>
    </row>
    <row r="403" spans="1:8" x14ac:dyDescent="0.25">
      <c r="A403" s="140" t="s">
        <v>33</v>
      </c>
      <c r="B403" s="141">
        <v>40178</v>
      </c>
      <c r="C403" s="140" t="s">
        <v>38</v>
      </c>
      <c r="D403" s="142">
        <v>13.1</v>
      </c>
      <c r="E403" s="142">
        <v>1.3470333814620972</v>
      </c>
      <c r="F403" s="142">
        <v>402</v>
      </c>
      <c r="G403" s="115">
        <v>531</v>
      </c>
      <c r="H403" s="115">
        <v>6799</v>
      </c>
    </row>
    <row r="404" spans="1:8" x14ac:dyDescent="0.25">
      <c r="A404" s="140" t="s">
        <v>33</v>
      </c>
      <c r="B404" s="141">
        <v>40178</v>
      </c>
      <c r="C404" s="140" t="s">
        <v>39</v>
      </c>
      <c r="D404" s="142">
        <v>15</v>
      </c>
      <c r="E404" s="142">
        <v>1.3470333814620972</v>
      </c>
      <c r="F404" s="142">
        <v>536</v>
      </c>
      <c r="G404" s="115">
        <v>708</v>
      </c>
      <c r="H404" s="115">
        <v>9065</v>
      </c>
    </row>
    <row r="405" spans="1:8" x14ac:dyDescent="0.25">
      <c r="F405">
        <f>SUM(F398:F404)</f>
        <v>1533</v>
      </c>
      <c r="G405" s="20">
        <f>SUM(G398:G404)</f>
        <v>2025</v>
      </c>
      <c r="H405" s="20">
        <f>SUM(H398:H404)</f>
        <v>25927</v>
      </c>
    </row>
    <row r="407" spans="1:8" x14ac:dyDescent="0.25">
      <c r="A407" s="139" t="s">
        <v>9</v>
      </c>
      <c r="B407" s="139" t="s">
        <v>8</v>
      </c>
      <c r="C407" s="139" t="s">
        <v>10</v>
      </c>
      <c r="D407" s="139" t="s">
        <v>11</v>
      </c>
      <c r="E407" s="139" t="s">
        <v>12</v>
      </c>
      <c r="F407" s="139" t="s">
        <v>13</v>
      </c>
      <c r="G407" s="139" t="s">
        <v>14</v>
      </c>
      <c r="H407" s="139" t="s">
        <v>15</v>
      </c>
    </row>
    <row r="408" spans="1:8" x14ac:dyDescent="0.25">
      <c r="A408" s="140" t="s">
        <v>33</v>
      </c>
      <c r="B408" s="141">
        <v>40180</v>
      </c>
      <c r="C408" s="140" t="s">
        <v>34</v>
      </c>
      <c r="D408" s="142">
        <v>15</v>
      </c>
      <c r="E408" s="142">
        <v>1.3008999824523926</v>
      </c>
      <c r="F408" s="142">
        <v>69</v>
      </c>
      <c r="G408" s="115">
        <v>84</v>
      </c>
      <c r="H408" s="115">
        <v>1260</v>
      </c>
    </row>
    <row r="409" spans="1:8" x14ac:dyDescent="0.25">
      <c r="A409" s="140" t="s">
        <v>33</v>
      </c>
      <c r="B409" s="141">
        <v>40180</v>
      </c>
      <c r="C409" s="140" t="s">
        <v>35</v>
      </c>
      <c r="D409" s="142">
        <v>15</v>
      </c>
      <c r="E409" s="142">
        <v>1.3008999824523926</v>
      </c>
      <c r="F409" s="142">
        <v>134</v>
      </c>
      <c r="G409" s="115">
        <v>163</v>
      </c>
      <c r="H409" s="115">
        <v>2445</v>
      </c>
    </row>
    <row r="410" spans="1:8" x14ac:dyDescent="0.25">
      <c r="A410" s="140" t="s">
        <v>33</v>
      </c>
      <c r="B410" s="141">
        <v>40180</v>
      </c>
      <c r="C410" s="140" t="s">
        <v>36</v>
      </c>
      <c r="D410" s="142">
        <v>15</v>
      </c>
      <c r="E410" s="142">
        <v>1.3008999824523926</v>
      </c>
      <c r="F410" s="142">
        <v>190</v>
      </c>
      <c r="G410" s="115">
        <v>231</v>
      </c>
      <c r="H410" s="115">
        <v>3465</v>
      </c>
    </row>
    <row r="411" spans="1:8" x14ac:dyDescent="0.25">
      <c r="A411" s="140" t="s">
        <v>33</v>
      </c>
      <c r="B411" s="141">
        <v>40180</v>
      </c>
      <c r="C411" s="140" t="s">
        <v>40</v>
      </c>
      <c r="D411" s="142">
        <v>15</v>
      </c>
      <c r="E411" s="142">
        <v>1.3008999824523926</v>
      </c>
      <c r="F411" s="142">
        <v>98</v>
      </c>
      <c r="G411" s="115">
        <v>119</v>
      </c>
      <c r="H411" s="115">
        <v>1785</v>
      </c>
    </row>
    <row r="412" spans="1:8" x14ac:dyDescent="0.25">
      <c r="A412" s="140" t="s">
        <v>33</v>
      </c>
      <c r="B412" s="141">
        <v>40180</v>
      </c>
      <c r="C412" s="140" t="s">
        <v>37</v>
      </c>
      <c r="D412" s="142">
        <v>15</v>
      </c>
      <c r="E412" s="142">
        <v>1.3008999824523926</v>
      </c>
      <c r="F412" s="142">
        <v>382</v>
      </c>
      <c r="G412" s="115">
        <v>465</v>
      </c>
      <c r="H412" s="115">
        <v>6975</v>
      </c>
    </row>
    <row r="413" spans="1:8" x14ac:dyDescent="0.25">
      <c r="A413" s="140" t="s">
        <v>33</v>
      </c>
      <c r="B413" s="141">
        <v>40180</v>
      </c>
      <c r="C413" s="140" t="s">
        <v>38</v>
      </c>
      <c r="D413" s="142">
        <v>15</v>
      </c>
      <c r="E413" s="142">
        <v>1.3008999824523926</v>
      </c>
      <c r="F413" s="142">
        <v>716</v>
      </c>
      <c r="G413" s="115">
        <v>871</v>
      </c>
      <c r="H413" s="115">
        <v>13065</v>
      </c>
    </row>
    <row r="414" spans="1:8" x14ac:dyDescent="0.25">
      <c r="A414" s="140" t="s">
        <v>33</v>
      </c>
      <c r="B414" s="141">
        <v>40180</v>
      </c>
      <c r="C414" s="140" t="s">
        <v>39</v>
      </c>
      <c r="D414" s="142">
        <v>15</v>
      </c>
      <c r="E414" s="142">
        <v>1.3008999824523926</v>
      </c>
      <c r="F414" s="142">
        <v>708</v>
      </c>
      <c r="G414" s="115">
        <v>862</v>
      </c>
      <c r="H414" s="115">
        <v>12930</v>
      </c>
    </row>
    <row r="415" spans="1:8" x14ac:dyDescent="0.25">
      <c r="F415">
        <f>SUM(F408:F414)</f>
        <v>2297</v>
      </c>
      <c r="G415" s="20">
        <f>SUM(G408:G414)</f>
        <v>2795</v>
      </c>
      <c r="H415" s="20">
        <f>SUM(H408:H414)</f>
        <v>41925</v>
      </c>
    </row>
    <row r="417" spans="1:8" x14ac:dyDescent="0.25">
      <c r="A417" s="139" t="s">
        <v>9</v>
      </c>
      <c r="B417" s="139" t="s">
        <v>8</v>
      </c>
      <c r="C417" s="139" t="s">
        <v>10</v>
      </c>
      <c r="D417" s="139" t="s">
        <v>11</v>
      </c>
      <c r="E417" s="139" t="s">
        <v>12</v>
      </c>
      <c r="F417" s="139" t="s">
        <v>13</v>
      </c>
      <c r="G417" s="139" t="s">
        <v>14</v>
      </c>
      <c r="H417" s="139" t="s">
        <v>15</v>
      </c>
    </row>
    <row r="418" spans="1:8" x14ac:dyDescent="0.25">
      <c r="A418" s="140" t="s">
        <v>1</v>
      </c>
      <c r="B418" s="141">
        <v>40206</v>
      </c>
      <c r="C418" s="140" t="s">
        <v>29</v>
      </c>
      <c r="D418" s="142">
        <v>15</v>
      </c>
      <c r="E418" s="142">
        <v>1.4883999824523926</v>
      </c>
      <c r="F418" s="142">
        <v>0</v>
      </c>
      <c r="G418" s="115">
        <v>0</v>
      </c>
      <c r="H418" s="115">
        <v>0</v>
      </c>
    </row>
    <row r="419" spans="1:8" x14ac:dyDescent="0.25">
      <c r="A419" s="140" t="s">
        <v>1</v>
      </c>
      <c r="B419" s="141">
        <v>40206</v>
      </c>
      <c r="C419" s="140" t="s">
        <v>30</v>
      </c>
      <c r="D419" s="142">
        <v>15</v>
      </c>
      <c r="E419" s="142">
        <v>1.4883999824523926</v>
      </c>
      <c r="F419" s="142">
        <v>193</v>
      </c>
      <c r="G419" s="115">
        <v>280</v>
      </c>
      <c r="H419" s="115">
        <v>4200</v>
      </c>
    </row>
    <row r="420" spans="1:8" x14ac:dyDescent="0.25">
      <c r="A420" s="140" t="s">
        <v>1</v>
      </c>
      <c r="B420" s="141">
        <v>40206</v>
      </c>
      <c r="C420" s="140" t="s">
        <v>31</v>
      </c>
      <c r="D420" s="142">
        <v>15</v>
      </c>
      <c r="E420" s="142">
        <v>1.4883999824523926</v>
      </c>
      <c r="F420" s="142">
        <v>285</v>
      </c>
      <c r="G420" s="115">
        <v>414</v>
      </c>
      <c r="H420" s="115">
        <v>6210</v>
      </c>
    </row>
    <row r="421" spans="1:8" x14ac:dyDescent="0.25">
      <c r="A421" s="140" t="s">
        <v>1</v>
      </c>
      <c r="B421" s="141">
        <v>40206</v>
      </c>
      <c r="C421" s="140" t="s">
        <v>32</v>
      </c>
      <c r="D421" s="142">
        <v>15</v>
      </c>
      <c r="E421" s="142">
        <v>1.4883999824523926</v>
      </c>
      <c r="F421" s="142">
        <v>115</v>
      </c>
      <c r="G421" s="115">
        <v>167</v>
      </c>
      <c r="H421" s="115">
        <v>2505</v>
      </c>
    </row>
    <row r="422" spans="1:8" x14ac:dyDescent="0.25">
      <c r="F422">
        <f>SUM(F418:F421)</f>
        <v>593</v>
      </c>
      <c r="G422" s="20">
        <f>SUM(G418:G421)</f>
        <v>861</v>
      </c>
      <c r="H422" s="20">
        <f>SUM(H418:H421)</f>
        <v>12915</v>
      </c>
    </row>
    <row r="424" spans="1:8" x14ac:dyDescent="0.25">
      <c r="A424" s="139" t="s">
        <v>9</v>
      </c>
      <c r="B424" s="139" t="s">
        <v>8</v>
      </c>
      <c r="C424" s="139" t="s">
        <v>10</v>
      </c>
      <c r="D424" s="139" t="s">
        <v>11</v>
      </c>
      <c r="E424" s="139" t="s">
        <v>12</v>
      </c>
      <c r="F424" s="139" t="s">
        <v>13</v>
      </c>
      <c r="G424" s="139" t="s">
        <v>14</v>
      </c>
      <c r="H424" s="139" t="s">
        <v>15</v>
      </c>
    </row>
    <row r="425" spans="1:8" x14ac:dyDescent="0.25">
      <c r="A425" s="140" t="s">
        <v>2</v>
      </c>
      <c r="B425" s="141">
        <v>40207</v>
      </c>
      <c r="C425" s="140" t="s">
        <v>16</v>
      </c>
      <c r="D425" s="142">
        <v>14.292682926829269</v>
      </c>
      <c r="E425" s="142">
        <v>1.6535667181015015</v>
      </c>
      <c r="F425" s="142">
        <v>4</v>
      </c>
      <c r="G425" s="115">
        <v>6</v>
      </c>
      <c r="H425" s="115">
        <v>86</v>
      </c>
    </row>
    <row r="426" spans="1:8" x14ac:dyDescent="0.25">
      <c r="A426" s="140" t="s">
        <v>2</v>
      </c>
      <c r="B426" s="141">
        <v>40207</v>
      </c>
      <c r="C426" s="140" t="s">
        <v>17</v>
      </c>
      <c r="D426" s="142">
        <v>15</v>
      </c>
      <c r="E426" s="142">
        <v>1.6535667181015015</v>
      </c>
      <c r="F426" s="142">
        <v>794</v>
      </c>
      <c r="G426" s="115">
        <v>1282</v>
      </c>
      <c r="H426" s="115">
        <v>18323</v>
      </c>
    </row>
    <row r="427" spans="1:8" x14ac:dyDescent="0.25">
      <c r="A427" s="140" t="s">
        <v>2</v>
      </c>
      <c r="B427" s="141">
        <v>40207</v>
      </c>
      <c r="C427" s="140" t="s">
        <v>18</v>
      </c>
      <c r="D427" s="142">
        <v>15</v>
      </c>
      <c r="E427" s="142">
        <v>1.6535667181015015</v>
      </c>
      <c r="F427" s="142">
        <v>563</v>
      </c>
      <c r="G427" s="115">
        <v>909</v>
      </c>
      <c r="H427" s="115">
        <v>12992</v>
      </c>
    </row>
    <row r="428" spans="1:8" x14ac:dyDescent="0.25">
      <c r="A428" s="140" t="s">
        <v>2</v>
      </c>
      <c r="B428" s="141">
        <v>40207</v>
      </c>
      <c r="C428" s="140" t="s">
        <v>19</v>
      </c>
      <c r="D428" s="142">
        <v>15</v>
      </c>
      <c r="E428" s="142">
        <v>1.6535667181015015</v>
      </c>
      <c r="F428" s="142">
        <v>411</v>
      </c>
      <c r="G428" s="115">
        <v>663</v>
      </c>
      <c r="H428" s="115">
        <v>9476</v>
      </c>
    </row>
    <row r="429" spans="1:8" x14ac:dyDescent="0.25">
      <c r="A429" s="140" t="s">
        <v>2</v>
      </c>
      <c r="B429" s="141">
        <v>40207</v>
      </c>
      <c r="C429" s="140" t="s">
        <v>20</v>
      </c>
      <c r="D429" s="142">
        <v>12.1</v>
      </c>
      <c r="E429" s="142">
        <v>1.6535667181015015</v>
      </c>
      <c r="F429" s="142">
        <v>634</v>
      </c>
      <c r="G429" s="115">
        <v>1023</v>
      </c>
      <c r="H429" s="115">
        <v>14621</v>
      </c>
    </row>
    <row r="430" spans="1:8" x14ac:dyDescent="0.25">
      <c r="A430" s="140" t="s">
        <v>2</v>
      </c>
      <c r="B430" s="141">
        <v>40207</v>
      </c>
      <c r="C430" s="140" t="s">
        <v>21</v>
      </c>
      <c r="D430" s="142">
        <v>14.292682926829269</v>
      </c>
      <c r="E430" s="142">
        <v>1.6535667181015015</v>
      </c>
      <c r="F430" s="142">
        <v>10</v>
      </c>
      <c r="G430" s="115">
        <v>16</v>
      </c>
      <c r="H430" s="115">
        <v>229</v>
      </c>
    </row>
    <row r="431" spans="1:8" x14ac:dyDescent="0.25">
      <c r="F431">
        <f>SUM(F425:F430)</f>
        <v>2416</v>
      </c>
      <c r="G431" s="20">
        <f>SUM(G425:G430)</f>
        <v>3899</v>
      </c>
      <c r="H431" s="20">
        <f>SUM(H425:H430)</f>
        <v>55727</v>
      </c>
    </row>
    <row r="433" spans="1:8" x14ac:dyDescent="0.25">
      <c r="A433" s="139" t="s">
        <v>9</v>
      </c>
      <c r="B433" s="139" t="s">
        <v>8</v>
      </c>
      <c r="C433" s="139" t="s">
        <v>10</v>
      </c>
      <c r="D433" s="139" t="s">
        <v>11</v>
      </c>
      <c r="E433" s="139" t="s">
        <v>12</v>
      </c>
      <c r="F433" s="139" t="s">
        <v>13</v>
      </c>
      <c r="G433" s="139" t="s">
        <v>14</v>
      </c>
      <c r="H433" s="139" t="s">
        <v>15</v>
      </c>
    </row>
    <row r="434" spans="1:8" x14ac:dyDescent="0.25">
      <c r="A434" s="140" t="s">
        <v>2</v>
      </c>
      <c r="B434" s="141">
        <v>40208</v>
      </c>
      <c r="C434" s="140" t="s">
        <v>16</v>
      </c>
      <c r="D434" s="142">
        <v>12.216216216216216</v>
      </c>
      <c r="E434" s="142">
        <v>1.6525249481201172</v>
      </c>
      <c r="F434" s="142">
        <v>0</v>
      </c>
      <c r="G434" s="115">
        <v>0</v>
      </c>
      <c r="H434" s="115">
        <v>0</v>
      </c>
    </row>
    <row r="435" spans="1:8" x14ac:dyDescent="0.25">
      <c r="A435" s="140" t="s">
        <v>2</v>
      </c>
      <c r="B435" s="141">
        <v>40208</v>
      </c>
      <c r="C435" s="140" t="s">
        <v>17</v>
      </c>
      <c r="D435" s="142">
        <v>8.9</v>
      </c>
      <c r="E435" s="142">
        <v>1.6525249481201172</v>
      </c>
      <c r="F435" s="142">
        <v>796</v>
      </c>
      <c r="G435" s="115">
        <v>1237</v>
      </c>
      <c r="H435" s="115">
        <v>11009</v>
      </c>
    </row>
    <row r="436" spans="1:8" x14ac:dyDescent="0.25">
      <c r="A436" s="140" t="s">
        <v>2</v>
      </c>
      <c r="B436" s="141">
        <v>40208</v>
      </c>
      <c r="C436" s="140" t="s">
        <v>18</v>
      </c>
      <c r="D436" s="142">
        <v>12.4</v>
      </c>
      <c r="E436" s="142">
        <v>1.6525249481201172</v>
      </c>
      <c r="F436" s="142">
        <v>620</v>
      </c>
      <c r="G436" s="115">
        <v>964</v>
      </c>
      <c r="H436" s="115">
        <v>11776</v>
      </c>
    </row>
    <row r="437" spans="1:8" x14ac:dyDescent="0.25">
      <c r="A437" s="140" t="s">
        <v>2</v>
      </c>
      <c r="B437" s="141">
        <v>40208</v>
      </c>
      <c r="C437" s="140" t="s">
        <v>19</v>
      </c>
      <c r="D437" s="142">
        <v>15</v>
      </c>
      <c r="E437" s="142">
        <v>1.6525249481201172</v>
      </c>
      <c r="F437" s="142">
        <v>506</v>
      </c>
      <c r="G437" s="115">
        <v>787</v>
      </c>
      <c r="H437" s="115">
        <v>9614</v>
      </c>
    </row>
    <row r="438" spans="1:8" x14ac:dyDescent="0.25">
      <c r="A438" s="140" t="s">
        <v>2</v>
      </c>
      <c r="B438" s="141">
        <v>40208</v>
      </c>
      <c r="C438" s="140" t="s">
        <v>20</v>
      </c>
      <c r="D438" s="142">
        <v>15</v>
      </c>
      <c r="E438" s="142">
        <v>1.6525249481201172</v>
      </c>
      <c r="F438" s="142">
        <v>893</v>
      </c>
      <c r="G438" s="115">
        <v>1388</v>
      </c>
      <c r="H438" s="115">
        <v>16956</v>
      </c>
    </row>
    <row r="439" spans="1:8" x14ac:dyDescent="0.25">
      <c r="A439" s="140" t="s">
        <v>2</v>
      </c>
      <c r="B439" s="141">
        <v>40208</v>
      </c>
      <c r="C439" s="140" t="s">
        <v>21</v>
      </c>
      <c r="D439" s="142">
        <v>12.216216216216216</v>
      </c>
      <c r="E439" s="142">
        <v>1.6525249481201172</v>
      </c>
      <c r="F439" s="142">
        <v>17</v>
      </c>
      <c r="G439" s="115">
        <v>26</v>
      </c>
      <c r="H439" s="115">
        <v>318</v>
      </c>
    </row>
    <row r="440" spans="1:8" x14ac:dyDescent="0.25">
      <c r="G440" s="20">
        <f>SUM(G434:G439)</f>
        <v>4402</v>
      </c>
      <c r="H440" s="20">
        <f>SUM(H434:H439)</f>
        <v>49673</v>
      </c>
    </row>
    <row r="442" spans="1:8" x14ac:dyDescent="0.25">
      <c r="A442" s="139" t="s">
        <v>9</v>
      </c>
      <c r="B442" s="139" t="s">
        <v>8</v>
      </c>
      <c r="C442" s="139" t="s">
        <v>10</v>
      </c>
      <c r="D442" s="139" t="s">
        <v>11</v>
      </c>
      <c r="E442" s="139" t="s">
        <v>12</v>
      </c>
      <c r="F442" s="139" t="s">
        <v>13</v>
      </c>
      <c r="G442" s="139" t="s">
        <v>14</v>
      </c>
      <c r="H442" s="139" t="s">
        <v>15</v>
      </c>
    </row>
    <row r="443" spans="1:8" x14ac:dyDescent="0.25">
      <c r="A443" s="140" t="s">
        <v>2</v>
      </c>
      <c r="B443" s="141">
        <v>40209</v>
      </c>
      <c r="C443" s="140" t="s">
        <v>16</v>
      </c>
      <c r="D443" s="142">
        <v>12.188679245283019</v>
      </c>
      <c r="E443" s="142">
        <v>1.6535667181015015</v>
      </c>
      <c r="F443" s="142">
        <v>0</v>
      </c>
      <c r="G443" s="115">
        <v>0</v>
      </c>
      <c r="H443" s="115">
        <v>0</v>
      </c>
    </row>
    <row r="444" spans="1:8" x14ac:dyDescent="0.25">
      <c r="A444" s="140" t="s">
        <v>2</v>
      </c>
      <c r="B444" s="141">
        <v>40209</v>
      </c>
      <c r="C444" s="140" t="s">
        <v>17</v>
      </c>
      <c r="D444" s="142">
        <v>3.75</v>
      </c>
      <c r="E444" s="142">
        <v>1.6535667181015015</v>
      </c>
      <c r="F444" s="142">
        <v>222</v>
      </c>
      <c r="G444" s="115">
        <v>360</v>
      </c>
      <c r="H444" s="115">
        <v>1350</v>
      </c>
    </row>
    <row r="445" spans="1:8" x14ac:dyDescent="0.25">
      <c r="A445" s="140" t="s">
        <v>2</v>
      </c>
      <c r="B445" s="141">
        <v>40209</v>
      </c>
      <c r="C445" s="140" t="s">
        <v>18</v>
      </c>
      <c r="D445" s="142">
        <v>15</v>
      </c>
      <c r="E445" s="142">
        <v>1.6535667181015015</v>
      </c>
      <c r="F445" s="142">
        <v>244</v>
      </c>
      <c r="G445" s="115">
        <v>396</v>
      </c>
      <c r="H445" s="115">
        <v>4827</v>
      </c>
    </row>
    <row r="446" spans="1:8" x14ac:dyDescent="0.25">
      <c r="A446" s="140" t="s">
        <v>2</v>
      </c>
      <c r="B446" s="141">
        <v>40209</v>
      </c>
      <c r="C446" s="140" t="s">
        <v>19</v>
      </c>
      <c r="D446" s="142">
        <v>15</v>
      </c>
      <c r="E446" s="142">
        <v>1.6535667181015015</v>
      </c>
      <c r="F446" s="142">
        <v>133</v>
      </c>
      <c r="G446" s="115">
        <v>216</v>
      </c>
      <c r="H446" s="115">
        <v>3240</v>
      </c>
    </row>
    <row r="447" spans="1:8" x14ac:dyDescent="0.25">
      <c r="A447" s="140" t="s">
        <v>2</v>
      </c>
      <c r="B447" s="141">
        <v>40209</v>
      </c>
      <c r="C447" s="140" t="s">
        <v>20</v>
      </c>
      <c r="D447" s="142">
        <v>14.461538461538462</v>
      </c>
      <c r="E447" s="142">
        <v>1.6535667181015015</v>
      </c>
      <c r="F447" s="142">
        <v>362</v>
      </c>
      <c r="G447" s="115">
        <v>588</v>
      </c>
      <c r="H447" s="115">
        <v>8503</v>
      </c>
    </row>
    <row r="448" spans="1:8" x14ac:dyDescent="0.25">
      <c r="A448" s="140" t="s">
        <v>2</v>
      </c>
      <c r="B448" s="141">
        <v>40209</v>
      </c>
      <c r="C448" s="140" t="s">
        <v>21</v>
      </c>
      <c r="D448" s="142">
        <v>12.188679245283019</v>
      </c>
      <c r="E448" s="142">
        <v>1.6535667181015015</v>
      </c>
      <c r="F448" s="142">
        <v>5</v>
      </c>
      <c r="G448" s="115">
        <v>8</v>
      </c>
      <c r="H448" s="115">
        <v>98</v>
      </c>
    </row>
    <row r="449" spans="1:8" x14ac:dyDescent="0.25">
      <c r="F449">
        <f>SUM(F443:F448)</f>
        <v>966</v>
      </c>
      <c r="G449" s="20">
        <f>SUM(G443:G448)</f>
        <v>1568</v>
      </c>
      <c r="H449" s="20">
        <f>SUM(H443:H448)</f>
        <v>18018</v>
      </c>
    </row>
    <row r="451" spans="1:8" x14ac:dyDescent="0.25">
      <c r="A451" s="139" t="s">
        <v>9</v>
      </c>
      <c r="B451" s="139" t="s">
        <v>8</v>
      </c>
      <c r="C451" s="139" t="s">
        <v>10</v>
      </c>
      <c r="D451" s="139" t="s">
        <v>11</v>
      </c>
      <c r="E451" s="139" t="s">
        <v>12</v>
      </c>
      <c r="F451" s="139" t="s">
        <v>13</v>
      </c>
      <c r="G451" s="139" t="s">
        <v>14</v>
      </c>
      <c r="H451" s="139" t="s">
        <v>15</v>
      </c>
    </row>
    <row r="452" spans="1:8" x14ac:dyDescent="0.25">
      <c r="A452" s="140" t="s">
        <v>3</v>
      </c>
      <c r="B452" s="141">
        <v>40207</v>
      </c>
      <c r="C452" s="140" t="s">
        <v>23</v>
      </c>
      <c r="D452" s="142">
        <v>15</v>
      </c>
      <c r="E452" s="142">
        <v>1.5377999544143677</v>
      </c>
      <c r="F452" s="142">
        <v>92</v>
      </c>
      <c r="G452" s="115">
        <v>141</v>
      </c>
      <c r="H452" s="115">
        <v>1696</v>
      </c>
    </row>
    <row r="453" spans="1:8" x14ac:dyDescent="0.25">
      <c r="A453" s="140" t="s">
        <v>3</v>
      </c>
      <c r="B453" s="141">
        <v>40207</v>
      </c>
      <c r="C453" s="140" t="s">
        <v>24</v>
      </c>
      <c r="D453" s="142">
        <v>12.027027027027026</v>
      </c>
      <c r="E453" s="142">
        <v>1.5377999544143677</v>
      </c>
      <c r="F453" s="142">
        <v>94</v>
      </c>
      <c r="G453" s="115">
        <v>145</v>
      </c>
      <c r="H453" s="115">
        <v>1744</v>
      </c>
    </row>
    <row r="454" spans="1:8" x14ac:dyDescent="0.25">
      <c r="A454" s="140" t="s">
        <v>3</v>
      </c>
      <c r="B454" s="141">
        <v>40207</v>
      </c>
      <c r="C454" s="140" t="s">
        <v>25</v>
      </c>
      <c r="D454" s="142">
        <v>12.027027027027026</v>
      </c>
      <c r="E454" s="142">
        <v>1.5377999544143677</v>
      </c>
      <c r="F454" s="142">
        <v>220</v>
      </c>
      <c r="G454" s="115">
        <v>338</v>
      </c>
      <c r="H454" s="115">
        <v>4065</v>
      </c>
    </row>
    <row r="455" spans="1:8" x14ac:dyDescent="0.25">
      <c r="A455" s="140" t="s">
        <v>3</v>
      </c>
      <c r="B455" s="141">
        <v>40207</v>
      </c>
      <c r="C455" s="140" t="s">
        <v>26</v>
      </c>
      <c r="D455" s="142">
        <v>15</v>
      </c>
      <c r="E455" s="142">
        <v>1.5377999544143677</v>
      </c>
      <c r="F455" s="142">
        <v>280</v>
      </c>
      <c r="G455" s="115">
        <v>431</v>
      </c>
      <c r="H455" s="115">
        <v>5184</v>
      </c>
    </row>
    <row r="456" spans="1:8" x14ac:dyDescent="0.25">
      <c r="A456" s="140" t="s">
        <v>3</v>
      </c>
      <c r="B456" s="141">
        <v>40207</v>
      </c>
      <c r="C456" s="140" t="s">
        <v>27</v>
      </c>
      <c r="D456" s="142">
        <v>14.235294117647058</v>
      </c>
      <c r="E456" s="142">
        <v>1.5377999544143677</v>
      </c>
      <c r="F456" s="142">
        <v>180</v>
      </c>
      <c r="G456" s="115">
        <v>277</v>
      </c>
      <c r="H456" s="115">
        <v>3943</v>
      </c>
    </row>
    <row r="457" spans="1:8" x14ac:dyDescent="0.25">
      <c r="A457" s="140" t="s">
        <v>3</v>
      </c>
      <c r="B457" s="141">
        <v>40207</v>
      </c>
      <c r="C457" s="140" t="s">
        <v>28</v>
      </c>
      <c r="D457" s="142">
        <v>6.1818181818181817</v>
      </c>
      <c r="E457" s="142">
        <v>1.5377999544143677</v>
      </c>
      <c r="F457" s="142">
        <v>233</v>
      </c>
      <c r="G457" s="115">
        <v>358</v>
      </c>
      <c r="H457" s="115">
        <v>4306</v>
      </c>
    </row>
    <row r="458" spans="1:8" x14ac:dyDescent="0.25">
      <c r="F458">
        <f>SUM(F452:F457)</f>
        <v>1099</v>
      </c>
      <c r="G458" s="20">
        <f>SUM(G452:G457)</f>
        <v>1690</v>
      </c>
      <c r="H458" s="20">
        <f>SUM(H452:H457)</f>
        <v>20938</v>
      </c>
    </row>
    <row r="460" spans="1:8" x14ac:dyDescent="0.25">
      <c r="A460" s="139" t="s">
        <v>9</v>
      </c>
      <c r="B460" s="139" t="s">
        <v>8</v>
      </c>
      <c r="C460" s="139" t="s">
        <v>10</v>
      </c>
      <c r="D460" s="139" t="s">
        <v>11</v>
      </c>
      <c r="E460" s="139" t="s">
        <v>12</v>
      </c>
      <c r="F460" s="139" t="s">
        <v>13</v>
      </c>
      <c r="G460" s="139" t="s">
        <v>14</v>
      </c>
      <c r="H460" s="139" t="s">
        <v>15</v>
      </c>
    </row>
    <row r="461" spans="1:8" x14ac:dyDescent="0.25">
      <c r="A461" s="140" t="s">
        <v>3</v>
      </c>
      <c r="B461" s="141">
        <v>40208</v>
      </c>
      <c r="C461" s="140" t="s">
        <v>23</v>
      </c>
      <c r="D461" s="142">
        <v>15</v>
      </c>
      <c r="E461" s="142">
        <v>1.4938000440597534</v>
      </c>
      <c r="F461" s="142">
        <v>88</v>
      </c>
      <c r="G461" s="115">
        <v>131</v>
      </c>
      <c r="H461" s="115">
        <v>1620</v>
      </c>
    </row>
    <row r="462" spans="1:8" x14ac:dyDescent="0.25">
      <c r="A462" s="140" t="s">
        <v>3</v>
      </c>
      <c r="B462" s="141">
        <v>40208</v>
      </c>
      <c r="C462" s="140" t="s">
        <v>24</v>
      </c>
      <c r="D462" s="142">
        <v>11.4</v>
      </c>
      <c r="E462" s="142">
        <v>1.4938000440597534</v>
      </c>
      <c r="F462" s="142">
        <v>127</v>
      </c>
      <c r="G462" s="115">
        <v>190</v>
      </c>
      <c r="H462" s="115">
        <v>2166</v>
      </c>
    </row>
    <row r="463" spans="1:8" x14ac:dyDescent="0.25">
      <c r="A463" s="140" t="s">
        <v>3</v>
      </c>
      <c r="B463" s="141">
        <v>40208</v>
      </c>
      <c r="C463" s="140" t="s">
        <v>25</v>
      </c>
      <c r="D463" s="142">
        <v>9.9090909090909083</v>
      </c>
      <c r="E463" s="142">
        <v>1.4938000440597534</v>
      </c>
      <c r="F463" s="142">
        <v>468</v>
      </c>
      <c r="G463" s="115">
        <v>699</v>
      </c>
      <c r="H463" s="115">
        <v>8647</v>
      </c>
    </row>
    <row r="464" spans="1:8" x14ac:dyDescent="0.25">
      <c r="A464" s="140" t="s">
        <v>3</v>
      </c>
      <c r="B464" s="141">
        <v>40208</v>
      </c>
      <c r="C464" s="140" t="s">
        <v>26</v>
      </c>
      <c r="D464" s="142">
        <v>12.941176470588236</v>
      </c>
      <c r="E464" s="142">
        <v>1.4938000440597534</v>
      </c>
      <c r="F464" s="142">
        <v>606</v>
      </c>
      <c r="G464" s="115">
        <v>905</v>
      </c>
      <c r="H464" s="115">
        <v>11195</v>
      </c>
    </row>
    <row r="465" spans="1:8" x14ac:dyDescent="0.25">
      <c r="A465" s="140" t="s">
        <v>3</v>
      </c>
      <c r="B465" s="141">
        <v>40208</v>
      </c>
      <c r="C465" s="140" t="s">
        <v>27</v>
      </c>
      <c r="D465" s="142">
        <v>13.692307692307692</v>
      </c>
      <c r="E465" s="142">
        <v>1.4938000440597534</v>
      </c>
      <c r="F465" s="142">
        <v>180</v>
      </c>
      <c r="G465" s="115">
        <v>269</v>
      </c>
      <c r="H465" s="115">
        <v>3683</v>
      </c>
    </row>
    <row r="466" spans="1:8" x14ac:dyDescent="0.25">
      <c r="A466" s="140" t="s">
        <v>3</v>
      </c>
      <c r="B466" s="141">
        <v>40208</v>
      </c>
      <c r="C466" s="140" t="s">
        <v>28</v>
      </c>
      <c r="D466" s="142">
        <v>13</v>
      </c>
      <c r="E466" s="142">
        <v>1.4938000440597534</v>
      </c>
      <c r="F466" s="142">
        <v>261</v>
      </c>
      <c r="G466" s="115">
        <v>390</v>
      </c>
      <c r="H466" s="115">
        <v>5070</v>
      </c>
    </row>
    <row r="467" spans="1:8" x14ac:dyDescent="0.25">
      <c r="F467">
        <f>SUM(F461:F466)</f>
        <v>1730</v>
      </c>
      <c r="G467" s="20">
        <f>SUM(G461:G466)</f>
        <v>2584</v>
      </c>
      <c r="H467" s="20">
        <f>SUM(H461:H466)</f>
        <v>32381</v>
      </c>
    </row>
    <row r="469" spans="1:8" x14ac:dyDescent="0.25">
      <c r="A469" s="139" t="s">
        <v>9</v>
      </c>
      <c r="B469" s="139" t="s">
        <v>8</v>
      </c>
      <c r="C469" s="139" t="s">
        <v>10</v>
      </c>
      <c r="D469" s="139" t="s">
        <v>11</v>
      </c>
      <c r="E469" s="139" t="s">
        <v>12</v>
      </c>
      <c r="F469" s="139" t="s">
        <v>13</v>
      </c>
      <c r="G469" s="139" t="s">
        <v>14</v>
      </c>
      <c r="H469" s="139" t="s">
        <v>15</v>
      </c>
    </row>
    <row r="470" spans="1:8" x14ac:dyDescent="0.25">
      <c r="A470" s="140" t="s">
        <v>3</v>
      </c>
      <c r="B470" s="141">
        <v>40209</v>
      </c>
      <c r="C470" s="140" t="s">
        <v>23</v>
      </c>
      <c r="D470" s="142">
        <v>15</v>
      </c>
      <c r="E470" s="142">
        <v>1.4278000593185425</v>
      </c>
      <c r="F470" s="142">
        <v>20</v>
      </c>
      <c r="G470" s="115">
        <v>28</v>
      </c>
      <c r="H470" s="115">
        <v>420</v>
      </c>
    </row>
    <row r="471" spans="1:8" x14ac:dyDescent="0.25">
      <c r="A471" s="140" t="s">
        <v>3</v>
      </c>
      <c r="B471" s="141">
        <v>40209</v>
      </c>
      <c r="C471" s="140" t="s">
        <v>24</v>
      </c>
      <c r="D471" s="142">
        <v>15</v>
      </c>
      <c r="E471" s="142">
        <v>1.4278000593185425</v>
      </c>
      <c r="F471" s="142">
        <v>42</v>
      </c>
      <c r="G471" s="115">
        <v>58</v>
      </c>
      <c r="H471" s="115">
        <v>870</v>
      </c>
    </row>
    <row r="472" spans="1:8" x14ac:dyDescent="0.25">
      <c r="A472" s="140" t="s">
        <v>3</v>
      </c>
      <c r="B472" s="141">
        <v>40209</v>
      </c>
      <c r="C472" s="140" t="s">
        <v>25</v>
      </c>
      <c r="D472" s="142">
        <v>15</v>
      </c>
      <c r="E472" s="142">
        <v>1.4278000593185425</v>
      </c>
      <c r="F472" s="142">
        <v>202</v>
      </c>
      <c r="G472" s="115">
        <v>279</v>
      </c>
      <c r="H472" s="115">
        <v>4185</v>
      </c>
    </row>
    <row r="473" spans="1:8" x14ac:dyDescent="0.25">
      <c r="A473" s="140" t="s">
        <v>3</v>
      </c>
      <c r="B473" s="141">
        <v>40209</v>
      </c>
      <c r="C473" s="140" t="s">
        <v>26</v>
      </c>
      <c r="D473" s="142">
        <v>15</v>
      </c>
      <c r="E473" s="142">
        <v>1.4278000593185425</v>
      </c>
      <c r="F473" s="142">
        <v>157</v>
      </c>
      <c r="G473" s="115">
        <v>217</v>
      </c>
      <c r="H473" s="115">
        <v>3255</v>
      </c>
    </row>
    <row r="474" spans="1:8" x14ac:dyDescent="0.25">
      <c r="A474" s="140" t="s">
        <v>3</v>
      </c>
      <c r="B474" s="141">
        <v>40209</v>
      </c>
      <c r="C474" s="140" t="s">
        <v>27</v>
      </c>
      <c r="D474" s="142">
        <v>15</v>
      </c>
      <c r="E474" s="142">
        <v>1.4278000593185425</v>
      </c>
      <c r="F474" s="142">
        <f>20*8</f>
        <v>160</v>
      </c>
      <c r="G474" s="115">
        <f>F474*E474</f>
        <v>228.4480094909668</v>
      </c>
      <c r="H474" s="115">
        <f>G474*D474</f>
        <v>3426.720142364502</v>
      </c>
    </row>
    <row r="475" spans="1:8" x14ac:dyDescent="0.25">
      <c r="A475" s="140" t="s">
        <v>3</v>
      </c>
      <c r="B475" s="141">
        <v>40209</v>
      </c>
      <c r="C475" s="140" t="s">
        <v>28</v>
      </c>
      <c r="D475" s="142">
        <v>15</v>
      </c>
      <c r="E475" s="142">
        <v>1.4278000593185425</v>
      </c>
      <c r="F475" s="142">
        <v>133</v>
      </c>
      <c r="G475" s="115">
        <v>184</v>
      </c>
      <c r="H475" s="115">
        <v>2760</v>
      </c>
    </row>
    <row r="476" spans="1:8" x14ac:dyDescent="0.25">
      <c r="F476">
        <f>SUM(F470:F475)</f>
        <v>714</v>
      </c>
      <c r="G476" s="20">
        <f>SUM(G470:G475)</f>
        <v>994.4480094909668</v>
      </c>
      <c r="H476" s="20">
        <f>SUM(H470:H475)</f>
        <v>14916.720142364502</v>
      </c>
    </row>
    <row r="478" spans="1:8" x14ac:dyDescent="0.25">
      <c r="A478" s="139" t="s">
        <v>9</v>
      </c>
      <c r="B478" s="139" t="s">
        <v>8</v>
      </c>
      <c r="C478" s="139" t="s">
        <v>10</v>
      </c>
      <c r="D478" s="139" t="s">
        <v>11</v>
      </c>
      <c r="E478" s="139" t="s">
        <v>12</v>
      </c>
      <c r="F478" s="139" t="s">
        <v>13</v>
      </c>
      <c r="G478" s="139" t="s">
        <v>14</v>
      </c>
      <c r="H478" s="139" t="s">
        <v>15</v>
      </c>
    </row>
    <row r="479" spans="1:8" x14ac:dyDescent="0.25">
      <c r="A479" s="140" t="s">
        <v>1</v>
      </c>
      <c r="B479" s="141">
        <v>40207</v>
      </c>
      <c r="C479" s="140" t="s">
        <v>29</v>
      </c>
      <c r="D479" s="142">
        <v>15</v>
      </c>
      <c r="E479" s="142">
        <v>1.4352333545684814</v>
      </c>
      <c r="F479" s="142">
        <v>3</v>
      </c>
      <c r="G479" s="115">
        <v>4</v>
      </c>
      <c r="H479" s="115">
        <v>60</v>
      </c>
    </row>
    <row r="480" spans="1:8" x14ac:dyDescent="0.25">
      <c r="A480" s="140" t="s">
        <v>1</v>
      </c>
      <c r="B480" s="141">
        <v>40207</v>
      </c>
      <c r="C480" s="140" t="s">
        <v>30</v>
      </c>
      <c r="D480" s="142">
        <v>15</v>
      </c>
      <c r="E480" s="142">
        <v>1.4352333545684814</v>
      </c>
      <c r="F480" s="142">
        <v>503</v>
      </c>
      <c r="G480" s="115">
        <v>722</v>
      </c>
      <c r="H480" s="115">
        <v>10830</v>
      </c>
    </row>
    <row r="481" spans="1:8" x14ac:dyDescent="0.25">
      <c r="A481" s="140" t="s">
        <v>1</v>
      </c>
      <c r="B481" s="141">
        <v>40207</v>
      </c>
      <c r="C481" s="140" t="s">
        <v>31</v>
      </c>
      <c r="D481" s="142">
        <v>15</v>
      </c>
      <c r="E481" s="142">
        <v>1.4352333545684814</v>
      </c>
      <c r="F481" s="142">
        <v>349</v>
      </c>
      <c r="G481" s="115">
        <v>501</v>
      </c>
      <c r="H481" s="115">
        <v>7515</v>
      </c>
    </row>
    <row r="482" spans="1:8" x14ac:dyDescent="0.25">
      <c r="A482" s="140" t="s">
        <v>1</v>
      </c>
      <c r="B482" s="141">
        <v>40207</v>
      </c>
      <c r="C482" s="140" t="s">
        <v>32</v>
      </c>
      <c r="D482" s="142">
        <v>15</v>
      </c>
      <c r="E482" s="142">
        <v>1.4352333545684814</v>
      </c>
      <c r="F482" s="142">
        <v>319</v>
      </c>
      <c r="G482" s="115">
        <v>458</v>
      </c>
      <c r="H482" s="115">
        <v>6870</v>
      </c>
    </row>
    <row r="483" spans="1:8" x14ac:dyDescent="0.25">
      <c r="F483">
        <f>SUM(F479:F482)</f>
        <v>1174</v>
      </c>
      <c r="G483" s="20">
        <f>SUM(G479:G482)</f>
        <v>1685</v>
      </c>
      <c r="H483" s="20">
        <f>SUM(H479:H482)</f>
        <v>25275</v>
      </c>
    </row>
    <row r="485" spans="1:8" x14ac:dyDescent="0.25">
      <c r="A485" s="139" t="s">
        <v>9</v>
      </c>
      <c r="B485" s="139" t="s">
        <v>8</v>
      </c>
      <c r="C485" s="139" t="s">
        <v>10</v>
      </c>
      <c r="D485" s="139" t="s">
        <v>11</v>
      </c>
      <c r="E485" s="139" t="s">
        <v>12</v>
      </c>
      <c r="F485" s="139" t="s">
        <v>13</v>
      </c>
      <c r="G485" s="139" t="s">
        <v>14</v>
      </c>
      <c r="H485" s="139" t="s">
        <v>15</v>
      </c>
    </row>
    <row r="486" spans="1:8" x14ac:dyDescent="0.25">
      <c r="A486" s="140" t="s">
        <v>1</v>
      </c>
      <c r="B486" s="141">
        <v>40208</v>
      </c>
      <c r="C486" s="140" t="s">
        <v>29</v>
      </c>
      <c r="D486" s="142">
        <v>15</v>
      </c>
      <c r="E486" s="142">
        <v>1.4352333545684814</v>
      </c>
      <c r="F486" s="142">
        <v>5</v>
      </c>
      <c r="G486" s="115">
        <v>7</v>
      </c>
      <c r="H486" s="115">
        <v>105</v>
      </c>
    </row>
    <row r="487" spans="1:8" x14ac:dyDescent="0.25">
      <c r="A487" s="140" t="s">
        <v>1</v>
      </c>
      <c r="B487" s="141">
        <v>40208</v>
      </c>
      <c r="C487" s="140" t="s">
        <v>30</v>
      </c>
      <c r="D487" s="142">
        <v>15</v>
      </c>
      <c r="E487" s="142">
        <v>1.4352333545684814</v>
      </c>
      <c r="F487" s="142">
        <v>637</v>
      </c>
      <c r="G487" s="115">
        <v>914</v>
      </c>
      <c r="H487" s="115">
        <v>13710</v>
      </c>
    </row>
    <row r="488" spans="1:8" x14ac:dyDescent="0.25">
      <c r="A488" s="140" t="s">
        <v>1</v>
      </c>
      <c r="B488" s="141">
        <v>40208</v>
      </c>
      <c r="C488" s="140" t="s">
        <v>31</v>
      </c>
      <c r="D488" s="142">
        <v>15</v>
      </c>
      <c r="E488" s="142">
        <v>1.4352333545684814</v>
      </c>
      <c r="F488" s="142">
        <v>678</v>
      </c>
      <c r="G488" s="115">
        <v>973</v>
      </c>
      <c r="H488" s="115">
        <v>14595</v>
      </c>
    </row>
    <row r="489" spans="1:8" x14ac:dyDescent="0.25">
      <c r="A489" s="140" t="s">
        <v>1</v>
      </c>
      <c r="B489" s="141">
        <v>40208</v>
      </c>
      <c r="C489" s="140" t="s">
        <v>32</v>
      </c>
      <c r="D489" s="142">
        <v>15</v>
      </c>
      <c r="E489" s="142">
        <v>1.4352333545684814</v>
      </c>
      <c r="F489" s="142">
        <v>415</v>
      </c>
      <c r="G489" s="115">
        <v>596</v>
      </c>
      <c r="H489" s="115">
        <v>8940</v>
      </c>
    </row>
    <row r="490" spans="1:8" x14ac:dyDescent="0.25">
      <c r="F490">
        <f>SUM(F486:F489)</f>
        <v>1735</v>
      </c>
      <c r="G490" s="20">
        <f>SUM(G486:G489)</f>
        <v>2490</v>
      </c>
      <c r="H490" s="20">
        <f>SUM(H486:H489)</f>
        <v>37350</v>
      </c>
    </row>
    <row r="492" spans="1:8" x14ac:dyDescent="0.25">
      <c r="A492" s="139" t="s">
        <v>9</v>
      </c>
      <c r="B492" s="139" t="s">
        <v>8</v>
      </c>
      <c r="C492" s="139" t="s">
        <v>10</v>
      </c>
      <c r="D492" s="139" t="s">
        <v>11</v>
      </c>
      <c r="E492" s="139" t="s">
        <v>12</v>
      </c>
      <c r="F492" s="139" t="s">
        <v>13</v>
      </c>
      <c r="G492" s="139" t="s">
        <v>14</v>
      </c>
      <c r="H492" s="139" t="s">
        <v>15</v>
      </c>
    </row>
    <row r="493" spans="1:8" x14ac:dyDescent="0.25">
      <c r="A493" s="140" t="s">
        <v>1</v>
      </c>
      <c r="B493" s="141">
        <v>40209</v>
      </c>
      <c r="C493" s="140" t="s">
        <v>29</v>
      </c>
      <c r="D493" s="142">
        <v>11.863636363636363</v>
      </c>
      <c r="E493" s="142">
        <v>1.4352333545684814</v>
      </c>
      <c r="F493" s="142">
        <v>0</v>
      </c>
      <c r="G493" s="115">
        <v>0</v>
      </c>
      <c r="H493" s="115">
        <v>0</v>
      </c>
    </row>
    <row r="494" spans="1:8" x14ac:dyDescent="0.25">
      <c r="A494" s="140" t="s">
        <v>1</v>
      </c>
      <c r="B494" s="141">
        <v>40209</v>
      </c>
      <c r="C494" s="140" t="s">
        <v>30</v>
      </c>
      <c r="D494" s="142">
        <v>15</v>
      </c>
      <c r="E494" s="142">
        <v>1.4352333545684814</v>
      </c>
      <c r="F494" s="142">
        <v>130</v>
      </c>
      <c r="G494" s="115">
        <v>187</v>
      </c>
      <c r="H494" s="115">
        <v>2805</v>
      </c>
    </row>
    <row r="495" spans="1:8" x14ac:dyDescent="0.25">
      <c r="A495" s="140" t="s">
        <v>1</v>
      </c>
      <c r="B495" s="141">
        <v>40209</v>
      </c>
      <c r="C495" s="140" t="s">
        <v>31</v>
      </c>
      <c r="D495" s="142">
        <v>12.5</v>
      </c>
      <c r="E495" s="142">
        <v>1.4352333545684814</v>
      </c>
      <c r="F495" s="142">
        <v>131</v>
      </c>
      <c r="G495" s="115">
        <v>188</v>
      </c>
      <c r="H495" s="115">
        <v>2350</v>
      </c>
    </row>
    <row r="496" spans="1:8" x14ac:dyDescent="0.25">
      <c r="A496" s="140" t="s">
        <v>1</v>
      </c>
      <c r="B496" s="141">
        <v>40209</v>
      </c>
      <c r="C496" s="140" t="s">
        <v>32</v>
      </c>
      <c r="D496" s="142">
        <v>4.2</v>
      </c>
      <c r="E496" s="142">
        <v>1.4352333545684814</v>
      </c>
      <c r="F496" s="142">
        <f>46*2.5</f>
        <v>115</v>
      </c>
      <c r="G496" s="115">
        <f>F496*E496</f>
        <v>165.05183577537537</v>
      </c>
      <c r="H496" s="115">
        <f>G496*D496</f>
        <v>693.21771025657654</v>
      </c>
    </row>
    <row r="497" spans="1:8" x14ac:dyDescent="0.25">
      <c r="F497">
        <f>SUM(F493:F496)</f>
        <v>376</v>
      </c>
      <c r="G497" s="20">
        <f>SUM(G493:G496)</f>
        <v>540.05183577537537</v>
      </c>
      <c r="H497" s="20">
        <f>SUM(H493:H496)</f>
        <v>5848.2177102565765</v>
      </c>
    </row>
    <row r="499" spans="1:8" x14ac:dyDescent="0.25">
      <c r="A499" s="139" t="s">
        <v>9</v>
      </c>
      <c r="B499" s="139" t="s">
        <v>8</v>
      </c>
      <c r="C499" s="139" t="s">
        <v>10</v>
      </c>
      <c r="D499" s="139" t="s">
        <v>11</v>
      </c>
      <c r="E499" s="139" t="s">
        <v>12</v>
      </c>
      <c r="F499" s="139" t="s">
        <v>13</v>
      </c>
      <c r="G499" s="139" t="s">
        <v>14</v>
      </c>
      <c r="H499" s="139" t="s">
        <v>15</v>
      </c>
    </row>
    <row r="500" spans="1:8" x14ac:dyDescent="0.25">
      <c r="A500" t="s">
        <v>4</v>
      </c>
      <c r="B500" s="144" t="s">
        <v>84</v>
      </c>
      <c r="C500" s="145" t="s">
        <v>49</v>
      </c>
      <c r="D500" s="146">
        <v>2.9420289855072466</v>
      </c>
      <c r="E500">
        <v>1.381</v>
      </c>
      <c r="F500" s="149">
        <v>75.352638566213074</v>
      </c>
      <c r="G500" s="115">
        <v>104.06199385994026</v>
      </c>
      <c r="H500" s="115">
        <v>306.15340222562133</v>
      </c>
    </row>
    <row r="501" spans="1:8" x14ac:dyDescent="0.25">
      <c r="A501" t="s">
        <v>4</v>
      </c>
      <c r="B501" s="144" t="s">
        <v>84</v>
      </c>
      <c r="C501" s="145" t="s">
        <v>48</v>
      </c>
      <c r="D501" s="146">
        <v>1.2647058823529411</v>
      </c>
      <c r="E501">
        <v>1.381</v>
      </c>
      <c r="F501" s="149">
        <v>128.80220026942075</v>
      </c>
      <c r="G501" s="115">
        <v>177.87583857207005</v>
      </c>
      <c r="H501" s="115">
        <v>224.96061937055919</v>
      </c>
    </row>
    <row r="502" spans="1:8" x14ac:dyDescent="0.25">
      <c r="A502" t="s">
        <v>4</v>
      </c>
      <c r="B502" s="144" t="s">
        <v>84</v>
      </c>
      <c r="C502" s="145" t="s">
        <v>47</v>
      </c>
      <c r="D502" s="148">
        <v>2.3883495145631066</v>
      </c>
      <c r="E502">
        <v>1.381</v>
      </c>
      <c r="F502" s="149">
        <v>12.870080782628028</v>
      </c>
      <c r="G502" s="115">
        <v>17.773581560809305</v>
      </c>
      <c r="H502" s="115">
        <v>42.449524892806686</v>
      </c>
    </row>
    <row r="503" spans="1:8" x14ac:dyDescent="0.25">
      <c r="A503" t="s">
        <v>4</v>
      </c>
      <c r="B503" s="144" t="s">
        <v>84</v>
      </c>
      <c r="C503" s="145" t="s">
        <v>46</v>
      </c>
      <c r="D503" s="148">
        <v>2.3883495145631066</v>
      </c>
      <c r="E503">
        <v>1.381</v>
      </c>
      <c r="F503" s="149">
        <v>0</v>
      </c>
      <c r="G503" s="115">
        <v>0</v>
      </c>
      <c r="H503" s="115">
        <v>0</v>
      </c>
    </row>
    <row r="504" spans="1:8" x14ac:dyDescent="0.25">
      <c r="A504" t="s">
        <v>4</v>
      </c>
      <c r="B504" s="144" t="s">
        <v>84</v>
      </c>
      <c r="C504" s="145" t="s">
        <v>45</v>
      </c>
      <c r="D504" s="148">
        <v>2.3883495145631066</v>
      </c>
      <c r="E504">
        <v>1.381</v>
      </c>
      <c r="F504" s="149">
        <v>0</v>
      </c>
      <c r="G504" s="115">
        <v>0</v>
      </c>
      <c r="H504" s="115">
        <v>0</v>
      </c>
    </row>
    <row r="505" spans="1:8" x14ac:dyDescent="0.25">
      <c r="F505" s="147">
        <f>SUM(F500:F504)</f>
        <v>217.02491961826186</v>
      </c>
      <c r="G505" s="20">
        <f>SUM(G500:G504)</f>
        <v>299.71141399281959</v>
      </c>
      <c r="H505" s="20">
        <f>SUM(H500:H504)</f>
        <v>573.56354648898719</v>
      </c>
    </row>
    <row r="507" spans="1:8" x14ac:dyDescent="0.25">
      <c r="A507" s="139" t="s">
        <v>9</v>
      </c>
      <c r="B507" s="139" t="s">
        <v>8</v>
      </c>
      <c r="C507" s="139" t="s">
        <v>10</v>
      </c>
      <c r="D507" s="139" t="s">
        <v>11</v>
      </c>
      <c r="E507" s="139" t="s">
        <v>12</v>
      </c>
      <c r="F507" s="139" t="s">
        <v>13</v>
      </c>
      <c r="G507" s="139" t="s">
        <v>14</v>
      </c>
      <c r="H507" s="139" t="s">
        <v>15</v>
      </c>
    </row>
    <row r="508" spans="1:8" x14ac:dyDescent="0.25">
      <c r="A508" t="s">
        <v>4</v>
      </c>
      <c r="B508" s="144" t="s">
        <v>85</v>
      </c>
      <c r="C508" s="145" t="s">
        <v>48</v>
      </c>
      <c r="D508" s="146">
        <v>3.2571428571428571</v>
      </c>
      <c r="E508">
        <v>1.381</v>
      </c>
      <c r="F508" s="147">
        <v>112.07851690294437</v>
      </c>
      <c r="G508" s="147">
        <v>154.78043184296618</v>
      </c>
      <c r="H508" s="147">
        <v>504.14197800280414</v>
      </c>
    </row>
    <row r="509" spans="1:8" x14ac:dyDescent="0.25">
      <c r="A509" t="s">
        <v>4</v>
      </c>
      <c r="B509" s="144" t="s">
        <v>85</v>
      </c>
      <c r="C509" s="145" t="s">
        <v>47</v>
      </c>
      <c r="D509" s="146">
        <v>3.2571428571428571</v>
      </c>
      <c r="E509">
        <v>1.381</v>
      </c>
      <c r="F509" s="147">
        <v>0</v>
      </c>
      <c r="G509" s="147">
        <v>0</v>
      </c>
      <c r="H509" s="147">
        <v>0</v>
      </c>
    </row>
    <row r="510" spans="1:8" x14ac:dyDescent="0.25">
      <c r="A510" t="s">
        <v>4</v>
      </c>
      <c r="B510" s="144" t="s">
        <v>85</v>
      </c>
      <c r="C510" s="145" t="s">
        <v>46</v>
      </c>
      <c r="D510" s="146">
        <v>3.2571428571428571</v>
      </c>
      <c r="E510">
        <v>1.381</v>
      </c>
      <c r="F510" s="147">
        <v>0</v>
      </c>
      <c r="G510" s="147">
        <v>0</v>
      </c>
      <c r="H510" s="147">
        <v>0</v>
      </c>
    </row>
    <row r="511" spans="1:8" x14ac:dyDescent="0.25">
      <c r="A511" t="s">
        <v>4</v>
      </c>
      <c r="B511" s="144" t="s">
        <v>85</v>
      </c>
      <c r="C511" s="145" t="s">
        <v>45</v>
      </c>
      <c r="D511" s="146">
        <v>3.2571428571428571</v>
      </c>
      <c r="E511">
        <v>1.381</v>
      </c>
      <c r="F511" s="147">
        <v>0</v>
      </c>
      <c r="G511" s="147">
        <v>0</v>
      </c>
      <c r="H511" s="147">
        <v>0</v>
      </c>
    </row>
    <row r="512" spans="1:8" x14ac:dyDescent="0.25">
      <c r="A512" t="s">
        <v>4</v>
      </c>
      <c r="B512" s="144" t="s">
        <v>85</v>
      </c>
      <c r="C512" s="145" t="s">
        <v>49</v>
      </c>
      <c r="D512" s="146">
        <v>3.2571428571428571</v>
      </c>
      <c r="E512">
        <v>1.381</v>
      </c>
      <c r="F512" s="147">
        <v>34.782988004362046</v>
      </c>
      <c r="G512" s="147">
        <v>48.035306434023987</v>
      </c>
      <c r="H512" s="147">
        <v>156.45785524224956</v>
      </c>
    </row>
    <row r="513" spans="1:8" x14ac:dyDescent="0.25">
      <c r="F513" s="147">
        <f>SUM(F508:F512)</f>
        <v>146.86150490730643</v>
      </c>
      <c r="G513" s="147">
        <f>SUM(G508:G512)</f>
        <v>202.81573827699017</v>
      </c>
      <c r="H513" s="147">
        <f>SUM(H508:H512)</f>
        <v>660.59983324505367</v>
      </c>
    </row>
    <row r="516" spans="1:8" x14ac:dyDescent="0.25">
      <c r="A516" s="139" t="s">
        <v>9</v>
      </c>
      <c r="B516" s="139" t="s">
        <v>8</v>
      </c>
      <c r="C516" s="139" t="s">
        <v>10</v>
      </c>
      <c r="D516" s="139" t="s">
        <v>11</v>
      </c>
      <c r="E516" s="139" t="s">
        <v>12</v>
      </c>
      <c r="F516" s="139" t="s">
        <v>13</v>
      </c>
      <c r="G516" s="139" t="s">
        <v>14</v>
      </c>
      <c r="H516" s="139" t="s">
        <v>15</v>
      </c>
    </row>
    <row r="517" spans="1:8" x14ac:dyDescent="0.25">
      <c r="A517" t="s">
        <v>4</v>
      </c>
      <c r="B517" t="s">
        <v>86</v>
      </c>
      <c r="C517" t="s">
        <v>48</v>
      </c>
      <c r="D517">
        <v>1.1000000000000001</v>
      </c>
      <c r="E517" s="150">
        <v>1.381</v>
      </c>
      <c r="F517" s="151">
        <v>69</v>
      </c>
      <c r="G517" s="115">
        <v>82.118975609756106</v>
      </c>
      <c r="H517" s="115">
        <v>234.03908048780491</v>
      </c>
    </row>
    <row r="518" spans="1:8" x14ac:dyDescent="0.25">
      <c r="A518" t="s">
        <v>4</v>
      </c>
      <c r="B518" t="s">
        <v>86</v>
      </c>
      <c r="C518" t="s">
        <v>47</v>
      </c>
      <c r="D518">
        <v>1.1603773584905661</v>
      </c>
      <c r="E518" s="150">
        <v>1.381</v>
      </c>
      <c r="F518" s="151">
        <v>18</v>
      </c>
      <c r="G518" s="115">
        <v>21.422341463414632</v>
      </c>
      <c r="H518" s="115">
        <v>102.05926829268293</v>
      </c>
    </row>
    <row r="519" spans="1:8" x14ac:dyDescent="0.25">
      <c r="A519" t="s">
        <v>4</v>
      </c>
      <c r="B519" t="s">
        <v>86</v>
      </c>
      <c r="C519" t="s">
        <v>46</v>
      </c>
      <c r="D519">
        <v>1.1603773584905661</v>
      </c>
      <c r="E519" s="150">
        <v>1.381</v>
      </c>
      <c r="F519" s="151">
        <v>1</v>
      </c>
      <c r="G519" s="115">
        <v>1.1901300813008131</v>
      </c>
      <c r="H519" s="115">
        <v>5.6699593495934968</v>
      </c>
    </row>
    <row r="520" spans="1:8" x14ac:dyDescent="0.25">
      <c r="A520" t="s">
        <v>4</v>
      </c>
      <c r="B520" t="s">
        <v>86</v>
      </c>
      <c r="C520" t="s">
        <v>45</v>
      </c>
      <c r="D520">
        <v>1.1603773584905661</v>
      </c>
      <c r="E520" s="150">
        <v>1.381</v>
      </c>
      <c r="F520" s="151">
        <v>0</v>
      </c>
      <c r="G520" s="115">
        <v>0</v>
      </c>
      <c r="H520" s="115">
        <v>0</v>
      </c>
    </row>
    <row r="521" spans="1:8" x14ac:dyDescent="0.25">
      <c r="A521" t="s">
        <v>4</v>
      </c>
      <c r="B521" t="s">
        <v>86</v>
      </c>
      <c r="C521" t="s">
        <v>49</v>
      </c>
      <c r="D521">
        <v>1.196969696969697</v>
      </c>
      <c r="E521" s="150">
        <v>1.381</v>
      </c>
      <c r="F521" s="151">
        <v>104</v>
      </c>
      <c r="G521" s="115">
        <v>123.77352845528455</v>
      </c>
      <c r="H521" s="115">
        <v>733.26438827297352</v>
      </c>
    </row>
    <row r="522" spans="1:8" x14ac:dyDescent="0.25">
      <c r="E522" s="150"/>
      <c r="F522" s="151">
        <f>SUM(F517:F521)</f>
        <v>192</v>
      </c>
      <c r="G522" s="151">
        <f>SUM(G517:G521)</f>
        <v>228.50497560975612</v>
      </c>
      <c r="H522" s="151">
        <f>SUM(H517:H521)</f>
        <v>1075.0326964030548</v>
      </c>
    </row>
    <row r="523" spans="1:8" x14ac:dyDescent="0.25">
      <c r="E523" s="3"/>
      <c r="F523" s="3"/>
      <c r="G523" s="3"/>
      <c r="H523" s="3"/>
    </row>
    <row r="524" spans="1:8" x14ac:dyDescent="0.25">
      <c r="E524" s="3"/>
      <c r="F524" s="3"/>
      <c r="G524" s="3"/>
      <c r="H524" s="3"/>
    </row>
    <row r="525" spans="1:8" x14ac:dyDescent="0.25">
      <c r="A525" t="s">
        <v>4</v>
      </c>
      <c r="B525" t="s">
        <v>87</v>
      </c>
      <c r="C525" t="s">
        <v>46</v>
      </c>
      <c r="D525">
        <v>1.0740740740740742</v>
      </c>
      <c r="E525" s="150">
        <v>1.381</v>
      </c>
      <c r="F525" s="151">
        <v>1.5505430242272349</v>
      </c>
      <c r="G525" s="115">
        <v>1.9936240601503761</v>
      </c>
      <c r="H525" s="115">
        <v>19.788564745196325</v>
      </c>
    </row>
    <row r="526" spans="1:8" x14ac:dyDescent="0.25">
      <c r="A526" t="s">
        <v>4</v>
      </c>
      <c r="B526" t="s">
        <v>87</v>
      </c>
      <c r="C526" t="s">
        <v>45</v>
      </c>
      <c r="D526">
        <v>1.0740740740740742</v>
      </c>
      <c r="E526" s="150">
        <v>1.381</v>
      </c>
      <c r="F526" s="151">
        <v>0</v>
      </c>
      <c r="G526" s="115">
        <v>0</v>
      </c>
      <c r="H526" s="115">
        <v>0</v>
      </c>
    </row>
    <row r="527" spans="1:8" x14ac:dyDescent="0.25">
      <c r="A527" t="s">
        <v>4</v>
      </c>
      <c r="B527" t="s">
        <v>87</v>
      </c>
      <c r="C527" t="s">
        <v>47</v>
      </c>
      <c r="D527">
        <v>1.0740740740740742</v>
      </c>
      <c r="E527" s="150">
        <v>1.381</v>
      </c>
      <c r="F527" s="151">
        <v>9.3032581453634098</v>
      </c>
      <c r="G527" s="115">
        <v>11.961744360902257</v>
      </c>
      <c r="H527" s="115">
        <v>118.73138847117795</v>
      </c>
    </row>
    <row r="528" spans="1:8" x14ac:dyDescent="0.25">
      <c r="A528" t="s">
        <v>4</v>
      </c>
      <c r="B528" t="s">
        <v>87</v>
      </c>
      <c r="C528" t="s">
        <v>48</v>
      </c>
      <c r="D528">
        <v>1.0740740740740742</v>
      </c>
      <c r="E528" s="150">
        <v>1.381</v>
      </c>
      <c r="F528" s="151">
        <v>38.76357560568087</v>
      </c>
      <c r="G528" s="115">
        <v>49.840601503759402</v>
      </c>
      <c r="H528" s="115">
        <v>494.71411862990811</v>
      </c>
    </row>
    <row r="529" spans="1:8" x14ac:dyDescent="0.25">
      <c r="A529" t="s">
        <v>4</v>
      </c>
      <c r="B529" t="s">
        <v>87</v>
      </c>
      <c r="C529" t="s">
        <v>49</v>
      </c>
      <c r="D529">
        <v>1.0740740740740742</v>
      </c>
      <c r="E529" s="150">
        <v>1.381</v>
      </c>
      <c r="F529" s="151">
        <v>37.213032581453639</v>
      </c>
      <c r="G529" s="115">
        <v>47.846977443609028</v>
      </c>
      <c r="H529" s="115">
        <v>474.9255538847118</v>
      </c>
    </row>
    <row r="530" spans="1:8" x14ac:dyDescent="0.25">
      <c r="F530" s="147">
        <f>SUM(F525:F529)</f>
        <v>86.830409356725156</v>
      </c>
      <c r="G530" s="20">
        <f>SUM(G525:G529)</f>
        <v>111.64294736842106</v>
      </c>
      <c r="H530" s="20">
        <f>SUM(H525:H529)</f>
        <v>1108.1596257309943</v>
      </c>
    </row>
    <row r="533" spans="1:8" x14ac:dyDescent="0.25">
      <c r="A533" s="139" t="s">
        <v>9</v>
      </c>
      <c r="B533" s="139" t="s">
        <v>8</v>
      </c>
      <c r="C533" s="139" t="s">
        <v>10</v>
      </c>
      <c r="D533" s="139" t="s">
        <v>11</v>
      </c>
      <c r="E533" s="139" t="s">
        <v>12</v>
      </c>
      <c r="F533" s="139" t="s">
        <v>13</v>
      </c>
      <c r="G533" s="139" t="s">
        <v>14</v>
      </c>
      <c r="H533" s="139" t="s">
        <v>15</v>
      </c>
    </row>
    <row r="534" spans="1:8" x14ac:dyDescent="0.25">
      <c r="A534" s="140" t="s">
        <v>3</v>
      </c>
      <c r="B534" s="141">
        <v>40235</v>
      </c>
      <c r="C534" s="140" t="s">
        <v>23</v>
      </c>
      <c r="D534" s="142">
        <v>15</v>
      </c>
      <c r="E534" s="142">
        <v>1.3094333410263062</v>
      </c>
      <c r="F534" s="142">
        <v>70</v>
      </c>
      <c r="G534" s="115">
        <v>92</v>
      </c>
      <c r="H534" s="115">
        <v>1380</v>
      </c>
    </row>
    <row r="535" spans="1:8" x14ac:dyDescent="0.25">
      <c r="A535" s="140" t="s">
        <v>3</v>
      </c>
      <c r="B535" s="141">
        <v>40235</v>
      </c>
      <c r="C535" s="140" t="s">
        <v>24</v>
      </c>
      <c r="D535" s="142">
        <v>15</v>
      </c>
      <c r="E535" s="142">
        <v>1.3094333410263062</v>
      </c>
      <c r="F535" s="142">
        <v>125</v>
      </c>
      <c r="G535" s="115">
        <v>164</v>
      </c>
      <c r="H535" s="115">
        <v>2460</v>
      </c>
    </row>
    <row r="536" spans="1:8" x14ac:dyDescent="0.25">
      <c r="A536" s="140" t="s">
        <v>3</v>
      </c>
      <c r="B536" s="141">
        <v>40235</v>
      </c>
      <c r="C536" s="140" t="s">
        <v>25</v>
      </c>
      <c r="D536" s="142">
        <v>15</v>
      </c>
      <c r="E536" s="142">
        <v>1.3094333410263062</v>
      </c>
      <c r="F536" s="142">
        <v>279</v>
      </c>
      <c r="G536" s="115">
        <v>365</v>
      </c>
      <c r="H536" s="115">
        <v>5475</v>
      </c>
    </row>
    <row r="537" spans="1:8" x14ac:dyDescent="0.25">
      <c r="A537" s="140" t="s">
        <v>3</v>
      </c>
      <c r="B537" s="141">
        <v>40235</v>
      </c>
      <c r="C537" s="140" t="s">
        <v>26</v>
      </c>
      <c r="D537" s="142">
        <v>15</v>
      </c>
      <c r="E537" s="142">
        <v>1.3094333410263062</v>
      </c>
      <c r="F537" s="142">
        <v>408</v>
      </c>
      <c r="G537" s="115">
        <v>534</v>
      </c>
      <c r="H537" s="115">
        <v>8010</v>
      </c>
    </row>
    <row r="538" spans="1:8" x14ac:dyDescent="0.25">
      <c r="A538" s="140" t="s">
        <v>3</v>
      </c>
      <c r="B538" s="141">
        <v>40235</v>
      </c>
      <c r="C538" s="140" t="s">
        <v>27</v>
      </c>
      <c r="D538" s="142">
        <v>15</v>
      </c>
      <c r="E538" s="142">
        <v>1.3094333410263062</v>
      </c>
      <c r="F538" s="142">
        <v>123</v>
      </c>
      <c r="G538" s="115">
        <v>161</v>
      </c>
      <c r="H538" s="115">
        <v>2415</v>
      </c>
    </row>
    <row r="539" spans="1:8" x14ac:dyDescent="0.25">
      <c r="A539" s="140" t="s">
        <v>3</v>
      </c>
      <c r="B539" s="141">
        <v>40235</v>
      </c>
      <c r="C539" s="140" t="s">
        <v>28</v>
      </c>
      <c r="D539" s="142">
        <v>15</v>
      </c>
      <c r="E539" s="142">
        <v>1.3094333410263062</v>
      </c>
      <c r="F539" s="142">
        <v>186</v>
      </c>
      <c r="G539" s="115">
        <v>244</v>
      </c>
      <c r="H539" s="115">
        <v>3660</v>
      </c>
    </row>
    <row r="540" spans="1:8" x14ac:dyDescent="0.25">
      <c r="F540">
        <f>SUM(F534:F539)</f>
        <v>1191</v>
      </c>
      <c r="G540" s="20">
        <f>SUM(G534:G539)</f>
        <v>1560</v>
      </c>
      <c r="H540" s="20">
        <f>SUM(H534:H539)</f>
        <v>23400</v>
      </c>
    </row>
    <row r="542" spans="1:8" x14ac:dyDescent="0.25">
      <c r="A542" s="139" t="s">
        <v>9</v>
      </c>
      <c r="B542" s="139" t="s">
        <v>8</v>
      </c>
      <c r="C542" s="139" t="s">
        <v>10</v>
      </c>
      <c r="D542" s="139" t="s">
        <v>11</v>
      </c>
      <c r="E542" s="139" t="s">
        <v>12</v>
      </c>
      <c r="F542" s="139" t="s">
        <v>13</v>
      </c>
      <c r="G542" s="139" t="s">
        <v>14</v>
      </c>
      <c r="H542" s="139" t="s">
        <v>15</v>
      </c>
    </row>
    <row r="543" spans="1:8" x14ac:dyDescent="0.25">
      <c r="A543" s="140" t="s">
        <v>2</v>
      </c>
      <c r="B543" s="141">
        <v>40235</v>
      </c>
      <c r="C543" s="140" t="s">
        <v>16</v>
      </c>
      <c r="D543" s="142">
        <v>14.934065934065934</v>
      </c>
      <c r="E543" s="142">
        <v>1.4696667194366455</v>
      </c>
      <c r="F543" s="142">
        <v>8</v>
      </c>
      <c r="G543" s="115">
        <v>12</v>
      </c>
      <c r="H543" s="115">
        <v>179</v>
      </c>
    </row>
    <row r="544" spans="1:8" x14ac:dyDescent="0.25">
      <c r="A544" s="140" t="s">
        <v>2</v>
      </c>
      <c r="B544" s="141">
        <v>40235</v>
      </c>
      <c r="C544" s="140" t="s">
        <v>17</v>
      </c>
      <c r="D544" s="142">
        <v>15</v>
      </c>
      <c r="E544" s="142">
        <v>1.4696667194366455</v>
      </c>
      <c r="F544" s="142">
        <v>500</v>
      </c>
      <c r="G544" s="115">
        <v>735</v>
      </c>
      <c r="H544" s="115">
        <v>10977</v>
      </c>
    </row>
    <row r="545" spans="1:8" x14ac:dyDescent="0.25">
      <c r="A545" s="140" t="s">
        <v>2</v>
      </c>
      <c r="B545" s="141">
        <v>40235</v>
      </c>
      <c r="C545" s="140" t="s">
        <v>18</v>
      </c>
      <c r="D545" s="142">
        <v>15</v>
      </c>
      <c r="E545" s="142">
        <v>1.4696667194366455</v>
      </c>
      <c r="F545" s="142">
        <v>523</v>
      </c>
      <c r="G545" s="115">
        <v>769</v>
      </c>
      <c r="H545" s="115">
        <v>11535</v>
      </c>
    </row>
    <row r="546" spans="1:8" x14ac:dyDescent="0.25">
      <c r="A546" s="140" t="s">
        <v>2</v>
      </c>
      <c r="B546" s="141">
        <v>40235</v>
      </c>
      <c r="C546" s="140" t="s">
        <v>19</v>
      </c>
      <c r="D546" s="142">
        <v>14.818181818181818</v>
      </c>
      <c r="E546" s="142">
        <v>1.4696667194366455</v>
      </c>
      <c r="F546" s="142">
        <v>391</v>
      </c>
      <c r="G546" s="115">
        <v>575</v>
      </c>
      <c r="H546" s="115">
        <v>8520</v>
      </c>
    </row>
    <row r="547" spans="1:8" x14ac:dyDescent="0.25">
      <c r="A547" s="140" t="s">
        <v>2</v>
      </c>
      <c r="B547" s="141">
        <v>40235</v>
      </c>
      <c r="C547" s="140" t="s">
        <v>20</v>
      </c>
      <c r="D547" s="142">
        <v>15</v>
      </c>
      <c r="E547" s="142">
        <v>1.4696667194366455</v>
      </c>
      <c r="F547" s="142">
        <v>743</v>
      </c>
      <c r="G547" s="115">
        <v>1092</v>
      </c>
      <c r="H547" s="115">
        <v>16308</v>
      </c>
    </row>
    <row r="548" spans="1:8" x14ac:dyDescent="0.25">
      <c r="A548" s="140" t="s">
        <v>2</v>
      </c>
      <c r="B548" s="141">
        <v>40235</v>
      </c>
      <c r="C548" s="140" t="s">
        <v>21</v>
      </c>
      <c r="D548" s="142">
        <v>14.934065934065934</v>
      </c>
      <c r="E548" s="142">
        <v>1.4696667194366455</v>
      </c>
      <c r="F548" s="142">
        <v>3</v>
      </c>
      <c r="G548" s="115">
        <v>4</v>
      </c>
      <c r="H548" s="115">
        <v>60</v>
      </c>
    </row>
    <row r="549" spans="1:8" x14ac:dyDescent="0.25">
      <c r="F549">
        <f>SUM(F543:F548)</f>
        <v>2168</v>
      </c>
      <c r="G549" s="20">
        <f>SUM(G543:G548)</f>
        <v>3187</v>
      </c>
      <c r="H549" s="20">
        <f>SUM(H543:H548)</f>
        <v>47579</v>
      </c>
    </row>
    <row r="551" spans="1:8" x14ac:dyDescent="0.25">
      <c r="A551" s="139" t="s">
        <v>9</v>
      </c>
      <c r="B551" s="139" t="s">
        <v>8</v>
      </c>
      <c r="C551" s="139" t="s">
        <v>10</v>
      </c>
      <c r="D551" s="139" t="s">
        <v>11</v>
      </c>
      <c r="E551" s="139" t="s">
        <v>12</v>
      </c>
      <c r="F551" s="139" t="s">
        <v>13</v>
      </c>
      <c r="G551" s="139" t="s">
        <v>14</v>
      </c>
      <c r="H551" s="139" t="s">
        <v>15</v>
      </c>
    </row>
    <row r="552" spans="1:8" x14ac:dyDescent="0.25">
      <c r="A552" s="140" t="s">
        <v>1</v>
      </c>
      <c r="B552" s="141">
        <v>40235</v>
      </c>
      <c r="C552" s="140" t="s">
        <v>29</v>
      </c>
      <c r="D552" s="142">
        <v>15</v>
      </c>
      <c r="E552" s="142">
        <v>1.4631999731063843</v>
      </c>
      <c r="F552" s="142">
        <v>0</v>
      </c>
      <c r="G552" s="115">
        <v>0</v>
      </c>
      <c r="H552" s="115">
        <v>0</v>
      </c>
    </row>
    <row r="553" spans="1:8" x14ac:dyDescent="0.25">
      <c r="A553" s="140" t="s">
        <v>1</v>
      </c>
      <c r="B553" s="141">
        <v>40235</v>
      </c>
      <c r="C553" s="140" t="s">
        <v>30</v>
      </c>
      <c r="D553" s="142">
        <v>15</v>
      </c>
      <c r="E553" s="142">
        <v>1.4631999731063843</v>
      </c>
      <c r="F553" s="142">
        <v>407</v>
      </c>
      <c r="G553" s="115">
        <v>596</v>
      </c>
      <c r="H553" s="115">
        <v>8940</v>
      </c>
    </row>
    <row r="554" spans="1:8" x14ac:dyDescent="0.25">
      <c r="A554" s="140" t="s">
        <v>1</v>
      </c>
      <c r="B554" s="141">
        <v>40235</v>
      </c>
      <c r="C554" s="140" t="s">
        <v>31</v>
      </c>
      <c r="D554" s="142">
        <v>15</v>
      </c>
      <c r="E554" s="142">
        <v>1.4631999731063843</v>
      </c>
      <c r="F554" s="142">
        <v>249</v>
      </c>
      <c r="G554" s="115">
        <v>364</v>
      </c>
      <c r="H554" s="115">
        <v>5460</v>
      </c>
    </row>
    <row r="555" spans="1:8" x14ac:dyDescent="0.25">
      <c r="A555" s="140" t="s">
        <v>1</v>
      </c>
      <c r="B555" s="141">
        <v>40235</v>
      </c>
      <c r="C555" s="140" t="s">
        <v>32</v>
      </c>
      <c r="D555" s="142">
        <v>15</v>
      </c>
      <c r="E555" s="142">
        <v>1.4631999731063843</v>
      </c>
      <c r="F555" s="142">
        <v>221</v>
      </c>
      <c r="G555" s="115">
        <v>323</v>
      </c>
      <c r="H555" s="115">
        <v>4845</v>
      </c>
    </row>
    <row r="556" spans="1:8" x14ac:dyDescent="0.25">
      <c r="F556">
        <f>SUM(F552:F555)</f>
        <v>877</v>
      </c>
      <c r="G556" s="20">
        <f>SUM(G552:G555)</f>
        <v>1283</v>
      </c>
      <c r="H556" s="20">
        <f>SUM(H552:H555)</f>
        <v>19245</v>
      </c>
    </row>
    <row r="558" spans="1:8" x14ac:dyDescent="0.25">
      <c r="A558" s="139" t="s">
        <v>9</v>
      </c>
      <c r="B558" s="139" t="s">
        <v>8</v>
      </c>
      <c r="C558" s="139" t="s">
        <v>10</v>
      </c>
      <c r="D558" s="139" t="s">
        <v>11</v>
      </c>
      <c r="E558" s="139" t="s">
        <v>12</v>
      </c>
      <c r="F558" s="139" t="s">
        <v>13</v>
      </c>
      <c r="G558" s="139" t="s">
        <v>14</v>
      </c>
      <c r="H558" s="139" t="s">
        <v>15</v>
      </c>
    </row>
    <row r="559" spans="1:8" x14ac:dyDescent="0.25">
      <c r="A559" s="140" t="s">
        <v>1</v>
      </c>
      <c r="B559" s="141">
        <v>40237</v>
      </c>
      <c r="C559" s="140" t="s">
        <v>29</v>
      </c>
      <c r="D559" s="142">
        <v>14.04</v>
      </c>
      <c r="E559" s="142">
        <v>1.3965500593185425</v>
      </c>
      <c r="F559" s="142">
        <v>0</v>
      </c>
      <c r="G559" s="115">
        <v>0</v>
      </c>
      <c r="H559" s="115">
        <v>0</v>
      </c>
    </row>
    <row r="560" spans="1:8" x14ac:dyDescent="0.25">
      <c r="A560" s="140" t="s">
        <v>1</v>
      </c>
      <c r="B560" s="141">
        <v>40237</v>
      </c>
      <c r="C560" s="140" t="s">
        <v>30</v>
      </c>
      <c r="D560" s="142">
        <v>15</v>
      </c>
      <c r="E560" s="142">
        <v>1.3965500593185425</v>
      </c>
      <c r="F560" s="142">
        <v>594</v>
      </c>
      <c r="G560" s="115">
        <v>732</v>
      </c>
      <c r="H560" s="115">
        <v>10277</v>
      </c>
    </row>
    <row r="561" spans="1:8" x14ac:dyDescent="0.25">
      <c r="A561" s="140" t="s">
        <v>1</v>
      </c>
      <c r="B561" s="141">
        <v>40237</v>
      </c>
      <c r="C561" s="140" t="s">
        <v>31</v>
      </c>
      <c r="D561" s="142">
        <v>12.12</v>
      </c>
      <c r="E561" s="142">
        <v>1.3965500593185425</v>
      </c>
      <c r="F561" s="142">
        <v>587</v>
      </c>
      <c r="G561" s="115">
        <v>723</v>
      </c>
      <c r="H561" s="115">
        <v>10151</v>
      </c>
    </row>
    <row r="562" spans="1:8" x14ac:dyDescent="0.25">
      <c r="A562" s="140" t="s">
        <v>1</v>
      </c>
      <c r="B562" s="141">
        <v>40237</v>
      </c>
      <c r="C562" s="140" t="s">
        <v>32</v>
      </c>
      <c r="D562" s="142">
        <v>15</v>
      </c>
      <c r="E562" s="142">
        <v>1.3965500593185425</v>
      </c>
      <c r="F562" s="142">
        <v>335</v>
      </c>
      <c r="G562" s="115">
        <v>413</v>
      </c>
      <c r="H562" s="115">
        <v>6195</v>
      </c>
    </row>
    <row r="563" spans="1:8" x14ac:dyDescent="0.25">
      <c r="F563">
        <f>SUM(F559:F562)</f>
        <v>1516</v>
      </c>
      <c r="G563" s="20">
        <f>SUM(G559:G562)</f>
        <v>1868</v>
      </c>
      <c r="H563" s="20">
        <f>SUM(H559:H562)</f>
        <v>26623</v>
      </c>
    </row>
    <row r="565" spans="1:8" x14ac:dyDescent="0.25">
      <c r="A565" s="139" t="s">
        <v>9</v>
      </c>
      <c r="B565" s="139" t="s">
        <v>8</v>
      </c>
      <c r="C565" s="139" t="s">
        <v>10</v>
      </c>
      <c r="D565" s="139" t="s">
        <v>11</v>
      </c>
      <c r="E565" s="139" t="s">
        <v>12</v>
      </c>
      <c r="F565" s="139" t="s">
        <v>13</v>
      </c>
      <c r="G565" s="139" t="s">
        <v>14</v>
      </c>
      <c r="H565" s="139" t="s">
        <v>15</v>
      </c>
    </row>
    <row r="566" spans="1:8" x14ac:dyDescent="0.25">
      <c r="A566" s="140" t="s">
        <v>2</v>
      </c>
      <c r="B566" s="141">
        <v>40237</v>
      </c>
      <c r="C566" s="140" t="s">
        <v>16</v>
      </c>
      <c r="D566" s="142">
        <v>15</v>
      </c>
      <c r="E566" s="142">
        <v>1.6840000152587891</v>
      </c>
      <c r="F566" s="142">
        <v>53</v>
      </c>
      <c r="G566" s="115">
        <v>85</v>
      </c>
      <c r="H566" s="115">
        <v>1262</v>
      </c>
    </row>
    <row r="567" spans="1:8" x14ac:dyDescent="0.25">
      <c r="A567" s="140" t="s">
        <v>2</v>
      </c>
      <c r="B567" s="141">
        <v>40237</v>
      </c>
      <c r="C567" s="140" t="s">
        <v>17</v>
      </c>
      <c r="D567" s="142">
        <v>15</v>
      </c>
      <c r="E567" s="142">
        <v>1.6840000152587891</v>
      </c>
      <c r="F567" s="142">
        <v>738</v>
      </c>
      <c r="G567" s="115">
        <v>1190</v>
      </c>
      <c r="H567" s="115">
        <v>17665</v>
      </c>
    </row>
    <row r="568" spans="1:8" x14ac:dyDescent="0.25">
      <c r="A568" s="140" t="s">
        <v>2</v>
      </c>
      <c r="B568" s="141">
        <v>40237</v>
      </c>
      <c r="C568" s="140" t="s">
        <v>18</v>
      </c>
      <c r="D568" s="142">
        <v>15</v>
      </c>
      <c r="E568" s="142">
        <v>1.6840000152587891</v>
      </c>
      <c r="F568" s="142">
        <v>670</v>
      </c>
      <c r="G568" s="115">
        <v>1080</v>
      </c>
      <c r="H568" s="115">
        <v>16032</v>
      </c>
    </row>
    <row r="569" spans="1:8" x14ac:dyDescent="0.25">
      <c r="A569" s="140" t="s">
        <v>2</v>
      </c>
      <c r="B569" s="141">
        <v>40237</v>
      </c>
      <c r="C569" s="140" t="s">
        <v>19</v>
      </c>
      <c r="D569" s="142">
        <v>15.23076923076923</v>
      </c>
      <c r="E569" s="142">
        <v>1.6840000152587891</v>
      </c>
      <c r="F569" s="142">
        <v>534</v>
      </c>
      <c r="G569" s="115">
        <v>861</v>
      </c>
      <c r="H569" s="115">
        <v>12781</v>
      </c>
    </row>
    <row r="570" spans="1:8" x14ac:dyDescent="0.25">
      <c r="A570" s="140" t="s">
        <v>2</v>
      </c>
      <c r="B570" s="141">
        <v>40237</v>
      </c>
      <c r="C570" s="140" t="s">
        <v>20</v>
      </c>
      <c r="D570" s="142">
        <v>13.888888888888889</v>
      </c>
      <c r="E570" s="142">
        <v>1.6840000152587891</v>
      </c>
      <c r="F570" s="142">
        <v>1141</v>
      </c>
      <c r="G570" s="115">
        <v>1840</v>
      </c>
      <c r="H570" s="115">
        <v>27314</v>
      </c>
    </row>
    <row r="571" spans="1:8" x14ac:dyDescent="0.25">
      <c r="A571" s="140" t="s">
        <v>2</v>
      </c>
      <c r="B571" s="141">
        <v>40237</v>
      </c>
      <c r="C571" s="140" t="s">
        <v>21</v>
      </c>
      <c r="D571" s="142">
        <v>14.844444444444445</v>
      </c>
      <c r="E571" s="142">
        <v>1.6840000152587891</v>
      </c>
      <c r="F571" s="142">
        <v>14</v>
      </c>
      <c r="G571" s="115">
        <v>23</v>
      </c>
      <c r="H571" s="115">
        <v>341</v>
      </c>
    </row>
    <row r="572" spans="1:8" x14ac:dyDescent="0.25">
      <c r="F572">
        <f>SUM(F566:F571)</f>
        <v>3150</v>
      </c>
      <c r="G572" s="115">
        <f>SUM(G566:G571)</f>
        <v>5079</v>
      </c>
      <c r="H572" s="115">
        <f>SUM(H566:H571)</f>
        <v>75395</v>
      </c>
    </row>
    <row r="574" spans="1:8" x14ac:dyDescent="0.25">
      <c r="A574" s="139" t="s">
        <v>9</v>
      </c>
      <c r="B574" s="139" t="s">
        <v>8</v>
      </c>
      <c r="C574" s="139" t="s">
        <v>10</v>
      </c>
      <c r="D574" s="139" t="s">
        <v>11</v>
      </c>
      <c r="E574" s="139" t="s">
        <v>12</v>
      </c>
      <c r="F574" s="139" t="s">
        <v>13</v>
      </c>
      <c r="G574" s="139" t="s">
        <v>14</v>
      </c>
      <c r="H574" s="139" t="s">
        <v>15</v>
      </c>
    </row>
    <row r="575" spans="1:8" x14ac:dyDescent="0.25">
      <c r="A575" s="140" t="s">
        <v>33</v>
      </c>
      <c r="B575" s="141">
        <v>40235</v>
      </c>
      <c r="C575" s="140" t="s">
        <v>34</v>
      </c>
      <c r="D575" s="142">
        <v>14.98</v>
      </c>
      <c r="E575" s="142">
        <v>1.3470333814620972</v>
      </c>
      <c r="F575" s="142">
        <v>62</v>
      </c>
      <c r="G575" s="115">
        <v>79</v>
      </c>
      <c r="H575" s="115">
        <v>1183</v>
      </c>
    </row>
    <row r="576" spans="1:8" x14ac:dyDescent="0.25">
      <c r="A576" s="140" t="s">
        <v>33</v>
      </c>
      <c r="B576" s="141">
        <v>40235</v>
      </c>
      <c r="C576" s="140" t="s">
        <v>35</v>
      </c>
      <c r="D576" s="142">
        <v>14.98</v>
      </c>
      <c r="E576" s="142">
        <v>1.3470333814620972</v>
      </c>
      <c r="F576" s="142">
        <v>122</v>
      </c>
      <c r="G576" s="115">
        <v>155</v>
      </c>
      <c r="H576" s="115">
        <v>2322</v>
      </c>
    </row>
    <row r="577" spans="1:8" x14ac:dyDescent="0.25">
      <c r="A577" s="140" t="s">
        <v>33</v>
      </c>
      <c r="B577" s="141">
        <v>40235</v>
      </c>
      <c r="C577" s="140" t="s">
        <v>36</v>
      </c>
      <c r="D577" s="142">
        <v>14.98</v>
      </c>
      <c r="E577" s="142">
        <v>1.3470333814620972</v>
      </c>
      <c r="F577" s="142">
        <v>172</v>
      </c>
      <c r="G577" s="115">
        <v>219</v>
      </c>
      <c r="H577" s="115">
        <v>3281</v>
      </c>
    </row>
    <row r="578" spans="1:8" x14ac:dyDescent="0.25">
      <c r="A578" s="140" t="s">
        <v>33</v>
      </c>
      <c r="B578" s="141">
        <v>40235</v>
      </c>
      <c r="C578" s="140" t="s">
        <v>40</v>
      </c>
      <c r="D578" s="142">
        <v>14.98</v>
      </c>
      <c r="E578" s="142">
        <v>1.3470333814620972</v>
      </c>
      <c r="F578" s="142">
        <v>89</v>
      </c>
      <c r="G578" s="115">
        <v>113</v>
      </c>
      <c r="H578" s="115">
        <v>1693</v>
      </c>
    </row>
    <row r="579" spans="1:8" x14ac:dyDescent="0.25">
      <c r="A579" s="140" t="s">
        <v>33</v>
      </c>
      <c r="B579" s="141">
        <v>40235</v>
      </c>
      <c r="C579" s="140" t="s">
        <v>37</v>
      </c>
      <c r="D579" s="142">
        <v>14.95</v>
      </c>
      <c r="E579" s="142">
        <v>1.3470333814620972</v>
      </c>
      <c r="F579" s="142">
        <v>386</v>
      </c>
      <c r="G579" s="115">
        <v>491</v>
      </c>
      <c r="H579" s="115">
        <v>7340</v>
      </c>
    </row>
    <row r="580" spans="1:8" x14ac:dyDescent="0.25">
      <c r="A580" s="140" t="s">
        <v>33</v>
      </c>
      <c r="B580" s="141">
        <v>40235</v>
      </c>
      <c r="C580" s="140" t="s">
        <v>38</v>
      </c>
      <c r="D580" s="142">
        <v>15</v>
      </c>
      <c r="E580" s="142">
        <v>1.3470333814620972</v>
      </c>
      <c r="F580" s="142">
        <v>557</v>
      </c>
      <c r="G580" s="115">
        <v>708</v>
      </c>
      <c r="H580" s="115">
        <v>10606</v>
      </c>
    </row>
    <row r="581" spans="1:8" x14ac:dyDescent="0.25">
      <c r="A581" s="140" t="s">
        <v>33</v>
      </c>
      <c r="B581" s="141">
        <v>40235</v>
      </c>
      <c r="C581" s="140" t="s">
        <v>39</v>
      </c>
      <c r="D581" s="142">
        <v>15</v>
      </c>
      <c r="E581" s="142">
        <v>1.3470333814620972</v>
      </c>
      <c r="F581" s="142">
        <v>738</v>
      </c>
      <c r="G581" s="115">
        <v>938</v>
      </c>
      <c r="H581" s="115">
        <v>14051</v>
      </c>
    </row>
    <row r="582" spans="1:8" x14ac:dyDescent="0.25">
      <c r="F582">
        <f>SUM(F575:F581)</f>
        <v>2126</v>
      </c>
      <c r="G582" s="115">
        <f>SUM(G575:G581)</f>
        <v>2703</v>
      </c>
      <c r="H582" s="115">
        <f>SUM(H575:H581)</f>
        <v>40476</v>
      </c>
    </row>
    <row r="584" spans="1:8" x14ac:dyDescent="0.25">
      <c r="A584" s="139" t="s">
        <v>9</v>
      </c>
      <c r="B584" s="139" t="s">
        <v>8</v>
      </c>
      <c r="C584" s="139" t="s">
        <v>10</v>
      </c>
      <c r="D584" s="139" t="s">
        <v>11</v>
      </c>
      <c r="E584" s="139" t="s">
        <v>12</v>
      </c>
      <c r="F584" s="139" t="s">
        <v>13</v>
      </c>
      <c r="G584" s="139" t="s">
        <v>14</v>
      </c>
      <c r="H584" s="139" t="s">
        <v>15</v>
      </c>
    </row>
    <row r="585" spans="1:8" x14ac:dyDescent="0.25">
      <c r="A585" s="140" t="s">
        <v>33</v>
      </c>
      <c r="B585" s="141">
        <v>40237</v>
      </c>
      <c r="C585" s="140" t="s">
        <v>34</v>
      </c>
      <c r="D585" s="142">
        <v>15</v>
      </c>
      <c r="E585" s="142">
        <v>1.2846332788467407</v>
      </c>
      <c r="F585" s="142">
        <v>107</v>
      </c>
      <c r="G585" s="115">
        <v>137</v>
      </c>
      <c r="H585" s="115">
        <v>2055</v>
      </c>
    </row>
    <row r="586" spans="1:8" x14ac:dyDescent="0.25">
      <c r="A586" s="140" t="s">
        <v>33</v>
      </c>
      <c r="B586" s="141">
        <v>40237</v>
      </c>
      <c r="C586" s="140" t="s">
        <v>36</v>
      </c>
      <c r="D586" s="142">
        <v>15</v>
      </c>
      <c r="E586" s="142">
        <v>1.2846332788467407</v>
      </c>
      <c r="F586" s="142">
        <v>208</v>
      </c>
      <c r="G586" s="115">
        <v>267</v>
      </c>
      <c r="H586" s="115">
        <v>4005</v>
      </c>
    </row>
    <row r="587" spans="1:8" x14ac:dyDescent="0.25">
      <c r="A587" s="140" t="s">
        <v>33</v>
      </c>
      <c r="B587" s="141">
        <v>40237</v>
      </c>
      <c r="C587" s="140" t="s">
        <v>40</v>
      </c>
      <c r="D587" s="142">
        <v>15</v>
      </c>
      <c r="E587" s="142">
        <v>1.2846332788467407</v>
      </c>
      <c r="F587" s="142">
        <v>293</v>
      </c>
      <c r="G587" s="115">
        <v>376</v>
      </c>
      <c r="H587" s="115">
        <v>5640</v>
      </c>
    </row>
    <row r="588" spans="1:8" x14ac:dyDescent="0.25">
      <c r="A588" s="140" t="s">
        <v>33</v>
      </c>
      <c r="B588" s="141">
        <v>40237</v>
      </c>
      <c r="C588" s="140" t="s">
        <v>37</v>
      </c>
      <c r="D588" s="142">
        <v>15</v>
      </c>
      <c r="E588" s="142">
        <v>1.2846332788467407</v>
      </c>
      <c r="F588" s="142">
        <v>645</v>
      </c>
      <c r="G588" s="115">
        <v>829</v>
      </c>
      <c r="H588" s="115">
        <v>12435</v>
      </c>
    </row>
    <row r="589" spans="1:8" x14ac:dyDescent="0.25">
      <c r="A589" s="140" t="s">
        <v>33</v>
      </c>
      <c r="B589" s="141">
        <v>40237</v>
      </c>
      <c r="C589" s="140" t="s">
        <v>37</v>
      </c>
      <c r="D589" s="142">
        <v>15</v>
      </c>
      <c r="E589" s="142">
        <v>1.2846332788467407</v>
      </c>
      <c r="F589" s="142">
        <v>151</v>
      </c>
      <c r="G589" s="115">
        <v>194</v>
      </c>
      <c r="H589" s="115">
        <v>2910</v>
      </c>
    </row>
    <row r="590" spans="1:8" x14ac:dyDescent="0.25">
      <c r="A590" s="140" t="s">
        <v>33</v>
      </c>
      <c r="B590" s="141">
        <v>40237</v>
      </c>
      <c r="C590" s="140" t="s">
        <v>38</v>
      </c>
      <c r="D590" s="142">
        <v>15</v>
      </c>
      <c r="E590" s="142">
        <v>1.2846332788467407</v>
      </c>
      <c r="F590" s="142">
        <v>875</v>
      </c>
      <c r="G590" s="115">
        <v>1124</v>
      </c>
      <c r="H590" s="115">
        <v>16860</v>
      </c>
    </row>
    <row r="591" spans="1:8" x14ac:dyDescent="0.25">
      <c r="A591" s="140" t="s">
        <v>33</v>
      </c>
      <c r="B591" s="141">
        <v>40237</v>
      </c>
      <c r="C591" s="140" t="s">
        <v>39</v>
      </c>
      <c r="D591" s="142">
        <v>15</v>
      </c>
      <c r="E591" s="142">
        <v>1.2846332788467407</v>
      </c>
      <c r="F591" s="142">
        <v>1350</v>
      </c>
      <c r="G591" s="115">
        <v>1734</v>
      </c>
      <c r="H591" s="115">
        <v>26010</v>
      </c>
    </row>
    <row r="592" spans="1:8" x14ac:dyDescent="0.25">
      <c r="F592">
        <f>SUM(F585:F591)</f>
        <v>3629</v>
      </c>
      <c r="G592" s="115">
        <f>SUM(G585:G591)</f>
        <v>4661</v>
      </c>
      <c r="H592" s="115">
        <f>SUM(H585:H591)</f>
        <v>69915</v>
      </c>
    </row>
    <row r="594" spans="1:8" x14ac:dyDescent="0.25">
      <c r="A594" s="139" t="s">
        <v>9</v>
      </c>
      <c r="B594" s="139" t="s">
        <v>8</v>
      </c>
      <c r="C594" s="139" t="s">
        <v>10</v>
      </c>
      <c r="D594" s="139" t="s">
        <v>11</v>
      </c>
      <c r="E594" s="139" t="s">
        <v>12</v>
      </c>
      <c r="F594" s="139" t="s">
        <v>13</v>
      </c>
      <c r="G594" s="139" t="s">
        <v>14</v>
      </c>
      <c r="H594" s="139" t="s">
        <v>15</v>
      </c>
    </row>
    <row r="595" spans="1:8" x14ac:dyDescent="0.25">
      <c r="A595" s="140" t="s">
        <v>3</v>
      </c>
      <c r="B595" s="141">
        <v>40237</v>
      </c>
      <c r="C595" s="140" t="s">
        <v>23</v>
      </c>
      <c r="D595" s="142">
        <v>15</v>
      </c>
      <c r="E595" s="142">
        <v>1.4437999725341797</v>
      </c>
      <c r="F595" s="142">
        <v>79</v>
      </c>
      <c r="G595" s="115">
        <v>106</v>
      </c>
      <c r="H595" s="115">
        <v>1564</v>
      </c>
    </row>
    <row r="596" spans="1:8" x14ac:dyDescent="0.25">
      <c r="A596" s="140" t="s">
        <v>3</v>
      </c>
      <c r="B596" s="141">
        <v>40237</v>
      </c>
      <c r="C596" s="140" t="s">
        <v>24</v>
      </c>
      <c r="D596" s="142">
        <v>15</v>
      </c>
      <c r="E596" s="142">
        <v>1.4437999725341797</v>
      </c>
      <c r="F596" s="142">
        <v>152</v>
      </c>
      <c r="G596" s="115">
        <v>204</v>
      </c>
      <c r="H596" s="115">
        <v>3060</v>
      </c>
    </row>
    <row r="597" spans="1:8" x14ac:dyDescent="0.25">
      <c r="A597" s="140" t="s">
        <v>3</v>
      </c>
      <c r="B597" s="141">
        <v>40237</v>
      </c>
      <c r="C597" s="140" t="s">
        <v>25</v>
      </c>
      <c r="D597" s="142">
        <v>14.258064516129032</v>
      </c>
      <c r="E597" s="142">
        <v>1.4437999725341797</v>
      </c>
      <c r="F597" s="142">
        <v>310</v>
      </c>
      <c r="G597" s="115">
        <v>416</v>
      </c>
      <c r="H597" s="115">
        <v>5931</v>
      </c>
    </row>
    <row r="598" spans="1:8" x14ac:dyDescent="0.25">
      <c r="A598" s="140" t="s">
        <v>3</v>
      </c>
      <c r="B598" s="141">
        <v>40237</v>
      </c>
      <c r="C598" s="140" t="s">
        <v>26</v>
      </c>
      <c r="D598" s="142">
        <v>15</v>
      </c>
      <c r="E598" s="142">
        <v>1.4437999725341797</v>
      </c>
      <c r="F598" s="142">
        <v>438</v>
      </c>
      <c r="G598" s="115">
        <v>588</v>
      </c>
      <c r="H598" s="115">
        <v>8675</v>
      </c>
    </row>
    <row r="599" spans="1:8" x14ac:dyDescent="0.25">
      <c r="A599" s="140" t="s">
        <v>3</v>
      </c>
      <c r="B599" s="141">
        <v>40237</v>
      </c>
      <c r="C599" s="140" t="s">
        <v>27</v>
      </c>
      <c r="D599" s="142">
        <v>15</v>
      </c>
      <c r="E599" s="142">
        <v>1.4437999725341797</v>
      </c>
      <c r="F599" s="142">
        <v>104</v>
      </c>
      <c r="G599" s="115">
        <v>140</v>
      </c>
      <c r="H599" s="115">
        <v>2100</v>
      </c>
    </row>
    <row r="600" spans="1:8" x14ac:dyDescent="0.25">
      <c r="A600" s="140" t="s">
        <v>3</v>
      </c>
      <c r="B600" s="141">
        <v>40237</v>
      </c>
      <c r="C600" s="140" t="s">
        <v>28</v>
      </c>
      <c r="D600" s="142">
        <v>15</v>
      </c>
      <c r="E600" s="142">
        <v>1.4437999725341797</v>
      </c>
      <c r="F600" s="142">
        <v>290</v>
      </c>
      <c r="G600" s="115">
        <v>389</v>
      </c>
      <c r="H600" s="115">
        <v>5739</v>
      </c>
    </row>
    <row r="601" spans="1:8" x14ac:dyDescent="0.25">
      <c r="F601">
        <f>SUM(F595:F600)</f>
        <v>1373</v>
      </c>
      <c r="G601" s="115">
        <f>SUM(G595:G600)</f>
        <v>1843</v>
      </c>
      <c r="H601" s="115">
        <f>SUM(H595:H600)</f>
        <v>27069</v>
      </c>
    </row>
    <row r="603" spans="1:8" x14ac:dyDescent="0.25">
      <c r="A603" s="139" t="s">
        <v>9</v>
      </c>
      <c r="B603" s="139" t="s">
        <v>8</v>
      </c>
      <c r="C603" s="139" t="s">
        <v>10</v>
      </c>
      <c r="D603" s="139" t="s">
        <v>11</v>
      </c>
      <c r="E603" s="139" t="s">
        <v>12</v>
      </c>
      <c r="F603" s="139" t="s">
        <v>13</v>
      </c>
      <c r="G603" s="139" t="s">
        <v>14</v>
      </c>
      <c r="H603" s="139" t="s">
        <v>15</v>
      </c>
    </row>
    <row r="604" spans="1:8" x14ac:dyDescent="0.25">
      <c r="A604" s="140" t="s">
        <v>1</v>
      </c>
      <c r="B604" s="141">
        <v>40238</v>
      </c>
      <c r="C604" s="140" t="s">
        <v>29</v>
      </c>
      <c r="D604" s="142">
        <v>13.035714285714286</v>
      </c>
      <c r="E604" s="142">
        <v>1.3900333642959595</v>
      </c>
      <c r="F604" s="142">
        <v>3</v>
      </c>
      <c r="G604" s="115">
        <v>4</v>
      </c>
      <c r="H604" s="115">
        <v>52</v>
      </c>
    </row>
    <row r="605" spans="1:8" x14ac:dyDescent="0.25">
      <c r="A605" s="140" t="s">
        <v>1</v>
      </c>
      <c r="B605" s="141">
        <v>40238</v>
      </c>
      <c r="C605" s="140" t="s">
        <v>30</v>
      </c>
      <c r="D605" s="142">
        <v>15</v>
      </c>
      <c r="E605" s="142">
        <v>1.3900333642959595</v>
      </c>
      <c r="F605" s="142">
        <v>288</v>
      </c>
      <c r="G605" s="115">
        <v>387</v>
      </c>
      <c r="H605" s="115">
        <v>5045</v>
      </c>
    </row>
    <row r="606" spans="1:8" x14ac:dyDescent="0.25">
      <c r="A606" s="140" t="s">
        <v>1</v>
      </c>
      <c r="B606" s="141">
        <v>40238</v>
      </c>
      <c r="C606" s="140" t="s">
        <v>31</v>
      </c>
      <c r="D606" s="142">
        <v>10.666666666666666</v>
      </c>
      <c r="E606" s="142">
        <v>1.3900333642959595</v>
      </c>
      <c r="F606" s="142">
        <v>305</v>
      </c>
      <c r="G606" s="115">
        <v>409</v>
      </c>
      <c r="H606" s="115">
        <v>5332</v>
      </c>
    </row>
    <row r="607" spans="1:8" x14ac:dyDescent="0.25">
      <c r="A607" s="140" t="s">
        <v>1</v>
      </c>
      <c r="B607" s="141">
        <v>40238</v>
      </c>
      <c r="C607" s="140" t="s">
        <v>32</v>
      </c>
      <c r="D607" s="142">
        <v>12.714285714285714</v>
      </c>
      <c r="E607" s="142">
        <v>1.3900333642959595</v>
      </c>
      <c r="F607" s="142">
        <v>146</v>
      </c>
      <c r="G607" s="115">
        <v>196</v>
      </c>
      <c r="H607" s="115">
        <v>2555</v>
      </c>
    </row>
    <row r="608" spans="1:8" x14ac:dyDescent="0.25">
      <c r="F608">
        <f>SUM(F604:F607)</f>
        <v>742</v>
      </c>
      <c r="G608" s="115">
        <f>SUM(G604:G607)</f>
        <v>996</v>
      </c>
      <c r="H608" s="115">
        <f>SUM(H604:H607)</f>
        <v>12984</v>
      </c>
    </row>
    <row r="610" spans="1:8" x14ac:dyDescent="0.25">
      <c r="A610" s="139" t="s">
        <v>9</v>
      </c>
      <c r="B610" s="139" t="s">
        <v>8</v>
      </c>
      <c r="C610" s="139" t="s">
        <v>10</v>
      </c>
      <c r="D610" s="139" t="s">
        <v>11</v>
      </c>
      <c r="E610" s="139" t="s">
        <v>12</v>
      </c>
      <c r="F610" s="139" t="s">
        <v>13</v>
      </c>
      <c r="G610" s="139" t="s">
        <v>14</v>
      </c>
      <c r="H610" s="139" t="s">
        <v>15</v>
      </c>
    </row>
    <row r="611" spans="1:8" x14ac:dyDescent="0.25">
      <c r="A611" s="140" t="s">
        <v>33</v>
      </c>
      <c r="B611" s="141">
        <v>40238</v>
      </c>
      <c r="C611" s="140" t="s">
        <v>34</v>
      </c>
      <c r="D611" s="142">
        <v>0</v>
      </c>
      <c r="E611" s="142">
        <v>1.2603000402450562</v>
      </c>
      <c r="F611" s="142">
        <v>50</v>
      </c>
      <c r="G611" s="115">
        <v>58</v>
      </c>
      <c r="H611" s="115">
        <v>0</v>
      </c>
    </row>
    <row r="612" spans="1:8" x14ac:dyDescent="0.25">
      <c r="A612" s="140" t="s">
        <v>33</v>
      </c>
      <c r="B612" s="141">
        <v>40238</v>
      </c>
      <c r="C612" s="140" t="s">
        <v>35</v>
      </c>
      <c r="D612" s="142">
        <v>0</v>
      </c>
      <c r="E612" s="142">
        <v>1.2603000402450562</v>
      </c>
      <c r="F612" s="142">
        <v>43</v>
      </c>
      <c r="G612" s="115">
        <v>50</v>
      </c>
      <c r="H612" s="115">
        <v>0</v>
      </c>
    </row>
    <row r="613" spans="1:8" x14ac:dyDescent="0.25">
      <c r="A613" s="140" t="s">
        <v>33</v>
      </c>
      <c r="B613" s="141">
        <v>40238</v>
      </c>
      <c r="C613" s="140" t="s">
        <v>36</v>
      </c>
      <c r="D613" s="142">
        <v>3.5</v>
      </c>
      <c r="E613" s="142">
        <v>1.2603000402450562</v>
      </c>
      <c r="F613" s="142">
        <v>89</v>
      </c>
      <c r="G613" s="115">
        <v>104</v>
      </c>
      <c r="H613" s="115">
        <v>364</v>
      </c>
    </row>
    <row r="614" spans="1:8" x14ac:dyDescent="0.25">
      <c r="A614" s="140" t="s">
        <v>33</v>
      </c>
      <c r="B614" s="141">
        <v>40238</v>
      </c>
      <c r="C614" s="140" t="s">
        <v>40</v>
      </c>
      <c r="D614" s="142">
        <v>0.16666666666666666</v>
      </c>
      <c r="E614" s="142">
        <v>1.2603000402450562</v>
      </c>
      <c r="F614" s="142">
        <v>34</v>
      </c>
      <c r="G614" s="115">
        <v>40</v>
      </c>
      <c r="H614" s="115">
        <v>7</v>
      </c>
    </row>
    <row r="615" spans="1:8" x14ac:dyDescent="0.25">
      <c r="A615" s="140" t="s">
        <v>33</v>
      </c>
      <c r="B615" s="141">
        <v>40238</v>
      </c>
      <c r="C615" s="140" t="s">
        <v>37</v>
      </c>
      <c r="D615" s="142">
        <v>6.3636363636363633</v>
      </c>
      <c r="E615" s="142">
        <v>1.2603000402450562</v>
      </c>
      <c r="F615" s="142">
        <v>246</v>
      </c>
      <c r="G615" s="115">
        <v>288</v>
      </c>
      <c r="H615" s="115">
        <v>913</v>
      </c>
    </row>
    <row r="616" spans="1:8" x14ac:dyDescent="0.25">
      <c r="A616" s="140" t="s">
        <v>33</v>
      </c>
      <c r="B616" s="141">
        <v>40238</v>
      </c>
      <c r="C616" s="140" t="s">
        <v>38</v>
      </c>
      <c r="D616" s="142">
        <v>2.75</v>
      </c>
      <c r="E616" s="142">
        <v>1.2603000402450562</v>
      </c>
      <c r="F616" s="142">
        <v>273</v>
      </c>
      <c r="G616" s="115">
        <v>319</v>
      </c>
      <c r="H616" s="115">
        <v>1011</v>
      </c>
    </row>
    <row r="617" spans="1:8" x14ac:dyDescent="0.25">
      <c r="A617" s="140" t="s">
        <v>33</v>
      </c>
      <c r="B617" s="141">
        <v>40238</v>
      </c>
      <c r="C617" s="140" t="s">
        <v>39</v>
      </c>
      <c r="D617" s="142">
        <v>4.3600000000000003</v>
      </c>
      <c r="E617" s="142">
        <v>1.2603000402450562</v>
      </c>
      <c r="F617" s="142">
        <v>472</v>
      </c>
      <c r="G617" s="115">
        <v>552</v>
      </c>
      <c r="H617" s="115">
        <v>2407</v>
      </c>
    </row>
    <row r="618" spans="1:8" x14ac:dyDescent="0.25">
      <c r="F618">
        <f>SUM(F611:F617)</f>
        <v>1207</v>
      </c>
      <c r="G618" s="115">
        <f>SUM(G611:G617)</f>
        <v>1411</v>
      </c>
      <c r="H618" s="115">
        <f>SUM(H611:H617)</f>
        <v>4702</v>
      </c>
    </row>
    <row r="620" spans="1:8" x14ac:dyDescent="0.25">
      <c r="A620" s="153" t="s">
        <v>9</v>
      </c>
      <c r="B620" s="153" t="s">
        <v>8</v>
      </c>
      <c r="C620" s="153" t="s">
        <v>10</v>
      </c>
      <c r="D620" s="153" t="s">
        <v>11</v>
      </c>
      <c r="E620" s="153" t="s">
        <v>12</v>
      </c>
      <c r="F620" s="153" t="s">
        <v>13</v>
      </c>
      <c r="G620" s="153" t="s">
        <v>14</v>
      </c>
      <c r="H620" s="153" t="s">
        <v>15</v>
      </c>
    </row>
    <row r="621" spans="1:8" x14ac:dyDescent="0.25">
      <c r="A621" s="155" t="s">
        <v>4</v>
      </c>
      <c r="B621" s="154">
        <v>40236</v>
      </c>
      <c r="D621">
        <v>2.6261682242990654</v>
      </c>
      <c r="E621" s="150">
        <v>1.381</v>
      </c>
      <c r="F621">
        <v>110</v>
      </c>
      <c r="G621" s="147">
        <v>129.00293650793651</v>
      </c>
      <c r="H621" s="147">
        <v>338.78341269841269</v>
      </c>
    </row>
    <row r="622" spans="1:8" x14ac:dyDescent="0.25">
      <c r="A622" s="155" t="s">
        <v>4</v>
      </c>
      <c r="B622" s="154">
        <v>40237</v>
      </c>
      <c r="D622" s="148">
        <v>14.346153846153847</v>
      </c>
      <c r="E622" s="150">
        <v>1.381</v>
      </c>
      <c r="F622">
        <v>129</v>
      </c>
      <c r="G622" s="147">
        <v>165.42407142857144</v>
      </c>
      <c r="H622" s="147">
        <v>2373.199178571429</v>
      </c>
    </row>
    <row r="625" spans="1:8" x14ac:dyDescent="0.25">
      <c r="A625" s="156" t="s">
        <v>9</v>
      </c>
      <c r="B625" s="156" t="s">
        <v>8</v>
      </c>
      <c r="C625" s="156" t="s">
        <v>10</v>
      </c>
      <c r="D625" s="156" t="s">
        <v>11</v>
      </c>
      <c r="E625" s="156" t="s">
        <v>12</v>
      </c>
      <c r="F625" s="156" t="s">
        <v>13</v>
      </c>
      <c r="G625" s="156" t="s">
        <v>14</v>
      </c>
      <c r="H625" s="156" t="s">
        <v>15</v>
      </c>
    </row>
    <row r="626" spans="1:8" x14ac:dyDescent="0.25">
      <c r="A626" s="157" t="s">
        <v>2</v>
      </c>
      <c r="B626" s="158">
        <v>40264</v>
      </c>
      <c r="C626" s="157" t="s">
        <v>16</v>
      </c>
      <c r="D626" s="159">
        <v>13.841584158415841</v>
      </c>
      <c r="E626" s="159">
        <v>1.4906250238418579</v>
      </c>
      <c r="F626" s="115">
        <v>48</v>
      </c>
      <c r="G626" s="115">
        <v>70</v>
      </c>
      <c r="H626" s="115">
        <v>969</v>
      </c>
    </row>
    <row r="627" spans="1:8" x14ac:dyDescent="0.25">
      <c r="A627" s="157" t="s">
        <v>2</v>
      </c>
      <c r="B627" s="158">
        <v>40264</v>
      </c>
      <c r="C627" s="157" t="s">
        <v>17</v>
      </c>
      <c r="D627" s="159">
        <v>12.724137931034482</v>
      </c>
      <c r="E627" s="159">
        <v>1.4906250238418579</v>
      </c>
      <c r="F627" s="115">
        <v>1073</v>
      </c>
      <c r="G627" s="115">
        <v>1568</v>
      </c>
      <c r="H627" s="115">
        <v>21704</v>
      </c>
    </row>
    <row r="628" spans="1:8" x14ac:dyDescent="0.25">
      <c r="A628" s="157" t="s">
        <v>2</v>
      </c>
      <c r="B628" s="158">
        <v>40264</v>
      </c>
      <c r="C628" s="157" t="s">
        <v>18</v>
      </c>
      <c r="D628" s="159">
        <v>12.695652173913043</v>
      </c>
      <c r="E628" s="159">
        <v>1.4906250238418579</v>
      </c>
      <c r="F628" s="115">
        <v>884</v>
      </c>
      <c r="G628" s="115">
        <v>1292</v>
      </c>
      <c r="H628" s="115">
        <v>17883</v>
      </c>
    </row>
    <row r="629" spans="1:8" x14ac:dyDescent="0.25">
      <c r="A629" s="157" t="s">
        <v>2</v>
      </c>
      <c r="B629" s="158">
        <v>40264</v>
      </c>
      <c r="C629" s="157" t="s">
        <v>19</v>
      </c>
      <c r="D629" s="159">
        <v>15.08</v>
      </c>
      <c r="E629" s="159">
        <v>1.4906250238418579</v>
      </c>
      <c r="F629" s="115">
        <v>684</v>
      </c>
      <c r="G629" s="115">
        <v>1000</v>
      </c>
      <c r="H629" s="115">
        <v>13842</v>
      </c>
    </row>
    <row r="630" spans="1:8" x14ac:dyDescent="0.25">
      <c r="A630" s="157" t="s">
        <v>2</v>
      </c>
      <c r="B630" s="158">
        <v>40264</v>
      </c>
      <c r="C630" s="157" t="s">
        <v>20</v>
      </c>
      <c r="D630" s="159">
        <v>15</v>
      </c>
      <c r="E630" s="159">
        <v>1.4906250238418579</v>
      </c>
      <c r="F630" s="115">
        <v>1518</v>
      </c>
      <c r="G630" s="115">
        <v>2219</v>
      </c>
      <c r="H630" s="115">
        <v>30714</v>
      </c>
    </row>
    <row r="631" spans="1:8" x14ac:dyDescent="0.25">
      <c r="A631" s="157" t="s">
        <v>2</v>
      </c>
      <c r="B631" s="158">
        <v>40264</v>
      </c>
      <c r="C631" s="157" t="s">
        <v>21</v>
      </c>
      <c r="D631" s="159">
        <v>15</v>
      </c>
      <c r="E631" s="159">
        <v>1.4906250238418579</v>
      </c>
      <c r="F631" s="115">
        <v>38</v>
      </c>
      <c r="G631" s="115">
        <v>56</v>
      </c>
      <c r="H631" s="115">
        <v>840</v>
      </c>
    </row>
    <row r="632" spans="1:8" x14ac:dyDescent="0.25">
      <c r="F632" s="20">
        <f>SUM(F626:F631)</f>
        <v>4245</v>
      </c>
      <c r="G632" s="20">
        <f>SUM(G626:G631)</f>
        <v>6205</v>
      </c>
      <c r="H632" s="20">
        <f>SUM(H626:H631)</f>
        <v>85952</v>
      </c>
    </row>
    <row r="634" spans="1:8" x14ac:dyDescent="0.25">
      <c r="A634" s="156" t="s">
        <v>9</v>
      </c>
      <c r="B634" s="156" t="s">
        <v>8</v>
      </c>
      <c r="C634" s="156" t="s">
        <v>10</v>
      </c>
      <c r="D634" s="156" t="s">
        <v>11</v>
      </c>
      <c r="E634" s="156" t="s">
        <v>12</v>
      </c>
      <c r="F634" s="156" t="s">
        <v>13</v>
      </c>
      <c r="G634" s="156" t="s">
        <v>14</v>
      </c>
      <c r="H634" s="156" t="s">
        <v>15</v>
      </c>
    </row>
    <row r="635" spans="1:8" x14ac:dyDescent="0.25">
      <c r="A635" s="157" t="s">
        <v>2</v>
      </c>
      <c r="B635" s="158">
        <v>40265</v>
      </c>
      <c r="C635" s="157" t="s">
        <v>16</v>
      </c>
      <c r="D635" s="159">
        <v>4.3372093023255811</v>
      </c>
      <c r="E635" s="159">
        <v>1.5053499937057495</v>
      </c>
      <c r="F635" s="115">
        <v>0</v>
      </c>
      <c r="G635" s="115">
        <v>0</v>
      </c>
      <c r="H635" s="115">
        <v>0</v>
      </c>
    </row>
    <row r="636" spans="1:8" x14ac:dyDescent="0.25">
      <c r="A636" s="157" t="s">
        <v>2</v>
      </c>
      <c r="B636" s="158">
        <v>40265</v>
      </c>
      <c r="C636" s="157" t="s">
        <v>17</v>
      </c>
      <c r="D636" s="159">
        <v>2.1111111111111112</v>
      </c>
      <c r="E636" s="159">
        <v>1.5053499937057495</v>
      </c>
      <c r="F636" s="115">
        <v>316</v>
      </c>
      <c r="G636" s="115">
        <v>476</v>
      </c>
      <c r="H636" s="115">
        <v>2065</v>
      </c>
    </row>
    <row r="637" spans="1:8" x14ac:dyDescent="0.25">
      <c r="A637" s="157" t="s">
        <v>2</v>
      </c>
      <c r="B637" s="158">
        <v>40265</v>
      </c>
      <c r="C637" s="157" t="s">
        <v>18</v>
      </c>
      <c r="D637" s="159">
        <v>4.096774193548387</v>
      </c>
      <c r="E637" s="159">
        <v>1.5053499937057495</v>
      </c>
      <c r="F637" s="115">
        <v>533</v>
      </c>
      <c r="G637" s="115">
        <v>802</v>
      </c>
      <c r="H637" s="115">
        <v>3286</v>
      </c>
    </row>
    <row r="638" spans="1:8" x14ac:dyDescent="0.25">
      <c r="A638" s="157" t="s">
        <v>2</v>
      </c>
      <c r="B638" s="158">
        <v>40265</v>
      </c>
      <c r="C638" s="157" t="s">
        <v>19</v>
      </c>
      <c r="D638" s="159">
        <v>3.9473684210526314</v>
      </c>
      <c r="E638" s="159">
        <v>1.5053499937057495</v>
      </c>
      <c r="F638" s="115">
        <v>288</v>
      </c>
      <c r="G638" s="115">
        <v>434</v>
      </c>
      <c r="H638" s="115">
        <v>1713</v>
      </c>
    </row>
    <row r="639" spans="1:8" x14ac:dyDescent="0.25">
      <c r="A639" s="157" t="s">
        <v>2</v>
      </c>
      <c r="B639" s="158">
        <v>40265</v>
      </c>
      <c r="C639" s="157" t="s">
        <v>20</v>
      </c>
      <c r="D639" s="159">
        <v>5.6296296296296298</v>
      </c>
      <c r="E639" s="159">
        <v>1.5053499937057495</v>
      </c>
      <c r="F639" s="115">
        <v>914</v>
      </c>
      <c r="G639" s="115">
        <v>1376</v>
      </c>
      <c r="H639" s="115">
        <v>5968</v>
      </c>
    </row>
    <row r="640" spans="1:8" x14ac:dyDescent="0.25">
      <c r="A640" s="157" t="s">
        <v>2</v>
      </c>
      <c r="B640" s="158">
        <v>40265</v>
      </c>
      <c r="C640" s="157" t="s">
        <v>21</v>
      </c>
      <c r="D640" s="159">
        <v>4.3372093023255811</v>
      </c>
      <c r="E640" s="159">
        <v>1.5053499937057495</v>
      </c>
      <c r="F640" s="115">
        <v>6</v>
      </c>
      <c r="G640" s="115">
        <v>9</v>
      </c>
      <c r="H640" s="115">
        <v>39</v>
      </c>
    </row>
    <row r="641" spans="1:8" x14ac:dyDescent="0.25">
      <c r="F641" s="20">
        <f>SUM(F635:F640)</f>
        <v>2057</v>
      </c>
      <c r="G641" s="115">
        <f>SUM(G635:G640)</f>
        <v>3097</v>
      </c>
      <c r="H641" s="115">
        <f>SUM(H635:H640)</f>
        <v>13071</v>
      </c>
    </row>
    <row r="643" spans="1:8" x14ac:dyDescent="0.25">
      <c r="A643" s="156" t="s">
        <v>9</v>
      </c>
      <c r="B643" s="156" t="s">
        <v>8</v>
      </c>
      <c r="C643" s="156" t="s">
        <v>10</v>
      </c>
      <c r="D643" s="156" t="s">
        <v>11</v>
      </c>
      <c r="E643" s="156" t="s">
        <v>12</v>
      </c>
      <c r="F643" s="156" t="s">
        <v>13</v>
      </c>
      <c r="G643" s="156" t="s">
        <v>14</v>
      </c>
      <c r="H643" s="156" t="s">
        <v>15</v>
      </c>
    </row>
    <row r="644" spans="1:8" x14ac:dyDescent="0.25">
      <c r="A644" s="157" t="s">
        <v>3</v>
      </c>
      <c r="B644" s="158">
        <v>40264</v>
      </c>
      <c r="C644" s="157" t="s">
        <v>23</v>
      </c>
      <c r="D644" s="159">
        <v>15</v>
      </c>
      <c r="E644" s="159">
        <v>1.3306750059127808</v>
      </c>
      <c r="F644" s="115">
        <v>171</v>
      </c>
      <c r="G644" s="115">
        <v>224</v>
      </c>
      <c r="H644" s="115">
        <v>3151</v>
      </c>
    </row>
    <row r="645" spans="1:8" x14ac:dyDescent="0.25">
      <c r="A645" s="157" t="s">
        <v>3</v>
      </c>
      <c r="B645" s="158">
        <v>40264</v>
      </c>
      <c r="C645" s="157" t="s">
        <v>24</v>
      </c>
      <c r="D645" s="159">
        <v>15</v>
      </c>
      <c r="E645" s="159">
        <v>1.3306750059127808</v>
      </c>
      <c r="F645" s="115">
        <v>437</v>
      </c>
      <c r="G645" s="115">
        <v>572</v>
      </c>
      <c r="H645" s="115">
        <v>8047</v>
      </c>
    </row>
    <row r="646" spans="1:8" x14ac:dyDescent="0.25">
      <c r="A646" s="157" t="s">
        <v>3</v>
      </c>
      <c r="B646" s="158">
        <v>40264</v>
      </c>
      <c r="C646" s="157" t="s">
        <v>25</v>
      </c>
      <c r="D646" s="159">
        <v>11.181818181818182</v>
      </c>
      <c r="E646" s="159">
        <v>1.3306750059127808</v>
      </c>
      <c r="F646" s="115">
        <v>577</v>
      </c>
      <c r="G646" s="115">
        <v>755</v>
      </c>
      <c r="H646" s="115">
        <v>10621</v>
      </c>
    </row>
    <row r="647" spans="1:8" x14ac:dyDescent="0.25">
      <c r="A647" s="157" t="s">
        <v>3</v>
      </c>
      <c r="B647" s="158">
        <v>40264</v>
      </c>
      <c r="C647" s="157" t="s">
        <v>26</v>
      </c>
      <c r="D647" s="159">
        <v>15</v>
      </c>
      <c r="E647" s="159">
        <v>1.3306750059127808</v>
      </c>
      <c r="F647" s="115">
        <v>1039</v>
      </c>
      <c r="G647" s="115">
        <v>1360</v>
      </c>
      <c r="H647" s="115">
        <v>19132</v>
      </c>
    </row>
    <row r="648" spans="1:8" x14ac:dyDescent="0.25">
      <c r="A648" s="157" t="s">
        <v>3</v>
      </c>
      <c r="B648" s="158">
        <v>40264</v>
      </c>
      <c r="C648" s="157" t="s">
        <v>27</v>
      </c>
      <c r="D648" s="159">
        <v>14.642857142857142</v>
      </c>
      <c r="E648" s="159">
        <v>1.3306750059127808</v>
      </c>
      <c r="F648" s="115">
        <v>453</v>
      </c>
      <c r="G648" s="115">
        <v>593</v>
      </c>
      <c r="H648" s="115">
        <v>8342</v>
      </c>
    </row>
    <row r="649" spans="1:8" x14ac:dyDescent="0.25">
      <c r="A649" s="157" t="s">
        <v>3</v>
      </c>
      <c r="B649" s="158">
        <v>40264</v>
      </c>
      <c r="C649" s="157" t="s">
        <v>28</v>
      </c>
      <c r="D649" s="159">
        <v>14.384615384615385</v>
      </c>
      <c r="E649" s="159">
        <v>1.3306750059127808</v>
      </c>
      <c r="F649" s="115">
        <v>937</v>
      </c>
      <c r="G649" s="115">
        <v>1226</v>
      </c>
      <c r="H649" s="115">
        <v>17247</v>
      </c>
    </row>
    <row r="650" spans="1:8" x14ac:dyDescent="0.25">
      <c r="F650" s="20">
        <f>SUM(F644:F649)</f>
        <v>3614</v>
      </c>
      <c r="G650" s="115">
        <f>SUM(G644:G649)</f>
        <v>4730</v>
      </c>
      <c r="H650" s="115">
        <f>SUM(H644:H649)</f>
        <v>66540</v>
      </c>
    </row>
    <row r="652" spans="1:8" x14ac:dyDescent="0.25">
      <c r="A652" s="156" t="s">
        <v>9</v>
      </c>
      <c r="B652" s="156" t="s">
        <v>8</v>
      </c>
      <c r="C652" s="156" t="s">
        <v>10</v>
      </c>
      <c r="D652" s="156" t="s">
        <v>11</v>
      </c>
      <c r="E652" s="156" t="s">
        <v>12</v>
      </c>
      <c r="F652" s="156" t="s">
        <v>13</v>
      </c>
      <c r="G652" s="156" t="s">
        <v>14</v>
      </c>
      <c r="H652" s="156" t="s">
        <v>15</v>
      </c>
    </row>
    <row r="653" spans="1:8" x14ac:dyDescent="0.25">
      <c r="A653" s="157" t="s">
        <v>3</v>
      </c>
      <c r="B653" s="158">
        <v>40265</v>
      </c>
      <c r="C653" s="157" t="s">
        <v>23</v>
      </c>
      <c r="D653" s="159">
        <v>5.2222222222222223</v>
      </c>
      <c r="E653" s="159">
        <v>1.4526333808898926</v>
      </c>
      <c r="F653" s="115">
        <v>49</v>
      </c>
      <c r="G653" s="115">
        <v>68</v>
      </c>
      <c r="H653" s="115">
        <v>355</v>
      </c>
    </row>
    <row r="654" spans="1:8" x14ac:dyDescent="0.25">
      <c r="A654" s="157" t="s">
        <v>3</v>
      </c>
      <c r="B654" s="158">
        <v>40265</v>
      </c>
      <c r="C654" s="157" t="s">
        <v>24</v>
      </c>
      <c r="D654" s="159">
        <v>14.75</v>
      </c>
      <c r="E654" s="159">
        <v>1.4526333808898926</v>
      </c>
      <c r="F654" s="115">
        <v>200</v>
      </c>
      <c r="G654" s="115">
        <v>279</v>
      </c>
      <c r="H654" s="115">
        <v>4115</v>
      </c>
    </row>
    <row r="655" spans="1:8" x14ac:dyDescent="0.25">
      <c r="A655" s="157" t="s">
        <v>3</v>
      </c>
      <c r="B655" s="158">
        <v>40265</v>
      </c>
      <c r="C655" s="157" t="s">
        <v>25</v>
      </c>
      <c r="D655" s="159">
        <v>0</v>
      </c>
      <c r="E655" s="159">
        <v>1.4526333808898926</v>
      </c>
      <c r="F655" s="115">
        <v>87</v>
      </c>
      <c r="G655" s="115">
        <v>121</v>
      </c>
      <c r="H655" s="115">
        <v>847</v>
      </c>
    </row>
    <row r="656" spans="1:8" x14ac:dyDescent="0.25">
      <c r="A656" s="157" t="s">
        <v>3</v>
      </c>
      <c r="B656" s="158">
        <v>40265</v>
      </c>
      <c r="C656" s="157" t="s">
        <v>26</v>
      </c>
      <c r="D656" s="159">
        <v>9</v>
      </c>
      <c r="E656" s="159">
        <v>1.4526333808898926</v>
      </c>
      <c r="F656" s="115">
        <v>436</v>
      </c>
      <c r="G656" s="115">
        <v>608</v>
      </c>
      <c r="H656" s="115">
        <v>4256</v>
      </c>
    </row>
    <row r="657" spans="1:9" x14ac:dyDescent="0.25">
      <c r="A657" s="157" t="s">
        <v>3</v>
      </c>
      <c r="B657" s="158">
        <v>40265</v>
      </c>
      <c r="C657" s="157" t="s">
        <v>27</v>
      </c>
      <c r="D657" s="159">
        <v>0.1</v>
      </c>
      <c r="E657" s="159">
        <v>1.4526333808898926</v>
      </c>
      <c r="F657" s="115">
        <v>128</v>
      </c>
      <c r="G657" s="115">
        <v>178</v>
      </c>
      <c r="H657" s="115">
        <v>18</v>
      </c>
    </row>
    <row r="658" spans="1:9" x14ac:dyDescent="0.25">
      <c r="A658" s="157" t="s">
        <v>3</v>
      </c>
      <c r="B658" s="158">
        <v>40265</v>
      </c>
      <c r="C658" s="157" t="s">
        <v>28</v>
      </c>
      <c r="D658" s="159">
        <v>5</v>
      </c>
      <c r="E658" s="159">
        <v>1.4526333808898926</v>
      </c>
      <c r="F658" s="115">
        <v>188</v>
      </c>
      <c r="G658" s="115">
        <v>262</v>
      </c>
      <c r="H658" s="115">
        <v>1834</v>
      </c>
    </row>
    <row r="659" spans="1:9" x14ac:dyDescent="0.25">
      <c r="F659" s="115">
        <f>SUM(F653:F658)</f>
        <v>1088</v>
      </c>
      <c r="G659" s="115">
        <f>SUM(G653:G658)</f>
        <v>1516</v>
      </c>
      <c r="H659" s="115">
        <f>SUM(H653:H658)</f>
        <v>11425</v>
      </c>
    </row>
    <row r="660" spans="1:9" x14ac:dyDescent="0.25">
      <c r="A660" s="160"/>
      <c r="B660" s="160"/>
      <c r="C660" s="160"/>
      <c r="D660" s="160"/>
      <c r="E660" s="160"/>
      <c r="F660" s="160"/>
      <c r="G660" s="160"/>
      <c r="H660" s="160"/>
      <c r="I660" s="160"/>
    </row>
    <row r="661" spans="1:9" x14ac:dyDescent="0.25">
      <c r="A661" s="156" t="s">
        <v>9</v>
      </c>
      <c r="B661" s="156" t="s">
        <v>8</v>
      </c>
      <c r="C661" s="156" t="s">
        <v>10</v>
      </c>
      <c r="D661" s="156" t="s">
        <v>11</v>
      </c>
      <c r="E661" s="156" t="s">
        <v>12</v>
      </c>
      <c r="F661" s="156" t="s">
        <v>13</v>
      </c>
      <c r="G661" s="156" t="s">
        <v>14</v>
      </c>
      <c r="H661" s="156" t="s">
        <v>15</v>
      </c>
    </row>
    <row r="662" spans="1:9" x14ac:dyDescent="0.25">
      <c r="A662" s="157" t="s">
        <v>33</v>
      </c>
      <c r="B662" s="158">
        <v>40263</v>
      </c>
      <c r="C662" s="157" t="s">
        <v>34</v>
      </c>
      <c r="D662" s="159">
        <v>14.788461538461538</v>
      </c>
      <c r="E662" s="159">
        <v>1.4973000288009644</v>
      </c>
      <c r="F662" s="159">
        <v>96</v>
      </c>
      <c r="G662" s="115">
        <v>138</v>
      </c>
      <c r="H662" s="115">
        <v>2041</v>
      </c>
    </row>
    <row r="663" spans="1:9" x14ac:dyDescent="0.25">
      <c r="A663" s="157" t="s">
        <v>33</v>
      </c>
      <c r="B663" s="158">
        <v>40263</v>
      </c>
      <c r="C663" s="157" t="s">
        <v>35</v>
      </c>
      <c r="D663" s="159">
        <v>14.788461538461538</v>
      </c>
      <c r="E663" s="159">
        <v>1.4973000288009644</v>
      </c>
      <c r="F663" s="159">
        <v>145</v>
      </c>
      <c r="G663" s="115">
        <v>209</v>
      </c>
      <c r="H663" s="115">
        <v>3091</v>
      </c>
    </row>
    <row r="664" spans="1:9" x14ac:dyDescent="0.25">
      <c r="A664" s="157" t="s">
        <v>33</v>
      </c>
      <c r="B664" s="158">
        <v>40263</v>
      </c>
      <c r="C664" s="157" t="s">
        <v>36</v>
      </c>
      <c r="D664" s="159">
        <v>14.788461538461538</v>
      </c>
      <c r="E664" s="159">
        <v>1.4973000288009644</v>
      </c>
      <c r="F664" s="159">
        <v>226</v>
      </c>
      <c r="G664" s="115">
        <v>326</v>
      </c>
      <c r="H664" s="115">
        <v>4821</v>
      </c>
    </row>
    <row r="665" spans="1:9" x14ac:dyDescent="0.25">
      <c r="A665" s="157" t="s">
        <v>33</v>
      </c>
      <c r="B665" s="158">
        <v>40263</v>
      </c>
      <c r="C665" s="157" t="s">
        <v>40</v>
      </c>
      <c r="D665" s="159">
        <v>14.788461538461538</v>
      </c>
      <c r="E665" s="159">
        <v>1.4973000288009644</v>
      </c>
      <c r="F665" s="159">
        <v>108</v>
      </c>
      <c r="G665" s="115">
        <v>156</v>
      </c>
      <c r="H665" s="115">
        <v>2307</v>
      </c>
    </row>
    <row r="666" spans="1:9" x14ac:dyDescent="0.25">
      <c r="A666" s="157" t="s">
        <v>33</v>
      </c>
      <c r="B666" s="158">
        <v>40263</v>
      </c>
      <c r="C666" s="157" t="s">
        <v>37</v>
      </c>
      <c r="D666" s="159">
        <v>14.576923076923077</v>
      </c>
      <c r="E666" s="159">
        <v>1.4973000288009644</v>
      </c>
      <c r="F666" s="159">
        <v>582</v>
      </c>
      <c r="G666" s="115">
        <v>839</v>
      </c>
      <c r="H666" s="115">
        <v>12408</v>
      </c>
    </row>
    <row r="667" spans="1:9" x14ac:dyDescent="0.25">
      <c r="A667" s="157" t="s">
        <v>33</v>
      </c>
      <c r="B667" s="158">
        <v>40263</v>
      </c>
      <c r="C667" s="157" t="s">
        <v>38</v>
      </c>
      <c r="D667" s="159">
        <v>15</v>
      </c>
      <c r="E667" s="159">
        <v>1.4973000288009644</v>
      </c>
      <c r="F667" s="159">
        <v>801</v>
      </c>
      <c r="G667" s="115">
        <v>1155</v>
      </c>
      <c r="H667" s="115">
        <v>17081</v>
      </c>
    </row>
    <row r="668" spans="1:9" x14ac:dyDescent="0.25">
      <c r="A668" s="157" t="s">
        <v>33</v>
      </c>
      <c r="B668" s="158">
        <v>40263</v>
      </c>
      <c r="C668" s="157" t="s">
        <v>39</v>
      </c>
      <c r="D668" s="159">
        <v>15</v>
      </c>
      <c r="E668" s="159">
        <v>1.4973000288009644</v>
      </c>
      <c r="F668" s="159">
        <v>919</v>
      </c>
      <c r="G668" s="115">
        <v>1325</v>
      </c>
      <c r="H668" s="115">
        <v>19595</v>
      </c>
    </row>
    <row r="669" spans="1:9" x14ac:dyDescent="0.25">
      <c r="F669">
        <f>SUM(F662:F668)</f>
        <v>2877</v>
      </c>
      <c r="G669" s="115">
        <f>SUM(G662:G668)</f>
        <v>4148</v>
      </c>
      <c r="H669" s="115">
        <f>SUM(H662:H668)</f>
        <v>61344</v>
      </c>
    </row>
    <row r="671" spans="1:9" x14ac:dyDescent="0.25">
      <c r="A671" s="156" t="s">
        <v>9</v>
      </c>
      <c r="B671" s="156" t="s">
        <v>8</v>
      </c>
      <c r="C671" s="156" t="s">
        <v>10</v>
      </c>
      <c r="D671" s="156" t="s">
        <v>11</v>
      </c>
      <c r="E671" s="156" t="s">
        <v>12</v>
      </c>
      <c r="F671" s="156" t="s">
        <v>13</v>
      </c>
      <c r="G671" s="156" t="s">
        <v>14</v>
      </c>
      <c r="H671" s="156" t="s">
        <v>15</v>
      </c>
    </row>
    <row r="672" spans="1:9" x14ac:dyDescent="0.25">
      <c r="A672" s="157" t="s">
        <v>33</v>
      </c>
      <c r="B672" s="158">
        <v>40265</v>
      </c>
      <c r="C672" s="157" t="s">
        <v>34</v>
      </c>
      <c r="D672" s="159">
        <v>3.725806451612903</v>
      </c>
      <c r="E672" s="159">
        <v>1.5457500219345093</v>
      </c>
      <c r="F672" s="159">
        <v>74</v>
      </c>
      <c r="G672" s="115">
        <v>103</v>
      </c>
      <c r="H672" s="115">
        <v>384</v>
      </c>
    </row>
    <row r="673" spans="1:8" x14ac:dyDescent="0.25">
      <c r="A673" s="157" t="s">
        <v>33</v>
      </c>
      <c r="B673" s="158">
        <v>40265</v>
      </c>
      <c r="C673" s="157" t="s">
        <v>35</v>
      </c>
      <c r="D673" s="159">
        <v>3.725806451612903</v>
      </c>
      <c r="E673" s="159">
        <v>1.5457500219345093</v>
      </c>
      <c r="F673" s="159">
        <v>112</v>
      </c>
      <c r="G673" s="115">
        <v>156</v>
      </c>
      <c r="H673" s="115">
        <v>581</v>
      </c>
    </row>
    <row r="674" spans="1:8" x14ac:dyDescent="0.25">
      <c r="A674" s="157" t="s">
        <v>33</v>
      </c>
      <c r="B674" s="158">
        <v>40265</v>
      </c>
      <c r="C674" s="157" t="s">
        <v>36</v>
      </c>
      <c r="D674" s="159">
        <v>3.725806451612903</v>
      </c>
      <c r="E674" s="159">
        <v>1.5457500219345093</v>
      </c>
      <c r="F674" s="159">
        <v>175</v>
      </c>
      <c r="G674" s="115">
        <v>243</v>
      </c>
      <c r="H674" s="115">
        <v>905</v>
      </c>
    </row>
    <row r="675" spans="1:8" x14ac:dyDescent="0.25">
      <c r="A675" s="157" t="s">
        <v>33</v>
      </c>
      <c r="B675" s="158">
        <v>40265</v>
      </c>
      <c r="C675" s="157" t="s">
        <v>40</v>
      </c>
      <c r="D675" s="159">
        <v>3.725806451612903</v>
      </c>
      <c r="E675" s="159">
        <v>1.5457500219345093</v>
      </c>
      <c r="F675" s="159">
        <v>83</v>
      </c>
      <c r="G675" s="115">
        <v>115</v>
      </c>
      <c r="H675" s="115">
        <v>428</v>
      </c>
    </row>
    <row r="676" spans="1:8" x14ac:dyDescent="0.25">
      <c r="A676" s="157" t="s">
        <v>33</v>
      </c>
      <c r="B676" s="158">
        <v>40265</v>
      </c>
      <c r="C676" s="157" t="s">
        <v>37</v>
      </c>
      <c r="D676" s="159">
        <v>4.0454545454545459</v>
      </c>
      <c r="E676" s="159">
        <v>1.5457500219345093</v>
      </c>
      <c r="F676" s="159">
        <v>401</v>
      </c>
      <c r="G676" s="115">
        <v>557</v>
      </c>
      <c r="H676" s="115">
        <v>2253</v>
      </c>
    </row>
    <row r="677" spans="1:8" x14ac:dyDescent="0.25">
      <c r="A677" s="157" t="s">
        <v>33</v>
      </c>
      <c r="B677" s="158">
        <v>40265</v>
      </c>
      <c r="C677" s="157" t="s">
        <v>38</v>
      </c>
      <c r="D677" s="159">
        <v>2.0714285714285716</v>
      </c>
      <c r="E677" s="159">
        <v>1.5457500219345093</v>
      </c>
      <c r="F677" s="159">
        <v>419</v>
      </c>
      <c r="G677" s="115">
        <v>582</v>
      </c>
      <c r="H677" s="115">
        <v>2168</v>
      </c>
    </row>
    <row r="678" spans="1:8" x14ac:dyDescent="0.25">
      <c r="A678" s="157" t="s">
        <v>33</v>
      </c>
      <c r="B678" s="158">
        <v>40265</v>
      </c>
      <c r="C678" s="157" t="s">
        <v>39</v>
      </c>
      <c r="D678" s="159">
        <v>4.3461538461538458</v>
      </c>
      <c r="E678" s="159">
        <v>1.5457500219345093</v>
      </c>
      <c r="F678" s="159">
        <v>450</v>
      </c>
      <c r="G678" s="115">
        <v>625</v>
      </c>
      <c r="H678" s="115">
        <v>2716</v>
      </c>
    </row>
    <row r="679" spans="1:8" x14ac:dyDescent="0.25">
      <c r="F679">
        <f>SUM(F672:F678)</f>
        <v>1714</v>
      </c>
      <c r="G679" s="115">
        <f>SUM(G672:G678)</f>
        <v>2381</v>
      </c>
      <c r="H679" s="115">
        <f>SUM(H672:H678)</f>
        <v>9435</v>
      </c>
    </row>
    <row r="681" spans="1:8" x14ac:dyDescent="0.25">
      <c r="A681" s="156" t="s">
        <v>9</v>
      </c>
      <c r="B681" s="156" t="s">
        <v>8</v>
      </c>
      <c r="C681" s="156" t="s">
        <v>10</v>
      </c>
      <c r="D681" s="156" t="s">
        <v>11</v>
      </c>
      <c r="E681" s="156" t="s">
        <v>12</v>
      </c>
      <c r="F681" s="156" t="s">
        <v>13</v>
      </c>
      <c r="G681" s="156" t="s">
        <v>14</v>
      </c>
      <c r="H681" s="156" t="s">
        <v>15</v>
      </c>
    </row>
    <row r="682" spans="1:8" x14ac:dyDescent="0.25">
      <c r="A682" s="157" t="s">
        <v>33</v>
      </c>
      <c r="B682" s="158">
        <v>40266</v>
      </c>
      <c r="C682" s="157" t="s">
        <v>34</v>
      </c>
      <c r="D682" s="159">
        <v>1</v>
      </c>
      <c r="E682" s="159">
        <v>1.4973000288009644</v>
      </c>
      <c r="F682" s="159">
        <v>5</v>
      </c>
      <c r="G682" s="115">
        <v>6</v>
      </c>
      <c r="H682" s="115">
        <v>6</v>
      </c>
    </row>
    <row r="683" spans="1:8" x14ac:dyDescent="0.25">
      <c r="A683" s="157" t="s">
        <v>33</v>
      </c>
      <c r="B683" s="158">
        <v>40266</v>
      </c>
      <c r="C683" s="157" t="s">
        <v>35</v>
      </c>
      <c r="D683" s="159">
        <v>1</v>
      </c>
      <c r="E683" s="159">
        <v>1.4973000288009644</v>
      </c>
      <c r="F683" s="159">
        <v>7</v>
      </c>
      <c r="G683" s="115">
        <v>9</v>
      </c>
      <c r="H683" s="115">
        <v>9</v>
      </c>
    </row>
    <row r="684" spans="1:8" x14ac:dyDescent="0.25">
      <c r="A684" s="157" t="s">
        <v>33</v>
      </c>
      <c r="B684" s="158">
        <v>40266</v>
      </c>
      <c r="C684" s="157" t="s">
        <v>36</v>
      </c>
      <c r="D684" s="159">
        <v>1</v>
      </c>
      <c r="E684" s="159">
        <v>1.4973000288009644</v>
      </c>
      <c r="F684" s="159">
        <v>11</v>
      </c>
      <c r="G684" s="115">
        <v>14</v>
      </c>
      <c r="H684" s="115">
        <v>14</v>
      </c>
    </row>
    <row r="685" spans="1:8" x14ac:dyDescent="0.25">
      <c r="A685" s="157" t="s">
        <v>33</v>
      </c>
      <c r="B685" s="158">
        <v>40266</v>
      </c>
      <c r="C685" s="157" t="s">
        <v>40</v>
      </c>
      <c r="D685" s="159">
        <v>1</v>
      </c>
      <c r="E685" s="159">
        <v>1.4973000288009644</v>
      </c>
      <c r="F685" s="159">
        <v>5</v>
      </c>
      <c r="G685" s="115">
        <v>6</v>
      </c>
      <c r="H685" s="115">
        <v>6</v>
      </c>
    </row>
    <row r="686" spans="1:8" x14ac:dyDescent="0.25">
      <c r="A686" s="157" t="s">
        <v>33</v>
      </c>
      <c r="B686" s="158">
        <v>40266</v>
      </c>
      <c r="C686" s="157" t="s">
        <v>37</v>
      </c>
      <c r="D686" s="159">
        <v>1.8333333333333333</v>
      </c>
      <c r="E686" s="159">
        <v>1.4973000288009644</v>
      </c>
      <c r="F686" s="159">
        <v>28</v>
      </c>
      <c r="G686" s="115">
        <v>36</v>
      </c>
      <c r="H686" s="115">
        <v>66</v>
      </c>
    </row>
    <row r="687" spans="1:8" x14ac:dyDescent="0.25">
      <c r="A687" s="157" t="s">
        <v>33</v>
      </c>
      <c r="B687" s="158">
        <v>40266</v>
      </c>
      <c r="C687" s="157" t="s">
        <v>38</v>
      </c>
      <c r="D687" s="159">
        <v>1</v>
      </c>
      <c r="E687" s="159">
        <v>1.4973000288009644</v>
      </c>
      <c r="F687" s="159">
        <v>58</v>
      </c>
      <c r="G687" s="115">
        <v>74</v>
      </c>
      <c r="H687" s="115">
        <v>74</v>
      </c>
    </row>
    <row r="688" spans="1:8" x14ac:dyDescent="0.25">
      <c r="A688" s="157" t="s">
        <v>33</v>
      </c>
      <c r="B688" s="158">
        <v>40266</v>
      </c>
      <c r="C688" s="157" t="s">
        <v>39</v>
      </c>
      <c r="D688" s="159">
        <v>0.375</v>
      </c>
      <c r="E688" s="159">
        <v>1.4973000288009644</v>
      </c>
      <c r="F688" s="159">
        <v>23</v>
      </c>
      <c r="G688" s="115">
        <v>29</v>
      </c>
      <c r="H688" s="115">
        <v>11</v>
      </c>
    </row>
    <row r="689" spans="1:8" x14ac:dyDescent="0.25">
      <c r="F689">
        <f>SUM(F682:F688)</f>
        <v>137</v>
      </c>
      <c r="G689" s="115">
        <f>SUM(G682:G688)</f>
        <v>174</v>
      </c>
      <c r="H689" s="115">
        <f>SUM(H682:H688)</f>
        <v>186</v>
      </c>
    </row>
    <row r="691" spans="1:8" x14ac:dyDescent="0.25">
      <c r="A691" s="156" t="s">
        <v>9</v>
      </c>
      <c r="B691" s="156" t="s">
        <v>8</v>
      </c>
      <c r="C691" s="156" t="s">
        <v>10</v>
      </c>
      <c r="D691" s="156" t="s">
        <v>11</v>
      </c>
      <c r="E691" s="156" t="s">
        <v>12</v>
      </c>
      <c r="F691" s="156" t="s">
        <v>13</v>
      </c>
      <c r="G691" s="156" t="s">
        <v>14</v>
      </c>
      <c r="H691" s="156" t="s">
        <v>15</v>
      </c>
    </row>
    <row r="692" spans="1:8" x14ac:dyDescent="0.25">
      <c r="A692" s="157" t="s">
        <v>33</v>
      </c>
      <c r="B692" s="158">
        <v>40267</v>
      </c>
      <c r="C692" s="157" t="s">
        <v>34</v>
      </c>
      <c r="D692" s="159">
        <v>5.2666666666666666</v>
      </c>
      <c r="E692" s="159">
        <v>1.4287666082382202</v>
      </c>
      <c r="F692" s="159">
        <v>44</v>
      </c>
      <c r="G692" s="115">
        <v>55</v>
      </c>
      <c r="H692" s="115">
        <v>290</v>
      </c>
    </row>
    <row r="693" spans="1:8" x14ac:dyDescent="0.25">
      <c r="A693" s="157" t="s">
        <v>33</v>
      </c>
      <c r="B693" s="158">
        <v>40267</v>
      </c>
      <c r="C693" s="157" t="s">
        <v>35</v>
      </c>
      <c r="D693" s="159">
        <v>5.2666666666666666</v>
      </c>
      <c r="E693" s="159">
        <v>1.4287666082382202</v>
      </c>
      <c r="F693" s="159">
        <v>67</v>
      </c>
      <c r="G693" s="115">
        <v>84</v>
      </c>
      <c r="H693" s="115">
        <v>442</v>
      </c>
    </row>
    <row r="694" spans="1:8" x14ac:dyDescent="0.25">
      <c r="A694" s="157" t="s">
        <v>33</v>
      </c>
      <c r="B694" s="158">
        <v>40267</v>
      </c>
      <c r="C694" s="157" t="s">
        <v>36</v>
      </c>
      <c r="D694" s="159">
        <v>5.2666666666666666</v>
      </c>
      <c r="E694" s="159">
        <v>1.4287666082382202</v>
      </c>
      <c r="F694" s="159">
        <v>105</v>
      </c>
      <c r="G694" s="115">
        <v>132</v>
      </c>
      <c r="H694" s="115">
        <v>695</v>
      </c>
    </row>
    <row r="695" spans="1:8" x14ac:dyDescent="0.25">
      <c r="A695" s="157" t="s">
        <v>33</v>
      </c>
      <c r="B695" s="158">
        <v>40267</v>
      </c>
      <c r="C695" s="157" t="s">
        <v>40</v>
      </c>
      <c r="D695" s="159">
        <v>5.2666666666666666</v>
      </c>
      <c r="E695" s="159">
        <v>1.4287666082382202</v>
      </c>
      <c r="F695" s="159">
        <v>50</v>
      </c>
      <c r="G695" s="115">
        <v>63</v>
      </c>
      <c r="H695" s="115">
        <v>332</v>
      </c>
    </row>
    <row r="696" spans="1:8" x14ac:dyDescent="0.25">
      <c r="A696" s="157" t="s">
        <v>33</v>
      </c>
      <c r="B696" s="158">
        <v>40267</v>
      </c>
      <c r="C696" s="157" t="s">
        <v>37</v>
      </c>
      <c r="D696" s="159">
        <v>7.25</v>
      </c>
      <c r="E696" s="159">
        <v>1.4287666082382202</v>
      </c>
      <c r="F696" s="159">
        <v>284</v>
      </c>
      <c r="G696" s="115">
        <v>358</v>
      </c>
      <c r="H696" s="115">
        <v>1885</v>
      </c>
    </row>
    <row r="697" spans="1:8" x14ac:dyDescent="0.25">
      <c r="A697" s="157" t="s">
        <v>33</v>
      </c>
      <c r="B697" s="158">
        <v>40267</v>
      </c>
      <c r="C697" s="157" t="s">
        <v>38</v>
      </c>
      <c r="D697" s="159">
        <v>5.75</v>
      </c>
      <c r="E697" s="159">
        <v>1.4287666082382202</v>
      </c>
      <c r="F697" s="159">
        <v>249</v>
      </c>
      <c r="G697" s="115">
        <v>314</v>
      </c>
      <c r="H697" s="115">
        <v>1654</v>
      </c>
    </row>
    <row r="698" spans="1:8" x14ac:dyDescent="0.25">
      <c r="A698" s="157" t="s">
        <v>33</v>
      </c>
      <c r="B698" s="158">
        <v>40267</v>
      </c>
      <c r="C698" s="157" t="s">
        <v>39</v>
      </c>
      <c r="D698" s="159">
        <v>3.8571428571428572</v>
      </c>
      <c r="E698" s="159">
        <v>1.4287666082382202</v>
      </c>
      <c r="F698" s="159">
        <v>529</v>
      </c>
      <c r="G698" s="115">
        <v>667</v>
      </c>
      <c r="H698" s="115">
        <v>3513</v>
      </c>
    </row>
    <row r="699" spans="1:8" x14ac:dyDescent="0.25">
      <c r="F699">
        <f>SUM(F692:F698)</f>
        <v>1328</v>
      </c>
      <c r="G699" s="115">
        <f>SUM(G692:G698)</f>
        <v>1673</v>
      </c>
      <c r="H699" s="115">
        <f>SUM(H692:H698)</f>
        <v>8811</v>
      </c>
    </row>
    <row r="701" spans="1:8" x14ac:dyDescent="0.25">
      <c r="A701" s="156" t="s">
        <v>9</v>
      </c>
      <c r="B701" s="156" t="s">
        <v>8</v>
      </c>
      <c r="C701" s="156" t="s">
        <v>10</v>
      </c>
      <c r="D701" s="156" t="s">
        <v>11</v>
      </c>
      <c r="E701" s="156" t="s">
        <v>12</v>
      </c>
      <c r="F701" s="156" t="s">
        <v>13</v>
      </c>
      <c r="G701" s="156" t="s">
        <v>14</v>
      </c>
      <c r="H701" s="156" t="s">
        <v>15</v>
      </c>
    </row>
    <row r="702" spans="1:8" x14ac:dyDescent="0.25">
      <c r="A702" s="157" t="s">
        <v>33</v>
      </c>
      <c r="B702" s="158">
        <v>40268</v>
      </c>
      <c r="C702" s="157" t="s">
        <v>34</v>
      </c>
      <c r="D702" s="159">
        <v>12.019607843137255</v>
      </c>
      <c r="E702" s="159">
        <v>1.4287666082382202</v>
      </c>
      <c r="F702" s="159">
        <v>55</v>
      </c>
      <c r="G702" s="115">
        <v>77</v>
      </c>
      <c r="H702" s="115">
        <v>926</v>
      </c>
    </row>
    <row r="703" spans="1:8" x14ac:dyDescent="0.25">
      <c r="A703" s="157" t="s">
        <v>33</v>
      </c>
      <c r="B703" s="158">
        <v>40268</v>
      </c>
      <c r="C703" s="157" t="s">
        <v>35</v>
      </c>
      <c r="D703" s="159">
        <v>12.019607843137255</v>
      </c>
      <c r="E703" s="159">
        <v>1.4287666082382202</v>
      </c>
      <c r="F703" s="159">
        <v>83</v>
      </c>
      <c r="G703" s="115">
        <v>116</v>
      </c>
      <c r="H703" s="115">
        <v>1394</v>
      </c>
    </row>
    <row r="704" spans="1:8" x14ac:dyDescent="0.25">
      <c r="A704" s="157" t="s">
        <v>33</v>
      </c>
      <c r="B704" s="158">
        <v>40268</v>
      </c>
      <c r="C704" s="157" t="s">
        <v>36</v>
      </c>
      <c r="D704" s="159">
        <v>12.019607843137255</v>
      </c>
      <c r="E704" s="159">
        <v>1.4287666082382202</v>
      </c>
      <c r="F704" s="159">
        <v>130</v>
      </c>
      <c r="G704" s="115">
        <v>182</v>
      </c>
      <c r="H704" s="115">
        <v>2188</v>
      </c>
    </row>
    <row r="705" spans="1:8" x14ac:dyDescent="0.25">
      <c r="A705" s="157" t="s">
        <v>33</v>
      </c>
      <c r="B705" s="158">
        <v>40268</v>
      </c>
      <c r="C705" s="157" t="s">
        <v>40</v>
      </c>
      <c r="D705" s="159">
        <v>12.019607843137255</v>
      </c>
      <c r="E705" s="159">
        <v>1.4287666082382202</v>
      </c>
      <c r="F705" s="159">
        <v>62</v>
      </c>
      <c r="G705" s="115">
        <v>87</v>
      </c>
      <c r="H705" s="115">
        <v>1046</v>
      </c>
    </row>
    <row r="706" spans="1:8" x14ac:dyDescent="0.25">
      <c r="A706" s="157" t="s">
        <v>33</v>
      </c>
      <c r="B706" s="158">
        <v>40268</v>
      </c>
      <c r="C706" s="157" t="s">
        <v>37</v>
      </c>
      <c r="D706" s="159">
        <v>11.157894736842104</v>
      </c>
      <c r="E706" s="159">
        <v>1.4287666082382202</v>
      </c>
      <c r="F706" s="159">
        <v>347</v>
      </c>
      <c r="G706" s="115">
        <v>486</v>
      </c>
      <c r="H706" s="115">
        <v>5423</v>
      </c>
    </row>
    <row r="707" spans="1:8" x14ac:dyDescent="0.25">
      <c r="A707" s="157" t="s">
        <v>33</v>
      </c>
      <c r="B707" s="158">
        <v>40268</v>
      </c>
      <c r="C707" s="157" t="s">
        <v>38</v>
      </c>
      <c r="D707" s="159">
        <v>11.466666666666667</v>
      </c>
      <c r="E707" s="159">
        <v>1.4287666082382202</v>
      </c>
      <c r="F707" s="159">
        <v>326</v>
      </c>
      <c r="G707" s="115">
        <v>457</v>
      </c>
      <c r="H707" s="115">
        <v>5493</v>
      </c>
    </row>
    <row r="708" spans="1:8" x14ac:dyDescent="0.25">
      <c r="A708" s="157" t="s">
        <v>33</v>
      </c>
      <c r="B708" s="158">
        <v>40268</v>
      </c>
      <c r="C708" s="157" t="s">
        <v>39</v>
      </c>
      <c r="D708" s="159">
        <v>13.470588235294118</v>
      </c>
      <c r="E708" s="159">
        <v>1.4287666082382202</v>
      </c>
      <c r="F708" s="159">
        <v>652</v>
      </c>
      <c r="G708" s="115">
        <v>914</v>
      </c>
      <c r="H708" s="115">
        <v>10986</v>
      </c>
    </row>
    <row r="709" spans="1:8" x14ac:dyDescent="0.25">
      <c r="F709">
        <f>SUM(F702:F708)</f>
        <v>1655</v>
      </c>
      <c r="G709" s="115">
        <f>SUM(G702:G708)</f>
        <v>2319</v>
      </c>
      <c r="H709" s="115">
        <f>SUM(H702:H708)</f>
        <v>27456</v>
      </c>
    </row>
    <row r="711" spans="1:8" x14ac:dyDescent="0.25">
      <c r="A711" s="156" t="s">
        <v>9</v>
      </c>
      <c r="B711" s="156" t="s">
        <v>8</v>
      </c>
      <c r="C711" s="156" t="s">
        <v>10</v>
      </c>
      <c r="D711" s="156" t="s">
        <v>11</v>
      </c>
      <c r="E711" s="156" t="s">
        <v>12</v>
      </c>
      <c r="F711" s="156" t="s">
        <v>13</v>
      </c>
      <c r="G711" s="156" t="s">
        <v>14</v>
      </c>
      <c r="H711" s="156" t="s">
        <v>15</v>
      </c>
    </row>
    <row r="712" spans="1:8" x14ac:dyDescent="0.25">
      <c r="A712" s="157" t="s">
        <v>1</v>
      </c>
      <c r="B712" s="158">
        <v>40263</v>
      </c>
      <c r="C712" s="157" t="s">
        <v>29</v>
      </c>
      <c r="D712" s="159">
        <v>14.814814814814815</v>
      </c>
      <c r="E712" s="159">
        <v>1.3792999982833862</v>
      </c>
      <c r="F712" s="159">
        <v>0</v>
      </c>
      <c r="G712" s="115">
        <v>0</v>
      </c>
      <c r="H712" s="115">
        <v>0</v>
      </c>
    </row>
    <row r="713" spans="1:8" x14ac:dyDescent="0.25">
      <c r="A713" s="157" t="s">
        <v>1</v>
      </c>
      <c r="B713" s="158">
        <v>40263</v>
      </c>
      <c r="C713" s="157" t="s">
        <v>30</v>
      </c>
      <c r="D713" s="159">
        <v>14.642857142857142</v>
      </c>
      <c r="E713" s="159">
        <v>1.3792999982833862</v>
      </c>
      <c r="F713" s="159">
        <v>254</v>
      </c>
      <c r="G713" s="115">
        <v>350</v>
      </c>
      <c r="H713" s="115">
        <v>5125</v>
      </c>
    </row>
    <row r="714" spans="1:8" x14ac:dyDescent="0.25">
      <c r="A714" s="157" t="s">
        <v>1</v>
      </c>
      <c r="B714" s="158">
        <v>40263</v>
      </c>
      <c r="C714" s="157" t="s">
        <v>31</v>
      </c>
      <c r="D714" s="159">
        <v>15</v>
      </c>
      <c r="E714" s="159">
        <v>1.3792999982833862</v>
      </c>
      <c r="F714" s="159">
        <v>372</v>
      </c>
      <c r="G714" s="115">
        <v>513</v>
      </c>
      <c r="H714" s="115">
        <v>7600</v>
      </c>
    </row>
    <row r="715" spans="1:8" x14ac:dyDescent="0.25">
      <c r="A715" s="157" t="s">
        <v>1</v>
      </c>
      <c r="B715" s="158">
        <v>40263</v>
      </c>
      <c r="C715" s="157" t="s">
        <v>32</v>
      </c>
      <c r="D715" s="159">
        <v>15</v>
      </c>
      <c r="E715" s="159">
        <v>1.3792999982833862</v>
      </c>
      <c r="F715" s="159">
        <v>210</v>
      </c>
      <c r="G715" s="115">
        <v>290</v>
      </c>
      <c r="H715" s="115">
        <v>4296</v>
      </c>
    </row>
    <row r="716" spans="1:8" x14ac:dyDescent="0.25">
      <c r="G716" s="115">
        <f>SUM(G712:G715)</f>
        <v>1153</v>
      </c>
      <c r="H716" s="115">
        <f>SUM(H712:H715)</f>
        <v>17021</v>
      </c>
    </row>
    <row r="718" spans="1:8" x14ac:dyDescent="0.25">
      <c r="A718" s="156" t="s">
        <v>9</v>
      </c>
      <c r="B718" s="156" t="s">
        <v>8</v>
      </c>
      <c r="C718" s="156" t="s">
        <v>10</v>
      </c>
      <c r="D718" s="156" t="s">
        <v>11</v>
      </c>
      <c r="E718" s="156" t="s">
        <v>12</v>
      </c>
      <c r="F718" s="156" t="s">
        <v>13</v>
      </c>
      <c r="G718" s="156" t="s">
        <v>14</v>
      </c>
      <c r="H718" s="156" t="s">
        <v>15</v>
      </c>
    </row>
    <row r="719" spans="1:8" x14ac:dyDescent="0.25">
      <c r="A719" s="157" t="s">
        <v>1</v>
      </c>
      <c r="B719" s="158">
        <v>40264</v>
      </c>
      <c r="C719" s="157" t="s">
        <v>29</v>
      </c>
      <c r="D719" s="159">
        <v>14.734177215189874</v>
      </c>
      <c r="E719" s="159">
        <v>1.3792999982833862</v>
      </c>
      <c r="F719" s="159">
        <v>48</v>
      </c>
      <c r="G719" s="115">
        <v>62</v>
      </c>
      <c r="H719" s="115">
        <v>914</v>
      </c>
    </row>
    <row r="720" spans="1:8" x14ac:dyDescent="0.25">
      <c r="A720" s="157" t="s">
        <v>1</v>
      </c>
      <c r="B720" s="158">
        <v>40264</v>
      </c>
      <c r="C720" s="157" t="s">
        <v>30</v>
      </c>
      <c r="D720" s="159">
        <v>15</v>
      </c>
      <c r="E720" s="159">
        <v>1.3792999982833862</v>
      </c>
      <c r="F720" s="159">
        <v>1106</v>
      </c>
      <c r="G720" s="115">
        <v>1435</v>
      </c>
      <c r="H720" s="115">
        <v>21144</v>
      </c>
    </row>
    <row r="721" spans="1:8" x14ac:dyDescent="0.25">
      <c r="A721" s="157" t="s">
        <v>1</v>
      </c>
      <c r="B721" s="158">
        <v>40264</v>
      </c>
      <c r="C721" s="157" t="s">
        <v>31</v>
      </c>
      <c r="D721" s="159">
        <v>14.25</v>
      </c>
      <c r="E721" s="159">
        <v>1.3792999982833862</v>
      </c>
      <c r="F721" s="159">
        <v>973</v>
      </c>
      <c r="G721" s="115">
        <v>1262</v>
      </c>
      <c r="H721" s="115">
        <v>18595</v>
      </c>
    </row>
    <row r="722" spans="1:8" x14ac:dyDescent="0.25">
      <c r="A722" s="157" t="s">
        <v>1</v>
      </c>
      <c r="B722" s="158">
        <v>40264</v>
      </c>
      <c r="C722" s="157" t="s">
        <v>32</v>
      </c>
      <c r="D722" s="159">
        <v>15</v>
      </c>
      <c r="E722" s="159">
        <v>1.3792999982833862</v>
      </c>
      <c r="F722" s="159">
        <v>674</v>
      </c>
      <c r="G722" s="115">
        <v>874</v>
      </c>
      <c r="H722" s="115">
        <v>12878</v>
      </c>
    </row>
    <row r="723" spans="1:8" x14ac:dyDescent="0.25">
      <c r="F723" s="115">
        <f>SUM(F719:F722)</f>
        <v>2801</v>
      </c>
      <c r="G723" s="115">
        <f>SUM(G719:G722)</f>
        <v>3633</v>
      </c>
      <c r="H723" s="115">
        <f>SUM(H719:H722)</f>
        <v>53531</v>
      </c>
    </row>
    <row r="725" spans="1:8" x14ac:dyDescent="0.25">
      <c r="A725" s="156" t="s">
        <v>9</v>
      </c>
      <c r="B725" s="156" t="s">
        <v>8</v>
      </c>
      <c r="C725" s="156" t="s">
        <v>10</v>
      </c>
      <c r="D725" s="156" t="s">
        <v>11</v>
      </c>
      <c r="E725" s="156" t="s">
        <v>12</v>
      </c>
      <c r="F725" s="156" t="s">
        <v>13</v>
      </c>
      <c r="G725" s="156" t="s">
        <v>14</v>
      </c>
      <c r="H725" s="156" t="s">
        <v>15</v>
      </c>
    </row>
    <row r="726" spans="1:8" x14ac:dyDescent="0.25">
      <c r="A726" s="157" t="s">
        <v>1</v>
      </c>
      <c r="B726" s="158">
        <v>40266</v>
      </c>
      <c r="C726" s="157" t="s">
        <v>29</v>
      </c>
      <c r="D726" s="159">
        <v>0</v>
      </c>
      <c r="E726" s="159">
        <v>1.1000000238418579</v>
      </c>
      <c r="F726" s="159">
        <v>0</v>
      </c>
      <c r="G726" s="115">
        <v>0</v>
      </c>
      <c r="H726" s="115">
        <v>0</v>
      </c>
    </row>
    <row r="727" spans="1:8" x14ac:dyDescent="0.25">
      <c r="A727" s="157" t="s">
        <v>1</v>
      </c>
      <c r="B727" s="158">
        <v>40266</v>
      </c>
      <c r="C727" s="157" t="s">
        <v>30</v>
      </c>
      <c r="D727" s="159">
        <v>0</v>
      </c>
      <c r="E727" s="159">
        <v>1.1000000238418579</v>
      </c>
      <c r="F727" s="159">
        <v>29</v>
      </c>
      <c r="G727" s="115">
        <v>32</v>
      </c>
      <c r="H727" s="115">
        <v>0</v>
      </c>
    </row>
    <row r="728" spans="1:8" x14ac:dyDescent="0.25">
      <c r="A728" s="157" t="s">
        <v>1</v>
      </c>
      <c r="B728" s="158">
        <v>40266</v>
      </c>
      <c r="C728" s="157" t="s">
        <v>31</v>
      </c>
      <c r="D728" s="159">
        <v>0</v>
      </c>
      <c r="E728" s="159">
        <v>1.1000000238418579</v>
      </c>
      <c r="F728" s="159">
        <v>49</v>
      </c>
      <c r="G728" s="115">
        <v>54</v>
      </c>
      <c r="H728" s="115">
        <v>0</v>
      </c>
    </row>
    <row r="729" spans="1:8" x14ac:dyDescent="0.25">
      <c r="A729" s="157" t="s">
        <v>1</v>
      </c>
      <c r="B729" s="158">
        <v>40266</v>
      </c>
      <c r="C729" s="157" t="s">
        <v>32</v>
      </c>
      <c r="D729" s="159">
        <v>0</v>
      </c>
      <c r="E729" s="159">
        <v>1.1000000238418579</v>
      </c>
      <c r="F729" s="159">
        <v>5</v>
      </c>
      <c r="G729" s="115">
        <v>6</v>
      </c>
      <c r="H729" s="115">
        <v>0</v>
      </c>
    </row>
    <row r="730" spans="1:8" x14ac:dyDescent="0.25">
      <c r="F730" s="115">
        <f>SUM(F726:F729)</f>
        <v>83</v>
      </c>
      <c r="G730" s="115">
        <f>SUM(G726:G729)</f>
        <v>92</v>
      </c>
      <c r="H730" s="115">
        <f>SUM(H726:H729)</f>
        <v>0</v>
      </c>
    </row>
    <row r="732" spans="1:8" x14ac:dyDescent="0.25">
      <c r="A732" s="156" t="s">
        <v>9</v>
      </c>
      <c r="B732" s="156" t="s">
        <v>8</v>
      </c>
      <c r="C732" s="156" t="s">
        <v>10</v>
      </c>
      <c r="D732" s="156" t="s">
        <v>11</v>
      </c>
      <c r="E732" s="156" t="s">
        <v>12</v>
      </c>
      <c r="F732" s="156" t="s">
        <v>13</v>
      </c>
      <c r="G732" s="156" t="s">
        <v>14</v>
      </c>
      <c r="H732" s="156" t="s">
        <v>15</v>
      </c>
    </row>
    <row r="733" spans="1:8" x14ac:dyDescent="0.25">
      <c r="A733" s="157" t="s">
        <v>1</v>
      </c>
      <c r="B733" s="158">
        <v>40268</v>
      </c>
      <c r="C733" s="157" t="s">
        <v>29</v>
      </c>
      <c r="D733" s="159">
        <v>15</v>
      </c>
      <c r="E733" s="159">
        <v>1.3792999982833862</v>
      </c>
      <c r="F733" s="159">
        <v>0</v>
      </c>
      <c r="G733" s="115">
        <v>0</v>
      </c>
      <c r="H733" s="115">
        <v>0</v>
      </c>
    </row>
    <row r="734" spans="1:8" x14ac:dyDescent="0.25">
      <c r="A734" s="157" t="s">
        <v>1</v>
      </c>
      <c r="B734" s="158">
        <v>40268</v>
      </c>
      <c r="C734" s="157" t="s">
        <v>30</v>
      </c>
      <c r="D734" s="159">
        <v>15</v>
      </c>
      <c r="E734" s="159">
        <v>1.3792999982833862</v>
      </c>
      <c r="F734" s="159">
        <v>296</v>
      </c>
      <c r="G734" s="115">
        <v>408</v>
      </c>
      <c r="H734" s="115">
        <v>6120</v>
      </c>
    </row>
    <row r="735" spans="1:8" x14ac:dyDescent="0.25">
      <c r="A735" s="157" t="s">
        <v>1</v>
      </c>
      <c r="B735" s="158">
        <v>40268</v>
      </c>
      <c r="C735" s="157" t="s">
        <v>31</v>
      </c>
      <c r="D735" s="159">
        <v>15</v>
      </c>
      <c r="E735" s="159">
        <v>1.3792999982833862</v>
      </c>
      <c r="F735" s="159">
        <v>258</v>
      </c>
      <c r="G735" s="115">
        <v>356</v>
      </c>
      <c r="H735" s="115">
        <v>5340</v>
      </c>
    </row>
    <row r="736" spans="1:8" x14ac:dyDescent="0.25">
      <c r="A736" s="157" t="s">
        <v>1</v>
      </c>
      <c r="B736" s="158">
        <v>40268</v>
      </c>
      <c r="C736" s="157" t="s">
        <v>32</v>
      </c>
      <c r="D736" s="159">
        <v>15</v>
      </c>
      <c r="E736" s="159">
        <v>1.3792999982833862</v>
      </c>
      <c r="F736" s="159">
        <v>163</v>
      </c>
      <c r="G736" s="115">
        <v>225</v>
      </c>
      <c r="H736" s="115">
        <v>3375</v>
      </c>
    </row>
    <row r="737" spans="1:8" x14ac:dyDescent="0.25">
      <c r="F737" s="115">
        <f>SUM(F733:F736)</f>
        <v>717</v>
      </c>
      <c r="G737" s="115">
        <f>SUM(G733:G736)</f>
        <v>989</v>
      </c>
      <c r="H737" s="115">
        <f>SUM(H733:H736)</f>
        <v>14835</v>
      </c>
    </row>
    <row r="739" spans="1:8" x14ac:dyDescent="0.25">
      <c r="A739" s="156" t="s">
        <v>9</v>
      </c>
      <c r="B739" s="156" t="s">
        <v>8</v>
      </c>
      <c r="C739" s="156" t="s">
        <v>10</v>
      </c>
      <c r="D739" s="156" t="s">
        <v>11</v>
      </c>
      <c r="E739" s="156" t="s">
        <v>12</v>
      </c>
      <c r="F739" s="156" t="s">
        <v>13</v>
      </c>
      <c r="G739" s="156" t="s">
        <v>14</v>
      </c>
      <c r="H739" s="156" t="s">
        <v>15</v>
      </c>
    </row>
    <row r="740" spans="1:8" x14ac:dyDescent="0.25">
      <c r="A740" s="157" t="s">
        <v>33</v>
      </c>
      <c r="B740" s="158">
        <v>40269</v>
      </c>
      <c r="C740" s="157" t="s">
        <v>34</v>
      </c>
      <c r="D740" s="159">
        <v>10.370967741935484</v>
      </c>
      <c r="E740" s="159">
        <v>1.4696667194366455</v>
      </c>
      <c r="F740" s="159">
        <v>26</v>
      </c>
      <c r="G740" s="115">
        <v>38</v>
      </c>
      <c r="H740" s="115">
        <v>394</v>
      </c>
    </row>
    <row r="741" spans="1:8" x14ac:dyDescent="0.25">
      <c r="A741" s="157" t="s">
        <v>33</v>
      </c>
      <c r="B741" s="158">
        <v>40269</v>
      </c>
      <c r="C741" s="157" t="s">
        <v>35</v>
      </c>
      <c r="D741" s="159">
        <v>1</v>
      </c>
      <c r="E741" s="159">
        <v>1.4696667194366455</v>
      </c>
      <c r="F741" s="159">
        <v>103</v>
      </c>
      <c r="G741" s="115">
        <v>149</v>
      </c>
      <c r="H741" s="115">
        <v>1545</v>
      </c>
    </row>
    <row r="742" spans="1:8" x14ac:dyDescent="0.25">
      <c r="A742" s="157" t="s">
        <v>33</v>
      </c>
      <c r="B742" s="158">
        <v>40269</v>
      </c>
      <c r="C742" s="157" t="s">
        <v>36</v>
      </c>
      <c r="D742" s="159">
        <v>8.4166666666666661</v>
      </c>
      <c r="E742" s="159">
        <v>1.4696667194366455</v>
      </c>
      <c r="F742" s="159">
        <v>143</v>
      </c>
      <c r="G742" s="115">
        <v>207</v>
      </c>
      <c r="H742" s="115">
        <v>1742</v>
      </c>
    </row>
    <row r="743" spans="1:8" x14ac:dyDescent="0.25">
      <c r="A743" s="157" t="s">
        <v>33</v>
      </c>
      <c r="B743" s="158">
        <v>40269</v>
      </c>
      <c r="C743" s="157" t="s">
        <v>40</v>
      </c>
      <c r="D743" s="159">
        <v>0.5</v>
      </c>
      <c r="E743" s="159">
        <v>1.4696667194366455</v>
      </c>
      <c r="F743" s="159">
        <v>42</v>
      </c>
      <c r="G743" s="115">
        <v>61</v>
      </c>
      <c r="H743" s="115">
        <v>633</v>
      </c>
    </row>
    <row r="744" spans="1:8" x14ac:dyDescent="0.25">
      <c r="A744" s="157" t="s">
        <v>33</v>
      </c>
      <c r="B744" s="158">
        <v>40269</v>
      </c>
      <c r="C744" s="157" t="s">
        <v>37</v>
      </c>
      <c r="D744" s="159">
        <v>11.727272727272727</v>
      </c>
      <c r="E744" s="159">
        <v>1.4696667194366455</v>
      </c>
      <c r="F744" s="159">
        <v>424</v>
      </c>
      <c r="G744" s="115">
        <v>613</v>
      </c>
      <c r="H744" s="115">
        <v>7189</v>
      </c>
    </row>
    <row r="745" spans="1:8" x14ac:dyDescent="0.25">
      <c r="A745" s="157" t="s">
        <v>33</v>
      </c>
      <c r="B745" s="158">
        <v>40269</v>
      </c>
      <c r="C745" s="157" t="s">
        <v>38</v>
      </c>
      <c r="D745" s="159">
        <v>12.3</v>
      </c>
      <c r="E745" s="159">
        <v>1.4696667194366455</v>
      </c>
      <c r="F745" s="159">
        <v>544</v>
      </c>
      <c r="G745" s="115">
        <v>787</v>
      </c>
      <c r="H745" s="115">
        <v>8162</v>
      </c>
    </row>
    <row r="746" spans="1:8" x14ac:dyDescent="0.25">
      <c r="A746" s="157" t="s">
        <v>33</v>
      </c>
      <c r="B746" s="158">
        <v>40269</v>
      </c>
      <c r="C746" s="157" t="s">
        <v>39</v>
      </c>
      <c r="D746" s="159">
        <v>11.285714285714286</v>
      </c>
      <c r="E746" s="159">
        <v>1.4696667194366455</v>
      </c>
      <c r="F746" s="159">
        <v>647</v>
      </c>
      <c r="G746" s="115">
        <v>936</v>
      </c>
      <c r="H746" s="115">
        <v>9707</v>
      </c>
    </row>
    <row r="747" spans="1:8" x14ac:dyDescent="0.25">
      <c r="F747" s="115">
        <f>SUM(F740:F746)</f>
        <v>1929</v>
      </c>
      <c r="G747" s="115">
        <f>SUM(G740:G746)</f>
        <v>2791</v>
      </c>
      <c r="H747" s="115">
        <f>SUM(H740:H746)</f>
        <v>29372</v>
      </c>
    </row>
    <row r="749" spans="1:8" x14ac:dyDescent="0.25">
      <c r="A749" s="156" t="s">
        <v>9</v>
      </c>
      <c r="B749" s="156" t="s">
        <v>8</v>
      </c>
      <c r="C749" s="156" t="s">
        <v>10</v>
      </c>
      <c r="D749" s="156" t="s">
        <v>11</v>
      </c>
      <c r="E749" s="156" t="s">
        <v>12</v>
      </c>
      <c r="F749" s="156" t="s">
        <v>13</v>
      </c>
      <c r="G749" s="156" t="s">
        <v>14</v>
      </c>
      <c r="H749" s="156" t="s">
        <v>15</v>
      </c>
    </row>
    <row r="750" spans="1:8" x14ac:dyDescent="0.25">
      <c r="A750" s="157" t="s">
        <v>33</v>
      </c>
      <c r="B750" s="158">
        <v>40284</v>
      </c>
      <c r="C750" s="157" t="s">
        <v>34</v>
      </c>
      <c r="D750" s="159">
        <v>14.722222222222221</v>
      </c>
      <c r="E750" s="159">
        <v>1.4434750080108643</v>
      </c>
      <c r="F750" s="159">
        <v>58</v>
      </c>
      <c r="G750" s="115">
        <v>82</v>
      </c>
      <c r="H750" s="115">
        <v>1207</v>
      </c>
    </row>
    <row r="751" spans="1:8" x14ac:dyDescent="0.25">
      <c r="A751" s="157" t="s">
        <v>33</v>
      </c>
      <c r="B751" s="158">
        <v>40284</v>
      </c>
      <c r="C751" s="157" t="s">
        <v>35</v>
      </c>
      <c r="D751" s="159">
        <v>14.722222222222221</v>
      </c>
      <c r="E751" s="159">
        <v>1.4434750080108643</v>
      </c>
      <c r="F751" s="159">
        <v>111</v>
      </c>
      <c r="G751" s="115">
        <v>157</v>
      </c>
      <c r="H751" s="115">
        <v>2311</v>
      </c>
    </row>
    <row r="752" spans="1:8" x14ac:dyDescent="0.25">
      <c r="A752" s="157" t="s">
        <v>33</v>
      </c>
      <c r="B752" s="158">
        <v>40284</v>
      </c>
      <c r="C752" s="157" t="s">
        <v>36</v>
      </c>
      <c r="D752" s="159">
        <v>14.722222222222221</v>
      </c>
      <c r="E752" s="159">
        <v>1.4434750080108643</v>
      </c>
      <c r="F752" s="159">
        <v>176</v>
      </c>
      <c r="G752" s="115">
        <v>249</v>
      </c>
      <c r="H752" s="115">
        <v>3666</v>
      </c>
    </row>
    <row r="753" spans="1:8" x14ac:dyDescent="0.25">
      <c r="A753" s="157" t="s">
        <v>33</v>
      </c>
      <c r="B753" s="158">
        <v>40284</v>
      </c>
      <c r="C753" s="157" t="s">
        <v>40</v>
      </c>
      <c r="D753" s="159">
        <v>14.722222222222221</v>
      </c>
      <c r="E753" s="159">
        <v>1.4434750080108643</v>
      </c>
      <c r="F753" s="159">
        <v>58</v>
      </c>
      <c r="G753" s="115">
        <v>82</v>
      </c>
      <c r="H753" s="115">
        <v>1207</v>
      </c>
    </row>
    <row r="754" spans="1:8" x14ac:dyDescent="0.25">
      <c r="A754" s="157" t="s">
        <v>33</v>
      </c>
      <c r="B754" s="158">
        <v>40284</v>
      </c>
      <c r="C754" s="157" t="s">
        <v>37</v>
      </c>
      <c r="D754" s="159">
        <v>14.210526315789474</v>
      </c>
      <c r="E754" s="159">
        <v>1.4434750080108643</v>
      </c>
      <c r="F754" s="159">
        <v>512</v>
      </c>
      <c r="G754" s="115">
        <v>726</v>
      </c>
      <c r="H754" s="115">
        <v>10688</v>
      </c>
    </row>
    <row r="755" spans="1:8" x14ac:dyDescent="0.25">
      <c r="A755" s="157" t="s">
        <v>33</v>
      </c>
      <c r="B755" s="158">
        <v>40284</v>
      </c>
      <c r="C755" s="157" t="s">
        <v>38</v>
      </c>
      <c r="D755" s="159">
        <v>15</v>
      </c>
      <c r="E755" s="159">
        <v>1.4434750080108643</v>
      </c>
      <c r="F755" s="159">
        <v>743</v>
      </c>
      <c r="G755" s="115">
        <v>1053</v>
      </c>
      <c r="H755" s="115">
        <v>15502</v>
      </c>
    </row>
    <row r="756" spans="1:8" x14ac:dyDescent="0.25">
      <c r="A756" s="157" t="s">
        <v>33</v>
      </c>
      <c r="B756" s="158">
        <v>40284</v>
      </c>
      <c r="C756" s="157" t="s">
        <v>39</v>
      </c>
      <c r="D756" s="159">
        <v>15</v>
      </c>
      <c r="E756" s="159">
        <v>1.4434750080108643</v>
      </c>
      <c r="F756" s="159">
        <v>720</v>
      </c>
      <c r="G756" s="115">
        <v>1020</v>
      </c>
      <c r="H756" s="115">
        <v>15017</v>
      </c>
    </row>
    <row r="757" spans="1:8" x14ac:dyDescent="0.25">
      <c r="F757" s="115">
        <f>SUM(F750:F756)</f>
        <v>2378</v>
      </c>
      <c r="G757" s="115">
        <f>SUM(G750:G756)</f>
        <v>3369</v>
      </c>
      <c r="H757" s="115">
        <f>SUM(H750:H756)</f>
        <v>49598</v>
      </c>
    </row>
    <row r="759" spans="1:8" x14ac:dyDescent="0.25">
      <c r="A759" s="156" t="s">
        <v>9</v>
      </c>
      <c r="B759" s="156" t="s">
        <v>8</v>
      </c>
      <c r="C759" s="156" t="s">
        <v>10</v>
      </c>
      <c r="D759" s="156" t="s">
        <v>11</v>
      </c>
      <c r="E759" s="156" t="s">
        <v>12</v>
      </c>
      <c r="F759" s="156" t="s">
        <v>13</v>
      </c>
      <c r="G759" s="156" t="s">
        <v>14</v>
      </c>
      <c r="H759" s="156" t="s">
        <v>15</v>
      </c>
    </row>
    <row r="760" spans="1:8" x14ac:dyDescent="0.25">
      <c r="A760" s="157" t="s">
        <v>1</v>
      </c>
      <c r="B760" s="158">
        <v>40284</v>
      </c>
      <c r="C760" s="157" t="s">
        <v>29</v>
      </c>
      <c r="D760" s="159">
        <v>14.60655737704918</v>
      </c>
      <c r="E760" s="159">
        <v>1.4631999731063843</v>
      </c>
      <c r="F760" s="159">
        <v>0</v>
      </c>
      <c r="G760" s="115">
        <v>0</v>
      </c>
      <c r="H760" s="115">
        <v>0</v>
      </c>
    </row>
    <row r="761" spans="1:8" x14ac:dyDescent="0.25">
      <c r="A761" s="157" t="s">
        <v>1</v>
      </c>
      <c r="B761" s="158">
        <v>40284</v>
      </c>
      <c r="C761" s="157" t="s">
        <v>30</v>
      </c>
      <c r="D761" s="159">
        <v>15</v>
      </c>
      <c r="E761" s="159">
        <v>1.4631999731063843</v>
      </c>
      <c r="F761" s="159">
        <v>412</v>
      </c>
      <c r="G761" s="115">
        <v>593</v>
      </c>
      <c r="H761" s="115">
        <v>8662</v>
      </c>
    </row>
    <row r="762" spans="1:8" x14ac:dyDescent="0.25">
      <c r="A762" s="157" t="s">
        <v>1</v>
      </c>
      <c r="B762" s="158">
        <v>40284</v>
      </c>
      <c r="C762" s="157" t="s">
        <v>31</v>
      </c>
      <c r="D762" s="159">
        <v>14.333333333333334</v>
      </c>
      <c r="E762" s="159">
        <v>1.4631999731063843</v>
      </c>
      <c r="F762" s="159">
        <v>527</v>
      </c>
      <c r="G762" s="115">
        <v>759</v>
      </c>
      <c r="H762" s="115">
        <v>10879</v>
      </c>
    </row>
    <row r="763" spans="1:8" x14ac:dyDescent="0.25">
      <c r="A763" s="157" t="s">
        <v>1</v>
      </c>
      <c r="B763" s="158">
        <v>40284</v>
      </c>
      <c r="C763" s="157" t="s">
        <v>32</v>
      </c>
      <c r="D763" s="159">
        <v>15</v>
      </c>
      <c r="E763" s="159">
        <v>1.4631999731063843</v>
      </c>
      <c r="F763" s="159">
        <v>317</v>
      </c>
      <c r="G763" s="115">
        <v>456</v>
      </c>
      <c r="H763" s="115">
        <v>6661</v>
      </c>
    </row>
    <row r="764" spans="1:8" x14ac:dyDescent="0.25">
      <c r="F764" s="115">
        <f>SUM(F760:F763)</f>
        <v>1256</v>
      </c>
      <c r="G764" s="115">
        <f>SUM(G760:G763)</f>
        <v>1808</v>
      </c>
      <c r="H764" s="115">
        <f>SUM(H760:H763)</f>
        <v>26202</v>
      </c>
    </row>
    <row r="766" spans="1:8" x14ac:dyDescent="0.25">
      <c r="A766" s="156" t="s">
        <v>9</v>
      </c>
      <c r="B766" s="156" t="s">
        <v>8</v>
      </c>
      <c r="C766" s="156" t="s">
        <v>10</v>
      </c>
      <c r="D766" s="156" t="s">
        <v>11</v>
      </c>
      <c r="E766" s="156" t="s">
        <v>12</v>
      </c>
      <c r="F766" s="156" t="s">
        <v>13</v>
      </c>
      <c r="G766" s="156" t="s">
        <v>14</v>
      </c>
      <c r="H766" s="156" t="s">
        <v>15</v>
      </c>
    </row>
    <row r="767" spans="1:8" x14ac:dyDescent="0.25">
      <c r="A767" s="157" t="s">
        <v>1</v>
      </c>
      <c r="B767" s="158">
        <v>40285</v>
      </c>
      <c r="C767" s="157" t="s">
        <v>29</v>
      </c>
      <c r="D767" s="159">
        <v>15</v>
      </c>
      <c r="E767" s="159">
        <v>3</v>
      </c>
      <c r="F767" s="159">
        <v>94</v>
      </c>
      <c r="G767" s="159">
        <v>282</v>
      </c>
      <c r="H767" s="159">
        <v>4230</v>
      </c>
    </row>
    <row r="768" spans="1:8" x14ac:dyDescent="0.25">
      <c r="A768" s="157" t="s">
        <v>1</v>
      </c>
      <c r="B768" s="158">
        <v>40285</v>
      </c>
      <c r="C768" s="157" t="s">
        <v>30</v>
      </c>
      <c r="D768" s="159">
        <v>15</v>
      </c>
      <c r="E768" s="159">
        <v>3</v>
      </c>
      <c r="F768" s="159">
        <v>382</v>
      </c>
      <c r="G768" s="159">
        <v>1146</v>
      </c>
      <c r="H768" s="159">
        <v>17190</v>
      </c>
    </row>
    <row r="769" spans="1:8" x14ac:dyDescent="0.25">
      <c r="A769" s="157" t="s">
        <v>1</v>
      </c>
      <c r="B769" s="158">
        <v>40285</v>
      </c>
      <c r="C769" s="157" t="s">
        <v>31</v>
      </c>
      <c r="D769" s="159">
        <v>14.434782608695652</v>
      </c>
      <c r="E769" s="159">
        <v>3</v>
      </c>
      <c r="F769" s="159">
        <v>644</v>
      </c>
      <c r="G769" s="159">
        <v>1932</v>
      </c>
      <c r="H769" s="159">
        <v>28306</v>
      </c>
    </row>
    <row r="770" spans="1:8" x14ac:dyDescent="0.25">
      <c r="A770" s="157" t="s">
        <v>1</v>
      </c>
      <c r="B770" s="158">
        <v>40285</v>
      </c>
      <c r="C770" s="157" t="s">
        <v>32</v>
      </c>
      <c r="D770" s="159">
        <v>14.227272727272727</v>
      </c>
      <c r="E770" s="159">
        <v>3</v>
      </c>
      <c r="F770" s="159">
        <v>595</v>
      </c>
      <c r="G770" s="159">
        <v>1785</v>
      </c>
      <c r="H770" s="159">
        <v>26152</v>
      </c>
    </row>
    <row r="771" spans="1:8" x14ac:dyDescent="0.25">
      <c r="F771" s="115">
        <f>SUM(F767:F770)</f>
        <v>1715</v>
      </c>
      <c r="G771" s="115">
        <f>SUM(G767:G770)</f>
        <v>5145</v>
      </c>
      <c r="H771" s="115">
        <f>SUM(H767:H770)</f>
        <v>75878</v>
      </c>
    </row>
    <row r="773" spans="1:8" x14ac:dyDescent="0.25">
      <c r="A773" s="156" t="s">
        <v>9</v>
      </c>
      <c r="B773" s="156" t="s">
        <v>8</v>
      </c>
      <c r="C773" s="156" t="s">
        <v>10</v>
      </c>
      <c r="D773" s="156" t="s">
        <v>11</v>
      </c>
      <c r="E773" s="156" t="s">
        <v>12</v>
      </c>
      <c r="F773" s="156" t="s">
        <v>13</v>
      </c>
      <c r="G773" s="156" t="s">
        <v>14</v>
      </c>
      <c r="H773" s="156" t="s">
        <v>15</v>
      </c>
    </row>
    <row r="774" spans="1:8" x14ac:dyDescent="0.25">
      <c r="A774" s="157" t="s">
        <v>1</v>
      </c>
      <c r="B774" s="158">
        <v>40286</v>
      </c>
      <c r="C774" s="157" t="s">
        <v>29</v>
      </c>
      <c r="D774" s="159">
        <v>14.96551724137931</v>
      </c>
      <c r="E774" s="159">
        <v>1.4816000461578369</v>
      </c>
      <c r="F774" s="159">
        <v>0</v>
      </c>
      <c r="G774" s="115">
        <v>0</v>
      </c>
      <c r="H774" s="115">
        <v>0</v>
      </c>
    </row>
    <row r="775" spans="1:8" x14ac:dyDescent="0.25">
      <c r="A775" s="157" t="s">
        <v>1</v>
      </c>
      <c r="B775" s="158">
        <v>40286</v>
      </c>
      <c r="C775" s="157" t="s">
        <v>30</v>
      </c>
      <c r="D775" s="159">
        <v>14.923076923076923</v>
      </c>
      <c r="E775" s="159">
        <v>1.4816000461578369</v>
      </c>
      <c r="F775" s="159">
        <v>1317</v>
      </c>
      <c r="G775" s="115">
        <v>1951</v>
      </c>
      <c r="H775" s="115">
        <v>29198</v>
      </c>
    </row>
    <row r="776" spans="1:8" x14ac:dyDescent="0.25">
      <c r="A776" s="157" t="s">
        <v>1</v>
      </c>
      <c r="B776" s="158">
        <v>40286</v>
      </c>
      <c r="C776" s="157" t="s">
        <v>31</v>
      </c>
      <c r="D776" s="159">
        <v>15</v>
      </c>
      <c r="E776" s="159">
        <v>1.4816000461578369</v>
      </c>
      <c r="F776" s="159">
        <v>1248</v>
      </c>
      <c r="G776" s="115">
        <v>1849</v>
      </c>
      <c r="H776" s="115">
        <v>27671</v>
      </c>
    </row>
    <row r="777" spans="1:8" x14ac:dyDescent="0.25">
      <c r="A777" s="157" t="s">
        <v>1</v>
      </c>
      <c r="B777" s="158">
        <v>40286</v>
      </c>
      <c r="C777" s="157" t="s">
        <v>32</v>
      </c>
      <c r="D777" s="159">
        <v>15</v>
      </c>
      <c r="E777" s="159">
        <v>1.4816000461578369</v>
      </c>
      <c r="F777" s="159">
        <v>1026</v>
      </c>
      <c r="G777" s="115">
        <v>1520</v>
      </c>
      <c r="H777" s="115">
        <v>22748</v>
      </c>
    </row>
    <row r="778" spans="1:8" x14ac:dyDescent="0.25">
      <c r="F778" s="115">
        <f>SUM(F774:F777)</f>
        <v>3591</v>
      </c>
      <c r="G778" s="115">
        <f>SUM(G774:G777)</f>
        <v>5320</v>
      </c>
      <c r="H778" s="115">
        <f>SUM(H774:H777)</f>
        <v>79617</v>
      </c>
    </row>
    <row r="780" spans="1:8" x14ac:dyDescent="0.25">
      <c r="A780" s="156" t="s">
        <v>9</v>
      </c>
      <c r="B780" s="156" t="s">
        <v>8</v>
      </c>
      <c r="C780" s="156" t="s">
        <v>10</v>
      </c>
      <c r="D780" s="156" t="s">
        <v>11</v>
      </c>
      <c r="E780" s="156" t="s">
        <v>12</v>
      </c>
      <c r="F780" s="156" t="s">
        <v>13</v>
      </c>
      <c r="G780" s="156" t="s">
        <v>14</v>
      </c>
      <c r="H780" s="156" t="s">
        <v>15</v>
      </c>
    </row>
    <row r="781" spans="1:8" x14ac:dyDescent="0.25">
      <c r="A781" s="157" t="s">
        <v>33</v>
      </c>
      <c r="B781" s="158">
        <v>40285</v>
      </c>
      <c r="C781" s="157" t="s">
        <v>34</v>
      </c>
      <c r="D781" s="159">
        <v>14.606060606060606</v>
      </c>
      <c r="E781" s="159">
        <v>1.4709000587463379</v>
      </c>
      <c r="F781" s="159">
        <v>124</v>
      </c>
      <c r="G781" s="115">
        <v>177</v>
      </c>
      <c r="H781" s="115">
        <v>2585</v>
      </c>
    </row>
    <row r="782" spans="1:8" x14ac:dyDescent="0.25">
      <c r="A782" s="157" t="s">
        <v>33</v>
      </c>
      <c r="B782" s="158">
        <v>40285</v>
      </c>
      <c r="C782" s="157" t="s">
        <v>35</v>
      </c>
      <c r="D782" s="159">
        <v>14.606060606060606</v>
      </c>
      <c r="E782" s="159">
        <v>1.4709000587463379</v>
      </c>
      <c r="F782" s="159">
        <v>239</v>
      </c>
      <c r="G782" s="115">
        <v>341</v>
      </c>
      <c r="H782" s="115">
        <v>4981</v>
      </c>
    </row>
    <row r="783" spans="1:8" x14ac:dyDescent="0.25">
      <c r="A783" s="157" t="s">
        <v>33</v>
      </c>
      <c r="B783" s="158">
        <v>40285</v>
      </c>
      <c r="C783" s="157" t="s">
        <v>36</v>
      </c>
      <c r="D783" s="159">
        <v>14.606060606060606</v>
      </c>
      <c r="E783" s="159">
        <v>1.4709000587463379</v>
      </c>
      <c r="F783" s="159">
        <v>379</v>
      </c>
      <c r="G783" s="115">
        <v>541</v>
      </c>
      <c r="H783" s="115">
        <v>7902</v>
      </c>
    </row>
    <row r="784" spans="1:8" x14ac:dyDescent="0.25">
      <c r="A784" s="157" t="s">
        <v>33</v>
      </c>
      <c r="B784" s="158">
        <v>40285</v>
      </c>
      <c r="C784" s="157" t="s">
        <v>40</v>
      </c>
      <c r="D784" s="159">
        <v>14.606060606060606</v>
      </c>
      <c r="E784" s="159">
        <v>1.4709000587463379</v>
      </c>
      <c r="F784" s="159">
        <v>124</v>
      </c>
      <c r="G784" s="115">
        <v>177</v>
      </c>
      <c r="H784" s="115">
        <v>2585</v>
      </c>
    </row>
    <row r="785" spans="1:8" x14ac:dyDescent="0.25">
      <c r="A785" s="157" t="s">
        <v>33</v>
      </c>
      <c r="B785" s="158">
        <v>40285</v>
      </c>
      <c r="C785" s="157" t="s">
        <v>37</v>
      </c>
      <c r="D785" s="159">
        <v>14.636363636363637</v>
      </c>
      <c r="E785" s="159">
        <v>1.4709000587463379</v>
      </c>
      <c r="F785" s="159">
        <v>1200</v>
      </c>
      <c r="G785" s="115">
        <v>1713</v>
      </c>
      <c r="H785" s="115">
        <v>25020</v>
      </c>
    </row>
    <row r="786" spans="1:8" x14ac:dyDescent="0.25">
      <c r="A786" s="157" t="s">
        <v>33</v>
      </c>
      <c r="B786" s="158">
        <v>40285</v>
      </c>
      <c r="C786" s="157" t="s">
        <v>38</v>
      </c>
      <c r="D786" s="159">
        <v>14.357142857142858</v>
      </c>
      <c r="E786" s="159">
        <v>1.4709000587463379</v>
      </c>
      <c r="F786" s="159">
        <v>1392</v>
      </c>
      <c r="G786" s="115">
        <v>1987</v>
      </c>
      <c r="H786" s="115">
        <v>29022</v>
      </c>
    </row>
    <row r="787" spans="1:8" x14ac:dyDescent="0.25">
      <c r="A787" s="157" t="s">
        <v>33</v>
      </c>
      <c r="B787" s="158">
        <v>40285</v>
      </c>
      <c r="C787" s="157" t="s">
        <v>39</v>
      </c>
      <c r="D787" s="159">
        <v>15</v>
      </c>
      <c r="E787" s="159">
        <v>1.4709000587463379</v>
      </c>
      <c r="F787" s="159">
        <v>1659</v>
      </c>
      <c r="G787" s="115">
        <v>2368</v>
      </c>
      <c r="H787" s="115">
        <v>34587</v>
      </c>
    </row>
    <row r="788" spans="1:8" x14ac:dyDescent="0.25">
      <c r="F788" s="115">
        <f>SUM(F781:F787)</f>
        <v>5117</v>
      </c>
      <c r="G788" s="115">
        <f>SUM(G781:G787)</f>
        <v>7304</v>
      </c>
      <c r="H788" s="115">
        <f>SUM(H781:H787)</f>
        <v>106682</v>
      </c>
    </row>
    <row r="790" spans="1:8" x14ac:dyDescent="0.25">
      <c r="A790" s="156" t="s">
        <v>9</v>
      </c>
      <c r="B790" s="156" t="s">
        <v>8</v>
      </c>
      <c r="C790" s="156" t="s">
        <v>10</v>
      </c>
      <c r="D790" s="156" t="s">
        <v>11</v>
      </c>
      <c r="E790" s="156" t="s">
        <v>12</v>
      </c>
      <c r="F790" s="156" t="s">
        <v>13</v>
      </c>
      <c r="G790" s="156" t="s">
        <v>14</v>
      </c>
      <c r="H790" s="156" t="s">
        <v>15</v>
      </c>
    </row>
    <row r="791" spans="1:8" x14ac:dyDescent="0.25">
      <c r="A791" s="157" t="s">
        <v>33</v>
      </c>
      <c r="B791" s="158">
        <v>40286</v>
      </c>
      <c r="C791" s="157" t="s">
        <v>34</v>
      </c>
      <c r="D791" s="159">
        <v>14.1</v>
      </c>
      <c r="E791" s="159">
        <v>1.4442000389099121</v>
      </c>
      <c r="F791" s="159">
        <v>121</v>
      </c>
      <c r="G791" s="115">
        <v>159</v>
      </c>
      <c r="H791" s="115">
        <v>2242</v>
      </c>
    </row>
    <row r="792" spans="1:8" x14ac:dyDescent="0.25">
      <c r="A792" s="157" t="s">
        <v>33</v>
      </c>
      <c r="B792" s="158">
        <v>40286</v>
      </c>
      <c r="C792" s="157" t="s">
        <v>35</v>
      </c>
      <c r="D792" s="159">
        <v>14.1</v>
      </c>
      <c r="E792" s="159">
        <v>1.4442000389099121</v>
      </c>
      <c r="F792" s="159">
        <v>233</v>
      </c>
      <c r="G792" s="115">
        <v>306</v>
      </c>
      <c r="H792" s="115">
        <v>4315</v>
      </c>
    </row>
    <row r="793" spans="1:8" x14ac:dyDescent="0.25">
      <c r="A793" s="157" t="s">
        <v>33</v>
      </c>
      <c r="B793" s="158">
        <v>40286</v>
      </c>
      <c r="C793" s="157" t="s">
        <v>36</v>
      </c>
      <c r="D793" s="159">
        <v>14.1</v>
      </c>
      <c r="E793" s="159">
        <v>1.4442000389099121</v>
      </c>
      <c r="F793" s="159">
        <v>371</v>
      </c>
      <c r="G793" s="115">
        <v>487</v>
      </c>
      <c r="H793" s="115">
        <v>6867</v>
      </c>
    </row>
    <row r="794" spans="1:8" x14ac:dyDescent="0.25">
      <c r="A794" s="157" t="s">
        <v>33</v>
      </c>
      <c r="B794" s="158">
        <v>40286</v>
      </c>
      <c r="C794" s="157" t="s">
        <v>40</v>
      </c>
      <c r="D794" s="159">
        <v>14.1</v>
      </c>
      <c r="E794" s="159">
        <v>1.4442000389099121</v>
      </c>
      <c r="F794" s="159">
        <v>121</v>
      </c>
      <c r="G794" s="115">
        <v>159</v>
      </c>
      <c r="H794" s="115">
        <v>2242</v>
      </c>
    </row>
    <row r="795" spans="1:8" x14ac:dyDescent="0.25">
      <c r="A795" s="157" t="s">
        <v>33</v>
      </c>
      <c r="B795" s="158">
        <v>40286</v>
      </c>
      <c r="C795" s="157" t="s">
        <v>37</v>
      </c>
      <c r="D795" s="159">
        <v>13.142857142857142</v>
      </c>
      <c r="E795" s="159">
        <v>1.4442000389099121</v>
      </c>
      <c r="F795" s="159">
        <v>1113</v>
      </c>
      <c r="G795" s="115">
        <v>1461</v>
      </c>
      <c r="H795" s="115">
        <v>20600</v>
      </c>
    </row>
    <row r="796" spans="1:8" x14ac:dyDescent="0.25">
      <c r="A796" s="157" t="s">
        <v>33</v>
      </c>
      <c r="B796" s="158">
        <v>40286</v>
      </c>
      <c r="C796" s="157" t="s">
        <v>38</v>
      </c>
      <c r="D796" s="159">
        <v>14.657142857142857</v>
      </c>
      <c r="E796" s="159">
        <v>1.4442000389099121</v>
      </c>
      <c r="F796" s="159">
        <v>1377</v>
      </c>
      <c r="G796" s="115">
        <v>1808</v>
      </c>
      <c r="H796" s="115">
        <v>25493</v>
      </c>
    </row>
    <row r="797" spans="1:8" x14ac:dyDescent="0.25">
      <c r="A797" s="157" t="s">
        <v>33</v>
      </c>
      <c r="B797" s="158">
        <v>40286</v>
      </c>
      <c r="C797" s="157" t="s">
        <v>39</v>
      </c>
      <c r="D797" s="159">
        <v>15</v>
      </c>
      <c r="E797" s="159">
        <v>1.4442000389099121</v>
      </c>
      <c r="F797" s="159">
        <v>1664</v>
      </c>
      <c r="G797" s="115">
        <v>2185</v>
      </c>
      <c r="H797" s="115">
        <v>30808</v>
      </c>
    </row>
    <row r="798" spans="1:8" x14ac:dyDescent="0.25">
      <c r="F798" s="115">
        <f>SUM(F791:F797)</f>
        <v>5000</v>
      </c>
      <c r="G798" s="115">
        <f>SUM(G791:G797)</f>
        <v>6565</v>
      </c>
      <c r="H798" s="115">
        <f>SUM(H791:H797)</f>
        <v>92567</v>
      </c>
    </row>
    <row r="800" spans="1:8" x14ac:dyDescent="0.25">
      <c r="A800" s="156" t="s">
        <v>9</v>
      </c>
      <c r="B800" s="156" t="s">
        <v>8</v>
      </c>
      <c r="C800" s="156" t="s">
        <v>10</v>
      </c>
      <c r="D800" s="156" t="s">
        <v>11</v>
      </c>
      <c r="E800" s="156" t="s">
        <v>12</v>
      </c>
      <c r="F800" s="156" t="s">
        <v>13</v>
      </c>
      <c r="G800" s="156" t="s">
        <v>14</v>
      </c>
      <c r="H800" s="156" t="s">
        <v>15</v>
      </c>
    </row>
    <row r="801" spans="1:8" x14ac:dyDescent="0.25">
      <c r="A801" s="157" t="s">
        <v>3</v>
      </c>
      <c r="B801" s="158">
        <v>40298</v>
      </c>
      <c r="C801" s="157" t="s">
        <v>23</v>
      </c>
      <c r="D801" s="159">
        <v>15</v>
      </c>
      <c r="E801" s="159">
        <v>1.3981750011444092</v>
      </c>
      <c r="F801" s="159">
        <v>52</v>
      </c>
      <c r="G801" s="115">
        <v>71</v>
      </c>
      <c r="H801" s="115">
        <v>1065</v>
      </c>
    </row>
    <row r="802" spans="1:8" x14ac:dyDescent="0.25">
      <c r="A802" s="157" t="s">
        <v>3</v>
      </c>
      <c r="B802" s="158">
        <v>40298</v>
      </c>
      <c r="C802" s="157" t="s">
        <v>24</v>
      </c>
      <c r="D802" s="159">
        <v>15</v>
      </c>
      <c r="E802" s="159">
        <v>1.3981750011444092</v>
      </c>
      <c r="F802" s="159">
        <v>120</v>
      </c>
      <c r="G802" s="115">
        <v>165</v>
      </c>
      <c r="H802" s="115">
        <v>2475</v>
      </c>
    </row>
    <row r="803" spans="1:8" x14ac:dyDescent="0.25">
      <c r="A803" s="157" t="s">
        <v>3</v>
      </c>
      <c r="B803" s="158">
        <v>40298</v>
      </c>
      <c r="C803" s="157" t="s">
        <v>25</v>
      </c>
      <c r="D803" s="159">
        <v>15</v>
      </c>
      <c r="E803" s="159">
        <v>1.3981750011444092</v>
      </c>
      <c r="F803" s="159">
        <v>213</v>
      </c>
      <c r="G803" s="115">
        <v>293</v>
      </c>
      <c r="H803" s="115">
        <v>4364</v>
      </c>
    </row>
    <row r="804" spans="1:8" x14ac:dyDescent="0.25">
      <c r="A804" s="157" t="s">
        <v>3</v>
      </c>
      <c r="B804" s="158">
        <v>40298</v>
      </c>
      <c r="C804" s="157" t="s">
        <v>26</v>
      </c>
      <c r="D804" s="159">
        <v>15</v>
      </c>
      <c r="E804" s="159">
        <v>1.3981750011444092</v>
      </c>
      <c r="F804" s="159">
        <v>308</v>
      </c>
      <c r="G804" s="115">
        <v>423</v>
      </c>
      <c r="H804" s="115">
        <v>6300</v>
      </c>
    </row>
    <row r="805" spans="1:8" x14ac:dyDescent="0.25">
      <c r="A805" s="157" t="s">
        <v>3</v>
      </c>
      <c r="B805" s="158">
        <v>40298</v>
      </c>
      <c r="C805" s="157" t="s">
        <v>27</v>
      </c>
      <c r="D805" s="159">
        <v>14.357142857142858</v>
      </c>
      <c r="E805" s="159">
        <v>1.3981750011444092</v>
      </c>
      <c r="F805" s="159">
        <v>100</v>
      </c>
      <c r="G805" s="115">
        <v>137</v>
      </c>
      <c r="H805" s="115">
        <v>1967</v>
      </c>
    </row>
    <row r="806" spans="1:8" x14ac:dyDescent="0.25">
      <c r="A806" s="157" t="s">
        <v>3</v>
      </c>
      <c r="B806" s="158">
        <v>40298</v>
      </c>
      <c r="C806" s="157" t="s">
        <v>28</v>
      </c>
      <c r="D806" s="159">
        <v>15.176470588235293</v>
      </c>
      <c r="E806" s="159">
        <v>1.3981750011444092</v>
      </c>
      <c r="F806" s="159">
        <v>191</v>
      </c>
      <c r="G806" s="115">
        <v>262</v>
      </c>
      <c r="H806" s="115">
        <v>3976</v>
      </c>
    </row>
    <row r="807" spans="1:8" x14ac:dyDescent="0.25">
      <c r="F807" s="115">
        <f>SUM(F801:F806)</f>
        <v>984</v>
      </c>
      <c r="G807" s="115">
        <f>SUM(G801:G806)</f>
        <v>1351</v>
      </c>
      <c r="H807" s="115">
        <f>SUM(H801:H806)</f>
        <v>20147</v>
      </c>
    </row>
    <row r="809" spans="1:8" x14ac:dyDescent="0.25">
      <c r="A809" s="156" t="s">
        <v>9</v>
      </c>
      <c r="B809" s="156" t="s">
        <v>8</v>
      </c>
      <c r="C809" s="156" t="s">
        <v>10</v>
      </c>
      <c r="D809" s="156" t="s">
        <v>11</v>
      </c>
      <c r="E809" s="156" t="s">
        <v>12</v>
      </c>
      <c r="F809" s="156" t="s">
        <v>13</v>
      </c>
      <c r="G809" s="156" t="s">
        <v>14</v>
      </c>
      <c r="H809" s="156" t="s">
        <v>15</v>
      </c>
    </row>
    <row r="810" spans="1:8" x14ac:dyDescent="0.25">
      <c r="A810" s="157" t="s">
        <v>2</v>
      </c>
      <c r="B810" s="158">
        <v>40298</v>
      </c>
      <c r="C810" s="157" t="s">
        <v>16</v>
      </c>
      <c r="D810" s="159">
        <v>14.850746268656716</v>
      </c>
      <c r="E810" s="159">
        <v>1.4883999824523926</v>
      </c>
      <c r="F810" s="159">
        <v>0</v>
      </c>
      <c r="G810" s="115">
        <v>0</v>
      </c>
      <c r="H810" s="115">
        <v>0</v>
      </c>
    </row>
    <row r="811" spans="1:8" x14ac:dyDescent="0.25">
      <c r="A811" s="157" t="s">
        <v>2</v>
      </c>
      <c r="B811" s="158">
        <v>40298</v>
      </c>
      <c r="C811" s="157" t="s">
        <v>17</v>
      </c>
      <c r="D811" s="159">
        <v>15</v>
      </c>
      <c r="E811" s="159">
        <v>1.4883999824523926</v>
      </c>
      <c r="F811" s="159">
        <v>300</v>
      </c>
      <c r="G811" s="115">
        <v>440</v>
      </c>
      <c r="H811" s="115">
        <v>6600</v>
      </c>
    </row>
    <row r="812" spans="1:8" x14ac:dyDescent="0.25">
      <c r="A812" s="157" t="s">
        <v>2</v>
      </c>
      <c r="B812" s="158">
        <v>40298</v>
      </c>
      <c r="C812" s="157" t="s">
        <v>18</v>
      </c>
      <c r="D812" s="159">
        <v>15</v>
      </c>
      <c r="E812" s="159">
        <v>1.4883999824523926</v>
      </c>
      <c r="F812" s="159">
        <v>298</v>
      </c>
      <c r="G812" s="115">
        <v>437</v>
      </c>
      <c r="H812" s="115">
        <v>6490</v>
      </c>
    </row>
    <row r="813" spans="1:8" x14ac:dyDescent="0.25">
      <c r="A813" s="157" t="s">
        <v>2</v>
      </c>
      <c r="B813" s="158">
        <v>40298</v>
      </c>
      <c r="C813" s="157" t="s">
        <v>19</v>
      </c>
      <c r="D813" s="159">
        <v>14.615384615384615</v>
      </c>
      <c r="E813" s="159">
        <v>1.4883999824523926</v>
      </c>
      <c r="F813" s="159">
        <v>197</v>
      </c>
      <c r="G813" s="115">
        <v>289</v>
      </c>
      <c r="H813" s="115">
        <v>4224</v>
      </c>
    </row>
    <row r="814" spans="1:8" x14ac:dyDescent="0.25">
      <c r="A814" s="157" t="s">
        <v>2</v>
      </c>
      <c r="B814" s="158">
        <v>40298</v>
      </c>
      <c r="C814" s="157" t="s">
        <v>20</v>
      </c>
      <c r="D814" s="159">
        <v>15</v>
      </c>
      <c r="E814" s="159">
        <v>1.4883999824523926</v>
      </c>
      <c r="F814" s="159">
        <v>522</v>
      </c>
      <c r="G814" s="115">
        <v>766</v>
      </c>
      <c r="H814" s="115">
        <v>11376</v>
      </c>
    </row>
    <row r="815" spans="1:8" x14ac:dyDescent="0.25">
      <c r="A815" s="157" t="s">
        <v>2</v>
      </c>
      <c r="B815" s="158">
        <v>40298</v>
      </c>
      <c r="C815" s="157" t="s">
        <v>21</v>
      </c>
      <c r="D815" s="159">
        <v>15</v>
      </c>
      <c r="E815" s="159">
        <v>1.4883999824523926</v>
      </c>
      <c r="F815" s="159">
        <v>10</v>
      </c>
      <c r="G815" s="115">
        <v>15</v>
      </c>
      <c r="H815" s="115">
        <v>225</v>
      </c>
    </row>
    <row r="816" spans="1:8" x14ac:dyDescent="0.25">
      <c r="F816" s="115">
        <f>SUM(F810:F815)</f>
        <v>1327</v>
      </c>
      <c r="G816" s="115">
        <f>SUM(G810:G815)</f>
        <v>1947</v>
      </c>
      <c r="H816" s="115">
        <f>SUM(H810:H815)</f>
        <v>28915</v>
      </c>
    </row>
    <row r="818" spans="1:8" x14ac:dyDescent="0.25">
      <c r="A818" s="21" t="s">
        <v>9</v>
      </c>
      <c r="B818" s="21" t="s">
        <v>8</v>
      </c>
      <c r="C818" s="21" t="s">
        <v>10</v>
      </c>
      <c r="D818" s="21" t="s">
        <v>11</v>
      </c>
      <c r="E818" s="21" t="s">
        <v>12</v>
      </c>
      <c r="F818" s="21" t="s">
        <v>13</v>
      </c>
      <c r="G818" s="21" t="s">
        <v>14</v>
      </c>
      <c r="H818" s="21" t="s">
        <v>15</v>
      </c>
    </row>
    <row r="819" spans="1:8" x14ac:dyDescent="0.25">
      <c r="A819" s="22" t="s">
        <v>33</v>
      </c>
      <c r="B819" s="23">
        <v>40295</v>
      </c>
      <c r="C819" s="22" t="s">
        <v>34</v>
      </c>
      <c r="D819" s="114">
        <v>15</v>
      </c>
      <c r="E819" s="114">
        <v>1.4287666082382202</v>
      </c>
      <c r="F819" s="114">
        <v>13</v>
      </c>
      <c r="G819" s="115">
        <v>19</v>
      </c>
      <c r="H819" s="115">
        <v>285</v>
      </c>
    </row>
    <row r="820" spans="1:8" x14ac:dyDescent="0.25">
      <c r="A820" s="22" t="s">
        <v>33</v>
      </c>
      <c r="B820" s="23">
        <v>40295</v>
      </c>
      <c r="C820" s="22" t="s">
        <v>35</v>
      </c>
      <c r="D820" s="114">
        <v>15</v>
      </c>
      <c r="E820" s="114">
        <v>1.4287666082382202</v>
      </c>
      <c r="F820" s="114">
        <v>19</v>
      </c>
      <c r="G820" s="115">
        <v>27</v>
      </c>
      <c r="H820" s="115">
        <v>405</v>
      </c>
    </row>
    <row r="821" spans="1:8" x14ac:dyDescent="0.25">
      <c r="A821" s="22" t="s">
        <v>33</v>
      </c>
      <c r="B821" s="23">
        <v>40295</v>
      </c>
      <c r="C821" s="22" t="s">
        <v>36</v>
      </c>
      <c r="D821" s="114">
        <v>15</v>
      </c>
      <c r="E821" s="114">
        <v>1.4287666082382202</v>
      </c>
      <c r="F821" s="114">
        <v>35</v>
      </c>
      <c r="G821" s="115">
        <v>50</v>
      </c>
      <c r="H821" s="115">
        <v>750</v>
      </c>
    </row>
    <row r="822" spans="1:8" x14ac:dyDescent="0.25">
      <c r="A822" s="22" t="s">
        <v>33</v>
      </c>
      <c r="B822" s="23">
        <v>40295</v>
      </c>
      <c r="C822" s="22" t="s">
        <v>40</v>
      </c>
      <c r="D822" s="114">
        <v>15</v>
      </c>
      <c r="E822" s="114">
        <v>1.4287666082382202</v>
      </c>
      <c r="F822" s="114">
        <v>15</v>
      </c>
      <c r="G822" s="115">
        <v>21</v>
      </c>
      <c r="H822" s="115">
        <v>315</v>
      </c>
    </row>
    <row r="823" spans="1:8" x14ac:dyDescent="0.25">
      <c r="A823" s="22" t="s">
        <v>33</v>
      </c>
      <c r="B823" s="23">
        <v>40295</v>
      </c>
      <c r="C823" s="22" t="s">
        <v>37</v>
      </c>
      <c r="D823" s="114">
        <v>15</v>
      </c>
      <c r="E823" s="114">
        <v>1.4287666082382202</v>
      </c>
      <c r="F823" s="114">
        <v>93</v>
      </c>
      <c r="G823" s="115">
        <v>133</v>
      </c>
      <c r="H823" s="115">
        <v>1995</v>
      </c>
    </row>
    <row r="824" spans="1:8" x14ac:dyDescent="0.25">
      <c r="A824" s="22" t="s">
        <v>33</v>
      </c>
      <c r="B824" s="23">
        <v>40295</v>
      </c>
      <c r="C824" s="22" t="s">
        <v>38</v>
      </c>
      <c r="D824" s="114">
        <v>15</v>
      </c>
      <c r="E824" s="114">
        <v>1.4287666082382202</v>
      </c>
      <c r="F824" s="114">
        <v>148</v>
      </c>
      <c r="G824" s="115">
        <v>211</v>
      </c>
      <c r="H824" s="115">
        <v>3165</v>
      </c>
    </row>
    <row r="825" spans="1:8" x14ac:dyDescent="0.25">
      <c r="A825" s="22" t="s">
        <v>33</v>
      </c>
      <c r="B825" s="23">
        <v>40295</v>
      </c>
      <c r="C825" s="22" t="s">
        <v>39</v>
      </c>
      <c r="D825" s="114">
        <v>15</v>
      </c>
      <c r="E825" s="114">
        <v>1.4287666082382202</v>
      </c>
      <c r="F825" s="114">
        <v>171</v>
      </c>
      <c r="G825" s="115">
        <v>244</v>
      </c>
      <c r="H825" s="115">
        <v>3660</v>
      </c>
    </row>
    <row r="826" spans="1:8" x14ac:dyDescent="0.25">
      <c r="F826" s="115">
        <f>SUM(F819:F825)</f>
        <v>494</v>
      </c>
      <c r="G826" s="115">
        <f>SUM(G819:G825)</f>
        <v>705</v>
      </c>
      <c r="H826" s="115">
        <f>SUM(H819:H825)</f>
        <v>10575</v>
      </c>
    </row>
    <row r="828" spans="1:8" x14ac:dyDescent="0.25">
      <c r="A828" s="21" t="s">
        <v>9</v>
      </c>
      <c r="B828" s="21" t="s">
        <v>8</v>
      </c>
      <c r="C828" s="21" t="s">
        <v>10</v>
      </c>
      <c r="D828" s="21" t="s">
        <v>11</v>
      </c>
      <c r="E828" s="21" t="s">
        <v>12</v>
      </c>
      <c r="F828" s="21" t="s">
        <v>13</v>
      </c>
      <c r="G828" s="21" t="s">
        <v>14</v>
      </c>
      <c r="H828" s="21" t="s">
        <v>15</v>
      </c>
    </row>
    <row r="829" spans="1:8" x14ac:dyDescent="0.25">
      <c r="A829" s="22" t="s">
        <v>33</v>
      </c>
      <c r="B829" s="23">
        <v>40296</v>
      </c>
      <c r="C829" s="22" t="s">
        <v>34</v>
      </c>
      <c r="D829" s="114">
        <v>15</v>
      </c>
      <c r="E829" s="114">
        <v>1.4442000389099121</v>
      </c>
      <c r="F829" s="114">
        <v>31</v>
      </c>
      <c r="G829" s="115">
        <v>44</v>
      </c>
      <c r="H829" s="115">
        <v>660</v>
      </c>
    </row>
    <row r="830" spans="1:8" x14ac:dyDescent="0.25">
      <c r="A830" s="22" t="s">
        <v>33</v>
      </c>
      <c r="B830" s="23">
        <v>40296</v>
      </c>
      <c r="C830" s="22" t="s">
        <v>35</v>
      </c>
      <c r="D830" s="114">
        <v>8</v>
      </c>
      <c r="E830" s="114">
        <v>1.4442000389099121</v>
      </c>
      <c r="F830" s="114">
        <v>8</v>
      </c>
      <c r="G830" s="115">
        <v>11</v>
      </c>
      <c r="H830" s="115">
        <v>88</v>
      </c>
    </row>
    <row r="831" spans="1:8" x14ac:dyDescent="0.25">
      <c r="A831" s="22" t="s">
        <v>33</v>
      </c>
      <c r="B831" s="23">
        <v>40296</v>
      </c>
      <c r="C831" s="22" t="s">
        <v>36</v>
      </c>
      <c r="D831" s="114">
        <v>15</v>
      </c>
      <c r="E831" s="114">
        <v>1.4442000389099121</v>
      </c>
      <c r="F831" s="114">
        <v>59</v>
      </c>
      <c r="G831" s="115">
        <v>84</v>
      </c>
      <c r="H831" s="115">
        <v>1260</v>
      </c>
    </row>
    <row r="832" spans="1:8" x14ac:dyDescent="0.25">
      <c r="A832" s="22" t="s">
        <v>33</v>
      </c>
      <c r="B832" s="23">
        <v>40296</v>
      </c>
      <c r="C832" s="22" t="s">
        <v>40</v>
      </c>
      <c r="D832" s="114">
        <v>15</v>
      </c>
      <c r="E832" s="114">
        <v>1.4442000389099121</v>
      </c>
      <c r="F832" s="114">
        <v>44</v>
      </c>
      <c r="G832" s="115">
        <v>62</v>
      </c>
      <c r="H832" s="115">
        <v>930</v>
      </c>
    </row>
    <row r="833" spans="1:8" x14ac:dyDescent="0.25">
      <c r="A833" s="22" t="s">
        <v>33</v>
      </c>
      <c r="B833" s="23">
        <v>40296</v>
      </c>
      <c r="C833" s="22" t="s">
        <v>37</v>
      </c>
      <c r="D833" s="114">
        <v>15</v>
      </c>
      <c r="E833" s="114">
        <v>1.4442000389099121</v>
      </c>
      <c r="F833" s="114">
        <v>160</v>
      </c>
      <c r="G833" s="115">
        <v>227</v>
      </c>
      <c r="H833" s="115">
        <v>3405</v>
      </c>
    </row>
    <row r="834" spans="1:8" x14ac:dyDescent="0.25">
      <c r="A834" s="22" t="s">
        <v>33</v>
      </c>
      <c r="B834" s="23">
        <v>40296</v>
      </c>
      <c r="C834" s="22" t="s">
        <v>38</v>
      </c>
      <c r="D834" s="114">
        <v>15</v>
      </c>
      <c r="E834" s="114">
        <v>1.4442000389099121</v>
      </c>
      <c r="F834" s="114">
        <v>268</v>
      </c>
      <c r="G834" s="115">
        <v>380</v>
      </c>
      <c r="H834" s="115">
        <v>5700</v>
      </c>
    </row>
    <row r="835" spans="1:8" x14ac:dyDescent="0.25">
      <c r="A835" s="22" t="s">
        <v>33</v>
      </c>
      <c r="B835" s="23">
        <v>40296</v>
      </c>
      <c r="C835" s="22" t="s">
        <v>39</v>
      </c>
      <c r="D835" s="114">
        <v>15</v>
      </c>
      <c r="E835" s="114">
        <v>1.4442000389099121</v>
      </c>
      <c r="F835" s="114">
        <v>361</v>
      </c>
      <c r="G835" s="115">
        <v>511</v>
      </c>
      <c r="H835" s="115">
        <v>7595</v>
      </c>
    </row>
    <row r="836" spans="1:8" x14ac:dyDescent="0.25">
      <c r="F836" s="115">
        <f>SUM(F829:F835)</f>
        <v>931</v>
      </c>
      <c r="G836" s="115">
        <f>SUM(G829:G835)</f>
        <v>1319</v>
      </c>
      <c r="H836" s="115">
        <f>SUM(H829:H835)</f>
        <v>19638</v>
      </c>
    </row>
    <row r="838" spans="1:8" x14ac:dyDescent="0.25">
      <c r="A838" s="21" t="s">
        <v>9</v>
      </c>
      <c r="B838" s="21" t="s">
        <v>8</v>
      </c>
      <c r="C838" s="21" t="s">
        <v>10</v>
      </c>
      <c r="D838" s="21" t="s">
        <v>11</v>
      </c>
      <c r="E838" s="21" t="s">
        <v>12</v>
      </c>
      <c r="F838" s="21" t="s">
        <v>13</v>
      </c>
      <c r="G838" s="21" t="s">
        <v>14</v>
      </c>
      <c r="H838" s="21" t="s">
        <v>15</v>
      </c>
    </row>
    <row r="839" spans="1:8" x14ac:dyDescent="0.25">
      <c r="A839" s="22" t="s">
        <v>33</v>
      </c>
      <c r="B839" s="23">
        <v>40297</v>
      </c>
      <c r="C839" s="22" t="s">
        <v>34</v>
      </c>
      <c r="D839" s="114">
        <v>14.877551020408163</v>
      </c>
      <c r="E839" s="114">
        <v>1.4287666082382202</v>
      </c>
      <c r="F839" s="114">
        <v>41</v>
      </c>
      <c r="G839" s="115">
        <v>57</v>
      </c>
      <c r="H839" s="115">
        <v>848</v>
      </c>
    </row>
    <row r="840" spans="1:8" x14ac:dyDescent="0.25">
      <c r="A840" s="22" t="s">
        <v>33</v>
      </c>
      <c r="B840" s="23">
        <v>40297</v>
      </c>
      <c r="C840" s="22" t="s">
        <v>35</v>
      </c>
      <c r="D840" s="114">
        <v>14.877551020408163</v>
      </c>
      <c r="E840" s="114">
        <v>1.4287666082382202</v>
      </c>
      <c r="F840" s="114">
        <v>60</v>
      </c>
      <c r="G840" s="115">
        <v>84</v>
      </c>
      <c r="H840" s="115">
        <v>1250</v>
      </c>
    </row>
    <row r="841" spans="1:8" x14ac:dyDescent="0.25">
      <c r="A841" s="22" t="s">
        <v>33</v>
      </c>
      <c r="B841" s="23">
        <v>40297</v>
      </c>
      <c r="C841" s="22" t="s">
        <v>36</v>
      </c>
      <c r="D841" s="114">
        <v>14.877551020408163</v>
      </c>
      <c r="E841" s="114">
        <v>1.4287666082382202</v>
      </c>
      <c r="F841" s="114">
        <v>113</v>
      </c>
      <c r="G841" s="115">
        <v>158</v>
      </c>
      <c r="H841" s="115">
        <v>2351</v>
      </c>
    </row>
    <row r="842" spans="1:8" x14ac:dyDescent="0.25">
      <c r="A842" s="22" t="s">
        <v>33</v>
      </c>
      <c r="B842" s="23">
        <v>40297</v>
      </c>
      <c r="C842" s="22" t="s">
        <v>40</v>
      </c>
      <c r="D842" s="114">
        <v>14.877551020408163</v>
      </c>
      <c r="E842" s="114">
        <v>1.4287666082382202</v>
      </c>
      <c r="F842" s="114">
        <v>46</v>
      </c>
      <c r="G842" s="115">
        <v>64</v>
      </c>
      <c r="H842" s="115">
        <v>952</v>
      </c>
    </row>
    <row r="843" spans="1:8" x14ac:dyDescent="0.25">
      <c r="A843" s="22" t="s">
        <v>33</v>
      </c>
      <c r="B843" s="23">
        <v>40297</v>
      </c>
      <c r="C843" s="22" t="s">
        <v>37</v>
      </c>
      <c r="D843" s="114">
        <v>14.142857142857142</v>
      </c>
      <c r="E843" s="114">
        <v>1.4287666082382202</v>
      </c>
      <c r="F843" s="114">
        <v>352</v>
      </c>
      <c r="G843" s="115">
        <v>493</v>
      </c>
      <c r="H843" s="115">
        <v>7335</v>
      </c>
    </row>
    <row r="844" spans="1:8" x14ac:dyDescent="0.25">
      <c r="A844" s="22" t="s">
        <v>33</v>
      </c>
      <c r="B844" s="23">
        <v>40297</v>
      </c>
      <c r="C844" s="22" t="s">
        <v>38</v>
      </c>
      <c r="D844" s="114">
        <v>15</v>
      </c>
      <c r="E844" s="114">
        <v>1.4287666082382202</v>
      </c>
      <c r="F844" s="114">
        <v>375</v>
      </c>
      <c r="G844" s="115">
        <v>525</v>
      </c>
      <c r="H844" s="115">
        <v>7811</v>
      </c>
    </row>
    <row r="845" spans="1:8" x14ac:dyDescent="0.25">
      <c r="A845" s="22" t="s">
        <v>33</v>
      </c>
      <c r="B845" s="23">
        <v>40297</v>
      </c>
      <c r="C845" s="22" t="s">
        <v>39</v>
      </c>
      <c r="D845" s="114">
        <v>15</v>
      </c>
      <c r="E845" s="114">
        <v>1.4287666082382202</v>
      </c>
      <c r="F845" s="114">
        <v>585</v>
      </c>
      <c r="G845" s="115">
        <v>819</v>
      </c>
      <c r="H845" s="115">
        <v>12185</v>
      </c>
    </row>
    <row r="846" spans="1:8" x14ac:dyDescent="0.25">
      <c r="F846" s="115">
        <f>SUM(F839:F845)</f>
        <v>1572</v>
      </c>
      <c r="G846" s="115">
        <f>SUM(G839:G845)</f>
        <v>2200</v>
      </c>
      <c r="H846" s="115">
        <f>SUM(H839:H845)</f>
        <v>32732</v>
      </c>
    </row>
    <row r="848" spans="1:8" x14ac:dyDescent="0.25">
      <c r="A848" s="21" t="s">
        <v>9</v>
      </c>
      <c r="B848" s="21" t="s">
        <v>8</v>
      </c>
      <c r="C848" s="21" t="s">
        <v>10</v>
      </c>
      <c r="D848" s="21" t="s">
        <v>11</v>
      </c>
      <c r="E848" s="21" t="s">
        <v>12</v>
      </c>
      <c r="F848" s="21" t="s">
        <v>13</v>
      </c>
      <c r="G848" s="21" t="s">
        <v>14</v>
      </c>
      <c r="H848" s="21" t="s">
        <v>15</v>
      </c>
    </row>
    <row r="849" spans="1:8" x14ac:dyDescent="0.25">
      <c r="A849" s="22" t="s">
        <v>1</v>
      </c>
      <c r="B849" s="23">
        <v>40295</v>
      </c>
      <c r="C849" s="22" t="s">
        <v>29</v>
      </c>
      <c r="D849" s="114">
        <v>14.9</v>
      </c>
      <c r="E849" s="114">
        <v>1.6077333688735962</v>
      </c>
      <c r="F849" s="114">
        <v>0</v>
      </c>
      <c r="G849" s="115">
        <v>0</v>
      </c>
      <c r="H849" s="115">
        <v>0</v>
      </c>
    </row>
    <row r="850" spans="1:8" x14ac:dyDescent="0.25">
      <c r="A850" s="22" t="s">
        <v>1</v>
      </c>
      <c r="B850" s="23">
        <v>40295</v>
      </c>
      <c r="C850" s="22" t="s">
        <v>30</v>
      </c>
      <c r="D850" s="114">
        <v>15</v>
      </c>
      <c r="E850" s="114">
        <v>1.6077333688735962</v>
      </c>
      <c r="F850" s="114">
        <v>109</v>
      </c>
      <c r="G850" s="115">
        <v>175</v>
      </c>
      <c r="H850" s="115">
        <v>2625</v>
      </c>
    </row>
    <row r="851" spans="1:8" x14ac:dyDescent="0.25">
      <c r="A851" s="22" t="s">
        <v>1</v>
      </c>
      <c r="B851" s="23">
        <v>40295</v>
      </c>
      <c r="C851" s="22" t="s">
        <v>31</v>
      </c>
      <c r="D851" s="114">
        <v>15</v>
      </c>
      <c r="E851" s="114">
        <v>1.6077333688735962</v>
      </c>
      <c r="F851" s="114">
        <v>109</v>
      </c>
      <c r="G851" s="115">
        <v>175</v>
      </c>
      <c r="H851" s="115">
        <v>2625</v>
      </c>
    </row>
    <row r="852" spans="1:8" x14ac:dyDescent="0.25">
      <c r="A852" s="22" t="s">
        <v>1</v>
      </c>
      <c r="B852" s="23">
        <v>40295</v>
      </c>
      <c r="C852" s="22" t="s">
        <v>32</v>
      </c>
      <c r="D852" s="114">
        <v>14.333333333333334</v>
      </c>
      <c r="E852" s="114">
        <v>1.6077333688735962</v>
      </c>
      <c r="F852" s="114">
        <v>95</v>
      </c>
      <c r="G852" s="115">
        <v>153</v>
      </c>
      <c r="H852" s="115">
        <v>2193</v>
      </c>
    </row>
    <row r="853" spans="1:8" x14ac:dyDescent="0.25">
      <c r="G853" s="115">
        <f>SUM(G849:G852)</f>
        <v>503</v>
      </c>
      <c r="H853" s="115">
        <f>SUM(H849:H852)</f>
        <v>7443</v>
      </c>
    </row>
    <row r="855" spans="1:8" x14ac:dyDescent="0.25">
      <c r="A855" s="21" t="s">
        <v>9</v>
      </c>
      <c r="B855" s="21" t="s">
        <v>8</v>
      </c>
      <c r="C855" s="21" t="s">
        <v>10</v>
      </c>
      <c r="D855" s="21" t="s">
        <v>11</v>
      </c>
      <c r="E855" s="21" t="s">
        <v>12</v>
      </c>
      <c r="F855" s="21" t="s">
        <v>13</v>
      </c>
      <c r="G855" s="21" t="s">
        <v>14</v>
      </c>
      <c r="H855" s="21" t="s">
        <v>15</v>
      </c>
    </row>
    <row r="856" spans="1:8" x14ac:dyDescent="0.25">
      <c r="A856" s="22" t="s">
        <v>1</v>
      </c>
      <c r="B856" s="23">
        <v>40296</v>
      </c>
      <c r="C856" s="22" t="s">
        <v>29</v>
      </c>
      <c r="D856" s="114">
        <v>15</v>
      </c>
      <c r="E856" s="114">
        <v>1.5344666242599487</v>
      </c>
      <c r="F856" s="114">
        <v>2</v>
      </c>
      <c r="G856" s="115">
        <v>3</v>
      </c>
      <c r="H856" s="115">
        <v>45</v>
      </c>
    </row>
    <row r="857" spans="1:8" x14ac:dyDescent="0.25">
      <c r="A857" s="22" t="s">
        <v>1</v>
      </c>
      <c r="B857" s="23">
        <v>40296</v>
      </c>
      <c r="C857" s="22" t="s">
        <v>30</v>
      </c>
      <c r="D857" s="114">
        <v>15</v>
      </c>
      <c r="E857" s="114">
        <v>1.5344666242599487</v>
      </c>
      <c r="F857" s="114">
        <v>320</v>
      </c>
      <c r="G857" s="115">
        <v>491</v>
      </c>
      <c r="H857" s="115">
        <v>7365</v>
      </c>
    </row>
    <row r="858" spans="1:8" x14ac:dyDescent="0.25">
      <c r="A858" s="22" t="s">
        <v>1</v>
      </c>
      <c r="B858" s="23">
        <v>40296</v>
      </c>
      <c r="C858" s="22" t="s">
        <v>31</v>
      </c>
      <c r="D858" s="114">
        <v>15</v>
      </c>
      <c r="E858" s="114">
        <v>1.5344666242599487</v>
      </c>
      <c r="F858" s="114">
        <v>292</v>
      </c>
      <c r="G858" s="115">
        <v>448</v>
      </c>
      <c r="H858" s="115">
        <v>6720</v>
      </c>
    </row>
    <row r="859" spans="1:8" x14ac:dyDescent="0.25">
      <c r="A859" s="22" t="s">
        <v>1</v>
      </c>
      <c r="B859" s="23">
        <v>40296</v>
      </c>
      <c r="C859" s="22" t="s">
        <v>32</v>
      </c>
      <c r="D859" s="114">
        <v>15</v>
      </c>
      <c r="E859" s="114">
        <v>1.5344666242599487</v>
      </c>
      <c r="F859" s="114">
        <v>128</v>
      </c>
      <c r="G859" s="115">
        <v>196</v>
      </c>
      <c r="H859" s="115">
        <v>2940</v>
      </c>
    </row>
    <row r="860" spans="1:8" x14ac:dyDescent="0.25">
      <c r="F860" s="115">
        <f>SUM(F856:F859)</f>
        <v>742</v>
      </c>
      <c r="G860" s="115">
        <f>SUM(G856:G859)</f>
        <v>1138</v>
      </c>
      <c r="H860" s="115">
        <f>SUM(H856:H859)</f>
        <v>17070</v>
      </c>
    </row>
    <row r="862" spans="1:8" x14ac:dyDescent="0.25">
      <c r="A862" s="21" t="s">
        <v>9</v>
      </c>
      <c r="B862" s="21" t="s">
        <v>8</v>
      </c>
      <c r="C862" s="21" t="s">
        <v>10</v>
      </c>
      <c r="D862" s="21" t="s">
        <v>11</v>
      </c>
      <c r="E862" s="21" t="s">
        <v>12</v>
      </c>
      <c r="F862" s="21" t="s">
        <v>13</v>
      </c>
      <c r="G862" s="21" t="s">
        <v>14</v>
      </c>
      <c r="H862" s="21" t="s">
        <v>15</v>
      </c>
    </row>
    <row r="863" spans="1:8" x14ac:dyDescent="0.25">
      <c r="A863" s="22" t="s">
        <v>1</v>
      </c>
      <c r="B863" s="23">
        <v>40297</v>
      </c>
      <c r="C863" s="22" t="s">
        <v>29</v>
      </c>
      <c r="D863" s="114">
        <v>15</v>
      </c>
      <c r="E863" s="114">
        <v>1.4352333545684814</v>
      </c>
      <c r="F863" s="114">
        <v>0</v>
      </c>
      <c r="G863" s="115">
        <v>0</v>
      </c>
      <c r="H863" s="115">
        <v>0</v>
      </c>
    </row>
    <row r="864" spans="1:8" x14ac:dyDescent="0.25">
      <c r="A864" s="22" t="s">
        <v>1</v>
      </c>
      <c r="B864" s="23">
        <v>40297</v>
      </c>
      <c r="C864" s="22" t="s">
        <v>30</v>
      </c>
      <c r="D864" s="114">
        <v>15</v>
      </c>
      <c r="E864" s="114">
        <v>1.4352333545684814</v>
      </c>
      <c r="F864" s="114">
        <v>225</v>
      </c>
      <c r="G864" s="115">
        <v>323</v>
      </c>
      <c r="H864" s="115">
        <v>4845</v>
      </c>
    </row>
    <row r="865" spans="1:8" x14ac:dyDescent="0.25">
      <c r="A865" s="22" t="s">
        <v>1</v>
      </c>
      <c r="B865" s="23">
        <v>40297</v>
      </c>
      <c r="C865" s="22" t="s">
        <v>31</v>
      </c>
      <c r="D865" s="114">
        <v>15</v>
      </c>
      <c r="E865" s="114">
        <v>1.4352333545684814</v>
      </c>
      <c r="F865" s="114">
        <v>242</v>
      </c>
      <c r="G865" s="115">
        <v>347</v>
      </c>
      <c r="H865" s="115">
        <v>5205</v>
      </c>
    </row>
    <row r="866" spans="1:8" x14ac:dyDescent="0.25">
      <c r="A866" s="22" t="s">
        <v>1</v>
      </c>
      <c r="B866" s="23">
        <v>40297</v>
      </c>
      <c r="C866" s="22" t="s">
        <v>32</v>
      </c>
      <c r="D866" s="114">
        <v>15</v>
      </c>
      <c r="E866" s="114">
        <v>1.4352333545684814</v>
      </c>
      <c r="F866" s="114">
        <v>141</v>
      </c>
      <c r="G866" s="115">
        <v>202</v>
      </c>
      <c r="H866" s="115">
        <v>3030</v>
      </c>
    </row>
    <row r="867" spans="1:8" x14ac:dyDescent="0.25">
      <c r="F867" s="115">
        <f>SUM(F863:F866)</f>
        <v>608</v>
      </c>
      <c r="G867" s="115">
        <f>SUM(G863:G866)</f>
        <v>872</v>
      </c>
      <c r="H867" s="115">
        <f>SUM(H863:H866)</f>
        <v>13080</v>
      </c>
    </row>
    <row r="869" spans="1:8" x14ac:dyDescent="0.25">
      <c r="A869" s="21" t="s">
        <v>9</v>
      </c>
      <c r="B869" s="21" t="s">
        <v>8</v>
      </c>
      <c r="C869" s="21" t="s">
        <v>10</v>
      </c>
      <c r="D869" s="21" t="s">
        <v>11</v>
      </c>
      <c r="E869" s="21" t="s">
        <v>12</v>
      </c>
      <c r="F869" s="21" t="s">
        <v>13</v>
      </c>
      <c r="G869" s="21" t="s">
        <v>14</v>
      </c>
      <c r="H869" s="21" t="s">
        <v>15</v>
      </c>
    </row>
    <row r="870" spans="1:8" x14ac:dyDescent="0.25">
      <c r="A870" s="22" t="s">
        <v>1</v>
      </c>
      <c r="B870" s="23">
        <v>40298</v>
      </c>
      <c r="C870" s="22" t="s">
        <v>29</v>
      </c>
      <c r="D870" s="114">
        <v>15</v>
      </c>
      <c r="E870" s="114">
        <v>1.3900333642959595</v>
      </c>
      <c r="F870" s="114">
        <v>0</v>
      </c>
      <c r="G870" s="115">
        <v>0</v>
      </c>
      <c r="H870" s="115">
        <v>0</v>
      </c>
    </row>
    <row r="871" spans="1:8" x14ac:dyDescent="0.25">
      <c r="A871" s="22" t="s">
        <v>1</v>
      </c>
      <c r="B871" s="23">
        <v>40298</v>
      </c>
      <c r="C871" s="22" t="s">
        <v>30</v>
      </c>
      <c r="D871" s="114">
        <v>15</v>
      </c>
      <c r="E871" s="114">
        <v>1.3900333642959595</v>
      </c>
      <c r="F871" s="114">
        <v>303</v>
      </c>
      <c r="G871" s="115">
        <v>402</v>
      </c>
      <c r="H871" s="115">
        <v>6030</v>
      </c>
    </row>
    <row r="872" spans="1:8" x14ac:dyDescent="0.25">
      <c r="A872" s="22" t="s">
        <v>1</v>
      </c>
      <c r="B872" s="23">
        <v>40298</v>
      </c>
      <c r="C872" s="22" t="s">
        <v>31</v>
      </c>
      <c r="D872" s="114">
        <v>15</v>
      </c>
      <c r="E872" s="114">
        <v>1.3900333642959595</v>
      </c>
      <c r="F872" s="114">
        <v>257</v>
      </c>
      <c r="G872" s="115">
        <v>341</v>
      </c>
      <c r="H872" s="115">
        <v>5115</v>
      </c>
    </row>
    <row r="873" spans="1:8" x14ac:dyDescent="0.25">
      <c r="A873" s="22" t="s">
        <v>1</v>
      </c>
      <c r="B873" s="23">
        <v>40298</v>
      </c>
      <c r="C873" s="22" t="s">
        <v>32</v>
      </c>
      <c r="D873" s="114">
        <v>15</v>
      </c>
      <c r="E873" s="114">
        <v>1.3900333642959595</v>
      </c>
      <c r="F873" s="114">
        <v>190</v>
      </c>
      <c r="G873" s="115">
        <v>252</v>
      </c>
      <c r="H873" s="115">
        <v>3780</v>
      </c>
    </row>
    <row r="874" spans="1:8" x14ac:dyDescent="0.25">
      <c r="F874" s="115">
        <f>SUM(F870:F873)</f>
        <v>750</v>
      </c>
      <c r="G874" s="115">
        <f>SUM(G870:G873)</f>
        <v>995</v>
      </c>
      <c r="H874" s="115">
        <f>SUM(H870:H873)</f>
        <v>14925</v>
      </c>
    </row>
    <row r="876" spans="1:8" x14ac:dyDescent="0.25">
      <c r="A876" s="156" t="s">
        <v>9</v>
      </c>
      <c r="B876" s="156" t="s">
        <v>8</v>
      </c>
      <c r="C876" s="156" t="s">
        <v>10</v>
      </c>
      <c r="D876" s="156" t="s">
        <v>11</v>
      </c>
      <c r="E876" s="156" t="s">
        <v>12</v>
      </c>
      <c r="F876" s="156" t="s">
        <v>13</v>
      </c>
      <c r="G876" s="156" t="s">
        <v>14</v>
      </c>
      <c r="H876" s="156" t="s">
        <v>15</v>
      </c>
    </row>
    <row r="877" spans="1:8" x14ac:dyDescent="0.25">
      <c r="A877" s="157" t="s">
        <v>3</v>
      </c>
      <c r="B877" s="158">
        <v>40299</v>
      </c>
      <c r="C877" s="157" t="s">
        <v>23</v>
      </c>
      <c r="D877" s="159">
        <v>15</v>
      </c>
      <c r="E877" s="159">
        <v>1.4321500062942505</v>
      </c>
      <c r="F877" s="159">
        <v>57</v>
      </c>
      <c r="G877" s="115">
        <v>82</v>
      </c>
      <c r="H877" s="115">
        <v>1230</v>
      </c>
    </row>
    <row r="878" spans="1:8" x14ac:dyDescent="0.25">
      <c r="A878" s="157" t="s">
        <v>3</v>
      </c>
      <c r="B878" s="158">
        <v>40299</v>
      </c>
      <c r="C878" s="157" t="s">
        <v>24</v>
      </c>
      <c r="D878" s="159">
        <v>15</v>
      </c>
      <c r="E878" s="159">
        <v>1.4321500062942505</v>
      </c>
      <c r="F878" s="159">
        <v>211</v>
      </c>
      <c r="G878" s="115">
        <v>302</v>
      </c>
      <c r="H878" s="115">
        <v>4530</v>
      </c>
    </row>
    <row r="879" spans="1:8" x14ac:dyDescent="0.25">
      <c r="A879" s="157" t="s">
        <v>3</v>
      </c>
      <c r="B879" s="158">
        <v>40299</v>
      </c>
      <c r="C879" s="157" t="s">
        <v>25</v>
      </c>
      <c r="D879" s="159">
        <v>15</v>
      </c>
      <c r="E879" s="159">
        <v>1.4321500062942505</v>
      </c>
      <c r="F879" s="159">
        <v>316</v>
      </c>
      <c r="G879" s="115">
        <v>453</v>
      </c>
      <c r="H879" s="115">
        <v>6795</v>
      </c>
    </row>
    <row r="880" spans="1:8" x14ac:dyDescent="0.25">
      <c r="A880" s="157" t="s">
        <v>3</v>
      </c>
      <c r="B880" s="158">
        <v>40299</v>
      </c>
      <c r="C880" s="157" t="s">
        <v>26</v>
      </c>
      <c r="D880" s="159">
        <v>15</v>
      </c>
      <c r="E880" s="159">
        <v>1.4321500062942505</v>
      </c>
      <c r="F880" s="159">
        <v>486</v>
      </c>
      <c r="G880" s="115">
        <v>696</v>
      </c>
      <c r="H880" s="115">
        <v>10440</v>
      </c>
    </row>
    <row r="881" spans="1:8" x14ac:dyDescent="0.25">
      <c r="A881" s="157" t="s">
        <v>3</v>
      </c>
      <c r="B881" s="158">
        <v>40299</v>
      </c>
      <c r="C881" s="157" t="s">
        <v>27</v>
      </c>
      <c r="D881" s="159">
        <v>15</v>
      </c>
      <c r="E881" s="159">
        <v>1.4321500062942505</v>
      </c>
      <c r="F881" s="159">
        <v>218</v>
      </c>
      <c r="G881" s="115">
        <v>312</v>
      </c>
      <c r="H881" s="115">
        <v>4680</v>
      </c>
    </row>
    <row r="882" spans="1:8" x14ac:dyDescent="0.25">
      <c r="A882" s="157" t="s">
        <v>3</v>
      </c>
      <c r="B882" s="158">
        <v>40299</v>
      </c>
      <c r="C882" s="157" t="s">
        <v>28</v>
      </c>
      <c r="D882" s="159">
        <v>15</v>
      </c>
      <c r="E882" s="159">
        <v>1.4321500062942505</v>
      </c>
      <c r="F882" s="159">
        <v>352</v>
      </c>
      <c r="G882" s="115">
        <v>504</v>
      </c>
      <c r="H882" s="115">
        <v>7560</v>
      </c>
    </row>
    <row r="883" spans="1:8" x14ac:dyDescent="0.25">
      <c r="F883">
        <f>SUM(F877:F882)</f>
        <v>1640</v>
      </c>
      <c r="G883" s="115">
        <f>SUM(G877:G882)</f>
        <v>2349</v>
      </c>
      <c r="H883" s="115">
        <f>SUM(H877:H882)</f>
        <v>35235</v>
      </c>
    </row>
    <row r="885" spans="1:8" x14ac:dyDescent="0.25">
      <c r="A885" s="156" t="s">
        <v>9</v>
      </c>
      <c r="B885" s="156" t="s">
        <v>8</v>
      </c>
      <c r="C885" s="156" t="s">
        <v>10</v>
      </c>
      <c r="D885" s="156" t="s">
        <v>11</v>
      </c>
      <c r="E885" s="156" t="s">
        <v>12</v>
      </c>
      <c r="F885" s="156" t="s">
        <v>13</v>
      </c>
      <c r="G885" s="156" t="s">
        <v>14</v>
      </c>
      <c r="H885" s="156" t="s">
        <v>15</v>
      </c>
    </row>
    <row r="886" spans="1:8" x14ac:dyDescent="0.25">
      <c r="A886" s="157" t="s">
        <v>33</v>
      </c>
      <c r="B886" s="158">
        <v>40298</v>
      </c>
      <c r="C886" s="157" t="s">
        <v>34</v>
      </c>
      <c r="D886" s="159">
        <v>15</v>
      </c>
      <c r="E886" s="159">
        <v>1.4442000389099121</v>
      </c>
      <c r="F886" s="159">
        <v>58</v>
      </c>
      <c r="G886" s="115">
        <v>84</v>
      </c>
      <c r="H886" s="115">
        <v>1260</v>
      </c>
    </row>
    <row r="887" spans="1:8" x14ac:dyDescent="0.25">
      <c r="A887" s="157" t="s">
        <v>33</v>
      </c>
      <c r="B887" s="158">
        <v>40298</v>
      </c>
      <c r="C887" s="157" t="s">
        <v>35</v>
      </c>
      <c r="D887" s="159">
        <v>15</v>
      </c>
      <c r="E887" s="159">
        <v>1.4442000389099121</v>
      </c>
      <c r="F887" s="159">
        <v>84</v>
      </c>
      <c r="G887" s="115">
        <v>121</v>
      </c>
      <c r="H887" s="115">
        <v>1815</v>
      </c>
    </row>
    <row r="888" spans="1:8" x14ac:dyDescent="0.25">
      <c r="A888" s="157" t="s">
        <v>33</v>
      </c>
      <c r="B888" s="158">
        <v>40298</v>
      </c>
      <c r="C888" s="157" t="s">
        <v>36</v>
      </c>
      <c r="D888" s="159">
        <v>15</v>
      </c>
      <c r="E888" s="159">
        <v>1.4442000389099121</v>
      </c>
      <c r="F888" s="159">
        <v>159</v>
      </c>
      <c r="G888" s="115">
        <v>230</v>
      </c>
      <c r="H888" s="115">
        <v>3450</v>
      </c>
    </row>
    <row r="889" spans="1:8" x14ac:dyDescent="0.25">
      <c r="A889" s="157" t="s">
        <v>33</v>
      </c>
      <c r="B889" s="158">
        <v>40298</v>
      </c>
      <c r="C889" s="157" t="s">
        <v>40</v>
      </c>
      <c r="D889" s="159">
        <v>15</v>
      </c>
      <c r="E889" s="159">
        <v>1.4442000389099121</v>
      </c>
      <c r="F889" s="159">
        <v>65</v>
      </c>
      <c r="G889" s="115">
        <v>94</v>
      </c>
      <c r="H889" s="115">
        <v>1410</v>
      </c>
    </row>
    <row r="890" spans="1:8" x14ac:dyDescent="0.25">
      <c r="A890" s="157" t="s">
        <v>33</v>
      </c>
      <c r="B890" s="158">
        <v>40298</v>
      </c>
      <c r="C890" s="157" t="s">
        <v>37</v>
      </c>
      <c r="D890" s="159">
        <v>15</v>
      </c>
      <c r="E890" s="159">
        <v>1.4442000389099121</v>
      </c>
      <c r="F890" s="159">
        <v>410</v>
      </c>
      <c r="G890" s="115">
        <v>592</v>
      </c>
      <c r="H890" s="115">
        <v>8880</v>
      </c>
    </row>
    <row r="891" spans="1:8" x14ac:dyDescent="0.25">
      <c r="A891" s="157" t="s">
        <v>33</v>
      </c>
      <c r="B891" s="158">
        <v>40298</v>
      </c>
      <c r="C891" s="157" t="s">
        <v>38</v>
      </c>
      <c r="D891" s="159">
        <v>15</v>
      </c>
      <c r="E891" s="159">
        <v>1.4442000389099121</v>
      </c>
      <c r="F891" s="159">
        <v>616</v>
      </c>
      <c r="G891" s="115">
        <v>890</v>
      </c>
      <c r="H891" s="115">
        <v>13350</v>
      </c>
    </row>
    <row r="892" spans="1:8" x14ac:dyDescent="0.25">
      <c r="A892" s="157" t="s">
        <v>33</v>
      </c>
      <c r="B892" s="158">
        <v>40298</v>
      </c>
      <c r="C892" s="157" t="s">
        <v>39</v>
      </c>
      <c r="D892" s="159">
        <v>15</v>
      </c>
      <c r="E892" s="159">
        <v>1.4442000389099121</v>
      </c>
      <c r="F892" s="159">
        <v>819</v>
      </c>
      <c r="G892" s="115">
        <v>1183</v>
      </c>
      <c r="H892" s="115">
        <v>17745</v>
      </c>
    </row>
    <row r="893" spans="1:8" x14ac:dyDescent="0.25">
      <c r="F893" s="115">
        <f>SUM(F886:F892)</f>
        <v>2211</v>
      </c>
      <c r="G893" s="115">
        <f>SUM(G886:G892)</f>
        <v>3194</v>
      </c>
      <c r="H893" s="115">
        <f>SUM(H886:H892)</f>
        <v>47910</v>
      </c>
    </row>
    <row r="895" spans="1:8" x14ac:dyDescent="0.25">
      <c r="A895" s="156" t="s">
        <v>9</v>
      </c>
      <c r="B895" s="156" t="s">
        <v>8</v>
      </c>
      <c r="C895" s="156" t="s">
        <v>10</v>
      </c>
      <c r="D895" s="156" t="s">
        <v>11</v>
      </c>
      <c r="E895" s="156" t="s">
        <v>12</v>
      </c>
      <c r="F895" s="156" t="s">
        <v>13</v>
      </c>
      <c r="G895" s="156" t="s">
        <v>14</v>
      </c>
      <c r="H895" s="156" t="s">
        <v>15</v>
      </c>
    </row>
    <row r="896" spans="1:8" x14ac:dyDescent="0.25">
      <c r="A896" s="157" t="s">
        <v>1</v>
      </c>
      <c r="B896" s="158">
        <v>40299</v>
      </c>
      <c r="C896" s="157" t="s">
        <v>29</v>
      </c>
      <c r="D896" s="159">
        <v>14.744186046511627</v>
      </c>
      <c r="E896" s="159">
        <v>1.6580666303634644</v>
      </c>
      <c r="F896" s="159">
        <v>10</v>
      </c>
      <c r="G896" s="115">
        <v>17</v>
      </c>
      <c r="H896" s="115">
        <v>251</v>
      </c>
    </row>
    <row r="897" spans="1:8" x14ac:dyDescent="0.25">
      <c r="A897" s="157" t="s">
        <v>1</v>
      </c>
      <c r="B897" s="158">
        <v>40299</v>
      </c>
      <c r="C897" s="157" t="s">
        <v>30</v>
      </c>
      <c r="D897" s="159">
        <v>14.55</v>
      </c>
      <c r="E897" s="159">
        <v>1.6580666303634644</v>
      </c>
      <c r="F897" s="159">
        <v>615</v>
      </c>
      <c r="G897" s="115">
        <v>1020</v>
      </c>
      <c r="H897" s="115">
        <v>15039</v>
      </c>
    </row>
    <row r="898" spans="1:8" x14ac:dyDescent="0.25">
      <c r="A898" s="157" t="s">
        <v>1</v>
      </c>
      <c r="B898" s="158">
        <v>40299</v>
      </c>
      <c r="C898" s="157" t="s">
        <v>31</v>
      </c>
      <c r="D898" s="159">
        <v>15</v>
      </c>
      <c r="E898" s="159">
        <v>1.6580666303634644</v>
      </c>
      <c r="F898" s="159">
        <v>414</v>
      </c>
      <c r="G898" s="115">
        <v>686</v>
      </c>
      <c r="H898" s="115">
        <v>10115</v>
      </c>
    </row>
    <row r="899" spans="1:8" x14ac:dyDescent="0.25">
      <c r="A899" s="157" t="s">
        <v>1</v>
      </c>
      <c r="B899" s="158">
        <v>40299</v>
      </c>
      <c r="C899" s="157" t="s">
        <v>32</v>
      </c>
      <c r="D899" s="159">
        <v>14.75</v>
      </c>
      <c r="E899" s="159">
        <v>1.6580666303634644</v>
      </c>
      <c r="F899" s="159">
        <v>373</v>
      </c>
      <c r="G899" s="115">
        <v>618</v>
      </c>
      <c r="H899" s="115">
        <v>9112</v>
      </c>
    </row>
    <row r="900" spans="1:8" x14ac:dyDescent="0.25">
      <c r="F900" s="115">
        <f>SUM(F896:F899)</f>
        <v>1412</v>
      </c>
      <c r="G900" s="115">
        <f>SUM(G896:G899)</f>
        <v>2341</v>
      </c>
      <c r="H900" s="115">
        <f>SUM(H896:H899)</f>
        <v>34517</v>
      </c>
    </row>
    <row r="902" spans="1:8" x14ac:dyDescent="0.25">
      <c r="A902" s="156" t="s">
        <v>9</v>
      </c>
      <c r="B902" s="156" t="s">
        <v>8</v>
      </c>
      <c r="C902" s="156" t="s">
        <v>10</v>
      </c>
      <c r="D902" s="156" t="s">
        <v>11</v>
      </c>
      <c r="E902" s="156" t="s">
        <v>12</v>
      </c>
      <c r="F902" s="156" t="s">
        <v>13</v>
      </c>
      <c r="G902" s="156" t="s">
        <v>14</v>
      </c>
      <c r="H902" s="156" t="s">
        <v>15</v>
      </c>
    </row>
    <row r="903" spans="1:8" x14ac:dyDescent="0.25">
      <c r="A903" s="157" t="s">
        <v>2</v>
      </c>
      <c r="B903" s="158">
        <v>40299</v>
      </c>
      <c r="C903" s="157" t="s">
        <v>16</v>
      </c>
      <c r="D903" s="159">
        <v>15.058823529411764</v>
      </c>
      <c r="E903" s="159">
        <v>1.5327500104904175</v>
      </c>
      <c r="F903" s="159">
        <v>38</v>
      </c>
      <c r="G903" s="115">
        <v>58</v>
      </c>
      <c r="H903" s="115">
        <v>873</v>
      </c>
    </row>
    <row r="904" spans="1:8" x14ac:dyDescent="0.25">
      <c r="A904" s="157" t="s">
        <v>2</v>
      </c>
      <c r="B904" s="158">
        <v>40299</v>
      </c>
      <c r="C904" s="157" t="s">
        <v>17</v>
      </c>
      <c r="D904" s="159">
        <v>15</v>
      </c>
      <c r="E904" s="159">
        <v>1.5327500104904175</v>
      </c>
      <c r="F904" s="159">
        <v>844</v>
      </c>
      <c r="G904" s="115">
        <v>1294</v>
      </c>
      <c r="H904" s="115">
        <v>19486</v>
      </c>
    </row>
    <row r="905" spans="1:8" x14ac:dyDescent="0.25">
      <c r="A905" s="157" t="s">
        <v>2</v>
      </c>
      <c r="B905" s="158">
        <v>40299</v>
      </c>
      <c r="C905" s="157" t="s">
        <v>18</v>
      </c>
      <c r="D905" s="159">
        <v>15</v>
      </c>
      <c r="E905" s="159">
        <v>1.5327500104904175</v>
      </c>
      <c r="F905" s="159">
        <v>821</v>
      </c>
      <c r="G905" s="115">
        <v>1258</v>
      </c>
      <c r="H905" s="115">
        <v>18944</v>
      </c>
    </row>
    <row r="906" spans="1:8" x14ac:dyDescent="0.25">
      <c r="A906" s="157" t="s">
        <v>2</v>
      </c>
      <c r="B906" s="158">
        <v>40299</v>
      </c>
      <c r="C906" s="157" t="s">
        <v>19</v>
      </c>
      <c r="D906" s="159">
        <v>15</v>
      </c>
      <c r="E906" s="159">
        <v>1.5327500104904175</v>
      </c>
      <c r="F906" s="159">
        <v>516</v>
      </c>
      <c r="G906" s="115">
        <v>791</v>
      </c>
      <c r="H906" s="115">
        <v>11912</v>
      </c>
    </row>
    <row r="907" spans="1:8" x14ac:dyDescent="0.25">
      <c r="A907" s="157" t="s">
        <v>2</v>
      </c>
      <c r="B907" s="158">
        <v>40299</v>
      </c>
      <c r="C907" s="157" t="s">
        <v>20</v>
      </c>
      <c r="D907" s="159">
        <v>15.104166666666666</v>
      </c>
      <c r="E907" s="159">
        <v>1.5327500104904175</v>
      </c>
      <c r="F907" s="159">
        <v>1090</v>
      </c>
      <c r="G907" s="115">
        <v>1671</v>
      </c>
      <c r="H907" s="115">
        <v>25163</v>
      </c>
    </row>
    <row r="908" spans="1:8" x14ac:dyDescent="0.25">
      <c r="A908" s="157" t="s">
        <v>2</v>
      </c>
      <c r="B908" s="158">
        <v>40299</v>
      </c>
      <c r="C908" s="157" t="s">
        <v>21</v>
      </c>
      <c r="D908" s="159">
        <v>15.058823529411764</v>
      </c>
      <c r="E908" s="159">
        <v>1.5327500104904175</v>
      </c>
      <c r="F908" s="159">
        <v>17</v>
      </c>
      <c r="G908" s="115">
        <v>26</v>
      </c>
      <c r="H908" s="115">
        <v>392</v>
      </c>
    </row>
    <row r="909" spans="1:8" x14ac:dyDescent="0.25">
      <c r="F909" s="115">
        <f>SUM(F903:F908)</f>
        <v>3326</v>
      </c>
      <c r="G909" s="115">
        <f>SUM(G903:G908)</f>
        <v>5098</v>
      </c>
      <c r="H909" s="115">
        <f>SUM(H903:H908)</f>
        <v>76770</v>
      </c>
    </row>
    <row r="911" spans="1:8" x14ac:dyDescent="0.25">
      <c r="A911" s="156" t="s">
        <v>9</v>
      </c>
      <c r="B911" s="156" t="s">
        <v>8</v>
      </c>
      <c r="C911" s="156" t="s">
        <v>10</v>
      </c>
      <c r="D911" s="156" t="s">
        <v>11</v>
      </c>
      <c r="E911" s="156" t="s">
        <v>12</v>
      </c>
      <c r="F911" s="156" t="s">
        <v>13</v>
      </c>
      <c r="G911" s="156" t="s">
        <v>14</v>
      </c>
      <c r="H911" s="156" t="s">
        <v>15</v>
      </c>
    </row>
    <row r="912" spans="1:8" x14ac:dyDescent="0.25">
      <c r="A912" s="157" t="s">
        <v>2</v>
      </c>
      <c r="B912" s="158">
        <v>40300</v>
      </c>
      <c r="C912" s="157" t="s">
        <v>16</v>
      </c>
      <c r="D912" s="159">
        <v>15</v>
      </c>
      <c r="E912" s="159">
        <v>1.4883999824523926</v>
      </c>
      <c r="F912" s="159">
        <v>49</v>
      </c>
      <c r="G912" s="115">
        <v>68</v>
      </c>
      <c r="H912" s="115">
        <v>1020</v>
      </c>
    </row>
    <row r="913" spans="1:8" x14ac:dyDescent="0.25">
      <c r="A913" s="157" t="s">
        <v>2</v>
      </c>
      <c r="B913" s="158">
        <v>40300</v>
      </c>
      <c r="C913" s="157" t="s">
        <v>17</v>
      </c>
      <c r="D913" s="159">
        <v>15</v>
      </c>
      <c r="E913" s="159">
        <v>1.4883999824523926</v>
      </c>
      <c r="F913" s="159">
        <v>1061</v>
      </c>
      <c r="G913" s="115">
        <v>1483</v>
      </c>
      <c r="H913" s="115">
        <v>22245</v>
      </c>
    </row>
    <row r="914" spans="1:8" x14ac:dyDescent="0.25">
      <c r="A914" s="157" t="s">
        <v>2</v>
      </c>
      <c r="B914" s="158">
        <v>40300</v>
      </c>
      <c r="C914" s="157" t="s">
        <v>18</v>
      </c>
      <c r="D914" s="159">
        <v>15</v>
      </c>
      <c r="E914" s="159">
        <v>1.4883999824523926</v>
      </c>
      <c r="F914" s="159">
        <v>567</v>
      </c>
      <c r="G914" s="115">
        <v>792</v>
      </c>
      <c r="H914" s="115">
        <v>11880</v>
      </c>
    </row>
    <row r="915" spans="1:8" x14ac:dyDescent="0.25">
      <c r="A915" s="157" t="s">
        <v>2</v>
      </c>
      <c r="B915" s="158">
        <v>40300</v>
      </c>
      <c r="C915" s="157" t="s">
        <v>19</v>
      </c>
      <c r="D915" s="159">
        <v>15</v>
      </c>
      <c r="E915" s="159">
        <v>1.4883999824523926</v>
      </c>
      <c r="F915" s="159">
        <v>893</v>
      </c>
      <c r="G915" s="115">
        <v>1248</v>
      </c>
      <c r="H915" s="115">
        <v>18720</v>
      </c>
    </row>
    <row r="916" spans="1:8" x14ac:dyDescent="0.25">
      <c r="A916" s="157" t="s">
        <v>2</v>
      </c>
      <c r="B916" s="158">
        <v>40300</v>
      </c>
      <c r="C916" s="157" t="s">
        <v>20</v>
      </c>
      <c r="D916" s="159">
        <v>15</v>
      </c>
      <c r="E916" s="159">
        <v>1.4883999824523926</v>
      </c>
      <c r="F916" s="159">
        <v>1112</v>
      </c>
      <c r="G916" s="115">
        <v>1554</v>
      </c>
      <c r="H916" s="115">
        <v>23310</v>
      </c>
    </row>
    <row r="917" spans="1:8" x14ac:dyDescent="0.25">
      <c r="A917" s="157" t="s">
        <v>2</v>
      </c>
      <c r="B917" s="158">
        <v>40300</v>
      </c>
      <c r="C917" s="157" t="s">
        <v>21</v>
      </c>
      <c r="D917" s="159">
        <v>15</v>
      </c>
      <c r="E917" s="159">
        <v>1.4883999824523926</v>
      </c>
      <c r="F917" s="159">
        <v>3</v>
      </c>
      <c r="G917" s="115">
        <v>4</v>
      </c>
      <c r="H917" s="115">
        <v>60</v>
      </c>
    </row>
    <row r="918" spans="1:8" x14ac:dyDescent="0.25">
      <c r="F918" s="115">
        <f>SUM(F912:F917)</f>
        <v>3685</v>
      </c>
      <c r="G918" s="115">
        <f>SUM(G912:G917)</f>
        <v>5149</v>
      </c>
      <c r="H918" s="115">
        <f>SUM(H912:H917)</f>
        <v>77235</v>
      </c>
    </row>
    <row r="920" spans="1:8" x14ac:dyDescent="0.25">
      <c r="A920" s="21" t="s">
        <v>9</v>
      </c>
      <c r="B920" s="21" t="s">
        <v>8</v>
      </c>
      <c r="C920" s="21" t="s">
        <v>10</v>
      </c>
      <c r="D920" s="21" t="s">
        <v>11</v>
      </c>
      <c r="E920" s="21" t="s">
        <v>12</v>
      </c>
      <c r="F920" s="21" t="s">
        <v>13</v>
      </c>
      <c r="G920" s="21" t="s">
        <v>14</v>
      </c>
      <c r="H920" s="21" t="s">
        <v>15</v>
      </c>
    </row>
    <row r="921" spans="1:8" x14ac:dyDescent="0.25">
      <c r="A921" s="22" t="s">
        <v>3</v>
      </c>
      <c r="B921" s="23">
        <v>40300</v>
      </c>
      <c r="C921" s="22" t="s">
        <v>23</v>
      </c>
      <c r="D921" s="114">
        <v>14.955555555555556</v>
      </c>
      <c r="E921" s="114">
        <v>1.4182332754135132</v>
      </c>
      <c r="F921" s="114">
        <v>73</v>
      </c>
      <c r="G921" s="115">
        <v>91</v>
      </c>
      <c r="H921" s="115">
        <v>1361</v>
      </c>
    </row>
    <row r="922" spans="1:8" x14ac:dyDescent="0.25">
      <c r="A922" s="22" t="s">
        <v>3</v>
      </c>
      <c r="B922" s="23">
        <v>40300</v>
      </c>
      <c r="C922" s="22" t="s">
        <v>24</v>
      </c>
      <c r="D922" s="114">
        <v>15</v>
      </c>
      <c r="E922" s="114">
        <v>1.4182332754135132</v>
      </c>
      <c r="F922" s="114">
        <v>217</v>
      </c>
      <c r="G922" s="115">
        <v>272</v>
      </c>
      <c r="H922" s="115">
        <v>4068</v>
      </c>
    </row>
    <row r="923" spans="1:8" x14ac:dyDescent="0.25">
      <c r="A923" s="22" t="s">
        <v>3</v>
      </c>
      <c r="B923" s="23">
        <v>40300</v>
      </c>
      <c r="C923" s="22" t="s">
        <v>25</v>
      </c>
      <c r="D923" s="114">
        <v>15</v>
      </c>
      <c r="E923" s="114">
        <v>1.4182332754135132</v>
      </c>
      <c r="F923" s="114">
        <v>186</v>
      </c>
      <c r="G923" s="115">
        <v>233</v>
      </c>
      <c r="H923" s="115">
        <v>3485</v>
      </c>
    </row>
    <row r="924" spans="1:8" x14ac:dyDescent="0.25">
      <c r="A924" s="22" t="s">
        <v>3</v>
      </c>
      <c r="B924" s="23">
        <v>40300</v>
      </c>
      <c r="C924" s="22" t="s">
        <v>26</v>
      </c>
      <c r="D924" s="114">
        <v>15</v>
      </c>
      <c r="E924" s="114">
        <v>1.4182332754135132</v>
      </c>
      <c r="F924" s="114">
        <v>469</v>
      </c>
      <c r="G924" s="115">
        <v>587</v>
      </c>
      <c r="H924" s="115">
        <v>8779</v>
      </c>
    </row>
    <row r="925" spans="1:8" x14ac:dyDescent="0.25">
      <c r="A925" s="22" t="s">
        <v>3</v>
      </c>
      <c r="B925" s="23">
        <v>40300</v>
      </c>
      <c r="C925" s="22" t="s">
        <v>27</v>
      </c>
      <c r="D925" s="114">
        <v>14.882352941176471</v>
      </c>
      <c r="E925" s="114">
        <v>1.4182332754135132</v>
      </c>
      <c r="F925" s="114">
        <v>230</v>
      </c>
      <c r="G925" s="115">
        <v>288</v>
      </c>
      <c r="H925" s="115">
        <v>4286</v>
      </c>
    </row>
    <row r="926" spans="1:8" x14ac:dyDescent="0.25">
      <c r="A926" s="22" t="s">
        <v>3</v>
      </c>
      <c r="B926" s="23">
        <v>40300</v>
      </c>
      <c r="C926" s="22" t="s">
        <v>28</v>
      </c>
      <c r="D926" s="114">
        <v>15</v>
      </c>
      <c r="E926" s="114">
        <v>1.4182332754135132</v>
      </c>
      <c r="F926" s="114">
        <v>415</v>
      </c>
      <c r="G926" s="115">
        <v>519</v>
      </c>
      <c r="H926" s="115">
        <v>7762</v>
      </c>
    </row>
    <row r="927" spans="1:8" x14ac:dyDescent="0.25">
      <c r="F927" s="115">
        <f>SUM(F921:F926)</f>
        <v>1590</v>
      </c>
      <c r="G927" s="115">
        <f>SUM(G921:G926)</f>
        <v>1990</v>
      </c>
      <c r="H927" s="115">
        <f>SUM(H921:H926)</f>
        <v>29741</v>
      </c>
    </row>
    <row r="929" spans="1:8" x14ac:dyDescent="0.25">
      <c r="A929" s="156" t="s">
        <v>9</v>
      </c>
      <c r="B929" s="156" t="s">
        <v>8</v>
      </c>
      <c r="C929" s="156" t="s">
        <v>10</v>
      </c>
      <c r="D929" s="156" t="s">
        <v>11</v>
      </c>
      <c r="E929" s="156" t="s">
        <v>12</v>
      </c>
      <c r="F929" s="156" t="s">
        <v>13</v>
      </c>
      <c r="G929" s="156" t="s">
        <v>14</v>
      </c>
      <c r="H929" s="156" t="s">
        <v>15</v>
      </c>
    </row>
    <row r="930" spans="1:8" x14ac:dyDescent="0.25">
      <c r="A930" s="157" t="s">
        <v>33</v>
      </c>
      <c r="B930" s="158">
        <v>40299</v>
      </c>
      <c r="C930" s="157" t="s">
        <v>34</v>
      </c>
      <c r="D930" s="159">
        <v>15</v>
      </c>
      <c r="E930" s="159">
        <v>1.4442000389099121</v>
      </c>
      <c r="F930" s="159">
        <v>103</v>
      </c>
      <c r="G930" s="115">
        <v>149</v>
      </c>
      <c r="H930" s="115">
        <v>2235</v>
      </c>
    </row>
    <row r="931" spans="1:8" x14ac:dyDescent="0.25">
      <c r="A931" s="157" t="s">
        <v>33</v>
      </c>
      <c r="B931" s="158">
        <v>40299</v>
      </c>
      <c r="C931" s="157" t="s">
        <v>35</v>
      </c>
      <c r="D931" s="159">
        <v>15</v>
      </c>
      <c r="E931" s="159">
        <v>1.4442000389099121</v>
      </c>
      <c r="F931" s="159">
        <v>148</v>
      </c>
      <c r="G931" s="115">
        <v>214</v>
      </c>
      <c r="H931" s="115">
        <v>3210</v>
      </c>
    </row>
    <row r="932" spans="1:8" x14ac:dyDescent="0.25">
      <c r="A932" s="157" t="s">
        <v>33</v>
      </c>
      <c r="B932" s="158">
        <v>40299</v>
      </c>
      <c r="C932" s="157" t="s">
        <v>36</v>
      </c>
      <c r="D932" s="159">
        <v>15</v>
      </c>
      <c r="E932" s="159">
        <v>1.4442000389099121</v>
      </c>
      <c r="F932" s="159">
        <v>279</v>
      </c>
      <c r="G932" s="115">
        <v>403</v>
      </c>
      <c r="H932" s="115">
        <v>6045</v>
      </c>
    </row>
    <row r="933" spans="1:8" x14ac:dyDescent="0.25">
      <c r="A933" s="157" t="s">
        <v>33</v>
      </c>
      <c r="B933" s="158">
        <v>40299</v>
      </c>
      <c r="C933" s="157" t="s">
        <v>40</v>
      </c>
      <c r="D933" s="159">
        <v>15</v>
      </c>
      <c r="E933" s="159">
        <v>1.4442000389099121</v>
      </c>
      <c r="F933" s="159">
        <v>115</v>
      </c>
      <c r="G933" s="115">
        <v>166</v>
      </c>
      <c r="H933" s="115">
        <v>2490</v>
      </c>
    </row>
    <row r="934" spans="1:8" x14ac:dyDescent="0.25">
      <c r="A934" s="157" t="s">
        <v>33</v>
      </c>
      <c r="B934" s="158">
        <v>40299</v>
      </c>
      <c r="C934" s="157" t="s">
        <v>37</v>
      </c>
      <c r="D934" s="159">
        <v>15</v>
      </c>
      <c r="E934" s="159">
        <v>1.4442000389099121</v>
      </c>
      <c r="F934" s="159">
        <v>893</v>
      </c>
      <c r="G934" s="115">
        <v>1290</v>
      </c>
      <c r="H934" s="115">
        <v>19350</v>
      </c>
    </row>
    <row r="935" spans="1:8" x14ac:dyDescent="0.25">
      <c r="A935" s="157" t="s">
        <v>33</v>
      </c>
      <c r="B935" s="158">
        <v>40299</v>
      </c>
      <c r="C935" s="157" t="s">
        <v>38</v>
      </c>
      <c r="D935" s="159">
        <v>15</v>
      </c>
      <c r="E935" s="159">
        <v>1.4442000389099121</v>
      </c>
      <c r="F935" s="159">
        <v>1109</v>
      </c>
      <c r="G935" s="115">
        <v>1602</v>
      </c>
      <c r="H935" s="115">
        <v>24030</v>
      </c>
    </row>
    <row r="936" spans="1:8" x14ac:dyDescent="0.25">
      <c r="A936" s="157" t="s">
        <v>33</v>
      </c>
      <c r="B936" s="158">
        <v>40299</v>
      </c>
      <c r="C936" s="157" t="s">
        <v>39</v>
      </c>
      <c r="D936" s="159">
        <v>15</v>
      </c>
      <c r="E936" s="159">
        <v>1.4442000389099121</v>
      </c>
      <c r="F936" s="159">
        <v>1246</v>
      </c>
      <c r="G936" s="115">
        <v>1799</v>
      </c>
      <c r="H936" s="115">
        <v>26985</v>
      </c>
    </row>
    <row r="937" spans="1:8" x14ac:dyDescent="0.25">
      <c r="F937" s="115">
        <f>SUM(F930:F936)</f>
        <v>3893</v>
      </c>
      <c r="G937" s="115">
        <f>SUM(G930:G936)</f>
        <v>5623</v>
      </c>
      <c r="H937" s="115">
        <f>SUM(H930:H936)</f>
        <v>84345</v>
      </c>
    </row>
    <row r="939" spans="1:8" x14ac:dyDescent="0.25">
      <c r="A939" s="156" t="s">
        <v>9</v>
      </c>
      <c r="B939" s="156" t="s">
        <v>8</v>
      </c>
      <c r="C939" s="156" t="s">
        <v>10</v>
      </c>
      <c r="D939" s="156" t="s">
        <v>11</v>
      </c>
      <c r="E939" s="156" t="s">
        <v>12</v>
      </c>
      <c r="F939" s="156" t="s">
        <v>13</v>
      </c>
      <c r="G939" s="156" t="s">
        <v>14</v>
      </c>
      <c r="H939" s="156" t="s">
        <v>15</v>
      </c>
    </row>
    <row r="940" spans="1:8" x14ac:dyDescent="0.25">
      <c r="A940" s="157" t="s">
        <v>33</v>
      </c>
      <c r="B940" s="158">
        <v>40300</v>
      </c>
      <c r="C940" s="157" t="s">
        <v>34</v>
      </c>
      <c r="D940" s="159">
        <v>15</v>
      </c>
      <c r="E940" s="159">
        <v>1.5457500219345093</v>
      </c>
      <c r="F940" s="159">
        <v>107</v>
      </c>
      <c r="G940" s="115">
        <v>165</v>
      </c>
      <c r="H940" s="115">
        <v>2475</v>
      </c>
    </row>
    <row r="941" spans="1:8" x14ac:dyDescent="0.25">
      <c r="A941" s="157" t="s">
        <v>33</v>
      </c>
      <c r="B941" s="158">
        <v>40300</v>
      </c>
      <c r="C941" s="157" t="s">
        <v>35</v>
      </c>
      <c r="D941" s="159">
        <v>15</v>
      </c>
      <c r="E941" s="159">
        <v>1.5457500219345093</v>
      </c>
      <c r="F941" s="159">
        <v>154</v>
      </c>
      <c r="G941" s="115">
        <v>238</v>
      </c>
      <c r="H941" s="115">
        <v>3570</v>
      </c>
    </row>
    <row r="942" spans="1:8" x14ac:dyDescent="0.25">
      <c r="A942" s="157" t="s">
        <v>33</v>
      </c>
      <c r="B942" s="158">
        <v>40300</v>
      </c>
      <c r="C942" s="157" t="s">
        <v>36</v>
      </c>
      <c r="D942" s="159">
        <v>15</v>
      </c>
      <c r="E942" s="159">
        <v>1.5457500219345093</v>
      </c>
      <c r="F942" s="159">
        <v>291</v>
      </c>
      <c r="G942" s="115">
        <v>450</v>
      </c>
      <c r="H942" s="115">
        <v>6750</v>
      </c>
    </row>
    <row r="943" spans="1:8" x14ac:dyDescent="0.25">
      <c r="A943" s="157" t="s">
        <v>33</v>
      </c>
      <c r="B943" s="158">
        <v>40300</v>
      </c>
      <c r="C943" s="157" t="s">
        <v>40</v>
      </c>
      <c r="D943" s="159">
        <v>15</v>
      </c>
      <c r="E943" s="159">
        <v>1.5457500219345093</v>
      </c>
      <c r="F943" s="159">
        <v>120</v>
      </c>
      <c r="G943" s="115">
        <v>185</v>
      </c>
      <c r="H943" s="115">
        <v>2775</v>
      </c>
    </row>
    <row r="944" spans="1:8" x14ac:dyDescent="0.25">
      <c r="A944" s="157" t="s">
        <v>33</v>
      </c>
      <c r="B944" s="158">
        <v>40300</v>
      </c>
      <c r="C944" s="157" t="s">
        <v>37</v>
      </c>
      <c r="D944" s="159">
        <v>15</v>
      </c>
      <c r="E944" s="159">
        <v>1.5457500219345093</v>
      </c>
      <c r="F944" s="159">
        <v>775</v>
      </c>
      <c r="G944" s="115">
        <v>1198</v>
      </c>
      <c r="H944" s="115">
        <v>17970</v>
      </c>
    </row>
    <row r="945" spans="1:8" x14ac:dyDescent="0.25">
      <c r="A945" s="157" t="s">
        <v>33</v>
      </c>
      <c r="B945" s="158">
        <v>40300</v>
      </c>
      <c r="C945" s="157" t="s">
        <v>38</v>
      </c>
      <c r="D945" s="159">
        <v>15</v>
      </c>
      <c r="E945" s="159">
        <v>1.5457500219345093</v>
      </c>
      <c r="F945" s="159">
        <v>1130</v>
      </c>
      <c r="G945" s="115">
        <v>1747</v>
      </c>
      <c r="H945" s="115">
        <v>26205</v>
      </c>
    </row>
    <row r="946" spans="1:8" x14ac:dyDescent="0.25">
      <c r="A946" s="157" t="s">
        <v>33</v>
      </c>
      <c r="B946" s="158">
        <v>40300</v>
      </c>
      <c r="C946" s="157" t="s">
        <v>39</v>
      </c>
      <c r="D946" s="159">
        <v>15</v>
      </c>
      <c r="E946" s="159">
        <v>1.5457500219345093</v>
      </c>
      <c r="F946" s="159">
        <v>1481</v>
      </c>
      <c r="G946" s="115">
        <v>2289</v>
      </c>
      <c r="H946" s="115">
        <v>34335</v>
      </c>
    </row>
    <row r="947" spans="1:8" x14ac:dyDescent="0.25">
      <c r="F947" s="115">
        <f>SUM(F940:F946)</f>
        <v>4058</v>
      </c>
      <c r="G947" s="115">
        <f>SUM(G940:G946)</f>
        <v>6272</v>
      </c>
      <c r="H947" s="115">
        <f>SUM(H940:H946)</f>
        <v>94080</v>
      </c>
    </row>
    <row r="949" spans="1:8" x14ac:dyDescent="0.25">
      <c r="A949" s="156" t="s">
        <v>9</v>
      </c>
      <c r="B949" s="156" t="s">
        <v>8</v>
      </c>
      <c r="C949" s="156" t="s">
        <v>10</v>
      </c>
      <c r="D949" s="156" t="s">
        <v>11</v>
      </c>
      <c r="E949" s="156" t="s">
        <v>12</v>
      </c>
      <c r="F949" s="156" t="s">
        <v>13</v>
      </c>
      <c r="G949" s="156" t="s">
        <v>14</v>
      </c>
      <c r="H949" s="156" t="s">
        <v>15</v>
      </c>
    </row>
    <row r="950" spans="1:8" x14ac:dyDescent="0.25">
      <c r="A950" s="157" t="s">
        <v>3</v>
      </c>
      <c r="B950" s="158">
        <v>40313</v>
      </c>
      <c r="C950" s="157" t="s">
        <v>23</v>
      </c>
      <c r="D950" s="159">
        <v>15</v>
      </c>
      <c r="E950" s="159">
        <v>1.4615999460220337</v>
      </c>
      <c r="F950" s="159">
        <v>99</v>
      </c>
      <c r="G950" s="115">
        <v>145</v>
      </c>
      <c r="H950" s="115">
        <v>2175</v>
      </c>
    </row>
    <row r="951" spans="1:8" x14ac:dyDescent="0.25">
      <c r="A951" s="157" t="s">
        <v>3</v>
      </c>
      <c r="B951" s="158">
        <v>40313</v>
      </c>
      <c r="C951" s="157" t="s">
        <v>24</v>
      </c>
      <c r="D951" s="159">
        <v>15</v>
      </c>
      <c r="E951" s="159">
        <v>1.4615999460220337</v>
      </c>
      <c r="F951" s="159">
        <v>131</v>
      </c>
      <c r="G951" s="115">
        <v>191</v>
      </c>
      <c r="H951" s="115">
        <v>2865</v>
      </c>
    </row>
    <row r="952" spans="1:8" x14ac:dyDescent="0.25">
      <c r="A952" s="157" t="s">
        <v>3</v>
      </c>
      <c r="B952" s="158">
        <v>40313</v>
      </c>
      <c r="C952" s="157" t="s">
        <v>25</v>
      </c>
      <c r="D952" s="159">
        <v>15</v>
      </c>
      <c r="E952" s="159">
        <v>1.4615999460220337</v>
      </c>
      <c r="F952" s="159">
        <v>298</v>
      </c>
      <c r="G952" s="115">
        <v>436</v>
      </c>
      <c r="H952" s="115">
        <v>6540</v>
      </c>
    </row>
    <row r="953" spans="1:8" x14ac:dyDescent="0.25">
      <c r="A953" s="157" t="s">
        <v>3</v>
      </c>
      <c r="B953" s="158">
        <v>40313</v>
      </c>
      <c r="C953" s="157" t="s">
        <v>26</v>
      </c>
      <c r="D953" s="159">
        <v>15</v>
      </c>
      <c r="E953" s="159">
        <v>1.4615999460220337</v>
      </c>
      <c r="F953" s="159">
        <v>519</v>
      </c>
      <c r="G953" s="115">
        <v>759</v>
      </c>
      <c r="H953" s="115">
        <v>11385</v>
      </c>
    </row>
    <row r="954" spans="1:8" x14ac:dyDescent="0.25">
      <c r="A954" s="157" t="s">
        <v>3</v>
      </c>
      <c r="B954" s="158">
        <v>40313</v>
      </c>
      <c r="C954" s="157" t="s">
        <v>27</v>
      </c>
      <c r="D954" s="159">
        <v>15</v>
      </c>
      <c r="E954" s="159">
        <v>1.4615999460220337</v>
      </c>
      <c r="F954" s="159">
        <v>150</v>
      </c>
      <c r="G954" s="115">
        <v>219</v>
      </c>
      <c r="H954" s="115">
        <v>3285</v>
      </c>
    </row>
    <row r="955" spans="1:8" x14ac:dyDescent="0.25">
      <c r="A955" s="157" t="s">
        <v>3</v>
      </c>
      <c r="B955" s="158">
        <v>40313</v>
      </c>
      <c r="C955" s="157" t="s">
        <v>28</v>
      </c>
      <c r="D955" s="159">
        <v>15</v>
      </c>
      <c r="E955" s="159">
        <v>1.4615999460220337</v>
      </c>
      <c r="F955" s="159">
        <v>298</v>
      </c>
      <c r="G955" s="115">
        <v>436</v>
      </c>
      <c r="H955" s="115">
        <v>6540</v>
      </c>
    </row>
    <row r="956" spans="1:8" x14ac:dyDescent="0.25">
      <c r="F956" s="115">
        <f>SUM(F950:F955)</f>
        <v>1495</v>
      </c>
      <c r="G956" s="115">
        <f>SUM(G950:G955)</f>
        <v>2186</v>
      </c>
      <c r="H956" s="115">
        <f>SUM(H950:H955)</f>
        <v>32790</v>
      </c>
    </row>
    <row r="958" spans="1:8" x14ac:dyDescent="0.25">
      <c r="A958" s="156" t="s">
        <v>9</v>
      </c>
      <c r="B958" s="156" t="s">
        <v>8</v>
      </c>
      <c r="C958" s="156" t="s">
        <v>10</v>
      </c>
      <c r="D958" s="156" t="s">
        <v>11</v>
      </c>
      <c r="E958" s="156" t="s">
        <v>12</v>
      </c>
      <c r="F958" s="156" t="s">
        <v>13</v>
      </c>
      <c r="G958" s="156" t="s">
        <v>14</v>
      </c>
      <c r="H958" s="156" t="s">
        <v>15</v>
      </c>
    </row>
    <row r="959" spans="1:8" x14ac:dyDescent="0.25">
      <c r="A959" s="157" t="s">
        <v>2</v>
      </c>
      <c r="B959" s="158">
        <v>40313</v>
      </c>
      <c r="C959" s="157" t="s">
        <v>16</v>
      </c>
      <c r="D959" s="159">
        <v>14.727272727272727</v>
      </c>
      <c r="E959" s="159">
        <v>1.4883999824523926</v>
      </c>
      <c r="F959" s="159">
        <v>11</v>
      </c>
      <c r="G959" s="115">
        <v>16</v>
      </c>
      <c r="H959" s="115">
        <v>236</v>
      </c>
    </row>
    <row r="960" spans="1:8" x14ac:dyDescent="0.25">
      <c r="A960" s="157" t="s">
        <v>2</v>
      </c>
      <c r="B960" s="158">
        <v>40313</v>
      </c>
      <c r="C960" s="157" t="s">
        <v>17</v>
      </c>
      <c r="D960" s="159">
        <v>15</v>
      </c>
      <c r="E960" s="159">
        <v>1.4883999824523926</v>
      </c>
      <c r="F960" s="159">
        <v>729</v>
      </c>
      <c r="G960" s="115">
        <v>1066</v>
      </c>
      <c r="H960" s="115">
        <v>15699</v>
      </c>
    </row>
    <row r="961" spans="1:8" x14ac:dyDescent="0.25">
      <c r="A961" s="157" t="s">
        <v>2</v>
      </c>
      <c r="B961" s="158">
        <v>40313</v>
      </c>
      <c r="C961" s="157" t="s">
        <v>18</v>
      </c>
      <c r="D961" s="159">
        <v>15</v>
      </c>
      <c r="E961" s="159">
        <v>1.4883999824523926</v>
      </c>
      <c r="F961" s="159">
        <v>616</v>
      </c>
      <c r="G961" s="115">
        <v>900</v>
      </c>
      <c r="H961" s="115">
        <v>13255</v>
      </c>
    </row>
    <row r="962" spans="1:8" x14ac:dyDescent="0.25">
      <c r="A962" s="157" t="s">
        <v>2</v>
      </c>
      <c r="B962" s="158">
        <v>40313</v>
      </c>
      <c r="C962" s="157" t="s">
        <v>19</v>
      </c>
      <c r="D962" s="159">
        <v>15</v>
      </c>
      <c r="E962" s="159">
        <v>1.4883999824523926</v>
      </c>
      <c r="F962" s="159">
        <v>445</v>
      </c>
      <c r="G962" s="115">
        <v>651</v>
      </c>
      <c r="H962" s="115">
        <v>9587</v>
      </c>
    </row>
    <row r="963" spans="1:8" x14ac:dyDescent="0.25">
      <c r="A963" s="157" t="s">
        <v>2</v>
      </c>
      <c r="B963" s="158">
        <v>40313</v>
      </c>
      <c r="C963" s="157" t="s">
        <v>20</v>
      </c>
      <c r="D963" s="159">
        <v>15</v>
      </c>
      <c r="E963" s="159">
        <v>1.4883999824523926</v>
      </c>
      <c r="F963" s="159">
        <v>758</v>
      </c>
      <c r="G963" s="115">
        <v>1108</v>
      </c>
      <c r="H963" s="115">
        <v>16318</v>
      </c>
    </row>
    <row r="964" spans="1:8" x14ac:dyDescent="0.25">
      <c r="A964" s="157" t="s">
        <v>2</v>
      </c>
      <c r="B964" s="158">
        <v>40313</v>
      </c>
      <c r="C964" s="157" t="s">
        <v>21</v>
      </c>
      <c r="D964" s="159">
        <v>7.5</v>
      </c>
      <c r="E964" s="159">
        <v>1.4883999824523926</v>
      </c>
      <c r="F964" s="159">
        <v>5</v>
      </c>
      <c r="G964" s="115">
        <v>7</v>
      </c>
      <c r="H964" s="115">
        <v>52</v>
      </c>
    </row>
    <row r="965" spans="1:8" x14ac:dyDescent="0.25">
      <c r="F965" s="115">
        <f>SUM(F959:F964)</f>
        <v>2564</v>
      </c>
      <c r="G965" s="115">
        <f>SUM(G959:G964)</f>
        <v>3748</v>
      </c>
      <c r="H965" s="115">
        <f>SUM(H959:H964)</f>
        <v>55147</v>
      </c>
    </row>
    <row r="967" spans="1:8" x14ac:dyDescent="0.25">
      <c r="A967" s="156" t="s">
        <v>9</v>
      </c>
      <c r="B967" s="156" t="s">
        <v>8</v>
      </c>
      <c r="C967" s="156" t="s">
        <v>10</v>
      </c>
      <c r="D967" s="156" t="s">
        <v>11</v>
      </c>
      <c r="E967" s="156" t="s">
        <v>12</v>
      </c>
      <c r="F967" s="156" t="s">
        <v>13</v>
      </c>
      <c r="G967" s="156" t="s">
        <v>14</v>
      </c>
      <c r="H967" s="156" t="s">
        <v>15</v>
      </c>
    </row>
    <row r="968" spans="1:8" x14ac:dyDescent="0.25">
      <c r="A968" s="157" t="s">
        <v>1</v>
      </c>
      <c r="B968" s="158">
        <v>40314</v>
      </c>
      <c r="C968" s="157" t="s">
        <v>29</v>
      </c>
      <c r="D968" s="159">
        <v>15</v>
      </c>
      <c r="E968" s="159">
        <v>1.4352333545684814</v>
      </c>
      <c r="F968" s="159">
        <v>6</v>
      </c>
      <c r="G968" s="115">
        <v>9</v>
      </c>
      <c r="H968" s="115">
        <v>135</v>
      </c>
    </row>
    <row r="969" spans="1:8" x14ac:dyDescent="0.25">
      <c r="A969" s="157" t="s">
        <v>1</v>
      </c>
      <c r="B969" s="158">
        <v>40314</v>
      </c>
      <c r="C969" s="157" t="s">
        <v>30</v>
      </c>
      <c r="D969" s="159">
        <v>15</v>
      </c>
      <c r="E969" s="159">
        <v>1.4352333545684814</v>
      </c>
      <c r="F969" s="159">
        <v>616</v>
      </c>
      <c r="G969" s="115">
        <v>884</v>
      </c>
      <c r="H969" s="115">
        <v>13260</v>
      </c>
    </row>
    <row r="970" spans="1:8" x14ac:dyDescent="0.25">
      <c r="A970" s="157" t="s">
        <v>1</v>
      </c>
      <c r="B970" s="158">
        <v>40314</v>
      </c>
      <c r="C970" s="157" t="s">
        <v>31</v>
      </c>
      <c r="D970" s="159">
        <v>15</v>
      </c>
      <c r="E970" s="159">
        <v>1.4352333545684814</v>
      </c>
      <c r="F970" s="159">
        <v>780</v>
      </c>
      <c r="G970" s="115">
        <v>1119</v>
      </c>
      <c r="H970" s="115">
        <v>16785</v>
      </c>
    </row>
    <row r="971" spans="1:8" x14ac:dyDescent="0.25">
      <c r="A971" s="157" t="s">
        <v>1</v>
      </c>
      <c r="B971" s="158">
        <v>40314</v>
      </c>
      <c r="C971" s="157" t="s">
        <v>32</v>
      </c>
      <c r="D971" s="159">
        <v>15</v>
      </c>
      <c r="E971" s="159">
        <v>1.4352333545684814</v>
      </c>
      <c r="F971" s="159">
        <v>563</v>
      </c>
      <c r="G971" s="115">
        <v>808</v>
      </c>
      <c r="H971" s="115">
        <v>12120</v>
      </c>
    </row>
    <row r="972" spans="1:8" x14ac:dyDescent="0.25">
      <c r="F972" s="115">
        <f>SUM(F968:F971)</f>
        <v>1965</v>
      </c>
      <c r="G972" s="115">
        <f>SUM(G968:G971)</f>
        <v>2820</v>
      </c>
      <c r="H972" s="115">
        <f>SUM(H968:H971)</f>
        <v>42300</v>
      </c>
    </row>
    <row r="974" spans="1:8" x14ac:dyDescent="0.25">
      <c r="A974" s="156" t="s">
        <v>9</v>
      </c>
      <c r="B974" s="156" t="s">
        <v>8</v>
      </c>
      <c r="C974" s="156" t="s">
        <v>10</v>
      </c>
      <c r="D974" s="156" t="s">
        <v>11</v>
      </c>
      <c r="E974" s="156" t="s">
        <v>12</v>
      </c>
      <c r="F974" s="156" t="s">
        <v>13</v>
      </c>
      <c r="G974" s="156" t="s">
        <v>14</v>
      </c>
      <c r="H974" s="156" t="s">
        <v>15</v>
      </c>
    </row>
    <row r="975" spans="1:8" x14ac:dyDescent="0.25">
      <c r="A975" s="157" t="s">
        <v>33</v>
      </c>
      <c r="B975" s="158">
        <v>40313</v>
      </c>
      <c r="C975" s="157" t="s">
        <v>34</v>
      </c>
      <c r="D975" s="159">
        <v>15</v>
      </c>
      <c r="E975" s="159">
        <v>1.5457500219345093</v>
      </c>
      <c r="F975" s="159">
        <v>94</v>
      </c>
      <c r="G975" s="115">
        <v>145</v>
      </c>
      <c r="H975" s="115">
        <v>2175</v>
      </c>
    </row>
    <row r="976" spans="1:8" x14ac:dyDescent="0.25">
      <c r="A976" s="157" t="s">
        <v>33</v>
      </c>
      <c r="B976" s="158">
        <v>40313</v>
      </c>
      <c r="C976" s="157" t="s">
        <v>35</v>
      </c>
      <c r="D976" s="159">
        <v>15</v>
      </c>
      <c r="E976" s="159">
        <v>1.5457500219345093</v>
      </c>
      <c r="F976" s="159">
        <v>136</v>
      </c>
      <c r="G976" s="115">
        <v>210</v>
      </c>
      <c r="H976" s="115">
        <v>3150</v>
      </c>
    </row>
    <row r="977" spans="1:8" x14ac:dyDescent="0.25">
      <c r="A977" s="157" t="s">
        <v>33</v>
      </c>
      <c r="B977" s="158">
        <v>40313</v>
      </c>
      <c r="C977" s="157" t="s">
        <v>36</v>
      </c>
      <c r="D977" s="159">
        <v>15</v>
      </c>
      <c r="E977" s="159">
        <v>1.5457500219345093</v>
      </c>
      <c r="F977" s="159">
        <v>256</v>
      </c>
      <c r="G977" s="115">
        <v>396</v>
      </c>
      <c r="H977" s="115">
        <v>5940</v>
      </c>
    </row>
    <row r="978" spans="1:8" x14ac:dyDescent="0.25">
      <c r="A978" s="157" t="s">
        <v>33</v>
      </c>
      <c r="B978" s="158">
        <v>40313</v>
      </c>
      <c r="C978" s="157" t="s">
        <v>40</v>
      </c>
      <c r="D978" s="159">
        <v>15</v>
      </c>
      <c r="E978" s="159">
        <v>1.5457500219345093</v>
      </c>
      <c r="F978" s="159">
        <v>106</v>
      </c>
      <c r="G978" s="115">
        <v>164</v>
      </c>
      <c r="H978" s="115">
        <v>2460</v>
      </c>
    </row>
    <row r="979" spans="1:8" x14ac:dyDescent="0.25">
      <c r="A979" s="157" t="s">
        <v>33</v>
      </c>
      <c r="B979" s="158">
        <v>40313</v>
      </c>
      <c r="C979" s="157" t="s">
        <v>37</v>
      </c>
      <c r="D979" s="159">
        <v>15</v>
      </c>
      <c r="E979" s="159">
        <v>1.5457500219345093</v>
      </c>
      <c r="F979" s="159">
        <v>915</v>
      </c>
      <c r="G979" s="115">
        <v>1414</v>
      </c>
      <c r="H979" s="115">
        <v>21210</v>
      </c>
    </row>
    <row r="980" spans="1:8" x14ac:dyDescent="0.25">
      <c r="A980" s="157" t="s">
        <v>33</v>
      </c>
      <c r="B980" s="158">
        <v>40313</v>
      </c>
      <c r="C980" s="157" t="s">
        <v>38</v>
      </c>
      <c r="D980" s="159">
        <v>15</v>
      </c>
      <c r="E980" s="159">
        <v>1.5457500219345093</v>
      </c>
      <c r="F980" s="159">
        <v>1242</v>
      </c>
      <c r="G980" s="115">
        <v>1920</v>
      </c>
      <c r="H980" s="115">
        <v>28800</v>
      </c>
    </row>
    <row r="981" spans="1:8" x14ac:dyDescent="0.25">
      <c r="A981" s="157" t="s">
        <v>33</v>
      </c>
      <c r="B981" s="158">
        <v>40313</v>
      </c>
      <c r="C981" s="157" t="s">
        <v>39</v>
      </c>
      <c r="D981" s="159">
        <v>15</v>
      </c>
      <c r="E981" s="159">
        <v>1.5457500219345093</v>
      </c>
      <c r="F981" s="159">
        <v>829</v>
      </c>
      <c r="G981" s="115">
        <v>1281</v>
      </c>
      <c r="H981" s="115">
        <v>19215</v>
      </c>
    </row>
    <row r="982" spans="1:8" x14ac:dyDescent="0.25">
      <c r="F982" s="115">
        <f>SUM(F975:F981)</f>
        <v>3578</v>
      </c>
      <c r="G982" s="115">
        <f>SUM(G975:G981)</f>
        <v>5530</v>
      </c>
      <c r="H982" s="115">
        <f>SUM(H975:H981)</f>
        <v>82950</v>
      </c>
    </row>
  </sheetData>
  <pageMargins left="0.7" right="0.7" top="0.75" bottom="0.75" header="0.3" footer="0.3"/>
  <pageSetup orientation="landscape" r:id="rId1"/>
  <ignoredErrors>
    <ignoredError sqref="I146"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41"/>
  <sheetViews>
    <sheetView topLeftCell="C1" workbookViewId="0">
      <selection activeCell="Q44" sqref="Q44"/>
    </sheetView>
  </sheetViews>
  <sheetFormatPr defaultRowHeight="15" x14ac:dyDescent="0.25"/>
  <cols>
    <col min="1" max="1" width="12.5703125" bestFit="1" customWidth="1"/>
    <col min="2" max="2" width="12.140625" style="236" bestFit="1" customWidth="1"/>
    <col min="3" max="3" width="12" bestFit="1" customWidth="1"/>
    <col min="4" max="4" width="12.28515625" bestFit="1" customWidth="1"/>
    <col min="5" max="5" width="12" bestFit="1" customWidth="1"/>
  </cols>
  <sheetData>
    <row r="1" spans="1:20" x14ac:dyDescent="0.25">
      <c r="A1" t="s">
        <v>9</v>
      </c>
      <c r="B1" s="236" t="s">
        <v>8</v>
      </c>
      <c r="C1" t="s">
        <v>13</v>
      </c>
      <c r="D1" t="s">
        <v>14</v>
      </c>
      <c r="E1" t="s">
        <v>15</v>
      </c>
    </row>
    <row r="2" spans="1:20" x14ac:dyDescent="0.25">
      <c r="A2" t="s">
        <v>33</v>
      </c>
      <c r="B2" s="236">
        <v>40102</v>
      </c>
      <c r="C2">
        <v>29</v>
      </c>
      <c r="D2">
        <v>43</v>
      </c>
      <c r="E2">
        <v>645</v>
      </c>
    </row>
    <row r="3" spans="1:20" x14ac:dyDescent="0.25">
      <c r="A3" t="s">
        <v>33</v>
      </c>
      <c r="B3" s="236">
        <v>40102</v>
      </c>
      <c r="C3">
        <v>79</v>
      </c>
      <c r="D3">
        <v>118</v>
      </c>
      <c r="E3">
        <v>502</v>
      </c>
    </row>
    <row r="4" spans="1:20" x14ac:dyDescent="0.25">
      <c r="A4" t="s">
        <v>33</v>
      </c>
      <c r="B4" s="236">
        <v>40102</v>
      </c>
      <c r="C4">
        <v>145</v>
      </c>
      <c r="D4">
        <v>217</v>
      </c>
      <c r="E4">
        <v>1235</v>
      </c>
    </row>
    <row r="5" spans="1:20" x14ac:dyDescent="0.25">
      <c r="A5" t="s">
        <v>33</v>
      </c>
      <c r="B5" s="236">
        <v>40102</v>
      </c>
      <c r="C5">
        <v>74</v>
      </c>
      <c r="D5">
        <v>111</v>
      </c>
      <c r="E5">
        <v>931</v>
      </c>
    </row>
    <row r="6" spans="1:20" x14ac:dyDescent="0.25">
      <c r="A6" t="s">
        <v>33</v>
      </c>
      <c r="B6" s="236">
        <v>40102</v>
      </c>
      <c r="C6">
        <v>295</v>
      </c>
      <c r="D6">
        <v>442</v>
      </c>
      <c r="E6">
        <v>5642</v>
      </c>
    </row>
    <row r="7" spans="1:20" x14ac:dyDescent="0.25">
      <c r="A7" t="s">
        <v>33</v>
      </c>
      <c r="B7" s="236">
        <v>40102</v>
      </c>
      <c r="C7">
        <v>525</v>
      </c>
      <c r="D7">
        <v>786</v>
      </c>
      <c r="E7">
        <v>8615</v>
      </c>
    </row>
    <row r="8" spans="1:20" x14ac:dyDescent="0.25">
      <c r="A8" t="s">
        <v>33</v>
      </c>
      <c r="B8" s="236">
        <v>40102</v>
      </c>
      <c r="C8">
        <v>543</v>
      </c>
      <c r="D8">
        <v>813</v>
      </c>
      <c r="E8">
        <v>8910</v>
      </c>
    </row>
    <row r="9" spans="1:20" x14ac:dyDescent="0.25">
      <c r="C9">
        <v>1690</v>
      </c>
      <c r="D9">
        <v>2530</v>
      </c>
      <c r="E9">
        <v>26480</v>
      </c>
    </row>
    <row r="10" spans="1:20" x14ac:dyDescent="0.25">
      <c r="H10" t="s">
        <v>107</v>
      </c>
      <c r="K10" t="s">
        <v>3</v>
      </c>
      <c r="N10" t="s">
        <v>1</v>
      </c>
      <c r="Q10" t="s">
        <v>0</v>
      </c>
    </row>
    <row r="11" spans="1:20" x14ac:dyDescent="0.25">
      <c r="A11" t="s">
        <v>9</v>
      </c>
      <c r="B11" s="236" t="s">
        <v>8</v>
      </c>
      <c r="C11" t="s">
        <v>13</v>
      </c>
      <c r="D11" t="s">
        <v>14</v>
      </c>
      <c r="E11" t="s">
        <v>15</v>
      </c>
      <c r="H11">
        <v>2519</v>
      </c>
      <c r="I11">
        <v>3749</v>
      </c>
      <c r="K11" s="20">
        <v>2078</v>
      </c>
      <c r="L11" s="20">
        <v>2903</v>
      </c>
      <c r="N11" s="20">
        <v>870</v>
      </c>
      <c r="O11" s="20">
        <v>1225</v>
      </c>
      <c r="Q11" s="20">
        <v>1690</v>
      </c>
      <c r="R11" s="239">
        <v>2530</v>
      </c>
      <c r="S11" s="238">
        <v>2530</v>
      </c>
    </row>
    <row r="12" spans="1:20" x14ac:dyDescent="0.25">
      <c r="A12" t="s">
        <v>33</v>
      </c>
      <c r="B12" s="236">
        <v>40103</v>
      </c>
      <c r="C12">
        <v>55</v>
      </c>
      <c r="D12">
        <v>79</v>
      </c>
      <c r="E12">
        <v>1185</v>
      </c>
      <c r="H12">
        <v>3533</v>
      </c>
      <c r="I12">
        <v>5141</v>
      </c>
      <c r="K12" s="20">
        <v>760</v>
      </c>
      <c r="L12" s="20">
        <v>1017</v>
      </c>
      <c r="N12" s="20">
        <v>1393</v>
      </c>
      <c r="O12" s="20">
        <v>1920</v>
      </c>
      <c r="Q12" s="20">
        <v>3000</v>
      </c>
      <c r="R12" s="239">
        <v>4331</v>
      </c>
      <c r="S12" s="238">
        <v>4331</v>
      </c>
    </row>
    <row r="13" spans="1:20" x14ac:dyDescent="0.25">
      <c r="A13" t="s">
        <v>33</v>
      </c>
      <c r="B13" s="236">
        <v>40103</v>
      </c>
      <c r="C13">
        <v>149</v>
      </c>
      <c r="D13">
        <v>215</v>
      </c>
      <c r="E13">
        <v>3225</v>
      </c>
      <c r="H13">
        <v>1572</v>
      </c>
      <c r="I13">
        <v>2172</v>
      </c>
      <c r="K13" s="20">
        <v>1752</v>
      </c>
      <c r="L13" s="20">
        <v>2232</v>
      </c>
      <c r="N13" s="20">
        <v>915</v>
      </c>
      <c r="O13" s="20">
        <v>1341</v>
      </c>
      <c r="Q13" s="20"/>
      <c r="R13" s="20"/>
      <c r="S13" s="218">
        <v>2002.7164935604487</v>
      </c>
      <c r="T13" s="20">
        <f>S13+S15+S16+S19+S22+S24+S27+S31+S47</f>
        <v>20641.813779625252</v>
      </c>
    </row>
    <row r="14" spans="1:20" x14ac:dyDescent="0.25">
      <c r="A14" t="s">
        <v>33</v>
      </c>
      <c r="B14" s="236">
        <v>40103</v>
      </c>
      <c r="C14">
        <v>273</v>
      </c>
      <c r="D14">
        <v>394</v>
      </c>
      <c r="E14">
        <v>5910</v>
      </c>
      <c r="H14">
        <v>2787</v>
      </c>
      <c r="I14">
        <v>3582</v>
      </c>
      <c r="K14" s="20">
        <v>635</v>
      </c>
      <c r="L14" s="20">
        <v>942</v>
      </c>
      <c r="N14" s="20">
        <v>854</v>
      </c>
      <c r="O14" s="20">
        <v>1294</v>
      </c>
      <c r="Q14" s="20">
        <v>524</v>
      </c>
      <c r="R14" s="239">
        <v>865</v>
      </c>
      <c r="S14" s="238">
        <v>865</v>
      </c>
    </row>
    <row r="15" spans="1:20" x14ac:dyDescent="0.25">
      <c r="A15" t="s">
        <v>33</v>
      </c>
      <c r="B15" s="236">
        <v>40103</v>
      </c>
      <c r="C15">
        <v>139</v>
      </c>
      <c r="D15">
        <v>201</v>
      </c>
      <c r="E15">
        <v>3015</v>
      </c>
      <c r="H15">
        <v>1352</v>
      </c>
      <c r="I15">
        <v>2196</v>
      </c>
      <c r="K15" s="20">
        <v>319</v>
      </c>
      <c r="L15" s="20">
        <v>459</v>
      </c>
      <c r="N15" s="20">
        <v>725</v>
      </c>
      <c r="O15" s="20">
        <v>1065</v>
      </c>
      <c r="Q15" s="20">
        <v>2955</v>
      </c>
      <c r="R15" s="239">
        <v>4282</v>
      </c>
      <c r="S15" s="218">
        <v>368.45534787123574</v>
      </c>
    </row>
    <row r="16" spans="1:20" x14ac:dyDescent="0.25">
      <c r="A16" t="s">
        <v>33</v>
      </c>
      <c r="B16" s="236">
        <v>40103</v>
      </c>
      <c r="C16">
        <v>568</v>
      </c>
      <c r="D16">
        <v>820</v>
      </c>
      <c r="E16">
        <v>12300</v>
      </c>
      <c r="H16">
        <v>273</v>
      </c>
      <c r="I16">
        <v>355</v>
      </c>
      <c r="K16" s="20">
        <v>560</v>
      </c>
      <c r="L16" s="20">
        <v>813</v>
      </c>
      <c r="N16" s="20">
        <v>106</v>
      </c>
      <c r="O16" s="20">
        <v>156</v>
      </c>
      <c r="Q16" s="20">
        <v>1333</v>
      </c>
      <c r="R16" s="239">
        <v>1715</v>
      </c>
      <c r="S16" s="218">
        <v>492.19718309859155</v>
      </c>
    </row>
    <row r="17" spans="1:19" x14ac:dyDescent="0.25">
      <c r="A17" t="s">
        <v>33</v>
      </c>
      <c r="B17" s="236">
        <v>40103</v>
      </c>
      <c r="C17">
        <v>692</v>
      </c>
      <c r="D17">
        <v>999</v>
      </c>
      <c r="E17">
        <v>14985</v>
      </c>
      <c r="H17">
        <v>765</v>
      </c>
      <c r="I17">
        <v>1231</v>
      </c>
      <c r="K17" s="20">
        <v>374</v>
      </c>
      <c r="L17" s="20">
        <v>576</v>
      </c>
      <c r="N17" s="20">
        <v>432</v>
      </c>
      <c r="O17" s="20">
        <v>606</v>
      </c>
      <c r="P17" s="37"/>
      <c r="Q17" s="20">
        <v>997</v>
      </c>
      <c r="R17" s="239">
        <v>1396</v>
      </c>
      <c r="S17" s="238">
        <v>4282</v>
      </c>
    </row>
    <row r="18" spans="1:19" x14ac:dyDescent="0.25">
      <c r="A18" t="s">
        <v>33</v>
      </c>
      <c r="B18" s="236">
        <v>40103</v>
      </c>
      <c r="C18">
        <v>1124</v>
      </c>
      <c r="D18">
        <v>1623</v>
      </c>
      <c r="E18">
        <v>24345</v>
      </c>
      <c r="H18">
        <v>848</v>
      </c>
      <c r="I18">
        <v>1395</v>
      </c>
      <c r="K18" s="20">
        <v>795</v>
      </c>
      <c r="L18" s="20">
        <v>1150</v>
      </c>
      <c r="N18" s="20">
        <v>1416</v>
      </c>
      <c r="O18" s="20">
        <v>1733</v>
      </c>
      <c r="Q18" s="20">
        <v>744</v>
      </c>
      <c r="R18" s="239">
        <v>894</v>
      </c>
      <c r="S18" s="238">
        <v>1715</v>
      </c>
    </row>
    <row r="19" spans="1:19" x14ac:dyDescent="0.25">
      <c r="C19">
        <v>3000</v>
      </c>
      <c r="D19">
        <v>4331</v>
      </c>
      <c r="E19">
        <v>64965</v>
      </c>
      <c r="H19">
        <v>662</v>
      </c>
      <c r="I19">
        <v>1071</v>
      </c>
      <c r="K19" s="20">
        <v>1304</v>
      </c>
      <c r="L19" s="20">
        <v>1884</v>
      </c>
      <c r="N19" s="20">
        <v>477</v>
      </c>
      <c r="O19" s="20">
        <v>625</v>
      </c>
      <c r="Q19" s="20">
        <v>1533</v>
      </c>
      <c r="R19" s="239">
        <v>2025</v>
      </c>
      <c r="S19" s="218">
        <v>368.45534787123574</v>
      </c>
    </row>
    <row r="20" spans="1:19" x14ac:dyDescent="0.25">
      <c r="H20">
        <v>2187</v>
      </c>
      <c r="I20">
        <v>3582</v>
      </c>
      <c r="K20" s="20">
        <v>1205</v>
      </c>
      <c r="L20" s="20">
        <v>1578</v>
      </c>
      <c r="N20" s="20">
        <v>205</v>
      </c>
      <c r="O20" s="20">
        <v>283</v>
      </c>
      <c r="Q20" s="20">
        <v>2297</v>
      </c>
      <c r="R20" s="239">
        <v>2795</v>
      </c>
      <c r="S20" s="238">
        <v>1396</v>
      </c>
    </row>
    <row r="21" spans="1:19" x14ac:dyDescent="0.25">
      <c r="A21" t="s">
        <v>9</v>
      </c>
      <c r="B21" s="236" t="s">
        <v>8</v>
      </c>
      <c r="C21" t="s">
        <v>42</v>
      </c>
      <c r="D21" t="s">
        <v>43</v>
      </c>
      <c r="E21" t="s">
        <v>15</v>
      </c>
      <c r="H21">
        <v>2174</v>
      </c>
      <c r="I21">
        <v>3727</v>
      </c>
      <c r="K21" s="20">
        <v>1099</v>
      </c>
      <c r="L21" s="20">
        <v>1690</v>
      </c>
      <c r="N21" s="20">
        <v>472</v>
      </c>
      <c r="O21" s="20">
        <v>651</v>
      </c>
      <c r="Q21" s="20">
        <v>2126</v>
      </c>
      <c r="R21" s="239">
        <v>2703</v>
      </c>
      <c r="S21" s="238">
        <v>894</v>
      </c>
    </row>
    <row r="22" spans="1:19" x14ac:dyDescent="0.25">
      <c r="A22" t="s">
        <v>4</v>
      </c>
      <c r="B22" s="236">
        <v>40103</v>
      </c>
      <c r="C22">
        <v>0</v>
      </c>
      <c r="D22">
        <v>0</v>
      </c>
      <c r="E22">
        <v>0</v>
      </c>
      <c r="H22">
        <v>1693</v>
      </c>
      <c r="I22">
        <v>2742</v>
      </c>
      <c r="K22" s="20">
        <v>1730</v>
      </c>
      <c r="L22" s="20">
        <v>2584</v>
      </c>
      <c r="N22" s="20">
        <v>284</v>
      </c>
      <c r="O22" s="20">
        <v>391</v>
      </c>
      <c r="Q22" s="20">
        <v>3629</v>
      </c>
      <c r="R22" s="239">
        <v>4661</v>
      </c>
      <c r="S22" s="218">
        <v>821.3026113671275</v>
      </c>
    </row>
    <row r="23" spans="1:19" x14ac:dyDescent="0.25">
      <c r="A23" t="s">
        <v>4</v>
      </c>
      <c r="B23" s="236">
        <v>40103</v>
      </c>
      <c r="C23">
        <v>20</v>
      </c>
      <c r="D23">
        <v>28.56862745098039</v>
      </c>
      <c r="E23">
        <v>418.81607843137255</v>
      </c>
      <c r="H23">
        <v>2416</v>
      </c>
      <c r="I23">
        <v>3899</v>
      </c>
      <c r="K23" s="20">
        <v>714</v>
      </c>
      <c r="L23" s="20">
        <v>994.4480094909668</v>
      </c>
      <c r="N23" s="20">
        <v>262</v>
      </c>
      <c r="O23" s="20">
        <v>383</v>
      </c>
      <c r="Q23" s="20">
        <v>1207</v>
      </c>
      <c r="R23" s="239">
        <v>1411</v>
      </c>
      <c r="S23" s="238">
        <v>2025</v>
      </c>
    </row>
    <row r="24" spans="1:19" x14ac:dyDescent="0.25">
      <c r="A24" t="s">
        <v>4</v>
      </c>
      <c r="B24" s="236">
        <v>40103</v>
      </c>
      <c r="C24">
        <v>62</v>
      </c>
      <c r="D24">
        <v>90.334000000000003</v>
      </c>
      <c r="E24">
        <v>865.19897777777794</v>
      </c>
      <c r="H24">
        <v>2832</v>
      </c>
      <c r="I24">
        <v>4402</v>
      </c>
      <c r="K24">
        <v>1191</v>
      </c>
      <c r="L24">
        <v>1560</v>
      </c>
      <c r="N24" s="20">
        <v>659</v>
      </c>
      <c r="O24" s="20">
        <v>805</v>
      </c>
      <c r="Q24" s="20">
        <v>2877</v>
      </c>
      <c r="R24" s="239">
        <v>4148</v>
      </c>
      <c r="S24" s="218">
        <v>2864.6428183103185</v>
      </c>
    </row>
    <row r="25" spans="1:19" x14ac:dyDescent="0.25">
      <c r="A25" t="s">
        <v>4</v>
      </c>
      <c r="B25" s="236">
        <v>40103</v>
      </c>
      <c r="C25">
        <v>133</v>
      </c>
      <c r="D25">
        <v>189.9813725490196</v>
      </c>
      <c r="E25">
        <v>2785.1269215686275</v>
      </c>
      <c r="H25">
        <v>966</v>
      </c>
      <c r="I25">
        <v>1568</v>
      </c>
      <c r="K25">
        <v>1373</v>
      </c>
      <c r="L25">
        <v>1843</v>
      </c>
      <c r="N25" s="20">
        <v>576</v>
      </c>
      <c r="O25" s="20">
        <v>679</v>
      </c>
      <c r="Q25" s="20">
        <v>1714</v>
      </c>
      <c r="R25" s="239">
        <v>2381</v>
      </c>
      <c r="S25" s="238">
        <v>2795</v>
      </c>
    </row>
    <row r="26" spans="1:19" x14ac:dyDescent="0.25">
      <c r="A26" t="s">
        <v>4</v>
      </c>
      <c r="B26" s="236">
        <v>40103</v>
      </c>
      <c r="C26">
        <v>89</v>
      </c>
      <c r="D26">
        <v>118.39708695652175</v>
      </c>
      <c r="E26">
        <v>1757.1631159420242</v>
      </c>
      <c r="H26">
        <v>2168</v>
      </c>
      <c r="I26">
        <v>3187</v>
      </c>
      <c r="K26">
        <v>3614</v>
      </c>
      <c r="L26">
        <v>4730</v>
      </c>
      <c r="N26" s="20">
        <v>254</v>
      </c>
      <c r="O26" s="20">
        <v>350</v>
      </c>
      <c r="Q26" s="20">
        <v>137</v>
      </c>
      <c r="R26" s="239">
        <v>174</v>
      </c>
      <c r="S26" s="238">
        <v>2703</v>
      </c>
    </row>
    <row r="27" spans="1:19" x14ac:dyDescent="0.25">
      <c r="C27">
        <v>304</v>
      </c>
      <c r="D27">
        <v>427.28108695652179</v>
      </c>
      <c r="E27">
        <v>5826.3050937198022</v>
      </c>
      <c r="H27">
        <v>3150</v>
      </c>
      <c r="I27">
        <v>5079</v>
      </c>
      <c r="K27">
        <v>1088</v>
      </c>
      <c r="L27">
        <v>1516</v>
      </c>
      <c r="N27" s="20">
        <v>593</v>
      </c>
      <c r="O27" s="20">
        <v>861</v>
      </c>
      <c r="Q27" s="20">
        <v>1328</v>
      </c>
      <c r="R27" s="239">
        <v>1673</v>
      </c>
      <c r="S27" s="218">
        <v>4600</v>
      </c>
    </row>
    <row r="28" spans="1:19" x14ac:dyDescent="0.25">
      <c r="H28">
        <v>4245</v>
      </c>
      <c r="I28">
        <v>6205</v>
      </c>
      <c r="K28">
        <v>984</v>
      </c>
      <c r="L28">
        <v>1351</v>
      </c>
      <c r="N28" s="20">
        <v>1174</v>
      </c>
      <c r="O28" s="20">
        <v>1685</v>
      </c>
      <c r="Q28" s="20">
        <v>1655</v>
      </c>
      <c r="R28" s="239">
        <v>2319</v>
      </c>
      <c r="S28" s="238">
        <v>4661</v>
      </c>
    </row>
    <row r="29" spans="1:19" x14ac:dyDescent="0.25">
      <c r="H29">
        <v>2057</v>
      </c>
      <c r="I29">
        <v>3097</v>
      </c>
      <c r="K29">
        <v>1640</v>
      </c>
      <c r="L29">
        <v>2349</v>
      </c>
      <c r="N29" s="20">
        <v>1735</v>
      </c>
      <c r="O29" s="20">
        <v>2490</v>
      </c>
      <c r="Q29" s="20">
        <v>1929</v>
      </c>
      <c r="R29" s="239">
        <v>2791</v>
      </c>
      <c r="S29" s="238">
        <v>1411</v>
      </c>
    </row>
    <row r="30" spans="1:19" x14ac:dyDescent="0.25">
      <c r="A30" t="s">
        <v>4</v>
      </c>
      <c r="B30" s="236">
        <v>40104</v>
      </c>
      <c r="C30">
        <v>6</v>
      </c>
      <c r="D30">
        <v>8.2705882352941167</v>
      </c>
      <c r="E30">
        <v>121.24682352941176</v>
      </c>
      <c r="H30">
        <v>1327</v>
      </c>
      <c r="I30">
        <v>1947</v>
      </c>
      <c r="K30">
        <v>1590</v>
      </c>
      <c r="L30">
        <v>1990</v>
      </c>
      <c r="N30" s="20">
        <v>376</v>
      </c>
      <c r="O30" s="20">
        <v>540.05183577537537</v>
      </c>
      <c r="Q30" s="20">
        <v>2378</v>
      </c>
      <c r="R30" s="239">
        <v>3369</v>
      </c>
      <c r="S30" s="238">
        <v>4148</v>
      </c>
    </row>
    <row r="31" spans="1:19" x14ac:dyDescent="0.25">
      <c r="A31" t="s">
        <v>4</v>
      </c>
      <c r="B31" s="236">
        <v>40104</v>
      </c>
      <c r="C31">
        <v>13</v>
      </c>
      <c r="D31">
        <v>17.970588235294116</v>
      </c>
      <c r="E31">
        <v>263.44882352941175</v>
      </c>
      <c r="H31">
        <v>3326</v>
      </c>
      <c r="I31">
        <v>5098</v>
      </c>
      <c r="K31">
        <v>1495</v>
      </c>
      <c r="L31">
        <v>2186</v>
      </c>
      <c r="N31" s="20">
        <v>877</v>
      </c>
      <c r="O31" s="20">
        <v>1283</v>
      </c>
      <c r="Q31" s="20">
        <v>5117</v>
      </c>
      <c r="R31" s="239">
        <v>7304</v>
      </c>
      <c r="S31" s="218">
        <v>5644.1003685237374</v>
      </c>
    </row>
    <row r="32" spans="1:19" x14ac:dyDescent="0.25">
      <c r="A32" t="s">
        <v>4</v>
      </c>
      <c r="B32" s="236">
        <v>40104</v>
      </c>
      <c r="C32">
        <v>39</v>
      </c>
      <c r="D32">
        <v>54.989999999999995</v>
      </c>
      <c r="E32">
        <v>785.57142857142935</v>
      </c>
      <c r="H32">
        <v>3685</v>
      </c>
      <c r="I32">
        <v>5149</v>
      </c>
      <c r="L32">
        <v>550</v>
      </c>
      <c r="N32" s="20">
        <v>1516</v>
      </c>
      <c r="O32" s="20">
        <v>1868</v>
      </c>
      <c r="Q32" s="20">
        <v>5000</v>
      </c>
      <c r="R32" s="239">
        <v>6565</v>
      </c>
      <c r="S32" s="238">
        <v>2381</v>
      </c>
    </row>
    <row r="33" spans="1:19" x14ac:dyDescent="0.25">
      <c r="A33" t="s">
        <v>4</v>
      </c>
      <c r="B33" s="236">
        <v>40104</v>
      </c>
      <c r="C33">
        <v>53</v>
      </c>
      <c r="D33">
        <v>73.264705882352942</v>
      </c>
      <c r="E33">
        <v>1074.0605882352941</v>
      </c>
      <c r="H33">
        <v>2564</v>
      </c>
      <c r="I33">
        <v>3748</v>
      </c>
      <c r="K33" s="20"/>
      <c r="L33" s="20">
        <v>195</v>
      </c>
      <c r="N33" s="20">
        <v>742</v>
      </c>
      <c r="O33" s="20">
        <v>996</v>
      </c>
      <c r="Q33" s="20">
        <v>494</v>
      </c>
      <c r="R33" s="239">
        <v>705</v>
      </c>
      <c r="S33" s="238">
        <v>174</v>
      </c>
    </row>
    <row r="34" spans="1:19" x14ac:dyDescent="0.25">
      <c r="A34" t="s">
        <v>4</v>
      </c>
      <c r="B34" s="236">
        <v>40104</v>
      </c>
      <c r="C34">
        <v>28</v>
      </c>
      <c r="D34">
        <v>38.163999999999994</v>
      </c>
      <c r="E34">
        <v>569.82799999999907</v>
      </c>
      <c r="I34">
        <v>1500</v>
      </c>
      <c r="K34" s="20">
        <f>SUM(K11:K33)</f>
        <v>26300</v>
      </c>
      <c r="L34" s="20">
        <f>SUM(L11:L33)</f>
        <v>37092.448009490967</v>
      </c>
      <c r="N34" s="20">
        <v>836</v>
      </c>
      <c r="O34" s="20">
        <v>1153</v>
      </c>
      <c r="Q34" s="20">
        <v>931</v>
      </c>
      <c r="R34" s="239">
        <v>1319</v>
      </c>
      <c r="S34" s="238">
        <v>1673</v>
      </c>
    </row>
    <row r="35" spans="1:19" x14ac:dyDescent="0.25">
      <c r="C35">
        <v>139</v>
      </c>
      <c r="D35">
        <v>192.65988235294117</v>
      </c>
      <c r="E35">
        <v>2814.1556638655461</v>
      </c>
      <c r="H35">
        <f>SUM(H11:H34)</f>
        <v>49101</v>
      </c>
      <c r="I35">
        <f>SUM(I11:I34)</f>
        <v>75822</v>
      </c>
      <c r="L35" s="20"/>
      <c r="N35" s="20">
        <v>2801</v>
      </c>
      <c r="O35" s="20">
        <v>3633</v>
      </c>
      <c r="Q35" s="20">
        <v>1572</v>
      </c>
      <c r="R35" s="239">
        <v>2200</v>
      </c>
      <c r="S35" s="238">
        <v>2319</v>
      </c>
    </row>
    <row r="36" spans="1:19" x14ac:dyDescent="0.25">
      <c r="N36" s="20">
        <v>83</v>
      </c>
      <c r="O36" s="20">
        <v>92</v>
      </c>
      <c r="Q36" s="20">
        <v>2211</v>
      </c>
      <c r="R36" s="239">
        <v>3194</v>
      </c>
      <c r="S36" s="238">
        <v>2791</v>
      </c>
    </row>
    <row r="37" spans="1:19" x14ac:dyDescent="0.25">
      <c r="A37" t="s">
        <v>9</v>
      </c>
      <c r="B37" s="236" t="s">
        <v>8</v>
      </c>
      <c r="C37" t="s">
        <v>13</v>
      </c>
      <c r="D37" t="s">
        <v>14</v>
      </c>
      <c r="E37" t="s">
        <v>15</v>
      </c>
      <c r="N37" s="20">
        <v>717</v>
      </c>
      <c r="O37" s="20">
        <v>989</v>
      </c>
      <c r="Q37" s="20">
        <v>3893</v>
      </c>
      <c r="R37" s="239">
        <v>5623</v>
      </c>
      <c r="S37" s="238">
        <v>3369</v>
      </c>
    </row>
    <row r="38" spans="1:19" x14ac:dyDescent="0.25">
      <c r="A38" t="s">
        <v>33</v>
      </c>
      <c r="B38" s="236">
        <v>40121</v>
      </c>
      <c r="C38">
        <v>9</v>
      </c>
      <c r="D38">
        <v>15</v>
      </c>
      <c r="E38">
        <v>220</v>
      </c>
      <c r="N38" s="20">
        <v>1256</v>
      </c>
      <c r="O38" s="20">
        <v>1808</v>
      </c>
      <c r="Q38" s="20">
        <v>4058</v>
      </c>
      <c r="R38" s="239">
        <v>6272</v>
      </c>
      <c r="S38" s="238">
        <v>7304</v>
      </c>
    </row>
    <row r="39" spans="1:19" x14ac:dyDescent="0.25">
      <c r="A39" t="s">
        <v>33</v>
      </c>
      <c r="B39" s="236">
        <v>40121</v>
      </c>
      <c r="C39">
        <v>27</v>
      </c>
      <c r="D39">
        <v>45</v>
      </c>
      <c r="E39">
        <v>660</v>
      </c>
      <c r="N39" s="20">
        <v>1715</v>
      </c>
      <c r="O39" s="20">
        <v>5145</v>
      </c>
      <c r="Q39" s="20">
        <v>3578</v>
      </c>
      <c r="R39" s="239">
        <v>5530</v>
      </c>
      <c r="S39" s="238">
        <v>6565</v>
      </c>
    </row>
    <row r="40" spans="1:19" x14ac:dyDescent="0.25">
      <c r="A40" t="s">
        <v>33</v>
      </c>
      <c r="B40" s="236">
        <v>40121</v>
      </c>
      <c r="C40">
        <v>47</v>
      </c>
      <c r="D40">
        <v>78</v>
      </c>
      <c r="E40">
        <v>1144</v>
      </c>
      <c r="N40" s="20">
        <v>3591</v>
      </c>
      <c r="O40" s="20">
        <v>5320</v>
      </c>
      <c r="Q40" s="20"/>
      <c r="R40" s="20"/>
      <c r="S40" s="238">
        <v>705</v>
      </c>
    </row>
    <row r="41" spans="1:19" x14ac:dyDescent="0.25">
      <c r="A41" t="s">
        <v>33</v>
      </c>
      <c r="B41" s="236">
        <v>40121</v>
      </c>
      <c r="C41">
        <v>25</v>
      </c>
      <c r="D41">
        <v>41</v>
      </c>
      <c r="E41">
        <v>601</v>
      </c>
      <c r="N41" s="20">
        <v>422</v>
      </c>
      <c r="O41" s="20">
        <v>678</v>
      </c>
      <c r="Q41" s="20"/>
      <c r="R41" s="20">
        <v>20641.813779625252</v>
      </c>
      <c r="S41" s="238">
        <v>1319</v>
      </c>
    </row>
    <row r="42" spans="1:19" x14ac:dyDescent="0.25">
      <c r="A42" t="s">
        <v>33</v>
      </c>
      <c r="B42" s="236">
        <v>40121</v>
      </c>
      <c r="C42">
        <v>137</v>
      </c>
      <c r="D42">
        <v>226</v>
      </c>
      <c r="E42">
        <v>3164</v>
      </c>
      <c r="N42" s="20">
        <v>742</v>
      </c>
      <c r="O42" s="20">
        <v>1138</v>
      </c>
      <c r="Q42" s="20"/>
      <c r="R42" s="20"/>
      <c r="S42" s="238">
        <v>2200</v>
      </c>
    </row>
    <row r="43" spans="1:19" x14ac:dyDescent="0.25">
      <c r="A43" t="s">
        <v>33</v>
      </c>
      <c r="B43" s="236">
        <v>40121</v>
      </c>
      <c r="C43">
        <v>117</v>
      </c>
      <c r="D43">
        <v>193</v>
      </c>
      <c r="E43">
        <v>2852</v>
      </c>
      <c r="N43" s="20">
        <v>608</v>
      </c>
      <c r="O43" s="20">
        <v>872</v>
      </c>
      <c r="Q43" s="20"/>
      <c r="R43" s="20"/>
      <c r="S43" s="238">
        <v>3194</v>
      </c>
    </row>
    <row r="44" spans="1:19" x14ac:dyDescent="0.25">
      <c r="A44" t="s">
        <v>33</v>
      </c>
      <c r="B44" s="236">
        <v>40121</v>
      </c>
      <c r="C44">
        <v>162</v>
      </c>
      <c r="D44">
        <v>267</v>
      </c>
      <c r="E44">
        <v>4035</v>
      </c>
      <c r="N44" s="20">
        <v>750</v>
      </c>
      <c r="O44" s="20">
        <v>995</v>
      </c>
      <c r="Q44" s="20">
        <f>SUM(Q11:Q43)</f>
        <v>60907</v>
      </c>
      <c r="R44" s="20">
        <f>SUM(R11:R43)</f>
        <v>105816.81377962526</v>
      </c>
      <c r="S44" s="238">
        <v>5623</v>
      </c>
    </row>
    <row r="45" spans="1:19" x14ac:dyDescent="0.25">
      <c r="C45">
        <v>524</v>
      </c>
      <c r="D45">
        <v>865</v>
      </c>
      <c r="E45">
        <v>12676</v>
      </c>
      <c r="N45" s="20">
        <v>1412</v>
      </c>
      <c r="O45" s="20">
        <v>2341</v>
      </c>
      <c r="R45" s="20">
        <v>105816.81377962524</v>
      </c>
      <c r="S45" s="238">
        <v>6272</v>
      </c>
    </row>
    <row r="46" spans="1:19" x14ac:dyDescent="0.25">
      <c r="N46" s="20">
        <v>1965</v>
      </c>
      <c r="O46" s="20">
        <v>2820</v>
      </c>
      <c r="R46" s="20">
        <f>R45-R44</f>
        <v>0</v>
      </c>
      <c r="S46" s="238">
        <v>5530</v>
      </c>
    </row>
    <row r="47" spans="1:19" x14ac:dyDescent="0.25">
      <c r="A47" t="s">
        <v>9</v>
      </c>
      <c r="B47" s="236" t="s">
        <v>8</v>
      </c>
      <c r="C47" t="s">
        <v>13</v>
      </c>
      <c r="D47" t="s">
        <v>14</v>
      </c>
      <c r="E47" t="s">
        <v>15</v>
      </c>
      <c r="N47" s="20"/>
      <c r="O47" s="20">
        <v>550</v>
      </c>
      <c r="S47" s="218">
        <v>3479.9436090225563</v>
      </c>
    </row>
    <row r="48" spans="1:19" x14ac:dyDescent="0.25">
      <c r="A48" t="s">
        <v>33</v>
      </c>
      <c r="B48" s="236">
        <v>40131</v>
      </c>
      <c r="C48">
        <v>54</v>
      </c>
      <c r="D48">
        <v>78</v>
      </c>
      <c r="E48">
        <v>1130</v>
      </c>
      <c r="N48" s="20"/>
      <c r="O48" s="20">
        <v>145</v>
      </c>
      <c r="S48" s="20"/>
    </row>
    <row r="49" spans="1:19" x14ac:dyDescent="0.25">
      <c r="A49" t="s">
        <v>33</v>
      </c>
      <c r="B49" s="236">
        <v>40131</v>
      </c>
      <c r="C49">
        <v>147</v>
      </c>
      <c r="D49">
        <v>213</v>
      </c>
      <c r="E49">
        <v>3085</v>
      </c>
      <c r="N49" s="20"/>
      <c r="O49" s="20">
        <v>9430.8069357978529</v>
      </c>
      <c r="S49" s="20">
        <f>SUM(S11:S48)</f>
        <v>105816.81377962524</v>
      </c>
    </row>
    <row r="50" spans="1:19" x14ac:dyDescent="0.25">
      <c r="A50" t="s">
        <v>33</v>
      </c>
      <c r="B50" s="236">
        <v>40131</v>
      </c>
      <c r="C50">
        <v>269</v>
      </c>
      <c r="D50">
        <v>390</v>
      </c>
      <c r="E50">
        <v>5648</v>
      </c>
      <c r="N50" s="20">
        <f>SUM(N11:N49)</f>
        <v>33811</v>
      </c>
      <c r="O50" s="20">
        <f>SUM(O11:O49)</f>
        <v>60339.858771573228</v>
      </c>
    </row>
    <row r="51" spans="1:19" x14ac:dyDescent="0.25">
      <c r="A51" t="s">
        <v>33</v>
      </c>
      <c r="B51" s="236">
        <v>40131</v>
      </c>
      <c r="C51">
        <v>138</v>
      </c>
      <c r="D51">
        <v>200</v>
      </c>
      <c r="E51">
        <v>2897</v>
      </c>
      <c r="O51" s="20"/>
    </row>
    <row r="52" spans="1:19" x14ac:dyDescent="0.25">
      <c r="A52" t="s">
        <v>33</v>
      </c>
      <c r="B52" s="236">
        <v>40131</v>
      </c>
      <c r="C52">
        <v>592</v>
      </c>
      <c r="D52">
        <v>858</v>
      </c>
      <c r="E52">
        <v>12426</v>
      </c>
      <c r="O52" s="20"/>
    </row>
    <row r="53" spans="1:19" x14ac:dyDescent="0.25">
      <c r="A53" t="s">
        <v>33</v>
      </c>
      <c r="B53" s="236">
        <v>40131</v>
      </c>
      <c r="C53">
        <v>723</v>
      </c>
      <c r="D53">
        <v>1048</v>
      </c>
      <c r="E53">
        <v>15178</v>
      </c>
    </row>
    <row r="54" spans="1:19" x14ac:dyDescent="0.25">
      <c r="A54" t="s">
        <v>33</v>
      </c>
      <c r="B54" s="236">
        <v>40131</v>
      </c>
      <c r="C54">
        <v>1032</v>
      </c>
      <c r="D54">
        <v>1495</v>
      </c>
      <c r="E54">
        <v>21652</v>
      </c>
    </row>
    <row r="55" spans="1:19" x14ac:dyDescent="0.25">
      <c r="C55">
        <v>2955</v>
      </c>
      <c r="D55">
        <v>4282</v>
      </c>
      <c r="E55">
        <v>62016</v>
      </c>
    </row>
    <row r="57" spans="1:19" x14ac:dyDescent="0.25">
      <c r="A57" t="s">
        <v>9</v>
      </c>
      <c r="B57" s="236" t="s">
        <v>8</v>
      </c>
      <c r="C57" t="s">
        <v>13</v>
      </c>
      <c r="D57" t="s">
        <v>14</v>
      </c>
      <c r="E57" t="s">
        <v>15</v>
      </c>
    </row>
    <row r="58" spans="1:19" x14ac:dyDescent="0.25">
      <c r="A58" t="s">
        <v>33</v>
      </c>
      <c r="B58" s="236">
        <v>40132</v>
      </c>
      <c r="C58">
        <v>24</v>
      </c>
      <c r="D58">
        <v>31</v>
      </c>
      <c r="E58">
        <v>406</v>
      </c>
    </row>
    <row r="59" spans="1:19" x14ac:dyDescent="0.25">
      <c r="A59" t="s">
        <v>33</v>
      </c>
      <c r="B59" s="236">
        <v>40132</v>
      </c>
      <c r="C59">
        <v>66</v>
      </c>
      <c r="D59">
        <v>85</v>
      </c>
      <c r="E59">
        <v>1113</v>
      </c>
    </row>
    <row r="60" spans="1:19" x14ac:dyDescent="0.25">
      <c r="A60" t="s">
        <v>33</v>
      </c>
      <c r="B60" s="236">
        <v>40132</v>
      </c>
      <c r="C60">
        <v>122</v>
      </c>
      <c r="D60">
        <v>157</v>
      </c>
      <c r="E60">
        <v>2056</v>
      </c>
    </row>
    <row r="61" spans="1:19" x14ac:dyDescent="0.25">
      <c r="A61" t="s">
        <v>33</v>
      </c>
      <c r="B61" s="236">
        <v>40132</v>
      </c>
      <c r="C61">
        <v>62</v>
      </c>
      <c r="D61">
        <v>80</v>
      </c>
      <c r="E61">
        <v>1047</v>
      </c>
    </row>
    <row r="62" spans="1:19" x14ac:dyDescent="0.25">
      <c r="A62" t="s">
        <v>33</v>
      </c>
      <c r="B62" s="236">
        <v>40132</v>
      </c>
      <c r="C62">
        <v>251</v>
      </c>
      <c r="D62">
        <v>323</v>
      </c>
      <c r="E62">
        <v>3645</v>
      </c>
    </row>
    <row r="63" spans="1:19" x14ac:dyDescent="0.25">
      <c r="A63" t="s">
        <v>33</v>
      </c>
      <c r="B63" s="236">
        <v>40132</v>
      </c>
      <c r="C63">
        <v>381</v>
      </c>
      <c r="D63">
        <v>490</v>
      </c>
      <c r="E63">
        <v>6416</v>
      </c>
    </row>
    <row r="64" spans="1:19" x14ac:dyDescent="0.25">
      <c r="A64" t="s">
        <v>33</v>
      </c>
      <c r="B64" s="236">
        <v>40132</v>
      </c>
      <c r="C64">
        <v>427</v>
      </c>
      <c r="D64">
        <v>549</v>
      </c>
      <c r="E64">
        <v>7188</v>
      </c>
    </row>
    <row r="65" spans="1:5" x14ac:dyDescent="0.25">
      <c r="C65">
        <v>1333</v>
      </c>
      <c r="D65">
        <v>1715</v>
      </c>
      <c r="E65">
        <v>21871</v>
      </c>
    </row>
    <row r="67" spans="1:5" x14ac:dyDescent="0.25">
      <c r="A67" t="s">
        <v>9</v>
      </c>
      <c r="B67" s="236" t="s">
        <v>8</v>
      </c>
      <c r="C67" t="s">
        <v>13</v>
      </c>
      <c r="D67" t="s">
        <v>14</v>
      </c>
      <c r="E67" t="s">
        <v>15</v>
      </c>
    </row>
    <row r="68" spans="1:5" x14ac:dyDescent="0.25">
      <c r="A68" t="s">
        <v>33</v>
      </c>
      <c r="B68" s="236">
        <v>40149</v>
      </c>
      <c r="C68">
        <v>47</v>
      </c>
      <c r="D68">
        <v>66</v>
      </c>
      <c r="E68">
        <v>990</v>
      </c>
    </row>
    <row r="69" spans="1:5" x14ac:dyDescent="0.25">
      <c r="A69" t="s">
        <v>33</v>
      </c>
      <c r="B69" s="236">
        <v>40149</v>
      </c>
      <c r="C69">
        <v>69</v>
      </c>
      <c r="D69">
        <v>97</v>
      </c>
      <c r="E69">
        <v>1229</v>
      </c>
    </row>
    <row r="70" spans="1:5" x14ac:dyDescent="0.25">
      <c r="A70" t="s">
        <v>33</v>
      </c>
      <c r="B70" s="236">
        <v>40149</v>
      </c>
      <c r="C70">
        <v>64</v>
      </c>
      <c r="D70">
        <v>90</v>
      </c>
      <c r="E70">
        <v>1157</v>
      </c>
    </row>
    <row r="71" spans="1:5" x14ac:dyDescent="0.25">
      <c r="A71" t="s">
        <v>33</v>
      </c>
      <c r="B71" s="236">
        <v>40149</v>
      </c>
      <c r="C71">
        <v>34</v>
      </c>
      <c r="D71">
        <v>48</v>
      </c>
      <c r="E71">
        <v>720</v>
      </c>
    </row>
    <row r="72" spans="1:5" x14ac:dyDescent="0.25">
      <c r="A72" t="s">
        <v>33</v>
      </c>
      <c r="B72" s="236">
        <v>40149</v>
      </c>
      <c r="C72">
        <v>163</v>
      </c>
      <c r="D72">
        <v>228</v>
      </c>
      <c r="E72">
        <v>3420</v>
      </c>
    </row>
    <row r="73" spans="1:5" x14ac:dyDescent="0.25">
      <c r="A73" t="s">
        <v>33</v>
      </c>
      <c r="B73" s="236">
        <v>40149</v>
      </c>
      <c r="C73">
        <v>269</v>
      </c>
      <c r="D73">
        <v>376</v>
      </c>
      <c r="E73">
        <v>5640</v>
      </c>
    </row>
    <row r="74" spans="1:5" x14ac:dyDescent="0.25">
      <c r="A74" t="s">
        <v>33</v>
      </c>
      <c r="B74" s="236">
        <v>40149</v>
      </c>
      <c r="C74">
        <v>351</v>
      </c>
      <c r="D74">
        <v>491</v>
      </c>
      <c r="E74">
        <v>7132</v>
      </c>
    </row>
    <row r="75" spans="1:5" x14ac:dyDescent="0.25">
      <c r="C75">
        <v>997</v>
      </c>
      <c r="D75">
        <v>1396</v>
      </c>
      <c r="E75">
        <v>20288</v>
      </c>
    </row>
    <row r="77" spans="1:5" x14ac:dyDescent="0.25">
      <c r="A77" t="s">
        <v>9</v>
      </c>
      <c r="B77" s="236" t="s">
        <v>8</v>
      </c>
      <c r="C77" t="s">
        <v>13</v>
      </c>
      <c r="D77" t="s">
        <v>14</v>
      </c>
      <c r="E77" t="s">
        <v>15</v>
      </c>
    </row>
    <row r="78" spans="1:5" x14ac:dyDescent="0.25">
      <c r="A78" t="s">
        <v>1</v>
      </c>
      <c r="B78" s="236">
        <v>40150</v>
      </c>
      <c r="C78">
        <v>0</v>
      </c>
      <c r="D78">
        <v>0</v>
      </c>
      <c r="E78">
        <v>0</v>
      </c>
    </row>
    <row r="79" spans="1:5" x14ac:dyDescent="0.25">
      <c r="A79" t="s">
        <v>1</v>
      </c>
      <c r="B79" s="236">
        <v>40150</v>
      </c>
      <c r="C79">
        <v>88</v>
      </c>
      <c r="D79">
        <v>121</v>
      </c>
      <c r="E79">
        <v>1646</v>
      </c>
    </row>
    <row r="80" spans="1:5" x14ac:dyDescent="0.25">
      <c r="A80" t="s">
        <v>1</v>
      </c>
      <c r="B80" s="236">
        <v>40150</v>
      </c>
      <c r="C80">
        <v>88</v>
      </c>
      <c r="D80">
        <v>121</v>
      </c>
      <c r="E80">
        <v>1742</v>
      </c>
    </row>
    <row r="81" spans="1:5" x14ac:dyDescent="0.25">
      <c r="A81" t="s">
        <v>1</v>
      </c>
      <c r="B81" s="236">
        <v>40150</v>
      </c>
      <c r="C81">
        <v>108</v>
      </c>
      <c r="D81">
        <v>149</v>
      </c>
      <c r="E81">
        <v>1907</v>
      </c>
    </row>
    <row r="82" spans="1:5" x14ac:dyDescent="0.25">
      <c r="C82">
        <v>284</v>
      </c>
      <c r="D82">
        <v>391</v>
      </c>
      <c r="E82">
        <v>5295</v>
      </c>
    </row>
    <row r="84" spans="1:5" x14ac:dyDescent="0.25">
      <c r="A84" t="s">
        <v>9</v>
      </c>
      <c r="B84" s="236" t="s">
        <v>8</v>
      </c>
      <c r="C84" t="s">
        <v>13</v>
      </c>
      <c r="D84" t="s">
        <v>14</v>
      </c>
      <c r="E84" t="s">
        <v>15</v>
      </c>
    </row>
    <row r="85" spans="1:5" x14ac:dyDescent="0.25">
      <c r="A85" t="s">
        <v>33</v>
      </c>
      <c r="B85" s="236">
        <v>40151</v>
      </c>
      <c r="C85">
        <v>22</v>
      </c>
      <c r="D85">
        <v>26</v>
      </c>
      <c r="E85">
        <v>380</v>
      </c>
    </row>
    <row r="86" spans="1:5" x14ac:dyDescent="0.25">
      <c r="A86" t="s">
        <v>33</v>
      </c>
      <c r="B86" s="236">
        <v>40151</v>
      </c>
      <c r="C86">
        <v>43</v>
      </c>
      <c r="D86">
        <v>52</v>
      </c>
      <c r="E86">
        <v>760</v>
      </c>
    </row>
    <row r="87" spans="1:5" x14ac:dyDescent="0.25">
      <c r="A87" t="s">
        <v>33</v>
      </c>
      <c r="B87" s="236">
        <v>40151</v>
      </c>
      <c r="C87">
        <v>61</v>
      </c>
      <c r="D87">
        <v>73</v>
      </c>
      <c r="E87">
        <v>1067</v>
      </c>
    </row>
    <row r="88" spans="1:5" x14ac:dyDescent="0.25">
      <c r="A88" t="s">
        <v>33</v>
      </c>
      <c r="B88" s="236">
        <v>40151</v>
      </c>
      <c r="C88">
        <v>30</v>
      </c>
      <c r="D88">
        <v>36</v>
      </c>
      <c r="E88">
        <v>526</v>
      </c>
    </row>
    <row r="89" spans="1:5" x14ac:dyDescent="0.25">
      <c r="A89" t="s">
        <v>33</v>
      </c>
      <c r="B89" s="236">
        <v>40151</v>
      </c>
      <c r="C89">
        <v>108</v>
      </c>
      <c r="D89">
        <v>130</v>
      </c>
      <c r="E89">
        <v>1788</v>
      </c>
    </row>
    <row r="90" spans="1:5" x14ac:dyDescent="0.25">
      <c r="A90" t="s">
        <v>33</v>
      </c>
      <c r="B90" s="236">
        <v>40151</v>
      </c>
      <c r="C90">
        <v>266</v>
      </c>
      <c r="D90">
        <v>320</v>
      </c>
      <c r="E90">
        <v>4800</v>
      </c>
    </row>
    <row r="91" spans="1:5" x14ac:dyDescent="0.25">
      <c r="A91" t="s">
        <v>33</v>
      </c>
      <c r="B91" s="236">
        <v>40151</v>
      </c>
      <c r="C91">
        <v>214</v>
      </c>
      <c r="D91">
        <v>257</v>
      </c>
      <c r="E91">
        <v>3756</v>
      </c>
    </row>
    <row r="92" spans="1:5" x14ac:dyDescent="0.25">
      <c r="C92">
        <v>744</v>
      </c>
      <c r="D92">
        <v>894</v>
      </c>
      <c r="E92">
        <v>13077</v>
      </c>
    </row>
    <row r="94" spans="1:5" x14ac:dyDescent="0.25">
      <c r="A94" t="s">
        <v>9</v>
      </c>
      <c r="B94" s="236" t="s">
        <v>8</v>
      </c>
      <c r="C94" t="s">
        <v>13</v>
      </c>
      <c r="D94" t="s">
        <v>14</v>
      </c>
      <c r="E94" t="s">
        <v>15</v>
      </c>
    </row>
    <row r="95" spans="1:5" x14ac:dyDescent="0.25">
      <c r="A95" t="s">
        <v>33</v>
      </c>
      <c r="B95" s="236">
        <v>40178</v>
      </c>
      <c r="C95">
        <v>45</v>
      </c>
      <c r="D95">
        <v>59</v>
      </c>
      <c r="E95">
        <v>755</v>
      </c>
    </row>
    <row r="96" spans="1:5" x14ac:dyDescent="0.25">
      <c r="A96" t="s">
        <v>33</v>
      </c>
      <c r="B96" s="236">
        <v>40178</v>
      </c>
      <c r="C96">
        <v>88</v>
      </c>
      <c r="D96">
        <v>116</v>
      </c>
      <c r="E96">
        <v>1485</v>
      </c>
    </row>
    <row r="97" spans="1:5" x14ac:dyDescent="0.25">
      <c r="A97" t="s">
        <v>33</v>
      </c>
      <c r="B97" s="236">
        <v>40178</v>
      </c>
      <c r="C97">
        <v>124</v>
      </c>
      <c r="D97">
        <v>164</v>
      </c>
      <c r="E97">
        <v>2100</v>
      </c>
    </row>
    <row r="98" spans="1:5" x14ac:dyDescent="0.25">
      <c r="A98" t="s">
        <v>33</v>
      </c>
      <c r="B98" s="236">
        <v>40178</v>
      </c>
      <c r="C98">
        <v>64</v>
      </c>
      <c r="D98">
        <v>85</v>
      </c>
      <c r="E98">
        <v>1088</v>
      </c>
    </row>
    <row r="99" spans="1:5" x14ac:dyDescent="0.25">
      <c r="A99" t="s">
        <v>33</v>
      </c>
      <c r="B99" s="236">
        <v>40178</v>
      </c>
      <c r="C99">
        <v>274</v>
      </c>
      <c r="D99">
        <v>362</v>
      </c>
      <c r="E99">
        <v>4635</v>
      </c>
    </row>
    <row r="100" spans="1:5" x14ac:dyDescent="0.25">
      <c r="A100" t="s">
        <v>33</v>
      </c>
      <c r="B100" s="236">
        <v>40178</v>
      </c>
      <c r="C100">
        <v>402</v>
      </c>
      <c r="D100">
        <v>531</v>
      </c>
      <c r="E100">
        <v>6799</v>
      </c>
    </row>
    <row r="101" spans="1:5" x14ac:dyDescent="0.25">
      <c r="A101" t="s">
        <v>33</v>
      </c>
      <c r="B101" s="236">
        <v>40178</v>
      </c>
      <c r="C101">
        <v>536</v>
      </c>
      <c r="D101">
        <v>708</v>
      </c>
      <c r="E101">
        <v>9065</v>
      </c>
    </row>
    <row r="102" spans="1:5" x14ac:dyDescent="0.25">
      <c r="C102">
        <v>1533</v>
      </c>
      <c r="D102">
        <v>2025</v>
      </c>
      <c r="E102">
        <v>25927</v>
      </c>
    </row>
    <row r="104" spans="1:5" x14ac:dyDescent="0.25">
      <c r="A104" t="s">
        <v>9</v>
      </c>
      <c r="B104" s="236" t="s">
        <v>8</v>
      </c>
      <c r="C104" t="s">
        <v>13</v>
      </c>
      <c r="D104" t="s">
        <v>14</v>
      </c>
      <c r="E104" t="s">
        <v>15</v>
      </c>
    </row>
    <row r="105" spans="1:5" x14ac:dyDescent="0.25">
      <c r="A105" t="s">
        <v>33</v>
      </c>
      <c r="B105" s="236">
        <v>40180</v>
      </c>
      <c r="C105">
        <v>69</v>
      </c>
      <c r="D105">
        <v>84</v>
      </c>
      <c r="E105">
        <v>1260</v>
      </c>
    </row>
    <row r="106" spans="1:5" x14ac:dyDescent="0.25">
      <c r="A106" t="s">
        <v>33</v>
      </c>
      <c r="B106" s="236">
        <v>40180</v>
      </c>
      <c r="C106">
        <v>134</v>
      </c>
      <c r="D106">
        <v>163</v>
      </c>
      <c r="E106">
        <v>2445</v>
      </c>
    </row>
    <row r="107" spans="1:5" x14ac:dyDescent="0.25">
      <c r="A107" t="s">
        <v>33</v>
      </c>
      <c r="B107" s="236">
        <v>40180</v>
      </c>
      <c r="C107">
        <v>190</v>
      </c>
      <c r="D107">
        <v>231</v>
      </c>
      <c r="E107">
        <v>3465</v>
      </c>
    </row>
    <row r="108" spans="1:5" x14ac:dyDescent="0.25">
      <c r="A108" t="s">
        <v>33</v>
      </c>
      <c r="B108" s="236">
        <v>40180</v>
      </c>
      <c r="C108">
        <v>98</v>
      </c>
      <c r="D108">
        <v>119</v>
      </c>
      <c r="E108">
        <v>1785</v>
      </c>
    </row>
    <row r="109" spans="1:5" x14ac:dyDescent="0.25">
      <c r="A109" t="s">
        <v>33</v>
      </c>
      <c r="B109" s="236">
        <v>40180</v>
      </c>
      <c r="C109">
        <v>382</v>
      </c>
      <c r="D109">
        <v>465</v>
      </c>
      <c r="E109">
        <v>6975</v>
      </c>
    </row>
    <row r="110" spans="1:5" x14ac:dyDescent="0.25">
      <c r="A110" t="s">
        <v>33</v>
      </c>
      <c r="B110" s="236">
        <v>40180</v>
      </c>
      <c r="C110">
        <v>716</v>
      </c>
      <c r="D110">
        <v>871</v>
      </c>
      <c r="E110">
        <v>13065</v>
      </c>
    </row>
    <row r="111" spans="1:5" x14ac:dyDescent="0.25">
      <c r="A111" t="s">
        <v>33</v>
      </c>
      <c r="B111" s="236">
        <v>40180</v>
      </c>
      <c r="C111">
        <v>708</v>
      </c>
      <c r="D111">
        <v>862</v>
      </c>
      <c r="E111">
        <v>12930</v>
      </c>
    </row>
    <row r="112" spans="1:5" x14ac:dyDescent="0.25">
      <c r="C112">
        <v>2297</v>
      </c>
      <c r="D112">
        <v>2795</v>
      </c>
      <c r="E112">
        <v>41925</v>
      </c>
    </row>
    <row r="114" spans="1:5" x14ac:dyDescent="0.25">
      <c r="A114" t="s">
        <v>9</v>
      </c>
      <c r="B114" s="236" t="s">
        <v>8</v>
      </c>
      <c r="C114" t="s">
        <v>13</v>
      </c>
      <c r="D114" t="s">
        <v>14</v>
      </c>
      <c r="E114" t="s">
        <v>15</v>
      </c>
    </row>
    <row r="115" spans="1:5" x14ac:dyDescent="0.25">
      <c r="A115" t="s">
        <v>4</v>
      </c>
      <c r="B115" s="236" t="s">
        <v>84</v>
      </c>
      <c r="C115">
        <v>75.352638566213074</v>
      </c>
      <c r="D115">
        <v>104.06199385994026</v>
      </c>
      <c r="E115">
        <v>306.15340222562133</v>
      </c>
    </row>
    <row r="116" spans="1:5" x14ac:dyDescent="0.25">
      <c r="A116" t="s">
        <v>4</v>
      </c>
      <c r="B116" s="236" t="s">
        <v>84</v>
      </c>
      <c r="C116">
        <v>128.80220026942075</v>
      </c>
      <c r="D116">
        <v>177.87583857207005</v>
      </c>
      <c r="E116">
        <v>224.96061937055919</v>
      </c>
    </row>
    <row r="117" spans="1:5" x14ac:dyDescent="0.25">
      <c r="A117" t="s">
        <v>4</v>
      </c>
      <c r="B117" s="236" t="s">
        <v>84</v>
      </c>
      <c r="C117">
        <v>12.870080782628028</v>
      </c>
      <c r="D117">
        <v>17.773581560809305</v>
      </c>
      <c r="E117">
        <v>42.449524892806686</v>
      </c>
    </row>
    <row r="118" spans="1:5" x14ac:dyDescent="0.25">
      <c r="A118" t="s">
        <v>4</v>
      </c>
      <c r="B118" s="236" t="s">
        <v>84</v>
      </c>
      <c r="C118">
        <v>0</v>
      </c>
      <c r="D118">
        <v>0</v>
      </c>
      <c r="E118">
        <v>0</v>
      </c>
    </row>
    <row r="119" spans="1:5" x14ac:dyDescent="0.25">
      <c r="A119" t="s">
        <v>4</v>
      </c>
      <c r="B119" s="236" t="s">
        <v>84</v>
      </c>
      <c r="C119">
        <v>0</v>
      </c>
      <c r="D119">
        <v>0</v>
      </c>
      <c r="E119">
        <v>0</v>
      </c>
    </row>
    <row r="120" spans="1:5" x14ac:dyDescent="0.25">
      <c r="C120">
        <v>217.02491961826186</v>
      </c>
      <c r="D120">
        <v>299.71141399281959</v>
      </c>
      <c r="E120">
        <v>573.56354648898719</v>
      </c>
    </row>
    <row r="122" spans="1:5" x14ac:dyDescent="0.25">
      <c r="A122" t="s">
        <v>9</v>
      </c>
      <c r="B122" s="236" t="s">
        <v>8</v>
      </c>
      <c r="C122" t="s">
        <v>13</v>
      </c>
      <c r="D122" t="s">
        <v>14</v>
      </c>
      <c r="E122" t="s">
        <v>15</v>
      </c>
    </row>
    <row r="123" spans="1:5" x14ac:dyDescent="0.25">
      <c r="A123" t="s">
        <v>4</v>
      </c>
      <c r="B123" s="236" t="s">
        <v>85</v>
      </c>
      <c r="C123">
        <v>112.07851690294437</v>
      </c>
      <c r="D123">
        <v>154.78043184296618</v>
      </c>
      <c r="E123">
        <v>504.14197800280414</v>
      </c>
    </row>
    <row r="124" spans="1:5" x14ac:dyDescent="0.25">
      <c r="A124" t="s">
        <v>4</v>
      </c>
      <c r="B124" s="236" t="s">
        <v>85</v>
      </c>
      <c r="C124">
        <v>0</v>
      </c>
      <c r="D124">
        <v>0</v>
      </c>
      <c r="E124">
        <v>0</v>
      </c>
    </row>
    <row r="125" spans="1:5" x14ac:dyDescent="0.25">
      <c r="A125" t="s">
        <v>4</v>
      </c>
      <c r="B125" s="236" t="s">
        <v>85</v>
      </c>
      <c r="C125">
        <v>0</v>
      </c>
      <c r="D125">
        <v>0</v>
      </c>
      <c r="E125">
        <v>0</v>
      </c>
    </row>
    <row r="126" spans="1:5" x14ac:dyDescent="0.25">
      <c r="A126" t="s">
        <v>4</v>
      </c>
      <c r="B126" s="236" t="s">
        <v>85</v>
      </c>
      <c r="C126">
        <v>0</v>
      </c>
      <c r="D126">
        <v>0</v>
      </c>
      <c r="E126">
        <v>0</v>
      </c>
    </row>
    <row r="127" spans="1:5" x14ac:dyDescent="0.25">
      <c r="A127" t="s">
        <v>4</v>
      </c>
      <c r="B127" s="236" t="s">
        <v>85</v>
      </c>
      <c r="C127">
        <v>34.782988004362046</v>
      </c>
      <c r="D127">
        <v>48.035306434023987</v>
      </c>
      <c r="E127">
        <v>156.45785524224956</v>
      </c>
    </row>
    <row r="128" spans="1:5" x14ac:dyDescent="0.25">
      <c r="C128">
        <v>146.86150490730643</v>
      </c>
      <c r="D128">
        <v>202.81573827699017</v>
      </c>
      <c r="E128">
        <v>660.59983324505367</v>
      </c>
    </row>
    <row r="131" spans="1:5" x14ac:dyDescent="0.25">
      <c r="A131" t="s">
        <v>9</v>
      </c>
      <c r="B131" s="236" t="s">
        <v>8</v>
      </c>
      <c r="C131" t="s">
        <v>13</v>
      </c>
      <c r="D131" t="s">
        <v>14</v>
      </c>
      <c r="E131" t="s">
        <v>15</v>
      </c>
    </row>
    <row r="132" spans="1:5" x14ac:dyDescent="0.25">
      <c r="A132" t="s">
        <v>4</v>
      </c>
      <c r="B132" s="236" t="s">
        <v>86</v>
      </c>
      <c r="C132">
        <v>69</v>
      </c>
      <c r="D132">
        <v>82.118975609756106</v>
      </c>
      <c r="E132">
        <v>234.03908048780491</v>
      </c>
    </row>
    <row r="133" spans="1:5" x14ac:dyDescent="0.25">
      <c r="A133" t="s">
        <v>4</v>
      </c>
      <c r="B133" s="236" t="s">
        <v>86</v>
      </c>
      <c r="C133">
        <v>18</v>
      </c>
      <c r="D133">
        <v>21.422341463414632</v>
      </c>
      <c r="E133">
        <v>102.05926829268293</v>
      </c>
    </row>
    <row r="134" spans="1:5" x14ac:dyDescent="0.25">
      <c r="A134" t="s">
        <v>4</v>
      </c>
      <c r="B134" s="236" t="s">
        <v>86</v>
      </c>
      <c r="C134">
        <v>1</v>
      </c>
      <c r="D134">
        <v>1.1901300813008131</v>
      </c>
      <c r="E134">
        <v>5.6699593495934968</v>
      </c>
    </row>
    <row r="135" spans="1:5" x14ac:dyDescent="0.25">
      <c r="A135" t="s">
        <v>4</v>
      </c>
      <c r="B135" s="236" t="s">
        <v>86</v>
      </c>
      <c r="C135">
        <v>0</v>
      </c>
      <c r="D135">
        <v>0</v>
      </c>
      <c r="E135">
        <v>0</v>
      </c>
    </row>
    <row r="136" spans="1:5" x14ac:dyDescent="0.25">
      <c r="A136" t="s">
        <v>4</v>
      </c>
      <c r="B136" s="236" t="s">
        <v>86</v>
      </c>
      <c r="C136">
        <v>104</v>
      </c>
      <c r="D136">
        <v>123.77352845528455</v>
      </c>
      <c r="E136">
        <v>733.26438827297352</v>
      </c>
    </row>
    <row r="137" spans="1:5" x14ac:dyDescent="0.25">
      <c r="C137">
        <v>192</v>
      </c>
      <c r="D137">
        <v>228.50497560975612</v>
      </c>
      <c r="E137">
        <v>1075.0326964030548</v>
      </c>
    </row>
    <row r="140" spans="1:5" x14ac:dyDescent="0.25">
      <c r="A140" t="s">
        <v>4</v>
      </c>
      <c r="B140" s="236" t="s">
        <v>87</v>
      </c>
      <c r="C140">
        <v>1.5505430242272349</v>
      </c>
      <c r="D140">
        <v>1.9936240601503761</v>
      </c>
      <c r="E140">
        <v>19.788564745196325</v>
      </c>
    </row>
    <row r="141" spans="1:5" x14ac:dyDescent="0.25">
      <c r="A141" t="s">
        <v>4</v>
      </c>
      <c r="B141" s="236" t="s">
        <v>87</v>
      </c>
      <c r="C141">
        <v>0</v>
      </c>
      <c r="D141">
        <v>0</v>
      </c>
      <c r="E141">
        <v>0</v>
      </c>
    </row>
    <row r="142" spans="1:5" x14ac:dyDescent="0.25">
      <c r="A142" t="s">
        <v>4</v>
      </c>
      <c r="B142" s="236" t="s">
        <v>87</v>
      </c>
      <c r="C142">
        <v>9.3032581453634098</v>
      </c>
      <c r="D142">
        <v>11.961744360902257</v>
      </c>
      <c r="E142">
        <v>118.73138847117795</v>
      </c>
    </row>
    <row r="143" spans="1:5" x14ac:dyDescent="0.25">
      <c r="A143" t="s">
        <v>4</v>
      </c>
      <c r="B143" s="236" t="s">
        <v>87</v>
      </c>
      <c r="C143">
        <v>38.76357560568087</v>
      </c>
      <c r="D143">
        <v>49.840601503759402</v>
      </c>
      <c r="E143">
        <v>494.71411862990811</v>
      </c>
    </row>
    <row r="144" spans="1:5" x14ac:dyDescent="0.25">
      <c r="A144" t="s">
        <v>4</v>
      </c>
      <c r="B144" s="236" t="s">
        <v>87</v>
      </c>
      <c r="C144">
        <v>37.213032581453639</v>
      </c>
      <c r="D144">
        <v>47.846977443609028</v>
      </c>
      <c r="E144">
        <v>474.9255538847118</v>
      </c>
    </row>
    <row r="145" spans="1:5" x14ac:dyDescent="0.25">
      <c r="C145">
        <v>86.830409356725156</v>
      </c>
      <c r="D145">
        <v>111.64294736842106</v>
      </c>
      <c r="E145">
        <v>1108.1596257309943</v>
      </c>
    </row>
    <row r="147" spans="1:5" x14ac:dyDescent="0.25">
      <c r="A147" t="s">
        <v>9</v>
      </c>
      <c r="B147" s="236" t="s">
        <v>8</v>
      </c>
      <c r="C147" t="s">
        <v>13</v>
      </c>
      <c r="D147" t="s">
        <v>14</v>
      </c>
      <c r="E147" t="s">
        <v>15</v>
      </c>
    </row>
    <row r="148" spans="1:5" x14ac:dyDescent="0.25">
      <c r="A148" t="s">
        <v>33</v>
      </c>
      <c r="B148" s="236">
        <v>40235</v>
      </c>
      <c r="C148">
        <v>62</v>
      </c>
      <c r="D148">
        <v>79</v>
      </c>
      <c r="E148">
        <v>1183</v>
      </c>
    </row>
    <row r="149" spans="1:5" x14ac:dyDescent="0.25">
      <c r="A149" t="s">
        <v>33</v>
      </c>
      <c r="B149" s="236">
        <v>40235</v>
      </c>
      <c r="C149">
        <v>122</v>
      </c>
      <c r="D149">
        <v>155</v>
      </c>
      <c r="E149">
        <v>2322</v>
      </c>
    </row>
    <row r="150" spans="1:5" x14ac:dyDescent="0.25">
      <c r="A150" t="s">
        <v>33</v>
      </c>
      <c r="B150" s="236">
        <v>40235</v>
      </c>
      <c r="C150">
        <v>172</v>
      </c>
      <c r="D150">
        <v>219</v>
      </c>
      <c r="E150">
        <v>3281</v>
      </c>
    </row>
    <row r="151" spans="1:5" x14ac:dyDescent="0.25">
      <c r="A151" t="s">
        <v>33</v>
      </c>
      <c r="B151" s="236">
        <v>40235</v>
      </c>
      <c r="C151">
        <v>89</v>
      </c>
      <c r="D151">
        <v>113</v>
      </c>
      <c r="E151">
        <v>1693</v>
      </c>
    </row>
    <row r="152" spans="1:5" x14ac:dyDescent="0.25">
      <c r="A152" t="s">
        <v>33</v>
      </c>
      <c r="B152" s="236">
        <v>40235</v>
      </c>
      <c r="C152">
        <v>386</v>
      </c>
      <c r="D152">
        <v>491</v>
      </c>
      <c r="E152">
        <v>7340</v>
      </c>
    </row>
    <row r="153" spans="1:5" x14ac:dyDescent="0.25">
      <c r="A153" t="s">
        <v>33</v>
      </c>
      <c r="B153" s="236">
        <v>40235</v>
      </c>
      <c r="C153">
        <v>557</v>
      </c>
      <c r="D153">
        <v>708</v>
      </c>
      <c r="E153">
        <v>10606</v>
      </c>
    </row>
    <row r="154" spans="1:5" x14ac:dyDescent="0.25">
      <c r="A154" t="s">
        <v>33</v>
      </c>
      <c r="B154" s="236">
        <v>40235</v>
      </c>
      <c r="C154">
        <v>738</v>
      </c>
      <c r="D154">
        <v>938</v>
      </c>
      <c r="E154">
        <v>14051</v>
      </c>
    </row>
    <row r="155" spans="1:5" x14ac:dyDescent="0.25">
      <c r="C155">
        <v>2126</v>
      </c>
      <c r="D155">
        <v>2703</v>
      </c>
      <c r="E155">
        <v>40476</v>
      </c>
    </row>
    <row r="157" spans="1:5" x14ac:dyDescent="0.25">
      <c r="A157" t="s">
        <v>9</v>
      </c>
      <c r="B157" s="236" t="s">
        <v>8</v>
      </c>
      <c r="C157" t="s">
        <v>13</v>
      </c>
      <c r="D157" t="s">
        <v>14</v>
      </c>
      <c r="E157" t="s">
        <v>15</v>
      </c>
    </row>
    <row r="158" spans="1:5" x14ac:dyDescent="0.25">
      <c r="A158" t="s">
        <v>33</v>
      </c>
      <c r="B158" s="236">
        <v>40237</v>
      </c>
      <c r="C158">
        <v>107</v>
      </c>
      <c r="D158">
        <v>137</v>
      </c>
      <c r="E158">
        <v>2055</v>
      </c>
    </row>
    <row r="159" spans="1:5" x14ac:dyDescent="0.25">
      <c r="A159" t="s">
        <v>33</v>
      </c>
      <c r="B159" s="236">
        <v>40237</v>
      </c>
      <c r="C159">
        <v>208</v>
      </c>
      <c r="D159">
        <v>267</v>
      </c>
      <c r="E159">
        <v>4005</v>
      </c>
    </row>
    <row r="160" spans="1:5" x14ac:dyDescent="0.25">
      <c r="A160" t="s">
        <v>33</v>
      </c>
      <c r="B160" s="236">
        <v>40237</v>
      </c>
      <c r="C160">
        <v>293</v>
      </c>
      <c r="D160">
        <v>376</v>
      </c>
      <c r="E160">
        <v>5640</v>
      </c>
    </row>
    <row r="161" spans="1:5" x14ac:dyDescent="0.25">
      <c r="A161" t="s">
        <v>33</v>
      </c>
      <c r="B161" s="236">
        <v>40237</v>
      </c>
      <c r="C161">
        <v>645</v>
      </c>
      <c r="D161">
        <v>829</v>
      </c>
      <c r="E161">
        <v>12435</v>
      </c>
    </row>
    <row r="162" spans="1:5" x14ac:dyDescent="0.25">
      <c r="A162" t="s">
        <v>33</v>
      </c>
      <c r="B162" s="236">
        <v>40237</v>
      </c>
      <c r="C162">
        <v>151</v>
      </c>
      <c r="D162">
        <v>194</v>
      </c>
      <c r="E162">
        <v>2910</v>
      </c>
    </row>
    <row r="163" spans="1:5" x14ac:dyDescent="0.25">
      <c r="A163" t="s">
        <v>33</v>
      </c>
      <c r="B163" s="236">
        <v>40237</v>
      </c>
      <c r="C163">
        <v>875</v>
      </c>
      <c r="D163">
        <v>1124</v>
      </c>
      <c r="E163">
        <v>16860</v>
      </c>
    </row>
    <row r="164" spans="1:5" x14ac:dyDescent="0.25">
      <c r="A164" t="s">
        <v>33</v>
      </c>
      <c r="B164" s="236">
        <v>40237</v>
      </c>
      <c r="C164">
        <v>1350</v>
      </c>
      <c r="D164">
        <v>1734</v>
      </c>
      <c r="E164">
        <v>26010</v>
      </c>
    </row>
    <row r="165" spans="1:5" x14ac:dyDescent="0.25">
      <c r="C165">
        <v>3629</v>
      </c>
      <c r="D165">
        <v>4661</v>
      </c>
      <c r="E165">
        <v>69915</v>
      </c>
    </row>
    <row r="167" spans="1:5" x14ac:dyDescent="0.25">
      <c r="A167" t="s">
        <v>9</v>
      </c>
      <c r="B167" s="236" t="s">
        <v>8</v>
      </c>
      <c r="C167" t="s">
        <v>13</v>
      </c>
      <c r="D167" t="s">
        <v>14</v>
      </c>
      <c r="E167" t="s">
        <v>15</v>
      </c>
    </row>
    <row r="168" spans="1:5" x14ac:dyDescent="0.25">
      <c r="A168" t="s">
        <v>33</v>
      </c>
      <c r="B168" s="236">
        <v>40238</v>
      </c>
      <c r="C168">
        <v>50</v>
      </c>
      <c r="D168">
        <v>58</v>
      </c>
      <c r="E168">
        <v>0</v>
      </c>
    </row>
    <row r="169" spans="1:5" x14ac:dyDescent="0.25">
      <c r="A169" t="s">
        <v>33</v>
      </c>
      <c r="B169" s="236">
        <v>40238</v>
      </c>
      <c r="C169">
        <v>43</v>
      </c>
      <c r="D169">
        <v>50</v>
      </c>
      <c r="E169">
        <v>0</v>
      </c>
    </row>
    <row r="170" spans="1:5" x14ac:dyDescent="0.25">
      <c r="A170" t="s">
        <v>33</v>
      </c>
      <c r="B170" s="236">
        <v>40238</v>
      </c>
      <c r="C170">
        <v>89</v>
      </c>
      <c r="D170">
        <v>104</v>
      </c>
      <c r="E170">
        <v>364</v>
      </c>
    </row>
    <row r="171" spans="1:5" x14ac:dyDescent="0.25">
      <c r="A171" t="s">
        <v>33</v>
      </c>
      <c r="B171" s="236">
        <v>40238</v>
      </c>
      <c r="C171">
        <v>34</v>
      </c>
      <c r="D171">
        <v>40</v>
      </c>
      <c r="E171">
        <v>7</v>
      </c>
    </row>
    <row r="172" spans="1:5" x14ac:dyDescent="0.25">
      <c r="A172" t="s">
        <v>33</v>
      </c>
      <c r="B172" s="236">
        <v>40238</v>
      </c>
      <c r="C172">
        <v>246</v>
      </c>
      <c r="D172">
        <v>288</v>
      </c>
      <c r="E172">
        <v>913</v>
      </c>
    </row>
    <row r="173" spans="1:5" x14ac:dyDescent="0.25">
      <c r="A173" t="s">
        <v>33</v>
      </c>
      <c r="B173" s="236">
        <v>40238</v>
      </c>
      <c r="C173">
        <v>273</v>
      </c>
      <c r="D173">
        <v>319</v>
      </c>
      <c r="E173">
        <v>1011</v>
      </c>
    </row>
    <row r="174" spans="1:5" x14ac:dyDescent="0.25">
      <c r="A174" t="s">
        <v>33</v>
      </c>
      <c r="B174" s="236">
        <v>40238</v>
      </c>
      <c r="C174">
        <v>472</v>
      </c>
      <c r="D174">
        <v>552</v>
      </c>
      <c r="E174">
        <v>2407</v>
      </c>
    </row>
    <row r="175" spans="1:5" x14ac:dyDescent="0.25">
      <c r="C175">
        <v>1207</v>
      </c>
      <c r="D175">
        <v>1411</v>
      </c>
      <c r="E175">
        <v>4702</v>
      </c>
    </row>
    <row r="177" spans="1:5" x14ac:dyDescent="0.25">
      <c r="A177" t="s">
        <v>9</v>
      </c>
      <c r="B177" s="236" t="s">
        <v>8</v>
      </c>
      <c r="C177" t="s">
        <v>13</v>
      </c>
      <c r="D177" t="s">
        <v>14</v>
      </c>
      <c r="E177" t="s">
        <v>15</v>
      </c>
    </row>
    <row r="178" spans="1:5" x14ac:dyDescent="0.25">
      <c r="A178" t="s">
        <v>4</v>
      </c>
      <c r="B178" s="236">
        <v>40236</v>
      </c>
      <c r="C178">
        <v>110</v>
      </c>
      <c r="D178">
        <v>129.00293650793651</v>
      </c>
      <c r="E178">
        <v>338.78341269841269</v>
      </c>
    </row>
    <row r="179" spans="1:5" x14ac:dyDescent="0.25">
      <c r="A179" t="s">
        <v>4</v>
      </c>
      <c r="B179" s="236">
        <v>40237</v>
      </c>
      <c r="C179">
        <v>129</v>
      </c>
      <c r="D179">
        <v>165.42407142857144</v>
      </c>
      <c r="E179">
        <v>2373.199178571429</v>
      </c>
    </row>
    <row r="182" spans="1:5" x14ac:dyDescent="0.25">
      <c r="A182" t="s">
        <v>9</v>
      </c>
      <c r="B182" s="236" t="s">
        <v>8</v>
      </c>
      <c r="C182" t="s">
        <v>13</v>
      </c>
      <c r="D182" t="s">
        <v>14</v>
      </c>
      <c r="E182" t="s">
        <v>15</v>
      </c>
    </row>
    <row r="183" spans="1:5" x14ac:dyDescent="0.25">
      <c r="A183" t="s">
        <v>33</v>
      </c>
      <c r="B183" s="236">
        <v>40263</v>
      </c>
      <c r="C183">
        <v>96</v>
      </c>
      <c r="D183">
        <v>138</v>
      </c>
      <c r="E183">
        <v>2041</v>
      </c>
    </row>
    <row r="184" spans="1:5" x14ac:dyDescent="0.25">
      <c r="A184" t="s">
        <v>33</v>
      </c>
      <c r="B184" s="236">
        <v>40263</v>
      </c>
      <c r="C184">
        <v>145</v>
      </c>
      <c r="D184">
        <v>209</v>
      </c>
      <c r="E184">
        <v>3091</v>
      </c>
    </row>
    <row r="185" spans="1:5" x14ac:dyDescent="0.25">
      <c r="A185" t="s">
        <v>33</v>
      </c>
      <c r="B185" s="236">
        <v>40263</v>
      </c>
      <c r="C185">
        <v>226</v>
      </c>
      <c r="D185">
        <v>326</v>
      </c>
      <c r="E185">
        <v>4821</v>
      </c>
    </row>
    <row r="186" spans="1:5" x14ac:dyDescent="0.25">
      <c r="A186" t="s">
        <v>33</v>
      </c>
      <c r="B186" s="236">
        <v>40263</v>
      </c>
      <c r="C186">
        <v>108</v>
      </c>
      <c r="D186">
        <v>156</v>
      </c>
      <c r="E186">
        <v>2307</v>
      </c>
    </row>
    <row r="187" spans="1:5" x14ac:dyDescent="0.25">
      <c r="A187" t="s">
        <v>33</v>
      </c>
      <c r="B187" s="236">
        <v>40263</v>
      </c>
      <c r="C187">
        <v>582</v>
      </c>
      <c r="D187">
        <v>839</v>
      </c>
      <c r="E187">
        <v>12408</v>
      </c>
    </row>
    <row r="188" spans="1:5" x14ac:dyDescent="0.25">
      <c r="A188" t="s">
        <v>33</v>
      </c>
      <c r="B188" s="236">
        <v>40263</v>
      </c>
      <c r="C188">
        <v>801</v>
      </c>
      <c r="D188">
        <v>1155</v>
      </c>
      <c r="E188">
        <v>17081</v>
      </c>
    </row>
    <row r="189" spans="1:5" x14ac:dyDescent="0.25">
      <c r="A189" t="s">
        <v>33</v>
      </c>
      <c r="B189" s="236">
        <v>40263</v>
      </c>
      <c r="C189">
        <v>919</v>
      </c>
      <c r="D189">
        <v>1325</v>
      </c>
      <c r="E189">
        <v>19595</v>
      </c>
    </row>
    <row r="190" spans="1:5" x14ac:dyDescent="0.25">
      <c r="C190">
        <v>2877</v>
      </c>
      <c r="D190">
        <v>4148</v>
      </c>
      <c r="E190">
        <v>61344</v>
      </c>
    </row>
    <row r="192" spans="1:5" x14ac:dyDescent="0.25">
      <c r="A192" t="s">
        <v>9</v>
      </c>
      <c r="B192" s="236" t="s">
        <v>8</v>
      </c>
      <c r="C192" t="s">
        <v>13</v>
      </c>
      <c r="D192" t="s">
        <v>14</v>
      </c>
      <c r="E192" t="s">
        <v>15</v>
      </c>
    </row>
    <row r="193" spans="1:5" x14ac:dyDescent="0.25">
      <c r="A193" t="s">
        <v>33</v>
      </c>
      <c r="B193" s="236">
        <v>40265</v>
      </c>
      <c r="C193">
        <v>74</v>
      </c>
      <c r="D193">
        <v>103</v>
      </c>
      <c r="E193">
        <v>384</v>
      </c>
    </row>
    <row r="194" spans="1:5" x14ac:dyDescent="0.25">
      <c r="A194" t="s">
        <v>33</v>
      </c>
      <c r="B194" s="236">
        <v>40265</v>
      </c>
      <c r="C194">
        <v>112</v>
      </c>
      <c r="D194">
        <v>156</v>
      </c>
      <c r="E194">
        <v>581</v>
      </c>
    </row>
    <row r="195" spans="1:5" x14ac:dyDescent="0.25">
      <c r="A195" t="s">
        <v>33</v>
      </c>
      <c r="B195" s="236">
        <v>40265</v>
      </c>
      <c r="C195">
        <v>175</v>
      </c>
      <c r="D195">
        <v>243</v>
      </c>
      <c r="E195">
        <v>905</v>
      </c>
    </row>
    <row r="196" spans="1:5" x14ac:dyDescent="0.25">
      <c r="A196" t="s">
        <v>33</v>
      </c>
      <c r="B196" s="236">
        <v>40265</v>
      </c>
      <c r="C196">
        <v>83</v>
      </c>
      <c r="D196">
        <v>115</v>
      </c>
      <c r="E196">
        <v>428</v>
      </c>
    </row>
    <row r="197" spans="1:5" x14ac:dyDescent="0.25">
      <c r="A197" t="s">
        <v>33</v>
      </c>
      <c r="B197" s="236">
        <v>40265</v>
      </c>
      <c r="C197">
        <v>401</v>
      </c>
      <c r="D197">
        <v>557</v>
      </c>
      <c r="E197">
        <v>2253</v>
      </c>
    </row>
    <row r="198" spans="1:5" x14ac:dyDescent="0.25">
      <c r="A198" t="s">
        <v>33</v>
      </c>
      <c r="B198" s="236">
        <v>40265</v>
      </c>
      <c r="C198">
        <v>419</v>
      </c>
      <c r="D198">
        <v>582</v>
      </c>
      <c r="E198">
        <v>2168</v>
      </c>
    </row>
    <row r="199" spans="1:5" x14ac:dyDescent="0.25">
      <c r="A199" t="s">
        <v>33</v>
      </c>
      <c r="B199" s="236">
        <v>40265</v>
      </c>
      <c r="C199">
        <v>450</v>
      </c>
      <c r="D199">
        <v>625</v>
      </c>
      <c r="E199">
        <v>2716</v>
      </c>
    </row>
    <row r="200" spans="1:5" x14ac:dyDescent="0.25">
      <c r="C200">
        <v>1714</v>
      </c>
      <c r="D200">
        <v>2381</v>
      </c>
      <c r="E200">
        <v>9435</v>
      </c>
    </row>
    <row r="202" spans="1:5" x14ac:dyDescent="0.25">
      <c r="A202" t="s">
        <v>9</v>
      </c>
      <c r="B202" s="236" t="s">
        <v>8</v>
      </c>
      <c r="C202" t="s">
        <v>13</v>
      </c>
      <c r="D202" t="s">
        <v>14</v>
      </c>
      <c r="E202" t="s">
        <v>15</v>
      </c>
    </row>
    <row r="203" spans="1:5" x14ac:dyDescent="0.25">
      <c r="A203" t="s">
        <v>33</v>
      </c>
      <c r="B203" s="236">
        <v>40266</v>
      </c>
      <c r="C203">
        <v>5</v>
      </c>
      <c r="D203">
        <v>6</v>
      </c>
      <c r="E203">
        <v>6</v>
      </c>
    </row>
    <row r="204" spans="1:5" x14ac:dyDescent="0.25">
      <c r="A204" t="s">
        <v>33</v>
      </c>
      <c r="B204" s="236">
        <v>40266</v>
      </c>
      <c r="C204">
        <v>7</v>
      </c>
      <c r="D204">
        <v>9</v>
      </c>
      <c r="E204">
        <v>9</v>
      </c>
    </row>
    <row r="205" spans="1:5" x14ac:dyDescent="0.25">
      <c r="A205" t="s">
        <v>33</v>
      </c>
      <c r="B205" s="236">
        <v>40266</v>
      </c>
      <c r="C205">
        <v>11</v>
      </c>
      <c r="D205">
        <v>14</v>
      </c>
      <c r="E205">
        <v>14</v>
      </c>
    </row>
    <row r="206" spans="1:5" x14ac:dyDescent="0.25">
      <c r="A206" t="s">
        <v>33</v>
      </c>
      <c r="B206" s="236">
        <v>40266</v>
      </c>
      <c r="C206">
        <v>5</v>
      </c>
      <c r="D206">
        <v>6</v>
      </c>
      <c r="E206">
        <v>6</v>
      </c>
    </row>
    <row r="207" spans="1:5" x14ac:dyDescent="0.25">
      <c r="A207" t="s">
        <v>33</v>
      </c>
      <c r="B207" s="236">
        <v>40266</v>
      </c>
      <c r="C207">
        <v>28</v>
      </c>
      <c r="D207">
        <v>36</v>
      </c>
      <c r="E207">
        <v>66</v>
      </c>
    </row>
    <row r="208" spans="1:5" x14ac:dyDescent="0.25">
      <c r="A208" t="s">
        <v>33</v>
      </c>
      <c r="B208" s="236">
        <v>40266</v>
      </c>
      <c r="C208">
        <v>58</v>
      </c>
      <c r="D208">
        <v>74</v>
      </c>
      <c r="E208">
        <v>74</v>
      </c>
    </row>
    <row r="209" spans="1:5" x14ac:dyDescent="0.25">
      <c r="A209" t="s">
        <v>33</v>
      </c>
      <c r="B209" s="236">
        <v>40266</v>
      </c>
      <c r="C209">
        <v>23</v>
      </c>
      <c r="D209">
        <v>29</v>
      </c>
      <c r="E209">
        <v>11</v>
      </c>
    </row>
    <row r="210" spans="1:5" x14ac:dyDescent="0.25">
      <c r="C210">
        <v>137</v>
      </c>
      <c r="D210">
        <v>174</v>
      </c>
      <c r="E210">
        <v>186</v>
      </c>
    </row>
    <row r="212" spans="1:5" x14ac:dyDescent="0.25">
      <c r="A212" t="s">
        <v>9</v>
      </c>
      <c r="B212" s="236" t="s">
        <v>8</v>
      </c>
      <c r="C212" t="s">
        <v>13</v>
      </c>
      <c r="D212" t="s">
        <v>14</v>
      </c>
      <c r="E212" t="s">
        <v>15</v>
      </c>
    </row>
    <row r="213" spans="1:5" x14ac:dyDescent="0.25">
      <c r="A213" t="s">
        <v>33</v>
      </c>
      <c r="B213" s="236">
        <v>40267</v>
      </c>
      <c r="C213">
        <v>44</v>
      </c>
      <c r="D213">
        <v>55</v>
      </c>
      <c r="E213">
        <v>290</v>
      </c>
    </row>
    <row r="214" spans="1:5" x14ac:dyDescent="0.25">
      <c r="A214" t="s">
        <v>33</v>
      </c>
      <c r="B214" s="236">
        <v>40267</v>
      </c>
      <c r="C214">
        <v>67</v>
      </c>
      <c r="D214">
        <v>84</v>
      </c>
      <c r="E214">
        <v>442</v>
      </c>
    </row>
    <row r="215" spans="1:5" x14ac:dyDescent="0.25">
      <c r="A215" t="s">
        <v>33</v>
      </c>
      <c r="B215" s="236">
        <v>40267</v>
      </c>
      <c r="C215">
        <v>105</v>
      </c>
      <c r="D215">
        <v>132</v>
      </c>
      <c r="E215">
        <v>695</v>
      </c>
    </row>
    <row r="216" spans="1:5" x14ac:dyDescent="0.25">
      <c r="A216" t="s">
        <v>33</v>
      </c>
      <c r="B216" s="236">
        <v>40267</v>
      </c>
      <c r="C216">
        <v>50</v>
      </c>
      <c r="D216">
        <v>63</v>
      </c>
      <c r="E216">
        <v>332</v>
      </c>
    </row>
    <row r="217" spans="1:5" x14ac:dyDescent="0.25">
      <c r="A217" t="s">
        <v>33</v>
      </c>
      <c r="B217" s="236">
        <v>40267</v>
      </c>
      <c r="C217">
        <v>284</v>
      </c>
      <c r="D217">
        <v>358</v>
      </c>
      <c r="E217">
        <v>1885</v>
      </c>
    </row>
    <row r="218" spans="1:5" x14ac:dyDescent="0.25">
      <c r="A218" t="s">
        <v>33</v>
      </c>
      <c r="B218" s="236">
        <v>40267</v>
      </c>
      <c r="C218">
        <v>249</v>
      </c>
      <c r="D218">
        <v>314</v>
      </c>
      <c r="E218">
        <v>1654</v>
      </c>
    </row>
    <row r="219" spans="1:5" x14ac:dyDescent="0.25">
      <c r="A219" t="s">
        <v>33</v>
      </c>
      <c r="B219" s="236">
        <v>40267</v>
      </c>
      <c r="C219">
        <v>529</v>
      </c>
      <c r="D219">
        <v>667</v>
      </c>
      <c r="E219">
        <v>3513</v>
      </c>
    </row>
    <row r="220" spans="1:5" x14ac:dyDescent="0.25">
      <c r="C220">
        <v>1328</v>
      </c>
      <c r="D220">
        <v>1673</v>
      </c>
      <c r="E220">
        <v>8811</v>
      </c>
    </row>
    <row r="222" spans="1:5" x14ac:dyDescent="0.25">
      <c r="A222" t="s">
        <v>9</v>
      </c>
      <c r="B222" s="236" t="s">
        <v>8</v>
      </c>
      <c r="C222" t="s">
        <v>13</v>
      </c>
      <c r="D222" t="s">
        <v>14</v>
      </c>
      <c r="E222" t="s">
        <v>15</v>
      </c>
    </row>
    <row r="223" spans="1:5" x14ac:dyDescent="0.25">
      <c r="A223" t="s">
        <v>33</v>
      </c>
      <c r="B223" s="236">
        <v>40268</v>
      </c>
      <c r="C223">
        <v>55</v>
      </c>
      <c r="D223">
        <v>77</v>
      </c>
      <c r="E223">
        <v>926</v>
      </c>
    </row>
    <row r="224" spans="1:5" x14ac:dyDescent="0.25">
      <c r="A224" t="s">
        <v>33</v>
      </c>
      <c r="B224" s="236">
        <v>40268</v>
      </c>
      <c r="C224">
        <v>83</v>
      </c>
      <c r="D224">
        <v>116</v>
      </c>
      <c r="E224">
        <v>1394</v>
      </c>
    </row>
    <row r="225" spans="1:5" x14ac:dyDescent="0.25">
      <c r="A225" t="s">
        <v>33</v>
      </c>
      <c r="B225" s="236">
        <v>40268</v>
      </c>
      <c r="C225">
        <v>130</v>
      </c>
      <c r="D225">
        <v>182</v>
      </c>
      <c r="E225">
        <v>2188</v>
      </c>
    </row>
    <row r="226" spans="1:5" x14ac:dyDescent="0.25">
      <c r="A226" t="s">
        <v>33</v>
      </c>
      <c r="B226" s="236">
        <v>40268</v>
      </c>
      <c r="C226">
        <v>62</v>
      </c>
      <c r="D226">
        <v>87</v>
      </c>
      <c r="E226">
        <v>1046</v>
      </c>
    </row>
    <row r="227" spans="1:5" x14ac:dyDescent="0.25">
      <c r="A227" t="s">
        <v>33</v>
      </c>
      <c r="B227" s="236">
        <v>40268</v>
      </c>
      <c r="C227">
        <v>347</v>
      </c>
      <c r="D227">
        <v>486</v>
      </c>
      <c r="E227">
        <v>5423</v>
      </c>
    </row>
    <row r="228" spans="1:5" x14ac:dyDescent="0.25">
      <c r="A228" t="s">
        <v>33</v>
      </c>
      <c r="B228" s="236">
        <v>40268</v>
      </c>
      <c r="C228">
        <v>326</v>
      </c>
      <c r="D228">
        <v>457</v>
      </c>
      <c r="E228">
        <v>5493</v>
      </c>
    </row>
    <row r="229" spans="1:5" x14ac:dyDescent="0.25">
      <c r="A229" t="s">
        <v>33</v>
      </c>
      <c r="B229" s="236">
        <v>40268</v>
      </c>
      <c r="C229">
        <v>652</v>
      </c>
      <c r="D229">
        <v>914</v>
      </c>
      <c r="E229">
        <v>10986</v>
      </c>
    </row>
    <row r="230" spans="1:5" x14ac:dyDescent="0.25">
      <c r="C230">
        <v>1655</v>
      </c>
      <c r="D230">
        <v>2319</v>
      </c>
      <c r="E230">
        <v>27456</v>
      </c>
    </row>
    <row r="232" spans="1:5" x14ac:dyDescent="0.25">
      <c r="A232" t="s">
        <v>9</v>
      </c>
      <c r="B232" s="236" t="s">
        <v>8</v>
      </c>
      <c r="C232" t="s">
        <v>13</v>
      </c>
      <c r="D232" t="s">
        <v>14</v>
      </c>
      <c r="E232" t="s">
        <v>15</v>
      </c>
    </row>
    <row r="233" spans="1:5" x14ac:dyDescent="0.25">
      <c r="A233" t="s">
        <v>33</v>
      </c>
      <c r="B233" s="236">
        <v>40269</v>
      </c>
      <c r="C233">
        <v>26</v>
      </c>
      <c r="D233">
        <v>38</v>
      </c>
      <c r="E233">
        <v>394</v>
      </c>
    </row>
    <row r="234" spans="1:5" x14ac:dyDescent="0.25">
      <c r="A234" t="s">
        <v>33</v>
      </c>
      <c r="B234" s="236">
        <v>40269</v>
      </c>
      <c r="C234">
        <v>103</v>
      </c>
      <c r="D234">
        <v>149</v>
      </c>
      <c r="E234">
        <v>1545</v>
      </c>
    </row>
    <row r="235" spans="1:5" x14ac:dyDescent="0.25">
      <c r="A235" t="s">
        <v>33</v>
      </c>
      <c r="B235" s="236">
        <v>40269</v>
      </c>
      <c r="C235">
        <v>143</v>
      </c>
      <c r="D235">
        <v>207</v>
      </c>
      <c r="E235">
        <v>1742</v>
      </c>
    </row>
    <row r="236" spans="1:5" x14ac:dyDescent="0.25">
      <c r="A236" t="s">
        <v>33</v>
      </c>
      <c r="B236" s="236">
        <v>40269</v>
      </c>
      <c r="C236">
        <v>42</v>
      </c>
      <c r="D236">
        <v>61</v>
      </c>
      <c r="E236">
        <v>633</v>
      </c>
    </row>
    <row r="237" spans="1:5" x14ac:dyDescent="0.25">
      <c r="A237" t="s">
        <v>33</v>
      </c>
      <c r="B237" s="236">
        <v>40269</v>
      </c>
      <c r="C237">
        <v>424</v>
      </c>
      <c r="D237">
        <v>613</v>
      </c>
      <c r="E237">
        <v>7189</v>
      </c>
    </row>
    <row r="238" spans="1:5" x14ac:dyDescent="0.25">
      <c r="A238" t="s">
        <v>33</v>
      </c>
      <c r="B238" s="236">
        <v>40269</v>
      </c>
      <c r="C238">
        <v>544</v>
      </c>
      <c r="D238">
        <v>787</v>
      </c>
      <c r="E238">
        <v>8162</v>
      </c>
    </row>
    <row r="239" spans="1:5" x14ac:dyDescent="0.25">
      <c r="A239" t="s">
        <v>33</v>
      </c>
      <c r="B239" s="236">
        <v>40269</v>
      </c>
      <c r="C239">
        <v>647</v>
      </c>
      <c r="D239">
        <v>936</v>
      </c>
      <c r="E239">
        <v>9707</v>
      </c>
    </row>
    <row r="240" spans="1:5" x14ac:dyDescent="0.25">
      <c r="C240">
        <v>1929</v>
      </c>
      <c r="D240">
        <v>2791</v>
      </c>
      <c r="E240">
        <v>29372</v>
      </c>
    </row>
    <row r="242" spans="1:5" x14ac:dyDescent="0.25">
      <c r="A242" t="s">
        <v>9</v>
      </c>
      <c r="B242" s="236" t="s">
        <v>8</v>
      </c>
      <c r="C242" t="s">
        <v>13</v>
      </c>
      <c r="D242" t="s">
        <v>14</v>
      </c>
      <c r="E242" t="s">
        <v>15</v>
      </c>
    </row>
    <row r="243" spans="1:5" x14ac:dyDescent="0.25">
      <c r="A243" t="s">
        <v>33</v>
      </c>
      <c r="B243" s="236">
        <v>40284</v>
      </c>
      <c r="C243">
        <v>58</v>
      </c>
      <c r="D243">
        <v>82</v>
      </c>
      <c r="E243">
        <v>1207</v>
      </c>
    </row>
    <row r="244" spans="1:5" x14ac:dyDescent="0.25">
      <c r="A244" t="s">
        <v>33</v>
      </c>
      <c r="B244" s="236">
        <v>40284</v>
      </c>
      <c r="C244">
        <v>111</v>
      </c>
      <c r="D244">
        <v>157</v>
      </c>
      <c r="E244">
        <v>2311</v>
      </c>
    </row>
    <row r="245" spans="1:5" x14ac:dyDescent="0.25">
      <c r="A245" t="s">
        <v>33</v>
      </c>
      <c r="B245" s="236">
        <v>40284</v>
      </c>
      <c r="C245">
        <v>176</v>
      </c>
      <c r="D245">
        <v>249</v>
      </c>
      <c r="E245">
        <v>3666</v>
      </c>
    </row>
    <row r="246" spans="1:5" x14ac:dyDescent="0.25">
      <c r="A246" t="s">
        <v>33</v>
      </c>
      <c r="B246" s="236">
        <v>40284</v>
      </c>
      <c r="C246">
        <v>58</v>
      </c>
      <c r="D246">
        <v>82</v>
      </c>
      <c r="E246">
        <v>1207</v>
      </c>
    </row>
    <row r="247" spans="1:5" x14ac:dyDescent="0.25">
      <c r="A247" t="s">
        <v>33</v>
      </c>
      <c r="B247" s="236">
        <v>40284</v>
      </c>
      <c r="C247">
        <v>512</v>
      </c>
      <c r="D247">
        <v>726</v>
      </c>
      <c r="E247">
        <v>10688</v>
      </c>
    </row>
    <row r="248" spans="1:5" x14ac:dyDescent="0.25">
      <c r="A248" t="s">
        <v>33</v>
      </c>
      <c r="B248" s="236">
        <v>40284</v>
      </c>
      <c r="C248">
        <v>743</v>
      </c>
      <c r="D248">
        <v>1053</v>
      </c>
      <c r="E248">
        <v>15502</v>
      </c>
    </row>
    <row r="249" spans="1:5" x14ac:dyDescent="0.25">
      <c r="A249" t="s">
        <v>33</v>
      </c>
      <c r="B249" s="236">
        <v>40284</v>
      </c>
      <c r="C249">
        <v>720</v>
      </c>
      <c r="D249">
        <v>1020</v>
      </c>
      <c r="E249">
        <v>15017</v>
      </c>
    </row>
    <row r="250" spans="1:5" x14ac:dyDescent="0.25">
      <c r="C250">
        <v>2378</v>
      </c>
      <c r="D250">
        <v>3369</v>
      </c>
      <c r="E250">
        <v>49598</v>
      </c>
    </row>
    <row r="252" spans="1:5" x14ac:dyDescent="0.25">
      <c r="A252" t="s">
        <v>9</v>
      </c>
      <c r="B252" s="236" t="s">
        <v>8</v>
      </c>
      <c r="C252" t="s">
        <v>13</v>
      </c>
      <c r="D252" t="s">
        <v>14</v>
      </c>
      <c r="E252" t="s">
        <v>15</v>
      </c>
    </row>
    <row r="253" spans="1:5" x14ac:dyDescent="0.25">
      <c r="A253" t="s">
        <v>33</v>
      </c>
      <c r="B253" s="236">
        <v>40285</v>
      </c>
      <c r="C253">
        <v>124</v>
      </c>
      <c r="D253">
        <v>177</v>
      </c>
      <c r="E253">
        <v>2585</v>
      </c>
    </row>
    <row r="254" spans="1:5" x14ac:dyDescent="0.25">
      <c r="A254" t="s">
        <v>33</v>
      </c>
      <c r="B254" s="236">
        <v>40285</v>
      </c>
      <c r="C254">
        <v>239</v>
      </c>
      <c r="D254">
        <v>341</v>
      </c>
      <c r="E254">
        <v>4981</v>
      </c>
    </row>
    <row r="255" spans="1:5" x14ac:dyDescent="0.25">
      <c r="A255" t="s">
        <v>33</v>
      </c>
      <c r="B255" s="236">
        <v>40285</v>
      </c>
      <c r="C255">
        <v>379</v>
      </c>
      <c r="D255">
        <v>541</v>
      </c>
      <c r="E255">
        <v>7902</v>
      </c>
    </row>
    <row r="256" spans="1:5" x14ac:dyDescent="0.25">
      <c r="A256" t="s">
        <v>33</v>
      </c>
      <c r="B256" s="236">
        <v>40285</v>
      </c>
      <c r="C256">
        <v>124</v>
      </c>
      <c r="D256">
        <v>177</v>
      </c>
      <c r="E256">
        <v>2585</v>
      </c>
    </row>
    <row r="257" spans="1:5" x14ac:dyDescent="0.25">
      <c r="A257" t="s">
        <v>33</v>
      </c>
      <c r="B257" s="236">
        <v>40285</v>
      </c>
      <c r="C257">
        <v>1200</v>
      </c>
      <c r="D257">
        <v>1713</v>
      </c>
      <c r="E257">
        <v>25020</v>
      </c>
    </row>
    <row r="258" spans="1:5" x14ac:dyDescent="0.25">
      <c r="A258" t="s">
        <v>33</v>
      </c>
      <c r="B258" s="236">
        <v>40285</v>
      </c>
      <c r="C258">
        <v>1392</v>
      </c>
      <c r="D258">
        <v>1987</v>
      </c>
      <c r="E258">
        <v>29022</v>
      </c>
    </row>
    <row r="259" spans="1:5" x14ac:dyDescent="0.25">
      <c r="A259" t="s">
        <v>33</v>
      </c>
      <c r="B259" s="236">
        <v>40285</v>
      </c>
      <c r="C259">
        <v>1659</v>
      </c>
      <c r="D259">
        <v>2368</v>
      </c>
      <c r="E259">
        <v>34587</v>
      </c>
    </row>
    <row r="260" spans="1:5" x14ac:dyDescent="0.25">
      <c r="C260">
        <v>5117</v>
      </c>
      <c r="D260">
        <v>7304</v>
      </c>
      <c r="E260">
        <v>106682</v>
      </c>
    </row>
    <row r="262" spans="1:5" x14ac:dyDescent="0.25">
      <c r="A262" t="s">
        <v>9</v>
      </c>
      <c r="B262" s="236" t="s">
        <v>8</v>
      </c>
      <c r="C262" t="s">
        <v>13</v>
      </c>
      <c r="D262" t="s">
        <v>14</v>
      </c>
      <c r="E262" t="s">
        <v>15</v>
      </c>
    </row>
    <row r="263" spans="1:5" x14ac:dyDescent="0.25">
      <c r="A263" t="s">
        <v>33</v>
      </c>
      <c r="B263" s="236">
        <v>40286</v>
      </c>
      <c r="C263">
        <v>121</v>
      </c>
      <c r="D263">
        <v>159</v>
      </c>
      <c r="E263">
        <v>2242</v>
      </c>
    </row>
    <row r="264" spans="1:5" x14ac:dyDescent="0.25">
      <c r="A264" t="s">
        <v>33</v>
      </c>
      <c r="B264" s="236">
        <v>40286</v>
      </c>
      <c r="C264">
        <v>233</v>
      </c>
      <c r="D264">
        <v>306</v>
      </c>
      <c r="E264">
        <v>4315</v>
      </c>
    </row>
    <row r="265" spans="1:5" x14ac:dyDescent="0.25">
      <c r="A265" t="s">
        <v>33</v>
      </c>
      <c r="B265" s="236">
        <v>40286</v>
      </c>
      <c r="C265">
        <v>371</v>
      </c>
      <c r="D265">
        <v>487</v>
      </c>
      <c r="E265">
        <v>6867</v>
      </c>
    </row>
    <row r="266" spans="1:5" x14ac:dyDescent="0.25">
      <c r="A266" t="s">
        <v>33</v>
      </c>
      <c r="B266" s="236">
        <v>40286</v>
      </c>
      <c r="C266">
        <v>121</v>
      </c>
      <c r="D266">
        <v>159</v>
      </c>
      <c r="E266">
        <v>2242</v>
      </c>
    </row>
    <row r="267" spans="1:5" x14ac:dyDescent="0.25">
      <c r="A267" t="s">
        <v>33</v>
      </c>
      <c r="B267" s="236">
        <v>40286</v>
      </c>
      <c r="C267">
        <v>1113</v>
      </c>
      <c r="D267">
        <v>1461</v>
      </c>
      <c r="E267">
        <v>20600</v>
      </c>
    </row>
    <row r="268" spans="1:5" x14ac:dyDescent="0.25">
      <c r="A268" t="s">
        <v>33</v>
      </c>
      <c r="B268" s="236">
        <v>40286</v>
      </c>
      <c r="C268">
        <v>1377</v>
      </c>
      <c r="D268">
        <v>1808</v>
      </c>
      <c r="E268">
        <v>25493</v>
      </c>
    </row>
    <row r="269" spans="1:5" x14ac:dyDescent="0.25">
      <c r="A269" t="s">
        <v>33</v>
      </c>
      <c r="B269" s="236">
        <v>40286</v>
      </c>
      <c r="C269">
        <v>1664</v>
      </c>
      <c r="D269">
        <v>2185</v>
      </c>
      <c r="E269">
        <v>30808</v>
      </c>
    </row>
    <row r="270" spans="1:5" x14ac:dyDescent="0.25">
      <c r="C270">
        <v>5000</v>
      </c>
      <c r="D270">
        <v>6565</v>
      </c>
      <c r="E270">
        <v>92567</v>
      </c>
    </row>
    <row r="272" spans="1:5" x14ac:dyDescent="0.25">
      <c r="A272" t="s">
        <v>9</v>
      </c>
      <c r="B272" s="236" t="s">
        <v>8</v>
      </c>
      <c r="C272" t="s">
        <v>13</v>
      </c>
      <c r="D272" t="s">
        <v>14</v>
      </c>
      <c r="E272" t="s">
        <v>15</v>
      </c>
    </row>
    <row r="273" spans="1:5" x14ac:dyDescent="0.25">
      <c r="A273" t="s">
        <v>33</v>
      </c>
      <c r="B273" s="236">
        <v>40295</v>
      </c>
      <c r="C273">
        <v>13</v>
      </c>
      <c r="D273">
        <v>19</v>
      </c>
      <c r="E273">
        <v>285</v>
      </c>
    </row>
    <row r="274" spans="1:5" x14ac:dyDescent="0.25">
      <c r="A274" t="s">
        <v>33</v>
      </c>
      <c r="B274" s="236">
        <v>40295</v>
      </c>
      <c r="C274">
        <v>19</v>
      </c>
      <c r="D274">
        <v>27</v>
      </c>
      <c r="E274">
        <v>405</v>
      </c>
    </row>
    <row r="275" spans="1:5" x14ac:dyDescent="0.25">
      <c r="A275" t="s">
        <v>33</v>
      </c>
      <c r="B275" s="236">
        <v>40295</v>
      </c>
      <c r="C275">
        <v>35</v>
      </c>
      <c r="D275">
        <v>50</v>
      </c>
      <c r="E275">
        <v>750</v>
      </c>
    </row>
    <row r="276" spans="1:5" x14ac:dyDescent="0.25">
      <c r="A276" t="s">
        <v>33</v>
      </c>
      <c r="B276" s="236">
        <v>40295</v>
      </c>
      <c r="C276">
        <v>15</v>
      </c>
      <c r="D276">
        <v>21</v>
      </c>
      <c r="E276">
        <v>315</v>
      </c>
    </row>
    <row r="277" spans="1:5" x14ac:dyDescent="0.25">
      <c r="A277" t="s">
        <v>33</v>
      </c>
      <c r="B277" s="236">
        <v>40295</v>
      </c>
      <c r="C277">
        <v>93</v>
      </c>
      <c r="D277">
        <v>133</v>
      </c>
      <c r="E277">
        <v>1995</v>
      </c>
    </row>
    <row r="278" spans="1:5" x14ac:dyDescent="0.25">
      <c r="A278" t="s">
        <v>33</v>
      </c>
      <c r="B278" s="236">
        <v>40295</v>
      </c>
      <c r="C278">
        <v>148</v>
      </c>
      <c r="D278">
        <v>211</v>
      </c>
      <c r="E278">
        <v>3165</v>
      </c>
    </row>
    <row r="279" spans="1:5" x14ac:dyDescent="0.25">
      <c r="A279" t="s">
        <v>33</v>
      </c>
      <c r="B279" s="236">
        <v>40295</v>
      </c>
      <c r="C279">
        <v>171</v>
      </c>
      <c r="D279">
        <v>244</v>
      </c>
      <c r="E279">
        <v>3660</v>
      </c>
    </row>
    <row r="280" spans="1:5" x14ac:dyDescent="0.25">
      <c r="C280">
        <v>494</v>
      </c>
      <c r="D280">
        <v>705</v>
      </c>
      <c r="E280">
        <v>10575</v>
      </c>
    </row>
    <row r="282" spans="1:5" x14ac:dyDescent="0.25">
      <c r="A282" t="s">
        <v>9</v>
      </c>
      <c r="B282" s="236" t="s">
        <v>8</v>
      </c>
      <c r="C282" t="s">
        <v>13</v>
      </c>
      <c r="D282" t="s">
        <v>14</v>
      </c>
      <c r="E282" t="s">
        <v>15</v>
      </c>
    </row>
    <row r="283" spans="1:5" x14ac:dyDescent="0.25">
      <c r="A283" t="s">
        <v>33</v>
      </c>
      <c r="B283" s="236">
        <v>40296</v>
      </c>
      <c r="C283">
        <v>31</v>
      </c>
      <c r="D283">
        <v>44</v>
      </c>
      <c r="E283">
        <v>660</v>
      </c>
    </row>
    <row r="284" spans="1:5" x14ac:dyDescent="0.25">
      <c r="A284" t="s">
        <v>33</v>
      </c>
      <c r="B284" s="236">
        <v>40296</v>
      </c>
      <c r="C284">
        <v>8</v>
      </c>
      <c r="D284">
        <v>11</v>
      </c>
      <c r="E284">
        <v>88</v>
      </c>
    </row>
    <row r="285" spans="1:5" x14ac:dyDescent="0.25">
      <c r="A285" t="s">
        <v>33</v>
      </c>
      <c r="B285" s="236">
        <v>40296</v>
      </c>
      <c r="C285">
        <v>59</v>
      </c>
      <c r="D285">
        <v>84</v>
      </c>
      <c r="E285">
        <v>1260</v>
      </c>
    </row>
    <row r="286" spans="1:5" x14ac:dyDescent="0.25">
      <c r="A286" t="s">
        <v>33</v>
      </c>
      <c r="B286" s="236">
        <v>40296</v>
      </c>
      <c r="C286">
        <v>44</v>
      </c>
      <c r="D286">
        <v>62</v>
      </c>
      <c r="E286">
        <v>930</v>
      </c>
    </row>
    <row r="287" spans="1:5" x14ac:dyDescent="0.25">
      <c r="A287" t="s">
        <v>33</v>
      </c>
      <c r="B287" s="236">
        <v>40296</v>
      </c>
      <c r="C287">
        <v>160</v>
      </c>
      <c r="D287">
        <v>227</v>
      </c>
      <c r="E287">
        <v>3405</v>
      </c>
    </row>
    <row r="288" spans="1:5" x14ac:dyDescent="0.25">
      <c r="A288" t="s">
        <v>33</v>
      </c>
      <c r="B288" s="236">
        <v>40296</v>
      </c>
      <c r="C288">
        <v>268</v>
      </c>
      <c r="D288">
        <v>380</v>
      </c>
      <c r="E288">
        <v>5700</v>
      </c>
    </row>
    <row r="289" spans="1:5" x14ac:dyDescent="0.25">
      <c r="A289" t="s">
        <v>33</v>
      </c>
      <c r="B289" s="236">
        <v>40296</v>
      </c>
      <c r="C289">
        <v>361</v>
      </c>
      <c r="D289">
        <v>511</v>
      </c>
      <c r="E289">
        <v>7595</v>
      </c>
    </row>
    <row r="290" spans="1:5" x14ac:dyDescent="0.25">
      <c r="C290">
        <v>931</v>
      </c>
      <c r="D290">
        <v>1319</v>
      </c>
      <c r="E290">
        <v>19638</v>
      </c>
    </row>
    <row r="292" spans="1:5" x14ac:dyDescent="0.25">
      <c r="A292" t="s">
        <v>9</v>
      </c>
      <c r="B292" s="236" t="s">
        <v>8</v>
      </c>
      <c r="C292" t="s">
        <v>13</v>
      </c>
      <c r="D292" t="s">
        <v>14</v>
      </c>
      <c r="E292" t="s">
        <v>15</v>
      </c>
    </row>
    <row r="293" spans="1:5" x14ac:dyDescent="0.25">
      <c r="A293" t="s">
        <v>33</v>
      </c>
      <c r="B293" s="236">
        <v>40297</v>
      </c>
      <c r="C293">
        <v>41</v>
      </c>
      <c r="D293">
        <v>57</v>
      </c>
      <c r="E293">
        <v>848</v>
      </c>
    </row>
    <row r="294" spans="1:5" x14ac:dyDescent="0.25">
      <c r="A294" t="s">
        <v>33</v>
      </c>
      <c r="B294" s="236">
        <v>40297</v>
      </c>
      <c r="C294">
        <v>60</v>
      </c>
      <c r="D294">
        <v>84</v>
      </c>
      <c r="E294">
        <v>1250</v>
      </c>
    </row>
    <row r="295" spans="1:5" x14ac:dyDescent="0.25">
      <c r="A295" t="s">
        <v>33</v>
      </c>
      <c r="B295" s="236">
        <v>40297</v>
      </c>
      <c r="C295">
        <v>113</v>
      </c>
      <c r="D295">
        <v>158</v>
      </c>
      <c r="E295">
        <v>2351</v>
      </c>
    </row>
    <row r="296" spans="1:5" x14ac:dyDescent="0.25">
      <c r="A296" t="s">
        <v>33</v>
      </c>
      <c r="B296" s="236">
        <v>40297</v>
      </c>
      <c r="C296">
        <v>46</v>
      </c>
      <c r="D296">
        <v>64</v>
      </c>
      <c r="E296">
        <v>952</v>
      </c>
    </row>
    <row r="297" spans="1:5" x14ac:dyDescent="0.25">
      <c r="A297" t="s">
        <v>33</v>
      </c>
      <c r="B297" s="236">
        <v>40297</v>
      </c>
      <c r="C297">
        <v>352</v>
      </c>
      <c r="D297">
        <v>493</v>
      </c>
      <c r="E297">
        <v>7335</v>
      </c>
    </row>
    <row r="298" spans="1:5" x14ac:dyDescent="0.25">
      <c r="A298" t="s">
        <v>33</v>
      </c>
      <c r="B298" s="236">
        <v>40297</v>
      </c>
      <c r="C298">
        <v>375</v>
      </c>
      <c r="D298">
        <v>525</v>
      </c>
      <c r="E298">
        <v>7811</v>
      </c>
    </row>
    <row r="299" spans="1:5" x14ac:dyDescent="0.25">
      <c r="A299" t="s">
        <v>33</v>
      </c>
      <c r="B299" s="236">
        <v>40297</v>
      </c>
      <c r="C299">
        <v>585</v>
      </c>
      <c r="D299">
        <v>819</v>
      </c>
      <c r="E299">
        <v>12185</v>
      </c>
    </row>
    <row r="300" spans="1:5" x14ac:dyDescent="0.25">
      <c r="C300">
        <v>1572</v>
      </c>
      <c r="D300">
        <v>2200</v>
      </c>
      <c r="E300">
        <v>32732</v>
      </c>
    </row>
    <row r="302" spans="1:5" x14ac:dyDescent="0.25">
      <c r="A302" t="s">
        <v>9</v>
      </c>
      <c r="B302" s="236" t="s">
        <v>8</v>
      </c>
      <c r="C302" t="s">
        <v>13</v>
      </c>
      <c r="D302" t="s">
        <v>14</v>
      </c>
      <c r="E302" t="s">
        <v>15</v>
      </c>
    </row>
    <row r="303" spans="1:5" x14ac:dyDescent="0.25">
      <c r="A303" t="s">
        <v>33</v>
      </c>
      <c r="B303" s="236">
        <v>40298</v>
      </c>
      <c r="C303">
        <v>58</v>
      </c>
      <c r="D303">
        <v>84</v>
      </c>
      <c r="E303">
        <v>1260</v>
      </c>
    </row>
    <row r="304" spans="1:5" x14ac:dyDescent="0.25">
      <c r="A304" t="s">
        <v>33</v>
      </c>
      <c r="B304" s="236">
        <v>40298</v>
      </c>
      <c r="C304">
        <v>84</v>
      </c>
      <c r="D304">
        <v>121</v>
      </c>
      <c r="E304">
        <v>1815</v>
      </c>
    </row>
    <row r="305" spans="1:5" x14ac:dyDescent="0.25">
      <c r="A305" t="s">
        <v>33</v>
      </c>
      <c r="B305" s="236">
        <v>40298</v>
      </c>
      <c r="C305">
        <v>159</v>
      </c>
      <c r="D305">
        <v>230</v>
      </c>
      <c r="E305">
        <v>3450</v>
      </c>
    </row>
    <row r="306" spans="1:5" x14ac:dyDescent="0.25">
      <c r="A306" t="s">
        <v>33</v>
      </c>
      <c r="B306" s="236">
        <v>40298</v>
      </c>
      <c r="C306">
        <v>65</v>
      </c>
      <c r="D306">
        <v>94</v>
      </c>
      <c r="E306">
        <v>1410</v>
      </c>
    </row>
    <row r="307" spans="1:5" x14ac:dyDescent="0.25">
      <c r="A307" t="s">
        <v>33</v>
      </c>
      <c r="B307" s="236">
        <v>40298</v>
      </c>
      <c r="C307">
        <v>410</v>
      </c>
      <c r="D307">
        <v>592</v>
      </c>
      <c r="E307">
        <v>8880</v>
      </c>
    </row>
    <row r="308" spans="1:5" x14ac:dyDescent="0.25">
      <c r="A308" t="s">
        <v>33</v>
      </c>
      <c r="B308" s="236">
        <v>40298</v>
      </c>
      <c r="C308">
        <v>616</v>
      </c>
      <c r="D308">
        <v>890</v>
      </c>
      <c r="E308">
        <v>13350</v>
      </c>
    </row>
    <row r="309" spans="1:5" x14ac:dyDescent="0.25">
      <c r="A309" t="s">
        <v>33</v>
      </c>
      <c r="B309" s="236">
        <v>40298</v>
      </c>
      <c r="C309">
        <v>819</v>
      </c>
      <c r="D309">
        <v>1183</v>
      </c>
      <c r="E309">
        <v>17745</v>
      </c>
    </row>
    <row r="310" spans="1:5" x14ac:dyDescent="0.25">
      <c r="C310">
        <v>2211</v>
      </c>
      <c r="D310">
        <v>3194</v>
      </c>
      <c r="E310">
        <v>47910</v>
      </c>
    </row>
    <row r="313" spans="1:5" x14ac:dyDescent="0.25">
      <c r="A313" t="s">
        <v>9</v>
      </c>
      <c r="B313" s="236" t="s">
        <v>8</v>
      </c>
      <c r="C313" t="s">
        <v>13</v>
      </c>
      <c r="D313" t="s">
        <v>14</v>
      </c>
      <c r="E313" t="s">
        <v>15</v>
      </c>
    </row>
    <row r="314" spans="1:5" x14ac:dyDescent="0.25">
      <c r="A314" t="s">
        <v>33</v>
      </c>
      <c r="B314" s="236">
        <v>40299</v>
      </c>
      <c r="C314">
        <v>103</v>
      </c>
      <c r="D314">
        <v>149</v>
      </c>
      <c r="E314">
        <v>2235</v>
      </c>
    </row>
    <row r="315" spans="1:5" x14ac:dyDescent="0.25">
      <c r="A315" t="s">
        <v>33</v>
      </c>
      <c r="B315" s="236">
        <v>40299</v>
      </c>
      <c r="C315">
        <v>148</v>
      </c>
      <c r="D315">
        <v>214</v>
      </c>
      <c r="E315">
        <v>3210</v>
      </c>
    </row>
    <row r="316" spans="1:5" x14ac:dyDescent="0.25">
      <c r="A316" t="s">
        <v>33</v>
      </c>
      <c r="B316" s="236">
        <v>40299</v>
      </c>
      <c r="C316">
        <v>279</v>
      </c>
      <c r="D316">
        <v>403</v>
      </c>
      <c r="E316">
        <v>6045</v>
      </c>
    </row>
    <row r="317" spans="1:5" x14ac:dyDescent="0.25">
      <c r="A317" t="s">
        <v>33</v>
      </c>
      <c r="B317" s="236">
        <v>40299</v>
      </c>
      <c r="C317">
        <v>115</v>
      </c>
      <c r="D317">
        <v>166</v>
      </c>
      <c r="E317">
        <v>2490</v>
      </c>
    </row>
    <row r="318" spans="1:5" x14ac:dyDescent="0.25">
      <c r="A318" t="s">
        <v>33</v>
      </c>
      <c r="B318" s="236">
        <v>40299</v>
      </c>
      <c r="C318">
        <v>893</v>
      </c>
      <c r="D318">
        <v>1290</v>
      </c>
      <c r="E318">
        <v>19350</v>
      </c>
    </row>
    <row r="319" spans="1:5" x14ac:dyDescent="0.25">
      <c r="A319" t="s">
        <v>33</v>
      </c>
      <c r="B319" s="236">
        <v>40299</v>
      </c>
      <c r="C319">
        <v>1109</v>
      </c>
      <c r="D319">
        <v>1602</v>
      </c>
      <c r="E319">
        <v>24030</v>
      </c>
    </row>
    <row r="320" spans="1:5" x14ac:dyDescent="0.25">
      <c r="A320" t="s">
        <v>33</v>
      </c>
      <c r="B320" s="236">
        <v>40299</v>
      </c>
      <c r="C320">
        <v>1246</v>
      </c>
      <c r="D320">
        <v>1799</v>
      </c>
      <c r="E320">
        <v>26985</v>
      </c>
    </row>
    <row r="321" spans="1:5" x14ac:dyDescent="0.25">
      <c r="C321">
        <v>3893</v>
      </c>
      <c r="D321">
        <v>5623</v>
      </c>
      <c r="E321">
        <v>84345</v>
      </c>
    </row>
    <row r="323" spans="1:5" x14ac:dyDescent="0.25">
      <c r="A323" t="s">
        <v>9</v>
      </c>
      <c r="B323" s="236" t="s">
        <v>8</v>
      </c>
      <c r="C323" t="s">
        <v>13</v>
      </c>
      <c r="D323" t="s">
        <v>14</v>
      </c>
      <c r="E323" t="s">
        <v>15</v>
      </c>
    </row>
    <row r="324" spans="1:5" x14ac:dyDescent="0.25">
      <c r="A324" t="s">
        <v>33</v>
      </c>
      <c r="B324" s="236">
        <v>40300</v>
      </c>
      <c r="C324">
        <v>107</v>
      </c>
      <c r="D324">
        <v>165</v>
      </c>
      <c r="E324">
        <v>2475</v>
      </c>
    </row>
    <row r="325" spans="1:5" x14ac:dyDescent="0.25">
      <c r="A325" t="s">
        <v>33</v>
      </c>
      <c r="B325" s="236">
        <v>40300</v>
      </c>
      <c r="C325">
        <v>154</v>
      </c>
      <c r="D325">
        <v>238</v>
      </c>
      <c r="E325">
        <v>3570</v>
      </c>
    </row>
    <row r="326" spans="1:5" x14ac:dyDescent="0.25">
      <c r="A326" t="s">
        <v>33</v>
      </c>
      <c r="B326" s="236">
        <v>40300</v>
      </c>
      <c r="C326">
        <v>291</v>
      </c>
      <c r="D326">
        <v>450</v>
      </c>
      <c r="E326">
        <v>6750</v>
      </c>
    </row>
    <row r="327" spans="1:5" x14ac:dyDescent="0.25">
      <c r="A327" t="s">
        <v>33</v>
      </c>
      <c r="B327" s="236">
        <v>40300</v>
      </c>
      <c r="C327">
        <v>120</v>
      </c>
      <c r="D327">
        <v>185</v>
      </c>
      <c r="E327">
        <v>2775</v>
      </c>
    </row>
    <row r="328" spans="1:5" x14ac:dyDescent="0.25">
      <c r="A328" t="s">
        <v>33</v>
      </c>
      <c r="B328" s="236">
        <v>40300</v>
      </c>
      <c r="C328">
        <v>775</v>
      </c>
      <c r="D328">
        <v>1198</v>
      </c>
      <c r="E328">
        <v>17970</v>
      </c>
    </row>
    <row r="329" spans="1:5" x14ac:dyDescent="0.25">
      <c r="A329" t="s">
        <v>33</v>
      </c>
      <c r="B329" s="236">
        <v>40300</v>
      </c>
      <c r="C329">
        <v>1130</v>
      </c>
      <c r="D329">
        <v>1747</v>
      </c>
      <c r="E329">
        <v>26205</v>
      </c>
    </row>
    <row r="330" spans="1:5" x14ac:dyDescent="0.25">
      <c r="A330" t="s">
        <v>33</v>
      </c>
      <c r="B330" s="236">
        <v>40300</v>
      </c>
      <c r="C330">
        <v>1481</v>
      </c>
      <c r="D330">
        <v>2289</v>
      </c>
      <c r="E330">
        <v>34335</v>
      </c>
    </row>
    <row r="331" spans="1:5" x14ac:dyDescent="0.25">
      <c r="C331">
        <v>4058</v>
      </c>
      <c r="D331">
        <v>6272</v>
      </c>
      <c r="E331">
        <v>94080</v>
      </c>
    </row>
    <row r="333" spans="1:5" x14ac:dyDescent="0.25">
      <c r="A333" t="s">
        <v>9</v>
      </c>
      <c r="B333" s="236" t="s">
        <v>8</v>
      </c>
      <c r="C333" t="s">
        <v>13</v>
      </c>
      <c r="D333" t="s">
        <v>14</v>
      </c>
      <c r="E333" t="s">
        <v>15</v>
      </c>
    </row>
    <row r="334" spans="1:5" x14ac:dyDescent="0.25">
      <c r="A334" t="s">
        <v>33</v>
      </c>
      <c r="B334" s="236">
        <v>40313</v>
      </c>
      <c r="C334">
        <v>94</v>
      </c>
      <c r="D334">
        <v>145</v>
      </c>
      <c r="E334">
        <v>2175</v>
      </c>
    </row>
    <row r="335" spans="1:5" x14ac:dyDescent="0.25">
      <c r="A335" t="s">
        <v>33</v>
      </c>
      <c r="B335" s="236">
        <v>40313</v>
      </c>
      <c r="C335">
        <v>136</v>
      </c>
      <c r="D335">
        <v>210</v>
      </c>
      <c r="E335">
        <v>3150</v>
      </c>
    </row>
    <row r="336" spans="1:5" x14ac:dyDescent="0.25">
      <c r="A336" t="s">
        <v>33</v>
      </c>
      <c r="B336" s="236">
        <v>40313</v>
      </c>
      <c r="C336">
        <v>256</v>
      </c>
      <c r="D336">
        <v>396</v>
      </c>
      <c r="E336">
        <v>5940</v>
      </c>
    </row>
    <row r="337" spans="1:5" x14ac:dyDescent="0.25">
      <c r="A337" t="s">
        <v>33</v>
      </c>
      <c r="B337" s="236">
        <v>40313</v>
      </c>
      <c r="C337">
        <v>106</v>
      </c>
      <c r="D337">
        <v>164</v>
      </c>
      <c r="E337">
        <v>2460</v>
      </c>
    </row>
    <row r="338" spans="1:5" x14ac:dyDescent="0.25">
      <c r="A338" t="s">
        <v>33</v>
      </c>
      <c r="B338" s="236">
        <v>40313</v>
      </c>
      <c r="C338">
        <v>915</v>
      </c>
      <c r="D338">
        <v>1414</v>
      </c>
      <c r="E338">
        <v>21210</v>
      </c>
    </row>
    <row r="339" spans="1:5" x14ac:dyDescent="0.25">
      <c r="A339" t="s">
        <v>33</v>
      </c>
      <c r="B339" s="236">
        <v>40313</v>
      </c>
      <c r="C339">
        <v>1242</v>
      </c>
      <c r="D339">
        <v>1920</v>
      </c>
      <c r="E339">
        <v>28800</v>
      </c>
    </row>
    <row r="340" spans="1:5" x14ac:dyDescent="0.25">
      <c r="A340" t="s">
        <v>33</v>
      </c>
      <c r="B340" s="236">
        <v>40313</v>
      </c>
      <c r="C340">
        <v>829</v>
      </c>
      <c r="D340">
        <v>1281</v>
      </c>
      <c r="E340">
        <v>19215</v>
      </c>
    </row>
    <row r="341" spans="1:5" x14ac:dyDescent="0.25">
      <c r="C341">
        <v>3578</v>
      </c>
      <c r="D341">
        <v>5530</v>
      </c>
      <c r="E341">
        <v>82950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election activeCell="G4" sqref="G4"/>
    </sheetView>
  </sheetViews>
  <sheetFormatPr defaultRowHeight="15" x14ac:dyDescent="0.25"/>
  <cols>
    <col min="1" max="1" width="24.7109375" bestFit="1" customWidth="1"/>
    <col min="2" max="2" width="10.42578125" bestFit="1" customWidth="1"/>
    <col min="3" max="3" width="12.42578125" bestFit="1" customWidth="1"/>
    <col min="4" max="4" width="10.5703125" bestFit="1" customWidth="1"/>
  </cols>
  <sheetData>
    <row r="1" spans="1:5" x14ac:dyDescent="0.25">
      <c r="B1" s="1" t="s">
        <v>0</v>
      </c>
      <c r="C1" s="1" t="s">
        <v>103</v>
      </c>
      <c r="D1" s="1" t="s">
        <v>2</v>
      </c>
      <c r="E1" s="1" t="s">
        <v>3</v>
      </c>
    </row>
    <row r="2" spans="1:5" x14ac:dyDescent="0.25">
      <c r="A2" t="s">
        <v>104</v>
      </c>
      <c r="B2" s="163">
        <v>1480</v>
      </c>
      <c r="C2" s="163">
        <v>1514</v>
      </c>
      <c r="D2" s="163">
        <v>1500</v>
      </c>
      <c r="E2" s="163">
        <v>1174</v>
      </c>
    </row>
    <row r="3" spans="1:5" x14ac:dyDescent="0.25">
      <c r="A3" t="s">
        <v>105</v>
      </c>
      <c r="B3" s="163">
        <v>60907</v>
      </c>
      <c r="C3" s="163">
        <v>33811</v>
      </c>
      <c r="D3" s="163">
        <v>49101</v>
      </c>
      <c r="E3" s="163">
        <v>26300</v>
      </c>
    </row>
    <row r="4" spans="1:5" x14ac:dyDescent="0.25">
      <c r="A4" t="s">
        <v>106</v>
      </c>
      <c r="B4" s="163">
        <v>105816.81377962526</v>
      </c>
      <c r="C4" s="163">
        <v>60340</v>
      </c>
      <c r="D4" s="163">
        <v>75822</v>
      </c>
      <c r="E4" s="163">
        <v>37092.448009490967</v>
      </c>
    </row>
    <row r="5" spans="1:5" x14ac:dyDescent="0.25">
      <c r="A5" t="s">
        <v>108</v>
      </c>
      <c r="B5" s="237">
        <f>B2/B3</f>
        <v>2.4299341619189913E-2</v>
      </c>
      <c r="C5" s="237">
        <f>C2/C3</f>
        <v>4.4778326580107067E-2</v>
      </c>
      <c r="D5" s="237">
        <f>D2/D3</f>
        <v>3.0549275982159223E-2</v>
      </c>
      <c r="E5" s="237">
        <f>E2/E3</f>
        <v>4.4638783269961978E-2</v>
      </c>
    </row>
    <row r="6" spans="1:5" x14ac:dyDescent="0.25">
      <c r="A6" t="s">
        <v>109</v>
      </c>
      <c r="B6" s="237">
        <f>B2/B4</f>
        <v>1.3986435114954955E-2</v>
      </c>
      <c r="C6" s="237">
        <f>C2/C4</f>
        <v>2.5091150149154789E-2</v>
      </c>
      <c r="D6" s="237">
        <f>D2/D4</f>
        <v>1.9783176386800664E-2</v>
      </c>
      <c r="E6" s="237">
        <f>E2/E4</f>
        <v>3.1650647584640541E-2</v>
      </c>
    </row>
    <row r="7" spans="1:5" x14ac:dyDescent="0.25">
      <c r="A7" t="s">
        <v>110</v>
      </c>
      <c r="B7" s="163">
        <v>37</v>
      </c>
      <c r="C7" s="163">
        <v>45</v>
      </c>
      <c r="D7" s="163">
        <v>24</v>
      </c>
      <c r="E7" s="163">
        <v>23</v>
      </c>
    </row>
    <row r="8" spans="1:5" x14ac:dyDescent="0.25">
      <c r="A8" t="s">
        <v>111</v>
      </c>
      <c r="B8" s="163">
        <v>30</v>
      </c>
      <c r="C8" s="163">
        <v>35</v>
      </c>
      <c r="D8" s="163">
        <v>23</v>
      </c>
      <c r="E8" s="163">
        <v>21</v>
      </c>
    </row>
    <row r="9" spans="1:5" x14ac:dyDescent="0.25">
      <c r="A9" t="s">
        <v>112</v>
      </c>
      <c r="B9" s="240">
        <f>B8/B7</f>
        <v>0.81081081081081086</v>
      </c>
      <c r="C9" s="240">
        <f>C8/C7</f>
        <v>0.77777777777777779</v>
      </c>
      <c r="D9" s="240">
        <f>D8/D7</f>
        <v>0.95833333333333337</v>
      </c>
      <c r="E9" s="240">
        <f>E8/E7</f>
        <v>0.91304347826086951</v>
      </c>
    </row>
    <row r="12" spans="1:5" x14ac:dyDescent="0.25">
      <c r="A12" s="257" t="s">
        <v>115</v>
      </c>
      <c r="B12" s="258"/>
      <c r="C12" s="258"/>
      <c r="D12" s="258"/>
      <c r="E12" s="259"/>
    </row>
    <row r="13" spans="1:5" x14ac:dyDescent="0.25">
      <c r="A13" s="260" t="s">
        <v>116</v>
      </c>
      <c r="B13" s="261"/>
      <c r="C13" s="261"/>
      <c r="D13" s="261"/>
      <c r="E13" s="262"/>
    </row>
    <row r="15" spans="1:5" x14ac:dyDescent="0.25">
      <c r="A15" s="257" t="s">
        <v>113</v>
      </c>
      <c r="B15" s="258"/>
      <c r="C15" s="258"/>
      <c r="D15" s="258"/>
      <c r="E15" s="259"/>
    </row>
    <row r="16" spans="1:5" x14ac:dyDescent="0.25">
      <c r="A16" s="260" t="s">
        <v>114</v>
      </c>
      <c r="B16" s="261"/>
      <c r="C16" s="261"/>
      <c r="D16" s="261"/>
      <c r="E16" s="262"/>
    </row>
    <row r="18" spans="1:1" x14ac:dyDescent="0.25">
      <c r="A18" t="s">
        <v>117</v>
      </c>
    </row>
    <row r="19" spans="1:1" x14ac:dyDescent="0.25">
      <c r="A19" t="s">
        <v>118</v>
      </c>
    </row>
  </sheetData>
  <mergeCells count="4">
    <mergeCell ref="A15:E15"/>
    <mergeCell ref="A16:E16"/>
    <mergeCell ref="A12:E12"/>
    <mergeCell ref="A13:E13"/>
  </mergeCells>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DFC7247A834468B68F53E17E77B58" ma:contentTypeVersion="9" ma:contentTypeDescription="Create a new document." ma:contentTypeScope="" ma:versionID="b9b11016910d6c9cdeb171003dc4cdb7">
  <xsd:schema xmlns:xsd="http://www.w3.org/2001/XMLSchema" xmlns:xs="http://www.w3.org/2001/XMLSchema" xmlns:p="http://schemas.microsoft.com/office/2006/metadata/properties" xmlns:ns2="edc15492-e82e-424f-ac49-b101091fc76a" targetNamespace="http://schemas.microsoft.com/office/2006/metadata/properties" ma:root="true" ma:fieldsID="49cd9fd3fa5f1ac2094569d06a163469" ns2:_="">
    <xsd:import namespace="edc15492-e82e-424f-ac49-b101091fc76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c15492-e82e-424f-ac49-b101091fc7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60a6a1c-50a4-4ec0-87e3-f00760ffe76b"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dc15492-e82e-424f-ac49-b101091fc76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1125970-A150-4821-9C2E-115268264DB9}"/>
</file>

<file path=customXml/itemProps2.xml><?xml version="1.0" encoding="utf-8"?>
<ds:datastoreItem xmlns:ds="http://schemas.openxmlformats.org/officeDocument/2006/customXml" ds:itemID="{C62A0D3D-1705-48A0-B45C-5E67748F0963}"/>
</file>

<file path=customXml/itemProps3.xml><?xml version="1.0" encoding="utf-8"?>
<ds:datastoreItem xmlns:ds="http://schemas.openxmlformats.org/officeDocument/2006/customXml" ds:itemID="{20A4789C-28EF-4D90-B3D4-8BFBCB1985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Harvest</vt:lpstr>
      <vt:lpstr>CPUE</vt:lpstr>
      <vt:lpstr>Effort</vt:lpstr>
      <vt:lpstr>Summary Table</vt:lpstr>
      <vt:lpstr>TAC</vt:lpstr>
      <vt:lpstr>Tribal Update</vt:lpstr>
      <vt:lpstr>TH Wastage</vt:lpstr>
      <vt:lpstr>LB Wastage</vt:lpstr>
      <vt:lpstr>Cop Wastage</vt:lpstr>
      <vt:lpstr>Moc Wastage</vt:lpstr>
      <vt:lpstr>Egress</vt:lpstr>
      <vt:lpstr>Copy Sheet</vt:lpstr>
      <vt:lpstr>Sheet2</vt:lpstr>
      <vt:lpstr>% Interviewed</vt:lpstr>
    </vt:vector>
  </TitlesOfParts>
  <Company>WDFW</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Deibert</dc:creator>
  <cp:lastModifiedBy>WDFW</cp:lastModifiedBy>
  <cp:lastPrinted>2013-04-03T17:55:32Z</cp:lastPrinted>
  <dcterms:created xsi:type="dcterms:W3CDTF">2009-10-21T21:07:28Z</dcterms:created>
  <dcterms:modified xsi:type="dcterms:W3CDTF">2016-09-29T22:19:28Z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0x010100245DFC7247A834468B68F53E17E77B58</vt:lpwstr>
  </property>
</Properties>
</file>