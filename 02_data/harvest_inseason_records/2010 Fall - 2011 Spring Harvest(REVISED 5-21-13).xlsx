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65" windowWidth="19095" windowHeight="11160"/>
  </bookViews>
  <sheets>
    <sheet name="Harvest" sheetId="1" r:id="rId1"/>
    <sheet name="CPUE" sheetId="2" r:id="rId2"/>
    <sheet name="Effort" sheetId="3" r:id="rId3"/>
    <sheet name="Summary Table" sheetId="4" r:id="rId4"/>
    <sheet name="TAC" sheetId="6" r:id="rId5"/>
    <sheet name="Copy Sheet" sheetId="5" r:id="rId6"/>
    <sheet name="Twin Harbors Data" sheetId="13" r:id="rId7"/>
    <sheet name="Tribal Update" sheetId="7" r:id="rId8"/>
    <sheet name="TH Wastage" sheetId="8" r:id="rId9"/>
    <sheet name="LB Wastage" sheetId="9" r:id="rId10"/>
    <sheet name="Cop Wastage" sheetId="10" r:id="rId11"/>
    <sheet name="Moc Wastage" sheetId="11" r:id="rId12"/>
    <sheet name="Sheet1" sheetId="12" r:id="rId13"/>
  </sheets>
  <definedNames>
    <definedName name="_xlnm.Print_Area" localSheetId="3">'Summary Table'!$A$1:$U$67</definedName>
  </definedNames>
  <calcPr calcId="145621"/>
</workbook>
</file>

<file path=xl/calcChain.xml><?xml version="1.0" encoding="utf-8"?>
<calcChain xmlns="http://schemas.openxmlformats.org/spreadsheetml/2006/main">
  <c r="H17" i="1" l="1"/>
  <c r="H20" i="1"/>
  <c r="H17" i="3"/>
  <c r="H44" i="1"/>
  <c r="H44" i="3"/>
  <c r="O26" i="1"/>
  <c r="O25" i="1"/>
  <c r="F901" i="5"/>
  <c r="R35" i="7"/>
  <c r="Q35" i="7"/>
  <c r="R34" i="7"/>
  <c r="Q34" i="7"/>
  <c r="R33" i="7"/>
  <c r="Q33" i="7"/>
  <c r="R32" i="7"/>
  <c r="Q32" i="7"/>
  <c r="O58" i="3"/>
  <c r="O57" i="3"/>
  <c r="O56" i="3"/>
  <c r="O55" i="3"/>
  <c r="O54" i="3"/>
  <c r="O58" i="1"/>
  <c r="O58" i="2" s="1"/>
  <c r="O56" i="1"/>
  <c r="O57" i="1"/>
  <c r="O57" i="2" s="1"/>
  <c r="O55" i="1"/>
  <c r="O54" i="1"/>
  <c r="G956" i="5"/>
  <c r="H956" i="5"/>
  <c r="G946" i="5"/>
  <c r="H946" i="5"/>
  <c r="G936" i="5"/>
  <c r="H936" i="5"/>
  <c r="D18" i="8"/>
  <c r="G929" i="5"/>
  <c r="H929" i="5"/>
  <c r="G922" i="5"/>
  <c r="H922" i="5"/>
  <c r="G915" i="5"/>
  <c r="H915" i="5"/>
  <c r="G908" i="5"/>
  <c r="H908" i="5"/>
  <c r="O56" i="2"/>
  <c r="O55" i="2"/>
  <c r="O54" i="2"/>
  <c r="L58" i="2"/>
  <c r="L57" i="2"/>
  <c r="P59" i="4" s="1"/>
  <c r="L56" i="2"/>
  <c r="F58" i="2"/>
  <c r="F57" i="2"/>
  <c r="G59" i="4" s="1"/>
  <c r="H58" i="2"/>
  <c r="J60" i="4" s="1"/>
  <c r="H57" i="2"/>
  <c r="J59" i="4" s="1"/>
  <c r="H56" i="2"/>
  <c r="J58" i="4" s="1"/>
  <c r="H55" i="2"/>
  <c r="H54" i="2"/>
  <c r="S60" i="4"/>
  <c r="R60" i="4"/>
  <c r="Q60" i="4"/>
  <c r="P60" i="4"/>
  <c r="O60" i="4"/>
  <c r="N60" i="4"/>
  <c r="M60" i="4"/>
  <c r="L60" i="4"/>
  <c r="K60" i="4"/>
  <c r="I60" i="4"/>
  <c r="H60" i="4"/>
  <c r="G60" i="4"/>
  <c r="F60" i="4"/>
  <c r="E60" i="4"/>
  <c r="S59" i="4"/>
  <c r="R59" i="4"/>
  <c r="Q59" i="4"/>
  <c r="O59" i="4"/>
  <c r="N59" i="4"/>
  <c r="M59" i="4"/>
  <c r="L59" i="4"/>
  <c r="K59" i="4"/>
  <c r="I59" i="4"/>
  <c r="H59" i="4"/>
  <c r="F59" i="4"/>
  <c r="E59" i="4"/>
  <c r="S58" i="4"/>
  <c r="R58" i="4"/>
  <c r="Q58" i="4"/>
  <c r="P58" i="4"/>
  <c r="O58" i="4"/>
  <c r="N58" i="4"/>
  <c r="M58" i="4"/>
  <c r="L58" i="4"/>
  <c r="K58" i="4"/>
  <c r="I58" i="4"/>
  <c r="U58" i="4" s="1"/>
  <c r="H58" i="4"/>
  <c r="G58" i="4"/>
  <c r="F58" i="4"/>
  <c r="E58" i="4"/>
  <c r="S57" i="4"/>
  <c r="R57" i="4"/>
  <c r="Q57" i="4"/>
  <c r="P57" i="4"/>
  <c r="O57" i="4"/>
  <c r="N57" i="4"/>
  <c r="M57" i="4"/>
  <c r="L57" i="4"/>
  <c r="K57" i="4"/>
  <c r="J57" i="4"/>
  <c r="I57" i="4"/>
  <c r="U57" i="4" s="1"/>
  <c r="H57" i="4"/>
  <c r="T57" i="4" s="1"/>
  <c r="G57" i="4"/>
  <c r="F57" i="4"/>
  <c r="E57" i="4"/>
  <c r="S56" i="4"/>
  <c r="R56" i="4"/>
  <c r="Q56" i="4"/>
  <c r="P56" i="4"/>
  <c r="O56" i="4"/>
  <c r="N56" i="4"/>
  <c r="M56" i="4"/>
  <c r="L56" i="4"/>
  <c r="K56" i="4"/>
  <c r="J56" i="4"/>
  <c r="I56" i="4"/>
  <c r="U56" i="4" s="1"/>
  <c r="H56" i="4"/>
  <c r="T56" i="4" s="1"/>
  <c r="G56" i="4"/>
  <c r="F56" i="4"/>
  <c r="E56" i="4"/>
  <c r="B58" i="3"/>
  <c r="B57" i="3"/>
  <c r="B56" i="3"/>
  <c r="B55" i="3"/>
  <c r="B54" i="3"/>
  <c r="B58" i="2"/>
  <c r="B57" i="2"/>
  <c r="B56" i="2"/>
  <c r="B55" i="2"/>
  <c r="B54" i="2"/>
  <c r="B58" i="1"/>
  <c r="B57" i="1"/>
  <c r="B56" i="1"/>
  <c r="B55" i="1"/>
  <c r="B54" i="1"/>
  <c r="G901" i="5"/>
  <c r="H901" i="5"/>
  <c r="G892" i="5"/>
  <c r="H892" i="5"/>
  <c r="G883" i="5"/>
  <c r="H883" i="5"/>
  <c r="G874" i="5"/>
  <c r="H874" i="5"/>
  <c r="R30" i="7"/>
  <c r="R29" i="7"/>
  <c r="Q30" i="7"/>
  <c r="Q29" i="7"/>
  <c r="I31" i="7"/>
  <c r="Q31" i="7" s="1"/>
  <c r="J31" i="7"/>
  <c r="R31" i="7" s="1"/>
  <c r="E61" i="4" l="1"/>
  <c r="N61" i="4"/>
  <c r="O61" i="4"/>
  <c r="T58" i="4"/>
  <c r="P61" i="4"/>
  <c r="U59" i="4"/>
  <c r="U60" i="4"/>
  <c r="F61" i="4"/>
  <c r="G61" i="4" s="1"/>
  <c r="I61" i="4"/>
  <c r="T60" i="4"/>
  <c r="T59" i="4"/>
  <c r="T61" i="4" s="1"/>
  <c r="H61" i="4"/>
  <c r="K31" i="7"/>
  <c r="G864" i="5"/>
  <c r="H864" i="5"/>
  <c r="G854" i="5"/>
  <c r="H854" i="5"/>
  <c r="G844" i="5"/>
  <c r="H844" i="5"/>
  <c r="G834" i="5"/>
  <c r="H834" i="5"/>
  <c r="G827" i="5"/>
  <c r="H827" i="5"/>
  <c r="G820" i="5"/>
  <c r="H820" i="5"/>
  <c r="U61" i="4" l="1"/>
  <c r="J61" i="4"/>
  <c r="G813" i="5"/>
  <c r="H813" i="5"/>
  <c r="L52" i="2"/>
  <c r="L51" i="2"/>
  <c r="H804" i="5"/>
  <c r="G804" i="5"/>
  <c r="G795" i="5"/>
  <c r="H795" i="5"/>
  <c r="G788" i="5"/>
  <c r="H788" i="5"/>
  <c r="G781" i="5"/>
  <c r="H781" i="5"/>
  <c r="G771" i="5"/>
  <c r="H771" i="5"/>
  <c r="B52" i="3"/>
  <c r="B51" i="3"/>
  <c r="B50" i="3"/>
  <c r="B49" i="3"/>
  <c r="B48" i="3"/>
  <c r="B47" i="3"/>
  <c r="B52" i="2"/>
  <c r="B51" i="2"/>
  <c r="B50" i="2"/>
  <c r="B49" i="2"/>
  <c r="B48" i="2"/>
  <c r="B47" i="2"/>
  <c r="F52" i="2"/>
  <c r="F51" i="2"/>
  <c r="F50" i="2"/>
  <c r="F49" i="2"/>
  <c r="F48" i="2"/>
  <c r="F47" i="2"/>
  <c r="G761" i="5"/>
  <c r="H761" i="5"/>
  <c r="O52" i="1" l="1"/>
  <c r="O51" i="1"/>
  <c r="O51" i="2" s="1"/>
  <c r="O50" i="1"/>
  <c r="O50" i="2" s="1"/>
  <c r="O49" i="1"/>
  <c r="O49" i="2" s="1"/>
  <c r="O48" i="1"/>
  <c r="O48" i="2" s="1"/>
  <c r="O47" i="1"/>
  <c r="O52" i="3"/>
  <c r="O51" i="3"/>
  <c r="O50" i="3"/>
  <c r="O49" i="3"/>
  <c r="O48" i="3"/>
  <c r="O47" i="3"/>
  <c r="O47" i="2" s="1"/>
  <c r="O52" i="2"/>
  <c r="S54" i="4"/>
  <c r="R54" i="4"/>
  <c r="Q54" i="4"/>
  <c r="P54" i="4"/>
  <c r="O54" i="4"/>
  <c r="N54" i="4"/>
  <c r="M54" i="4"/>
  <c r="L54" i="4"/>
  <c r="K54" i="4"/>
  <c r="I54" i="4"/>
  <c r="H54" i="4"/>
  <c r="G54" i="4"/>
  <c r="F54" i="4"/>
  <c r="E54" i="4"/>
  <c r="S53" i="4"/>
  <c r="R53" i="4"/>
  <c r="Q53" i="4"/>
  <c r="P53" i="4"/>
  <c r="O53" i="4"/>
  <c r="N53" i="4"/>
  <c r="M53" i="4"/>
  <c r="L53" i="4"/>
  <c r="K53" i="4"/>
  <c r="I53" i="4"/>
  <c r="H53" i="4"/>
  <c r="G53" i="4"/>
  <c r="F53" i="4"/>
  <c r="E53" i="4"/>
  <c r="S52" i="4"/>
  <c r="R52" i="4"/>
  <c r="Q52" i="4"/>
  <c r="P52" i="4"/>
  <c r="O52" i="4"/>
  <c r="N52" i="4"/>
  <c r="M52" i="4"/>
  <c r="L52" i="4"/>
  <c r="K52" i="4"/>
  <c r="I52" i="4"/>
  <c r="H52" i="4"/>
  <c r="G52" i="4"/>
  <c r="F52" i="4"/>
  <c r="E52" i="4"/>
  <c r="S51" i="4"/>
  <c r="R51" i="4"/>
  <c r="Q51" i="4"/>
  <c r="P51" i="4"/>
  <c r="O51" i="4"/>
  <c r="N51" i="4"/>
  <c r="M51" i="4"/>
  <c r="L51" i="4"/>
  <c r="K51" i="4"/>
  <c r="I51" i="4"/>
  <c r="H51" i="4"/>
  <c r="G51" i="4"/>
  <c r="F51" i="4"/>
  <c r="E51" i="4"/>
  <c r="S50" i="4"/>
  <c r="R50" i="4"/>
  <c r="Q50" i="4"/>
  <c r="P50" i="4"/>
  <c r="O50" i="4"/>
  <c r="N50" i="4"/>
  <c r="M50" i="4"/>
  <c r="L50" i="4"/>
  <c r="K50" i="4"/>
  <c r="I50" i="4"/>
  <c r="H50" i="4"/>
  <c r="G50" i="4"/>
  <c r="F50" i="4"/>
  <c r="E50" i="4"/>
  <c r="E55" i="4" s="1"/>
  <c r="S49" i="4"/>
  <c r="R49" i="4"/>
  <c r="Q49" i="4"/>
  <c r="P49" i="4"/>
  <c r="O49" i="4"/>
  <c r="O55" i="4" s="1"/>
  <c r="N49" i="4"/>
  <c r="M49" i="4"/>
  <c r="L49" i="4"/>
  <c r="K49" i="4"/>
  <c r="I49" i="4"/>
  <c r="H49" i="4"/>
  <c r="G49" i="4"/>
  <c r="F49" i="4"/>
  <c r="E49" i="4"/>
  <c r="H52" i="2"/>
  <c r="J54" i="4" s="1"/>
  <c r="H51" i="2"/>
  <c r="J53" i="4" s="1"/>
  <c r="H50" i="2"/>
  <c r="J52" i="4" s="1"/>
  <c r="H49" i="2"/>
  <c r="J51" i="4" s="1"/>
  <c r="H48" i="2"/>
  <c r="J50" i="4" s="1"/>
  <c r="H47" i="2"/>
  <c r="J49" i="4" s="1"/>
  <c r="B52" i="1"/>
  <c r="B51" i="1"/>
  <c r="B50" i="1"/>
  <c r="B49" i="1"/>
  <c r="B48" i="1"/>
  <c r="B47" i="1"/>
  <c r="G751" i="5"/>
  <c r="H751" i="5"/>
  <c r="R27" i="7"/>
  <c r="Q27" i="7"/>
  <c r="R26" i="7"/>
  <c r="Q26" i="7"/>
  <c r="R25" i="7"/>
  <c r="Q25" i="7"/>
  <c r="Q28" i="7" s="1"/>
  <c r="I28" i="7"/>
  <c r="J28" i="7"/>
  <c r="K28" i="7" s="1"/>
  <c r="E28" i="7"/>
  <c r="F28" i="7"/>
  <c r="N55" i="4" l="1"/>
  <c r="H55" i="4"/>
  <c r="R28" i="7"/>
  <c r="I55" i="4"/>
  <c r="G28" i="7"/>
  <c r="T49" i="4"/>
  <c r="U49" i="4"/>
  <c r="T50" i="4"/>
  <c r="U52" i="4"/>
  <c r="T52" i="4"/>
  <c r="T54" i="4"/>
  <c r="T53" i="4"/>
  <c r="U54" i="4"/>
  <c r="U53" i="4"/>
  <c r="T51" i="4"/>
  <c r="J55" i="4"/>
  <c r="U51" i="4"/>
  <c r="U50" i="4"/>
  <c r="F55" i="4"/>
  <c r="G55" i="4" s="1"/>
  <c r="P55" i="4"/>
  <c r="F43" i="2"/>
  <c r="F42" i="2"/>
  <c r="G744" i="5"/>
  <c r="H744" i="5"/>
  <c r="G734" i="5"/>
  <c r="H734" i="5"/>
  <c r="U55" i="4" l="1"/>
  <c r="T55" i="4"/>
  <c r="H44" i="2"/>
  <c r="H45" i="2"/>
  <c r="J47" i="4" s="1"/>
  <c r="F45" i="2"/>
  <c r="G47" i="4" s="1"/>
  <c r="F44" i="2"/>
  <c r="H43" i="2"/>
  <c r="J45" i="4" s="1"/>
  <c r="H42" i="2"/>
  <c r="H41" i="2"/>
  <c r="F41" i="2"/>
  <c r="G724" i="5"/>
  <c r="H724" i="5"/>
  <c r="G717" i="5"/>
  <c r="H717" i="5"/>
  <c r="G710" i="5"/>
  <c r="H710" i="5"/>
  <c r="G703" i="5"/>
  <c r="H703" i="5"/>
  <c r="G696" i="5"/>
  <c r="H696" i="5"/>
  <c r="G686" i="5"/>
  <c r="H686" i="5"/>
  <c r="G676" i="5"/>
  <c r="H676" i="5"/>
  <c r="J43" i="2"/>
  <c r="M45" i="4" s="1"/>
  <c r="L45" i="2"/>
  <c r="J45" i="2"/>
  <c r="M47" i="4" s="1"/>
  <c r="L44" i="2"/>
  <c r="P46" i="4" s="1"/>
  <c r="J44" i="2"/>
  <c r="M46" i="4" s="1"/>
  <c r="L43" i="2"/>
  <c r="S47" i="4"/>
  <c r="R47" i="4"/>
  <c r="Q47" i="4"/>
  <c r="P47" i="4"/>
  <c r="O47" i="4"/>
  <c r="N47" i="4"/>
  <c r="L47" i="4"/>
  <c r="K47" i="4"/>
  <c r="I47" i="4"/>
  <c r="H47" i="4"/>
  <c r="F47" i="4"/>
  <c r="E47" i="4"/>
  <c r="S46" i="4"/>
  <c r="R46" i="4"/>
  <c r="Q46" i="4"/>
  <c r="O46" i="4"/>
  <c r="N46" i="4"/>
  <c r="L46" i="4"/>
  <c r="K46" i="4"/>
  <c r="J46" i="4"/>
  <c r="I46" i="4"/>
  <c r="H46" i="4"/>
  <c r="G46" i="4"/>
  <c r="F46" i="4"/>
  <c r="E46" i="4"/>
  <c r="S45" i="4"/>
  <c r="R45" i="4"/>
  <c r="Q45" i="4"/>
  <c r="P45" i="4"/>
  <c r="O45" i="4"/>
  <c r="N45" i="4"/>
  <c r="L45" i="4"/>
  <c r="K45" i="4"/>
  <c r="I45" i="4"/>
  <c r="H45" i="4"/>
  <c r="G45" i="4"/>
  <c r="F45" i="4"/>
  <c r="E45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O45" i="3"/>
  <c r="O44" i="3"/>
  <c r="O43" i="3"/>
  <c r="O42" i="3"/>
  <c r="O41" i="3"/>
  <c r="B45" i="3"/>
  <c r="B44" i="3"/>
  <c r="B43" i="3"/>
  <c r="B42" i="3"/>
  <c r="B41" i="3"/>
  <c r="B45" i="2"/>
  <c r="B44" i="2"/>
  <c r="B43" i="2"/>
  <c r="B42" i="2"/>
  <c r="B41" i="2"/>
  <c r="O45" i="1"/>
  <c r="O44" i="1"/>
  <c r="O43" i="1"/>
  <c r="O42" i="1"/>
  <c r="O41" i="1"/>
  <c r="O41" i="2" s="1"/>
  <c r="B45" i="1"/>
  <c r="B44" i="1"/>
  <c r="B43" i="1"/>
  <c r="B42" i="1"/>
  <c r="B41" i="1"/>
  <c r="G666" i="5"/>
  <c r="H666" i="5"/>
  <c r="G657" i="5"/>
  <c r="H657" i="5"/>
  <c r="G648" i="5"/>
  <c r="H648" i="5"/>
  <c r="G639" i="5"/>
  <c r="H639" i="5"/>
  <c r="G630" i="5"/>
  <c r="H630" i="5"/>
  <c r="G621" i="5"/>
  <c r="H621" i="5"/>
  <c r="F39" i="2"/>
  <c r="F38" i="2"/>
  <c r="F37" i="2"/>
  <c r="G612" i="5"/>
  <c r="H612" i="5"/>
  <c r="G602" i="5"/>
  <c r="H602" i="5"/>
  <c r="G592" i="5"/>
  <c r="H592" i="5"/>
  <c r="H39" i="2"/>
  <c r="H582" i="5"/>
  <c r="G582" i="5"/>
  <c r="H38" i="2"/>
  <c r="H37" i="2"/>
  <c r="G575" i="5"/>
  <c r="H575" i="5"/>
  <c r="G568" i="5"/>
  <c r="H568" i="5"/>
  <c r="F57" i="13"/>
  <c r="G57" i="13" s="1"/>
  <c r="F56" i="13"/>
  <c r="G56" i="13" s="1"/>
  <c r="F55" i="13"/>
  <c r="G55" i="13" s="1"/>
  <c r="F54" i="13"/>
  <c r="R23" i="7"/>
  <c r="R22" i="7"/>
  <c r="Q23" i="7"/>
  <c r="Q22" i="7"/>
  <c r="I24" i="7"/>
  <c r="J24" i="7"/>
  <c r="E24" i="7"/>
  <c r="F24" i="7"/>
  <c r="G561" i="5"/>
  <c r="H561" i="5"/>
  <c r="G552" i="5"/>
  <c r="H552" i="5"/>
  <c r="F35" i="2"/>
  <c r="G543" i="5"/>
  <c r="H543" i="5"/>
  <c r="G533" i="5"/>
  <c r="H533" i="5"/>
  <c r="G523" i="5"/>
  <c r="H523" i="5"/>
  <c r="G513" i="5"/>
  <c r="H513" i="5"/>
  <c r="G503" i="5"/>
  <c r="H503" i="5"/>
  <c r="G496" i="5"/>
  <c r="H496" i="5"/>
  <c r="G489" i="5"/>
  <c r="H489" i="5"/>
  <c r="F34" i="2"/>
  <c r="F33" i="2"/>
  <c r="F32" i="2"/>
  <c r="H35" i="2"/>
  <c r="H34" i="2"/>
  <c r="H33" i="2"/>
  <c r="H32" i="2"/>
  <c r="G482" i="5"/>
  <c r="H482" i="5"/>
  <c r="J33" i="2"/>
  <c r="G475" i="5"/>
  <c r="H475" i="5"/>
  <c r="O42" i="2" l="1"/>
  <c r="G24" i="7"/>
  <c r="K24" i="7"/>
  <c r="Q24" i="7"/>
  <c r="R24" i="7"/>
  <c r="E48" i="4"/>
  <c r="H48" i="4"/>
  <c r="L48" i="4"/>
  <c r="M48" i="4" s="1"/>
  <c r="N48" i="4"/>
  <c r="T43" i="4"/>
  <c r="I48" i="4"/>
  <c r="K48" i="4"/>
  <c r="O48" i="4"/>
  <c r="P48" i="4" s="1"/>
  <c r="T45" i="4"/>
  <c r="T47" i="4"/>
  <c r="U43" i="4"/>
  <c r="F48" i="4"/>
  <c r="O44" i="2"/>
  <c r="O43" i="2"/>
  <c r="T46" i="4"/>
  <c r="U46" i="4"/>
  <c r="T44" i="4"/>
  <c r="U47" i="4"/>
  <c r="U45" i="4"/>
  <c r="U44" i="4"/>
  <c r="O45" i="2"/>
  <c r="G54" i="13"/>
  <c r="L33" i="2"/>
  <c r="P35" i="4" s="1"/>
  <c r="G466" i="5"/>
  <c r="H466" i="5"/>
  <c r="L32" i="2"/>
  <c r="P34" i="4" s="1"/>
  <c r="J32" i="2"/>
  <c r="M34" i="4" s="1"/>
  <c r="G457" i="5"/>
  <c r="H457" i="5"/>
  <c r="G448" i="5"/>
  <c r="H448" i="5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S35" i="4"/>
  <c r="R35" i="4"/>
  <c r="Q35" i="4"/>
  <c r="O35" i="4"/>
  <c r="N35" i="4"/>
  <c r="M35" i="4"/>
  <c r="L35" i="4"/>
  <c r="K35" i="4"/>
  <c r="J35" i="4"/>
  <c r="I35" i="4"/>
  <c r="H35" i="4"/>
  <c r="G35" i="4"/>
  <c r="F35" i="4"/>
  <c r="E35" i="4"/>
  <c r="S34" i="4"/>
  <c r="R34" i="4"/>
  <c r="Q34" i="4"/>
  <c r="O34" i="4"/>
  <c r="N34" i="4"/>
  <c r="L34" i="4"/>
  <c r="K34" i="4"/>
  <c r="J34" i="4"/>
  <c r="I34" i="4"/>
  <c r="H34" i="4"/>
  <c r="G34" i="4"/>
  <c r="F34" i="4"/>
  <c r="E34" i="4"/>
  <c r="O39" i="3"/>
  <c r="O38" i="3"/>
  <c r="O37" i="3"/>
  <c r="O35" i="3"/>
  <c r="O34" i="3"/>
  <c r="O33" i="3"/>
  <c r="O32" i="3"/>
  <c r="O39" i="1"/>
  <c r="O39" i="2" s="1"/>
  <c r="O38" i="1"/>
  <c r="O37" i="1"/>
  <c r="O35" i="1"/>
  <c r="O34" i="1"/>
  <c r="O34" i="2" s="1"/>
  <c r="O33" i="1"/>
  <c r="O32" i="1"/>
  <c r="B39" i="3"/>
  <c r="B38" i="3"/>
  <c r="B37" i="3"/>
  <c r="B39" i="2"/>
  <c r="B38" i="2"/>
  <c r="B37" i="2"/>
  <c r="B39" i="1"/>
  <c r="B38" i="1"/>
  <c r="B37" i="1"/>
  <c r="B35" i="3"/>
  <c r="B34" i="3"/>
  <c r="B33" i="3"/>
  <c r="B32" i="3"/>
  <c r="B35" i="2"/>
  <c r="B34" i="2"/>
  <c r="B33" i="2"/>
  <c r="B32" i="2"/>
  <c r="B35" i="1"/>
  <c r="B34" i="1"/>
  <c r="B33" i="1"/>
  <c r="B32" i="1"/>
  <c r="O37" i="2" l="1"/>
  <c r="O38" i="2"/>
  <c r="O35" i="2"/>
  <c r="E42" i="4"/>
  <c r="E38" i="4"/>
  <c r="G48" i="4"/>
  <c r="O33" i="2"/>
  <c r="O32" i="2"/>
  <c r="J48" i="4"/>
  <c r="N38" i="4"/>
  <c r="F42" i="4"/>
  <c r="H42" i="4"/>
  <c r="T42" i="4" s="1"/>
  <c r="T48" i="4"/>
  <c r="I38" i="4"/>
  <c r="I42" i="4"/>
  <c r="U48" i="4"/>
  <c r="T40" i="4"/>
  <c r="T41" i="4"/>
  <c r="U40" i="4"/>
  <c r="U41" i="4"/>
  <c r="U39" i="4"/>
  <c r="T39" i="4"/>
  <c r="K38" i="4"/>
  <c r="F38" i="4"/>
  <c r="G38" i="4" s="1"/>
  <c r="T37" i="4"/>
  <c r="T36" i="4"/>
  <c r="U37" i="4"/>
  <c r="U36" i="4"/>
  <c r="H38" i="4"/>
  <c r="T35" i="4"/>
  <c r="U35" i="4"/>
  <c r="O38" i="4"/>
  <c r="P38" i="4" s="1"/>
  <c r="U34" i="4"/>
  <c r="T34" i="4"/>
  <c r="L38" i="4"/>
  <c r="R17" i="7"/>
  <c r="R16" i="7"/>
  <c r="R18" i="7" s="1"/>
  <c r="Q17" i="7"/>
  <c r="Q16" i="7"/>
  <c r="N18" i="7"/>
  <c r="M18" i="7"/>
  <c r="R20" i="7"/>
  <c r="Q20" i="7"/>
  <c r="R19" i="7"/>
  <c r="R21" i="7" s="1"/>
  <c r="Q19" i="7"/>
  <c r="Q21" i="7" s="1"/>
  <c r="M21" i="7"/>
  <c r="N21" i="7"/>
  <c r="I21" i="7"/>
  <c r="J21" i="7"/>
  <c r="E21" i="7"/>
  <c r="F21" i="7"/>
  <c r="N30" i="2"/>
  <c r="N29" i="2"/>
  <c r="N26" i="2"/>
  <c r="N25" i="2"/>
  <c r="Q18" i="7" l="1"/>
  <c r="G42" i="4"/>
  <c r="M38" i="4"/>
  <c r="K21" i="7"/>
  <c r="G21" i="7"/>
  <c r="O21" i="7"/>
  <c r="J38" i="4"/>
  <c r="J42" i="4"/>
  <c r="T38" i="4"/>
  <c r="U42" i="4"/>
  <c r="U38" i="4"/>
  <c r="O18" i="7"/>
  <c r="S32" i="4"/>
  <c r="R32" i="4"/>
  <c r="Q32" i="4"/>
  <c r="O32" i="4"/>
  <c r="N32" i="4"/>
  <c r="L32" i="4"/>
  <c r="K32" i="4"/>
  <c r="F32" i="4"/>
  <c r="E32" i="4"/>
  <c r="S31" i="4"/>
  <c r="R31" i="4"/>
  <c r="Q31" i="4"/>
  <c r="O31" i="4"/>
  <c r="N31" i="4"/>
  <c r="L31" i="4"/>
  <c r="K31" i="4"/>
  <c r="F31" i="4"/>
  <c r="E31" i="4"/>
  <c r="S30" i="4"/>
  <c r="R30" i="4"/>
  <c r="Q30" i="4"/>
  <c r="P30" i="4"/>
  <c r="O30" i="4"/>
  <c r="N30" i="4"/>
  <c r="M30" i="4"/>
  <c r="L30" i="4"/>
  <c r="K30" i="4"/>
  <c r="I30" i="4"/>
  <c r="U30" i="4" s="1"/>
  <c r="H30" i="4"/>
  <c r="T30" i="4" s="1"/>
  <c r="G30" i="4"/>
  <c r="F30" i="4"/>
  <c r="E30" i="4"/>
  <c r="F30" i="2"/>
  <c r="G32" i="4" s="1"/>
  <c r="F29" i="2"/>
  <c r="G31" i="4" s="1"/>
  <c r="G439" i="5"/>
  <c r="H439" i="5"/>
  <c r="G429" i="5"/>
  <c r="H429" i="5"/>
  <c r="L33" i="4" l="1"/>
  <c r="N33" i="4"/>
  <c r="K33" i="4"/>
  <c r="O33" i="4"/>
  <c r="Q33" i="4"/>
  <c r="R33" i="4"/>
  <c r="H30" i="3"/>
  <c r="H32" i="4" s="1"/>
  <c r="T32" i="4" s="1"/>
  <c r="H29" i="3"/>
  <c r="H31" i="4" s="1"/>
  <c r="T31" i="4" s="1"/>
  <c r="H30" i="1"/>
  <c r="I32" i="4" s="1"/>
  <c r="U32" i="4" s="1"/>
  <c r="H29" i="1"/>
  <c r="I31" i="4" s="1"/>
  <c r="U31" i="4" s="1"/>
  <c r="J30" i="2"/>
  <c r="M32" i="4" s="1"/>
  <c r="J29" i="2"/>
  <c r="M31" i="4" s="1"/>
  <c r="H28" i="2"/>
  <c r="J30" i="4" s="1"/>
  <c r="G419" i="5"/>
  <c r="H419" i="5"/>
  <c r="G412" i="5"/>
  <c r="H412" i="5"/>
  <c r="G403" i="5"/>
  <c r="H403" i="5"/>
  <c r="L30" i="2"/>
  <c r="P32" i="4" s="1"/>
  <c r="L29" i="2"/>
  <c r="P31" i="4" s="1"/>
  <c r="G394" i="5"/>
  <c r="H394" i="5"/>
  <c r="O29" i="3"/>
  <c r="O28" i="3"/>
  <c r="B30" i="3"/>
  <c r="B29" i="3"/>
  <c r="B28" i="3"/>
  <c r="B30" i="2"/>
  <c r="B29" i="2"/>
  <c r="B28" i="2"/>
  <c r="B30" i="1"/>
  <c r="B29" i="1"/>
  <c r="B28" i="1"/>
  <c r="O29" i="1"/>
  <c r="O28" i="1"/>
  <c r="O28" i="2" s="1"/>
  <c r="G385" i="5"/>
  <c r="H385" i="5"/>
  <c r="S28" i="4"/>
  <c r="R28" i="4"/>
  <c r="Q28" i="4"/>
  <c r="P28" i="4"/>
  <c r="O28" i="4"/>
  <c r="N28" i="4"/>
  <c r="M28" i="4"/>
  <c r="L28" i="4"/>
  <c r="K28" i="4"/>
  <c r="I28" i="4"/>
  <c r="H28" i="4"/>
  <c r="F28" i="4"/>
  <c r="E28" i="4"/>
  <c r="S27" i="4"/>
  <c r="R27" i="4"/>
  <c r="Q27" i="4"/>
  <c r="P27" i="4"/>
  <c r="O27" i="4"/>
  <c r="N27" i="4"/>
  <c r="M27" i="4"/>
  <c r="L27" i="4"/>
  <c r="K27" i="4"/>
  <c r="I27" i="4"/>
  <c r="H27" i="4"/>
  <c r="F27" i="4"/>
  <c r="E27" i="4"/>
  <c r="S26" i="4"/>
  <c r="R26" i="4"/>
  <c r="Q26" i="4"/>
  <c r="P26" i="4"/>
  <c r="O26" i="4"/>
  <c r="N26" i="4"/>
  <c r="M26" i="4"/>
  <c r="L26" i="4"/>
  <c r="K26" i="4"/>
  <c r="I26" i="4"/>
  <c r="H26" i="4"/>
  <c r="F26" i="4"/>
  <c r="E26" i="4"/>
  <c r="O26" i="2"/>
  <c r="O25" i="2"/>
  <c r="O24" i="1"/>
  <c r="O24" i="2" s="1"/>
  <c r="O26" i="3"/>
  <c r="O25" i="3"/>
  <c r="O24" i="3"/>
  <c r="G376" i="5"/>
  <c r="H376" i="5"/>
  <c r="E29" i="12"/>
  <c r="G368" i="5"/>
  <c r="H368" i="5" s="1"/>
  <c r="G367" i="5"/>
  <c r="H367" i="5" s="1"/>
  <c r="G366" i="5"/>
  <c r="H366" i="5" s="1"/>
  <c r="G365" i="5"/>
  <c r="H365" i="5" s="1"/>
  <c r="D32" i="12"/>
  <c r="E32" i="12" s="1"/>
  <c r="G32" i="12" s="1"/>
  <c r="D31" i="12"/>
  <c r="E31" i="12" s="1"/>
  <c r="G31" i="12" s="1"/>
  <c r="E28" i="12"/>
  <c r="E27" i="12"/>
  <c r="D34" i="12" s="1"/>
  <c r="E34" i="12" s="1"/>
  <c r="G34" i="12" s="1"/>
  <c r="E26" i="12"/>
  <c r="B26" i="12"/>
  <c r="C26" i="12"/>
  <c r="D26" i="12"/>
  <c r="H26" i="2"/>
  <c r="J28" i="4" s="1"/>
  <c r="H25" i="2"/>
  <c r="J27" i="4" s="1"/>
  <c r="H24" i="2"/>
  <c r="J26" i="4" s="1"/>
  <c r="G362" i="5"/>
  <c r="H362" i="5"/>
  <c r="G355" i="5"/>
  <c r="H355" i="5"/>
  <c r="F26" i="2"/>
  <c r="G28" i="4" s="1"/>
  <c r="F25" i="2"/>
  <c r="G27" i="4" s="1"/>
  <c r="F24" i="2"/>
  <c r="G26" i="4" s="1"/>
  <c r="G345" i="5"/>
  <c r="H345" i="5"/>
  <c r="B26" i="3"/>
  <c r="B25" i="3"/>
  <c r="B24" i="3"/>
  <c r="B26" i="2"/>
  <c r="B25" i="2"/>
  <c r="B24" i="2"/>
  <c r="B26" i="1"/>
  <c r="B25" i="1"/>
  <c r="B24" i="1"/>
  <c r="G335" i="5"/>
  <c r="H335" i="5"/>
  <c r="R14" i="7"/>
  <c r="Q14" i="7"/>
  <c r="R13" i="7"/>
  <c r="R15" i="7" s="1"/>
  <c r="Q13" i="7"/>
  <c r="N15" i="7"/>
  <c r="M15" i="7"/>
  <c r="J15" i="7"/>
  <c r="I15" i="7"/>
  <c r="E15" i="7"/>
  <c r="F15" i="7"/>
  <c r="R11" i="7"/>
  <c r="Q11" i="7"/>
  <c r="R10" i="7"/>
  <c r="Q10" i="7"/>
  <c r="M12" i="7"/>
  <c r="N12" i="7"/>
  <c r="I12" i="7"/>
  <c r="J12" i="7"/>
  <c r="E12" i="7"/>
  <c r="F12" i="7"/>
  <c r="G325" i="5"/>
  <c r="H325" i="5"/>
  <c r="D12" i="9"/>
  <c r="F63" i="1" s="1"/>
  <c r="S24" i="4"/>
  <c r="R24" i="4"/>
  <c r="Q24" i="4"/>
  <c r="P24" i="4"/>
  <c r="O24" i="4"/>
  <c r="N24" i="4"/>
  <c r="M24" i="4"/>
  <c r="L24" i="4"/>
  <c r="K24" i="4"/>
  <c r="I24" i="4"/>
  <c r="U24" i="4" s="1"/>
  <c r="H24" i="4"/>
  <c r="T24" i="4" s="1"/>
  <c r="G24" i="4"/>
  <c r="F24" i="4"/>
  <c r="E24" i="4"/>
  <c r="R23" i="4"/>
  <c r="Q23" i="4"/>
  <c r="O23" i="4"/>
  <c r="N23" i="4"/>
  <c r="L23" i="4"/>
  <c r="K23" i="4"/>
  <c r="F23" i="4"/>
  <c r="E23" i="4"/>
  <c r="R22" i="4"/>
  <c r="Q22" i="4"/>
  <c r="O22" i="4"/>
  <c r="O25" i="4" s="1"/>
  <c r="N22" i="4"/>
  <c r="L22" i="4"/>
  <c r="K22" i="4"/>
  <c r="F22" i="4"/>
  <c r="E22" i="4"/>
  <c r="H21" i="3"/>
  <c r="O21" i="3" s="1"/>
  <c r="G288" i="5"/>
  <c r="H288" i="5"/>
  <c r="H20" i="3"/>
  <c r="H22" i="4" s="1"/>
  <c r="H21" i="1"/>
  <c r="I23" i="4" s="1"/>
  <c r="I22" i="4"/>
  <c r="F21" i="2"/>
  <c r="G23" i="4" s="1"/>
  <c r="N21" i="2"/>
  <c r="S23" i="4" s="1"/>
  <c r="L21" i="2"/>
  <c r="P23" i="4" s="1"/>
  <c r="J21" i="2"/>
  <c r="M23" i="4" s="1"/>
  <c r="N20" i="2"/>
  <c r="S22" i="4" s="1"/>
  <c r="L20" i="2"/>
  <c r="P22" i="4" s="1"/>
  <c r="J20" i="2"/>
  <c r="M22" i="4" s="1"/>
  <c r="F20" i="2"/>
  <c r="G22" i="4" s="1"/>
  <c r="H22" i="2"/>
  <c r="J24" i="4" s="1"/>
  <c r="H20" i="2"/>
  <c r="J22" i="4" s="1"/>
  <c r="O22" i="3"/>
  <c r="O22" i="1"/>
  <c r="O20" i="1"/>
  <c r="B22" i="3"/>
  <c r="B21" i="3"/>
  <c r="B20" i="3"/>
  <c r="B22" i="2"/>
  <c r="B21" i="2"/>
  <c r="B20" i="2"/>
  <c r="B22" i="1"/>
  <c r="B21" i="1"/>
  <c r="B20" i="1"/>
  <c r="G315" i="5"/>
  <c r="H315" i="5"/>
  <c r="G305" i="5"/>
  <c r="H305" i="5"/>
  <c r="G295" i="5"/>
  <c r="H295" i="5"/>
  <c r="G279" i="5"/>
  <c r="H279" i="5"/>
  <c r="G270" i="5"/>
  <c r="H270" i="5"/>
  <c r="G261" i="5"/>
  <c r="H261" i="5"/>
  <c r="G252" i="5"/>
  <c r="H252" i="5"/>
  <c r="R12" i="7" l="1"/>
  <c r="Q15" i="7"/>
  <c r="D33" i="12"/>
  <c r="E33" i="12" s="1"/>
  <c r="G33" i="12" s="1"/>
  <c r="O22" i="2"/>
  <c r="Q12" i="7"/>
  <c r="O29" i="2"/>
  <c r="O30" i="3"/>
  <c r="O20" i="3"/>
  <c r="O20" i="2" s="1"/>
  <c r="O30" i="1"/>
  <c r="K25" i="4"/>
  <c r="H30" i="2"/>
  <c r="J32" i="4" s="1"/>
  <c r="H29" i="2"/>
  <c r="J31" i="4" s="1"/>
  <c r="K15" i="7"/>
  <c r="G12" i="7"/>
  <c r="K12" i="7"/>
  <c r="O12" i="7"/>
  <c r="L25" i="4"/>
  <c r="N25" i="4"/>
  <c r="G15" i="7"/>
  <c r="O15" i="7"/>
  <c r="U22" i="4"/>
  <c r="T22" i="4"/>
  <c r="H369" i="5"/>
  <c r="G369" i="5"/>
  <c r="H23" i="4"/>
  <c r="T23" i="4" s="1"/>
  <c r="U23" i="4"/>
  <c r="H21" i="2"/>
  <c r="J23" i="4" s="1"/>
  <c r="O21" i="1"/>
  <c r="O21" i="2" s="1"/>
  <c r="G243" i="5"/>
  <c r="H243" i="5"/>
  <c r="H63" i="1"/>
  <c r="P3" i="8"/>
  <c r="D14" i="11"/>
  <c r="J37" i="7" s="1"/>
  <c r="H12" i="10"/>
  <c r="D12" i="10"/>
  <c r="S20" i="4"/>
  <c r="R20" i="4"/>
  <c r="Q20" i="4"/>
  <c r="P20" i="4"/>
  <c r="O20" i="4"/>
  <c r="N20" i="4"/>
  <c r="M20" i="4"/>
  <c r="L20" i="4"/>
  <c r="K20" i="4"/>
  <c r="I20" i="4"/>
  <c r="U20" i="4" s="1"/>
  <c r="H20" i="4"/>
  <c r="T20" i="4" s="1"/>
  <c r="G20" i="4"/>
  <c r="F20" i="4"/>
  <c r="E20" i="4"/>
  <c r="R19" i="4"/>
  <c r="Q19" i="4"/>
  <c r="O19" i="4"/>
  <c r="N19" i="4"/>
  <c r="L19" i="4"/>
  <c r="K19" i="4"/>
  <c r="H19" i="4"/>
  <c r="F19" i="4"/>
  <c r="E19" i="4"/>
  <c r="R18" i="4"/>
  <c r="Q18" i="4"/>
  <c r="O18" i="4"/>
  <c r="N18" i="4"/>
  <c r="L18" i="4"/>
  <c r="K18" i="4"/>
  <c r="I18" i="4"/>
  <c r="H18" i="4"/>
  <c r="F18" i="4"/>
  <c r="E18" i="4"/>
  <c r="S17" i="4"/>
  <c r="R17" i="4"/>
  <c r="Q17" i="4"/>
  <c r="P17" i="4"/>
  <c r="O17" i="4"/>
  <c r="N17" i="4"/>
  <c r="M17" i="4"/>
  <c r="L17" i="4"/>
  <c r="K17" i="4"/>
  <c r="I17" i="4"/>
  <c r="U17" i="4" s="1"/>
  <c r="H17" i="4"/>
  <c r="T17" i="4" s="1"/>
  <c r="G17" i="4"/>
  <c r="F17" i="4"/>
  <c r="E17" i="4"/>
  <c r="H17" i="2"/>
  <c r="J19" i="4" s="1"/>
  <c r="G236" i="5"/>
  <c r="H236" i="5"/>
  <c r="G226" i="5"/>
  <c r="H226" i="5"/>
  <c r="G216" i="5"/>
  <c r="H216" i="5"/>
  <c r="G209" i="5"/>
  <c r="H209" i="5"/>
  <c r="G202" i="5"/>
  <c r="H202" i="5"/>
  <c r="G193" i="5"/>
  <c r="H193" i="5"/>
  <c r="N17" i="2"/>
  <c r="S19" i="4" s="1"/>
  <c r="N16" i="2"/>
  <c r="S18" i="4" s="1"/>
  <c r="L17" i="2"/>
  <c r="P19" i="4" s="1"/>
  <c r="L16" i="2"/>
  <c r="P18" i="4" s="1"/>
  <c r="H18" i="2"/>
  <c r="J20" i="4" s="1"/>
  <c r="H16" i="2"/>
  <c r="J18" i="4" s="1"/>
  <c r="H15" i="2"/>
  <c r="J17" i="4" s="1"/>
  <c r="F17" i="2"/>
  <c r="G19" i="4" s="1"/>
  <c r="F16" i="2"/>
  <c r="G18" i="4" s="1"/>
  <c r="J17" i="2"/>
  <c r="M19" i="4" s="1"/>
  <c r="J16" i="2"/>
  <c r="M18" i="4" s="1"/>
  <c r="G184" i="5"/>
  <c r="H184" i="5"/>
  <c r="O18" i="3"/>
  <c r="O17" i="3"/>
  <c r="O16" i="3"/>
  <c r="O18" i="1"/>
  <c r="O17" i="1"/>
  <c r="O16" i="1"/>
  <c r="O15" i="1"/>
  <c r="O15" i="3"/>
  <c r="B18" i="3"/>
  <c r="B17" i="3"/>
  <c r="B16" i="3"/>
  <c r="B15" i="3"/>
  <c r="B18" i="2"/>
  <c r="B17" i="2"/>
  <c r="B16" i="2"/>
  <c r="B15" i="2"/>
  <c r="B18" i="1"/>
  <c r="B17" i="1"/>
  <c r="B16" i="1"/>
  <c r="B15" i="1"/>
  <c r="G175" i="5"/>
  <c r="H175" i="5"/>
  <c r="S15" i="4"/>
  <c r="R15" i="4"/>
  <c r="Q15" i="4"/>
  <c r="P15" i="4"/>
  <c r="O15" i="4"/>
  <c r="N15" i="4"/>
  <c r="M15" i="4"/>
  <c r="L15" i="4"/>
  <c r="K15" i="4"/>
  <c r="I15" i="4"/>
  <c r="H15" i="4"/>
  <c r="F15" i="4"/>
  <c r="E15" i="4"/>
  <c r="S14" i="4"/>
  <c r="R14" i="4"/>
  <c r="Q14" i="4"/>
  <c r="P14" i="4"/>
  <c r="O14" i="4"/>
  <c r="N14" i="4"/>
  <c r="M14" i="4"/>
  <c r="L14" i="4"/>
  <c r="K14" i="4"/>
  <c r="I14" i="4"/>
  <c r="H14" i="4"/>
  <c r="F14" i="4"/>
  <c r="E14" i="4"/>
  <c r="H13" i="2"/>
  <c r="J15" i="4" s="1"/>
  <c r="F13" i="2"/>
  <c r="G15" i="4" s="1"/>
  <c r="H12" i="2"/>
  <c r="J14" i="4" s="1"/>
  <c r="F12" i="2"/>
  <c r="G14" i="4" s="1"/>
  <c r="O13" i="3"/>
  <c r="O12" i="3"/>
  <c r="B13" i="3"/>
  <c r="B12" i="3"/>
  <c r="B13" i="2"/>
  <c r="B12" i="2"/>
  <c r="O13" i="1"/>
  <c r="O13" i="2" s="1"/>
  <c r="O12" i="1"/>
  <c r="O12" i="2" s="1"/>
  <c r="B13" i="1"/>
  <c r="B12" i="1"/>
  <c r="G166" i="5"/>
  <c r="H166" i="5"/>
  <c r="G156" i="5"/>
  <c r="H156" i="5"/>
  <c r="G149" i="5"/>
  <c r="H149" i="5"/>
  <c r="G139" i="5"/>
  <c r="H139" i="5"/>
  <c r="R8" i="7"/>
  <c r="Q8" i="7"/>
  <c r="R7" i="7"/>
  <c r="R9" i="7" s="1"/>
  <c r="Q7" i="7"/>
  <c r="Q9" i="7" s="1"/>
  <c r="N9" i="7"/>
  <c r="M9" i="7"/>
  <c r="J9" i="7"/>
  <c r="I9" i="7"/>
  <c r="E9" i="7"/>
  <c r="F9" i="7"/>
  <c r="O30" i="2" l="1"/>
  <c r="O18" i="2"/>
  <c r="I19" i="4"/>
  <c r="O15" i="2"/>
  <c r="T15" i="4"/>
  <c r="T14" i="4"/>
  <c r="U15" i="4"/>
  <c r="G9" i="7"/>
  <c r="U14" i="4"/>
  <c r="K9" i="7"/>
  <c r="O9" i="7"/>
  <c r="O16" i="2"/>
  <c r="O17" i="2"/>
  <c r="G132" i="5"/>
  <c r="H132" i="5"/>
  <c r="S12" i="4"/>
  <c r="R12" i="4"/>
  <c r="Q12" i="4"/>
  <c r="P12" i="4"/>
  <c r="O12" i="4"/>
  <c r="N12" i="4"/>
  <c r="M12" i="4"/>
  <c r="L12" i="4"/>
  <c r="K12" i="4"/>
  <c r="I12" i="4"/>
  <c r="H12" i="4"/>
  <c r="G12" i="4"/>
  <c r="F12" i="4"/>
  <c r="E12" i="4"/>
  <c r="S11" i="4"/>
  <c r="R11" i="4"/>
  <c r="Q11" i="4"/>
  <c r="P11" i="4"/>
  <c r="O11" i="4"/>
  <c r="N11" i="4"/>
  <c r="M11" i="4"/>
  <c r="L11" i="4"/>
  <c r="K11" i="4"/>
  <c r="I11" i="4"/>
  <c r="U11" i="4" s="1"/>
  <c r="H11" i="4"/>
  <c r="T11" i="4" s="1"/>
  <c r="G11" i="4"/>
  <c r="F11" i="4"/>
  <c r="E11" i="4"/>
  <c r="R10" i="4"/>
  <c r="Q10" i="4"/>
  <c r="O10" i="4"/>
  <c r="N10" i="4"/>
  <c r="L10" i="4"/>
  <c r="K10" i="4"/>
  <c r="I10" i="4"/>
  <c r="H10" i="4"/>
  <c r="R9" i="4"/>
  <c r="Q9" i="4"/>
  <c r="O9" i="4"/>
  <c r="N9" i="4"/>
  <c r="L9" i="4"/>
  <c r="K9" i="4"/>
  <c r="F9" i="4"/>
  <c r="E9" i="4"/>
  <c r="H7" i="3"/>
  <c r="H9" i="4" s="1"/>
  <c r="H7" i="1"/>
  <c r="I9" i="4" s="1"/>
  <c r="F8" i="1"/>
  <c r="F10" i="4" s="1"/>
  <c r="G125" i="5"/>
  <c r="H125" i="5"/>
  <c r="F8" i="3"/>
  <c r="E10" i="4" s="1"/>
  <c r="G118" i="5"/>
  <c r="H118" i="5"/>
  <c r="G108" i="5"/>
  <c r="H108" i="5"/>
  <c r="G101" i="5"/>
  <c r="H101" i="5"/>
  <c r="G92" i="5"/>
  <c r="H92" i="5"/>
  <c r="G83" i="5"/>
  <c r="H83" i="5"/>
  <c r="N8" i="2"/>
  <c r="S10" i="4" s="1"/>
  <c r="N7" i="2"/>
  <c r="S9" i="4" s="1"/>
  <c r="L8" i="2"/>
  <c r="P10" i="4" s="1"/>
  <c r="L7" i="2"/>
  <c r="P9" i="4" s="1"/>
  <c r="J8" i="2"/>
  <c r="M10" i="4" s="1"/>
  <c r="J7" i="2"/>
  <c r="M9" i="4" s="1"/>
  <c r="F7" i="2"/>
  <c r="G9" i="4" s="1"/>
  <c r="H10" i="2"/>
  <c r="J12" i="4" s="1"/>
  <c r="H9" i="2"/>
  <c r="J11" i="4" s="1"/>
  <c r="H8" i="2"/>
  <c r="J10" i="4" s="1"/>
  <c r="O8" i="3"/>
  <c r="O10" i="3"/>
  <c r="O9" i="3"/>
  <c r="O10" i="1"/>
  <c r="O9" i="1"/>
  <c r="O9" i="2" s="1"/>
  <c r="O8" i="1"/>
  <c r="O8" i="2" s="1"/>
  <c r="B10" i="2"/>
  <c r="B9" i="2"/>
  <c r="B8" i="2"/>
  <c r="B7" i="2"/>
  <c r="B10" i="3"/>
  <c r="B9" i="3"/>
  <c r="B8" i="3"/>
  <c r="B7" i="3"/>
  <c r="B10" i="1"/>
  <c r="B9" i="1"/>
  <c r="B8" i="1"/>
  <c r="B7" i="1"/>
  <c r="G74" i="5"/>
  <c r="H74" i="5"/>
  <c r="F37" i="7"/>
  <c r="O7" i="1" l="1"/>
  <c r="H7" i="2"/>
  <c r="J9" i="4" s="1"/>
  <c r="F8" i="2"/>
  <c r="G10" i="4" s="1"/>
  <c r="O7" i="3"/>
  <c r="O10" i="2"/>
  <c r="H4" i="1"/>
  <c r="O4" i="1" s="1"/>
  <c r="F4" i="1"/>
  <c r="F4" i="3"/>
  <c r="O4" i="3" s="1"/>
  <c r="H4" i="3"/>
  <c r="G65" i="5"/>
  <c r="H65" i="5"/>
  <c r="G56" i="5"/>
  <c r="H56" i="5"/>
  <c r="G49" i="5"/>
  <c r="H49" i="5"/>
  <c r="G42" i="5"/>
  <c r="H42" i="5"/>
  <c r="G35" i="5"/>
  <c r="H35" i="5"/>
  <c r="B5" i="2"/>
  <c r="B4" i="2"/>
  <c r="B3" i="2"/>
  <c r="B2" i="2"/>
  <c r="B5" i="1"/>
  <c r="B4" i="1"/>
  <c r="B3" i="1"/>
  <c r="B2" i="1"/>
  <c r="G26" i="5"/>
  <c r="H26" i="5"/>
  <c r="O5" i="1"/>
  <c r="O3" i="1"/>
  <c r="O2" i="1"/>
  <c r="O5" i="3"/>
  <c r="O3" i="3"/>
  <c r="O2" i="3"/>
  <c r="G17" i="5"/>
  <c r="H17" i="5"/>
  <c r="G8" i="5"/>
  <c r="H8" i="5"/>
  <c r="H61" i="3"/>
  <c r="J61" i="3"/>
  <c r="L61" i="3"/>
  <c r="N61" i="3"/>
  <c r="O7" i="2" l="1"/>
  <c r="R37" i="7"/>
  <c r="O65" i="4" l="1"/>
  <c r="L65" i="4"/>
  <c r="H33" i="4" l="1"/>
  <c r="E33" i="4"/>
  <c r="I33" i="4"/>
  <c r="M33" i="4"/>
  <c r="F33" i="4"/>
  <c r="F65" i="4"/>
  <c r="R29" i="4"/>
  <c r="I29" i="4"/>
  <c r="H29" i="4"/>
  <c r="F29" i="4"/>
  <c r="E29" i="4"/>
  <c r="J33" i="4" l="1"/>
  <c r="J29" i="4"/>
  <c r="P33" i="4"/>
  <c r="T33" i="4"/>
  <c r="Q29" i="4"/>
  <c r="S29" i="4" s="1"/>
  <c r="S33" i="4"/>
  <c r="U33" i="4"/>
  <c r="G33" i="4"/>
  <c r="G29" i="4"/>
  <c r="U27" i="4"/>
  <c r="U28" i="4"/>
  <c r="T27" i="4"/>
  <c r="T28" i="4"/>
  <c r="U26" i="4"/>
  <c r="T26" i="4"/>
  <c r="U29" i="4" l="1"/>
  <c r="T29" i="4"/>
  <c r="R21" i="4" l="1"/>
  <c r="M25" i="4"/>
  <c r="P25" i="4"/>
  <c r="Q25" i="4"/>
  <c r="H25" i="4"/>
  <c r="R25" i="4"/>
  <c r="F25" i="4"/>
  <c r="I25" i="4"/>
  <c r="E25" i="4"/>
  <c r="K21" i="4"/>
  <c r="O21" i="4"/>
  <c r="U19" i="4"/>
  <c r="L21" i="4"/>
  <c r="N21" i="4"/>
  <c r="T19" i="4"/>
  <c r="Q21" i="4"/>
  <c r="H21" i="4"/>
  <c r="T18" i="4"/>
  <c r="E21" i="4"/>
  <c r="U18" i="4"/>
  <c r="I21" i="4"/>
  <c r="F21" i="4"/>
  <c r="S25" i="4" l="1"/>
  <c r="S21" i="4"/>
  <c r="J25" i="4"/>
  <c r="P21" i="4"/>
  <c r="M21" i="4"/>
  <c r="U25" i="4"/>
  <c r="T25" i="4"/>
  <c r="G25" i="4"/>
  <c r="G21" i="4"/>
  <c r="T21" i="4"/>
  <c r="J21" i="4"/>
  <c r="U21" i="4"/>
  <c r="U12" i="4"/>
  <c r="T12" i="4"/>
  <c r="U10" i="4"/>
  <c r="E16" i="4" l="1"/>
  <c r="L16" i="4"/>
  <c r="N16" i="4"/>
  <c r="E13" i="4"/>
  <c r="F16" i="4"/>
  <c r="G16" i="4" s="1"/>
  <c r="K16" i="4"/>
  <c r="O16" i="4"/>
  <c r="P16" i="4" s="1"/>
  <c r="R16" i="4"/>
  <c r="I16" i="4"/>
  <c r="H13" i="4"/>
  <c r="K13" i="4"/>
  <c r="N13" i="4"/>
  <c r="Q16" i="4"/>
  <c r="R13" i="4"/>
  <c r="U9" i="4"/>
  <c r="U13" i="4" s="1"/>
  <c r="H16" i="4"/>
  <c r="T10" i="4"/>
  <c r="I13" i="4"/>
  <c r="L13" i="4"/>
  <c r="O13" i="4"/>
  <c r="Q13" i="4"/>
  <c r="F13" i="4"/>
  <c r="T9" i="4"/>
  <c r="I65" i="4"/>
  <c r="U65" i="4" s="1"/>
  <c r="M16" i="4" l="1"/>
  <c r="G13" i="4"/>
  <c r="S13" i="4"/>
  <c r="M13" i="4"/>
  <c r="J16" i="4"/>
  <c r="P13" i="4"/>
  <c r="J13" i="4"/>
  <c r="U16" i="4"/>
  <c r="T16" i="4"/>
  <c r="T13" i="4"/>
  <c r="O63" i="1"/>
  <c r="B9" i="6" l="1"/>
  <c r="S7" i="4"/>
  <c r="R7" i="4"/>
  <c r="Q7" i="4"/>
  <c r="P7" i="4"/>
  <c r="O7" i="4"/>
  <c r="N7" i="4"/>
  <c r="M7" i="4"/>
  <c r="L7" i="4"/>
  <c r="K7" i="4"/>
  <c r="I7" i="4"/>
  <c r="U7" i="4" s="1"/>
  <c r="H7" i="4"/>
  <c r="T7" i="4" s="1"/>
  <c r="G7" i="4"/>
  <c r="F7" i="4"/>
  <c r="E7" i="4"/>
  <c r="R6" i="4"/>
  <c r="N5" i="7" s="1"/>
  <c r="Q6" i="4"/>
  <c r="M5" i="7" s="1"/>
  <c r="O6" i="4"/>
  <c r="J5" i="7" s="1"/>
  <c r="N6" i="4"/>
  <c r="I5" i="7" s="1"/>
  <c r="L6" i="4"/>
  <c r="F5" i="7" s="1"/>
  <c r="K6" i="4"/>
  <c r="E5" i="7" s="1"/>
  <c r="I6" i="4"/>
  <c r="H6" i="4"/>
  <c r="R5" i="4"/>
  <c r="N4" i="7" s="1"/>
  <c r="Q5" i="4"/>
  <c r="M4" i="7" s="1"/>
  <c r="O5" i="4"/>
  <c r="N5" i="4"/>
  <c r="I4" i="7" s="1"/>
  <c r="L5" i="4"/>
  <c r="F4" i="7" s="1"/>
  <c r="K5" i="4"/>
  <c r="E4" i="7" s="1"/>
  <c r="I5" i="4"/>
  <c r="H5" i="4"/>
  <c r="F5" i="4"/>
  <c r="U5" i="4" s="1"/>
  <c r="E5" i="4"/>
  <c r="S4" i="4"/>
  <c r="R4" i="4"/>
  <c r="Q4" i="4"/>
  <c r="P4" i="4"/>
  <c r="O4" i="4"/>
  <c r="N4" i="4"/>
  <c r="L4" i="4"/>
  <c r="K4" i="4"/>
  <c r="I4" i="4"/>
  <c r="U4" i="4" s="1"/>
  <c r="H4" i="4"/>
  <c r="T4" i="4" s="1"/>
  <c r="F4" i="4"/>
  <c r="E4" i="4"/>
  <c r="N61" i="1"/>
  <c r="N65" i="1" s="1"/>
  <c r="L61" i="1"/>
  <c r="L65" i="1" s="1"/>
  <c r="J61" i="1"/>
  <c r="J65" i="1" s="1"/>
  <c r="H61" i="1"/>
  <c r="T5" i="4" l="1"/>
  <c r="Q4" i="7"/>
  <c r="R5" i="7"/>
  <c r="Q5" i="7"/>
  <c r="O8" i="4"/>
  <c r="O64" i="4" s="1"/>
  <c r="J4" i="7"/>
  <c r="R4" i="7" s="1"/>
  <c r="O5" i="2"/>
  <c r="I6" i="7"/>
  <c r="I36" i="7" s="1"/>
  <c r="M6" i="7"/>
  <c r="M36" i="7" s="1"/>
  <c r="E6" i="7"/>
  <c r="E36" i="7" s="1"/>
  <c r="N6" i="7"/>
  <c r="N36" i="7" s="1"/>
  <c r="F6" i="7"/>
  <c r="F36" i="7" s="1"/>
  <c r="N64" i="1"/>
  <c r="L64" i="1"/>
  <c r="J64" i="1"/>
  <c r="H64" i="1"/>
  <c r="H65" i="1" s="1"/>
  <c r="H61" i="2"/>
  <c r="L61" i="2"/>
  <c r="J61" i="2"/>
  <c r="N61" i="2"/>
  <c r="Q6" i="7"/>
  <c r="Q36" i="7" s="1"/>
  <c r="I8" i="4"/>
  <c r="I64" i="4" s="1"/>
  <c r="L8" i="4"/>
  <c r="L64" i="4" s="1"/>
  <c r="R8" i="4"/>
  <c r="R64" i="4" s="1"/>
  <c r="O2" i="2"/>
  <c r="O3" i="2"/>
  <c r="H8" i="4"/>
  <c r="H64" i="4" s="1"/>
  <c r="K8" i="4"/>
  <c r="K64" i="4" s="1"/>
  <c r="N8" i="4"/>
  <c r="Q8" i="4"/>
  <c r="Q64" i="4" s="1"/>
  <c r="P8" i="4"/>
  <c r="N64" i="4" l="1"/>
  <c r="P64" i="4" s="1"/>
  <c r="M64" i="4"/>
  <c r="S64" i="4"/>
  <c r="J64" i="4"/>
  <c r="J6" i="7"/>
  <c r="J36" i="7" s="1"/>
  <c r="N38" i="7"/>
  <c r="J66" i="1"/>
  <c r="F39" i="7" s="1"/>
  <c r="J67" i="1"/>
  <c r="F40" i="7" s="1"/>
  <c r="L66" i="1"/>
  <c r="O67" i="4" s="1"/>
  <c r="L67" i="1"/>
  <c r="J40" i="7" s="1"/>
  <c r="N66" i="1"/>
  <c r="R67" i="4" s="1"/>
  <c r="N67" i="1"/>
  <c r="N40" i="7" s="1"/>
  <c r="R6" i="7"/>
  <c r="R36" i="7" s="1"/>
  <c r="O6" i="7"/>
  <c r="O36" i="7"/>
  <c r="G6" i="7"/>
  <c r="K66" i="4"/>
  <c r="R66" i="4"/>
  <c r="I66" i="4"/>
  <c r="H66" i="4"/>
  <c r="L66" i="4"/>
  <c r="H66" i="1"/>
  <c r="I67" i="4" s="1"/>
  <c r="H67" i="1"/>
  <c r="S8" i="4"/>
  <c r="Q66" i="4"/>
  <c r="J8" i="4"/>
  <c r="M8" i="4"/>
  <c r="N66" i="4" l="1"/>
  <c r="K6" i="7"/>
  <c r="K36" i="7"/>
  <c r="J39" i="7"/>
  <c r="O66" i="4"/>
  <c r="P66" i="4" s="1"/>
  <c r="N39" i="7"/>
  <c r="L67" i="4"/>
  <c r="G36" i="7"/>
  <c r="F38" i="7"/>
  <c r="J66" i="4"/>
  <c r="S66" i="4"/>
  <c r="M66" i="4"/>
  <c r="J38" i="7" l="1"/>
  <c r="R38" i="7" s="1"/>
  <c r="N4" i="2"/>
  <c r="N3" i="2"/>
  <c r="F61" i="3"/>
  <c r="S6" i="4" l="1"/>
  <c r="O5" i="7" s="1"/>
  <c r="S5" i="4"/>
  <c r="O4" i="7" s="1"/>
  <c r="F6" i="4"/>
  <c r="F61" i="1"/>
  <c r="F65" i="1" s="1"/>
  <c r="O61" i="1"/>
  <c r="O64" i="1" s="1"/>
  <c r="O66" i="1" s="1"/>
  <c r="F4" i="2"/>
  <c r="G6" i="4" s="1"/>
  <c r="E6" i="4"/>
  <c r="F3" i="2"/>
  <c r="G5" i="4" s="1"/>
  <c r="L4" i="2"/>
  <c r="H5" i="2"/>
  <c r="J7" i="4" s="1"/>
  <c r="H4" i="2"/>
  <c r="J6" i="4" s="1"/>
  <c r="H3" i="2"/>
  <c r="J5" i="4" s="1"/>
  <c r="H2" i="2"/>
  <c r="J4" i="4" s="1"/>
  <c r="L3" i="2"/>
  <c r="J4" i="2"/>
  <c r="J3" i="2"/>
  <c r="B5" i="3"/>
  <c r="B4" i="3"/>
  <c r="B3" i="3"/>
  <c r="B2" i="3"/>
  <c r="O4" i="2" l="1"/>
  <c r="O61" i="3"/>
  <c r="M5" i="4"/>
  <c r="G4" i="7" s="1"/>
  <c r="P5" i="4"/>
  <c r="K4" i="7" s="1"/>
  <c r="M4" i="4"/>
  <c r="M6" i="4"/>
  <c r="G5" i="7" s="1"/>
  <c r="P6" i="4"/>
  <c r="K5" i="7" s="1"/>
  <c r="F64" i="1"/>
  <c r="O67" i="1"/>
  <c r="O65" i="1"/>
  <c r="F61" i="2"/>
  <c r="U6" i="4"/>
  <c r="U8" i="4" s="1"/>
  <c r="U64" i="4" s="1"/>
  <c r="F8" i="4"/>
  <c r="F64" i="4" s="1"/>
  <c r="T6" i="4"/>
  <c r="T8" i="4" s="1"/>
  <c r="T64" i="4" s="1"/>
  <c r="E8" i="4"/>
  <c r="E64" i="4" s="1"/>
  <c r="G4" i="4"/>
  <c r="G64" i="4" l="1"/>
  <c r="F66" i="1"/>
  <c r="F67" i="4" s="1"/>
  <c r="F67" i="1"/>
  <c r="E66" i="4"/>
  <c r="F66" i="4"/>
  <c r="T66" i="4"/>
  <c r="U66" i="4"/>
  <c r="G8" i="4"/>
  <c r="G66" i="4" l="1"/>
</calcChain>
</file>

<file path=xl/sharedStrings.xml><?xml version="1.0" encoding="utf-8"?>
<sst xmlns="http://schemas.openxmlformats.org/spreadsheetml/2006/main" count="2522" uniqueCount="89">
  <si>
    <t>Longbeach</t>
  </si>
  <si>
    <t>Twin Harbors</t>
  </si>
  <si>
    <t>Copalis</t>
  </si>
  <si>
    <t>Mocrocks</t>
  </si>
  <si>
    <t>Kalaloch</t>
  </si>
  <si>
    <t>Day</t>
  </si>
  <si>
    <t>Tide</t>
  </si>
  <si>
    <t>Time</t>
  </si>
  <si>
    <t>Date</t>
  </si>
  <si>
    <t>BeachName</t>
  </si>
  <si>
    <t>LocationID</t>
  </si>
  <si>
    <t>CPUE</t>
  </si>
  <si>
    <t>CorrectionFactor</t>
  </si>
  <si>
    <t>Calc People</t>
  </si>
  <si>
    <t>EstCorEffort</t>
  </si>
  <si>
    <t>TotHarvest</t>
  </si>
  <si>
    <t>31002</t>
  </si>
  <si>
    <t>31005</t>
  </si>
  <si>
    <t>32007</t>
  </si>
  <si>
    <t>32009</t>
  </si>
  <si>
    <t>33012</t>
  </si>
  <si>
    <t>33013</t>
  </si>
  <si>
    <t>CLOSED</t>
  </si>
  <si>
    <t>41100</t>
  </si>
  <si>
    <t>41200</t>
  </si>
  <si>
    <t>41300</t>
  </si>
  <si>
    <t>41400</t>
  </si>
  <si>
    <t>42500</t>
  </si>
  <si>
    <t>42600</t>
  </si>
  <si>
    <t>21100</t>
  </si>
  <si>
    <t>21200</t>
  </si>
  <si>
    <t>22307</t>
  </si>
  <si>
    <t>22309</t>
  </si>
  <si>
    <t>LongBeach</t>
  </si>
  <si>
    <t>11101</t>
  </si>
  <si>
    <t>11104</t>
  </si>
  <si>
    <t>12400</t>
  </si>
  <si>
    <t>12500</t>
  </si>
  <si>
    <t>12600</t>
  </si>
  <si>
    <t>12300</t>
  </si>
  <si>
    <t>*</t>
  </si>
  <si>
    <t>Daily Totals</t>
  </si>
  <si>
    <t>ESTIMATED WASTAGE RATE:</t>
  </si>
  <si>
    <t>ESTIMATED TOTAL WASTAGE:</t>
  </si>
  <si>
    <t>SEASON TOTAL INCLUDING WASTAGE:</t>
  </si>
  <si>
    <t>% of TAC Harvested:</t>
  </si>
  <si>
    <t>clams left in TAC :</t>
  </si>
  <si>
    <t>*- estimate based on comparison of other beaches.        + - no harvest due to very heavy surf and storm warnings.</t>
  </si>
  <si>
    <t>SEASON TOTALS :</t>
  </si>
  <si>
    <t>LONG BEACH</t>
  </si>
  <si>
    <t>TWIN HARBORS</t>
  </si>
  <si>
    <t>COPALIS</t>
  </si>
  <si>
    <t>MOCROCKS</t>
  </si>
  <si>
    <t>KALALOCH</t>
  </si>
  <si>
    <t>DAILY TOTALS</t>
  </si>
  <si>
    <t>DATE</t>
  </si>
  <si>
    <t>DAY</t>
  </si>
  <si>
    <t>TIDE</t>
  </si>
  <si>
    <t>TIME</t>
  </si>
  <si>
    <t>Effort</t>
  </si>
  <si>
    <t>Harvest</t>
  </si>
  <si>
    <t>Tide Series Totals</t>
  </si>
  <si>
    <t>SEASON TOTALS:</t>
  </si>
  <si>
    <t>COASTWIDE TAC</t>
  </si>
  <si>
    <t>2009 FALL - 2010 SPRING NON-TRIBAL TOTAL ALLOWABLE CATCH (TAC)</t>
  </si>
  <si>
    <t>Size (mm)</t>
  </si>
  <si>
    <t>WASTAGE</t>
  </si>
  <si>
    <t>SEASON SUBTOTALS:</t>
  </si>
  <si>
    <t>EventID</t>
  </si>
  <si>
    <t>Wastage:</t>
  </si>
  <si>
    <t>Clams left in TAC:</t>
  </si>
  <si>
    <t>Season total, including Wastage</t>
  </si>
  <si>
    <t>SumOfWastage</t>
  </si>
  <si>
    <t>2010-2011 State (non-Indian) Recreational Razor Clam Effort, Harvest and CPUE totals.</t>
  </si>
  <si>
    <t>11200</t>
  </si>
  <si>
    <t>mocrocks</t>
  </si>
  <si>
    <t>CreelNPeople</t>
  </si>
  <si>
    <t>CreelNDiggers</t>
  </si>
  <si>
    <t>CreelNClams</t>
  </si>
  <si>
    <t>CreelNLanterns</t>
  </si>
  <si>
    <t>totals</t>
  </si>
  <si>
    <t>average</t>
  </si>
  <si>
    <t>% diggers to people</t>
  </si>
  <si>
    <t>lights</t>
  </si>
  <si>
    <t>people</t>
  </si>
  <si>
    <t>corr. Ppl</t>
  </si>
  <si>
    <t xml:space="preserve">FALL 2010 - SPRING 2011 SEASON TOTALS: </t>
  </si>
  <si>
    <t>Fall 2010 / Spring 2011 Harvest Rate (clams/day):</t>
  </si>
  <si>
    <r>
      <t xml:space="preserve">2010-2011 State (non-Indian) Recreational Razor Clam Effort, Harvest and CPUE totals - </t>
    </r>
    <r>
      <rPr>
        <b/>
        <sz val="10"/>
        <color rgb="FFFF0000"/>
        <rFont val="Calibri"/>
        <family val="2"/>
      </rPr>
      <t>FINAL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</si>
</sst>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409]mmmm\ d\,\ yyyy;@"/>
    <numFmt numFmtId="165" formatCode="ddd"/>
    <numFmt numFmtId="166" formatCode="_(* #,##0_);_(* \(#,##0\);_(* &quot;-&quot;??_);_(@_)"/>
    <numFmt numFmtId="167" formatCode="#,##0.0_);\(#,##0.0\)"/>
    <numFmt numFmtId="168" formatCode="0.0"/>
    <numFmt numFmtId="169" formatCode="0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sz val="10"/>
      <name val="Calibri"/>
      <family val="2"/>
    </font>
    <font>
      <i/>
      <sz val="10"/>
      <name val="Calibri"/>
      <family val="2"/>
    </font>
    <font>
      <sz val="10"/>
      <color theme="1"/>
      <name val="Calibri"/>
      <family val="2"/>
      <scheme val="minor"/>
    </font>
    <font>
      <b/>
      <sz val="12"/>
      <name val="Times New Roman"/>
      <family val="1"/>
    </font>
    <font>
      <b/>
      <i/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color rgb="FFFF0000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charset val="238"/>
    </font>
    <font>
      <sz val="10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0"/>
      </patternFill>
    </fill>
    <fill>
      <patternFill patternType="solid">
        <fgColor rgb="FFFFFF00"/>
        <bgColor indexed="0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ck">
        <color indexed="0"/>
      </top>
      <bottom/>
      <diagonal/>
    </border>
    <border>
      <left style="thick">
        <color indexed="0"/>
      </left>
      <right/>
      <top style="thick">
        <color indexed="0"/>
      </top>
      <bottom/>
      <diagonal/>
    </border>
    <border>
      <left/>
      <right/>
      <top/>
      <bottom style="thick">
        <color indexed="0"/>
      </bottom>
      <diagonal/>
    </border>
    <border>
      <left style="thick">
        <color indexed="0"/>
      </left>
      <right/>
      <top/>
      <bottom style="thick">
        <color indexed="0"/>
      </bottom>
      <diagonal/>
    </border>
    <border>
      <left style="thick">
        <color indexed="0"/>
      </left>
      <right/>
      <top/>
      <bottom/>
      <diagonal/>
    </border>
    <border>
      <left/>
      <right style="thick">
        <color indexed="0"/>
      </right>
      <top/>
      <bottom/>
      <diagonal/>
    </border>
    <border>
      <left/>
      <right/>
      <top style="thin">
        <color indexed="0"/>
      </top>
      <bottom style="thin">
        <color indexed="0"/>
      </bottom>
      <diagonal/>
    </border>
    <border>
      <left style="thick">
        <color indexed="0"/>
      </left>
      <right/>
      <top style="thin">
        <color indexed="0"/>
      </top>
      <bottom style="thin">
        <color indexed="0"/>
      </bottom>
      <diagonal/>
    </border>
    <border>
      <left/>
      <right style="thick">
        <color indexed="0"/>
      </right>
      <top style="thick">
        <color indexed="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43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0" fontId="3" fillId="0" borderId="0"/>
    <xf numFmtId="0" fontId="15" fillId="0" borderId="0"/>
    <xf numFmtId="0" fontId="3" fillId="0" borderId="0"/>
    <xf numFmtId="0" fontId="17" fillId="0" borderId="0"/>
    <xf numFmtId="0" fontId="17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</cellStyleXfs>
  <cellXfs count="26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/>
    <xf numFmtId="0" fontId="0" fillId="0" borderId="0" xfId="0" applyAlignment="1">
      <alignment vertical="center"/>
    </xf>
    <xf numFmtId="164" fontId="0" fillId="0" borderId="0" xfId="0" applyNumberFormat="1" applyBorder="1"/>
    <xf numFmtId="165" fontId="0" fillId="0" borderId="0" xfId="0" applyNumberFormat="1" applyBorder="1" applyAlignment="1">
      <alignment horizontal="center"/>
    </xf>
    <xf numFmtId="18" fontId="0" fillId="0" borderId="0" xfId="0" applyNumberForma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/>
    </xf>
    <xf numFmtId="166" fontId="0" fillId="0" borderId="0" xfId="1" applyNumberFormat="1" applyFont="1" applyBorder="1" applyAlignment="1">
      <alignment horizontal="right"/>
    </xf>
    <xf numFmtId="18" fontId="0" fillId="0" borderId="0" xfId="0" applyNumberFormat="1" applyBorder="1" applyAlignment="1">
      <alignment horizontal="right"/>
    </xf>
    <xf numFmtId="37" fontId="0" fillId="0" borderId="0" xfId="1" applyNumberFormat="1" applyFont="1" applyBorder="1" applyAlignment="1">
      <alignment horizontal="center"/>
    </xf>
    <xf numFmtId="167" fontId="0" fillId="0" borderId="0" xfId="1" applyNumberFormat="1" applyFont="1" applyBorder="1" applyAlignment="1">
      <alignment horizontal="center"/>
    </xf>
    <xf numFmtId="3" fontId="0" fillId="0" borderId="0" xfId="0" applyNumberFormat="1"/>
    <xf numFmtId="0" fontId="4" fillId="2" borderId="2" xfId="2" applyFont="1" applyFill="1" applyBorder="1" applyAlignment="1">
      <alignment horizontal="center"/>
    </xf>
    <xf numFmtId="0" fontId="4" fillId="0" borderId="1" xfId="2" applyFont="1" applyFill="1" applyBorder="1" applyAlignment="1">
      <alignment wrapText="1"/>
    </xf>
    <xf numFmtId="15" fontId="4" fillId="0" borderId="1" xfId="2" applyNumberFormat="1" applyFont="1" applyFill="1" applyBorder="1" applyAlignment="1">
      <alignment horizontal="right" wrapText="1"/>
    </xf>
    <xf numFmtId="0" fontId="2" fillId="0" borderId="0" xfId="0" applyFont="1" applyBorder="1" applyAlignment="1">
      <alignment horizontal="center"/>
    </xf>
    <xf numFmtId="18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2" fillId="0" borderId="0" xfId="0" applyFont="1"/>
    <xf numFmtId="37" fontId="0" fillId="0" borderId="0" xfId="0" applyNumberFormat="1"/>
    <xf numFmtId="167" fontId="0" fillId="0" borderId="0" xfId="0" applyNumberFormat="1"/>
    <xf numFmtId="0" fontId="5" fillId="0" borderId="0" xfId="0" applyFont="1" applyBorder="1" applyAlignment="1">
      <alignment horizontal="left"/>
    </xf>
    <xf numFmtId="0" fontId="5" fillId="0" borderId="0" xfId="0" applyFont="1" applyBorder="1" applyAlignment="1"/>
    <xf numFmtId="0" fontId="6" fillId="0" borderId="0" xfId="0" applyFont="1" applyBorder="1" applyAlignment="1">
      <alignment horizontal="left"/>
    </xf>
    <xf numFmtId="0" fontId="6" fillId="0" borderId="0" xfId="0" applyFont="1" applyBorder="1" applyAlignment="1"/>
    <xf numFmtId="165" fontId="8" fillId="0" borderId="0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18" fontId="8" fillId="0" borderId="0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8" fontId="8" fillId="0" borderId="0" xfId="0" applyNumberFormat="1" applyFont="1" applyAlignment="1">
      <alignment horizontal="center"/>
    </xf>
    <xf numFmtId="168" fontId="8" fillId="0" borderId="0" xfId="0" applyNumberFormat="1" applyFont="1" applyAlignment="1">
      <alignment horizontal="center"/>
    </xf>
    <xf numFmtId="0" fontId="7" fillId="0" borderId="0" xfId="0" applyFont="1" applyBorder="1" applyAlignment="1"/>
    <xf numFmtId="0" fontId="10" fillId="0" borderId="0" xfId="0" applyFont="1" applyBorder="1" applyAlignment="1"/>
    <xf numFmtId="3" fontId="6" fillId="0" borderId="0" xfId="0" applyNumberFormat="1" applyFont="1" applyBorder="1" applyAlignment="1"/>
    <xf numFmtId="0" fontId="6" fillId="0" borderId="3" xfId="0" applyFont="1" applyFill="1" applyBorder="1" applyAlignment="1"/>
    <xf numFmtId="0" fontId="6" fillId="0" borderId="5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3" fontId="6" fillId="0" borderId="5" xfId="0" applyNumberFormat="1" applyFont="1" applyFill="1" applyBorder="1" applyAlignment="1">
      <alignment horizontal="center"/>
    </xf>
    <xf numFmtId="16" fontId="6" fillId="0" borderId="0" xfId="0" applyNumberFormat="1" applyFont="1" applyBorder="1" applyAlignment="1">
      <alignment horizontal="center"/>
    </xf>
    <xf numFmtId="168" fontId="6" fillId="0" borderId="0" xfId="0" applyNumberFormat="1" applyFont="1" applyBorder="1" applyAlignment="1">
      <alignment horizontal="center"/>
    </xf>
    <xf numFmtId="18" fontId="6" fillId="0" borderId="0" xfId="0" applyNumberFormat="1" applyFont="1" applyBorder="1" applyAlignment="1">
      <alignment horizontal="center"/>
    </xf>
    <xf numFmtId="3" fontId="6" fillId="0" borderId="7" xfId="0" applyNumberFormat="1" applyFont="1" applyFill="1" applyBorder="1" applyAlignment="1">
      <alignment horizontal="center"/>
    </xf>
    <xf numFmtId="3" fontId="6" fillId="0" borderId="0" xfId="0" applyNumberFormat="1" applyFont="1" applyBorder="1" applyAlignment="1">
      <alignment horizontal="center"/>
    </xf>
    <xf numFmtId="168" fontId="6" fillId="0" borderId="8" xfId="0" applyNumberFormat="1" applyFont="1" applyFill="1" applyBorder="1" applyAlignment="1">
      <alignment horizontal="center"/>
    </xf>
    <xf numFmtId="16" fontId="11" fillId="0" borderId="9" xfId="0" applyNumberFormat="1" applyFont="1" applyFill="1" applyBorder="1" applyAlignment="1">
      <alignment horizontal="left"/>
    </xf>
    <xf numFmtId="0" fontId="11" fillId="0" borderId="9" xfId="0" applyFont="1" applyFill="1" applyBorder="1" applyAlignment="1">
      <alignment horizontal="center"/>
    </xf>
    <xf numFmtId="168" fontId="11" fillId="0" borderId="9" xfId="0" applyNumberFormat="1" applyFont="1" applyFill="1" applyBorder="1" applyAlignment="1">
      <alignment horizontal="center"/>
    </xf>
    <xf numFmtId="3" fontId="11" fillId="0" borderId="10" xfId="0" applyNumberFormat="1" applyFont="1" applyFill="1" applyBorder="1" applyAlignment="1">
      <alignment horizontal="center"/>
    </xf>
    <xf numFmtId="3" fontId="11" fillId="0" borderId="9" xfId="0" applyNumberFormat="1" applyFont="1" applyFill="1" applyBorder="1" applyAlignment="1">
      <alignment horizontal="center"/>
    </xf>
    <xf numFmtId="168" fontId="6" fillId="0" borderId="0" xfId="0" applyNumberFormat="1" applyFont="1" applyFill="1" applyBorder="1" applyAlignment="1">
      <alignment horizontal="center"/>
    </xf>
    <xf numFmtId="16" fontId="6" fillId="0" borderId="0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16" fontId="11" fillId="0" borderId="3" xfId="0" applyNumberFormat="1" applyFont="1" applyFill="1" applyBorder="1" applyAlignment="1">
      <alignment horizontal="left"/>
    </xf>
    <xf numFmtId="3" fontId="11" fillId="0" borderId="3" xfId="0" applyNumberFormat="1" applyFont="1" applyFill="1" applyBorder="1" applyAlignment="1">
      <alignment horizontal="center"/>
    </xf>
    <xf numFmtId="168" fontId="11" fillId="0" borderId="3" xfId="0" applyNumberFormat="1" applyFont="1" applyFill="1" applyBorder="1" applyAlignment="1">
      <alignment horizontal="center"/>
    </xf>
    <xf numFmtId="169" fontId="11" fillId="0" borderId="0" xfId="0" applyNumberFormat="1" applyFont="1" applyAlignment="1">
      <alignment horizontal="center"/>
    </xf>
    <xf numFmtId="0" fontId="11" fillId="0" borderId="3" xfId="0" applyFont="1" applyFill="1" applyBorder="1" applyAlignment="1"/>
    <xf numFmtId="0" fontId="11" fillId="0" borderId="0" xfId="0" applyFont="1" applyAlignment="1"/>
    <xf numFmtId="167" fontId="0" fillId="0" borderId="0" xfId="0" applyNumberFormat="1" applyAlignment="1">
      <alignment horizontal="center"/>
    </xf>
    <xf numFmtId="0" fontId="0" fillId="0" borderId="12" xfId="0" applyBorder="1" applyAlignment="1"/>
    <xf numFmtId="3" fontId="0" fillId="0" borderId="13" xfId="0" applyNumberFormat="1" applyBorder="1" applyAlignment="1"/>
    <xf numFmtId="0" fontId="0" fillId="0" borderId="14" xfId="0" applyBorder="1" applyAlignment="1"/>
    <xf numFmtId="3" fontId="0" fillId="0" borderId="15" xfId="0" applyNumberFormat="1" applyBorder="1" applyAlignment="1"/>
    <xf numFmtId="0" fontId="0" fillId="0" borderId="16" xfId="0" applyBorder="1" applyAlignment="1"/>
    <xf numFmtId="3" fontId="0" fillId="0" borderId="17" xfId="0" applyNumberFormat="1" applyBorder="1" applyAlignment="1"/>
    <xf numFmtId="0" fontId="9" fillId="0" borderId="18" xfId="0" applyFont="1" applyBorder="1" applyAlignment="1"/>
    <xf numFmtId="3" fontId="0" fillId="0" borderId="19" xfId="0" applyNumberFormat="1" applyBorder="1" applyAlignment="1"/>
    <xf numFmtId="0" fontId="2" fillId="0" borderId="0" xfId="0" applyFont="1" applyBorder="1" applyAlignment="1">
      <alignment horizontal="center"/>
    </xf>
    <xf numFmtId="164" fontId="0" fillId="0" borderId="0" xfId="0" applyNumberFormat="1" applyFont="1" applyBorder="1"/>
    <xf numFmtId="18" fontId="0" fillId="0" borderId="0" xfId="0" applyNumberFormat="1" applyFont="1" applyBorder="1" applyAlignment="1">
      <alignment horizontal="right"/>
    </xf>
    <xf numFmtId="0" fontId="0" fillId="0" borderId="0" xfId="0" applyFont="1" applyBorder="1" applyAlignment="1">
      <alignment horizontal="right"/>
    </xf>
    <xf numFmtId="0" fontId="0" fillId="0" borderId="0" xfId="0" applyFont="1" applyBorder="1"/>
    <xf numFmtId="37" fontId="0" fillId="0" borderId="0" xfId="0" applyNumberFormat="1" applyFont="1"/>
    <xf numFmtId="0" fontId="0" fillId="0" borderId="0" xfId="0" applyFont="1" applyAlignment="1">
      <alignment horizontal="center"/>
    </xf>
    <xf numFmtId="18" fontId="0" fillId="0" borderId="0" xfId="0" applyNumberFormat="1" applyFont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right"/>
    </xf>
    <xf numFmtId="168" fontId="0" fillId="0" borderId="0" xfId="0" applyNumberFormat="1" applyFont="1" applyAlignment="1">
      <alignment horizontal="center"/>
    </xf>
    <xf numFmtId="0" fontId="0" fillId="0" borderId="0" xfId="0" applyFont="1" applyAlignment="1">
      <alignment vertical="center"/>
    </xf>
    <xf numFmtId="0" fontId="0" fillId="0" borderId="0" xfId="0" applyFont="1"/>
    <xf numFmtId="165" fontId="0" fillId="0" borderId="0" xfId="0" applyNumberFormat="1" applyFont="1" applyFill="1" applyBorder="1" applyAlignment="1">
      <alignment horizontal="center"/>
    </xf>
    <xf numFmtId="0" fontId="12" fillId="0" borderId="0" xfId="0" applyFont="1" applyBorder="1" applyAlignment="1">
      <alignment horizontal="left"/>
    </xf>
    <xf numFmtId="37" fontId="0" fillId="0" borderId="0" xfId="0" applyNumberFormat="1" applyFont="1" applyAlignment="1">
      <alignment horizontal="center"/>
    </xf>
    <xf numFmtId="0" fontId="12" fillId="0" borderId="0" xfId="0" applyFont="1" applyBorder="1" applyAlignment="1"/>
    <xf numFmtId="0" fontId="13" fillId="0" borderId="0" xfId="0" applyFont="1" applyBorder="1" applyAlignment="1">
      <alignment horizontal="left"/>
    </xf>
    <xf numFmtId="3" fontId="0" fillId="0" borderId="0" xfId="0" applyNumberFormat="1" applyFont="1" applyAlignment="1">
      <alignment horizontal="center"/>
    </xf>
    <xf numFmtId="169" fontId="0" fillId="0" borderId="0" xfId="0" applyNumberFormat="1" applyFont="1" applyAlignment="1">
      <alignment horizontal="center"/>
    </xf>
    <xf numFmtId="0" fontId="4" fillId="0" borderId="1" xfId="2" applyFont="1" applyFill="1" applyBorder="1" applyAlignment="1">
      <alignment horizontal="right" wrapText="1"/>
    </xf>
    <xf numFmtId="169" fontId="0" fillId="0" borderId="0" xfId="3" applyNumberFormat="1" applyFont="1" applyAlignment="1">
      <alignment horizontal="center"/>
    </xf>
    <xf numFmtId="16" fontId="11" fillId="0" borderId="0" xfId="0" applyNumberFormat="1" applyFont="1" applyFill="1" applyBorder="1" applyAlignment="1">
      <alignment horizontal="left"/>
    </xf>
    <xf numFmtId="0" fontId="11" fillId="0" borderId="0" xfId="0" applyFont="1" applyFill="1" applyBorder="1" applyAlignment="1"/>
    <xf numFmtId="3" fontId="11" fillId="0" borderId="0" xfId="0" applyNumberFormat="1" applyFont="1" applyFill="1" applyBorder="1" applyAlignment="1">
      <alignment horizontal="center"/>
    </xf>
    <xf numFmtId="168" fontId="11" fillId="0" borderId="0" xfId="0" applyNumberFormat="1" applyFont="1" applyFill="1" applyBorder="1" applyAlignment="1">
      <alignment horizontal="center"/>
    </xf>
    <xf numFmtId="3" fontId="11" fillId="0" borderId="21" xfId="0" applyNumberFormat="1" applyFont="1" applyFill="1" applyBorder="1" applyAlignment="1">
      <alignment horizontal="center"/>
    </xf>
    <xf numFmtId="168" fontId="11" fillId="0" borderId="21" xfId="0" applyNumberFormat="1" applyFont="1" applyFill="1" applyBorder="1" applyAlignment="1">
      <alignment horizontal="center"/>
    </xf>
    <xf numFmtId="3" fontId="11" fillId="0" borderId="22" xfId="0" applyNumberFormat="1" applyFont="1" applyFill="1" applyBorder="1" applyAlignment="1">
      <alignment horizontal="center"/>
    </xf>
    <xf numFmtId="169" fontId="11" fillId="0" borderId="24" xfId="0" applyNumberFormat="1" applyFont="1" applyBorder="1" applyAlignment="1">
      <alignment horizontal="center"/>
    </xf>
    <xf numFmtId="0" fontId="11" fillId="0" borderId="24" xfId="0" applyFont="1" applyBorder="1" applyAlignment="1"/>
    <xf numFmtId="0" fontId="11" fillId="0" borderId="25" xfId="0" applyFont="1" applyBorder="1" applyAlignment="1"/>
    <xf numFmtId="16" fontId="11" fillId="0" borderId="20" xfId="0" applyNumberFormat="1" applyFont="1" applyFill="1" applyBorder="1" applyAlignment="1">
      <alignment horizontal="left"/>
    </xf>
    <xf numFmtId="0" fontId="11" fillId="0" borderId="21" xfId="0" applyFont="1" applyFill="1" applyBorder="1" applyAlignment="1"/>
    <xf numFmtId="0" fontId="10" fillId="0" borderId="23" xfId="0" applyFont="1" applyBorder="1" applyAlignment="1">
      <alignment horizontal="left"/>
    </xf>
    <xf numFmtId="0" fontId="0" fillId="0" borderId="0" xfId="0" applyAlignment="1">
      <alignment horizontal="left" indent="1"/>
    </xf>
    <xf numFmtId="3" fontId="0" fillId="0" borderId="0" xfId="0" applyNumberFormat="1" applyAlignment="1">
      <alignment horizontal="center"/>
    </xf>
    <xf numFmtId="37" fontId="0" fillId="0" borderId="0" xfId="1" applyNumberFormat="1" applyFont="1" applyAlignment="1">
      <alignment horizontal="center"/>
    </xf>
    <xf numFmtId="0" fontId="4" fillId="2" borderId="2" xfId="4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166" fontId="0" fillId="0" borderId="0" xfId="1" applyNumberFormat="1" applyFont="1"/>
    <xf numFmtId="3" fontId="11" fillId="0" borderId="7" xfId="0" applyNumberFormat="1" applyFont="1" applyFill="1" applyBorder="1" applyAlignment="1">
      <alignment horizontal="center"/>
    </xf>
    <xf numFmtId="0" fontId="14" fillId="2" borderId="2" xfId="5" applyFont="1" applyFill="1" applyBorder="1" applyAlignment="1">
      <alignment horizontal="center"/>
    </xf>
    <xf numFmtId="0" fontId="14" fillId="0" borderId="1" xfId="5" applyFont="1" applyFill="1" applyBorder="1" applyAlignment="1">
      <alignment wrapText="1"/>
    </xf>
    <xf numFmtId="15" fontId="14" fillId="0" borderId="1" xfId="5" applyNumberFormat="1" applyFont="1" applyFill="1" applyBorder="1" applyAlignment="1">
      <alignment horizontal="right" wrapText="1"/>
    </xf>
    <xf numFmtId="0" fontId="14" fillId="0" borderId="1" xfId="5" applyFont="1" applyFill="1" applyBorder="1" applyAlignment="1">
      <alignment horizontal="right" wrapText="1"/>
    </xf>
    <xf numFmtId="168" fontId="0" fillId="0" borderId="0" xfId="0" applyNumberFormat="1" applyBorder="1" applyAlignment="1">
      <alignment horizontal="center"/>
    </xf>
    <xf numFmtId="37" fontId="0" fillId="0" borderId="0" xfId="1" applyNumberFormat="1" applyFont="1" applyAlignment="1">
      <alignment horizontal="right"/>
    </xf>
    <xf numFmtId="0" fontId="4" fillId="2" borderId="2" xfId="6" applyFont="1" applyFill="1" applyBorder="1" applyAlignment="1">
      <alignment horizontal="center"/>
    </xf>
    <xf numFmtId="0" fontId="4" fillId="0" borderId="1" xfId="6" applyFont="1" applyFill="1" applyBorder="1" applyAlignment="1">
      <alignment horizontal="right" wrapText="1"/>
    </xf>
    <xf numFmtId="0" fontId="4" fillId="0" borderId="1" xfId="6" applyFont="1" applyFill="1" applyBorder="1" applyAlignment="1">
      <alignment wrapText="1"/>
    </xf>
    <xf numFmtId="15" fontId="4" fillId="0" borderId="1" xfId="6" applyNumberFormat="1" applyFont="1" applyFill="1" applyBorder="1" applyAlignment="1">
      <alignment horizontal="right" wrapText="1"/>
    </xf>
    <xf numFmtId="3" fontId="4" fillId="0" borderId="1" xfId="6" applyNumberFormat="1" applyFont="1" applyFill="1" applyBorder="1" applyAlignment="1">
      <alignment horizontal="right" wrapText="1"/>
    </xf>
    <xf numFmtId="0" fontId="4" fillId="0" borderId="1" xfId="4" applyFont="1" applyFill="1" applyBorder="1" applyAlignment="1">
      <alignment horizontal="right"/>
    </xf>
    <xf numFmtId="0" fontId="4" fillId="0" borderId="1" xfId="4" applyFont="1" applyFill="1" applyBorder="1" applyAlignment="1"/>
    <xf numFmtId="15" fontId="4" fillId="0" borderId="1" xfId="4" applyNumberFormat="1" applyFont="1" applyFill="1" applyBorder="1" applyAlignment="1">
      <alignment horizontal="right"/>
    </xf>
    <xf numFmtId="0" fontId="16" fillId="2" borderId="2" xfId="7" applyFont="1" applyFill="1" applyBorder="1" applyAlignment="1">
      <alignment horizontal="center"/>
    </xf>
    <xf numFmtId="0" fontId="16" fillId="0" borderId="1" xfId="7" applyFont="1" applyFill="1" applyBorder="1" applyAlignment="1">
      <alignment wrapText="1"/>
    </xf>
    <xf numFmtId="15" fontId="16" fillId="0" borderId="1" xfId="7" applyNumberFormat="1" applyFont="1" applyFill="1" applyBorder="1" applyAlignment="1">
      <alignment horizontal="right" wrapText="1"/>
    </xf>
    <xf numFmtId="0" fontId="16" fillId="0" borderId="1" xfId="7" applyFont="1" applyFill="1" applyBorder="1" applyAlignment="1">
      <alignment horizontal="right" wrapText="1"/>
    </xf>
    <xf numFmtId="0" fontId="0" fillId="4" borderId="0" xfId="0" applyFill="1"/>
    <xf numFmtId="16" fontId="0" fillId="0" borderId="0" xfId="0" applyNumberFormat="1" applyAlignment="1"/>
    <xf numFmtId="1" fontId="0" fillId="0" borderId="0" xfId="0" applyNumberFormat="1"/>
    <xf numFmtId="9" fontId="0" fillId="0" borderId="0" xfId="0" applyNumberFormat="1" applyAlignment="1"/>
    <xf numFmtId="16" fontId="0" fillId="0" borderId="0" xfId="0" applyNumberFormat="1"/>
    <xf numFmtId="9" fontId="0" fillId="0" borderId="0" xfId="0" applyNumberFormat="1"/>
    <xf numFmtId="0" fontId="16" fillId="5" borderId="2" xfId="7" applyFont="1" applyFill="1" applyBorder="1" applyAlignment="1">
      <alignment horizontal="center"/>
    </xf>
    <xf numFmtId="0" fontId="16" fillId="3" borderId="1" xfId="7" applyFont="1" applyFill="1" applyBorder="1" applyAlignment="1">
      <alignment wrapText="1"/>
    </xf>
    <xf numFmtId="15" fontId="16" fillId="3" borderId="1" xfId="7" applyNumberFormat="1" applyFont="1" applyFill="1" applyBorder="1" applyAlignment="1">
      <alignment horizontal="right" wrapText="1"/>
    </xf>
    <xf numFmtId="0" fontId="16" fillId="3" borderId="1" xfId="7" applyFont="1" applyFill="1" applyBorder="1" applyAlignment="1">
      <alignment horizontal="right" wrapText="1"/>
    </xf>
    <xf numFmtId="0" fontId="16" fillId="6" borderId="2" xfId="7" applyFont="1" applyFill="1" applyBorder="1" applyAlignment="1">
      <alignment horizontal="center"/>
    </xf>
    <xf numFmtId="0" fontId="16" fillId="4" borderId="1" xfId="7" applyFont="1" applyFill="1" applyBorder="1" applyAlignment="1">
      <alignment horizontal="right" wrapText="1"/>
    </xf>
    <xf numFmtId="0" fontId="16" fillId="2" borderId="2" xfId="8" applyFont="1" applyFill="1" applyBorder="1" applyAlignment="1">
      <alignment horizontal="center"/>
    </xf>
    <xf numFmtId="0" fontId="16" fillId="0" borderId="1" xfId="8" applyFont="1" applyFill="1" applyBorder="1" applyAlignment="1">
      <alignment horizontal="right"/>
    </xf>
    <xf numFmtId="0" fontId="16" fillId="0" borderId="1" xfId="8" applyFont="1" applyFill="1" applyBorder="1" applyAlignment="1"/>
    <xf numFmtId="15" fontId="16" fillId="0" borderId="1" xfId="8" applyNumberFormat="1" applyFont="1" applyFill="1" applyBorder="1" applyAlignment="1">
      <alignment horizontal="right"/>
    </xf>
    <xf numFmtId="0" fontId="19" fillId="2" borderId="2" xfId="9" applyFont="1" applyFill="1" applyBorder="1" applyAlignment="1">
      <alignment horizontal="center"/>
    </xf>
    <xf numFmtId="0" fontId="19" fillId="0" borderId="1" xfId="9" applyFont="1" applyFill="1" applyBorder="1" applyAlignment="1">
      <alignment wrapText="1"/>
    </xf>
    <xf numFmtId="15" fontId="19" fillId="0" borderId="1" xfId="9" applyNumberFormat="1" applyFont="1" applyFill="1" applyBorder="1" applyAlignment="1">
      <alignment horizontal="right" wrapText="1"/>
    </xf>
    <xf numFmtId="0" fontId="19" fillId="0" borderId="1" xfId="9" applyFont="1" applyFill="1" applyBorder="1" applyAlignment="1">
      <alignment horizontal="right" wrapText="1"/>
    </xf>
    <xf numFmtId="0" fontId="19" fillId="2" borderId="2" xfId="10" applyFont="1" applyFill="1" applyBorder="1" applyAlignment="1">
      <alignment horizontal="center"/>
    </xf>
    <xf numFmtId="0" fontId="19" fillId="0" borderId="1" xfId="10" applyFont="1" applyFill="1" applyBorder="1" applyAlignment="1">
      <alignment horizontal="right" wrapText="1"/>
    </xf>
    <xf numFmtId="0" fontId="20" fillId="0" borderId="0" xfId="10"/>
    <xf numFmtId="0" fontId="19" fillId="0" borderId="27" xfId="10" applyFont="1" applyFill="1" applyBorder="1" applyAlignment="1">
      <alignment horizontal="right" wrapText="1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2" fontId="0" fillId="0" borderId="0" xfId="0" applyNumberFormat="1"/>
    <xf numFmtId="0" fontId="0" fillId="0" borderId="0" xfId="0" quotePrefix="1"/>
    <xf numFmtId="10" fontId="0" fillId="0" borderId="0" xfId="0" applyNumberFormat="1"/>
    <xf numFmtId="1" fontId="19" fillId="0" borderId="1" xfId="9" applyNumberFormat="1" applyFont="1" applyFill="1" applyBorder="1" applyAlignment="1">
      <alignment horizontal="right" wrapText="1"/>
    </xf>
    <xf numFmtId="0" fontId="21" fillId="2" borderId="2" xfId="11" applyFont="1" applyFill="1" applyBorder="1" applyAlignment="1">
      <alignment horizontal="center"/>
    </xf>
    <xf numFmtId="0" fontId="21" fillId="0" borderId="1" xfId="11" applyFont="1" applyFill="1" applyBorder="1" applyAlignment="1">
      <alignment wrapText="1"/>
    </xf>
    <xf numFmtId="0" fontId="21" fillId="0" borderId="1" xfId="11" applyFont="1" applyFill="1" applyBorder="1" applyAlignment="1">
      <alignment horizontal="right" wrapText="1"/>
    </xf>
    <xf numFmtId="0" fontId="21" fillId="2" borderId="2" xfId="12" applyFont="1" applyFill="1" applyBorder="1" applyAlignment="1">
      <alignment horizontal="center"/>
    </xf>
    <xf numFmtId="0" fontId="21" fillId="0" borderId="1" xfId="12" applyFont="1" applyFill="1" applyBorder="1" applyAlignment="1">
      <alignment horizontal="right" wrapText="1"/>
    </xf>
    <xf numFmtId="0" fontId="21" fillId="0" borderId="1" xfId="12" applyFont="1" applyFill="1" applyBorder="1" applyAlignment="1">
      <alignment wrapText="1"/>
    </xf>
    <xf numFmtId="15" fontId="21" fillId="0" borderId="1" xfId="12" applyNumberFormat="1" applyFont="1" applyFill="1" applyBorder="1" applyAlignment="1">
      <alignment horizontal="right" wrapText="1"/>
    </xf>
    <xf numFmtId="0" fontId="21" fillId="2" borderId="2" xfId="13" applyFont="1" applyFill="1" applyBorder="1" applyAlignment="1">
      <alignment horizontal="center"/>
    </xf>
    <xf numFmtId="0" fontId="21" fillId="0" borderId="1" xfId="13" applyFont="1" applyFill="1" applyBorder="1" applyAlignment="1">
      <alignment horizontal="right" wrapText="1"/>
    </xf>
    <xf numFmtId="0" fontId="21" fillId="0" borderId="1" xfId="13" applyFont="1" applyFill="1" applyBorder="1" applyAlignment="1">
      <alignment wrapText="1"/>
    </xf>
    <xf numFmtId="15" fontId="21" fillId="0" borderId="1" xfId="13" applyNumberFormat="1" applyFont="1" applyFill="1" applyBorder="1" applyAlignment="1">
      <alignment horizontal="right" wrapText="1"/>
    </xf>
    <xf numFmtId="14" fontId="0" fillId="0" borderId="0" xfId="0" applyNumberFormat="1"/>
    <xf numFmtId="3" fontId="14" fillId="2" borderId="2" xfId="5" applyNumberFormat="1" applyFont="1" applyFill="1" applyBorder="1" applyAlignment="1">
      <alignment horizontal="center"/>
    </xf>
    <xf numFmtId="3" fontId="14" fillId="0" borderId="1" xfId="5" applyNumberFormat="1" applyFont="1" applyFill="1" applyBorder="1" applyAlignment="1">
      <alignment horizontal="right" wrapText="1"/>
    </xf>
    <xf numFmtId="3" fontId="0" fillId="0" borderId="0" xfId="1" applyNumberFormat="1" applyFont="1"/>
    <xf numFmtId="3" fontId="4" fillId="2" borderId="2" xfId="2" applyNumberFormat="1" applyFont="1" applyFill="1" applyBorder="1" applyAlignment="1">
      <alignment horizontal="center"/>
    </xf>
    <xf numFmtId="3" fontId="4" fillId="0" borderId="1" xfId="2" applyNumberFormat="1" applyFont="1" applyFill="1" applyBorder="1" applyAlignment="1">
      <alignment horizontal="right" wrapText="1"/>
    </xf>
    <xf numFmtId="3" fontId="16" fillId="2" borderId="2" xfId="7" applyNumberFormat="1" applyFont="1" applyFill="1" applyBorder="1" applyAlignment="1">
      <alignment horizontal="center"/>
    </xf>
    <xf numFmtId="3" fontId="16" fillId="0" borderId="1" xfId="7" applyNumberFormat="1" applyFont="1" applyFill="1" applyBorder="1" applyAlignment="1">
      <alignment horizontal="right" wrapText="1"/>
    </xf>
    <xf numFmtId="3" fontId="0" fillId="4" borderId="0" xfId="0" applyNumberFormat="1" applyFill="1"/>
    <xf numFmtId="3" fontId="16" fillId="5" borderId="2" xfId="7" applyNumberFormat="1" applyFont="1" applyFill="1" applyBorder="1" applyAlignment="1">
      <alignment horizontal="center"/>
    </xf>
    <xf numFmtId="3" fontId="16" fillId="3" borderId="1" xfId="7" applyNumberFormat="1" applyFont="1" applyFill="1" applyBorder="1" applyAlignment="1">
      <alignment horizontal="right" wrapText="1"/>
    </xf>
    <xf numFmtId="3" fontId="19" fillId="2" borderId="2" xfId="9" applyNumberFormat="1" applyFont="1" applyFill="1" applyBorder="1" applyAlignment="1">
      <alignment horizontal="center"/>
    </xf>
    <xf numFmtId="3" fontId="19" fillId="0" borderId="1" xfId="9" applyNumberFormat="1" applyFont="1" applyFill="1" applyBorder="1" applyAlignment="1">
      <alignment horizontal="right" wrapText="1"/>
    </xf>
    <xf numFmtId="3" fontId="21" fillId="2" borderId="2" xfId="11" applyNumberFormat="1" applyFont="1" applyFill="1" applyBorder="1" applyAlignment="1">
      <alignment horizontal="center"/>
    </xf>
    <xf numFmtId="3" fontId="21" fillId="0" borderId="1" xfId="11" applyNumberFormat="1" applyFont="1" applyFill="1" applyBorder="1" applyAlignment="1">
      <alignment horizontal="right" wrapText="1"/>
    </xf>
    <xf numFmtId="0" fontId="4" fillId="2" borderId="2" xfId="14" applyFont="1" applyFill="1" applyBorder="1" applyAlignment="1">
      <alignment horizontal="center"/>
    </xf>
    <xf numFmtId="0" fontId="4" fillId="0" borderId="1" xfId="14" applyFont="1" applyFill="1" applyBorder="1" applyAlignment="1">
      <alignment horizontal="right"/>
    </xf>
    <xf numFmtId="0" fontId="4" fillId="0" borderId="1" xfId="14" applyFont="1" applyFill="1" applyBorder="1" applyAlignment="1"/>
    <xf numFmtId="15" fontId="4" fillId="0" borderId="1" xfId="14" applyNumberFormat="1" applyFont="1" applyFill="1" applyBorder="1" applyAlignment="1">
      <alignment horizontal="right"/>
    </xf>
    <xf numFmtId="0" fontId="4" fillId="0" borderId="1" xfId="4" applyFont="1" applyFill="1" applyBorder="1" applyAlignment="1">
      <alignment horizontal="right" wrapText="1"/>
    </xf>
    <xf numFmtId="0" fontId="4" fillId="0" borderId="1" xfId="4" applyFont="1" applyFill="1" applyBorder="1" applyAlignment="1">
      <alignment wrapText="1"/>
    </xf>
    <xf numFmtId="15" fontId="4" fillId="0" borderId="1" xfId="4" applyNumberFormat="1" applyFont="1" applyFill="1" applyBorder="1" applyAlignment="1">
      <alignment horizontal="right" wrapText="1"/>
    </xf>
    <xf numFmtId="0" fontId="21" fillId="2" borderId="2" xfId="15" applyFont="1" applyFill="1" applyBorder="1" applyAlignment="1">
      <alignment horizontal="center"/>
    </xf>
    <xf numFmtId="0" fontId="21" fillId="0" borderId="1" xfId="15" applyFont="1" applyFill="1" applyBorder="1" applyAlignment="1">
      <alignment horizontal="right"/>
    </xf>
    <xf numFmtId="0" fontId="21" fillId="0" borderId="1" xfId="15" applyFont="1" applyFill="1" applyBorder="1" applyAlignment="1"/>
    <xf numFmtId="15" fontId="21" fillId="0" borderId="1" xfId="15" applyNumberFormat="1" applyFont="1" applyFill="1" applyBorder="1" applyAlignment="1">
      <alignment horizontal="right"/>
    </xf>
    <xf numFmtId="166" fontId="16" fillId="0" borderId="1" xfId="1" applyNumberFormat="1" applyFont="1" applyFill="1" applyBorder="1" applyAlignment="1">
      <alignment horizontal="right"/>
    </xf>
    <xf numFmtId="166" fontId="21" fillId="0" borderId="1" xfId="1" applyNumberFormat="1" applyFont="1" applyFill="1" applyBorder="1" applyAlignment="1">
      <alignment horizontal="right"/>
    </xf>
    <xf numFmtId="0" fontId="21" fillId="2" borderId="2" xfId="16" applyFont="1" applyFill="1" applyBorder="1" applyAlignment="1">
      <alignment horizontal="center"/>
    </xf>
    <xf numFmtId="0" fontId="21" fillId="0" borderId="1" xfId="16" applyFont="1" applyFill="1" applyBorder="1" applyAlignment="1">
      <alignment horizontal="right" wrapText="1"/>
    </xf>
    <xf numFmtId="0" fontId="21" fillId="0" borderId="1" xfId="16" applyFont="1" applyFill="1" applyBorder="1" applyAlignment="1">
      <alignment wrapText="1"/>
    </xf>
    <xf numFmtId="15" fontId="21" fillId="0" borderId="1" xfId="16" applyNumberFormat="1" applyFont="1" applyFill="1" applyBorder="1" applyAlignment="1">
      <alignment horizontal="right" wrapText="1"/>
    </xf>
    <xf numFmtId="37" fontId="4" fillId="0" borderId="1" xfId="1" applyNumberFormat="1" applyFont="1" applyFill="1" applyBorder="1" applyAlignment="1">
      <alignment horizontal="right"/>
    </xf>
    <xf numFmtId="0" fontId="4" fillId="0" borderId="1" xfId="14" applyFont="1" applyFill="1" applyBorder="1" applyAlignment="1">
      <alignment horizontal="right" wrapText="1"/>
    </xf>
    <xf numFmtId="0" fontId="4" fillId="0" borderId="1" xfId="14" applyFont="1" applyFill="1" applyBorder="1" applyAlignment="1">
      <alignment wrapText="1"/>
    </xf>
    <xf numFmtId="15" fontId="4" fillId="0" borderId="1" xfId="14" applyNumberFormat="1" applyFont="1" applyFill="1" applyBorder="1" applyAlignment="1">
      <alignment horizontal="right" wrapText="1"/>
    </xf>
    <xf numFmtId="0" fontId="0" fillId="0" borderId="0" xfId="0" applyFill="1"/>
    <xf numFmtId="3" fontId="0" fillId="0" borderId="0" xfId="0" applyNumberFormat="1" applyFill="1"/>
    <xf numFmtId="0" fontId="0" fillId="7" borderId="0" xfId="0" applyFill="1"/>
    <xf numFmtId="3" fontId="0" fillId="7" borderId="0" xfId="0" applyNumberFormat="1" applyFill="1"/>
    <xf numFmtId="4" fontId="21" fillId="0" borderId="1" xfId="11" applyNumberFormat="1" applyFont="1" applyFill="1" applyBorder="1" applyAlignment="1">
      <alignment horizontal="right" wrapText="1"/>
    </xf>
    <xf numFmtId="15" fontId="21" fillId="0" borderId="1" xfId="11" applyNumberFormat="1" applyFont="1" applyFill="1" applyBorder="1" applyAlignment="1">
      <alignment horizontal="right" wrapText="1"/>
    </xf>
    <xf numFmtId="0" fontId="11" fillId="0" borderId="0" xfId="0" applyFont="1" applyFill="1" applyBorder="1" applyAlignment="1">
      <alignment horizontal="center"/>
    </xf>
    <xf numFmtId="0" fontId="21" fillId="0" borderId="1" xfId="15" applyFont="1" applyFill="1" applyBorder="1" applyAlignment="1">
      <alignment horizontal="right" wrapText="1"/>
    </xf>
    <xf numFmtId="0" fontId="21" fillId="0" borderId="1" xfId="15" applyFont="1" applyFill="1" applyBorder="1" applyAlignment="1">
      <alignment wrapText="1"/>
    </xf>
    <xf numFmtId="15" fontId="21" fillId="0" borderId="1" xfId="15" applyNumberFormat="1" applyFont="1" applyFill="1" applyBorder="1" applyAlignment="1">
      <alignment horizontal="right" wrapText="1"/>
    </xf>
    <xf numFmtId="0" fontId="23" fillId="2" borderId="2" xfId="17" applyFont="1" applyFill="1" applyBorder="1" applyAlignment="1">
      <alignment horizontal="center"/>
    </xf>
    <xf numFmtId="0" fontId="23" fillId="0" borderId="1" xfId="17" applyFont="1" applyFill="1" applyBorder="1" applyAlignment="1">
      <alignment horizontal="right" wrapText="1"/>
    </xf>
    <xf numFmtId="0" fontId="23" fillId="0" borderId="1" xfId="17" applyFont="1" applyFill="1" applyBorder="1" applyAlignment="1">
      <alignment wrapText="1"/>
    </xf>
    <xf numFmtId="15" fontId="23" fillId="0" borderId="1" xfId="17" applyNumberFormat="1" applyFont="1" applyFill="1" applyBorder="1" applyAlignment="1">
      <alignment horizontal="right" wrapText="1"/>
    </xf>
    <xf numFmtId="16" fontId="0" fillId="4" borderId="0" xfId="0" applyNumberFormat="1" applyFill="1"/>
    <xf numFmtId="0" fontId="23" fillId="2" borderId="2" xfId="18" applyFont="1" applyFill="1" applyBorder="1" applyAlignment="1">
      <alignment horizontal="center"/>
    </xf>
    <xf numFmtId="0" fontId="23" fillId="0" borderId="1" xfId="18" applyFont="1" applyFill="1" applyBorder="1" applyAlignment="1">
      <alignment wrapText="1"/>
    </xf>
    <xf numFmtId="0" fontId="23" fillId="0" borderId="1" xfId="18" applyFont="1" applyFill="1" applyBorder="1" applyAlignment="1">
      <alignment horizontal="right" wrapText="1"/>
    </xf>
    <xf numFmtId="4" fontId="23" fillId="0" borderId="1" xfId="18" applyNumberFormat="1" applyFont="1" applyFill="1" applyBorder="1" applyAlignment="1">
      <alignment horizontal="right" wrapText="1"/>
    </xf>
    <xf numFmtId="15" fontId="23" fillId="0" borderId="1" xfId="18" applyNumberFormat="1" applyFont="1" applyFill="1" applyBorder="1" applyAlignment="1">
      <alignment horizontal="right" wrapText="1"/>
    </xf>
    <xf numFmtId="0" fontId="23" fillId="2" borderId="2" xfId="19" applyFont="1" applyFill="1" applyBorder="1" applyAlignment="1">
      <alignment horizontal="center"/>
    </xf>
    <xf numFmtId="0" fontId="23" fillId="0" borderId="1" xfId="19" applyFont="1" applyFill="1" applyBorder="1" applyAlignment="1">
      <alignment horizontal="right" wrapText="1"/>
    </xf>
    <xf numFmtId="0" fontId="23" fillId="0" borderId="1" xfId="19" applyFont="1" applyFill="1" applyBorder="1" applyAlignment="1">
      <alignment wrapText="1"/>
    </xf>
    <xf numFmtId="15" fontId="23" fillId="0" borderId="1" xfId="19" applyNumberFormat="1" applyFont="1" applyFill="1" applyBorder="1" applyAlignment="1">
      <alignment horizontal="right" wrapText="1"/>
    </xf>
    <xf numFmtId="0" fontId="23" fillId="2" borderId="2" xfId="20" applyFont="1" applyFill="1" applyBorder="1" applyAlignment="1">
      <alignment horizontal="center"/>
    </xf>
    <xf numFmtId="0" fontId="23" fillId="0" borderId="1" xfId="20" applyFont="1" applyFill="1" applyBorder="1" applyAlignment="1">
      <alignment horizontal="right" wrapText="1"/>
    </xf>
    <xf numFmtId="0" fontId="23" fillId="0" borderId="1" xfId="20" applyFont="1" applyFill="1" applyBorder="1" applyAlignment="1">
      <alignment wrapText="1"/>
    </xf>
    <xf numFmtId="15" fontId="23" fillId="0" borderId="1" xfId="20" applyNumberFormat="1" applyFont="1" applyFill="1" applyBorder="1" applyAlignment="1">
      <alignment horizontal="right" wrapText="1"/>
    </xf>
    <xf numFmtId="37" fontId="0" fillId="4" borderId="0" xfId="1" applyNumberFormat="1" applyFont="1" applyFill="1" applyBorder="1" applyAlignment="1">
      <alignment horizontal="center"/>
    </xf>
    <xf numFmtId="37" fontId="0" fillId="0" borderId="0" xfId="1" applyNumberFormat="1" applyFont="1" applyFill="1" applyBorder="1" applyAlignment="1">
      <alignment horizontal="center"/>
    </xf>
    <xf numFmtId="37" fontId="0" fillId="0" borderId="0" xfId="1" applyNumberFormat="1" applyFont="1" applyFill="1" applyAlignment="1">
      <alignment horizontal="center"/>
    </xf>
    <xf numFmtId="0" fontId="0" fillId="0" borderId="0" xfId="0" applyFont="1" applyFill="1" applyBorder="1" applyAlignment="1">
      <alignment horizontal="right"/>
    </xf>
    <xf numFmtId="0" fontId="0" fillId="0" borderId="0" xfId="0" applyFont="1" applyFill="1" applyAlignment="1">
      <alignment horizontal="right"/>
    </xf>
    <xf numFmtId="0" fontId="0" fillId="0" borderId="0" xfId="0" applyFont="1" applyFill="1"/>
    <xf numFmtId="3" fontId="0" fillId="0" borderId="0" xfId="0" applyNumberFormat="1" applyFill="1" applyAlignment="1">
      <alignment horizontal="center"/>
    </xf>
    <xf numFmtId="0" fontId="0" fillId="0" borderId="0" xfId="0" applyFont="1" applyFill="1" applyAlignment="1">
      <alignment horizontal="center"/>
    </xf>
    <xf numFmtId="37" fontId="0" fillId="0" borderId="0" xfId="0" applyNumberFormat="1" applyFont="1" applyFill="1" applyAlignment="1">
      <alignment horizontal="center"/>
    </xf>
    <xf numFmtId="169" fontId="0" fillId="0" borderId="0" xfId="3" applyNumberFormat="1" applyFont="1" applyFill="1" applyAlignment="1">
      <alignment horizontal="center"/>
    </xf>
    <xf numFmtId="3" fontId="0" fillId="0" borderId="0" xfId="0" applyNumberFormat="1" applyFont="1" applyFill="1" applyAlignment="1">
      <alignment horizontal="center"/>
    </xf>
    <xf numFmtId="169" fontId="0" fillId="0" borderId="0" xfId="0" applyNumberFormat="1" applyFont="1" applyFill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6" fontId="11" fillId="0" borderId="9" xfId="0" applyNumberFormat="1" applyFont="1" applyFill="1" applyBorder="1" applyAlignment="1">
      <alignment horizontal="center"/>
    </xf>
    <xf numFmtId="16" fontId="11" fillId="0" borderId="26" xfId="0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left"/>
    </xf>
    <xf numFmtId="3" fontId="6" fillId="0" borderId="4" xfId="0" applyNumberFormat="1" applyFont="1" applyFill="1" applyBorder="1" applyAlignment="1">
      <alignment horizontal="center"/>
    </xf>
    <xf numFmtId="3" fontId="6" fillId="0" borderId="3" xfId="0" applyNumberFormat="1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16" fontId="6" fillId="0" borderId="4" xfId="0" applyNumberFormat="1" applyFont="1" applyFill="1" applyBorder="1" applyAlignment="1">
      <alignment horizontal="center"/>
    </xf>
    <xf numFmtId="16" fontId="6" fillId="0" borderId="3" xfId="0" applyNumberFormat="1" applyFont="1" applyFill="1" applyBorder="1" applyAlignment="1">
      <alignment horizontal="center"/>
    </xf>
    <xf numFmtId="16" fontId="6" fillId="0" borderId="11" xfId="0" applyNumberFormat="1" applyFont="1" applyFill="1" applyBorder="1" applyAlignment="1">
      <alignment horizontal="center"/>
    </xf>
    <xf numFmtId="16" fontId="11" fillId="0" borderId="3" xfId="0" applyNumberFormat="1" applyFont="1" applyFill="1" applyBorder="1" applyAlignment="1">
      <alignment horizontal="center"/>
    </xf>
    <xf numFmtId="16" fontId="11" fillId="0" borderId="0" xfId="0" applyNumberFormat="1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</cellXfs>
  <cellStyles count="21">
    <cellStyle name="Comma" xfId="1" builtinId="3"/>
    <cellStyle name="Normal" xfId="0" builtinId="0"/>
    <cellStyle name="Normal_Cop Wastage" xfId="12"/>
    <cellStyle name="Normal_Cop Wastage_1" xfId="6"/>
    <cellStyle name="Normal_Copy Sheet" xfId="2"/>
    <cellStyle name="Normal_Copy Sheet_1" xfId="7"/>
    <cellStyle name="Normal_Copy Sheet_2" xfId="9"/>
    <cellStyle name="Normal_Copy Sheet_3" xfId="11"/>
    <cellStyle name="Normal_Copy Sheet_4" xfId="18"/>
    <cellStyle name="Normal_Copy Sheet_6" xfId="5"/>
    <cellStyle name="Normal_LB Wastage" xfId="14"/>
    <cellStyle name="Normal_LB Wastage_1" xfId="8"/>
    <cellStyle name="Normal_LB Wastage_2" xfId="15"/>
    <cellStyle name="Normal_LB Wastage_3" xfId="20"/>
    <cellStyle name="Normal_Moc Wastage" xfId="13"/>
    <cellStyle name="Normal_Moc Wastage_1" xfId="17"/>
    <cellStyle name="Normal_Sheet1" xfId="10"/>
    <cellStyle name="Normal_TH Wastage" xfId="4"/>
    <cellStyle name="Normal_TH Wastage_1" xfId="16"/>
    <cellStyle name="Normal_TH Wastage_2" xfId="19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9"/>
  <sheetViews>
    <sheetView tabSelected="1" topLeftCell="A40" zoomScaleNormal="100" workbookViewId="0">
      <selection activeCell="L64" sqref="L64"/>
    </sheetView>
  </sheetViews>
  <sheetFormatPr defaultRowHeight="15" x14ac:dyDescent="0.25"/>
  <cols>
    <col min="1" max="1" width="17.7109375" customWidth="1"/>
    <col min="2" max="2" width="5.42578125" customWidth="1"/>
    <col min="3" max="3" width="7.7109375" style="1" customWidth="1"/>
    <col min="4" max="4" width="9.140625" style="1"/>
    <col min="5" max="5" width="3.7109375" style="1" customWidth="1"/>
    <col min="6" max="6" width="12.7109375" customWidth="1"/>
    <col min="7" max="7" width="3.7109375" customWidth="1"/>
    <col min="8" max="8" width="12.7109375" customWidth="1"/>
    <col min="9" max="9" width="3.7109375" customWidth="1"/>
    <col min="10" max="10" width="12.7109375" customWidth="1"/>
    <col min="11" max="11" width="3.7109375" customWidth="1"/>
    <col min="12" max="12" width="12.7109375" customWidth="1"/>
    <col min="13" max="13" width="3.7109375" customWidth="1"/>
    <col min="14" max="14" width="12.7109375" customWidth="1"/>
    <col min="15" max="15" width="11.140625" bestFit="1" customWidth="1"/>
  </cols>
  <sheetData>
    <row r="1" spans="1:15" x14ac:dyDescent="0.25">
      <c r="A1" s="70" t="s">
        <v>8</v>
      </c>
      <c r="B1" s="70" t="s">
        <v>5</v>
      </c>
      <c r="C1" s="70" t="s">
        <v>6</v>
      </c>
      <c r="D1" s="70" t="s">
        <v>7</v>
      </c>
      <c r="E1" s="248" t="s">
        <v>0</v>
      </c>
      <c r="F1" s="248"/>
      <c r="G1" s="248" t="s">
        <v>1</v>
      </c>
      <c r="H1" s="248"/>
      <c r="I1" s="249" t="s">
        <v>2</v>
      </c>
      <c r="J1" s="249"/>
      <c r="K1" s="248" t="s">
        <v>3</v>
      </c>
      <c r="L1" s="248"/>
      <c r="M1" s="248" t="s">
        <v>4</v>
      </c>
      <c r="N1" s="248"/>
      <c r="O1" s="21" t="s">
        <v>41</v>
      </c>
    </row>
    <row r="2" spans="1:15" x14ac:dyDescent="0.25">
      <c r="A2" s="5">
        <v>40458</v>
      </c>
      <c r="B2" s="6">
        <f>+A2</f>
        <v>40458</v>
      </c>
      <c r="C2" s="116">
        <v>-1</v>
      </c>
      <c r="D2" s="7">
        <v>0.78819444444444453</v>
      </c>
      <c r="E2" s="72"/>
      <c r="F2" s="12" t="s">
        <v>22</v>
      </c>
      <c r="G2" s="73"/>
      <c r="H2" s="12">
        <v>40766</v>
      </c>
      <c r="I2" s="239"/>
      <c r="J2" s="237" t="s">
        <v>22</v>
      </c>
      <c r="K2" s="10"/>
      <c r="L2" s="12" t="s">
        <v>22</v>
      </c>
      <c r="M2" s="74"/>
      <c r="N2" s="12" t="s">
        <v>22</v>
      </c>
      <c r="O2" s="75">
        <f>+H2</f>
        <v>40766</v>
      </c>
    </row>
    <row r="3" spans="1:15" x14ac:dyDescent="0.25">
      <c r="A3" s="5">
        <v>40459</v>
      </c>
      <c r="B3" s="6">
        <f t="shared" ref="B3:B58" si="0">+A3</f>
        <v>40459</v>
      </c>
      <c r="C3" s="20">
        <v>-1.4</v>
      </c>
      <c r="D3" s="19">
        <v>0.8208333333333333</v>
      </c>
      <c r="E3" s="78"/>
      <c r="F3" s="12">
        <v>56759</v>
      </c>
      <c r="G3" s="12"/>
      <c r="H3" s="12">
        <v>26842</v>
      </c>
      <c r="I3" s="237"/>
      <c r="J3" s="237">
        <v>59524</v>
      </c>
      <c r="K3" s="12"/>
      <c r="L3" s="12">
        <v>29166</v>
      </c>
      <c r="M3" s="12"/>
      <c r="N3" s="12">
        <v>3363.3312107740467</v>
      </c>
      <c r="O3" s="75">
        <f>+F3+H3+J3+L3+N3</f>
        <v>175654.33121077405</v>
      </c>
    </row>
    <row r="4" spans="1:15" x14ac:dyDescent="0.25">
      <c r="A4" s="5">
        <v>40460</v>
      </c>
      <c r="B4" s="6">
        <f t="shared" si="0"/>
        <v>40460</v>
      </c>
      <c r="C4" s="20">
        <v>-1.5</v>
      </c>
      <c r="D4" s="19">
        <v>0.85277777777777775</v>
      </c>
      <c r="E4" s="2" t="s">
        <v>40</v>
      </c>
      <c r="F4" s="107">
        <f>+(J4+L4)*F3/(J3+L3)</f>
        <v>13173.156567820499</v>
      </c>
      <c r="G4" s="117" t="s">
        <v>40</v>
      </c>
      <c r="H4" s="107">
        <f>+(J4+L4)*H3/(J3+L3)</f>
        <v>6229.7409854549551</v>
      </c>
      <c r="I4" s="237"/>
      <c r="J4" s="237">
        <v>12380</v>
      </c>
      <c r="K4" s="12"/>
      <c r="L4" s="12">
        <v>8204</v>
      </c>
      <c r="M4" s="12"/>
      <c r="N4" s="12">
        <v>1551.3522456388598</v>
      </c>
      <c r="O4" s="75">
        <f>+F4+H4+J4+L4+N4</f>
        <v>41538.249798914316</v>
      </c>
    </row>
    <row r="5" spans="1:15" x14ac:dyDescent="0.25">
      <c r="A5" s="5">
        <v>40461</v>
      </c>
      <c r="B5" s="6">
        <f t="shared" si="0"/>
        <v>40461</v>
      </c>
      <c r="C5" s="20">
        <v>-1.3</v>
      </c>
      <c r="D5" s="19">
        <v>0.88541666666666663</v>
      </c>
      <c r="E5" s="81"/>
      <c r="F5" s="12" t="s">
        <v>22</v>
      </c>
      <c r="G5" s="79"/>
      <c r="H5" s="12">
        <v>10719</v>
      </c>
      <c r="I5" s="240"/>
      <c r="J5" s="237" t="s">
        <v>22</v>
      </c>
      <c r="K5" s="79"/>
      <c r="L5" s="12" t="s">
        <v>22</v>
      </c>
      <c r="M5" s="79"/>
      <c r="N5" s="12" t="s">
        <v>22</v>
      </c>
      <c r="O5" s="75">
        <f>+H5</f>
        <v>10719</v>
      </c>
    </row>
    <row r="6" spans="1:15" x14ac:dyDescent="0.25">
      <c r="A6" s="82"/>
      <c r="B6" s="82"/>
      <c r="C6" s="76"/>
      <c r="D6" s="76"/>
      <c r="E6" s="78"/>
      <c r="F6" s="12"/>
      <c r="G6" s="79"/>
      <c r="H6" s="12"/>
      <c r="I6" s="240"/>
      <c r="J6" s="237"/>
      <c r="K6" s="79"/>
      <c r="L6" s="12"/>
      <c r="M6" s="79"/>
      <c r="N6" s="12"/>
      <c r="O6" s="82"/>
    </row>
    <row r="7" spans="1:15" x14ac:dyDescent="0.25">
      <c r="A7" s="71">
        <v>40487</v>
      </c>
      <c r="B7" s="6">
        <f t="shared" si="0"/>
        <v>40487</v>
      </c>
      <c r="C7" s="76">
        <v>-1.4</v>
      </c>
      <c r="D7" s="77">
        <v>0.77847222222222223</v>
      </c>
      <c r="E7" s="78"/>
      <c r="F7" s="12">
        <v>37260</v>
      </c>
      <c r="G7" s="117" t="s">
        <v>40</v>
      </c>
      <c r="H7" s="12">
        <f>(J7+L7)*H8/(J8+L8)</f>
        <v>12577.853466632982</v>
      </c>
      <c r="I7" s="240"/>
      <c r="J7" s="237">
        <v>56503</v>
      </c>
      <c r="K7" s="79"/>
      <c r="L7" s="12">
        <v>30058</v>
      </c>
      <c r="M7" s="79"/>
      <c r="N7" s="12">
        <v>4249.9856881232117</v>
      </c>
      <c r="O7" s="75">
        <f t="shared" ref="O7:O8" si="1">+F7+H7+J7+L7+N7</f>
        <v>140648.83915475619</v>
      </c>
    </row>
    <row r="8" spans="1:15" x14ac:dyDescent="0.25">
      <c r="A8" s="71">
        <v>40488</v>
      </c>
      <c r="B8" s="6">
        <f t="shared" si="0"/>
        <v>40488</v>
      </c>
      <c r="C8" s="76">
        <v>-1.6</v>
      </c>
      <c r="D8" s="77">
        <v>0.80972222222222223</v>
      </c>
      <c r="E8" s="2" t="s">
        <v>40</v>
      </c>
      <c r="F8" s="12">
        <f>(J8+L8)*F7/(J7+L7)</f>
        <v>23852.839500467879</v>
      </c>
      <c r="G8" s="2"/>
      <c r="H8" s="12">
        <v>8052</v>
      </c>
      <c r="I8" s="240"/>
      <c r="J8" s="237">
        <v>41437</v>
      </c>
      <c r="K8" s="79"/>
      <c r="L8" s="12">
        <v>13977</v>
      </c>
      <c r="M8" s="79"/>
      <c r="N8" s="12">
        <v>524.96225603889525</v>
      </c>
      <c r="O8" s="75">
        <f t="shared" si="1"/>
        <v>87843.801756506771</v>
      </c>
    </row>
    <row r="9" spans="1:15" x14ac:dyDescent="0.25">
      <c r="A9" s="71">
        <v>40489</v>
      </c>
      <c r="B9" s="6">
        <f t="shared" si="0"/>
        <v>40489</v>
      </c>
      <c r="C9" s="76">
        <v>-1.5</v>
      </c>
      <c r="D9" s="77">
        <v>0.7993055555555556</v>
      </c>
      <c r="E9" s="2"/>
      <c r="F9" s="12" t="s">
        <v>22</v>
      </c>
      <c r="G9" s="79"/>
      <c r="H9" s="12">
        <v>12021</v>
      </c>
      <c r="I9" s="240"/>
      <c r="J9" s="237" t="s">
        <v>22</v>
      </c>
      <c r="K9" s="79"/>
      <c r="L9" s="12" t="s">
        <v>22</v>
      </c>
      <c r="M9" s="79"/>
      <c r="N9" s="12" t="s">
        <v>22</v>
      </c>
      <c r="O9" s="75">
        <f t="shared" ref="O9:O10" si="2">+H9</f>
        <v>12021</v>
      </c>
    </row>
    <row r="10" spans="1:15" x14ac:dyDescent="0.25">
      <c r="A10" s="71">
        <v>40490</v>
      </c>
      <c r="B10" s="6">
        <f t="shared" si="0"/>
        <v>40490</v>
      </c>
      <c r="C10" s="76">
        <v>-1.2</v>
      </c>
      <c r="D10" s="77">
        <v>0.82986111111111116</v>
      </c>
      <c r="E10" s="76"/>
      <c r="F10" s="12" t="s">
        <v>22</v>
      </c>
      <c r="G10" s="82"/>
      <c r="H10" s="12">
        <v>5728</v>
      </c>
      <c r="I10" s="241"/>
      <c r="J10" s="237" t="s">
        <v>22</v>
      </c>
      <c r="K10" s="82"/>
      <c r="L10" s="12" t="s">
        <v>22</v>
      </c>
      <c r="M10" s="82"/>
      <c r="N10" s="12" t="s">
        <v>22</v>
      </c>
      <c r="O10" s="75">
        <f t="shared" si="2"/>
        <v>5728</v>
      </c>
    </row>
    <row r="11" spans="1:15" x14ac:dyDescent="0.25">
      <c r="A11" s="71"/>
      <c r="B11" s="83"/>
      <c r="C11" s="76"/>
      <c r="D11" s="77"/>
      <c r="E11" s="76"/>
      <c r="F11" s="12"/>
      <c r="G11" s="79"/>
      <c r="H11" s="12"/>
      <c r="I11" s="240"/>
      <c r="J11" s="237"/>
      <c r="K11" s="79"/>
      <c r="L11" s="12"/>
      <c r="M11" s="79"/>
      <c r="N11" s="12"/>
      <c r="O11" s="75"/>
    </row>
    <row r="12" spans="1:15" x14ac:dyDescent="0.25">
      <c r="A12" s="71">
        <v>40502</v>
      </c>
      <c r="B12" s="6">
        <f t="shared" si="0"/>
        <v>40502</v>
      </c>
      <c r="C12" s="76">
        <v>-0.4</v>
      </c>
      <c r="D12" s="77">
        <v>0.73541666666666661</v>
      </c>
      <c r="E12" s="2"/>
      <c r="F12" s="12">
        <v>28648</v>
      </c>
      <c r="G12" s="2"/>
      <c r="H12" s="12">
        <v>22251</v>
      </c>
      <c r="I12" s="240"/>
      <c r="J12" s="237" t="s">
        <v>22</v>
      </c>
      <c r="K12" s="79"/>
      <c r="L12" s="12" t="s">
        <v>22</v>
      </c>
      <c r="M12" s="79"/>
      <c r="N12" s="12" t="s">
        <v>22</v>
      </c>
      <c r="O12" s="75">
        <f>+F12+H12</f>
        <v>50899</v>
      </c>
    </row>
    <row r="13" spans="1:15" x14ac:dyDescent="0.25">
      <c r="A13" s="71">
        <v>40503</v>
      </c>
      <c r="B13" s="6">
        <f t="shared" si="0"/>
        <v>40503</v>
      </c>
      <c r="C13" s="76">
        <v>-0.7</v>
      </c>
      <c r="D13" s="19">
        <v>0.76180555555555562</v>
      </c>
      <c r="E13" s="76"/>
      <c r="F13" s="12">
        <v>10620</v>
      </c>
      <c r="G13" s="79"/>
      <c r="H13" s="12">
        <v>5625</v>
      </c>
      <c r="I13" s="240"/>
      <c r="J13" s="237" t="s">
        <v>22</v>
      </c>
      <c r="K13" s="79"/>
      <c r="L13" s="12" t="s">
        <v>22</v>
      </c>
      <c r="M13" s="79"/>
      <c r="N13" s="12" t="s">
        <v>22</v>
      </c>
      <c r="O13" s="75">
        <f>+F13+H13</f>
        <v>16245</v>
      </c>
    </row>
    <row r="14" spans="1:15" x14ac:dyDescent="0.25">
      <c r="A14" s="71"/>
      <c r="B14" s="83"/>
      <c r="C14" s="76"/>
      <c r="D14" s="77"/>
      <c r="E14" s="76"/>
      <c r="F14" s="12"/>
      <c r="G14" s="79"/>
      <c r="H14" s="12"/>
      <c r="I14" s="240"/>
      <c r="J14" s="237"/>
      <c r="K14" s="79"/>
      <c r="L14" s="12"/>
      <c r="M14" s="79"/>
      <c r="N14" s="12"/>
      <c r="O14" s="75"/>
    </row>
    <row r="15" spans="1:15" x14ac:dyDescent="0.25">
      <c r="A15" s="71">
        <v>40515</v>
      </c>
      <c r="B15" s="6">
        <f t="shared" si="0"/>
        <v>40515</v>
      </c>
      <c r="C15" s="76">
        <v>-0.8</v>
      </c>
      <c r="D15" s="77">
        <v>0.69652777777777775</v>
      </c>
      <c r="E15" s="76"/>
      <c r="F15" s="12" t="s">
        <v>22</v>
      </c>
      <c r="G15" s="79"/>
      <c r="H15" s="12">
        <v>18750</v>
      </c>
      <c r="I15" s="240"/>
      <c r="J15" s="237" t="s">
        <v>22</v>
      </c>
      <c r="K15" s="79"/>
      <c r="L15" s="12" t="s">
        <v>22</v>
      </c>
      <c r="M15" s="79"/>
      <c r="N15" s="12" t="s">
        <v>22</v>
      </c>
      <c r="O15" s="75">
        <f>+H15</f>
        <v>18750</v>
      </c>
    </row>
    <row r="16" spans="1:15" x14ac:dyDescent="0.25">
      <c r="A16" s="71">
        <v>40516</v>
      </c>
      <c r="B16" s="6">
        <f t="shared" si="0"/>
        <v>40516</v>
      </c>
      <c r="C16" s="76">
        <v>-1.2</v>
      </c>
      <c r="D16" s="77">
        <v>0.7284722222222223</v>
      </c>
      <c r="E16" s="76"/>
      <c r="F16" s="12">
        <v>32130</v>
      </c>
      <c r="G16" s="79"/>
      <c r="H16" s="12">
        <v>28935</v>
      </c>
      <c r="I16" s="240"/>
      <c r="J16" s="237">
        <v>66481</v>
      </c>
      <c r="K16" s="79"/>
      <c r="L16" s="12">
        <v>22553</v>
      </c>
      <c r="M16" s="79"/>
      <c r="N16" s="12">
        <v>2162.589501718423</v>
      </c>
      <c r="O16" s="75">
        <f>+F16+H16+J16+L16+N16</f>
        <v>152261.58950171841</v>
      </c>
    </row>
    <row r="17" spans="1:15" x14ac:dyDescent="0.25">
      <c r="A17" s="71">
        <v>40517</v>
      </c>
      <c r="B17" s="6">
        <f t="shared" si="0"/>
        <v>40517</v>
      </c>
      <c r="C17" s="76">
        <v>-1.3</v>
      </c>
      <c r="D17" s="77">
        <v>0.7597222222222223</v>
      </c>
      <c r="E17" s="76"/>
      <c r="F17" s="12">
        <v>15360</v>
      </c>
      <c r="G17" s="117" t="s">
        <v>40</v>
      </c>
      <c r="H17" s="12">
        <f>+(J17+L17)*H16/(J16+L16)</f>
        <v>11507.832401105195</v>
      </c>
      <c r="I17" s="240"/>
      <c r="J17" s="237">
        <v>25368</v>
      </c>
      <c r="K17" s="79"/>
      <c r="L17" s="12">
        <v>10042</v>
      </c>
      <c r="M17" s="79"/>
      <c r="N17" s="12">
        <v>1042.6653607744613</v>
      </c>
      <c r="O17" s="75">
        <f>+F17+H17+J17+L17+N17</f>
        <v>63320.497761879655</v>
      </c>
    </row>
    <row r="18" spans="1:15" x14ac:dyDescent="0.25">
      <c r="A18" s="71">
        <v>40518</v>
      </c>
      <c r="B18" s="6">
        <f t="shared" si="0"/>
        <v>40518</v>
      </c>
      <c r="C18" s="76">
        <v>-1.2</v>
      </c>
      <c r="D18" s="77">
        <v>0.78888888888888886</v>
      </c>
      <c r="E18" s="76"/>
      <c r="F18" s="12" t="s">
        <v>22</v>
      </c>
      <c r="G18" s="79"/>
      <c r="H18" s="12">
        <v>5430</v>
      </c>
      <c r="I18" s="240"/>
      <c r="J18" s="237" t="s">
        <v>22</v>
      </c>
      <c r="K18" s="79"/>
      <c r="L18" s="12" t="s">
        <v>22</v>
      </c>
      <c r="M18" s="79"/>
      <c r="N18" s="12" t="s">
        <v>22</v>
      </c>
      <c r="O18" s="75">
        <f>+H18</f>
        <v>5430</v>
      </c>
    </row>
    <row r="19" spans="1:15" x14ac:dyDescent="0.25">
      <c r="A19" s="71"/>
      <c r="B19" s="83"/>
      <c r="C19" s="76"/>
      <c r="D19" s="77"/>
      <c r="E19" s="76"/>
      <c r="F19" s="12"/>
      <c r="G19" s="79"/>
      <c r="H19" s="12"/>
      <c r="I19" s="240"/>
      <c r="J19" s="237"/>
      <c r="K19" s="79"/>
      <c r="L19" s="12"/>
      <c r="M19" s="79"/>
      <c r="N19" s="12"/>
      <c r="O19" s="22"/>
    </row>
    <row r="20" spans="1:15" x14ac:dyDescent="0.25">
      <c r="A20" s="71">
        <v>40543</v>
      </c>
      <c r="B20" s="6">
        <f t="shared" si="0"/>
        <v>40543</v>
      </c>
      <c r="C20" s="80">
        <v>0</v>
      </c>
      <c r="D20" s="77">
        <v>0.65277777777777779</v>
      </c>
      <c r="E20" s="76"/>
      <c r="F20" s="12">
        <v>68435</v>
      </c>
      <c r="G20" s="117" t="s">
        <v>40</v>
      </c>
      <c r="H20" s="12">
        <f>+(J20+L20)*H16/(J16+L16)</f>
        <v>60964.537704697083</v>
      </c>
      <c r="I20" s="240"/>
      <c r="J20" s="237">
        <v>127837</v>
      </c>
      <c r="K20" s="79"/>
      <c r="L20" s="12">
        <v>59753</v>
      </c>
      <c r="M20" s="79"/>
      <c r="N20" s="236">
        <v>2567.3764103896106</v>
      </c>
      <c r="O20" s="75">
        <f t="shared" ref="O20:O21" si="3">+F20+H20+J20+L20+N20</f>
        <v>319556.91411508672</v>
      </c>
    </row>
    <row r="21" spans="1:15" x14ac:dyDescent="0.25">
      <c r="A21" s="71">
        <v>40544</v>
      </c>
      <c r="B21" s="6">
        <f t="shared" si="0"/>
        <v>40544</v>
      </c>
      <c r="C21" s="76">
        <v>-0.4</v>
      </c>
      <c r="D21" s="77">
        <v>0.68888888888888899</v>
      </c>
      <c r="E21" s="76"/>
      <c r="F21" s="12">
        <v>65284</v>
      </c>
      <c r="G21" s="117" t="s">
        <v>40</v>
      </c>
      <c r="H21" s="12">
        <f>+(J21+L21)*H16/(J16+L16)</f>
        <v>43550.044645865622</v>
      </c>
      <c r="I21" s="240"/>
      <c r="J21" s="242">
        <v>61643</v>
      </c>
      <c r="K21" s="79"/>
      <c r="L21" s="106">
        <v>72362</v>
      </c>
      <c r="M21" s="79"/>
      <c r="N21" s="236">
        <v>543.07583750000003</v>
      </c>
      <c r="O21" s="75">
        <f t="shared" si="3"/>
        <v>243382.12048336561</v>
      </c>
    </row>
    <row r="22" spans="1:15" x14ac:dyDescent="0.25">
      <c r="A22" s="71">
        <v>40545</v>
      </c>
      <c r="B22" s="6">
        <f t="shared" si="0"/>
        <v>40545</v>
      </c>
      <c r="C22" s="76">
        <v>-0.7</v>
      </c>
      <c r="D22" s="19">
        <v>0.72083333333333333</v>
      </c>
      <c r="E22" s="76"/>
      <c r="F22" s="12" t="s">
        <v>22</v>
      </c>
      <c r="G22" s="79"/>
      <c r="H22" s="12">
        <v>9395</v>
      </c>
      <c r="I22" s="240"/>
      <c r="J22" s="237" t="s">
        <v>22</v>
      </c>
      <c r="K22" s="79"/>
      <c r="L22" s="12" t="s">
        <v>22</v>
      </c>
      <c r="M22" s="79"/>
      <c r="N22" s="12" t="s">
        <v>22</v>
      </c>
      <c r="O22" s="22">
        <f>+H22</f>
        <v>9395</v>
      </c>
    </row>
    <row r="23" spans="1:15" x14ac:dyDescent="0.25">
      <c r="A23" s="71"/>
      <c r="B23" s="83"/>
      <c r="C23" s="76"/>
      <c r="D23" s="77"/>
      <c r="E23" s="76"/>
      <c r="F23" s="12"/>
      <c r="G23" s="79"/>
      <c r="H23" s="12"/>
      <c r="I23" s="240"/>
      <c r="J23" s="237"/>
      <c r="K23" s="79"/>
      <c r="L23" s="12"/>
      <c r="M23" s="79"/>
      <c r="N23" s="12"/>
      <c r="O23" s="22"/>
    </row>
    <row r="24" spans="1:15" x14ac:dyDescent="0.25">
      <c r="A24" s="71">
        <v>40563</v>
      </c>
      <c r="B24" s="6">
        <f t="shared" si="0"/>
        <v>40563</v>
      </c>
      <c r="C24" s="1">
        <v>-1.3</v>
      </c>
      <c r="D24" s="77">
        <v>0.7909722222222223</v>
      </c>
      <c r="E24" s="76"/>
      <c r="F24" s="12">
        <v>3652</v>
      </c>
      <c r="G24" s="79"/>
      <c r="H24" s="12">
        <v>738</v>
      </c>
      <c r="I24" s="240"/>
      <c r="J24" s="237" t="s">
        <v>22</v>
      </c>
      <c r="K24" s="79"/>
      <c r="L24" s="12" t="s">
        <v>22</v>
      </c>
      <c r="M24" s="79"/>
      <c r="N24" s="12" t="s">
        <v>22</v>
      </c>
      <c r="O24" s="22">
        <f>+F24+H24</f>
        <v>4390</v>
      </c>
    </row>
    <row r="25" spans="1:15" x14ac:dyDescent="0.25">
      <c r="A25" s="71">
        <v>40564</v>
      </c>
      <c r="B25" s="6">
        <f t="shared" si="0"/>
        <v>40564</v>
      </c>
      <c r="C25" s="76">
        <v>-1.1000000000000001</v>
      </c>
      <c r="D25" s="77">
        <v>0.81805555555555554</v>
      </c>
      <c r="E25" s="76"/>
      <c r="F25" s="12">
        <v>7684</v>
      </c>
      <c r="G25" s="79"/>
      <c r="H25" s="12">
        <v>1922.9377509999999</v>
      </c>
      <c r="I25" s="240"/>
      <c r="J25" s="237" t="s">
        <v>22</v>
      </c>
      <c r="K25" s="79"/>
      <c r="L25" s="12" t="s">
        <v>22</v>
      </c>
      <c r="M25" s="79"/>
      <c r="N25" s="12">
        <v>123.780095901934</v>
      </c>
      <c r="O25" s="22">
        <f>+F25+H25+N25</f>
        <v>9730.7178469019327</v>
      </c>
    </row>
    <row r="26" spans="1:15" x14ac:dyDescent="0.25">
      <c r="A26" s="71">
        <v>40565</v>
      </c>
      <c r="B26" s="6">
        <f t="shared" si="0"/>
        <v>40565</v>
      </c>
      <c r="C26" s="76">
        <v>-0.6</v>
      </c>
      <c r="D26" s="77">
        <v>0.84652777777777777</v>
      </c>
      <c r="E26" s="76"/>
      <c r="F26" s="12">
        <v>27187</v>
      </c>
      <c r="G26" s="79"/>
      <c r="H26" s="12">
        <v>13550</v>
      </c>
      <c r="I26" s="240"/>
      <c r="J26" s="237" t="s">
        <v>22</v>
      </c>
      <c r="K26" s="79"/>
      <c r="L26" s="12" t="s">
        <v>22</v>
      </c>
      <c r="M26" s="79"/>
      <c r="N26" s="12">
        <v>298.63724862215543</v>
      </c>
      <c r="O26" s="22">
        <f>+F26+H26+N26</f>
        <v>41035.637248622159</v>
      </c>
    </row>
    <row r="27" spans="1:15" x14ac:dyDescent="0.25">
      <c r="A27" s="71"/>
      <c r="B27" s="83"/>
      <c r="C27" s="76"/>
      <c r="D27" s="77"/>
      <c r="F27" s="12"/>
      <c r="G27" s="79"/>
      <c r="H27" s="12"/>
      <c r="I27" s="240"/>
      <c r="J27" s="237"/>
      <c r="K27" s="79"/>
      <c r="L27" s="12"/>
      <c r="M27" s="79"/>
      <c r="N27" s="12"/>
      <c r="O27" s="22"/>
    </row>
    <row r="28" spans="1:15" x14ac:dyDescent="0.25">
      <c r="A28" s="71">
        <v>40591</v>
      </c>
      <c r="B28" s="6">
        <f t="shared" si="0"/>
        <v>40591</v>
      </c>
      <c r="C28" s="80">
        <v>-0.9</v>
      </c>
      <c r="D28" s="77">
        <v>0.74513888888888891</v>
      </c>
      <c r="E28" s="76"/>
      <c r="F28" s="12" t="s">
        <v>22</v>
      </c>
      <c r="G28" s="2"/>
      <c r="H28" s="12">
        <v>23720</v>
      </c>
      <c r="I28" s="240"/>
      <c r="J28" s="237" t="s">
        <v>22</v>
      </c>
      <c r="K28" s="79"/>
      <c r="L28" s="12" t="s">
        <v>22</v>
      </c>
      <c r="M28" s="79"/>
      <c r="N28" s="12" t="s">
        <v>22</v>
      </c>
      <c r="O28" s="22">
        <f>+H28</f>
        <v>23720</v>
      </c>
    </row>
    <row r="29" spans="1:15" x14ac:dyDescent="0.25">
      <c r="A29" s="71">
        <v>40592</v>
      </c>
      <c r="B29" s="6">
        <f t="shared" si="0"/>
        <v>40592</v>
      </c>
      <c r="C29" s="76">
        <v>-0.9</v>
      </c>
      <c r="D29" s="77">
        <v>0.7729166666666667</v>
      </c>
      <c r="E29" s="76"/>
      <c r="F29" s="12">
        <v>29901</v>
      </c>
      <c r="G29" s="117" t="s">
        <v>40</v>
      </c>
      <c r="H29" s="12">
        <f>+(J29+L29)*(H16+H8)/(J8+L8+J16+L16)</f>
        <v>26271.247874667701</v>
      </c>
      <c r="I29" s="240"/>
      <c r="J29" s="237">
        <v>81453</v>
      </c>
      <c r="K29" s="79"/>
      <c r="L29" s="12">
        <v>21146</v>
      </c>
      <c r="M29" s="79"/>
      <c r="N29" s="237">
        <v>204.48824963464656</v>
      </c>
      <c r="O29" s="75">
        <f t="shared" ref="O29:O30" si="4">+F29+H29+J29+L29+N29</f>
        <v>158975.73612430235</v>
      </c>
    </row>
    <row r="30" spans="1:15" x14ac:dyDescent="0.25">
      <c r="A30" s="71">
        <v>40593</v>
      </c>
      <c r="B30" s="6">
        <f t="shared" si="0"/>
        <v>40593</v>
      </c>
      <c r="C30" s="76">
        <v>-0.5</v>
      </c>
      <c r="D30" s="77">
        <v>0.80069444444444438</v>
      </c>
      <c r="E30" s="76"/>
      <c r="F30" s="12">
        <v>61662</v>
      </c>
      <c r="G30" s="117" t="s">
        <v>40</v>
      </c>
      <c r="H30" s="12">
        <f>+(J30+L30)*(H16+H8)/(J8+L8+J16+L16)</f>
        <v>32891.871711619409</v>
      </c>
      <c r="I30" s="240"/>
      <c r="J30" s="237">
        <v>83649</v>
      </c>
      <c r="K30" s="79"/>
      <c r="L30" s="12">
        <v>44806</v>
      </c>
      <c r="M30" s="79"/>
      <c r="N30" s="12">
        <v>304.88973308163565</v>
      </c>
      <c r="O30" s="75">
        <f t="shared" si="4"/>
        <v>223313.76144470103</v>
      </c>
    </row>
    <row r="31" spans="1:15" x14ac:dyDescent="0.25">
      <c r="A31" s="71"/>
      <c r="B31" s="83"/>
      <c r="C31" s="80"/>
      <c r="D31" s="77"/>
      <c r="E31" s="76"/>
      <c r="F31" s="12"/>
      <c r="G31" s="79"/>
      <c r="H31" s="12"/>
      <c r="I31" s="240"/>
      <c r="J31" s="237"/>
      <c r="K31" s="79"/>
      <c r="L31" s="12"/>
      <c r="M31" s="79"/>
      <c r="N31" s="12"/>
      <c r="O31" s="22"/>
    </row>
    <row r="32" spans="1:15" x14ac:dyDescent="0.25">
      <c r="A32" s="71">
        <v>40621</v>
      </c>
      <c r="B32" s="6">
        <f t="shared" si="0"/>
        <v>40621</v>
      </c>
      <c r="C32" s="80">
        <v>-0.1</v>
      </c>
      <c r="D32" s="77">
        <v>0.7944444444444444</v>
      </c>
      <c r="E32" s="76"/>
      <c r="F32" s="12">
        <v>57414</v>
      </c>
      <c r="G32" s="2"/>
      <c r="H32" s="12">
        <v>12212</v>
      </c>
      <c r="I32" s="240"/>
      <c r="J32" s="237">
        <v>50610</v>
      </c>
      <c r="K32" s="79"/>
      <c r="L32" s="12">
        <v>50640</v>
      </c>
      <c r="M32" s="79"/>
      <c r="N32" s="12" t="s">
        <v>22</v>
      </c>
      <c r="O32" s="75">
        <f>+F32+H32+J32+L32</f>
        <v>170876</v>
      </c>
    </row>
    <row r="33" spans="1:15" x14ac:dyDescent="0.25">
      <c r="A33" s="71">
        <v>40622</v>
      </c>
      <c r="B33" s="6">
        <f t="shared" si="0"/>
        <v>40622</v>
      </c>
      <c r="C33" s="76">
        <v>-0.5</v>
      </c>
      <c r="D33" s="77">
        <v>0.31666666666666665</v>
      </c>
      <c r="E33" s="76"/>
      <c r="F33" s="12">
        <v>43099</v>
      </c>
      <c r="G33" s="82"/>
      <c r="H33" s="12">
        <v>20431</v>
      </c>
      <c r="I33" s="241"/>
      <c r="J33" s="237">
        <v>79431</v>
      </c>
      <c r="K33" s="82"/>
      <c r="L33" s="12">
        <v>26959</v>
      </c>
      <c r="M33" s="82"/>
      <c r="N33" s="12" t="s">
        <v>22</v>
      </c>
      <c r="O33" s="75">
        <f>+F33+H33+J33+L33</f>
        <v>169920</v>
      </c>
    </row>
    <row r="34" spans="1:15" x14ac:dyDescent="0.25">
      <c r="A34" s="71">
        <v>40623</v>
      </c>
      <c r="B34" s="6">
        <f t="shared" si="0"/>
        <v>40623</v>
      </c>
      <c r="C34" s="76">
        <v>-0.9</v>
      </c>
      <c r="D34" s="77">
        <v>0.34930555555555554</v>
      </c>
      <c r="E34" s="76"/>
      <c r="F34" s="12">
        <v>35088</v>
      </c>
      <c r="G34" s="82"/>
      <c r="H34" s="12">
        <v>9299</v>
      </c>
      <c r="I34" s="241"/>
      <c r="J34" s="237" t="s">
        <v>22</v>
      </c>
      <c r="K34" s="79"/>
      <c r="L34" s="12" t="s">
        <v>22</v>
      </c>
      <c r="M34" s="79"/>
      <c r="N34" s="12" t="s">
        <v>22</v>
      </c>
      <c r="O34" s="75">
        <f>+F34+H34</f>
        <v>44387</v>
      </c>
    </row>
    <row r="35" spans="1:15" x14ac:dyDescent="0.25">
      <c r="A35" s="71">
        <v>40624</v>
      </c>
      <c r="B35" s="6">
        <f t="shared" si="0"/>
        <v>40624</v>
      </c>
      <c r="C35" s="80">
        <v>-1</v>
      </c>
      <c r="D35" s="77">
        <v>0.3833333333333333</v>
      </c>
      <c r="E35" s="76"/>
      <c r="F35" s="12">
        <v>25950</v>
      </c>
      <c r="G35" s="82"/>
      <c r="H35" s="12">
        <v>9450</v>
      </c>
      <c r="I35" s="241"/>
      <c r="J35" s="237" t="s">
        <v>22</v>
      </c>
      <c r="K35" s="79"/>
      <c r="L35" s="12" t="s">
        <v>22</v>
      </c>
      <c r="M35" s="79"/>
      <c r="N35" s="12" t="s">
        <v>22</v>
      </c>
      <c r="O35" s="75">
        <f>+F35+H35</f>
        <v>35400</v>
      </c>
    </row>
    <row r="36" spans="1:15" x14ac:dyDescent="0.25">
      <c r="A36" s="71"/>
      <c r="B36" s="83"/>
      <c r="C36" s="76"/>
      <c r="D36" s="77"/>
      <c r="E36" s="76"/>
      <c r="F36" s="12"/>
      <c r="G36" s="82"/>
      <c r="H36" s="12"/>
      <c r="I36" s="241"/>
      <c r="J36" s="237"/>
      <c r="K36" s="79"/>
      <c r="L36" s="12"/>
      <c r="M36" s="79"/>
      <c r="N36" s="12"/>
      <c r="O36" s="75"/>
    </row>
    <row r="37" spans="1:15" x14ac:dyDescent="0.25">
      <c r="A37" s="71">
        <v>40640</v>
      </c>
      <c r="B37" s="6">
        <f t="shared" si="0"/>
        <v>40640</v>
      </c>
      <c r="C37" s="80">
        <v>0.1</v>
      </c>
      <c r="D37" s="77">
        <v>0.40069444444444446</v>
      </c>
      <c r="E37" s="76"/>
      <c r="F37" s="12">
        <v>30618</v>
      </c>
      <c r="G37" s="82"/>
      <c r="H37" s="12">
        <v>23027</v>
      </c>
      <c r="I37" s="241"/>
      <c r="J37" s="237" t="s">
        <v>22</v>
      </c>
      <c r="K37" s="79"/>
      <c r="L37" s="12" t="s">
        <v>22</v>
      </c>
      <c r="M37" s="79"/>
      <c r="N37" s="12" t="s">
        <v>22</v>
      </c>
      <c r="O37" s="75">
        <f t="shared" ref="O37:O39" si="5">+F37+H37</f>
        <v>53645</v>
      </c>
    </row>
    <row r="38" spans="1:15" x14ac:dyDescent="0.25">
      <c r="A38" s="71">
        <v>40641</v>
      </c>
      <c r="B38" s="6">
        <f t="shared" si="0"/>
        <v>40641</v>
      </c>
      <c r="C38" s="80">
        <v>0.2</v>
      </c>
      <c r="D38" s="77">
        <v>0.42986111111111108</v>
      </c>
      <c r="E38" s="76"/>
      <c r="F38" s="12">
        <v>48762</v>
      </c>
      <c r="G38" s="82"/>
      <c r="H38" s="12">
        <v>27976</v>
      </c>
      <c r="I38" s="241"/>
      <c r="J38" s="237" t="s">
        <v>22</v>
      </c>
      <c r="K38" s="79"/>
      <c r="L38" s="12" t="s">
        <v>22</v>
      </c>
      <c r="M38" s="79"/>
      <c r="N38" s="12" t="s">
        <v>22</v>
      </c>
      <c r="O38" s="75">
        <f t="shared" si="5"/>
        <v>76738</v>
      </c>
    </row>
    <row r="39" spans="1:15" x14ac:dyDescent="0.25">
      <c r="A39" s="71">
        <v>40642</v>
      </c>
      <c r="B39" s="6">
        <f t="shared" si="0"/>
        <v>40642</v>
      </c>
      <c r="C39" s="80">
        <v>0.4</v>
      </c>
      <c r="D39" s="77">
        <v>0.46319444444444446</v>
      </c>
      <c r="E39" s="76"/>
      <c r="F39" s="12">
        <v>68684</v>
      </c>
      <c r="G39" s="82"/>
      <c r="H39" s="12">
        <v>45169</v>
      </c>
      <c r="I39" s="241"/>
      <c r="J39" s="237" t="s">
        <v>22</v>
      </c>
      <c r="K39" s="79"/>
      <c r="L39" s="12" t="s">
        <v>22</v>
      </c>
      <c r="M39" s="79"/>
      <c r="N39" s="12" t="s">
        <v>22</v>
      </c>
      <c r="O39" s="75">
        <f t="shared" si="5"/>
        <v>113853</v>
      </c>
    </row>
    <row r="40" spans="1:15" x14ac:dyDescent="0.25">
      <c r="A40" s="71"/>
      <c r="B40" s="83"/>
      <c r="C40" s="76"/>
      <c r="D40" s="77"/>
      <c r="E40" s="76"/>
      <c r="F40" s="12"/>
      <c r="G40" s="82"/>
      <c r="H40" s="12"/>
      <c r="I40" s="241"/>
      <c r="J40" s="237"/>
      <c r="K40" s="82"/>
      <c r="L40" s="12"/>
      <c r="M40" s="82"/>
      <c r="N40" s="12"/>
      <c r="O40" s="22"/>
    </row>
    <row r="41" spans="1:15" x14ac:dyDescent="0.25">
      <c r="A41" s="71">
        <v>40652</v>
      </c>
      <c r="B41" s="6">
        <f t="shared" si="0"/>
        <v>40652</v>
      </c>
      <c r="C41" s="76">
        <v>-1.8</v>
      </c>
      <c r="D41" s="77">
        <v>0.33819444444444446</v>
      </c>
      <c r="E41" s="76"/>
      <c r="F41" s="12">
        <v>29264</v>
      </c>
      <c r="G41" s="82"/>
      <c r="H41" s="12">
        <v>21525</v>
      </c>
      <c r="I41" s="241"/>
      <c r="J41" s="237" t="s">
        <v>22</v>
      </c>
      <c r="K41" s="82"/>
      <c r="L41" s="12" t="s">
        <v>22</v>
      </c>
      <c r="M41" s="82"/>
      <c r="N41" s="12" t="s">
        <v>22</v>
      </c>
      <c r="O41" s="22">
        <f>+F41+H41</f>
        <v>50789</v>
      </c>
    </row>
    <row r="42" spans="1:15" x14ac:dyDescent="0.25">
      <c r="A42" s="71">
        <v>40653</v>
      </c>
      <c r="B42" s="6">
        <f t="shared" si="0"/>
        <v>40653</v>
      </c>
      <c r="C42" s="76">
        <v>-1.7</v>
      </c>
      <c r="D42" s="77">
        <v>0.37083333333333335</v>
      </c>
      <c r="E42" s="76"/>
      <c r="F42" s="12">
        <v>35981</v>
      </c>
      <c r="G42" s="82"/>
      <c r="H42" s="12">
        <v>15315</v>
      </c>
      <c r="I42" s="241"/>
      <c r="J42" s="237" t="s">
        <v>22</v>
      </c>
      <c r="K42" s="82"/>
      <c r="L42" s="12" t="s">
        <v>22</v>
      </c>
      <c r="M42" s="82"/>
      <c r="N42" s="12" t="s">
        <v>22</v>
      </c>
      <c r="O42" s="22">
        <f>+F42+H42</f>
        <v>51296</v>
      </c>
    </row>
    <row r="43" spans="1:15" x14ac:dyDescent="0.25">
      <c r="A43" s="71">
        <v>40654</v>
      </c>
      <c r="B43" s="6">
        <f t="shared" si="0"/>
        <v>40654</v>
      </c>
      <c r="C43" s="76">
        <v>-1.4</v>
      </c>
      <c r="D43" s="77">
        <v>0.40486111111111112</v>
      </c>
      <c r="E43" s="76"/>
      <c r="F43" s="12">
        <v>31425</v>
      </c>
      <c r="G43" s="2"/>
      <c r="H43" s="12">
        <v>14745</v>
      </c>
      <c r="I43" s="241"/>
      <c r="J43" s="237">
        <v>45645</v>
      </c>
      <c r="K43" s="82"/>
      <c r="L43" s="12">
        <v>20657</v>
      </c>
      <c r="M43" s="82"/>
      <c r="N43" s="12" t="s">
        <v>22</v>
      </c>
      <c r="O43" s="22">
        <f>+F43+H43+J43+L43</f>
        <v>112472</v>
      </c>
    </row>
    <row r="44" spans="1:15" x14ac:dyDescent="0.25">
      <c r="A44" s="71">
        <v>40655</v>
      </c>
      <c r="B44" s="6">
        <f t="shared" si="0"/>
        <v>40655</v>
      </c>
      <c r="C44" s="76">
        <v>-0.8</v>
      </c>
      <c r="D44" s="77">
        <v>0.43958333333333338</v>
      </c>
      <c r="E44" s="76"/>
      <c r="F44" s="12">
        <v>32445</v>
      </c>
      <c r="G44" s="117" t="s">
        <v>40</v>
      </c>
      <c r="H44" s="12">
        <f>(+J44+L44)*(H43+H45)/(J43+L43+J45+L45)</f>
        <v>15359.577507639884</v>
      </c>
      <c r="I44" s="241"/>
      <c r="J44" s="237">
        <v>52168</v>
      </c>
      <c r="K44" s="82"/>
      <c r="L44" s="12">
        <v>28547</v>
      </c>
      <c r="M44" s="82"/>
      <c r="N44" s="12" t="s">
        <v>22</v>
      </c>
      <c r="O44" s="22">
        <f>+F44+H44+J44+L44</f>
        <v>128519.57750763989</v>
      </c>
    </row>
    <row r="45" spans="1:15" x14ac:dyDescent="0.25">
      <c r="A45" s="71">
        <v>40656</v>
      </c>
      <c r="B45" s="6">
        <f t="shared" si="0"/>
        <v>40656</v>
      </c>
      <c r="C45" s="76">
        <v>-0.2</v>
      </c>
      <c r="D45" s="77">
        <v>0.4770833333333333</v>
      </c>
      <c r="E45" s="76"/>
      <c r="F45" s="12">
        <v>45480</v>
      </c>
      <c r="G45" s="2"/>
      <c r="H45" s="12">
        <v>27474</v>
      </c>
      <c r="I45" s="241"/>
      <c r="J45" s="237">
        <v>106039</v>
      </c>
      <c r="K45" s="82"/>
      <c r="L45" s="12">
        <v>49521</v>
      </c>
      <c r="M45" s="82"/>
      <c r="N45" s="12" t="s">
        <v>22</v>
      </c>
      <c r="O45" s="22">
        <f>+F45+H45+J45+L45</f>
        <v>228514</v>
      </c>
    </row>
    <row r="46" spans="1:15" x14ac:dyDescent="0.25">
      <c r="A46" s="71"/>
      <c r="B46" s="6"/>
      <c r="C46" s="76"/>
      <c r="D46" s="77"/>
      <c r="E46" s="76"/>
      <c r="F46" s="12"/>
      <c r="G46" s="2"/>
      <c r="H46" s="12"/>
      <c r="I46" s="241"/>
      <c r="J46" s="237"/>
      <c r="K46" s="82"/>
      <c r="L46" s="12"/>
      <c r="M46" s="82"/>
      <c r="N46" s="12"/>
      <c r="O46" s="22"/>
    </row>
    <row r="47" spans="1:15" x14ac:dyDescent="0.25">
      <c r="A47" s="71">
        <v>40666</v>
      </c>
      <c r="B47" s="6">
        <f t="shared" si="0"/>
        <v>40666</v>
      </c>
      <c r="C47" s="76">
        <v>-0.6</v>
      </c>
      <c r="D47" s="77">
        <v>0.31180555555555556</v>
      </c>
      <c r="E47" s="76"/>
      <c r="F47" s="12">
        <v>5265</v>
      </c>
      <c r="G47" s="2"/>
      <c r="H47" s="12">
        <v>4380</v>
      </c>
      <c r="I47" s="241"/>
      <c r="J47" s="237" t="s">
        <v>22</v>
      </c>
      <c r="K47" s="82"/>
      <c r="L47" s="12" t="s">
        <v>22</v>
      </c>
      <c r="M47" s="82"/>
      <c r="N47" s="12" t="s">
        <v>22</v>
      </c>
      <c r="O47" s="22">
        <f>+F47+H47</f>
        <v>9645</v>
      </c>
    </row>
    <row r="48" spans="1:15" x14ac:dyDescent="0.25">
      <c r="A48" s="71">
        <v>40667</v>
      </c>
      <c r="B48" s="6">
        <f t="shared" si="0"/>
        <v>40667</v>
      </c>
      <c r="C48" s="76">
        <v>-0.8</v>
      </c>
      <c r="D48" s="77">
        <v>0.33611111111111108</v>
      </c>
      <c r="E48" s="76"/>
      <c r="F48" s="12">
        <v>12630</v>
      </c>
      <c r="G48" s="2"/>
      <c r="H48" s="12">
        <v>6735</v>
      </c>
      <c r="I48" s="241"/>
      <c r="J48" s="237" t="s">
        <v>22</v>
      </c>
      <c r="K48" s="82"/>
      <c r="L48" s="12" t="s">
        <v>22</v>
      </c>
      <c r="M48" s="82"/>
      <c r="N48" s="12" t="s">
        <v>22</v>
      </c>
      <c r="O48" s="22">
        <f t="shared" ref="O48:O50" si="6">+F48+H48</f>
        <v>19365</v>
      </c>
    </row>
    <row r="49" spans="1:15" x14ac:dyDescent="0.25">
      <c r="A49" s="71">
        <v>40668</v>
      </c>
      <c r="B49" s="6">
        <f t="shared" si="0"/>
        <v>40668</v>
      </c>
      <c r="C49" s="76">
        <v>-0.8</v>
      </c>
      <c r="D49" s="77">
        <v>0.3611111111111111</v>
      </c>
      <c r="E49" s="76"/>
      <c r="F49" s="12">
        <v>14310</v>
      </c>
      <c r="G49" s="2"/>
      <c r="H49" s="12">
        <v>6840</v>
      </c>
      <c r="I49" s="241"/>
      <c r="J49" s="237" t="s">
        <v>22</v>
      </c>
      <c r="K49" s="82"/>
      <c r="L49" s="12" t="s">
        <v>22</v>
      </c>
      <c r="M49" s="82"/>
      <c r="N49" s="12" t="s">
        <v>22</v>
      </c>
      <c r="O49" s="22">
        <f t="shared" si="6"/>
        <v>21150</v>
      </c>
    </row>
    <row r="50" spans="1:15" x14ac:dyDescent="0.25">
      <c r="A50" s="71">
        <v>40669</v>
      </c>
      <c r="B50" s="6">
        <f t="shared" si="0"/>
        <v>40669</v>
      </c>
      <c r="C50" s="76">
        <v>-0.8</v>
      </c>
      <c r="D50" s="77">
        <v>0.38750000000000001</v>
      </c>
      <c r="E50" s="76"/>
      <c r="F50" s="12">
        <v>24270</v>
      </c>
      <c r="G50" s="2"/>
      <c r="H50" s="12">
        <v>14070</v>
      </c>
      <c r="I50" s="241"/>
      <c r="J50" s="237" t="s">
        <v>22</v>
      </c>
      <c r="K50" s="82"/>
      <c r="L50" s="12" t="s">
        <v>22</v>
      </c>
      <c r="M50" s="82"/>
      <c r="N50" s="12" t="s">
        <v>22</v>
      </c>
      <c r="O50" s="22">
        <f t="shared" si="6"/>
        <v>38340</v>
      </c>
    </row>
    <row r="51" spans="1:15" x14ac:dyDescent="0.25">
      <c r="A51" s="71">
        <v>40670</v>
      </c>
      <c r="B51" s="6">
        <f t="shared" si="0"/>
        <v>40670</v>
      </c>
      <c r="C51" s="76">
        <v>-0.6</v>
      </c>
      <c r="D51" s="77">
        <v>0.41666666666666669</v>
      </c>
      <c r="E51" s="76"/>
      <c r="F51" s="12">
        <v>28155</v>
      </c>
      <c r="G51" s="2"/>
      <c r="H51" s="12">
        <v>12596</v>
      </c>
      <c r="I51" s="241"/>
      <c r="J51" s="237" t="s">
        <v>22</v>
      </c>
      <c r="K51" s="82"/>
      <c r="L51" s="12">
        <v>31730</v>
      </c>
      <c r="M51" s="82"/>
      <c r="N51" s="12" t="s">
        <v>22</v>
      </c>
      <c r="O51" s="22">
        <f>+F51+H51+L51</f>
        <v>72481</v>
      </c>
    </row>
    <row r="52" spans="1:15" x14ac:dyDescent="0.25">
      <c r="A52" s="71">
        <v>40671</v>
      </c>
      <c r="B52" s="6">
        <f t="shared" si="0"/>
        <v>40671</v>
      </c>
      <c r="C52" s="76">
        <v>-0.4</v>
      </c>
      <c r="D52" s="77">
        <v>0.44861111111111113</v>
      </c>
      <c r="E52" s="76"/>
      <c r="F52" s="12">
        <v>16875</v>
      </c>
      <c r="G52" s="2"/>
      <c r="H52" s="12">
        <v>13826</v>
      </c>
      <c r="I52" s="241"/>
      <c r="J52" s="237" t="s">
        <v>22</v>
      </c>
      <c r="K52" s="82"/>
      <c r="L52" s="12">
        <v>30023</v>
      </c>
      <c r="M52" s="82"/>
      <c r="N52" s="12" t="s">
        <v>22</v>
      </c>
      <c r="O52" s="22">
        <f>+F52+H52+L52</f>
        <v>60724</v>
      </c>
    </row>
    <row r="53" spans="1:15" x14ac:dyDescent="0.25">
      <c r="A53" s="71"/>
      <c r="B53" s="6"/>
      <c r="C53" s="76"/>
      <c r="D53" s="77"/>
      <c r="E53" s="76"/>
      <c r="F53" s="12"/>
      <c r="G53" s="2"/>
      <c r="H53" s="12"/>
      <c r="I53" s="241"/>
      <c r="J53" s="237"/>
      <c r="K53" s="82"/>
      <c r="L53" s="12"/>
      <c r="M53" s="82"/>
      <c r="N53" s="12"/>
      <c r="O53" s="22"/>
    </row>
    <row r="54" spans="1:15" x14ac:dyDescent="0.25">
      <c r="A54" s="71">
        <v>40681</v>
      </c>
      <c r="B54" s="6">
        <f t="shared" si="0"/>
        <v>40681</v>
      </c>
      <c r="C54" s="76">
        <v>-2.2000000000000002</v>
      </c>
      <c r="D54" s="77">
        <v>0.32777777777777778</v>
      </c>
      <c r="E54" s="76"/>
      <c r="F54" s="12" t="s">
        <v>22</v>
      </c>
      <c r="G54" s="2"/>
      <c r="H54" s="12">
        <v>13128</v>
      </c>
      <c r="I54" s="241"/>
      <c r="J54" s="237" t="s">
        <v>22</v>
      </c>
      <c r="K54" s="82"/>
      <c r="L54" s="12" t="s">
        <v>22</v>
      </c>
      <c r="M54" s="82"/>
      <c r="N54" s="12" t="s">
        <v>22</v>
      </c>
      <c r="O54" s="22">
        <f>+H54</f>
        <v>13128</v>
      </c>
    </row>
    <row r="55" spans="1:15" x14ac:dyDescent="0.25">
      <c r="A55" s="71">
        <v>40682</v>
      </c>
      <c r="B55" s="6">
        <f t="shared" si="0"/>
        <v>40682</v>
      </c>
      <c r="C55" s="80">
        <v>-2</v>
      </c>
      <c r="D55" s="77">
        <v>0.35972222222222222</v>
      </c>
      <c r="E55" s="76"/>
      <c r="F55" s="12" t="s">
        <v>22</v>
      </c>
      <c r="G55" s="2"/>
      <c r="H55" s="12">
        <v>20662</v>
      </c>
      <c r="I55" s="241"/>
      <c r="J55" s="237" t="s">
        <v>22</v>
      </c>
      <c r="K55" s="82"/>
      <c r="L55" s="12" t="s">
        <v>22</v>
      </c>
      <c r="M55" s="82"/>
      <c r="N55" s="12" t="s">
        <v>22</v>
      </c>
      <c r="O55" s="22">
        <f>+H55</f>
        <v>20662</v>
      </c>
    </row>
    <row r="56" spans="1:15" x14ac:dyDescent="0.25">
      <c r="A56" s="71">
        <v>40683</v>
      </c>
      <c r="B56" s="6">
        <f t="shared" si="0"/>
        <v>40683</v>
      </c>
      <c r="C56" s="76">
        <v>-1.7</v>
      </c>
      <c r="D56" s="77">
        <v>0.39097222222222222</v>
      </c>
      <c r="E56" s="76"/>
      <c r="F56" s="12" t="s">
        <v>22</v>
      </c>
      <c r="G56" s="2"/>
      <c r="H56" s="12">
        <v>16449</v>
      </c>
      <c r="I56" s="241"/>
      <c r="J56" s="237" t="s">
        <v>22</v>
      </c>
      <c r="K56" s="82"/>
      <c r="L56" s="12">
        <v>28910</v>
      </c>
      <c r="M56" s="82"/>
      <c r="N56" s="12" t="s">
        <v>22</v>
      </c>
      <c r="O56" s="22">
        <f>+H56+L56</f>
        <v>45359</v>
      </c>
    </row>
    <row r="57" spans="1:15" x14ac:dyDescent="0.25">
      <c r="A57" s="71">
        <v>40684</v>
      </c>
      <c r="B57" s="6">
        <f t="shared" si="0"/>
        <v>40684</v>
      </c>
      <c r="C57" s="76">
        <v>-1.1000000000000001</v>
      </c>
      <c r="D57" s="77">
        <v>0.42291666666666666</v>
      </c>
      <c r="E57" s="76"/>
      <c r="F57" s="12">
        <v>44791</v>
      </c>
      <c r="G57" s="2"/>
      <c r="H57" s="12">
        <v>19985</v>
      </c>
      <c r="I57" s="241"/>
      <c r="J57" s="237" t="s">
        <v>22</v>
      </c>
      <c r="K57" s="82"/>
      <c r="L57" s="12">
        <v>52086</v>
      </c>
      <c r="M57" s="82"/>
      <c r="N57" s="12" t="s">
        <v>22</v>
      </c>
      <c r="O57" s="22">
        <f>+F57+H57+L57</f>
        <v>116862</v>
      </c>
    </row>
    <row r="58" spans="1:15" x14ac:dyDescent="0.25">
      <c r="A58" s="71">
        <v>40685</v>
      </c>
      <c r="B58" s="6">
        <f t="shared" si="0"/>
        <v>40685</v>
      </c>
      <c r="C58" s="76">
        <v>-0.5</v>
      </c>
      <c r="D58" s="77">
        <v>0.45555555555555555</v>
      </c>
      <c r="E58" s="76"/>
      <c r="F58" s="12">
        <v>46140</v>
      </c>
      <c r="G58" s="2"/>
      <c r="H58" s="12">
        <v>14570</v>
      </c>
      <c r="I58" s="241"/>
      <c r="J58" s="237" t="s">
        <v>22</v>
      </c>
      <c r="K58" s="82"/>
      <c r="L58" s="12">
        <v>37502</v>
      </c>
      <c r="M58" s="82"/>
      <c r="N58" s="12" t="s">
        <v>22</v>
      </c>
      <c r="O58" s="22">
        <f>+F58+H58+L58</f>
        <v>98212</v>
      </c>
    </row>
    <row r="59" spans="1:15" x14ac:dyDescent="0.25">
      <c r="A59" s="71"/>
      <c r="B59" s="83"/>
      <c r="C59" s="76"/>
      <c r="D59" s="77"/>
      <c r="E59" s="2"/>
      <c r="F59" s="12"/>
      <c r="G59" s="82"/>
      <c r="H59" s="12"/>
      <c r="I59" s="241"/>
      <c r="J59" s="237"/>
      <c r="K59" s="82"/>
      <c r="L59" s="12"/>
      <c r="M59" s="82"/>
      <c r="N59" s="12"/>
      <c r="O59" s="22"/>
    </row>
    <row r="60" spans="1:15" x14ac:dyDescent="0.25">
      <c r="A60" s="82"/>
      <c r="B60" s="82"/>
      <c r="C60" s="76"/>
      <c r="D60" s="76"/>
      <c r="E60" s="76"/>
      <c r="F60" s="82"/>
      <c r="G60" s="82"/>
      <c r="H60" s="82"/>
      <c r="I60" s="241"/>
      <c r="J60" s="241"/>
      <c r="K60" s="82"/>
      <c r="L60" s="82"/>
      <c r="M60" s="82"/>
      <c r="N60" s="82"/>
      <c r="O60" s="82"/>
    </row>
    <row r="61" spans="1:15" x14ac:dyDescent="0.25">
      <c r="A61" s="84" t="s">
        <v>86</v>
      </c>
      <c r="B61" s="82"/>
      <c r="C61" s="76"/>
      <c r="D61" s="76"/>
      <c r="E61" s="76"/>
      <c r="F61" s="85">
        <f>SUM(F2:F60)</f>
        <v>1158253.9960682883</v>
      </c>
      <c r="G61" s="76"/>
      <c r="H61" s="85">
        <f>SUM(H2:H60)</f>
        <v>813661.64404868276</v>
      </c>
      <c r="I61" s="243"/>
      <c r="J61" s="244">
        <f>SUM(J2:J60)</f>
        <v>950168</v>
      </c>
      <c r="K61" s="76"/>
      <c r="L61" s="85">
        <f>SUM(L3:L60)</f>
        <v>668642</v>
      </c>
      <c r="M61" s="76"/>
      <c r="N61" s="85">
        <f>SUM(N3:N60)</f>
        <v>16937.133838197882</v>
      </c>
      <c r="O61" s="85">
        <f>SUM(O2:O60)</f>
        <v>3607662.7739551691</v>
      </c>
    </row>
    <row r="62" spans="1:15" x14ac:dyDescent="0.25">
      <c r="A62" s="86" t="s">
        <v>42</v>
      </c>
      <c r="B62" s="82"/>
      <c r="C62" s="76"/>
      <c r="D62" s="76"/>
      <c r="E62" s="76"/>
      <c r="F62" s="91"/>
      <c r="G62" s="82"/>
      <c r="H62" s="91"/>
      <c r="I62" s="241"/>
      <c r="J62" s="245"/>
      <c r="K62" s="82"/>
      <c r="L62" s="91"/>
      <c r="M62" s="82"/>
      <c r="N62" s="82"/>
      <c r="O62" s="82"/>
    </row>
    <row r="63" spans="1:15" x14ac:dyDescent="0.25">
      <c r="A63" s="84" t="s">
        <v>43</v>
      </c>
      <c r="B63" s="82"/>
      <c r="C63" s="76"/>
      <c r="D63" s="76"/>
      <c r="E63" s="76"/>
      <c r="F63" s="88">
        <f>+'LB Wastage'!D12</f>
        <v>8117.67</v>
      </c>
      <c r="G63" s="82"/>
      <c r="H63" s="107">
        <f>+'TH Wastage'!D18</f>
        <v>15740.439999999999</v>
      </c>
      <c r="I63" s="241"/>
      <c r="J63" s="238">
        <v>15096</v>
      </c>
      <c r="K63" s="82"/>
      <c r="L63" s="107">
        <v>14142</v>
      </c>
      <c r="M63" s="82"/>
      <c r="N63" s="82"/>
      <c r="O63" s="85">
        <f>F63+H63+J63+L63+N63</f>
        <v>53096.11</v>
      </c>
    </row>
    <row r="64" spans="1:15" x14ac:dyDescent="0.25">
      <c r="A64" s="86" t="s">
        <v>44</v>
      </c>
      <c r="B64" s="82"/>
      <c r="C64" s="76"/>
      <c r="D64" s="76"/>
      <c r="E64" s="76"/>
      <c r="F64" s="85">
        <f>F61+F63</f>
        <v>1166371.6660682883</v>
      </c>
      <c r="G64" s="82"/>
      <c r="H64" s="85">
        <f>H61+H63</f>
        <v>829402.08404868271</v>
      </c>
      <c r="I64" s="241"/>
      <c r="J64" s="244">
        <f>J61+J63</f>
        <v>965264</v>
      </c>
      <c r="K64" s="82"/>
      <c r="L64" s="85">
        <f>L61+L63</f>
        <v>682784</v>
      </c>
      <c r="M64" s="82"/>
      <c r="N64" s="85">
        <f>N61+N63</f>
        <v>16937.133838197882</v>
      </c>
      <c r="O64" s="85">
        <f>O61+O63</f>
        <v>3660758.883955169</v>
      </c>
    </row>
    <row r="65" spans="1:15" x14ac:dyDescent="0.25">
      <c r="A65" s="87" t="s">
        <v>87</v>
      </c>
      <c r="B65" s="82"/>
      <c r="C65" s="76"/>
      <c r="D65" s="76"/>
      <c r="E65" s="76"/>
      <c r="F65" s="88">
        <f>F61/35</f>
        <v>33092.971316236806</v>
      </c>
      <c r="G65" s="82"/>
      <c r="H65" s="88">
        <f>H64/46</f>
        <v>18030.480088014843</v>
      </c>
      <c r="I65" s="241"/>
      <c r="J65" s="246">
        <f>J61/15</f>
        <v>63344.533333333333</v>
      </c>
      <c r="K65" s="82"/>
      <c r="L65" s="88">
        <f>L61/20</f>
        <v>33432.1</v>
      </c>
      <c r="M65" s="82"/>
      <c r="N65" s="88">
        <f>N61/12</f>
        <v>1411.4278198498234</v>
      </c>
      <c r="O65" s="88">
        <f>F65+H65+J65+L65+N65</f>
        <v>149311.51255743482</v>
      </c>
    </row>
    <row r="66" spans="1:15" x14ac:dyDescent="0.25">
      <c r="A66" s="87" t="s">
        <v>45</v>
      </c>
      <c r="B66" s="82"/>
      <c r="C66" s="76"/>
      <c r="D66" s="76"/>
      <c r="E66" s="76"/>
      <c r="F66" s="89">
        <f>F64/TAC!B4</f>
        <v>0.91390697333767801</v>
      </c>
      <c r="G66" s="82"/>
      <c r="H66" s="89">
        <f>H64/TAC!B5</f>
        <v>0.98104440695861195</v>
      </c>
      <c r="I66" s="241"/>
      <c r="J66" s="247">
        <f>J64/TAC!B6</f>
        <v>1.4129245482749979</v>
      </c>
      <c r="K66" s="82"/>
      <c r="L66" s="89">
        <f>L64/TAC!B7</f>
        <v>1.2514674799230812</v>
      </c>
      <c r="M66" s="82"/>
      <c r="N66" s="89">
        <f>N64/TAC!B8</f>
        <v>6.5413502398280379E-2</v>
      </c>
      <c r="O66" s="89">
        <f>O64/TAC!B9</f>
        <v>1.0142422463533649</v>
      </c>
    </row>
    <row r="67" spans="1:15" x14ac:dyDescent="0.25">
      <c r="A67" s="87" t="s">
        <v>46</v>
      </c>
      <c r="B67" s="82"/>
      <c r="C67" s="76"/>
      <c r="D67" s="76"/>
      <c r="E67" s="76"/>
      <c r="F67" s="88">
        <f>TAC!B4-F64</f>
        <v>109876.02663569059</v>
      </c>
      <c r="G67" s="82"/>
      <c r="H67" s="88">
        <f>TAC!B5-Harvest!H64</f>
        <v>16025.582798689022</v>
      </c>
      <c r="I67" s="241"/>
      <c r="J67" s="246">
        <f>TAC!B6-J64</f>
        <v>-282096.59295164398</v>
      </c>
      <c r="K67" s="82"/>
      <c r="L67" s="88">
        <f>TAC!B7-L64</f>
        <v>-137197.31001108722</v>
      </c>
      <c r="M67" s="82"/>
      <c r="N67" s="88">
        <f>TAC!B8-N64</f>
        <v>241986.99065025226</v>
      </c>
      <c r="O67" s="88">
        <f>TAC!B9-Harvest!O61</f>
        <v>1690.8071219003759</v>
      </c>
    </row>
    <row r="68" spans="1:15" x14ac:dyDescent="0.25">
      <c r="A68" s="84" t="s">
        <v>47</v>
      </c>
      <c r="B68" s="82"/>
      <c r="C68" s="76"/>
      <c r="D68" s="76"/>
      <c r="E68" s="76"/>
      <c r="F68" s="82"/>
      <c r="G68" s="82"/>
      <c r="H68" s="82"/>
      <c r="I68" s="82"/>
      <c r="J68" s="82"/>
      <c r="K68" s="82"/>
      <c r="L68" s="82"/>
      <c r="M68" s="82"/>
      <c r="N68" s="82"/>
      <c r="O68" s="82"/>
    </row>
    <row r="69" spans="1:15" x14ac:dyDescent="0.25">
      <c r="J69" s="14"/>
    </row>
  </sheetData>
  <mergeCells count="5">
    <mergeCell ref="E1:F1"/>
    <mergeCell ref="G1:H1"/>
    <mergeCell ref="I1:J1"/>
    <mergeCell ref="K1:L1"/>
    <mergeCell ref="M1:N1"/>
  </mergeCells>
  <pageMargins left="0.27559055118110237" right="0.35433070866141736" top="0.6692913385826772" bottom="0.51181102362204722" header="0.19685039370078741" footer="0.23622047244094491"/>
  <pageSetup scale="71" orientation="portrait" r:id="rId1"/>
  <headerFooter>
    <oddHeader>&amp;L&amp;12 2010 Fall / 2011 Spring Razor clam Harvest Totals
(Number of Clams) &amp;C&amp;12Non-Indian Fishery&amp;R&amp;12&amp;KFF0000PRELIMINARY ESTIMATE</oddHeader>
    <oddFooter>&amp;LPage 1 of 3</oddFooter>
  </headerFooter>
  <ignoredErrors>
    <ignoredError sqref="O6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2"/>
  <sheetViews>
    <sheetView topLeftCell="A31" workbookViewId="0">
      <selection activeCell="L59" sqref="L59"/>
    </sheetView>
  </sheetViews>
  <sheetFormatPr defaultRowHeight="15" x14ac:dyDescent="0.25"/>
  <cols>
    <col min="1" max="1" width="18.42578125" customWidth="1"/>
    <col min="2" max="2" width="5.42578125" customWidth="1"/>
    <col min="3" max="3" width="7.7109375" style="1" customWidth="1"/>
    <col min="4" max="4" width="9.140625" style="1"/>
    <col min="5" max="5" width="3.7109375" style="1" customWidth="1"/>
    <col min="6" max="6" width="12.7109375" customWidth="1"/>
    <col min="7" max="7" width="3.7109375" customWidth="1"/>
    <col min="8" max="8" width="12.7109375" customWidth="1"/>
    <col min="9" max="9" width="3.7109375" customWidth="1"/>
    <col min="10" max="10" width="12.7109375" customWidth="1"/>
    <col min="11" max="11" width="3.7109375" customWidth="1"/>
    <col min="12" max="12" width="12.7109375" customWidth="1"/>
    <col min="13" max="13" width="3.7109375" customWidth="1"/>
    <col min="14" max="14" width="12.7109375" customWidth="1"/>
    <col min="15" max="15" width="11.140625" bestFit="1" customWidth="1"/>
  </cols>
  <sheetData>
    <row r="1" spans="1:15" x14ac:dyDescent="0.25">
      <c r="A1" s="18" t="s">
        <v>8</v>
      </c>
      <c r="B1" s="18" t="s">
        <v>5</v>
      </c>
      <c r="C1" s="18" t="s">
        <v>6</v>
      </c>
      <c r="D1" s="18" t="s">
        <v>7</v>
      </c>
      <c r="E1" s="248" t="s">
        <v>0</v>
      </c>
      <c r="F1" s="248"/>
      <c r="G1" s="248" t="s">
        <v>1</v>
      </c>
      <c r="H1" s="248"/>
      <c r="I1" s="248" t="s">
        <v>2</v>
      </c>
      <c r="J1" s="248"/>
      <c r="K1" s="248" t="s">
        <v>3</v>
      </c>
      <c r="L1" s="248"/>
      <c r="M1" s="248" t="s">
        <v>4</v>
      </c>
      <c r="N1" s="248"/>
      <c r="O1" s="21" t="s">
        <v>41</v>
      </c>
    </row>
    <row r="2" spans="1:15" x14ac:dyDescent="0.25">
      <c r="A2" s="5">
        <v>40458</v>
      </c>
      <c r="B2" s="6">
        <f>+A2</f>
        <v>40458</v>
      </c>
      <c r="C2" s="116">
        <v>-1</v>
      </c>
      <c r="D2" s="7">
        <v>0.78819444444444453</v>
      </c>
      <c r="E2" s="11"/>
      <c r="F2" s="12" t="s">
        <v>22</v>
      </c>
      <c r="G2" s="9"/>
      <c r="H2" s="13">
        <f>+Harvest!H2/Effort!H2</f>
        <v>14.648221343873518</v>
      </c>
      <c r="I2" s="9"/>
      <c r="J2" s="12" t="s">
        <v>22</v>
      </c>
      <c r="K2" s="10"/>
      <c r="L2" s="12" t="s">
        <v>22</v>
      </c>
      <c r="M2" s="8"/>
      <c r="N2" s="12" t="s">
        <v>22</v>
      </c>
      <c r="O2" s="23">
        <f>Harvest!O2/Effort!O2</f>
        <v>14.648221343873518</v>
      </c>
    </row>
    <row r="3" spans="1:15" x14ac:dyDescent="0.25">
      <c r="A3" s="5">
        <v>40459</v>
      </c>
      <c r="B3" s="6">
        <f t="shared" ref="B3:B5" si="0">+A3</f>
        <v>40459</v>
      </c>
      <c r="C3" s="20">
        <v>-1.4</v>
      </c>
      <c r="D3" s="19">
        <v>0.8208333333333333</v>
      </c>
      <c r="E3" s="3"/>
      <c r="F3" s="13">
        <f>+Harvest!F3/Effort!F3</f>
        <v>15.035496688741722</v>
      </c>
      <c r="G3" s="2"/>
      <c r="H3" s="13">
        <f>+Harvest!H3/Effort!H3</f>
        <v>14.756459593183068</v>
      </c>
      <c r="I3" s="2"/>
      <c r="J3" s="13">
        <f>+Harvest!J3/Effort!J3</f>
        <v>14.918295739348371</v>
      </c>
      <c r="K3" s="2"/>
      <c r="L3" s="13">
        <f>+Harvest!L3/Effort!L3</f>
        <v>14.410079051383399</v>
      </c>
      <c r="M3" s="2"/>
      <c r="N3" s="13">
        <f>+Harvest!N3/Effort!N3</f>
        <v>14.516129032258062</v>
      </c>
      <c r="O3" s="23">
        <f>Harvest!O3/Effort!O3</f>
        <v>14.836050603347051</v>
      </c>
    </row>
    <row r="4" spans="1:15" x14ac:dyDescent="0.25">
      <c r="A4" s="5">
        <v>40460</v>
      </c>
      <c r="B4" s="6">
        <f t="shared" si="0"/>
        <v>40460</v>
      </c>
      <c r="C4" s="20">
        <v>-1.5</v>
      </c>
      <c r="D4" s="19">
        <v>0.85277777777777775</v>
      </c>
      <c r="E4" s="2" t="s">
        <v>40</v>
      </c>
      <c r="F4" s="13">
        <f>+Harvest!F4/Effort!F4</f>
        <v>5.0630449899022993</v>
      </c>
      <c r="G4" s="2"/>
      <c r="H4" s="13">
        <f>+Harvest!H4/Effort!H4</f>
        <v>4.969082189875679</v>
      </c>
      <c r="I4" s="2"/>
      <c r="J4" s="13">
        <f>+Harvest!J4/Effort!J4</f>
        <v>5.0304754164973584</v>
      </c>
      <c r="K4" s="2"/>
      <c r="L4" s="13">
        <f>+Harvest!L4/Effort!L4</f>
        <v>4.8717339667458432</v>
      </c>
      <c r="M4" s="2"/>
      <c r="N4" s="13">
        <f>+Harvest!N4/Effort!N4</f>
        <v>9.4444444444444464</v>
      </c>
      <c r="O4" s="23">
        <f>Harvest!O4/Effort!O4</f>
        <v>5.0874877115394455</v>
      </c>
    </row>
    <row r="5" spans="1:15" x14ac:dyDescent="0.25">
      <c r="A5" s="5">
        <v>40461</v>
      </c>
      <c r="B5" s="6">
        <f t="shared" si="0"/>
        <v>40461</v>
      </c>
      <c r="C5" s="20">
        <v>-1.3</v>
      </c>
      <c r="D5" s="19">
        <v>0.88541666666666663</v>
      </c>
      <c r="E5" s="4"/>
      <c r="F5" s="12" t="s">
        <v>22</v>
      </c>
      <c r="G5" s="2"/>
      <c r="H5" s="13">
        <f>+Harvest!H5/Effort!H5</f>
        <v>10.160189573459716</v>
      </c>
      <c r="I5" s="2"/>
      <c r="J5" s="12" t="s">
        <v>22</v>
      </c>
      <c r="K5" s="2"/>
      <c r="L5" s="12" t="s">
        <v>22</v>
      </c>
      <c r="M5" s="2"/>
      <c r="N5" s="12" t="s">
        <v>22</v>
      </c>
      <c r="O5" s="23">
        <f>Harvest!O5/Effort!O5</f>
        <v>10.160189573459716</v>
      </c>
    </row>
    <row r="6" spans="1:15" x14ac:dyDescent="0.25">
      <c r="E6" s="3"/>
      <c r="F6" s="12"/>
      <c r="G6" s="2"/>
      <c r="H6" s="12"/>
      <c r="I6" s="2"/>
      <c r="J6" s="12"/>
      <c r="K6" s="2"/>
      <c r="L6" s="12"/>
      <c r="M6" s="2"/>
      <c r="N6" s="12"/>
    </row>
    <row r="7" spans="1:15" x14ac:dyDescent="0.25">
      <c r="A7" s="71">
        <v>40487</v>
      </c>
      <c r="B7" s="6">
        <f t="shared" ref="B7:B10" si="1">+A7</f>
        <v>40487</v>
      </c>
      <c r="C7" s="76">
        <v>-1.4</v>
      </c>
      <c r="D7" s="77">
        <v>0.77847222222222223</v>
      </c>
      <c r="E7" s="3"/>
      <c r="F7" s="13">
        <f>+Harvest!F7/Effort!F7</f>
        <v>15</v>
      </c>
      <c r="G7" s="2"/>
      <c r="H7" s="13">
        <f>+Harvest!H7/Effort!H7</f>
        <v>8.5405098552286791</v>
      </c>
      <c r="I7" s="2"/>
      <c r="J7" s="13">
        <f>+Harvest!J7/Effort!J7</f>
        <v>13.73766107464138</v>
      </c>
      <c r="K7" s="2"/>
      <c r="L7" s="13">
        <f>+Harvest!L7/Effort!L7</f>
        <v>15.549922400413864</v>
      </c>
      <c r="M7" s="2"/>
      <c r="N7" s="13">
        <f>+Harvest!N7/Effort!N7</f>
        <v>14.907407407407405</v>
      </c>
      <c r="O7" s="23">
        <f>Harvest!O7/Effort!O7</f>
        <v>13.671392730624618</v>
      </c>
    </row>
    <row r="8" spans="1:15" x14ac:dyDescent="0.25">
      <c r="A8" s="71">
        <v>40488</v>
      </c>
      <c r="B8" s="6">
        <f t="shared" si="1"/>
        <v>40488</v>
      </c>
      <c r="C8" s="76">
        <v>-1.6</v>
      </c>
      <c r="D8" s="77">
        <v>0.80972222222222223</v>
      </c>
      <c r="F8" s="13">
        <f>+Harvest!F8/Effort!F8</f>
        <v>11.197159806936334</v>
      </c>
      <c r="G8" s="2"/>
      <c r="H8" s="13">
        <f>+Harvest!H8/Effort!H8</f>
        <v>6.3752969121140142</v>
      </c>
      <c r="J8" s="13">
        <f>+Harvest!J8/Effort!J8</f>
        <v>10.201132447070409</v>
      </c>
      <c r="L8" s="13">
        <f>+Harvest!L8/Effort!L8</f>
        <v>12.446126447016919</v>
      </c>
      <c r="N8" s="13">
        <f>+Harvest!N8/Effort!N8</f>
        <v>4.2238805970149258</v>
      </c>
      <c r="O8" s="23">
        <f>Harvest!O8/Effort!O8</f>
        <v>10.0940389600513</v>
      </c>
    </row>
    <row r="9" spans="1:15" x14ac:dyDescent="0.25">
      <c r="A9" s="71">
        <v>40489</v>
      </c>
      <c r="B9" s="6">
        <f t="shared" si="1"/>
        <v>40489</v>
      </c>
      <c r="C9" s="76">
        <v>-1.5</v>
      </c>
      <c r="D9" s="77">
        <v>0.7993055555555556</v>
      </c>
      <c r="E9" s="2"/>
      <c r="F9" s="12" t="s">
        <v>22</v>
      </c>
      <c r="H9" s="13">
        <f>+Harvest!H9/Effort!H9</f>
        <v>13.598416289592761</v>
      </c>
      <c r="J9" s="12" t="s">
        <v>22</v>
      </c>
      <c r="L9" s="12" t="s">
        <v>22</v>
      </c>
      <c r="N9" s="12" t="s">
        <v>22</v>
      </c>
      <c r="O9" s="23">
        <f>Harvest!O9/Effort!O9</f>
        <v>13.598416289592761</v>
      </c>
    </row>
    <row r="10" spans="1:15" x14ac:dyDescent="0.25">
      <c r="A10" s="71">
        <v>40490</v>
      </c>
      <c r="B10" s="6">
        <f t="shared" si="1"/>
        <v>40490</v>
      </c>
      <c r="C10" s="76">
        <v>-1.2</v>
      </c>
      <c r="D10" s="77">
        <v>0.82986111111111116</v>
      </c>
      <c r="F10" s="12" t="s">
        <v>22</v>
      </c>
      <c r="H10" s="13">
        <f>+Harvest!H10/Effort!H10</f>
        <v>14.108374384236454</v>
      </c>
      <c r="J10" s="12" t="s">
        <v>22</v>
      </c>
      <c r="L10" s="12" t="s">
        <v>22</v>
      </c>
      <c r="N10" s="12" t="s">
        <v>22</v>
      </c>
      <c r="O10" s="23">
        <f>Harvest!O10/Effort!O10</f>
        <v>14.108374384236454</v>
      </c>
    </row>
    <row r="11" spans="1:15" x14ac:dyDescent="0.25">
      <c r="A11" s="71"/>
      <c r="B11" s="6"/>
      <c r="C11" s="76"/>
      <c r="D11" s="77"/>
      <c r="F11" s="13"/>
      <c r="H11" s="13"/>
      <c r="J11" s="13"/>
      <c r="L11" s="13"/>
      <c r="N11" s="13"/>
      <c r="O11" s="23"/>
    </row>
    <row r="12" spans="1:15" x14ac:dyDescent="0.25">
      <c r="A12" s="71">
        <v>40502</v>
      </c>
      <c r="B12" s="6">
        <f t="shared" ref="B12:B13" si="2">+A12</f>
        <v>40502</v>
      </c>
      <c r="C12" s="76">
        <v>-0.4</v>
      </c>
      <c r="D12" s="77">
        <v>0.73541666666666661</v>
      </c>
      <c r="E12" s="105"/>
      <c r="F12" s="13">
        <f>+Harvest!F12/Effort!F12</f>
        <v>15.062039957939012</v>
      </c>
      <c r="G12" s="2"/>
      <c r="H12" s="13">
        <f>+Harvest!H12/Effort!H12</f>
        <v>14.65810276679842</v>
      </c>
      <c r="J12" s="12" t="s">
        <v>22</v>
      </c>
      <c r="L12" s="12" t="s">
        <v>22</v>
      </c>
      <c r="N12" s="12" t="s">
        <v>22</v>
      </c>
      <c r="O12" s="23">
        <f>Harvest!O12/Effort!O12</f>
        <v>14.882748538011695</v>
      </c>
    </row>
    <row r="13" spans="1:15" x14ac:dyDescent="0.25">
      <c r="A13" s="71">
        <v>40503</v>
      </c>
      <c r="B13" s="6">
        <f t="shared" si="2"/>
        <v>40503</v>
      </c>
      <c r="C13" s="76">
        <v>-0.7</v>
      </c>
      <c r="D13" s="19">
        <v>0.76180555555555562</v>
      </c>
      <c r="F13" s="13">
        <f>+Harvest!F13/Effort!F13</f>
        <v>15</v>
      </c>
      <c r="G13" s="2"/>
      <c r="H13" s="13">
        <f>+Harvest!H13/Effort!H13</f>
        <v>15</v>
      </c>
      <c r="I13" s="82"/>
      <c r="J13" s="12" t="s">
        <v>22</v>
      </c>
      <c r="K13" s="82"/>
      <c r="L13" s="12" t="s">
        <v>22</v>
      </c>
      <c r="M13" s="82"/>
      <c r="N13" s="12" t="s">
        <v>22</v>
      </c>
      <c r="O13" s="23">
        <f>Harvest!O13/Effort!O13</f>
        <v>15</v>
      </c>
    </row>
    <row r="14" spans="1:15" x14ac:dyDescent="0.25">
      <c r="A14" s="71"/>
      <c r="B14" s="83"/>
      <c r="C14" s="76"/>
      <c r="D14" s="77"/>
      <c r="F14" s="12"/>
      <c r="G14" s="82"/>
      <c r="H14" s="13"/>
      <c r="I14" s="82"/>
      <c r="J14" s="12"/>
      <c r="K14" s="82"/>
      <c r="L14" s="12"/>
      <c r="M14" s="82"/>
      <c r="N14" s="12"/>
      <c r="O14" s="23"/>
    </row>
    <row r="15" spans="1:15" x14ac:dyDescent="0.25">
      <c r="A15" s="71">
        <v>40515</v>
      </c>
      <c r="B15" s="6">
        <f t="shared" ref="B15:B18" si="3">+A15</f>
        <v>40515</v>
      </c>
      <c r="C15" s="76">
        <v>-0.8</v>
      </c>
      <c r="D15" s="77">
        <v>0.69652777777777775</v>
      </c>
      <c r="F15" s="12" t="s">
        <v>22</v>
      </c>
      <c r="H15" s="13">
        <f>+Harvest!H15/Effort!H15</f>
        <v>15</v>
      </c>
      <c r="J15" s="12" t="s">
        <v>22</v>
      </c>
      <c r="L15" s="12" t="s">
        <v>22</v>
      </c>
      <c r="N15" s="12" t="s">
        <v>22</v>
      </c>
      <c r="O15" s="23">
        <f>Harvest!O15/Effort!O15</f>
        <v>15</v>
      </c>
    </row>
    <row r="16" spans="1:15" x14ac:dyDescent="0.25">
      <c r="A16" s="71">
        <v>40516</v>
      </c>
      <c r="B16" s="6">
        <f t="shared" si="3"/>
        <v>40516</v>
      </c>
      <c r="C16" s="76">
        <v>-1.2</v>
      </c>
      <c r="D16" s="77">
        <v>0.7284722222222223</v>
      </c>
      <c r="F16" s="13">
        <f>+Harvest!F16/Effort!F16</f>
        <v>15</v>
      </c>
      <c r="H16" s="13">
        <f>+Harvest!H16/Effort!H16</f>
        <v>15</v>
      </c>
      <c r="J16" s="13">
        <f>+Harvest!J16/Effort!J16</f>
        <v>15.000225631768952</v>
      </c>
      <c r="L16" s="13">
        <f>+Harvest!L16/Effort!L16</f>
        <v>14.995345744680851</v>
      </c>
      <c r="N16" s="13">
        <f>+Harvest!N16/Effort!N16</f>
        <v>11.638297872340425</v>
      </c>
      <c r="O16" s="23">
        <f>Harvest!O16/Effort!O16</f>
        <v>14.938126992423378</v>
      </c>
    </row>
    <row r="17" spans="1:15" x14ac:dyDescent="0.25">
      <c r="A17" s="71">
        <v>40517</v>
      </c>
      <c r="B17" s="6">
        <f t="shared" si="3"/>
        <v>40517</v>
      </c>
      <c r="C17" s="76">
        <v>-1.3</v>
      </c>
      <c r="D17" s="77">
        <v>0.7597222222222223</v>
      </c>
      <c r="F17" s="13">
        <f>+Harvest!F17/Effort!F17</f>
        <v>15</v>
      </c>
      <c r="G17" s="2" t="s">
        <v>40</v>
      </c>
      <c r="H17" s="13">
        <f>+Harvest!H17/Effort!H17</f>
        <v>15.0052484234741</v>
      </c>
      <c r="I17" s="82"/>
      <c r="J17" s="13">
        <f>+Harvest!J17/Effort!J17</f>
        <v>15.001774098166765</v>
      </c>
      <c r="K17" s="82"/>
      <c r="L17" s="13">
        <f>+Harvest!L17/Effort!L17</f>
        <v>15.010463378176382</v>
      </c>
      <c r="N17" s="13">
        <f>+Harvest!N17/Effort!N17</f>
        <v>10.874999999999996</v>
      </c>
      <c r="O17" s="23">
        <f>Harvest!O17/Effort!O17</f>
        <v>14.910174994044853</v>
      </c>
    </row>
    <row r="18" spans="1:15" x14ac:dyDescent="0.25">
      <c r="A18" s="71">
        <v>40518</v>
      </c>
      <c r="B18" s="6">
        <f t="shared" si="3"/>
        <v>40518</v>
      </c>
      <c r="C18" s="76">
        <v>-1.2</v>
      </c>
      <c r="D18" s="77">
        <v>0.78888888888888886</v>
      </c>
      <c r="F18" s="12" t="s">
        <v>22</v>
      </c>
      <c r="H18" s="13">
        <f>+Harvest!H18/Effort!H18</f>
        <v>15</v>
      </c>
      <c r="I18" s="82"/>
      <c r="J18" s="12" t="s">
        <v>22</v>
      </c>
      <c r="K18" s="82"/>
      <c r="L18" s="12" t="s">
        <v>22</v>
      </c>
      <c r="N18" s="12" t="s">
        <v>22</v>
      </c>
      <c r="O18" s="23">
        <f>Harvest!O18/Effort!O18</f>
        <v>15</v>
      </c>
    </row>
    <row r="19" spans="1:15" x14ac:dyDescent="0.25">
      <c r="A19" s="71"/>
      <c r="B19" s="83"/>
      <c r="C19" s="76"/>
      <c r="D19" s="77"/>
      <c r="F19" s="12"/>
      <c r="H19" s="13"/>
      <c r="I19" s="82"/>
      <c r="J19" s="13"/>
      <c r="K19" s="82"/>
      <c r="L19" s="13"/>
      <c r="N19" s="13"/>
      <c r="O19" s="23"/>
    </row>
    <row r="20" spans="1:15" x14ac:dyDescent="0.25">
      <c r="A20" s="71">
        <v>40543</v>
      </c>
      <c r="B20" s="6">
        <f t="shared" ref="B20:B22" si="4">+A20</f>
        <v>40543</v>
      </c>
      <c r="C20" s="80">
        <v>0</v>
      </c>
      <c r="D20" s="77">
        <v>0.65277777777777779</v>
      </c>
      <c r="F20" s="13">
        <f>+Harvest!F20/Effort!F20</f>
        <v>12.841996622255582</v>
      </c>
      <c r="H20" s="13">
        <f>+Harvest!H20/Effort!H20</f>
        <v>12.920292127234521</v>
      </c>
      <c r="I20" s="82"/>
      <c r="J20" s="13">
        <f>+Harvest!J20/Effort!J20</f>
        <v>12.26371834228703</v>
      </c>
      <c r="K20" s="82"/>
      <c r="L20" s="13">
        <f>+Harvest!L20/Effort!L20</f>
        <v>14.588134765625</v>
      </c>
      <c r="N20" s="13">
        <f>+Harvest!N20/Effort!N20</f>
        <v>6.7575757575757587</v>
      </c>
      <c r="O20" s="23">
        <f>Harvest!O20/Effort!O20</f>
        <v>12.80920846912791</v>
      </c>
    </row>
    <row r="21" spans="1:15" x14ac:dyDescent="0.25">
      <c r="A21" s="71">
        <v>40544</v>
      </c>
      <c r="B21" s="6">
        <f t="shared" si="4"/>
        <v>40544</v>
      </c>
      <c r="C21" s="76">
        <v>-0.4</v>
      </c>
      <c r="D21" s="77">
        <v>0.68888888888888899</v>
      </c>
      <c r="F21" s="13">
        <f>+Harvest!F21/Effort!F21</f>
        <v>12.047241188411146</v>
      </c>
      <c r="H21" s="13">
        <f>+Harvest!H21/Effort!H21</f>
        <v>12.129064222558926</v>
      </c>
      <c r="I21" s="82"/>
      <c r="J21" s="13">
        <f>+Harvest!J21/Effort!J21</f>
        <v>10.63360358806279</v>
      </c>
      <c r="K21" s="82"/>
      <c r="L21" s="13">
        <f>+Harvest!L21/Effort!L21</f>
        <v>13.777989337395278</v>
      </c>
      <c r="N21" s="13">
        <f>+Harvest!N21/Effort!N21</f>
        <v>1.4000000000000001</v>
      </c>
      <c r="O21" s="23">
        <f>Harvest!O21/Effort!O21</f>
        <v>11.903384369446947</v>
      </c>
    </row>
    <row r="22" spans="1:15" x14ac:dyDescent="0.25">
      <c r="A22" s="71">
        <v>40545</v>
      </c>
      <c r="B22" s="6">
        <f t="shared" si="4"/>
        <v>40545</v>
      </c>
      <c r="C22" s="76">
        <v>-0.7</v>
      </c>
      <c r="D22" s="19">
        <v>0.72083333333333333</v>
      </c>
      <c r="F22" s="12" t="s">
        <v>22</v>
      </c>
      <c r="H22" s="13">
        <f>+Harvest!H22/Effort!H22</f>
        <v>7.1390577507598785</v>
      </c>
      <c r="I22" s="82"/>
      <c r="J22" s="12" t="s">
        <v>22</v>
      </c>
      <c r="K22" s="82"/>
      <c r="L22" s="12" t="s">
        <v>22</v>
      </c>
      <c r="N22" s="12" t="s">
        <v>22</v>
      </c>
      <c r="O22" s="23">
        <f>Harvest!O22/Effort!O22</f>
        <v>7.1390577507598785</v>
      </c>
    </row>
    <row r="23" spans="1:15" x14ac:dyDescent="0.25">
      <c r="A23" s="71"/>
      <c r="B23" s="83"/>
      <c r="C23" s="76"/>
      <c r="D23" s="77"/>
      <c r="F23" s="13"/>
      <c r="H23" s="13"/>
      <c r="I23" s="82"/>
      <c r="J23" s="13"/>
      <c r="K23" s="82"/>
      <c r="L23" s="13"/>
      <c r="N23" s="13"/>
      <c r="O23" s="23"/>
    </row>
    <row r="24" spans="1:15" x14ac:dyDescent="0.25">
      <c r="A24" s="71">
        <v>40563</v>
      </c>
      <c r="B24" s="6">
        <f t="shared" ref="B24:B26" si="5">+A24</f>
        <v>40563</v>
      </c>
      <c r="C24" s="1">
        <v>-1.3</v>
      </c>
      <c r="D24" s="77">
        <v>0.7909722222222223</v>
      </c>
      <c r="E24" s="76"/>
      <c r="F24" s="13">
        <f>+Harvest!F24/Effort!F24</f>
        <v>4.5030826140567202</v>
      </c>
      <c r="G24" s="79"/>
      <c r="H24" s="13">
        <f>+Harvest!H24/Effort!H24</f>
        <v>1.3202146690518783</v>
      </c>
      <c r="I24" s="79"/>
      <c r="J24" s="12" t="s">
        <v>22</v>
      </c>
      <c r="K24" s="79"/>
      <c r="L24" s="12" t="s">
        <v>22</v>
      </c>
      <c r="M24" s="79"/>
      <c r="N24" s="12" t="s">
        <v>22</v>
      </c>
      <c r="O24" s="23">
        <f>Harvest!O24/Effort!O24</f>
        <v>3.2043795620437958</v>
      </c>
    </row>
    <row r="25" spans="1:15" x14ac:dyDescent="0.25">
      <c r="A25" s="71">
        <v>40564</v>
      </c>
      <c r="B25" s="6">
        <f t="shared" si="5"/>
        <v>40564</v>
      </c>
      <c r="C25" s="76">
        <v>-1.1000000000000001</v>
      </c>
      <c r="D25" s="77">
        <v>0.81805555555555554</v>
      </c>
      <c r="E25" s="76"/>
      <c r="F25" s="13">
        <f>+Harvest!F25/Effort!F25</f>
        <v>7.6230158730158726</v>
      </c>
      <c r="G25" s="79"/>
      <c r="H25" s="13">
        <f>+Harvest!H25/Effort!H25</f>
        <v>3.0338983050847457</v>
      </c>
      <c r="I25" s="79"/>
      <c r="J25" s="12" t="s">
        <v>22</v>
      </c>
      <c r="K25" s="79"/>
      <c r="L25" s="12" t="s">
        <v>22</v>
      </c>
      <c r="M25" s="79"/>
      <c r="N25" s="13">
        <f>+Harvest!N25/Effort!N25</f>
        <v>0.90322580645161288</v>
      </c>
      <c r="O25" s="23">
        <f>Harvest!O25/Effort!O25</f>
        <v>5.9267963819237091</v>
      </c>
    </row>
    <row r="26" spans="1:15" x14ac:dyDescent="0.25">
      <c r="A26" s="71">
        <v>40565</v>
      </c>
      <c r="B26" s="6">
        <f t="shared" si="5"/>
        <v>40565</v>
      </c>
      <c r="C26" s="76">
        <v>-0.6</v>
      </c>
      <c r="D26" s="77">
        <v>0.84652777777777777</v>
      </c>
      <c r="E26" s="76"/>
      <c r="F26" s="13">
        <f>+Harvest!F26/Effort!F26</f>
        <v>12.983285577841452</v>
      </c>
      <c r="G26" s="79"/>
      <c r="H26" s="13">
        <f>+Harvest!H26/Effort!H26</f>
        <v>7.0207253886010363</v>
      </c>
      <c r="I26" s="79"/>
      <c r="J26" s="12" t="s">
        <v>22</v>
      </c>
      <c r="K26" s="79"/>
      <c r="L26" s="12" t="s">
        <v>22</v>
      </c>
      <c r="M26" s="79"/>
      <c r="N26" s="13">
        <f>+Harvest!N26/Effort!N26</f>
        <v>1.5</v>
      </c>
      <c r="O26" s="23">
        <f>Harvest!O26/Effort!O26</f>
        <v>10.197722974309682</v>
      </c>
    </row>
    <row r="27" spans="1:15" x14ac:dyDescent="0.25">
      <c r="A27" s="71"/>
      <c r="B27" s="83"/>
      <c r="C27" s="76"/>
      <c r="D27" s="77"/>
      <c r="F27" s="13"/>
      <c r="H27" s="13"/>
      <c r="J27" s="13"/>
      <c r="K27" s="82"/>
      <c r="L27" s="13"/>
      <c r="M27" s="79"/>
      <c r="N27" s="13"/>
      <c r="O27" s="23"/>
    </row>
    <row r="28" spans="1:15" x14ac:dyDescent="0.25">
      <c r="A28" s="71">
        <v>40591</v>
      </c>
      <c r="B28" s="6">
        <f t="shared" ref="B28:B30" si="6">+A28</f>
        <v>40591</v>
      </c>
      <c r="C28" s="80">
        <v>-0.9</v>
      </c>
      <c r="D28" s="77">
        <v>0.74513888888888891</v>
      </c>
      <c r="F28" s="12" t="s">
        <v>22</v>
      </c>
      <c r="G28" s="2"/>
      <c r="H28" s="13">
        <f>+Harvest!H28/Effort!H28</f>
        <v>14.085510688836104</v>
      </c>
      <c r="J28" s="12" t="s">
        <v>22</v>
      </c>
      <c r="K28" s="82"/>
      <c r="L28" s="12" t="s">
        <v>22</v>
      </c>
      <c r="M28" s="79"/>
      <c r="N28" s="12" t="s">
        <v>22</v>
      </c>
      <c r="O28" s="23">
        <f>Harvest!O28/Effort!O28</f>
        <v>14.085510688836104</v>
      </c>
    </row>
    <row r="29" spans="1:15" x14ac:dyDescent="0.25">
      <c r="A29" s="71">
        <v>40592</v>
      </c>
      <c r="B29" s="6">
        <f t="shared" si="6"/>
        <v>40592</v>
      </c>
      <c r="C29" s="76">
        <v>-0.9</v>
      </c>
      <c r="D29" s="77">
        <v>0.7729166666666667</v>
      </c>
      <c r="F29" s="13">
        <f>+Harvest!F29/Effort!F29</f>
        <v>14.368572801537722</v>
      </c>
      <c r="G29" s="117" t="s">
        <v>40</v>
      </c>
      <c r="H29" s="13">
        <f>+Harvest!H29/Effort!H29</f>
        <v>12.726587900428363</v>
      </c>
      <c r="J29" s="13">
        <f>+Harvest!J29/Effort!J29</f>
        <v>15.000552486187845</v>
      </c>
      <c r="K29" s="79"/>
      <c r="L29" s="13">
        <f>+Harvest!L29/Effort!L29</f>
        <v>12.001135073779796</v>
      </c>
      <c r="M29" s="79"/>
      <c r="N29" s="13">
        <f>+Harvest!N29/Effort!N29</f>
        <v>1.785714285714286</v>
      </c>
      <c r="O29" s="23">
        <f>Harvest!O29/Effort!O29</f>
        <v>13.88216872738901</v>
      </c>
    </row>
    <row r="30" spans="1:15" x14ac:dyDescent="0.25">
      <c r="A30" s="71">
        <v>40593</v>
      </c>
      <c r="B30" s="6">
        <f t="shared" si="6"/>
        <v>40593</v>
      </c>
      <c r="C30" s="76">
        <v>-0.5</v>
      </c>
      <c r="D30" s="77">
        <v>0.80069444444444438</v>
      </c>
      <c r="F30" s="13">
        <f>+Harvest!F30/Effort!F30</f>
        <v>14.386840877274848</v>
      </c>
      <c r="G30" s="117" t="s">
        <v>40</v>
      </c>
      <c r="H30" s="13">
        <f>+Harvest!H30/Effort!H30</f>
        <v>12.058931175965519</v>
      </c>
      <c r="J30" s="13">
        <f>+Harvest!J30/Effort!J30</f>
        <v>13.441909047083401</v>
      </c>
      <c r="K30" s="79"/>
      <c r="L30" s="13">
        <f>+Harvest!L30/Effort!L30</f>
        <v>13.660365853658536</v>
      </c>
      <c r="M30" s="79"/>
      <c r="N30" s="13">
        <f>+Harvest!N30/Effort!N30</f>
        <v>2.0571428571428574</v>
      </c>
      <c r="O30" s="23">
        <f>Harvest!O30/Effort!O30</f>
        <v>13.400322850077155</v>
      </c>
    </row>
    <row r="31" spans="1:15" x14ac:dyDescent="0.25">
      <c r="A31" s="71"/>
      <c r="B31" s="83"/>
      <c r="C31" s="80"/>
      <c r="D31" s="77"/>
      <c r="F31" s="13"/>
      <c r="H31" s="13"/>
      <c r="J31" s="12"/>
      <c r="K31" s="79"/>
      <c r="L31" s="12"/>
      <c r="M31" s="79"/>
      <c r="N31" s="12"/>
      <c r="O31" s="23"/>
    </row>
    <row r="32" spans="1:15" x14ac:dyDescent="0.25">
      <c r="A32" s="71">
        <v>40621</v>
      </c>
      <c r="B32" s="6">
        <f t="shared" ref="B32:B35" si="7">+A32</f>
        <v>40621</v>
      </c>
      <c r="C32" s="80">
        <v>-0.1</v>
      </c>
      <c r="D32" s="77">
        <v>0.7944444444444444</v>
      </c>
      <c r="E32" s="76"/>
      <c r="F32" s="13">
        <f>+Harvest!F32/Effort!F32</f>
        <v>10.950600801068092</v>
      </c>
      <c r="G32" s="2"/>
      <c r="H32" s="13">
        <f>+Harvest!H32/Effort!H32</f>
        <v>5.4860736747529204</v>
      </c>
      <c r="I32" s="79"/>
      <c r="J32" s="13">
        <f>+Harvest!J32/Effort!J32</f>
        <v>12.39529757531227</v>
      </c>
      <c r="K32" s="79"/>
      <c r="L32" s="13">
        <f>+Harvest!L32/Effort!L32</f>
        <v>10.984815618221258</v>
      </c>
      <c r="M32" s="79"/>
      <c r="N32" s="12" t="s">
        <v>22</v>
      </c>
      <c r="O32" s="23">
        <f>Harvest!O32/Effort!O32</f>
        <v>10.57270139834179</v>
      </c>
    </row>
    <row r="33" spans="1:15" x14ac:dyDescent="0.25">
      <c r="A33" s="71">
        <v>40622</v>
      </c>
      <c r="B33" s="6">
        <f t="shared" si="7"/>
        <v>40622</v>
      </c>
      <c r="C33" s="76">
        <v>-0.5</v>
      </c>
      <c r="D33" s="77">
        <v>0.31666666666666665</v>
      </c>
      <c r="E33" s="76"/>
      <c r="F33" s="13">
        <f>+Harvest!F33/Effort!F33</f>
        <v>14.624703087885985</v>
      </c>
      <c r="G33" s="82"/>
      <c r="H33" s="13">
        <f>+Harvest!H33/Effort!H33</f>
        <v>14.032280219780219</v>
      </c>
      <c r="I33" s="82"/>
      <c r="J33" s="13">
        <f>+Harvest!J33/Effort!J33</f>
        <v>14.327380952380953</v>
      </c>
      <c r="K33" s="79"/>
      <c r="L33" s="13">
        <f>+Harvest!L33/Effort!L33</f>
        <v>14.910951327433628</v>
      </c>
      <c r="M33" s="82"/>
      <c r="N33" s="12" t="s">
        <v>22</v>
      </c>
      <c r="O33" s="23">
        <f>Harvest!O33/Effort!O33</f>
        <v>14.455125478519779</v>
      </c>
    </row>
    <row r="34" spans="1:15" x14ac:dyDescent="0.25">
      <c r="A34" s="71">
        <v>40623</v>
      </c>
      <c r="B34" s="6">
        <f t="shared" si="7"/>
        <v>40623</v>
      </c>
      <c r="C34" s="76">
        <v>-0.9</v>
      </c>
      <c r="D34" s="77">
        <v>0.34930555555555554</v>
      </c>
      <c r="E34" s="76"/>
      <c r="F34" s="13">
        <f>+Harvest!F34/Effort!F34</f>
        <v>13.500577145055791</v>
      </c>
      <c r="G34" s="82"/>
      <c r="H34" s="13">
        <f>+Harvest!H34/Effort!H34</f>
        <v>7.5663140764849475</v>
      </c>
      <c r="I34" s="82"/>
      <c r="J34" s="12" t="s">
        <v>22</v>
      </c>
      <c r="K34" s="79"/>
      <c r="L34" s="12" t="s">
        <v>22</v>
      </c>
      <c r="M34" s="79"/>
      <c r="N34" s="12" t="s">
        <v>22</v>
      </c>
      <c r="O34" s="23">
        <f>Harvest!O34/Effort!O34</f>
        <v>11.595350052246603</v>
      </c>
    </row>
    <row r="35" spans="1:15" x14ac:dyDescent="0.25">
      <c r="A35" s="71">
        <v>40624</v>
      </c>
      <c r="B35" s="6">
        <f t="shared" si="7"/>
        <v>40624</v>
      </c>
      <c r="C35" s="80">
        <v>-1</v>
      </c>
      <c r="D35" s="77">
        <v>0.3833333333333333</v>
      </c>
      <c r="E35" s="76"/>
      <c r="F35" s="13">
        <f>+Harvest!F35/Effort!F35</f>
        <v>15</v>
      </c>
      <c r="G35" s="82"/>
      <c r="H35" s="13">
        <f>+Harvest!H35/Effort!H35</f>
        <v>13.03448275862069</v>
      </c>
      <c r="I35" s="82"/>
      <c r="J35" s="12" t="s">
        <v>22</v>
      </c>
      <c r="K35" s="79"/>
      <c r="L35" s="12" t="s">
        <v>22</v>
      </c>
      <c r="M35" s="79"/>
      <c r="N35" s="12" t="s">
        <v>22</v>
      </c>
      <c r="O35" s="23">
        <f>Harvest!O35/Effort!O35</f>
        <v>14.419551934826885</v>
      </c>
    </row>
    <row r="36" spans="1:15" x14ac:dyDescent="0.25">
      <c r="A36" s="71"/>
      <c r="B36" s="83"/>
      <c r="C36" s="76"/>
      <c r="D36" s="77"/>
      <c r="F36" s="13"/>
      <c r="H36" s="13"/>
      <c r="J36" s="12"/>
      <c r="K36" s="79"/>
      <c r="L36" s="12"/>
      <c r="M36" s="79"/>
      <c r="N36" s="13"/>
      <c r="O36" s="23"/>
    </row>
    <row r="37" spans="1:15" x14ac:dyDescent="0.25">
      <c r="A37" s="71">
        <v>40640</v>
      </c>
      <c r="B37" s="6">
        <f t="shared" ref="B37:B39" si="8">+A37</f>
        <v>40640</v>
      </c>
      <c r="C37" s="80">
        <v>0.1</v>
      </c>
      <c r="D37" s="77">
        <v>0.40069444444444446</v>
      </c>
      <c r="E37" s="76"/>
      <c r="F37" s="13">
        <f>+Harvest!F37/Effort!F37</f>
        <v>12.15</v>
      </c>
      <c r="G37" s="82"/>
      <c r="H37" s="13">
        <f>+Harvest!H37/Effort!H37</f>
        <v>13.846662657847263</v>
      </c>
      <c r="I37" s="82"/>
      <c r="J37" s="12" t="s">
        <v>22</v>
      </c>
      <c r="K37" s="79"/>
      <c r="L37" s="12" t="s">
        <v>22</v>
      </c>
      <c r="M37" s="79"/>
      <c r="N37" s="12" t="s">
        <v>22</v>
      </c>
      <c r="O37" s="23">
        <f>Harvest!O37/Effort!O37</f>
        <v>12.824527850824767</v>
      </c>
    </row>
    <row r="38" spans="1:15" x14ac:dyDescent="0.25">
      <c r="A38" s="71">
        <v>40641</v>
      </c>
      <c r="B38" s="6">
        <f t="shared" si="8"/>
        <v>40641</v>
      </c>
      <c r="C38" s="80">
        <v>0.2</v>
      </c>
      <c r="D38" s="77">
        <v>0.42986111111111108</v>
      </c>
      <c r="E38" s="76"/>
      <c r="F38" s="13">
        <f>+Harvest!F38/Effort!F38</f>
        <v>11.632156488549619</v>
      </c>
      <c r="G38" s="82"/>
      <c r="H38" s="13">
        <f>+Harvest!H38/Effort!H38</f>
        <v>8</v>
      </c>
      <c r="I38" s="82"/>
      <c r="J38" s="12" t="s">
        <v>22</v>
      </c>
      <c r="K38" s="79"/>
      <c r="L38" s="12" t="s">
        <v>22</v>
      </c>
      <c r="M38" s="79"/>
      <c r="N38" s="12" t="s">
        <v>22</v>
      </c>
      <c r="O38" s="23">
        <f>Harvest!O38/Effort!O38</f>
        <v>9.9802314995448036</v>
      </c>
    </row>
    <row r="39" spans="1:15" x14ac:dyDescent="0.25">
      <c r="A39" s="71">
        <v>40642</v>
      </c>
      <c r="B39" s="6">
        <f t="shared" si="8"/>
        <v>40642</v>
      </c>
      <c r="C39" s="80">
        <v>0.4</v>
      </c>
      <c r="D39" s="77">
        <v>0.46319444444444446</v>
      </c>
      <c r="E39" s="76"/>
      <c r="F39" s="13">
        <f>+Harvest!F39/Effort!F39</f>
        <v>12.333273478182798</v>
      </c>
      <c r="G39" s="82"/>
      <c r="H39" s="13">
        <f>+Harvest!H39/Effort!H39</f>
        <v>10.894597202122528</v>
      </c>
      <c r="I39" s="82"/>
      <c r="J39" s="12" t="s">
        <v>22</v>
      </c>
      <c r="K39" s="79"/>
      <c r="L39" s="12" t="s">
        <v>22</v>
      </c>
      <c r="M39" s="79"/>
      <c r="N39" s="12" t="s">
        <v>22</v>
      </c>
      <c r="O39" s="23">
        <f>Harvest!O39/Effort!O39</f>
        <v>11.719300051466805</v>
      </c>
    </row>
    <row r="40" spans="1:15" x14ac:dyDescent="0.25">
      <c r="A40" s="71"/>
      <c r="B40" s="83"/>
      <c r="C40" s="76"/>
      <c r="D40" s="77"/>
      <c r="F40" s="13"/>
      <c r="H40" s="13"/>
      <c r="J40" s="12"/>
      <c r="K40" s="82"/>
      <c r="L40" s="12"/>
      <c r="M40" s="82"/>
      <c r="N40" s="12"/>
      <c r="O40" s="23"/>
    </row>
    <row r="41" spans="1:15" x14ac:dyDescent="0.25">
      <c r="A41" s="71">
        <v>40652</v>
      </c>
      <c r="B41" s="6">
        <f t="shared" ref="B41:B45" si="9">+A41</f>
        <v>40652</v>
      </c>
      <c r="C41" s="76">
        <v>-1.8</v>
      </c>
      <c r="D41" s="77">
        <v>0.33819444444444446</v>
      </c>
      <c r="F41" s="13">
        <f>+Harvest!F41/Effort!F41</f>
        <v>15.053497942386832</v>
      </c>
      <c r="G41" s="82"/>
      <c r="H41" s="13">
        <f>+Harvest!H41/Effort!H41</f>
        <v>15</v>
      </c>
      <c r="J41" s="12" t="s">
        <v>22</v>
      </c>
      <c r="K41" s="82"/>
      <c r="L41" s="12" t="s">
        <v>22</v>
      </c>
      <c r="M41" s="82"/>
      <c r="N41" s="12" t="s">
        <v>22</v>
      </c>
      <c r="O41" s="23">
        <f>Harvest!O41/Effort!O41</f>
        <v>15.030778336786032</v>
      </c>
    </row>
    <row r="42" spans="1:15" x14ac:dyDescent="0.25">
      <c r="A42" s="71">
        <v>40653</v>
      </c>
      <c r="B42" s="6">
        <f t="shared" si="9"/>
        <v>40653</v>
      </c>
      <c r="C42" s="76">
        <v>-1.7</v>
      </c>
      <c r="D42" s="77">
        <v>0.37083333333333335</v>
      </c>
      <c r="F42" s="13">
        <f>+Harvest!F42/Effort!F42</f>
        <v>14.979600333055787</v>
      </c>
      <c r="G42" s="82"/>
      <c r="H42" s="13">
        <f>+Harvest!H42/Effort!H42</f>
        <v>15</v>
      </c>
      <c r="J42" s="12" t="s">
        <v>22</v>
      </c>
      <c r="L42" s="12" t="s">
        <v>22</v>
      </c>
      <c r="N42" s="12" t="s">
        <v>22</v>
      </c>
      <c r="O42" s="23">
        <f>Harvest!O42/Effort!O42</f>
        <v>14.985685071574641</v>
      </c>
    </row>
    <row r="43" spans="1:15" x14ac:dyDescent="0.25">
      <c r="A43" s="71">
        <v>40654</v>
      </c>
      <c r="B43" s="6">
        <f t="shared" si="9"/>
        <v>40654</v>
      </c>
      <c r="C43" s="76">
        <v>-1.4</v>
      </c>
      <c r="D43" s="77">
        <v>0.40486111111111112</v>
      </c>
      <c r="F43" s="13">
        <f>+Harvest!F43/Effort!F43</f>
        <v>15</v>
      </c>
      <c r="G43" s="82"/>
      <c r="H43" s="13">
        <f>+Harvest!H43/Effort!H43</f>
        <v>15</v>
      </c>
      <c r="J43" s="13">
        <f>+Harvest!J43/Effort!J43</f>
        <v>15.029634507737899</v>
      </c>
      <c r="K43" s="79"/>
      <c r="L43" s="13">
        <f>+Harvest!L43/Effort!L43</f>
        <v>15.001452432824982</v>
      </c>
      <c r="N43" s="12" t="s">
        <v>22</v>
      </c>
      <c r="O43" s="23">
        <f>Harvest!O43/Effort!O43</f>
        <v>15.012279765082756</v>
      </c>
    </row>
    <row r="44" spans="1:15" x14ac:dyDescent="0.25">
      <c r="A44" s="71">
        <v>40655</v>
      </c>
      <c r="B44" s="6">
        <f t="shared" si="9"/>
        <v>40655</v>
      </c>
      <c r="C44" s="76">
        <v>-0.8</v>
      </c>
      <c r="D44" s="77">
        <v>0.43958333333333338</v>
      </c>
      <c r="F44" s="13">
        <f>+Harvest!F44/Effort!F44</f>
        <v>15</v>
      </c>
      <c r="G44" s="117" t="s">
        <v>40</v>
      </c>
      <c r="H44" s="13">
        <f>+Harvest!H44/Effort!H44</f>
        <v>14.533134002719033</v>
      </c>
      <c r="J44" s="13">
        <f>+Harvest!J44/Effort!J44</f>
        <v>14.527429685324423</v>
      </c>
      <c r="K44" s="79"/>
      <c r="L44" s="13">
        <f>+Harvest!L44/Effort!L44</f>
        <v>15.001050972149239</v>
      </c>
      <c r="N44" s="12" t="s">
        <v>22</v>
      </c>
      <c r="O44" s="23">
        <f>Harvest!O44/Effort!O44</f>
        <v>14.748858332992214</v>
      </c>
    </row>
    <row r="45" spans="1:15" x14ac:dyDescent="0.25">
      <c r="A45" s="71">
        <v>40656</v>
      </c>
      <c r="B45" s="6">
        <f t="shared" si="9"/>
        <v>40656</v>
      </c>
      <c r="C45" s="76">
        <v>-0.2</v>
      </c>
      <c r="D45" s="77">
        <v>0.4770833333333333</v>
      </c>
      <c r="F45" s="13">
        <f>+Harvest!F45/Effort!F45</f>
        <v>15</v>
      </c>
      <c r="G45" s="82"/>
      <c r="H45" s="13">
        <f>+Harvest!H45/Effort!H45</f>
        <v>14.691978609625668</v>
      </c>
      <c r="J45" s="13">
        <f>+Harvest!J45/Effort!J45</f>
        <v>14.897302613093565</v>
      </c>
      <c r="K45" s="79"/>
      <c r="L45" s="13">
        <f>+Harvest!L45/Effort!L45</f>
        <v>15.010912397696272</v>
      </c>
      <c r="N45" s="12" t="s">
        <v>22</v>
      </c>
      <c r="O45" s="23">
        <f>Harvest!O45/Effort!O45</f>
        <v>14.917031137802729</v>
      </c>
    </row>
    <row r="46" spans="1:15" x14ac:dyDescent="0.25">
      <c r="A46" s="71"/>
      <c r="B46" s="6"/>
      <c r="C46" s="76"/>
      <c r="D46" s="77"/>
      <c r="F46" s="13"/>
      <c r="G46" s="82"/>
      <c r="H46" s="13"/>
      <c r="J46" s="13"/>
      <c r="K46" s="79"/>
      <c r="L46" s="13"/>
      <c r="N46" s="12"/>
      <c r="O46" s="23"/>
    </row>
    <row r="47" spans="1:15" x14ac:dyDescent="0.25">
      <c r="A47" s="71">
        <v>40666</v>
      </c>
      <c r="B47" s="6">
        <f t="shared" ref="B47:B52" si="10">+A47</f>
        <v>40666</v>
      </c>
      <c r="C47" s="76">
        <v>-0.6</v>
      </c>
      <c r="D47" s="77">
        <v>0.31180555555555556</v>
      </c>
      <c r="F47" s="13">
        <f>+Harvest!F47/Effort!F47</f>
        <v>15</v>
      </c>
      <c r="G47" s="82"/>
      <c r="H47" s="13">
        <f>+Harvest!H47/Effort!H47</f>
        <v>15</v>
      </c>
      <c r="J47" s="12" t="s">
        <v>22</v>
      </c>
      <c r="K47" s="82"/>
      <c r="L47" s="12" t="s">
        <v>22</v>
      </c>
      <c r="M47" s="82"/>
      <c r="N47" s="12" t="s">
        <v>22</v>
      </c>
      <c r="O47" s="23">
        <f>Harvest!O47/Effort!O47</f>
        <v>15</v>
      </c>
    </row>
    <row r="48" spans="1:15" x14ac:dyDescent="0.25">
      <c r="A48" s="71">
        <v>40667</v>
      </c>
      <c r="B48" s="6">
        <f t="shared" si="10"/>
        <v>40667</v>
      </c>
      <c r="C48" s="76">
        <v>-0.8</v>
      </c>
      <c r="D48" s="77">
        <v>0.33611111111111108</v>
      </c>
      <c r="F48" s="13">
        <f>+Harvest!F48/Effort!F48</f>
        <v>15</v>
      </c>
      <c r="G48" s="82"/>
      <c r="H48" s="13">
        <f>+Harvest!H48/Effort!H48</f>
        <v>15</v>
      </c>
      <c r="J48" s="12" t="s">
        <v>22</v>
      </c>
      <c r="K48" s="82"/>
      <c r="L48" s="12" t="s">
        <v>22</v>
      </c>
      <c r="M48" s="82"/>
      <c r="N48" s="12" t="s">
        <v>22</v>
      </c>
      <c r="O48" s="23">
        <f>Harvest!O48/Effort!O48</f>
        <v>15</v>
      </c>
    </row>
    <row r="49" spans="1:15" x14ac:dyDescent="0.25">
      <c r="A49" s="71">
        <v>40668</v>
      </c>
      <c r="B49" s="6">
        <f t="shared" si="10"/>
        <v>40668</v>
      </c>
      <c r="C49" s="76">
        <v>-0.8</v>
      </c>
      <c r="D49" s="77">
        <v>0.3611111111111111</v>
      </c>
      <c r="F49" s="13">
        <f>+Harvest!F49/Effort!F49</f>
        <v>15</v>
      </c>
      <c r="G49" s="82"/>
      <c r="H49" s="13">
        <f>+Harvest!H49/Effort!H49</f>
        <v>15</v>
      </c>
      <c r="J49" s="12" t="s">
        <v>22</v>
      </c>
      <c r="K49" s="82"/>
      <c r="L49" s="12" t="s">
        <v>22</v>
      </c>
      <c r="M49" s="82"/>
      <c r="N49" s="12" t="s">
        <v>22</v>
      </c>
      <c r="O49" s="23">
        <f>Harvest!O49/Effort!O49</f>
        <v>15</v>
      </c>
    </row>
    <row r="50" spans="1:15" x14ac:dyDescent="0.25">
      <c r="A50" s="71">
        <v>40669</v>
      </c>
      <c r="B50" s="6">
        <f t="shared" si="10"/>
        <v>40669</v>
      </c>
      <c r="C50" s="76">
        <v>-0.8</v>
      </c>
      <c r="D50" s="77">
        <v>0.38750000000000001</v>
      </c>
      <c r="F50" s="13">
        <f>+Harvest!F50/Effort!F50</f>
        <v>14.559088182363528</v>
      </c>
      <c r="G50" s="82"/>
      <c r="H50" s="13">
        <f>+Harvest!H50/Effort!H50</f>
        <v>15</v>
      </c>
      <c r="J50" s="12" t="s">
        <v>22</v>
      </c>
      <c r="K50" s="82"/>
      <c r="L50" s="12" t="s">
        <v>22</v>
      </c>
      <c r="M50" s="82"/>
      <c r="N50" s="12" t="s">
        <v>22</v>
      </c>
      <c r="O50" s="23">
        <f>Harvest!O50/Effort!O50</f>
        <v>14.71785028790787</v>
      </c>
    </row>
    <row r="51" spans="1:15" x14ac:dyDescent="0.25">
      <c r="A51" s="71">
        <v>40670</v>
      </c>
      <c r="B51" s="6">
        <f t="shared" si="10"/>
        <v>40670</v>
      </c>
      <c r="C51" s="76">
        <v>-0.6</v>
      </c>
      <c r="D51" s="77">
        <v>0.41666666666666669</v>
      </c>
      <c r="F51" s="13">
        <f>+Harvest!F51/Effort!F51</f>
        <v>15</v>
      </c>
      <c r="G51" s="82"/>
      <c r="H51" s="13">
        <f>+Harvest!H51/Effort!H51</f>
        <v>14.36259977194983</v>
      </c>
      <c r="J51" s="12" t="s">
        <v>22</v>
      </c>
      <c r="K51" s="82"/>
      <c r="L51" s="13">
        <f>+Harvest!L51/Effort!L51</f>
        <v>14.390022675736962</v>
      </c>
      <c r="M51" s="82"/>
      <c r="N51" s="12" t="s">
        <v>22</v>
      </c>
      <c r="O51" s="23">
        <f>Harvest!O51/Effort!O51</f>
        <v>14.616051623311151</v>
      </c>
    </row>
    <row r="52" spans="1:15" x14ac:dyDescent="0.25">
      <c r="A52" s="71">
        <v>40671</v>
      </c>
      <c r="B52" s="6">
        <f t="shared" si="10"/>
        <v>40671</v>
      </c>
      <c r="C52" s="76">
        <v>-0.4</v>
      </c>
      <c r="D52" s="77">
        <v>0.44861111111111113</v>
      </c>
      <c r="F52" s="13">
        <f>+Harvest!F52/Effort!F52</f>
        <v>15</v>
      </c>
      <c r="G52" s="82"/>
      <c r="H52" s="13">
        <f>+Harvest!H52/Effort!H52</f>
        <v>14.402083333333334</v>
      </c>
      <c r="J52" s="12" t="s">
        <v>22</v>
      </c>
      <c r="K52" s="82"/>
      <c r="L52" s="13">
        <f>+Harvest!L52/Effort!L52</f>
        <v>14.996503496503497</v>
      </c>
      <c r="M52" s="82"/>
      <c r="N52" s="12" t="s">
        <v>22</v>
      </c>
      <c r="O52" s="23">
        <f>Harvest!O52/Effort!O52</f>
        <v>14.857841937851726</v>
      </c>
    </row>
    <row r="53" spans="1:15" x14ac:dyDescent="0.25">
      <c r="A53" s="71"/>
      <c r="B53" s="6"/>
      <c r="C53" s="76"/>
      <c r="D53" s="77"/>
      <c r="F53" s="13"/>
      <c r="G53" s="82"/>
      <c r="H53" s="13"/>
      <c r="J53" s="12"/>
      <c r="K53" s="82"/>
      <c r="L53" s="13"/>
      <c r="M53" s="82"/>
      <c r="N53" s="12"/>
      <c r="O53" s="23"/>
    </row>
    <row r="54" spans="1:15" x14ac:dyDescent="0.25">
      <c r="A54" s="71">
        <v>40681</v>
      </c>
      <c r="B54" s="6">
        <f t="shared" ref="B54:B58" si="11">+A54</f>
        <v>40681</v>
      </c>
      <c r="C54" s="76">
        <v>-2.2000000000000002</v>
      </c>
      <c r="D54" s="77">
        <v>0.32777777777777778</v>
      </c>
      <c r="F54" s="12" t="s">
        <v>22</v>
      </c>
      <c r="G54" s="82"/>
      <c r="H54" s="13">
        <f>+Harvest!H54/Effort!H54</f>
        <v>15.003428571428572</v>
      </c>
      <c r="J54" s="12" t="s">
        <v>22</v>
      </c>
      <c r="K54" s="82"/>
      <c r="L54" s="12" t="s">
        <v>22</v>
      </c>
      <c r="M54" s="82"/>
      <c r="N54" s="12" t="s">
        <v>22</v>
      </c>
      <c r="O54" s="23">
        <f>Harvest!O54/Effort!O54</f>
        <v>15.003428571428572</v>
      </c>
    </row>
    <row r="55" spans="1:15" x14ac:dyDescent="0.25">
      <c r="A55" s="71">
        <v>40682</v>
      </c>
      <c r="B55" s="6">
        <f t="shared" si="11"/>
        <v>40682</v>
      </c>
      <c r="C55" s="80">
        <v>-2</v>
      </c>
      <c r="D55" s="77">
        <v>0.35972222222222222</v>
      </c>
      <c r="F55" s="12" t="s">
        <v>22</v>
      </c>
      <c r="G55" s="82"/>
      <c r="H55" s="13">
        <f>+Harvest!H55/Effort!H55</f>
        <v>14.994194484760522</v>
      </c>
      <c r="J55" s="12" t="s">
        <v>22</v>
      </c>
      <c r="K55" s="82"/>
      <c r="L55" s="12" t="s">
        <v>22</v>
      </c>
      <c r="M55" s="82"/>
      <c r="N55" s="12" t="s">
        <v>22</v>
      </c>
      <c r="O55" s="23">
        <f>Harvest!O55/Effort!O55</f>
        <v>14.994194484760522</v>
      </c>
    </row>
    <row r="56" spans="1:15" x14ac:dyDescent="0.25">
      <c r="A56" s="71">
        <v>40683</v>
      </c>
      <c r="B56" s="6">
        <f t="shared" si="11"/>
        <v>40683</v>
      </c>
      <c r="C56" s="76">
        <v>-1.7</v>
      </c>
      <c r="D56" s="77">
        <v>0.39097222222222222</v>
      </c>
      <c r="F56" s="12" t="s">
        <v>22</v>
      </c>
      <c r="G56" s="82"/>
      <c r="H56" s="13">
        <f>+Harvest!H56/Effort!H56</f>
        <v>14.940054495912806</v>
      </c>
      <c r="J56" s="12" t="s">
        <v>22</v>
      </c>
      <c r="K56" s="82"/>
      <c r="L56" s="13">
        <f>+Harvest!L56/Effort!L56</f>
        <v>14.963768115942029</v>
      </c>
      <c r="M56" s="82"/>
      <c r="N56" s="12" t="s">
        <v>22</v>
      </c>
      <c r="O56" s="23">
        <f>Harvest!O56/Effort!O56</f>
        <v>14.955159907682162</v>
      </c>
    </row>
    <row r="57" spans="1:15" x14ac:dyDescent="0.25">
      <c r="A57" s="71">
        <v>40684</v>
      </c>
      <c r="B57" s="6">
        <f t="shared" si="11"/>
        <v>40684</v>
      </c>
      <c r="C57" s="76">
        <v>-1.1000000000000001</v>
      </c>
      <c r="D57" s="77">
        <v>0.42291666666666666</v>
      </c>
      <c r="F57" s="13">
        <f>+Harvest!F57/Effort!F57</f>
        <v>15.183389830508474</v>
      </c>
      <c r="G57" s="82"/>
      <c r="H57" s="13">
        <f>+Harvest!H57/Effort!H57</f>
        <v>11.86053412462908</v>
      </c>
      <c r="J57" s="12" t="s">
        <v>22</v>
      </c>
      <c r="K57" s="82"/>
      <c r="L57" s="13">
        <f>+Harvest!L57/Effort!L57</f>
        <v>14.742711576563826</v>
      </c>
      <c r="M57" s="82"/>
      <c r="N57" s="12" t="s">
        <v>22</v>
      </c>
      <c r="O57" s="23">
        <f>Harvest!O57/Effort!O57</f>
        <v>14.307296767874632</v>
      </c>
    </row>
    <row r="58" spans="1:15" x14ac:dyDescent="0.25">
      <c r="A58" s="71">
        <v>40685</v>
      </c>
      <c r="B58" s="6">
        <f t="shared" si="11"/>
        <v>40685</v>
      </c>
      <c r="C58" s="76">
        <v>-0.5</v>
      </c>
      <c r="D58" s="77">
        <v>0.45555555555555555</v>
      </c>
      <c r="F58" s="13">
        <f>+Harvest!F58/Effort!F58</f>
        <v>14.965942264028543</v>
      </c>
      <c r="G58" s="82"/>
      <c r="H58" s="13">
        <f>+Harvest!H58/Effort!H58</f>
        <v>11.181887950882579</v>
      </c>
      <c r="J58" s="12" t="s">
        <v>22</v>
      </c>
      <c r="K58" s="82"/>
      <c r="L58" s="13">
        <f>+Harvest!L58/Effort!L58</f>
        <v>15.0008</v>
      </c>
      <c r="M58" s="82"/>
      <c r="N58" s="12" t="s">
        <v>22</v>
      </c>
      <c r="O58" s="23">
        <f>Harvest!O58/Effort!O58</f>
        <v>14.262561719430728</v>
      </c>
    </row>
    <row r="59" spans="1:15" x14ac:dyDescent="0.25">
      <c r="A59" s="71"/>
      <c r="B59" s="83"/>
      <c r="C59" s="76"/>
      <c r="D59" s="77"/>
      <c r="F59" s="13"/>
      <c r="H59" s="13"/>
      <c r="J59" s="12"/>
      <c r="L59" s="12"/>
      <c r="N59" s="12"/>
      <c r="O59" s="23"/>
    </row>
    <row r="61" spans="1:15" x14ac:dyDescent="0.25">
      <c r="A61" s="25" t="s">
        <v>48</v>
      </c>
      <c r="F61" s="61">
        <f>Harvest!F61/Effort!F61</f>
        <v>13.301020820045775</v>
      </c>
      <c r="H61" s="61">
        <f>Harvest!H61/Effort!H61</f>
        <v>11.968609558336246</v>
      </c>
      <c r="J61" s="61">
        <f>Harvest!J61/Effort!J61</f>
        <v>13.197510972831823</v>
      </c>
      <c r="L61" s="61">
        <f>Harvest!L61/Effort!L61</f>
        <v>13.787570108874959</v>
      </c>
      <c r="N61" s="61">
        <f>Harvest!N61/Effort!N61</f>
        <v>6.9026298240627186</v>
      </c>
      <c r="O61" s="61"/>
    </row>
    <row r="62" spans="1:15" x14ac:dyDescent="0.25">
      <c r="A62" s="24" t="s">
        <v>47</v>
      </c>
    </row>
  </sheetData>
  <mergeCells count="5">
    <mergeCell ref="E1:F1"/>
    <mergeCell ref="G1:H1"/>
    <mergeCell ref="I1:J1"/>
    <mergeCell ref="K1:L1"/>
    <mergeCell ref="M1:N1"/>
  </mergeCells>
  <pageMargins left="0.2" right="0.37" top="0.75" bottom="0.5" header="0.2" footer="0.25"/>
  <pageSetup scale="73" orientation="landscape" r:id="rId1"/>
  <headerFooter>
    <oddHeader>&amp;L&amp;12 2010 Fall / 2011 Spring Razor Clam Harvest Totals
&amp;"-,Italic"(Clams per Digger Trip)&amp;C&amp;12Non-Indian fishery&amp;R&amp;12&amp;KFF0000PRELIMINARY ESTIMATE</oddHeader>
    <oddFooter>&amp;LPage 2 of 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2"/>
  <sheetViews>
    <sheetView topLeftCell="A44" workbookViewId="0">
      <selection activeCell="L81" sqref="L81"/>
    </sheetView>
  </sheetViews>
  <sheetFormatPr defaultRowHeight="15" x14ac:dyDescent="0.25"/>
  <cols>
    <col min="1" max="1" width="17.7109375" customWidth="1"/>
    <col min="2" max="2" width="5.42578125" customWidth="1"/>
    <col min="3" max="3" width="7.7109375" style="1" customWidth="1"/>
    <col min="4" max="4" width="9.140625" style="1"/>
    <col min="5" max="5" width="3.7109375" style="1" customWidth="1"/>
    <col min="6" max="6" width="12.7109375" customWidth="1"/>
    <col min="7" max="7" width="3.7109375" customWidth="1"/>
    <col min="8" max="8" width="12.7109375" customWidth="1"/>
    <col min="9" max="9" width="3.7109375" customWidth="1"/>
    <col min="10" max="10" width="12.7109375" customWidth="1"/>
    <col min="11" max="11" width="3.7109375" customWidth="1"/>
    <col min="12" max="12" width="12.7109375" customWidth="1"/>
    <col min="13" max="13" width="3.7109375" customWidth="1"/>
    <col min="14" max="14" width="12.7109375" customWidth="1"/>
    <col min="15" max="15" width="13.42578125" customWidth="1"/>
  </cols>
  <sheetData>
    <row r="1" spans="1:17" x14ac:dyDescent="0.25">
      <c r="A1" s="18" t="s">
        <v>8</v>
      </c>
      <c r="B1" s="18" t="s">
        <v>5</v>
      </c>
      <c r="C1" s="18" t="s">
        <v>6</v>
      </c>
      <c r="D1" s="18" t="s">
        <v>7</v>
      </c>
      <c r="E1" s="248" t="s">
        <v>0</v>
      </c>
      <c r="F1" s="248"/>
      <c r="G1" s="248" t="s">
        <v>1</v>
      </c>
      <c r="H1" s="248"/>
      <c r="I1" s="248" t="s">
        <v>2</v>
      </c>
      <c r="J1" s="248"/>
      <c r="K1" s="248" t="s">
        <v>3</v>
      </c>
      <c r="L1" s="248"/>
      <c r="M1" s="248" t="s">
        <v>4</v>
      </c>
      <c r="N1" s="248"/>
      <c r="O1" s="21" t="s">
        <v>41</v>
      </c>
    </row>
    <row r="2" spans="1:17" x14ac:dyDescent="0.25">
      <c r="A2" s="5">
        <v>40458</v>
      </c>
      <c r="B2" s="6">
        <f>+A2</f>
        <v>40458</v>
      </c>
      <c r="C2" s="116">
        <v>-1</v>
      </c>
      <c r="D2" s="7">
        <v>0.78819444444444453</v>
      </c>
      <c r="E2" s="11"/>
      <c r="F2" s="12" t="s">
        <v>22</v>
      </c>
      <c r="G2" s="9"/>
      <c r="H2" s="107">
        <v>2783</v>
      </c>
      <c r="I2" s="9"/>
      <c r="J2" s="12" t="s">
        <v>22</v>
      </c>
      <c r="K2" s="10"/>
      <c r="L2" s="12" t="s">
        <v>22</v>
      </c>
      <c r="M2" s="8"/>
      <c r="N2" s="237" t="s">
        <v>22</v>
      </c>
      <c r="O2" s="22">
        <f>+H2</f>
        <v>2783</v>
      </c>
    </row>
    <row r="3" spans="1:17" x14ac:dyDescent="0.25">
      <c r="A3" s="5">
        <v>40459</v>
      </c>
      <c r="B3" s="6">
        <f t="shared" ref="B3:B5" si="0">+A3</f>
        <v>40459</v>
      </c>
      <c r="C3" s="20">
        <v>-1.4</v>
      </c>
      <c r="D3" s="19">
        <v>0.8208333333333333</v>
      </c>
      <c r="E3" s="3"/>
      <c r="F3" s="107">
        <v>3775</v>
      </c>
      <c r="G3" s="107"/>
      <c r="H3" s="107">
        <v>1819</v>
      </c>
      <c r="I3" s="107"/>
      <c r="J3" s="107">
        <v>3990</v>
      </c>
      <c r="K3" s="107"/>
      <c r="L3" s="107">
        <v>2024</v>
      </c>
      <c r="M3" s="107"/>
      <c r="N3" s="238">
        <v>231.69615007554546</v>
      </c>
      <c r="O3" s="22">
        <f>+F3+H3+J3+L3+N3</f>
        <v>11839.696150075546</v>
      </c>
    </row>
    <row r="4" spans="1:17" x14ac:dyDescent="0.25">
      <c r="A4" s="5">
        <v>40460</v>
      </c>
      <c r="B4" s="6">
        <f t="shared" si="0"/>
        <v>40460</v>
      </c>
      <c r="C4" s="20">
        <v>-1.5</v>
      </c>
      <c r="D4" s="19">
        <v>0.85277777777777775</v>
      </c>
      <c r="E4" s="117" t="s">
        <v>40</v>
      </c>
      <c r="F4" s="107">
        <f>+(J4+L4)*F3/(J3+L3)</f>
        <v>2601.8249085467241</v>
      </c>
      <c r="G4" s="117" t="s">
        <v>40</v>
      </c>
      <c r="H4" s="107">
        <f>+(J4+L4)*H3/(J3+L3)</f>
        <v>1253.7005320917858</v>
      </c>
      <c r="I4" s="107"/>
      <c r="J4" s="107">
        <v>2461</v>
      </c>
      <c r="K4" s="107"/>
      <c r="L4" s="107">
        <v>1684</v>
      </c>
      <c r="M4" s="107"/>
      <c r="N4" s="238">
        <v>164.26082600882043</v>
      </c>
      <c r="O4" s="22">
        <f>+F4+H4+J4+L4+N4</f>
        <v>8164.7862666473302</v>
      </c>
    </row>
    <row r="5" spans="1:17" x14ac:dyDescent="0.25">
      <c r="A5" s="5">
        <v>40461</v>
      </c>
      <c r="B5" s="6">
        <f t="shared" si="0"/>
        <v>40461</v>
      </c>
      <c r="C5" s="20">
        <v>-1.3</v>
      </c>
      <c r="D5" s="19">
        <v>0.88541666666666663</v>
      </c>
      <c r="E5" s="4"/>
      <c r="F5" s="12" t="s">
        <v>22</v>
      </c>
      <c r="G5" s="2"/>
      <c r="H5" s="107">
        <v>1055</v>
      </c>
      <c r="I5" s="2"/>
      <c r="J5" s="12" t="s">
        <v>22</v>
      </c>
      <c r="K5" s="2"/>
      <c r="L5" s="12" t="s">
        <v>22</v>
      </c>
      <c r="M5" s="2"/>
      <c r="N5" s="237" t="s">
        <v>22</v>
      </c>
      <c r="O5" s="22">
        <f>+H5</f>
        <v>1055</v>
      </c>
      <c r="Q5" s="22"/>
    </row>
    <row r="6" spans="1:17" x14ac:dyDescent="0.25">
      <c r="E6" s="3"/>
      <c r="F6" s="12"/>
      <c r="G6" s="2"/>
      <c r="H6" s="12"/>
      <c r="I6" s="2"/>
      <c r="J6" s="12"/>
      <c r="K6" s="2"/>
      <c r="L6" s="12"/>
      <c r="M6" s="2"/>
      <c r="N6" s="237"/>
    </row>
    <row r="7" spans="1:17" x14ac:dyDescent="0.25">
      <c r="A7" s="71">
        <v>40487</v>
      </c>
      <c r="B7" s="6">
        <f t="shared" ref="B7:B10" si="1">+A7</f>
        <v>40487</v>
      </c>
      <c r="C7" s="76">
        <v>-1.4</v>
      </c>
      <c r="D7" s="77">
        <v>0.77847222222222223</v>
      </c>
      <c r="E7" s="3"/>
      <c r="F7" s="12">
        <v>2484</v>
      </c>
      <c r="G7" s="117" t="s">
        <v>40</v>
      </c>
      <c r="H7" s="12">
        <f>(J7+L7)*H8/(J8+L8)</f>
        <v>1472.7286403085825</v>
      </c>
      <c r="I7" s="2"/>
      <c r="J7" s="12">
        <v>4113</v>
      </c>
      <c r="K7" s="2"/>
      <c r="L7" s="12">
        <v>1933</v>
      </c>
      <c r="M7" s="2"/>
      <c r="N7" s="237">
        <v>285.09220765050122</v>
      </c>
      <c r="O7" s="22">
        <f t="shared" ref="O7:O8" si="2">+F7+H7+J7+L7+N7</f>
        <v>10287.820847959083</v>
      </c>
    </row>
    <row r="8" spans="1:17" x14ac:dyDescent="0.25">
      <c r="A8" s="71">
        <v>40488</v>
      </c>
      <c r="B8" s="6">
        <f t="shared" si="1"/>
        <v>40488</v>
      </c>
      <c r="C8" s="76">
        <v>-1.6</v>
      </c>
      <c r="D8" s="77">
        <v>0.80972222222222223</v>
      </c>
      <c r="E8" s="117" t="s">
        <v>40</v>
      </c>
      <c r="F8" s="12">
        <f>(J8+L8)*F7/(J7+L7)</f>
        <v>2130.2580218326166</v>
      </c>
      <c r="G8" s="2"/>
      <c r="H8" s="12">
        <v>1263</v>
      </c>
      <c r="I8" s="2"/>
      <c r="J8" s="12">
        <v>4062</v>
      </c>
      <c r="K8" s="2"/>
      <c r="L8" s="12">
        <v>1123</v>
      </c>
      <c r="M8" s="2"/>
      <c r="N8" s="237">
        <v>124.28435036963243</v>
      </c>
      <c r="O8" s="22">
        <f t="shared" si="2"/>
        <v>8702.5423722022497</v>
      </c>
    </row>
    <row r="9" spans="1:17" x14ac:dyDescent="0.25">
      <c r="A9" s="71">
        <v>40489</v>
      </c>
      <c r="B9" s="6">
        <f t="shared" si="1"/>
        <v>40489</v>
      </c>
      <c r="C9" s="76">
        <v>-1.5</v>
      </c>
      <c r="D9" s="77">
        <v>0.7993055555555556</v>
      </c>
      <c r="E9" s="2"/>
      <c r="F9" s="12" t="s">
        <v>22</v>
      </c>
      <c r="G9" s="2"/>
      <c r="H9" s="12">
        <v>884</v>
      </c>
      <c r="I9" s="2"/>
      <c r="J9" s="12" t="s">
        <v>22</v>
      </c>
      <c r="K9" s="2"/>
      <c r="L9" s="12" t="s">
        <v>22</v>
      </c>
      <c r="M9" s="2"/>
      <c r="N9" s="237" t="s">
        <v>22</v>
      </c>
      <c r="O9" s="22">
        <f t="shared" ref="O9:O10" si="3">+H9</f>
        <v>884</v>
      </c>
    </row>
    <row r="10" spans="1:17" x14ac:dyDescent="0.25">
      <c r="A10" s="71">
        <v>40490</v>
      </c>
      <c r="B10" s="6">
        <f t="shared" si="1"/>
        <v>40490</v>
      </c>
      <c r="C10" s="76">
        <v>-1.2</v>
      </c>
      <c r="D10" s="77">
        <v>0.82986111111111116</v>
      </c>
      <c r="F10" s="12" t="s">
        <v>22</v>
      </c>
      <c r="H10" s="12">
        <v>406</v>
      </c>
      <c r="J10" s="12" t="s">
        <v>22</v>
      </c>
      <c r="L10" s="12" t="s">
        <v>22</v>
      </c>
      <c r="N10" s="237" t="s">
        <v>22</v>
      </c>
      <c r="O10" s="22">
        <f t="shared" si="3"/>
        <v>406</v>
      </c>
    </row>
    <row r="11" spans="1:17" x14ac:dyDescent="0.25">
      <c r="A11" s="71"/>
      <c r="B11" s="83"/>
      <c r="C11" s="76"/>
      <c r="D11" s="77"/>
      <c r="F11" s="12"/>
      <c r="G11" s="2"/>
      <c r="H11" s="12"/>
      <c r="I11" s="2"/>
      <c r="J11" s="12"/>
      <c r="K11" s="2"/>
      <c r="L11" s="12"/>
      <c r="M11" s="2"/>
      <c r="N11" s="237"/>
      <c r="O11" s="22"/>
    </row>
    <row r="12" spans="1:17" x14ac:dyDescent="0.25">
      <c r="A12" s="71">
        <v>40502</v>
      </c>
      <c r="B12" s="6">
        <f t="shared" ref="B12:B13" si="4">+A12</f>
        <v>40502</v>
      </c>
      <c r="C12" s="76">
        <v>-0.4</v>
      </c>
      <c r="D12" s="77">
        <v>0.73541666666666661</v>
      </c>
      <c r="E12" s="2"/>
      <c r="F12" s="12">
        <v>1902</v>
      </c>
      <c r="G12" s="2"/>
      <c r="H12" s="12">
        <v>1518</v>
      </c>
      <c r="I12" s="2"/>
      <c r="J12" s="12" t="s">
        <v>22</v>
      </c>
      <c r="K12" s="2"/>
      <c r="L12" s="12" t="s">
        <v>22</v>
      </c>
      <c r="M12" s="2"/>
      <c r="N12" s="237" t="s">
        <v>22</v>
      </c>
      <c r="O12" s="22">
        <f>+F12+H12</f>
        <v>3420</v>
      </c>
    </row>
    <row r="13" spans="1:17" x14ac:dyDescent="0.25">
      <c r="A13" s="71">
        <v>40503</v>
      </c>
      <c r="B13" s="6">
        <f t="shared" si="4"/>
        <v>40503</v>
      </c>
      <c r="C13" s="76">
        <v>-0.7</v>
      </c>
      <c r="D13" s="19">
        <v>0.76180555555555562</v>
      </c>
      <c r="F13" s="12">
        <v>708</v>
      </c>
      <c r="G13" s="2"/>
      <c r="H13" s="12">
        <v>375</v>
      </c>
      <c r="I13" s="2"/>
      <c r="J13" s="12" t="s">
        <v>22</v>
      </c>
      <c r="K13" s="2"/>
      <c r="L13" s="12" t="s">
        <v>22</v>
      </c>
      <c r="M13" s="2"/>
      <c r="N13" s="237" t="s">
        <v>22</v>
      </c>
      <c r="O13" s="22">
        <f>+F13+H13</f>
        <v>1083</v>
      </c>
    </row>
    <row r="14" spans="1:17" x14ac:dyDescent="0.25">
      <c r="A14" s="71"/>
      <c r="B14" s="83"/>
      <c r="C14" s="76"/>
      <c r="D14" s="77"/>
      <c r="F14" s="12"/>
      <c r="G14" s="2"/>
      <c r="H14" s="12"/>
      <c r="I14" s="2"/>
      <c r="J14" s="12"/>
      <c r="K14" s="2"/>
      <c r="L14" s="12"/>
      <c r="M14" s="2"/>
      <c r="N14" s="237"/>
      <c r="O14" s="22"/>
    </row>
    <row r="15" spans="1:17" x14ac:dyDescent="0.25">
      <c r="A15" s="71">
        <v>40515</v>
      </c>
      <c r="B15" s="6">
        <f t="shared" ref="B15:B18" si="5">+A15</f>
        <v>40515</v>
      </c>
      <c r="C15" s="76">
        <v>-0.8</v>
      </c>
      <c r="D15" s="77">
        <v>0.69652777777777775</v>
      </c>
      <c r="F15" s="12" t="s">
        <v>22</v>
      </c>
      <c r="H15" s="12">
        <v>1250</v>
      </c>
      <c r="J15" s="12" t="s">
        <v>22</v>
      </c>
      <c r="L15" s="12" t="s">
        <v>22</v>
      </c>
      <c r="N15" s="237" t="s">
        <v>22</v>
      </c>
      <c r="O15" s="22">
        <f>+H15</f>
        <v>1250</v>
      </c>
    </row>
    <row r="16" spans="1:17" x14ac:dyDescent="0.25">
      <c r="A16" s="71">
        <v>40516</v>
      </c>
      <c r="B16" s="6">
        <f t="shared" si="5"/>
        <v>40516</v>
      </c>
      <c r="C16" s="76">
        <v>-1.2</v>
      </c>
      <c r="D16" s="77">
        <v>0.7284722222222223</v>
      </c>
      <c r="F16" s="12">
        <v>2142</v>
      </c>
      <c r="H16" s="12">
        <v>1929</v>
      </c>
      <c r="J16" s="12">
        <v>4432</v>
      </c>
      <c r="L16" s="12">
        <v>1504</v>
      </c>
      <c r="N16" s="237">
        <v>185.8166482280912</v>
      </c>
      <c r="O16" s="22">
        <f>+F16+H16+J16+L16+N16</f>
        <v>10192.81664822809</v>
      </c>
    </row>
    <row r="17" spans="1:15" x14ac:dyDescent="0.25">
      <c r="A17" s="71">
        <v>40517</v>
      </c>
      <c r="B17" s="6">
        <f t="shared" si="5"/>
        <v>40517</v>
      </c>
      <c r="C17" s="76">
        <v>-1.3</v>
      </c>
      <c r="D17" s="77">
        <v>0.7597222222222223</v>
      </c>
      <c r="F17" s="12">
        <v>1024</v>
      </c>
      <c r="G17" s="117" t="s">
        <v>40</v>
      </c>
      <c r="H17" s="12">
        <f>+(J17+L17)*H16/(J16+L16)</f>
        <v>766.9204851752022</v>
      </c>
      <c r="J17" s="12">
        <v>1691</v>
      </c>
      <c r="L17" s="12">
        <v>669</v>
      </c>
      <c r="N17" s="237">
        <v>95.877274553973479</v>
      </c>
      <c r="O17" s="22">
        <f>+F17+H17+J17+L17+N17</f>
        <v>4246.7977597291756</v>
      </c>
    </row>
    <row r="18" spans="1:15" x14ac:dyDescent="0.25">
      <c r="A18" s="71">
        <v>40518</v>
      </c>
      <c r="B18" s="6">
        <f t="shared" si="5"/>
        <v>40518</v>
      </c>
      <c r="C18" s="76">
        <v>-1.2</v>
      </c>
      <c r="D18" s="77">
        <v>0.78888888888888886</v>
      </c>
      <c r="F18" s="12" t="s">
        <v>22</v>
      </c>
      <c r="H18" s="12">
        <v>362</v>
      </c>
      <c r="J18" s="12" t="s">
        <v>22</v>
      </c>
      <c r="L18" s="12" t="s">
        <v>22</v>
      </c>
      <c r="N18" s="237" t="s">
        <v>22</v>
      </c>
      <c r="O18" s="22">
        <f>+H18</f>
        <v>362</v>
      </c>
    </row>
    <row r="19" spans="1:15" x14ac:dyDescent="0.25">
      <c r="A19" s="71"/>
      <c r="B19" s="83"/>
      <c r="C19" s="76"/>
      <c r="D19" s="77"/>
      <c r="F19" s="12"/>
      <c r="H19" s="12"/>
      <c r="J19" s="12"/>
      <c r="L19" s="12"/>
      <c r="N19" s="12"/>
      <c r="O19" s="22"/>
    </row>
    <row r="20" spans="1:15" x14ac:dyDescent="0.25">
      <c r="A20" s="71">
        <v>40543</v>
      </c>
      <c r="B20" s="6">
        <f t="shared" ref="B20:B22" si="6">+A20</f>
        <v>40543</v>
      </c>
      <c r="C20" s="80">
        <v>0</v>
      </c>
      <c r="D20" s="77">
        <v>0.65277777777777779</v>
      </c>
      <c r="F20" s="12">
        <v>5329</v>
      </c>
      <c r="G20" s="117" t="s">
        <v>40</v>
      </c>
      <c r="H20" s="12">
        <f>+(J20+L20)*H16/(J16+L16)</f>
        <v>4718.5107816711588</v>
      </c>
      <c r="J20" s="12">
        <v>10424</v>
      </c>
      <c r="L20" s="12">
        <v>4096</v>
      </c>
      <c r="N20" s="236">
        <v>379.92565714285712</v>
      </c>
      <c r="O20" s="75">
        <f t="shared" ref="O20:O21" si="7">+F20+H20+J20+L20+N20</f>
        <v>24947.436438814017</v>
      </c>
    </row>
    <row r="21" spans="1:15" x14ac:dyDescent="0.25">
      <c r="A21" s="71">
        <v>40544</v>
      </c>
      <c r="B21" s="6">
        <f t="shared" si="6"/>
        <v>40544</v>
      </c>
      <c r="C21" s="76">
        <v>-0.4</v>
      </c>
      <c r="D21" s="77">
        <v>0.68888888888888899</v>
      </c>
      <c r="F21" s="12">
        <v>5419</v>
      </c>
      <c r="G21" s="117" t="s">
        <v>40</v>
      </c>
      <c r="H21" s="12">
        <f>+(J21+L21)*H16/(J16+L16)</f>
        <v>3590.5527291105122</v>
      </c>
      <c r="J21" s="12">
        <v>5797</v>
      </c>
      <c r="L21" s="106">
        <v>5252</v>
      </c>
      <c r="N21" s="236">
        <v>387.91131250000001</v>
      </c>
      <c r="O21" s="75">
        <f t="shared" si="7"/>
        <v>20446.46404161051</v>
      </c>
    </row>
    <row r="22" spans="1:15" x14ac:dyDescent="0.25">
      <c r="A22" s="71">
        <v>40545</v>
      </c>
      <c r="B22" s="6">
        <f t="shared" si="6"/>
        <v>40545</v>
      </c>
      <c r="C22" s="76">
        <v>-0.7</v>
      </c>
      <c r="D22" s="19">
        <v>0.72083333333333333</v>
      </c>
      <c r="F22" s="12" t="s">
        <v>22</v>
      </c>
      <c r="H22" s="12">
        <v>1316</v>
      </c>
      <c r="J22" s="12" t="s">
        <v>22</v>
      </c>
      <c r="L22" s="12" t="s">
        <v>22</v>
      </c>
      <c r="N22" s="236" t="s">
        <v>22</v>
      </c>
      <c r="O22" s="22">
        <f>+H22</f>
        <v>1316</v>
      </c>
    </row>
    <row r="23" spans="1:15" x14ac:dyDescent="0.25">
      <c r="A23" s="71"/>
      <c r="B23" s="83"/>
      <c r="C23" s="76"/>
      <c r="D23" s="77"/>
      <c r="F23" s="12"/>
      <c r="H23" s="12"/>
      <c r="J23" s="12"/>
      <c r="L23" s="12"/>
      <c r="N23" s="12"/>
      <c r="O23" s="22"/>
    </row>
    <row r="24" spans="1:15" x14ac:dyDescent="0.25">
      <c r="A24" s="71">
        <v>40563</v>
      </c>
      <c r="B24" s="6">
        <f t="shared" ref="B24:B26" si="8">+A24</f>
        <v>40563</v>
      </c>
      <c r="C24" s="1">
        <v>-1.3</v>
      </c>
      <c r="D24" s="77">
        <v>0.7909722222222223</v>
      </c>
      <c r="E24" s="76"/>
      <c r="F24" s="12">
        <v>811</v>
      </c>
      <c r="G24" s="79"/>
      <c r="H24" s="12">
        <v>559</v>
      </c>
      <c r="I24" s="79"/>
      <c r="J24" s="12" t="s">
        <v>22</v>
      </c>
      <c r="K24" s="79"/>
      <c r="L24" s="12" t="s">
        <v>22</v>
      </c>
      <c r="M24" s="79"/>
      <c r="N24" s="237" t="s">
        <v>22</v>
      </c>
      <c r="O24" s="22">
        <f>+F24+H24</f>
        <v>1370</v>
      </c>
    </row>
    <row r="25" spans="1:15" x14ac:dyDescent="0.25">
      <c r="A25" s="71">
        <v>40564</v>
      </c>
      <c r="B25" s="6">
        <f t="shared" si="8"/>
        <v>40564</v>
      </c>
      <c r="C25" s="76">
        <v>-1.1000000000000001</v>
      </c>
      <c r="D25" s="77">
        <v>0.81805555555555554</v>
      </c>
      <c r="E25" s="76"/>
      <c r="F25" s="12">
        <v>1008</v>
      </c>
      <c r="G25" s="79"/>
      <c r="H25" s="12">
        <v>633.81747099999995</v>
      </c>
      <c r="I25" s="79"/>
      <c r="J25" s="12" t="s">
        <v>22</v>
      </c>
      <c r="K25" s="79"/>
      <c r="L25" s="12" t="s">
        <v>22</v>
      </c>
      <c r="M25" s="79"/>
      <c r="N25" s="237">
        <v>137.04224903428408</v>
      </c>
      <c r="O25" s="22">
        <f>+F25+H25</f>
        <v>1641.8174709999998</v>
      </c>
    </row>
    <row r="26" spans="1:15" x14ac:dyDescent="0.25">
      <c r="A26" s="71">
        <v>40565</v>
      </c>
      <c r="B26" s="6">
        <f t="shared" si="8"/>
        <v>40565</v>
      </c>
      <c r="C26" s="76">
        <v>-0.6</v>
      </c>
      <c r="D26" s="77">
        <v>0.84652777777777777</v>
      </c>
      <c r="E26" s="76"/>
      <c r="F26" s="12">
        <v>2094</v>
      </c>
      <c r="G26" s="79"/>
      <c r="H26" s="12">
        <v>1930</v>
      </c>
      <c r="I26" s="79"/>
      <c r="J26" s="12" t="s">
        <v>22</v>
      </c>
      <c r="K26" s="79"/>
      <c r="L26" s="12" t="s">
        <v>22</v>
      </c>
      <c r="M26" s="79"/>
      <c r="N26" s="237">
        <v>199.09149908143695</v>
      </c>
      <c r="O26" s="22">
        <f>+F26+H26</f>
        <v>4024</v>
      </c>
    </row>
    <row r="27" spans="1:15" x14ac:dyDescent="0.25">
      <c r="A27" s="71"/>
      <c r="B27" s="83"/>
      <c r="C27" s="76"/>
      <c r="D27" s="77"/>
      <c r="F27" s="12"/>
      <c r="H27" s="12"/>
      <c r="J27" s="12"/>
      <c r="K27" s="79"/>
      <c r="L27" s="12"/>
      <c r="M27" s="79"/>
      <c r="N27" s="12"/>
      <c r="O27" s="22"/>
    </row>
    <row r="28" spans="1:15" x14ac:dyDescent="0.25">
      <c r="A28" s="71">
        <v>40591</v>
      </c>
      <c r="B28" s="6">
        <f t="shared" ref="B28:B30" si="9">+A28</f>
        <v>40591</v>
      </c>
      <c r="C28" s="80">
        <v>-0.9</v>
      </c>
      <c r="D28" s="77">
        <v>0.74513888888888891</v>
      </c>
      <c r="F28" s="12" t="s">
        <v>22</v>
      </c>
      <c r="G28" s="2"/>
      <c r="H28" s="12">
        <v>1684</v>
      </c>
      <c r="J28" s="12" t="s">
        <v>22</v>
      </c>
      <c r="K28" s="79"/>
      <c r="L28" s="12" t="s">
        <v>22</v>
      </c>
      <c r="M28" s="79"/>
      <c r="N28" s="237" t="s">
        <v>22</v>
      </c>
      <c r="O28" s="22">
        <f>+H28</f>
        <v>1684</v>
      </c>
    </row>
    <row r="29" spans="1:15" x14ac:dyDescent="0.25">
      <c r="A29" s="71">
        <v>40592</v>
      </c>
      <c r="B29" s="6">
        <f t="shared" si="9"/>
        <v>40592</v>
      </c>
      <c r="C29" s="76">
        <v>-0.9</v>
      </c>
      <c r="D29" s="77">
        <v>0.7729166666666667</v>
      </c>
      <c r="F29" s="12">
        <v>2081</v>
      </c>
      <c r="G29" s="117" t="s">
        <v>40</v>
      </c>
      <c r="H29" s="12">
        <f>+(J29+L29)*(H16+H8)/(J8+L8+J16+L16)</f>
        <v>2064.280550310224</v>
      </c>
      <c r="J29" s="12">
        <v>5430</v>
      </c>
      <c r="K29" s="79"/>
      <c r="L29" s="12">
        <v>1762</v>
      </c>
      <c r="M29" s="79"/>
      <c r="N29" s="237">
        <v>114.51341979540206</v>
      </c>
      <c r="O29" s="75">
        <f t="shared" ref="O29:O30" si="10">+F29+H29+J29+L29+N29</f>
        <v>11451.793970105626</v>
      </c>
    </row>
    <row r="30" spans="1:15" x14ac:dyDescent="0.25">
      <c r="A30" s="71">
        <v>40593</v>
      </c>
      <c r="B30" s="6">
        <f t="shared" si="9"/>
        <v>40593</v>
      </c>
      <c r="C30" s="76">
        <v>-0.5</v>
      </c>
      <c r="D30" s="77">
        <v>0.80069444444444438</v>
      </c>
      <c r="F30" s="12">
        <v>4286</v>
      </c>
      <c r="G30" s="117" t="s">
        <v>40</v>
      </c>
      <c r="H30" s="12">
        <f>+(J30+L30)*(H16+H8)/(J8+L8+J16+L16)</f>
        <v>2727.59428108983</v>
      </c>
      <c r="J30" s="12">
        <v>6223</v>
      </c>
      <c r="K30" s="79"/>
      <c r="L30" s="12">
        <v>3280</v>
      </c>
      <c r="M30" s="79"/>
      <c r="N30" s="237">
        <v>148.21028691468399</v>
      </c>
      <c r="O30" s="75">
        <f t="shared" si="10"/>
        <v>16664.804568004514</v>
      </c>
    </row>
    <row r="31" spans="1:15" x14ac:dyDescent="0.25">
      <c r="A31" s="71"/>
      <c r="B31" s="83"/>
      <c r="C31" s="80"/>
      <c r="D31" s="77"/>
      <c r="F31" s="12"/>
      <c r="H31" s="12"/>
      <c r="J31" s="12"/>
      <c r="K31" s="79"/>
      <c r="L31" s="12"/>
      <c r="M31" s="79"/>
      <c r="N31" s="12"/>
      <c r="O31" s="22"/>
    </row>
    <row r="32" spans="1:15" x14ac:dyDescent="0.25">
      <c r="A32" s="71">
        <v>40621</v>
      </c>
      <c r="B32" s="6">
        <f t="shared" ref="B32:B35" si="11">+A32</f>
        <v>40621</v>
      </c>
      <c r="C32" s="80">
        <v>-0.1</v>
      </c>
      <c r="D32" s="77">
        <v>0.7944444444444444</v>
      </c>
      <c r="E32" s="76"/>
      <c r="F32" s="12">
        <v>5243</v>
      </c>
      <c r="G32" s="2"/>
      <c r="H32" s="12">
        <v>2226</v>
      </c>
      <c r="I32" s="79"/>
      <c r="J32" s="12">
        <v>4083</v>
      </c>
      <c r="K32" s="79"/>
      <c r="L32" s="12">
        <v>4610</v>
      </c>
      <c r="M32" s="79"/>
      <c r="N32" s="12" t="s">
        <v>22</v>
      </c>
      <c r="O32" s="75">
        <f>+F32+H32+J32+L32</f>
        <v>16162</v>
      </c>
    </row>
    <row r="33" spans="1:15" x14ac:dyDescent="0.25">
      <c r="A33" s="71">
        <v>40622</v>
      </c>
      <c r="B33" s="6">
        <f t="shared" si="11"/>
        <v>40622</v>
      </c>
      <c r="C33" s="76">
        <v>-0.5</v>
      </c>
      <c r="D33" s="77">
        <v>0.31666666666666665</v>
      </c>
      <c r="E33" s="76"/>
      <c r="F33" s="12">
        <v>2947</v>
      </c>
      <c r="G33" s="82"/>
      <c r="H33" s="12">
        <v>1456</v>
      </c>
      <c r="I33" s="82"/>
      <c r="J33" s="12">
        <v>5544</v>
      </c>
      <c r="K33" s="82"/>
      <c r="L33" s="12">
        <v>1808</v>
      </c>
      <c r="M33" s="82"/>
      <c r="N33" s="12" t="s">
        <v>22</v>
      </c>
      <c r="O33" s="75">
        <f>+F33+H33+J33+L33</f>
        <v>11755</v>
      </c>
    </row>
    <row r="34" spans="1:15" x14ac:dyDescent="0.25">
      <c r="A34" s="71">
        <v>40623</v>
      </c>
      <c r="B34" s="6">
        <f t="shared" si="11"/>
        <v>40623</v>
      </c>
      <c r="C34" s="76">
        <v>-0.9</v>
      </c>
      <c r="D34" s="77">
        <v>0.34930555555555554</v>
      </c>
      <c r="E34" s="76"/>
      <c r="F34" s="12">
        <v>2599</v>
      </c>
      <c r="G34" s="82"/>
      <c r="H34" s="12">
        <v>1229</v>
      </c>
      <c r="I34" s="82"/>
      <c r="J34" s="12" t="s">
        <v>22</v>
      </c>
      <c r="K34" s="79"/>
      <c r="L34" s="12" t="s">
        <v>22</v>
      </c>
      <c r="M34" s="79"/>
      <c r="N34" s="12" t="s">
        <v>22</v>
      </c>
      <c r="O34" s="75">
        <f>+F34+H34</f>
        <v>3828</v>
      </c>
    </row>
    <row r="35" spans="1:15" x14ac:dyDescent="0.25">
      <c r="A35" s="71">
        <v>40624</v>
      </c>
      <c r="B35" s="6">
        <f t="shared" si="11"/>
        <v>40624</v>
      </c>
      <c r="C35" s="80">
        <v>-1</v>
      </c>
      <c r="D35" s="77">
        <v>0.3833333333333333</v>
      </c>
      <c r="E35" s="76"/>
      <c r="F35" s="12">
        <v>1730</v>
      </c>
      <c r="G35" s="82"/>
      <c r="H35" s="12">
        <v>725</v>
      </c>
      <c r="I35" s="82"/>
      <c r="J35" s="12" t="s">
        <v>22</v>
      </c>
      <c r="K35" s="79"/>
      <c r="L35" s="12" t="s">
        <v>22</v>
      </c>
      <c r="M35" s="79"/>
      <c r="N35" s="12" t="s">
        <v>22</v>
      </c>
      <c r="O35" s="75">
        <f>+F35+H35</f>
        <v>2455</v>
      </c>
    </row>
    <row r="36" spans="1:15" x14ac:dyDescent="0.25">
      <c r="A36" s="71"/>
      <c r="B36" s="83"/>
      <c r="C36" s="76"/>
      <c r="D36" s="77"/>
      <c r="F36" s="12"/>
      <c r="H36" s="12"/>
      <c r="J36" s="12"/>
      <c r="K36" s="79"/>
      <c r="L36" s="12"/>
      <c r="M36" s="79"/>
      <c r="N36" s="12"/>
      <c r="O36" s="75"/>
    </row>
    <row r="37" spans="1:15" x14ac:dyDescent="0.25">
      <c r="A37" s="71">
        <v>40640</v>
      </c>
      <c r="B37" s="6">
        <f t="shared" ref="B37:B39" si="12">+A37</f>
        <v>40640</v>
      </c>
      <c r="C37" s="80">
        <v>0.1</v>
      </c>
      <c r="D37" s="77">
        <v>0.40069444444444446</v>
      </c>
      <c r="E37" s="76"/>
      <c r="F37" s="12">
        <v>2520</v>
      </c>
      <c r="G37" s="82"/>
      <c r="H37" s="12">
        <v>1663</v>
      </c>
      <c r="I37" s="82"/>
      <c r="J37" s="12" t="s">
        <v>22</v>
      </c>
      <c r="K37" s="79"/>
      <c r="L37" s="12" t="s">
        <v>22</v>
      </c>
      <c r="M37" s="79"/>
      <c r="N37" s="12" t="s">
        <v>22</v>
      </c>
      <c r="O37" s="75">
        <f t="shared" ref="O37:O39" si="13">+F37+H37</f>
        <v>4183</v>
      </c>
    </row>
    <row r="38" spans="1:15" x14ac:dyDescent="0.25">
      <c r="A38" s="71">
        <v>40641</v>
      </c>
      <c r="B38" s="6">
        <f t="shared" si="12"/>
        <v>40641</v>
      </c>
      <c r="C38" s="80">
        <v>0.2</v>
      </c>
      <c r="D38" s="77">
        <v>0.42986111111111108</v>
      </c>
      <c r="E38" s="76"/>
      <c r="F38" s="12">
        <v>4192</v>
      </c>
      <c r="G38" s="82"/>
      <c r="H38" s="12">
        <v>3497</v>
      </c>
      <c r="I38" s="82"/>
      <c r="J38" s="12" t="s">
        <v>22</v>
      </c>
      <c r="K38" s="79"/>
      <c r="L38" s="12" t="s">
        <v>22</v>
      </c>
      <c r="M38" s="79"/>
      <c r="N38" s="12" t="s">
        <v>22</v>
      </c>
      <c r="O38" s="75">
        <f t="shared" si="13"/>
        <v>7689</v>
      </c>
    </row>
    <row r="39" spans="1:15" x14ac:dyDescent="0.25">
      <c r="A39" s="71">
        <v>40642</v>
      </c>
      <c r="B39" s="6">
        <f t="shared" si="12"/>
        <v>40642</v>
      </c>
      <c r="C39" s="80">
        <v>0.4</v>
      </c>
      <c r="D39" s="77">
        <v>0.46319444444444446</v>
      </c>
      <c r="E39" s="76"/>
      <c r="F39" s="12">
        <v>5569</v>
      </c>
      <c r="G39" s="82"/>
      <c r="H39" s="12">
        <v>4146</v>
      </c>
      <c r="I39" s="82"/>
      <c r="J39" s="12" t="s">
        <v>22</v>
      </c>
      <c r="K39" s="79"/>
      <c r="L39" s="12" t="s">
        <v>22</v>
      </c>
      <c r="M39" s="79"/>
      <c r="N39" s="12" t="s">
        <v>22</v>
      </c>
      <c r="O39" s="75">
        <f t="shared" si="13"/>
        <v>9715</v>
      </c>
    </row>
    <row r="40" spans="1:15" x14ac:dyDescent="0.25">
      <c r="A40" s="71"/>
      <c r="B40" s="83"/>
      <c r="C40" s="76"/>
      <c r="D40" s="77"/>
      <c r="F40" s="12"/>
      <c r="H40" s="12"/>
      <c r="J40" s="12"/>
      <c r="K40" s="82"/>
      <c r="L40" s="12"/>
      <c r="M40" s="82"/>
      <c r="N40" s="12"/>
      <c r="O40" s="22"/>
    </row>
    <row r="41" spans="1:15" x14ac:dyDescent="0.25">
      <c r="A41" s="71">
        <v>40652</v>
      </c>
      <c r="B41" s="6">
        <f t="shared" ref="B41:B45" si="14">+A41</f>
        <v>40652</v>
      </c>
      <c r="C41" s="76">
        <v>-1.8</v>
      </c>
      <c r="D41" s="77">
        <v>0.33819444444444446</v>
      </c>
      <c r="F41" s="12">
        <v>1944</v>
      </c>
      <c r="H41" s="12">
        <v>1435</v>
      </c>
      <c r="J41" s="12" t="s">
        <v>22</v>
      </c>
      <c r="K41" s="82"/>
      <c r="L41" s="12" t="s">
        <v>22</v>
      </c>
      <c r="M41" s="82"/>
      <c r="N41" s="12" t="s">
        <v>22</v>
      </c>
      <c r="O41" s="22">
        <f>+F41+H41</f>
        <v>3379</v>
      </c>
    </row>
    <row r="42" spans="1:15" x14ac:dyDescent="0.25">
      <c r="A42" s="71">
        <v>40653</v>
      </c>
      <c r="B42" s="6">
        <f t="shared" si="14"/>
        <v>40653</v>
      </c>
      <c r="C42" s="76">
        <v>-1.7</v>
      </c>
      <c r="D42" s="77">
        <v>0.37083333333333335</v>
      </c>
      <c r="F42" s="12">
        <v>2402</v>
      </c>
      <c r="H42" s="12">
        <v>1021</v>
      </c>
      <c r="J42" s="12" t="s">
        <v>22</v>
      </c>
      <c r="K42" s="79"/>
      <c r="L42" s="12" t="s">
        <v>22</v>
      </c>
      <c r="M42" s="79"/>
      <c r="N42" s="12" t="s">
        <v>22</v>
      </c>
      <c r="O42" s="22">
        <f>+F42+H42</f>
        <v>3423</v>
      </c>
    </row>
    <row r="43" spans="1:15" x14ac:dyDescent="0.25">
      <c r="A43" s="71">
        <v>40654</v>
      </c>
      <c r="B43" s="6">
        <f t="shared" si="14"/>
        <v>40654</v>
      </c>
      <c r="C43" s="76">
        <v>-1.4</v>
      </c>
      <c r="D43" s="77">
        <v>0.40486111111111112</v>
      </c>
      <c r="F43" s="12">
        <v>2095</v>
      </c>
      <c r="G43" s="2"/>
      <c r="H43" s="12">
        <v>983</v>
      </c>
      <c r="J43" s="12">
        <v>3037</v>
      </c>
      <c r="K43" s="79"/>
      <c r="L43" s="12">
        <v>1377</v>
      </c>
      <c r="M43" s="79"/>
      <c r="N43" s="12" t="s">
        <v>22</v>
      </c>
      <c r="O43" s="22">
        <f>+F43+H43+J43+L43</f>
        <v>7492</v>
      </c>
    </row>
    <row r="44" spans="1:15" x14ac:dyDescent="0.25">
      <c r="A44" s="71">
        <v>40655</v>
      </c>
      <c r="B44" s="6">
        <f t="shared" si="14"/>
        <v>40655</v>
      </c>
      <c r="C44" s="76">
        <v>-0.8</v>
      </c>
      <c r="D44" s="77">
        <v>0.43958333333333338</v>
      </c>
      <c r="F44" s="12">
        <v>2163</v>
      </c>
      <c r="G44" s="117" t="s">
        <v>40</v>
      </c>
      <c r="H44" s="12">
        <f>(+J44+L44)*(H43+H45)/(J43+L43+J45+L45)</f>
        <v>1056.8661587215965</v>
      </c>
      <c r="J44" s="12">
        <v>3591</v>
      </c>
      <c r="K44" s="79"/>
      <c r="L44" s="12">
        <v>1903</v>
      </c>
      <c r="M44" s="79"/>
      <c r="N44" s="12" t="s">
        <v>22</v>
      </c>
      <c r="O44" s="22">
        <f>+F44+H44+J44+L44</f>
        <v>8713.8661587215975</v>
      </c>
    </row>
    <row r="45" spans="1:15" x14ac:dyDescent="0.25">
      <c r="A45" s="71">
        <v>40656</v>
      </c>
      <c r="B45" s="6">
        <f t="shared" si="14"/>
        <v>40656</v>
      </c>
      <c r="C45" s="76">
        <v>-0.2</v>
      </c>
      <c r="D45" s="77">
        <v>0.4770833333333333</v>
      </c>
      <c r="F45" s="12">
        <v>3032</v>
      </c>
      <c r="G45" s="2"/>
      <c r="H45" s="12">
        <v>1870</v>
      </c>
      <c r="J45" s="12">
        <v>7118</v>
      </c>
      <c r="K45" s="79"/>
      <c r="L45" s="12">
        <v>3299</v>
      </c>
      <c r="M45" s="79"/>
      <c r="N45" s="12" t="s">
        <v>22</v>
      </c>
      <c r="O45" s="22">
        <f>+F45+H45+J45+L45</f>
        <v>15319</v>
      </c>
    </row>
    <row r="46" spans="1:15" x14ac:dyDescent="0.25">
      <c r="A46" s="71"/>
      <c r="B46" s="6"/>
      <c r="C46" s="76"/>
      <c r="D46" s="77"/>
      <c r="F46" s="12"/>
      <c r="G46" s="2"/>
      <c r="H46" s="12"/>
      <c r="J46" s="12"/>
      <c r="K46" s="79"/>
      <c r="L46" s="12"/>
      <c r="M46" s="79"/>
      <c r="N46" s="12"/>
      <c r="O46" s="22"/>
    </row>
    <row r="47" spans="1:15" x14ac:dyDescent="0.25">
      <c r="A47" s="71">
        <v>40666</v>
      </c>
      <c r="B47" s="6">
        <f t="shared" ref="B47:B52" si="15">+A47</f>
        <v>40666</v>
      </c>
      <c r="C47" s="76">
        <v>-0.6</v>
      </c>
      <c r="D47" s="77">
        <v>0.31180555555555556</v>
      </c>
      <c r="F47" s="12">
        <v>351</v>
      </c>
      <c r="G47" s="2"/>
      <c r="H47" s="12">
        <v>292</v>
      </c>
      <c r="J47" s="12" t="s">
        <v>22</v>
      </c>
      <c r="K47" s="82"/>
      <c r="L47" s="12" t="s">
        <v>22</v>
      </c>
      <c r="M47" s="82"/>
      <c r="N47" s="12" t="s">
        <v>22</v>
      </c>
      <c r="O47" s="22">
        <f>+F47+H47</f>
        <v>643</v>
      </c>
    </row>
    <row r="48" spans="1:15" x14ac:dyDescent="0.25">
      <c r="A48" s="71">
        <v>40667</v>
      </c>
      <c r="B48" s="6">
        <f t="shared" si="15"/>
        <v>40667</v>
      </c>
      <c r="C48" s="76">
        <v>-0.8</v>
      </c>
      <c r="D48" s="77">
        <v>0.33611111111111108</v>
      </c>
      <c r="F48" s="12">
        <v>842</v>
      </c>
      <c r="G48" s="2"/>
      <c r="H48" s="12">
        <v>449</v>
      </c>
      <c r="J48" s="12" t="s">
        <v>22</v>
      </c>
      <c r="K48" s="82"/>
      <c r="L48" s="12" t="s">
        <v>22</v>
      </c>
      <c r="M48" s="82"/>
      <c r="N48" s="12" t="s">
        <v>22</v>
      </c>
      <c r="O48" s="22">
        <f>+F48+H48</f>
        <v>1291</v>
      </c>
    </row>
    <row r="49" spans="1:15" x14ac:dyDescent="0.25">
      <c r="A49" s="71">
        <v>40668</v>
      </c>
      <c r="B49" s="6">
        <f t="shared" si="15"/>
        <v>40668</v>
      </c>
      <c r="C49" s="76">
        <v>-0.8</v>
      </c>
      <c r="D49" s="77">
        <v>0.3611111111111111</v>
      </c>
      <c r="F49" s="12">
        <v>954</v>
      </c>
      <c r="G49" s="2"/>
      <c r="H49" s="12">
        <v>456</v>
      </c>
      <c r="J49" s="12" t="s">
        <v>22</v>
      </c>
      <c r="K49" s="82"/>
      <c r="L49" s="12" t="s">
        <v>22</v>
      </c>
      <c r="M49" s="82"/>
      <c r="N49" s="12" t="s">
        <v>22</v>
      </c>
      <c r="O49" s="22">
        <f t="shared" ref="O49:O50" si="16">+F49+H49</f>
        <v>1410</v>
      </c>
    </row>
    <row r="50" spans="1:15" x14ac:dyDescent="0.25">
      <c r="A50" s="71">
        <v>40669</v>
      </c>
      <c r="B50" s="6">
        <f t="shared" si="15"/>
        <v>40669</v>
      </c>
      <c r="C50" s="76">
        <v>-0.8</v>
      </c>
      <c r="D50" s="77">
        <v>0.38750000000000001</v>
      </c>
      <c r="F50" s="12">
        <v>1667</v>
      </c>
      <c r="G50" s="2"/>
      <c r="H50" s="12">
        <v>938</v>
      </c>
      <c r="J50" s="12" t="s">
        <v>22</v>
      </c>
      <c r="K50" s="82"/>
      <c r="L50" s="12" t="s">
        <v>22</v>
      </c>
      <c r="M50" s="82"/>
      <c r="N50" s="12" t="s">
        <v>22</v>
      </c>
      <c r="O50" s="22">
        <f t="shared" si="16"/>
        <v>2605</v>
      </c>
    </row>
    <row r="51" spans="1:15" x14ac:dyDescent="0.25">
      <c r="A51" s="71">
        <v>40670</v>
      </c>
      <c r="B51" s="6">
        <f t="shared" si="15"/>
        <v>40670</v>
      </c>
      <c r="C51" s="76">
        <v>-0.6</v>
      </c>
      <c r="D51" s="77">
        <v>0.41666666666666669</v>
      </c>
      <c r="F51" s="12">
        <v>1877</v>
      </c>
      <c r="G51" s="2"/>
      <c r="H51" s="12">
        <v>877</v>
      </c>
      <c r="J51" s="12" t="s">
        <v>22</v>
      </c>
      <c r="K51" s="82"/>
      <c r="L51" s="12">
        <v>2205</v>
      </c>
      <c r="M51" s="82"/>
      <c r="N51" s="12" t="s">
        <v>22</v>
      </c>
      <c r="O51" s="22">
        <f>+F51+H51+L51</f>
        <v>4959</v>
      </c>
    </row>
    <row r="52" spans="1:15" x14ac:dyDescent="0.25">
      <c r="A52" s="71">
        <v>40671</v>
      </c>
      <c r="B52" s="6">
        <f t="shared" si="15"/>
        <v>40671</v>
      </c>
      <c r="C52" s="76">
        <v>-0.4</v>
      </c>
      <c r="D52" s="77">
        <v>0.44861111111111113</v>
      </c>
      <c r="F52" s="12">
        <v>1125</v>
      </c>
      <c r="G52" s="2"/>
      <c r="H52" s="12">
        <v>960</v>
      </c>
      <c r="J52" s="12" t="s">
        <v>22</v>
      </c>
      <c r="K52" s="82"/>
      <c r="L52" s="12">
        <v>2002</v>
      </c>
      <c r="M52" s="82"/>
      <c r="N52" s="12" t="s">
        <v>22</v>
      </c>
      <c r="O52" s="22">
        <f>+F52+H52+L52</f>
        <v>4087</v>
      </c>
    </row>
    <row r="53" spans="1:15" x14ac:dyDescent="0.25">
      <c r="A53" s="71"/>
      <c r="B53" s="6"/>
      <c r="C53" s="76"/>
      <c r="D53" s="77"/>
      <c r="F53" s="12"/>
      <c r="G53" s="2"/>
      <c r="H53" s="12"/>
      <c r="J53" s="12"/>
      <c r="K53" s="82"/>
      <c r="L53" s="12"/>
      <c r="M53" s="82"/>
      <c r="N53" s="12"/>
      <c r="O53" s="22"/>
    </row>
    <row r="54" spans="1:15" x14ac:dyDescent="0.25">
      <c r="A54" s="71">
        <v>40681</v>
      </c>
      <c r="B54" s="6">
        <f t="shared" ref="B54:B58" si="17">+A54</f>
        <v>40681</v>
      </c>
      <c r="C54" s="76">
        <v>-2.2000000000000002</v>
      </c>
      <c r="D54" s="77">
        <v>0.32777777777777778</v>
      </c>
      <c r="F54" s="12" t="s">
        <v>22</v>
      </c>
      <c r="G54" s="2"/>
      <c r="H54" s="12">
        <v>875</v>
      </c>
      <c r="J54" s="12" t="s">
        <v>22</v>
      </c>
      <c r="K54" s="82"/>
      <c r="L54" s="12" t="s">
        <v>22</v>
      </c>
      <c r="M54" s="82"/>
      <c r="N54" s="12" t="s">
        <v>22</v>
      </c>
      <c r="O54" s="22">
        <f>+H54</f>
        <v>875</v>
      </c>
    </row>
    <row r="55" spans="1:15" x14ac:dyDescent="0.25">
      <c r="A55" s="71">
        <v>40682</v>
      </c>
      <c r="B55" s="6">
        <f t="shared" si="17"/>
        <v>40682</v>
      </c>
      <c r="C55" s="80">
        <v>-2</v>
      </c>
      <c r="D55" s="77">
        <v>0.35972222222222222</v>
      </c>
      <c r="F55" s="12" t="s">
        <v>22</v>
      </c>
      <c r="G55" s="2"/>
      <c r="H55" s="12">
        <v>1378</v>
      </c>
      <c r="J55" s="12" t="s">
        <v>22</v>
      </c>
      <c r="K55" s="82"/>
      <c r="L55" s="12" t="s">
        <v>22</v>
      </c>
      <c r="M55" s="82"/>
      <c r="N55" s="12" t="s">
        <v>22</v>
      </c>
      <c r="O55" s="22">
        <f>+H55</f>
        <v>1378</v>
      </c>
    </row>
    <row r="56" spans="1:15" x14ac:dyDescent="0.25">
      <c r="A56" s="71">
        <v>40683</v>
      </c>
      <c r="B56" s="6">
        <f t="shared" si="17"/>
        <v>40683</v>
      </c>
      <c r="C56" s="76">
        <v>-1.7</v>
      </c>
      <c r="D56" s="77">
        <v>0.39097222222222222</v>
      </c>
      <c r="F56" s="12" t="s">
        <v>22</v>
      </c>
      <c r="G56" s="2"/>
      <c r="H56" s="12">
        <v>1101</v>
      </c>
      <c r="J56" s="12" t="s">
        <v>22</v>
      </c>
      <c r="K56" s="82"/>
      <c r="L56" s="12">
        <v>1932</v>
      </c>
      <c r="M56" s="82"/>
      <c r="N56" s="12" t="s">
        <v>22</v>
      </c>
      <c r="O56" s="22">
        <f>+H56+L56</f>
        <v>3033</v>
      </c>
    </row>
    <row r="57" spans="1:15" x14ac:dyDescent="0.25">
      <c r="A57" s="71">
        <v>40684</v>
      </c>
      <c r="B57" s="6">
        <f t="shared" si="17"/>
        <v>40684</v>
      </c>
      <c r="C57" s="76">
        <v>-1.1000000000000001</v>
      </c>
      <c r="D57" s="77">
        <v>0.42291666666666666</v>
      </c>
      <c r="F57" s="12">
        <v>2950</v>
      </c>
      <c r="G57" s="2"/>
      <c r="H57" s="12">
        <v>1685</v>
      </c>
      <c r="J57" s="12" t="s">
        <v>22</v>
      </c>
      <c r="K57" s="82"/>
      <c r="L57" s="12">
        <v>3533</v>
      </c>
      <c r="M57" s="82"/>
      <c r="N57" s="12" t="s">
        <v>22</v>
      </c>
      <c r="O57" s="22">
        <f>+F57+H57+L57</f>
        <v>8168</v>
      </c>
    </row>
    <row r="58" spans="1:15" x14ac:dyDescent="0.25">
      <c r="A58" s="71">
        <v>40685</v>
      </c>
      <c r="B58" s="6">
        <f t="shared" si="17"/>
        <v>40685</v>
      </c>
      <c r="C58" s="76">
        <v>-0.5</v>
      </c>
      <c r="D58" s="77">
        <v>0.45555555555555555</v>
      </c>
      <c r="F58" s="12">
        <v>3083</v>
      </c>
      <c r="G58" s="2"/>
      <c r="H58" s="12">
        <v>1303</v>
      </c>
      <c r="J58" s="12" t="s">
        <v>22</v>
      </c>
      <c r="K58" s="82"/>
      <c r="L58" s="12">
        <v>2500</v>
      </c>
      <c r="M58" s="82"/>
      <c r="N58" s="12" t="s">
        <v>22</v>
      </c>
      <c r="O58" s="22">
        <f>+F58+H58+L58</f>
        <v>6886</v>
      </c>
    </row>
    <row r="59" spans="1:15" x14ac:dyDescent="0.25">
      <c r="A59" s="71"/>
      <c r="B59" s="83"/>
      <c r="C59" s="76"/>
      <c r="D59" s="77"/>
      <c r="E59" s="2"/>
      <c r="F59" s="12"/>
      <c r="H59" s="12"/>
      <c r="J59" s="12"/>
      <c r="L59" s="12"/>
      <c r="N59" s="12"/>
      <c r="O59" s="22"/>
    </row>
    <row r="61" spans="1:15" x14ac:dyDescent="0.25">
      <c r="A61" s="25" t="s">
        <v>48</v>
      </c>
      <c r="F61" s="22">
        <f>SUM(F2:F60)</f>
        <v>87080.082930379343</v>
      </c>
      <c r="H61" s="22">
        <f>SUM(H2:H60)</f>
        <v>67982.971629478881</v>
      </c>
      <c r="J61" s="22">
        <f>SUM(J2:J60)</f>
        <v>71996</v>
      </c>
      <c r="L61" s="22">
        <f>SUM(L3:L60)</f>
        <v>48496</v>
      </c>
      <c r="N61" s="22">
        <f>SUM(N3:N60)</f>
        <v>2453.7218813552281</v>
      </c>
      <c r="O61" s="22">
        <f>SUM(O2:O59)</f>
        <v>277672.6426930977</v>
      </c>
    </row>
    <row r="62" spans="1:15" x14ac:dyDescent="0.25">
      <c r="A62" s="24" t="s">
        <v>47</v>
      </c>
    </row>
  </sheetData>
  <mergeCells count="5">
    <mergeCell ref="E1:F1"/>
    <mergeCell ref="G1:H1"/>
    <mergeCell ref="I1:J1"/>
    <mergeCell ref="K1:L1"/>
    <mergeCell ref="M1:N1"/>
  </mergeCells>
  <pageMargins left="0.19685039370078741" right="0.27559055118110237" top="0.6692913385826772" bottom="0.35433070866141736" header="0.19685039370078741" footer="0"/>
  <pageSetup scale="75" orientation="portrait" r:id="rId1"/>
  <headerFooter>
    <oddHeader>&amp;L&amp;12 2010 Fall / 2011 Spring Razor Clam Harvst Totals
&amp;"-,Italic"(Number of Diggers)&amp;C&amp;12Non-Indian Fishery&amp;R&amp;12&amp;KFF0000PRELIMINARY ESTIMATE</oddHeader>
    <oddFooter>&amp;LPage 3 of 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7"/>
  <sheetViews>
    <sheetView view="pageLayout" topLeftCell="A34" zoomScaleNormal="100" workbookViewId="0">
      <selection activeCell="S16" sqref="S16"/>
    </sheetView>
  </sheetViews>
  <sheetFormatPr defaultRowHeight="15" x14ac:dyDescent="0.25"/>
  <cols>
    <col min="1" max="1" width="8" customWidth="1"/>
    <col min="2" max="2" width="4.5703125" bestFit="1" customWidth="1"/>
    <col min="3" max="3" width="4.5703125" customWidth="1"/>
    <col min="4" max="4" width="8.42578125" bestFit="1" customWidth="1"/>
    <col min="5" max="5" width="7.5703125" bestFit="1" customWidth="1"/>
    <col min="6" max="6" width="8.85546875" bestFit="1" customWidth="1"/>
    <col min="7" max="7" width="7.5703125" bestFit="1" customWidth="1"/>
    <col min="8" max="8" width="6.42578125" bestFit="1" customWidth="1"/>
    <col min="9" max="9" width="7.42578125" bestFit="1" customWidth="1"/>
    <col min="10" max="10" width="7" bestFit="1" customWidth="1"/>
    <col min="11" max="11" width="7.5703125" bestFit="1" customWidth="1"/>
    <col min="12" max="12" width="8.85546875" bestFit="1" customWidth="1"/>
    <col min="13" max="19" width="7.5703125" bestFit="1" customWidth="1"/>
  </cols>
  <sheetData>
    <row r="1" spans="1:21" ht="15.75" thickBot="1" x14ac:dyDescent="0.3">
      <c r="A1" s="252" t="s">
        <v>73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</row>
    <row r="2" spans="1:21" ht="15.75" thickTop="1" x14ac:dyDescent="0.25">
      <c r="A2" s="37"/>
      <c r="B2" s="37"/>
      <c r="C2" s="37"/>
      <c r="D2" s="37"/>
      <c r="E2" s="255" t="s">
        <v>49</v>
      </c>
      <c r="F2" s="256"/>
      <c r="G2" s="257"/>
      <c r="H2" s="255" t="s">
        <v>50</v>
      </c>
      <c r="I2" s="256"/>
      <c r="J2" s="257"/>
      <c r="K2" s="255" t="s">
        <v>51</v>
      </c>
      <c r="L2" s="256"/>
      <c r="M2" s="257"/>
      <c r="N2" s="255" t="s">
        <v>52</v>
      </c>
      <c r="O2" s="256"/>
      <c r="P2" s="257"/>
      <c r="Q2" s="258" t="s">
        <v>53</v>
      </c>
      <c r="R2" s="259"/>
      <c r="S2" s="260"/>
      <c r="T2" s="253" t="s">
        <v>54</v>
      </c>
      <c r="U2" s="254"/>
    </row>
    <row r="3" spans="1:21" ht="15.75" thickBot="1" x14ac:dyDescent="0.3">
      <c r="A3" s="38" t="s">
        <v>55</v>
      </c>
      <c r="B3" s="38" t="s">
        <v>56</v>
      </c>
      <c r="C3" s="38" t="s">
        <v>57</v>
      </c>
      <c r="D3" s="38" t="s">
        <v>58</v>
      </c>
      <c r="E3" s="39" t="s">
        <v>59</v>
      </c>
      <c r="F3" s="38" t="s">
        <v>60</v>
      </c>
      <c r="G3" s="38" t="s">
        <v>11</v>
      </c>
      <c r="H3" s="39" t="s">
        <v>59</v>
      </c>
      <c r="I3" s="38" t="s">
        <v>60</v>
      </c>
      <c r="J3" s="38" t="s">
        <v>11</v>
      </c>
      <c r="K3" s="39" t="s">
        <v>59</v>
      </c>
      <c r="L3" s="38" t="s">
        <v>60</v>
      </c>
      <c r="M3" s="38" t="s">
        <v>11</v>
      </c>
      <c r="N3" s="39" t="s">
        <v>59</v>
      </c>
      <c r="O3" s="38" t="s">
        <v>60</v>
      </c>
      <c r="P3" s="38" t="s">
        <v>11</v>
      </c>
      <c r="Q3" s="39" t="s">
        <v>59</v>
      </c>
      <c r="R3" s="38" t="s">
        <v>60</v>
      </c>
      <c r="S3" s="38" t="s">
        <v>11</v>
      </c>
      <c r="T3" s="39" t="s">
        <v>59</v>
      </c>
      <c r="U3" s="40" t="s">
        <v>60</v>
      </c>
    </row>
    <row r="4" spans="1:21" ht="15.75" thickTop="1" x14ac:dyDescent="0.25">
      <c r="A4" s="41">
        <v>40458</v>
      </c>
      <c r="B4" s="28">
        <v>40458</v>
      </c>
      <c r="C4" s="29">
        <v>-1</v>
      </c>
      <c r="D4" s="30">
        <v>0.78819444444444453</v>
      </c>
      <c r="E4" s="44" t="str">
        <f>Effort!F2</f>
        <v>CLOSED</v>
      </c>
      <c r="F4" s="45" t="str">
        <f>Harvest!F2</f>
        <v>CLOSED</v>
      </c>
      <c r="G4" s="42" t="str">
        <f>CPUE!F2</f>
        <v>CLOSED</v>
      </c>
      <c r="H4" s="44">
        <f>Effort!H2</f>
        <v>2783</v>
      </c>
      <c r="I4" s="45">
        <f>Harvest!H2</f>
        <v>40766</v>
      </c>
      <c r="J4" s="42">
        <f>CPUE!H2</f>
        <v>14.648221343873518</v>
      </c>
      <c r="K4" s="44" t="str">
        <f>Effort!J2</f>
        <v>CLOSED</v>
      </c>
      <c r="L4" s="45" t="str">
        <f>Harvest!J2</f>
        <v>CLOSED</v>
      </c>
      <c r="M4" s="42" t="str">
        <f>CPUE!J2</f>
        <v>CLOSED</v>
      </c>
      <c r="N4" s="44" t="str">
        <f>Effort!L2</f>
        <v>CLOSED</v>
      </c>
      <c r="O4" s="45" t="str">
        <f>Harvest!L2</f>
        <v>CLOSED</v>
      </c>
      <c r="P4" s="42" t="str">
        <f>CPUE!L2</f>
        <v>CLOSED</v>
      </c>
      <c r="Q4" s="44" t="str">
        <f>Effort!N2</f>
        <v>CLOSED</v>
      </c>
      <c r="R4" s="45" t="str">
        <f>Harvest!N2</f>
        <v>CLOSED</v>
      </c>
      <c r="S4" s="46" t="str">
        <f>CPUE!N2</f>
        <v>CLOSED</v>
      </c>
      <c r="T4" s="44">
        <f>+H4</f>
        <v>2783</v>
      </c>
      <c r="U4" s="45">
        <f>+I4</f>
        <v>40766</v>
      </c>
    </row>
    <row r="5" spans="1:21" x14ac:dyDescent="0.25">
      <c r="A5" s="41">
        <v>40459</v>
      </c>
      <c r="B5" s="28">
        <v>40459</v>
      </c>
      <c r="C5" s="31">
        <v>-1.4</v>
      </c>
      <c r="D5" s="32">
        <v>0.8208333333333333</v>
      </c>
      <c r="E5" s="44">
        <f>Effort!F3</f>
        <v>3775</v>
      </c>
      <c r="F5" s="45">
        <f>Harvest!F3</f>
        <v>56759</v>
      </c>
      <c r="G5" s="42">
        <f>CPUE!F3</f>
        <v>15.035496688741722</v>
      </c>
      <c r="H5" s="44">
        <f>Effort!H3</f>
        <v>1819</v>
      </c>
      <c r="I5" s="45">
        <f>Harvest!H3</f>
        <v>26842</v>
      </c>
      <c r="J5" s="42">
        <f>CPUE!H3</f>
        <v>14.756459593183068</v>
      </c>
      <c r="K5" s="44">
        <f>Effort!J3</f>
        <v>3990</v>
      </c>
      <c r="L5" s="45">
        <f>Harvest!J3</f>
        <v>59524</v>
      </c>
      <c r="M5" s="42">
        <f>CPUE!J3</f>
        <v>14.918295739348371</v>
      </c>
      <c r="N5" s="44">
        <f>Effort!L3</f>
        <v>2024</v>
      </c>
      <c r="O5" s="45">
        <f>Harvest!L3</f>
        <v>29166</v>
      </c>
      <c r="P5" s="42">
        <f>CPUE!L3</f>
        <v>14.410079051383399</v>
      </c>
      <c r="Q5" s="44">
        <f>Effort!N3</f>
        <v>231.69615007554546</v>
      </c>
      <c r="R5" s="45">
        <f>Harvest!N3</f>
        <v>3363.3312107740467</v>
      </c>
      <c r="S5" s="46">
        <f>CPUE!N3</f>
        <v>14.516129032258062</v>
      </c>
      <c r="T5" s="44">
        <f>E5+H5+K5+N5+Q5</f>
        <v>11839.696150075546</v>
      </c>
      <c r="U5" s="45">
        <f>F5+I5+L5+O5+R5</f>
        <v>175654.33121077405</v>
      </c>
    </row>
    <row r="6" spans="1:21" x14ac:dyDescent="0.25">
      <c r="A6" s="41">
        <v>40460</v>
      </c>
      <c r="B6" s="28">
        <v>40460</v>
      </c>
      <c r="C6" s="33">
        <v>-1.5</v>
      </c>
      <c r="D6" s="32">
        <v>0.85277777777777775</v>
      </c>
      <c r="E6" s="44">
        <f>Effort!F4</f>
        <v>2601.8249085467241</v>
      </c>
      <c r="F6" s="45">
        <f>Harvest!F4</f>
        <v>13173.156567820499</v>
      </c>
      <c r="G6" s="42">
        <f>CPUE!F4</f>
        <v>5.0630449899022993</v>
      </c>
      <c r="H6" s="44">
        <f>Effort!H4</f>
        <v>1253.7005320917858</v>
      </c>
      <c r="I6" s="45">
        <f>Harvest!H4</f>
        <v>6229.7409854549551</v>
      </c>
      <c r="J6" s="42">
        <f>CPUE!H4</f>
        <v>4.969082189875679</v>
      </c>
      <c r="K6" s="44">
        <f>Effort!J4</f>
        <v>2461</v>
      </c>
      <c r="L6" s="45">
        <f>Harvest!J4</f>
        <v>12380</v>
      </c>
      <c r="M6" s="42">
        <f>CPUE!J4</f>
        <v>5.0304754164973584</v>
      </c>
      <c r="N6" s="44">
        <f>Effort!L4</f>
        <v>1684</v>
      </c>
      <c r="O6" s="45">
        <f>Harvest!L4</f>
        <v>8204</v>
      </c>
      <c r="P6" s="42">
        <f>CPUE!L4</f>
        <v>4.8717339667458432</v>
      </c>
      <c r="Q6" s="44">
        <f>Effort!N4</f>
        <v>164.26082600882043</v>
      </c>
      <c r="R6" s="45">
        <f>Harvest!N4</f>
        <v>1551.3522456388598</v>
      </c>
      <c r="S6" s="46">
        <f>CPUE!N4</f>
        <v>9.4444444444444464</v>
      </c>
      <c r="T6" s="44">
        <f>E6+H6+K6+N6+Q6</f>
        <v>8164.7862666473302</v>
      </c>
      <c r="U6" s="45">
        <f>F6+I6+L6+O6+R6</f>
        <v>41538.249798914316</v>
      </c>
    </row>
    <row r="7" spans="1:21" x14ac:dyDescent="0.25">
      <c r="A7" s="41">
        <v>40461</v>
      </c>
      <c r="B7" s="28">
        <v>40461</v>
      </c>
      <c r="C7" s="31">
        <v>-1.3</v>
      </c>
      <c r="D7" s="32">
        <v>0.88541666666666663</v>
      </c>
      <c r="E7" s="44" t="str">
        <f>Effort!F5</f>
        <v>CLOSED</v>
      </c>
      <c r="F7" s="45" t="str">
        <f>Harvest!F5</f>
        <v>CLOSED</v>
      </c>
      <c r="G7" s="42" t="str">
        <f>CPUE!F5</f>
        <v>CLOSED</v>
      </c>
      <c r="H7" s="44">
        <f>Effort!H5</f>
        <v>1055</v>
      </c>
      <c r="I7" s="45">
        <f>Harvest!H5</f>
        <v>10719</v>
      </c>
      <c r="J7" s="42">
        <f>CPUE!H5</f>
        <v>10.160189573459716</v>
      </c>
      <c r="K7" s="44" t="str">
        <f>Effort!J5</f>
        <v>CLOSED</v>
      </c>
      <c r="L7" s="45" t="str">
        <f>Harvest!J5</f>
        <v>CLOSED</v>
      </c>
      <c r="M7" s="42" t="str">
        <f>CPUE!J5</f>
        <v>CLOSED</v>
      </c>
      <c r="N7" s="44" t="str">
        <f>Effort!L5</f>
        <v>CLOSED</v>
      </c>
      <c r="O7" s="45" t="str">
        <f>Harvest!L5</f>
        <v>CLOSED</v>
      </c>
      <c r="P7" s="42" t="str">
        <f>CPUE!L5</f>
        <v>CLOSED</v>
      </c>
      <c r="Q7" s="44" t="str">
        <f>Effort!N5</f>
        <v>CLOSED</v>
      </c>
      <c r="R7" s="45" t="str">
        <f>Harvest!N5</f>
        <v>CLOSED</v>
      </c>
      <c r="S7" s="52" t="str">
        <f>CPUE!N5</f>
        <v>CLOSED</v>
      </c>
      <c r="T7" s="44">
        <f>+H7</f>
        <v>1055</v>
      </c>
      <c r="U7" s="45">
        <f>+I7</f>
        <v>10719</v>
      </c>
    </row>
    <row r="8" spans="1:21" x14ac:dyDescent="0.25">
      <c r="A8" s="250" t="s">
        <v>61</v>
      </c>
      <c r="B8" s="250"/>
      <c r="C8" s="250"/>
      <c r="D8" s="251"/>
      <c r="E8" s="50">
        <f>SUM(E4:E7)</f>
        <v>6376.8249085467241</v>
      </c>
      <c r="F8" s="51">
        <f>SUM(F4:F7)</f>
        <v>69932.156567820493</v>
      </c>
      <c r="G8" s="49">
        <f>F8/E8</f>
        <v>10.966610746061397</v>
      </c>
      <c r="H8" s="50">
        <f>SUM(H4:H7)</f>
        <v>6910.700532091786</v>
      </c>
      <c r="I8" s="51">
        <f>SUM(I4:I7)</f>
        <v>84556.740985454962</v>
      </c>
      <c r="J8" s="49">
        <f>I8/H8</f>
        <v>12.235625113950734</v>
      </c>
      <c r="K8" s="50">
        <f>SUM(K4:K7)</f>
        <v>6451</v>
      </c>
      <c r="L8" s="51">
        <f>SUM(L4:L7)</f>
        <v>71904</v>
      </c>
      <c r="M8" s="49">
        <f>L8/K8</f>
        <v>11.146178886994264</v>
      </c>
      <c r="N8" s="50">
        <f>SUM(N5:N7)</f>
        <v>3708</v>
      </c>
      <c r="O8" s="51">
        <f>SUM(O5:O7)</f>
        <v>37370</v>
      </c>
      <c r="P8" s="49">
        <f>O8/N8</f>
        <v>10.078209277238404</v>
      </c>
      <c r="Q8" s="50">
        <f>SUM(Q5:Q7)</f>
        <v>395.95697608436592</v>
      </c>
      <c r="R8" s="51">
        <f>SUM(R5:R7)</f>
        <v>4914.6834564129067</v>
      </c>
      <c r="S8" s="49">
        <f>R8/Q8</f>
        <v>12.412165344362421</v>
      </c>
      <c r="T8" s="50">
        <f>SUM(T4:T7)</f>
        <v>23842.482416722876</v>
      </c>
      <c r="U8" s="51">
        <f>SUM(U4:U7)</f>
        <v>268677.58100968838</v>
      </c>
    </row>
    <row r="9" spans="1:21" x14ac:dyDescent="0.25">
      <c r="A9" s="53">
        <v>40487</v>
      </c>
      <c r="B9" s="28">
        <v>40487</v>
      </c>
      <c r="C9" s="42">
        <v>-1.4</v>
      </c>
      <c r="D9" s="43">
        <v>0.77847222222222223</v>
      </c>
      <c r="E9" s="44">
        <f>Effort!F7</f>
        <v>2484</v>
      </c>
      <c r="F9" s="45">
        <f>Harvest!F7</f>
        <v>37260</v>
      </c>
      <c r="G9" s="42">
        <f>CPUE!F7</f>
        <v>15</v>
      </c>
      <c r="H9" s="44">
        <f>Effort!H7</f>
        <v>1472.7286403085825</v>
      </c>
      <c r="I9" s="45">
        <f>Harvest!H7</f>
        <v>12577.853466632982</v>
      </c>
      <c r="J9" s="42">
        <f>CPUE!H7</f>
        <v>8.5405098552286791</v>
      </c>
      <c r="K9" s="44">
        <f>Effort!J7</f>
        <v>4113</v>
      </c>
      <c r="L9" s="45">
        <f>Harvest!J7</f>
        <v>56503</v>
      </c>
      <c r="M9" s="42">
        <f>CPUE!J7</f>
        <v>13.73766107464138</v>
      </c>
      <c r="N9" s="44">
        <f>Effort!L7</f>
        <v>1933</v>
      </c>
      <c r="O9" s="45">
        <f>Harvest!L7</f>
        <v>30058</v>
      </c>
      <c r="P9" s="42">
        <f>CPUE!L7</f>
        <v>15.549922400413864</v>
      </c>
      <c r="Q9" s="44">
        <f>Effort!N7</f>
        <v>285.09220765050122</v>
      </c>
      <c r="R9" s="45">
        <f>Harvest!N7</f>
        <v>4249.9856881232117</v>
      </c>
      <c r="S9" s="46">
        <f>CPUE!N7</f>
        <v>14.907407407407405</v>
      </c>
      <c r="T9" s="44">
        <f>E9+H9+K9+N9+Q9</f>
        <v>10287.820847959083</v>
      </c>
      <c r="U9" s="54">
        <f>F9+I9+L9+O9+R9</f>
        <v>140648.83915475619</v>
      </c>
    </row>
    <row r="10" spans="1:21" x14ac:dyDescent="0.25">
      <c r="A10" s="53">
        <v>40488</v>
      </c>
      <c r="B10" s="28">
        <v>40488</v>
      </c>
      <c r="C10" s="42">
        <v>-1.6</v>
      </c>
      <c r="D10" s="43">
        <v>0.80972222222222223</v>
      </c>
      <c r="E10" s="44">
        <f>Effort!F8</f>
        <v>2130.2580218326166</v>
      </c>
      <c r="F10" s="45">
        <f>Harvest!F8</f>
        <v>23852.839500467879</v>
      </c>
      <c r="G10" s="42">
        <f>CPUE!F8</f>
        <v>11.197159806936334</v>
      </c>
      <c r="H10" s="44">
        <f>Effort!H8</f>
        <v>1263</v>
      </c>
      <c r="I10" s="45">
        <f>Harvest!H8</f>
        <v>8052</v>
      </c>
      <c r="J10" s="42">
        <f>CPUE!H8</f>
        <v>6.3752969121140142</v>
      </c>
      <c r="K10" s="44">
        <f>Effort!J8</f>
        <v>4062</v>
      </c>
      <c r="L10" s="45">
        <f>Harvest!J8</f>
        <v>41437</v>
      </c>
      <c r="M10" s="42">
        <f>CPUE!J8</f>
        <v>10.201132447070409</v>
      </c>
      <c r="N10" s="44">
        <f>Effort!L8</f>
        <v>1123</v>
      </c>
      <c r="O10" s="45">
        <f>Harvest!L8</f>
        <v>13977</v>
      </c>
      <c r="P10" s="42">
        <f>CPUE!L8</f>
        <v>12.446126447016919</v>
      </c>
      <c r="Q10" s="44">
        <f>Effort!N8</f>
        <v>124.28435036963243</v>
      </c>
      <c r="R10" s="45">
        <f>Harvest!N8</f>
        <v>524.96225603889525</v>
      </c>
      <c r="S10" s="46">
        <f>CPUE!N8</f>
        <v>4.2238805970149258</v>
      </c>
      <c r="T10" s="44">
        <f>E10+H10+K10+N10+Q10</f>
        <v>8702.5423722022497</v>
      </c>
      <c r="U10" s="54">
        <f>F10+I10+L10+O10+R10</f>
        <v>87843.801756506771</v>
      </c>
    </row>
    <row r="11" spans="1:21" x14ac:dyDescent="0.25">
      <c r="A11" s="53">
        <v>40489</v>
      </c>
      <c r="B11" s="28">
        <v>40489</v>
      </c>
      <c r="C11" s="42">
        <v>-1.5</v>
      </c>
      <c r="D11" s="43">
        <v>0.7993055555555556</v>
      </c>
      <c r="E11" s="44" t="str">
        <f>Effort!F9</f>
        <v>CLOSED</v>
      </c>
      <c r="F11" s="45" t="str">
        <f>Harvest!F9</f>
        <v>CLOSED</v>
      </c>
      <c r="G11" s="42" t="str">
        <f>CPUE!F9</f>
        <v>CLOSED</v>
      </c>
      <c r="H11" s="44">
        <f>Effort!H9</f>
        <v>884</v>
      </c>
      <c r="I11" s="45">
        <f>Harvest!H9</f>
        <v>12021</v>
      </c>
      <c r="J11" s="42">
        <f>CPUE!H9</f>
        <v>13.598416289592761</v>
      </c>
      <c r="K11" s="44" t="str">
        <f>Effort!J9</f>
        <v>CLOSED</v>
      </c>
      <c r="L11" s="45" t="str">
        <f>Harvest!J9</f>
        <v>CLOSED</v>
      </c>
      <c r="M11" s="42" t="str">
        <f>CPUE!J9</f>
        <v>CLOSED</v>
      </c>
      <c r="N11" s="44" t="str">
        <f>Effort!L9</f>
        <v>CLOSED</v>
      </c>
      <c r="O11" s="45" t="str">
        <f>Harvest!L9</f>
        <v>CLOSED</v>
      </c>
      <c r="P11" s="42" t="str">
        <f>CPUE!L9</f>
        <v>CLOSED</v>
      </c>
      <c r="Q11" s="44" t="str">
        <f>Effort!N9</f>
        <v>CLOSED</v>
      </c>
      <c r="R11" s="45" t="str">
        <f>Harvest!N9</f>
        <v>CLOSED</v>
      </c>
      <c r="S11" s="46" t="str">
        <f>CPUE!N9</f>
        <v>CLOSED</v>
      </c>
      <c r="T11" s="44">
        <f>+H11</f>
        <v>884</v>
      </c>
      <c r="U11" s="54">
        <f>+I11</f>
        <v>12021</v>
      </c>
    </row>
    <row r="12" spans="1:21" x14ac:dyDescent="0.25">
      <c r="A12" s="53">
        <v>40490</v>
      </c>
      <c r="B12" s="28">
        <v>40490</v>
      </c>
      <c r="C12" s="42">
        <v>-1.2</v>
      </c>
      <c r="D12" s="43">
        <v>0.82986111111111116</v>
      </c>
      <c r="E12" s="44" t="str">
        <f>Effort!F10</f>
        <v>CLOSED</v>
      </c>
      <c r="F12" s="45" t="str">
        <f>Harvest!F10</f>
        <v>CLOSED</v>
      </c>
      <c r="G12" s="42" t="str">
        <f>CPUE!F10</f>
        <v>CLOSED</v>
      </c>
      <c r="H12" s="44">
        <f>Effort!H10</f>
        <v>406</v>
      </c>
      <c r="I12" s="45">
        <f>Harvest!H10</f>
        <v>5728</v>
      </c>
      <c r="J12" s="42">
        <f>CPUE!H10</f>
        <v>14.108374384236454</v>
      </c>
      <c r="K12" s="44" t="str">
        <f>Effort!J10</f>
        <v>CLOSED</v>
      </c>
      <c r="L12" s="45" t="str">
        <f>Harvest!J10</f>
        <v>CLOSED</v>
      </c>
      <c r="M12" s="42" t="str">
        <f>CPUE!J10</f>
        <v>CLOSED</v>
      </c>
      <c r="N12" s="44" t="str">
        <f>Effort!L10</f>
        <v>CLOSED</v>
      </c>
      <c r="O12" s="45" t="str">
        <f>Harvest!L10</f>
        <v>CLOSED</v>
      </c>
      <c r="P12" s="42" t="str">
        <f>CPUE!L10</f>
        <v>CLOSED</v>
      </c>
      <c r="Q12" s="44" t="str">
        <f>Effort!N10</f>
        <v>CLOSED</v>
      </c>
      <c r="R12" s="45" t="str">
        <f>Harvest!N10</f>
        <v>CLOSED</v>
      </c>
      <c r="S12" s="52" t="str">
        <f>CPUE!N10</f>
        <v>CLOSED</v>
      </c>
      <c r="T12" s="44">
        <f>H12</f>
        <v>406</v>
      </c>
      <c r="U12" s="54">
        <f>I12</f>
        <v>5728</v>
      </c>
    </row>
    <row r="13" spans="1:21" x14ac:dyDescent="0.25">
      <c r="A13" s="250" t="s">
        <v>61</v>
      </c>
      <c r="B13" s="250"/>
      <c r="C13" s="250"/>
      <c r="D13" s="251"/>
      <c r="E13" s="50">
        <f>SUM(E9:E12)</f>
        <v>4614.2580218326166</v>
      </c>
      <c r="F13" s="51">
        <f>SUM(F9:F12)</f>
        <v>61112.839500467875</v>
      </c>
      <c r="G13" s="49">
        <f>F13/E13</f>
        <v>13.244348107823425</v>
      </c>
      <c r="H13" s="50">
        <f>SUM(H9:H12)</f>
        <v>4025.7286403085827</v>
      </c>
      <c r="I13" s="51">
        <f>SUM(I9:I12)</f>
        <v>38378.85346663298</v>
      </c>
      <c r="J13" s="49">
        <f>I13/H13</f>
        <v>9.5333930564408682</v>
      </c>
      <c r="K13" s="50">
        <f>SUM(K9:K12)</f>
        <v>8175</v>
      </c>
      <c r="L13" s="51">
        <f>SUM(L9:L12)</f>
        <v>97940</v>
      </c>
      <c r="M13" s="49">
        <f>L13/K13</f>
        <v>11.980428134556576</v>
      </c>
      <c r="N13" s="50">
        <f>SUM(N9:N12)</f>
        <v>3056</v>
      </c>
      <c r="O13" s="51">
        <f>SUM(O9:O12)</f>
        <v>44035</v>
      </c>
      <c r="P13" s="49">
        <f>O13/N13</f>
        <v>14.409358638743456</v>
      </c>
      <c r="Q13" s="50">
        <f>SUM(Q9:Q12)</f>
        <v>409.37655802013364</v>
      </c>
      <c r="R13" s="51">
        <f>SUM(R9:R12)</f>
        <v>4774.947944162107</v>
      </c>
      <c r="S13" s="49">
        <f>R13/Q13</f>
        <v>11.663950586851309</v>
      </c>
      <c r="T13" s="50">
        <f>SUM(T9:T12)</f>
        <v>20280.363220161333</v>
      </c>
      <c r="U13" s="51">
        <f>SUM(U9:U12)</f>
        <v>246241.64091126295</v>
      </c>
    </row>
    <row r="14" spans="1:21" x14ac:dyDescent="0.25">
      <c r="A14" s="53">
        <v>40502</v>
      </c>
      <c r="B14" s="28">
        <v>40502</v>
      </c>
      <c r="C14" s="42">
        <v>-0.4</v>
      </c>
      <c r="D14" s="43">
        <v>0.73541666666666661</v>
      </c>
      <c r="E14" s="44">
        <f>Effort!F12</f>
        <v>1902</v>
      </c>
      <c r="F14" s="45">
        <f>Harvest!F12</f>
        <v>28648</v>
      </c>
      <c r="G14" s="42">
        <f>CPUE!F12</f>
        <v>15.062039957939012</v>
      </c>
      <c r="H14" s="44">
        <f>Effort!H12</f>
        <v>1518</v>
      </c>
      <c r="I14" s="45">
        <f>Harvest!H12</f>
        <v>22251</v>
      </c>
      <c r="J14" s="42">
        <f>CPUE!H12</f>
        <v>14.65810276679842</v>
      </c>
      <c r="K14" s="44" t="str">
        <f>Effort!J12</f>
        <v>CLOSED</v>
      </c>
      <c r="L14" s="45" t="str">
        <f>Harvest!J12</f>
        <v>CLOSED</v>
      </c>
      <c r="M14" s="42" t="str">
        <f>CPUE!J12</f>
        <v>CLOSED</v>
      </c>
      <c r="N14" s="44" t="str">
        <f>Effort!L12</f>
        <v>CLOSED</v>
      </c>
      <c r="O14" s="45" t="str">
        <f>Harvest!L12</f>
        <v>CLOSED</v>
      </c>
      <c r="P14" s="42" t="str">
        <f>CPUE!L12</f>
        <v>CLOSED</v>
      </c>
      <c r="Q14" s="44" t="str">
        <f>Effort!N12</f>
        <v>CLOSED</v>
      </c>
      <c r="R14" s="45" t="str">
        <f>Harvest!N12</f>
        <v>CLOSED</v>
      </c>
      <c r="S14" s="46" t="str">
        <f>CPUE!N12</f>
        <v>CLOSED</v>
      </c>
      <c r="T14" s="44">
        <f>+E14+H14</f>
        <v>3420</v>
      </c>
      <c r="U14" s="54">
        <f>+F14+I14</f>
        <v>50899</v>
      </c>
    </row>
    <row r="15" spans="1:21" x14ac:dyDescent="0.25">
      <c r="A15" s="53">
        <v>40503</v>
      </c>
      <c r="B15" s="28">
        <v>40503</v>
      </c>
      <c r="C15" s="42">
        <v>-0.7</v>
      </c>
      <c r="D15" s="43">
        <v>0.76180555555555562</v>
      </c>
      <c r="E15" s="44">
        <f>Effort!F13</f>
        <v>708</v>
      </c>
      <c r="F15" s="45">
        <f>Harvest!F13</f>
        <v>10620</v>
      </c>
      <c r="G15" s="42">
        <f>CPUE!F13</f>
        <v>15</v>
      </c>
      <c r="H15" s="44">
        <f>Effort!H13</f>
        <v>375</v>
      </c>
      <c r="I15" s="45">
        <f>Harvest!H13</f>
        <v>5625</v>
      </c>
      <c r="J15" s="42">
        <f>CPUE!H13</f>
        <v>15</v>
      </c>
      <c r="K15" s="44" t="str">
        <f>Effort!J13</f>
        <v>CLOSED</v>
      </c>
      <c r="L15" s="45" t="str">
        <f>Harvest!J13</f>
        <v>CLOSED</v>
      </c>
      <c r="M15" s="42" t="str">
        <f>CPUE!J13</f>
        <v>CLOSED</v>
      </c>
      <c r="N15" s="44" t="str">
        <f>Effort!L13</f>
        <v>CLOSED</v>
      </c>
      <c r="O15" s="45" t="str">
        <f>Harvest!L13</f>
        <v>CLOSED</v>
      </c>
      <c r="P15" s="42" t="str">
        <f>CPUE!L13</f>
        <v>CLOSED</v>
      </c>
      <c r="Q15" s="44" t="str">
        <f>Effort!N13</f>
        <v>CLOSED</v>
      </c>
      <c r="R15" s="45" t="str">
        <f>Harvest!N13</f>
        <v>CLOSED</v>
      </c>
      <c r="S15" s="52" t="str">
        <f>CPUE!N13</f>
        <v>CLOSED</v>
      </c>
      <c r="T15" s="44">
        <f>+E15+H15</f>
        <v>1083</v>
      </c>
      <c r="U15" s="54">
        <f>+F15+I15</f>
        <v>16245</v>
      </c>
    </row>
    <row r="16" spans="1:21" x14ac:dyDescent="0.25">
      <c r="A16" s="250" t="s">
        <v>61</v>
      </c>
      <c r="B16" s="250"/>
      <c r="C16" s="250"/>
      <c r="D16" s="251"/>
      <c r="E16" s="50">
        <f>SUM(E14:E15)</f>
        <v>2610</v>
      </c>
      <c r="F16" s="51">
        <f>SUM(F14:F15)</f>
        <v>39268</v>
      </c>
      <c r="G16" s="49">
        <f>F16/E16</f>
        <v>15.045210727969348</v>
      </c>
      <c r="H16" s="50">
        <f>SUM(H14:H15)</f>
        <v>1893</v>
      </c>
      <c r="I16" s="51">
        <f>SUM(I14:I15)</f>
        <v>27876</v>
      </c>
      <c r="J16" s="49">
        <f>I16/H16</f>
        <v>14.725832012678289</v>
      </c>
      <c r="K16" s="50">
        <f>SUM(K14:K15)</f>
        <v>0</v>
      </c>
      <c r="L16" s="51">
        <f>SUM(L14:L15)</f>
        <v>0</v>
      </c>
      <c r="M16" s="49" t="e">
        <f>L16/K16</f>
        <v>#DIV/0!</v>
      </c>
      <c r="N16" s="50">
        <f>SUM(N14:N15)</f>
        <v>0</v>
      </c>
      <c r="O16" s="51">
        <f>SUM(O14:O15)</f>
        <v>0</v>
      </c>
      <c r="P16" s="49" t="e">
        <f>O16/N16</f>
        <v>#DIV/0!</v>
      </c>
      <c r="Q16" s="50">
        <f>SUM(Q14:Q15)</f>
        <v>0</v>
      </c>
      <c r="R16" s="51">
        <f>SUM(R14:R15)</f>
        <v>0</v>
      </c>
      <c r="S16" s="49"/>
      <c r="T16" s="50">
        <f>SUM(T14:T15)</f>
        <v>4503</v>
      </c>
      <c r="U16" s="51">
        <f>SUM(U14:U15)</f>
        <v>67144</v>
      </c>
    </row>
    <row r="17" spans="1:21" x14ac:dyDescent="0.25">
      <c r="A17" s="53">
        <v>40515</v>
      </c>
      <c r="B17" s="28">
        <v>40515</v>
      </c>
      <c r="C17" s="42">
        <v>-0.8</v>
      </c>
      <c r="D17" s="43">
        <v>0.69652777777777775</v>
      </c>
      <c r="E17" s="44" t="str">
        <f>Effort!F15</f>
        <v>CLOSED</v>
      </c>
      <c r="F17" s="54" t="str">
        <f>Harvest!F15</f>
        <v>CLOSED</v>
      </c>
      <c r="G17" s="52" t="str">
        <f>CPUE!F15</f>
        <v>CLOSED</v>
      </c>
      <c r="H17" s="44">
        <f>Effort!H15</f>
        <v>1250</v>
      </c>
      <c r="I17" s="54">
        <f>Harvest!H15</f>
        <v>18750</v>
      </c>
      <c r="J17" s="52">
        <f>CPUE!H15</f>
        <v>15</v>
      </c>
      <c r="K17" s="44" t="str">
        <f>Effort!J15</f>
        <v>CLOSED</v>
      </c>
      <c r="L17" s="54" t="str">
        <f>Harvest!J15</f>
        <v>CLOSED</v>
      </c>
      <c r="M17" s="52" t="str">
        <f>CPUE!J15</f>
        <v>CLOSED</v>
      </c>
      <c r="N17" s="44" t="str">
        <f>Effort!L15</f>
        <v>CLOSED</v>
      </c>
      <c r="O17" s="54" t="str">
        <f>Harvest!L15</f>
        <v>CLOSED</v>
      </c>
      <c r="P17" s="52" t="str">
        <f>CPUE!L15</f>
        <v>CLOSED</v>
      </c>
      <c r="Q17" s="44" t="str">
        <f>Effort!N15</f>
        <v>CLOSED</v>
      </c>
      <c r="R17" s="54" t="str">
        <f>Harvest!N15</f>
        <v>CLOSED</v>
      </c>
      <c r="S17" s="52" t="str">
        <f>CPUE!N15</f>
        <v>CLOSED</v>
      </c>
      <c r="T17" s="44">
        <f>+H17</f>
        <v>1250</v>
      </c>
      <c r="U17" s="54">
        <f>+I17</f>
        <v>18750</v>
      </c>
    </row>
    <row r="18" spans="1:21" x14ac:dyDescent="0.25">
      <c r="A18" s="53">
        <v>40516</v>
      </c>
      <c r="B18" s="28">
        <v>40516</v>
      </c>
      <c r="C18" s="42">
        <v>-1.2</v>
      </c>
      <c r="D18" s="43">
        <v>0.7284722222222223</v>
      </c>
      <c r="E18" s="44">
        <f>Effort!F16</f>
        <v>2142</v>
      </c>
      <c r="F18" s="54">
        <f>Harvest!F16</f>
        <v>32130</v>
      </c>
      <c r="G18" s="52">
        <f>CPUE!F16</f>
        <v>15</v>
      </c>
      <c r="H18" s="44">
        <f>Effort!H16</f>
        <v>1929</v>
      </c>
      <c r="I18" s="54">
        <f>Harvest!H16</f>
        <v>28935</v>
      </c>
      <c r="J18" s="52">
        <f>CPUE!H16</f>
        <v>15</v>
      </c>
      <c r="K18" s="44">
        <f>Effort!J16</f>
        <v>4432</v>
      </c>
      <c r="L18" s="54">
        <f>Harvest!J16</f>
        <v>66481</v>
      </c>
      <c r="M18" s="52">
        <f>CPUE!J16</f>
        <v>15.000225631768952</v>
      </c>
      <c r="N18" s="44">
        <f>Effort!L16</f>
        <v>1504</v>
      </c>
      <c r="O18" s="54">
        <f>Harvest!L16</f>
        <v>22553</v>
      </c>
      <c r="P18" s="52">
        <f>CPUE!L16</f>
        <v>14.995345744680851</v>
      </c>
      <c r="Q18" s="44">
        <f>Effort!N16</f>
        <v>185.8166482280912</v>
      </c>
      <c r="R18" s="54">
        <f>Harvest!N16</f>
        <v>2162.589501718423</v>
      </c>
      <c r="S18" s="52">
        <f>CPUE!N16</f>
        <v>11.638297872340425</v>
      </c>
      <c r="T18" s="44">
        <f>E18+H18+K18+N18+Q18</f>
        <v>10192.81664822809</v>
      </c>
      <c r="U18" s="54">
        <f>F18+I18+L18+O18+R18</f>
        <v>152261.58950171841</v>
      </c>
    </row>
    <row r="19" spans="1:21" x14ac:dyDescent="0.25">
      <c r="A19" s="53">
        <v>40517</v>
      </c>
      <c r="B19" s="28">
        <v>40517</v>
      </c>
      <c r="C19" s="42">
        <v>-1.3</v>
      </c>
      <c r="D19" s="43">
        <v>0.7597222222222223</v>
      </c>
      <c r="E19" s="44">
        <f>Effort!F17</f>
        <v>1024</v>
      </c>
      <c r="F19" s="54">
        <f>Harvest!F17</f>
        <v>15360</v>
      </c>
      <c r="G19" s="52">
        <f>CPUE!F17</f>
        <v>15</v>
      </c>
      <c r="H19" s="44">
        <f>Effort!H17</f>
        <v>766.9204851752022</v>
      </c>
      <c r="I19" s="54">
        <f>Harvest!H17</f>
        <v>11507.832401105195</v>
      </c>
      <c r="J19" s="52">
        <f>CPUE!H17</f>
        <v>15.0052484234741</v>
      </c>
      <c r="K19" s="44">
        <f>Effort!J17</f>
        <v>1691</v>
      </c>
      <c r="L19" s="54">
        <f>Harvest!J17</f>
        <v>25368</v>
      </c>
      <c r="M19" s="52">
        <f>CPUE!J17</f>
        <v>15.001774098166765</v>
      </c>
      <c r="N19" s="44">
        <f>Effort!L17</f>
        <v>669</v>
      </c>
      <c r="O19" s="54">
        <f>Harvest!L17</f>
        <v>10042</v>
      </c>
      <c r="P19" s="52">
        <f>CPUE!L17</f>
        <v>15.010463378176382</v>
      </c>
      <c r="Q19" s="44">
        <f>Effort!N17</f>
        <v>95.877274553973479</v>
      </c>
      <c r="R19" s="54">
        <f>Harvest!N17</f>
        <v>1042.6653607744613</v>
      </c>
      <c r="S19" s="52">
        <f>CPUE!N17</f>
        <v>10.874999999999996</v>
      </c>
      <c r="T19" s="44">
        <f>E19+H19+K19+N19+Q19</f>
        <v>4246.7977597291756</v>
      </c>
      <c r="U19" s="54">
        <f>F19+I19+L19+O19+R19</f>
        <v>63320.497761879655</v>
      </c>
    </row>
    <row r="20" spans="1:21" x14ac:dyDescent="0.25">
      <c r="A20" s="53">
        <v>40518</v>
      </c>
      <c r="B20" s="28">
        <v>40518</v>
      </c>
      <c r="C20" s="42">
        <v>-1.2</v>
      </c>
      <c r="D20" s="43">
        <v>0.78888888888888886</v>
      </c>
      <c r="E20" s="44" t="str">
        <f>Effort!F18</f>
        <v>CLOSED</v>
      </c>
      <c r="F20" s="54" t="str">
        <f>Harvest!F18</f>
        <v>CLOSED</v>
      </c>
      <c r="G20" s="52" t="str">
        <f>CPUE!F18</f>
        <v>CLOSED</v>
      </c>
      <c r="H20" s="44">
        <f>Effort!H18</f>
        <v>362</v>
      </c>
      <c r="I20" s="54">
        <f>Harvest!H18</f>
        <v>5430</v>
      </c>
      <c r="J20" s="52">
        <f>CPUE!H18</f>
        <v>15</v>
      </c>
      <c r="K20" s="44" t="str">
        <f>Effort!J18</f>
        <v>CLOSED</v>
      </c>
      <c r="L20" s="54" t="str">
        <f>Harvest!J18</f>
        <v>CLOSED</v>
      </c>
      <c r="M20" s="52" t="str">
        <f>CPUE!J18</f>
        <v>CLOSED</v>
      </c>
      <c r="N20" s="44" t="str">
        <f>Effort!L18</f>
        <v>CLOSED</v>
      </c>
      <c r="O20" s="54" t="str">
        <f>Harvest!L18</f>
        <v>CLOSED</v>
      </c>
      <c r="P20" s="52" t="str">
        <f>CPUE!L18</f>
        <v>CLOSED</v>
      </c>
      <c r="Q20" s="44" t="str">
        <f>Effort!N18</f>
        <v>CLOSED</v>
      </c>
      <c r="R20" s="54" t="str">
        <f>Harvest!N18</f>
        <v>CLOSED</v>
      </c>
      <c r="S20" s="52" t="str">
        <f>CPUE!N18</f>
        <v>CLOSED</v>
      </c>
      <c r="T20" s="44">
        <f>+H20</f>
        <v>362</v>
      </c>
      <c r="U20" s="54">
        <f>+I20</f>
        <v>5430</v>
      </c>
    </row>
    <row r="21" spans="1:21" x14ac:dyDescent="0.25">
      <c r="A21" s="250" t="s">
        <v>61</v>
      </c>
      <c r="B21" s="250"/>
      <c r="C21" s="250"/>
      <c r="D21" s="251"/>
      <c r="E21" s="50">
        <f>SUM(E17:E20)</f>
        <v>3166</v>
      </c>
      <c r="F21" s="51">
        <f>SUM(F17:F20)</f>
        <v>47490</v>
      </c>
      <c r="G21" s="49">
        <f>F21/E21</f>
        <v>15</v>
      </c>
      <c r="H21" s="50">
        <f>SUM(H17:H20)</f>
        <v>4307.920485175202</v>
      </c>
      <c r="I21" s="51">
        <f>SUM(I17:I20)</f>
        <v>64622.832401105195</v>
      </c>
      <c r="J21" s="49">
        <f>I21/H21</f>
        <v>15.000934354171815</v>
      </c>
      <c r="K21" s="50">
        <f>SUM(K17:K20)</f>
        <v>6123</v>
      </c>
      <c r="L21" s="51">
        <f>SUM(L17:L20)</f>
        <v>91849</v>
      </c>
      <c r="M21" s="49">
        <f>L21/K21</f>
        <v>15.000653274538625</v>
      </c>
      <c r="N21" s="50">
        <f>SUM(N17:N20)</f>
        <v>2173</v>
      </c>
      <c r="O21" s="51">
        <f>SUM(O17:O20)</f>
        <v>32595</v>
      </c>
      <c r="P21" s="49">
        <f>O21/N21</f>
        <v>15</v>
      </c>
      <c r="Q21" s="50">
        <f>SUM(Q17:Q20)</f>
        <v>281.69392278206465</v>
      </c>
      <c r="R21" s="51">
        <f>SUM(R17:R20)</f>
        <v>3205.2548624928841</v>
      </c>
      <c r="S21" s="49">
        <f>R21/Q21</f>
        <v>11.378501995489133</v>
      </c>
      <c r="T21" s="50">
        <f>SUM(T17:T20)</f>
        <v>16051.614407957266</v>
      </c>
      <c r="U21" s="51">
        <f>SUM(U17:U20)</f>
        <v>239762.08726359805</v>
      </c>
    </row>
    <row r="22" spans="1:21" x14ac:dyDescent="0.25">
      <c r="A22" s="53">
        <v>40543</v>
      </c>
      <c r="B22" s="28">
        <v>40543</v>
      </c>
      <c r="C22" s="42">
        <v>0</v>
      </c>
      <c r="D22" s="43">
        <v>0.65277777777777779</v>
      </c>
      <c r="E22" s="44">
        <f>Effort!F20</f>
        <v>5329</v>
      </c>
      <c r="F22" s="45">
        <f>Harvest!F20</f>
        <v>68435</v>
      </c>
      <c r="G22" s="42">
        <f>CPUE!F20</f>
        <v>12.841996622255582</v>
      </c>
      <c r="H22" s="44">
        <f>Effort!H20</f>
        <v>4718.5107816711588</v>
      </c>
      <c r="I22" s="45">
        <f>Harvest!H20</f>
        <v>60964.537704697083</v>
      </c>
      <c r="J22" s="42">
        <f>CPUE!H20</f>
        <v>12.920292127234521</v>
      </c>
      <c r="K22" s="44">
        <f>Effort!J20</f>
        <v>10424</v>
      </c>
      <c r="L22" s="45">
        <f>Harvest!J20</f>
        <v>127837</v>
      </c>
      <c r="M22" s="42">
        <f>CPUE!J20</f>
        <v>12.26371834228703</v>
      </c>
      <c r="N22" s="44">
        <f>Effort!L20</f>
        <v>4096</v>
      </c>
      <c r="O22" s="45">
        <f>Harvest!L20</f>
        <v>59753</v>
      </c>
      <c r="P22" s="42">
        <f>CPUE!L20</f>
        <v>14.588134765625</v>
      </c>
      <c r="Q22" s="44">
        <f>Effort!N20</f>
        <v>379.92565714285712</v>
      </c>
      <c r="R22" s="45">
        <f>Harvest!N20</f>
        <v>2567.3764103896106</v>
      </c>
      <c r="S22" s="46">
        <f>CPUE!N20</f>
        <v>6.7575757575757587</v>
      </c>
      <c r="T22" s="44">
        <f t="shared" ref="T22:T23" si="0">E22+H22+K22+N22+Q22</f>
        <v>24947.436438814017</v>
      </c>
      <c r="U22" s="54">
        <f t="shared" ref="U22:U23" si="1">F22+I22+L22+O22+R22</f>
        <v>319556.91411508672</v>
      </c>
    </row>
    <row r="23" spans="1:21" x14ac:dyDescent="0.25">
      <c r="A23" s="53">
        <v>40544</v>
      </c>
      <c r="B23" s="28">
        <v>40544</v>
      </c>
      <c r="C23" s="42">
        <v>-0.4</v>
      </c>
      <c r="D23" s="43">
        <v>0.68888888888888899</v>
      </c>
      <c r="E23" s="44">
        <f>Effort!F21</f>
        <v>5419</v>
      </c>
      <c r="F23" s="45">
        <f>Harvest!F21</f>
        <v>65284</v>
      </c>
      <c r="G23" s="42">
        <f>CPUE!F21</f>
        <v>12.047241188411146</v>
      </c>
      <c r="H23" s="44">
        <f>Effort!H21</f>
        <v>3590.5527291105122</v>
      </c>
      <c r="I23" s="45">
        <f>Harvest!H21</f>
        <v>43550.044645865622</v>
      </c>
      <c r="J23" s="42">
        <f>CPUE!H21</f>
        <v>12.129064222558926</v>
      </c>
      <c r="K23" s="44">
        <f>Effort!J21</f>
        <v>5797</v>
      </c>
      <c r="L23" s="45">
        <f>Harvest!J21</f>
        <v>61643</v>
      </c>
      <c r="M23" s="42">
        <f>CPUE!J21</f>
        <v>10.63360358806279</v>
      </c>
      <c r="N23" s="44">
        <f>Effort!L21</f>
        <v>5252</v>
      </c>
      <c r="O23" s="45">
        <f>Harvest!L21</f>
        <v>72362</v>
      </c>
      <c r="P23" s="42">
        <f>CPUE!L21</f>
        <v>13.777989337395278</v>
      </c>
      <c r="Q23" s="44">
        <f>Effort!N21</f>
        <v>387.91131250000001</v>
      </c>
      <c r="R23" s="45">
        <f>Harvest!N21</f>
        <v>543.07583750000003</v>
      </c>
      <c r="S23" s="46">
        <f>CPUE!N21</f>
        <v>1.4000000000000001</v>
      </c>
      <c r="T23" s="44">
        <f t="shared" si="0"/>
        <v>20446.46404161051</v>
      </c>
      <c r="U23" s="54">
        <f t="shared" si="1"/>
        <v>243382.12048336561</v>
      </c>
    </row>
    <row r="24" spans="1:21" x14ac:dyDescent="0.25">
      <c r="A24" s="53">
        <v>40545</v>
      </c>
      <c r="B24" s="28">
        <v>40545</v>
      </c>
      <c r="C24" s="42">
        <v>-0.7</v>
      </c>
      <c r="D24" s="43">
        <v>0.72083333333333333</v>
      </c>
      <c r="E24" s="44" t="str">
        <f>Effort!F22</f>
        <v>CLOSED</v>
      </c>
      <c r="F24" s="54" t="str">
        <f>Harvest!F22</f>
        <v>CLOSED</v>
      </c>
      <c r="G24" s="52" t="str">
        <f>CPUE!F22</f>
        <v>CLOSED</v>
      </c>
      <c r="H24" s="44">
        <f>Effort!H22</f>
        <v>1316</v>
      </c>
      <c r="I24" s="54">
        <f>Harvest!H22</f>
        <v>9395</v>
      </c>
      <c r="J24" s="52">
        <f>CPUE!H22</f>
        <v>7.1390577507598785</v>
      </c>
      <c r="K24" s="44" t="str">
        <f>Effort!J22</f>
        <v>CLOSED</v>
      </c>
      <c r="L24" s="54" t="str">
        <f>Harvest!J22</f>
        <v>CLOSED</v>
      </c>
      <c r="M24" s="52" t="str">
        <f>CPUE!J22</f>
        <v>CLOSED</v>
      </c>
      <c r="N24" s="44" t="str">
        <f>Effort!L22</f>
        <v>CLOSED</v>
      </c>
      <c r="O24" s="54" t="str">
        <f>Harvest!L22</f>
        <v>CLOSED</v>
      </c>
      <c r="P24" s="52" t="str">
        <f>CPUE!L22</f>
        <v>CLOSED</v>
      </c>
      <c r="Q24" s="44" t="str">
        <f>Effort!N22</f>
        <v>CLOSED</v>
      </c>
      <c r="R24" s="54" t="str">
        <f>Harvest!N22</f>
        <v>CLOSED</v>
      </c>
      <c r="S24" s="52" t="str">
        <f>CPUE!N22</f>
        <v>CLOSED</v>
      </c>
      <c r="T24" s="44">
        <f>+H24</f>
        <v>1316</v>
      </c>
      <c r="U24" s="54">
        <f>+I24</f>
        <v>9395</v>
      </c>
    </row>
    <row r="25" spans="1:21" x14ac:dyDescent="0.25">
      <c r="A25" s="250" t="s">
        <v>61</v>
      </c>
      <c r="B25" s="250"/>
      <c r="C25" s="250"/>
      <c r="D25" s="251"/>
      <c r="E25" s="50">
        <f>SUM(E22:E24)</f>
        <v>10748</v>
      </c>
      <c r="F25" s="51">
        <f>SUM(F22:F24)</f>
        <v>133719</v>
      </c>
      <c r="G25" s="49">
        <f>F25/E25</f>
        <v>12.44129140305173</v>
      </c>
      <c r="H25" s="50">
        <f>SUM(H22:H24)</f>
        <v>9625.0635107816706</v>
      </c>
      <c r="I25" s="51">
        <f>SUM(I22:I24)</f>
        <v>113909.5823505627</v>
      </c>
      <c r="J25" s="49">
        <f>I25/H25</f>
        <v>11.83468371122591</v>
      </c>
      <c r="K25" s="50">
        <f>SUM(K22:K24)</f>
        <v>16221</v>
      </c>
      <c r="L25" s="51">
        <f>SUM(L22:L24)</f>
        <v>189480</v>
      </c>
      <c r="M25" s="49">
        <f>L25/K25</f>
        <v>11.681154059552432</v>
      </c>
      <c r="N25" s="50">
        <f>SUM(N22:N24)</f>
        <v>9348</v>
      </c>
      <c r="O25" s="51">
        <f>SUM(O22:O24)</f>
        <v>132115</v>
      </c>
      <c r="P25" s="49">
        <f>O25/N25</f>
        <v>14.132969619169875</v>
      </c>
      <c r="Q25" s="50">
        <f>SUM(Q22:Q24)</f>
        <v>767.83696964285718</v>
      </c>
      <c r="R25" s="51">
        <f>SUM(R22:R24)</f>
        <v>3110.4522478896106</v>
      </c>
      <c r="S25" s="49">
        <f>R25/Q25</f>
        <v>4.0509279584914628</v>
      </c>
      <c r="T25" s="50">
        <f>SUM(T22:T24)</f>
        <v>46709.900480424527</v>
      </c>
      <c r="U25" s="51">
        <f>SUM(U22:U24)</f>
        <v>572334.03459845227</v>
      </c>
    </row>
    <row r="26" spans="1:21" x14ac:dyDescent="0.25">
      <c r="A26" s="53">
        <v>40563</v>
      </c>
      <c r="B26" s="28">
        <v>40563</v>
      </c>
      <c r="C26" s="42">
        <v>-1.3</v>
      </c>
      <c r="D26" s="43">
        <v>0.7909722222222223</v>
      </c>
      <c r="E26" s="44">
        <f>Effort!F24</f>
        <v>811</v>
      </c>
      <c r="F26" s="54">
        <f>Harvest!F24</f>
        <v>3652</v>
      </c>
      <c r="G26" s="52">
        <f>CPUE!F24</f>
        <v>4.5030826140567202</v>
      </c>
      <c r="H26" s="44">
        <f>Effort!H24</f>
        <v>559</v>
      </c>
      <c r="I26" s="54">
        <f>Harvest!H24</f>
        <v>738</v>
      </c>
      <c r="J26" s="52">
        <f>CPUE!H24</f>
        <v>1.3202146690518783</v>
      </c>
      <c r="K26" s="44" t="str">
        <f>Effort!J24</f>
        <v>CLOSED</v>
      </c>
      <c r="L26" s="54" t="str">
        <f>Harvest!J24</f>
        <v>CLOSED</v>
      </c>
      <c r="M26" s="52" t="str">
        <f>CPUE!J24</f>
        <v>CLOSED</v>
      </c>
      <c r="N26" s="44" t="str">
        <f>Effort!L24</f>
        <v>CLOSED</v>
      </c>
      <c r="O26" s="54" t="str">
        <f>Harvest!L24</f>
        <v>CLOSED</v>
      </c>
      <c r="P26" s="52" t="str">
        <f>CPUE!L24</f>
        <v>CLOSED</v>
      </c>
      <c r="Q26" s="44" t="str">
        <f>Effort!N24</f>
        <v>CLOSED</v>
      </c>
      <c r="R26" s="54" t="str">
        <f>Harvest!N24</f>
        <v>CLOSED</v>
      </c>
      <c r="S26" s="52" t="str">
        <f>CPUE!N24</f>
        <v>CLOSED</v>
      </c>
      <c r="T26" s="44">
        <f>E26+H26</f>
        <v>1370</v>
      </c>
      <c r="U26" s="54">
        <f>F26+I26</f>
        <v>4390</v>
      </c>
    </row>
    <row r="27" spans="1:21" x14ac:dyDescent="0.25">
      <c r="A27" s="53">
        <v>40564</v>
      </c>
      <c r="B27" s="28">
        <v>40564</v>
      </c>
      <c r="C27" s="109">
        <v>-1.1000000000000001</v>
      </c>
      <c r="D27" s="43">
        <v>0.81805555555555554</v>
      </c>
      <c r="E27" s="44">
        <f>Effort!F25</f>
        <v>1008</v>
      </c>
      <c r="F27" s="54">
        <f>Harvest!F25</f>
        <v>7684</v>
      </c>
      <c r="G27" s="52">
        <f>CPUE!F25</f>
        <v>7.6230158730158726</v>
      </c>
      <c r="H27" s="44">
        <f>Effort!H25</f>
        <v>633.81747099999995</v>
      </c>
      <c r="I27" s="54">
        <f>Harvest!H25</f>
        <v>1922.9377509999999</v>
      </c>
      <c r="J27" s="52">
        <f>CPUE!H25</f>
        <v>3.0338983050847457</v>
      </c>
      <c r="K27" s="44" t="str">
        <f>Effort!J25</f>
        <v>CLOSED</v>
      </c>
      <c r="L27" s="54" t="str">
        <f>Harvest!J25</f>
        <v>CLOSED</v>
      </c>
      <c r="M27" s="52" t="str">
        <f>CPUE!J25</f>
        <v>CLOSED</v>
      </c>
      <c r="N27" s="44" t="str">
        <f>Effort!L25</f>
        <v>CLOSED</v>
      </c>
      <c r="O27" s="54" t="str">
        <f>Harvest!L25</f>
        <v>CLOSED</v>
      </c>
      <c r="P27" s="52" t="str">
        <f>CPUE!L25</f>
        <v>CLOSED</v>
      </c>
      <c r="Q27" s="44">
        <f>Effort!N25</f>
        <v>137.04224903428408</v>
      </c>
      <c r="R27" s="54">
        <f>Harvest!N25</f>
        <v>123.780095901934</v>
      </c>
      <c r="S27" s="52">
        <f>CPUE!N25</f>
        <v>0.90322580645161288</v>
      </c>
      <c r="T27" s="44">
        <f>E27+H27+Q27</f>
        <v>1778.859720034284</v>
      </c>
      <c r="U27" s="54">
        <f>F27+I27+R27</f>
        <v>9730.7178469019327</v>
      </c>
    </row>
    <row r="28" spans="1:21" x14ac:dyDescent="0.25">
      <c r="A28" s="53">
        <v>40565</v>
      </c>
      <c r="B28" s="28">
        <v>40565</v>
      </c>
      <c r="C28" s="109">
        <v>-0.6</v>
      </c>
      <c r="D28" s="43">
        <v>0.84652777777777777</v>
      </c>
      <c r="E28" s="44">
        <f>Effort!F26</f>
        <v>2094</v>
      </c>
      <c r="F28" s="54">
        <f>Harvest!F26</f>
        <v>27187</v>
      </c>
      <c r="G28" s="52">
        <f>CPUE!F26</f>
        <v>12.983285577841452</v>
      </c>
      <c r="H28" s="44">
        <f>Effort!H26</f>
        <v>1930</v>
      </c>
      <c r="I28" s="54">
        <f>Harvest!H26</f>
        <v>13550</v>
      </c>
      <c r="J28" s="52">
        <f>CPUE!H26</f>
        <v>7.0207253886010363</v>
      </c>
      <c r="K28" s="44" t="str">
        <f>Effort!J26</f>
        <v>CLOSED</v>
      </c>
      <c r="L28" s="54" t="str">
        <f>Harvest!J26</f>
        <v>CLOSED</v>
      </c>
      <c r="M28" s="52" t="str">
        <f>CPUE!J26</f>
        <v>CLOSED</v>
      </c>
      <c r="N28" s="44" t="str">
        <f>Effort!L26</f>
        <v>CLOSED</v>
      </c>
      <c r="O28" s="54" t="str">
        <f>Harvest!L26</f>
        <v>CLOSED</v>
      </c>
      <c r="P28" s="52" t="str">
        <f>CPUE!L26</f>
        <v>CLOSED</v>
      </c>
      <c r="Q28" s="44">
        <f>Effort!N26</f>
        <v>199.09149908143695</v>
      </c>
      <c r="R28" s="54">
        <f>Harvest!N26</f>
        <v>298.63724862215543</v>
      </c>
      <c r="S28" s="52">
        <f>CPUE!N26</f>
        <v>1.5</v>
      </c>
      <c r="T28" s="44">
        <f>E28+H28+Q28</f>
        <v>4223.0914990814372</v>
      </c>
      <c r="U28" s="54">
        <f>F28+I28+R28</f>
        <v>41035.637248622159</v>
      </c>
    </row>
    <row r="29" spans="1:21" x14ac:dyDescent="0.25">
      <c r="A29" s="250" t="s">
        <v>61</v>
      </c>
      <c r="B29" s="250"/>
      <c r="C29" s="250"/>
      <c r="D29" s="251"/>
      <c r="E29" s="50">
        <f>SUM(E26:E28)</f>
        <v>3913</v>
      </c>
      <c r="F29" s="51">
        <f>SUM(F26:F28)</f>
        <v>38523</v>
      </c>
      <c r="G29" s="49">
        <f>F29/E29</f>
        <v>9.8448760541783802</v>
      </c>
      <c r="H29" s="50">
        <f>SUM(H26:H28)</f>
        <v>3122.8174709999998</v>
      </c>
      <c r="I29" s="51">
        <f>SUM(I26:I28)</f>
        <v>16210.937750999999</v>
      </c>
      <c r="J29" s="49">
        <f>I29/H29</f>
        <v>5.1911256106201025</v>
      </c>
      <c r="K29" s="50"/>
      <c r="L29" s="51"/>
      <c r="M29" s="49"/>
      <c r="N29" s="50"/>
      <c r="O29" s="51"/>
      <c r="P29" s="49"/>
      <c r="Q29" s="50">
        <f>SUM(Q27:Q28)</f>
        <v>336.133748115721</v>
      </c>
      <c r="R29" s="51">
        <f>SUM(R27:R28)</f>
        <v>422.41734452408946</v>
      </c>
      <c r="S29" s="49">
        <f>R29/Q29</f>
        <v>1.256694238207416</v>
      </c>
      <c r="T29" s="50">
        <f>SUM(T26:T28)</f>
        <v>7371.951219115721</v>
      </c>
      <c r="U29" s="51">
        <f>SUM(U26:U28)</f>
        <v>55156.355095524093</v>
      </c>
    </row>
    <row r="30" spans="1:21" x14ac:dyDescent="0.25">
      <c r="A30" s="53">
        <v>40591</v>
      </c>
      <c r="B30" s="28">
        <v>40591</v>
      </c>
      <c r="C30" s="42">
        <v>-0.9</v>
      </c>
      <c r="D30" s="43">
        <v>0.74513888888888891</v>
      </c>
      <c r="E30" s="44" t="str">
        <f>Effort!F28</f>
        <v>CLOSED</v>
      </c>
      <c r="F30" s="54" t="str">
        <f>Harvest!F28</f>
        <v>CLOSED</v>
      </c>
      <c r="G30" s="52" t="str">
        <f>CPUE!F28</f>
        <v>CLOSED</v>
      </c>
      <c r="H30" s="44">
        <f>Effort!H28</f>
        <v>1684</v>
      </c>
      <c r="I30" s="54">
        <f>Harvest!H28</f>
        <v>23720</v>
      </c>
      <c r="J30" s="52">
        <f>CPUE!H28</f>
        <v>14.085510688836104</v>
      </c>
      <c r="K30" s="44" t="str">
        <f>Effort!J28</f>
        <v>CLOSED</v>
      </c>
      <c r="L30" s="54" t="str">
        <f>Harvest!J28</f>
        <v>CLOSED</v>
      </c>
      <c r="M30" s="52" t="str">
        <f>CPUE!J28</f>
        <v>CLOSED</v>
      </c>
      <c r="N30" s="44" t="str">
        <f>Effort!L28</f>
        <v>CLOSED</v>
      </c>
      <c r="O30" s="54" t="str">
        <f>Harvest!L28</f>
        <v>CLOSED</v>
      </c>
      <c r="P30" s="52" t="str">
        <f>CPUE!L28</f>
        <v>CLOSED</v>
      </c>
      <c r="Q30" s="44" t="str">
        <f>Effort!N28</f>
        <v>CLOSED</v>
      </c>
      <c r="R30" s="54" t="str">
        <f>Harvest!N28</f>
        <v>CLOSED</v>
      </c>
      <c r="S30" s="52" t="str">
        <f>CPUE!N28</f>
        <v>CLOSED</v>
      </c>
      <c r="T30" s="44">
        <f>+H30</f>
        <v>1684</v>
      </c>
      <c r="U30" s="54">
        <f>+I30</f>
        <v>23720</v>
      </c>
    </row>
    <row r="31" spans="1:21" x14ac:dyDescent="0.25">
      <c r="A31" s="53">
        <v>40592</v>
      </c>
      <c r="B31" s="28">
        <v>40592</v>
      </c>
      <c r="C31" s="109">
        <v>-0.9</v>
      </c>
      <c r="D31" s="43">
        <v>0.7729166666666667</v>
      </c>
      <c r="E31" s="44">
        <f>Effort!F29</f>
        <v>2081</v>
      </c>
      <c r="F31" s="54">
        <f>Harvest!F29</f>
        <v>29901</v>
      </c>
      <c r="G31" s="52">
        <f>CPUE!F29</f>
        <v>14.368572801537722</v>
      </c>
      <c r="H31" s="44">
        <f>Effort!H29</f>
        <v>2064.280550310224</v>
      </c>
      <c r="I31" s="54">
        <f>Harvest!H29</f>
        <v>26271.247874667701</v>
      </c>
      <c r="J31" s="52">
        <f>CPUE!H29</f>
        <v>12.726587900428363</v>
      </c>
      <c r="K31" s="44">
        <f>Effort!J29</f>
        <v>5430</v>
      </c>
      <c r="L31" s="54">
        <f>Harvest!J29</f>
        <v>81453</v>
      </c>
      <c r="M31" s="52">
        <f>CPUE!J29</f>
        <v>15.000552486187845</v>
      </c>
      <c r="N31" s="44">
        <f>Effort!L29</f>
        <v>1762</v>
      </c>
      <c r="O31" s="54">
        <f>Harvest!L29</f>
        <v>21146</v>
      </c>
      <c r="P31" s="52">
        <f>CPUE!L29</f>
        <v>12.001135073779796</v>
      </c>
      <c r="Q31" s="44">
        <f>Effort!N29</f>
        <v>114.51341979540206</v>
      </c>
      <c r="R31" s="54">
        <f>Harvest!N29</f>
        <v>204.48824963464656</v>
      </c>
      <c r="S31" s="52">
        <f>CPUE!N29</f>
        <v>1.785714285714286</v>
      </c>
      <c r="T31" s="44">
        <f t="shared" ref="T31:T32" si="2">E31+H31+K31+N31+Q31</f>
        <v>11451.793970105626</v>
      </c>
      <c r="U31" s="54">
        <f t="shared" ref="U31:U32" si="3">F31+I31+L31+O31+R31</f>
        <v>158975.73612430235</v>
      </c>
    </row>
    <row r="32" spans="1:21" x14ac:dyDescent="0.25">
      <c r="A32" s="53">
        <v>40593</v>
      </c>
      <c r="B32" s="28">
        <v>40593</v>
      </c>
      <c r="C32" s="109">
        <v>-0.5</v>
      </c>
      <c r="D32" s="43">
        <v>0.80069444444444438</v>
      </c>
      <c r="E32" s="44">
        <f>Effort!F30</f>
        <v>4286</v>
      </c>
      <c r="F32" s="54">
        <f>Harvest!F30</f>
        <v>61662</v>
      </c>
      <c r="G32" s="52">
        <f>CPUE!F30</f>
        <v>14.386840877274848</v>
      </c>
      <c r="H32" s="44">
        <f>Effort!H30</f>
        <v>2727.59428108983</v>
      </c>
      <c r="I32" s="54">
        <f>Harvest!H30</f>
        <v>32891.871711619409</v>
      </c>
      <c r="J32" s="52">
        <f>CPUE!H30</f>
        <v>12.058931175965519</v>
      </c>
      <c r="K32" s="44">
        <f>Effort!J30</f>
        <v>6223</v>
      </c>
      <c r="L32" s="54">
        <f>Harvest!J30</f>
        <v>83649</v>
      </c>
      <c r="M32" s="52">
        <f>CPUE!J30</f>
        <v>13.441909047083401</v>
      </c>
      <c r="N32" s="44">
        <f>Effort!L30</f>
        <v>3280</v>
      </c>
      <c r="O32" s="54">
        <f>Harvest!L30</f>
        <v>44806</v>
      </c>
      <c r="P32" s="52">
        <f>CPUE!L30</f>
        <v>13.660365853658536</v>
      </c>
      <c r="Q32" s="44">
        <f>Effort!N30</f>
        <v>148.21028691468399</v>
      </c>
      <c r="R32" s="54">
        <f>Harvest!N30</f>
        <v>304.88973308163565</v>
      </c>
      <c r="S32" s="52">
        <f>CPUE!N30</f>
        <v>2.0571428571428574</v>
      </c>
      <c r="T32" s="44">
        <f t="shared" si="2"/>
        <v>16664.804568004514</v>
      </c>
      <c r="U32" s="54">
        <f t="shared" si="3"/>
        <v>223313.76144470103</v>
      </c>
    </row>
    <row r="33" spans="1:21" x14ac:dyDescent="0.25">
      <c r="A33" s="250" t="s">
        <v>61</v>
      </c>
      <c r="B33" s="250"/>
      <c r="C33" s="250"/>
      <c r="D33" s="251"/>
      <c r="E33" s="50">
        <f>SUM(E30:E32)</f>
        <v>6367</v>
      </c>
      <c r="F33" s="51">
        <f>SUM(F30:F32)</f>
        <v>91563</v>
      </c>
      <c r="G33" s="49">
        <f>F33/E33</f>
        <v>14.380870111512486</v>
      </c>
      <c r="H33" s="50">
        <f>SUM(H30:H32)</f>
        <v>6475.8748314000541</v>
      </c>
      <c r="I33" s="51">
        <f>SUM(I30:I32)</f>
        <v>82883.11958628711</v>
      </c>
      <c r="J33" s="49">
        <f>I33/H33</f>
        <v>12.798752561492632</v>
      </c>
      <c r="K33" s="50">
        <f>SUM(K31:K32)</f>
        <v>11653</v>
      </c>
      <c r="L33" s="51">
        <f>SUM(L31:L32)</f>
        <v>165102</v>
      </c>
      <c r="M33" s="49">
        <f>L33/K33</f>
        <v>14.168197030807518</v>
      </c>
      <c r="N33" s="50">
        <f>SUM(N31:N32)</f>
        <v>5042</v>
      </c>
      <c r="O33" s="51">
        <f>SUM(O31:O32)</f>
        <v>65952</v>
      </c>
      <c r="P33" s="49">
        <f>O33/N33</f>
        <v>13.080523601745339</v>
      </c>
      <c r="Q33" s="50">
        <f>SUM(Q31:Q32)</f>
        <v>262.72370671008605</v>
      </c>
      <c r="R33" s="51">
        <f>SUM(R31:R32)</f>
        <v>509.37798271628219</v>
      </c>
      <c r="S33" s="49">
        <f>R33/Q33</f>
        <v>1.9388352467117769</v>
      </c>
      <c r="T33" s="50">
        <f t="shared" ref="T33:U33" si="4">E33+H33+K33+N33+Q33</f>
        <v>29800.598538110142</v>
      </c>
      <c r="U33" s="51">
        <f t="shared" si="4"/>
        <v>406009.49756900343</v>
      </c>
    </row>
    <row r="34" spans="1:21" x14ac:dyDescent="0.25">
      <c r="A34" s="53">
        <v>40621</v>
      </c>
      <c r="B34" s="28">
        <v>40621</v>
      </c>
      <c r="C34" s="42">
        <v>-0.1</v>
      </c>
      <c r="D34" s="43">
        <v>0.7944444444444444</v>
      </c>
      <c r="E34" s="44">
        <f>Effort!F32</f>
        <v>5243</v>
      </c>
      <c r="F34" s="54">
        <f>Harvest!F32</f>
        <v>57414</v>
      </c>
      <c r="G34" s="52">
        <f>CPUE!F32</f>
        <v>10.950600801068092</v>
      </c>
      <c r="H34" s="44">
        <f>Effort!H32</f>
        <v>2226</v>
      </c>
      <c r="I34" s="54">
        <f>Harvest!H32</f>
        <v>12212</v>
      </c>
      <c r="J34" s="52">
        <f>CPUE!H32</f>
        <v>5.4860736747529204</v>
      </c>
      <c r="K34" s="44">
        <f>Effort!J32</f>
        <v>4083</v>
      </c>
      <c r="L34" s="54">
        <f>Harvest!J32</f>
        <v>50610</v>
      </c>
      <c r="M34" s="52">
        <f>CPUE!J32</f>
        <v>12.39529757531227</v>
      </c>
      <c r="N34" s="44">
        <f>Effort!L32</f>
        <v>4610</v>
      </c>
      <c r="O34" s="54">
        <f>Harvest!L32</f>
        <v>50640</v>
      </c>
      <c r="P34" s="52">
        <f>CPUE!L32</f>
        <v>10.984815618221258</v>
      </c>
      <c r="Q34" s="44" t="str">
        <f>Effort!N32</f>
        <v>CLOSED</v>
      </c>
      <c r="R34" s="54" t="str">
        <f>Harvest!N32</f>
        <v>CLOSED</v>
      </c>
      <c r="S34" s="52" t="str">
        <f>CPUE!N32</f>
        <v>CLOSED</v>
      </c>
      <c r="T34" s="44">
        <f>+E34+H34+K34+N34</f>
        <v>16162</v>
      </c>
      <c r="U34" s="54">
        <f>+F34+I34+L34+O34</f>
        <v>170876</v>
      </c>
    </row>
    <row r="35" spans="1:21" x14ac:dyDescent="0.25">
      <c r="A35" s="53">
        <v>40622</v>
      </c>
      <c r="B35" s="28">
        <v>40622</v>
      </c>
      <c r="C35" s="42">
        <v>-0.5</v>
      </c>
      <c r="D35" s="43">
        <v>0.31666666666666665</v>
      </c>
      <c r="E35" s="44">
        <f>Effort!F33</f>
        <v>2947</v>
      </c>
      <c r="F35" s="54">
        <f>Harvest!F33</f>
        <v>43099</v>
      </c>
      <c r="G35" s="52">
        <f>CPUE!F33</f>
        <v>14.624703087885985</v>
      </c>
      <c r="H35" s="44">
        <f>Effort!H33</f>
        <v>1456</v>
      </c>
      <c r="I35" s="54">
        <f>Harvest!H33</f>
        <v>20431</v>
      </c>
      <c r="J35" s="52">
        <f>CPUE!H33</f>
        <v>14.032280219780219</v>
      </c>
      <c r="K35" s="44">
        <f>Effort!J33</f>
        <v>5544</v>
      </c>
      <c r="L35" s="54">
        <f>Harvest!J33</f>
        <v>79431</v>
      </c>
      <c r="M35" s="52">
        <f>CPUE!J33</f>
        <v>14.327380952380953</v>
      </c>
      <c r="N35" s="44">
        <f>Effort!L33</f>
        <v>1808</v>
      </c>
      <c r="O35" s="54">
        <f>Harvest!L33</f>
        <v>26959</v>
      </c>
      <c r="P35" s="52">
        <f>CPUE!L33</f>
        <v>14.910951327433628</v>
      </c>
      <c r="Q35" s="44" t="str">
        <f>Effort!N33</f>
        <v>CLOSED</v>
      </c>
      <c r="R35" s="54" t="str">
        <f>Harvest!N33</f>
        <v>CLOSED</v>
      </c>
      <c r="S35" s="52" t="str">
        <f>CPUE!N33</f>
        <v>CLOSED</v>
      </c>
      <c r="T35" s="44">
        <f>+E35+H35+K35+N35</f>
        <v>11755</v>
      </c>
      <c r="U35" s="54">
        <f>+F35+I35+L35+O35</f>
        <v>169920</v>
      </c>
    </row>
    <row r="36" spans="1:21" x14ac:dyDescent="0.25">
      <c r="A36" s="53">
        <v>40623</v>
      </c>
      <c r="B36" s="28">
        <v>40623</v>
      </c>
      <c r="C36" s="42">
        <v>-0.9</v>
      </c>
      <c r="D36" s="43">
        <v>0.34930555555555554</v>
      </c>
      <c r="E36" s="44">
        <f>Effort!F34</f>
        <v>2599</v>
      </c>
      <c r="F36" s="54">
        <f>Harvest!F34</f>
        <v>35088</v>
      </c>
      <c r="G36" s="52">
        <f>CPUE!F34</f>
        <v>13.500577145055791</v>
      </c>
      <c r="H36" s="44">
        <f>Effort!H34</f>
        <v>1229</v>
      </c>
      <c r="I36" s="54">
        <f>Harvest!H34</f>
        <v>9299</v>
      </c>
      <c r="J36" s="52">
        <f>CPUE!H34</f>
        <v>7.5663140764849475</v>
      </c>
      <c r="K36" s="44" t="str">
        <f>Effort!J34</f>
        <v>CLOSED</v>
      </c>
      <c r="L36" s="54" t="str">
        <f>Harvest!J34</f>
        <v>CLOSED</v>
      </c>
      <c r="M36" s="52" t="str">
        <f>CPUE!J34</f>
        <v>CLOSED</v>
      </c>
      <c r="N36" s="44" t="str">
        <f>Effort!L34</f>
        <v>CLOSED</v>
      </c>
      <c r="O36" s="54" t="str">
        <f>Harvest!L34</f>
        <v>CLOSED</v>
      </c>
      <c r="P36" s="52" t="str">
        <f>CPUE!L34</f>
        <v>CLOSED</v>
      </c>
      <c r="Q36" s="44" t="str">
        <f>Effort!N34</f>
        <v>CLOSED</v>
      </c>
      <c r="R36" s="54" t="str">
        <f>Harvest!N34</f>
        <v>CLOSED</v>
      </c>
      <c r="S36" s="52" t="str">
        <f>CPUE!N34</f>
        <v>CLOSED</v>
      </c>
      <c r="T36" s="44">
        <f>+E36+H36</f>
        <v>3828</v>
      </c>
      <c r="U36" s="54">
        <f>+F36+I36</f>
        <v>44387</v>
      </c>
    </row>
    <row r="37" spans="1:21" x14ac:dyDescent="0.25">
      <c r="A37" s="53">
        <v>40624</v>
      </c>
      <c r="B37" s="28">
        <v>40624</v>
      </c>
      <c r="C37" s="42">
        <v>-1</v>
      </c>
      <c r="D37" s="43">
        <v>0.3833333333333333</v>
      </c>
      <c r="E37" s="44">
        <f>Effort!F35</f>
        <v>1730</v>
      </c>
      <c r="F37" s="54">
        <f>Harvest!F35</f>
        <v>25950</v>
      </c>
      <c r="G37" s="52">
        <f>CPUE!F35</f>
        <v>15</v>
      </c>
      <c r="H37" s="44">
        <f>Effort!H35</f>
        <v>725</v>
      </c>
      <c r="I37" s="54">
        <f>Harvest!H35</f>
        <v>9450</v>
      </c>
      <c r="J37" s="52">
        <f>CPUE!H35</f>
        <v>13.03448275862069</v>
      </c>
      <c r="K37" s="44" t="str">
        <f>Effort!J35</f>
        <v>CLOSED</v>
      </c>
      <c r="L37" s="54" t="str">
        <f>Harvest!J35</f>
        <v>CLOSED</v>
      </c>
      <c r="M37" s="52" t="str">
        <f>CPUE!J35</f>
        <v>CLOSED</v>
      </c>
      <c r="N37" s="44" t="str">
        <f>Effort!L35</f>
        <v>CLOSED</v>
      </c>
      <c r="O37" s="54" t="str">
        <f>Harvest!L35</f>
        <v>CLOSED</v>
      </c>
      <c r="P37" s="52" t="str">
        <f>CPUE!L35</f>
        <v>CLOSED</v>
      </c>
      <c r="Q37" s="44" t="str">
        <f>Effort!N35</f>
        <v>CLOSED</v>
      </c>
      <c r="R37" s="54" t="str">
        <f>Harvest!N35</f>
        <v>CLOSED</v>
      </c>
      <c r="S37" s="52" t="str">
        <f>CPUE!N35</f>
        <v>CLOSED</v>
      </c>
      <c r="T37" s="44">
        <f>+E37+H37</f>
        <v>2455</v>
      </c>
      <c r="U37" s="54">
        <f>+F37+I37</f>
        <v>35400</v>
      </c>
    </row>
    <row r="38" spans="1:21" x14ac:dyDescent="0.25">
      <c r="A38" s="250" t="s">
        <v>61</v>
      </c>
      <c r="B38" s="250"/>
      <c r="C38" s="250"/>
      <c r="D38" s="251"/>
      <c r="E38" s="50">
        <f>SUM(E34:E37)</f>
        <v>12519</v>
      </c>
      <c r="F38" s="51">
        <f>SUM(F34:F37)</f>
        <v>161551</v>
      </c>
      <c r="G38" s="49">
        <f>F38/E38</f>
        <v>12.904465212876428</v>
      </c>
      <c r="H38" s="50">
        <f>SUM(H34:H37)</f>
        <v>5636</v>
      </c>
      <c r="I38" s="51">
        <f>SUM(I34:I37)</f>
        <v>51392</v>
      </c>
      <c r="J38" s="49">
        <f>I38/H38</f>
        <v>9.118523775727466</v>
      </c>
      <c r="K38" s="50">
        <f>SUM(K34:K37)</f>
        <v>9627</v>
      </c>
      <c r="L38" s="51">
        <f>SUM(L34:L37)</f>
        <v>130041</v>
      </c>
      <c r="M38" s="49">
        <f>L38/K38</f>
        <v>13.507946400747896</v>
      </c>
      <c r="N38" s="50">
        <f>SUM(N34:N37)</f>
        <v>6418</v>
      </c>
      <c r="O38" s="51">
        <f>SUM(O34:O37)</f>
        <v>77599</v>
      </c>
      <c r="P38" s="49">
        <f>O38/N38</f>
        <v>12.090838267373014</v>
      </c>
      <c r="Q38" s="50"/>
      <c r="R38" s="51"/>
      <c r="S38" s="49"/>
      <c r="T38" s="50">
        <f>SUM(T34:T37)</f>
        <v>34200</v>
      </c>
      <c r="U38" s="51">
        <f>SUM(U34:U37)</f>
        <v>420583</v>
      </c>
    </row>
    <row r="39" spans="1:21" x14ac:dyDescent="0.25">
      <c r="A39" s="53">
        <v>40640</v>
      </c>
      <c r="B39" s="28">
        <v>40640</v>
      </c>
      <c r="C39" s="42">
        <v>0.1</v>
      </c>
      <c r="D39" s="43">
        <v>0.40069444444444446</v>
      </c>
      <c r="E39" s="44">
        <f>Effort!F37</f>
        <v>2520</v>
      </c>
      <c r="F39" s="54">
        <f>Harvest!F37</f>
        <v>30618</v>
      </c>
      <c r="G39" s="52">
        <f>CPUE!F37</f>
        <v>12.15</v>
      </c>
      <c r="H39" s="44">
        <f>Effort!H37</f>
        <v>1663</v>
      </c>
      <c r="I39" s="54">
        <f>Harvest!H37</f>
        <v>23027</v>
      </c>
      <c r="J39" s="52">
        <f>CPUE!H37</f>
        <v>13.846662657847263</v>
      </c>
      <c r="K39" s="44" t="str">
        <f>Effort!J37</f>
        <v>CLOSED</v>
      </c>
      <c r="L39" s="54" t="str">
        <f>Harvest!J37</f>
        <v>CLOSED</v>
      </c>
      <c r="M39" s="52" t="str">
        <f>CPUE!J37</f>
        <v>CLOSED</v>
      </c>
      <c r="N39" s="44" t="str">
        <f>Effort!L37</f>
        <v>CLOSED</v>
      </c>
      <c r="O39" s="54" t="str">
        <f>Harvest!L37</f>
        <v>CLOSED</v>
      </c>
      <c r="P39" s="52" t="str">
        <f>CPUE!L37</f>
        <v>CLOSED</v>
      </c>
      <c r="Q39" s="44" t="str">
        <f>Effort!N37</f>
        <v>CLOSED</v>
      </c>
      <c r="R39" s="54" t="str">
        <f>Harvest!N37</f>
        <v>CLOSED</v>
      </c>
      <c r="S39" s="52" t="str">
        <f>CPUE!N37</f>
        <v>CLOSED</v>
      </c>
      <c r="T39" s="44">
        <f t="shared" ref="T39:T41" si="5">+E39+H39</f>
        <v>4183</v>
      </c>
      <c r="U39" s="54">
        <f t="shared" ref="U39:U41" si="6">+F39+I39</f>
        <v>53645</v>
      </c>
    </row>
    <row r="40" spans="1:21" x14ac:dyDescent="0.25">
      <c r="A40" s="53">
        <v>40641</v>
      </c>
      <c r="B40" s="28">
        <v>40641</v>
      </c>
      <c r="C40" s="109">
        <v>0.2</v>
      </c>
      <c r="D40" s="43">
        <v>0.42986111111111108</v>
      </c>
      <c r="E40" s="44">
        <f>Effort!F38</f>
        <v>4192</v>
      </c>
      <c r="F40" s="54">
        <f>Harvest!F38</f>
        <v>48762</v>
      </c>
      <c r="G40" s="52">
        <f>CPUE!F38</f>
        <v>11.632156488549619</v>
      </c>
      <c r="H40" s="44">
        <f>Effort!H38</f>
        <v>3497</v>
      </c>
      <c r="I40" s="54">
        <f>Harvest!H38</f>
        <v>27976</v>
      </c>
      <c r="J40" s="52">
        <f>CPUE!H38</f>
        <v>8</v>
      </c>
      <c r="K40" s="44" t="str">
        <f>Effort!J38</f>
        <v>CLOSED</v>
      </c>
      <c r="L40" s="54" t="str">
        <f>Harvest!J38</f>
        <v>CLOSED</v>
      </c>
      <c r="M40" s="52" t="str">
        <f>CPUE!J38</f>
        <v>CLOSED</v>
      </c>
      <c r="N40" s="44" t="str">
        <f>Effort!L38</f>
        <v>CLOSED</v>
      </c>
      <c r="O40" s="54" t="str">
        <f>Harvest!L38</f>
        <v>CLOSED</v>
      </c>
      <c r="P40" s="52" t="str">
        <f>CPUE!L38</f>
        <v>CLOSED</v>
      </c>
      <c r="Q40" s="44" t="str">
        <f>Effort!N38</f>
        <v>CLOSED</v>
      </c>
      <c r="R40" s="54" t="str">
        <f>Harvest!N38</f>
        <v>CLOSED</v>
      </c>
      <c r="S40" s="52" t="str">
        <f>CPUE!N38</f>
        <v>CLOSED</v>
      </c>
      <c r="T40" s="44">
        <f t="shared" si="5"/>
        <v>7689</v>
      </c>
      <c r="U40" s="54">
        <f t="shared" si="6"/>
        <v>76738</v>
      </c>
    </row>
    <row r="41" spans="1:21" x14ac:dyDescent="0.25">
      <c r="A41" s="53">
        <v>40642</v>
      </c>
      <c r="B41" s="28">
        <v>40642</v>
      </c>
      <c r="C41" s="109">
        <v>0.4</v>
      </c>
      <c r="D41" s="43">
        <v>0.46319444444444446</v>
      </c>
      <c r="E41" s="44">
        <f>Effort!F39</f>
        <v>5569</v>
      </c>
      <c r="F41" s="54">
        <f>Harvest!F39</f>
        <v>68684</v>
      </c>
      <c r="G41" s="52">
        <f>CPUE!F39</f>
        <v>12.333273478182798</v>
      </c>
      <c r="H41" s="44">
        <f>Effort!H39</f>
        <v>4146</v>
      </c>
      <c r="I41" s="54">
        <f>Harvest!H39</f>
        <v>45169</v>
      </c>
      <c r="J41" s="52">
        <f>CPUE!H39</f>
        <v>10.894597202122528</v>
      </c>
      <c r="K41" s="44" t="str">
        <f>Effort!J39</f>
        <v>CLOSED</v>
      </c>
      <c r="L41" s="54" t="str">
        <f>Harvest!J39</f>
        <v>CLOSED</v>
      </c>
      <c r="M41" s="52" t="str">
        <f>CPUE!J39</f>
        <v>CLOSED</v>
      </c>
      <c r="N41" s="44" t="str">
        <f>Effort!L39</f>
        <v>CLOSED</v>
      </c>
      <c r="O41" s="54" t="str">
        <f>Harvest!L39</f>
        <v>CLOSED</v>
      </c>
      <c r="P41" s="52" t="str">
        <f>CPUE!L39</f>
        <v>CLOSED</v>
      </c>
      <c r="Q41" s="44" t="str">
        <f>Effort!N39</f>
        <v>CLOSED</v>
      </c>
      <c r="R41" s="54" t="str">
        <f>Harvest!N39</f>
        <v>CLOSED</v>
      </c>
      <c r="S41" s="52" t="str">
        <f>CPUE!N39</f>
        <v>CLOSED</v>
      </c>
      <c r="T41" s="44">
        <f t="shared" si="5"/>
        <v>9715</v>
      </c>
      <c r="U41" s="54">
        <f t="shared" si="6"/>
        <v>113853</v>
      </c>
    </row>
    <row r="42" spans="1:21" x14ac:dyDescent="0.25">
      <c r="A42" s="250" t="s">
        <v>61</v>
      </c>
      <c r="B42" s="250"/>
      <c r="C42" s="250"/>
      <c r="D42" s="251"/>
      <c r="E42" s="50">
        <f>SUM(E39:E41)</f>
        <v>12281</v>
      </c>
      <c r="F42" s="51">
        <f>SUM(F39:F41)</f>
        <v>148064</v>
      </c>
      <c r="G42" s="49">
        <f>F42/E42</f>
        <v>12.056347202996498</v>
      </c>
      <c r="H42" s="50">
        <f>SUM(H39:H41)</f>
        <v>9306</v>
      </c>
      <c r="I42" s="51">
        <f>SUM(I39:I41)</f>
        <v>96172</v>
      </c>
      <c r="J42" s="49">
        <f>I42/H42</f>
        <v>10.334407908875994</v>
      </c>
      <c r="K42" s="50"/>
      <c r="L42" s="51"/>
      <c r="M42" s="49"/>
      <c r="N42" s="50"/>
      <c r="O42" s="51"/>
      <c r="P42" s="49"/>
      <c r="Q42" s="50"/>
      <c r="R42" s="51"/>
      <c r="S42" s="49"/>
      <c r="T42" s="50">
        <f t="shared" ref="T42" si="7">E42+H42+K42+N42+Q42</f>
        <v>21587</v>
      </c>
      <c r="U42" s="51">
        <f t="shared" ref="U42" si="8">F42+I42+L42+O42+R42</f>
        <v>244236</v>
      </c>
    </row>
    <row r="43" spans="1:21" x14ac:dyDescent="0.25">
      <c r="A43" s="53">
        <v>40652</v>
      </c>
      <c r="B43" s="28">
        <v>40652</v>
      </c>
      <c r="C43" s="109">
        <v>-1.8</v>
      </c>
      <c r="D43" s="43">
        <v>0.33819444444444446</v>
      </c>
      <c r="E43" s="44">
        <f>Effort!F41</f>
        <v>1944</v>
      </c>
      <c r="F43" s="54">
        <f>Harvest!F41</f>
        <v>29264</v>
      </c>
      <c r="G43" s="52">
        <f>CPUE!F41</f>
        <v>15.053497942386832</v>
      </c>
      <c r="H43" s="44">
        <f>Effort!H41</f>
        <v>1435</v>
      </c>
      <c r="I43" s="54">
        <f>Harvest!H41</f>
        <v>21525</v>
      </c>
      <c r="J43" s="52">
        <f>CPUE!H41</f>
        <v>15</v>
      </c>
      <c r="K43" s="44" t="str">
        <f>Effort!J41</f>
        <v>CLOSED</v>
      </c>
      <c r="L43" s="54" t="str">
        <f>Harvest!J41</f>
        <v>CLOSED</v>
      </c>
      <c r="M43" s="52" t="str">
        <f>CPUE!J41</f>
        <v>CLOSED</v>
      </c>
      <c r="N43" s="44" t="str">
        <f>Effort!L41</f>
        <v>CLOSED</v>
      </c>
      <c r="O43" s="54" t="str">
        <f>Harvest!L41</f>
        <v>CLOSED</v>
      </c>
      <c r="P43" s="52" t="str">
        <f>CPUE!L41</f>
        <v>CLOSED</v>
      </c>
      <c r="Q43" s="44" t="str">
        <f>Effort!N41</f>
        <v>CLOSED</v>
      </c>
      <c r="R43" s="54" t="str">
        <f>Harvest!N41</f>
        <v>CLOSED</v>
      </c>
      <c r="S43" s="52" t="str">
        <f>CPUE!N41</f>
        <v>CLOSED</v>
      </c>
      <c r="T43" s="44">
        <f>+E43+H43</f>
        <v>3379</v>
      </c>
      <c r="U43" s="54">
        <f>+F43+I43</f>
        <v>50789</v>
      </c>
    </row>
    <row r="44" spans="1:21" x14ac:dyDescent="0.25">
      <c r="A44" s="53">
        <v>40653</v>
      </c>
      <c r="B44" s="28">
        <v>40653</v>
      </c>
      <c r="C44" s="109">
        <v>-1.7</v>
      </c>
      <c r="D44" s="43">
        <v>0.37083333333333335</v>
      </c>
      <c r="E44" s="44">
        <f>Effort!F42</f>
        <v>2402</v>
      </c>
      <c r="F44" s="54">
        <f>Harvest!F42</f>
        <v>35981</v>
      </c>
      <c r="G44" s="52">
        <f>CPUE!F42</f>
        <v>14.979600333055787</v>
      </c>
      <c r="H44" s="44">
        <f>Effort!H42</f>
        <v>1021</v>
      </c>
      <c r="I44" s="54">
        <f>Harvest!H42</f>
        <v>15315</v>
      </c>
      <c r="J44" s="52">
        <f>CPUE!H42</f>
        <v>15</v>
      </c>
      <c r="K44" s="44" t="str">
        <f>Effort!J42</f>
        <v>CLOSED</v>
      </c>
      <c r="L44" s="54" t="str">
        <f>Harvest!J42</f>
        <v>CLOSED</v>
      </c>
      <c r="M44" s="52" t="str">
        <f>CPUE!J42</f>
        <v>CLOSED</v>
      </c>
      <c r="N44" s="44" t="str">
        <f>Effort!L42</f>
        <v>CLOSED</v>
      </c>
      <c r="O44" s="54" t="str">
        <f>Harvest!L42</f>
        <v>CLOSED</v>
      </c>
      <c r="P44" s="52" t="str">
        <f>CPUE!L42</f>
        <v>CLOSED</v>
      </c>
      <c r="Q44" s="44" t="str">
        <f>Effort!N42</f>
        <v>CLOSED</v>
      </c>
      <c r="R44" s="54" t="str">
        <f>Harvest!N42</f>
        <v>CLOSED</v>
      </c>
      <c r="S44" s="52" t="str">
        <f>CPUE!N42</f>
        <v>CLOSED</v>
      </c>
      <c r="T44" s="44">
        <f>+E44+H44</f>
        <v>3423</v>
      </c>
      <c r="U44" s="54">
        <f>+F44+I44</f>
        <v>51296</v>
      </c>
    </row>
    <row r="45" spans="1:21" x14ac:dyDescent="0.25">
      <c r="A45" s="53">
        <v>40654</v>
      </c>
      <c r="B45" s="28">
        <v>40654</v>
      </c>
      <c r="C45" s="109">
        <v>-1.4</v>
      </c>
      <c r="D45" s="43">
        <v>0.40486111111111112</v>
      </c>
      <c r="E45" s="44">
        <f>Effort!F43</f>
        <v>2095</v>
      </c>
      <c r="F45" s="54">
        <f>Harvest!F43</f>
        <v>31425</v>
      </c>
      <c r="G45" s="52">
        <f>CPUE!F43</f>
        <v>15</v>
      </c>
      <c r="H45" s="44">
        <f>Effort!H43</f>
        <v>983</v>
      </c>
      <c r="I45" s="54">
        <f>Harvest!H43</f>
        <v>14745</v>
      </c>
      <c r="J45" s="52">
        <f>CPUE!H43</f>
        <v>15</v>
      </c>
      <c r="K45" s="44">
        <f>Effort!J43</f>
        <v>3037</v>
      </c>
      <c r="L45" s="54">
        <f>Harvest!J43</f>
        <v>45645</v>
      </c>
      <c r="M45" s="52">
        <f>CPUE!J43</f>
        <v>15.029634507737899</v>
      </c>
      <c r="N45" s="44">
        <f>Effort!L43</f>
        <v>1377</v>
      </c>
      <c r="O45" s="54">
        <f>Harvest!L43</f>
        <v>20657</v>
      </c>
      <c r="P45" s="52">
        <f>CPUE!L43</f>
        <v>15.001452432824982</v>
      </c>
      <c r="Q45" s="44" t="str">
        <f>Effort!N43</f>
        <v>CLOSED</v>
      </c>
      <c r="R45" s="54" t="str">
        <f>Harvest!N43</f>
        <v>CLOSED</v>
      </c>
      <c r="S45" s="52" t="str">
        <f>CPUE!N43</f>
        <v>CLOSED</v>
      </c>
      <c r="T45" s="44">
        <f>+E45+H45+K45+N45</f>
        <v>7492</v>
      </c>
      <c r="U45" s="54">
        <f>+F45+I45+L45+O45</f>
        <v>112472</v>
      </c>
    </row>
    <row r="46" spans="1:21" x14ac:dyDescent="0.25">
      <c r="A46" s="53">
        <v>40655</v>
      </c>
      <c r="B46" s="28">
        <v>40655</v>
      </c>
      <c r="C46" s="109">
        <v>-0.8</v>
      </c>
      <c r="D46" s="43">
        <v>0.43958333333333338</v>
      </c>
      <c r="E46" s="44">
        <f>Effort!F44</f>
        <v>2163</v>
      </c>
      <c r="F46" s="54">
        <f>Harvest!F44</f>
        <v>32445</v>
      </c>
      <c r="G46" s="52">
        <f>CPUE!F44</f>
        <v>15</v>
      </c>
      <c r="H46" s="44">
        <f>Effort!H44</f>
        <v>1056.8661587215965</v>
      </c>
      <c r="I46" s="54">
        <f>Harvest!H44</f>
        <v>15359.577507639884</v>
      </c>
      <c r="J46" s="52">
        <f>CPUE!H44</f>
        <v>14.533134002719033</v>
      </c>
      <c r="K46" s="44">
        <f>Effort!J44</f>
        <v>3591</v>
      </c>
      <c r="L46" s="54">
        <f>Harvest!J44</f>
        <v>52168</v>
      </c>
      <c r="M46" s="52">
        <f>CPUE!J44</f>
        <v>14.527429685324423</v>
      </c>
      <c r="N46" s="44">
        <f>Effort!L44</f>
        <v>1903</v>
      </c>
      <c r="O46" s="54">
        <f>Harvest!L44</f>
        <v>28547</v>
      </c>
      <c r="P46" s="52">
        <f>CPUE!L44</f>
        <v>15.001050972149239</v>
      </c>
      <c r="Q46" s="44" t="str">
        <f>Effort!N44</f>
        <v>CLOSED</v>
      </c>
      <c r="R46" s="54" t="str">
        <f>Harvest!N44</f>
        <v>CLOSED</v>
      </c>
      <c r="S46" s="52" t="str">
        <f>CPUE!N44</f>
        <v>CLOSED</v>
      </c>
      <c r="T46" s="44">
        <f t="shared" ref="T46:T47" si="9">+E46+H46+K46+N46</f>
        <v>8713.8661587215975</v>
      </c>
      <c r="U46" s="54">
        <f t="shared" ref="U46:U47" si="10">+F46+I46+L46+O46</f>
        <v>128519.57750763989</v>
      </c>
    </row>
    <row r="47" spans="1:21" x14ac:dyDescent="0.25">
      <c r="A47" s="53">
        <v>40656</v>
      </c>
      <c r="B47" s="28">
        <v>40656</v>
      </c>
      <c r="C47" s="109">
        <v>-0.2</v>
      </c>
      <c r="D47" s="43">
        <v>0.4770833333333333</v>
      </c>
      <c r="E47" s="44">
        <f>Effort!F45</f>
        <v>3032</v>
      </c>
      <c r="F47" s="54">
        <f>Harvest!F45</f>
        <v>45480</v>
      </c>
      <c r="G47" s="52">
        <f>CPUE!F45</f>
        <v>15</v>
      </c>
      <c r="H47" s="44">
        <f>Effort!H45</f>
        <v>1870</v>
      </c>
      <c r="I47" s="54">
        <f>Harvest!H45</f>
        <v>27474</v>
      </c>
      <c r="J47" s="52">
        <f>CPUE!H45</f>
        <v>14.691978609625668</v>
      </c>
      <c r="K47" s="44">
        <f>Effort!J45</f>
        <v>7118</v>
      </c>
      <c r="L47" s="54">
        <f>Harvest!J45</f>
        <v>106039</v>
      </c>
      <c r="M47" s="52">
        <f>CPUE!J45</f>
        <v>14.897302613093565</v>
      </c>
      <c r="N47" s="44">
        <f>Effort!L45</f>
        <v>3299</v>
      </c>
      <c r="O47" s="54">
        <f>Harvest!L45</f>
        <v>49521</v>
      </c>
      <c r="P47" s="52">
        <f>CPUE!L45</f>
        <v>15.010912397696272</v>
      </c>
      <c r="Q47" s="44" t="str">
        <f>Effort!N45</f>
        <v>CLOSED</v>
      </c>
      <c r="R47" s="54" t="str">
        <f>Harvest!N45</f>
        <v>CLOSED</v>
      </c>
      <c r="S47" s="52" t="str">
        <f>CPUE!N45</f>
        <v>CLOSED</v>
      </c>
      <c r="T47" s="44">
        <f t="shared" si="9"/>
        <v>15319</v>
      </c>
      <c r="U47" s="54">
        <f t="shared" si="10"/>
        <v>228514</v>
      </c>
    </row>
    <row r="48" spans="1:21" x14ac:dyDescent="0.25">
      <c r="A48" s="250" t="s">
        <v>61</v>
      </c>
      <c r="B48" s="250"/>
      <c r="C48" s="250"/>
      <c r="D48" s="251"/>
      <c r="E48" s="50">
        <f>SUM(E43:E47)</f>
        <v>11636</v>
      </c>
      <c r="F48" s="51">
        <f>SUM(F43:F47)</f>
        <v>174595</v>
      </c>
      <c r="G48" s="49">
        <f>F48/E48</f>
        <v>15.004726710209694</v>
      </c>
      <c r="H48" s="50">
        <f>SUM(H43:H47)</f>
        <v>6365.8661587215965</v>
      </c>
      <c r="I48" s="51">
        <f>SUM(I43:I47)</f>
        <v>94418.577507639886</v>
      </c>
      <c r="J48" s="49">
        <f>I48/H48</f>
        <v>14.832007955159581</v>
      </c>
      <c r="K48" s="50">
        <f>SUM(K43:K47)</f>
        <v>13746</v>
      </c>
      <c r="L48" s="51">
        <f>SUM(L43:L47)</f>
        <v>203852</v>
      </c>
      <c r="M48" s="49">
        <f>L48/K48</f>
        <v>14.829914156845629</v>
      </c>
      <c r="N48" s="50">
        <f>SUM(N43:N47)</f>
        <v>6579</v>
      </c>
      <c r="O48" s="51">
        <f>SUM(O43:O47)</f>
        <v>98725</v>
      </c>
      <c r="P48" s="49">
        <f>O48/N48</f>
        <v>15.006079951360389</v>
      </c>
      <c r="Q48" s="50"/>
      <c r="R48" s="51"/>
      <c r="S48" s="49"/>
      <c r="T48" s="50">
        <f>SUM(T43:T47)</f>
        <v>38326.866158721597</v>
      </c>
      <c r="U48" s="51">
        <f>SUM(U43:U47)</f>
        <v>571590.57750763989</v>
      </c>
    </row>
    <row r="49" spans="1:21" x14ac:dyDescent="0.25">
      <c r="A49" s="53">
        <v>40666</v>
      </c>
      <c r="B49" s="28">
        <v>40666</v>
      </c>
      <c r="C49" s="109">
        <v>-0.6</v>
      </c>
      <c r="D49" s="43">
        <v>0.31180555555555556</v>
      </c>
      <c r="E49" s="44">
        <f>Effort!F47</f>
        <v>351</v>
      </c>
      <c r="F49" s="54">
        <f>Harvest!F47</f>
        <v>5265</v>
      </c>
      <c r="G49" s="52">
        <f>CPUE!F47</f>
        <v>15</v>
      </c>
      <c r="H49" s="44">
        <f>Effort!H47</f>
        <v>292</v>
      </c>
      <c r="I49" s="54">
        <f>Harvest!H47</f>
        <v>4380</v>
      </c>
      <c r="J49" s="52">
        <f>CPUE!H47</f>
        <v>15</v>
      </c>
      <c r="K49" s="44" t="str">
        <f>Effort!J47</f>
        <v>CLOSED</v>
      </c>
      <c r="L49" s="54" t="str">
        <f>Harvest!J47</f>
        <v>CLOSED</v>
      </c>
      <c r="M49" s="52" t="str">
        <f>CPUE!J47</f>
        <v>CLOSED</v>
      </c>
      <c r="N49" s="44" t="str">
        <f>Effort!L47</f>
        <v>CLOSED</v>
      </c>
      <c r="O49" s="54" t="str">
        <f>Harvest!L47</f>
        <v>CLOSED</v>
      </c>
      <c r="P49" s="52" t="str">
        <f>CPUE!L47</f>
        <v>CLOSED</v>
      </c>
      <c r="Q49" s="44" t="str">
        <f>Effort!N47</f>
        <v>CLOSED</v>
      </c>
      <c r="R49" s="54" t="str">
        <f>Harvest!N47</f>
        <v>CLOSED</v>
      </c>
      <c r="S49" s="52" t="str">
        <f>CPUE!N47</f>
        <v>CLOSED</v>
      </c>
      <c r="T49" s="44">
        <f>+E49+H49</f>
        <v>643</v>
      </c>
      <c r="U49" s="54">
        <f>+F49+I49</f>
        <v>9645</v>
      </c>
    </row>
    <row r="50" spans="1:21" x14ac:dyDescent="0.25">
      <c r="A50" s="53">
        <v>40667</v>
      </c>
      <c r="B50" s="28">
        <v>40667</v>
      </c>
      <c r="C50" s="109">
        <v>-0.8</v>
      </c>
      <c r="D50" s="43">
        <v>0.33611111111111108</v>
      </c>
      <c r="E50" s="44">
        <f>Effort!F48</f>
        <v>842</v>
      </c>
      <c r="F50" s="54">
        <f>Harvest!F48</f>
        <v>12630</v>
      </c>
      <c r="G50" s="52">
        <f>CPUE!F48</f>
        <v>15</v>
      </c>
      <c r="H50" s="44">
        <f>Effort!H48</f>
        <v>449</v>
      </c>
      <c r="I50" s="54">
        <f>Harvest!H48</f>
        <v>6735</v>
      </c>
      <c r="J50" s="52">
        <f>CPUE!H48</f>
        <v>15</v>
      </c>
      <c r="K50" s="44" t="str">
        <f>Effort!J48</f>
        <v>CLOSED</v>
      </c>
      <c r="L50" s="54" t="str">
        <f>Harvest!J48</f>
        <v>CLOSED</v>
      </c>
      <c r="M50" s="52" t="str">
        <f>CPUE!J48</f>
        <v>CLOSED</v>
      </c>
      <c r="N50" s="44" t="str">
        <f>Effort!L48</f>
        <v>CLOSED</v>
      </c>
      <c r="O50" s="54" t="str">
        <f>Harvest!L48</f>
        <v>CLOSED</v>
      </c>
      <c r="P50" s="52" t="str">
        <f>CPUE!L48</f>
        <v>CLOSED</v>
      </c>
      <c r="Q50" s="44" t="str">
        <f>Effort!N48</f>
        <v>CLOSED</v>
      </c>
      <c r="R50" s="54" t="str">
        <f>Harvest!N48</f>
        <v>CLOSED</v>
      </c>
      <c r="S50" s="52" t="str">
        <f>CPUE!N48</f>
        <v>CLOSED</v>
      </c>
      <c r="T50" s="44">
        <f t="shared" ref="T50:T52" si="11">+E50+H50</f>
        <v>1291</v>
      </c>
      <c r="U50" s="54">
        <f t="shared" ref="U50:U52" si="12">+F50+I50</f>
        <v>19365</v>
      </c>
    </row>
    <row r="51" spans="1:21" x14ac:dyDescent="0.25">
      <c r="A51" s="53">
        <v>40668</v>
      </c>
      <c r="B51" s="28">
        <v>40668</v>
      </c>
      <c r="C51" s="109">
        <v>-0.8</v>
      </c>
      <c r="D51" s="43">
        <v>0.3611111111111111</v>
      </c>
      <c r="E51" s="44">
        <f>Effort!F49</f>
        <v>954</v>
      </c>
      <c r="F51" s="54">
        <f>Harvest!F49</f>
        <v>14310</v>
      </c>
      <c r="G51" s="52">
        <f>CPUE!F49</f>
        <v>15</v>
      </c>
      <c r="H51" s="44">
        <f>Effort!H49</f>
        <v>456</v>
      </c>
      <c r="I51" s="54">
        <f>Harvest!H49</f>
        <v>6840</v>
      </c>
      <c r="J51" s="52">
        <f>CPUE!H49</f>
        <v>15</v>
      </c>
      <c r="K51" s="44" t="str">
        <f>Effort!J49</f>
        <v>CLOSED</v>
      </c>
      <c r="L51" s="54" t="str">
        <f>Harvest!J49</f>
        <v>CLOSED</v>
      </c>
      <c r="M51" s="52" t="str">
        <f>CPUE!J49</f>
        <v>CLOSED</v>
      </c>
      <c r="N51" s="44" t="str">
        <f>Effort!L49</f>
        <v>CLOSED</v>
      </c>
      <c r="O51" s="54" t="str">
        <f>Harvest!L49</f>
        <v>CLOSED</v>
      </c>
      <c r="P51" s="52" t="str">
        <f>CPUE!L49</f>
        <v>CLOSED</v>
      </c>
      <c r="Q51" s="44" t="str">
        <f>Effort!N49</f>
        <v>CLOSED</v>
      </c>
      <c r="R51" s="54" t="str">
        <f>Harvest!N49</f>
        <v>CLOSED</v>
      </c>
      <c r="S51" s="52" t="str">
        <f>CPUE!N49</f>
        <v>CLOSED</v>
      </c>
      <c r="T51" s="44">
        <f t="shared" si="11"/>
        <v>1410</v>
      </c>
      <c r="U51" s="54">
        <f t="shared" si="12"/>
        <v>21150</v>
      </c>
    </row>
    <row r="52" spans="1:21" x14ac:dyDescent="0.25">
      <c r="A52" s="53">
        <v>40669</v>
      </c>
      <c r="B52" s="28">
        <v>40669</v>
      </c>
      <c r="C52" s="109">
        <v>-0.8</v>
      </c>
      <c r="D52" s="43">
        <v>0.38750000000000001</v>
      </c>
      <c r="E52" s="44">
        <f>Effort!F50</f>
        <v>1667</v>
      </c>
      <c r="F52" s="54">
        <f>Harvest!F50</f>
        <v>24270</v>
      </c>
      <c r="G52" s="52">
        <f>CPUE!F50</f>
        <v>14.559088182363528</v>
      </c>
      <c r="H52" s="44">
        <f>Effort!H50</f>
        <v>938</v>
      </c>
      <c r="I52" s="54">
        <f>Harvest!H50</f>
        <v>14070</v>
      </c>
      <c r="J52" s="52">
        <f>CPUE!H50</f>
        <v>15</v>
      </c>
      <c r="K52" s="44" t="str">
        <f>Effort!J50</f>
        <v>CLOSED</v>
      </c>
      <c r="L52" s="54" t="str">
        <f>Harvest!J50</f>
        <v>CLOSED</v>
      </c>
      <c r="M52" s="52" t="str">
        <f>CPUE!J50</f>
        <v>CLOSED</v>
      </c>
      <c r="N52" s="44" t="str">
        <f>Effort!L50</f>
        <v>CLOSED</v>
      </c>
      <c r="O52" s="54" t="str">
        <f>Harvest!L50</f>
        <v>CLOSED</v>
      </c>
      <c r="P52" s="52" t="str">
        <f>CPUE!L50</f>
        <v>CLOSED</v>
      </c>
      <c r="Q52" s="44" t="str">
        <f>Effort!N50</f>
        <v>CLOSED</v>
      </c>
      <c r="R52" s="54" t="str">
        <f>Harvest!N50</f>
        <v>CLOSED</v>
      </c>
      <c r="S52" s="52" t="str">
        <f>CPUE!N50</f>
        <v>CLOSED</v>
      </c>
      <c r="T52" s="44">
        <f t="shared" si="11"/>
        <v>2605</v>
      </c>
      <c r="U52" s="54">
        <f t="shared" si="12"/>
        <v>38340</v>
      </c>
    </row>
    <row r="53" spans="1:21" x14ac:dyDescent="0.25">
      <c r="A53" s="53">
        <v>40670</v>
      </c>
      <c r="B53" s="28">
        <v>40670</v>
      </c>
      <c r="C53" s="109">
        <v>-0.6</v>
      </c>
      <c r="D53" s="43">
        <v>0.41666666666666669</v>
      </c>
      <c r="E53" s="44">
        <f>Effort!F51</f>
        <v>1877</v>
      </c>
      <c r="F53" s="54">
        <f>Harvest!F51</f>
        <v>28155</v>
      </c>
      <c r="G53" s="52">
        <f>CPUE!F51</f>
        <v>15</v>
      </c>
      <c r="H53" s="44">
        <f>Effort!H51</f>
        <v>877</v>
      </c>
      <c r="I53" s="54">
        <f>Harvest!H51</f>
        <v>12596</v>
      </c>
      <c r="J53" s="52">
        <f>CPUE!H51</f>
        <v>14.36259977194983</v>
      </c>
      <c r="K53" s="44" t="str">
        <f>Effort!J51</f>
        <v>CLOSED</v>
      </c>
      <c r="L53" s="54" t="str">
        <f>Harvest!J51</f>
        <v>CLOSED</v>
      </c>
      <c r="M53" s="52" t="str">
        <f>CPUE!J51</f>
        <v>CLOSED</v>
      </c>
      <c r="N53" s="44">
        <f>Effort!L51</f>
        <v>2205</v>
      </c>
      <c r="O53" s="54">
        <f>Harvest!L51</f>
        <v>31730</v>
      </c>
      <c r="P53" s="52">
        <f>CPUE!L51</f>
        <v>14.390022675736962</v>
      </c>
      <c r="Q53" s="44" t="str">
        <f>Effort!N51</f>
        <v>CLOSED</v>
      </c>
      <c r="R53" s="54" t="str">
        <f>Harvest!N51</f>
        <v>CLOSED</v>
      </c>
      <c r="S53" s="52" t="str">
        <f>CPUE!N51</f>
        <v>CLOSED</v>
      </c>
      <c r="T53" s="44">
        <f>+E53+H53+N53</f>
        <v>4959</v>
      </c>
      <c r="U53" s="54">
        <f>+F53+I53+O53</f>
        <v>72481</v>
      </c>
    </row>
    <row r="54" spans="1:21" x14ac:dyDescent="0.25">
      <c r="A54" s="53">
        <v>40671</v>
      </c>
      <c r="B54" s="28">
        <v>40671</v>
      </c>
      <c r="C54" s="109">
        <v>-0.4</v>
      </c>
      <c r="D54" s="43">
        <v>0.44861111111111113</v>
      </c>
      <c r="E54" s="44">
        <f>Effort!F52</f>
        <v>1125</v>
      </c>
      <c r="F54" s="54">
        <f>Harvest!F52</f>
        <v>16875</v>
      </c>
      <c r="G54" s="52">
        <f>CPUE!F52</f>
        <v>15</v>
      </c>
      <c r="H54" s="44">
        <f>Effort!H52</f>
        <v>960</v>
      </c>
      <c r="I54" s="54">
        <f>Harvest!H52</f>
        <v>13826</v>
      </c>
      <c r="J54" s="52">
        <f>CPUE!H52</f>
        <v>14.402083333333334</v>
      </c>
      <c r="K54" s="44" t="str">
        <f>Effort!J52</f>
        <v>CLOSED</v>
      </c>
      <c r="L54" s="54" t="str">
        <f>Harvest!J52</f>
        <v>CLOSED</v>
      </c>
      <c r="M54" s="52" t="str">
        <f>CPUE!J52</f>
        <v>CLOSED</v>
      </c>
      <c r="N54" s="44">
        <f>Effort!L52</f>
        <v>2002</v>
      </c>
      <c r="O54" s="54">
        <f>Harvest!L52</f>
        <v>30023</v>
      </c>
      <c r="P54" s="52">
        <f>CPUE!L52</f>
        <v>14.996503496503497</v>
      </c>
      <c r="Q54" s="44" t="str">
        <f>Effort!N52</f>
        <v>CLOSED</v>
      </c>
      <c r="R54" s="54" t="str">
        <f>Harvest!N52</f>
        <v>CLOSED</v>
      </c>
      <c r="S54" s="52" t="str">
        <f>CPUE!N52</f>
        <v>CLOSED</v>
      </c>
      <c r="T54" s="44">
        <f>+E54+H54+N54</f>
        <v>4087</v>
      </c>
      <c r="U54" s="54">
        <f>+F54+I54+O54</f>
        <v>60724</v>
      </c>
    </row>
    <row r="55" spans="1:21" x14ac:dyDescent="0.25">
      <c r="A55" s="250" t="s">
        <v>61</v>
      </c>
      <c r="B55" s="250"/>
      <c r="C55" s="250"/>
      <c r="D55" s="251"/>
      <c r="E55" s="50">
        <f>SUM(E49:E54)</f>
        <v>6816</v>
      </c>
      <c r="F55" s="51">
        <f>SUM(F49:F54)</f>
        <v>101505</v>
      </c>
      <c r="G55" s="49">
        <f>F55/E55</f>
        <v>14.892165492957746</v>
      </c>
      <c r="H55" s="50">
        <f>SUM(H49:H54)</f>
        <v>3972</v>
      </c>
      <c r="I55" s="51">
        <f>SUM(I49:I54)</f>
        <v>58447</v>
      </c>
      <c r="J55" s="49">
        <f>I55/H55</f>
        <v>14.714753272910373</v>
      </c>
      <c r="K55" s="50"/>
      <c r="L55" s="51"/>
      <c r="M55" s="49"/>
      <c r="N55" s="50">
        <f>SUM(N49:N54)</f>
        <v>4207</v>
      </c>
      <c r="O55" s="51">
        <f>SUM(O49:O54)</f>
        <v>61753</v>
      </c>
      <c r="P55" s="49">
        <f>O55/N55</f>
        <v>14.678630853339673</v>
      </c>
      <c r="Q55" s="50"/>
      <c r="R55" s="51"/>
      <c r="S55" s="49"/>
      <c r="T55" s="50">
        <f>SUM(T49:T54)</f>
        <v>14995</v>
      </c>
      <c r="U55" s="51">
        <f>SUM(U49:U54)</f>
        <v>221705</v>
      </c>
    </row>
    <row r="56" spans="1:21" x14ac:dyDescent="0.25">
      <c r="A56" s="53">
        <v>40681</v>
      </c>
      <c r="B56" s="28">
        <v>40681</v>
      </c>
      <c r="C56" s="109">
        <v>-2.2000000000000002</v>
      </c>
      <c r="D56" s="43">
        <v>0.32777777777777778</v>
      </c>
      <c r="E56" s="44" t="str">
        <f>Effort!F54</f>
        <v>CLOSED</v>
      </c>
      <c r="F56" s="54" t="str">
        <f>Harvest!F54</f>
        <v>CLOSED</v>
      </c>
      <c r="G56" s="52" t="str">
        <f>CPUE!F54</f>
        <v>CLOSED</v>
      </c>
      <c r="H56" s="44">
        <f>Effort!H54</f>
        <v>875</v>
      </c>
      <c r="I56" s="54">
        <f>Harvest!H54</f>
        <v>13128</v>
      </c>
      <c r="J56" s="52">
        <f>CPUE!H54</f>
        <v>15.003428571428572</v>
      </c>
      <c r="K56" s="44" t="str">
        <f>Effort!J54</f>
        <v>CLOSED</v>
      </c>
      <c r="L56" s="54" t="str">
        <f>Harvest!J54</f>
        <v>CLOSED</v>
      </c>
      <c r="M56" s="52" t="str">
        <f>CPUE!J54</f>
        <v>CLOSED</v>
      </c>
      <c r="N56" s="44" t="str">
        <f>Effort!L54</f>
        <v>CLOSED</v>
      </c>
      <c r="O56" s="54" t="str">
        <f>Harvest!L54</f>
        <v>CLOSED</v>
      </c>
      <c r="P56" s="52" t="str">
        <f>CPUE!L54</f>
        <v>CLOSED</v>
      </c>
      <c r="Q56" s="44" t="str">
        <f>Effort!N54</f>
        <v>CLOSED</v>
      </c>
      <c r="R56" s="54" t="str">
        <f>Harvest!N54</f>
        <v>CLOSED</v>
      </c>
      <c r="S56" s="52" t="str">
        <f>CPUE!N54</f>
        <v>CLOSED</v>
      </c>
      <c r="T56" s="44">
        <f>+H56</f>
        <v>875</v>
      </c>
      <c r="U56" s="54">
        <f>+I56</f>
        <v>13128</v>
      </c>
    </row>
    <row r="57" spans="1:21" x14ac:dyDescent="0.25">
      <c r="A57" s="53">
        <v>40682</v>
      </c>
      <c r="B57" s="28">
        <v>40682</v>
      </c>
      <c r="C57" s="109">
        <v>-2</v>
      </c>
      <c r="D57" s="43">
        <v>0.35972222222222222</v>
      </c>
      <c r="E57" s="44" t="str">
        <f>Effort!F55</f>
        <v>CLOSED</v>
      </c>
      <c r="F57" s="54" t="str">
        <f>Harvest!F55</f>
        <v>CLOSED</v>
      </c>
      <c r="G57" s="52" t="str">
        <f>CPUE!F55</f>
        <v>CLOSED</v>
      </c>
      <c r="H57" s="44">
        <f>Effort!H55</f>
        <v>1378</v>
      </c>
      <c r="I57" s="54">
        <f>Harvest!H55</f>
        <v>20662</v>
      </c>
      <c r="J57" s="52">
        <f>CPUE!H55</f>
        <v>14.994194484760522</v>
      </c>
      <c r="K57" s="44" t="str">
        <f>Effort!J55</f>
        <v>CLOSED</v>
      </c>
      <c r="L57" s="54" t="str">
        <f>Harvest!J55</f>
        <v>CLOSED</v>
      </c>
      <c r="M57" s="52" t="str">
        <f>CPUE!J55</f>
        <v>CLOSED</v>
      </c>
      <c r="N57" s="44" t="str">
        <f>Effort!L55</f>
        <v>CLOSED</v>
      </c>
      <c r="O57" s="54" t="str">
        <f>Harvest!L55</f>
        <v>CLOSED</v>
      </c>
      <c r="P57" s="52" t="str">
        <f>CPUE!L55</f>
        <v>CLOSED</v>
      </c>
      <c r="Q57" s="44" t="str">
        <f>Effort!N55</f>
        <v>CLOSED</v>
      </c>
      <c r="R57" s="54" t="str">
        <f>Harvest!N55</f>
        <v>CLOSED</v>
      </c>
      <c r="S57" s="52" t="str">
        <f>CPUE!N55</f>
        <v>CLOSED</v>
      </c>
      <c r="T57" s="44">
        <f>+H57</f>
        <v>1378</v>
      </c>
      <c r="U57" s="54">
        <f>+I57</f>
        <v>20662</v>
      </c>
    </row>
    <row r="58" spans="1:21" x14ac:dyDescent="0.25">
      <c r="A58" s="53">
        <v>40683</v>
      </c>
      <c r="B58" s="28">
        <v>40683</v>
      </c>
      <c r="C58" s="109">
        <v>-1.7</v>
      </c>
      <c r="D58" s="43">
        <v>0.39097222222222222</v>
      </c>
      <c r="E58" s="44" t="str">
        <f>Effort!F56</f>
        <v>CLOSED</v>
      </c>
      <c r="F58" s="54" t="str">
        <f>Harvest!F56</f>
        <v>CLOSED</v>
      </c>
      <c r="G58" s="52" t="str">
        <f>CPUE!F56</f>
        <v>CLOSED</v>
      </c>
      <c r="H58" s="44">
        <f>Effort!H56</f>
        <v>1101</v>
      </c>
      <c r="I58" s="54">
        <f>Harvest!H56</f>
        <v>16449</v>
      </c>
      <c r="J58" s="52">
        <f>CPUE!H56</f>
        <v>14.940054495912806</v>
      </c>
      <c r="K58" s="44" t="str">
        <f>Effort!J56</f>
        <v>CLOSED</v>
      </c>
      <c r="L58" s="54" t="str">
        <f>Harvest!J56</f>
        <v>CLOSED</v>
      </c>
      <c r="M58" s="52" t="str">
        <f>CPUE!J56</f>
        <v>CLOSED</v>
      </c>
      <c r="N58" s="44">
        <f>Effort!L56</f>
        <v>1932</v>
      </c>
      <c r="O58" s="54">
        <f>Harvest!L56</f>
        <v>28910</v>
      </c>
      <c r="P58" s="52">
        <f>CPUE!L56</f>
        <v>14.963768115942029</v>
      </c>
      <c r="Q58" s="44" t="str">
        <f>Effort!N56</f>
        <v>CLOSED</v>
      </c>
      <c r="R58" s="54" t="str">
        <f>Harvest!N56</f>
        <v>CLOSED</v>
      </c>
      <c r="S58" s="52" t="str">
        <f>CPUE!N56</f>
        <v>CLOSED</v>
      </c>
      <c r="T58" s="44">
        <f>+H58+N58</f>
        <v>3033</v>
      </c>
      <c r="U58" s="54">
        <f>+I58+O58</f>
        <v>45359</v>
      </c>
    </row>
    <row r="59" spans="1:21" x14ac:dyDescent="0.25">
      <c r="A59" s="53">
        <v>40684</v>
      </c>
      <c r="B59" s="28">
        <v>40684</v>
      </c>
      <c r="C59" s="109">
        <v>-1.1000000000000001</v>
      </c>
      <c r="D59" s="43">
        <v>0.42291666666666666</v>
      </c>
      <c r="E59" s="44">
        <f>Effort!F57</f>
        <v>2950</v>
      </c>
      <c r="F59" s="54">
        <f>Harvest!F57</f>
        <v>44791</v>
      </c>
      <c r="G59" s="52">
        <f>CPUE!F57</f>
        <v>15.183389830508474</v>
      </c>
      <c r="H59" s="44">
        <f>Effort!H57</f>
        <v>1685</v>
      </c>
      <c r="I59" s="54">
        <f>Harvest!H57</f>
        <v>19985</v>
      </c>
      <c r="J59" s="52">
        <f>CPUE!H57</f>
        <v>11.86053412462908</v>
      </c>
      <c r="K59" s="44" t="str">
        <f>Effort!J57</f>
        <v>CLOSED</v>
      </c>
      <c r="L59" s="54" t="str">
        <f>Harvest!J57</f>
        <v>CLOSED</v>
      </c>
      <c r="M59" s="52" t="str">
        <f>CPUE!J57</f>
        <v>CLOSED</v>
      </c>
      <c r="N59" s="44">
        <f>Effort!L57</f>
        <v>3533</v>
      </c>
      <c r="O59" s="54">
        <f>Harvest!L57</f>
        <v>52086</v>
      </c>
      <c r="P59" s="52">
        <f>CPUE!L57</f>
        <v>14.742711576563826</v>
      </c>
      <c r="Q59" s="44" t="str">
        <f>Effort!N57</f>
        <v>CLOSED</v>
      </c>
      <c r="R59" s="54" t="str">
        <f>Harvest!N57</f>
        <v>CLOSED</v>
      </c>
      <c r="S59" s="52" t="str">
        <f>CPUE!N57</f>
        <v>CLOSED</v>
      </c>
      <c r="T59" s="44">
        <f>+E59+H59+N59</f>
        <v>8168</v>
      </c>
      <c r="U59" s="54">
        <f>+F59+I59+O59</f>
        <v>116862</v>
      </c>
    </row>
    <row r="60" spans="1:21" x14ac:dyDescent="0.25">
      <c r="A60" s="53">
        <v>40685</v>
      </c>
      <c r="B60" s="28">
        <v>40685</v>
      </c>
      <c r="C60" s="109">
        <v>-0.5</v>
      </c>
      <c r="D60" s="43">
        <v>0.45555555555555555</v>
      </c>
      <c r="E60" s="44">
        <f>Effort!F58</f>
        <v>3083</v>
      </c>
      <c r="F60" s="54">
        <f>Harvest!F58</f>
        <v>46140</v>
      </c>
      <c r="G60" s="52">
        <f>CPUE!F58</f>
        <v>14.965942264028543</v>
      </c>
      <c r="H60" s="44">
        <f>Effort!H58</f>
        <v>1303</v>
      </c>
      <c r="I60" s="54">
        <f>Harvest!H58</f>
        <v>14570</v>
      </c>
      <c r="J60" s="52">
        <f>CPUE!H58</f>
        <v>11.181887950882579</v>
      </c>
      <c r="K60" s="44" t="str">
        <f>Effort!J58</f>
        <v>CLOSED</v>
      </c>
      <c r="L60" s="54" t="str">
        <f>Harvest!J58</f>
        <v>CLOSED</v>
      </c>
      <c r="M60" s="52" t="str">
        <f>CPUE!J58</f>
        <v>CLOSED</v>
      </c>
      <c r="N60" s="44">
        <f>Effort!L58</f>
        <v>2500</v>
      </c>
      <c r="O60" s="54">
        <f>Harvest!L58</f>
        <v>37502</v>
      </c>
      <c r="P60" s="52">
        <f>CPUE!L58</f>
        <v>15.0008</v>
      </c>
      <c r="Q60" s="44" t="str">
        <f>Effort!N58</f>
        <v>CLOSED</v>
      </c>
      <c r="R60" s="54" t="str">
        <f>Harvest!N58</f>
        <v>CLOSED</v>
      </c>
      <c r="S60" s="52" t="str">
        <f>CPUE!N58</f>
        <v>CLOSED</v>
      </c>
      <c r="T60" s="44">
        <f>+E60+H60+N60</f>
        <v>6886</v>
      </c>
      <c r="U60" s="54">
        <f>+F60+I60+O60</f>
        <v>98212</v>
      </c>
    </row>
    <row r="61" spans="1:21" x14ac:dyDescent="0.25">
      <c r="A61" s="250" t="s">
        <v>61</v>
      </c>
      <c r="B61" s="250"/>
      <c r="C61" s="250"/>
      <c r="D61" s="251"/>
      <c r="E61" s="50">
        <f>SUM(E59:E60)</f>
        <v>6033</v>
      </c>
      <c r="F61" s="51">
        <f>SUM(F59:F60)</f>
        <v>90931</v>
      </c>
      <c r="G61" s="49">
        <f>F61/E61</f>
        <v>15.072269186142881</v>
      </c>
      <c r="H61" s="50">
        <f>SUM(H56:H60)</f>
        <v>6342</v>
      </c>
      <c r="I61" s="51">
        <f>SUM(I56:I60)</f>
        <v>84794</v>
      </c>
      <c r="J61" s="49">
        <f>I61/H61</f>
        <v>13.370230211289813</v>
      </c>
      <c r="K61" s="50"/>
      <c r="L61" s="51"/>
      <c r="M61" s="49"/>
      <c r="N61" s="50">
        <f>SUM(N58:N60)</f>
        <v>7965</v>
      </c>
      <c r="O61" s="51">
        <f>SUM(O58:O60)</f>
        <v>118498</v>
      </c>
      <c r="P61" s="49">
        <f>O61/N61</f>
        <v>14.877338355304458</v>
      </c>
      <c r="Q61" s="50"/>
      <c r="R61" s="51"/>
      <c r="S61" s="49"/>
      <c r="T61" s="50">
        <f>SUM(T56:T60)</f>
        <v>20340</v>
      </c>
      <c r="U61" s="51">
        <f>SUM(U56:U60)</f>
        <v>294223</v>
      </c>
    </row>
    <row r="62" spans="1:21" x14ac:dyDescent="0.25">
      <c r="A62" s="92"/>
      <c r="B62" s="214"/>
      <c r="C62" s="214"/>
      <c r="D62" s="214"/>
      <c r="E62" s="94"/>
      <c r="F62" s="94"/>
      <c r="G62" s="95"/>
      <c r="H62" s="94"/>
      <c r="I62" s="94"/>
      <c r="J62" s="95"/>
      <c r="K62" s="94"/>
      <c r="L62" s="94"/>
      <c r="M62" s="95"/>
      <c r="N62" s="94"/>
      <c r="O62" s="94"/>
      <c r="P62" s="95"/>
      <c r="Q62" s="94"/>
      <c r="R62" s="94"/>
      <c r="S62" s="95"/>
      <c r="T62" s="94"/>
      <c r="U62" s="94"/>
    </row>
    <row r="63" spans="1:21" ht="15.75" thickBot="1" x14ac:dyDescent="0.3">
      <c r="A63" s="92"/>
      <c r="B63" s="214"/>
      <c r="C63" s="214"/>
      <c r="D63" s="214"/>
      <c r="E63" s="94"/>
      <c r="F63" s="94"/>
      <c r="G63" s="95"/>
      <c r="H63" s="94"/>
      <c r="I63" s="94"/>
      <c r="J63" s="95"/>
      <c r="K63" s="94"/>
      <c r="L63" s="94"/>
      <c r="M63" s="95"/>
      <c r="N63" s="94"/>
      <c r="O63" s="94"/>
      <c r="P63" s="95"/>
      <c r="Q63" s="94"/>
      <c r="R63" s="94"/>
      <c r="S63" s="95"/>
      <c r="T63" s="94"/>
      <c r="U63" s="94"/>
    </row>
    <row r="64" spans="1:21" ht="15.75" thickTop="1" x14ac:dyDescent="0.25">
      <c r="A64" s="55" t="s">
        <v>67</v>
      </c>
      <c r="B64" s="59"/>
      <c r="C64" s="59"/>
      <c r="D64" s="59"/>
      <c r="E64" s="56">
        <f>E8+E13+E16+E21+E25+E29+E33+E38+E48+E42+E55+E61</f>
        <v>87080.082930379343</v>
      </c>
      <c r="F64" s="56">
        <f>F8+F13+F16+F21+F25+F29+F33+F38+F48+F42+F55+F61</f>
        <v>1158253.9960682883</v>
      </c>
      <c r="G64" s="57">
        <f>F64/E64</f>
        <v>13.301020820045775</v>
      </c>
      <c r="H64" s="56">
        <f>H8+H13+H16+H21+H25+H29+H33+H38+H48+H42+H55+H61</f>
        <v>67982.971629478881</v>
      </c>
      <c r="I64" s="56">
        <f>I8+I13+I16+I21+I25+I29+I33+I38+I48+I42+I55+I61</f>
        <v>813661.64404868288</v>
      </c>
      <c r="J64" s="57">
        <f>I64/H64</f>
        <v>11.968609558336247</v>
      </c>
      <c r="K64" s="56">
        <f>K8+K13+K16+K21+K25+K29+K33+K38+K48+K42+K55+K61</f>
        <v>71996</v>
      </c>
      <c r="L64" s="56">
        <f>L8+L13+L16+L21+L25+L29+L33+L38+L48+L42+L55+L61</f>
        <v>950168</v>
      </c>
      <c r="M64" s="57">
        <f>L64/K64</f>
        <v>13.197510972831823</v>
      </c>
      <c r="N64" s="56">
        <f>N8+N13+N16+N21+N25+N29+N33+N38+N48+N42+N55+N61</f>
        <v>48496</v>
      </c>
      <c r="O64" s="56">
        <f>O8+O13+O16+O21+O25+O29+O33+O38+O48+O42+O55+O61</f>
        <v>668642</v>
      </c>
      <c r="P64" s="57">
        <f>O64/N64</f>
        <v>13.787570108874959</v>
      </c>
      <c r="Q64" s="56">
        <f>Q8+Q13+Q16+Q21+Q25+Q29+Q33+Q38+Q48+Q42+Q55+Q61</f>
        <v>2453.7218813552286</v>
      </c>
      <c r="R64" s="56">
        <f>R8+R13+R16+R21+R25+R29+R33+R38+R48+R42+R55+R61</f>
        <v>16937.133838197882</v>
      </c>
      <c r="S64" s="57">
        <f>R64/Q64</f>
        <v>6.9026298240627177</v>
      </c>
      <c r="T64" s="56">
        <f>T8+T13+T16+T21+T25+T29+T33+T38+T48+T42+T55+T61</f>
        <v>278008.77644121344</v>
      </c>
      <c r="U64" s="56">
        <f>U8+U13+U16+U21+U25+U29+U33+U38+U48+U42+U55+U61</f>
        <v>3607662.7739551687</v>
      </c>
    </row>
    <row r="65" spans="1:21" x14ac:dyDescent="0.25">
      <c r="A65" s="92" t="s">
        <v>66</v>
      </c>
      <c r="B65" s="93"/>
      <c r="C65" s="93"/>
      <c r="D65" s="93"/>
      <c r="E65" s="94"/>
      <c r="F65" s="94">
        <f>+Harvest!F63</f>
        <v>8117.67</v>
      </c>
      <c r="G65" s="95"/>
      <c r="H65" s="94"/>
      <c r="I65" s="94">
        <f>Harvest!H63</f>
        <v>15740.439999999999</v>
      </c>
      <c r="J65" s="95"/>
      <c r="K65" s="94"/>
      <c r="L65" s="94">
        <f>Harvest!J63</f>
        <v>15096</v>
      </c>
      <c r="M65" s="95"/>
      <c r="N65" s="94"/>
      <c r="O65" s="94">
        <f>Harvest!L63</f>
        <v>14142</v>
      </c>
      <c r="P65" s="95"/>
      <c r="Q65" s="94"/>
      <c r="R65" s="94"/>
      <c r="S65" s="95"/>
      <c r="T65" s="94"/>
      <c r="U65" s="94">
        <f>F65+I65+L65+O65+R65</f>
        <v>53096.11</v>
      </c>
    </row>
    <row r="66" spans="1:21" x14ac:dyDescent="0.25">
      <c r="A66" s="102" t="s">
        <v>62</v>
      </c>
      <c r="B66" s="103"/>
      <c r="C66" s="103"/>
      <c r="D66" s="103"/>
      <c r="E66" s="96">
        <f>E64</f>
        <v>87080.082930379343</v>
      </c>
      <c r="F66" s="96">
        <f>F64+F65</f>
        <v>1166371.6660682883</v>
      </c>
      <c r="G66" s="97">
        <f>F66/E66</f>
        <v>13.394241562686661</v>
      </c>
      <c r="H66" s="96">
        <f>H64</f>
        <v>67982.971629478881</v>
      </c>
      <c r="I66" s="96">
        <f>I64+I65</f>
        <v>829402.08404868282</v>
      </c>
      <c r="J66" s="97">
        <f>I66/H66</f>
        <v>12.200144597519127</v>
      </c>
      <c r="K66" s="96">
        <f>K64</f>
        <v>71996</v>
      </c>
      <c r="L66" s="96">
        <f>L64+L65</f>
        <v>965264</v>
      </c>
      <c r="M66" s="97">
        <f>L66/K66</f>
        <v>13.407189288293795</v>
      </c>
      <c r="N66" s="96">
        <f>N64</f>
        <v>48496</v>
      </c>
      <c r="O66" s="96">
        <f>O64+O65</f>
        <v>682784</v>
      </c>
      <c r="P66" s="97">
        <f>O66/N66</f>
        <v>14.079181788188716</v>
      </c>
      <c r="Q66" s="96">
        <f>Q64</f>
        <v>2453.7218813552286</v>
      </c>
      <c r="R66" s="96">
        <f>R64+R65</f>
        <v>16937.133838197882</v>
      </c>
      <c r="S66" s="97">
        <f>R66/Q66</f>
        <v>6.9026298240627177</v>
      </c>
      <c r="T66" s="96">
        <f>SUM(T64:T65)</f>
        <v>278008.77644121344</v>
      </c>
      <c r="U66" s="98">
        <f>SUM(U64:U65)</f>
        <v>3660758.8839551685</v>
      </c>
    </row>
    <row r="67" spans="1:21" x14ac:dyDescent="0.25">
      <c r="A67" s="104" t="s">
        <v>45</v>
      </c>
      <c r="B67" s="100"/>
      <c r="C67" s="100"/>
      <c r="D67" s="100"/>
      <c r="E67" s="100"/>
      <c r="F67" s="99">
        <f>Harvest!F66</f>
        <v>0.91390697333767801</v>
      </c>
      <c r="G67" s="100"/>
      <c r="H67" s="100"/>
      <c r="I67" s="99">
        <f>Harvest!H66</f>
        <v>0.98104440695861195</v>
      </c>
      <c r="J67" s="100"/>
      <c r="K67" s="100"/>
      <c r="L67" s="99">
        <f>Harvest!J66</f>
        <v>1.4129245482749979</v>
      </c>
      <c r="M67" s="100"/>
      <c r="N67" s="100"/>
      <c r="O67" s="99">
        <f>Harvest!L66</f>
        <v>1.2514674799230812</v>
      </c>
      <c r="P67" s="100"/>
      <c r="Q67" s="100"/>
      <c r="R67" s="99">
        <f>Harvest!N66</f>
        <v>6.5413502398280379E-2</v>
      </c>
      <c r="S67" s="100"/>
      <c r="T67" s="100"/>
      <c r="U67" s="101"/>
    </row>
  </sheetData>
  <mergeCells count="19">
    <mergeCell ref="A1:U1"/>
    <mergeCell ref="T2:U2"/>
    <mergeCell ref="N2:P2"/>
    <mergeCell ref="K2:M2"/>
    <mergeCell ref="H2:J2"/>
    <mergeCell ref="E2:G2"/>
    <mergeCell ref="Q2:S2"/>
    <mergeCell ref="A8:D8"/>
    <mergeCell ref="A13:D13"/>
    <mergeCell ref="A16:D16"/>
    <mergeCell ref="A21:D21"/>
    <mergeCell ref="A25:D25"/>
    <mergeCell ref="A61:D61"/>
    <mergeCell ref="A55:D55"/>
    <mergeCell ref="A29:D29"/>
    <mergeCell ref="A33:D33"/>
    <mergeCell ref="A38:D38"/>
    <mergeCell ref="A42:D42"/>
    <mergeCell ref="A48:D48"/>
  </mergeCells>
  <pageMargins left="0.19685039370078741" right="0" top="0.39370078740157483" bottom="0" header="0.19685039370078741" footer="0"/>
  <pageSetup scale="65" orientation="portrait" r:id="rId1"/>
  <headerFooter>
    <oddHeader>&amp;L&amp;KFF0000FINAL ESTIMATE</oddHeader>
  </headerFooter>
  <ignoredErrors>
    <ignoredError sqref="P8 G8 J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4" sqref="D4:E5"/>
    </sheetView>
  </sheetViews>
  <sheetFormatPr defaultRowHeight="15" x14ac:dyDescent="0.25"/>
  <cols>
    <col min="1" max="1" width="21.5703125" customWidth="1"/>
    <col min="2" max="2" width="15.28515625" customWidth="1"/>
    <col min="4" max="5" width="13.28515625" bestFit="1" customWidth="1"/>
  </cols>
  <sheetData>
    <row r="1" spans="1:5" x14ac:dyDescent="0.25">
      <c r="A1" s="3" t="s">
        <v>64</v>
      </c>
      <c r="B1" s="3"/>
    </row>
    <row r="2" spans="1:5" x14ac:dyDescent="0.25">
      <c r="A2" s="3"/>
      <c r="B2" s="3"/>
    </row>
    <row r="3" spans="1:5" ht="15.75" thickBot="1" x14ac:dyDescent="0.3">
      <c r="A3" s="3"/>
      <c r="B3" s="3"/>
    </row>
    <row r="4" spans="1:5" x14ac:dyDescent="0.25">
      <c r="A4" s="62" t="s">
        <v>49</v>
      </c>
      <c r="B4" s="63">
        <v>1276247.6927039789</v>
      </c>
      <c r="D4" s="110"/>
      <c r="E4" s="110"/>
    </row>
    <row r="5" spans="1:5" x14ac:dyDescent="0.25">
      <c r="A5" s="64" t="s">
        <v>50</v>
      </c>
      <c r="B5" s="65">
        <v>845427.66684737173</v>
      </c>
      <c r="D5" s="110"/>
      <c r="E5" s="110"/>
    </row>
    <row r="6" spans="1:5" x14ac:dyDescent="0.25">
      <c r="A6" s="64" t="s">
        <v>51</v>
      </c>
      <c r="B6" s="65">
        <v>683167.40704835602</v>
      </c>
    </row>
    <row r="7" spans="1:5" x14ac:dyDescent="0.25">
      <c r="A7" s="64" t="s">
        <v>52</v>
      </c>
      <c r="B7" s="65">
        <v>545586.68998891278</v>
      </c>
    </row>
    <row r="8" spans="1:5" ht="15.75" thickBot="1" x14ac:dyDescent="0.3">
      <c r="A8" s="66" t="s">
        <v>53</v>
      </c>
      <c r="B8" s="67">
        <v>258924.12448845015</v>
      </c>
    </row>
    <row r="9" spans="1:5" ht="16.5" thickBot="1" x14ac:dyDescent="0.3">
      <c r="A9" s="68" t="s">
        <v>63</v>
      </c>
      <c r="B9" s="69">
        <f>SUM(B4:B8)</f>
        <v>3609353.5810770695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1"/>
  <sheetViews>
    <sheetView topLeftCell="C943" workbookViewId="0">
      <selection activeCell="F970" sqref="F970:F971"/>
    </sheetView>
  </sheetViews>
  <sheetFormatPr defaultRowHeight="15" x14ac:dyDescent="0.25"/>
  <cols>
    <col min="1" max="1" width="12.5703125" bestFit="1" customWidth="1"/>
    <col min="2" max="2" width="10" bestFit="1" customWidth="1"/>
    <col min="3" max="3" width="12.28515625" bestFit="1" customWidth="1"/>
    <col min="4" max="4" width="12.5703125" bestFit="1" customWidth="1"/>
    <col min="5" max="5" width="16" bestFit="1" customWidth="1"/>
    <col min="6" max="6" width="11.28515625" bestFit="1" customWidth="1"/>
    <col min="7" max="7" width="12.28515625" style="14" bestFit="1" customWidth="1"/>
    <col min="8" max="8" width="11.5703125" style="14" bestFit="1" customWidth="1"/>
    <col min="9" max="9" width="10.140625" bestFit="1" customWidth="1"/>
  </cols>
  <sheetData>
    <row r="1" spans="1:8" x14ac:dyDescent="0.25">
      <c r="A1" s="112" t="s">
        <v>9</v>
      </c>
      <c r="B1" s="112" t="s">
        <v>8</v>
      </c>
      <c r="C1" s="112" t="s">
        <v>10</v>
      </c>
      <c r="D1" s="112" t="s">
        <v>11</v>
      </c>
      <c r="E1" s="112" t="s">
        <v>12</v>
      </c>
      <c r="F1" s="112" t="s">
        <v>13</v>
      </c>
      <c r="G1" s="173" t="s">
        <v>14</v>
      </c>
      <c r="H1" s="173" t="s">
        <v>15</v>
      </c>
    </row>
    <row r="2" spans="1:8" x14ac:dyDescent="0.25">
      <c r="A2" s="113" t="s">
        <v>2</v>
      </c>
      <c r="B2" s="114">
        <v>40459</v>
      </c>
      <c r="C2" s="113" t="s">
        <v>16</v>
      </c>
      <c r="D2" s="115">
        <v>14.918367346938776</v>
      </c>
      <c r="E2" s="115">
        <v>1.431399941444397</v>
      </c>
      <c r="F2" s="115">
        <v>27</v>
      </c>
      <c r="G2" s="174">
        <v>38</v>
      </c>
      <c r="H2" s="174">
        <v>567</v>
      </c>
    </row>
    <row r="3" spans="1:8" x14ac:dyDescent="0.25">
      <c r="A3" s="113" t="s">
        <v>2</v>
      </c>
      <c r="B3" s="114">
        <v>40459</v>
      </c>
      <c r="C3" s="113" t="s">
        <v>17</v>
      </c>
      <c r="D3" s="115">
        <v>14.666666666666666</v>
      </c>
      <c r="E3" s="115">
        <v>1.431399941444397</v>
      </c>
      <c r="F3" s="115">
        <v>707</v>
      </c>
      <c r="G3" s="174">
        <v>992</v>
      </c>
      <c r="H3" s="174">
        <v>14799</v>
      </c>
    </row>
    <row r="4" spans="1:8" x14ac:dyDescent="0.25">
      <c r="A4" s="113" t="s">
        <v>2</v>
      </c>
      <c r="B4" s="114">
        <v>40459</v>
      </c>
      <c r="C4" s="113" t="s">
        <v>18</v>
      </c>
      <c r="D4" s="115">
        <v>15</v>
      </c>
      <c r="E4" s="115">
        <v>1.431399941444397</v>
      </c>
      <c r="F4" s="115">
        <v>440</v>
      </c>
      <c r="G4" s="174">
        <v>617</v>
      </c>
      <c r="H4" s="174">
        <v>9205</v>
      </c>
    </row>
    <row r="5" spans="1:8" x14ac:dyDescent="0.25">
      <c r="A5" s="113" t="s">
        <v>2</v>
      </c>
      <c r="B5" s="114">
        <v>40459</v>
      </c>
      <c r="C5" s="113" t="s">
        <v>19</v>
      </c>
      <c r="D5" s="115">
        <v>15</v>
      </c>
      <c r="E5" s="115">
        <v>1.431399941444397</v>
      </c>
      <c r="F5" s="115">
        <v>351</v>
      </c>
      <c r="G5" s="174">
        <v>492</v>
      </c>
      <c r="H5" s="174">
        <v>7340</v>
      </c>
    </row>
    <row r="6" spans="1:8" x14ac:dyDescent="0.25">
      <c r="A6" s="113" t="s">
        <v>2</v>
      </c>
      <c r="B6" s="114">
        <v>40459</v>
      </c>
      <c r="C6" s="113" t="s">
        <v>20</v>
      </c>
      <c r="D6" s="115">
        <v>15</v>
      </c>
      <c r="E6" s="115">
        <v>1.431399941444397</v>
      </c>
      <c r="F6" s="115">
        <v>784</v>
      </c>
      <c r="G6" s="174">
        <v>1100</v>
      </c>
      <c r="H6" s="174">
        <v>16410</v>
      </c>
    </row>
    <row r="7" spans="1:8" x14ac:dyDescent="0.25">
      <c r="A7" s="113" t="s">
        <v>2</v>
      </c>
      <c r="B7" s="114">
        <v>40459</v>
      </c>
      <c r="C7" s="113" t="s">
        <v>21</v>
      </c>
      <c r="D7" s="115">
        <v>14.918367346938776</v>
      </c>
      <c r="E7" s="115">
        <v>1.431399941444397</v>
      </c>
      <c r="F7" s="115">
        <v>6</v>
      </c>
      <c r="G7" s="174">
        <v>8</v>
      </c>
      <c r="H7" s="174">
        <v>119</v>
      </c>
    </row>
    <row r="8" spans="1:8" x14ac:dyDescent="0.25">
      <c r="G8" s="175">
        <f>SUM(G2:G7)</f>
        <v>3247</v>
      </c>
      <c r="H8" s="175">
        <f>SUM(H2:H7)</f>
        <v>48440</v>
      </c>
    </row>
    <row r="10" spans="1:8" x14ac:dyDescent="0.25">
      <c r="A10" s="15" t="s">
        <v>9</v>
      </c>
      <c r="B10" s="15" t="s">
        <v>8</v>
      </c>
      <c r="C10" s="15" t="s">
        <v>10</v>
      </c>
      <c r="D10" s="15" t="s">
        <v>11</v>
      </c>
      <c r="E10" s="15" t="s">
        <v>12</v>
      </c>
      <c r="F10" s="15" t="s">
        <v>13</v>
      </c>
      <c r="G10" s="176" t="s">
        <v>14</v>
      </c>
      <c r="H10" s="176" t="s">
        <v>15</v>
      </c>
    </row>
    <row r="11" spans="1:8" x14ac:dyDescent="0.25">
      <c r="A11" s="16" t="s">
        <v>2</v>
      </c>
      <c r="B11" s="17">
        <v>40460</v>
      </c>
      <c r="C11" s="16" t="s">
        <v>16</v>
      </c>
      <c r="D11" s="90">
        <v>5.0298507462686564</v>
      </c>
      <c r="E11" s="90">
        <v>1.4357000589370728</v>
      </c>
      <c r="F11" s="90">
        <v>22</v>
      </c>
      <c r="G11" s="177">
        <v>31</v>
      </c>
      <c r="H11" s="177">
        <v>156</v>
      </c>
    </row>
    <row r="12" spans="1:8" x14ac:dyDescent="0.25">
      <c r="A12" s="16" t="s">
        <v>2</v>
      </c>
      <c r="B12" s="17">
        <v>40460</v>
      </c>
      <c r="C12" s="16" t="s">
        <v>17</v>
      </c>
      <c r="D12" s="90">
        <v>6.8888888888888893</v>
      </c>
      <c r="E12" s="90">
        <v>1.4357000589370728</v>
      </c>
      <c r="F12" s="90">
        <v>636</v>
      </c>
      <c r="G12" s="177">
        <v>887</v>
      </c>
      <c r="H12" s="177">
        <v>4461</v>
      </c>
    </row>
    <row r="13" spans="1:8" x14ac:dyDescent="0.25">
      <c r="A13" s="16" t="s">
        <v>2</v>
      </c>
      <c r="B13" s="17">
        <v>40460</v>
      </c>
      <c r="C13" s="16" t="s">
        <v>18</v>
      </c>
      <c r="D13" s="90">
        <v>4.9545454545454541</v>
      </c>
      <c r="E13" s="90">
        <v>1.4357000589370728</v>
      </c>
      <c r="F13" s="90">
        <v>387</v>
      </c>
      <c r="G13" s="177">
        <v>540</v>
      </c>
      <c r="H13" s="177">
        <v>2675</v>
      </c>
    </row>
    <row r="14" spans="1:8" x14ac:dyDescent="0.25">
      <c r="A14" s="16" t="s">
        <v>2</v>
      </c>
      <c r="B14" s="17">
        <v>40460</v>
      </c>
      <c r="C14" s="16" t="s">
        <v>19</v>
      </c>
      <c r="D14" s="90">
        <v>8.3076923076923084</v>
      </c>
      <c r="E14" s="90">
        <v>1.4357000589370728</v>
      </c>
      <c r="F14" s="90">
        <v>131</v>
      </c>
      <c r="G14" s="177">
        <v>183</v>
      </c>
      <c r="H14" s="177">
        <v>1520</v>
      </c>
    </row>
    <row r="15" spans="1:8" x14ac:dyDescent="0.25">
      <c r="A15" s="16" t="s">
        <v>2</v>
      </c>
      <c r="B15" s="17">
        <v>40460</v>
      </c>
      <c r="C15" s="16" t="s">
        <v>20</v>
      </c>
      <c r="D15" s="90">
        <v>2.5217391304347827</v>
      </c>
      <c r="E15" s="90">
        <v>1.4357000589370728</v>
      </c>
      <c r="F15" s="90">
        <v>334</v>
      </c>
      <c r="G15" s="177">
        <v>466</v>
      </c>
      <c r="H15" s="177">
        <v>1175</v>
      </c>
    </row>
    <row r="16" spans="1:8" x14ac:dyDescent="0.25">
      <c r="A16" s="16" t="s">
        <v>2</v>
      </c>
      <c r="B16" s="17">
        <v>40460</v>
      </c>
      <c r="C16" s="16" t="s">
        <v>21</v>
      </c>
      <c r="D16" s="90">
        <v>5.0298507462686564</v>
      </c>
      <c r="E16" s="90">
        <v>1.4357000589370728</v>
      </c>
      <c r="F16" s="90">
        <v>2</v>
      </c>
      <c r="G16" s="177">
        <v>3</v>
      </c>
      <c r="H16" s="177">
        <v>15</v>
      </c>
    </row>
    <row r="17" spans="1:8" x14ac:dyDescent="0.25">
      <c r="G17" s="14">
        <f>SUM(G11:G16)</f>
        <v>2110</v>
      </c>
      <c r="H17" s="14">
        <f>SUM(H11:H16)</f>
        <v>10002</v>
      </c>
    </row>
    <row r="19" spans="1:8" x14ac:dyDescent="0.25">
      <c r="A19" s="15" t="s">
        <v>9</v>
      </c>
      <c r="B19" s="15" t="s">
        <v>8</v>
      </c>
      <c r="C19" s="15" t="s">
        <v>10</v>
      </c>
      <c r="D19" s="15" t="s">
        <v>11</v>
      </c>
      <c r="E19" s="15" t="s">
        <v>12</v>
      </c>
      <c r="F19" s="15" t="s">
        <v>13</v>
      </c>
      <c r="G19" s="176" t="s">
        <v>14</v>
      </c>
      <c r="H19" s="176" t="s">
        <v>15</v>
      </c>
    </row>
    <row r="20" spans="1:8" x14ac:dyDescent="0.25">
      <c r="A20" s="16" t="s">
        <v>3</v>
      </c>
      <c r="B20" s="17">
        <v>40459</v>
      </c>
      <c r="C20" s="16" t="s">
        <v>23</v>
      </c>
      <c r="D20" s="90">
        <v>15</v>
      </c>
      <c r="E20" s="90">
        <v>1.4368499517440796</v>
      </c>
      <c r="F20" s="90">
        <v>75</v>
      </c>
      <c r="G20" s="177">
        <v>106</v>
      </c>
      <c r="H20" s="177">
        <v>1590</v>
      </c>
    </row>
    <row r="21" spans="1:8" x14ac:dyDescent="0.25">
      <c r="A21" s="16" t="s">
        <v>3</v>
      </c>
      <c r="B21" s="17">
        <v>40459</v>
      </c>
      <c r="C21" s="16" t="s">
        <v>24</v>
      </c>
      <c r="D21" s="90">
        <v>15</v>
      </c>
      <c r="E21" s="90">
        <v>1.4368499517440796</v>
      </c>
      <c r="F21" s="90">
        <v>87</v>
      </c>
      <c r="G21" s="177">
        <v>123</v>
      </c>
      <c r="H21" s="177">
        <v>1772</v>
      </c>
    </row>
    <row r="22" spans="1:8" x14ac:dyDescent="0.25">
      <c r="A22" s="16" t="s">
        <v>3</v>
      </c>
      <c r="B22" s="17">
        <v>40459</v>
      </c>
      <c r="C22" s="16" t="s">
        <v>25</v>
      </c>
      <c r="D22" s="90">
        <v>15</v>
      </c>
      <c r="E22" s="90">
        <v>1.4368499517440796</v>
      </c>
      <c r="F22" s="90">
        <v>179</v>
      </c>
      <c r="G22" s="177">
        <v>254</v>
      </c>
      <c r="H22" s="177">
        <v>3810</v>
      </c>
    </row>
    <row r="23" spans="1:8" x14ac:dyDescent="0.25">
      <c r="A23" s="16" t="s">
        <v>3</v>
      </c>
      <c r="B23" s="17">
        <v>40459</v>
      </c>
      <c r="C23" s="16" t="s">
        <v>26</v>
      </c>
      <c r="D23" s="90">
        <v>13.8</v>
      </c>
      <c r="E23" s="90">
        <v>1.4368499517440796</v>
      </c>
      <c r="F23" s="90">
        <v>388</v>
      </c>
      <c r="G23" s="177">
        <v>550</v>
      </c>
      <c r="H23" s="177">
        <v>7925</v>
      </c>
    </row>
    <row r="24" spans="1:8" x14ac:dyDescent="0.25">
      <c r="A24" s="16" t="s">
        <v>3</v>
      </c>
      <c r="B24" s="17">
        <v>40459</v>
      </c>
      <c r="C24" s="16" t="s">
        <v>27</v>
      </c>
      <c r="D24" s="90">
        <v>13.333333333333334</v>
      </c>
      <c r="E24" s="90">
        <v>1.4368499517440796</v>
      </c>
      <c r="F24" s="90">
        <v>143</v>
      </c>
      <c r="G24" s="177">
        <v>203</v>
      </c>
      <c r="H24" s="177">
        <v>2707</v>
      </c>
    </row>
    <row r="25" spans="1:8" x14ac:dyDescent="0.25">
      <c r="A25" s="16" t="s">
        <v>3</v>
      </c>
      <c r="B25" s="17">
        <v>40459</v>
      </c>
      <c r="C25" s="16" t="s">
        <v>28</v>
      </c>
      <c r="D25" s="90">
        <v>15</v>
      </c>
      <c r="E25" s="90">
        <v>1.4368499517440796</v>
      </c>
      <c r="F25" s="90">
        <v>284</v>
      </c>
      <c r="G25" s="177">
        <v>402</v>
      </c>
      <c r="H25" s="177">
        <v>5792</v>
      </c>
    </row>
    <row r="26" spans="1:8" x14ac:dyDescent="0.25">
      <c r="G26" s="14">
        <f>SUM(G20:G25)</f>
        <v>1638</v>
      </c>
      <c r="H26" s="14">
        <f>SUM(H20:H25)</f>
        <v>23596</v>
      </c>
    </row>
    <row r="28" spans="1:8" x14ac:dyDescent="0.25">
      <c r="A28" s="15" t="s">
        <v>9</v>
      </c>
      <c r="B28" s="15" t="s">
        <v>8</v>
      </c>
      <c r="C28" s="15" t="s">
        <v>10</v>
      </c>
      <c r="D28" s="15" t="s">
        <v>11</v>
      </c>
      <c r="E28" s="15" t="s">
        <v>12</v>
      </c>
      <c r="F28" s="15" t="s">
        <v>13</v>
      </c>
      <c r="G28" s="176" t="s">
        <v>14</v>
      </c>
      <c r="H28" s="176" t="s">
        <v>15</v>
      </c>
    </row>
    <row r="29" spans="1:8" x14ac:dyDescent="0.25">
      <c r="A29" s="16" t="s">
        <v>3</v>
      </c>
      <c r="B29" s="17">
        <v>40460</v>
      </c>
      <c r="C29" s="16" t="s">
        <v>23</v>
      </c>
      <c r="D29" s="90">
        <v>4.872727272727273</v>
      </c>
      <c r="E29" s="90">
        <v>1.5184249877929687</v>
      </c>
      <c r="F29" s="90">
        <v>39</v>
      </c>
      <c r="G29" s="177">
        <v>57</v>
      </c>
      <c r="H29" s="177">
        <v>278</v>
      </c>
    </row>
    <row r="30" spans="1:8" x14ac:dyDescent="0.25">
      <c r="A30" s="16" t="s">
        <v>3</v>
      </c>
      <c r="B30" s="17">
        <v>40460</v>
      </c>
      <c r="C30" s="16" t="s">
        <v>24</v>
      </c>
      <c r="D30" s="90">
        <v>15</v>
      </c>
      <c r="E30" s="90">
        <v>1.5184249877929687</v>
      </c>
      <c r="F30" s="90">
        <v>20</v>
      </c>
      <c r="G30" s="177">
        <v>29</v>
      </c>
      <c r="H30" s="177">
        <v>435</v>
      </c>
    </row>
    <row r="31" spans="1:8" x14ac:dyDescent="0.25">
      <c r="A31" s="16" t="s">
        <v>3</v>
      </c>
      <c r="B31" s="17">
        <v>40460</v>
      </c>
      <c r="C31" s="16" t="s">
        <v>25</v>
      </c>
      <c r="D31" s="90">
        <v>6.5</v>
      </c>
      <c r="E31" s="90">
        <v>1.5184249877929687</v>
      </c>
      <c r="F31" s="90">
        <v>291</v>
      </c>
      <c r="G31" s="177">
        <v>426</v>
      </c>
      <c r="H31" s="177">
        <v>2769</v>
      </c>
    </row>
    <row r="32" spans="1:8" x14ac:dyDescent="0.25">
      <c r="A32" s="16" t="s">
        <v>3</v>
      </c>
      <c r="B32" s="17">
        <v>40460</v>
      </c>
      <c r="C32" s="16" t="s">
        <v>26</v>
      </c>
      <c r="D32" s="90">
        <v>3</v>
      </c>
      <c r="E32" s="90">
        <v>1.5184249877929687</v>
      </c>
      <c r="F32" s="90">
        <v>290</v>
      </c>
      <c r="G32" s="177">
        <v>425</v>
      </c>
      <c r="H32" s="177">
        <v>2071</v>
      </c>
    </row>
    <row r="33" spans="1:8" x14ac:dyDescent="0.25">
      <c r="A33" s="16" t="s">
        <v>3</v>
      </c>
      <c r="B33" s="17">
        <v>40460</v>
      </c>
      <c r="C33" s="16" t="s">
        <v>27</v>
      </c>
      <c r="D33" s="90">
        <v>2.3636363636363638</v>
      </c>
      <c r="E33" s="90">
        <v>1.5184249877929687</v>
      </c>
      <c r="F33" s="90">
        <v>18</v>
      </c>
      <c r="G33" s="177">
        <v>26</v>
      </c>
      <c r="H33" s="177">
        <v>61</v>
      </c>
    </row>
    <row r="34" spans="1:8" x14ac:dyDescent="0.25">
      <c r="A34" s="16" t="s">
        <v>3</v>
      </c>
      <c r="B34" s="17">
        <v>40460</v>
      </c>
      <c r="C34" s="16" t="s">
        <v>28</v>
      </c>
      <c r="D34" s="90">
        <v>3.4</v>
      </c>
      <c r="E34" s="90">
        <v>1.5184249877929687</v>
      </c>
      <c r="F34" s="90">
        <v>202</v>
      </c>
      <c r="G34" s="177">
        <v>296</v>
      </c>
      <c r="H34" s="177">
        <v>1442</v>
      </c>
    </row>
    <row r="35" spans="1:8" x14ac:dyDescent="0.25">
      <c r="G35" s="14">
        <f>SUM(G29:G34)</f>
        <v>1259</v>
      </c>
      <c r="H35" s="14">
        <f>SUM(H29:H34)</f>
        <v>7056</v>
      </c>
    </row>
    <row r="37" spans="1:8" x14ac:dyDescent="0.25">
      <c r="A37" s="15" t="s">
        <v>9</v>
      </c>
      <c r="B37" s="15" t="s">
        <v>8</v>
      </c>
      <c r="C37" s="15" t="s">
        <v>10</v>
      </c>
      <c r="D37" s="15" t="s">
        <v>11</v>
      </c>
      <c r="E37" s="15" t="s">
        <v>12</v>
      </c>
      <c r="F37" s="15" t="s">
        <v>13</v>
      </c>
      <c r="G37" s="176" t="s">
        <v>14</v>
      </c>
      <c r="H37" s="176" t="s">
        <v>15</v>
      </c>
    </row>
    <row r="38" spans="1:8" x14ac:dyDescent="0.25">
      <c r="A38" s="16" t="s">
        <v>1</v>
      </c>
      <c r="B38" s="17">
        <v>40458</v>
      </c>
      <c r="C38" s="16" t="s">
        <v>29</v>
      </c>
      <c r="D38" s="90">
        <v>14.648148148148149</v>
      </c>
      <c r="E38" s="90">
        <v>1.3792999982833862</v>
      </c>
      <c r="F38" s="90">
        <v>3</v>
      </c>
      <c r="G38" s="177">
        <v>4</v>
      </c>
      <c r="H38" s="177">
        <v>59</v>
      </c>
    </row>
    <row r="39" spans="1:8" x14ac:dyDescent="0.25">
      <c r="A39" s="16" t="s">
        <v>1</v>
      </c>
      <c r="B39" s="17">
        <v>40458</v>
      </c>
      <c r="C39" s="16" t="s">
        <v>30</v>
      </c>
      <c r="D39" s="90">
        <v>14.8</v>
      </c>
      <c r="E39" s="90">
        <v>1.3792999982833862</v>
      </c>
      <c r="F39" s="90">
        <v>755</v>
      </c>
      <c r="G39" s="177">
        <v>1041</v>
      </c>
      <c r="H39" s="177">
        <v>15249</v>
      </c>
    </row>
    <row r="40" spans="1:8" x14ac:dyDescent="0.25">
      <c r="A40" s="16" t="s">
        <v>1</v>
      </c>
      <c r="B40" s="17">
        <v>40458</v>
      </c>
      <c r="C40" s="16" t="s">
        <v>31</v>
      </c>
      <c r="D40" s="90">
        <v>14.545454545454545</v>
      </c>
      <c r="E40" s="90">
        <v>1.3792999982833862</v>
      </c>
      <c r="F40" s="90">
        <v>653</v>
      </c>
      <c r="G40" s="177">
        <v>901</v>
      </c>
      <c r="H40" s="177">
        <v>13198</v>
      </c>
    </row>
    <row r="41" spans="1:8" x14ac:dyDescent="0.25">
      <c r="A41" s="16" t="s">
        <v>1</v>
      </c>
      <c r="B41" s="17">
        <v>40458</v>
      </c>
      <c r="C41" s="16" t="s">
        <v>32</v>
      </c>
      <c r="D41" s="90">
        <v>14.647058823529411</v>
      </c>
      <c r="E41" s="90">
        <v>1.3792999982833862</v>
      </c>
      <c r="F41" s="90">
        <v>607</v>
      </c>
      <c r="G41" s="177">
        <v>837</v>
      </c>
      <c r="H41" s="177">
        <v>12260</v>
      </c>
    </row>
    <row r="42" spans="1:8" x14ac:dyDescent="0.25">
      <c r="G42" s="14">
        <f>SUM(G38:G41)</f>
        <v>2783</v>
      </c>
      <c r="H42" s="14">
        <f>SUM(H38:H41)</f>
        <v>40766</v>
      </c>
    </row>
    <row r="44" spans="1:8" x14ac:dyDescent="0.25">
      <c r="A44" s="15" t="s">
        <v>9</v>
      </c>
      <c r="B44" s="15" t="s">
        <v>8</v>
      </c>
      <c r="C44" s="15" t="s">
        <v>10</v>
      </c>
      <c r="D44" s="15" t="s">
        <v>11</v>
      </c>
      <c r="E44" s="15" t="s">
        <v>12</v>
      </c>
      <c r="F44" s="15" t="s">
        <v>13</v>
      </c>
      <c r="G44" s="176" t="s">
        <v>14</v>
      </c>
      <c r="H44" s="176" t="s">
        <v>15</v>
      </c>
    </row>
    <row r="45" spans="1:8" x14ac:dyDescent="0.25">
      <c r="A45" s="16" t="s">
        <v>1</v>
      </c>
      <c r="B45" s="17">
        <v>40459</v>
      </c>
      <c r="C45" s="16" t="s">
        <v>29</v>
      </c>
      <c r="D45" s="90">
        <v>14.666666666666666</v>
      </c>
      <c r="E45" s="90">
        <v>1.3792999982833862</v>
      </c>
      <c r="F45" s="90">
        <v>12</v>
      </c>
      <c r="G45" s="177">
        <v>15</v>
      </c>
      <c r="H45" s="177">
        <v>220</v>
      </c>
    </row>
    <row r="46" spans="1:8" x14ac:dyDescent="0.25">
      <c r="A46" s="16" t="s">
        <v>1</v>
      </c>
      <c r="B46" s="17">
        <v>40459</v>
      </c>
      <c r="C46" s="16" t="s">
        <v>30</v>
      </c>
      <c r="D46" s="90">
        <v>15</v>
      </c>
      <c r="E46" s="90">
        <v>1.3792999982833862</v>
      </c>
      <c r="F46" s="90">
        <v>547</v>
      </c>
      <c r="G46" s="177">
        <v>687</v>
      </c>
      <c r="H46" s="177">
        <v>10076</v>
      </c>
    </row>
    <row r="47" spans="1:8" x14ac:dyDescent="0.25">
      <c r="A47" s="16" t="s">
        <v>1</v>
      </c>
      <c r="B47" s="17">
        <v>40459</v>
      </c>
      <c r="C47" s="16" t="s">
        <v>31</v>
      </c>
      <c r="D47" s="90">
        <v>13.857142857142858</v>
      </c>
      <c r="E47" s="90">
        <v>1.3792999982833862</v>
      </c>
      <c r="F47" s="90">
        <v>443</v>
      </c>
      <c r="G47" s="177">
        <v>556</v>
      </c>
      <c r="H47" s="177">
        <v>8155</v>
      </c>
    </row>
    <row r="48" spans="1:8" x14ac:dyDescent="0.25">
      <c r="A48" s="16" t="s">
        <v>1</v>
      </c>
      <c r="B48" s="17">
        <v>40459</v>
      </c>
      <c r="C48" s="16" t="s">
        <v>32</v>
      </c>
      <c r="D48" s="90">
        <v>14.956521739130435</v>
      </c>
      <c r="E48" s="90">
        <v>1.3792999982833862</v>
      </c>
      <c r="F48" s="90">
        <v>447</v>
      </c>
      <c r="G48" s="177">
        <v>561</v>
      </c>
      <c r="H48" s="177">
        <v>8391</v>
      </c>
    </row>
    <row r="49" spans="1:8" x14ac:dyDescent="0.25">
      <c r="G49" s="14">
        <f>SUM(G45:G48)</f>
        <v>1819</v>
      </c>
      <c r="H49" s="14">
        <f>SUM(H45:H48)</f>
        <v>26842</v>
      </c>
    </row>
    <row r="51" spans="1:8" x14ac:dyDescent="0.25">
      <c r="A51" s="15" t="s">
        <v>9</v>
      </c>
      <c r="B51" s="15" t="s">
        <v>8</v>
      </c>
      <c r="C51" s="15" t="s">
        <v>10</v>
      </c>
      <c r="D51" s="15" t="s">
        <v>11</v>
      </c>
      <c r="E51" s="15" t="s">
        <v>12</v>
      </c>
      <c r="F51" s="15" t="s">
        <v>13</v>
      </c>
      <c r="G51" s="176" t="s">
        <v>14</v>
      </c>
      <c r="H51" s="176" t="s">
        <v>15</v>
      </c>
    </row>
    <row r="52" spans="1:8" x14ac:dyDescent="0.25">
      <c r="A52" s="16" t="s">
        <v>1</v>
      </c>
      <c r="B52" s="17">
        <v>40461</v>
      </c>
      <c r="C52" s="16" t="s">
        <v>29</v>
      </c>
      <c r="D52" s="90">
        <v>10.16</v>
      </c>
      <c r="E52" s="90">
        <v>1.3792999982833862</v>
      </c>
      <c r="F52" s="90">
        <v>0</v>
      </c>
      <c r="G52" s="177">
        <v>0</v>
      </c>
      <c r="H52" s="177">
        <v>0</v>
      </c>
    </row>
    <row r="53" spans="1:8" x14ac:dyDescent="0.25">
      <c r="A53" s="16" t="s">
        <v>1</v>
      </c>
      <c r="B53" s="17">
        <v>40461</v>
      </c>
      <c r="C53" s="16" t="s">
        <v>30</v>
      </c>
      <c r="D53" s="90">
        <v>9.7142857142857135</v>
      </c>
      <c r="E53" s="90">
        <v>1.3792999982833862</v>
      </c>
      <c r="F53" s="90">
        <v>254</v>
      </c>
      <c r="G53" s="177">
        <v>337</v>
      </c>
      <c r="H53" s="177">
        <v>3424</v>
      </c>
    </row>
    <row r="54" spans="1:8" x14ac:dyDescent="0.25">
      <c r="A54" s="16" t="s">
        <v>1</v>
      </c>
      <c r="B54" s="17">
        <v>40461</v>
      </c>
      <c r="C54" s="16" t="s">
        <v>31</v>
      </c>
      <c r="D54" s="90">
        <v>10.142857142857142</v>
      </c>
      <c r="E54" s="90">
        <v>1.3792999982833862</v>
      </c>
      <c r="F54" s="90">
        <v>326</v>
      </c>
      <c r="G54" s="177">
        <v>432</v>
      </c>
      <c r="H54" s="177">
        <v>4389</v>
      </c>
    </row>
    <row r="55" spans="1:8" x14ac:dyDescent="0.25">
      <c r="A55" s="16" t="s">
        <v>1</v>
      </c>
      <c r="B55" s="17">
        <v>40461</v>
      </c>
      <c r="C55" s="16" t="s">
        <v>32</v>
      </c>
      <c r="D55" s="90">
        <v>11</v>
      </c>
      <c r="E55" s="90">
        <v>1.3792999982833862</v>
      </c>
      <c r="F55" s="90">
        <v>216</v>
      </c>
      <c r="G55" s="177">
        <v>286</v>
      </c>
      <c r="H55" s="177">
        <v>2906</v>
      </c>
    </row>
    <row r="56" spans="1:8" x14ac:dyDescent="0.25">
      <c r="G56" s="14">
        <f>SUM(G52:G55)</f>
        <v>1055</v>
      </c>
      <c r="H56" s="14">
        <f>SUM(H52:H55)</f>
        <v>10719</v>
      </c>
    </row>
    <row r="58" spans="1:8" x14ac:dyDescent="0.25">
      <c r="A58" s="15" t="s">
        <v>9</v>
      </c>
      <c r="B58" s="15" t="s">
        <v>8</v>
      </c>
      <c r="C58" s="15" t="s">
        <v>10</v>
      </c>
      <c r="D58" s="15" t="s">
        <v>11</v>
      </c>
      <c r="E58" s="15" t="s">
        <v>12</v>
      </c>
      <c r="F58" s="15" t="s">
        <v>13</v>
      </c>
      <c r="G58" s="176" t="s">
        <v>14</v>
      </c>
      <c r="H58" s="176" t="s">
        <v>15</v>
      </c>
    </row>
    <row r="59" spans="1:8" x14ac:dyDescent="0.25">
      <c r="A59" s="16" t="s">
        <v>33</v>
      </c>
      <c r="B59" s="17">
        <v>40459</v>
      </c>
      <c r="C59" s="16" t="s">
        <v>34</v>
      </c>
      <c r="D59" s="90">
        <v>15.035714285714286</v>
      </c>
      <c r="E59" s="90">
        <v>1.4287666082382202</v>
      </c>
      <c r="F59" s="90">
        <v>72</v>
      </c>
      <c r="G59" s="177">
        <v>103</v>
      </c>
      <c r="H59" s="177">
        <v>1549</v>
      </c>
    </row>
    <row r="60" spans="1:8" x14ac:dyDescent="0.25">
      <c r="A60" s="16" t="s">
        <v>33</v>
      </c>
      <c r="B60" s="17">
        <v>40459</v>
      </c>
      <c r="C60" s="16" t="s">
        <v>35</v>
      </c>
      <c r="D60" s="90">
        <v>15.035714285714286</v>
      </c>
      <c r="E60" s="90">
        <v>1.4287666082382202</v>
      </c>
      <c r="F60" s="90">
        <v>103</v>
      </c>
      <c r="G60" s="177">
        <v>147</v>
      </c>
      <c r="H60" s="177">
        <v>2210</v>
      </c>
    </row>
    <row r="61" spans="1:8" x14ac:dyDescent="0.25">
      <c r="A61" s="16" t="s">
        <v>33</v>
      </c>
      <c r="B61" s="17">
        <v>40459</v>
      </c>
      <c r="C61" s="16" t="s">
        <v>39</v>
      </c>
      <c r="D61" s="90">
        <v>15.035714285714286</v>
      </c>
      <c r="E61" s="90">
        <v>1.4287666082382202</v>
      </c>
      <c r="F61" s="90">
        <v>195</v>
      </c>
      <c r="G61" s="177">
        <v>279</v>
      </c>
      <c r="H61" s="177">
        <v>4195</v>
      </c>
    </row>
    <row r="62" spans="1:8" x14ac:dyDescent="0.25">
      <c r="A62" s="16" t="s">
        <v>33</v>
      </c>
      <c r="B62" s="17">
        <v>40459</v>
      </c>
      <c r="C62" s="16" t="s">
        <v>36</v>
      </c>
      <c r="D62" s="90">
        <v>15</v>
      </c>
      <c r="E62" s="90">
        <v>1.4287666082382202</v>
      </c>
      <c r="F62" s="90">
        <v>513</v>
      </c>
      <c r="G62" s="177">
        <v>733</v>
      </c>
      <c r="H62" s="177">
        <v>11021</v>
      </c>
    </row>
    <row r="63" spans="1:8" x14ac:dyDescent="0.25">
      <c r="A63" s="16" t="s">
        <v>33</v>
      </c>
      <c r="B63" s="17">
        <v>40459</v>
      </c>
      <c r="C63" s="16" t="s">
        <v>37</v>
      </c>
      <c r="D63" s="90">
        <v>15</v>
      </c>
      <c r="E63" s="90">
        <v>1.4287666082382202</v>
      </c>
      <c r="F63" s="90">
        <v>870</v>
      </c>
      <c r="G63" s="177">
        <v>1243</v>
      </c>
      <c r="H63" s="177">
        <v>18689</v>
      </c>
    </row>
    <row r="64" spans="1:8" x14ac:dyDescent="0.25">
      <c r="A64" s="16" t="s">
        <v>33</v>
      </c>
      <c r="B64" s="17">
        <v>40459</v>
      </c>
      <c r="C64" s="16" t="s">
        <v>38</v>
      </c>
      <c r="D64" s="90">
        <v>15.142857142857142</v>
      </c>
      <c r="E64" s="90">
        <v>1.4287666082382202</v>
      </c>
      <c r="F64" s="90">
        <v>889</v>
      </c>
      <c r="G64" s="177">
        <v>1270</v>
      </c>
      <c r="H64" s="177">
        <v>19095</v>
      </c>
    </row>
    <row r="65" spans="1:8" x14ac:dyDescent="0.25">
      <c r="G65" s="14">
        <f>SUM(G59:G64)</f>
        <v>3775</v>
      </c>
      <c r="H65" s="14">
        <f>SUM(H59:H64)</f>
        <v>56759</v>
      </c>
    </row>
    <row r="67" spans="1:8" x14ac:dyDescent="0.25">
      <c r="A67" s="126" t="s">
        <v>9</v>
      </c>
      <c r="B67" s="126" t="s">
        <v>8</v>
      </c>
      <c r="C67" s="126" t="s">
        <v>10</v>
      </c>
      <c r="D67" s="126" t="s">
        <v>11</v>
      </c>
      <c r="E67" s="126" t="s">
        <v>12</v>
      </c>
      <c r="F67" s="126" t="s">
        <v>13</v>
      </c>
      <c r="G67" s="178" t="s">
        <v>14</v>
      </c>
      <c r="H67" s="178" t="s">
        <v>15</v>
      </c>
    </row>
    <row r="68" spans="1:8" x14ac:dyDescent="0.25">
      <c r="A68" s="127" t="s">
        <v>3</v>
      </c>
      <c r="B68" s="128">
        <v>40487</v>
      </c>
      <c r="C68" s="127" t="s">
        <v>23</v>
      </c>
      <c r="D68" s="129">
        <v>15</v>
      </c>
      <c r="E68" s="129">
        <v>1.4661749601364136</v>
      </c>
      <c r="F68" s="129">
        <v>46</v>
      </c>
      <c r="G68" s="179">
        <v>67</v>
      </c>
      <c r="H68" s="179">
        <v>1005</v>
      </c>
    </row>
    <row r="69" spans="1:8" x14ac:dyDescent="0.25">
      <c r="A69" s="127" t="s">
        <v>3</v>
      </c>
      <c r="B69" s="128">
        <v>40487</v>
      </c>
      <c r="C69" s="127" t="s">
        <v>24</v>
      </c>
      <c r="D69" s="129">
        <v>15</v>
      </c>
      <c r="E69" s="129">
        <v>1.4661749601364136</v>
      </c>
      <c r="F69" s="129">
        <v>110</v>
      </c>
      <c r="G69" s="179">
        <v>161</v>
      </c>
      <c r="H69" s="179">
        <v>2503</v>
      </c>
    </row>
    <row r="70" spans="1:8" x14ac:dyDescent="0.25">
      <c r="A70" s="127" t="s">
        <v>3</v>
      </c>
      <c r="B70" s="128">
        <v>40487</v>
      </c>
      <c r="C70" s="127" t="s">
        <v>25</v>
      </c>
      <c r="D70" s="129">
        <v>15.548387096774194</v>
      </c>
      <c r="E70" s="129">
        <v>1.4661749601364136</v>
      </c>
      <c r="F70" s="129">
        <v>182</v>
      </c>
      <c r="G70" s="179">
        <v>267</v>
      </c>
      <c r="H70" s="179">
        <v>4151</v>
      </c>
    </row>
    <row r="71" spans="1:8" x14ac:dyDescent="0.25">
      <c r="A71" s="127" t="s">
        <v>3</v>
      </c>
      <c r="B71" s="128">
        <v>40487</v>
      </c>
      <c r="C71" s="127" t="s">
        <v>26</v>
      </c>
      <c r="D71" s="129">
        <v>20</v>
      </c>
      <c r="E71" s="129">
        <v>1.4661749601364136</v>
      </c>
      <c r="F71" s="129">
        <v>302</v>
      </c>
      <c r="G71" s="179">
        <v>443</v>
      </c>
      <c r="H71" s="179">
        <v>6888</v>
      </c>
    </row>
    <row r="72" spans="1:8" x14ac:dyDescent="0.25">
      <c r="A72" s="127" t="s">
        <v>3</v>
      </c>
      <c r="B72" s="128">
        <v>40487</v>
      </c>
      <c r="C72" s="127" t="s">
        <v>27</v>
      </c>
      <c r="D72" s="129">
        <v>15.5</v>
      </c>
      <c r="E72" s="129">
        <v>1.4661749601364136</v>
      </c>
      <c r="F72" s="129">
        <v>135</v>
      </c>
      <c r="G72" s="179">
        <v>198</v>
      </c>
      <c r="H72" s="179">
        <v>3079</v>
      </c>
    </row>
    <row r="73" spans="1:8" x14ac:dyDescent="0.25">
      <c r="A73" s="127" t="s">
        <v>3</v>
      </c>
      <c r="B73" s="128">
        <v>40487</v>
      </c>
      <c r="C73" s="127" t="s">
        <v>28</v>
      </c>
      <c r="D73" s="129">
        <v>15</v>
      </c>
      <c r="E73" s="129">
        <v>1.4661749601364136</v>
      </c>
      <c r="F73" s="129">
        <v>257</v>
      </c>
      <c r="G73" s="179">
        <v>377</v>
      </c>
      <c r="H73" s="179">
        <v>5655</v>
      </c>
    </row>
    <row r="74" spans="1:8" x14ac:dyDescent="0.25">
      <c r="G74" s="14">
        <f>SUM(G68:G73)</f>
        <v>1513</v>
      </c>
      <c r="H74" s="14">
        <f>SUM(H68:H73)</f>
        <v>23281</v>
      </c>
    </row>
    <row r="76" spans="1:8" x14ac:dyDescent="0.25">
      <c r="A76" s="126" t="s">
        <v>9</v>
      </c>
      <c r="B76" s="126" t="s">
        <v>8</v>
      </c>
      <c r="C76" s="126" t="s">
        <v>10</v>
      </c>
      <c r="D76" s="126" t="s">
        <v>11</v>
      </c>
      <c r="E76" s="126" t="s">
        <v>12</v>
      </c>
      <c r="F76" s="126" t="s">
        <v>13</v>
      </c>
      <c r="G76" s="178" t="s">
        <v>14</v>
      </c>
      <c r="H76" s="178" t="s">
        <v>15</v>
      </c>
    </row>
    <row r="77" spans="1:8" x14ac:dyDescent="0.25">
      <c r="A77" s="127" t="s">
        <v>2</v>
      </c>
      <c r="B77" s="128">
        <v>40487</v>
      </c>
      <c r="C77" s="127" t="s">
        <v>16</v>
      </c>
      <c r="D77" s="129">
        <v>12</v>
      </c>
      <c r="E77" s="129">
        <v>1.6303999423980713</v>
      </c>
      <c r="F77" s="129">
        <v>15</v>
      </c>
      <c r="G77" s="179">
        <v>24</v>
      </c>
      <c r="H77" s="179">
        <v>288</v>
      </c>
    </row>
    <row r="78" spans="1:8" x14ac:dyDescent="0.25">
      <c r="A78" s="127" t="s">
        <v>2</v>
      </c>
      <c r="B78" s="128">
        <v>40487</v>
      </c>
      <c r="C78" s="127" t="s">
        <v>17</v>
      </c>
      <c r="D78" s="129">
        <v>9.75</v>
      </c>
      <c r="E78" s="129">
        <v>1.6303999423980713</v>
      </c>
      <c r="F78" s="129">
        <v>422</v>
      </c>
      <c r="G78" s="179">
        <v>688</v>
      </c>
      <c r="H78" s="179">
        <v>9453</v>
      </c>
    </row>
    <row r="79" spans="1:8" x14ac:dyDescent="0.25">
      <c r="A79" s="127" t="s">
        <v>2</v>
      </c>
      <c r="B79" s="128">
        <v>40487</v>
      </c>
      <c r="C79" s="127" t="s">
        <v>18</v>
      </c>
      <c r="D79" s="129">
        <v>15</v>
      </c>
      <c r="E79" s="129">
        <v>1.6303999423980713</v>
      </c>
      <c r="F79" s="129">
        <v>285</v>
      </c>
      <c r="G79" s="179">
        <v>465</v>
      </c>
      <c r="H79" s="179">
        <v>6389</v>
      </c>
    </row>
    <row r="80" spans="1:8" x14ac:dyDescent="0.25">
      <c r="A80" s="127" t="s">
        <v>2</v>
      </c>
      <c r="B80" s="128">
        <v>40487</v>
      </c>
      <c r="C80" s="127" t="s">
        <v>19</v>
      </c>
      <c r="D80" s="129">
        <v>13.666666666666666</v>
      </c>
      <c r="E80" s="129">
        <v>1.6303999423980713</v>
      </c>
      <c r="F80" s="129">
        <v>179</v>
      </c>
      <c r="G80" s="179">
        <v>292</v>
      </c>
      <c r="H80" s="179">
        <v>4012</v>
      </c>
    </row>
    <row r="81" spans="1:8" x14ac:dyDescent="0.25">
      <c r="A81" s="127" t="s">
        <v>2</v>
      </c>
      <c r="B81" s="128">
        <v>40487</v>
      </c>
      <c r="C81" s="127" t="s">
        <v>20</v>
      </c>
      <c r="D81" s="129">
        <v>15.043478260869565</v>
      </c>
      <c r="E81" s="129">
        <v>1.6303999423980713</v>
      </c>
      <c r="F81" s="129">
        <v>607</v>
      </c>
      <c r="G81" s="179">
        <v>990</v>
      </c>
      <c r="H81" s="179">
        <v>13602</v>
      </c>
    </row>
    <row r="82" spans="1:8" x14ac:dyDescent="0.25">
      <c r="A82" s="127" t="s">
        <v>2</v>
      </c>
      <c r="B82" s="128">
        <v>40487</v>
      </c>
      <c r="C82" s="127" t="s">
        <v>21</v>
      </c>
      <c r="D82" s="129">
        <v>13.739130434782609</v>
      </c>
      <c r="E82" s="129">
        <v>1.6303999423980713</v>
      </c>
      <c r="F82" s="129">
        <v>12</v>
      </c>
      <c r="G82" s="179">
        <v>20</v>
      </c>
      <c r="H82" s="179">
        <v>275</v>
      </c>
    </row>
    <row r="83" spans="1:8" x14ac:dyDescent="0.25">
      <c r="G83" s="14">
        <f>SUM(G77:G82)</f>
        <v>2479</v>
      </c>
      <c r="H83" s="14">
        <f>SUM(H77:H82)</f>
        <v>34019</v>
      </c>
    </row>
    <row r="85" spans="1:8" x14ac:dyDescent="0.25">
      <c r="A85" s="126" t="s">
        <v>9</v>
      </c>
      <c r="B85" s="126" t="s">
        <v>8</v>
      </c>
      <c r="C85" s="126" t="s">
        <v>10</v>
      </c>
      <c r="D85" s="126" t="s">
        <v>11</v>
      </c>
      <c r="E85" s="126" t="s">
        <v>12</v>
      </c>
      <c r="F85" s="126" t="s">
        <v>13</v>
      </c>
      <c r="G85" s="178" t="s">
        <v>14</v>
      </c>
      <c r="H85" s="178" t="s">
        <v>15</v>
      </c>
    </row>
    <row r="86" spans="1:8" x14ac:dyDescent="0.25">
      <c r="A86" s="127" t="s">
        <v>3</v>
      </c>
      <c r="B86" s="128">
        <v>40488</v>
      </c>
      <c r="C86" s="127" t="s">
        <v>23</v>
      </c>
      <c r="D86" s="129">
        <v>15</v>
      </c>
      <c r="E86" s="129">
        <v>1.4282000064849854</v>
      </c>
      <c r="F86" s="129">
        <v>16</v>
      </c>
      <c r="G86" s="179">
        <v>22</v>
      </c>
      <c r="H86" s="179">
        <v>330</v>
      </c>
    </row>
    <row r="87" spans="1:8" x14ac:dyDescent="0.25">
      <c r="A87" s="127" t="s">
        <v>3</v>
      </c>
      <c r="B87" s="128">
        <v>40488</v>
      </c>
      <c r="C87" s="127" t="s">
        <v>24</v>
      </c>
      <c r="D87" s="129">
        <v>12.444444444444445</v>
      </c>
      <c r="E87" s="129">
        <v>1.4282000064849854</v>
      </c>
      <c r="F87" s="129">
        <v>48</v>
      </c>
      <c r="G87" s="179">
        <v>65</v>
      </c>
      <c r="H87" s="179">
        <v>809</v>
      </c>
    </row>
    <row r="88" spans="1:8" x14ac:dyDescent="0.25">
      <c r="A88" s="127" t="s">
        <v>3</v>
      </c>
      <c r="B88" s="128">
        <v>40488</v>
      </c>
      <c r="C88" s="127" t="s">
        <v>25</v>
      </c>
      <c r="D88" s="129">
        <v>13.75</v>
      </c>
      <c r="E88" s="129">
        <v>1.4282000064849854</v>
      </c>
      <c r="F88" s="129">
        <v>182</v>
      </c>
      <c r="G88" s="179">
        <v>246</v>
      </c>
      <c r="H88" s="179">
        <v>3382</v>
      </c>
    </row>
    <row r="89" spans="1:8" x14ac:dyDescent="0.25">
      <c r="A89" s="127" t="s">
        <v>3</v>
      </c>
      <c r="B89" s="128">
        <v>40488</v>
      </c>
      <c r="C89" s="127" t="s">
        <v>26</v>
      </c>
      <c r="D89" s="129">
        <v>10.5</v>
      </c>
      <c r="E89" s="129">
        <v>1.4282000064849854</v>
      </c>
      <c r="F89" s="129">
        <v>282</v>
      </c>
      <c r="G89" s="179">
        <v>382</v>
      </c>
      <c r="H89" s="179">
        <v>4754</v>
      </c>
    </row>
    <row r="90" spans="1:8" x14ac:dyDescent="0.25">
      <c r="A90" s="127" t="s">
        <v>3</v>
      </c>
      <c r="B90" s="128">
        <v>40488</v>
      </c>
      <c r="C90" s="127" t="s">
        <v>27</v>
      </c>
      <c r="D90" s="129">
        <v>15</v>
      </c>
      <c r="E90" s="129">
        <v>1.4282000064849854</v>
      </c>
      <c r="F90" s="129">
        <v>42</v>
      </c>
      <c r="G90" s="179">
        <v>57</v>
      </c>
      <c r="H90" s="179">
        <v>855</v>
      </c>
    </row>
    <row r="91" spans="1:8" x14ac:dyDescent="0.25">
      <c r="A91" s="127" t="s">
        <v>3</v>
      </c>
      <c r="B91" s="128">
        <v>40488</v>
      </c>
      <c r="C91" s="127" t="s">
        <v>28</v>
      </c>
      <c r="D91" s="129">
        <v>10.428571428571429</v>
      </c>
      <c r="E91" s="129">
        <v>1.4282000064849854</v>
      </c>
      <c r="F91" s="129">
        <v>128</v>
      </c>
      <c r="G91" s="179">
        <v>173</v>
      </c>
      <c r="H91" s="179">
        <v>1804</v>
      </c>
    </row>
    <row r="92" spans="1:8" x14ac:dyDescent="0.25">
      <c r="G92" s="14">
        <f>SUM(G86:G91)</f>
        <v>945</v>
      </c>
      <c r="H92" s="14">
        <f>SUM(H86:H91)</f>
        <v>11934</v>
      </c>
    </row>
    <row r="94" spans="1:8" x14ac:dyDescent="0.25">
      <c r="A94" s="126" t="s">
        <v>9</v>
      </c>
      <c r="B94" s="126" t="s">
        <v>8</v>
      </c>
      <c r="C94" s="126" t="s">
        <v>10</v>
      </c>
      <c r="D94" s="126" t="s">
        <v>11</v>
      </c>
      <c r="E94" s="126" t="s">
        <v>12</v>
      </c>
      <c r="F94" s="126" t="s">
        <v>13</v>
      </c>
      <c r="G94" s="178" t="s">
        <v>14</v>
      </c>
      <c r="H94" s="178" t="s">
        <v>15</v>
      </c>
    </row>
    <row r="95" spans="1:8" x14ac:dyDescent="0.25">
      <c r="A95" s="127" t="s">
        <v>2</v>
      </c>
      <c r="B95" s="128">
        <v>40488</v>
      </c>
      <c r="C95" s="127" t="s">
        <v>16</v>
      </c>
      <c r="D95" s="129">
        <v>10.202247191011235</v>
      </c>
      <c r="E95" s="129">
        <v>1.5067332983016968</v>
      </c>
      <c r="F95" s="129">
        <v>3</v>
      </c>
      <c r="G95" s="179">
        <v>4</v>
      </c>
      <c r="H95" s="179">
        <v>41</v>
      </c>
    </row>
    <row r="96" spans="1:8" x14ac:dyDescent="0.25">
      <c r="A96" s="127" t="s">
        <v>2</v>
      </c>
      <c r="B96" s="128">
        <v>40488</v>
      </c>
      <c r="C96" s="127" t="s">
        <v>17</v>
      </c>
      <c r="D96" s="129">
        <v>11.363636363636363</v>
      </c>
      <c r="E96" s="129">
        <v>1.5067332983016968</v>
      </c>
      <c r="F96" s="129">
        <v>647</v>
      </c>
      <c r="G96" s="179">
        <v>904</v>
      </c>
      <c r="H96" s="179">
        <v>9223</v>
      </c>
    </row>
    <row r="97" spans="1:8" x14ac:dyDescent="0.25">
      <c r="A97" s="127" t="s">
        <v>2</v>
      </c>
      <c r="B97" s="128">
        <v>40488</v>
      </c>
      <c r="C97" s="127" t="s">
        <v>18</v>
      </c>
      <c r="D97" s="129">
        <v>8.9677419354838701</v>
      </c>
      <c r="E97" s="129">
        <v>1.5067332983016968</v>
      </c>
      <c r="F97" s="129">
        <v>595</v>
      </c>
      <c r="G97" s="179">
        <v>831</v>
      </c>
      <c r="H97" s="179">
        <v>7452</v>
      </c>
    </row>
    <row r="98" spans="1:8" x14ac:dyDescent="0.25">
      <c r="A98" s="127" t="s">
        <v>2</v>
      </c>
      <c r="B98" s="128">
        <v>40488</v>
      </c>
      <c r="C98" s="127" t="s">
        <v>19</v>
      </c>
      <c r="D98" s="129">
        <v>10.9</v>
      </c>
      <c r="E98" s="129">
        <v>1.5067332983016968</v>
      </c>
      <c r="F98" s="129">
        <v>265</v>
      </c>
      <c r="G98" s="179">
        <v>370</v>
      </c>
      <c r="H98" s="179">
        <v>4033</v>
      </c>
    </row>
    <row r="99" spans="1:8" x14ac:dyDescent="0.25">
      <c r="A99" s="127" t="s">
        <v>2</v>
      </c>
      <c r="B99" s="128">
        <v>40488</v>
      </c>
      <c r="C99" s="127" t="s">
        <v>20</v>
      </c>
      <c r="D99" s="129">
        <v>10.125</v>
      </c>
      <c r="E99" s="129">
        <v>1.5067332983016968</v>
      </c>
      <c r="F99" s="129">
        <v>648</v>
      </c>
      <c r="G99" s="179">
        <v>905</v>
      </c>
      <c r="H99" s="179">
        <v>9233</v>
      </c>
    </row>
    <row r="100" spans="1:8" x14ac:dyDescent="0.25">
      <c r="A100" s="127" t="s">
        <v>2</v>
      </c>
      <c r="B100" s="128">
        <v>40488</v>
      </c>
      <c r="C100" s="127" t="s">
        <v>21</v>
      </c>
      <c r="D100" s="129">
        <v>10.202247191011235</v>
      </c>
      <c r="E100" s="129">
        <v>1.5067332983016968</v>
      </c>
      <c r="F100" s="129">
        <v>3</v>
      </c>
      <c r="G100" s="179">
        <v>4</v>
      </c>
      <c r="H100" s="179">
        <v>41</v>
      </c>
    </row>
    <row r="101" spans="1:8" x14ac:dyDescent="0.25">
      <c r="G101" s="14">
        <f>SUM(G95:G100)</f>
        <v>3018</v>
      </c>
      <c r="H101" s="14">
        <f>SUM(H95:H100)</f>
        <v>30023</v>
      </c>
    </row>
    <row r="103" spans="1:8" x14ac:dyDescent="0.25">
      <c r="A103" s="126" t="s">
        <v>9</v>
      </c>
      <c r="B103" s="126" t="s">
        <v>8</v>
      </c>
      <c r="C103" s="126" t="s">
        <v>10</v>
      </c>
      <c r="D103" s="126" t="s">
        <v>11</v>
      </c>
      <c r="E103" s="126" t="s">
        <v>12</v>
      </c>
      <c r="F103" s="126" t="s">
        <v>13</v>
      </c>
      <c r="G103" s="178" t="s">
        <v>14</v>
      </c>
      <c r="H103" s="178" t="s">
        <v>15</v>
      </c>
    </row>
    <row r="104" spans="1:8" x14ac:dyDescent="0.25">
      <c r="A104" s="127" t="s">
        <v>1</v>
      </c>
      <c r="B104" s="128">
        <v>40489</v>
      </c>
      <c r="C104" s="127" t="s">
        <v>29</v>
      </c>
      <c r="D104" s="129">
        <v>13.333333333333334</v>
      </c>
      <c r="E104" s="129">
        <v>1.4302999973297119</v>
      </c>
      <c r="F104" s="129">
        <v>4</v>
      </c>
      <c r="G104" s="179">
        <v>5</v>
      </c>
      <c r="H104" s="179">
        <v>67</v>
      </c>
    </row>
    <row r="105" spans="1:8" x14ac:dyDescent="0.25">
      <c r="A105" s="127" t="s">
        <v>1</v>
      </c>
      <c r="B105" s="128">
        <v>40489</v>
      </c>
      <c r="C105" s="127" t="s">
        <v>30</v>
      </c>
      <c r="D105" s="129">
        <v>15</v>
      </c>
      <c r="E105" s="129">
        <v>1.4302999973297119</v>
      </c>
      <c r="F105" s="129">
        <v>284</v>
      </c>
      <c r="G105" s="179">
        <v>353</v>
      </c>
      <c r="H105" s="179">
        <v>4707</v>
      </c>
    </row>
    <row r="106" spans="1:8" x14ac:dyDescent="0.25">
      <c r="A106" s="127" t="s">
        <v>1</v>
      </c>
      <c r="B106" s="128">
        <v>40489</v>
      </c>
      <c r="C106" s="127" t="s">
        <v>31</v>
      </c>
      <c r="D106" s="129">
        <v>11.071428571428571</v>
      </c>
      <c r="E106" s="129">
        <v>1.4302999973297119</v>
      </c>
      <c r="F106" s="129">
        <v>311</v>
      </c>
      <c r="G106" s="179">
        <v>386</v>
      </c>
      <c r="H106" s="179">
        <v>5147</v>
      </c>
    </row>
    <row r="107" spans="1:8" x14ac:dyDescent="0.25">
      <c r="A107" s="127" t="s">
        <v>1</v>
      </c>
      <c r="B107" s="128">
        <v>40489</v>
      </c>
      <c r="C107" s="127" t="s">
        <v>32</v>
      </c>
      <c r="D107" s="129">
        <v>15</v>
      </c>
      <c r="E107" s="129">
        <v>1.4302999973297119</v>
      </c>
      <c r="F107" s="129">
        <v>113</v>
      </c>
      <c r="G107" s="179">
        <v>140</v>
      </c>
      <c r="H107" s="179">
        <v>2100</v>
      </c>
    </row>
    <row r="108" spans="1:8" x14ac:dyDescent="0.25">
      <c r="G108" s="14">
        <f>SUM(G104:G107)</f>
        <v>884</v>
      </c>
      <c r="H108" s="14">
        <f>SUM(H104:H107)</f>
        <v>12021</v>
      </c>
    </row>
    <row r="110" spans="1:8" x14ac:dyDescent="0.25">
      <c r="A110" s="126" t="s">
        <v>9</v>
      </c>
      <c r="B110" s="126" t="s">
        <v>8</v>
      </c>
      <c r="C110" s="126" t="s">
        <v>10</v>
      </c>
      <c r="D110" s="126" t="s">
        <v>11</v>
      </c>
      <c r="E110" s="126" t="s">
        <v>12</v>
      </c>
      <c r="F110" s="126" t="s">
        <v>13</v>
      </c>
      <c r="G110" s="178" t="s">
        <v>14</v>
      </c>
      <c r="H110" s="178" t="s">
        <v>15</v>
      </c>
    </row>
    <row r="111" spans="1:8" x14ac:dyDescent="0.25">
      <c r="A111" s="127" t="s">
        <v>33</v>
      </c>
      <c r="B111" s="128">
        <v>40487</v>
      </c>
      <c r="C111" s="127" t="s">
        <v>34</v>
      </c>
      <c r="D111" s="129">
        <v>15</v>
      </c>
      <c r="E111" s="129">
        <v>1.2647666931152344</v>
      </c>
      <c r="F111" s="129">
        <v>54</v>
      </c>
      <c r="G111" s="179">
        <v>65</v>
      </c>
      <c r="H111" s="179">
        <v>975</v>
      </c>
    </row>
    <row r="112" spans="1:8" x14ac:dyDescent="0.25">
      <c r="A112" s="127" t="s">
        <v>33</v>
      </c>
      <c r="B112" s="128">
        <v>40487</v>
      </c>
      <c r="C112" s="127" t="s">
        <v>35</v>
      </c>
      <c r="D112" s="129">
        <v>15</v>
      </c>
      <c r="E112" s="129">
        <v>1.2647666931152344</v>
      </c>
      <c r="F112" s="129">
        <v>78</v>
      </c>
      <c r="G112" s="179">
        <v>94</v>
      </c>
      <c r="H112" s="179">
        <v>1410</v>
      </c>
    </row>
    <row r="113" spans="1:8" x14ac:dyDescent="0.25">
      <c r="A113" s="127" t="s">
        <v>33</v>
      </c>
      <c r="B113" s="128">
        <v>40487</v>
      </c>
      <c r="C113" s="127" t="s">
        <v>74</v>
      </c>
      <c r="D113" s="129">
        <v>15</v>
      </c>
      <c r="E113" s="129">
        <v>1.2647666931152344</v>
      </c>
      <c r="F113" s="129">
        <v>147</v>
      </c>
      <c r="G113" s="179">
        <v>178</v>
      </c>
      <c r="H113" s="179">
        <v>2670</v>
      </c>
    </row>
    <row r="114" spans="1:8" x14ac:dyDescent="0.25">
      <c r="A114" s="127" t="s">
        <v>33</v>
      </c>
      <c r="B114" s="128">
        <v>40487</v>
      </c>
      <c r="C114" s="127" t="s">
        <v>39</v>
      </c>
      <c r="D114" s="129">
        <v>15</v>
      </c>
      <c r="E114" s="129">
        <v>1.2647666931152344</v>
      </c>
      <c r="F114" s="129">
        <v>61</v>
      </c>
      <c r="G114" s="179">
        <v>74</v>
      </c>
      <c r="H114" s="179">
        <v>1110</v>
      </c>
    </row>
    <row r="115" spans="1:8" x14ac:dyDescent="0.25">
      <c r="A115" s="127" t="s">
        <v>33</v>
      </c>
      <c r="B115" s="128">
        <v>40487</v>
      </c>
      <c r="C115" s="127" t="s">
        <v>36</v>
      </c>
      <c r="D115" s="129">
        <v>15</v>
      </c>
      <c r="E115" s="129">
        <v>1.2647666931152344</v>
      </c>
      <c r="F115" s="129">
        <v>423</v>
      </c>
      <c r="G115" s="179">
        <v>512</v>
      </c>
      <c r="H115" s="179">
        <v>7680</v>
      </c>
    </row>
    <row r="116" spans="1:8" x14ac:dyDescent="0.25">
      <c r="A116" s="127" t="s">
        <v>33</v>
      </c>
      <c r="B116" s="128">
        <v>40487</v>
      </c>
      <c r="C116" s="127" t="s">
        <v>37</v>
      </c>
      <c r="D116" s="129">
        <v>15</v>
      </c>
      <c r="E116" s="129">
        <v>1.2647666931152344</v>
      </c>
      <c r="F116" s="129">
        <v>554</v>
      </c>
      <c r="G116" s="179">
        <v>671</v>
      </c>
      <c r="H116" s="179">
        <v>10065</v>
      </c>
    </row>
    <row r="117" spans="1:8" x14ac:dyDescent="0.25">
      <c r="A117" s="127" t="s">
        <v>33</v>
      </c>
      <c r="B117" s="128">
        <v>40487</v>
      </c>
      <c r="C117" s="127" t="s">
        <v>38</v>
      </c>
      <c r="D117" s="129">
        <v>15</v>
      </c>
      <c r="E117" s="129">
        <v>1.2647666931152344</v>
      </c>
      <c r="F117" s="129">
        <v>735</v>
      </c>
      <c r="G117" s="179">
        <v>890</v>
      </c>
      <c r="H117" s="179">
        <v>13350</v>
      </c>
    </row>
    <row r="118" spans="1:8" x14ac:dyDescent="0.25">
      <c r="G118" s="14">
        <f>SUM(G111:G117)</f>
        <v>2484</v>
      </c>
      <c r="H118" s="14">
        <f>SUM(H111:H117)</f>
        <v>37260</v>
      </c>
    </row>
    <row r="120" spans="1:8" x14ac:dyDescent="0.25">
      <c r="A120" s="126" t="s">
        <v>9</v>
      </c>
      <c r="B120" s="126" t="s">
        <v>8</v>
      </c>
      <c r="C120" s="126" t="s">
        <v>10</v>
      </c>
      <c r="D120" s="126" t="s">
        <v>11</v>
      </c>
      <c r="E120" s="126" t="s">
        <v>12</v>
      </c>
      <c r="F120" s="126" t="s">
        <v>13</v>
      </c>
      <c r="G120" s="178" t="s">
        <v>14</v>
      </c>
      <c r="H120" s="178" t="s">
        <v>15</v>
      </c>
    </row>
    <row r="121" spans="1:8" x14ac:dyDescent="0.25">
      <c r="A121" s="127" t="s">
        <v>1</v>
      </c>
      <c r="B121" s="128">
        <v>40488</v>
      </c>
      <c r="C121" s="127" t="s">
        <v>29</v>
      </c>
      <c r="D121" s="129">
        <v>10</v>
      </c>
      <c r="E121" s="129">
        <v>1.4333000183105469</v>
      </c>
      <c r="F121" s="129">
        <v>10</v>
      </c>
      <c r="G121" s="179">
        <v>14</v>
      </c>
      <c r="H121" s="179">
        <v>140</v>
      </c>
    </row>
    <row r="122" spans="1:8" x14ac:dyDescent="0.25">
      <c r="A122" s="127" t="s">
        <v>1</v>
      </c>
      <c r="B122" s="128">
        <v>40488</v>
      </c>
      <c r="C122" s="127" t="s">
        <v>30</v>
      </c>
      <c r="D122" s="129">
        <v>1.5238095238095237</v>
      </c>
      <c r="E122" s="129">
        <v>1.4333000183105469</v>
      </c>
      <c r="F122" s="129">
        <v>315</v>
      </c>
      <c r="G122" s="179">
        <v>442</v>
      </c>
      <c r="H122" s="179">
        <v>674</v>
      </c>
    </row>
    <row r="123" spans="1:8" x14ac:dyDescent="0.25">
      <c r="A123" s="127" t="s">
        <v>1</v>
      </c>
      <c r="B123" s="128">
        <v>40488</v>
      </c>
      <c r="C123" s="127" t="s">
        <v>31</v>
      </c>
      <c r="D123" s="129">
        <v>10.388888888888889</v>
      </c>
      <c r="E123" s="129">
        <v>1.4333000183105469</v>
      </c>
      <c r="F123" s="129">
        <v>344</v>
      </c>
      <c r="G123" s="179">
        <v>483</v>
      </c>
      <c r="H123" s="179">
        <v>5018</v>
      </c>
    </row>
    <row r="124" spans="1:8" x14ac:dyDescent="0.25">
      <c r="A124" s="127" t="s">
        <v>1</v>
      </c>
      <c r="B124" s="128">
        <v>40488</v>
      </c>
      <c r="C124" s="127" t="s">
        <v>32</v>
      </c>
      <c r="D124" s="129">
        <v>14.6</v>
      </c>
      <c r="E124" s="129">
        <v>1.4333000183105469</v>
      </c>
      <c r="F124" s="129">
        <v>231</v>
      </c>
      <c r="G124" s="179">
        <v>324</v>
      </c>
      <c r="H124" s="179">
        <v>2220</v>
      </c>
    </row>
    <row r="125" spans="1:8" x14ac:dyDescent="0.25">
      <c r="G125" s="14">
        <f>SUM(G121:G124)</f>
        <v>1263</v>
      </c>
      <c r="H125" s="14">
        <f>SUM(H121:H124)</f>
        <v>8052</v>
      </c>
    </row>
    <row r="127" spans="1:8" x14ac:dyDescent="0.25">
      <c r="A127" s="126" t="s">
        <v>9</v>
      </c>
      <c r="B127" s="126" t="s">
        <v>8</v>
      </c>
      <c r="C127" s="126" t="s">
        <v>10</v>
      </c>
      <c r="D127" s="126" t="s">
        <v>11</v>
      </c>
      <c r="E127" s="126" t="s">
        <v>12</v>
      </c>
      <c r="F127" s="126" t="s">
        <v>13</v>
      </c>
      <c r="G127" s="178" t="s">
        <v>14</v>
      </c>
      <c r="H127" s="178" t="s">
        <v>15</v>
      </c>
    </row>
    <row r="128" spans="1:8" x14ac:dyDescent="0.25">
      <c r="A128" s="127" t="s">
        <v>1</v>
      </c>
      <c r="B128" s="128">
        <v>40490</v>
      </c>
      <c r="C128" s="127" t="s">
        <v>29</v>
      </c>
      <c r="D128" s="129">
        <v>11.904761904761905</v>
      </c>
      <c r="E128" s="129">
        <v>1.7713500261306763</v>
      </c>
      <c r="F128" s="129">
        <v>0</v>
      </c>
      <c r="G128" s="179">
        <v>0</v>
      </c>
      <c r="H128" s="179">
        <v>0</v>
      </c>
    </row>
    <row r="129" spans="1:8" x14ac:dyDescent="0.25">
      <c r="A129" s="127" t="s">
        <v>1</v>
      </c>
      <c r="B129" s="128">
        <v>40490</v>
      </c>
      <c r="C129" s="127" t="s">
        <v>30</v>
      </c>
      <c r="D129" s="129">
        <v>14.5</v>
      </c>
      <c r="E129" s="129">
        <v>1.7713500261306763</v>
      </c>
      <c r="F129" s="129">
        <v>98</v>
      </c>
      <c r="G129" s="179">
        <v>166</v>
      </c>
      <c r="H129" s="179">
        <v>2407</v>
      </c>
    </row>
    <row r="130" spans="1:8" x14ac:dyDescent="0.25">
      <c r="A130" s="127" t="s">
        <v>1</v>
      </c>
      <c r="B130" s="128">
        <v>40490</v>
      </c>
      <c r="C130" s="127" t="s">
        <v>31</v>
      </c>
      <c r="D130" s="129">
        <v>15</v>
      </c>
      <c r="E130" s="129">
        <v>1.7713500261306763</v>
      </c>
      <c r="F130" s="129">
        <v>89</v>
      </c>
      <c r="G130" s="179">
        <v>150</v>
      </c>
      <c r="H130" s="179">
        <v>2250</v>
      </c>
    </row>
    <row r="131" spans="1:8" x14ac:dyDescent="0.25">
      <c r="A131" s="127" t="s">
        <v>1</v>
      </c>
      <c r="B131" s="128">
        <v>40490</v>
      </c>
      <c r="C131" s="127" t="s">
        <v>32</v>
      </c>
      <c r="D131" s="129">
        <v>0</v>
      </c>
      <c r="E131" s="129">
        <v>1.7713500261306763</v>
      </c>
      <c r="F131" s="129">
        <v>0</v>
      </c>
      <c r="G131" s="179">
        <v>0</v>
      </c>
      <c r="H131" s="179">
        <v>0</v>
      </c>
    </row>
    <row r="132" spans="1:8" x14ac:dyDescent="0.25">
      <c r="G132" s="14">
        <f>SUM(G128:G131)</f>
        <v>316</v>
      </c>
      <c r="H132" s="14">
        <f>SUM(H128:H131)</f>
        <v>4657</v>
      </c>
    </row>
    <row r="133" spans="1:8" x14ac:dyDescent="0.25">
      <c r="A133" s="130"/>
      <c r="B133" s="130"/>
      <c r="C133" s="130"/>
      <c r="D133" s="130"/>
      <c r="E133" s="130"/>
      <c r="F133" s="130"/>
      <c r="G133" s="180"/>
      <c r="H133" s="180"/>
    </row>
    <row r="134" spans="1:8" x14ac:dyDescent="0.25">
      <c r="A134" s="126" t="s">
        <v>9</v>
      </c>
      <c r="B134" s="126" t="s">
        <v>8</v>
      </c>
      <c r="C134" s="126" t="s">
        <v>10</v>
      </c>
      <c r="D134" s="126" t="s">
        <v>11</v>
      </c>
      <c r="E134" s="126" t="s">
        <v>12</v>
      </c>
      <c r="F134" s="126" t="s">
        <v>13</v>
      </c>
      <c r="G134" s="178" t="s">
        <v>14</v>
      </c>
      <c r="H134" s="178" t="s">
        <v>15</v>
      </c>
    </row>
    <row r="135" spans="1:8" x14ac:dyDescent="0.25">
      <c r="A135" s="127" t="s">
        <v>1</v>
      </c>
      <c r="B135" s="128">
        <v>40503</v>
      </c>
      <c r="C135" s="127" t="s">
        <v>29</v>
      </c>
      <c r="D135" s="129">
        <v>15</v>
      </c>
      <c r="E135" s="129">
        <v>1.4651999473571777</v>
      </c>
      <c r="F135" s="129">
        <v>0</v>
      </c>
      <c r="G135" s="179">
        <v>0</v>
      </c>
      <c r="H135" s="179">
        <v>0</v>
      </c>
    </row>
    <row r="136" spans="1:8" x14ac:dyDescent="0.25">
      <c r="A136" s="127" t="s">
        <v>1</v>
      </c>
      <c r="B136" s="128">
        <v>40503</v>
      </c>
      <c r="C136" s="127" t="s">
        <v>30</v>
      </c>
      <c r="D136" s="129">
        <v>15</v>
      </c>
      <c r="E136" s="129">
        <v>1.4651999473571777</v>
      </c>
      <c r="F136" s="129">
        <v>78</v>
      </c>
      <c r="G136" s="179">
        <v>114</v>
      </c>
      <c r="H136" s="179">
        <v>1710</v>
      </c>
    </row>
    <row r="137" spans="1:8" x14ac:dyDescent="0.25">
      <c r="A137" s="127" t="s">
        <v>1</v>
      </c>
      <c r="B137" s="128">
        <v>40503</v>
      </c>
      <c r="C137" s="127" t="s">
        <v>31</v>
      </c>
      <c r="D137" s="129">
        <v>15</v>
      </c>
      <c r="E137" s="129">
        <v>1.4651999473571777</v>
      </c>
      <c r="F137" s="129">
        <v>101</v>
      </c>
      <c r="G137" s="179">
        <v>148</v>
      </c>
      <c r="H137" s="179">
        <v>2220</v>
      </c>
    </row>
    <row r="138" spans="1:8" x14ac:dyDescent="0.25">
      <c r="A138" s="127" t="s">
        <v>1</v>
      </c>
      <c r="B138" s="128">
        <v>40503</v>
      </c>
      <c r="C138" s="127" t="s">
        <v>32</v>
      </c>
      <c r="D138" s="129">
        <v>15</v>
      </c>
      <c r="E138" s="129">
        <v>1.4651999473571777</v>
      </c>
      <c r="F138" s="129">
        <v>77</v>
      </c>
      <c r="G138" s="179">
        <v>113</v>
      </c>
      <c r="H138" s="179">
        <v>1695</v>
      </c>
    </row>
    <row r="139" spans="1:8" x14ac:dyDescent="0.25">
      <c r="G139" s="14">
        <f>SUM(G135:G138)</f>
        <v>375</v>
      </c>
      <c r="H139" s="14">
        <f>SUM(H135:H138)</f>
        <v>5625</v>
      </c>
    </row>
    <row r="141" spans="1:8" x14ac:dyDescent="0.25">
      <c r="A141" s="126" t="s">
        <v>9</v>
      </c>
      <c r="B141" s="126" t="s">
        <v>8</v>
      </c>
      <c r="C141" s="126" t="s">
        <v>10</v>
      </c>
      <c r="D141" s="126" t="s">
        <v>11</v>
      </c>
      <c r="E141" s="126" t="s">
        <v>12</v>
      </c>
      <c r="F141" s="126" t="s">
        <v>13</v>
      </c>
      <c r="G141" s="178" t="s">
        <v>14</v>
      </c>
      <c r="H141" s="178" t="s">
        <v>15</v>
      </c>
    </row>
    <row r="142" spans="1:8" x14ac:dyDescent="0.25">
      <c r="A142" s="127" t="s">
        <v>33</v>
      </c>
      <c r="B142" s="128">
        <v>40502</v>
      </c>
      <c r="C142" s="127" t="s">
        <v>34</v>
      </c>
      <c r="D142" s="129">
        <v>15.052631578947368</v>
      </c>
      <c r="E142" s="129">
        <v>1.4225000143051147</v>
      </c>
      <c r="F142" s="129">
        <v>36</v>
      </c>
      <c r="G142" s="179">
        <v>50</v>
      </c>
      <c r="H142" s="179">
        <v>753</v>
      </c>
    </row>
    <row r="143" spans="1:8" x14ac:dyDescent="0.25">
      <c r="A143" s="127" t="s">
        <v>33</v>
      </c>
      <c r="B143" s="128">
        <v>40502</v>
      </c>
      <c r="C143" s="127" t="s">
        <v>35</v>
      </c>
      <c r="D143" s="129">
        <v>15.052631578947368</v>
      </c>
      <c r="E143" s="129">
        <v>1.4225000143051147</v>
      </c>
      <c r="F143" s="129">
        <v>52</v>
      </c>
      <c r="G143" s="179">
        <v>72</v>
      </c>
      <c r="H143" s="179">
        <v>1084</v>
      </c>
    </row>
    <row r="144" spans="1:8" x14ac:dyDescent="0.25">
      <c r="A144" s="127" t="s">
        <v>33</v>
      </c>
      <c r="B144" s="128">
        <v>40502</v>
      </c>
      <c r="C144" s="127" t="s">
        <v>74</v>
      </c>
      <c r="D144" s="129">
        <v>15.052631578947368</v>
      </c>
      <c r="E144" s="129">
        <v>1.4225000143051147</v>
      </c>
      <c r="F144" s="129">
        <v>98</v>
      </c>
      <c r="G144" s="179">
        <v>136</v>
      </c>
      <c r="H144" s="179">
        <v>2047</v>
      </c>
    </row>
    <row r="145" spans="1:8" x14ac:dyDescent="0.25">
      <c r="A145" s="127" t="s">
        <v>33</v>
      </c>
      <c r="B145" s="128">
        <v>40502</v>
      </c>
      <c r="C145" s="127" t="s">
        <v>39</v>
      </c>
      <c r="D145" s="129">
        <v>15.052631578947368</v>
      </c>
      <c r="E145" s="129">
        <v>1.4225000143051147</v>
      </c>
      <c r="F145" s="129">
        <v>41</v>
      </c>
      <c r="G145" s="179">
        <v>57</v>
      </c>
      <c r="H145" s="179">
        <v>858</v>
      </c>
    </row>
    <row r="146" spans="1:8" x14ac:dyDescent="0.25">
      <c r="A146" s="127" t="s">
        <v>33</v>
      </c>
      <c r="B146" s="128">
        <v>40502</v>
      </c>
      <c r="C146" s="127" t="s">
        <v>36</v>
      </c>
      <c r="D146" s="129">
        <v>15.1</v>
      </c>
      <c r="E146" s="129">
        <v>1.4225000143051147</v>
      </c>
      <c r="F146" s="129">
        <v>268</v>
      </c>
      <c r="G146" s="179">
        <v>371</v>
      </c>
      <c r="H146" s="179">
        <v>5602</v>
      </c>
    </row>
    <row r="147" spans="1:8" x14ac:dyDescent="0.25">
      <c r="A147" s="127" t="s">
        <v>33</v>
      </c>
      <c r="B147" s="128">
        <v>40502</v>
      </c>
      <c r="C147" s="127" t="s">
        <v>37</v>
      </c>
      <c r="D147" s="129">
        <v>15</v>
      </c>
      <c r="E147" s="129">
        <v>1.4225000143051147</v>
      </c>
      <c r="F147" s="129">
        <v>302</v>
      </c>
      <c r="G147" s="179">
        <v>419</v>
      </c>
      <c r="H147" s="179">
        <v>6307</v>
      </c>
    </row>
    <row r="148" spans="1:8" x14ac:dyDescent="0.25">
      <c r="A148" s="127" t="s">
        <v>33</v>
      </c>
      <c r="B148" s="128">
        <v>40502</v>
      </c>
      <c r="C148" s="127" t="s">
        <v>38</v>
      </c>
      <c r="D148" s="129">
        <v>15</v>
      </c>
      <c r="E148" s="129">
        <v>1.4225000143051147</v>
      </c>
      <c r="F148" s="129">
        <v>575</v>
      </c>
      <c r="G148" s="179">
        <v>797</v>
      </c>
      <c r="H148" s="179">
        <v>11997</v>
      </c>
    </row>
    <row r="149" spans="1:8" x14ac:dyDescent="0.25">
      <c r="G149" s="14">
        <f>SUM(G142:G148)</f>
        <v>1902</v>
      </c>
      <c r="H149" s="14">
        <f>SUM(H142:H148)</f>
        <v>28648</v>
      </c>
    </row>
    <row r="151" spans="1:8" x14ac:dyDescent="0.25">
      <c r="A151" s="126" t="s">
        <v>9</v>
      </c>
      <c r="B151" s="126" t="s">
        <v>8</v>
      </c>
      <c r="C151" s="126" t="s">
        <v>10</v>
      </c>
      <c r="D151" s="126" t="s">
        <v>11</v>
      </c>
      <c r="E151" s="126" t="s">
        <v>12</v>
      </c>
      <c r="F151" s="126" t="s">
        <v>13</v>
      </c>
      <c r="G151" s="178" t="s">
        <v>14</v>
      </c>
      <c r="H151" s="178" t="s">
        <v>15</v>
      </c>
    </row>
    <row r="152" spans="1:8" x14ac:dyDescent="0.25">
      <c r="A152" s="127" t="s">
        <v>1</v>
      </c>
      <c r="B152" s="128">
        <v>40502</v>
      </c>
      <c r="C152" s="127" t="s">
        <v>29</v>
      </c>
      <c r="D152" s="129">
        <v>14.604651162790697</v>
      </c>
      <c r="E152" s="129">
        <v>1.4651999473571777</v>
      </c>
      <c r="F152" s="129">
        <v>0</v>
      </c>
      <c r="G152" s="179">
        <v>0</v>
      </c>
      <c r="H152" s="179">
        <v>0</v>
      </c>
    </row>
    <row r="153" spans="1:8" x14ac:dyDescent="0.25">
      <c r="A153" s="127" t="s">
        <v>1</v>
      </c>
      <c r="B153" s="128">
        <v>40502</v>
      </c>
      <c r="C153" s="127" t="s">
        <v>30</v>
      </c>
      <c r="D153" s="129">
        <v>13.555555555555555</v>
      </c>
      <c r="E153" s="129">
        <v>1.4651999473571777</v>
      </c>
      <c r="F153" s="129">
        <v>319</v>
      </c>
      <c r="G153" s="179">
        <v>467</v>
      </c>
      <c r="H153" s="179">
        <v>6820</v>
      </c>
    </row>
    <row r="154" spans="1:8" x14ac:dyDescent="0.25">
      <c r="A154" s="127" t="s">
        <v>1</v>
      </c>
      <c r="B154" s="128">
        <v>40502</v>
      </c>
      <c r="C154" s="127" t="s">
        <v>31</v>
      </c>
      <c r="D154" s="129">
        <v>15</v>
      </c>
      <c r="E154" s="129">
        <v>1.4651999473571777</v>
      </c>
      <c r="F154" s="129">
        <v>395</v>
      </c>
      <c r="G154" s="179">
        <v>579</v>
      </c>
      <c r="H154" s="179">
        <v>8456</v>
      </c>
    </row>
    <row r="155" spans="1:8" x14ac:dyDescent="0.25">
      <c r="A155" s="127" t="s">
        <v>1</v>
      </c>
      <c r="B155" s="128">
        <v>40502</v>
      </c>
      <c r="C155" s="127" t="s">
        <v>32</v>
      </c>
      <c r="D155" s="129">
        <v>14.777777777777779</v>
      </c>
      <c r="E155" s="129">
        <v>1.4651999473571777</v>
      </c>
      <c r="F155" s="129">
        <v>322</v>
      </c>
      <c r="G155" s="179">
        <v>472</v>
      </c>
      <c r="H155" s="179">
        <v>6975</v>
      </c>
    </row>
    <row r="156" spans="1:8" x14ac:dyDescent="0.25">
      <c r="G156" s="14">
        <f>SUM(G152:G155)</f>
        <v>1518</v>
      </c>
      <c r="H156" s="14">
        <f>SUM(H152:H155)</f>
        <v>22251</v>
      </c>
    </row>
    <row r="158" spans="1:8" x14ac:dyDescent="0.25">
      <c r="A158" s="126" t="s">
        <v>9</v>
      </c>
      <c r="B158" s="126" t="s">
        <v>8</v>
      </c>
      <c r="C158" s="126" t="s">
        <v>10</v>
      </c>
      <c r="D158" s="126" t="s">
        <v>11</v>
      </c>
      <c r="E158" s="126" t="s">
        <v>12</v>
      </c>
      <c r="F158" s="126" t="s">
        <v>13</v>
      </c>
      <c r="G158" s="178" t="s">
        <v>14</v>
      </c>
      <c r="H158" s="178" t="s">
        <v>15</v>
      </c>
    </row>
    <row r="159" spans="1:8" x14ac:dyDescent="0.25">
      <c r="A159" s="127" t="s">
        <v>33</v>
      </c>
      <c r="B159" s="128">
        <v>40503</v>
      </c>
      <c r="C159" s="127" t="s">
        <v>34</v>
      </c>
      <c r="D159" s="129">
        <v>15</v>
      </c>
      <c r="E159" s="129">
        <v>1.4316500425338745</v>
      </c>
      <c r="F159" s="129">
        <v>13</v>
      </c>
      <c r="G159" s="179">
        <v>19</v>
      </c>
      <c r="H159" s="179">
        <v>285</v>
      </c>
    </row>
    <row r="160" spans="1:8" x14ac:dyDescent="0.25">
      <c r="A160" s="127" t="s">
        <v>33</v>
      </c>
      <c r="B160" s="128">
        <v>40503</v>
      </c>
      <c r="C160" s="127" t="s">
        <v>35</v>
      </c>
      <c r="D160" s="129">
        <v>15</v>
      </c>
      <c r="E160" s="129">
        <v>1.4316500425338745</v>
      </c>
      <c r="F160" s="129">
        <v>19</v>
      </c>
      <c r="G160" s="179">
        <v>27</v>
      </c>
      <c r="H160" s="179">
        <v>405</v>
      </c>
    </row>
    <row r="161" spans="1:8" x14ac:dyDescent="0.25">
      <c r="A161" s="127" t="s">
        <v>33</v>
      </c>
      <c r="B161" s="128">
        <v>40503</v>
      </c>
      <c r="C161" s="127" t="s">
        <v>74</v>
      </c>
      <c r="D161" s="129">
        <v>15</v>
      </c>
      <c r="E161" s="129">
        <v>1.4316500425338745</v>
      </c>
      <c r="F161" s="129">
        <v>35</v>
      </c>
      <c r="G161" s="179">
        <v>50</v>
      </c>
      <c r="H161" s="179">
        <v>750</v>
      </c>
    </row>
    <row r="162" spans="1:8" x14ac:dyDescent="0.25">
      <c r="A162" s="127" t="s">
        <v>33</v>
      </c>
      <c r="B162" s="128">
        <v>40503</v>
      </c>
      <c r="C162" s="127" t="s">
        <v>39</v>
      </c>
      <c r="D162" s="129">
        <v>15</v>
      </c>
      <c r="E162" s="129">
        <v>1.4316500425338745</v>
      </c>
      <c r="F162" s="129">
        <v>15</v>
      </c>
      <c r="G162" s="179">
        <v>21</v>
      </c>
      <c r="H162" s="179">
        <v>315</v>
      </c>
    </row>
    <row r="163" spans="1:8" x14ac:dyDescent="0.25">
      <c r="A163" s="127" t="s">
        <v>33</v>
      </c>
      <c r="B163" s="128">
        <v>40503</v>
      </c>
      <c r="C163" s="127" t="s">
        <v>36</v>
      </c>
      <c r="D163" s="129">
        <v>15</v>
      </c>
      <c r="E163" s="129">
        <v>1.4316500425338745</v>
      </c>
      <c r="F163" s="129">
        <v>127</v>
      </c>
      <c r="G163" s="179">
        <v>182</v>
      </c>
      <c r="H163" s="179">
        <v>2730</v>
      </c>
    </row>
    <row r="164" spans="1:8" x14ac:dyDescent="0.25">
      <c r="A164" s="127" t="s">
        <v>33</v>
      </c>
      <c r="B164" s="128">
        <v>40503</v>
      </c>
      <c r="C164" s="127" t="s">
        <v>37</v>
      </c>
      <c r="D164" s="129">
        <v>15</v>
      </c>
      <c r="E164" s="129">
        <v>1.4316500425338745</v>
      </c>
      <c r="F164" s="129">
        <v>119</v>
      </c>
      <c r="G164" s="179">
        <v>170</v>
      </c>
      <c r="H164" s="179">
        <v>2550</v>
      </c>
    </row>
    <row r="165" spans="1:8" x14ac:dyDescent="0.25">
      <c r="A165" s="127" t="s">
        <v>33</v>
      </c>
      <c r="B165" s="128">
        <v>40503</v>
      </c>
      <c r="C165" s="127" t="s">
        <v>38</v>
      </c>
      <c r="D165" s="129">
        <v>15</v>
      </c>
      <c r="E165" s="129">
        <v>1.4316500425338745</v>
      </c>
      <c r="F165" s="129">
        <v>167</v>
      </c>
      <c r="G165" s="179">
        <v>239</v>
      </c>
      <c r="H165" s="179">
        <v>3585</v>
      </c>
    </row>
    <row r="166" spans="1:8" x14ac:dyDescent="0.25">
      <c r="G166" s="14">
        <f>SUM(G159:G165)</f>
        <v>708</v>
      </c>
      <c r="H166" s="14">
        <f>SUM(H159:H165)</f>
        <v>10620</v>
      </c>
    </row>
    <row r="168" spans="1:8" x14ac:dyDescent="0.25">
      <c r="A168" s="126" t="s">
        <v>9</v>
      </c>
      <c r="B168" s="126" t="s">
        <v>8</v>
      </c>
      <c r="C168" s="126" t="s">
        <v>10</v>
      </c>
      <c r="D168" s="126" t="s">
        <v>11</v>
      </c>
      <c r="E168" s="126" t="s">
        <v>12</v>
      </c>
      <c r="F168" s="126" t="s">
        <v>13</v>
      </c>
      <c r="G168" s="178" t="s">
        <v>14</v>
      </c>
      <c r="H168" s="178" t="s">
        <v>15</v>
      </c>
    </row>
    <row r="169" spans="1:8" x14ac:dyDescent="0.25">
      <c r="A169" s="127" t="s">
        <v>2</v>
      </c>
      <c r="B169" s="128">
        <v>40516</v>
      </c>
      <c r="C169" s="127" t="s">
        <v>16</v>
      </c>
      <c r="D169" s="129">
        <v>15</v>
      </c>
      <c r="E169" s="129">
        <v>1.5866999626159668</v>
      </c>
      <c r="F169" s="129">
        <v>12</v>
      </c>
      <c r="G169" s="179">
        <v>19</v>
      </c>
      <c r="H169" s="179">
        <v>285</v>
      </c>
    </row>
    <row r="170" spans="1:8" x14ac:dyDescent="0.25">
      <c r="A170" s="127" t="s">
        <v>2</v>
      </c>
      <c r="B170" s="128">
        <v>40516</v>
      </c>
      <c r="C170" s="127" t="s">
        <v>17</v>
      </c>
      <c r="D170" s="129">
        <v>15</v>
      </c>
      <c r="E170" s="129">
        <v>1.5866999626159668</v>
      </c>
      <c r="F170" s="129">
        <v>628</v>
      </c>
      <c r="G170" s="179">
        <v>978</v>
      </c>
      <c r="H170" s="179">
        <v>14670</v>
      </c>
    </row>
    <row r="171" spans="1:8" x14ac:dyDescent="0.25">
      <c r="A171" s="127" t="s">
        <v>2</v>
      </c>
      <c r="B171" s="128">
        <v>40516</v>
      </c>
      <c r="C171" s="127" t="s">
        <v>18</v>
      </c>
      <c r="D171" s="129">
        <v>15</v>
      </c>
      <c r="E171" s="129">
        <v>1.5866999626159668</v>
      </c>
      <c r="F171" s="129">
        <v>414</v>
      </c>
      <c r="G171" s="179">
        <v>644</v>
      </c>
      <c r="H171" s="179">
        <v>9660</v>
      </c>
    </row>
    <row r="172" spans="1:8" x14ac:dyDescent="0.25">
      <c r="A172" s="127" t="s">
        <v>2</v>
      </c>
      <c r="B172" s="128">
        <v>40516</v>
      </c>
      <c r="C172" s="127" t="s">
        <v>19</v>
      </c>
      <c r="D172" s="129">
        <v>15</v>
      </c>
      <c r="E172" s="129">
        <v>1.5866999626159668</v>
      </c>
      <c r="F172" s="129">
        <v>159</v>
      </c>
      <c r="G172" s="179">
        <v>248</v>
      </c>
      <c r="H172" s="179">
        <v>3720</v>
      </c>
    </row>
    <row r="173" spans="1:8" x14ac:dyDescent="0.25">
      <c r="A173" s="127" t="s">
        <v>2</v>
      </c>
      <c r="B173" s="128">
        <v>40516</v>
      </c>
      <c r="C173" s="127" t="s">
        <v>20</v>
      </c>
      <c r="D173" s="129">
        <v>15</v>
      </c>
      <c r="E173" s="129">
        <v>1.5866999626159668</v>
      </c>
      <c r="F173" s="129">
        <v>646</v>
      </c>
      <c r="G173" s="179">
        <v>1006</v>
      </c>
      <c r="H173" s="179">
        <v>15090</v>
      </c>
    </row>
    <row r="174" spans="1:8" x14ac:dyDescent="0.25">
      <c r="A174" s="127" t="s">
        <v>2</v>
      </c>
      <c r="B174" s="128">
        <v>40516</v>
      </c>
      <c r="C174" s="127" t="s">
        <v>21</v>
      </c>
      <c r="D174" s="129">
        <v>15</v>
      </c>
      <c r="E174" s="129">
        <v>1.5866999626159668</v>
      </c>
      <c r="F174" s="129">
        <v>8</v>
      </c>
      <c r="G174" s="179">
        <v>12</v>
      </c>
      <c r="H174" s="179">
        <v>180</v>
      </c>
    </row>
    <row r="175" spans="1:8" x14ac:dyDescent="0.25">
      <c r="G175" s="14">
        <f>SUM(G169:G174)</f>
        <v>2907</v>
      </c>
      <c r="H175" s="14">
        <f>SUM(H169:H174)</f>
        <v>43605</v>
      </c>
    </row>
    <row r="177" spans="1:8" x14ac:dyDescent="0.25">
      <c r="A177" s="126" t="s">
        <v>9</v>
      </c>
      <c r="B177" s="126" t="s">
        <v>8</v>
      </c>
      <c r="C177" s="126" t="s">
        <v>10</v>
      </c>
      <c r="D177" s="126" t="s">
        <v>11</v>
      </c>
      <c r="E177" s="126" t="s">
        <v>12</v>
      </c>
      <c r="F177" s="126" t="s">
        <v>13</v>
      </c>
      <c r="G177" s="178" t="s">
        <v>14</v>
      </c>
      <c r="H177" s="178" t="s">
        <v>15</v>
      </c>
    </row>
    <row r="178" spans="1:8" x14ac:dyDescent="0.25">
      <c r="A178" s="127" t="s">
        <v>2</v>
      </c>
      <c r="B178" s="128">
        <v>40517</v>
      </c>
      <c r="C178" s="127" t="s">
        <v>16</v>
      </c>
      <c r="D178" s="129">
        <v>15</v>
      </c>
      <c r="E178" s="129">
        <v>1.5067332983016968</v>
      </c>
      <c r="F178" s="129">
        <v>3</v>
      </c>
      <c r="G178" s="179">
        <v>4</v>
      </c>
      <c r="H178" s="179">
        <v>60</v>
      </c>
    </row>
    <row r="179" spans="1:8" x14ac:dyDescent="0.25">
      <c r="A179" s="127" t="s">
        <v>2</v>
      </c>
      <c r="B179" s="128">
        <v>40517</v>
      </c>
      <c r="C179" s="127" t="s">
        <v>17</v>
      </c>
      <c r="D179" s="129">
        <v>15</v>
      </c>
      <c r="E179" s="129">
        <v>1.5067332983016968</v>
      </c>
      <c r="F179" s="129">
        <v>307</v>
      </c>
      <c r="G179" s="179">
        <v>447</v>
      </c>
      <c r="H179" s="179">
        <v>6705</v>
      </c>
    </row>
    <row r="180" spans="1:8" x14ac:dyDescent="0.25">
      <c r="A180" s="127" t="s">
        <v>2</v>
      </c>
      <c r="B180" s="128">
        <v>40517</v>
      </c>
      <c r="C180" s="127" t="s">
        <v>18</v>
      </c>
      <c r="D180" s="129">
        <v>15</v>
      </c>
      <c r="E180" s="129">
        <v>1.5067332983016968</v>
      </c>
      <c r="F180" s="129">
        <v>103</v>
      </c>
      <c r="G180" s="179">
        <v>150</v>
      </c>
      <c r="H180" s="179">
        <v>2250</v>
      </c>
    </row>
    <row r="181" spans="1:8" x14ac:dyDescent="0.25">
      <c r="A181" s="127" t="s">
        <v>2</v>
      </c>
      <c r="B181" s="128">
        <v>40517</v>
      </c>
      <c r="C181" s="127" t="s">
        <v>19</v>
      </c>
      <c r="D181" s="129">
        <v>15</v>
      </c>
      <c r="E181" s="129">
        <v>1.5067332983016968</v>
      </c>
      <c r="F181" s="129">
        <v>140</v>
      </c>
      <c r="G181" s="179">
        <v>204</v>
      </c>
      <c r="H181" s="179">
        <v>3060</v>
      </c>
    </row>
    <row r="182" spans="1:8" x14ac:dyDescent="0.25">
      <c r="A182" s="127" t="s">
        <v>2</v>
      </c>
      <c r="B182" s="128">
        <v>40517</v>
      </c>
      <c r="C182" s="127" t="s">
        <v>20</v>
      </c>
      <c r="D182" s="129">
        <v>15</v>
      </c>
      <c r="E182" s="129">
        <v>1.5067332983016968</v>
      </c>
      <c r="F182" s="129">
        <v>311</v>
      </c>
      <c r="G182" s="179">
        <v>452</v>
      </c>
      <c r="H182" s="179">
        <v>6780</v>
      </c>
    </row>
    <row r="183" spans="1:8" x14ac:dyDescent="0.25">
      <c r="A183" s="127" t="s">
        <v>2</v>
      </c>
      <c r="B183" s="128">
        <v>40517</v>
      </c>
      <c r="C183" s="127" t="s">
        <v>21</v>
      </c>
      <c r="D183" s="129">
        <v>15</v>
      </c>
      <c r="E183" s="129">
        <v>1.5067332983016968</v>
      </c>
      <c r="F183" s="129">
        <v>0</v>
      </c>
      <c r="G183" s="179">
        <v>0</v>
      </c>
      <c r="H183" s="179">
        <v>0</v>
      </c>
    </row>
    <row r="184" spans="1:8" x14ac:dyDescent="0.25">
      <c r="G184" s="14">
        <f>SUM(G178:G183)</f>
        <v>1257</v>
      </c>
      <c r="H184" s="14">
        <f>SUM(H178:H183)</f>
        <v>18855</v>
      </c>
    </row>
    <row r="186" spans="1:8" x14ac:dyDescent="0.25">
      <c r="A186" s="126" t="s">
        <v>9</v>
      </c>
      <c r="B186" s="126" t="s">
        <v>8</v>
      </c>
      <c r="C186" s="126" t="s">
        <v>10</v>
      </c>
      <c r="D186" s="126" t="s">
        <v>11</v>
      </c>
      <c r="E186" s="126" t="s">
        <v>12</v>
      </c>
      <c r="F186" s="126" t="s">
        <v>13</v>
      </c>
      <c r="G186" s="178" t="s">
        <v>14</v>
      </c>
      <c r="H186" s="178" t="s">
        <v>15</v>
      </c>
    </row>
    <row r="187" spans="1:8" x14ac:dyDescent="0.25">
      <c r="A187" s="127" t="s">
        <v>3</v>
      </c>
      <c r="B187" s="128">
        <v>40516</v>
      </c>
      <c r="C187" s="127" t="s">
        <v>23</v>
      </c>
      <c r="D187" s="129">
        <v>15</v>
      </c>
      <c r="E187" s="129">
        <v>1.392966628074646</v>
      </c>
      <c r="F187" s="129">
        <v>62</v>
      </c>
      <c r="G187" s="179">
        <v>85</v>
      </c>
      <c r="H187" s="179">
        <v>1275</v>
      </c>
    </row>
    <row r="188" spans="1:8" x14ac:dyDescent="0.25">
      <c r="A188" s="127" t="s">
        <v>3</v>
      </c>
      <c r="B188" s="128">
        <v>40516</v>
      </c>
      <c r="C188" s="127" t="s">
        <v>24</v>
      </c>
      <c r="D188" s="129">
        <v>15</v>
      </c>
      <c r="E188" s="129">
        <v>1.392966628074646</v>
      </c>
      <c r="F188" s="129">
        <v>85</v>
      </c>
      <c r="G188" s="179">
        <v>116</v>
      </c>
      <c r="H188" s="179">
        <v>1740</v>
      </c>
    </row>
    <row r="189" spans="1:8" x14ac:dyDescent="0.25">
      <c r="A189" s="127" t="s">
        <v>3</v>
      </c>
      <c r="B189" s="128">
        <v>40516</v>
      </c>
      <c r="C189" s="127" t="s">
        <v>25</v>
      </c>
      <c r="D189" s="129">
        <v>15</v>
      </c>
      <c r="E189" s="129">
        <v>1.392966628074646</v>
      </c>
      <c r="F189" s="129">
        <v>104</v>
      </c>
      <c r="G189" s="179">
        <v>142</v>
      </c>
      <c r="H189" s="179">
        <v>2130</v>
      </c>
    </row>
    <row r="190" spans="1:8" x14ac:dyDescent="0.25">
      <c r="A190" s="127" t="s">
        <v>3</v>
      </c>
      <c r="B190" s="128">
        <v>40516</v>
      </c>
      <c r="C190" s="127" t="s">
        <v>26</v>
      </c>
      <c r="D190" s="129">
        <v>15</v>
      </c>
      <c r="E190" s="129">
        <v>1.392966628074646</v>
      </c>
      <c r="F190" s="129">
        <v>252</v>
      </c>
      <c r="G190" s="179">
        <v>345</v>
      </c>
      <c r="H190" s="179">
        <v>5175</v>
      </c>
    </row>
    <row r="191" spans="1:8" x14ac:dyDescent="0.25">
      <c r="A191" s="127" t="s">
        <v>3</v>
      </c>
      <c r="B191" s="128">
        <v>40516</v>
      </c>
      <c r="C191" s="127" t="s">
        <v>27</v>
      </c>
      <c r="D191" s="129">
        <v>15</v>
      </c>
      <c r="E191" s="129">
        <v>1.392966628074646</v>
      </c>
      <c r="F191" s="129">
        <v>160</v>
      </c>
      <c r="G191" s="179">
        <v>219</v>
      </c>
      <c r="H191" s="179">
        <v>3285</v>
      </c>
    </row>
    <row r="192" spans="1:8" x14ac:dyDescent="0.25">
      <c r="A192" s="127" t="s">
        <v>3</v>
      </c>
      <c r="B192" s="128">
        <v>40516</v>
      </c>
      <c r="C192" s="127" t="s">
        <v>28</v>
      </c>
      <c r="D192" s="129">
        <v>15</v>
      </c>
      <c r="E192" s="129">
        <v>1.392966628074646</v>
      </c>
      <c r="F192" s="129">
        <v>266</v>
      </c>
      <c r="G192" s="179">
        <v>364</v>
      </c>
      <c r="H192" s="179">
        <v>5460</v>
      </c>
    </row>
    <row r="193" spans="1:8" x14ac:dyDescent="0.25">
      <c r="G193" s="14">
        <f>SUM(G187:G192)</f>
        <v>1271</v>
      </c>
      <c r="H193" s="14">
        <f>SUM(H187:H192)</f>
        <v>19065</v>
      </c>
    </row>
    <row r="195" spans="1:8" x14ac:dyDescent="0.25">
      <c r="A195" s="126" t="s">
        <v>9</v>
      </c>
      <c r="B195" s="126" t="s">
        <v>8</v>
      </c>
      <c r="C195" s="126" t="s">
        <v>10</v>
      </c>
      <c r="D195" s="126" t="s">
        <v>11</v>
      </c>
      <c r="E195" s="126" t="s">
        <v>12</v>
      </c>
      <c r="F195" s="126" t="s">
        <v>13</v>
      </c>
      <c r="G195" s="178" t="s">
        <v>14</v>
      </c>
      <c r="H195" s="178" t="s">
        <v>15</v>
      </c>
    </row>
    <row r="196" spans="1:8" x14ac:dyDescent="0.25">
      <c r="A196" s="127" t="s">
        <v>3</v>
      </c>
      <c r="B196" s="128">
        <v>40517</v>
      </c>
      <c r="C196" s="127" t="s">
        <v>23</v>
      </c>
      <c r="D196" s="129">
        <v>15</v>
      </c>
      <c r="E196" s="129">
        <v>1.378600001335144</v>
      </c>
      <c r="F196" s="129">
        <v>32</v>
      </c>
      <c r="G196" s="179">
        <v>44</v>
      </c>
      <c r="H196" s="179">
        <v>660</v>
      </c>
    </row>
    <row r="197" spans="1:8" x14ac:dyDescent="0.25">
      <c r="A197" s="127" t="s">
        <v>3</v>
      </c>
      <c r="B197" s="128">
        <v>40517</v>
      </c>
      <c r="C197" s="127" t="s">
        <v>24</v>
      </c>
      <c r="D197" s="129">
        <v>15</v>
      </c>
      <c r="E197" s="129">
        <v>1.378600001335144</v>
      </c>
      <c r="F197" s="129">
        <v>47</v>
      </c>
      <c r="G197" s="179">
        <v>65</v>
      </c>
      <c r="H197" s="179">
        <v>975</v>
      </c>
    </row>
    <row r="198" spans="1:8" x14ac:dyDescent="0.25">
      <c r="A198" s="127" t="s">
        <v>3</v>
      </c>
      <c r="B198" s="128">
        <v>40517</v>
      </c>
      <c r="C198" s="127" t="s">
        <v>25</v>
      </c>
      <c r="D198" s="129">
        <v>15</v>
      </c>
      <c r="E198" s="129">
        <v>1.378600001335144</v>
      </c>
      <c r="F198" s="129">
        <v>54</v>
      </c>
      <c r="G198" s="179">
        <v>74</v>
      </c>
      <c r="H198" s="179">
        <v>1110</v>
      </c>
    </row>
    <row r="199" spans="1:8" x14ac:dyDescent="0.25">
      <c r="A199" s="127" t="s">
        <v>3</v>
      </c>
      <c r="B199" s="128">
        <v>40517</v>
      </c>
      <c r="C199" s="127" t="s">
        <v>26</v>
      </c>
      <c r="D199" s="129">
        <v>15</v>
      </c>
      <c r="E199" s="129">
        <v>1.378600001335144</v>
      </c>
      <c r="F199" s="129">
        <v>119</v>
      </c>
      <c r="G199" s="179">
        <v>164</v>
      </c>
      <c r="H199" s="179">
        <v>2460</v>
      </c>
    </row>
    <row r="200" spans="1:8" x14ac:dyDescent="0.25">
      <c r="A200" s="127" t="s">
        <v>3</v>
      </c>
      <c r="B200" s="128">
        <v>40517</v>
      </c>
      <c r="C200" s="127" t="s">
        <v>27</v>
      </c>
      <c r="D200" s="129">
        <v>15</v>
      </c>
      <c r="E200" s="129">
        <v>1.378600001335144</v>
      </c>
      <c r="F200" s="129">
        <v>80</v>
      </c>
      <c r="G200" s="179">
        <v>110</v>
      </c>
      <c r="H200" s="179">
        <v>1650</v>
      </c>
    </row>
    <row r="201" spans="1:8" x14ac:dyDescent="0.25">
      <c r="A201" s="127" t="s">
        <v>3</v>
      </c>
      <c r="B201" s="128">
        <v>40517</v>
      </c>
      <c r="C201" s="127" t="s">
        <v>28</v>
      </c>
      <c r="D201" s="129">
        <v>15</v>
      </c>
      <c r="E201" s="129">
        <v>1.378600001335144</v>
      </c>
      <c r="F201" s="129">
        <v>84</v>
      </c>
      <c r="G201" s="179">
        <v>116</v>
      </c>
      <c r="H201" s="179">
        <v>1740</v>
      </c>
    </row>
    <row r="202" spans="1:8" x14ac:dyDescent="0.25">
      <c r="G202" s="14">
        <f>SUM(G196:G201)</f>
        <v>573</v>
      </c>
      <c r="H202" s="14">
        <f>SUM(H196:H201)</f>
        <v>8595</v>
      </c>
    </row>
    <row r="204" spans="1:8" x14ac:dyDescent="0.25">
      <c r="A204" s="126" t="s">
        <v>9</v>
      </c>
      <c r="B204" s="126" t="s">
        <v>8</v>
      </c>
      <c r="C204" s="126" t="s">
        <v>10</v>
      </c>
      <c r="D204" s="126" t="s">
        <v>11</v>
      </c>
      <c r="E204" s="126" t="s">
        <v>12</v>
      </c>
      <c r="F204" s="126" t="s">
        <v>13</v>
      </c>
      <c r="G204" s="178" t="s">
        <v>14</v>
      </c>
      <c r="H204" s="178" t="s">
        <v>15</v>
      </c>
    </row>
    <row r="205" spans="1:8" x14ac:dyDescent="0.25">
      <c r="A205" s="127" t="s">
        <v>1</v>
      </c>
      <c r="B205" s="128">
        <v>40515</v>
      </c>
      <c r="C205" s="127" t="s">
        <v>29</v>
      </c>
      <c r="D205" s="129">
        <v>15</v>
      </c>
      <c r="E205" s="129">
        <v>1.3781499862670898</v>
      </c>
      <c r="F205" s="129">
        <v>0</v>
      </c>
      <c r="G205" s="179">
        <v>0</v>
      </c>
      <c r="H205" s="179">
        <v>0</v>
      </c>
    </row>
    <row r="206" spans="1:8" x14ac:dyDescent="0.25">
      <c r="A206" s="127" t="s">
        <v>1</v>
      </c>
      <c r="B206" s="128">
        <v>40515</v>
      </c>
      <c r="C206" s="127" t="s">
        <v>30</v>
      </c>
      <c r="D206" s="129">
        <v>15</v>
      </c>
      <c r="E206" s="129">
        <v>1.3781499862670898</v>
      </c>
      <c r="F206" s="129">
        <v>354</v>
      </c>
      <c r="G206" s="179">
        <v>471</v>
      </c>
      <c r="H206" s="179">
        <v>7065</v>
      </c>
    </row>
    <row r="207" spans="1:8" x14ac:dyDescent="0.25">
      <c r="A207" s="127" t="s">
        <v>1</v>
      </c>
      <c r="B207" s="128">
        <v>40515</v>
      </c>
      <c r="C207" s="127" t="s">
        <v>31</v>
      </c>
      <c r="D207" s="129">
        <v>15</v>
      </c>
      <c r="E207" s="129">
        <v>1.3781499862670898</v>
      </c>
      <c r="F207" s="129">
        <v>332</v>
      </c>
      <c r="G207" s="179">
        <v>441</v>
      </c>
      <c r="H207" s="179">
        <v>6615</v>
      </c>
    </row>
    <row r="208" spans="1:8" x14ac:dyDescent="0.25">
      <c r="A208" s="127" t="s">
        <v>1</v>
      </c>
      <c r="B208" s="128">
        <v>40515</v>
      </c>
      <c r="C208" s="127" t="s">
        <v>32</v>
      </c>
      <c r="D208" s="129">
        <v>15</v>
      </c>
      <c r="E208" s="129">
        <v>1.3781499862670898</v>
      </c>
      <c r="F208" s="129">
        <v>254</v>
      </c>
      <c r="G208" s="179">
        <v>338</v>
      </c>
      <c r="H208" s="179">
        <v>5070</v>
      </c>
    </row>
    <row r="209" spans="1:8" x14ac:dyDescent="0.25">
      <c r="G209" s="14">
        <f>SUM(G205:G208)</f>
        <v>1250</v>
      </c>
      <c r="H209" s="14">
        <f>SUM(H205:H208)</f>
        <v>18750</v>
      </c>
    </row>
    <row r="211" spans="1:8" x14ac:dyDescent="0.25">
      <c r="A211" s="126" t="s">
        <v>9</v>
      </c>
      <c r="B211" s="126" t="s">
        <v>8</v>
      </c>
      <c r="C211" s="126" t="s">
        <v>10</v>
      </c>
      <c r="D211" s="126" t="s">
        <v>11</v>
      </c>
      <c r="E211" s="126" t="s">
        <v>12</v>
      </c>
      <c r="F211" s="126" t="s">
        <v>13</v>
      </c>
      <c r="G211" s="178" t="s">
        <v>14</v>
      </c>
      <c r="H211" s="178" t="s">
        <v>15</v>
      </c>
    </row>
    <row r="212" spans="1:8" x14ac:dyDescent="0.25">
      <c r="A212" s="127" t="s">
        <v>1</v>
      </c>
      <c r="B212" s="128">
        <v>40516</v>
      </c>
      <c r="C212" s="127" t="s">
        <v>29</v>
      </c>
      <c r="D212" s="129">
        <v>15</v>
      </c>
      <c r="E212" s="129">
        <v>1.3781499862670898</v>
      </c>
      <c r="F212" s="129">
        <v>0</v>
      </c>
      <c r="G212" s="179">
        <v>0</v>
      </c>
      <c r="H212" s="179">
        <v>0</v>
      </c>
    </row>
    <row r="213" spans="1:8" x14ac:dyDescent="0.25">
      <c r="A213" s="127" t="s">
        <v>1</v>
      </c>
      <c r="B213" s="128">
        <v>40516</v>
      </c>
      <c r="C213" s="127" t="s">
        <v>30</v>
      </c>
      <c r="D213" s="129">
        <v>15</v>
      </c>
      <c r="E213" s="129">
        <v>1.3781499862670898</v>
      </c>
      <c r="F213" s="129">
        <v>666</v>
      </c>
      <c r="G213" s="179">
        <v>867</v>
      </c>
      <c r="H213" s="179">
        <v>13005</v>
      </c>
    </row>
    <row r="214" spans="1:8" x14ac:dyDescent="0.25">
      <c r="A214" s="127" t="s">
        <v>1</v>
      </c>
      <c r="B214" s="128">
        <v>40516</v>
      </c>
      <c r="C214" s="127" t="s">
        <v>31</v>
      </c>
      <c r="D214" s="129">
        <v>15</v>
      </c>
      <c r="E214" s="129">
        <v>1.3781499862670898</v>
      </c>
      <c r="F214" s="129">
        <v>457</v>
      </c>
      <c r="G214" s="179">
        <v>595</v>
      </c>
      <c r="H214" s="179">
        <v>8925</v>
      </c>
    </row>
    <row r="215" spans="1:8" x14ac:dyDescent="0.25">
      <c r="A215" s="127" t="s">
        <v>1</v>
      </c>
      <c r="B215" s="128">
        <v>40516</v>
      </c>
      <c r="C215" s="127" t="s">
        <v>32</v>
      </c>
      <c r="D215" s="129">
        <v>15</v>
      </c>
      <c r="E215" s="129">
        <v>1.3781499862670898</v>
      </c>
      <c r="F215" s="129">
        <v>359</v>
      </c>
      <c r="G215" s="179">
        <v>467</v>
      </c>
      <c r="H215" s="179">
        <v>7005</v>
      </c>
    </row>
    <row r="216" spans="1:8" x14ac:dyDescent="0.25">
      <c r="G216" s="14">
        <f>SUM(G212:G215)</f>
        <v>1929</v>
      </c>
      <c r="H216" s="14">
        <f>SUM(H212:H215)</f>
        <v>28935</v>
      </c>
    </row>
    <row r="218" spans="1:8" x14ac:dyDescent="0.25">
      <c r="A218" s="126" t="s">
        <v>9</v>
      </c>
      <c r="B218" s="126" t="s">
        <v>8</v>
      </c>
      <c r="C218" s="126" t="s">
        <v>10</v>
      </c>
      <c r="D218" s="126" t="s">
        <v>11</v>
      </c>
      <c r="E218" s="126" t="s">
        <v>12</v>
      </c>
      <c r="F218" s="126" t="s">
        <v>13</v>
      </c>
      <c r="G218" s="178" t="s">
        <v>14</v>
      </c>
      <c r="H218" s="178" t="s">
        <v>15</v>
      </c>
    </row>
    <row r="219" spans="1:8" x14ac:dyDescent="0.25">
      <c r="A219" s="127" t="s">
        <v>33</v>
      </c>
      <c r="B219" s="128">
        <v>40516</v>
      </c>
      <c r="C219" s="127" t="s">
        <v>34</v>
      </c>
      <c r="D219" s="129">
        <v>15</v>
      </c>
      <c r="E219" s="129">
        <v>1.2603000402450562</v>
      </c>
      <c r="F219" s="129">
        <v>46</v>
      </c>
      <c r="G219" s="179">
        <v>57</v>
      </c>
      <c r="H219" s="179">
        <v>855</v>
      </c>
    </row>
    <row r="220" spans="1:8" x14ac:dyDescent="0.25">
      <c r="A220" s="127" t="s">
        <v>33</v>
      </c>
      <c r="B220" s="128">
        <v>40516</v>
      </c>
      <c r="C220" s="127" t="s">
        <v>35</v>
      </c>
      <c r="D220" s="129">
        <v>15</v>
      </c>
      <c r="E220" s="129">
        <v>1.2603000402450562</v>
      </c>
      <c r="F220" s="129">
        <v>66</v>
      </c>
      <c r="G220" s="179">
        <v>81</v>
      </c>
      <c r="H220" s="179">
        <v>1215</v>
      </c>
    </row>
    <row r="221" spans="1:8" x14ac:dyDescent="0.25">
      <c r="A221" s="127" t="s">
        <v>33</v>
      </c>
      <c r="B221" s="128">
        <v>40516</v>
      </c>
      <c r="C221" s="127" t="s">
        <v>74</v>
      </c>
      <c r="D221" s="129">
        <v>15</v>
      </c>
      <c r="E221" s="129">
        <v>1.2603000402450562</v>
      </c>
      <c r="F221" s="129">
        <v>125</v>
      </c>
      <c r="G221" s="179">
        <v>154</v>
      </c>
      <c r="H221" s="179">
        <v>2310</v>
      </c>
    </row>
    <row r="222" spans="1:8" x14ac:dyDescent="0.25">
      <c r="A222" s="127" t="s">
        <v>33</v>
      </c>
      <c r="B222" s="128">
        <v>40516</v>
      </c>
      <c r="C222" s="127" t="s">
        <v>39</v>
      </c>
      <c r="D222" s="129">
        <v>15</v>
      </c>
      <c r="E222" s="129">
        <v>1.2603000402450562</v>
      </c>
      <c r="F222" s="129">
        <v>51</v>
      </c>
      <c r="G222" s="179">
        <v>63</v>
      </c>
      <c r="H222" s="179">
        <v>945</v>
      </c>
    </row>
    <row r="223" spans="1:8" x14ac:dyDescent="0.25">
      <c r="A223" s="127" t="s">
        <v>33</v>
      </c>
      <c r="B223" s="128">
        <v>40516</v>
      </c>
      <c r="C223" s="127" t="s">
        <v>36</v>
      </c>
      <c r="D223" s="129">
        <v>15</v>
      </c>
      <c r="E223" s="129">
        <v>1.2603000402450562</v>
      </c>
      <c r="F223" s="129">
        <v>461</v>
      </c>
      <c r="G223" s="179">
        <v>567</v>
      </c>
      <c r="H223" s="179">
        <v>8505</v>
      </c>
    </row>
    <row r="224" spans="1:8" x14ac:dyDescent="0.25">
      <c r="A224" s="127" t="s">
        <v>33</v>
      </c>
      <c r="B224" s="128">
        <v>40516</v>
      </c>
      <c r="C224" s="127" t="s">
        <v>37</v>
      </c>
      <c r="D224" s="129">
        <v>15</v>
      </c>
      <c r="E224" s="129">
        <v>1.2603000402450562</v>
      </c>
      <c r="F224" s="129">
        <v>500</v>
      </c>
      <c r="G224" s="179">
        <v>615</v>
      </c>
      <c r="H224" s="179">
        <v>9225</v>
      </c>
    </row>
    <row r="225" spans="1:8" x14ac:dyDescent="0.25">
      <c r="A225" s="127" t="s">
        <v>33</v>
      </c>
      <c r="B225" s="128">
        <v>40516</v>
      </c>
      <c r="C225" s="127" t="s">
        <v>38</v>
      </c>
      <c r="D225" s="129">
        <v>15</v>
      </c>
      <c r="E225" s="129">
        <v>1.2603000402450562</v>
      </c>
      <c r="F225" s="129">
        <v>492</v>
      </c>
      <c r="G225" s="179">
        <v>605</v>
      </c>
      <c r="H225" s="179">
        <v>9075</v>
      </c>
    </row>
    <row r="226" spans="1:8" x14ac:dyDescent="0.25">
      <c r="G226" s="14">
        <f>SUM(G219:G225)</f>
        <v>2142</v>
      </c>
      <c r="H226" s="14">
        <f>SUM(H219:H225)</f>
        <v>32130</v>
      </c>
    </row>
    <row r="228" spans="1:8" x14ac:dyDescent="0.25">
      <c r="A228" s="126" t="s">
        <v>9</v>
      </c>
      <c r="B228" s="126" t="s">
        <v>8</v>
      </c>
      <c r="C228" s="126" t="s">
        <v>10</v>
      </c>
      <c r="D228" s="126" t="s">
        <v>11</v>
      </c>
      <c r="E228" s="126" t="s">
        <v>12</v>
      </c>
      <c r="F228" s="126" t="s">
        <v>13</v>
      </c>
      <c r="G228" s="178" t="s">
        <v>14</v>
      </c>
      <c r="H228" s="178" t="s">
        <v>15</v>
      </c>
    </row>
    <row r="229" spans="1:8" x14ac:dyDescent="0.25">
      <c r="A229" s="127" t="s">
        <v>33</v>
      </c>
      <c r="B229" s="128">
        <v>40517</v>
      </c>
      <c r="C229" s="127" t="s">
        <v>34</v>
      </c>
      <c r="D229" s="129">
        <v>15</v>
      </c>
      <c r="E229" s="129">
        <v>1.311750054359436</v>
      </c>
      <c r="F229" s="129">
        <v>21</v>
      </c>
      <c r="G229" s="179">
        <v>28</v>
      </c>
      <c r="H229" s="179">
        <v>420</v>
      </c>
    </row>
    <row r="230" spans="1:8" x14ac:dyDescent="0.25">
      <c r="A230" s="127" t="s">
        <v>33</v>
      </c>
      <c r="B230" s="128">
        <v>40517</v>
      </c>
      <c r="C230" s="127" t="s">
        <v>35</v>
      </c>
      <c r="D230" s="129">
        <v>15</v>
      </c>
      <c r="E230" s="129">
        <v>1.311750054359436</v>
      </c>
      <c r="F230" s="129">
        <v>30</v>
      </c>
      <c r="G230" s="179">
        <v>39</v>
      </c>
      <c r="H230" s="179">
        <v>585</v>
      </c>
    </row>
    <row r="231" spans="1:8" x14ac:dyDescent="0.25">
      <c r="A231" s="127" t="s">
        <v>33</v>
      </c>
      <c r="B231" s="128">
        <v>40517</v>
      </c>
      <c r="C231" s="127" t="s">
        <v>74</v>
      </c>
      <c r="D231" s="129">
        <v>15</v>
      </c>
      <c r="E231" s="129">
        <v>1.311750054359436</v>
      </c>
      <c r="F231" s="129">
        <v>56</v>
      </c>
      <c r="G231" s="179">
        <v>73</v>
      </c>
      <c r="H231" s="179">
        <v>1095</v>
      </c>
    </row>
    <row r="232" spans="1:8" x14ac:dyDescent="0.25">
      <c r="A232" s="127" t="s">
        <v>33</v>
      </c>
      <c r="B232" s="128">
        <v>40517</v>
      </c>
      <c r="C232" s="127" t="s">
        <v>39</v>
      </c>
      <c r="D232" s="129">
        <v>15</v>
      </c>
      <c r="E232" s="129">
        <v>1.311750054359436</v>
      </c>
      <c r="F232" s="129">
        <v>23</v>
      </c>
      <c r="G232" s="179">
        <v>30</v>
      </c>
      <c r="H232" s="179">
        <v>450</v>
      </c>
    </row>
    <row r="233" spans="1:8" x14ac:dyDescent="0.25">
      <c r="A233" s="127" t="s">
        <v>33</v>
      </c>
      <c r="B233" s="128">
        <v>40517</v>
      </c>
      <c r="C233" s="127" t="s">
        <v>36</v>
      </c>
      <c r="D233" s="129">
        <v>15</v>
      </c>
      <c r="E233" s="129">
        <v>1.311750054359436</v>
      </c>
      <c r="F233" s="129">
        <v>222</v>
      </c>
      <c r="G233" s="179">
        <v>291</v>
      </c>
      <c r="H233" s="179">
        <v>4365</v>
      </c>
    </row>
    <row r="234" spans="1:8" x14ac:dyDescent="0.25">
      <c r="A234" s="127" t="s">
        <v>33</v>
      </c>
      <c r="B234" s="128">
        <v>40517</v>
      </c>
      <c r="C234" s="127" t="s">
        <v>37</v>
      </c>
      <c r="D234" s="129">
        <v>15</v>
      </c>
      <c r="E234" s="129">
        <v>1.311750054359436</v>
      </c>
      <c r="F234" s="129">
        <v>208</v>
      </c>
      <c r="G234" s="179">
        <v>273</v>
      </c>
      <c r="H234" s="179">
        <v>4095</v>
      </c>
    </row>
    <row r="235" spans="1:8" x14ac:dyDescent="0.25">
      <c r="A235" s="127" t="s">
        <v>33</v>
      </c>
      <c r="B235" s="128">
        <v>40517</v>
      </c>
      <c r="C235" s="127" t="s">
        <v>38</v>
      </c>
      <c r="D235" s="129">
        <v>15</v>
      </c>
      <c r="E235" s="129">
        <v>1.311750054359436</v>
      </c>
      <c r="F235" s="129">
        <v>221</v>
      </c>
      <c r="G235" s="179">
        <v>290</v>
      </c>
      <c r="H235" s="179">
        <v>4350</v>
      </c>
    </row>
    <row r="236" spans="1:8" x14ac:dyDescent="0.25">
      <c r="G236" s="14">
        <f>SUM(G229:G235)</f>
        <v>1024</v>
      </c>
      <c r="H236" s="14">
        <f>SUM(H229:H235)</f>
        <v>15360</v>
      </c>
    </row>
    <row r="238" spans="1:8" x14ac:dyDescent="0.25">
      <c r="A238" s="126" t="s">
        <v>9</v>
      </c>
      <c r="B238" s="126" t="s">
        <v>8</v>
      </c>
      <c r="C238" s="126" t="s">
        <v>10</v>
      </c>
      <c r="D238" s="126" t="s">
        <v>11</v>
      </c>
      <c r="E238" s="126" t="s">
        <v>12</v>
      </c>
      <c r="F238" s="126" t="s">
        <v>13</v>
      </c>
      <c r="G238" s="178" t="s">
        <v>14</v>
      </c>
      <c r="H238" s="178" t="s">
        <v>15</v>
      </c>
    </row>
    <row r="239" spans="1:8" x14ac:dyDescent="0.25">
      <c r="A239" s="127" t="s">
        <v>1</v>
      </c>
      <c r="B239" s="128">
        <v>40518</v>
      </c>
      <c r="C239" s="127" t="s">
        <v>29</v>
      </c>
      <c r="D239" s="129">
        <v>15</v>
      </c>
      <c r="E239" s="129">
        <v>1.5666500329971313</v>
      </c>
      <c r="F239" s="129">
        <v>0</v>
      </c>
      <c r="G239" s="179">
        <v>0</v>
      </c>
      <c r="H239" s="179">
        <v>0</v>
      </c>
    </row>
    <row r="240" spans="1:8" x14ac:dyDescent="0.25">
      <c r="A240" s="127" t="s">
        <v>1</v>
      </c>
      <c r="B240" s="128">
        <v>40518</v>
      </c>
      <c r="C240" s="127" t="s">
        <v>30</v>
      </c>
      <c r="D240" s="129">
        <v>15</v>
      </c>
      <c r="E240" s="129">
        <v>1.5666500329971313</v>
      </c>
      <c r="F240" s="129">
        <v>72</v>
      </c>
      <c r="G240" s="179">
        <v>113</v>
      </c>
      <c r="H240" s="179">
        <v>1695</v>
      </c>
    </row>
    <row r="241" spans="1:8" x14ac:dyDescent="0.25">
      <c r="A241" s="127" t="s">
        <v>1</v>
      </c>
      <c r="B241" s="128">
        <v>40518</v>
      </c>
      <c r="C241" s="127" t="s">
        <v>31</v>
      </c>
      <c r="D241" s="129">
        <v>15</v>
      </c>
      <c r="E241" s="129">
        <v>1.5666500329971313</v>
      </c>
      <c r="F241" s="129">
        <v>123</v>
      </c>
      <c r="G241" s="179">
        <v>193</v>
      </c>
      <c r="H241" s="179">
        <v>2895</v>
      </c>
    </row>
    <row r="242" spans="1:8" x14ac:dyDescent="0.25">
      <c r="A242" s="127" t="s">
        <v>1</v>
      </c>
      <c r="B242" s="128">
        <v>40518</v>
      </c>
      <c r="C242" s="127" t="s">
        <v>32</v>
      </c>
      <c r="D242" s="129">
        <v>15</v>
      </c>
      <c r="E242" s="129">
        <v>1.5666500329971313</v>
      </c>
      <c r="F242" s="129">
        <v>36</v>
      </c>
      <c r="G242" s="179">
        <v>56</v>
      </c>
      <c r="H242" s="179">
        <v>840</v>
      </c>
    </row>
    <row r="243" spans="1:8" x14ac:dyDescent="0.25">
      <c r="G243" s="14">
        <f>SUM(G239:G242)</f>
        <v>362</v>
      </c>
      <c r="H243" s="14">
        <f>SUM(H239:H242)</f>
        <v>5430</v>
      </c>
    </row>
    <row r="244" spans="1:8" x14ac:dyDescent="0.25">
      <c r="A244" s="130"/>
      <c r="B244" s="130"/>
      <c r="C244" s="130"/>
      <c r="D244" s="130"/>
      <c r="E244" s="130"/>
      <c r="F244" s="130"/>
      <c r="G244" s="180"/>
      <c r="H244" s="180"/>
    </row>
    <row r="245" spans="1:8" x14ac:dyDescent="0.25">
      <c r="A245" s="126" t="s">
        <v>9</v>
      </c>
      <c r="B245" s="126" t="s">
        <v>8</v>
      </c>
      <c r="C245" s="126" t="s">
        <v>10</v>
      </c>
      <c r="D245" s="126" t="s">
        <v>11</v>
      </c>
      <c r="E245" s="126" t="s">
        <v>12</v>
      </c>
      <c r="F245" s="126" t="s">
        <v>13</v>
      </c>
      <c r="G245" s="178" t="s">
        <v>14</v>
      </c>
      <c r="H245" s="178" t="s">
        <v>15</v>
      </c>
    </row>
    <row r="246" spans="1:8" x14ac:dyDescent="0.25">
      <c r="A246" s="127" t="s">
        <v>2</v>
      </c>
      <c r="B246" s="128">
        <v>40543</v>
      </c>
      <c r="C246" s="127" t="s">
        <v>16</v>
      </c>
      <c r="D246" s="129">
        <v>12.263157894736842</v>
      </c>
      <c r="E246" s="129">
        <v>1.6691800355911255</v>
      </c>
      <c r="F246" s="129">
        <v>14</v>
      </c>
      <c r="G246" s="179">
        <v>23</v>
      </c>
      <c r="H246" s="179">
        <v>282</v>
      </c>
    </row>
    <row r="247" spans="1:8" x14ac:dyDescent="0.25">
      <c r="A247" s="127" t="s">
        <v>2</v>
      </c>
      <c r="B247" s="128">
        <v>40543</v>
      </c>
      <c r="C247" s="127" t="s">
        <v>17</v>
      </c>
      <c r="D247" s="129">
        <v>8.8666666666666671</v>
      </c>
      <c r="E247" s="129">
        <v>1.6691800355911255</v>
      </c>
      <c r="F247" s="129">
        <v>1225</v>
      </c>
      <c r="G247" s="179">
        <v>2018</v>
      </c>
      <c r="H247" s="179">
        <v>24747</v>
      </c>
    </row>
    <row r="248" spans="1:8" x14ac:dyDescent="0.25">
      <c r="A248" s="127" t="s">
        <v>2</v>
      </c>
      <c r="B248" s="128">
        <v>40543</v>
      </c>
      <c r="C248" s="127" t="s">
        <v>18</v>
      </c>
      <c r="D248" s="129">
        <v>13.076923076923077</v>
      </c>
      <c r="E248" s="129">
        <v>1.6691800355911255</v>
      </c>
      <c r="F248" s="129">
        <v>951</v>
      </c>
      <c r="G248" s="179">
        <v>1567</v>
      </c>
      <c r="H248" s="179">
        <v>19216</v>
      </c>
    </row>
    <row r="249" spans="1:8" x14ac:dyDescent="0.25">
      <c r="A249" s="127" t="s">
        <v>2</v>
      </c>
      <c r="B249" s="128">
        <v>40543</v>
      </c>
      <c r="C249" s="127" t="s">
        <v>19</v>
      </c>
      <c r="D249" s="129">
        <v>10.75</v>
      </c>
      <c r="E249" s="129">
        <v>1.6691800355911255</v>
      </c>
      <c r="F249" s="129">
        <v>385</v>
      </c>
      <c r="G249" s="179">
        <v>634</v>
      </c>
      <c r="H249" s="179">
        <v>7775</v>
      </c>
    </row>
    <row r="250" spans="1:8" x14ac:dyDescent="0.25">
      <c r="A250" s="127" t="s">
        <v>2</v>
      </c>
      <c r="B250" s="128">
        <v>40543</v>
      </c>
      <c r="C250" s="127" t="s">
        <v>20</v>
      </c>
      <c r="D250" s="129">
        <v>14.347826086956522</v>
      </c>
      <c r="E250" s="129">
        <v>1.6691800355911255</v>
      </c>
      <c r="F250" s="129">
        <v>913</v>
      </c>
      <c r="G250" s="179">
        <v>1504</v>
      </c>
      <c r="H250" s="179">
        <v>18444</v>
      </c>
    </row>
    <row r="251" spans="1:8" x14ac:dyDescent="0.25">
      <c r="A251" s="127" t="s">
        <v>2</v>
      </c>
      <c r="B251" s="128">
        <v>40543</v>
      </c>
      <c r="C251" s="127" t="s">
        <v>21</v>
      </c>
      <c r="D251" s="129">
        <v>12.263157894736842</v>
      </c>
      <c r="E251" s="129">
        <v>1.6691800355911255</v>
      </c>
      <c r="F251" s="129">
        <v>6</v>
      </c>
      <c r="G251" s="179">
        <v>10</v>
      </c>
      <c r="H251" s="179">
        <v>123</v>
      </c>
    </row>
    <row r="252" spans="1:8" x14ac:dyDescent="0.25">
      <c r="G252" s="14">
        <f>SUM(G246:G251)</f>
        <v>5756</v>
      </c>
      <c r="H252" s="14">
        <f>SUM(H246:H251)</f>
        <v>70587</v>
      </c>
    </row>
    <row r="254" spans="1:8" x14ac:dyDescent="0.25">
      <c r="A254" s="126" t="s">
        <v>9</v>
      </c>
      <c r="B254" s="126" t="s">
        <v>8</v>
      </c>
      <c r="C254" s="126" t="s">
        <v>10</v>
      </c>
      <c r="D254" s="126" t="s">
        <v>11</v>
      </c>
      <c r="E254" s="126" t="s">
        <v>12</v>
      </c>
      <c r="F254" s="126" t="s">
        <v>13</v>
      </c>
      <c r="G254" s="178" t="s">
        <v>14</v>
      </c>
      <c r="H254" s="178" t="s">
        <v>15</v>
      </c>
    </row>
    <row r="255" spans="1:8" x14ac:dyDescent="0.25">
      <c r="A255" s="127" t="s">
        <v>3</v>
      </c>
      <c r="B255" s="128">
        <v>40543</v>
      </c>
      <c r="C255" s="127" t="s">
        <v>23</v>
      </c>
      <c r="D255" s="129">
        <v>14.588235294117647</v>
      </c>
      <c r="E255" s="129">
        <v>1.5415999889373779</v>
      </c>
      <c r="F255" s="129">
        <v>127</v>
      </c>
      <c r="G255" s="179">
        <v>194</v>
      </c>
      <c r="H255" s="179">
        <v>2830</v>
      </c>
    </row>
    <row r="256" spans="1:8" x14ac:dyDescent="0.25">
      <c r="A256" s="127" t="s">
        <v>3</v>
      </c>
      <c r="B256" s="128">
        <v>40543</v>
      </c>
      <c r="C256" s="127" t="s">
        <v>24</v>
      </c>
      <c r="D256" s="129">
        <v>14</v>
      </c>
      <c r="E256" s="129">
        <v>1.5415999889373779</v>
      </c>
      <c r="F256" s="129">
        <v>88</v>
      </c>
      <c r="G256" s="179">
        <v>134</v>
      </c>
      <c r="H256" s="179">
        <v>1876</v>
      </c>
    </row>
    <row r="257" spans="1:8" x14ac:dyDescent="0.25">
      <c r="A257" s="127" t="s">
        <v>3</v>
      </c>
      <c r="B257" s="128">
        <v>40543</v>
      </c>
      <c r="C257" s="127" t="s">
        <v>25</v>
      </c>
      <c r="D257" s="129">
        <v>14.523809523809524</v>
      </c>
      <c r="E257" s="129">
        <v>1.5415999889373779</v>
      </c>
      <c r="F257" s="129">
        <v>281</v>
      </c>
      <c r="G257" s="179">
        <v>429</v>
      </c>
      <c r="H257" s="179">
        <v>6231</v>
      </c>
    </row>
    <row r="258" spans="1:8" x14ac:dyDescent="0.25">
      <c r="A258" s="127" t="s">
        <v>3</v>
      </c>
      <c r="B258" s="128">
        <v>40543</v>
      </c>
      <c r="C258" s="127" t="s">
        <v>26</v>
      </c>
      <c r="D258" s="129">
        <v>14.25</v>
      </c>
      <c r="E258" s="129">
        <v>1.5415999889373779</v>
      </c>
      <c r="F258" s="129">
        <v>647</v>
      </c>
      <c r="G258" s="179">
        <v>988</v>
      </c>
      <c r="H258" s="179">
        <v>14079</v>
      </c>
    </row>
    <row r="259" spans="1:8" x14ac:dyDescent="0.25">
      <c r="A259" s="127" t="s">
        <v>3</v>
      </c>
      <c r="B259" s="128">
        <v>40543</v>
      </c>
      <c r="C259" s="127" t="s">
        <v>27</v>
      </c>
      <c r="D259" s="129">
        <v>15</v>
      </c>
      <c r="E259" s="129">
        <v>1.5415999889373779</v>
      </c>
      <c r="F259" s="129">
        <v>300</v>
      </c>
      <c r="G259" s="179">
        <v>458</v>
      </c>
      <c r="H259" s="179">
        <v>6870</v>
      </c>
    </row>
    <row r="260" spans="1:8" x14ac:dyDescent="0.25">
      <c r="A260" s="127" t="s">
        <v>3</v>
      </c>
      <c r="B260" s="128">
        <v>40543</v>
      </c>
      <c r="C260" s="127" t="s">
        <v>28</v>
      </c>
      <c r="D260" s="129">
        <v>15</v>
      </c>
      <c r="E260" s="129">
        <v>1.5415999889373779</v>
      </c>
      <c r="F260" s="129">
        <v>453</v>
      </c>
      <c r="G260" s="179">
        <v>692</v>
      </c>
      <c r="H260" s="179">
        <v>10095</v>
      </c>
    </row>
    <row r="261" spans="1:8" x14ac:dyDescent="0.25">
      <c r="G261" s="14">
        <f>SUM(G255:G260)</f>
        <v>2895</v>
      </c>
      <c r="H261" s="14">
        <f>SUM(H255:H260)</f>
        <v>41981</v>
      </c>
    </row>
    <row r="263" spans="1:8" x14ac:dyDescent="0.25">
      <c r="A263" s="126" t="s">
        <v>9</v>
      </c>
      <c r="B263" s="126" t="s">
        <v>8</v>
      </c>
      <c r="C263" s="126" t="s">
        <v>10</v>
      </c>
      <c r="D263" s="126" t="s">
        <v>11</v>
      </c>
      <c r="E263" s="126" t="s">
        <v>12</v>
      </c>
      <c r="F263" s="126" t="s">
        <v>13</v>
      </c>
      <c r="G263" s="178" t="s">
        <v>14</v>
      </c>
      <c r="H263" s="178" t="s">
        <v>15</v>
      </c>
    </row>
    <row r="264" spans="1:8" x14ac:dyDescent="0.25">
      <c r="A264" s="127" t="s">
        <v>2</v>
      </c>
      <c r="B264" s="128">
        <v>40544</v>
      </c>
      <c r="C264" s="127" t="s">
        <v>16</v>
      </c>
      <c r="D264" s="129">
        <v>10.634408602150538</v>
      </c>
      <c r="E264" s="129">
        <v>1.2000000476837158</v>
      </c>
      <c r="F264" s="129">
        <v>59</v>
      </c>
      <c r="G264" s="179">
        <v>67</v>
      </c>
      <c r="H264" s="179">
        <v>713</v>
      </c>
    </row>
    <row r="265" spans="1:8" x14ac:dyDescent="0.25">
      <c r="A265" s="127" t="s">
        <v>2</v>
      </c>
      <c r="B265" s="128">
        <v>40544</v>
      </c>
      <c r="C265" s="127" t="s">
        <v>17</v>
      </c>
      <c r="D265" s="129">
        <v>12.8</v>
      </c>
      <c r="E265" s="129">
        <v>1.2000000476837158</v>
      </c>
      <c r="F265" s="129">
        <v>971</v>
      </c>
      <c r="G265" s="179">
        <v>1095</v>
      </c>
      <c r="H265" s="179">
        <v>11645</v>
      </c>
    </row>
    <row r="266" spans="1:8" x14ac:dyDescent="0.25">
      <c r="A266" s="127" t="s">
        <v>2</v>
      </c>
      <c r="B266" s="128">
        <v>40544</v>
      </c>
      <c r="C266" s="127" t="s">
        <v>18</v>
      </c>
      <c r="D266" s="129">
        <v>7.90625</v>
      </c>
      <c r="E266" s="129">
        <v>1.2000000476837158</v>
      </c>
      <c r="F266" s="129">
        <v>829</v>
      </c>
      <c r="G266" s="179">
        <v>935</v>
      </c>
      <c r="H266" s="179">
        <v>9943</v>
      </c>
    </row>
    <row r="267" spans="1:8" x14ac:dyDescent="0.25">
      <c r="A267" s="127" t="s">
        <v>2</v>
      </c>
      <c r="B267" s="128">
        <v>40544</v>
      </c>
      <c r="C267" s="127" t="s">
        <v>19</v>
      </c>
      <c r="D267" s="129">
        <v>8.25</v>
      </c>
      <c r="E267" s="129">
        <v>1.2000000476837158</v>
      </c>
      <c r="F267" s="129">
        <v>480</v>
      </c>
      <c r="G267" s="179">
        <v>541</v>
      </c>
      <c r="H267" s="179">
        <v>5753</v>
      </c>
    </row>
    <row r="268" spans="1:8" x14ac:dyDescent="0.25">
      <c r="A268" s="127" t="s">
        <v>2</v>
      </c>
      <c r="B268" s="128">
        <v>40544</v>
      </c>
      <c r="C268" s="127" t="s">
        <v>20</v>
      </c>
      <c r="D268" s="129">
        <v>13.137931034482758</v>
      </c>
      <c r="E268" s="129">
        <v>1.2000000476837158</v>
      </c>
      <c r="F268" s="129">
        <v>1045</v>
      </c>
      <c r="G268" s="179">
        <v>1178</v>
      </c>
      <c r="H268" s="179">
        <v>12527</v>
      </c>
    </row>
    <row r="269" spans="1:8" x14ac:dyDescent="0.25">
      <c r="A269" s="127" t="s">
        <v>2</v>
      </c>
      <c r="B269" s="128">
        <v>40544</v>
      </c>
      <c r="C269" s="127" t="s">
        <v>21</v>
      </c>
      <c r="D269" s="129">
        <v>10.634408602150538</v>
      </c>
      <c r="E269" s="129">
        <v>1.2000000476837158</v>
      </c>
      <c r="F269" s="129">
        <v>26</v>
      </c>
      <c r="G269" s="179">
        <v>29</v>
      </c>
      <c r="H269" s="179">
        <v>308</v>
      </c>
    </row>
    <row r="270" spans="1:8" x14ac:dyDescent="0.25">
      <c r="G270" s="14">
        <f>SUM(G264:G269)</f>
        <v>3845</v>
      </c>
      <c r="H270" s="14">
        <f>SUM(H264:H269)</f>
        <v>40889</v>
      </c>
    </row>
    <row r="272" spans="1:8" x14ac:dyDescent="0.25">
      <c r="A272" s="126" t="s">
        <v>9</v>
      </c>
      <c r="B272" s="126" t="s">
        <v>8</v>
      </c>
      <c r="C272" s="126" t="s">
        <v>10</v>
      </c>
      <c r="D272" s="126" t="s">
        <v>11</v>
      </c>
      <c r="E272" s="140" t="s">
        <v>12</v>
      </c>
      <c r="F272" s="126" t="s">
        <v>13</v>
      </c>
      <c r="G272" s="178" t="s">
        <v>14</v>
      </c>
      <c r="H272" s="178" t="s">
        <v>15</v>
      </c>
    </row>
    <row r="273" spans="1:8" x14ac:dyDescent="0.25">
      <c r="A273" s="127" t="s">
        <v>3</v>
      </c>
      <c r="B273" s="128">
        <v>40544</v>
      </c>
      <c r="C273" s="127" t="s">
        <v>23</v>
      </c>
      <c r="D273" s="129">
        <v>7.5</v>
      </c>
      <c r="E273" s="141">
        <v>1.2000000476837158</v>
      </c>
      <c r="F273" s="129">
        <v>157</v>
      </c>
      <c r="G273" s="179">
        <v>184</v>
      </c>
      <c r="H273" s="179">
        <v>2535</v>
      </c>
    </row>
    <row r="274" spans="1:8" x14ac:dyDescent="0.25">
      <c r="A274" s="127" t="s">
        <v>3</v>
      </c>
      <c r="B274" s="128">
        <v>40544</v>
      </c>
      <c r="C274" s="127" t="s">
        <v>24</v>
      </c>
      <c r="D274" s="129">
        <v>14.142857142857142</v>
      </c>
      <c r="E274" s="141">
        <v>1.2000000476837158</v>
      </c>
      <c r="F274" s="129">
        <v>226</v>
      </c>
      <c r="G274" s="179">
        <v>265</v>
      </c>
      <c r="H274" s="179">
        <v>3651</v>
      </c>
    </row>
    <row r="275" spans="1:8" x14ac:dyDescent="0.25">
      <c r="A275" s="127" t="s">
        <v>3</v>
      </c>
      <c r="B275" s="128">
        <v>40544</v>
      </c>
      <c r="C275" s="127" t="s">
        <v>25</v>
      </c>
      <c r="D275" s="129">
        <v>14.192307692307692</v>
      </c>
      <c r="E275" s="141">
        <v>1.2000000476837158</v>
      </c>
      <c r="F275" s="129">
        <v>541</v>
      </c>
      <c r="G275" s="179">
        <v>634</v>
      </c>
      <c r="H275" s="179">
        <v>8735</v>
      </c>
    </row>
    <row r="276" spans="1:8" x14ac:dyDescent="0.25">
      <c r="A276" s="127" t="s">
        <v>3</v>
      </c>
      <c r="B276" s="128">
        <v>40544</v>
      </c>
      <c r="C276" s="127" t="s">
        <v>26</v>
      </c>
      <c r="D276" s="129">
        <v>15</v>
      </c>
      <c r="E276" s="141">
        <v>1.2000000476837158</v>
      </c>
      <c r="F276" s="129">
        <v>725</v>
      </c>
      <c r="G276" s="179">
        <v>849</v>
      </c>
      <c r="H276" s="179">
        <v>11697</v>
      </c>
    </row>
    <row r="277" spans="1:8" x14ac:dyDescent="0.25">
      <c r="A277" s="127" t="s">
        <v>3</v>
      </c>
      <c r="B277" s="128">
        <v>40544</v>
      </c>
      <c r="C277" s="127" t="s">
        <v>27</v>
      </c>
      <c r="D277" s="129">
        <v>13.578947368421053</v>
      </c>
      <c r="E277" s="141">
        <v>1.2000000476837158</v>
      </c>
      <c r="F277" s="129">
        <v>370</v>
      </c>
      <c r="G277" s="179">
        <v>433</v>
      </c>
      <c r="H277" s="179">
        <v>5880</v>
      </c>
    </row>
    <row r="278" spans="1:8" x14ac:dyDescent="0.25">
      <c r="A278" s="127" t="s">
        <v>3</v>
      </c>
      <c r="B278" s="128">
        <v>40544</v>
      </c>
      <c r="C278" s="127" t="s">
        <v>28</v>
      </c>
      <c r="D278" s="129">
        <v>15</v>
      </c>
      <c r="E278" s="141">
        <v>1.2000000476837158</v>
      </c>
      <c r="F278" s="129">
        <v>448</v>
      </c>
      <c r="G278" s="179">
        <v>525</v>
      </c>
      <c r="H278" s="179">
        <v>7233</v>
      </c>
    </row>
    <row r="279" spans="1:8" x14ac:dyDescent="0.25">
      <c r="G279" s="14">
        <f>SUM(G273:G278)</f>
        <v>2890</v>
      </c>
      <c r="H279" s="14">
        <f>SUM(H273:H278)</f>
        <v>39731</v>
      </c>
    </row>
    <row r="281" spans="1:8" x14ac:dyDescent="0.25">
      <c r="A281" s="136" t="s">
        <v>9</v>
      </c>
      <c r="B281" s="136" t="s">
        <v>8</v>
      </c>
      <c r="C281" s="136" t="s">
        <v>10</v>
      </c>
      <c r="D281" s="136" t="s">
        <v>11</v>
      </c>
      <c r="E281" s="140" t="s">
        <v>12</v>
      </c>
      <c r="F281" s="136" t="s">
        <v>13</v>
      </c>
      <c r="G281" s="181" t="s">
        <v>14</v>
      </c>
      <c r="H281" s="181" t="s">
        <v>15</v>
      </c>
    </row>
    <row r="282" spans="1:8" x14ac:dyDescent="0.25">
      <c r="A282" s="137" t="s">
        <v>3</v>
      </c>
      <c r="B282" s="138">
        <v>40544</v>
      </c>
      <c r="C282" s="137" t="s">
        <v>23</v>
      </c>
      <c r="D282" s="139">
        <v>7.5</v>
      </c>
      <c r="E282" s="141">
        <v>1.5415999889373779</v>
      </c>
      <c r="F282" s="139">
        <v>157</v>
      </c>
      <c r="G282" s="182">
        <v>236</v>
      </c>
      <c r="H282" s="182">
        <v>3252</v>
      </c>
    </row>
    <row r="283" spans="1:8" x14ac:dyDescent="0.25">
      <c r="A283" s="137" t="s">
        <v>3</v>
      </c>
      <c r="B283" s="138">
        <v>40544</v>
      </c>
      <c r="C283" s="137" t="s">
        <v>24</v>
      </c>
      <c r="D283" s="139">
        <v>14.142857142857142</v>
      </c>
      <c r="E283" s="141">
        <v>1.5415999889373779</v>
      </c>
      <c r="F283" s="139">
        <v>226</v>
      </c>
      <c r="G283" s="182">
        <v>340</v>
      </c>
      <c r="H283" s="182">
        <v>4684</v>
      </c>
    </row>
    <row r="284" spans="1:8" x14ac:dyDescent="0.25">
      <c r="A284" s="137" t="s">
        <v>3</v>
      </c>
      <c r="B284" s="138">
        <v>40544</v>
      </c>
      <c r="C284" s="137" t="s">
        <v>25</v>
      </c>
      <c r="D284" s="139">
        <v>14.192307692307692</v>
      </c>
      <c r="E284" s="141">
        <v>1.5415999889373779</v>
      </c>
      <c r="F284" s="139">
        <v>541</v>
      </c>
      <c r="G284" s="182">
        <v>814</v>
      </c>
      <c r="H284" s="182">
        <v>11215</v>
      </c>
    </row>
    <row r="285" spans="1:8" x14ac:dyDescent="0.25">
      <c r="A285" s="137" t="s">
        <v>3</v>
      </c>
      <c r="B285" s="138">
        <v>40544</v>
      </c>
      <c r="C285" s="137" t="s">
        <v>26</v>
      </c>
      <c r="D285" s="139">
        <v>15</v>
      </c>
      <c r="E285" s="141">
        <v>1.5415999889373779</v>
      </c>
      <c r="F285" s="139">
        <v>725</v>
      </c>
      <c r="G285" s="182">
        <v>1091</v>
      </c>
      <c r="H285" s="182">
        <v>15032</v>
      </c>
    </row>
    <row r="286" spans="1:8" x14ac:dyDescent="0.25">
      <c r="A286" s="137" t="s">
        <v>3</v>
      </c>
      <c r="B286" s="138">
        <v>40544</v>
      </c>
      <c r="C286" s="137" t="s">
        <v>27</v>
      </c>
      <c r="D286" s="139">
        <v>13.578947368421053</v>
      </c>
      <c r="E286" s="141">
        <v>1.5415999889373779</v>
      </c>
      <c r="F286" s="139">
        <v>370</v>
      </c>
      <c r="G286" s="182">
        <v>557</v>
      </c>
      <c r="H286" s="182">
        <v>7563</v>
      </c>
    </row>
    <row r="287" spans="1:8" x14ac:dyDescent="0.25">
      <c r="A287" s="137" t="s">
        <v>3</v>
      </c>
      <c r="B287" s="138">
        <v>40544</v>
      </c>
      <c r="C287" s="137" t="s">
        <v>28</v>
      </c>
      <c r="D287" s="139">
        <v>15</v>
      </c>
      <c r="E287" s="141">
        <v>1.5415999889373779</v>
      </c>
      <c r="F287" s="139">
        <v>448</v>
      </c>
      <c r="G287" s="182">
        <v>674</v>
      </c>
      <c r="H287" s="182">
        <v>9286</v>
      </c>
    </row>
    <row r="288" spans="1:8" x14ac:dyDescent="0.25">
      <c r="G288" s="14">
        <f>SUM(G282:G287)</f>
        <v>3712</v>
      </c>
      <c r="H288" s="14">
        <f>SUM(H282:H287)</f>
        <v>51032</v>
      </c>
    </row>
    <row r="290" spans="1:8" x14ac:dyDescent="0.25">
      <c r="A290" s="126" t="s">
        <v>9</v>
      </c>
      <c r="B290" s="126" t="s">
        <v>8</v>
      </c>
      <c r="C290" s="126" t="s">
        <v>10</v>
      </c>
      <c r="D290" s="126" t="s">
        <v>11</v>
      </c>
      <c r="E290" s="126" t="s">
        <v>12</v>
      </c>
      <c r="F290" s="126" t="s">
        <v>13</v>
      </c>
      <c r="G290" s="178" t="s">
        <v>14</v>
      </c>
      <c r="H290" s="178" t="s">
        <v>15</v>
      </c>
    </row>
    <row r="291" spans="1:8" x14ac:dyDescent="0.25">
      <c r="A291" s="127" t="s">
        <v>1</v>
      </c>
      <c r="B291" s="128">
        <v>40545</v>
      </c>
      <c r="C291" s="127" t="s">
        <v>29</v>
      </c>
      <c r="D291" s="129">
        <v>7.2105263157894735</v>
      </c>
      <c r="E291" s="129">
        <v>1.4206750392913818</v>
      </c>
      <c r="F291" s="129">
        <v>0</v>
      </c>
      <c r="G291" s="179">
        <v>0</v>
      </c>
      <c r="H291" s="179">
        <v>0</v>
      </c>
    </row>
    <row r="292" spans="1:8" x14ac:dyDescent="0.25">
      <c r="A292" s="127" t="s">
        <v>1</v>
      </c>
      <c r="B292" s="128">
        <v>40545</v>
      </c>
      <c r="C292" s="127" t="s">
        <v>30</v>
      </c>
      <c r="D292" s="129">
        <v>7</v>
      </c>
      <c r="E292" s="129">
        <v>1.4206750392913818</v>
      </c>
      <c r="F292" s="129">
        <v>323</v>
      </c>
      <c r="G292" s="179">
        <v>447</v>
      </c>
      <c r="H292" s="179">
        <v>3129</v>
      </c>
    </row>
    <row r="293" spans="1:8" x14ac:dyDescent="0.25">
      <c r="A293" s="127" t="s">
        <v>1</v>
      </c>
      <c r="B293" s="128">
        <v>40545</v>
      </c>
      <c r="C293" s="127" t="s">
        <v>31</v>
      </c>
      <c r="D293" s="129">
        <v>12</v>
      </c>
      <c r="E293" s="129">
        <v>1.4206750392913818</v>
      </c>
      <c r="F293" s="129">
        <v>365</v>
      </c>
      <c r="G293" s="179">
        <v>505</v>
      </c>
      <c r="H293" s="179">
        <v>3641</v>
      </c>
    </row>
    <row r="294" spans="1:8" x14ac:dyDescent="0.25">
      <c r="A294" s="127" t="s">
        <v>1</v>
      </c>
      <c r="B294" s="128">
        <v>40545</v>
      </c>
      <c r="C294" s="127" t="s">
        <v>32</v>
      </c>
      <c r="D294" s="129">
        <v>4.0909090909090908</v>
      </c>
      <c r="E294" s="129">
        <v>1.4206750392913818</v>
      </c>
      <c r="F294" s="129">
        <v>263</v>
      </c>
      <c r="G294" s="179">
        <v>364</v>
      </c>
      <c r="H294" s="179">
        <v>2625</v>
      </c>
    </row>
    <row r="295" spans="1:8" x14ac:dyDescent="0.25">
      <c r="G295" s="14">
        <f>SUM(G291:G294)</f>
        <v>1316</v>
      </c>
      <c r="H295" s="14">
        <f>SUM(H291:H294)</f>
        <v>9395</v>
      </c>
    </row>
    <row r="297" spans="1:8" x14ac:dyDescent="0.25">
      <c r="A297" s="126" t="s">
        <v>9</v>
      </c>
      <c r="B297" s="126" t="s">
        <v>8</v>
      </c>
      <c r="C297" s="126" t="s">
        <v>10</v>
      </c>
      <c r="D297" s="126" t="s">
        <v>11</v>
      </c>
      <c r="E297" s="126" t="s">
        <v>12</v>
      </c>
      <c r="F297" s="126" t="s">
        <v>13</v>
      </c>
      <c r="G297" s="178" t="s">
        <v>14</v>
      </c>
      <c r="H297" s="178" t="s">
        <v>15</v>
      </c>
    </row>
    <row r="298" spans="1:8" x14ac:dyDescent="0.25">
      <c r="A298" s="127" t="s">
        <v>33</v>
      </c>
      <c r="B298" s="128">
        <v>40543</v>
      </c>
      <c r="C298" s="127" t="s">
        <v>34</v>
      </c>
      <c r="D298" s="129">
        <v>12.842105263157896</v>
      </c>
      <c r="E298" s="129">
        <v>1.4488999843597412</v>
      </c>
      <c r="F298" s="129">
        <v>99</v>
      </c>
      <c r="G298" s="179">
        <v>140</v>
      </c>
      <c r="H298" s="179">
        <v>1798</v>
      </c>
    </row>
    <row r="299" spans="1:8" x14ac:dyDescent="0.25">
      <c r="A299" s="127" t="s">
        <v>33</v>
      </c>
      <c r="B299" s="128">
        <v>40543</v>
      </c>
      <c r="C299" s="127" t="s">
        <v>35</v>
      </c>
      <c r="D299" s="129">
        <v>12.842105263157896</v>
      </c>
      <c r="E299" s="129">
        <v>1.4488999843597412</v>
      </c>
      <c r="F299" s="129">
        <v>142</v>
      </c>
      <c r="G299" s="179">
        <v>202</v>
      </c>
      <c r="H299" s="179">
        <v>2594</v>
      </c>
    </row>
    <row r="300" spans="1:8" x14ac:dyDescent="0.25">
      <c r="A300" s="127" t="s">
        <v>33</v>
      </c>
      <c r="B300" s="128">
        <v>40543</v>
      </c>
      <c r="C300" s="127" t="s">
        <v>74</v>
      </c>
      <c r="D300" s="129">
        <v>12.842105263157896</v>
      </c>
      <c r="E300" s="129">
        <v>1.4488999843597412</v>
      </c>
      <c r="F300" s="129">
        <v>269</v>
      </c>
      <c r="G300" s="179">
        <v>382</v>
      </c>
      <c r="H300" s="179">
        <v>4906</v>
      </c>
    </row>
    <row r="301" spans="1:8" x14ac:dyDescent="0.25">
      <c r="A301" s="127" t="s">
        <v>33</v>
      </c>
      <c r="B301" s="128">
        <v>40543</v>
      </c>
      <c r="C301" s="127" t="s">
        <v>39</v>
      </c>
      <c r="D301" s="129">
        <v>12.842105263157896</v>
      </c>
      <c r="E301" s="129">
        <v>1.4488999843597412</v>
      </c>
      <c r="F301" s="129">
        <v>111</v>
      </c>
      <c r="G301" s="179">
        <v>158</v>
      </c>
      <c r="H301" s="179">
        <v>2029</v>
      </c>
    </row>
    <row r="302" spans="1:8" x14ac:dyDescent="0.25">
      <c r="A302" s="127" t="s">
        <v>33</v>
      </c>
      <c r="B302" s="128">
        <v>40543</v>
      </c>
      <c r="C302" s="127" t="s">
        <v>36</v>
      </c>
      <c r="D302" s="129">
        <v>15</v>
      </c>
      <c r="E302" s="129">
        <v>1.4488999843597412</v>
      </c>
      <c r="F302" s="129">
        <v>975</v>
      </c>
      <c r="G302" s="179">
        <v>1384</v>
      </c>
      <c r="H302" s="179">
        <v>17773</v>
      </c>
    </row>
    <row r="303" spans="1:8" x14ac:dyDescent="0.25">
      <c r="A303" s="127" t="s">
        <v>33</v>
      </c>
      <c r="B303" s="128">
        <v>40543</v>
      </c>
      <c r="C303" s="127" t="s">
        <v>37</v>
      </c>
      <c r="D303" s="129">
        <v>15.0625</v>
      </c>
      <c r="E303" s="129">
        <v>1.4488999843597412</v>
      </c>
      <c r="F303" s="129">
        <v>820</v>
      </c>
      <c r="G303" s="179">
        <v>1164</v>
      </c>
      <c r="H303" s="179">
        <v>14948</v>
      </c>
    </row>
    <row r="304" spans="1:8" x14ac:dyDescent="0.25">
      <c r="A304" s="127" t="s">
        <v>33</v>
      </c>
      <c r="B304" s="128">
        <v>40543</v>
      </c>
      <c r="C304" s="127" t="s">
        <v>38</v>
      </c>
      <c r="D304" s="129">
        <v>9.8249999999999993</v>
      </c>
      <c r="E304" s="129">
        <v>1.4488999843597412</v>
      </c>
      <c r="F304" s="129">
        <v>1338</v>
      </c>
      <c r="G304" s="179">
        <v>1899</v>
      </c>
      <c r="H304" s="179">
        <v>24387</v>
      </c>
    </row>
    <row r="305" spans="1:8" x14ac:dyDescent="0.25">
      <c r="G305" s="14">
        <f>SUM(G298:G304)</f>
        <v>5329</v>
      </c>
      <c r="H305" s="14">
        <f>SUM(H298:H304)</f>
        <v>68435</v>
      </c>
    </row>
    <row r="307" spans="1:8" x14ac:dyDescent="0.25">
      <c r="A307" s="126" t="s">
        <v>9</v>
      </c>
      <c r="B307" s="126" t="s">
        <v>8</v>
      </c>
      <c r="C307" s="126" t="s">
        <v>10</v>
      </c>
      <c r="D307" s="126" t="s">
        <v>11</v>
      </c>
      <c r="E307" s="126" t="s">
        <v>12</v>
      </c>
      <c r="F307" s="126" t="s">
        <v>13</v>
      </c>
      <c r="G307" s="178" t="s">
        <v>14</v>
      </c>
      <c r="H307" s="178" t="s">
        <v>15</v>
      </c>
    </row>
    <row r="308" spans="1:8" x14ac:dyDescent="0.25">
      <c r="A308" s="127" t="s">
        <v>33</v>
      </c>
      <c r="B308" s="128">
        <v>40544</v>
      </c>
      <c r="C308" s="127" t="s">
        <v>34</v>
      </c>
      <c r="D308" s="129">
        <v>12.047058823529412</v>
      </c>
      <c r="E308" s="141">
        <v>1.4488999843597412</v>
      </c>
      <c r="F308" s="129">
        <v>123</v>
      </c>
      <c r="G308" s="179">
        <v>172</v>
      </c>
      <c r="H308" s="179">
        <v>2072</v>
      </c>
    </row>
    <row r="309" spans="1:8" x14ac:dyDescent="0.25">
      <c r="A309" s="127" t="s">
        <v>33</v>
      </c>
      <c r="B309" s="128">
        <v>40544</v>
      </c>
      <c r="C309" s="127" t="s">
        <v>35</v>
      </c>
      <c r="D309" s="129">
        <v>12.047058823529412</v>
      </c>
      <c r="E309" s="141">
        <v>1.4488999843597412</v>
      </c>
      <c r="F309" s="129">
        <v>177</v>
      </c>
      <c r="G309" s="179">
        <v>248</v>
      </c>
      <c r="H309" s="179">
        <v>2988</v>
      </c>
    </row>
    <row r="310" spans="1:8" x14ac:dyDescent="0.25">
      <c r="A310" s="127" t="s">
        <v>33</v>
      </c>
      <c r="B310" s="128">
        <v>40544</v>
      </c>
      <c r="C310" s="127" t="s">
        <v>74</v>
      </c>
      <c r="D310" s="129">
        <v>12.047058823529412</v>
      </c>
      <c r="E310" s="141">
        <v>1.4488999843597412</v>
      </c>
      <c r="F310" s="129">
        <v>335</v>
      </c>
      <c r="G310" s="179">
        <v>469</v>
      </c>
      <c r="H310" s="179">
        <v>5650</v>
      </c>
    </row>
    <row r="311" spans="1:8" x14ac:dyDescent="0.25">
      <c r="A311" s="127" t="s">
        <v>33</v>
      </c>
      <c r="B311" s="128">
        <v>40544</v>
      </c>
      <c r="C311" s="127" t="s">
        <v>39</v>
      </c>
      <c r="D311" s="129">
        <v>12.047058823529412</v>
      </c>
      <c r="E311" s="141">
        <v>1.4488999843597412</v>
      </c>
      <c r="F311" s="129">
        <v>138</v>
      </c>
      <c r="G311" s="179">
        <v>193</v>
      </c>
      <c r="H311" s="179">
        <v>2325</v>
      </c>
    </row>
    <row r="312" spans="1:8" x14ac:dyDescent="0.25">
      <c r="A312" s="127" t="s">
        <v>33</v>
      </c>
      <c r="B312" s="128">
        <v>40544</v>
      </c>
      <c r="C312" s="127" t="s">
        <v>36</v>
      </c>
      <c r="D312" s="129">
        <v>7.4545454545454541</v>
      </c>
      <c r="E312" s="141">
        <v>1.4488999843597412</v>
      </c>
      <c r="F312" s="129">
        <v>1297</v>
      </c>
      <c r="G312" s="179">
        <v>1815</v>
      </c>
      <c r="H312" s="179">
        <v>21865</v>
      </c>
    </row>
    <row r="313" spans="1:8" x14ac:dyDescent="0.25">
      <c r="A313" s="127" t="s">
        <v>33</v>
      </c>
      <c r="B313" s="128">
        <v>40544</v>
      </c>
      <c r="C313" s="127" t="s">
        <v>37</v>
      </c>
      <c r="D313" s="129">
        <v>15</v>
      </c>
      <c r="E313" s="141">
        <v>1.4488999843597412</v>
      </c>
      <c r="F313" s="129">
        <v>1167</v>
      </c>
      <c r="G313" s="179">
        <v>1633</v>
      </c>
      <c r="H313" s="179">
        <v>19673</v>
      </c>
    </row>
    <row r="314" spans="1:8" x14ac:dyDescent="0.25">
      <c r="A314" s="127" t="s">
        <v>33</v>
      </c>
      <c r="B314" s="128">
        <v>40544</v>
      </c>
      <c r="C314" s="127" t="s">
        <v>38</v>
      </c>
      <c r="D314" s="129">
        <v>12.820512820512821</v>
      </c>
      <c r="E314" s="141">
        <v>1.4488999843597412</v>
      </c>
      <c r="F314" s="129">
        <v>1438</v>
      </c>
      <c r="G314" s="179">
        <v>2012</v>
      </c>
      <c r="H314" s="179">
        <v>24239</v>
      </c>
    </row>
    <row r="315" spans="1:8" x14ac:dyDescent="0.25">
      <c r="G315" s="14">
        <f>SUM(G308:G314)</f>
        <v>6542</v>
      </c>
      <c r="H315" s="14">
        <f>SUM(H308:H314)</f>
        <v>78812</v>
      </c>
    </row>
    <row r="317" spans="1:8" x14ac:dyDescent="0.25">
      <c r="A317" s="126" t="s">
        <v>9</v>
      </c>
      <c r="B317" s="126" t="s">
        <v>8</v>
      </c>
      <c r="C317" s="126" t="s">
        <v>10</v>
      </c>
      <c r="D317" s="126" t="s">
        <v>11</v>
      </c>
      <c r="E317" s="126" t="s">
        <v>12</v>
      </c>
      <c r="F317" s="126" t="s">
        <v>13</v>
      </c>
      <c r="G317" s="178" t="s">
        <v>14</v>
      </c>
      <c r="H317" s="178" t="s">
        <v>15</v>
      </c>
    </row>
    <row r="318" spans="1:8" x14ac:dyDescent="0.25">
      <c r="A318" s="137" t="s">
        <v>33</v>
      </c>
      <c r="B318" s="138">
        <v>40544</v>
      </c>
      <c r="C318" s="137" t="s">
        <v>34</v>
      </c>
      <c r="D318" s="139">
        <v>12.047058823529412</v>
      </c>
      <c r="E318" s="141">
        <v>1.2000000476837158</v>
      </c>
      <c r="F318" s="139">
        <v>123</v>
      </c>
      <c r="G318" s="182">
        <v>143</v>
      </c>
      <c r="H318" s="182">
        <v>1723</v>
      </c>
    </row>
    <row r="319" spans="1:8" x14ac:dyDescent="0.25">
      <c r="A319" s="137" t="s">
        <v>33</v>
      </c>
      <c r="B319" s="138">
        <v>40544</v>
      </c>
      <c r="C319" s="137" t="s">
        <v>35</v>
      </c>
      <c r="D319" s="139">
        <v>12.047058823529412</v>
      </c>
      <c r="E319" s="141">
        <v>1.2000000476837158</v>
      </c>
      <c r="F319" s="139">
        <v>177</v>
      </c>
      <c r="G319" s="182">
        <v>205</v>
      </c>
      <c r="H319" s="182">
        <v>2470</v>
      </c>
    </row>
    <row r="320" spans="1:8" x14ac:dyDescent="0.25">
      <c r="A320" s="137" t="s">
        <v>33</v>
      </c>
      <c r="B320" s="138">
        <v>40544</v>
      </c>
      <c r="C320" s="137" t="s">
        <v>74</v>
      </c>
      <c r="D320" s="139">
        <v>12.047058823529412</v>
      </c>
      <c r="E320" s="141">
        <v>1.2000000476837158</v>
      </c>
      <c r="F320" s="139">
        <v>335</v>
      </c>
      <c r="G320" s="182">
        <v>388</v>
      </c>
      <c r="H320" s="182">
        <v>4674</v>
      </c>
    </row>
    <row r="321" spans="1:8" x14ac:dyDescent="0.25">
      <c r="A321" s="137" t="s">
        <v>33</v>
      </c>
      <c r="B321" s="138">
        <v>40544</v>
      </c>
      <c r="C321" s="137" t="s">
        <v>39</v>
      </c>
      <c r="D321" s="139">
        <v>12.047058823529412</v>
      </c>
      <c r="E321" s="141">
        <v>1.2000000476837158</v>
      </c>
      <c r="F321" s="139">
        <v>138</v>
      </c>
      <c r="G321" s="182">
        <v>160</v>
      </c>
      <c r="H321" s="182">
        <v>1928</v>
      </c>
    </row>
    <row r="322" spans="1:8" x14ac:dyDescent="0.25">
      <c r="A322" s="137" t="s">
        <v>33</v>
      </c>
      <c r="B322" s="138">
        <v>40544</v>
      </c>
      <c r="C322" s="137" t="s">
        <v>36</v>
      </c>
      <c r="D322" s="139">
        <v>7.4545454545454541</v>
      </c>
      <c r="E322" s="141">
        <v>1.2000000476837158</v>
      </c>
      <c r="F322" s="139">
        <v>1297</v>
      </c>
      <c r="G322" s="182">
        <v>1503</v>
      </c>
      <c r="H322" s="182">
        <v>18107</v>
      </c>
    </row>
    <row r="323" spans="1:8" x14ac:dyDescent="0.25">
      <c r="A323" s="137" t="s">
        <v>33</v>
      </c>
      <c r="B323" s="138">
        <v>40544</v>
      </c>
      <c r="C323" s="137" t="s">
        <v>37</v>
      </c>
      <c r="D323" s="139">
        <v>15</v>
      </c>
      <c r="E323" s="141">
        <v>1.2000000476837158</v>
      </c>
      <c r="F323" s="139">
        <v>1167</v>
      </c>
      <c r="G323" s="182">
        <v>1353</v>
      </c>
      <c r="H323" s="182">
        <v>16300</v>
      </c>
    </row>
    <row r="324" spans="1:8" x14ac:dyDescent="0.25">
      <c r="A324" s="137" t="s">
        <v>33</v>
      </c>
      <c r="B324" s="138">
        <v>40544</v>
      </c>
      <c r="C324" s="137" t="s">
        <v>38</v>
      </c>
      <c r="D324" s="139">
        <v>12.820512820512821</v>
      </c>
      <c r="E324" s="141">
        <v>1.2000000476837158</v>
      </c>
      <c r="F324" s="139">
        <v>1438</v>
      </c>
      <c r="G324" s="182">
        <v>1667</v>
      </c>
      <c r="H324" s="182">
        <v>20082</v>
      </c>
    </row>
    <row r="325" spans="1:8" x14ac:dyDescent="0.25">
      <c r="G325" s="14">
        <f>SUM(G318:G324)</f>
        <v>5419</v>
      </c>
      <c r="H325" s="14">
        <f>SUM(H318:H324)</f>
        <v>65284</v>
      </c>
    </row>
    <row r="327" spans="1:8" x14ac:dyDescent="0.25">
      <c r="A327" s="146" t="s">
        <v>9</v>
      </c>
      <c r="B327" s="146" t="s">
        <v>8</v>
      </c>
      <c r="C327" s="146" t="s">
        <v>10</v>
      </c>
      <c r="D327" s="146" t="s">
        <v>11</v>
      </c>
      <c r="E327" s="146" t="s">
        <v>12</v>
      </c>
      <c r="F327" s="146" t="s">
        <v>13</v>
      </c>
      <c r="G327" s="183" t="s">
        <v>14</v>
      </c>
      <c r="H327" s="183" t="s">
        <v>15</v>
      </c>
    </row>
    <row r="328" spans="1:8" x14ac:dyDescent="0.25">
      <c r="A328" s="147" t="s">
        <v>33</v>
      </c>
      <c r="B328" s="148">
        <v>40563</v>
      </c>
      <c r="C328" s="147" t="s">
        <v>34</v>
      </c>
      <c r="D328" s="149">
        <v>5</v>
      </c>
      <c r="E328" s="149">
        <v>1.4095000028610229</v>
      </c>
      <c r="F328" s="149">
        <v>33</v>
      </c>
      <c r="G328" s="184">
        <v>45</v>
      </c>
      <c r="H328" s="184">
        <v>225</v>
      </c>
    </row>
    <row r="329" spans="1:8" x14ac:dyDescent="0.25">
      <c r="A329" s="147" t="s">
        <v>33</v>
      </c>
      <c r="B329" s="148">
        <v>40563</v>
      </c>
      <c r="C329" s="147" t="s">
        <v>35</v>
      </c>
      <c r="D329" s="149">
        <v>0</v>
      </c>
      <c r="E329" s="149">
        <v>1.4095000028610229</v>
      </c>
      <c r="F329" s="149">
        <v>21</v>
      </c>
      <c r="G329" s="184">
        <v>29</v>
      </c>
      <c r="H329" s="184">
        <v>118</v>
      </c>
    </row>
    <row r="330" spans="1:8" x14ac:dyDescent="0.25">
      <c r="A330" s="147" t="s">
        <v>33</v>
      </c>
      <c r="B330" s="148">
        <v>40563</v>
      </c>
      <c r="C330" s="147" t="s">
        <v>74</v>
      </c>
      <c r="D330" s="149">
        <v>6.4</v>
      </c>
      <c r="E330" s="149">
        <v>1.4095000028610229</v>
      </c>
      <c r="F330" s="149">
        <v>20</v>
      </c>
      <c r="G330" s="184">
        <v>27</v>
      </c>
      <c r="H330" s="184">
        <v>173</v>
      </c>
    </row>
    <row r="331" spans="1:8" x14ac:dyDescent="0.25">
      <c r="A331" s="147" t="s">
        <v>33</v>
      </c>
      <c r="B331" s="148">
        <v>40563</v>
      </c>
      <c r="C331" s="147" t="s">
        <v>39</v>
      </c>
      <c r="D331" s="149">
        <v>0.5</v>
      </c>
      <c r="E331" s="149">
        <v>1.4095000028610229</v>
      </c>
      <c r="F331" s="149">
        <v>39</v>
      </c>
      <c r="G331" s="184">
        <v>53</v>
      </c>
      <c r="H331" s="184">
        <v>26</v>
      </c>
    </row>
    <row r="332" spans="1:8" x14ac:dyDescent="0.25">
      <c r="A332" s="147" t="s">
        <v>33</v>
      </c>
      <c r="B332" s="148">
        <v>40563</v>
      </c>
      <c r="C332" s="147" t="s">
        <v>36</v>
      </c>
      <c r="D332" s="149">
        <v>6.375</v>
      </c>
      <c r="E332" s="149">
        <v>1.4095000028610229</v>
      </c>
      <c r="F332" s="149">
        <v>139</v>
      </c>
      <c r="G332" s="184">
        <v>190</v>
      </c>
      <c r="H332" s="184">
        <v>1211</v>
      </c>
    </row>
    <row r="333" spans="1:8" x14ac:dyDescent="0.25">
      <c r="A333" s="147" t="s">
        <v>33</v>
      </c>
      <c r="B333" s="148">
        <v>40563</v>
      </c>
      <c r="C333" s="147" t="s">
        <v>37</v>
      </c>
      <c r="D333" s="149">
        <v>2.75</v>
      </c>
      <c r="E333" s="149">
        <v>1.4095000028610229</v>
      </c>
      <c r="F333" s="149">
        <v>167</v>
      </c>
      <c r="G333" s="184">
        <v>228</v>
      </c>
      <c r="H333" s="184">
        <v>927</v>
      </c>
    </row>
    <row r="334" spans="1:8" x14ac:dyDescent="0.25">
      <c r="A334" s="147" t="s">
        <v>33</v>
      </c>
      <c r="B334" s="148">
        <v>40563</v>
      </c>
      <c r="C334" s="147" t="s">
        <v>38</v>
      </c>
      <c r="D334" s="149">
        <v>1.7142857142857142</v>
      </c>
      <c r="E334" s="149">
        <v>1.4095000028610229</v>
      </c>
      <c r="F334" s="149">
        <v>175</v>
      </c>
      <c r="G334" s="184">
        <v>239</v>
      </c>
      <c r="H334" s="184">
        <v>972</v>
      </c>
    </row>
    <row r="335" spans="1:8" x14ac:dyDescent="0.25">
      <c r="G335" s="14">
        <f>SUM(G328:G334)</f>
        <v>811</v>
      </c>
      <c r="H335" s="14">
        <f>SUM(H328:H334)</f>
        <v>3652</v>
      </c>
    </row>
    <row r="337" spans="1:8" x14ac:dyDescent="0.25">
      <c r="A337" s="146" t="s">
        <v>9</v>
      </c>
      <c r="B337" s="146" t="s">
        <v>8</v>
      </c>
      <c r="C337" s="146" t="s">
        <v>10</v>
      </c>
      <c r="D337" s="146" t="s">
        <v>11</v>
      </c>
      <c r="E337" s="146" t="s">
        <v>12</v>
      </c>
      <c r="F337" s="146" t="s">
        <v>13</v>
      </c>
      <c r="G337" s="183" t="s">
        <v>14</v>
      </c>
      <c r="H337" s="183" t="s">
        <v>15</v>
      </c>
    </row>
    <row r="338" spans="1:8" x14ac:dyDescent="0.25">
      <c r="A338" s="147" t="s">
        <v>33</v>
      </c>
      <c r="B338" s="148">
        <v>40564</v>
      </c>
      <c r="C338" s="147" t="s">
        <v>34</v>
      </c>
      <c r="D338" s="149">
        <v>7.4888888888888889</v>
      </c>
      <c r="E338" s="149">
        <v>1.3583333492279053</v>
      </c>
      <c r="F338" s="149">
        <v>42</v>
      </c>
      <c r="G338" s="184">
        <v>56</v>
      </c>
      <c r="H338" s="184">
        <v>419</v>
      </c>
    </row>
    <row r="339" spans="1:8" x14ac:dyDescent="0.25">
      <c r="A339" s="147" t="s">
        <v>33</v>
      </c>
      <c r="B339" s="148">
        <v>40564</v>
      </c>
      <c r="C339" s="147" t="s">
        <v>35</v>
      </c>
      <c r="D339" s="149">
        <v>7.4888888888888889</v>
      </c>
      <c r="E339" s="149">
        <v>1.3583333492279053</v>
      </c>
      <c r="F339" s="149">
        <v>27</v>
      </c>
      <c r="G339" s="184">
        <v>36</v>
      </c>
      <c r="H339" s="184">
        <v>270</v>
      </c>
    </row>
    <row r="340" spans="1:8" x14ac:dyDescent="0.25">
      <c r="A340" s="147" t="s">
        <v>33</v>
      </c>
      <c r="B340" s="148">
        <v>40564</v>
      </c>
      <c r="C340" s="147" t="s">
        <v>74</v>
      </c>
      <c r="D340" s="149">
        <v>7.4888888888888889</v>
      </c>
      <c r="E340" s="149">
        <v>1.3583333492279053</v>
      </c>
      <c r="F340" s="149">
        <v>27</v>
      </c>
      <c r="G340" s="184">
        <v>36</v>
      </c>
      <c r="H340" s="184">
        <v>270</v>
      </c>
    </row>
    <row r="341" spans="1:8" x14ac:dyDescent="0.25">
      <c r="A341" s="147" t="s">
        <v>33</v>
      </c>
      <c r="B341" s="148">
        <v>40564</v>
      </c>
      <c r="C341" s="147" t="s">
        <v>39</v>
      </c>
      <c r="D341" s="149">
        <v>7.4888888888888889</v>
      </c>
      <c r="E341" s="149">
        <v>1.3583333492279053</v>
      </c>
      <c r="F341" s="149">
        <v>52</v>
      </c>
      <c r="G341" s="184">
        <v>69</v>
      </c>
      <c r="H341" s="184">
        <v>517</v>
      </c>
    </row>
    <row r="342" spans="1:8" x14ac:dyDescent="0.25">
      <c r="A342" s="147" t="s">
        <v>33</v>
      </c>
      <c r="B342" s="148">
        <v>40564</v>
      </c>
      <c r="C342" s="147" t="s">
        <v>36</v>
      </c>
      <c r="D342" s="149">
        <v>9.875</v>
      </c>
      <c r="E342" s="149">
        <v>1.3583333492279053</v>
      </c>
      <c r="F342" s="149">
        <v>164</v>
      </c>
      <c r="G342" s="184">
        <v>218</v>
      </c>
      <c r="H342" s="184">
        <v>1633</v>
      </c>
    </row>
    <row r="343" spans="1:8" x14ac:dyDescent="0.25">
      <c r="A343" s="147" t="s">
        <v>33</v>
      </c>
      <c r="B343" s="148">
        <v>40564</v>
      </c>
      <c r="C343" s="147" t="s">
        <v>37</v>
      </c>
      <c r="D343" s="149">
        <v>11.142857142857142</v>
      </c>
      <c r="E343" s="149">
        <v>1.3583333492279053</v>
      </c>
      <c r="F343" s="149">
        <v>218</v>
      </c>
      <c r="G343" s="184">
        <v>290</v>
      </c>
      <c r="H343" s="184">
        <v>3231</v>
      </c>
    </row>
    <row r="344" spans="1:8" x14ac:dyDescent="0.25">
      <c r="A344" s="147" t="s">
        <v>33</v>
      </c>
      <c r="B344" s="148">
        <v>40564</v>
      </c>
      <c r="C344" s="147" t="s">
        <v>38</v>
      </c>
      <c r="D344" s="149">
        <v>4.4347826086956523</v>
      </c>
      <c r="E344" s="149">
        <v>1.3583333492279053</v>
      </c>
      <c r="F344" s="149">
        <v>228</v>
      </c>
      <c r="G344" s="184">
        <v>303</v>
      </c>
      <c r="H344" s="184">
        <v>1344</v>
      </c>
    </row>
    <row r="345" spans="1:8" x14ac:dyDescent="0.25">
      <c r="G345" s="14">
        <f>SUM(G338:G344)</f>
        <v>1008</v>
      </c>
      <c r="H345" s="14">
        <f>SUM(H338:H344)</f>
        <v>7684</v>
      </c>
    </row>
    <row r="347" spans="1:8" x14ac:dyDescent="0.25">
      <c r="A347" s="146" t="s">
        <v>9</v>
      </c>
      <c r="B347" s="146" t="s">
        <v>8</v>
      </c>
      <c r="C347" s="146" t="s">
        <v>10</v>
      </c>
      <c r="D347" s="146" t="s">
        <v>11</v>
      </c>
      <c r="E347" s="146" t="s">
        <v>12</v>
      </c>
      <c r="F347" s="146" t="s">
        <v>13</v>
      </c>
      <c r="G347" s="183" t="s">
        <v>14</v>
      </c>
      <c r="H347" s="183" t="s">
        <v>15</v>
      </c>
    </row>
    <row r="348" spans="1:8" x14ac:dyDescent="0.25">
      <c r="A348" s="147" t="s">
        <v>33</v>
      </c>
      <c r="B348" s="148">
        <v>40565</v>
      </c>
      <c r="C348" s="147" t="s">
        <v>34</v>
      </c>
      <c r="D348" s="149">
        <v>12.44</v>
      </c>
      <c r="E348" s="149">
        <v>1.4429999589920044</v>
      </c>
      <c r="F348" s="149">
        <v>86</v>
      </c>
      <c r="G348" s="184">
        <v>119</v>
      </c>
      <c r="H348" s="184">
        <v>1480</v>
      </c>
    </row>
    <row r="349" spans="1:8" x14ac:dyDescent="0.25">
      <c r="A349" s="147" t="s">
        <v>33</v>
      </c>
      <c r="B349" s="148">
        <v>40565</v>
      </c>
      <c r="C349" s="147" t="s">
        <v>35</v>
      </c>
      <c r="D349" s="149">
        <v>12.44</v>
      </c>
      <c r="E349" s="149">
        <v>1.4429999589920044</v>
      </c>
      <c r="F349" s="149">
        <v>55</v>
      </c>
      <c r="G349" s="184">
        <v>76</v>
      </c>
      <c r="H349" s="184">
        <v>945</v>
      </c>
    </row>
    <row r="350" spans="1:8" x14ac:dyDescent="0.25">
      <c r="A350" s="147" t="s">
        <v>33</v>
      </c>
      <c r="B350" s="148">
        <v>40565</v>
      </c>
      <c r="C350" s="147" t="s">
        <v>74</v>
      </c>
      <c r="D350" s="149">
        <v>12.44</v>
      </c>
      <c r="E350" s="149">
        <v>1.4429999589920044</v>
      </c>
      <c r="F350" s="149">
        <v>52</v>
      </c>
      <c r="G350" s="184">
        <v>72</v>
      </c>
      <c r="H350" s="184">
        <v>896</v>
      </c>
    </row>
    <row r="351" spans="1:8" x14ac:dyDescent="0.25">
      <c r="A351" s="147" t="s">
        <v>33</v>
      </c>
      <c r="B351" s="148">
        <v>40565</v>
      </c>
      <c r="C351" s="147" t="s">
        <v>39</v>
      </c>
      <c r="D351" s="149">
        <v>12.44</v>
      </c>
      <c r="E351" s="149">
        <v>1.4429999589920044</v>
      </c>
      <c r="F351" s="149">
        <v>101</v>
      </c>
      <c r="G351" s="184">
        <v>140</v>
      </c>
      <c r="H351" s="184">
        <v>1742</v>
      </c>
    </row>
    <row r="352" spans="1:8" x14ac:dyDescent="0.25">
      <c r="A352" s="147" t="s">
        <v>33</v>
      </c>
      <c r="B352" s="148">
        <v>40565</v>
      </c>
      <c r="C352" s="147" t="s">
        <v>36</v>
      </c>
      <c r="D352" s="149">
        <v>14.68</v>
      </c>
      <c r="E352" s="149">
        <v>1.4429999589920044</v>
      </c>
      <c r="F352" s="149">
        <v>366</v>
      </c>
      <c r="G352" s="184">
        <v>508</v>
      </c>
      <c r="H352" s="184">
        <v>7457</v>
      </c>
    </row>
    <row r="353" spans="1:8" x14ac:dyDescent="0.25">
      <c r="A353" s="147" t="s">
        <v>33</v>
      </c>
      <c r="B353" s="148">
        <v>40565</v>
      </c>
      <c r="C353" s="147" t="s">
        <v>37</v>
      </c>
      <c r="D353" s="149">
        <v>13.615384615384615</v>
      </c>
      <c r="E353" s="149">
        <v>1.4429999589920044</v>
      </c>
      <c r="F353" s="149">
        <v>478</v>
      </c>
      <c r="G353" s="184">
        <v>663</v>
      </c>
      <c r="H353" s="184">
        <v>8248</v>
      </c>
    </row>
    <row r="354" spans="1:8" x14ac:dyDescent="0.25">
      <c r="A354" s="147" t="s">
        <v>33</v>
      </c>
      <c r="B354" s="148">
        <v>40565</v>
      </c>
      <c r="C354" s="147" t="s">
        <v>38</v>
      </c>
      <c r="D354" s="149">
        <v>6.5</v>
      </c>
      <c r="E354" s="149">
        <v>1.4429999589920044</v>
      </c>
      <c r="F354" s="149">
        <v>372</v>
      </c>
      <c r="G354" s="184">
        <v>516</v>
      </c>
      <c r="H354" s="184">
        <v>6419</v>
      </c>
    </row>
    <row r="355" spans="1:8" x14ac:dyDescent="0.25">
      <c r="G355" s="14">
        <f>SUM(G348:G354)</f>
        <v>2094</v>
      </c>
      <c r="H355" s="14">
        <f>SUM(H348:H354)</f>
        <v>27187</v>
      </c>
    </row>
    <row r="357" spans="1:8" x14ac:dyDescent="0.25">
      <c r="A357" s="146" t="s">
        <v>9</v>
      </c>
      <c r="B357" s="146" t="s">
        <v>8</v>
      </c>
      <c r="C357" s="146" t="s">
        <v>10</v>
      </c>
      <c r="D357" s="146" t="s">
        <v>11</v>
      </c>
      <c r="E357" s="146" t="s">
        <v>12</v>
      </c>
      <c r="F357" s="146" t="s">
        <v>13</v>
      </c>
      <c r="G357" s="183" t="s">
        <v>14</v>
      </c>
      <c r="H357" s="183" t="s">
        <v>15</v>
      </c>
    </row>
    <row r="358" spans="1:8" x14ac:dyDescent="0.25">
      <c r="A358" s="147" t="s">
        <v>1</v>
      </c>
      <c r="B358" s="148">
        <v>40563</v>
      </c>
      <c r="C358" s="147" t="s">
        <v>29</v>
      </c>
      <c r="D358" s="149">
        <v>1.2962962962962963</v>
      </c>
      <c r="E358" s="149">
        <v>1.5346666574478149</v>
      </c>
      <c r="F358" s="149">
        <v>0</v>
      </c>
      <c r="G358" s="184">
        <v>0</v>
      </c>
      <c r="H358" s="184">
        <v>0</v>
      </c>
    </row>
    <row r="359" spans="1:8" x14ac:dyDescent="0.25">
      <c r="A359" s="147" t="s">
        <v>1</v>
      </c>
      <c r="B359" s="148">
        <v>40563</v>
      </c>
      <c r="C359" s="147" t="s">
        <v>30</v>
      </c>
      <c r="D359" s="149">
        <v>0.72727272727272729</v>
      </c>
      <c r="E359" s="149">
        <v>1.5346666574478149</v>
      </c>
      <c r="F359" s="149">
        <v>125</v>
      </c>
      <c r="G359" s="184">
        <v>192</v>
      </c>
      <c r="H359" s="184">
        <v>140</v>
      </c>
    </row>
    <row r="360" spans="1:8" x14ac:dyDescent="0.25">
      <c r="A360" s="147" t="s">
        <v>1</v>
      </c>
      <c r="B360" s="148">
        <v>40563</v>
      </c>
      <c r="C360" s="147" t="s">
        <v>31</v>
      </c>
      <c r="D360" s="149">
        <v>2.7777777777777777</v>
      </c>
      <c r="E360" s="149">
        <v>1.5346666574478149</v>
      </c>
      <c r="F360" s="149">
        <v>129</v>
      </c>
      <c r="G360" s="184">
        <v>198</v>
      </c>
      <c r="H360" s="184">
        <v>550</v>
      </c>
    </row>
    <row r="361" spans="1:8" x14ac:dyDescent="0.25">
      <c r="A361" s="147" t="s">
        <v>1</v>
      </c>
      <c r="B361" s="148">
        <v>40563</v>
      </c>
      <c r="C361" s="147" t="s">
        <v>32</v>
      </c>
      <c r="D361" s="149">
        <v>0.2857142857142857</v>
      </c>
      <c r="E361" s="149">
        <v>1.5346666574478149</v>
      </c>
      <c r="F361" s="149">
        <v>110</v>
      </c>
      <c r="G361" s="184">
        <v>169</v>
      </c>
      <c r="H361" s="184">
        <v>48</v>
      </c>
    </row>
    <row r="362" spans="1:8" x14ac:dyDescent="0.25">
      <c r="G362" s="14">
        <f>SUM(G358:G361)</f>
        <v>559</v>
      </c>
      <c r="H362" s="14">
        <f>SUM(H358:H361)</f>
        <v>738</v>
      </c>
    </row>
    <row r="364" spans="1:8" x14ac:dyDescent="0.25">
      <c r="A364" s="146" t="s">
        <v>9</v>
      </c>
      <c r="B364" s="146" t="s">
        <v>8</v>
      </c>
      <c r="C364" s="146" t="s">
        <v>10</v>
      </c>
      <c r="D364" s="146" t="s">
        <v>11</v>
      </c>
      <c r="E364" s="146" t="s">
        <v>12</v>
      </c>
      <c r="F364" s="146" t="s">
        <v>13</v>
      </c>
      <c r="G364" s="183" t="s">
        <v>14</v>
      </c>
      <c r="H364" s="183" t="s">
        <v>15</v>
      </c>
    </row>
    <row r="365" spans="1:8" x14ac:dyDescent="0.25">
      <c r="A365" s="147" t="s">
        <v>1</v>
      </c>
      <c r="B365" s="148">
        <v>40563</v>
      </c>
      <c r="C365" s="147" t="s">
        <v>29</v>
      </c>
      <c r="D365" s="149">
        <v>3.0338983050847457</v>
      </c>
      <c r="E365">
        <v>1.534667</v>
      </c>
      <c r="F365" s="160">
        <v>0</v>
      </c>
      <c r="G365" s="184">
        <f>+F365*E365</f>
        <v>0</v>
      </c>
      <c r="H365" s="184">
        <f>+G365*D365</f>
        <v>0</v>
      </c>
    </row>
    <row r="366" spans="1:8" x14ac:dyDescent="0.25">
      <c r="A366" s="147" t="s">
        <v>1</v>
      </c>
      <c r="B366" s="148">
        <v>40563</v>
      </c>
      <c r="C366" s="147" t="s">
        <v>30</v>
      </c>
      <c r="D366" s="149">
        <v>3.0338983050847457</v>
      </c>
      <c r="E366">
        <v>1.534667</v>
      </c>
      <c r="F366" s="160">
        <v>158.5625</v>
      </c>
      <c r="G366" s="184">
        <f t="shared" ref="G366:G368" si="0">+F366*E366</f>
        <v>243.3406361875</v>
      </c>
      <c r="H366" s="184">
        <f t="shared" ref="H366:H368" si="1">+G366*D366</f>
        <v>738.27074368749993</v>
      </c>
    </row>
    <row r="367" spans="1:8" x14ac:dyDescent="0.25">
      <c r="A367" s="147" t="s">
        <v>1</v>
      </c>
      <c r="B367" s="148">
        <v>40563</v>
      </c>
      <c r="C367" s="147" t="s">
        <v>31</v>
      </c>
      <c r="D367" s="149">
        <v>3.0338983050847457</v>
      </c>
      <c r="E367">
        <v>1.534667</v>
      </c>
      <c r="F367" s="160">
        <v>199.125</v>
      </c>
      <c r="G367" s="184">
        <f t="shared" si="0"/>
        <v>305.59056637499998</v>
      </c>
      <c r="H367" s="184">
        <f t="shared" si="1"/>
        <v>927.13070137499994</v>
      </c>
    </row>
    <row r="368" spans="1:8" x14ac:dyDescent="0.25">
      <c r="A368" s="147" t="s">
        <v>1</v>
      </c>
      <c r="B368" s="148">
        <v>40563</v>
      </c>
      <c r="C368" s="147" t="s">
        <v>32</v>
      </c>
      <c r="D368" s="149">
        <v>3.0338983050847457</v>
      </c>
      <c r="E368">
        <v>1.534667</v>
      </c>
      <c r="F368" s="160">
        <v>55.3125</v>
      </c>
      <c r="G368" s="184">
        <f t="shared" si="0"/>
        <v>84.886268437500007</v>
      </c>
      <c r="H368" s="184">
        <f t="shared" si="1"/>
        <v>257.5363059375</v>
      </c>
    </row>
    <row r="369" spans="3:8" x14ac:dyDescent="0.25">
      <c r="G369" s="14">
        <f>SUM(G365:G368)</f>
        <v>633.81747099999995</v>
      </c>
      <c r="H369" s="14">
        <f>SUM(H365:H368)</f>
        <v>1922.9377509999999</v>
      </c>
    </row>
    <row r="371" spans="3:8" x14ac:dyDescent="0.25">
      <c r="C371" s="15" t="s">
        <v>10</v>
      </c>
      <c r="D371" s="15" t="s">
        <v>11</v>
      </c>
      <c r="E371" s="15" t="s">
        <v>12</v>
      </c>
      <c r="F371" s="15" t="s">
        <v>13</v>
      </c>
      <c r="G371" s="176" t="s">
        <v>14</v>
      </c>
      <c r="H371" s="176" t="s">
        <v>15</v>
      </c>
    </row>
    <row r="372" spans="3:8" x14ac:dyDescent="0.25">
      <c r="C372" s="16" t="s">
        <v>29</v>
      </c>
      <c r="D372" s="90">
        <v>7.66</v>
      </c>
      <c r="E372" s="90">
        <v>1.4673500061035156</v>
      </c>
      <c r="F372" s="90">
        <v>0</v>
      </c>
      <c r="G372" s="177">
        <v>0</v>
      </c>
      <c r="H372" s="177">
        <v>0</v>
      </c>
    </row>
    <row r="373" spans="3:8" x14ac:dyDescent="0.25">
      <c r="C373" s="16" t="s">
        <v>30</v>
      </c>
      <c r="D373" s="90">
        <v>4.7777777777777777</v>
      </c>
      <c r="E373" s="90">
        <v>1.4673500061035156</v>
      </c>
      <c r="F373" s="90">
        <v>327</v>
      </c>
      <c r="G373" s="177">
        <v>428</v>
      </c>
      <c r="H373" s="177">
        <v>2045</v>
      </c>
    </row>
    <row r="374" spans="3:8" x14ac:dyDescent="0.25">
      <c r="C374" s="16" t="s">
        <v>31</v>
      </c>
      <c r="D374" s="90">
        <v>12.090909090909092</v>
      </c>
      <c r="E374" s="90">
        <v>1.4673500061035156</v>
      </c>
      <c r="F374" s="90">
        <v>653</v>
      </c>
      <c r="G374" s="177">
        <v>856</v>
      </c>
      <c r="H374" s="177">
        <v>6557</v>
      </c>
    </row>
    <row r="375" spans="3:8" x14ac:dyDescent="0.25">
      <c r="C375" s="16" t="s">
        <v>32</v>
      </c>
      <c r="D375" s="90">
        <v>3.1</v>
      </c>
      <c r="E375" s="90">
        <v>1.4673500061035156</v>
      </c>
      <c r="F375" s="90">
        <v>493</v>
      </c>
      <c r="G375" s="177">
        <v>646</v>
      </c>
      <c r="H375" s="177">
        <v>4948</v>
      </c>
    </row>
    <row r="376" spans="3:8" x14ac:dyDescent="0.25">
      <c r="G376" s="14">
        <f>SUM(G372:G375)</f>
        <v>1930</v>
      </c>
      <c r="H376" s="14">
        <f>SUM(H372:H375)</f>
        <v>13550</v>
      </c>
    </row>
    <row r="378" spans="3:8" x14ac:dyDescent="0.25">
      <c r="C378" s="146" t="s">
        <v>10</v>
      </c>
      <c r="D378" s="146" t="s">
        <v>11</v>
      </c>
      <c r="E378" s="146" t="s">
        <v>12</v>
      </c>
      <c r="F378" s="146" t="s">
        <v>13</v>
      </c>
      <c r="G378" s="183" t="s">
        <v>14</v>
      </c>
      <c r="H378" s="183" t="s">
        <v>15</v>
      </c>
    </row>
    <row r="379" spans="3:8" x14ac:dyDescent="0.25">
      <c r="C379" s="147" t="s">
        <v>23</v>
      </c>
      <c r="D379" s="149">
        <v>15</v>
      </c>
      <c r="E379" s="149">
        <v>1.4966332912445068</v>
      </c>
      <c r="F379" s="149">
        <v>64</v>
      </c>
      <c r="G379" s="184">
        <v>93</v>
      </c>
      <c r="H379" s="184">
        <v>1116</v>
      </c>
    </row>
    <row r="380" spans="3:8" x14ac:dyDescent="0.25">
      <c r="C380" s="147" t="s">
        <v>24</v>
      </c>
      <c r="D380" s="149">
        <v>12</v>
      </c>
      <c r="E380" s="149">
        <v>1.4966332912445068</v>
      </c>
      <c r="F380" s="149">
        <v>47</v>
      </c>
      <c r="G380" s="184">
        <v>68</v>
      </c>
      <c r="H380" s="184">
        <v>816</v>
      </c>
    </row>
    <row r="381" spans="3:8" x14ac:dyDescent="0.25">
      <c r="C381" s="147" t="s">
        <v>25</v>
      </c>
      <c r="D381" s="149">
        <v>13.6</v>
      </c>
      <c r="E381" s="149">
        <v>1.4966332912445068</v>
      </c>
      <c r="F381" s="149">
        <v>148</v>
      </c>
      <c r="G381" s="184">
        <v>216</v>
      </c>
      <c r="H381" s="184">
        <v>2938</v>
      </c>
    </row>
    <row r="382" spans="3:8" x14ac:dyDescent="0.25">
      <c r="C382" s="147" t="s">
        <v>26</v>
      </c>
      <c r="D382" s="149">
        <v>13.066666666666666</v>
      </c>
      <c r="E382" s="149">
        <v>1.4966332912445068</v>
      </c>
      <c r="F382" s="149">
        <v>269</v>
      </c>
      <c r="G382" s="184">
        <v>392</v>
      </c>
      <c r="H382" s="184">
        <v>5122</v>
      </c>
    </row>
    <row r="383" spans="3:8" x14ac:dyDescent="0.25">
      <c r="C383" s="147" t="s">
        <v>27</v>
      </c>
      <c r="D383" s="149">
        <v>13.333333333333334</v>
      </c>
      <c r="E383" s="149">
        <v>1.4966332912445068</v>
      </c>
      <c r="F383" s="149">
        <v>144</v>
      </c>
      <c r="G383" s="184">
        <v>210</v>
      </c>
      <c r="H383" s="184">
        <v>2520</v>
      </c>
    </row>
    <row r="384" spans="3:8" x14ac:dyDescent="0.25">
      <c r="C384" s="147" t="s">
        <v>28</v>
      </c>
      <c r="D384" s="149">
        <v>7.125</v>
      </c>
      <c r="E384" s="149">
        <v>1.4966332912445068</v>
      </c>
      <c r="F384" s="149">
        <v>239</v>
      </c>
      <c r="G384" s="184">
        <v>348</v>
      </c>
      <c r="H384" s="184">
        <v>4176</v>
      </c>
    </row>
    <row r="385" spans="3:8" x14ac:dyDescent="0.25">
      <c r="G385" s="14">
        <f>SUM(G379:G384)</f>
        <v>1327</v>
      </c>
      <c r="H385" s="14">
        <f>SUM(H379:H384)</f>
        <v>16688</v>
      </c>
    </row>
    <row r="387" spans="3:8" x14ac:dyDescent="0.25">
      <c r="C387" s="146" t="s">
        <v>10</v>
      </c>
      <c r="D387" s="146" t="s">
        <v>11</v>
      </c>
      <c r="E387" s="146" t="s">
        <v>12</v>
      </c>
      <c r="F387" s="146" t="s">
        <v>13</v>
      </c>
      <c r="G387" s="183" t="s">
        <v>14</v>
      </c>
      <c r="H387" s="183" t="s">
        <v>15</v>
      </c>
    </row>
    <row r="388" spans="3:8" x14ac:dyDescent="0.25">
      <c r="C388" s="147" t="s">
        <v>23</v>
      </c>
      <c r="D388" s="149">
        <v>15</v>
      </c>
      <c r="E388" s="149">
        <v>1.4282000064849854</v>
      </c>
      <c r="F388" s="149">
        <v>123</v>
      </c>
      <c r="G388" s="184">
        <v>164</v>
      </c>
      <c r="H388" s="184">
        <v>2240</v>
      </c>
    </row>
    <row r="389" spans="3:8" x14ac:dyDescent="0.25">
      <c r="C389" s="147" t="s">
        <v>24</v>
      </c>
      <c r="D389" s="149">
        <v>11.2</v>
      </c>
      <c r="E389" s="149">
        <v>1.4282000064849854</v>
      </c>
      <c r="F389" s="149">
        <v>100</v>
      </c>
      <c r="G389" s="184">
        <v>133</v>
      </c>
      <c r="H389" s="184">
        <v>1490</v>
      </c>
    </row>
    <row r="390" spans="3:8" x14ac:dyDescent="0.25">
      <c r="C390" s="147" t="s">
        <v>25</v>
      </c>
      <c r="D390" s="149">
        <v>15</v>
      </c>
      <c r="E390" s="149">
        <v>1.4282000064849854</v>
      </c>
      <c r="F390" s="149">
        <v>336</v>
      </c>
      <c r="G390" s="184">
        <v>447</v>
      </c>
      <c r="H390" s="184">
        <v>6105</v>
      </c>
    </row>
    <row r="391" spans="3:8" x14ac:dyDescent="0.25">
      <c r="C391" s="147" t="s">
        <v>26</v>
      </c>
      <c r="D391" s="149">
        <v>14.318181818181818</v>
      </c>
      <c r="E391" s="149">
        <v>1.4282000064849854</v>
      </c>
      <c r="F391" s="149">
        <v>502</v>
      </c>
      <c r="G391" s="184">
        <v>668</v>
      </c>
      <c r="H391" s="184">
        <v>9124</v>
      </c>
    </row>
    <row r="392" spans="3:8" x14ac:dyDescent="0.25">
      <c r="C392" s="147" t="s">
        <v>27</v>
      </c>
      <c r="D392" s="149">
        <v>15</v>
      </c>
      <c r="E392" s="149">
        <v>1.4282000064849854</v>
      </c>
      <c r="F392" s="149">
        <v>366</v>
      </c>
      <c r="G392" s="184">
        <v>487</v>
      </c>
      <c r="H392" s="184">
        <v>6652</v>
      </c>
    </row>
    <row r="393" spans="3:8" x14ac:dyDescent="0.25">
      <c r="C393" s="147" t="s">
        <v>28</v>
      </c>
      <c r="D393" s="149">
        <v>15</v>
      </c>
      <c r="E393" s="149">
        <v>1.4282000064849854</v>
      </c>
      <c r="F393" s="149">
        <v>586</v>
      </c>
      <c r="G393" s="184">
        <v>780</v>
      </c>
      <c r="H393" s="184">
        <v>10654</v>
      </c>
    </row>
    <row r="394" spans="3:8" x14ac:dyDescent="0.25">
      <c r="G394" s="14">
        <f>SUM(G388:G393)</f>
        <v>2679</v>
      </c>
      <c r="H394" s="14">
        <f>SUM(H388:H393)</f>
        <v>36265</v>
      </c>
    </row>
    <row r="396" spans="3:8" x14ac:dyDescent="0.25">
      <c r="C396" s="146" t="s">
        <v>10</v>
      </c>
      <c r="D396" s="146" t="s">
        <v>11</v>
      </c>
      <c r="E396" s="146" t="s">
        <v>12</v>
      </c>
      <c r="F396" s="146" t="s">
        <v>13</v>
      </c>
      <c r="G396" s="183" t="s">
        <v>14</v>
      </c>
      <c r="H396" s="183" t="s">
        <v>15</v>
      </c>
    </row>
    <row r="397" spans="3:8" x14ac:dyDescent="0.25">
      <c r="C397" s="147" t="s">
        <v>16</v>
      </c>
      <c r="D397" s="149">
        <v>15</v>
      </c>
      <c r="E397" s="149">
        <v>1.6303999423980713</v>
      </c>
      <c r="F397" s="149">
        <v>18</v>
      </c>
      <c r="G397" s="184">
        <v>29</v>
      </c>
      <c r="H397" s="184">
        <v>435</v>
      </c>
    </row>
    <row r="398" spans="3:8" x14ac:dyDescent="0.25">
      <c r="C398" s="147" t="s">
        <v>17</v>
      </c>
      <c r="D398" s="149">
        <v>15</v>
      </c>
      <c r="E398" s="149">
        <v>1.6303999423980713</v>
      </c>
      <c r="F398" s="149">
        <v>550</v>
      </c>
      <c r="G398" s="184">
        <v>897</v>
      </c>
      <c r="H398" s="184">
        <v>13455</v>
      </c>
    </row>
    <row r="399" spans="3:8" x14ac:dyDescent="0.25">
      <c r="C399" s="147" t="s">
        <v>18</v>
      </c>
      <c r="D399" s="149">
        <v>15</v>
      </c>
      <c r="E399" s="149">
        <v>1.6303999423980713</v>
      </c>
      <c r="F399" s="149">
        <v>557</v>
      </c>
      <c r="G399" s="184">
        <v>908</v>
      </c>
      <c r="H399" s="184">
        <v>13620</v>
      </c>
    </row>
    <row r="400" spans="3:8" x14ac:dyDescent="0.25">
      <c r="C400" s="147" t="s">
        <v>19</v>
      </c>
      <c r="D400" s="149">
        <v>15</v>
      </c>
      <c r="E400" s="149">
        <v>1.6303999423980713</v>
      </c>
      <c r="F400" s="149">
        <v>258</v>
      </c>
      <c r="G400" s="184">
        <v>421</v>
      </c>
      <c r="H400" s="184">
        <v>6315</v>
      </c>
    </row>
    <row r="401" spans="3:8" x14ac:dyDescent="0.25">
      <c r="C401" s="147" t="s">
        <v>20</v>
      </c>
      <c r="D401" s="149">
        <v>15</v>
      </c>
      <c r="E401" s="149">
        <v>1.6303999423980713</v>
      </c>
      <c r="F401" s="149">
        <v>621</v>
      </c>
      <c r="G401" s="184">
        <v>1012</v>
      </c>
      <c r="H401" s="184">
        <v>15180</v>
      </c>
    </row>
    <row r="402" spans="3:8" x14ac:dyDescent="0.25">
      <c r="C402" s="147" t="s">
        <v>21</v>
      </c>
      <c r="D402" s="149">
        <v>15</v>
      </c>
      <c r="E402" s="149">
        <v>1.6303999423980713</v>
      </c>
      <c r="F402" s="149">
        <v>3</v>
      </c>
      <c r="G402" s="184">
        <v>5</v>
      </c>
      <c r="H402" s="184">
        <v>75</v>
      </c>
    </row>
    <row r="403" spans="3:8" x14ac:dyDescent="0.25">
      <c r="G403" s="14">
        <f>SUM(G397:G402)</f>
        <v>3272</v>
      </c>
      <c r="H403" s="14">
        <f>SUM(H397:H402)</f>
        <v>49080</v>
      </c>
    </row>
    <row r="405" spans="3:8" x14ac:dyDescent="0.25">
      <c r="C405" s="146" t="s">
        <v>10</v>
      </c>
      <c r="D405" s="146" t="s">
        <v>11</v>
      </c>
      <c r="E405" s="146" t="s">
        <v>12</v>
      </c>
      <c r="F405" s="146" t="s">
        <v>13</v>
      </c>
      <c r="G405" s="183" t="s">
        <v>14</v>
      </c>
      <c r="H405" s="183" t="s">
        <v>15</v>
      </c>
    </row>
    <row r="406" spans="3:8" x14ac:dyDescent="0.25">
      <c r="C406" s="147" t="s">
        <v>16</v>
      </c>
      <c r="D406" s="149">
        <v>13.442857142857143</v>
      </c>
      <c r="E406" s="149">
        <v>1.5237250328063965</v>
      </c>
      <c r="F406" s="149">
        <v>83</v>
      </c>
      <c r="G406" s="184">
        <v>120</v>
      </c>
      <c r="H406" s="184">
        <v>1613</v>
      </c>
    </row>
    <row r="407" spans="3:8" x14ac:dyDescent="0.25">
      <c r="C407" s="147" t="s">
        <v>17</v>
      </c>
      <c r="D407" s="149">
        <v>15</v>
      </c>
      <c r="E407" s="149">
        <v>1.5237250328063965</v>
      </c>
      <c r="F407" s="149">
        <v>1195</v>
      </c>
      <c r="G407" s="184">
        <v>1722</v>
      </c>
      <c r="H407" s="184">
        <v>23149</v>
      </c>
    </row>
    <row r="408" spans="3:8" x14ac:dyDescent="0.25">
      <c r="C408" s="147" t="s">
        <v>18</v>
      </c>
      <c r="D408" s="149">
        <v>14.076923076923077</v>
      </c>
      <c r="E408" s="149">
        <v>1.5237250328063965</v>
      </c>
      <c r="F408" s="149">
        <v>762</v>
      </c>
      <c r="G408" s="184">
        <v>1098</v>
      </c>
      <c r="H408" s="184">
        <v>14760</v>
      </c>
    </row>
    <row r="409" spans="3:8" x14ac:dyDescent="0.25">
      <c r="C409" s="147" t="s">
        <v>19</v>
      </c>
      <c r="D409" s="149">
        <v>9.0909090909090917</v>
      </c>
      <c r="E409" s="149">
        <v>1.5237250328063965</v>
      </c>
      <c r="F409" s="149">
        <v>295</v>
      </c>
      <c r="G409" s="184">
        <v>425</v>
      </c>
      <c r="H409" s="184">
        <v>5713</v>
      </c>
    </row>
    <row r="410" spans="3:8" x14ac:dyDescent="0.25">
      <c r="C410" s="147" t="s">
        <v>20</v>
      </c>
      <c r="D410" s="149">
        <v>14.25925925925926</v>
      </c>
      <c r="E410" s="149">
        <v>1.5237250328063965</v>
      </c>
      <c r="F410" s="149">
        <v>793</v>
      </c>
      <c r="G410" s="184">
        <v>1143</v>
      </c>
      <c r="H410" s="184">
        <v>15365</v>
      </c>
    </row>
    <row r="411" spans="3:8" x14ac:dyDescent="0.25">
      <c r="C411" s="147" t="s">
        <v>21</v>
      </c>
      <c r="D411" s="149">
        <v>13.442857142857143</v>
      </c>
      <c r="E411" s="149">
        <v>1.5237250328063965</v>
      </c>
      <c r="F411" s="149">
        <v>5</v>
      </c>
      <c r="G411" s="184">
        <v>7</v>
      </c>
      <c r="H411" s="184">
        <v>94</v>
      </c>
    </row>
    <row r="412" spans="3:8" x14ac:dyDescent="0.25">
      <c r="G412" s="14">
        <f>SUM(G406:G411)</f>
        <v>4515</v>
      </c>
      <c r="H412" s="14">
        <f>SUM(H406:H411)</f>
        <v>60694</v>
      </c>
    </row>
    <row r="414" spans="3:8" x14ac:dyDescent="0.25">
      <c r="C414" s="146" t="s">
        <v>10</v>
      </c>
      <c r="D414" s="146" t="s">
        <v>11</v>
      </c>
      <c r="E414" s="146" t="s">
        <v>12</v>
      </c>
      <c r="F414" s="146" t="s">
        <v>13</v>
      </c>
      <c r="G414" s="183" t="s">
        <v>14</v>
      </c>
      <c r="H414" s="183" t="s">
        <v>15</v>
      </c>
    </row>
    <row r="415" spans="3:8" x14ac:dyDescent="0.25">
      <c r="C415" s="147" t="s">
        <v>29</v>
      </c>
      <c r="D415" s="149">
        <v>13.845070422535212</v>
      </c>
      <c r="E415" s="149">
        <v>1.4254666566848755</v>
      </c>
      <c r="F415" s="149">
        <v>0</v>
      </c>
      <c r="G415" s="184">
        <v>0</v>
      </c>
      <c r="H415" s="184">
        <v>0</v>
      </c>
    </row>
    <row r="416" spans="3:8" x14ac:dyDescent="0.25">
      <c r="C416" s="147" t="s">
        <v>30</v>
      </c>
      <c r="D416" s="149">
        <v>13.916666666666666</v>
      </c>
      <c r="E416" s="149">
        <v>1.4254666566848755</v>
      </c>
      <c r="F416" s="149">
        <v>437</v>
      </c>
      <c r="G416" s="184">
        <v>606</v>
      </c>
      <c r="H416" s="184">
        <v>8434</v>
      </c>
    </row>
    <row r="417" spans="3:8" x14ac:dyDescent="0.25">
      <c r="C417" s="147" t="s">
        <v>31</v>
      </c>
      <c r="D417" s="149">
        <v>12.823529411764707</v>
      </c>
      <c r="E417" s="149">
        <v>1.4254666566848755</v>
      </c>
      <c r="F417" s="149">
        <v>461</v>
      </c>
      <c r="G417" s="184">
        <v>639</v>
      </c>
      <c r="H417" s="184">
        <v>8847</v>
      </c>
    </row>
    <row r="418" spans="3:8" x14ac:dyDescent="0.25">
      <c r="C418" s="147" t="s">
        <v>32</v>
      </c>
      <c r="D418" s="149">
        <v>14.666666666666666</v>
      </c>
      <c r="E418" s="149">
        <v>1.4254666566848755</v>
      </c>
      <c r="F418" s="149">
        <v>317</v>
      </c>
      <c r="G418" s="184">
        <v>439</v>
      </c>
      <c r="H418" s="184">
        <v>6439</v>
      </c>
    </row>
    <row r="419" spans="3:8" x14ac:dyDescent="0.25">
      <c r="G419" s="14">
        <f>SUM(G415:G418)</f>
        <v>1684</v>
      </c>
      <c r="H419" s="14">
        <f>SUM(H415:H418)</f>
        <v>23720</v>
      </c>
    </row>
    <row r="421" spans="3:8" x14ac:dyDescent="0.25">
      <c r="C421" s="146" t="s">
        <v>10</v>
      </c>
      <c r="D421" s="146" t="s">
        <v>11</v>
      </c>
      <c r="E421" s="146" t="s">
        <v>12</v>
      </c>
      <c r="F421" s="146" t="s">
        <v>13</v>
      </c>
      <c r="G421" s="183" t="s">
        <v>14</v>
      </c>
      <c r="H421" s="183" t="s">
        <v>15</v>
      </c>
    </row>
    <row r="422" spans="3:8" x14ac:dyDescent="0.25">
      <c r="C422" s="147" t="s">
        <v>34</v>
      </c>
      <c r="D422" s="149">
        <v>14.368421052631579</v>
      </c>
      <c r="E422" s="149">
        <v>1.3082666397094727</v>
      </c>
      <c r="F422" s="149">
        <v>98</v>
      </c>
      <c r="G422" s="184">
        <v>116</v>
      </c>
      <c r="H422" s="184">
        <v>1667</v>
      </c>
    </row>
    <row r="423" spans="3:8" x14ac:dyDescent="0.25">
      <c r="C423" s="147" t="s">
        <v>35</v>
      </c>
      <c r="D423" s="149">
        <v>14.368421052631579</v>
      </c>
      <c r="E423" s="149">
        <v>1.3082666397094727</v>
      </c>
      <c r="F423" s="149">
        <v>62</v>
      </c>
      <c r="G423" s="184">
        <v>73</v>
      </c>
      <c r="H423" s="184">
        <v>1049</v>
      </c>
    </row>
    <row r="424" spans="3:8" x14ac:dyDescent="0.25">
      <c r="C424" s="147" t="s">
        <v>74</v>
      </c>
      <c r="D424" s="149">
        <v>14.368421052631579</v>
      </c>
      <c r="E424" s="149">
        <v>1.3082666397094727</v>
      </c>
      <c r="F424" s="149">
        <v>59</v>
      </c>
      <c r="G424" s="184">
        <v>70</v>
      </c>
      <c r="H424" s="184">
        <v>1006</v>
      </c>
    </row>
    <row r="425" spans="3:8" x14ac:dyDescent="0.25">
      <c r="C425" s="147" t="s">
        <v>39</v>
      </c>
      <c r="D425" s="149">
        <v>14.368421052631579</v>
      </c>
      <c r="E425" s="149">
        <v>1.3082666397094727</v>
      </c>
      <c r="F425" s="149">
        <v>115</v>
      </c>
      <c r="G425" s="184">
        <v>136</v>
      </c>
      <c r="H425" s="184">
        <v>1954</v>
      </c>
    </row>
    <row r="426" spans="3:8" x14ac:dyDescent="0.25">
      <c r="C426" s="147" t="s">
        <v>36</v>
      </c>
      <c r="D426" s="149">
        <v>15</v>
      </c>
      <c r="E426" s="149">
        <v>1.3082666397094727</v>
      </c>
      <c r="F426" s="149">
        <v>443</v>
      </c>
      <c r="G426" s="184">
        <v>524</v>
      </c>
      <c r="H426" s="184">
        <v>7529</v>
      </c>
    </row>
    <row r="427" spans="3:8" x14ac:dyDescent="0.25">
      <c r="C427" s="147" t="s">
        <v>37</v>
      </c>
      <c r="D427" s="149">
        <v>14.928571428571429</v>
      </c>
      <c r="E427" s="149">
        <v>1.3082666397094727</v>
      </c>
      <c r="F427" s="149">
        <v>461</v>
      </c>
      <c r="G427" s="184">
        <v>546</v>
      </c>
      <c r="H427" s="184">
        <v>7845</v>
      </c>
    </row>
    <row r="428" spans="3:8" x14ac:dyDescent="0.25">
      <c r="C428" s="147" t="s">
        <v>38</v>
      </c>
      <c r="D428" s="149">
        <v>13.466666666666667</v>
      </c>
      <c r="E428" s="149">
        <v>1.3082666397094727</v>
      </c>
      <c r="F428" s="149">
        <v>520</v>
      </c>
      <c r="G428" s="184">
        <v>616</v>
      </c>
      <c r="H428" s="184">
        <v>8851</v>
      </c>
    </row>
    <row r="429" spans="3:8" x14ac:dyDescent="0.25">
      <c r="G429" s="14">
        <f>SUM(G422:G428)</f>
        <v>2081</v>
      </c>
      <c r="H429" s="14">
        <f>SUM(H422:H428)</f>
        <v>29901</v>
      </c>
    </row>
    <row r="431" spans="3:8" x14ac:dyDescent="0.25">
      <c r="C431" s="146" t="s">
        <v>10</v>
      </c>
      <c r="D431" s="146" t="s">
        <v>11</v>
      </c>
      <c r="E431" s="146" t="s">
        <v>12</v>
      </c>
      <c r="F431" s="146" t="s">
        <v>13</v>
      </c>
      <c r="G431" s="183" t="s">
        <v>14</v>
      </c>
      <c r="H431" s="183" t="s">
        <v>15</v>
      </c>
    </row>
    <row r="432" spans="3:8" x14ac:dyDescent="0.25">
      <c r="C432" s="147" t="s">
        <v>34</v>
      </c>
      <c r="D432" s="149">
        <v>14.387096774193548</v>
      </c>
      <c r="E432" s="149">
        <v>1.2986999750137329</v>
      </c>
      <c r="F432" s="149">
        <v>189</v>
      </c>
      <c r="G432" s="184">
        <v>238</v>
      </c>
      <c r="H432" s="184">
        <v>3424</v>
      </c>
    </row>
    <row r="433" spans="3:8" x14ac:dyDescent="0.25">
      <c r="C433" s="147" t="s">
        <v>35</v>
      </c>
      <c r="D433" s="149">
        <v>14.387096774193548</v>
      </c>
      <c r="E433" s="149">
        <v>1.2986999750137329</v>
      </c>
      <c r="F433" s="149">
        <v>120</v>
      </c>
      <c r="G433" s="184">
        <v>151</v>
      </c>
      <c r="H433" s="184">
        <v>2172</v>
      </c>
    </row>
    <row r="434" spans="3:8" x14ac:dyDescent="0.25">
      <c r="C434" s="147" t="s">
        <v>74</v>
      </c>
      <c r="D434" s="149">
        <v>14.387096774193548</v>
      </c>
      <c r="E434" s="149">
        <v>1.2986999750137329</v>
      </c>
      <c r="F434" s="149">
        <v>115</v>
      </c>
      <c r="G434" s="184">
        <v>145</v>
      </c>
      <c r="H434" s="184">
        <v>2086</v>
      </c>
    </row>
    <row r="435" spans="3:8" x14ac:dyDescent="0.25">
      <c r="C435" s="147" t="s">
        <v>39</v>
      </c>
      <c r="D435" s="149">
        <v>14.387096774193548</v>
      </c>
      <c r="E435" s="149">
        <v>1.2986999750137329</v>
      </c>
      <c r="F435" s="149">
        <v>224</v>
      </c>
      <c r="G435" s="184">
        <v>282</v>
      </c>
      <c r="H435" s="184">
        <v>4057</v>
      </c>
    </row>
    <row r="436" spans="3:8" x14ac:dyDescent="0.25">
      <c r="C436" s="147" t="s">
        <v>36</v>
      </c>
      <c r="D436" s="149">
        <v>14.210526315789474</v>
      </c>
      <c r="E436" s="149">
        <v>1.2986999750137329</v>
      </c>
      <c r="F436" s="149">
        <v>995</v>
      </c>
      <c r="G436" s="184">
        <v>1252</v>
      </c>
      <c r="H436" s="184">
        <v>18013</v>
      </c>
    </row>
    <row r="437" spans="3:8" x14ac:dyDescent="0.25">
      <c r="C437" s="147" t="s">
        <v>37</v>
      </c>
      <c r="D437" s="149">
        <v>15</v>
      </c>
      <c r="E437" s="149">
        <v>1.2986999750137329</v>
      </c>
      <c r="F437" s="149">
        <v>1027</v>
      </c>
      <c r="G437" s="184">
        <v>1292</v>
      </c>
      <c r="H437" s="184">
        <v>18588</v>
      </c>
    </row>
    <row r="438" spans="3:8" x14ac:dyDescent="0.25">
      <c r="C438" s="147" t="s">
        <v>38</v>
      </c>
      <c r="D438" s="149">
        <v>13.789473684210526</v>
      </c>
      <c r="E438" s="149">
        <v>1.2986999750137329</v>
      </c>
      <c r="F438" s="149">
        <v>736</v>
      </c>
      <c r="G438" s="184">
        <v>926</v>
      </c>
      <c r="H438" s="184">
        <v>13322</v>
      </c>
    </row>
    <row r="439" spans="3:8" x14ac:dyDescent="0.25">
      <c r="G439" s="14">
        <f>SUM(G432:G438)</f>
        <v>4286</v>
      </c>
      <c r="H439" s="14">
        <f>SUM(H432:H438)</f>
        <v>61662</v>
      </c>
    </row>
    <row r="441" spans="3:8" x14ac:dyDescent="0.25">
      <c r="C441" s="161" t="s">
        <v>10</v>
      </c>
      <c r="D441" s="161" t="s">
        <v>11</v>
      </c>
      <c r="E441" s="161" t="s">
        <v>12</v>
      </c>
      <c r="F441" s="161" t="s">
        <v>13</v>
      </c>
      <c r="G441" s="185" t="s">
        <v>14</v>
      </c>
      <c r="H441" s="185" t="s">
        <v>15</v>
      </c>
    </row>
    <row r="442" spans="3:8" x14ac:dyDescent="0.25">
      <c r="C442" s="162" t="s">
        <v>16</v>
      </c>
      <c r="D442" s="163">
        <v>12.394495412844037</v>
      </c>
      <c r="E442" s="163">
        <v>1</v>
      </c>
      <c r="F442" s="163">
        <v>51</v>
      </c>
      <c r="G442" s="186">
        <v>48</v>
      </c>
      <c r="H442" s="186">
        <v>595</v>
      </c>
    </row>
    <row r="443" spans="3:8" x14ac:dyDescent="0.25">
      <c r="C443" s="162" t="s">
        <v>17</v>
      </c>
      <c r="D443" s="163">
        <v>6.9523809523809526</v>
      </c>
      <c r="E443" s="163">
        <v>1</v>
      </c>
      <c r="F443" s="163">
        <v>1298</v>
      </c>
      <c r="G443" s="186">
        <v>1230</v>
      </c>
      <c r="H443" s="186">
        <v>15245</v>
      </c>
    </row>
    <row r="444" spans="3:8" x14ac:dyDescent="0.25">
      <c r="C444" s="162" t="s">
        <v>18</v>
      </c>
      <c r="D444" s="163">
        <v>9.8235294117647065</v>
      </c>
      <c r="E444" s="163">
        <v>1</v>
      </c>
      <c r="F444" s="163">
        <v>1084</v>
      </c>
      <c r="G444" s="186">
        <v>1027</v>
      </c>
      <c r="H444" s="186">
        <v>12729</v>
      </c>
    </row>
    <row r="445" spans="3:8" x14ac:dyDescent="0.25">
      <c r="C445" s="162" t="s">
        <v>19</v>
      </c>
      <c r="D445" s="163">
        <v>14.473684210526315</v>
      </c>
      <c r="E445" s="163">
        <v>1</v>
      </c>
      <c r="F445" s="163">
        <v>751</v>
      </c>
      <c r="G445" s="186">
        <v>712</v>
      </c>
      <c r="H445" s="186">
        <v>10305</v>
      </c>
    </row>
    <row r="446" spans="3:8" x14ac:dyDescent="0.25">
      <c r="C446" s="162" t="s">
        <v>20</v>
      </c>
      <c r="D446" s="163">
        <v>14.774193548387096</v>
      </c>
      <c r="E446" s="163">
        <v>1</v>
      </c>
      <c r="F446" s="163">
        <v>1112</v>
      </c>
      <c r="G446" s="186">
        <v>1054</v>
      </c>
      <c r="H446" s="186">
        <v>13064</v>
      </c>
    </row>
    <row r="447" spans="3:8" x14ac:dyDescent="0.25">
      <c r="C447" s="162" t="s">
        <v>21</v>
      </c>
      <c r="D447" s="163">
        <v>15</v>
      </c>
      <c r="E447" s="163">
        <v>1</v>
      </c>
      <c r="F447" s="163">
        <v>12</v>
      </c>
      <c r="G447" s="186">
        <v>11</v>
      </c>
      <c r="H447" s="186">
        <v>165</v>
      </c>
    </row>
    <row r="448" spans="3:8" x14ac:dyDescent="0.25">
      <c r="G448" s="14">
        <f>SUM(G442:G447)</f>
        <v>4082</v>
      </c>
      <c r="H448" s="14">
        <f>SUM(H442:H447)</f>
        <v>52103</v>
      </c>
    </row>
    <row r="450" spans="3:8" x14ac:dyDescent="0.25">
      <c r="C450" s="161" t="s">
        <v>10</v>
      </c>
      <c r="D450" s="161" t="s">
        <v>11</v>
      </c>
      <c r="E450" s="161" t="s">
        <v>12</v>
      </c>
      <c r="F450" s="161" t="s">
        <v>13</v>
      </c>
      <c r="G450" s="185" t="s">
        <v>14</v>
      </c>
      <c r="H450" s="185" t="s">
        <v>15</v>
      </c>
    </row>
    <row r="451" spans="3:8" x14ac:dyDescent="0.25">
      <c r="C451" s="162" t="s">
        <v>23</v>
      </c>
      <c r="D451" s="163">
        <v>15</v>
      </c>
      <c r="E451" s="163">
        <v>1.4661999940872192</v>
      </c>
      <c r="F451" s="163">
        <v>104</v>
      </c>
      <c r="G451" s="186">
        <v>140</v>
      </c>
      <c r="H451" s="186">
        <v>1538</v>
      </c>
    </row>
    <row r="452" spans="3:8" x14ac:dyDescent="0.25">
      <c r="C452" s="162" t="s">
        <v>24</v>
      </c>
      <c r="D452" s="163">
        <v>10.984615384615385</v>
      </c>
      <c r="E452" s="163">
        <v>1.4661999940872192</v>
      </c>
      <c r="F452" s="163">
        <v>163</v>
      </c>
      <c r="G452" s="186">
        <v>219</v>
      </c>
      <c r="H452" s="186">
        <v>2406</v>
      </c>
    </row>
    <row r="453" spans="3:8" x14ac:dyDescent="0.25">
      <c r="C453" s="162" t="s">
        <v>25</v>
      </c>
      <c r="D453" s="163">
        <v>10.984615384615385</v>
      </c>
      <c r="E453" s="163">
        <v>1.4661999940872192</v>
      </c>
      <c r="F453" s="163">
        <v>461</v>
      </c>
      <c r="G453" s="186">
        <v>619</v>
      </c>
      <c r="H453" s="186">
        <v>6799</v>
      </c>
    </row>
    <row r="454" spans="3:8" x14ac:dyDescent="0.25">
      <c r="C454" s="162" t="s">
        <v>26</v>
      </c>
      <c r="D454" s="163">
        <v>8.6666666666666661</v>
      </c>
      <c r="E454" s="163">
        <v>1.4661999940872192</v>
      </c>
      <c r="F454" s="163">
        <v>768</v>
      </c>
      <c r="G454" s="186">
        <v>1031</v>
      </c>
      <c r="H454" s="186">
        <v>8935</v>
      </c>
    </row>
    <row r="455" spans="3:8" x14ac:dyDescent="0.25">
      <c r="C455" s="162" t="s">
        <v>27</v>
      </c>
      <c r="D455" s="163">
        <v>14.733333333333333</v>
      </c>
      <c r="E455" s="163">
        <v>1.4661999940872192</v>
      </c>
      <c r="F455" s="163">
        <v>477</v>
      </c>
      <c r="G455" s="186">
        <v>640</v>
      </c>
      <c r="H455" s="186">
        <v>7030</v>
      </c>
    </row>
    <row r="456" spans="3:8" x14ac:dyDescent="0.25">
      <c r="C456" s="162" t="s">
        <v>28</v>
      </c>
      <c r="D456" s="163">
        <v>14</v>
      </c>
      <c r="E456" s="163">
        <v>1.4661999940872192</v>
      </c>
      <c r="F456" s="163">
        <v>715</v>
      </c>
      <c r="G456" s="186">
        <v>960</v>
      </c>
      <c r="H456" s="186">
        <v>10545</v>
      </c>
    </row>
    <row r="457" spans="3:8" x14ac:dyDescent="0.25">
      <c r="G457" s="14">
        <f>SUM(G451:G456)</f>
        <v>3609</v>
      </c>
      <c r="H457" s="14">
        <f>SUM(H451:H456)</f>
        <v>37253</v>
      </c>
    </row>
    <row r="459" spans="3:8" x14ac:dyDescent="0.25">
      <c r="C459" s="161" t="s">
        <v>10</v>
      </c>
      <c r="D459" s="161" t="s">
        <v>11</v>
      </c>
      <c r="E459" s="161" t="s">
        <v>12</v>
      </c>
      <c r="F459" s="161" t="s">
        <v>13</v>
      </c>
      <c r="G459" s="185" t="s">
        <v>14</v>
      </c>
      <c r="H459" s="185" t="s">
        <v>15</v>
      </c>
    </row>
    <row r="460" spans="3:8" x14ac:dyDescent="0.25">
      <c r="C460" s="162" t="s">
        <v>23</v>
      </c>
      <c r="D460" s="163">
        <v>15</v>
      </c>
      <c r="E460" s="163">
        <v>1.398224949836731</v>
      </c>
      <c r="F460" s="163">
        <v>39</v>
      </c>
      <c r="G460" s="186">
        <v>54</v>
      </c>
      <c r="H460" s="186">
        <v>810</v>
      </c>
    </row>
    <row r="461" spans="3:8" x14ac:dyDescent="0.25">
      <c r="C461" s="162" t="s">
        <v>24</v>
      </c>
      <c r="D461" s="163">
        <v>15</v>
      </c>
      <c r="E461" s="163">
        <v>1.398224949836731</v>
      </c>
      <c r="F461" s="163">
        <v>117</v>
      </c>
      <c r="G461" s="186">
        <v>161</v>
      </c>
      <c r="H461" s="186">
        <v>2401</v>
      </c>
    </row>
    <row r="462" spans="3:8" x14ac:dyDescent="0.25">
      <c r="C462" s="162" t="s">
        <v>25</v>
      </c>
      <c r="D462" s="163">
        <v>14.416666666666666</v>
      </c>
      <c r="E462" s="163">
        <v>1.398224949836731</v>
      </c>
      <c r="F462" s="163">
        <v>244</v>
      </c>
      <c r="G462" s="186">
        <v>335</v>
      </c>
      <c r="H462" s="186">
        <v>4996</v>
      </c>
    </row>
    <row r="463" spans="3:8" x14ac:dyDescent="0.25">
      <c r="C463" s="162" t="s">
        <v>26</v>
      </c>
      <c r="D463" s="163">
        <v>15</v>
      </c>
      <c r="E463" s="163">
        <v>1.398224949836731</v>
      </c>
      <c r="F463" s="163">
        <v>319</v>
      </c>
      <c r="G463" s="186">
        <v>438</v>
      </c>
      <c r="H463" s="186">
        <v>6570</v>
      </c>
    </row>
    <row r="464" spans="3:8" x14ac:dyDescent="0.25">
      <c r="C464" s="162" t="s">
        <v>27</v>
      </c>
      <c r="D464" s="163">
        <v>15</v>
      </c>
      <c r="E464" s="163">
        <v>1.398224949836731</v>
      </c>
      <c r="F464" s="163">
        <v>151</v>
      </c>
      <c r="G464" s="186">
        <v>207</v>
      </c>
      <c r="H464" s="186">
        <v>3087</v>
      </c>
    </row>
    <row r="465" spans="3:8" x14ac:dyDescent="0.25">
      <c r="C465" s="162" t="s">
        <v>28</v>
      </c>
      <c r="D465" s="163">
        <v>15.2</v>
      </c>
      <c r="E465" s="163">
        <v>1.398224949836731</v>
      </c>
      <c r="F465" s="163">
        <v>237</v>
      </c>
      <c r="G465" s="186">
        <v>326</v>
      </c>
      <c r="H465" s="186">
        <v>4861</v>
      </c>
    </row>
    <row r="466" spans="3:8" x14ac:dyDescent="0.25">
      <c r="G466" s="14">
        <f>SUM(G460:G465)</f>
        <v>1521</v>
      </c>
      <c r="H466" s="14">
        <f>SUM(H460:H465)</f>
        <v>22725</v>
      </c>
    </row>
    <row r="468" spans="3:8" x14ac:dyDescent="0.25">
      <c r="C468" s="161" t="s">
        <v>10</v>
      </c>
      <c r="D468" s="161" t="s">
        <v>11</v>
      </c>
      <c r="E468" s="161" t="s">
        <v>12</v>
      </c>
      <c r="F468" s="161" t="s">
        <v>13</v>
      </c>
      <c r="G468" s="185" t="s">
        <v>14</v>
      </c>
      <c r="H468" s="185" t="s">
        <v>15</v>
      </c>
    </row>
    <row r="469" spans="3:8" x14ac:dyDescent="0.25">
      <c r="C469" s="162" t="s">
        <v>16</v>
      </c>
      <c r="D469" s="163">
        <v>14.326923076923077</v>
      </c>
      <c r="E469" s="163">
        <v>1.4877749681472778</v>
      </c>
      <c r="F469" s="163">
        <v>6</v>
      </c>
      <c r="G469" s="186">
        <v>9</v>
      </c>
      <c r="H469" s="186">
        <v>129</v>
      </c>
    </row>
    <row r="470" spans="3:8" x14ac:dyDescent="0.25">
      <c r="C470" s="162" t="s">
        <v>17</v>
      </c>
      <c r="D470" s="163">
        <v>12.933333333333334</v>
      </c>
      <c r="E470" s="163">
        <v>1.4877749681472778</v>
      </c>
      <c r="F470" s="163">
        <v>881</v>
      </c>
      <c r="G470" s="186">
        <v>1311</v>
      </c>
      <c r="H470" s="186">
        <v>18783</v>
      </c>
    </row>
    <row r="471" spans="3:8" x14ac:dyDescent="0.25">
      <c r="C471" s="162" t="s">
        <v>18</v>
      </c>
      <c r="D471" s="163">
        <v>14.666666666666666</v>
      </c>
      <c r="E471" s="163">
        <v>1.4877749681472778</v>
      </c>
      <c r="F471" s="163">
        <v>687</v>
      </c>
      <c r="G471" s="186">
        <v>1022</v>
      </c>
      <c r="H471" s="186">
        <v>14642</v>
      </c>
    </row>
    <row r="472" spans="3:8" x14ac:dyDescent="0.25">
      <c r="C472" s="162" t="s">
        <v>19</v>
      </c>
      <c r="D472" s="163">
        <v>15</v>
      </c>
      <c r="E472" s="163">
        <v>1.4877749681472778</v>
      </c>
      <c r="F472" s="163">
        <v>508</v>
      </c>
      <c r="G472" s="186">
        <v>756</v>
      </c>
      <c r="H472" s="186">
        <v>10831</v>
      </c>
    </row>
    <row r="473" spans="3:8" x14ac:dyDescent="0.25">
      <c r="C473" s="162" t="s">
        <v>20</v>
      </c>
      <c r="D473" s="163">
        <v>15</v>
      </c>
      <c r="E473" s="163">
        <v>1.4877749681472778</v>
      </c>
      <c r="F473" s="163">
        <v>743</v>
      </c>
      <c r="G473" s="186">
        <v>1105</v>
      </c>
      <c r="H473" s="186">
        <v>15831</v>
      </c>
    </row>
    <row r="474" spans="3:8" x14ac:dyDescent="0.25">
      <c r="C474" s="162" t="s">
        <v>21</v>
      </c>
      <c r="D474" s="163">
        <v>14.326923076923077</v>
      </c>
      <c r="E474" s="163">
        <v>1.4877749681472778</v>
      </c>
      <c r="F474" s="163">
        <v>15</v>
      </c>
      <c r="G474" s="186">
        <v>22</v>
      </c>
      <c r="H474" s="186">
        <v>315</v>
      </c>
    </row>
    <row r="475" spans="3:8" x14ac:dyDescent="0.25">
      <c r="G475" s="14">
        <f>SUM(G469:G474)</f>
        <v>4225</v>
      </c>
      <c r="H475" s="14">
        <f>SUM(H469:H474)</f>
        <v>60531</v>
      </c>
    </row>
    <row r="477" spans="3:8" x14ac:dyDescent="0.25">
      <c r="C477" s="161" t="s">
        <v>10</v>
      </c>
      <c r="D477" s="161" t="s">
        <v>11</v>
      </c>
      <c r="E477" s="161" t="s">
        <v>12</v>
      </c>
      <c r="F477" s="161" t="s">
        <v>13</v>
      </c>
      <c r="G477" s="185" t="s">
        <v>14</v>
      </c>
      <c r="H477" s="185" t="s">
        <v>15</v>
      </c>
    </row>
    <row r="478" spans="3:8" x14ac:dyDescent="0.25">
      <c r="C478" s="162" t="s">
        <v>29</v>
      </c>
      <c r="D478" s="163">
        <v>5.4328358208955221</v>
      </c>
      <c r="E478" s="163">
        <v>1.4673500061035156</v>
      </c>
      <c r="F478" s="163">
        <v>37</v>
      </c>
      <c r="G478" s="186">
        <v>47</v>
      </c>
      <c r="H478" s="186">
        <v>255</v>
      </c>
    </row>
    <row r="479" spans="3:8" x14ac:dyDescent="0.25">
      <c r="C479" s="162" t="s">
        <v>30</v>
      </c>
      <c r="D479" s="163">
        <v>3.8333333333333335</v>
      </c>
      <c r="E479" s="163">
        <v>1.4673500061035156</v>
      </c>
      <c r="F479" s="163">
        <v>776</v>
      </c>
      <c r="G479" s="186">
        <v>978</v>
      </c>
      <c r="H479" s="186">
        <v>5313</v>
      </c>
    </row>
    <row r="480" spans="3:8" x14ac:dyDescent="0.25">
      <c r="C480" s="162" t="s">
        <v>31</v>
      </c>
      <c r="D480" s="163">
        <v>8.1333333333333329</v>
      </c>
      <c r="E480" s="163">
        <v>1.4673500061035156</v>
      </c>
      <c r="F480" s="163">
        <v>865</v>
      </c>
      <c r="G480" s="186">
        <v>1090</v>
      </c>
      <c r="H480" s="186">
        <v>5922</v>
      </c>
    </row>
    <row r="481" spans="3:8" x14ac:dyDescent="0.25">
      <c r="C481" s="162" t="s">
        <v>32</v>
      </c>
      <c r="D481" s="163">
        <v>6.5</v>
      </c>
      <c r="E481" s="163">
        <v>1.4673500061035156</v>
      </c>
      <c r="F481" s="163">
        <v>88</v>
      </c>
      <c r="G481" s="186">
        <v>111</v>
      </c>
      <c r="H481" s="186">
        <v>722</v>
      </c>
    </row>
    <row r="482" spans="3:8" x14ac:dyDescent="0.25">
      <c r="G482" s="14">
        <f>SUM(G478:G481)</f>
        <v>2226</v>
      </c>
      <c r="H482" s="14">
        <f>SUM(H478:H481)</f>
        <v>12212</v>
      </c>
    </row>
    <row r="484" spans="3:8" x14ac:dyDescent="0.25">
      <c r="C484" s="161" t="s">
        <v>10</v>
      </c>
      <c r="D484" s="161" t="s">
        <v>11</v>
      </c>
      <c r="E484" s="161" t="s">
        <v>12</v>
      </c>
      <c r="F484" s="161" t="s">
        <v>13</v>
      </c>
      <c r="G484" s="185" t="s">
        <v>14</v>
      </c>
      <c r="H484" s="185" t="s">
        <v>15</v>
      </c>
    </row>
    <row r="485" spans="3:8" x14ac:dyDescent="0.25">
      <c r="C485" s="162" t="s">
        <v>29</v>
      </c>
      <c r="D485" s="163">
        <v>13.984848484848484</v>
      </c>
      <c r="E485" s="163">
        <v>1.4663000106811523</v>
      </c>
      <c r="F485" s="163">
        <v>3</v>
      </c>
      <c r="G485" s="186">
        <v>4</v>
      </c>
      <c r="H485" s="186">
        <v>56</v>
      </c>
    </row>
    <row r="486" spans="3:8" x14ac:dyDescent="0.25">
      <c r="C486" s="162" t="s">
        <v>30</v>
      </c>
      <c r="D486" s="163">
        <v>13.318181818181818</v>
      </c>
      <c r="E486" s="163">
        <v>1.4663000106811523</v>
      </c>
      <c r="F486" s="163">
        <v>321</v>
      </c>
      <c r="G486" s="186">
        <v>464</v>
      </c>
      <c r="H486" s="186">
        <v>6180</v>
      </c>
    </row>
    <row r="487" spans="3:8" x14ac:dyDescent="0.25">
      <c r="C487" s="162" t="s">
        <v>31</v>
      </c>
      <c r="D487" s="163">
        <v>14.096774193548388</v>
      </c>
      <c r="E487" s="163">
        <v>1.4663000106811523</v>
      </c>
      <c r="F487" s="163">
        <v>437</v>
      </c>
      <c r="G487" s="186">
        <v>631</v>
      </c>
      <c r="H487" s="186">
        <v>8895</v>
      </c>
    </row>
    <row r="488" spans="3:8" x14ac:dyDescent="0.25">
      <c r="C488" s="162" t="s">
        <v>32</v>
      </c>
      <c r="D488" s="163">
        <v>14.846153846153847</v>
      </c>
      <c r="E488" s="163">
        <v>1.4663000106811523</v>
      </c>
      <c r="F488" s="163">
        <v>247</v>
      </c>
      <c r="G488" s="186">
        <v>357</v>
      </c>
      <c r="H488" s="186">
        <v>5300</v>
      </c>
    </row>
    <row r="489" spans="3:8" x14ac:dyDescent="0.25">
      <c r="G489" s="14">
        <f>SUM(G485:G488)</f>
        <v>1456</v>
      </c>
      <c r="H489" s="14">
        <f>SUM(H485:H488)</f>
        <v>20431</v>
      </c>
    </row>
    <row r="491" spans="3:8" x14ac:dyDescent="0.25">
      <c r="C491" s="161" t="s">
        <v>10</v>
      </c>
      <c r="D491" s="161" t="s">
        <v>11</v>
      </c>
      <c r="E491" s="161" t="s">
        <v>12</v>
      </c>
      <c r="F491" s="161" t="s">
        <v>13</v>
      </c>
      <c r="G491" s="185" t="s">
        <v>14</v>
      </c>
      <c r="H491" s="185" t="s">
        <v>15</v>
      </c>
    </row>
    <row r="492" spans="3:8" x14ac:dyDescent="0.25">
      <c r="C492" s="162" t="s">
        <v>29</v>
      </c>
      <c r="D492" s="163">
        <v>7.5666666666666664</v>
      </c>
      <c r="E492" s="163">
        <v>1.4318000078201294</v>
      </c>
      <c r="F492" s="163">
        <v>0</v>
      </c>
      <c r="G492" s="186">
        <v>0</v>
      </c>
      <c r="H492" s="186">
        <v>0</v>
      </c>
    </row>
    <row r="493" spans="3:8" x14ac:dyDescent="0.25">
      <c r="C493" s="162" t="s">
        <v>30</v>
      </c>
      <c r="D493" s="163">
        <v>5.25</v>
      </c>
      <c r="E493" s="163">
        <v>1.4318000078201294</v>
      </c>
      <c r="F493" s="163">
        <v>346</v>
      </c>
      <c r="G493" s="186">
        <v>479</v>
      </c>
      <c r="H493" s="186">
        <v>3624</v>
      </c>
    </row>
    <row r="494" spans="3:8" x14ac:dyDescent="0.25">
      <c r="C494" s="162" t="s">
        <v>31</v>
      </c>
      <c r="D494" s="163">
        <v>11.916666666666666</v>
      </c>
      <c r="E494" s="163">
        <v>1.4318000078201294</v>
      </c>
      <c r="F494" s="163">
        <v>362</v>
      </c>
      <c r="G494" s="186">
        <v>502</v>
      </c>
      <c r="H494" s="186">
        <v>3798</v>
      </c>
    </row>
    <row r="495" spans="3:8" x14ac:dyDescent="0.25">
      <c r="C495" s="162" t="s">
        <v>32</v>
      </c>
      <c r="D495" s="163">
        <v>0</v>
      </c>
      <c r="E495" s="163">
        <v>1.4318000078201294</v>
      </c>
      <c r="F495" s="163">
        <v>179</v>
      </c>
      <c r="G495" s="186">
        <v>248</v>
      </c>
      <c r="H495" s="186">
        <v>1877</v>
      </c>
    </row>
    <row r="496" spans="3:8" x14ac:dyDescent="0.25">
      <c r="G496" s="14">
        <f>SUM(G492:G495)</f>
        <v>1229</v>
      </c>
      <c r="H496" s="14">
        <f>SUM(H492:H495)</f>
        <v>9299</v>
      </c>
    </row>
    <row r="498" spans="3:8" x14ac:dyDescent="0.25">
      <c r="C498" s="161" t="s">
        <v>10</v>
      </c>
      <c r="D498" s="161" t="s">
        <v>11</v>
      </c>
      <c r="E498" s="161" t="s">
        <v>12</v>
      </c>
      <c r="F498" s="161" t="s">
        <v>13</v>
      </c>
      <c r="G498" s="185" t="s">
        <v>14</v>
      </c>
      <c r="H498" s="185" t="s">
        <v>15</v>
      </c>
    </row>
    <row r="499" spans="3:8" x14ac:dyDescent="0.25">
      <c r="C499" s="162" t="s">
        <v>29</v>
      </c>
      <c r="D499" s="163">
        <v>13.208333333333334</v>
      </c>
      <c r="E499" s="163">
        <v>1.5509999990463257</v>
      </c>
      <c r="F499" s="163">
        <v>0</v>
      </c>
      <c r="G499" s="186">
        <v>0</v>
      </c>
      <c r="H499" s="186">
        <v>0</v>
      </c>
    </row>
    <row r="500" spans="3:8" x14ac:dyDescent="0.25">
      <c r="C500" s="162" t="s">
        <v>30</v>
      </c>
      <c r="D500" s="163">
        <v>12.272727272727273</v>
      </c>
      <c r="E500" s="163">
        <v>1.5509999990463257</v>
      </c>
      <c r="F500" s="163">
        <v>184</v>
      </c>
      <c r="G500" s="186">
        <v>285</v>
      </c>
      <c r="H500" s="186">
        <v>3498</v>
      </c>
    </row>
    <row r="501" spans="3:8" x14ac:dyDescent="0.25">
      <c r="C501" s="162" t="s">
        <v>31</v>
      </c>
      <c r="D501" s="163">
        <v>13.642857142857142</v>
      </c>
      <c r="E501" s="163">
        <v>1.5509999990463257</v>
      </c>
      <c r="F501" s="163">
        <v>233</v>
      </c>
      <c r="G501" s="186">
        <v>361</v>
      </c>
      <c r="H501" s="186">
        <v>4925</v>
      </c>
    </row>
    <row r="502" spans="3:8" x14ac:dyDescent="0.25">
      <c r="C502" s="162" t="s">
        <v>32</v>
      </c>
      <c r="D502" s="163">
        <v>13</v>
      </c>
      <c r="E502" s="163">
        <v>1.5509999990463257</v>
      </c>
      <c r="F502" s="163">
        <v>51</v>
      </c>
      <c r="G502" s="186">
        <v>79</v>
      </c>
      <c r="H502" s="186">
        <v>1027</v>
      </c>
    </row>
    <row r="503" spans="3:8" x14ac:dyDescent="0.25">
      <c r="G503" s="14">
        <f>SUM(G499:G502)</f>
        <v>725</v>
      </c>
      <c r="H503" s="14">
        <f>SUM(H499:H502)</f>
        <v>9450</v>
      </c>
    </row>
    <row r="505" spans="3:8" x14ac:dyDescent="0.25">
      <c r="C505" s="161" t="s">
        <v>10</v>
      </c>
      <c r="D505" s="161" t="s">
        <v>11</v>
      </c>
      <c r="E505" s="161" t="s">
        <v>12</v>
      </c>
      <c r="F505" s="161" t="s">
        <v>13</v>
      </c>
      <c r="G505" s="185" t="s">
        <v>14</v>
      </c>
      <c r="H505" s="185" t="s">
        <v>15</v>
      </c>
    </row>
    <row r="506" spans="3:8" x14ac:dyDescent="0.25">
      <c r="C506" s="162" t="s">
        <v>34</v>
      </c>
      <c r="D506" s="163">
        <v>10.950617283950617</v>
      </c>
      <c r="E506" s="163">
        <v>1.3583333492279053</v>
      </c>
      <c r="F506" s="163">
        <v>217</v>
      </c>
      <c r="G506" s="186">
        <v>291</v>
      </c>
      <c r="H506" s="186">
        <v>3187</v>
      </c>
    </row>
    <row r="507" spans="3:8" x14ac:dyDescent="0.25">
      <c r="C507" s="162" t="s">
        <v>35</v>
      </c>
      <c r="D507" s="163">
        <v>10.950617283950617</v>
      </c>
      <c r="E507" s="163">
        <v>1.3583333492279053</v>
      </c>
      <c r="F507" s="163">
        <v>138</v>
      </c>
      <c r="G507" s="186">
        <v>185</v>
      </c>
      <c r="H507" s="186">
        <v>2026</v>
      </c>
    </row>
    <row r="508" spans="3:8" x14ac:dyDescent="0.25">
      <c r="C508" s="162" t="s">
        <v>74</v>
      </c>
      <c r="D508" s="163">
        <v>10.950617283950617</v>
      </c>
      <c r="E508" s="163">
        <v>1.3583333492279053</v>
      </c>
      <c r="F508" s="163">
        <v>132</v>
      </c>
      <c r="G508" s="186">
        <v>177</v>
      </c>
      <c r="H508" s="186">
        <v>1938</v>
      </c>
    </row>
    <row r="509" spans="3:8" x14ac:dyDescent="0.25">
      <c r="C509" s="162" t="s">
        <v>39</v>
      </c>
      <c r="D509" s="163">
        <v>3</v>
      </c>
      <c r="E509" s="163">
        <v>1.3583333492279053</v>
      </c>
      <c r="F509" s="163">
        <v>257</v>
      </c>
      <c r="G509" s="186">
        <v>345</v>
      </c>
      <c r="H509" s="186">
        <v>3778</v>
      </c>
    </row>
    <row r="510" spans="3:8" x14ac:dyDescent="0.25">
      <c r="C510" s="162" t="s">
        <v>36</v>
      </c>
      <c r="D510" s="163">
        <v>12.727272727272727</v>
      </c>
      <c r="E510" s="163">
        <v>1.3583333492279053</v>
      </c>
      <c r="F510" s="163">
        <v>1187</v>
      </c>
      <c r="G510" s="186">
        <v>1593</v>
      </c>
      <c r="H510" s="186">
        <v>17444</v>
      </c>
    </row>
    <row r="511" spans="3:8" x14ac:dyDescent="0.25">
      <c r="C511" s="162" t="s">
        <v>37</v>
      </c>
      <c r="D511" s="163">
        <v>10.25925925925926</v>
      </c>
      <c r="E511" s="163">
        <v>1.3583333492279053</v>
      </c>
      <c r="F511" s="163">
        <v>955</v>
      </c>
      <c r="G511" s="186">
        <v>1281</v>
      </c>
      <c r="H511" s="186">
        <v>14028</v>
      </c>
    </row>
    <row r="512" spans="3:8" x14ac:dyDescent="0.25">
      <c r="C512" s="162" t="s">
        <v>38</v>
      </c>
      <c r="D512" s="163">
        <v>10.548387096774194</v>
      </c>
      <c r="E512" s="163">
        <v>1.3583333492279053</v>
      </c>
      <c r="F512" s="163">
        <v>1022</v>
      </c>
      <c r="G512" s="186">
        <v>1371</v>
      </c>
      <c r="H512" s="186">
        <v>15013</v>
      </c>
    </row>
    <row r="513" spans="3:8" x14ac:dyDescent="0.25">
      <c r="G513" s="14">
        <f>SUM(G506:G512)</f>
        <v>5243</v>
      </c>
      <c r="H513" s="14">
        <f>SUM(H506:H512)</f>
        <v>57414</v>
      </c>
    </row>
    <row r="515" spans="3:8" x14ac:dyDescent="0.25">
      <c r="C515" s="161" t="s">
        <v>10</v>
      </c>
      <c r="D515" s="161" t="s">
        <v>11</v>
      </c>
      <c r="E515" s="161" t="s">
        <v>12</v>
      </c>
      <c r="F515" s="161" t="s">
        <v>13</v>
      </c>
      <c r="G515" s="185" t="s">
        <v>14</v>
      </c>
      <c r="H515" s="185" t="s">
        <v>15</v>
      </c>
    </row>
    <row r="516" spans="3:8" x14ac:dyDescent="0.25">
      <c r="C516" s="162" t="s">
        <v>34</v>
      </c>
      <c r="D516" s="163">
        <v>14.625</v>
      </c>
      <c r="E516" s="163">
        <v>1.4439500570297241</v>
      </c>
      <c r="F516" s="163">
        <v>116</v>
      </c>
      <c r="G516" s="186">
        <v>164</v>
      </c>
      <c r="H516" s="186">
        <v>2398</v>
      </c>
    </row>
    <row r="517" spans="3:8" x14ac:dyDescent="0.25">
      <c r="C517" s="162" t="s">
        <v>35</v>
      </c>
      <c r="D517" s="163">
        <v>14.625</v>
      </c>
      <c r="E517" s="163">
        <v>1.4439500570297241</v>
      </c>
      <c r="F517" s="163">
        <v>74</v>
      </c>
      <c r="G517" s="186">
        <v>105</v>
      </c>
      <c r="H517" s="186">
        <v>1536</v>
      </c>
    </row>
    <row r="518" spans="3:8" x14ac:dyDescent="0.25">
      <c r="C518" s="162" t="s">
        <v>74</v>
      </c>
      <c r="D518" s="163">
        <v>14.625</v>
      </c>
      <c r="E518" s="163">
        <v>1.4439500570297241</v>
      </c>
      <c r="F518" s="163">
        <v>70</v>
      </c>
      <c r="G518" s="186">
        <v>99</v>
      </c>
      <c r="H518" s="186">
        <v>1448</v>
      </c>
    </row>
    <row r="519" spans="3:8" x14ac:dyDescent="0.25">
      <c r="C519" s="162" t="s">
        <v>39</v>
      </c>
      <c r="D519" s="163">
        <v>14.625</v>
      </c>
      <c r="E519" s="163">
        <v>1.4439500570297241</v>
      </c>
      <c r="F519" s="163">
        <v>137</v>
      </c>
      <c r="G519" s="186">
        <v>194</v>
      </c>
      <c r="H519" s="186">
        <v>2837</v>
      </c>
    </row>
    <row r="520" spans="3:8" x14ac:dyDescent="0.25">
      <c r="C520" s="162" t="s">
        <v>36</v>
      </c>
      <c r="D520" s="163">
        <v>14.388888888888889</v>
      </c>
      <c r="E520" s="163">
        <v>1.4439500570297241</v>
      </c>
      <c r="F520" s="163">
        <v>478</v>
      </c>
      <c r="G520" s="186">
        <v>676</v>
      </c>
      <c r="H520" s="186">
        <v>9886</v>
      </c>
    </row>
    <row r="521" spans="3:8" x14ac:dyDescent="0.25">
      <c r="C521" s="162" t="s">
        <v>37</v>
      </c>
      <c r="D521" s="163">
        <v>14.533333333333333</v>
      </c>
      <c r="E521" s="163">
        <v>1.4439500570297241</v>
      </c>
      <c r="F521" s="163">
        <v>596</v>
      </c>
      <c r="G521" s="186">
        <v>843</v>
      </c>
      <c r="H521" s="186">
        <v>12329</v>
      </c>
    </row>
    <row r="522" spans="3:8" x14ac:dyDescent="0.25">
      <c r="C522" s="162" t="s">
        <v>38</v>
      </c>
      <c r="D522" s="163">
        <v>15</v>
      </c>
      <c r="E522" s="163">
        <v>1.4439500570297241</v>
      </c>
      <c r="F522" s="163">
        <v>612</v>
      </c>
      <c r="G522" s="186">
        <v>866</v>
      </c>
      <c r="H522" s="186">
        <v>12665</v>
      </c>
    </row>
    <row r="523" spans="3:8" x14ac:dyDescent="0.25">
      <c r="G523" s="14">
        <f>SUM(G516:G522)</f>
        <v>2947</v>
      </c>
      <c r="H523" s="14">
        <f>SUM(H516:H522)</f>
        <v>43099</v>
      </c>
    </row>
    <row r="525" spans="3:8" x14ac:dyDescent="0.25">
      <c r="C525" s="161" t="s">
        <v>10</v>
      </c>
      <c r="D525" s="161" t="s">
        <v>11</v>
      </c>
      <c r="E525" s="161" t="s">
        <v>12</v>
      </c>
      <c r="F525" s="161" t="s">
        <v>13</v>
      </c>
      <c r="G525" s="185" t="s">
        <v>14</v>
      </c>
      <c r="H525" s="185" t="s">
        <v>15</v>
      </c>
    </row>
    <row r="526" spans="3:8" x14ac:dyDescent="0.25">
      <c r="C526" s="162" t="s">
        <v>34</v>
      </c>
      <c r="D526" s="163">
        <v>12.8</v>
      </c>
      <c r="E526" s="163">
        <v>1.5906000137329102</v>
      </c>
      <c r="F526" s="163">
        <v>155</v>
      </c>
      <c r="G526" s="186">
        <v>60</v>
      </c>
      <c r="H526" s="186">
        <v>768</v>
      </c>
    </row>
    <row r="527" spans="3:8" x14ac:dyDescent="0.25">
      <c r="C527" s="162" t="s">
        <v>35</v>
      </c>
      <c r="D527" s="163">
        <v>12.8</v>
      </c>
      <c r="E527" s="163">
        <v>1.5906000137329102</v>
      </c>
      <c r="F527" s="163">
        <v>100</v>
      </c>
      <c r="G527" s="186">
        <v>39</v>
      </c>
      <c r="H527" s="186">
        <v>499</v>
      </c>
    </row>
    <row r="528" spans="3:8" x14ac:dyDescent="0.25">
      <c r="C528" s="162" t="s">
        <v>74</v>
      </c>
      <c r="D528" s="163">
        <v>12.8</v>
      </c>
      <c r="E528" s="163">
        <v>1.5906000137329102</v>
      </c>
      <c r="F528" s="163">
        <v>97</v>
      </c>
      <c r="G528" s="186">
        <v>37</v>
      </c>
      <c r="H528" s="186">
        <v>474</v>
      </c>
    </row>
    <row r="529" spans="3:8" x14ac:dyDescent="0.25">
      <c r="C529" s="162" t="s">
        <v>39</v>
      </c>
      <c r="D529" s="163">
        <v>12.8</v>
      </c>
      <c r="E529" s="163">
        <v>1.5906000137329102</v>
      </c>
      <c r="F529" s="163">
        <v>186</v>
      </c>
      <c r="G529" s="186">
        <v>72</v>
      </c>
      <c r="H529" s="186">
        <v>922</v>
      </c>
    </row>
    <row r="530" spans="3:8" x14ac:dyDescent="0.25">
      <c r="C530" s="162" t="s">
        <v>36</v>
      </c>
      <c r="D530" s="163">
        <v>14.266666666666667</v>
      </c>
      <c r="E530" s="163">
        <v>1.5906000137329102</v>
      </c>
      <c r="F530" s="163">
        <v>326</v>
      </c>
      <c r="G530" s="186">
        <v>126</v>
      </c>
      <c r="H530" s="186">
        <v>1613</v>
      </c>
    </row>
    <row r="531" spans="3:8" x14ac:dyDescent="0.25">
      <c r="C531" s="162" t="s">
        <v>37</v>
      </c>
      <c r="D531" s="163">
        <v>9.4615384615384617</v>
      </c>
      <c r="E531" s="163">
        <v>1.5906000137329102</v>
      </c>
      <c r="F531" s="163">
        <v>1603</v>
      </c>
      <c r="G531" s="186">
        <v>618</v>
      </c>
      <c r="H531" s="186">
        <v>7910</v>
      </c>
    </row>
    <row r="532" spans="3:8" x14ac:dyDescent="0.25">
      <c r="C532" s="162" t="s">
        <v>38</v>
      </c>
      <c r="D532" s="163">
        <v>14.583333333333334</v>
      </c>
      <c r="E532" s="163">
        <v>1.5906000137329102</v>
      </c>
      <c r="F532" s="163">
        <v>434</v>
      </c>
      <c r="G532" s="186">
        <v>167</v>
      </c>
      <c r="H532" s="186">
        <v>2138</v>
      </c>
    </row>
    <row r="533" spans="3:8" x14ac:dyDescent="0.25">
      <c r="G533" s="14">
        <f>SUM(G526:G532)</f>
        <v>1119</v>
      </c>
      <c r="H533" s="14">
        <f>SUM(H526:H532)</f>
        <v>14324</v>
      </c>
    </row>
    <row r="535" spans="3:8" x14ac:dyDescent="0.25">
      <c r="C535" s="161" t="s">
        <v>10</v>
      </c>
      <c r="D535" s="161" t="s">
        <v>11</v>
      </c>
      <c r="E535" s="161" t="s">
        <v>12</v>
      </c>
      <c r="F535" s="161" t="s">
        <v>13</v>
      </c>
      <c r="G535" s="185" t="s">
        <v>14</v>
      </c>
      <c r="H535" s="185" t="s">
        <v>15</v>
      </c>
    </row>
    <row r="536" spans="3:8" x14ac:dyDescent="0.25">
      <c r="C536" s="162" t="s">
        <v>34</v>
      </c>
      <c r="D536" s="163">
        <v>15</v>
      </c>
      <c r="E536" s="163">
        <v>1.4626333713531494</v>
      </c>
      <c r="F536" s="163">
        <v>68</v>
      </c>
      <c r="G536" s="186">
        <v>97</v>
      </c>
      <c r="H536" s="186">
        <v>1455</v>
      </c>
    </row>
    <row r="537" spans="3:8" x14ac:dyDescent="0.25">
      <c r="C537" s="162" t="s">
        <v>35</v>
      </c>
      <c r="D537" s="163">
        <v>15</v>
      </c>
      <c r="E537" s="163">
        <v>1.4626333713531494</v>
      </c>
      <c r="F537" s="163">
        <v>43</v>
      </c>
      <c r="G537" s="186">
        <v>61</v>
      </c>
      <c r="H537" s="186">
        <v>915</v>
      </c>
    </row>
    <row r="538" spans="3:8" x14ac:dyDescent="0.25">
      <c r="C538" s="162" t="s">
        <v>74</v>
      </c>
      <c r="D538" s="163">
        <v>15</v>
      </c>
      <c r="E538" s="163">
        <v>1.4626333713531494</v>
      </c>
      <c r="F538" s="163">
        <v>41</v>
      </c>
      <c r="G538" s="186">
        <v>58</v>
      </c>
      <c r="H538" s="186">
        <v>870</v>
      </c>
    </row>
    <row r="539" spans="3:8" x14ac:dyDescent="0.25">
      <c r="C539" s="162" t="s">
        <v>39</v>
      </c>
      <c r="D539" s="163">
        <v>15</v>
      </c>
      <c r="E539" s="163">
        <v>1.4626333713531494</v>
      </c>
      <c r="F539" s="163">
        <v>80</v>
      </c>
      <c r="G539" s="186">
        <v>114</v>
      </c>
      <c r="H539" s="186">
        <v>1710</v>
      </c>
    </row>
    <row r="540" spans="3:8" x14ac:dyDescent="0.25">
      <c r="C540" s="162" t="s">
        <v>36</v>
      </c>
      <c r="D540" s="163">
        <v>15</v>
      </c>
      <c r="E540" s="163">
        <v>1.4626333713531494</v>
      </c>
      <c r="F540" s="163">
        <v>346</v>
      </c>
      <c r="G540" s="186">
        <v>492</v>
      </c>
      <c r="H540" s="186">
        <v>7380</v>
      </c>
    </row>
    <row r="541" spans="3:8" x14ac:dyDescent="0.25">
      <c r="C541" s="162" t="s">
        <v>37</v>
      </c>
      <c r="D541" s="163">
        <v>15</v>
      </c>
      <c r="E541" s="163">
        <v>1.4626333713531494</v>
      </c>
      <c r="F541" s="163">
        <v>350</v>
      </c>
      <c r="G541" s="186">
        <v>498</v>
      </c>
      <c r="H541" s="186">
        <v>7470</v>
      </c>
    </row>
    <row r="542" spans="3:8" x14ac:dyDescent="0.25">
      <c r="C542" s="162" t="s">
        <v>38</v>
      </c>
      <c r="D542" s="163">
        <v>15</v>
      </c>
      <c r="E542" s="163">
        <v>1.4626333713531494</v>
      </c>
      <c r="F542" s="163">
        <v>288</v>
      </c>
      <c r="G542" s="186">
        <v>410</v>
      </c>
      <c r="H542" s="186">
        <v>6150</v>
      </c>
    </row>
    <row r="543" spans="3:8" x14ac:dyDescent="0.25">
      <c r="G543" s="14">
        <f>SUM(G536:G542)</f>
        <v>1730</v>
      </c>
      <c r="H543" s="14">
        <f>SUM(H536:H542)</f>
        <v>25950</v>
      </c>
    </row>
    <row r="545" spans="3:8" x14ac:dyDescent="0.25">
      <c r="C545" s="161" t="s">
        <v>10</v>
      </c>
      <c r="D545" s="161" t="s">
        <v>11</v>
      </c>
      <c r="E545" s="161" t="s">
        <v>12</v>
      </c>
      <c r="F545" s="161" t="s">
        <v>13</v>
      </c>
      <c r="G545" s="185" t="s">
        <v>14</v>
      </c>
      <c r="H545" s="185" t="s">
        <v>15</v>
      </c>
    </row>
    <row r="546" spans="3:8" x14ac:dyDescent="0.25">
      <c r="C546" s="162" t="s">
        <v>16</v>
      </c>
      <c r="D546" s="163">
        <v>12.394495412844037</v>
      </c>
      <c r="E546" s="163">
        <v>1.1000000238418579</v>
      </c>
      <c r="F546" s="163">
        <v>51</v>
      </c>
      <c r="G546" s="186">
        <v>53</v>
      </c>
      <c r="H546" s="186">
        <v>657</v>
      </c>
    </row>
    <row r="547" spans="3:8" x14ac:dyDescent="0.25">
      <c r="C547" s="162" t="s">
        <v>17</v>
      </c>
      <c r="D547" s="163">
        <v>6.9523809523809526</v>
      </c>
      <c r="E547" s="163">
        <v>1.1000000238418579</v>
      </c>
      <c r="F547" s="163">
        <v>1298</v>
      </c>
      <c r="G547" s="186">
        <v>1353</v>
      </c>
      <c r="H547" s="186">
        <v>16770</v>
      </c>
    </row>
    <row r="548" spans="3:8" x14ac:dyDescent="0.25">
      <c r="C548" s="162" t="s">
        <v>18</v>
      </c>
      <c r="D548" s="163">
        <v>9.8235294117647065</v>
      </c>
      <c r="E548" s="163">
        <v>1.1000000238418579</v>
      </c>
      <c r="F548" s="163">
        <v>1084</v>
      </c>
      <c r="G548" s="186">
        <v>1130</v>
      </c>
      <c r="H548" s="186">
        <v>14006</v>
      </c>
    </row>
    <row r="549" spans="3:8" x14ac:dyDescent="0.25">
      <c r="C549" s="162" t="s">
        <v>19</v>
      </c>
      <c r="D549" s="163">
        <v>14.473684210526315</v>
      </c>
      <c r="E549" s="163">
        <v>1.1000000238418579</v>
      </c>
      <c r="F549" s="163">
        <v>751</v>
      </c>
      <c r="G549" s="186">
        <v>783</v>
      </c>
      <c r="H549" s="186">
        <v>11333</v>
      </c>
    </row>
    <row r="550" spans="3:8" x14ac:dyDescent="0.25">
      <c r="C550" s="162" t="s">
        <v>20</v>
      </c>
      <c r="D550" s="163">
        <v>14.774193548387096</v>
      </c>
      <c r="E550" s="163">
        <v>1.1000000238418579</v>
      </c>
      <c r="F550" s="163">
        <v>1112</v>
      </c>
      <c r="G550" s="186">
        <v>1159</v>
      </c>
      <c r="H550" s="186">
        <v>14365</v>
      </c>
    </row>
    <row r="551" spans="3:8" x14ac:dyDescent="0.25">
      <c r="C551" s="162" t="s">
        <v>21</v>
      </c>
      <c r="D551" s="163">
        <v>15</v>
      </c>
      <c r="E551" s="163">
        <v>1.1000000238418579</v>
      </c>
      <c r="F551" s="163">
        <v>12</v>
      </c>
      <c r="G551" s="186">
        <v>13</v>
      </c>
      <c r="H551" s="186">
        <v>195</v>
      </c>
    </row>
    <row r="552" spans="3:8" x14ac:dyDescent="0.25">
      <c r="G552" s="14">
        <f>SUM(G546:G551)</f>
        <v>4491</v>
      </c>
      <c r="H552" s="14">
        <f>SUM(H546:H551)</f>
        <v>57326</v>
      </c>
    </row>
    <row r="554" spans="3:8" x14ac:dyDescent="0.25">
      <c r="C554" s="161" t="s">
        <v>10</v>
      </c>
      <c r="D554" s="161" t="s">
        <v>11</v>
      </c>
      <c r="E554" s="161" t="s">
        <v>12</v>
      </c>
      <c r="F554" s="161" t="s">
        <v>13</v>
      </c>
      <c r="G554" s="185" t="s">
        <v>14</v>
      </c>
      <c r="H554" s="185" t="s">
        <v>15</v>
      </c>
    </row>
    <row r="555" spans="3:8" x14ac:dyDescent="0.25">
      <c r="C555" s="162" t="s">
        <v>16</v>
      </c>
      <c r="D555" s="163">
        <v>14.326923076923077</v>
      </c>
      <c r="E555" s="163">
        <v>1.1000000238418579</v>
      </c>
      <c r="F555" s="163">
        <v>6</v>
      </c>
      <c r="G555" s="186">
        <v>7</v>
      </c>
      <c r="H555" s="186">
        <v>100</v>
      </c>
    </row>
    <row r="556" spans="3:8" x14ac:dyDescent="0.25">
      <c r="C556" s="162" t="s">
        <v>17</v>
      </c>
      <c r="D556" s="163">
        <v>12.933333333333334</v>
      </c>
      <c r="E556" s="163">
        <v>1.1000000238418579</v>
      </c>
      <c r="F556" s="163">
        <v>881</v>
      </c>
      <c r="G556" s="186">
        <v>969</v>
      </c>
      <c r="H556" s="186">
        <v>13883</v>
      </c>
    </row>
    <row r="557" spans="3:8" x14ac:dyDescent="0.25">
      <c r="C557" s="162" t="s">
        <v>18</v>
      </c>
      <c r="D557" s="163">
        <v>14.666666666666666</v>
      </c>
      <c r="E557" s="163">
        <v>1.1000000238418579</v>
      </c>
      <c r="F557" s="163">
        <v>687</v>
      </c>
      <c r="G557" s="186">
        <v>756</v>
      </c>
      <c r="H557" s="186">
        <v>10831</v>
      </c>
    </row>
    <row r="558" spans="3:8" x14ac:dyDescent="0.25">
      <c r="C558" s="162" t="s">
        <v>19</v>
      </c>
      <c r="D558" s="163">
        <v>15</v>
      </c>
      <c r="E558" s="163">
        <v>1.1000000238418579</v>
      </c>
      <c r="F558" s="163">
        <v>508</v>
      </c>
      <c r="G558" s="186">
        <v>559</v>
      </c>
      <c r="H558" s="186">
        <v>8009</v>
      </c>
    </row>
    <row r="559" spans="3:8" x14ac:dyDescent="0.25">
      <c r="C559" s="162" t="s">
        <v>20</v>
      </c>
      <c r="D559" s="163">
        <v>15</v>
      </c>
      <c r="E559" s="163">
        <v>1.1000000238418579</v>
      </c>
      <c r="F559" s="163">
        <v>743</v>
      </c>
      <c r="G559" s="186">
        <v>817</v>
      </c>
      <c r="H559" s="186">
        <v>11705</v>
      </c>
    </row>
    <row r="560" spans="3:8" x14ac:dyDescent="0.25">
      <c r="C560" s="162" t="s">
        <v>21</v>
      </c>
      <c r="D560" s="163">
        <v>14.326923076923077</v>
      </c>
      <c r="E560" s="163">
        <v>1.1000000238418579</v>
      </c>
      <c r="F560" s="163">
        <v>15</v>
      </c>
      <c r="G560" s="186">
        <v>17</v>
      </c>
      <c r="H560" s="186">
        <v>244</v>
      </c>
    </row>
    <row r="561" spans="3:8" x14ac:dyDescent="0.25">
      <c r="G561" s="14">
        <f>SUM(G555:G560)</f>
        <v>3125</v>
      </c>
      <c r="H561" s="14">
        <f>SUM(H555:H560)</f>
        <v>44772</v>
      </c>
    </row>
    <row r="563" spans="3:8" x14ac:dyDescent="0.25">
      <c r="C563" s="161" t="s">
        <v>10</v>
      </c>
      <c r="D563" s="161" t="s">
        <v>11</v>
      </c>
      <c r="E563" s="161" t="s">
        <v>12</v>
      </c>
      <c r="F563" s="161" t="s">
        <v>13</v>
      </c>
      <c r="G563" s="185" t="s">
        <v>14</v>
      </c>
      <c r="H563" s="185" t="s">
        <v>15</v>
      </c>
    </row>
    <row r="564" spans="3:8" x14ac:dyDescent="0.25">
      <c r="C564" s="162" t="s">
        <v>29</v>
      </c>
      <c r="D564" s="163">
        <v>13.846153846153847</v>
      </c>
      <c r="E564" s="163">
        <v>1.4029500484466553</v>
      </c>
      <c r="F564" s="163">
        <v>0</v>
      </c>
      <c r="G564" s="186">
        <v>0</v>
      </c>
      <c r="H564" s="186">
        <v>0</v>
      </c>
    </row>
    <row r="565" spans="3:8" x14ac:dyDescent="0.25">
      <c r="C565" s="162" t="s">
        <v>30</v>
      </c>
      <c r="D565" s="163">
        <v>13.705882352941176</v>
      </c>
      <c r="E565" s="163">
        <v>1.4029500484466553</v>
      </c>
      <c r="F565" s="163">
        <v>465</v>
      </c>
      <c r="G565" s="186">
        <v>652</v>
      </c>
      <c r="H565" s="186">
        <v>9028</v>
      </c>
    </row>
    <row r="566" spans="3:8" x14ac:dyDescent="0.25">
      <c r="C566" s="162" t="s">
        <v>31</v>
      </c>
      <c r="D566" s="163">
        <v>13.857142857142858</v>
      </c>
      <c r="E566" s="163">
        <v>1.4029500484466553</v>
      </c>
      <c r="F566" s="163">
        <v>433</v>
      </c>
      <c r="G566" s="186">
        <v>607</v>
      </c>
      <c r="H566" s="186">
        <v>8405</v>
      </c>
    </row>
    <row r="567" spans="3:8" x14ac:dyDescent="0.25">
      <c r="C567" s="162" t="s">
        <v>32</v>
      </c>
      <c r="D567" s="163">
        <v>15</v>
      </c>
      <c r="E567" s="163">
        <v>1.4029500484466553</v>
      </c>
      <c r="F567" s="163">
        <v>288</v>
      </c>
      <c r="G567" s="186">
        <v>404</v>
      </c>
      <c r="H567" s="186">
        <v>5594</v>
      </c>
    </row>
    <row r="568" spans="3:8" x14ac:dyDescent="0.25">
      <c r="G568" s="14">
        <f>SUM(G564:G567)</f>
        <v>1663</v>
      </c>
      <c r="H568" s="14">
        <f>SUM(H564:H567)</f>
        <v>23027</v>
      </c>
    </row>
    <row r="570" spans="3:8" x14ac:dyDescent="0.25">
      <c r="C570" s="161" t="s">
        <v>10</v>
      </c>
      <c r="D570" s="161" t="s">
        <v>11</v>
      </c>
      <c r="E570" s="161" t="s">
        <v>12</v>
      </c>
      <c r="F570" s="161" t="s">
        <v>13</v>
      </c>
      <c r="G570" s="185" t="s">
        <v>14</v>
      </c>
      <c r="H570" s="185" t="s">
        <v>15</v>
      </c>
    </row>
    <row r="571" spans="3:8" x14ac:dyDescent="0.25">
      <c r="C571" s="162" t="s">
        <v>29</v>
      </c>
      <c r="D571" s="163">
        <v>8</v>
      </c>
      <c r="E571" s="163">
        <v>1.4384499788284302</v>
      </c>
      <c r="F571" s="163">
        <v>0</v>
      </c>
      <c r="G571" s="186">
        <v>0</v>
      </c>
      <c r="H571" s="186">
        <v>0</v>
      </c>
    </row>
    <row r="572" spans="3:8" x14ac:dyDescent="0.25">
      <c r="C572" s="162" t="s">
        <v>30</v>
      </c>
      <c r="D572" s="163">
        <v>11.857142857142858</v>
      </c>
      <c r="E572" s="163">
        <v>1.4384499788284302</v>
      </c>
      <c r="F572" s="163">
        <v>889</v>
      </c>
      <c r="G572" s="186">
        <v>1279</v>
      </c>
      <c r="H572" s="186">
        <v>10232</v>
      </c>
    </row>
    <row r="573" spans="3:8" x14ac:dyDescent="0.25">
      <c r="C573" s="162" t="s">
        <v>31</v>
      </c>
      <c r="D573" s="163">
        <v>7.9393939393939394</v>
      </c>
      <c r="E573" s="163">
        <v>1.4384499788284302</v>
      </c>
      <c r="F573" s="163">
        <v>853</v>
      </c>
      <c r="G573" s="186">
        <v>1227</v>
      </c>
      <c r="H573" s="186">
        <v>9816</v>
      </c>
    </row>
    <row r="574" spans="3:8" x14ac:dyDescent="0.25">
      <c r="C574" s="162" t="s">
        <v>32</v>
      </c>
      <c r="D574" s="163">
        <v>4.4285714285714288</v>
      </c>
      <c r="E574" s="163">
        <v>1.4384499788284302</v>
      </c>
      <c r="F574" s="163">
        <v>689</v>
      </c>
      <c r="G574" s="186">
        <v>991</v>
      </c>
      <c r="H574" s="186">
        <v>7928</v>
      </c>
    </row>
    <row r="575" spans="3:8" x14ac:dyDescent="0.25">
      <c r="G575" s="14">
        <f>SUM(G571:G574)</f>
        <v>3497</v>
      </c>
      <c r="H575" s="14">
        <f>SUM(H571:H574)</f>
        <v>27976</v>
      </c>
    </row>
    <row r="577" spans="3:8" x14ac:dyDescent="0.25">
      <c r="C577" s="161" t="s">
        <v>10</v>
      </c>
      <c r="D577" s="161" t="s">
        <v>11</v>
      </c>
      <c r="E577" s="161" t="s">
        <v>12</v>
      </c>
      <c r="F577" s="161" t="s">
        <v>13</v>
      </c>
      <c r="G577" s="185" t="s">
        <v>14</v>
      </c>
      <c r="H577" s="185" t="s">
        <v>15</v>
      </c>
    </row>
    <row r="578" spans="3:8" x14ac:dyDescent="0.25">
      <c r="C578" s="162" t="s">
        <v>29</v>
      </c>
      <c r="D578" s="163">
        <v>12</v>
      </c>
      <c r="E578" s="163">
        <v>1.4690999984741211</v>
      </c>
      <c r="F578" s="163">
        <v>38</v>
      </c>
      <c r="G578" s="186">
        <v>54</v>
      </c>
      <c r="H578" s="186">
        <v>648</v>
      </c>
    </row>
    <row r="579" spans="3:8" x14ac:dyDescent="0.25">
      <c r="C579" s="162" t="s">
        <v>30</v>
      </c>
      <c r="D579" s="163">
        <v>13</v>
      </c>
      <c r="E579" s="163">
        <v>1.4690999984741211</v>
      </c>
      <c r="F579" s="163">
        <v>1227</v>
      </c>
      <c r="G579" s="186">
        <v>1733</v>
      </c>
      <c r="H579" s="186">
        <v>18855</v>
      </c>
    </row>
    <row r="580" spans="3:8" x14ac:dyDescent="0.25">
      <c r="C580" s="162" t="s">
        <v>31</v>
      </c>
      <c r="D580" s="163">
        <v>7.333333333333333</v>
      </c>
      <c r="E580" s="163">
        <v>1.4690999984741211</v>
      </c>
      <c r="F580" s="163">
        <v>954</v>
      </c>
      <c r="G580" s="186">
        <v>1348</v>
      </c>
      <c r="H580" s="186">
        <v>14666</v>
      </c>
    </row>
    <row r="581" spans="3:8" x14ac:dyDescent="0.25">
      <c r="C581" s="162" t="s">
        <v>32</v>
      </c>
      <c r="D581" s="163">
        <v>10.32</v>
      </c>
      <c r="E581" s="163">
        <v>1.4690999984741211</v>
      </c>
      <c r="F581" s="163">
        <v>716</v>
      </c>
      <c r="G581" s="186">
        <v>1011</v>
      </c>
      <c r="H581" s="186">
        <v>11000</v>
      </c>
    </row>
    <row r="582" spans="3:8" x14ac:dyDescent="0.25">
      <c r="G582" s="14">
        <f>SUM(G578:G581)</f>
        <v>4146</v>
      </c>
      <c r="H582" s="14">
        <f>SUM(H578:H581)</f>
        <v>45169</v>
      </c>
    </row>
    <row r="584" spans="3:8" x14ac:dyDescent="0.25">
      <c r="C584" s="161" t="s">
        <v>10</v>
      </c>
      <c r="D584" s="161" t="s">
        <v>11</v>
      </c>
      <c r="E584" s="161" t="s">
        <v>12</v>
      </c>
      <c r="F584" s="161" t="s">
        <v>13</v>
      </c>
      <c r="G584" s="185" t="s">
        <v>14</v>
      </c>
      <c r="H584" s="185" t="s">
        <v>15</v>
      </c>
    </row>
    <row r="585" spans="3:8" x14ac:dyDescent="0.25">
      <c r="C585" s="162" t="s">
        <v>34</v>
      </c>
      <c r="D585" s="163">
        <v>12.368421052631579</v>
      </c>
      <c r="E585" s="163">
        <v>1.4932999610900879</v>
      </c>
      <c r="F585" s="163">
        <v>43</v>
      </c>
      <c r="G585" s="186">
        <v>62</v>
      </c>
      <c r="H585" s="186">
        <v>767</v>
      </c>
    </row>
    <row r="586" spans="3:8" x14ac:dyDescent="0.25">
      <c r="C586" s="162" t="s">
        <v>35</v>
      </c>
      <c r="D586" s="163">
        <v>15</v>
      </c>
      <c r="E586" s="163">
        <v>1.4932999610900879</v>
      </c>
      <c r="F586" s="163">
        <v>107</v>
      </c>
      <c r="G586" s="186">
        <v>154</v>
      </c>
      <c r="H586" s="186">
        <v>1905</v>
      </c>
    </row>
    <row r="587" spans="3:8" x14ac:dyDescent="0.25">
      <c r="C587" s="162" t="s">
        <v>74</v>
      </c>
      <c r="D587" s="163">
        <v>10.352941176470589</v>
      </c>
      <c r="E587" s="163">
        <v>1.4932999610900879</v>
      </c>
      <c r="F587" s="163">
        <v>190</v>
      </c>
      <c r="G587" s="186">
        <v>273</v>
      </c>
      <c r="H587" s="186">
        <v>2826</v>
      </c>
    </row>
    <row r="588" spans="3:8" x14ac:dyDescent="0.25">
      <c r="C588" s="162" t="s">
        <v>39</v>
      </c>
      <c r="D588" s="163">
        <v>15</v>
      </c>
      <c r="E588" s="163">
        <v>1.4932999610900879</v>
      </c>
      <c r="F588" s="163">
        <v>150</v>
      </c>
      <c r="G588" s="186">
        <v>215</v>
      </c>
      <c r="H588" s="186">
        <v>2659</v>
      </c>
    </row>
    <row r="589" spans="3:8" x14ac:dyDescent="0.25">
      <c r="C589" s="162" t="s">
        <v>36</v>
      </c>
      <c r="D589" s="163">
        <v>11.846153846153847</v>
      </c>
      <c r="E589" s="163">
        <v>1.4932999610900879</v>
      </c>
      <c r="F589" s="163">
        <v>476</v>
      </c>
      <c r="G589" s="186">
        <v>684</v>
      </c>
      <c r="H589" s="186">
        <v>8460</v>
      </c>
    </row>
    <row r="590" spans="3:8" x14ac:dyDescent="0.25">
      <c r="C590" s="162" t="s">
        <v>37</v>
      </c>
      <c r="D590" s="163">
        <v>12.105263157894736</v>
      </c>
      <c r="E590" s="163">
        <v>1.4932999610900879</v>
      </c>
      <c r="F590" s="163">
        <v>430</v>
      </c>
      <c r="G590" s="186">
        <v>618</v>
      </c>
      <c r="H590" s="186">
        <v>7644</v>
      </c>
    </row>
    <row r="591" spans="3:8" x14ac:dyDescent="0.25">
      <c r="C591" s="162" t="s">
        <v>38</v>
      </c>
      <c r="D591" s="163">
        <v>13.333333333333334</v>
      </c>
      <c r="E591" s="163">
        <v>1.4932999610900879</v>
      </c>
      <c r="F591" s="163">
        <v>358</v>
      </c>
      <c r="G591" s="186">
        <v>514</v>
      </c>
      <c r="H591" s="186">
        <v>6357</v>
      </c>
    </row>
    <row r="592" spans="3:8" x14ac:dyDescent="0.25">
      <c r="G592" s="14">
        <f>SUM(G585:G591)</f>
        <v>2520</v>
      </c>
      <c r="H592" s="14">
        <f>SUM(H585:H591)</f>
        <v>30618</v>
      </c>
    </row>
    <row r="594" spans="3:8" x14ac:dyDescent="0.25">
      <c r="C594" s="15" t="s">
        <v>10</v>
      </c>
      <c r="D594" s="15" t="s">
        <v>11</v>
      </c>
      <c r="E594" s="15" t="s">
        <v>12</v>
      </c>
      <c r="F594" s="15" t="s">
        <v>13</v>
      </c>
      <c r="G594" s="15" t="s">
        <v>14</v>
      </c>
      <c r="H594" s="15" t="s">
        <v>15</v>
      </c>
    </row>
    <row r="595" spans="3:8" x14ac:dyDescent="0.25">
      <c r="C595" s="16" t="s">
        <v>34</v>
      </c>
      <c r="D595" s="90">
        <v>15</v>
      </c>
      <c r="E595" s="90">
        <v>1.4932999610900879</v>
      </c>
      <c r="F595" s="90">
        <v>52</v>
      </c>
      <c r="G595" s="14">
        <v>71</v>
      </c>
      <c r="H595" s="14">
        <v>1065</v>
      </c>
    </row>
    <row r="596" spans="3:8" x14ac:dyDescent="0.25">
      <c r="C596" s="16" t="s">
        <v>35</v>
      </c>
      <c r="D596" s="90">
        <v>10.714285714285714</v>
      </c>
      <c r="E596" s="90">
        <v>1.4932999610900879</v>
      </c>
      <c r="F596" s="90">
        <v>204</v>
      </c>
      <c r="G596" s="14">
        <v>277</v>
      </c>
      <c r="H596" s="14">
        <v>3324</v>
      </c>
    </row>
    <row r="597" spans="3:8" x14ac:dyDescent="0.25">
      <c r="C597" s="16" t="s">
        <v>74</v>
      </c>
      <c r="D597" s="90">
        <v>7.2</v>
      </c>
      <c r="E597" s="90">
        <v>1.4932999610900879</v>
      </c>
      <c r="F597" s="90">
        <v>332</v>
      </c>
      <c r="G597" s="14">
        <v>451</v>
      </c>
      <c r="H597" s="14">
        <v>3247</v>
      </c>
    </row>
    <row r="598" spans="3:8" x14ac:dyDescent="0.25">
      <c r="C598" s="16" t="s">
        <v>39</v>
      </c>
      <c r="D598" s="90">
        <v>13.3</v>
      </c>
      <c r="E598" s="90">
        <v>1.4932999610900879</v>
      </c>
      <c r="F598" s="90">
        <v>232</v>
      </c>
      <c r="G598" s="14">
        <v>315</v>
      </c>
      <c r="H598" s="14">
        <v>4190</v>
      </c>
    </row>
    <row r="599" spans="3:8" x14ac:dyDescent="0.25">
      <c r="C599" s="16" t="s">
        <v>36</v>
      </c>
      <c r="D599" s="90">
        <v>14.481481481481481</v>
      </c>
      <c r="E599" s="90">
        <v>1.4932999610900879</v>
      </c>
      <c r="F599" s="90">
        <v>860</v>
      </c>
      <c r="G599" s="14">
        <v>1168</v>
      </c>
      <c r="H599" s="14">
        <v>14016</v>
      </c>
    </row>
    <row r="600" spans="3:8" x14ac:dyDescent="0.25">
      <c r="C600" s="16" t="s">
        <v>37</v>
      </c>
      <c r="D600" s="90">
        <v>13.684210526315789</v>
      </c>
      <c r="E600" s="90">
        <v>1.4932999610900879</v>
      </c>
      <c r="F600" s="90">
        <v>845</v>
      </c>
      <c r="G600" s="14">
        <v>1148</v>
      </c>
      <c r="H600" s="14">
        <v>13776</v>
      </c>
    </row>
    <row r="601" spans="3:8" x14ac:dyDescent="0.25">
      <c r="C601" s="16" t="s">
        <v>38</v>
      </c>
      <c r="D601" s="90">
        <v>11.176470588235293</v>
      </c>
      <c r="E601" s="90">
        <v>1.4932999610900879</v>
      </c>
      <c r="F601" s="90">
        <v>561</v>
      </c>
      <c r="G601" s="14">
        <v>762</v>
      </c>
      <c r="H601" s="14">
        <v>9144</v>
      </c>
    </row>
    <row r="602" spans="3:8" x14ac:dyDescent="0.25">
      <c r="G602" s="14">
        <f>SUM(G595:G601)</f>
        <v>4192</v>
      </c>
      <c r="H602" s="14">
        <f>SUM(H595:H601)</f>
        <v>48762</v>
      </c>
    </row>
    <row r="604" spans="3:8" x14ac:dyDescent="0.25">
      <c r="C604" s="15" t="s">
        <v>10</v>
      </c>
      <c r="D604" s="15" t="s">
        <v>11</v>
      </c>
      <c r="E604" s="15" t="s">
        <v>12</v>
      </c>
      <c r="F604" s="15" t="s">
        <v>13</v>
      </c>
      <c r="G604" s="15" t="s">
        <v>14</v>
      </c>
      <c r="H604" s="15" t="s">
        <v>15</v>
      </c>
    </row>
    <row r="605" spans="3:8" x14ac:dyDescent="0.25">
      <c r="C605" s="16" t="s">
        <v>34</v>
      </c>
      <c r="D605" s="90">
        <v>12.333333333333334</v>
      </c>
      <c r="E605" s="90">
        <v>1.5092666149139404</v>
      </c>
      <c r="F605" s="90">
        <v>82</v>
      </c>
      <c r="G605" s="14">
        <v>108</v>
      </c>
      <c r="H605" s="14">
        <v>1332</v>
      </c>
    </row>
    <row r="606" spans="3:8" x14ac:dyDescent="0.25">
      <c r="C606" s="16" t="s">
        <v>35</v>
      </c>
      <c r="D606" s="90">
        <v>12.333333333333334</v>
      </c>
      <c r="E606" s="90">
        <v>1.5092666149139404</v>
      </c>
      <c r="F606" s="90">
        <v>271</v>
      </c>
      <c r="G606" s="14">
        <v>358</v>
      </c>
      <c r="H606" s="14">
        <v>4415</v>
      </c>
    </row>
    <row r="607" spans="3:8" x14ac:dyDescent="0.25">
      <c r="C607" s="16" t="s">
        <v>74</v>
      </c>
      <c r="D607" s="90">
        <v>12.333333333333334</v>
      </c>
      <c r="E607" s="90">
        <v>1.5092666149139404</v>
      </c>
      <c r="F607" s="90">
        <v>455</v>
      </c>
      <c r="G607" s="14">
        <v>601</v>
      </c>
      <c r="H607" s="14">
        <v>7412</v>
      </c>
    </row>
    <row r="608" spans="3:8" x14ac:dyDescent="0.25">
      <c r="C608" s="16" t="s">
        <v>39</v>
      </c>
      <c r="D608" s="90">
        <v>12.333333333333334</v>
      </c>
      <c r="E608" s="90">
        <v>1.5092666149139404</v>
      </c>
      <c r="F608" s="90">
        <v>333</v>
      </c>
      <c r="G608" s="14">
        <v>440</v>
      </c>
      <c r="H608" s="14">
        <v>5427</v>
      </c>
    </row>
    <row r="609" spans="3:9" x14ac:dyDescent="0.25">
      <c r="C609" s="16" t="s">
        <v>36</v>
      </c>
      <c r="D609" s="90">
        <v>11.166666666666666</v>
      </c>
      <c r="E609" s="90">
        <v>1.5092666149139404</v>
      </c>
      <c r="F609" s="90">
        <v>1202</v>
      </c>
      <c r="G609" s="14">
        <v>1587</v>
      </c>
      <c r="H609" s="14">
        <v>19573</v>
      </c>
    </row>
    <row r="610" spans="3:9" x14ac:dyDescent="0.25">
      <c r="C610" s="16" t="s">
        <v>37</v>
      </c>
      <c r="D610" s="90">
        <v>11.814814814814815</v>
      </c>
      <c r="E610" s="90">
        <v>1.5092666149139404</v>
      </c>
      <c r="F610" s="90">
        <v>1134</v>
      </c>
      <c r="G610" s="14">
        <v>1498</v>
      </c>
      <c r="H610" s="14">
        <v>18475</v>
      </c>
    </row>
    <row r="611" spans="3:9" x14ac:dyDescent="0.25">
      <c r="C611" s="16" t="s">
        <v>38</v>
      </c>
      <c r="D611" s="90">
        <v>15</v>
      </c>
      <c r="E611" s="90">
        <v>1.5092666149139404</v>
      </c>
      <c r="F611" s="90">
        <v>740</v>
      </c>
      <c r="G611" s="14">
        <v>977</v>
      </c>
      <c r="H611" s="14">
        <v>12050</v>
      </c>
    </row>
    <row r="612" spans="3:9" x14ac:dyDescent="0.25">
      <c r="G612" s="14">
        <f>SUM(G605:G611)</f>
        <v>5569</v>
      </c>
      <c r="H612" s="14">
        <f>SUM(H605:H611)</f>
        <v>68684</v>
      </c>
    </row>
    <row r="613" spans="3:9" x14ac:dyDescent="0.25">
      <c r="I613" s="130"/>
    </row>
    <row r="614" spans="3:9" x14ac:dyDescent="0.25">
      <c r="C614" s="161" t="s">
        <v>10</v>
      </c>
      <c r="D614" s="161" t="s">
        <v>11</v>
      </c>
      <c r="E614" s="161" t="s">
        <v>12</v>
      </c>
      <c r="F614" s="161" t="s">
        <v>13</v>
      </c>
      <c r="G614" s="161" t="s">
        <v>14</v>
      </c>
      <c r="H614" s="161" t="s">
        <v>15</v>
      </c>
      <c r="I614">
        <v>351</v>
      </c>
    </row>
    <row r="615" spans="3:9" x14ac:dyDescent="0.25">
      <c r="C615" s="162" t="s">
        <v>23</v>
      </c>
      <c r="D615" s="163">
        <v>15</v>
      </c>
      <c r="E615" s="163">
        <v>1.4321500062942505</v>
      </c>
      <c r="F615" s="163">
        <v>48</v>
      </c>
      <c r="G615" s="163">
        <v>69</v>
      </c>
      <c r="H615" s="163">
        <v>1035</v>
      </c>
    </row>
    <row r="616" spans="3:9" x14ac:dyDescent="0.25">
      <c r="C616" s="162" t="s">
        <v>24</v>
      </c>
      <c r="D616" s="163">
        <v>15</v>
      </c>
      <c r="E616" s="163">
        <v>1.4321500062942505</v>
      </c>
      <c r="F616" s="163">
        <v>65</v>
      </c>
      <c r="G616" s="163">
        <v>93</v>
      </c>
      <c r="H616" s="163">
        <v>1395</v>
      </c>
    </row>
    <row r="617" spans="3:9" x14ac:dyDescent="0.25">
      <c r="C617" s="162" t="s">
        <v>25</v>
      </c>
      <c r="D617" s="163">
        <v>15</v>
      </c>
      <c r="E617" s="163">
        <v>1.4321500062942505</v>
      </c>
      <c r="F617" s="163">
        <v>146</v>
      </c>
      <c r="G617" s="163">
        <v>209</v>
      </c>
      <c r="H617" s="163">
        <v>3135</v>
      </c>
    </row>
    <row r="618" spans="3:9" x14ac:dyDescent="0.25">
      <c r="C618" s="162" t="s">
        <v>26</v>
      </c>
      <c r="D618" s="163">
        <v>15</v>
      </c>
      <c r="E618" s="163">
        <v>1.4321500062942505</v>
      </c>
      <c r="F618" s="163">
        <v>179</v>
      </c>
      <c r="G618" s="163">
        <v>256</v>
      </c>
      <c r="H618" s="163">
        <v>3840</v>
      </c>
    </row>
    <row r="619" spans="3:9" x14ac:dyDescent="0.25">
      <c r="C619" s="162" t="s">
        <v>27</v>
      </c>
      <c r="D619" s="163">
        <v>15</v>
      </c>
      <c r="E619" s="163">
        <v>1.4321500062942505</v>
      </c>
      <c r="F619" s="163">
        <v>96</v>
      </c>
      <c r="G619" s="163">
        <v>137</v>
      </c>
      <c r="H619" s="163">
        <v>2055</v>
      </c>
    </row>
    <row r="620" spans="3:9" x14ac:dyDescent="0.25">
      <c r="C620" s="162" t="s">
        <v>28</v>
      </c>
      <c r="D620" s="163">
        <v>15</v>
      </c>
      <c r="E620" s="163">
        <v>1.4321500062942505</v>
      </c>
      <c r="F620" s="163">
        <v>248</v>
      </c>
      <c r="G620" s="163">
        <v>355</v>
      </c>
      <c r="H620" s="163">
        <v>5325</v>
      </c>
    </row>
    <row r="621" spans="3:9" x14ac:dyDescent="0.25">
      <c r="G621" s="14">
        <f>SUM(G615:G620)</f>
        <v>1119</v>
      </c>
      <c r="H621" s="14">
        <f>SUM(H615:H620)</f>
        <v>16785</v>
      </c>
    </row>
    <row r="623" spans="3:9" x14ac:dyDescent="0.25">
      <c r="C623" s="161" t="s">
        <v>10</v>
      </c>
      <c r="D623" s="161" t="s">
        <v>11</v>
      </c>
      <c r="E623" s="161" t="s">
        <v>12</v>
      </c>
      <c r="F623" s="161" t="s">
        <v>13</v>
      </c>
      <c r="G623" s="161" t="s">
        <v>14</v>
      </c>
      <c r="H623" s="161" t="s">
        <v>15</v>
      </c>
    </row>
    <row r="624" spans="3:9" x14ac:dyDescent="0.25">
      <c r="C624" s="162" t="s">
        <v>23</v>
      </c>
      <c r="D624" s="163">
        <v>15</v>
      </c>
      <c r="E624" s="163">
        <v>1.3927667140960693</v>
      </c>
      <c r="F624" s="163">
        <v>73</v>
      </c>
      <c r="G624" s="163">
        <v>97</v>
      </c>
      <c r="H624" s="163">
        <v>1455</v>
      </c>
    </row>
    <row r="625" spans="3:8" x14ac:dyDescent="0.25">
      <c r="C625" s="162" t="s">
        <v>24</v>
      </c>
      <c r="D625" s="163">
        <v>15</v>
      </c>
      <c r="E625" s="163">
        <v>1.3927667140960693</v>
      </c>
      <c r="F625" s="163">
        <v>150</v>
      </c>
      <c r="G625" s="163">
        <v>199</v>
      </c>
      <c r="H625" s="163">
        <v>2985</v>
      </c>
    </row>
    <row r="626" spans="3:8" x14ac:dyDescent="0.25">
      <c r="C626" s="162" t="s">
        <v>25</v>
      </c>
      <c r="D626" s="163">
        <v>15</v>
      </c>
      <c r="E626" s="163">
        <v>1.3927667140960693</v>
      </c>
      <c r="F626" s="163">
        <v>236</v>
      </c>
      <c r="G626" s="163">
        <v>313</v>
      </c>
      <c r="H626" s="163">
        <v>4695</v>
      </c>
    </row>
    <row r="627" spans="3:8" x14ac:dyDescent="0.25">
      <c r="C627" s="162" t="s">
        <v>26</v>
      </c>
      <c r="D627" s="163">
        <v>15</v>
      </c>
      <c r="E627" s="163">
        <v>1.3927667140960693</v>
      </c>
      <c r="F627" s="163">
        <v>299</v>
      </c>
      <c r="G627" s="163">
        <v>397</v>
      </c>
      <c r="H627" s="163">
        <v>5955</v>
      </c>
    </row>
    <row r="628" spans="3:8" x14ac:dyDescent="0.25">
      <c r="C628" s="162" t="s">
        <v>27</v>
      </c>
      <c r="D628" s="163">
        <v>15</v>
      </c>
      <c r="E628" s="163">
        <v>1.3927667140960693</v>
      </c>
      <c r="F628" s="163">
        <v>213</v>
      </c>
      <c r="G628" s="163">
        <v>283</v>
      </c>
      <c r="H628" s="163">
        <v>4245</v>
      </c>
    </row>
    <row r="629" spans="3:8" x14ac:dyDescent="0.25">
      <c r="C629" s="162" t="s">
        <v>28</v>
      </c>
      <c r="D629" s="163">
        <v>15</v>
      </c>
      <c r="E629" s="163">
        <v>1.3927667140960693</v>
      </c>
      <c r="F629" s="163">
        <v>241</v>
      </c>
      <c r="G629" s="163">
        <v>320</v>
      </c>
      <c r="H629" s="163">
        <v>4800</v>
      </c>
    </row>
    <row r="630" spans="3:8" x14ac:dyDescent="0.25">
      <c r="G630" s="14">
        <f>SUM(G624:G629)</f>
        <v>1609</v>
      </c>
      <c r="H630" s="14">
        <f>SUM(H624:H629)</f>
        <v>24135</v>
      </c>
    </row>
    <row r="632" spans="3:8" x14ac:dyDescent="0.25">
      <c r="C632" s="161" t="s">
        <v>10</v>
      </c>
      <c r="D632" s="161" t="s">
        <v>11</v>
      </c>
      <c r="E632" s="161" t="s">
        <v>12</v>
      </c>
      <c r="F632" s="161" t="s">
        <v>13</v>
      </c>
      <c r="G632" s="161" t="s">
        <v>14</v>
      </c>
      <c r="H632" s="161" t="s">
        <v>15</v>
      </c>
    </row>
    <row r="633" spans="3:8" x14ac:dyDescent="0.25">
      <c r="C633" s="162" t="s">
        <v>23</v>
      </c>
      <c r="D633" s="163">
        <v>15</v>
      </c>
      <c r="E633" s="163">
        <v>1.4063249826431274</v>
      </c>
      <c r="F633" s="163">
        <v>124</v>
      </c>
      <c r="G633" s="163">
        <v>171</v>
      </c>
      <c r="H633" s="163">
        <v>2565</v>
      </c>
    </row>
    <row r="634" spans="3:8" x14ac:dyDescent="0.25">
      <c r="C634" s="162" t="s">
        <v>24</v>
      </c>
      <c r="D634" s="163">
        <v>15</v>
      </c>
      <c r="E634" s="163">
        <v>1.4063249826431274</v>
      </c>
      <c r="F634" s="163">
        <v>196</v>
      </c>
      <c r="G634" s="163">
        <v>270</v>
      </c>
      <c r="H634" s="163">
        <v>4053</v>
      </c>
    </row>
    <row r="635" spans="3:8" x14ac:dyDescent="0.25">
      <c r="C635" s="162" t="s">
        <v>25</v>
      </c>
      <c r="D635" s="163">
        <v>15.111111111111111</v>
      </c>
      <c r="E635" s="163">
        <v>1.4063249826431274</v>
      </c>
      <c r="F635" s="163">
        <v>350</v>
      </c>
      <c r="G635" s="163">
        <v>481</v>
      </c>
      <c r="H635" s="163">
        <v>7220</v>
      </c>
    </row>
    <row r="636" spans="3:8" x14ac:dyDescent="0.25">
      <c r="C636" s="162" t="s">
        <v>26</v>
      </c>
      <c r="D636" s="163">
        <v>15</v>
      </c>
      <c r="E636" s="163">
        <v>1.4063249826431274</v>
      </c>
      <c r="F636" s="163">
        <v>519</v>
      </c>
      <c r="G636" s="163">
        <v>714</v>
      </c>
      <c r="H636" s="163">
        <v>10718</v>
      </c>
    </row>
    <row r="637" spans="3:8" x14ac:dyDescent="0.25">
      <c r="C637" s="162" t="s">
        <v>27</v>
      </c>
      <c r="D637" s="163">
        <v>15</v>
      </c>
      <c r="E637" s="163">
        <v>1.4063249826431274</v>
      </c>
      <c r="F637" s="163">
        <v>302</v>
      </c>
      <c r="G637" s="163">
        <v>415</v>
      </c>
      <c r="H637" s="163">
        <v>6225</v>
      </c>
    </row>
    <row r="638" spans="3:8" x14ac:dyDescent="0.25">
      <c r="C638" s="162" t="s">
        <v>28</v>
      </c>
      <c r="D638" s="163">
        <v>15</v>
      </c>
      <c r="E638" s="163">
        <v>1.4063249826431274</v>
      </c>
      <c r="F638" s="163">
        <v>512</v>
      </c>
      <c r="G638" s="163">
        <v>704</v>
      </c>
      <c r="H638" s="163">
        <v>10560</v>
      </c>
    </row>
    <row r="639" spans="3:8" x14ac:dyDescent="0.25">
      <c r="G639" s="14">
        <f>SUM(G633:G638)</f>
        <v>2755</v>
      </c>
      <c r="H639" s="14">
        <f>SUM(H633:H638)</f>
        <v>41341</v>
      </c>
    </row>
    <row r="641" spans="3:8" x14ac:dyDescent="0.25">
      <c r="C641" s="161" t="s">
        <v>10</v>
      </c>
      <c r="D641" s="161" t="s">
        <v>11</v>
      </c>
      <c r="E641" s="161" t="s">
        <v>12</v>
      </c>
      <c r="F641" s="161" t="s">
        <v>13</v>
      </c>
      <c r="G641" s="161" t="s">
        <v>14</v>
      </c>
      <c r="H641" s="161" t="s">
        <v>15</v>
      </c>
    </row>
    <row r="642" spans="3:8" x14ac:dyDescent="0.25">
      <c r="C642" s="162" t="s">
        <v>16</v>
      </c>
      <c r="D642" s="163">
        <v>15</v>
      </c>
      <c r="E642" s="163">
        <v>1.4852750301361084</v>
      </c>
      <c r="F642" s="163">
        <v>6</v>
      </c>
      <c r="G642" s="163">
        <v>9</v>
      </c>
      <c r="H642" s="163">
        <v>135</v>
      </c>
    </row>
    <row r="643" spans="3:8" x14ac:dyDescent="0.25">
      <c r="C643" s="162" t="s">
        <v>17</v>
      </c>
      <c r="D643" s="163">
        <v>15</v>
      </c>
      <c r="E643" s="163">
        <v>1.4852750301361084</v>
      </c>
      <c r="F643" s="163">
        <v>405</v>
      </c>
      <c r="G643" s="163">
        <v>585</v>
      </c>
      <c r="H643" s="163">
        <v>8792</v>
      </c>
    </row>
    <row r="644" spans="3:8" x14ac:dyDescent="0.25">
      <c r="C644" s="162" t="s">
        <v>18</v>
      </c>
      <c r="D644" s="163">
        <v>15</v>
      </c>
      <c r="E644" s="163">
        <v>1.4852750301361084</v>
      </c>
      <c r="F644" s="163">
        <v>346</v>
      </c>
      <c r="G644" s="163">
        <v>500</v>
      </c>
      <c r="H644" s="163">
        <v>7514</v>
      </c>
    </row>
    <row r="645" spans="3:8" x14ac:dyDescent="0.25">
      <c r="C645" s="162" t="s">
        <v>19</v>
      </c>
      <c r="D645" s="163">
        <v>15</v>
      </c>
      <c r="E645" s="163">
        <v>1.4852750301361084</v>
      </c>
      <c r="F645" s="163">
        <v>222</v>
      </c>
      <c r="G645" s="163">
        <v>321</v>
      </c>
      <c r="H645" s="163">
        <v>4824</v>
      </c>
    </row>
    <row r="646" spans="3:8" x14ac:dyDescent="0.25">
      <c r="C646" s="162" t="s">
        <v>20</v>
      </c>
      <c r="D646" s="163">
        <v>15.111111111111111</v>
      </c>
      <c r="E646" s="163">
        <v>1.4852750301361084</v>
      </c>
      <c r="F646" s="163">
        <v>619</v>
      </c>
      <c r="G646" s="163">
        <v>894</v>
      </c>
      <c r="H646" s="163">
        <v>13436</v>
      </c>
    </row>
    <row r="647" spans="3:8" x14ac:dyDescent="0.25">
      <c r="C647" s="162" t="s">
        <v>21</v>
      </c>
      <c r="D647" s="163">
        <v>15.028571428571428</v>
      </c>
      <c r="E647" s="163">
        <v>1.4852750301361084</v>
      </c>
      <c r="F647" s="163">
        <v>10</v>
      </c>
      <c r="G647" s="163">
        <v>14</v>
      </c>
      <c r="H647" s="163">
        <v>210</v>
      </c>
    </row>
    <row r="648" spans="3:8" x14ac:dyDescent="0.25">
      <c r="G648" s="14">
        <f>SUM(G642:G647)</f>
        <v>2323</v>
      </c>
      <c r="H648" s="14">
        <f>SUM(H642:H647)</f>
        <v>34911</v>
      </c>
    </row>
    <row r="650" spans="3:8" x14ac:dyDescent="0.25">
      <c r="C650" s="161" t="s">
        <v>10</v>
      </c>
      <c r="D650" s="161" t="s">
        <v>11</v>
      </c>
      <c r="E650" s="161" t="s">
        <v>12</v>
      </c>
      <c r="F650" s="161" t="s">
        <v>13</v>
      </c>
      <c r="G650" s="161" t="s">
        <v>14</v>
      </c>
      <c r="H650" s="161" t="s">
        <v>15</v>
      </c>
    </row>
    <row r="651" spans="3:8" x14ac:dyDescent="0.25">
      <c r="C651" s="162" t="s">
        <v>16</v>
      </c>
      <c r="D651" s="163">
        <v>14.527272727272727</v>
      </c>
      <c r="E651" s="163">
        <v>1.4852750301361084</v>
      </c>
      <c r="F651" s="163">
        <v>12</v>
      </c>
      <c r="G651" s="163">
        <v>18</v>
      </c>
      <c r="H651" s="163">
        <v>261</v>
      </c>
    </row>
    <row r="652" spans="3:8" x14ac:dyDescent="0.25">
      <c r="C652" s="162" t="s">
        <v>17</v>
      </c>
      <c r="D652" s="163">
        <v>13.869565217391305</v>
      </c>
      <c r="E652" s="163">
        <v>1.4852750301361084</v>
      </c>
      <c r="F652" s="163">
        <v>466</v>
      </c>
      <c r="G652" s="163">
        <v>680</v>
      </c>
      <c r="H652" s="163">
        <v>9879</v>
      </c>
    </row>
    <row r="653" spans="3:8" x14ac:dyDescent="0.25">
      <c r="C653" s="162" t="s">
        <v>18</v>
      </c>
      <c r="D653" s="163">
        <v>15</v>
      </c>
      <c r="E653" s="163">
        <v>1.4852750301361084</v>
      </c>
      <c r="F653" s="163">
        <v>416</v>
      </c>
      <c r="G653" s="163">
        <v>607</v>
      </c>
      <c r="H653" s="163">
        <v>8818</v>
      </c>
    </row>
    <row r="654" spans="3:8" x14ac:dyDescent="0.25">
      <c r="C654" s="162" t="s">
        <v>19</v>
      </c>
      <c r="D654" s="163">
        <v>15</v>
      </c>
      <c r="E654" s="163">
        <v>1.4852750301361084</v>
      </c>
      <c r="F654" s="163">
        <v>334</v>
      </c>
      <c r="G654" s="163">
        <v>487</v>
      </c>
      <c r="H654" s="163">
        <v>7075</v>
      </c>
    </row>
    <row r="655" spans="3:8" x14ac:dyDescent="0.25">
      <c r="C655" s="162" t="s">
        <v>20</v>
      </c>
      <c r="D655" s="163">
        <v>15</v>
      </c>
      <c r="E655" s="163">
        <v>1.4852750301361084</v>
      </c>
      <c r="F655" s="163">
        <v>647</v>
      </c>
      <c r="G655" s="163">
        <v>944</v>
      </c>
      <c r="H655" s="163">
        <v>13714</v>
      </c>
    </row>
    <row r="656" spans="3:8" x14ac:dyDescent="0.25">
      <c r="C656" s="162" t="s">
        <v>21</v>
      </c>
      <c r="D656" s="163">
        <v>14.527272727272727</v>
      </c>
      <c r="E656" s="163">
        <v>1.4852750301361084</v>
      </c>
      <c r="F656" s="163">
        <v>7</v>
      </c>
      <c r="G656" s="163">
        <v>10</v>
      </c>
      <c r="H656" s="163">
        <v>145</v>
      </c>
    </row>
    <row r="657" spans="3:9" x14ac:dyDescent="0.25">
      <c r="G657" s="14">
        <f>SUM(G651:G656)</f>
        <v>2746</v>
      </c>
      <c r="H657" s="14">
        <f>SUM(H651:H656)</f>
        <v>39892</v>
      </c>
    </row>
    <row r="659" spans="3:9" x14ac:dyDescent="0.25">
      <c r="C659" s="161" t="s">
        <v>10</v>
      </c>
      <c r="D659" s="161" t="s">
        <v>11</v>
      </c>
      <c r="E659" s="161" t="s">
        <v>12</v>
      </c>
      <c r="F659" s="161" t="s">
        <v>13</v>
      </c>
      <c r="G659" s="161" t="s">
        <v>14</v>
      </c>
      <c r="H659" s="161" t="s">
        <v>15</v>
      </c>
    </row>
    <row r="660" spans="3:9" x14ac:dyDescent="0.25">
      <c r="C660" s="162" t="s">
        <v>16</v>
      </c>
      <c r="D660" s="163">
        <v>14.896551724137931</v>
      </c>
      <c r="E660" s="163">
        <v>1.4852750301361084</v>
      </c>
      <c r="F660" s="163">
        <v>11</v>
      </c>
      <c r="G660" s="163">
        <v>16</v>
      </c>
      <c r="H660" s="163">
        <v>238</v>
      </c>
    </row>
    <row r="661" spans="3:9" x14ac:dyDescent="0.25">
      <c r="C661" s="162" t="s">
        <v>17</v>
      </c>
      <c r="D661" s="163">
        <v>15</v>
      </c>
      <c r="E661" s="163">
        <v>1.4852750301361084</v>
      </c>
      <c r="F661" s="163">
        <v>958</v>
      </c>
      <c r="G661" s="163">
        <v>1423</v>
      </c>
      <c r="H661" s="163">
        <v>21198</v>
      </c>
    </row>
    <row r="662" spans="3:9" x14ac:dyDescent="0.25">
      <c r="C662" s="162" t="s">
        <v>18</v>
      </c>
      <c r="D662" s="163">
        <v>15</v>
      </c>
      <c r="E662" s="163">
        <v>1.4852750301361084</v>
      </c>
      <c r="F662" s="163">
        <v>672</v>
      </c>
      <c r="G662" s="163">
        <v>998</v>
      </c>
      <c r="H662" s="163">
        <v>14867</v>
      </c>
    </row>
    <row r="663" spans="3:9" x14ac:dyDescent="0.25">
      <c r="C663" s="162" t="s">
        <v>19</v>
      </c>
      <c r="D663" s="163">
        <v>15</v>
      </c>
      <c r="E663" s="163">
        <v>1.4852750301361084</v>
      </c>
      <c r="F663" s="163">
        <v>729</v>
      </c>
      <c r="G663" s="163">
        <v>1083</v>
      </c>
      <c r="H663" s="163">
        <v>16133</v>
      </c>
    </row>
    <row r="664" spans="3:9" x14ac:dyDescent="0.25">
      <c r="C664" s="162" t="s">
        <v>20</v>
      </c>
      <c r="D664" s="163">
        <v>14.625</v>
      </c>
      <c r="E664" s="163">
        <v>1.4852750301361084</v>
      </c>
      <c r="F664" s="163">
        <v>1254</v>
      </c>
      <c r="G664" s="163">
        <v>1863</v>
      </c>
      <c r="H664" s="163">
        <v>27752</v>
      </c>
    </row>
    <row r="665" spans="3:9" x14ac:dyDescent="0.25">
      <c r="C665" s="162" t="s">
        <v>21</v>
      </c>
      <c r="D665" s="163">
        <v>14.896551724137931</v>
      </c>
      <c r="E665" s="163">
        <v>1.4852750301361084</v>
      </c>
      <c r="F665" s="163">
        <v>40</v>
      </c>
      <c r="G665" s="163">
        <v>59</v>
      </c>
      <c r="H665" s="163">
        <v>879</v>
      </c>
    </row>
    <row r="666" spans="3:9" x14ac:dyDescent="0.25">
      <c r="G666" s="14">
        <f>SUM(G660:G665)</f>
        <v>5442</v>
      </c>
      <c r="H666" s="14">
        <f>SUM(H660:H665)</f>
        <v>81067</v>
      </c>
    </row>
    <row r="667" spans="3:9" x14ac:dyDescent="0.25">
      <c r="C667" s="208"/>
      <c r="D667" s="208"/>
      <c r="E667" s="208"/>
      <c r="F667" s="208"/>
      <c r="G667" s="209"/>
      <c r="H667" s="209"/>
      <c r="I667" s="208"/>
    </row>
    <row r="668" spans="3:9" x14ac:dyDescent="0.25">
      <c r="C668" s="161" t="s">
        <v>10</v>
      </c>
      <c r="D668" s="161" t="s">
        <v>11</v>
      </c>
      <c r="E668" s="161" t="s">
        <v>12</v>
      </c>
      <c r="F668" s="161" t="s">
        <v>13</v>
      </c>
      <c r="G668" s="161" t="s">
        <v>14</v>
      </c>
      <c r="H668" s="161" t="s">
        <v>15</v>
      </c>
      <c r="I668">
        <v>357</v>
      </c>
    </row>
    <row r="669" spans="3:9" x14ac:dyDescent="0.25">
      <c r="C669" s="162" t="s">
        <v>34</v>
      </c>
      <c r="D669" s="163">
        <v>15.416666666666666</v>
      </c>
      <c r="E669" s="163">
        <v>1.5402499437332153</v>
      </c>
      <c r="F669" s="163">
        <v>81</v>
      </c>
      <c r="G669" s="14">
        <v>125</v>
      </c>
      <c r="H669" s="14">
        <v>1927</v>
      </c>
    </row>
    <row r="670" spans="3:9" x14ac:dyDescent="0.25">
      <c r="C670" s="162" t="s">
        <v>35</v>
      </c>
      <c r="D670" s="163">
        <v>14.75</v>
      </c>
      <c r="E670" s="163">
        <v>1.5402499437332153</v>
      </c>
      <c r="F670" s="163">
        <v>93</v>
      </c>
      <c r="G670" s="14">
        <v>143</v>
      </c>
      <c r="H670" s="14">
        <v>2109</v>
      </c>
    </row>
    <row r="671" spans="3:9" x14ac:dyDescent="0.25">
      <c r="C671" s="162" t="s">
        <v>74</v>
      </c>
      <c r="D671" s="163">
        <v>15</v>
      </c>
      <c r="E671" s="163">
        <v>1.5402499437332153</v>
      </c>
      <c r="F671" s="163">
        <v>162</v>
      </c>
      <c r="G671" s="14">
        <v>250</v>
      </c>
      <c r="H671" s="14">
        <v>3750</v>
      </c>
    </row>
    <row r="672" spans="3:9" x14ac:dyDescent="0.25">
      <c r="C672" s="162" t="s">
        <v>39</v>
      </c>
      <c r="D672" s="163">
        <v>15.75</v>
      </c>
      <c r="E672" s="163">
        <v>1.5402499437332153</v>
      </c>
      <c r="F672" s="163">
        <v>94</v>
      </c>
      <c r="G672" s="14">
        <v>145</v>
      </c>
      <c r="H672" s="14">
        <v>2197</v>
      </c>
    </row>
    <row r="673" spans="3:9" x14ac:dyDescent="0.25">
      <c r="C673" s="162" t="s">
        <v>36</v>
      </c>
      <c r="D673" s="163">
        <v>15</v>
      </c>
      <c r="E673" s="163">
        <v>1.5402499437332153</v>
      </c>
      <c r="F673" s="163">
        <v>276</v>
      </c>
      <c r="G673" s="14">
        <v>425</v>
      </c>
      <c r="H673" s="14">
        <v>6375</v>
      </c>
    </row>
    <row r="674" spans="3:9" x14ac:dyDescent="0.25">
      <c r="C674" s="162" t="s">
        <v>37</v>
      </c>
      <c r="D674" s="163">
        <v>15.615384615384615</v>
      </c>
      <c r="E674" s="163">
        <v>1.5402499437332153</v>
      </c>
      <c r="F674" s="163">
        <v>284</v>
      </c>
      <c r="G674" s="14">
        <v>437</v>
      </c>
      <c r="H674" s="14">
        <v>6621</v>
      </c>
    </row>
    <row r="675" spans="3:9" x14ac:dyDescent="0.25">
      <c r="C675" s="162" t="s">
        <v>38</v>
      </c>
      <c r="D675" s="163">
        <v>15</v>
      </c>
      <c r="E675" s="163">
        <v>1.5402499437332153</v>
      </c>
      <c r="F675" s="163">
        <v>272</v>
      </c>
      <c r="G675" s="14">
        <v>419</v>
      </c>
      <c r="H675" s="14">
        <v>6285</v>
      </c>
    </row>
    <row r="676" spans="3:9" x14ac:dyDescent="0.25">
      <c r="G676" s="14">
        <f>SUM(G669:G675)</f>
        <v>1944</v>
      </c>
      <c r="H676" s="14">
        <f>SUM(H669:H675)</f>
        <v>29264</v>
      </c>
    </row>
    <row r="678" spans="3:9" x14ac:dyDescent="0.25">
      <c r="C678" s="161" t="s">
        <v>10</v>
      </c>
      <c r="D678" s="161" t="s">
        <v>11</v>
      </c>
      <c r="E678" s="161" t="s">
        <v>12</v>
      </c>
      <c r="F678" s="161" t="s">
        <v>13</v>
      </c>
      <c r="G678" s="161" t="s">
        <v>14</v>
      </c>
      <c r="H678" s="161" t="s">
        <v>15</v>
      </c>
      <c r="I678">
        <v>358</v>
      </c>
    </row>
    <row r="679" spans="3:9" x14ac:dyDescent="0.25">
      <c r="C679" s="162" t="s">
        <v>34</v>
      </c>
      <c r="D679" s="163">
        <v>15</v>
      </c>
      <c r="E679" s="163">
        <v>1.4597333669662476</v>
      </c>
      <c r="F679" s="163">
        <v>44</v>
      </c>
      <c r="G679" s="14">
        <v>63</v>
      </c>
      <c r="H679" s="14">
        <v>945</v>
      </c>
    </row>
    <row r="680" spans="3:9" x14ac:dyDescent="0.25">
      <c r="C680" s="162" t="s">
        <v>35</v>
      </c>
      <c r="D680" s="163">
        <v>15</v>
      </c>
      <c r="E680" s="163">
        <v>1.4597333669662476</v>
      </c>
      <c r="F680" s="163">
        <v>100</v>
      </c>
      <c r="G680" s="14">
        <v>143</v>
      </c>
      <c r="H680" s="14">
        <v>2145</v>
      </c>
    </row>
    <row r="681" spans="3:9" x14ac:dyDescent="0.25">
      <c r="C681" s="162" t="s">
        <v>74</v>
      </c>
      <c r="D681" s="163">
        <v>15</v>
      </c>
      <c r="E681" s="163">
        <v>1.4597333669662476</v>
      </c>
      <c r="F681" s="163">
        <v>170</v>
      </c>
      <c r="G681" s="14">
        <v>242</v>
      </c>
      <c r="H681" s="14">
        <v>3630</v>
      </c>
    </row>
    <row r="682" spans="3:9" x14ac:dyDescent="0.25">
      <c r="C682" s="162" t="s">
        <v>39</v>
      </c>
      <c r="D682" s="163">
        <v>15</v>
      </c>
      <c r="E682" s="163">
        <v>1.4597333669662476</v>
      </c>
      <c r="F682" s="163">
        <v>118</v>
      </c>
      <c r="G682" s="14">
        <v>168</v>
      </c>
      <c r="H682" s="14">
        <v>2520</v>
      </c>
    </row>
    <row r="683" spans="3:9" x14ac:dyDescent="0.25">
      <c r="C683" s="162" t="s">
        <v>36</v>
      </c>
      <c r="D683" s="163">
        <v>15</v>
      </c>
      <c r="E683" s="163">
        <v>1.4597333669662476</v>
      </c>
      <c r="F683" s="163">
        <v>468</v>
      </c>
      <c r="G683" s="14">
        <v>667</v>
      </c>
      <c r="H683" s="14">
        <v>10005</v>
      </c>
    </row>
    <row r="684" spans="3:9" x14ac:dyDescent="0.25">
      <c r="C684" s="162" t="s">
        <v>37</v>
      </c>
      <c r="D684" s="163">
        <v>15</v>
      </c>
      <c r="E684" s="163">
        <v>1.4597333669662476</v>
      </c>
      <c r="F684" s="163">
        <v>328</v>
      </c>
      <c r="G684" s="14">
        <v>468</v>
      </c>
      <c r="H684" s="14">
        <v>7020</v>
      </c>
    </row>
    <row r="685" spans="3:9" x14ac:dyDescent="0.25">
      <c r="C685" s="162" t="s">
        <v>38</v>
      </c>
      <c r="D685" s="163">
        <v>15</v>
      </c>
      <c r="E685" s="163">
        <v>1.4597333669662476</v>
      </c>
      <c r="F685" s="163">
        <v>289</v>
      </c>
      <c r="G685" s="14">
        <v>412</v>
      </c>
      <c r="H685" s="14">
        <v>6180</v>
      </c>
    </row>
    <row r="686" spans="3:9" x14ac:dyDescent="0.25">
      <c r="G686" s="14">
        <f>SUM(G679:G685)</f>
        <v>2163</v>
      </c>
      <c r="H686" s="14">
        <f>SUM(H679:H685)</f>
        <v>32445</v>
      </c>
    </row>
    <row r="688" spans="3:9" x14ac:dyDescent="0.25">
      <c r="C688" s="161" t="s">
        <v>10</v>
      </c>
      <c r="D688" s="161" t="s">
        <v>11</v>
      </c>
      <c r="E688" s="161" t="s">
        <v>12</v>
      </c>
      <c r="F688" s="161" t="s">
        <v>13</v>
      </c>
      <c r="G688" s="161" t="s">
        <v>14</v>
      </c>
      <c r="H688" s="161" t="s">
        <v>15</v>
      </c>
      <c r="I688">
        <v>359</v>
      </c>
    </row>
    <row r="689" spans="3:9" x14ac:dyDescent="0.25">
      <c r="C689" s="162" t="s">
        <v>34</v>
      </c>
      <c r="D689" s="163">
        <v>15</v>
      </c>
      <c r="E689" s="163">
        <v>1.4597333669662476</v>
      </c>
      <c r="F689" s="163">
        <v>62</v>
      </c>
      <c r="G689" s="14">
        <v>87</v>
      </c>
      <c r="H689" s="14">
        <v>1305</v>
      </c>
    </row>
    <row r="690" spans="3:9" x14ac:dyDescent="0.25">
      <c r="C690" s="162" t="s">
        <v>35</v>
      </c>
      <c r="D690" s="163">
        <v>15</v>
      </c>
      <c r="E690" s="163">
        <v>1.4597333669662476</v>
      </c>
      <c r="F690" s="163">
        <v>142</v>
      </c>
      <c r="G690" s="14">
        <v>200</v>
      </c>
      <c r="H690" s="14">
        <v>3000</v>
      </c>
    </row>
    <row r="691" spans="3:9" x14ac:dyDescent="0.25">
      <c r="C691" s="162" t="s">
        <v>74</v>
      </c>
      <c r="D691" s="163">
        <v>15</v>
      </c>
      <c r="E691" s="163">
        <v>1.4597333669662476</v>
      </c>
      <c r="F691" s="163">
        <v>241</v>
      </c>
      <c r="G691" s="14">
        <v>340</v>
      </c>
      <c r="H691" s="14">
        <v>5100</v>
      </c>
    </row>
    <row r="692" spans="3:9" x14ac:dyDescent="0.25">
      <c r="C692" s="162" t="s">
        <v>39</v>
      </c>
      <c r="D692" s="163">
        <v>15</v>
      </c>
      <c r="E692" s="163">
        <v>1.4597333669662476</v>
      </c>
      <c r="F692" s="163">
        <v>168</v>
      </c>
      <c r="G692" s="14">
        <v>237</v>
      </c>
      <c r="H692" s="14">
        <v>3555</v>
      </c>
    </row>
    <row r="693" spans="3:9" x14ac:dyDescent="0.25">
      <c r="C693" s="162" t="s">
        <v>36</v>
      </c>
      <c r="D693" s="163">
        <v>15</v>
      </c>
      <c r="E693" s="163">
        <v>1.4597333669662476</v>
      </c>
      <c r="F693" s="163">
        <v>763</v>
      </c>
      <c r="G693" s="14">
        <v>1075</v>
      </c>
      <c r="H693" s="14">
        <v>16125</v>
      </c>
    </row>
    <row r="694" spans="3:9" x14ac:dyDescent="0.25">
      <c r="C694" s="162" t="s">
        <v>37</v>
      </c>
      <c r="D694" s="163">
        <v>15</v>
      </c>
      <c r="E694" s="163">
        <v>1.4597333669662476</v>
      </c>
      <c r="F694" s="163">
        <v>446</v>
      </c>
      <c r="G694" s="14">
        <v>629</v>
      </c>
      <c r="H694" s="14">
        <v>9435</v>
      </c>
    </row>
    <row r="695" spans="3:9" x14ac:dyDescent="0.25">
      <c r="C695" s="162" t="s">
        <v>38</v>
      </c>
      <c r="D695" s="163">
        <v>15</v>
      </c>
      <c r="E695" s="163">
        <v>1.4597333669662476</v>
      </c>
      <c r="F695" s="163">
        <v>329</v>
      </c>
      <c r="G695" s="14">
        <v>464</v>
      </c>
      <c r="H695" s="14">
        <v>6960</v>
      </c>
    </row>
    <row r="696" spans="3:9" x14ac:dyDescent="0.25">
      <c r="G696" s="14">
        <f>SUM(G689:G695)</f>
        <v>3032</v>
      </c>
      <c r="H696" s="14">
        <f>SUM(H689:H695)</f>
        <v>45480</v>
      </c>
    </row>
    <row r="698" spans="3:9" x14ac:dyDescent="0.25">
      <c r="C698" s="15" t="s">
        <v>10</v>
      </c>
      <c r="D698" s="15" t="s">
        <v>11</v>
      </c>
      <c r="E698" s="15" t="s">
        <v>12</v>
      </c>
      <c r="F698" s="15" t="s">
        <v>13</v>
      </c>
      <c r="G698" s="15" t="s">
        <v>14</v>
      </c>
      <c r="H698" s="15" t="s">
        <v>15</v>
      </c>
      <c r="I698">
        <v>360</v>
      </c>
    </row>
    <row r="699" spans="3:9" x14ac:dyDescent="0.25">
      <c r="C699" s="16" t="s">
        <v>29</v>
      </c>
      <c r="D699" s="90">
        <v>15</v>
      </c>
      <c r="E699" s="90">
        <v>1.4383666515350342</v>
      </c>
      <c r="F699" s="90">
        <v>7</v>
      </c>
      <c r="G699" s="14">
        <v>10</v>
      </c>
      <c r="H699" s="14">
        <v>150</v>
      </c>
    </row>
    <row r="700" spans="3:9" x14ac:dyDescent="0.25">
      <c r="C700" s="16" t="s">
        <v>30</v>
      </c>
      <c r="D700" s="90">
        <v>15</v>
      </c>
      <c r="E700" s="90">
        <v>1.4383666515350342</v>
      </c>
      <c r="F700" s="90">
        <v>398</v>
      </c>
      <c r="G700" s="14">
        <v>572</v>
      </c>
      <c r="H700" s="14">
        <v>8580</v>
      </c>
    </row>
    <row r="701" spans="3:9" x14ac:dyDescent="0.25">
      <c r="C701" s="16" t="s">
        <v>31</v>
      </c>
      <c r="D701" s="90">
        <v>15</v>
      </c>
      <c r="E701" s="90">
        <v>1.4383666515350342</v>
      </c>
      <c r="F701" s="90">
        <v>343</v>
      </c>
      <c r="G701" s="14">
        <v>493</v>
      </c>
      <c r="H701" s="14">
        <v>7395</v>
      </c>
    </row>
    <row r="702" spans="3:9" x14ac:dyDescent="0.25">
      <c r="C702" s="16" t="s">
        <v>32</v>
      </c>
      <c r="D702" s="90">
        <v>15</v>
      </c>
      <c r="E702" s="90">
        <v>1.4383666515350342</v>
      </c>
      <c r="F702" s="90">
        <v>250</v>
      </c>
      <c r="G702" s="14">
        <v>360</v>
      </c>
      <c r="H702" s="14">
        <v>5400</v>
      </c>
    </row>
    <row r="703" spans="3:9" x14ac:dyDescent="0.25">
      <c r="G703" s="14">
        <f>SUM(G699:G702)</f>
        <v>1435</v>
      </c>
      <c r="H703" s="14">
        <f>SUM(H699:H702)</f>
        <v>21525</v>
      </c>
    </row>
    <row r="705" spans="3:9" x14ac:dyDescent="0.25">
      <c r="C705" s="15" t="s">
        <v>10</v>
      </c>
      <c r="D705" s="15" t="s">
        <v>11</v>
      </c>
      <c r="E705" s="15" t="s">
        <v>12</v>
      </c>
      <c r="F705" s="15" t="s">
        <v>13</v>
      </c>
      <c r="G705" s="15" t="s">
        <v>14</v>
      </c>
      <c r="H705" s="15" t="s">
        <v>15</v>
      </c>
      <c r="I705">
        <v>361</v>
      </c>
    </row>
    <row r="706" spans="3:9" x14ac:dyDescent="0.25">
      <c r="C706" s="16" t="s">
        <v>29</v>
      </c>
      <c r="D706" s="90">
        <v>15</v>
      </c>
      <c r="E706" s="90">
        <v>1.6129000186920166</v>
      </c>
      <c r="F706" s="90">
        <v>2</v>
      </c>
      <c r="G706" s="14">
        <v>3</v>
      </c>
      <c r="H706" s="14">
        <v>45</v>
      </c>
    </row>
    <row r="707" spans="3:9" x14ac:dyDescent="0.25">
      <c r="C707" s="16" t="s">
        <v>30</v>
      </c>
      <c r="D707" s="90">
        <v>15</v>
      </c>
      <c r="E707" s="90">
        <v>1.6129000186920166</v>
      </c>
      <c r="F707" s="90">
        <v>316</v>
      </c>
      <c r="G707" s="14">
        <v>510</v>
      </c>
      <c r="H707" s="14">
        <v>7650</v>
      </c>
    </row>
    <row r="708" spans="3:9" x14ac:dyDescent="0.25">
      <c r="C708" s="16" t="s">
        <v>31</v>
      </c>
      <c r="D708" s="90">
        <v>15</v>
      </c>
      <c r="E708" s="90">
        <v>1.6129000186920166</v>
      </c>
      <c r="F708" s="90">
        <v>185</v>
      </c>
      <c r="G708" s="14">
        <v>298</v>
      </c>
      <c r="H708" s="14">
        <v>4470</v>
      </c>
    </row>
    <row r="709" spans="3:9" x14ac:dyDescent="0.25">
      <c r="C709" s="16" t="s">
        <v>32</v>
      </c>
      <c r="D709" s="90">
        <v>15</v>
      </c>
      <c r="E709" s="90">
        <v>1.6129000186920166</v>
      </c>
      <c r="F709" s="90">
        <v>130</v>
      </c>
      <c r="G709" s="14">
        <v>210</v>
      </c>
      <c r="H709" s="14">
        <v>3150</v>
      </c>
    </row>
    <row r="710" spans="3:9" x14ac:dyDescent="0.25">
      <c r="G710" s="14">
        <f>SUM(G706:G709)</f>
        <v>1021</v>
      </c>
      <c r="H710" s="14">
        <f>SUM(H706:H709)</f>
        <v>15315</v>
      </c>
    </row>
    <row r="712" spans="3:9" x14ac:dyDescent="0.25">
      <c r="C712" s="15" t="s">
        <v>10</v>
      </c>
      <c r="D712" s="15" t="s">
        <v>11</v>
      </c>
      <c r="E712" s="15" t="s">
        <v>12</v>
      </c>
      <c r="F712" s="15" t="s">
        <v>13</v>
      </c>
      <c r="G712" s="15" t="s">
        <v>14</v>
      </c>
      <c r="H712" s="15" t="s">
        <v>15</v>
      </c>
      <c r="I712">
        <v>362</v>
      </c>
    </row>
    <row r="713" spans="3:9" x14ac:dyDescent="0.25">
      <c r="C713" s="16" t="s">
        <v>29</v>
      </c>
      <c r="D713" s="90">
        <v>15</v>
      </c>
      <c r="E713" s="90">
        <v>1.5358999967575073</v>
      </c>
      <c r="F713" s="90">
        <v>11</v>
      </c>
      <c r="G713" s="14">
        <v>17</v>
      </c>
      <c r="H713" s="14">
        <v>255</v>
      </c>
    </row>
    <row r="714" spans="3:9" x14ac:dyDescent="0.25">
      <c r="C714" s="16" t="s">
        <v>30</v>
      </c>
      <c r="D714" s="90">
        <v>15</v>
      </c>
      <c r="E714" s="90">
        <v>1.5358999967575073</v>
      </c>
      <c r="F714" s="90">
        <v>312</v>
      </c>
      <c r="G714" s="14">
        <v>479</v>
      </c>
      <c r="H714" s="14">
        <v>7185</v>
      </c>
    </row>
    <row r="715" spans="3:9" x14ac:dyDescent="0.25">
      <c r="C715" s="16" t="s">
        <v>31</v>
      </c>
      <c r="D715" s="90">
        <v>15</v>
      </c>
      <c r="E715" s="90">
        <v>1.5358999967575073</v>
      </c>
      <c r="F715" s="90">
        <v>196</v>
      </c>
      <c r="G715" s="14">
        <v>301</v>
      </c>
      <c r="H715" s="14">
        <v>4515</v>
      </c>
    </row>
    <row r="716" spans="3:9" x14ac:dyDescent="0.25">
      <c r="C716" s="16" t="s">
        <v>32</v>
      </c>
      <c r="D716" s="90">
        <v>15</v>
      </c>
      <c r="E716" s="90">
        <v>1.5358999967575073</v>
      </c>
      <c r="F716" s="90">
        <v>121</v>
      </c>
      <c r="G716" s="14">
        <v>186</v>
      </c>
      <c r="H716" s="14">
        <v>2790</v>
      </c>
    </row>
    <row r="717" spans="3:9" x14ac:dyDescent="0.25">
      <c r="G717" s="14">
        <f>SUM(G713:G716)</f>
        <v>983</v>
      </c>
      <c r="H717" s="14">
        <f>SUM(H713:H716)</f>
        <v>14745</v>
      </c>
    </row>
    <row r="719" spans="3:9" x14ac:dyDescent="0.25">
      <c r="C719" s="15" t="s">
        <v>10</v>
      </c>
      <c r="D719" s="15" t="s">
        <v>11</v>
      </c>
      <c r="E719" s="15" t="s">
        <v>12</v>
      </c>
      <c r="F719" s="15" t="s">
        <v>13</v>
      </c>
      <c r="G719" s="15" t="s">
        <v>14</v>
      </c>
      <c r="H719" s="15" t="s">
        <v>15</v>
      </c>
      <c r="I719">
        <v>363</v>
      </c>
    </row>
    <row r="720" spans="3:9" x14ac:dyDescent="0.25">
      <c r="C720" s="16" t="s">
        <v>29</v>
      </c>
      <c r="D720" s="90">
        <v>15</v>
      </c>
      <c r="E720" s="90">
        <v>1.5126999616622925</v>
      </c>
      <c r="F720" s="90">
        <v>30</v>
      </c>
      <c r="G720" s="14">
        <v>44</v>
      </c>
      <c r="H720" s="14">
        <v>660</v>
      </c>
    </row>
    <row r="721" spans="3:9" x14ac:dyDescent="0.25">
      <c r="C721" s="16" t="s">
        <v>30</v>
      </c>
      <c r="D721" s="90">
        <v>15</v>
      </c>
      <c r="E721" s="90">
        <v>1.5126999616622925</v>
      </c>
      <c r="F721" s="90">
        <v>692</v>
      </c>
      <c r="G721" s="14">
        <v>1024</v>
      </c>
      <c r="H721" s="14">
        <v>15360</v>
      </c>
    </row>
    <row r="722" spans="3:9" x14ac:dyDescent="0.25">
      <c r="C722" s="16" t="s">
        <v>31</v>
      </c>
      <c r="D722" s="90">
        <v>14.117647058823529</v>
      </c>
      <c r="E722" s="90">
        <v>1.5126999616622925</v>
      </c>
      <c r="F722" s="90">
        <v>339</v>
      </c>
      <c r="G722" s="14">
        <v>502</v>
      </c>
      <c r="H722" s="14">
        <v>7087</v>
      </c>
    </row>
    <row r="723" spans="3:9" x14ac:dyDescent="0.25">
      <c r="C723" s="16" t="s">
        <v>32</v>
      </c>
      <c r="D723" s="90">
        <v>14.555555555555555</v>
      </c>
      <c r="E723" s="90">
        <v>1.5126999616622925</v>
      </c>
      <c r="F723" s="90">
        <v>203</v>
      </c>
      <c r="G723" s="14">
        <v>300</v>
      </c>
      <c r="H723" s="14">
        <v>4367</v>
      </c>
    </row>
    <row r="724" spans="3:9" x14ac:dyDescent="0.25">
      <c r="G724" s="14">
        <f>SUM(G720:G723)</f>
        <v>1870</v>
      </c>
      <c r="H724" s="14">
        <f>SUM(H720:H723)</f>
        <v>27474</v>
      </c>
    </row>
    <row r="725" spans="3:9" x14ac:dyDescent="0.25">
      <c r="C725" s="210"/>
      <c r="D725" s="210"/>
      <c r="E725" s="210"/>
      <c r="F725" s="210"/>
      <c r="G725" s="211"/>
      <c r="H725" s="211"/>
      <c r="I725" s="210"/>
    </row>
    <row r="726" spans="3:9" x14ac:dyDescent="0.25">
      <c r="C726" s="15" t="s">
        <v>10</v>
      </c>
      <c r="D726" s="15" t="s">
        <v>11</v>
      </c>
      <c r="E726" s="15" t="s">
        <v>12</v>
      </c>
      <c r="F726" s="15" t="s">
        <v>13</v>
      </c>
      <c r="G726" s="15" t="s">
        <v>14</v>
      </c>
      <c r="H726" s="15" t="s">
        <v>15</v>
      </c>
      <c r="I726">
        <v>364</v>
      </c>
    </row>
    <row r="727" spans="3:9" x14ac:dyDescent="0.25">
      <c r="C727" s="16" t="s">
        <v>34</v>
      </c>
      <c r="D727" s="90">
        <v>14.984126984126984</v>
      </c>
      <c r="E727" s="90">
        <v>1.50409996509552</v>
      </c>
      <c r="F727" s="90">
        <v>46</v>
      </c>
      <c r="G727" s="177">
        <v>69</v>
      </c>
      <c r="H727" s="177">
        <v>1034</v>
      </c>
    </row>
    <row r="728" spans="3:9" x14ac:dyDescent="0.25">
      <c r="C728" s="16" t="s">
        <v>35</v>
      </c>
      <c r="D728" s="90">
        <v>14.984126984126984</v>
      </c>
      <c r="E728" s="90">
        <v>1.50409996509552</v>
      </c>
      <c r="F728" s="90">
        <v>106</v>
      </c>
      <c r="G728" s="177">
        <v>159</v>
      </c>
      <c r="H728" s="177">
        <v>2382</v>
      </c>
    </row>
    <row r="729" spans="3:9" x14ac:dyDescent="0.25">
      <c r="C729" s="16" t="s">
        <v>74</v>
      </c>
      <c r="D729" s="90">
        <v>14.984126984126984</v>
      </c>
      <c r="E729" s="90">
        <v>1.50409996509552</v>
      </c>
      <c r="F729" s="90">
        <v>179</v>
      </c>
      <c r="G729" s="177">
        <v>269</v>
      </c>
      <c r="H729" s="177">
        <v>4031</v>
      </c>
    </row>
    <row r="730" spans="3:9" x14ac:dyDescent="0.25">
      <c r="C730" s="16" t="s">
        <v>39</v>
      </c>
      <c r="D730" s="90">
        <v>14.984126984126984</v>
      </c>
      <c r="E730" s="90">
        <v>1.50409996509552</v>
      </c>
      <c r="F730" s="90">
        <v>125</v>
      </c>
      <c r="G730" s="177">
        <v>188</v>
      </c>
      <c r="H730" s="177">
        <v>2817</v>
      </c>
    </row>
    <row r="731" spans="3:9" x14ac:dyDescent="0.25">
      <c r="C731" s="16" t="s">
        <v>36</v>
      </c>
      <c r="D731" s="90">
        <v>15</v>
      </c>
      <c r="E731" s="90">
        <v>1.50409996509552</v>
      </c>
      <c r="F731" s="90">
        <v>370</v>
      </c>
      <c r="G731" s="177">
        <v>557</v>
      </c>
      <c r="H731" s="177">
        <v>8355</v>
      </c>
    </row>
    <row r="732" spans="3:9" x14ac:dyDescent="0.25">
      <c r="C732" s="16" t="s">
        <v>37</v>
      </c>
      <c r="D732" s="90">
        <v>15</v>
      </c>
      <c r="E732" s="90">
        <v>1.50409996509552</v>
      </c>
      <c r="F732" s="90">
        <v>452</v>
      </c>
      <c r="G732" s="177">
        <v>680</v>
      </c>
      <c r="H732" s="177">
        <v>10189</v>
      </c>
    </row>
    <row r="733" spans="3:9" x14ac:dyDescent="0.25">
      <c r="C733" s="16" t="s">
        <v>38</v>
      </c>
      <c r="D733" s="90">
        <v>14.944444444444445</v>
      </c>
      <c r="E733" s="90">
        <v>1.50409996509552</v>
      </c>
      <c r="F733" s="90">
        <v>319</v>
      </c>
      <c r="G733" s="177">
        <v>480</v>
      </c>
      <c r="H733" s="177">
        <v>7173</v>
      </c>
    </row>
    <row r="734" spans="3:9" x14ac:dyDescent="0.25">
      <c r="G734" s="14">
        <f>SUM(G727:G733)</f>
        <v>2402</v>
      </c>
      <c r="H734" s="14">
        <f>SUM(H727:H733)</f>
        <v>35981</v>
      </c>
    </row>
    <row r="736" spans="3:9" x14ac:dyDescent="0.25">
      <c r="C736" s="15" t="s">
        <v>10</v>
      </c>
      <c r="D736" s="15" t="s">
        <v>11</v>
      </c>
      <c r="E736" s="15" t="s">
        <v>12</v>
      </c>
      <c r="F736" s="15" t="s">
        <v>13</v>
      </c>
      <c r="G736" s="15" t="s">
        <v>14</v>
      </c>
      <c r="H736" s="15" t="s">
        <v>15</v>
      </c>
      <c r="I736">
        <v>365</v>
      </c>
    </row>
    <row r="737" spans="3:10" x14ac:dyDescent="0.25">
      <c r="C737" s="16" t="s">
        <v>34</v>
      </c>
      <c r="D737" s="90">
        <v>15</v>
      </c>
      <c r="E737" s="90">
        <v>1.50409996509552</v>
      </c>
      <c r="F737" s="90">
        <v>40</v>
      </c>
      <c r="G737" s="90">
        <v>60</v>
      </c>
      <c r="H737" s="90">
        <v>900</v>
      </c>
    </row>
    <row r="738" spans="3:10" x14ac:dyDescent="0.25">
      <c r="C738" s="16" t="s">
        <v>35</v>
      </c>
      <c r="D738" s="90">
        <v>15</v>
      </c>
      <c r="E738" s="90">
        <v>1.50409996509552</v>
      </c>
      <c r="F738" s="90">
        <v>92</v>
      </c>
      <c r="G738" s="90">
        <v>138</v>
      </c>
      <c r="H738" s="90">
        <v>2070</v>
      </c>
    </row>
    <row r="739" spans="3:10" x14ac:dyDescent="0.25">
      <c r="C739" s="16" t="s">
        <v>74</v>
      </c>
      <c r="D739" s="90">
        <v>15</v>
      </c>
      <c r="E739" s="90">
        <v>1.50409996509552</v>
      </c>
      <c r="F739" s="90">
        <v>156</v>
      </c>
      <c r="G739" s="90">
        <v>235</v>
      </c>
      <c r="H739" s="90">
        <v>3525</v>
      </c>
    </row>
    <row r="740" spans="3:10" x14ac:dyDescent="0.25">
      <c r="C740" s="16" t="s">
        <v>39</v>
      </c>
      <c r="D740" s="90">
        <v>15</v>
      </c>
      <c r="E740" s="90">
        <v>1.50409996509552</v>
      </c>
      <c r="F740" s="90">
        <v>109</v>
      </c>
      <c r="G740" s="90">
        <v>164</v>
      </c>
      <c r="H740" s="90">
        <v>2460</v>
      </c>
    </row>
    <row r="741" spans="3:10" x14ac:dyDescent="0.25">
      <c r="C741" s="16" t="s">
        <v>36</v>
      </c>
      <c r="D741" s="90">
        <v>15</v>
      </c>
      <c r="E741" s="90">
        <v>1.50409996509552</v>
      </c>
      <c r="F741" s="90">
        <v>368</v>
      </c>
      <c r="G741" s="90">
        <v>554</v>
      </c>
      <c r="H741" s="90">
        <v>8310</v>
      </c>
    </row>
    <row r="742" spans="3:10" x14ac:dyDescent="0.25">
      <c r="C742" s="16" t="s">
        <v>37</v>
      </c>
      <c r="D742" s="90">
        <v>15</v>
      </c>
      <c r="E742" s="90">
        <v>1.50409996509552</v>
      </c>
      <c r="F742" s="90">
        <v>340</v>
      </c>
      <c r="G742" s="90">
        <v>511</v>
      </c>
      <c r="H742" s="90">
        <v>7665</v>
      </c>
    </row>
    <row r="743" spans="3:10" x14ac:dyDescent="0.25">
      <c r="C743" s="16" t="s">
        <v>38</v>
      </c>
      <c r="D743" s="90">
        <v>15</v>
      </c>
      <c r="E743" s="90">
        <v>1.50409996509552</v>
      </c>
      <c r="F743" s="90">
        <v>288</v>
      </c>
      <c r="G743" s="90">
        <v>433</v>
      </c>
      <c r="H743" s="90">
        <v>6495</v>
      </c>
    </row>
    <row r="744" spans="3:10" x14ac:dyDescent="0.25">
      <c r="G744" s="14">
        <f>SUM(G737:G743)</f>
        <v>2095</v>
      </c>
      <c r="H744" s="14">
        <f>SUM(H737:H743)</f>
        <v>31425</v>
      </c>
    </row>
    <row r="746" spans="3:10" x14ac:dyDescent="0.25">
      <c r="C746" s="161" t="s">
        <v>10</v>
      </c>
      <c r="D746" s="161" t="s">
        <v>11</v>
      </c>
      <c r="E746" s="161" t="s">
        <v>12</v>
      </c>
      <c r="F746" s="161" t="s">
        <v>13</v>
      </c>
      <c r="G746" s="161" t="s">
        <v>14</v>
      </c>
      <c r="H746" s="161" t="s">
        <v>15</v>
      </c>
      <c r="I746" s="161" t="s">
        <v>8</v>
      </c>
      <c r="J746" s="161" t="s">
        <v>68</v>
      </c>
    </row>
    <row r="747" spans="3:10" x14ac:dyDescent="0.25">
      <c r="C747" s="162" t="s">
        <v>29</v>
      </c>
      <c r="D747" s="163">
        <v>15</v>
      </c>
      <c r="E747" s="163">
        <v>1.4851000308990479</v>
      </c>
      <c r="F747" s="163">
        <v>2</v>
      </c>
      <c r="G747" s="212">
        <v>3</v>
      </c>
      <c r="H747" s="212">
        <v>45</v>
      </c>
      <c r="I747" s="213">
        <v>40666</v>
      </c>
      <c r="J747" s="163">
        <v>366</v>
      </c>
    </row>
    <row r="748" spans="3:10" x14ac:dyDescent="0.25">
      <c r="C748" s="162" t="s">
        <v>30</v>
      </c>
      <c r="D748" s="163">
        <v>15</v>
      </c>
      <c r="E748" s="163">
        <v>1.4851000308990479</v>
      </c>
      <c r="F748" s="163">
        <v>105</v>
      </c>
      <c r="G748" s="212">
        <v>143</v>
      </c>
      <c r="H748" s="212">
        <v>2145</v>
      </c>
      <c r="I748" s="213">
        <v>40666</v>
      </c>
      <c r="J748" s="163">
        <v>366</v>
      </c>
    </row>
    <row r="749" spans="3:10" x14ac:dyDescent="0.25">
      <c r="C749" s="162" t="s">
        <v>31</v>
      </c>
      <c r="D749" s="163">
        <v>15</v>
      </c>
      <c r="E749" s="163">
        <v>1.4851000308990479</v>
      </c>
      <c r="F749" s="163">
        <v>52</v>
      </c>
      <c r="G749" s="212">
        <v>71</v>
      </c>
      <c r="H749" s="212">
        <v>1065</v>
      </c>
      <c r="I749" s="213">
        <v>40666</v>
      </c>
      <c r="J749" s="163">
        <v>366</v>
      </c>
    </row>
    <row r="750" spans="3:10" x14ac:dyDescent="0.25">
      <c r="C750" s="162" t="s">
        <v>32</v>
      </c>
      <c r="D750" s="163">
        <v>15</v>
      </c>
      <c r="E750" s="163">
        <v>1.4851000308990479</v>
      </c>
      <c r="F750" s="163">
        <v>55</v>
      </c>
      <c r="G750" s="212">
        <v>75</v>
      </c>
      <c r="H750" s="212">
        <v>1125</v>
      </c>
      <c r="I750" s="213">
        <v>40666</v>
      </c>
      <c r="J750" s="163">
        <v>366</v>
      </c>
    </row>
    <row r="751" spans="3:10" x14ac:dyDescent="0.25">
      <c r="G751" s="14">
        <f>SUM(G747:G750)</f>
        <v>292</v>
      </c>
      <c r="H751" s="14">
        <f>SUM(H747:H750)</f>
        <v>4380</v>
      </c>
    </row>
    <row r="753" spans="3:10" x14ac:dyDescent="0.25">
      <c r="C753" s="161" t="s">
        <v>10</v>
      </c>
      <c r="D753" s="161" t="s">
        <v>11</v>
      </c>
      <c r="E753" s="161" t="s">
        <v>12</v>
      </c>
      <c r="F753" s="161" t="s">
        <v>13</v>
      </c>
      <c r="G753" s="161" t="s">
        <v>14</v>
      </c>
      <c r="H753" s="161" t="s">
        <v>15</v>
      </c>
      <c r="I753" s="161" t="s">
        <v>8</v>
      </c>
      <c r="J753" s="161" t="s">
        <v>68</v>
      </c>
    </row>
    <row r="754" spans="3:10" x14ac:dyDescent="0.25">
      <c r="C754" s="162" t="s">
        <v>34</v>
      </c>
      <c r="D754" s="163">
        <v>15</v>
      </c>
      <c r="E754" s="163">
        <v>1.50409996509552</v>
      </c>
      <c r="F754" s="163">
        <v>7</v>
      </c>
      <c r="G754" s="212">
        <v>11</v>
      </c>
      <c r="H754" s="212">
        <v>165</v>
      </c>
      <c r="I754" s="213">
        <v>40666</v>
      </c>
      <c r="J754" s="163">
        <v>367</v>
      </c>
    </row>
    <row r="755" spans="3:10" x14ac:dyDescent="0.25">
      <c r="C755" s="162" t="s">
        <v>35</v>
      </c>
      <c r="D755" s="163">
        <v>15</v>
      </c>
      <c r="E755" s="163">
        <v>1.50409996509552</v>
      </c>
      <c r="F755" s="163">
        <v>15</v>
      </c>
      <c r="G755" s="212">
        <v>23</v>
      </c>
      <c r="H755" s="212">
        <v>345</v>
      </c>
      <c r="I755" s="213">
        <v>40666</v>
      </c>
      <c r="J755" s="163">
        <v>367</v>
      </c>
    </row>
    <row r="756" spans="3:10" x14ac:dyDescent="0.25">
      <c r="C756" s="162" t="s">
        <v>74</v>
      </c>
      <c r="D756" s="163">
        <v>15</v>
      </c>
      <c r="E756" s="163">
        <v>1.50409996509552</v>
      </c>
      <c r="F756" s="163">
        <v>26</v>
      </c>
      <c r="G756" s="212">
        <v>39</v>
      </c>
      <c r="H756" s="212">
        <v>585</v>
      </c>
      <c r="I756" s="213">
        <v>40666</v>
      </c>
      <c r="J756" s="163">
        <v>367</v>
      </c>
    </row>
    <row r="757" spans="3:10" x14ac:dyDescent="0.25">
      <c r="C757" s="162" t="s">
        <v>39</v>
      </c>
      <c r="D757" s="163">
        <v>15</v>
      </c>
      <c r="E757" s="163">
        <v>1.50409996509552</v>
      </c>
      <c r="F757" s="163">
        <v>18</v>
      </c>
      <c r="G757" s="212">
        <v>27</v>
      </c>
      <c r="H757" s="212">
        <v>405</v>
      </c>
      <c r="I757" s="213">
        <v>40666</v>
      </c>
      <c r="J757" s="163">
        <v>367</v>
      </c>
    </row>
    <row r="758" spans="3:10" x14ac:dyDescent="0.25">
      <c r="C758" s="162" t="s">
        <v>36</v>
      </c>
      <c r="D758" s="163">
        <v>15</v>
      </c>
      <c r="E758" s="163">
        <v>1.50409996509552</v>
      </c>
      <c r="F758" s="163">
        <v>76</v>
      </c>
      <c r="G758" s="212">
        <v>114</v>
      </c>
      <c r="H758" s="212">
        <v>1710</v>
      </c>
      <c r="I758" s="213">
        <v>40666</v>
      </c>
      <c r="J758" s="163">
        <v>367</v>
      </c>
    </row>
    <row r="759" spans="3:10" x14ac:dyDescent="0.25">
      <c r="C759" s="162" t="s">
        <v>37</v>
      </c>
      <c r="D759" s="163">
        <v>15</v>
      </c>
      <c r="E759" s="163">
        <v>1.50409996509552</v>
      </c>
      <c r="F759" s="163">
        <v>70</v>
      </c>
      <c r="G759" s="212">
        <v>105</v>
      </c>
      <c r="H759" s="212">
        <v>1575</v>
      </c>
      <c r="I759" s="213">
        <v>40666</v>
      </c>
      <c r="J759" s="163">
        <v>367</v>
      </c>
    </row>
    <row r="760" spans="3:10" x14ac:dyDescent="0.25">
      <c r="C760" s="162" t="s">
        <v>38</v>
      </c>
      <c r="D760" s="163">
        <v>15</v>
      </c>
      <c r="E760" s="163">
        <v>1.50409996509552</v>
      </c>
      <c r="F760" s="163">
        <v>21</v>
      </c>
      <c r="G760" s="212">
        <v>32</v>
      </c>
      <c r="H760" s="212">
        <v>480</v>
      </c>
      <c r="I760" s="213">
        <v>40666</v>
      </c>
      <c r="J760" s="163">
        <v>367</v>
      </c>
    </row>
    <row r="761" spans="3:10" x14ac:dyDescent="0.25">
      <c r="G761" s="14">
        <f>SUM(G754:G760)</f>
        <v>351</v>
      </c>
      <c r="H761" s="14">
        <f>SUM(H754:H760)</f>
        <v>5265</v>
      </c>
    </row>
    <row r="763" spans="3:10" x14ac:dyDescent="0.25">
      <c r="C763" s="161" t="s">
        <v>10</v>
      </c>
      <c r="D763" s="161" t="s">
        <v>11</v>
      </c>
      <c r="E763" s="161" t="s">
        <v>12</v>
      </c>
      <c r="F763" s="161" t="s">
        <v>13</v>
      </c>
      <c r="G763" s="161" t="s">
        <v>14</v>
      </c>
      <c r="H763" s="161" t="s">
        <v>15</v>
      </c>
      <c r="I763" s="161" t="s">
        <v>8</v>
      </c>
      <c r="J763" s="161" t="s">
        <v>68</v>
      </c>
    </row>
    <row r="764" spans="3:10" x14ac:dyDescent="0.25">
      <c r="C764" s="162" t="s">
        <v>34</v>
      </c>
      <c r="D764" s="163">
        <v>15</v>
      </c>
      <c r="E764" s="163">
        <v>1.4918999671936035</v>
      </c>
      <c r="F764" s="163">
        <v>50</v>
      </c>
      <c r="G764" s="212">
        <v>70</v>
      </c>
      <c r="H764" s="212">
        <v>1050</v>
      </c>
      <c r="I764" s="213">
        <v>40667</v>
      </c>
      <c r="J764" s="163">
        <v>368</v>
      </c>
    </row>
    <row r="765" spans="3:10" x14ac:dyDescent="0.25">
      <c r="C765" s="162" t="s">
        <v>35</v>
      </c>
      <c r="D765" s="163">
        <v>15</v>
      </c>
      <c r="E765" s="163">
        <v>1.4918999671936035</v>
      </c>
      <c r="F765" s="163">
        <v>47</v>
      </c>
      <c r="G765" s="212">
        <v>66</v>
      </c>
      <c r="H765" s="212">
        <v>990</v>
      </c>
      <c r="I765" s="213">
        <v>40667</v>
      </c>
      <c r="J765" s="163">
        <v>368</v>
      </c>
    </row>
    <row r="766" spans="3:10" x14ac:dyDescent="0.25">
      <c r="C766" s="162" t="s">
        <v>74</v>
      </c>
      <c r="D766" s="163">
        <v>15</v>
      </c>
      <c r="E766" s="163">
        <v>1.4918999671936035</v>
      </c>
      <c r="F766" s="163">
        <v>109</v>
      </c>
      <c r="G766" s="212">
        <v>152</v>
      </c>
      <c r="H766" s="212">
        <v>2280</v>
      </c>
      <c r="I766" s="213">
        <v>40667</v>
      </c>
      <c r="J766" s="163">
        <v>368</v>
      </c>
    </row>
    <row r="767" spans="3:10" x14ac:dyDescent="0.25">
      <c r="C767" s="162" t="s">
        <v>39</v>
      </c>
      <c r="D767" s="163">
        <v>15</v>
      </c>
      <c r="E767" s="163">
        <v>1.4918999671936035</v>
      </c>
      <c r="F767" s="163">
        <v>52</v>
      </c>
      <c r="G767" s="212">
        <v>73</v>
      </c>
      <c r="H767" s="212">
        <v>1095</v>
      </c>
      <c r="I767" s="213">
        <v>40667</v>
      </c>
      <c r="J767" s="163">
        <v>368</v>
      </c>
    </row>
    <row r="768" spans="3:10" x14ac:dyDescent="0.25">
      <c r="C768" s="162" t="s">
        <v>36</v>
      </c>
      <c r="D768" s="163">
        <v>15</v>
      </c>
      <c r="E768" s="163">
        <v>1.4918999671936035</v>
      </c>
      <c r="F768" s="163">
        <v>146</v>
      </c>
      <c r="G768" s="212">
        <v>204</v>
      </c>
      <c r="H768" s="212">
        <v>3060</v>
      </c>
      <c r="I768" s="213">
        <v>40667</v>
      </c>
      <c r="J768" s="163">
        <v>368</v>
      </c>
    </row>
    <row r="769" spans="3:10" x14ac:dyDescent="0.25">
      <c r="C769" s="162" t="s">
        <v>37</v>
      </c>
      <c r="D769" s="163">
        <v>15</v>
      </c>
      <c r="E769" s="163">
        <v>1.4918999671936035</v>
      </c>
      <c r="F769" s="163">
        <v>125</v>
      </c>
      <c r="G769" s="212">
        <v>175</v>
      </c>
      <c r="H769" s="212">
        <v>2625</v>
      </c>
      <c r="I769" s="213">
        <v>40667</v>
      </c>
      <c r="J769" s="163">
        <v>368</v>
      </c>
    </row>
    <row r="770" spans="3:10" x14ac:dyDescent="0.25">
      <c r="C770" s="162" t="s">
        <v>38</v>
      </c>
      <c r="D770" s="163">
        <v>15</v>
      </c>
      <c r="E770" s="163">
        <v>1.4918999671936035</v>
      </c>
      <c r="F770" s="163">
        <v>73</v>
      </c>
      <c r="G770" s="212">
        <v>102</v>
      </c>
      <c r="H770" s="212">
        <v>1530</v>
      </c>
      <c r="I770" s="213">
        <v>40667</v>
      </c>
      <c r="J770" s="163">
        <v>368</v>
      </c>
    </row>
    <row r="771" spans="3:10" x14ac:dyDescent="0.25">
      <c r="G771" s="14">
        <f>SUM(G764:G770)</f>
        <v>842</v>
      </c>
      <c r="H771" s="14">
        <f>SUM(H764:H770)</f>
        <v>12630</v>
      </c>
    </row>
    <row r="773" spans="3:10" x14ac:dyDescent="0.25">
      <c r="C773" s="161" t="s">
        <v>10</v>
      </c>
      <c r="D773" s="161" t="s">
        <v>11</v>
      </c>
      <c r="E773" s="161" t="s">
        <v>12</v>
      </c>
      <c r="F773" s="161" t="s">
        <v>13</v>
      </c>
      <c r="G773" s="161" t="s">
        <v>14</v>
      </c>
      <c r="H773" s="161" t="s">
        <v>15</v>
      </c>
      <c r="I773" s="161" t="s">
        <v>8</v>
      </c>
      <c r="J773" s="161" t="s">
        <v>68</v>
      </c>
    </row>
    <row r="774" spans="3:10" x14ac:dyDescent="0.25">
      <c r="C774" s="162" t="s">
        <v>34</v>
      </c>
      <c r="D774" s="163">
        <v>15</v>
      </c>
      <c r="E774" s="163">
        <v>1.4619499444961548</v>
      </c>
      <c r="F774" s="163">
        <v>22</v>
      </c>
      <c r="G774" s="212">
        <v>32</v>
      </c>
      <c r="H774" s="212">
        <v>480</v>
      </c>
      <c r="I774" s="213">
        <v>40668</v>
      </c>
      <c r="J774" s="163">
        <v>369</v>
      </c>
    </row>
    <row r="775" spans="3:10" x14ac:dyDescent="0.25">
      <c r="C775" s="162" t="s">
        <v>35</v>
      </c>
      <c r="D775" s="163">
        <v>15</v>
      </c>
      <c r="E775" s="163">
        <v>1.4619499444961548</v>
      </c>
      <c r="F775" s="163">
        <v>44</v>
      </c>
      <c r="G775" s="212">
        <v>64</v>
      </c>
      <c r="H775" s="212">
        <v>960</v>
      </c>
      <c r="I775" s="213">
        <v>40668</v>
      </c>
      <c r="J775" s="163">
        <v>369</v>
      </c>
    </row>
    <row r="776" spans="3:10" x14ac:dyDescent="0.25">
      <c r="C776" s="162" t="s">
        <v>74</v>
      </c>
      <c r="D776" s="163">
        <v>15</v>
      </c>
      <c r="E776" s="163">
        <v>1.4619499444961548</v>
      </c>
      <c r="F776" s="163">
        <v>77</v>
      </c>
      <c r="G776" s="212">
        <v>113</v>
      </c>
      <c r="H776" s="212">
        <v>1695</v>
      </c>
      <c r="I776" s="213">
        <v>40668</v>
      </c>
      <c r="J776" s="163">
        <v>369</v>
      </c>
    </row>
    <row r="777" spans="3:10" x14ac:dyDescent="0.25">
      <c r="C777" s="162" t="s">
        <v>39</v>
      </c>
      <c r="D777" s="163">
        <v>15</v>
      </c>
      <c r="E777" s="163">
        <v>1.4619499444961548</v>
      </c>
      <c r="F777" s="163">
        <v>51</v>
      </c>
      <c r="G777" s="212">
        <v>75</v>
      </c>
      <c r="H777" s="212">
        <v>1125</v>
      </c>
      <c r="I777" s="213">
        <v>40668</v>
      </c>
      <c r="J777" s="163">
        <v>369</v>
      </c>
    </row>
    <row r="778" spans="3:10" x14ac:dyDescent="0.25">
      <c r="C778" s="162" t="s">
        <v>36</v>
      </c>
      <c r="D778" s="163">
        <v>15</v>
      </c>
      <c r="E778" s="163">
        <v>1.4619499444961548</v>
      </c>
      <c r="F778" s="163">
        <v>216</v>
      </c>
      <c r="G778" s="212">
        <v>316</v>
      </c>
      <c r="H778" s="212">
        <v>4740</v>
      </c>
      <c r="I778" s="213">
        <v>40668</v>
      </c>
      <c r="J778" s="163">
        <v>369</v>
      </c>
    </row>
    <row r="779" spans="3:10" x14ac:dyDescent="0.25">
      <c r="C779" s="162" t="s">
        <v>37</v>
      </c>
      <c r="D779" s="163">
        <v>15</v>
      </c>
      <c r="E779" s="163">
        <v>1.4619499444961548</v>
      </c>
      <c r="F779" s="163">
        <v>121</v>
      </c>
      <c r="G779" s="212">
        <v>177</v>
      </c>
      <c r="H779" s="212">
        <v>2655</v>
      </c>
      <c r="I779" s="213">
        <v>40668</v>
      </c>
      <c r="J779" s="163">
        <v>369</v>
      </c>
    </row>
    <row r="780" spans="3:10" x14ac:dyDescent="0.25">
      <c r="C780" s="162" t="s">
        <v>38</v>
      </c>
      <c r="D780" s="163">
        <v>15</v>
      </c>
      <c r="E780" s="163">
        <v>1.4619499444961548</v>
      </c>
      <c r="F780" s="163">
        <v>121</v>
      </c>
      <c r="G780" s="212">
        <v>177</v>
      </c>
      <c r="H780" s="212">
        <v>2655</v>
      </c>
      <c r="I780" s="213">
        <v>40668</v>
      </c>
      <c r="J780" s="163">
        <v>369</v>
      </c>
    </row>
    <row r="781" spans="3:10" x14ac:dyDescent="0.25">
      <c r="G781" s="14">
        <f>SUM(G774:G780)</f>
        <v>954</v>
      </c>
      <c r="H781" s="14">
        <f>SUM(H774:H780)</f>
        <v>14310</v>
      </c>
    </row>
    <row r="783" spans="3:10" x14ac:dyDescent="0.25">
      <c r="C783" s="161" t="s">
        <v>10</v>
      </c>
      <c r="D783" s="161" t="s">
        <v>11</v>
      </c>
      <c r="E783" s="161" t="s">
        <v>12</v>
      </c>
      <c r="F783" s="161" t="s">
        <v>13</v>
      </c>
      <c r="G783" s="161" t="s">
        <v>14</v>
      </c>
      <c r="H783" s="161" t="s">
        <v>15</v>
      </c>
      <c r="I783" s="161" t="s">
        <v>8</v>
      </c>
      <c r="J783" s="161" t="s">
        <v>68</v>
      </c>
    </row>
    <row r="784" spans="3:10" x14ac:dyDescent="0.25">
      <c r="C784" s="162" t="s">
        <v>29</v>
      </c>
      <c r="D784" s="163">
        <v>15</v>
      </c>
      <c r="E784" s="163">
        <v>1.5126999616622925</v>
      </c>
      <c r="F784" s="163">
        <v>0</v>
      </c>
      <c r="G784" s="212">
        <v>0</v>
      </c>
      <c r="H784" s="212">
        <v>0</v>
      </c>
      <c r="I784" s="213">
        <v>40667</v>
      </c>
      <c r="J784" s="163">
        <v>370</v>
      </c>
    </row>
    <row r="785" spans="3:10" x14ac:dyDescent="0.25">
      <c r="C785" s="162" t="s">
        <v>30</v>
      </c>
      <c r="D785" s="163">
        <v>15</v>
      </c>
      <c r="E785" s="163">
        <v>1.5126999616622925</v>
      </c>
      <c r="F785" s="163">
        <v>117</v>
      </c>
      <c r="G785" s="212">
        <v>177</v>
      </c>
      <c r="H785" s="212">
        <v>2655</v>
      </c>
      <c r="I785" s="213">
        <v>40667</v>
      </c>
      <c r="J785" s="163">
        <v>370</v>
      </c>
    </row>
    <row r="786" spans="3:10" x14ac:dyDescent="0.25">
      <c r="C786" s="162" t="s">
        <v>31</v>
      </c>
      <c r="D786" s="163">
        <v>15</v>
      </c>
      <c r="E786" s="163">
        <v>1.5126999616622925</v>
      </c>
      <c r="F786" s="163">
        <v>82</v>
      </c>
      <c r="G786" s="212">
        <v>124</v>
      </c>
      <c r="H786" s="212">
        <v>1860</v>
      </c>
      <c r="I786" s="213">
        <v>40667</v>
      </c>
      <c r="J786" s="163">
        <v>370</v>
      </c>
    </row>
    <row r="787" spans="3:10" x14ac:dyDescent="0.25">
      <c r="C787" s="162" t="s">
        <v>32</v>
      </c>
      <c r="D787" s="163">
        <v>15</v>
      </c>
      <c r="E787" s="163">
        <v>1.5126999616622925</v>
      </c>
      <c r="F787" s="163">
        <v>98</v>
      </c>
      <c r="G787" s="212">
        <v>148</v>
      </c>
      <c r="H787" s="212">
        <v>2220</v>
      </c>
      <c r="I787" s="213">
        <v>40667</v>
      </c>
      <c r="J787" s="163">
        <v>370</v>
      </c>
    </row>
    <row r="788" spans="3:10" x14ac:dyDescent="0.25">
      <c r="G788" s="14">
        <f>SUM(G784:G787)</f>
        <v>449</v>
      </c>
      <c r="H788" s="14">
        <f>SUM(H784:H787)</f>
        <v>6735</v>
      </c>
    </row>
    <row r="790" spans="3:10" x14ac:dyDescent="0.25">
      <c r="C790" s="161" t="s">
        <v>10</v>
      </c>
      <c r="D790" s="161" t="s">
        <v>11</v>
      </c>
      <c r="E790" s="161" t="s">
        <v>12</v>
      </c>
      <c r="F790" s="161" t="s">
        <v>13</v>
      </c>
      <c r="G790" s="161" t="s">
        <v>14</v>
      </c>
      <c r="H790" s="161" t="s">
        <v>15</v>
      </c>
      <c r="I790" s="161" t="s">
        <v>8</v>
      </c>
      <c r="J790" s="161" t="s">
        <v>68</v>
      </c>
    </row>
    <row r="791" spans="3:10" x14ac:dyDescent="0.25">
      <c r="C791" s="162" t="s">
        <v>29</v>
      </c>
      <c r="D791" s="163">
        <v>15</v>
      </c>
      <c r="E791" s="163">
        <v>1.5126999616622925</v>
      </c>
      <c r="F791" s="163">
        <v>0</v>
      </c>
      <c r="G791" s="212">
        <v>0</v>
      </c>
      <c r="H791" s="212">
        <v>0</v>
      </c>
      <c r="I791" s="213">
        <v>40668</v>
      </c>
      <c r="J791" s="163">
        <v>371</v>
      </c>
    </row>
    <row r="792" spans="3:10" x14ac:dyDescent="0.25">
      <c r="C792" s="162" t="s">
        <v>30</v>
      </c>
      <c r="D792" s="163">
        <v>15</v>
      </c>
      <c r="E792" s="163">
        <v>1.5126999616622925</v>
      </c>
      <c r="F792" s="163">
        <v>169</v>
      </c>
      <c r="G792" s="212">
        <v>247</v>
      </c>
      <c r="H792" s="212">
        <v>3705</v>
      </c>
      <c r="I792" s="213">
        <v>40668</v>
      </c>
      <c r="J792" s="163">
        <v>371</v>
      </c>
    </row>
    <row r="793" spans="3:10" x14ac:dyDescent="0.25">
      <c r="C793" s="162" t="s">
        <v>31</v>
      </c>
      <c r="D793" s="163">
        <v>15</v>
      </c>
      <c r="E793" s="163">
        <v>1.5126999616622925</v>
      </c>
      <c r="F793" s="163">
        <v>88</v>
      </c>
      <c r="G793" s="212">
        <v>129</v>
      </c>
      <c r="H793" s="212">
        <v>1935</v>
      </c>
      <c r="I793" s="213">
        <v>40668</v>
      </c>
      <c r="J793" s="163">
        <v>371</v>
      </c>
    </row>
    <row r="794" spans="3:10" x14ac:dyDescent="0.25">
      <c r="C794" s="162" t="s">
        <v>32</v>
      </c>
      <c r="D794" s="163">
        <v>15</v>
      </c>
      <c r="E794" s="163">
        <v>1.5126999616622925</v>
      </c>
      <c r="F794" s="163">
        <v>55</v>
      </c>
      <c r="G794" s="212">
        <v>80</v>
      </c>
      <c r="H794" s="212">
        <v>1200</v>
      </c>
      <c r="I794" s="213">
        <v>40668</v>
      </c>
      <c r="J794" s="163">
        <v>371</v>
      </c>
    </row>
    <row r="795" spans="3:10" x14ac:dyDescent="0.25">
      <c r="G795" s="14">
        <f>SUM(G791:G794)</f>
        <v>456</v>
      </c>
      <c r="H795" s="14">
        <f>SUM(H791:H794)</f>
        <v>6840</v>
      </c>
    </row>
    <row r="797" spans="3:10" x14ac:dyDescent="0.25">
      <c r="C797" s="161" t="s">
        <v>10</v>
      </c>
      <c r="D797" s="161" t="s">
        <v>11</v>
      </c>
      <c r="E797" s="161" t="s">
        <v>12</v>
      </c>
      <c r="F797" s="161" t="s">
        <v>13</v>
      </c>
      <c r="G797" s="161" t="s">
        <v>14</v>
      </c>
      <c r="H797" s="161" t="s">
        <v>15</v>
      </c>
      <c r="I797" s="161" t="s">
        <v>8</v>
      </c>
      <c r="J797" s="161" t="s">
        <v>68</v>
      </c>
    </row>
    <row r="798" spans="3:10" x14ac:dyDescent="0.25">
      <c r="C798" s="162" t="s">
        <v>23</v>
      </c>
      <c r="D798" s="163">
        <v>15</v>
      </c>
      <c r="E798" s="163">
        <v>1.4148333072662354</v>
      </c>
      <c r="F798" s="163">
        <v>47</v>
      </c>
      <c r="G798" s="212">
        <v>65</v>
      </c>
      <c r="H798" s="212">
        <v>975</v>
      </c>
      <c r="I798" s="213">
        <v>40670</v>
      </c>
      <c r="J798" s="163">
        <v>372</v>
      </c>
    </row>
    <row r="799" spans="3:10" x14ac:dyDescent="0.25">
      <c r="C799" s="162" t="s">
        <v>24</v>
      </c>
      <c r="D799" s="163">
        <v>15</v>
      </c>
      <c r="E799" s="163">
        <v>1.4148333072662354</v>
      </c>
      <c r="F799" s="163">
        <v>64</v>
      </c>
      <c r="G799" s="212">
        <v>88</v>
      </c>
      <c r="H799" s="212">
        <v>1320</v>
      </c>
      <c r="I799" s="213">
        <v>40670</v>
      </c>
      <c r="J799" s="163">
        <v>372</v>
      </c>
    </row>
    <row r="800" spans="3:10" x14ac:dyDescent="0.25">
      <c r="C800" s="162" t="s">
        <v>25</v>
      </c>
      <c r="D800" s="163">
        <v>15</v>
      </c>
      <c r="E800" s="163">
        <v>1.4148333072662354</v>
      </c>
      <c r="F800" s="163">
        <v>390</v>
      </c>
      <c r="G800" s="212">
        <v>537</v>
      </c>
      <c r="H800" s="212">
        <v>7728</v>
      </c>
      <c r="I800" s="213">
        <v>40670</v>
      </c>
      <c r="J800" s="163">
        <v>372</v>
      </c>
    </row>
    <row r="801" spans="3:10" x14ac:dyDescent="0.25">
      <c r="C801" s="162" t="s">
        <v>26</v>
      </c>
      <c r="D801" s="163">
        <v>14.111111111111111</v>
      </c>
      <c r="E801" s="163">
        <v>1.4148333072662354</v>
      </c>
      <c r="F801" s="163">
        <v>363</v>
      </c>
      <c r="G801" s="212">
        <v>500</v>
      </c>
      <c r="H801" s="212">
        <v>7056</v>
      </c>
      <c r="I801" s="213">
        <v>40670</v>
      </c>
      <c r="J801" s="163">
        <v>372</v>
      </c>
    </row>
    <row r="802" spans="3:10" x14ac:dyDescent="0.25">
      <c r="C802" s="162" t="s">
        <v>27</v>
      </c>
      <c r="D802" s="163">
        <v>15</v>
      </c>
      <c r="E802" s="163">
        <v>1.4148333072662354</v>
      </c>
      <c r="F802" s="163">
        <v>196</v>
      </c>
      <c r="G802" s="212">
        <v>270</v>
      </c>
      <c r="H802" s="212">
        <v>4050</v>
      </c>
      <c r="I802" s="213">
        <v>40670</v>
      </c>
      <c r="J802" s="163">
        <v>372</v>
      </c>
    </row>
    <row r="803" spans="3:10" x14ac:dyDescent="0.25">
      <c r="C803" s="162" t="s">
        <v>28</v>
      </c>
      <c r="D803" s="163">
        <v>13.6875</v>
      </c>
      <c r="E803" s="163">
        <v>1.4148333072662354</v>
      </c>
      <c r="F803" s="163">
        <v>265</v>
      </c>
      <c r="G803" s="212">
        <v>365</v>
      </c>
      <c r="H803" s="212">
        <v>4996</v>
      </c>
      <c r="I803" s="213">
        <v>40670</v>
      </c>
      <c r="J803" s="163">
        <v>372</v>
      </c>
    </row>
    <row r="804" spans="3:10" x14ac:dyDescent="0.25">
      <c r="G804" s="14">
        <f>SUM(G798:G803)</f>
        <v>1825</v>
      </c>
      <c r="H804" s="14">
        <f>SUM(H798:H803)</f>
        <v>26125</v>
      </c>
    </row>
    <row r="806" spans="3:10" x14ac:dyDescent="0.25">
      <c r="C806" s="161" t="s">
        <v>10</v>
      </c>
      <c r="D806" s="161" t="s">
        <v>11</v>
      </c>
      <c r="E806" s="161" t="s">
        <v>12</v>
      </c>
      <c r="F806" s="161" t="s">
        <v>13</v>
      </c>
      <c r="G806" s="161" t="s">
        <v>14</v>
      </c>
      <c r="H806" s="161" t="s">
        <v>15</v>
      </c>
      <c r="I806" s="161" t="s">
        <v>8</v>
      </c>
      <c r="J806" s="161" t="s">
        <v>68</v>
      </c>
    </row>
    <row r="807" spans="3:10" x14ac:dyDescent="0.25">
      <c r="C807" s="162" t="s">
        <v>23</v>
      </c>
      <c r="D807" s="163">
        <v>15</v>
      </c>
      <c r="E807" s="163">
        <v>1.3994666337966919</v>
      </c>
      <c r="F807" s="163">
        <v>80</v>
      </c>
      <c r="G807" s="212">
        <v>112</v>
      </c>
      <c r="H807" s="212">
        <v>1680</v>
      </c>
      <c r="I807" s="213">
        <v>40671</v>
      </c>
      <c r="J807" s="163">
        <v>373</v>
      </c>
    </row>
    <row r="808" spans="3:10" x14ac:dyDescent="0.25">
      <c r="C808" s="162" t="s">
        <v>24</v>
      </c>
      <c r="D808" s="163">
        <v>15</v>
      </c>
      <c r="E808" s="163">
        <v>1.3994666337966919</v>
      </c>
      <c r="F808" s="163">
        <v>104</v>
      </c>
      <c r="G808" s="212">
        <v>146</v>
      </c>
      <c r="H808" s="212">
        <v>2190</v>
      </c>
      <c r="I808" s="213">
        <v>40671</v>
      </c>
      <c r="J808" s="163">
        <v>373</v>
      </c>
    </row>
    <row r="809" spans="3:10" x14ac:dyDescent="0.25">
      <c r="C809" s="162" t="s">
        <v>25</v>
      </c>
      <c r="D809" s="163">
        <v>15</v>
      </c>
      <c r="E809" s="163">
        <v>1.3994666337966919</v>
      </c>
      <c r="F809" s="163">
        <v>317</v>
      </c>
      <c r="G809" s="212">
        <v>444</v>
      </c>
      <c r="H809" s="212">
        <v>6660</v>
      </c>
      <c r="I809" s="213">
        <v>40671</v>
      </c>
      <c r="J809" s="163">
        <v>373</v>
      </c>
    </row>
    <row r="810" spans="3:10" x14ac:dyDescent="0.25">
      <c r="C810" s="162" t="s">
        <v>26</v>
      </c>
      <c r="D810" s="163">
        <v>15</v>
      </c>
      <c r="E810" s="163">
        <v>1.3994666337966919</v>
      </c>
      <c r="F810" s="163">
        <v>334</v>
      </c>
      <c r="G810" s="212">
        <v>467</v>
      </c>
      <c r="H810" s="212">
        <v>7005</v>
      </c>
      <c r="I810" s="213">
        <v>40671</v>
      </c>
      <c r="J810" s="163">
        <v>373</v>
      </c>
    </row>
    <row r="811" spans="3:10" x14ac:dyDescent="0.25">
      <c r="C811" s="162" t="s">
        <v>27</v>
      </c>
      <c r="D811" s="163">
        <v>15</v>
      </c>
      <c r="E811" s="163">
        <v>1.3994666337966919</v>
      </c>
      <c r="F811" s="163">
        <v>134</v>
      </c>
      <c r="G811" s="212">
        <v>188</v>
      </c>
      <c r="H811" s="212">
        <v>2820</v>
      </c>
      <c r="I811" s="213">
        <v>40671</v>
      </c>
      <c r="J811" s="163">
        <v>373</v>
      </c>
    </row>
    <row r="812" spans="3:10" x14ac:dyDescent="0.25">
      <c r="C812" s="162" t="s">
        <v>28</v>
      </c>
      <c r="D812" s="163">
        <v>15</v>
      </c>
      <c r="E812" s="163">
        <v>1.3994666337966919</v>
      </c>
      <c r="F812" s="163">
        <v>233</v>
      </c>
      <c r="G812" s="212">
        <v>326</v>
      </c>
      <c r="H812" s="212">
        <v>4890</v>
      </c>
      <c r="I812" s="213">
        <v>40671</v>
      </c>
      <c r="J812" s="163">
        <v>373</v>
      </c>
    </row>
    <row r="813" spans="3:10" x14ac:dyDescent="0.25">
      <c r="G813" s="14">
        <f>SUM(G807:G812)</f>
        <v>1683</v>
      </c>
      <c r="H813" s="14">
        <f>SUM(H807:H812)</f>
        <v>25245</v>
      </c>
    </row>
    <row r="814" spans="3:10" x14ac:dyDescent="0.25">
      <c r="C814" s="130"/>
      <c r="D814" s="130"/>
      <c r="E814" s="130"/>
      <c r="F814" s="130"/>
      <c r="G814" s="180"/>
      <c r="H814" s="180"/>
      <c r="I814" s="130"/>
      <c r="J814" s="130"/>
    </row>
    <row r="815" spans="3:10" x14ac:dyDescent="0.25">
      <c r="C815" s="161" t="s">
        <v>10</v>
      </c>
      <c r="D815" s="161" t="s">
        <v>11</v>
      </c>
      <c r="E815" s="161" t="s">
        <v>12</v>
      </c>
      <c r="F815" s="161" t="s">
        <v>13</v>
      </c>
      <c r="G815" s="161" t="s">
        <v>14</v>
      </c>
      <c r="H815" s="161" t="s">
        <v>15</v>
      </c>
      <c r="I815" s="161" t="s">
        <v>8</v>
      </c>
      <c r="J815" s="161" t="s">
        <v>68</v>
      </c>
    </row>
    <row r="816" spans="3:10" x14ac:dyDescent="0.25">
      <c r="C816" s="162" t="s">
        <v>29</v>
      </c>
      <c r="D816" s="163">
        <v>15</v>
      </c>
      <c r="E816" s="163">
        <v>1.4831500053405762</v>
      </c>
      <c r="F816" s="163">
        <v>0</v>
      </c>
      <c r="G816" s="212">
        <v>0</v>
      </c>
      <c r="H816" s="212">
        <v>0</v>
      </c>
      <c r="I816" s="213">
        <v>40669</v>
      </c>
      <c r="J816" s="163">
        <v>374</v>
      </c>
    </row>
    <row r="817" spans="3:10" x14ac:dyDescent="0.25">
      <c r="C817" s="162" t="s">
        <v>30</v>
      </c>
      <c r="D817" s="163">
        <v>15</v>
      </c>
      <c r="E817" s="163">
        <v>1.4831500053405762</v>
      </c>
      <c r="F817" s="163">
        <v>322</v>
      </c>
      <c r="G817" s="212">
        <v>478</v>
      </c>
      <c r="H817" s="212">
        <v>7170</v>
      </c>
      <c r="I817" s="213">
        <v>40669</v>
      </c>
      <c r="J817" s="163">
        <v>374</v>
      </c>
    </row>
    <row r="818" spans="3:10" x14ac:dyDescent="0.25">
      <c r="C818" s="162" t="s">
        <v>31</v>
      </c>
      <c r="D818" s="163">
        <v>15</v>
      </c>
      <c r="E818" s="163">
        <v>1.4831500053405762</v>
      </c>
      <c r="F818" s="163">
        <v>169</v>
      </c>
      <c r="G818" s="212">
        <v>251</v>
      </c>
      <c r="H818" s="212">
        <v>3765</v>
      </c>
      <c r="I818" s="213">
        <v>40669</v>
      </c>
      <c r="J818" s="163">
        <v>374</v>
      </c>
    </row>
    <row r="819" spans="3:10" x14ac:dyDescent="0.25">
      <c r="C819" s="162" t="s">
        <v>32</v>
      </c>
      <c r="D819" s="163">
        <v>15</v>
      </c>
      <c r="E819" s="163">
        <v>1.4831500053405762</v>
      </c>
      <c r="F819" s="163">
        <v>141</v>
      </c>
      <c r="G819" s="212">
        <v>209</v>
      </c>
      <c r="H819" s="212">
        <v>3135</v>
      </c>
      <c r="I819" s="213">
        <v>40669</v>
      </c>
      <c r="J819" s="163">
        <v>374</v>
      </c>
    </row>
    <row r="820" spans="3:10" x14ac:dyDescent="0.25">
      <c r="G820" s="14">
        <f>SUM(G816:G819)</f>
        <v>938</v>
      </c>
      <c r="H820" s="14">
        <f>SUM(H816:H819)</f>
        <v>14070</v>
      </c>
    </row>
    <row r="822" spans="3:10" x14ac:dyDescent="0.25">
      <c r="C822" s="161" t="s">
        <v>10</v>
      </c>
      <c r="D822" s="161" t="s">
        <v>11</v>
      </c>
      <c r="E822" s="161" t="s">
        <v>12</v>
      </c>
      <c r="F822" s="161" t="s">
        <v>13</v>
      </c>
      <c r="G822" s="161" t="s">
        <v>14</v>
      </c>
      <c r="H822" s="161" t="s">
        <v>15</v>
      </c>
      <c r="I822" s="161" t="s">
        <v>8</v>
      </c>
      <c r="J822" s="161" t="s">
        <v>68</v>
      </c>
    </row>
    <row r="823" spans="3:10" x14ac:dyDescent="0.25">
      <c r="C823" s="162" t="s">
        <v>29</v>
      </c>
      <c r="D823" s="163">
        <v>14.410256410256411</v>
      </c>
      <c r="E823" s="163">
        <v>1.4814333915710449</v>
      </c>
      <c r="F823" s="163">
        <v>8</v>
      </c>
      <c r="G823" s="212">
        <v>10</v>
      </c>
      <c r="H823" s="212">
        <v>144</v>
      </c>
      <c r="I823" s="213">
        <v>40670</v>
      </c>
      <c r="J823" s="163">
        <v>375</v>
      </c>
    </row>
    <row r="824" spans="3:10" x14ac:dyDescent="0.25">
      <c r="C824" s="162" t="s">
        <v>30</v>
      </c>
      <c r="D824" s="163">
        <v>14.45</v>
      </c>
      <c r="E824" s="163">
        <v>1.4814333915710449</v>
      </c>
      <c r="F824" s="163">
        <v>404</v>
      </c>
      <c r="G824" s="212">
        <v>519</v>
      </c>
      <c r="H824" s="212">
        <v>7479</v>
      </c>
      <c r="I824" s="213">
        <v>40670</v>
      </c>
      <c r="J824" s="163">
        <v>375</v>
      </c>
    </row>
    <row r="825" spans="3:10" x14ac:dyDescent="0.25">
      <c r="C825" s="162" t="s">
        <v>31</v>
      </c>
      <c r="D825" s="163">
        <v>15</v>
      </c>
      <c r="E825" s="163">
        <v>1.4814333915710449</v>
      </c>
      <c r="F825" s="163">
        <v>175</v>
      </c>
      <c r="G825" s="212">
        <v>225</v>
      </c>
      <c r="H825" s="212">
        <v>3242</v>
      </c>
      <c r="I825" s="213">
        <v>40670</v>
      </c>
      <c r="J825" s="163">
        <v>375</v>
      </c>
    </row>
    <row r="826" spans="3:10" x14ac:dyDescent="0.25">
      <c r="C826" s="162" t="s">
        <v>32</v>
      </c>
      <c r="D826" s="163">
        <v>14.076923076923077</v>
      </c>
      <c r="E826" s="163">
        <v>1.4814333915710449</v>
      </c>
      <c r="F826" s="163">
        <v>96</v>
      </c>
      <c r="G826" s="212">
        <v>123</v>
      </c>
      <c r="H826" s="212">
        <v>1731</v>
      </c>
      <c r="I826" s="213">
        <v>40670</v>
      </c>
      <c r="J826" s="163">
        <v>375</v>
      </c>
    </row>
    <row r="827" spans="3:10" x14ac:dyDescent="0.25">
      <c r="G827" s="14">
        <f>SUM(G823:G826)</f>
        <v>877</v>
      </c>
      <c r="H827" s="14">
        <f>SUM(H823:H826)</f>
        <v>12596</v>
      </c>
    </row>
    <row r="829" spans="3:10" x14ac:dyDescent="0.25">
      <c r="C829" s="161" t="s">
        <v>10</v>
      </c>
      <c r="D829" s="161" t="s">
        <v>11</v>
      </c>
      <c r="E829" s="161" t="s">
        <v>12</v>
      </c>
      <c r="F829" s="161" t="s">
        <v>13</v>
      </c>
      <c r="G829" s="161" t="s">
        <v>14</v>
      </c>
      <c r="H829" s="161" t="s">
        <v>15</v>
      </c>
      <c r="I829" s="161" t="s">
        <v>8</v>
      </c>
      <c r="J829" s="161" t="s">
        <v>68</v>
      </c>
    </row>
    <row r="830" spans="3:10" x14ac:dyDescent="0.25">
      <c r="C830" s="162" t="s">
        <v>29</v>
      </c>
      <c r="D830" s="163">
        <v>15</v>
      </c>
      <c r="E830" s="163">
        <v>1.4814333915710449</v>
      </c>
      <c r="F830" s="163">
        <v>21</v>
      </c>
      <c r="G830" s="212">
        <v>30</v>
      </c>
      <c r="H830" s="212">
        <v>432</v>
      </c>
      <c r="I830" s="213">
        <v>40671</v>
      </c>
      <c r="J830" s="163">
        <v>376</v>
      </c>
    </row>
    <row r="831" spans="3:10" x14ac:dyDescent="0.25">
      <c r="C831" s="162" t="s">
        <v>30</v>
      </c>
      <c r="D831" s="163">
        <v>14</v>
      </c>
      <c r="E831" s="163">
        <v>1.4814333915710449</v>
      </c>
      <c r="F831" s="163">
        <v>330</v>
      </c>
      <c r="G831" s="212">
        <v>473</v>
      </c>
      <c r="H831" s="212">
        <v>6622</v>
      </c>
      <c r="I831" s="213">
        <v>40671</v>
      </c>
      <c r="J831" s="163">
        <v>376</v>
      </c>
    </row>
    <row r="832" spans="3:10" x14ac:dyDescent="0.25">
      <c r="C832" s="162" t="s">
        <v>31</v>
      </c>
      <c r="D832" s="163">
        <v>15</v>
      </c>
      <c r="E832" s="163">
        <v>1.4814333915710449</v>
      </c>
      <c r="F832" s="163">
        <v>169</v>
      </c>
      <c r="G832" s="212">
        <v>242</v>
      </c>
      <c r="H832" s="212">
        <v>3630</v>
      </c>
      <c r="I832" s="213">
        <v>40671</v>
      </c>
      <c r="J832" s="163">
        <v>376</v>
      </c>
    </row>
    <row r="833" spans="3:10" x14ac:dyDescent="0.25">
      <c r="C833" s="162" t="s">
        <v>32</v>
      </c>
      <c r="D833" s="163">
        <v>14.615384615384615</v>
      </c>
      <c r="E833" s="163">
        <v>1.4814333915710449</v>
      </c>
      <c r="F833" s="163">
        <v>150</v>
      </c>
      <c r="G833" s="212">
        <v>215</v>
      </c>
      <c r="H833" s="212">
        <v>3142</v>
      </c>
      <c r="I833" s="213">
        <v>40671</v>
      </c>
      <c r="J833" s="163">
        <v>376</v>
      </c>
    </row>
    <row r="834" spans="3:10" x14ac:dyDescent="0.25">
      <c r="G834" s="14">
        <f>SUM(G830:G833)</f>
        <v>960</v>
      </c>
      <c r="H834" s="14">
        <f>SUM(H830:H833)</f>
        <v>13826</v>
      </c>
    </row>
    <row r="836" spans="3:10" x14ac:dyDescent="0.25">
      <c r="C836" s="161" t="s">
        <v>10</v>
      </c>
      <c r="D836" s="161" t="s">
        <v>11</v>
      </c>
      <c r="E836" s="161" t="s">
        <v>12</v>
      </c>
      <c r="F836" s="161" t="s">
        <v>13</v>
      </c>
      <c r="G836" s="161" t="s">
        <v>14</v>
      </c>
      <c r="H836" s="161" t="s">
        <v>15</v>
      </c>
      <c r="I836" s="161" t="s">
        <v>8</v>
      </c>
      <c r="J836" s="161" t="s">
        <v>68</v>
      </c>
    </row>
    <row r="837" spans="3:10" x14ac:dyDescent="0.25">
      <c r="C837" s="162" t="s">
        <v>34</v>
      </c>
      <c r="D837" s="163">
        <v>15</v>
      </c>
      <c r="E837" s="163">
        <v>1.5040249824523926</v>
      </c>
      <c r="F837" s="163">
        <v>112</v>
      </c>
      <c r="G837" s="212">
        <v>168</v>
      </c>
      <c r="H837" s="212">
        <v>2455</v>
      </c>
      <c r="I837" s="213">
        <v>40669</v>
      </c>
      <c r="J837" s="163">
        <v>377</v>
      </c>
    </row>
    <row r="838" spans="3:10" x14ac:dyDescent="0.25">
      <c r="C838" s="162" t="s">
        <v>35</v>
      </c>
      <c r="D838" s="163">
        <v>12</v>
      </c>
      <c r="E838" s="163">
        <v>1.5040249824523926</v>
      </c>
      <c r="F838" s="163">
        <v>102</v>
      </c>
      <c r="G838" s="212">
        <v>153</v>
      </c>
      <c r="H838" s="212">
        <v>2236</v>
      </c>
      <c r="I838" s="213">
        <v>40669</v>
      </c>
      <c r="J838" s="163">
        <v>377</v>
      </c>
    </row>
    <row r="839" spans="3:10" x14ac:dyDescent="0.25">
      <c r="C839" s="162" t="s">
        <v>74</v>
      </c>
      <c r="D839" s="163">
        <v>13.9</v>
      </c>
      <c r="E839" s="163">
        <v>1.5040249824523926</v>
      </c>
      <c r="F839" s="163">
        <v>135</v>
      </c>
      <c r="G839" s="212">
        <v>203</v>
      </c>
      <c r="H839" s="212">
        <v>2822</v>
      </c>
      <c r="I839" s="213">
        <v>40669</v>
      </c>
      <c r="J839" s="163">
        <v>377</v>
      </c>
    </row>
    <row r="840" spans="3:10" x14ac:dyDescent="0.25">
      <c r="C840" s="162" t="s">
        <v>39</v>
      </c>
      <c r="D840" s="163">
        <v>15</v>
      </c>
      <c r="E840" s="163">
        <v>1.5040249824523926</v>
      </c>
      <c r="F840" s="163">
        <v>94</v>
      </c>
      <c r="G840" s="212">
        <v>141</v>
      </c>
      <c r="H840" s="212">
        <v>2115</v>
      </c>
      <c r="I840" s="213">
        <v>40669</v>
      </c>
      <c r="J840" s="163">
        <v>377</v>
      </c>
    </row>
    <row r="841" spans="3:10" x14ac:dyDescent="0.25">
      <c r="C841" s="162" t="s">
        <v>36</v>
      </c>
      <c r="D841" s="163">
        <v>15</v>
      </c>
      <c r="E841" s="163">
        <v>1.5040249824523926</v>
      </c>
      <c r="F841" s="163">
        <v>273</v>
      </c>
      <c r="G841" s="212">
        <v>411</v>
      </c>
      <c r="H841" s="212">
        <v>6006</v>
      </c>
      <c r="I841" s="213">
        <v>40669</v>
      </c>
      <c r="J841" s="163">
        <v>377</v>
      </c>
    </row>
    <row r="842" spans="3:10" x14ac:dyDescent="0.25">
      <c r="C842" s="162" t="s">
        <v>37</v>
      </c>
      <c r="D842" s="163">
        <v>15</v>
      </c>
      <c r="E842" s="163">
        <v>1.5040249824523926</v>
      </c>
      <c r="F842" s="163">
        <v>237</v>
      </c>
      <c r="G842" s="212">
        <v>356</v>
      </c>
      <c r="H842" s="212">
        <v>5202</v>
      </c>
      <c r="I842" s="213">
        <v>40669</v>
      </c>
      <c r="J842" s="163">
        <v>377</v>
      </c>
    </row>
    <row r="843" spans="3:10" x14ac:dyDescent="0.25">
      <c r="C843" s="162" t="s">
        <v>38</v>
      </c>
      <c r="D843" s="163">
        <v>15</v>
      </c>
      <c r="E843" s="163">
        <v>1.5040249824523926</v>
      </c>
      <c r="F843" s="163">
        <v>156</v>
      </c>
      <c r="G843" s="212">
        <v>235</v>
      </c>
      <c r="H843" s="212">
        <v>3434</v>
      </c>
      <c r="I843" s="213">
        <v>40669</v>
      </c>
      <c r="J843" s="163">
        <v>377</v>
      </c>
    </row>
    <row r="844" spans="3:10" x14ac:dyDescent="0.25">
      <c r="G844" s="14">
        <f>SUM(G837:G843)</f>
        <v>1667</v>
      </c>
      <c r="H844" s="14">
        <f>SUM(H837:H843)</f>
        <v>24270</v>
      </c>
    </row>
    <row r="846" spans="3:10" x14ac:dyDescent="0.25">
      <c r="C846" s="161" t="s">
        <v>10</v>
      </c>
      <c r="D846" s="161" t="s">
        <v>11</v>
      </c>
      <c r="E846" s="161" t="s">
        <v>12</v>
      </c>
      <c r="F846" s="161" t="s">
        <v>13</v>
      </c>
      <c r="G846" s="161" t="s">
        <v>14</v>
      </c>
      <c r="H846" s="161" t="s">
        <v>15</v>
      </c>
      <c r="I846" s="161" t="s">
        <v>8</v>
      </c>
      <c r="J846" s="161" t="s">
        <v>68</v>
      </c>
    </row>
    <row r="847" spans="3:10" x14ac:dyDescent="0.25">
      <c r="C847" s="162" t="s">
        <v>34</v>
      </c>
      <c r="D847" s="163">
        <v>15</v>
      </c>
      <c r="E847" s="163">
        <v>1.5126999616622925</v>
      </c>
      <c r="F847" s="163">
        <v>57</v>
      </c>
      <c r="G847" s="212">
        <v>81</v>
      </c>
      <c r="H847" s="212">
        <v>1215</v>
      </c>
      <c r="I847" s="213">
        <v>40670</v>
      </c>
      <c r="J847" s="163">
        <v>378</v>
      </c>
    </row>
    <row r="848" spans="3:10" x14ac:dyDescent="0.25">
      <c r="C848" s="162" t="s">
        <v>35</v>
      </c>
      <c r="D848" s="163">
        <v>15</v>
      </c>
      <c r="E848" s="163">
        <v>1.5126999616622925</v>
      </c>
      <c r="F848" s="163">
        <v>93</v>
      </c>
      <c r="G848" s="212">
        <v>132</v>
      </c>
      <c r="H848" s="212">
        <v>1980</v>
      </c>
      <c r="I848" s="213">
        <v>40670</v>
      </c>
      <c r="J848" s="163">
        <v>378</v>
      </c>
    </row>
    <row r="849" spans="3:10" x14ac:dyDescent="0.25">
      <c r="C849" s="162" t="s">
        <v>74</v>
      </c>
      <c r="D849" s="163">
        <v>15</v>
      </c>
      <c r="E849" s="163">
        <v>1.5126999616622925</v>
      </c>
      <c r="F849" s="163">
        <v>157</v>
      </c>
      <c r="G849" s="212">
        <v>224</v>
      </c>
      <c r="H849" s="212">
        <v>3360</v>
      </c>
      <c r="I849" s="213">
        <v>40670</v>
      </c>
      <c r="J849" s="163">
        <v>378</v>
      </c>
    </row>
    <row r="850" spans="3:10" x14ac:dyDescent="0.25">
      <c r="C850" s="162" t="s">
        <v>39</v>
      </c>
      <c r="D850" s="163">
        <v>15</v>
      </c>
      <c r="E850" s="163">
        <v>1.5126999616622925</v>
      </c>
      <c r="F850" s="163">
        <v>105</v>
      </c>
      <c r="G850" s="212">
        <v>149</v>
      </c>
      <c r="H850" s="212">
        <v>2235</v>
      </c>
      <c r="I850" s="213">
        <v>40670</v>
      </c>
      <c r="J850" s="163">
        <v>378</v>
      </c>
    </row>
    <row r="851" spans="3:10" x14ac:dyDescent="0.25">
      <c r="C851" s="162" t="s">
        <v>36</v>
      </c>
      <c r="D851" s="163">
        <v>15</v>
      </c>
      <c r="E851" s="163">
        <v>1.5126999616622925</v>
      </c>
      <c r="F851" s="163">
        <v>448</v>
      </c>
      <c r="G851" s="212">
        <v>638</v>
      </c>
      <c r="H851" s="212">
        <v>9570</v>
      </c>
      <c r="I851" s="213">
        <v>40670</v>
      </c>
      <c r="J851" s="163">
        <v>378</v>
      </c>
    </row>
    <row r="852" spans="3:10" x14ac:dyDescent="0.25">
      <c r="C852" s="162" t="s">
        <v>37</v>
      </c>
      <c r="D852" s="163">
        <v>15</v>
      </c>
      <c r="E852" s="163">
        <v>1.5126999616622925</v>
      </c>
      <c r="F852" s="163">
        <v>300</v>
      </c>
      <c r="G852" s="212">
        <v>427</v>
      </c>
      <c r="H852" s="212">
        <v>6405</v>
      </c>
      <c r="I852" s="213">
        <v>40670</v>
      </c>
      <c r="J852" s="163">
        <v>378</v>
      </c>
    </row>
    <row r="853" spans="3:10" x14ac:dyDescent="0.25">
      <c r="C853" s="162" t="s">
        <v>38</v>
      </c>
      <c r="D853" s="163">
        <v>15</v>
      </c>
      <c r="E853" s="163">
        <v>1.5126999616622925</v>
      </c>
      <c r="F853" s="163">
        <v>159</v>
      </c>
      <c r="G853" s="212">
        <v>226</v>
      </c>
      <c r="H853" s="212">
        <v>3390</v>
      </c>
      <c r="I853" s="213">
        <v>40670</v>
      </c>
      <c r="J853" s="163">
        <v>378</v>
      </c>
    </row>
    <row r="854" spans="3:10" x14ac:dyDescent="0.25">
      <c r="G854" s="14">
        <f>SUM(G847:G853)</f>
        <v>1877</v>
      </c>
      <c r="H854" s="14">
        <f>SUM(H847:H853)</f>
        <v>28155</v>
      </c>
    </row>
    <row r="856" spans="3:10" x14ac:dyDescent="0.25">
      <c r="C856" s="161" t="s">
        <v>10</v>
      </c>
      <c r="D856" s="161" t="s">
        <v>11</v>
      </c>
      <c r="E856" s="161" t="s">
        <v>12</v>
      </c>
      <c r="F856" s="161" t="s">
        <v>13</v>
      </c>
      <c r="G856" s="161" t="s">
        <v>14</v>
      </c>
      <c r="H856" s="161" t="s">
        <v>15</v>
      </c>
      <c r="I856" s="161" t="s">
        <v>8</v>
      </c>
      <c r="J856" s="161" t="s">
        <v>68</v>
      </c>
    </row>
    <row r="857" spans="3:10" x14ac:dyDescent="0.25">
      <c r="C857" s="162" t="s">
        <v>34</v>
      </c>
      <c r="D857" s="163">
        <v>15</v>
      </c>
      <c r="E857" s="163">
        <v>1.4814333915710449</v>
      </c>
      <c r="F857" s="163">
        <v>33</v>
      </c>
      <c r="G857" s="212">
        <v>48</v>
      </c>
      <c r="H857" s="212">
        <v>720</v>
      </c>
      <c r="I857" s="213">
        <v>40671</v>
      </c>
      <c r="J857" s="163">
        <v>379</v>
      </c>
    </row>
    <row r="858" spans="3:10" x14ac:dyDescent="0.25">
      <c r="C858" s="162" t="s">
        <v>35</v>
      </c>
      <c r="D858" s="163">
        <v>15</v>
      </c>
      <c r="E858" s="163">
        <v>1.4814333915710449</v>
      </c>
      <c r="F858" s="163">
        <v>55</v>
      </c>
      <c r="G858" s="212">
        <v>80</v>
      </c>
      <c r="H858" s="212">
        <v>1200</v>
      </c>
      <c r="I858" s="213">
        <v>40671</v>
      </c>
      <c r="J858" s="163">
        <v>379</v>
      </c>
    </row>
    <row r="859" spans="3:10" x14ac:dyDescent="0.25">
      <c r="C859" s="162" t="s">
        <v>74</v>
      </c>
      <c r="D859" s="163">
        <v>15</v>
      </c>
      <c r="E859" s="163">
        <v>1.4814333915710449</v>
      </c>
      <c r="F859" s="163">
        <v>92</v>
      </c>
      <c r="G859" s="212">
        <v>134</v>
      </c>
      <c r="H859" s="212">
        <v>2010</v>
      </c>
      <c r="I859" s="213">
        <v>40671</v>
      </c>
      <c r="J859" s="163">
        <v>379</v>
      </c>
    </row>
    <row r="860" spans="3:10" x14ac:dyDescent="0.25">
      <c r="C860" s="162" t="s">
        <v>39</v>
      </c>
      <c r="D860" s="163">
        <v>15</v>
      </c>
      <c r="E860" s="163">
        <v>1.4814333915710449</v>
      </c>
      <c r="F860" s="163">
        <v>61</v>
      </c>
      <c r="G860" s="212">
        <v>89</v>
      </c>
      <c r="H860" s="212">
        <v>1335</v>
      </c>
      <c r="I860" s="213">
        <v>40671</v>
      </c>
      <c r="J860" s="163">
        <v>379</v>
      </c>
    </row>
    <row r="861" spans="3:10" x14ac:dyDescent="0.25">
      <c r="C861" s="162" t="s">
        <v>36</v>
      </c>
      <c r="D861" s="163">
        <v>15</v>
      </c>
      <c r="E861" s="163">
        <v>1.4814333915710449</v>
      </c>
      <c r="F861" s="163">
        <v>221</v>
      </c>
      <c r="G861" s="212">
        <v>322</v>
      </c>
      <c r="H861" s="212">
        <v>4830</v>
      </c>
      <c r="I861" s="213">
        <v>40671</v>
      </c>
      <c r="J861" s="163">
        <v>379</v>
      </c>
    </row>
    <row r="862" spans="3:10" x14ac:dyDescent="0.25">
      <c r="C862" s="162" t="s">
        <v>37</v>
      </c>
      <c r="D862" s="163">
        <v>15</v>
      </c>
      <c r="E862" s="163">
        <v>1.4814333915710449</v>
      </c>
      <c r="F862" s="163">
        <v>185</v>
      </c>
      <c r="G862" s="212">
        <v>270</v>
      </c>
      <c r="H862" s="212">
        <v>4050</v>
      </c>
      <c r="I862" s="213">
        <v>40671</v>
      </c>
      <c r="J862" s="163">
        <v>379</v>
      </c>
    </row>
    <row r="863" spans="3:10" x14ac:dyDescent="0.25">
      <c r="C863" s="162" t="s">
        <v>38</v>
      </c>
      <c r="D863" s="163">
        <v>15</v>
      </c>
      <c r="E863" s="163">
        <v>1.4814333915710449</v>
      </c>
      <c r="F863" s="163">
        <v>125</v>
      </c>
      <c r="G863" s="212">
        <v>182</v>
      </c>
      <c r="H863" s="212">
        <v>2730</v>
      </c>
      <c r="I863" s="213">
        <v>40671</v>
      </c>
      <c r="J863" s="163">
        <v>379</v>
      </c>
    </row>
    <row r="864" spans="3:10" x14ac:dyDescent="0.25">
      <c r="G864" s="14">
        <f>SUM(G857:G863)</f>
        <v>1125</v>
      </c>
      <c r="H864" s="14">
        <f>SUM(H857:H863)</f>
        <v>16875</v>
      </c>
    </row>
    <row r="866" spans="3:10" x14ac:dyDescent="0.25">
      <c r="C866" s="161" t="s">
        <v>10</v>
      </c>
      <c r="D866" s="161" t="s">
        <v>11</v>
      </c>
      <c r="E866" s="161" t="s">
        <v>12</v>
      </c>
      <c r="F866" s="161" t="s">
        <v>13</v>
      </c>
      <c r="G866" s="161" t="s">
        <v>14</v>
      </c>
      <c r="H866" s="161" t="s">
        <v>15</v>
      </c>
      <c r="I866" s="161" t="s">
        <v>8</v>
      </c>
      <c r="J866" s="161" t="s">
        <v>68</v>
      </c>
    </row>
    <row r="867" spans="3:10" x14ac:dyDescent="0.25">
      <c r="C867" s="162" t="s">
        <v>34</v>
      </c>
      <c r="D867" s="163">
        <v>13.5</v>
      </c>
      <c r="E867" s="163">
        <v>1.5906000137329102</v>
      </c>
      <c r="F867" s="163">
        <v>95</v>
      </c>
      <c r="G867" s="212">
        <v>144</v>
      </c>
      <c r="H867" s="212">
        <v>1944</v>
      </c>
      <c r="I867" s="213">
        <v>40623</v>
      </c>
      <c r="J867" s="163">
        <v>339</v>
      </c>
    </row>
    <row r="868" spans="3:10" x14ac:dyDescent="0.25">
      <c r="C868" s="162" t="s">
        <v>35</v>
      </c>
      <c r="D868" s="163">
        <v>13.5</v>
      </c>
      <c r="E868" s="163">
        <v>1.5906000137329102</v>
      </c>
      <c r="F868" s="163">
        <v>61</v>
      </c>
      <c r="G868" s="212">
        <v>92</v>
      </c>
      <c r="H868" s="212">
        <v>1242</v>
      </c>
      <c r="I868" s="213">
        <v>40623</v>
      </c>
      <c r="J868" s="163">
        <v>339</v>
      </c>
    </row>
    <row r="869" spans="3:10" x14ac:dyDescent="0.25">
      <c r="C869" s="162" t="s">
        <v>74</v>
      </c>
      <c r="D869" s="163">
        <v>13.5</v>
      </c>
      <c r="E869" s="163">
        <v>1.5906000137329102</v>
      </c>
      <c r="F869" s="163">
        <v>59</v>
      </c>
      <c r="G869" s="212">
        <v>89</v>
      </c>
      <c r="H869" s="212">
        <v>1202</v>
      </c>
      <c r="I869" s="213">
        <v>40623</v>
      </c>
      <c r="J869" s="163">
        <v>339</v>
      </c>
    </row>
    <row r="870" spans="3:10" x14ac:dyDescent="0.25">
      <c r="C870" s="162" t="s">
        <v>39</v>
      </c>
      <c r="D870" s="163">
        <v>13.5</v>
      </c>
      <c r="E870" s="163">
        <v>1.5906000137329102</v>
      </c>
      <c r="F870" s="163">
        <v>114</v>
      </c>
      <c r="G870" s="212">
        <v>173</v>
      </c>
      <c r="H870" s="212">
        <v>2336</v>
      </c>
      <c r="I870" s="213">
        <v>40623</v>
      </c>
      <c r="J870" s="163">
        <v>339</v>
      </c>
    </row>
    <row r="871" spans="3:10" x14ac:dyDescent="0.25">
      <c r="C871" s="162" t="s">
        <v>36</v>
      </c>
      <c r="D871" s="163">
        <v>14.266666666666667</v>
      </c>
      <c r="E871" s="163">
        <v>1.5906000137329102</v>
      </c>
      <c r="F871" s="163">
        <v>326</v>
      </c>
      <c r="G871" s="212">
        <v>494</v>
      </c>
      <c r="H871" s="212">
        <v>6669</v>
      </c>
      <c r="I871" s="213">
        <v>40623</v>
      </c>
      <c r="J871" s="163">
        <v>339</v>
      </c>
    </row>
    <row r="872" spans="3:10" x14ac:dyDescent="0.25">
      <c r="C872" s="162" t="s">
        <v>37</v>
      </c>
      <c r="D872" s="163">
        <v>11.615384615384615</v>
      </c>
      <c r="E872" s="163">
        <v>1.5906000137329102</v>
      </c>
      <c r="F872" s="163">
        <v>627</v>
      </c>
      <c r="G872" s="212">
        <v>950</v>
      </c>
      <c r="H872" s="212">
        <v>12825</v>
      </c>
      <c r="I872" s="213">
        <v>40623</v>
      </c>
      <c r="J872" s="163">
        <v>339</v>
      </c>
    </row>
    <row r="873" spans="3:10" x14ac:dyDescent="0.25">
      <c r="C873" s="162" t="s">
        <v>38</v>
      </c>
      <c r="D873" s="163">
        <v>14.583333333333334</v>
      </c>
      <c r="E873" s="163">
        <v>1.5906000137329102</v>
      </c>
      <c r="F873" s="163">
        <v>434</v>
      </c>
      <c r="G873" s="212">
        <v>657</v>
      </c>
      <c r="H873" s="212">
        <v>8870</v>
      </c>
      <c r="I873" s="213">
        <v>40623</v>
      </c>
      <c r="J873" s="163">
        <v>339</v>
      </c>
    </row>
    <row r="874" spans="3:10" x14ac:dyDescent="0.25">
      <c r="G874" s="14">
        <f>SUM(G867:G873)</f>
        <v>2599</v>
      </c>
      <c r="H874" s="14">
        <f>SUM(H867:H873)</f>
        <v>35088</v>
      </c>
    </row>
    <row r="875" spans="3:10" x14ac:dyDescent="0.25">
      <c r="C875" s="222">
        <v>40686</v>
      </c>
      <c r="D875" s="130"/>
      <c r="E875" s="130"/>
      <c r="F875" s="130"/>
      <c r="G875" s="180"/>
      <c r="H875" s="180"/>
      <c r="I875" s="130"/>
      <c r="J875" s="130"/>
    </row>
    <row r="876" spans="3:10" x14ac:dyDescent="0.25">
      <c r="C876" s="223" t="s">
        <v>10</v>
      </c>
      <c r="D876" s="223" t="s">
        <v>11</v>
      </c>
      <c r="E876" s="223" t="s">
        <v>12</v>
      </c>
      <c r="F876" s="223" t="s">
        <v>13</v>
      </c>
      <c r="G876" s="223" t="s">
        <v>14</v>
      </c>
      <c r="H876" s="223" t="s">
        <v>15</v>
      </c>
      <c r="I876" s="223" t="s">
        <v>8</v>
      </c>
      <c r="J876" s="223" t="s">
        <v>68</v>
      </c>
    </row>
    <row r="877" spans="3:10" x14ac:dyDescent="0.25">
      <c r="C877" s="224" t="s">
        <v>23</v>
      </c>
      <c r="D877" s="225">
        <v>15</v>
      </c>
      <c r="E877" s="225">
        <v>1.4148333072662354</v>
      </c>
      <c r="F877" s="225">
        <v>52</v>
      </c>
      <c r="G877" s="226">
        <v>72</v>
      </c>
      <c r="H877" s="226">
        <v>1080</v>
      </c>
      <c r="I877" s="227">
        <v>40683</v>
      </c>
      <c r="J877" s="225">
        <v>380</v>
      </c>
    </row>
    <row r="878" spans="3:10" x14ac:dyDescent="0.25">
      <c r="C878" s="224" t="s">
        <v>24</v>
      </c>
      <c r="D878" s="225">
        <v>15</v>
      </c>
      <c r="E878" s="225">
        <v>1.4148333072662354</v>
      </c>
      <c r="F878" s="225">
        <v>60</v>
      </c>
      <c r="G878" s="226">
        <v>84</v>
      </c>
      <c r="H878" s="226">
        <v>1260</v>
      </c>
      <c r="I878" s="227">
        <v>40683</v>
      </c>
      <c r="J878" s="225">
        <v>380</v>
      </c>
    </row>
    <row r="879" spans="3:10" x14ac:dyDescent="0.25">
      <c r="C879" s="224" t="s">
        <v>25</v>
      </c>
      <c r="D879" s="225">
        <v>15</v>
      </c>
      <c r="E879" s="225">
        <v>1.4148333072662354</v>
      </c>
      <c r="F879" s="225">
        <v>293</v>
      </c>
      <c r="G879" s="226">
        <v>408</v>
      </c>
      <c r="H879" s="226">
        <v>6120</v>
      </c>
      <c r="I879" s="227">
        <v>40683</v>
      </c>
      <c r="J879" s="225">
        <v>380</v>
      </c>
    </row>
    <row r="880" spans="3:10" x14ac:dyDescent="0.25">
      <c r="C880" s="224" t="s">
        <v>26</v>
      </c>
      <c r="D880" s="225">
        <v>15</v>
      </c>
      <c r="E880" s="225">
        <v>1.4148333072662354</v>
      </c>
      <c r="F880" s="225">
        <v>321</v>
      </c>
      <c r="G880" s="226">
        <v>447</v>
      </c>
      <c r="H880" s="226">
        <v>6705</v>
      </c>
      <c r="I880" s="227">
        <v>40683</v>
      </c>
      <c r="J880" s="225">
        <v>380</v>
      </c>
    </row>
    <row r="881" spans="3:10" x14ac:dyDescent="0.25">
      <c r="C881" s="224" t="s">
        <v>27</v>
      </c>
      <c r="D881" s="225">
        <v>14.833333333333334</v>
      </c>
      <c r="E881" s="225">
        <v>1.4148333072662354</v>
      </c>
      <c r="F881" s="225">
        <v>144</v>
      </c>
      <c r="G881" s="226">
        <v>200</v>
      </c>
      <c r="H881" s="226">
        <v>2967</v>
      </c>
      <c r="I881" s="227">
        <v>40683</v>
      </c>
      <c r="J881" s="225">
        <v>380</v>
      </c>
    </row>
    <row r="882" spans="3:10" x14ac:dyDescent="0.25">
      <c r="C882" s="224" t="s">
        <v>28</v>
      </c>
      <c r="D882" s="225">
        <v>15</v>
      </c>
      <c r="E882" s="225">
        <v>1.4148333072662354</v>
      </c>
      <c r="F882" s="225">
        <v>279</v>
      </c>
      <c r="G882" s="226">
        <v>388</v>
      </c>
      <c r="H882" s="226">
        <v>5820</v>
      </c>
      <c r="I882" s="227">
        <v>40683</v>
      </c>
      <c r="J882" s="225">
        <v>380</v>
      </c>
    </row>
    <row r="883" spans="3:10" x14ac:dyDescent="0.25">
      <c r="G883" s="14">
        <f>SUM(G877:G882)</f>
        <v>1599</v>
      </c>
      <c r="H883" s="14">
        <f>SUM(H877:H882)</f>
        <v>23952</v>
      </c>
    </row>
    <row r="885" spans="3:10" x14ac:dyDescent="0.25">
      <c r="C885" s="223" t="s">
        <v>10</v>
      </c>
      <c r="D885" s="223" t="s">
        <v>11</v>
      </c>
      <c r="E885" s="223" t="s">
        <v>12</v>
      </c>
      <c r="F885" s="223" t="s">
        <v>13</v>
      </c>
      <c r="G885" s="223" t="s">
        <v>14</v>
      </c>
      <c r="H885" s="223" t="s">
        <v>15</v>
      </c>
      <c r="I885" s="223" t="s">
        <v>8</v>
      </c>
      <c r="J885" s="223" t="s">
        <v>68</v>
      </c>
    </row>
    <row r="886" spans="3:10" x14ac:dyDescent="0.25">
      <c r="C886" s="224" t="s">
        <v>23</v>
      </c>
      <c r="D886" s="225">
        <v>15</v>
      </c>
      <c r="E886" s="225">
        <v>1.3994666337966919</v>
      </c>
      <c r="F886" s="225">
        <v>125</v>
      </c>
      <c r="G886" s="226">
        <v>173</v>
      </c>
      <c r="H886" s="226">
        <v>2595</v>
      </c>
      <c r="I886" s="227">
        <v>40684</v>
      </c>
      <c r="J886" s="225">
        <v>381</v>
      </c>
    </row>
    <row r="887" spans="3:10" x14ac:dyDescent="0.25">
      <c r="C887" s="224" t="s">
        <v>24</v>
      </c>
      <c r="D887" s="225">
        <v>14.423076923076923</v>
      </c>
      <c r="E887" s="225">
        <v>1.3994666337966919</v>
      </c>
      <c r="F887" s="225">
        <v>164</v>
      </c>
      <c r="G887" s="226">
        <v>227</v>
      </c>
      <c r="H887" s="226">
        <v>3274</v>
      </c>
      <c r="I887" s="227">
        <v>40684</v>
      </c>
      <c r="J887" s="225">
        <v>381</v>
      </c>
    </row>
    <row r="888" spans="3:10" x14ac:dyDescent="0.25">
      <c r="C888" s="224" t="s">
        <v>25</v>
      </c>
      <c r="D888" s="225">
        <v>15</v>
      </c>
      <c r="E888" s="225">
        <v>1.3994666337966919</v>
      </c>
      <c r="F888" s="225">
        <v>614</v>
      </c>
      <c r="G888" s="226">
        <v>851</v>
      </c>
      <c r="H888" s="226">
        <v>12765</v>
      </c>
      <c r="I888" s="227">
        <v>40684</v>
      </c>
      <c r="J888" s="225">
        <v>381</v>
      </c>
    </row>
    <row r="889" spans="3:10" x14ac:dyDescent="0.25">
      <c r="C889" s="224" t="s">
        <v>26</v>
      </c>
      <c r="D889" s="225">
        <v>14.464285714285714</v>
      </c>
      <c r="E889" s="225">
        <v>1.3994666337966919</v>
      </c>
      <c r="F889" s="225">
        <v>619</v>
      </c>
      <c r="G889" s="226">
        <v>858</v>
      </c>
      <c r="H889" s="226">
        <v>12648</v>
      </c>
      <c r="I889" s="227">
        <v>40684</v>
      </c>
      <c r="J889" s="225">
        <v>381</v>
      </c>
    </row>
    <row r="890" spans="3:10" x14ac:dyDescent="0.25">
      <c r="C890" s="224" t="s">
        <v>27</v>
      </c>
      <c r="D890" s="225">
        <v>14.472222222222221</v>
      </c>
      <c r="E890" s="225">
        <v>1.3994666337966919</v>
      </c>
      <c r="F890" s="225">
        <v>242</v>
      </c>
      <c r="G890" s="226">
        <v>335</v>
      </c>
      <c r="H890" s="226">
        <v>4848</v>
      </c>
      <c r="I890" s="227">
        <v>40684</v>
      </c>
      <c r="J890" s="225">
        <v>381</v>
      </c>
    </row>
    <row r="891" spans="3:10" x14ac:dyDescent="0.25">
      <c r="C891" s="224" t="s">
        <v>28</v>
      </c>
      <c r="D891" s="225">
        <v>14.892857142857142</v>
      </c>
      <c r="E891" s="225">
        <v>1.3994666337966919</v>
      </c>
      <c r="F891" s="225">
        <v>379</v>
      </c>
      <c r="G891" s="226">
        <v>525</v>
      </c>
      <c r="H891" s="226">
        <v>7819</v>
      </c>
      <c r="I891" s="227">
        <v>40684</v>
      </c>
      <c r="J891" s="225">
        <v>381</v>
      </c>
    </row>
    <row r="892" spans="3:10" x14ac:dyDescent="0.25">
      <c r="G892" s="14">
        <f>SUM(G886:G891)</f>
        <v>2969</v>
      </c>
      <c r="H892" s="14">
        <f>SUM(H886:H891)</f>
        <v>43949</v>
      </c>
    </row>
    <row r="894" spans="3:10" x14ac:dyDescent="0.25">
      <c r="C894" s="223" t="s">
        <v>10</v>
      </c>
      <c r="D894" s="223" t="s">
        <v>11</v>
      </c>
      <c r="E894" s="223" t="s">
        <v>12</v>
      </c>
      <c r="F894" s="223" t="s">
        <v>13</v>
      </c>
      <c r="G894" s="223" t="s">
        <v>14</v>
      </c>
      <c r="H894" s="223" t="s">
        <v>15</v>
      </c>
      <c r="I894" s="223" t="s">
        <v>8</v>
      </c>
      <c r="J894" s="223" t="s">
        <v>68</v>
      </c>
    </row>
    <row r="895" spans="3:10" x14ac:dyDescent="0.25">
      <c r="C895" s="224" t="s">
        <v>23</v>
      </c>
      <c r="D895" s="225">
        <v>15</v>
      </c>
      <c r="E895" s="225">
        <v>1.4148333072662354</v>
      </c>
      <c r="F895" s="225">
        <v>97</v>
      </c>
      <c r="G895" s="226">
        <v>137</v>
      </c>
      <c r="H895" s="226">
        <v>2055</v>
      </c>
      <c r="I895" s="227">
        <v>40685</v>
      </c>
      <c r="J895" s="225">
        <v>382</v>
      </c>
    </row>
    <row r="896" spans="3:10" x14ac:dyDescent="0.25">
      <c r="C896" s="224" t="s">
        <v>24</v>
      </c>
      <c r="D896" s="225">
        <v>15</v>
      </c>
      <c r="E896" s="225">
        <v>1.4148333072662354</v>
      </c>
      <c r="F896" s="225">
        <v>134</v>
      </c>
      <c r="G896" s="226">
        <v>190</v>
      </c>
      <c r="H896" s="226">
        <v>2850</v>
      </c>
      <c r="I896" s="227">
        <v>40685</v>
      </c>
      <c r="J896" s="225">
        <v>382</v>
      </c>
    </row>
    <row r="897" spans="3:10" x14ac:dyDescent="0.25">
      <c r="C897" s="224" t="s">
        <v>25</v>
      </c>
      <c r="D897" s="225">
        <v>15</v>
      </c>
      <c r="E897" s="225">
        <v>1.4148333072662354</v>
      </c>
      <c r="F897" s="225">
        <v>343</v>
      </c>
      <c r="G897" s="226">
        <v>485</v>
      </c>
      <c r="H897" s="226">
        <v>7275</v>
      </c>
      <c r="I897" s="227">
        <v>40685</v>
      </c>
      <c r="J897" s="225">
        <v>382</v>
      </c>
    </row>
    <row r="898" spans="3:10" x14ac:dyDescent="0.25">
      <c r="C898" s="224" t="s">
        <v>26</v>
      </c>
      <c r="D898" s="225">
        <v>15</v>
      </c>
      <c r="E898" s="225">
        <v>1.4148333072662354</v>
      </c>
      <c r="F898" s="225">
        <v>434</v>
      </c>
      <c r="G898" s="226">
        <v>614</v>
      </c>
      <c r="H898" s="226">
        <v>9210</v>
      </c>
      <c r="I898" s="227">
        <v>40685</v>
      </c>
      <c r="J898" s="225">
        <v>382</v>
      </c>
    </row>
    <row r="899" spans="3:10" x14ac:dyDescent="0.25">
      <c r="C899" s="224" t="s">
        <v>27</v>
      </c>
      <c r="D899" s="225">
        <v>15</v>
      </c>
      <c r="E899" s="225">
        <v>1.4148333072662354</v>
      </c>
      <c r="F899" s="225">
        <v>180</v>
      </c>
      <c r="G899" s="226">
        <v>255</v>
      </c>
      <c r="H899" s="226">
        <v>3825</v>
      </c>
      <c r="I899" s="227">
        <v>40685</v>
      </c>
      <c r="J899" s="225">
        <v>382</v>
      </c>
    </row>
    <row r="900" spans="3:10" x14ac:dyDescent="0.25">
      <c r="C900" s="224" t="s">
        <v>28</v>
      </c>
      <c r="D900" s="225">
        <v>15</v>
      </c>
      <c r="E900" s="225">
        <v>1.4148333072662354</v>
      </c>
      <c r="F900" s="225">
        <v>275</v>
      </c>
      <c r="G900" s="226">
        <v>389</v>
      </c>
      <c r="H900" s="226">
        <v>5835</v>
      </c>
      <c r="I900" s="227">
        <v>40685</v>
      </c>
      <c r="J900" s="225">
        <v>382</v>
      </c>
    </row>
    <row r="901" spans="3:10" x14ac:dyDescent="0.25">
      <c r="F901">
        <f>SUM(F895:F900)</f>
        <v>1463</v>
      </c>
      <c r="G901" s="14">
        <f>SUM(G895:G900)</f>
        <v>2070</v>
      </c>
      <c r="H901" s="14">
        <f>SUM(H895:H900)</f>
        <v>31050</v>
      </c>
    </row>
    <row r="902" spans="3:10" x14ac:dyDescent="0.25">
      <c r="J902" s="130"/>
    </row>
    <row r="903" spans="3:10" x14ac:dyDescent="0.25">
      <c r="C903" s="223" t="s">
        <v>10</v>
      </c>
      <c r="D903" s="223" t="s">
        <v>11</v>
      </c>
      <c r="E903" s="223" t="s">
        <v>12</v>
      </c>
      <c r="F903" s="223" t="s">
        <v>13</v>
      </c>
      <c r="G903" s="223" t="s">
        <v>14</v>
      </c>
      <c r="H903" s="223" t="s">
        <v>15</v>
      </c>
      <c r="I903" s="223" t="s">
        <v>8</v>
      </c>
      <c r="J903" s="223" t="s">
        <v>68</v>
      </c>
    </row>
    <row r="904" spans="3:10" x14ac:dyDescent="0.25">
      <c r="C904" s="224" t="s">
        <v>29</v>
      </c>
      <c r="D904" s="225">
        <v>15.008849557522124</v>
      </c>
      <c r="E904" s="225">
        <v>1.4831500053405762</v>
      </c>
      <c r="F904" s="225">
        <v>0</v>
      </c>
      <c r="G904" s="226">
        <v>0</v>
      </c>
      <c r="H904" s="226">
        <v>0</v>
      </c>
      <c r="I904" s="227">
        <v>40681</v>
      </c>
      <c r="J904" s="225">
        <v>383</v>
      </c>
    </row>
    <row r="905" spans="3:10" x14ac:dyDescent="0.25">
      <c r="C905" s="224" t="s">
        <v>30</v>
      </c>
      <c r="D905" s="225">
        <v>14.973684210526315</v>
      </c>
      <c r="E905" s="225">
        <v>1.4831500053405762</v>
      </c>
      <c r="F905" s="225">
        <v>291</v>
      </c>
      <c r="G905" s="226">
        <v>424</v>
      </c>
      <c r="H905" s="226">
        <v>6349</v>
      </c>
      <c r="I905" s="227">
        <v>40681</v>
      </c>
      <c r="J905" s="225">
        <v>383</v>
      </c>
    </row>
    <row r="906" spans="3:10" x14ac:dyDescent="0.25">
      <c r="C906" s="224" t="s">
        <v>31</v>
      </c>
      <c r="D906" s="225">
        <v>15.047619047619047</v>
      </c>
      <c r="E906" s="225">
        <v>1.4831500053405762</v>
      </c>
      <c r="F906" s="225">
        <v>196</v>
      </c>
      <c r="G906" s="226">
        <v>286</v>
      </c>
      <c r="H906" s="226">
        <v>4304</v>
      </c>
      <c r="I906" s="227">
        <v>40681</v>
      </c>
      <c r="J906" s="225">
        <v>383</v>
      </c>
    </row>
    <row r="907" spans="3:10" x14ac:dyDescent="0.25">
      <c r="C907" s="224" t="s">
        <v>32</v>
      </c>
      <c r="D907" s="225">
        <v>15</v>
      </c>
      <c r="E907" s="225">
        <v>1.4831500053405762</v>
      </c>
      <c r="F907" s="225">
        <v>113</v>
      </c>
      <c r="G907" s="226">
        <v>165</v>
      </c>
      <c r="H907" s="226">
        <v>2475</v>
      </c>
      <c r="I907" s="227">
        <v>40681</v>
      </c>
      <c r="J907" s="225">
        <v>383</v>
      </c>
    </row>
    <row r="908" spans="3:10" x14ac:dyDescent="0.25">
      <c r="G908" s="14">
        <f>SUM(G904:G907)</f>
        <v>875</v>
      </c>
      <c r="H908" s="14">
        <f>SUM(H904:H907)</f>
        <v>13128</v>
      </c>
    </row>
    <row r="910" spans="3:10" x14ac:dyDescent="0.25">
      <c r="C910" s="223" t="s">
        <v>10</v>
      </c>
      <c r="D910" s="223" t="s">
        <v>11</v>
      </c>
      <c r="E910" s="223" t="s">
        <v>12</v>
      </c>
      <c r="F910" s="223" t="s">
        <v>13</v>
      </c>
      <c r="G910" s="223" t="s">
        <v>14</v>
      </c>
      <c r="H910" s="223" t="s">
        <v>15</v>
      </c>
      <c r="I910" s="223" t="s">
        <v>8</v>
      </c>
      <c r="J910" s="223" t="s">
        <v>68</v>
      </c>
    </row>
    <row r="911" spans="3:10" x14ac:dyDescent="0.25">
      <c r="C911" s="224" t="s">
        <v>29</v>
      </c>
      <c r="D911" s="225">
        <v>14.990099009900991</v>
      </c>
      <c r="E911" s="225">
        <v>1.4831500053405762</v>
      </c>
      <c r="F911" s="225">
        <v>19</v>
      </c>
      <c r="G911" s="226">
        <v>28</v>
      </c>
      <c r="H911" s="226">
        <v>420</v>
      </c>
      <c r="I911" s="227">
        <v>40682</v>
      </c>
      <c r="J911" s="225">
        <v>384</v>
      </c>
    </row>
    <row r="912" spans="3:10" x14ac:dyDescent="0.25">
      <c r="C912" s="224" t="s">
        <v>30</v>
      </c>
      <c r="D912" s="225">
        <v>15</v>
      </c>
      <c r="E912" s="225">
        <v>1.4831500053405762</v>
      </c>
      <c r="F912" s="225">
        <v>485</v>
      </c>
      <c r="G912" s="226">
        <v>705</v>
      </c>
      <c r="H912" s="226">
        <v>10575</v>
      </c>
      <c r="I912" s="227">
        <v>40682</v>
      </c>
      <c r="J912" s="225">
        <v>384</v>
      </c>
    </row>
    <row r="913" spans="3:10" x14ac:dyDescent="0.25">
      <c r="C913" s="224" t="s">
        <v>31</v>
      </c>
      <c r="D913" s="225">
        <v>15</v>
      </c>
      <c r="E913" s="225">
        <v>1.4831500053405762</v>
      </c>
      <c r="F913" s="225">
        <v>287</v>
      </c>
      <c r="G913" s="226">
        <v>417</v>
      </c>
      <c r="H913" s="226">
        <v>6255</v>
      </c>
      <c r="I913" s="227">
        <v>40682</v>
      </c>
      <c r="J913" s="225">
        <v>384</v>
      </c>
    </row>
    <row r="914" spans="3:10" x14ac:dyDescent="0.25">
      <c r="C914" s="224" t="s">
        <v>32</v>
      </c>
      <c r="D914" s="225">
        <v>14.966666666666667</v>
      </c>
      <c r="E914" s="225">
        <v>1.4831500053405762</v>
      </c>
      <c r="F914" s="225">
        <v>157</v>
      </c>
      <c r="G914" s="226">
        <v>228</v>
      </c>
      <c r="H914" s="226">
        <v>3412</v>
      </c>
      <c r="I914" s="227">
        <v>40682</v>
      </c>
      <c r="J914" s="225">
        <v>384</v>
      </c>
    </row>
    <row r="915" spans="3:10" x14ac:dyDescent="0.25">
      <c r="G915" s="14">
        <f>SUM(G911:G914)</f>
        <v>1378</v>
      </c>
      <c r="H915" s="14">
        <f>SUM(H911:H914)</f>
        <v>20662</v>
      </c>
    </row>
    <row r="917" spans="3:10" x14ac:dyDescent="0.25">
      <c r="C917" s="223" t="s">
        <v>10</v>
      </c>
      <c r="D917" s="223" t="s">
        <v>11</v>
      </c>
      <c r="E917" s="223" t="s">
        <v>12</v>
      </c>
      <c r="F917" s="223" t="s">
        <v>13</v>
      </c>
      <c r="G917" s="223" t="s">
        <v>14</v>
      </c>
      <c r="H917" s="223" t="s">
        <v>15</v>
      </c>
      <c r="I917" s="223" t="s">
        <v>8</v>
      </c>
      <c r="J917" s="223" t="s">
        <v>68</v>
      </c>
    </row>
    <row r="918" spans="3:10" x14ac:dyDescent="0.25">
      <c r="C918" s="224" t="s">
        <v>29</v>
      </c>
      <c r="D918" s="225">
        <v>14.897727272727273</v>
      </c>
      <c r="E918" s="225">
        <v>1.4831500053405762</v>
      </c>
      <c r="F918" s="225">
        <v>17</v>
      </c>
      <c r="G918" s="226">
        <v>24</v>
      </c>
      <c r="H918" s="226">
        <v>358</v>
      </c>
      <c r="I918" s="227">
        <v>40683</v>
      </c>
      <c r="J918" s="225">
        <v>385</v>
      </c>
    </row>
    <row r="919" spans="3:10" x14ac:dyDescent="0.25">
      <c r="C919" s="224" t="s">
        <v>30</v>
      </c>
      <c r="D919" s="225">
        <v>15</v>
      </c>
      <c r="E919" s="225">
        <v>1.4831500053405762</v>
      </c>
      <c r="F919" s="225">
        <v>360</v>
      </c>
      <c r="G919" s="226">
        <v>516</v>
      </c>
      <c r="H919" s="226">
        <v>7740</v>
      </c>
      <c r="I919" s="227">
        <v>40683</v>
      </c>
      <c r="J919" s="225">
        <v>385</v>
      </c>
    </row>
    <row r="920" spans="3:10" x14ac:dyDescent="0.25">
      <c r="C920" s="224" t="s">
        <v>31</v>
      </c>
      <c r="D920" s="225">
        <v>15</v>
      </c>
      <c r="E920" s="225">
        <v>1.4831500053405762</v>
      </c>
      <c r="F920" s="225">
        <v>247</v>
      </c>
      <c r="G920" s="226">
        <v>354</v>
      </c>
      <c r="H920" s="226">
        <v>5310</v>
      </c>
      <c r="I920" s="227">
        <v>40683</v>
      </c>
      <c r="J920" s="225">
        <v>385</v>
      </c>
    </row>
    <row r="921" spans="3:10" x14ac:dyDescent="0.25">
      <c r="C921" s="224" t="s">
        <v>32</v>
      </c>
      <c r="D921" s="225">
        <v>14.689655172413794</v>
      </c>
      <c r="E921" s="225">
        <v>1.4831500053405762</v>
      </c>
      <c r="F921" s="225">
        <v>144</v>
      </c>
      <c r="G921" s="226">
        <v>207</v>
      </c>
      <c r="H921" s="226">
        <v>3041</v>
      </c>
      <c r="I921" s="227">
        <v>40683</v>
      </c>
      <c r="J921" s="225">
        <v>385</v>
      </c>
    </row>
    <row r="922" spans="3:10" x14ac:dyDescent="0.25">
      <c r="G922" s="14">
        <f>SUM(G918:G921)</f>
        <v>1101</v>
      </c>
      <c r="H922" s="14">
        <f>SUM(H918:H921)</f>
        <v>16449</v>
      </c>
    </row>
    <row r="924" spans="3:10" x14ac:dyDescent="0.25">
      <c r="C924" s="223" t="s">
        <v>10</v>
      </c>
      <c r="D924" s="223" t="s">
        <v>11</v>
      </c>
      <c r="E924" s="223" t="s">
        <v>12</v>
      </c>
      <c r="F924" s="223" t="s">
        <v>13</v>
      </c>
      <c r="G924" s="223" t="s">
        <v>14</v>
      </c>
      <c r="H924" s="223" t="s">
        <v>15</v>
      </c>
      <c r="I924" s="223" t="s">
        <v>8</v>
      </c>
      <c r="J924" s="223" t="s">
        <v>68</v>
      </c>
    </row>
    <row r="925" spans="3:10" x14ac:dyDescent="0.25">
      <c r="C925" s="224" t="s">
        <v>29</v>
      </c>
      <c r="D925" s="225">
        <v>12.066666666666666</v>
      </c>
      <c r="E925" s="225">
        <v>1.5126999616622925</v>
      </c>
      <c r="F925" s="225">
        <v>32</v>
      </c>
      <c r="G925" s="226">
        <v>48</v>
      </c>
      <c r="H925" s="226">
        <v>579</v>
      </c>
      <c r="I925" s="227">
        <v>40684</v>
      </c>
      <c r="J925" s="225">
        <v>386</v>
      </c>
    </row>
    <row r="926" spans="3:10" x14ac:dyDescent="0.25">
      <c r="C926" s="224" t="s">
        <v>30</v>
      </c>
      <c r="D926" s="225">
        <v>14.565217391304348</v>
      </c>
      <c r="E926" s="225">
        <v>1.5126999616622925</v>
      </c>
      <c r="F926" s="225">
        <v>532</v>
      </c>
      <c r="G926" s="226">
        <v>794</v>
      </c>
      <c r="H926" s="226">
        <v>9581</v>
      </c>
      <c r="I926" s="227">
        <v>40684</v>
      </c>
      <c r="J926" s="225">
        <v>386</v>
      </c>
    </row>
    <row r="927" spans="3:10" x14ac:dyDescent="0.25">
      <c r="C927" s="224" t="s">
        <v>31</v>
      </c>
      <c r="D927" s="225">
        <v>13.52</v>
      </c>
      <c r="E927" s="225">
        <v>1.5126999616622925</v>
      </c>
      <c r="F927" s="225">
        <v>351</v>
      </c>
      <c r="G927" s="226">
        <v>524</v>
      </c>
      <c r="H927" s="226">
        <v>7084</v>
      </c>
      <c r="I927" s="227">
        <v>40684</v>
      </c>
      <c r="J927" s="225">
        <v>386</v>
      </c>
    </row>
    <row r="928" spans="3:10" x14ac:dyDescent="0.25">
      <c r="C928" s="224" t="s">
        <v>32</v>
      </c>
      <c r="D928" s="225">
        <v>8.5925925925925934</v>
      </c>
      <c r="E928" s="225">
        <v>1.5126999616622925</v>
      </c>
      <c r="F928" s="225">
        <v>214</v>
      </c>
      <c r="G928" s="226">
        <v>319</v>
      </c>
      <c r="H928" s="226">
        <v>2741</v>
      </c>
      <c r="I928" s="227">
        <v>40684</v>
      </c>
      <c r="J928" s="225">
        <v>386</v>
      </c>
    </row>
    <row r="929" spans="3:10" x14ac:dyDescent="0.25">
      <c r="G929" s="14">
        <f>SUM(G925:G928)</f>
        <v>1685</v>
      </c>
      <c r="H929" s="14">
        <f>SUM(H925:H928)</f>
        <v>19985</v>
      </c>
    </row>
    <row r="931" spans="3:10" x14ac:dyDescent="0.25">
      <c r="C931" s="223" t="s">
        <v>10</v>
      </c>
      <c r="D931" s="223" t="s">
        <v>11</v>
      </c>
      <c r="E931" s="223" t="s">
        <v>12</v>
      </c>
      <c r="F931" s="223" t="s">
        <v>13</v>
      </c>
      <c r="G931" s="223" t="s">
        <v>14</v>
      </c>
      <c r="H931" s="223" t="s">
        <v>15</v>
      </c>
      <c r="I931" s="223" t="s">
        <v>8</v>
      </c>
      <c r="J931" s="223" t="s">
        <v>68</v>
      </c>
    </row>
    <row r="932" spans="3:10" x14ac:dyDescent="0.25">
      <c r="C932" s="224" t="s">
        <v>29</v>
      </c>
      <c r="D932" s="225">
        <v>10.313559322033898</v>
      </c>
      <c r="E932" s="225">
        <v>1.5126999616622925</v>
      </c>
      <c r="F932" s="225">
        <v>32</v>
      </c>
      <c r="G932" s="226">
        <v>51</v>
      </c>
      <c r="H932" s="226">
        <v>526</v>
      </c>
      <c r="I932" s="227">
        <v>40685</v>
      </c>
      <c r="J932" s="225">
        <v>387</v>
      </c>
    </row>
    <row r="933" spans="3:10" x14ac:dyDescent="0.25">
      <c r="C933" s="224" t="s">
        <v>30</v>
      </c>
      <c r="D933" s="225">
        <v>13.414634146341463</v>
      </c>
      <c r="E933" s="225">
        <v>1.5126999616622925</v>
      </c>
      <c r="F933" s="225">
        <v>355</v>
      </c>
      <c r="G933" s="226">
        <v>571</v>
      </c>
      <c r="H933" s="226">
        <v>7660</v>
      </c>
      <c r="I933" s="227">
        <v>40685</v>
      </c>
      <c r="J933" s="225">
        <v>387</v>
      </c>
    </row>
    <row r="934" spans="3:10" x14ac:dyDescent="0.25">
      <c r="C934" s="224" t="s">
        <v>31</v>
      </c>
      <c r="D934" s="225">
        <v>6.3461538461538458</v>
      </c>
      <c r="E934" s="225">
        <v>1.5126999616622925</v>
      </c>
      <c r="F934" s="225">
        <v>244</v>
      </c>
      <c r="G934" s="226">
        <v>392</v>
      </c>
      <c r="H934" s="226">
        <v>2488</v>
      </c>
      <c r="I934" s="227">
        <v>40685</v>
      </c>
      <c r="J934" s="225">
        <v>387</v>
      </c>
    </row>
    <row r="935" spans="3:10" x14ac:dyDescent="0.25">
      <c r="C935" s="224" t="s">
        <v>32</v>
      </c>
      <c r="D935" s="225">
        <v>13.48</v>
      </c>
      <c r="E935" s="225">
        <v>1.5126999616622925</v>
      </c>
      <c r="F935" s="225">
        <v>180</v>
      </c>
      <c r="G935" s="226">
        <v>289</v>
      </c>
      <c r="H935" s="226">
        <v>3896</v>
      </c>
      <c r="I935" s="227">
        <v>40685</v>
      </c>
      <c r="J935" s="225">
        <v>387</v>
      </c>
    </row>
    <row r="936" spans="3:10" x14ac:dyDescent="0.25">
      <c r="G936" s="14">
        <f>SUM(G932:G935)</f>
        <v>1303</v>
      </c>
      <c r="H936" s="14">
        <f>SUM(H932:H935)</f>
        <v>14570</v>
      </c>
    </row>
    <row r="938" spans="3:10" x14ac:dyDescent="0.25">
      <c r="C938" s="223" t="s">
        <v>10</v>
      </c>
      <c r="D938" s="223" t="s">
        <v>11</v>
      </c>
      <c r="E938" s="223" t="s">
        <v>12</v>
      </c>
      <c r="F938" s="223" t="s">
        <v>13</v>
      </c>
      <c r="G938" s="223" t="s">
        <v>14</v>
      </c>
      <c r="H938" s="223" t="s">
        <v>15</v>
      </c>
      <c r="I938" s="223" t="s">
        <v>8</v>
      </c>
      <c r="J938" s="223" t="s">
        <v>68</v>
      </c>
    </row>
    <row r="939" spans="3:10" x14ac:dyDescent="0.25">
      <c r="C939" s="224" t="s">
        <v>34</v>
      </c>
      <c r="D939" s="225">
        <v>15.191666666666666</v>
      </c>
      <c r="E939" s="225">
        <v>1.50409996509552</v>
      </c>
      <c r="F939" s="225">
        <v>87</v>
      </c>
      <c r="G939" s="226">
        <v>128</v>
      </c>
      <c r="H939" s="226">
        <v>1945</v>
      </c>
      <c r="I939" s="227">
        <v>40684</v>
      </c>
      <c r="J939" s="225">
        <v>388</v>
      </c>
    </row>
    <row r="940" spans="3:10" x14ac:dyDescent="0.25">
      <c r="C940" s="224" t="s">
        <v>35</v>
      </c>
      <c r="D940" s="225">
        <v>15.191666666666666</v>
      </c>
      <c r="E940" s="225">
        <v>1.50409996509552</v>
      </c>
      <c r="F940" s="225">
        <v>142</v>
      </c>
      <c r="G940" s="226">
        <v>208</v>
      </c>
      <c r="H940" s="226">
        <v>3160</v>
      </c>
      <c r="I940" s="227">
        <v>40684</v>
      </c>
      <c r="J940" s="225">
        <v>388</v>
      </c>
    </row>
    <row r="941" spans="3:10" x14ac:dyDescent="0.25">
      <c r="C941" s="224" t="s">
        <v>74</v>
      </c>
      <c r="D941" s="225">
        <v>15.191666666666666</v>
      </c>
      <c r="E941" s="225">
        <v>1.50409996509552</v>
      </c>
      <c r="F941" s="225">
        <v>239</v>
      </c>
      <c r="G941" s="226">
        <v>351</v>
      </c>
      <c r="H941" s="226">
        <v>5332</v>
      </c>
      <c r="I941" s="227">
        <v>40684</v>
      </c>
      <c r="J941" s="225">
        <v>388</v>
      </c>
    </row>
    <row r="942" spans="3:10" x14ac:dyDescent="0.25">
      <c r="C942" s="224" t="s">
        <v>39</v>
      </c>
      <c r="D942" s="225">
        <v>15.191666666666666</v>
      </c>
      <c r="E942" s="225">
        <v>1.50409996509552</v>
      </c>
      <c r="F942" s="225">
        <v>160</v>
      </c>
      <c r="G942" s="226">
        <v>235</v>
      </c>
      <c r="H942" s="226">
        <v>3570</v>
      </c>
      <c r="I942" s="227">
        <v>40684</v>
      </c>
      <c r="J942" s="225">
        <v>388</v>
      </c>
    </row>
    <row r="943" spans="3:10" x14ac:dyDescent="0.25">
      <c r="C943" s="224" t="s">
        <v>36</v>
      </c>
      <c r="D943" s="225">
        <v>15</v>
      </c>
      <c r="E943" s="225">
        <v>1.50409996509552</v>
      </c>
      <c r="F943" s="225">
        <v>614</v>
      </c>
      <c r="G943" s="226">
        <v>901</v>
      </c>
      <c r="H943" s="226">
        <v>13515</v>
      </c>
      <c r="I943" s="227">
        <v>40684</v>
      </c>
      <c r="J943" s="225">
        <v>388</v>
      </c>
    </row>
    <row r="944" spans="3:10" x14ac:dyDescent="0.25">
      <c r="C944" s="224" t="s">
        <v>37</v>
      </c>
      <c r="D944" s="225">
        <v>15.534883720930232</v>
      </c>
      <c r="E944" s="225">
        <v>1.50409996509552</v>
      </c>
      <c r="F944" s="225">
        <v>464</v>
      </c>
      <c r="G944" s="226">
        <v>681</v>
      </c>
      <c r="H944" s="226">
        <v>10579</v>
      </c>
      <c r="I944" s="227">
        <v>40684</v>
      </c>
      <c r="J944" s="225">
        <v>388</v>
      </c>
    </row>
    <row r="945" spans="3:10" x14ac:dyDescent="0.25">
      <c r="C945" s="224" t="s">
        <v>38</v>
      </c>
      <c r="D945" s="225">
        <v>15</v>
      </c>
      <c r="E945" s="225">
        <v>1.50409996509552</v>
      </c>
      <c r="F945" s="225">
        <v>304</v>
      </c>
      <c r="G945" s="226">
        <v>446</v>
      </c>
      <c r="H945" s="226">
        <v>6690</v>
      </c>
      <c r="I945" s="227">
        <v>40684</v>
      </c>
      <c r="J945" s="225">
        <v>388</v>
      </c>
    </row>
    <row r="946" spans="3:10" x14ac:dyDescent="0.25">
      <c r="G946" s="14">
        <f>SUM(G939:G945)</f>
        <v>2950</v>
      </c>
      <c r="H946" s="14">
        <f>SUM(H939:H945)</f>
        <v>44791</v>
      </c>
    </row>
    <row r="948" spans="3:10" x14ac:dyDescent="0.25">
      <c r="C948" s="223" t="s">
        <v>10</v>
      </c>
      <c r="D948" s="223" t="s">
        <v>11</v>
      </c>
      <c r="E948" s="223" t="s">
        <v>12</v>
      </c>
      <c r="F948" s="223" t="s">
        <v>13</v>
      </c>
      <c r="G948" s="223" t="s">
        <v>14</v>
      </c>
      <c r="H948" s="223" t="s">
        <v>15</v>
      </c>
      <c r="I948" s="223" t="s">
        <v>8</v>
      </c>
      <c r="J948" s="223" t="s">
        <v>68</v>
      </c>
    </row>
    <row r="949" spans="3:10" x14ac:dyDescent="0.25">
      <c r="C949" s="224" t="s">
        <v>34</v>
      </c>
      <c r="D949" s="225">
        <v>14.953125</v>
      </c>
      <c r="E949" s="225">
        <v>1.4674333333969116</v>
      </c>
      <c r="F949" s="225">
        <v>93</v>
      </c>
      <c r="G949" s="226">
        <v>133</v>
      </c>
      <c r="H949" s="226">
        <v>1989</v>
      </c>
      <c r="I949" s="227">
        <v>40685</v>
      </c>
      <c r="J949" s="225">
        <v>389</v>
      </c>
    </row>
    <row r="950" spans="3:10" x14ac:dyDescent="0.25">
      <c r="C950" s="224" t="s">
        <v>35</v>
      </c>
      <c r="D950" s="225">
        <v>14.953125</v>
      </c>
      <c r="E950" s="225">
        <v>1.4674333333969116</v>
      </c>
      <c r="F950" s="225">
        <v>152</v>
      </c>
      <c r="G950" s="226">
        <v>218</v>
      </c>
      <c r="H950" s="226">
        <v>3260</v>
      </c>
      <c r="I950" s="227">
        <v>40685</v>
      </c>
      <c r="J950" s="225">
        <v>389</v>
      </c>
    </row>
    <row r="951" spans="3:10" x14ac:dyDescent="0.25">
      <c r="C951" s="224" t="s">
        <v>74</v>
      </c>
      <c r="D951" s="225">
        <v>14.953125</v>
      </c>
      <c r="E951" s="225">
        <v>1.4674333333969116</v>
      </c>
      <c r="F951" s="225">
        <v>255</v>
      </c>
      <c r="G951" s="226">
        <v>366</v>
      </c>
      <c r="H951" s="226">
        <v>5473</v>
      </c>
      <c r="I951" s="227">
        <v>40685</v>
      </c>
      <c r="J951" s="225">
        <v>389</v>
      </c>
    </row>
    <row r="952" spans="3:10" x14ac:dyDescent="0.25">
      <c r="C952" s="224" t="s">
        <v>39</v>
      </c>
      <c r="D952" s="225">
        <v>14.953125</v>
      </c>
      <c r="E952" s="225">
        <v>1.4674333333969116</v>
      </c>
      <c r="F952" s="225">
        <v>177</v>
      </c>
      <c r="G952" s="226">
        <v>254</v>
      </c>
      <c r="H952" s="226">
        <v>3798</v>
      </c>
      <c r="I952" s="227">
        <v>40685</v>
      </c>
      <c r="J952" s="225">
        <v>389</v>
      </c>
    </row>
    <row r="953" spans="3:10" x14ac:dyDescent="0.25">
      <c r="C953" s="224" t="s">
        <v>36</v>
      </c>
      <c r="D953" s="225">
        <v>15</v>
      </c>
      <c r="E953" s="225">
        <v>1.4674333333969116</v>
      </c>
      <c r="F953" s="225">
        <v>617</v>
      </c>
      <c r="G953" s="226">
        <v>885</v>
      </c>
      <c r="H953" s="226">
        <v>13275</v>
      </c>
      <c r="I953" s="227">
        <v>40685</v>
      </c>
      <c r="J953" s="225">
        <v>389</v>
      </c>
    </row>
    <row r="954" spans="3:10" x14ac:dyDescent="0.25">
      <c r="C954" s="224" t="s">
        <v>37</v>
      </c>
      <c r="D954" s="225">
        <v>15</v>
      </c>
      <c r="E954" s="225">
        <v>1.4674333333969116</v>
      </c>
      <c r="F954" s="225">
        <v>584</v>
      </c>
      <c r="G954" s="226">
        <v>837</v>
      </c>
      <c r="H954" s="226">
        <v>12555</v>
      </c>
      <c r="I954" s="227">
        <v>40685</v>
      </c>
      <c r="J954" s="225">
        <v>389</v>
      </c>
    </row>
    <row r="955" spans="3:10" x14ac:dyDescent="0.25">
      <c r="C955" s="224" t="s">
        <v>38</v>
      </c>
      <c r="D955" s="225">
        <v>14.846153846153847</v>
      </c>
      <c r="E955" s="225">
        <v>1.4674333333969116</v>
      </c>
      <c r="F955" s="225">
        <v>272</v>
      </c>
      <c r="G955" s="226">
        <v>390</v>
      </c>
      <c r="H955" s="226">
        <v>5790</v>
      </c>
      <c r="I955" s="227">
        <v>40685</v>
      </c>
      <c r="J955" s="225">
        <v>389</v>
      </c>
    </row>
    <row r="956" spans="3:10" x14ac:dyDescent="0.25">
      <c r="G956" s="14">
        <f>SUM(G949:G955)</f>
        <v>3083</v>
      </c>
      <c r="H956" s="14">
        <f>SUM(H949:H955)</f>
        <v>46140</v>
      </c>
    </row>
    <row r="961" spans="3:9" x14ac:dyDescent="0.25">
      <c r="C961" s="223" t="s">
        <v>9</v>
      </c>
      <c r="D961" s="223" t="s">
        <v>8</v>
      </c>
      <c r="E961" s="223" t="s">
        <v>59</v>
      </c>
      <c r="F961" s="223" t="s">
        <v>60</v>
      </c>
      <c r="G961" s="223" t="s">
        <v>11</v>
      </c>
      <c r="H961" s="223" t="s">
        <v>68</v>
      </c>
      <c r="I961" s="223" t="s">
        <v>12</v>
      </c>
    </row>
    <row r="962" spans="3:9" x14ac:dyDescent="0.25">
      <c r="C962" s="224" t="s">
        <v>4</v>
      </c>
      <c r="D962" s="227">
        <v>40459</v>
      </c>
      <c r="E962" s="226">
        <v>231.69615007554546</v>
      </c>
      <c r="F962" s="226">
        <v>3363.3312107740467</v>
      </c>
      <c r="G962" s="226">
        <v>14.516129032258064</v>
      </c>
      <c r="H962" s="225">
        <v>779</v>
      </c>
      <c r="I962" s="226">
        <v>0.59600001573562622</v>
      </c>
    </row>
    <row r="963" spans="3:9" x14ac:dyDescent="0.25">
      <c r="C963" s="224" t="s">
        <v>4</v>
      </c>
      <c r="D963" s="227">
        <v>40460</v>
      </c>
      <c r="E963" s="226">
        <v>164.26082600882043</v>
      </c>
      <c r="F963" s="226">
        <v>1551.3522456388598</v>
      </c>
      <c r="G963" s="226">
        <v>9.4444444444444446</v>
      </c>
      <c r="H963" s="225">
        <v>780</v>
      </c>
      <c r="I963" s="226">
        <v>0.57400000095367432</v>
      </c>
    </row>
    <row r="964" spans="3:9" x14ac:dyDescent="0.25">
      <c r="C964" s="224" t="s">
        <v>4</v>
      </c>
      <c r="D964" s="227">
        <v>40487</v>
      </c>
      <c r="E964" s="226">
        <v>285.09220765050122</v>
      </c>
      <c r="F964" s="226">
        <v>4249.9856881232117</v>
      </c>
      <c r="G964" s="226">
        <v>14.907407407407407</v>
      </c>
      <c r="H964" s="225">
        <v>777</v>
      </c>
      <c r="I964" s="226">
        <v>0.58176666498184204</v>
      </c>
    </row>
    <row r="965" spans="3:9" x14ac:dyDescent="0.25">
      <c r="C965" s="224" t="s">
        <v>4</v>
      </c>
      <c r="D965" s="227">
        <v>40488</v>
      </c>
      <c r="E965" s="226">
        <v>124.28435036963243</v>
      </c>
      <c r="F965" s="226">
        <v>524.96225603889525</v>
      </c>
      <c r="G965" s="226">
        <v>4.2238805970149258</v>
      </c>
      <c r="H965" s="225">
        <v>778</v>
      </c>
      <c r="I965" s="226">
        <v>0.60820001363754272</v>
      </c>
    </row>
    <row r="966" spans="3:9" x14ac:dyDescent="0.25">
      <c r="C966" s="224" t="s">
        <v>4</v>
      </c>
      <c r="D966" s="227">
        <v>40516</v>
      </c>
      <c r="E966" s="226">
        <v>185.8166482280912</v>
      </c>
      <c r="F966" s="226">
        <v>2162.589501718423</v>
      </c>
      <c r="G966" s="226">
        <v>11.638297872340425</v>
      </c>
      <c r="H966" s="225">
        <v>165</v>
      </c>
      <c r="I966" s="226">
        <v>0.56800001859664917</v>
      </c>
    </row>
    <row r="967" spans="3:9" x14ac:dyDescent="0.25">
      <c r="C967" s="224" t="s">
        <v>4</v>
      </c>
      <c r="D967" s="227">
        <v>40517</v>
      </c>
      <c r="E967" s="226">
        <v>95.877274553973479</v>
      </c>
      <c r="F967" s="226">
        <v>1042.6653607744613</v>
      </c>
      <c r="G967" s="226">
        <v>10.875</v>
      </c>
      <c r="H967" s="225">
        <v>166</v>
      </c>
      <c r="I967" s="226">
        <v>0.59600001573562622</v>
      </c>
    </row>
    <row r="968" spans="3:9" x14ac:dyDescent="0.25">
      <c r="C968" s="224" t="s">
        <v>4</v>
      </c>
      <c r="D968" s="227">
        <v>40564</v>
      </c>
      <c r="E968" s="226">
        <v>137.04224903428408</v>
      </c>
      <c r="F968" s="226">
        <v>123.780095901934</v>
      </c>
      <c r="G968" s="226">
        <v>0.90322580645161288</v>
      </c>
      <c r="H968" s="225">
        <v>58</v>
      </c>
      <c r="I968" s="226">
        <v>0.56800001859664917</v>
      </c>
    </row>
    <row r="969" spans="3:9" x14ac:dyDescent="0.25">
      <c r="C969" s="224" t="s">
        <v>4</v>
      </c>
      <c r="D969" s="227">
        <v>40565</v>
      </c>
      <c r="E969" s="226">
        <v>199.09149908143695</v>
      </c>
      <c r="F969" s="226">
        <v>298.63724862215543</v>
      </c>
      <c r="G969" s="226">
        <v>1.5</v>
      </c>
      <c r="H969" s="225">
        <v>133</v>
      </c>
      <c r="I969" s="226">
        <v>0.59600001573562622</v>
      </c>
    </row>
    <row r="970" spans="3:9" x14ac:dyDescent="0.25">
      <c r="C970" s="224" t="s">
        <v>4</v>
      </c>
      <c r="D970" s="227">
        <v>40592</v>
      </c>
      <c r="E970" s="226">
        <v>114.51341979540206</v>
      </c>
      <c r="F970" s="226">
        <v>204.48824963464656</v>
      </c>
      <c r="G970" s="226">
        <v>1.7857142857142858</v>
      </c>
      <c r="H970" s="225">
        <v>169</v>
      </c>
      <c r="I970" s="226">
        <v>0.59600001573562622</v>
      </c>
    </row>
    <row r="971" spans="3:9" x14ac:dyDescent="0.25">
      <c r="C971" s="224" t="s">
        <v>4</v>
      </c>
      <c r="D971" s="227">
        <v>40593</v>
      </c>
      <c r="E971" s="226">
        <v>148.21028691468399</v>
      </c>
      <c r="F971" s="226">
        <v>304.88973308163565</v>
      </c>
      <c r="G971" s="226">
        <v>2.0571428571428569</v>
      </c>
      <c r="H971" s="225">
        <v>187</v>
      </c>
      <c r="I971" s="226">
        <v>0.59600001573562622</v>
      </c>
    </row>
  </sheetData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topLeftCell="A39" workbookViewId="0">
      <selection activeCell="E54" sqref="E54:E57"/>
    </sheetView>
  </sheetViews>
  <sheetFormatPr defaultRowHeight="15" x14ac:dyDescent="0.25"/>
  <cols>
    <col min="1" max="1" width="10.7109375" bestFit="1" customWidth="1"/>
    <col min="2" max="2" width="10.28515625" bestFit="1" customWidth="1"/>
    <col min="3" max="3" width="11.5703125" bestFit="1" customWidth="1"/>
    <col min="4" max="4" width="15.85546875" bestFit="1" customWidth="1"/>
    <col min="5" max="5" width="11.28515625" bestFit="1" customWidth="1"/>
    <col min="6" max="6" width="11.5703125" bestFit="1" customWidth="1"/>
    <col min="7" max="7" width="10.5703125" bestFit="1" customWidth="1"/>
  </cols>
  <sheetData>
    <row r="1" spans="1:7" x14ac:dyDescent="0.25">
      <c r="A1" s="15" t="s">
        <v>8</v>
      </c>
      <c r="B1" s="15" t="s">
        <v>10</v>
      </c>
      <c r="C1" s="15" t="s">
        <v>11</v>
      </c>
      <c r="D1" s="15" t="s">
        <v>12</v>
      </c>
      <c r="E1" s="15" t="s">
        <v>13</v>
      </c>
      <c r="F1" s="15" t="s">
        <v>14</v>
      </c>
      <c r="G1" s="15" t="s">
        <v>15</v>
      </c>
    </row>
    <row r="2" spans="1:7" x14ac:dyDescent="0.25">
      <c r="A2" s="172">
        <v>40458</v>
      </c>
      <c r="B2" s="16" t="s">
        <v>29</v>
      </c>
      <c r="C2" s="90">
        <v>14.648148148148149</v>
      </c>
      <c r="D2" s="90">
        <v>1.3792999982833862</v>
      </c>
      <c r="E2" s="90">
        <v>3</v>
      </c>
      <c r="F2" s="90">
        <v>4</v>
      </c>
      <c r="G2" s="90">
        <v>59</v>
      </c>
    </row>
    <row r="3" spans="1:7" x14ac:dyDescent="0.25">
      <c r="A3" s="172">
        <v>40458</v>
      </c>
      <c r="B3" s="16" t="s">
        <v>30</v>
      </c>
      <c r="C3" s="90">
        <v>14.8</v>
      </c>
      <c r="D3" s="90">
        <v>1.3792999982833862</v>
      </c>
      <c r="E3" s="90">
        <v>755</v>
      </c>
      <c r="F3" s="90">
        <v>1041</v>
      </c>
      <c r="G3" s="90">
        <v>15249</v>
      </c>
    </row>
    <row r="4" spans="1:7" x14ac:dyDescent="0.25">
      <c r="A4" s="172">
        <v>40458</v>
      </c>
      <c r="B4" s="16" t="s">
        <v>31</v>
      </c>
      <c r="C4" s="90">
        <v>14.545454545454545</v>
      </c>
      <c r="D4" s="90">
        <v>1.3792999982833862</v>
      </c>
      <c r="E4" s="90">
        <v>653</v>
      </c>
      <c r="F4" s="90">
        <v>901</v>
      </c>
      <c r="G4" s="90">
        <v>13198</v>
      </c>
    </row>
    <row r="5" spans="1:7" x14ac:dyDescent="0.25">
      <c r="A5" s="172">
        <v>40458</v>
      </c>
      <c r="B5" s="16" t="s">
        <v>32</v>
      </c>
      <c r="C5" s="90">
        <v>14.647058823529411</v>
      </c>
      <c r="D5" s="90">
        <v>1.3792999982833862</v>
      </c>
      <c r="E5" s="90">
        <v>607</v>
      </c>
      <c r="F5" s="90">
        <v>837</v>
      </c>
      <c r="G5" s="90">
        <v>12260</v>
      </c>
    </row>
    <row r="6" spans="1:7" x14ac:dyDescent="0.25">
      <c r="A6" s="172">
        <v>40459</v>
      </c>
      <c r="B6" s="16" t="s">
        <v>29</v>
      </c>
      <c r="C6" s="90">
        <v>14.666666666666666</v>
      </c>
      <c r="D6" s="90">
        <v>1.3792999982833862</v>
      </c>
      <c r="E6" s="90">
        <v>12</v>
      </c>
      <c r="F6" s="90">
        <v>15</v>
      </c>
      <c r="G6" s="90">
        <v>220</v>
      </c>
    </row>
    <row r="7" spans="1:7" x14ac:dyDescent="0.25">
      <c r="A7" s="172">
        <v>40459</v>
      </c>
      <c r="B7" s="16" t="s">
        <v>30</v>
      </c>
      <c r="C7" s="90">
        <v>15</v>
      </c>
      <c r="D7" s="90">
        <v>1.3792999982833862</v>
      </c>
      <c r="E7" s="90">
        <v>547</v>
      </c>
      <c r="F7" s="90">
        <v>687</v>
      </c>
      <c r="G7" s="90">
        <v>10076</v>
      </c>
    </row>
    <row r="8" spans="1:7" x14ac:dyDescent="0.25">
      <c r="A8" s="172">
        <v>40459</v>
      </c>
      <c r="B8" s="16" t="s">
        <v>31</v>
      </c>
      <c r="C8" s="90">
        <v>13.857142857142858</v>
      </c>
      <c r="D8" s="90">
        <v>1.3792999982833862</v>
      </c>
      <c r="E8" s="90">
        <v>443</v>
      </c>
      <c r="F8" s="90">
        <v>556</v>
      </c>
      <c r="G8" s="90">
        <v>8155</v>
      </c>
    </row>
    <row r="9" spans="1:7" x14ac:dyDescent="0.25">
      <c r="A9" s="172">
        <v>40459</v>
      </c>
      <c r="B9" s="16" t="s">
        <v>32</v>
      </c>
      <c r="C9" s="90">
        <v>14.956521739130435</v>
      </c>
      <c r="D9" s="90">
        <v>1.3792999982833862</v>
      </c>
      <c r="E9" s="90">
        <v>447</v>
      </c>
      <c r="F9" s="90">
        <v>561</v>
      </c>
      <c r="G9" s="90">
        <v>8391</v>
      </c>
    </row>
    <row r="10" spans="1:7" x14ac:dyDescent="0.25">
      <c r="A10" s="172">
        <v>40461</v>
      </c>
      <c r="B10" s="16" t="s">
        <v>29</v>
      </c>
      <c r="C10" s="90">
        <v>10.16</v>
      </c>
      <c r="D10" s="90">
        <v>1.3792999982833862</v>
      </c>
      <c r="E10" s="90">
        <v>0</v>
      </c>
      <c r="F10" s="90">
        <v>0</v>
      </c>
      <c r="G10" s="90">
        <v>0</v>
      </c>
    </row>
    <row r="11" spans="1:7" x14ac:dyDescent="0.25">
      <c r="A11" s="172">
        <v>40461</v>
      </c>
      <c r="B11" s="16" t="s">
        <v>30</v>
      </c>
      <c r="C11" s="90">
        <v>9.7142857142857135</v>
      </c>
      <c r="D11" s="90">
        <v>1.3792999982833862</v>
      </c>
      <c r="E11" s="90">
        <v>254</v>
      </c>
      <c r="F11" s="90">
        <v>337</v>
      </c>
      <c r="G11" s="90">
        <v>3424</v>
      </c>
    </row>
    <row r="12" spans="1:7" x14ac:dyDescent="0.25">
      <c r="A12" s="172">
        <v>40461</v>
      </c>
      <c r="B12" s="16" t="s">
        <v>31</v>
      </c>
      <c r="C12" s="90">
        <v>10.142857142857142</v>
      </c>
      <c r="D12" s="90">
        <v>1.3792999982833862</v>
      </c>
      <c r="E12" s="90">
        <v>326</v>
      </c>
      <c r="F12" s="90">
        <v>432</v>
      </c>
      <c r="G12" s="90">
        <v>4389</v>
      </c>
    </row>
    <row r="13" spans="1:7" x14ac:dyDescent="0.25">
      <c r="A13" s="172">
        <v>40461</v>
      </c>
      <c r="B13" s="16" t="s">
        <v>32</v>
      </c>
      <c r="C13" s="90">
        <v>11</v>
      </c>
      <c r="D13" s="90">
        <v>1.3792999982833862</v>
      </c>
      <c r="E13" s="90">
        <v>216</v>
      </c>
      <c r="F13" s="90">
        <v>286</v>
      </c>
      <c r="G13" s="90">
        <v>2906</v>
      </c>
    </row>
    <row r="14" spans="1:7" x14ac:dyDescent="0.25">
      <c r="A14" s="172">
        <v>40489</v>
      </c>
      <c r="B14" s="127" t="s">
        <v>29</v>
      </c>
      <c r="C14" s="129">
        <v>13.333333333333334</v>
      </c>
      <c r="D14" s="129">
        <v>1.4302999973297119</v>
      </c>
      <c r="E14" s="129">
        <v>4</v>
      </c>
      <c r="F14" s="129">
        <v>5</v>
      </c>
      <c r="G14" s="129">
        <v>67</v>
      </c>
    </row>
    <row r="15" spans="1:7" x14ac:dyDescent="0.25">
      <c r="A15" s="172">
        <v>40489</v>
      </c>
      <c r="B15" s="127" t="s">
        <v>30</v>
      </c>
      <c r="C15" s="129">
        <v>15</v>
      </c>
      <c r="D15" s="129">
        <v>1.4302999973297119</v>
      </c>
      <c r="E15" s="129">
        <v>284</v>
      </c>
      <c r="F15" s="129">
        <v>353</v>
      </c>
      <c r="G15" s="129">
        <v>4707</v>
      </c>
    </row>
    <row r="16" spans="1:7" x14ac:dyDescent="0.25">
      <c r="A16" s="172">
        <v>40489</v>
      </c>
      <c r="B16" s="127" t="s">
        <v>31</v>
      </c>
      <c r="C16" s="129">
        <v>11.071428571428571</v>
      </c>
      <c r="D16" s="129">
        <v>1.4302999973297119</v>
      </c>
      <c r="E16" s="129">
        <v>311</v>
      </c>
      <c r="F16" s="129">
        <v>386</v>
      </c>
      <c r="G16" s="129">
        <v>5147</v>
      </c>
    </row>
    <row r="17" spans="1:7" x14ac:dyDescent="0.25">
      <c r="A17" s="172">
        <v>40489</v>
      </c>
      <c r="B17" s="127" t="s">
        <v>32</v>
      </c>
      <c r="C17" s="129">
        <v>15</v>
      </c>
      <c r="D17" s="129">
        <v>1.4302999973297119</v>
      </c>
      <c r="E17" s="129">
        <v>113</v>
      </c>
      <c r="F17" s="129">
        <v>140</v>
      </c>
      <c r="G17" s="129">
        <v>2100</v>
      </c>
    </row>
    <row r="18" spans="1:7" x14ac:dyDescent="0.25">
      <c r="A18" s="172">
        <v>40488</v>
      </c>
      <c r="B18" s="127" t="s">
        <v>29</v>
      </c>
      <c r="C18" s="129">
        <v>10</v>
      </c>
      <c r="D18" s="129">
        <v>1.4333000183105469</v>
      </c>
      <c r="E18" s="129">
        <v>10</v>
      </c>
      <c r="F18" s="129">
        <v>14</v>
      </c>
      <c r="G18" s="129">
        <v>140</v>
      </c>
    </row>
    <row r="19" spans="1:7" x14ac:dyDescent="0.25">
      <c r="A19" s="172">
        <v>40488</v>
      </c>
      <c r="B19" s="127" t="s">
        <v>30</v>
      </c>
      <c r="C19" s="129">
        <v>1.5238095238095237</v>
      </c>
      <c r="D19" s="129">
        <v>1.4333000183105469</v>
      </c>
      <c r="E19" s="129">
        <v>315</v>
      </c>
      <c r="F19" s="129">
        <v>442</v>
      </c>
      <c r="G19" s="129">
        <v>674</v>
      </c>
    </row>
    <row r="20" spans="1:7" x14ac:dyDescent="0.25">
      <c r="A20" s="172">
        <v>40488</v>
      </c>
      <c r="B20" s="127" t="s">
        <v>31</v>
      </c>
      <c r="C20" s="129">
        <v>10.388888888888889</v>
      </c>
      <c r="D20" s="129">
        <v>1.4333000183105469</v>
      </c>
      <c r="E20" s="129">
        <v>344</v>
      </c>
      <c r="F20" s="129">
        <v>483</v>
      </c>
      <c r="G20" s="129">
        <v>5018</v>
      </c>
    </row>
    <row r="21" spans="1:7" x14ac:dyDescent="0.25">
      <c r="A21" s="172">
        <v>40488</v>
      </c>
      <c r="B21" s="127" t="s">
        <v>32</v>
      </c>
      <c r="C21" s="129">
        <v>14.6</v>
      </c>
      <c r="D21" s="129">
        <v>1.4333000183105469</v>
      </c>
      <c r="E21" s="129">
        <v>231</v>
      </c>
      <c r="F21" s="129">
        <v>324</v>
      </c>
      <c r="G21" s="129">
        <v>2220</v>
      </c>
    </row>
    <row r="22" spans="1:7" x14ac:dyDescent="0.25">
      <c r="A22" s="172">
        <v>40490</v>
      </c>
      <c r="B22" s="127" t="s">
        <v>29</v>
      </c>
      <c r="C22" s="129">
        <v>11.904761904761905</v>
      </c>
      <c r="D22" s="129">
        <v>1.7713500261306763</v>
      </c>
      <c r="E22" s="129">
        <v>0</v>
      </c>
      <c r="F22" s="129">
        <v>0</v>
      </c>
      <c r="G22" s="129">
        <v>0</v>
      </c>
    </row>
    <row r="23" spans="1:7" x14ac:dyDescent="0.25">
      <c r="A23" s="172">
        <v>40490</v>
      </c>
      <c r="B23" s="127" t="s">
        <v>30</v>
      </c>
      <c r="C23" s="129">
        <v>14.5</v>
      </c>
      <c r="D23" s="129">
        <v>1.7713500261306763</v>
      </c>
      <c r="E23" s="129">
        <v>98</v>
      </c>
      <c r="F23" s="129">
        <v>166</v>
      </c>
      <c r="G23" s="129">
        <v>2407</v>
      </c>
    </row>
    <row r="24" spans="1:7" x14ac:dyDescent="0.25">
      <c r="A24" s="172">
        <v>40490</v>
      </c>
      <c r="B24" s="127" t="s">
        <v>31</v>
      </c>
      <c r="C24" s="129">
        <v>15</v>
      </c>
      <c r="D24" s="129">
        <v>1.7713500261306763</v>
      </c>
      <c r="E24" s="129">
        <v>89</v>
      </c>
      <c r="F24" s="129">
        <v>150</v>
      </c>
      <c r="G24" s="129">
        <v>2250</v>
      </c>
    </row>
    <row r="25" spans="1:7" x14ac:dyDescent="0.25">
      <c r="A25" s="172">
        <v>40490</v>
      </c>
      <c r="B25" s="127" t="s">
        <v>32</v>
      </c>
      <c r="C25" s="129">
        <v>0</v>
      </c>
      <c r="D25" s="129">
        <v>1.7713500261306763</v>
      </c>
      <c r="E25" s="129">
        <v>0</v>
      </c>
      <c r="F25" s="129">
        <v>0</v>
      </c>
      <c r="G25" s="129">
        <v>0</v>
      </c>
    </row>
    <row r="26" spans="1:7" x14ac:dyDescent="0.25">
      <c r="A26" s="172">
        <v>40503</v>
      </c>
      <c r="B26" s="127" t="s">
        <v>29</v>
      </c>
      <c r="C26" s="129">
        <v>15</v>
      </c>
      <c r="D26" s="129">
        <v>1.4651999473571777</v>
      </c>
      <c r="E26" s="129">
        <v>0</v>
      </c>
      <c r="F26" s="129">
        <v>0</v>
      </c>
      <c r="G26" s="129">
        <v>0</v>
      </c>
    </row>
    <row r="27" spans="1:7" x14ac:dyDescent="0.25">
      <c r="A27" s="172">
        <v>40503</v>
      </c>
      <c r="B27" s="127" t="s">
        <v>30</v>
      </c>
      <c r="C27" s="129">
        <v>15</v>
      </c>
      <c r="D27" s="129">
        <v>1.4651999473571777</v>
      </c>
      <c r="E27" s="129">
        <v>78</v>
      </c>
      <c r="F27" s="129">
        <v>114</v>
      </c>
      <c r="G27" s="129">
        <v>1710</v>
      </c>
    </row>
    <row r="28" spans="1:7" x14ac:dyDescent="0.25">
      <c r="A28" s="172">
        <v>40503</v>
      </c>
      <c r="B28" s="127" t="s">
        <v>31</v>
      </c>
      <c r="C28" s="129">
        <v>15</v>
      </c>
      <c r="D28" s="129">
        <v>1.4651999473571777</v>
      </c>
      <c r="E28" s="129">
        <v>101</v>
      </c>
      <c r="F28" s="129">
        <v>148</v>
      </c>
      <c r="G28" s="129">
        <v>2220</v>
      </c>
    </row>
    <row r="29" spans="1:7" x14ac:dyDescent="0.25">
      <c r="A29" s="172">
        <v>40503</v>
      </c>
      <c r="B29" s="127" t="s">
        <v>32</v>
      </c>
      <c r="C29" s="129">
        <v>15</v>
      </c>
      <c r="D29" s="129">
        <v>1.4651999473571777</v>
      </c>
      <c r="E29" s="129">
        <v>77</v>
      </c>
      <c r="F29" s="129">
        <v>113</v>
      </c>
      <c r="G29" s="129">
        <v>1695</v>
      </c>
    </row>
    <row r="30" spans="1:7" x14ac:dyDescent="0.25">
      <c r="A30" s="172">
        <v>40867</v>
      </c>
      <c r="B30" s="127" t="s">
        <v>29</v>
      </c>
      <c r="C30" s="129">
        <v>14.604651162790697</v>
      </c>
      <c r="D30" s="129">
        <v>1.4651999473571777</v>
      </c>
      <c r="E30" s="129">
        <v>0</v>
      </c>
      <c r="F30" s="129">
        <v>0</v>
      </c>
      <c r="G30" s="129">
        <v>0</v>
      </c>
    </row>
    <row r="31" spans="1:7" x14ac:dyDescent="0.25">
      <c r="A31" s="172">
        <v>40867</v>
      </c>
      <c r="B31" s="127" t="s">
        <v>30</v>
      </c>
      <c r="C31" s="129">
        <v>13.555555555555555</v>
      </c>
      <c r="D31" s="129">
        <v>1.4651999473571777</v>
      </c>
      <c r="E31" s="129">
        <v>319</v>
      </c>
      <c r="F31" s="129">
        <v>467</v>
      </c>
      <c r="G31" s="129">
        <v>6820</v>
      </c>
    </row>
    <row r="32" spans="1:7" x14ac:dyDescent="0.25">
      <c r="A32" s="172">
        <v>40867</v>
      </c>
      <c r="B32" s="127" t="s">
        <v>31</v>
      </c>
      <c r="C32" s="129">
        <v>15</v>
      </c>
      <c r="D32" s="129">
        <v>1.4651999473571777</v>
      </c>
      <c r="E32" s="129">
        <v>395</v>
      </c>
      <c r="F32" s="129">
        <v>579</v>
      </c>
      <c r="G32" s="129">
        <v>8456</v>
      </c>
    </row>
    <row r="33" spans="1:7" x14ac:dyDescent="0.25">
      <c r="A33" s="172">
        <v>40867</v>
      </c>
      <c r="B33" s="127" t="s">
        <v>32</v>
      </c>
      <c r="C33" s="129">
        <v>14.777777777777779</v>
      </c>
      <c r="D33" s="129">
        <v>1.4651999473571777</v>
      </c>
      <c r="E33" s="129">
        <v>322</v>
      </c>
      <c r="F33" s="129">
        <v>472</v>
      </c>
      <c r="G33" s="129">
        <v>6975</v>
      </c>
    </row>
    <row r="34" spans="1:7" x14ac:dyDescent="0.25">
      <c r="A34" s="172">
        <v>40515</v>
      </c>
      <c r="B34" s="127" t="s">
        <v>29</v>
      </c>
      <c r="C34" s="129">
        <v>15</v>
      </c>
      <c r="D34" s="129">
        <v>1.3781499862670898</v>
      </c>
      <c r="E34" s="129">
        <v>0</v>
      </c>
      <c r="F34" s="129">
        <v>0</v>
      </c>
      <c r="G34" s="129">
        <v>0</v>
      </c>
    </row>
    <row r="35" spans="1:7" x14ac:dyDescent="0.25">
      <c r="A35" s="172">
        <v>40515</v>
      </c>
      <c r="B35" s="127" t="s">
        <v>30</v>
      </c>
      <c r="C35" s="129">
        <v>15</v>
      </c>
      <c r="D35" s="129">
        <v>1.3781499862670898</v>
      </c>
      <c r="E35" s="129">
        <v>354</v>
      </c>
      <c r="F35" s="129">
        <v>471</v>
      </c>
      <c r="G35" s="129">
        <v>7065</v>
      </c>
    </row>
    <row r="36" spans="1:7" x14ac:dyDescent="0.25">
      <c r="A36" s="172">
        <v>40515</v>
      </c>
      <c r="B36" s="127" t="s">
        <v>31</v>
      </c>
      <c r="C36" s="129">
        <v>15</v>
      </c>
      <c r="D36" s="129">
        <v>1.3781499862670898</v>
      </c>
      <c r="E36" s="129">
        <v>332</v>
      </c>
      <c r="F36" s="129">
        <v>441</v>
      </c>
      <c r="G36" s="129">
        <v>6615</v>
      </c>
    </row>
    <row r="37" spans="1:7" x14ac:dyDescent="0.25">
      <c r="A37" s="172">
        <v>40515</v>
      </c>
      <c r="B37" s="127" t="s">
        <v>32</v>
      </c>
      <c r="C37" s="129">
        <v>15</v>
      </c>
      <c r="D37" s="129">
        <v>1.3781499862670898</v>
      </c>
      <c r="E37" s="129">
        <v>254</v>
      </c>
      <c r="F37" s="129">
        <v>338</v>
      </c>
      <c r="G37" s="129">
        <v>5070</v>
      </c>
    </row>
    <row r="38" spans="1:7" x14ac:dyDescent="0.25">
      <c r="A38" s="172">
        <v>40516</v>
      </c>
      <c r="B38" s="127" t="s">
        <v>29</v>
      </c>
      <c r="C38" s="129">
        <v>15</v>
      </c>
      <c r="D38" s="129">
        <v>1.3781499862670898</v>
      </c>
      <c r="E38" s="129">
        <v>0</v>
      </c>
      <c r="F38" s="129">
        <v>0</v>
      </c>
      <c r="G38" s="129">
        <v>0</v>
      </c>
    </row>
    <row r="39" spans="1:7" x14ac:dyDescent="0.25">
      <c r="A39" s="172">
        <v>40516</v>
      </c>
      <c r="B39" s="127" t="s">
        <v>30</v>
      </c>
      <c r="C39" s="129">
        <v>15</v>
      </c>
      <c r="D39" s="129">
        <v>1.3781499862670898</v>
      </c>
      <c r="E39" s="129">
        <v>666</v>
      </c>
      <c r="F39" s="129">
        <v>867</v>
      </c>
      <c r="G39" s="129">
        <v>13005</v>
      </c>
    </row>
    <row r="40" spans="1:7" x14ac:dyDescent="0.25">
      <c r="A40" s="172">
        <v>40516</v>
      </c>
      <c r="B40" s="127" t="s">
        <v>31</v>
      </c>
      <c r="C40" s="129">
        <v>15</v>
      </c>
      <c r="D40" s="129">
        <v>1.3781499862670898</v>
      </c>
      <c r="E40" s="129">
        <v>457</v>
      </c>
      <c r="F40" s="129">
        <v>595</v>
      </c>
      <c r="G40" s="129">
        <v>8925</v>
      </c>
    </row>
    <row r="41" spans="1:7" x14ac:dyDescent="0.25">
      <c r="A41" s="172">
        <v>40516</v>
      </c>
      <c r="B41" s="127" t="s">
        <v>32</v>
      </c>
      <c r="C41" s="129">
        <v>15</v>
      </c>
      <c r="D41" s="129">
        <v>1.3781499862670898</v>
      </c>
      <c r="E41" s="129">
        <v>359</v>
      </c>
      <c r="F41" s="129">
        <v>467</v>
      </c>
      <c r="G41" s="129">
        <v>7005</v>
      </c>
    </row>
    <row r="42" spans="1:7" x14ac:dyDescent="0.25">
      <c r="A42" s="172">
        <v>40518</v>
      </c>
      <c r="B42" s="127" t="s">
        <v>29</v>
      </c>
      <c r="C42" s="129">
        <v>15</v>
      </c>
      <c r="D42" s="129">
        <v>1.5666500329971313</v>
      </c>
      <c r="E42" s="129">
        <v>0</v>
      </c>
      <c r="F42" s="129">
        <v>0</v>
      </c>
      <c r="G42" s="129">
        <v>0</v>
      </c>
    </row>
    <row r="43" spans="1:7" x14ac:dyDescent="0.25">
      <c r="A43" s="172">
        <v>40518</v>
      </c>
      <c r="B43" s="127" t="s">
        <v>30</v>
      </c>
      <c r="C43" s="129">
        <v>15</v>
      </c>
      <c r="D43" s="129">
        <v>1.5666500329971313</v>
      </c>
      <c r="E43" s="129">
        <v>72</v>
      </c>
      <c r="F43" s="129">
        <v>113</v>
      </c>
      <c r="G43" s="129">
        <v>1695</v>
      </c>
    </row>
    <row r="44" spans="1:7" x14ac:dyDescent="0.25">
      <c r="A44" s="172">
        <v>40518</v>
      </c>
      <c r="B44" s="127" t="s">
        <v>31</v>
      </c>
      <c r="C44" s="129">
        <v>15</v>
      </c>
      <c r="D44" s="129">
        <v>1.5666500329971313</v>
      </c>
      <c r="E44" s="129">
        <v>123</v>
      </c>
      <c r="F44" s="129">
        <v>193</v>
      </c>
      <c r="G44" s="129">
        <v>2895</v>
      </c>
    </row>
    <row r="45" spans="1:7" x14ac:dyDescent="0.25">
      <c r="A45" s="172">
        <v>40518</v>
      </c>
      <c r="B45" s="127" t="s">
        <v>32</v>
      </c>
      <c r="C45" s="129">
        <v>15</v>
      </c>
      <c r="D45" s="129">
        <v>1.5666500329971313</v>
      </c>
      <c r="E45" s="129">
        <v>36</v>
      </c>
      <c r="F45" s="129">
        <v>56</v>
      </c>
      <c r="G45" s="129">
        <v>840</v>
      </c>
    </row>
    <row r="46" spans="1:7" x14ac:dyDescent="0.25">
      <c r="A46" s="172">
        <v>40545</v>
      </c>
      <c r="B46" s="127" t="s">
        <v>29</v>
      </c>
      <c r="C46" s="129">
        <v>7.2105263157894735</v>
      </c>
      <c r="D46" s="129">
        <v>1.4206750392913818</v>
      </c>
      <c r="E46" s="129">
        <v>0</v>
      </c>
      <c r="F46" s="129">
        <v>0</v>
      </c>
      <c r="G46" s="129">
        <v>0</v>
      </c>
    </row>
    <row r="47" spans="1:7" x14ac:dyDescent="0.25">
      <c r="A47" s="172">
        <v>40545</v>
      </c>
      <c r="B47" s="127" t="s">
        <v>30</v>
      </c>
      <c r="C47" s="129">
        <v>7</v>
      </c>
      <c r="D47" s="129">
        <v>1.4206750392913818</v>
      </c>
      <c r="E47" s="129">
        <v>323</v>
      </c>
      <c r="F47" s="129">
        <v>447</v>
      </c>
      <c r="G47" s="129">
        <v>3129</v>
      </c>
    </row>
    <row r="48" spans="1:7" x14ac:dyDescent="0.25">
      <c r="A48" s="172">
        <v>40545</v>
      </c>
      <c r="B48" s="127" t="s">
        <v>31</v>
      </c>
      <c r="C48" s="129">
        <v>12</v>
      </c>
      <c r="D48" s="129">
        <v>1.4206750392913818</v>
      </c>
      <c r="E48" s="129">
        <v>365</v>
      </c>
      <c r="F48" s="129">
        <v>505</v>
      </c>
      <c r="G48" s="129">
        <v>3641</v>
      </c>
    </row>
    <row r="49" spans="1:7" x14ac:dyDescent="0.25">
      <c r="A49" s="172">
        <v>40545</v>
      </c>
      <c r="B49" s="127" t="s">
        <v>32</v>
      </c>
      <c r="C49" s="129">
        <v>4.0909090909090908</v>
      </c>
      <c r="D49" s="129">
        <v>1.4206750392913818</v>
      </c>
      <c r="E49" s="129">
        <v>263</v>
      </c>
      <c r="F49" s="129">
        <v>364</v>
      </c>
      <c r="G49" s="129">
        <v>2625</v>
      </c>
    </row>
    <row r="50" spans="1:7" x14ac:dyDescent="0.25">
      <c r="A50" s="172">
        <v>40563</v>
      </c>
      <c r="B50" s="147" t="s">
        <v>29</v>
      </c>
      <c r="C50" s="149">
        <v>1.2962962962962963</v>
      </c>
      <c r="D50" s="149">
        <v>1.5346666574478149</v>
      </c>
      <c r="E50" s="149">
        <v>0</v>
      </c>
      <c r="F50" s="149">
        <v>0</v>
      </c>
      <c r="G50" s="149">
        <v>0</v>
      </c>
    </row>
    <row r="51" spans="1:7" x14ac:dyDescent="0.25">
      <c r="A51" s="172">
        <v>40563</v>
      </c>
      <c r="B51" s="147" t="s">
        <v>30</v>
      </c>
      <c r="C51" s="149">
        <v>0.72727272727272729</v>
      </c>
      <c r="D51" s="149">
        <v>1.5346666574478149</v>
      </c>
      <c r="E51" s="149">
        <v>125</v>
      </c>
      <c r="F51" s="149">
        <v>192</v>
      </c>
      <c r="G51" s="149">
        <v>140</v>
      </c>
    </row>
    <row r="52" spans="1:7" x14ac:dyDescent="0.25">
      <c r="A52" s="172">
        <v>40563</v>
      </c>
      <c r="B52" s="147" t="s">
        <v>31</v>
      </c>
      <c r="C52" s="149">
        <v>2.7777777777777777</v>
      </c>
      <c r="D52" s="149">
        <v>1.5346666574478149</v>
      </c>
      <c r="E52" s="149">
        <v>129</v>
      </c>
      <c r="F52" s="149">
        <v>198</v>
      </c>
      <c r="G52" s="149">
        <v>550</v>
      </c>
    </row>
    <row r="53" spans="1:7" x14ac:dyDescent="0.25">
      <c r="A53" s="172">
        <v>40563</v>
      </c>
      <c r="B53" s="147" t="s">
        <v>32</v>
      </c>
      <c r="C53" s="149">
        <v>0.2857142857142857</v>
      </c>
      <c r="D53" s="149">
        <v>1.5346666574478149</v>
      </c>
      <c r="E53" s="149">
        <v>110</v>
      </c>
      <c r="F53" s="149">
        <v>169</v>
      </c>
      <c r="G53" s="149">
        <v>48</v>
      </c>
    </row>
    <row r="54" spans="1:7" x14ac:dyDescent="0.25">
      <c r="A54" s="172">
        <v>40564</v>
      </c>
      <c r="B54" s="147" t="s">
        <v>29</v>
      </c>
      <c r="C54" s="149">
        <v>3.0338983050847457</v>
      </c>
      <c r="D54">
        <v>1.534667</v>
      </c>
      <c r="E54" s="160">
        <v>0</v>
      </c>
      <c r="F54" s="149">
        <f>+E54*D54</f>
        <v>0</v>
      </c>
      <c r="G54" s="149">
        <f>+F54*C54</f>
        <v>0</v>
      </c>
    </row>
    <row r="55" spans="1:7" x14ac:dyDescent="0.25">
      <c r="A55" s="172">
        <v>40564</v>
      </c>
      <c r="B55" s="147" t="s">
        <v>30</v>
      </c>
      <c r="C55" s="149">
        <v>3.0338983050847457</v>
      </c>
      <c r="D55">
        <v>1.534667</v>
      </c>
      <c r="E55" s="160">
        <v>158.5625</v>
      </c>
      <c r="F55" s="160">
        <f t="shared" ref="F55:F57" si="0">+E55*D55</f>
        <v>243.3406361875</v>
      </c>
      <c r="G55" s="160">
        <f t="shared" ref="G55:G57" si="1">+F55*C55</f>
        <v>738.27074368749993</v>
      </c>
    </row>
    <row r="56" spans="1:7" x14ac:dyDescent="0.25">
      <c r="A56" s="172">
        <v>40564</v>
      </c>
      <c r="B56" s="147" t="s">
        <v>31</v>
      </c>
      <c r="C56" s="149">
        <v>3.0338983050847457</v>
      </c>
      <c r="D56">
        <v>1.534667</v>
      </c>
      <c r="E56" s="160">
        <v>199.125</v>
      </c>
      <c r="F56" s="160">
        <f t="shared" si="0"/>
        <v>305.59056637499998</v>
      </c>
      <c r="G56" s="160">
        <f t="shared" si="1"/>
        <v>927.13070137499994</v>
      </c>
    </row>
    <row r="57" spans="1:7" x14ac:dyDescent="0.25">
      <c r="A57" s="172">
        <v>40564</v>
      </c>
      <c r="B57" s="147" t="s">
        <v>32</v>
      </c>
      <c r="C57" s="149">
        <v>3.0338983050847457</v>
      </c>
      <c r="D57">
        <v>1.534667</v>
      </c>
      <c r="E57" s="160">
        <v>55.3125</v>
      </c>
      <c r="F57" s="160">
        <f t="shared" si="0"/>
        <v>84.886268437500007</v>
      </c>
      <c r="G57" s="160">
        <f t="shared" si="1"/>
        <v>257.5363059375</v>
      </c>
    </row>
    <row r="58" spans="1:7" x14ac:dyDescent="0.25">
      <c r="A58" s="172">
        <v>40565</v>
      </c>
      <c r="B58" s="16" t="s">
        <v>29</v>
      </c>
      <c r="C58" s="90">
        <v>7.66</v>
      </c>
      <c r="D58" s="90">
        <v>1.4673500061035156</v>
      </c>
      <c r="E58" s="90">
        <v>0</v>
      </c>
      <c r="F58" s="90">
        <v>0</v>
      </c>
      <c r="G58" s="90">
        <v>0</v>
      </c>
    </row>
    <row r="59" spans="1:7" x14ac:dyDescent="0.25">
      <c r="A59" s="172">
        <v>40565</v>
      </c>
      <c r="B59" s="16" t="s">
        <v>30</v>
      </c>
      <c r="C59" s="90">
        <v>4.7777777777777777</v>
      </c>
      <c r="D59" s="90">
        <v>1.4673500061035156</v>
      </c>
      <c r="E59" s="90">
        <v>327</v>
      </c>
      <c r="F59" s="90">
        <v>428</v>
      </c>
      <c r="G59" s="90">
        <v>2045</v>
      </c>
    </row>
    <row r="60" spans="1:7" x14ac:dyDescent="0.25">
      <c r="A60" s="172">
        <v>40565</v>
      </c>
      <c r="B60" s="16" t="s">
        <v>31</v>
      </c>
      <c r="C60" s="90">
        <v>12.090909090909092</v>
      </c>
      <c r="D60" s="90">
        <v>1.4673500061035156</v>
      </c>
      <c r="E60" s="90">
        <v>653</v>
      </c>
      <c r="F60" s="90">
        <v>856</v>
      </c>
      <c r="G60" s="90">
        <v>6557</v>
      </c>
    </row>
    <row r="61" spans="1:7" x14ac:dyDescent="0.25">
      <c r="A61" s="172">
        <v>40565</v>
      </c>
      <c r="B61" s="16" t="s">
        <v>32</v>
      </c>
      <c r="C61" s="90">
        <v>3.1</v>
      </c>
      <c r="D61" s="90">
        <v>1.4673500061035156</v>
      </c>
      <c r="E61" s="90">
        <v>493</v>
      </c>
      <c r="F61" s="90">
        <v>646</v>
      </c>
      <c r="G61" s="90">
        <v>4948</v>
      </c>
    </row>
    <row r="62" spans="1:7" x14ac:dyDescent="0.25">
      <c r="A62" s="172">
        <v>40591</v>
      </c>
      <c r="B62" s="147" t="s">
        <v>29</v>
      </c>
      <c r="C62" s="149">
        <v>13.845070422535212</v>
      </c>
      <c r="D62" s="149">
        <v>1.4254666566848755</v>
      </c>
      <c r="E62" s="149">
        <v>0</v>
      </c>
      <c r="F62" s="149">
        <v>0</v>
      </c>
      <c r="G62" s="149">
        <v>0</v>
      </c>
    </row>
    <row r="63" spans="1:7" x14ac:dyDescent="0.25">
      <c r="A63" s="172">
        <v>40591</v>
      </c>
      <c r="B63" s="147" t="s">
        <v>30</v>
      </c>
      <c r="C63" s="149">
        <v>13.916666666666666</v>
      </c>
      <c r="D63" s="149">
        <v>1.4254666566848755</v>
      </c>
      <c r="E63" s="149">
        <v>437</v>
      </c>
      <c r="F63" s="149">
        <v>606</v>
      </c>
      <c r="G63" s="149">
        <v>8434</v>
      </c>
    </row>
    <row r="64" spans="1:7" x14ac:dyDescent="0.25">
      <c r="A64" s="172">
        <v>40591</v>
      </c>
      <c r="B64" s="147" t="s">
        <v>31</v>
      </c>
      <c r="C64" s="149">
        <v>12.823529411764707</v>
      </c>
      <c r="D64" s="149">
        <v>1.4254666566848755</v>
      </c>
      <c r="E64" s="149">
        <v>461</v>
      </c>
      <c r="F64" s="149">
        <v>639</v>
      </c>
      <c r="G64" s="149">
        <v>8847</v>
      </c>
    </row>
    <row r="65" spans="1:7" x14ac:dyDescent="0.25">
      <c r="A65" s="172">
        <v>40591</v>
      </c>
      <c r="B65" s="147" t="s">
        <v>32</v>
      </c>
      <c r="C65" s="149">
        <v>14.666666666666666</v>
      </c>
      <c r="D65" s="149">
        <v>1.4254666566848755</v>
      </c>
      <c r="E65" s="149">
        <v>317</v>
      </c>
      <c r="F65" s="149">
        <v>439</v>
      </c>
      <c r="G65" s="149">
        <v>6439</v>
      </c>
    </row>
    <row r="66" spans="1:7" x14ac:dyDescent="0.25">
      <c r="A66" s="172">
        <v>40621</v>
      </c>
      <c r="B66" s="162" t="s">
        <v>29</v>
      </c>
      <c r="C66" s="163">
        <v>5.4328358208955221</v>
      </c>
      <c r="D66" s="163">
        <v>1.4673500061035156</v>
      </c>
      <c r="E66" s="163">
        <v>37</v>
      </c>
      <c r="F66" s="163">
        <v>47</v>
      </c>
      <c r="G66" s="163">
        <v>255</v>
      </c>
    </row>
    <row r="67" spans="1:7" x14ac:dyDescent="0.25">
      <c r="A67" s="172">
        <v>40621</v>
      </c>
      <c r="B67" s="162" t="s">
        <v>30</v>
      </c>
      <c r="C67" s="163">
        <v>3.8333333333333335</v>
      </c>
      <c r="D67" s="163">
        <v>1.4673500061035156</v>
      </c>
      <c r="E67" s="163">
        <v>776</v>
      </c>
      <c r="F67" s="163">
        <v>978</v>
      </c>
      <c r="G67" s="163">
        <v>5313</v>
      </c>
    </row>
    <row r="68" spans="1:7" x14ac:dyDescent="0.25">
      <c r="A68" s="172">
        <v>40621</v>
      </c>
      <c r="B68" s="162" t="s">
        <v>31</v>
      </c>
      <c r="C68" s="163">
        <v>8.1333333333333329</v>
      </c>
      <c r="D68" s="163">
        <v>1.4673500061035156</v>
      </c>
      <c r="E68" s="163">
        <v>865</v>
      </c>
      <c r="F68" s="163">
        <v>1090</v>
      </c>
      <c r="G68" s="163">
        <v>5922</v>
      </c>
    </row>
    <row r="69" spans="1:7" x14ac:dyDescent="0.25">
      <c r="A69" s="172">
        <v>40621</v>
      </c>
      <c r="B69" s="162" t="s">
        <v>32</v>
      </c>
      <c r="C69" s="163">
        <v>6.5</v>
      </c>
      <c r="D69" s="163">
        <v>1.4673500061035156</v>
      </c>
      <c r="E69" s="163">
        <v>88</v>
      </c>
      <c r="F69" s="163">
        <v>111</v>
      </c>
      <c r="G69" s="163">
        <v>722</v>
      </c>
    </row>
    <row r="70" spans="1:7" x14ac:dyDescent="0.25">
      <c r="A70" s="172">
        <v>40622</v>
      </c>
      <c r="B70" s="162" t="s">
        <v>29</v>
      </c>
      <c r="C70" s="163">
        <v>13.984848484848484</v>
      </c>
      <c r="D70" s="163">
        <v>1.4663000106811523</v>
      </c>
      <c r="E70" s="163">
        <v>3</v>
      </c>
      <c r="F70" s="163">
        <v>4</v>
      </c>
      <c r="G70" s="163">
        <v>56</v>
      </c>
    </row>
    <row r="71" spans="1:7" x14ac:dyDescent="0.25">
      <c r="A71" s="172">
        <v>40622</v>
      </c>
      <c r="B71" s="162" t="s">
        <v>30</v>
      </c>
      <c r="C71" s="163">
        <v>13.318181818181818</v>
      </c>
      <c r="D71" s="163">
        <v>1.4663000106811523</v>
      </c>
      <c r="E71" s="163">
        <v>321</v>
      </c>
      <c r="F71" s="163">
        <v>464</v>
      </c>
      <c r="G71" s="163">
        <v>6180</v>
      </c>
    </row>
    <row r="72" spans="1:7" x14ac:dyDescent="0.25">
      <c r="A72" s="172">
        <v>40622</v>
      </c>
      <c r="B72" s="162" t="s">
        <v>31</v>
      </c>
      <c r="C72" s="163">
        <v>14.096774193548388</v>
      </c>
      <c r="D72" s="163">
        <v>1.4663000106811523</v>
      </c>
      <c r="E72" s="163">
        <v>437</v>
      </c>
      <c r="F72" s="163">
        <v>631</v>
      </c>
      <c r="G72" s="163">
        <v>8895</v>
      </c>
    </row>
    <row r="73" spans="1:7" x14ac:dyDescent="0.25">
      <c r="A73" s="172">
        <v>40622</v>
      </c>
      <c r="B73" s="162" t="s">
        <v>32</v>
      </c>
      <c r="C73" s="163">
        <v>14.846153846153847</v>
      </c>
      <c r="D73" s="163">
        <v>1.4663000106811523</v>
      </c>
      <c r="E73" s="163">
        <v>247</v>
      </c>
      <c r="F73" s="163">
        <v>357</v>
      </c>
      <c r="G73" s="163">
        <v>5300</v>
      </c>
    </row>
    <row r="74" spans="1:7" x14ac:dyDescent="0.25">
      <c r="A74" s="172">
        <v>40623</v>
      </c>
      <c r="B74" s="162" t="s">
        <v>29</v>
      </c>
      <c r="C74" s="163">
        <v>7.5666666666666664</v>
      </c>
      <c r="D74" s="163">
        <v>1.4318000078201294</v>
      </c>
      <c r="E74" s="163">
        <v>0</v>
      </c>
      <c r="F74" s="163">
        <v>0</v>
      </c>
      <c r="G74" s="163">
        <v>0</v>
      </c>
    </row>
    <row r="75" spans="1:7" x14ac:dyDescent="0.25">
      <c r="A75" s="172">
        <v>40623</v>
      </c>
      <c r="B75" s="162" t="s">
        <v>30</v>
      </c>
      <c r="C75" s="163">
        <v>5.25</v>
      </c>
      <c r="D75" s="163">
        <v>1.4318000078201294</v>
      </c>
      <c r="E75" s="163">
        <v>346</v>
      </c>
      <c r="F75" s="163">
        <v>479</v>
      </c>
      <c r="G75" s="163">
        <v>3624</v>
      </c>
    </row>
    <row r="76" spans="1:7" x14ac:dyDescent="0.25">
      <c r="A76" s="172">
        <v>40623</v>
      </c>
      <c r="B76" s="162" t="s">
        <v>31</v>
      </c>
      <c r="C76" s="163">
        <v>11.916666666666666</v>
      </c>
      <c r="D76" s="163">
        <v>1.4318000078201294</v>
      </c>
      <c r="E76" s="163">
        <v>362</v>
      </c>
      <c r="F76" s="163">
        <v>502</v>
      </c>
      <c r="G76" s="163">
        <v>3798</v>
      </c>
    </row>
    <row r="77" spans="1:7" x14ac:dyDescent="0.25">
      <c r="A77" s="172">
        <v>40623</v>
      </c>
      <c r="B77" s="162" t="s">
        <v>32</v>
      </c>
      <c r="C77" s="163">
        <v>0</v>
      </c>
      <c r="D77" s="163">
        <v>1.4318000078201294</v>
      </c>
      <c r="E77" s="163">
        <v>179</v>
      </c>
      <c r="F77" s="163">
        <v>248</v>
      </c>
      <c r="G77" s="163">
        <v>1877</v>
      </c>
    </row>
    <row r="78" spans="1:7" x14ac:dyDescent="0.25">
      <c r="A78" s="172">
        <v>40624</v>
      </c>
      <c r="B78" s="162" t="s">
        <v>29</v>
      </c>
      <c r="C78" s="163">
        <v>13.208333333333334</v>
      </c>
      <c r="D78" s="163">
        <v>1.5509999990463257</v>
      </c>
      <c r="E78" s="163">
        <v>0</v>
      </c>
      <c r="F78" s="163">
        <v>0</v>
      </c>
      <c r="G78" s="163">
        <v>0</v>
      </c>
    </row>
    <row r="79" spans="1:7" x14ac:dyDescent="0.25">
      <c r="A79" s="172">
        <v>40624</v>
      </c>
      <c r="B79" s="162" t="s">
        <v>30</v>
      </c>
      <c r="C79" s="163">
        <v>12.272727272727273</v>
      </c>
      <c r="D79" s="163">
        <v>1.5509999990463257</v>
      </c>
      <c r="E79" s="163">
        <v>184</v>
      </c>
      <c r="F79" s="163">
        <v>285</v>
      </c>
      <c r="G79" s="163">
        <v>3498</v>
      </c>
    </row>
    <row r="80" spans="1:7" x14ac:dyDescent="0.25">
      <c r="A80" s="172">
        <v>40624</v>
      </c>
      <c r="B80" s="162" t="s">
        <v>31</v>
      </c>
      <c r="C80" s="163">
        <v>13.642857142857142</v>
      </c>
      <c r="D80" s="163">
        <v>1.5509999990463257</v>
      </c>
      <c r="E80" s="163">
        <v>233</v>
      </c>
      <c r="F80" s="163">
        <v>361</v>
      </c>
      <c r="G80" s="163">
        <v>4925</v>
      </c>
    </row>
    <row r="81" spans="1:7" x14ac:dyDescent="0.25">
      <c r="A81" s="172">
        <v>40624</v>
      </c>
      <c r="B81" s="162" t="s">
        <v>32</v>
      </c>
      <c r="C81" s="163">
        <v>13</v>
      </c>
      <c r="D81" s="163">
        <v>1.5509999990463257</v>
      </c>
      <c r="E81" s="163">
        <v>51</v>
      </c>
      <c r="F81" s="163">
        <v>79</v>
      </c>
      <c r="G81" s="163">
        <v>1027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0"/>
  <sheetViews>
    <sheetView workbookViewId="0">
      <selection activeCell="T21" sqref="T21"/>
    </sheetView>
  </sheetViews>
  <sheetFormatPr defaultRowHeight="15" x14ac:dyDescent="0.25"/>
  <cols>
    <col min="1" max="1" width="8" customWidth="1"/>
    <col min="2" max="2" width="4.5703125" bestFit="1" customWidth="1"/>
    <col min="3" max="3" width="4.5703125" customWidth="1"/>
    <col min="4" max="4" width="8.42578125" bestFit="1" customWidth="1"/>
    <col min="5" max="5" width="7.5703125" bestFit="1" customWidth="1"/>
    <col min="6" max="6" width="8.85546875" bestFit="1" customWidth="1"/>
    <col min="7" max="7" width="7.5703125" bestFit="1" customWidth="1"/>
    <col min="8" max="8" width="8.42578125" bestFit="1" customWidth="1"/>
    <col min="9" max="9" width="7.5703125" bestFit="1" customWidth="1"/>
    <col min="10" max="10" width="12" bestFit="1" customWidth="1"/>
    <col min="11" max="11" width="7.5703125" bestFit="1" customWidth="1"/>
    <col min="12" max="12" width="8.42578125" bestFit="1" customWidth="1"/>
    <col min="13" max="15" width="7.5703125" bestFit="1" customWidth="1"/>
    <col min="16" max="16" width="8.42578125" bestFit="1" customWidth="1"/>
  </cols>
  <sheetData>
    <row r="1" spans="1:18" ht="15.75" thickBot="1" x14ac:dyDescent="0.3">
      <c r="A1" s="27" t="s">
        <v>88</v>
      </c>
      <c r="B1" s="27"/>
      <c r="C1" s="27"/>
      <c r="D1" s="27"/>
      <c r="E1" s="26"/>
      <c r="F1" s="26"/>
      <c r="G1" s="26"/>
      <c r="H1" s="26"/>
      <c r="I1" s="26"/>
      <c r="J1" s="34"/>
      <c r="K1" s="35"/>
      <c r="L1" s="35"/>
      <c r="M1" s="35"/>
      <c r="N1" s="27"/>
      <c r="O1" s="26"/>
      <c r="P1" s="26"/>
      <c r="Q1" s="27"/>
      <c r="R1" s="36"/>
    </row>
    <row r="2" spans="1:18" ht="15.75" thickTop="1" x14ac:dyDescent="0.25">
      <c r="A2" s="37"/>
      <c r="B2" s="37"/>
      <c r="C2" s="37"/>
      <c r="D2" s="37"/>
      <c r="E2" s="255" t="s">
        <v>51</v>
      </c>
      <c r="F2" s="256"/>
      <c r="G2" s="256"/>
      <c r="H2" s="257"/>
      <c r="I2" s="255" t="s">
        <v>52</v>
      </c>
      <c r="J2" s="256"/>
      <c r="K2" s="256"/>
      <c r="L2" s="257"/>
      <c r="M2" s="255" t="s">
        <v>53</v>
      </c>
      <c r="N2" s="256"/>
      <c r="O2" s="256"/>
      <c r="P2" s="257"/>
      <c r="Q2" s="253" t="s">
        <v>54</v>
      </c>
      <c r="R2" s="254"/>
    </row>
    <row r="3" spans="1:18" ht="15.75" thickBot="1" x14ac:dyDescent="0.3">
      <c r="A3" s="38" t="s">
        <v>55</v>
      </c>
      <c r="B3" s="38" t="s">
        <v>56</v>
      </c>
      <c r="C3" s="38" t="s">
        <v>57</v>
      </c>
      <c r="D3" s="38" t="s">
        <v>58</v>
      </c>
      <c r="E3" s="39" t="s">
        <v>59</v>
      </c>
      <c r="F3" s="38" t="s">
        <v>60</v>
      </c>
      <c r="G3" s="38" t="s">
        <v>11</v>
      </c>
      <c r="H3" s="38" t="s">
        <v>65</v>
      </c>
      <c r="I3" s="39" t="s">
        <v>59</v>
      </c>
      <c r="J3" s="38" t="s">
        <v>60</v>
      </c>
      <c r="K3" s="38" t="s">
        <v>11</v>
      </c>
      <c r="L3" s="38" t="s">
        <v>65</v>
      </c>
      <c r="M3" s="39" t="s">
        <v>59</v>
      </c>
      <c r="N3" s="38" t="s">
        <v>60</v>
      </c>
      <c r="O3" s="38" t="s">
        <v>11</v>
      </c>
      <c r="P3" s="38" t="s">
        <v>65</v>
      </c>
      <c r="Q3" s="39" t="s">
        <v>59</v>
      </c>
      <c r="R3" s="40" t="s">
        <v>60</v>
      </c>
    </row>
    <row r="4" spans="1:18" ht="15.75" thickTop="1" x14ac:dyDescent="0.25">
      <c r="A4" s="41">
        <v>40459</v>
      </c>
      <c r="B4" s="28">
        <v>40459</v>
      </c>
      <c r="C4" s="31">
        <v>-1.4</v>
      </c>
      <c r="D4" s="32">
        <v>0.8208333333333333</v>
      </c>
      <c r="E4" s="44">
        <f>+'Summary Table'!K5</f>
        <v>3990</v>
      </c>
      <c r="F4" s="45">
        <f>+'Summary Table'!L5</f>
        <v>59524</v>
      </c>
      <c r="G4" s="42">
        <f>+'Summary Table'!M5</f>
        <v>14.918295739348371</v>
      </c>
      <c r="H4" s="42"/>
      <c r="I4" s="44">
        <f>+'Summary Table'!N5</f>
        <v>2024</v>
      </c>
      <c r="J4" s="45">
        <f>+'Summary Table'!O5</f>
        <v>29166</v>
      </c>
      <c r="K4" s="42">
        <f>+'Summary Table'!P5</f>
        <v>14.410079051383399</v>
      </c>
      <c r="L4" s="42"/>
      <c r="M4" s="44">
        <f>+'Summary Table'!Q5</f>
        <v>231.69615007554546</v>
      </c>
      <c r="N4" s="45">
        <f>+'Summary Table'!R5</f>
        <v>3363.3312107740467</v>
      </c>
      <c r="O4" s="42">
        <f>+'Summary Table'!S5</f>
        <v>14.516129032258062</v>
      </c>
      <c r="P4" s="42"/>
      <c r="Q4" s="44">
        <f>+E4+I4+M4</f>
        <v>6245.6961500755451</v>
      </c>
      <c r="R4" s="45">
        <f>+F4+J4+N4</f>
        <v>92053.331210774049</v>
      </c>
    </row>
    <row r="5" spans="1:18" x14ac:dyDescent="0.25">
      <c r="A5" s="41">
        <v>40460</v>
      </c>
      <c r="B5" s="28">
        <v>40460</v>
      </c>
      <c r="C5" s="33">
        <v>-1.5</v>
      </c>
      <c r="D5" s="32">
        <v>0.85277777777777775</v>
      </c>
      <c r="E5" s="44">
        <f>+'Summary Table'!K6</f>
        <v>2461</v>
      </c>
      <c r="F5" s="45">
        <f>+'Summary Table'!L6</f>
        <v>12380</v>
      </c>
      <c r="G5" s="42">
        <f>+'Summary Table'!M6</f>
        <v>5.0304754164973584</v>
      </c>
      <c r="H5" s="42"/>
      <c r="I5" s="44">
        <f>+'Summary Table'!N6</f>
        <v>1684</v>
      </c>
      <c r="J5" s="45">
        <f>+'Summary Table'!O6</f>
        <v>8204</v>
      </c>
      <c r="K5" s="42">
        <f>+'Summary Table'!P6</f>
        <v>4.8717339667458432</v>
      </c>
      <c r="L5" s="42"/>
      <c r="M5" s="44">
        <f>+'Summary Table'!Q6</f>
        <v>164.26082600882043</v>
      </c>
      <c r="N5" s="45">
        <f>+'Summary Table'!R6</f>
        <v>1551.3522456388598</v>
      </c>
      <c r="O5" s="42">
        <f>+'Summary Table'!S6</f>
        <v>9.4444444444444464</v>
      </c>
      <c r="P5" s="42"/>
      <c r="Q5" s="44">
        <f>+E5+I5+M5</f>
        <v>4309.26082600882</v>
      </c>
      <c r="R5" s="45">
        <f>+F5+J5+N5</f>
        <v>22135.35224563886</v>
      </c>
    </row>
    <row r="6" spans="1:18" x14ac:dyDescent="0.25">
      <c r="A6" s="250" t="s">
        <v>61</v>
      </c>
      <c r="B6" s="250"/>
      <c r="C6" s="250"/>
      <c r="D6" s="251"/>
      <c r="E6" s="50">
        <f>SUM(E4:E5)</f>
        <v>6451</v>
      </c>
      <c r="F6" s="51">
        <f>SUM(F4:F5)</f>
        <v>71904</v>
      </c>
      <c r="G6" s="49">
        <f>F6/E6</f>
        <v>11.146178886994264</v>
      </c>
      <c r="H6" s="49">
        <v>119.83</v>
      </c>
      <c r="I6" s="50">
        <f>SUM(I4:I5)</f>
        <v>3708</v>
      </c>
      <c r="J6" s="51">
        <f>SUM(J4:J5)</f>
        <v>37370</v>
      </c>
      <c r="K6" s="49">
        <f>J6/I6</f>
        <v>10.078209277238404</v>
      </c>
      <c r="L6" s="49">
        <v>117.94</v>
      </c>
      <c r="M6" s="50">
        <f>SUM(M4:M5)</f>
        <v>395.95697608436592</v>
      </c>
      <c r="N6" s="51">
        <f>SUM(N4:N5)</f>
        <v>4914.6834564129067</v>
      </c>
      <c r="O6" s="49">
        <f>N6/M6</f>
        <v>12.412165344362421</v>
      </c>
      <c r="P6" s="49">
        <v>105.27</v>
      </c>
      <c r="Q6" s="50">
        <f>SUM(Q4:Q5)</f>
        <v>10554.956976084366</v>
      </c>
      <c r="R6" s="51">
        <f>SUM(R4:R5)</f>
        <v>114188.68345641291</v>
      </c>
    </row>
    <row r="7" spans="1:18" x14ac:dyDescent="0.25">
      <c r="A7" s="53">
        <v>40487</v>
      </c>
      <c r="B7" s="28">
        <v>40487</v>
      </c>
      <c r="C7" s="42">
        <v>-1.4</v>
      </c>
      <c r="D7" s="43">
        <v>0.77847222222222223</v>
      </c>
      <c r="E7" s="44">
        <v>2479</v>
      </c>
      <c r="F7" s="45">
        <v>34019</v>
      </c>
      <c r="G7" s="42">
        <v>13.722872125857201</v>
      </c>
      <c r="H7" s="42"/>
      <c r="I7" s="44">
        <v>1513</v>
      </c>
      <c r="J7" s="45">
        <v>23281</v>
      </c>
      <c r="K7" s="42">
        <v>15.387309980171844</v>
      </c>
      <c r="L7" s="42"/>
      <c r="M7" s="44">
        <v>235.224128571428</v>
      </c>
      <c r="N7" s="45">
        <v>3415.4543468571346</v>
      </c>
      <c r="O7" s="42">
        <v>14.520000000000001</v>
      </c>
      <c r="P7" s="42"/>
      <c r="Q7" s="44">
        <f t="shared" ref="Q7:Q8" si="0">+E7+I7+M7</f>
        <v>4227.2241285714281</v>
      </c>
      <c r="R7" s="45">
        <f t="shared" ref="R7:R8" si="1">+F7+J7+N7</f>
        <v>60715.454346857136</v>
      </c>
    </row>
    <row r="8" spans="1:18" x14ac:dyDescent="0.25">
      <c r="A8" s="53">
        <v>40488</v>
      </c>
      <c r="B8" s="28">
        <v>40488</v>
      </c>
      <c r="C8" s="42">
        <v>-1.6</v>
      </c>
      <c r="D8" s="43">
        <v>0.80972222222222223</v>
      </c>
      <c r="E8" s="44">
        <v>3018</v>
      </c>
      <c r="F8" s="45">
        <v>30023</v>
      </c>
      <c r="G8" s="42">
        <v>9.947978793903248</v>
      </c>
      <c r="H8" s="42"/>
      <c r="I8" s="44">
        <v>945</v>
      </c>
      <c r="J8" s="45">
        <v>11934</v>
      </c>
      <c r="K8" s="42">
        <v>12.628571428571428</v>
      </c>
      <c r="L8" s="42"/>
      <c r="M8" s="44">
        <v>105.20580512820513</v>
      </c>
      <c r="N8" s="45">
        <v>444.37675897435895</v>
      </c>
      <c r="O8" s="42">
        <v>4.2238805970149249</v>
      </c>
      <c r="P8" s="42"/>
      <c r="Q8" s="44">
        <f t="shared" si="0"/>
        <v>4068.2058051282052</v>
      </c>
      <c r="R8" s="45">
        <f t="shared" si="1"/>
        <v>42401.376758974358</v>
      </c>
    </row>
    <row r="9" spans="1:18" x14ac:dyDescent="0.25">
      <c r="A9" s="250" t="s">
        <v>61</v>
      </c>
      <c r="B9" s="250"/>
      <c r="C9" s="250"/>
      <c r="D9" s="251"/>
      <c r="E9" s="50">
        <f>SUM(E7:E8)</f>
        <v>5497</v>
      </c>
      <c r="F9" s="51">
        <f>SUM(F7:F8)</f>
        <v>64042</v>
      </c>
      <c r="G9" s="49">
        <f>F9/E9</f>
        <v>11.650354738948517</v>
      </c>
      <c r="H9" s="49">
        <v>108.10714285714286</v>
      </c>
      <c r="I9" s="50">
        <f>SUM(I7:I8)</f>
        <v>2458</v>
      </c>
      <c r="J9" s="51">
        <f>SUM(J7:J8)</f>
        <v>35215</v>
      </c>
      <c r="K9" s="49">
        <f>J9/I9</f>
        <v>14.326688364524003</v>
      </c>
      <c r="L9" s="49">
        <v>110.55704697986577</v>
      </c>
      <c r="M9" s="50">
        <f>SUM(M7:M8)</f>
        <v>340.42993369963312</v>
      </c>
      <c r="N9" s="51">
        <f>SUM(N7:N8)</f>
        <v>3859.8311058314935</v>
      </c>
      <c r="O9" s="49">
        <f>N9/M9</f>
        <v>11.338107268901581</v>
      </c>
      <c r="P9" s="49">
        <v>107.25</v>
      </c>
      <c r="Q9" s="50">
        <f>SUM(Q7:Q8)</f>
        <v>8295.4299336996337</v>
      </c>
      <c r="R9" s="51">
        <f>SUM(R7:R8)</f>
        <v>103116.83110583149</v>
      </c>
    </row>
    <row r="10" spans="1:18" x14ac:dyDescent="0.25">
      <c r="A10" s="41">
        <v>40516</v>
      </c>
      <c r="B10" s="28">
        <v>40516</v>
      </c>
      <c r="C10" s="42">
        <v>-1.2</v>
      </c>
      <c r="D10" s="43">
        <v>0.7284722222222223</v>
      </c>
      <c r="E10" s="44">
        <v>2907</v>
      </c>
      <c r="F10" s="45">
        <v>43605</v>
      </c>
      <c r="G10" s="42">
        <v>15</v>
      </c>
      <c r="H10" s="42"/>
      <c r="I10" s="44">
        <v>1271</v>
      </c>
      <c r="J10" s="45">
        <v>19065</v>
      </c>
      <c r="K10" s="42">
        <v>15</v>
      </c>
      <c r="L10" s="42"/>
      <c r="M10" s="44">
        <v>151.13880701754385</v>
      </c>
      <c r="N10" s="45">
        <v>1758.9984561403469</v>
      </c>
      <c r="O10" s="42">
        <v>11.638297872340399</v>
      </c>
      <c r="P10" s="42"/>
      <c r="Q10" s="44">
        <f t="shared" ref="Q10:Q11" si="2">+E10+I10+M10</f>
        <v>4329.1388070175435</v>
      </c>
      <c r="R10" s="45">
        <f t="shared" ref="R10:R11" si="3">+F10+J10+N10</f>
        <v>64428.998456140347</v>
      </c>
    </row>
    <row r="11" spans="1:18" x14ac:dyDescent="0.25">
      <c r="A11" s="41">
        <v>40517</v>
      </c>
      <c r="B11" s="28">
        <v>40517</v>
      </c>
      <c r="C11" s="42">
        <v>-1.3</v>
      </c>
      <c r="D11" s="43">
        <v>0.7597222222222223</v>
      </c>
      <c r="E11" s="44">
        <v>1257</v>
      </c>
      <c r="F11" s="45">
        <v>18855</v>
      </c>
      <c r="G11" s="42">
        <v>15</v>
      </c>
      <c r="H11" s="42"/>
      <c r="I11" s="44">
        <v>573</v>
      </c>
      <c r="J11" s="45">
        <v>8595</v>
      </c>
      <c r="K11" s="42">
        <v>15</v>
      </c>
      <c r="L11" s="42"/>
      <c r="M11" s="44">
        <v>80.196480000000008</v>
      </c>
      <c r="N11" s="45">
        <v>879.10991999999987</v>
      </c>
      <c r="O11" s="42">
        <v>10.961951447245562</v>
      </c>
      <c r="P11" s="42"/>
      <c r="Q11" s="44">
        <f t="shared" si="2"/>
        <v>1910.1964800000001</v>
      </c>
      <c r="R11" s="45">
        <f t="shared" si="3"/>
        <v>28329.109919999999</v>
      </c>
    </row>
    <row r="12" spans="1:18" x14ac:dyDescent="0.25">
      <c r="A12" s="250" t="s">
        <v>61</v>
      </c>
      <c r="B12" s="250"/>
      <c r="C12" s="250"/>
      <c r="D12" s="251"/>
      <c r="E12" s="50">
        <f>SUM(E10:E11)</f>
        <v>4164</v>
      </c>
      <c r="F12" s="51">
        <f>SUM(F10:F11)</f>
        <v>62460</v>
      </c>
      <c r="G12" s="49">
        <f>F12/E12</f>
        <v>15</v>
      </c>
      <c r="H12" s="49">
        <v>104.91</v>
      </c>
      <c r="I12" s="50">
        <f>SUM(I10:I11)</f>
        <v>1844</v>
      </c>
      <c r="J12" s="51">
        <f>SUM(J10:J11)</f>
        <v>27660</v>
      </c>
      <c r="K12" s="49">
        <f>J12/I12</f>
        <v>15</v>
      </c>
      <c r="L12" s="49">
        <v>110.41</v>
      </c>
      <c r="M12" s="50">
        <f>SUM(M10:M11)</f>
        <v>231.33528701754386</v>
      </c>
      <c r="N12" s="51">
        <f>SUM(N10:N11)</f>
        <v>2638.108376140347</v>
      </c>
      <c r="O12" s="49">
        <f>N12/M12</f>
        <v>11.403830389007103</v>
      </c>
      <c r="P12" s="49">
        <v>104.06</v>
      </c>
      <c r="Q12" s="50">
        <f>SUM(Q10:Q11)</f>
        <v>6239.335287017544</v>
      </c>
      <c r="R12" s="51">
        <f>SUM(R10:R11)</f>
        <v>92758.108376140342</v>
      </c>
    </row>
    <row r="13" spans="1:18" x14ac:dyDescent="0.25">
      <c r="A13" s="53">
        <v>40543</v>
      </c>
      <c r="B13" s="28">
        <v>40543</v>
      </c>
      <c r="C13" s="42">
        <v>0</v>
      </c>
      <c r="D13" s="43">
        <v>0.65277777777777779</v>
      </c>
      <c r="E13" s="44">
        <v>5756</v>
      </c>
      <c r="F13" s="54">
        <v>70587</v>
      </c>
      <c r="G13" s="52">
        <v>12.26320361362057</v>
      </c>
      <c r="H13" s="52"/>
      <c r="I13" s="44">
        <v>2895</v>
      </c>
      <c r="J13" s="54">
        <v>41981</v>
      </c>
      <c r="K13" s="52">
        <v>14.501208981001728</v>
      </c>
      <c r="L13" s="52"/>
      <c r="M13" s="44">
        <v>379.92565714285712</v>
      </c>
      <c r="N13" s="54">
        <v>2567.3764103896106</v>
      </c>
      <c r="O13" s="52">
        <v>6.7575757575757587</v>
      </c>
      <c r="P13" s="52"/>
      <c r="Q13" s="44">
        <f t="shared" ref="Q13:Q14" si="4">+E13+I13+M13</f>
        <v>9030.9256571428577</v>
      </c>
      <c r="R13" s="45">
        <f t="shared" ref="R13:R14" si="5">+F13+J13+N13</f>
        <v>115135.37641038961</v>
      </c>
    </row>
    <row r="14" spans="1:18" x14ac:dyDescent="0.25">
      <c r="A14" s="53">
        <v>40544</v>
      </c>
      <c r="B14" s="28">
        <v>40544</v>
      </c>
      <c r="C14" s="42">
        <v>-0.4</v>
      </c>
      <c r="D14" s="43">
        <v>0.68888888888888899</v>
      </c>
      <c r="E14" s="44">
        <v>3845</v>
      </c>
      <c r="F14" s="54">
        <v>40889</v>
      </c>
      <c r="G14" s="52">
        <v>10.634330299089727</v>
      </c>
      <c r="H14" s="52"/>
      <c r="I14" s="44">
        <v>2890</v>
      </c>
      <c r="J14" s="54">
        <v>39731</v>
      </c>
      <c r="K14" s="52">
        <v>13.747750865051904</v>
      </c>
      <c r="L14" s="52"/>
      <c r="M14" s="44">
        <v>387.91131250000001</v>
      </c>
      <c r="N14" s="54">
        <v>543.07583750000003</v>
      </c>
      <c r="O14" s="52">
        <v>1.4000000000000001</v>
      </c>
      <c r="P14" s="52"/>
      <c r="Q14" s="44">
        <f t="shared" si="4"/>
        <v>7122.9113125000003</v>
      </c>
      <c r="R14" s="45">
        <f t="shared" si="5"/>
        <v>81163.0758375</v>
      </c>
    </row>
    <row r="15" spans="1:18" x14ac:dyDescent="0.25">
      <c r="A15" s="250" t="s">
        <v>61</v>
      </c>
      <c r="B15" s="250"/>
      <c r="C15" s="250"/>
      <c r="D15" s="251"/>
      <c r="E15" s="50">
        <f>SUM(E13:E14)</f>
        <v>9601</v>
      </c>
      <c r="F15" s="51">
        <f>SUM(F13:F14)</f>
        <v>111476</v>
      </c>
      <c r="G15" s="49">
        <f>F15/E15</f>
        <v>11.610873867305489</v>
      </c>
      <c r="H15" s="49">
        <v>102.11</v>
      </c>
      <c r="I15" s="50">
        <f>SUM(I13:I14)</f>
        <v>5785</v>
      </c>
      <c r="J15" s="51">
        <f>SUM(J13:J14)</f>
        <v>81712</v>
      </c>
      <c r="K15" s="49">
        <f>J15/I15</f>
        <v>14.124805531547105</v>
      </c>
      <c r="L15" s="49">
        <v>107.34</v>
      </c>
      <c r="M15" s="50">
        <f>SUM(M13:M14)</f>
        <v>767.83696964285718</v>
      </c>
      <c r="N15" s="51">
        <f>SUM(N13:N14)</f>
        <v>3110.4522478896106</v>
      </c>
      <c r="O15" s="49">
        <f>N15/M15</f>
        <v>4.0509279584914628</v>
      </c>
      <c r="P15" s="49">
        <v>99.98</v>
      </c>
      <c r="Q15" s="50">
        <f>SUM(Q13:Q14)</f>
        <v>16153.836969642858</v>
      </c>
      <c r="R15" s="51">
        <f>SUM(R13:R14)</f>
        <v>196298.4522478896</v>
      </c>
    </row>
    <row r="16" spans="1:18" x14ac:dyDescent="0.25">
      <c r="A16" s="53">
        <v>40564</v>
      </c>
      <c r="B16" s="28">
        <v>40516</v>
      </c>
      <c r="C16" s="42">
        <v>-1.1000000000000001</v>
      </c>
      <c r="D16" s="43">
        <v>0.81805555555555554</v>
      </c>
      <c r="E16" s="44" t="s">
        <v>22</v>
      </c>
      <c r="F16" s="54" t="s">
        <v>22</v>
      </c>
      <c r="G16" s="52" t="s">
        <v>22</v>
      </c>
      <c r="H16" s="52"/>
      <c r="I16" s="44" t="s">
        <v>22</v>
      </c>
      <c r="J16" s="54" t="s">
        <v>22</v>
      </c>
      <c r="K16" s="52" t="s">
        <v>22</v>
      </c>
      <c r="L16" s="52"/>
      <c r="M16" s="44">
        <v>112</v>
      </c>
      <c r="N16" s="54">
        <v>101</v>
      </c>
      <c r="O16" s="52">
        <v>0.9</v>
      </c>
      <c r="P16" s="52"/>
      <c r="Q16" s="44">
        <f>+M16</f>
        <v>112</v>
      </c>
      <c r="R16" s="45">
        <f>+N16</f>
        <v>101</v>
      </c>
    </row>
    <row r="17" spans="1:18" x14ac:dyDescent="0.25">
      <c r="A17" s="53">
        <v>40565</v>
      </c>
      <c r="B17" s="28">
        <v>40517</v>
      </c>
      <c r="C17" s="42">
        <v>-0.6</v>
      </c>
      <c r="D17" s="43">
        <v>0.84652777777777777</v>
      </c>
      <c r="E17" s="44" t="s">
        <v>22</v>
      </c>
      <c r="F17" s="54" t="s">
        <v>22</v>
      </c>
      <c r="G17" s="52" t="s">
        <v>22</v>
      </c>
      <c r="H17" s="52"/>
      <c r="I17" s="44" t="s">
        <v>22</v>
      </c>
      <c r="J17" s="54" t="s">
        <v>22</v>
      </c>
      <c r="K17" s="52" t="s">
        <v>22</v>
      </c>
      <c r="L17" s="52"/>
      <c r="M17" s="44">
        <v>167</v>
      </c>
      <c r="N17" s="54">
        <v>251</v>
      </c>
      <c r="O17" s="52">
        <v>1.5</v>
      </c>
      <c r="P17" s="52"/>
      <c r="Q17" s="44">
        <f>+M17</f>
        <v>167</v>
      </c>
      <c r="R17" s="45">
        <f>+N17</f>
        <v>251</v>
      </c>
    </row>
    <row r="18" spans="1:18" x14ac:dyDescent="0.25">
      <c r="A18" s="250" t="s">
        <v>61</v>
      </c>
      <c r="B18" s="250"/>
      <c r="C18" s="250"/>
      <c r="D18" s="251"/>
      <c r="E18" s="50"/>
      <c r="F18" s="51"/>
      <c r="G18" s="49"/>
      <c r="H18" s="49"/>
      <c r="I18" s="50"/>
      <c r="J18" s="51"/>
      <c r="K18" s="49"/>
      <c r="L18" s="49"/>
      <c r="M18" s="50">
        <f>SUM(M16:M17)</f>
        <v>279</v>
      </c>
      <c r="N18" s="51">
        <f>SUM(N16:N17)</f>
        <v>352</v>
      </c>
      <c r="O18" s="49">
        <f>N18/M18</f>
        <v>1.2616487455197132</v>
      </c>
      <c r="P18" s="49">
        <v>103.53</v>
      </c>
      <c r="Q18" s="50">
        <f>SUM(Q16:Q17)</f>
        <v>279</v>
      </c>
      <c r="R18" s="51">
        <f>SUM(R16:R17)</f>
        <v>352</v>
      </c>
    </row>
    <row r="19" spans="1:18" x14ac:dyDescent="0.25">
      <c r="A19" s="53">
        <v>40592</v>
      </c>
      <c r="B19" s="28">
        <v>40592</v>
      </c>
      <c r="C19" s="42">
        <v>-0.9</v>
      </c>
      <c r="D19" s="43">
        <v>0.7729166666666667</v>
      </c>
      <c r="E19" s="44">
        <v>3272</v>
      </c>
      <c r="F19" s="54">
        <v>49080</v>
      </c>
      <c r="G19" s="52">
        <v>15</v>
      </c>
      <c r="H19" s="52"/>
      <c r="I19" s="44">
        <v>1327</v>
      </c>
      <c r="J19" s="54">
        <v>16688</v>
      </c>
      <c r="K19" s="52">
        <v>12.575734740015072</v>
      </c>
      <c r="L19" s="52"/>
      <c r="M19" s="44">
        <v>96</v>
      </c>
      <c r="N19" s="54">
        <v>171</v>
      </c>
      <c r="O19" s="52">
        <v>1.78125</v>
      </c>
      <c r="P19" s="52"/>
      <c r="Q19" s="44">
        <f t="shared" ref="Q19:Q20" si="6">+E19+I19+M19</f>
        <v>4695</v>
      </c>
      <c r="R19" s="54">
        <f t="shared" ref="R19:R20" si="7">+F19+J19+N19</f>
        <v>65939</v>
      </c>
    </row>
    <row r="20" spans="1:18" x14ac:dyDescent="0.25">
      <c r="A20" s="53">
        <v>40593</v>
      </c>
      <c r="B20" s="28">
        <v>40593</v>
      </c>
      <c r="C20" s="42">
        <v>-0.5</v>
      </c>
      <c r="D20" s="43">
        <v>0.80069444444444438</v>
      </c>
      <c r="E20" s="44">
        <v>4515</v>
      </c>
      <c r="F20" s="54">
        <v>60694</v>
      </c>
      <c r="G20" s="52">
        <v>13.442746400885936</v>
      </c>
      <c r="H20" s="52"/>
      <c r="I20" s="44">
        <v>2679</v>
      </c>
      <c r="J20" s="54">
        <v>36265</v>
      </c>
      <c r="K20" s="52">
        <v>13.536767450541246</v>
      </c>
      <c r="L20" s="52"/>
      <c r="M20" s="44">
        <v>124</v>
      </c>
      <c r="N20" s="54">
        <v>255</v>
      </c>
      <c r="O20" s="52">
        <v>2.056451612903226</v>
      </c>
      <c r="P20" s="52"/>
      <c r="Q20" s="44">
        <f t="shared" si="6"/>
        <v>7318</v>
      </c>
      <c r="R20" s="54">
        <f t="shared" si="7"/>
        <v>97214</v>
      </c>
    </row>
    <row r="21" spans="1:18" x14ac:dyDescent="0.25">
      <c r="A21" s="250" t="s">
        <v>61</v>
      </c>
      <c r="B21" s="250"/>
      <c r="C21" s="250"/>
      <c r="D21" s="251"/>
      <c r="E21" s="50">
        <f>SUM(E19:E20)</f>
        <v>7787</v>
      </c>
      <c r="F21" s="51">
        <f>SUM(F19:F20)</f>
        <v>109774</v>
      </c>
      <c r="G21" s="49">
        <f>F21/E21</f>
        <v>14.097084885064852</v>
      </c>
      <c r="H21" s="49">
        <v>109.05</v>
      </c>
      <c r="I21" s="50">
        <f>SUM(I19:I20)</f>
        <v>4006</v>
      </c>
      <c r="J21" s="51">
        <f>SUM(J19:J20)</f>
        <v>52953</v>
      </c>
      <c r="K21" s="49">
        <f>J21/I21</f>
        <v>13.218422366450325</v>
      </c>
      <c r="L21" s="49">
        <v>109.2</v>
      </c>
      <c r="M21" s="50">
        <f>SUM(M19:M20)</f>
        <v>220</v>
      </c>
      <c r="N21" s="51">
        <f>SUM(N19:N20)</f>
        <v>426</v>
      </c>
      <c r="O21" s="49">
        <f>N21/M21</f>
        <v>1.9363636363636363</v>
      </c>
      <c r="P21" s="49">
        <v>104.9</v>
      </c>
      <c r="Q21" s="50">
        <f>SUM(Q19:Q20)</f>
        <v>12013</v>
      </c>
      <c r="R21" s="51">
        <f>SUM(R19:R20)</f>
        <v>163153</v>
      </c>
    </row>
    <row r="22" spans="1:18" x14ac:dyDescent="0.25">
      <c r="A22" s="53">
        <v>40621</v>
      </c>
      <c r="B22" s="28">
        <v>40621</v>
      </c>
      <c r="C22" s="42">
        <v>-0.1</v>
      </c>
      <c r="D22" s="43">
        <v>0.7944444444444444</v>
      </c>
      <c r="E22" s="44">
        <v>4491</v>
      </c>
      <c r="F22" s="54">
        <v>57326</v>
      </c>
      <c r="G22" s="52">
        <v>12.764640391894901</v>
      </c>
      <c r="H22" s="52"/>
      <c r="I22" s="44">
        <v>3609</v>
      </c>
      <c r="J22" s="54">
        <v>37253</v>
      </c>
      <c r="K22" s="52">
        <v>10.322249930728734</v>
      </c>
      <c r="L22" s="52"/>
      <c r="M22" s="44" t="s">
        <v>22</v>
      </c>
      <c r="N22" s="54" t="s">
        <v>22</v>
      </c>
      <c r="O22" s="52" t="s">
        <v>22</v>
      </c>
      <c r="P22" s="52"/>
      <c r="Q22" s="44">
        <f>+E22+I22</f>
        <v>8100</v>
      </c>
      <c r="R22" s="54">
        <f>+F22+J22</f>
        <v>94579</v>
      </c>
    </row>
    <row r="23" spans="1:18" x14ac:dyDescent="0.25">
      <c r="A23" s="53">
        <v>40622</v>
      </c>
      <c r="B23" s="28">
        <v>40622</v>
      </c>
      <c r="C23" s="42">
        <v>-0.5</v>
      </c>
      <c r="D23" s="43">
        <v>0.31666666666666665</v>
      </c>
      <c r="E23" s="44">
        <v>3125</v>
      </c>
      <c r="F23" s="54">
        <v>44772</v>
      </c>
      <c r="G23" s="52">
        <v>14.32704</v>
      </c>
      <c r="H23" s="52"/>
      <c r="I23" s="44">
        <v>1521</v>
      </c>
      <c r="J23" s="54">
        <v>22725</v>
      </c>
      <c r="K23" s="52">
        <v>14.940828402366863</v>
      </c>
      <c r="L23" s="52"/>
      <c r="M23" s="44" t="s">
        <v>22</v>
      </c>
      <c r="N23" s="54" t="s">
        <v>22</v>
      </c>
      <c r="O23" s="52" t="s">
        <v>22</v>
      </c>
      <c r="P23" s="52"/>
      <c r="Q23" s="44">
        <f>+E23+I23</f>
        <v>4646</v>
      </c>
      <c r="R23" s="54">
        <f>+F23+J23</f>
        <v>67497</v>
      </c>
    </row>
    <row r="24" spans="1:18" x14ac:dyDescent="0.25">
      <c r="A24" s="250" t="s">
        <v>61</v>
      </c>
      <c r="B24" s="250"/>
      <c r="C24" s="250"/>
      <c r="D24" s="251"/>
      <c r="E24" s="50">
        <f>SUM(E22:E23)</f>
        <v>7616</v>
      </c>
      <c r="F24" s="51">
        <f>SUM(F22:F23)</f>
        <v>102098</v>
      </c>
      <c r="G24" s="49">
        <f>F24/E24</f>
        <v>13.405724789915967</v>
      </c>
      <c r="H24" s="49">
        <v>111.63</v>
      </c>
      <c r="I24" s="50">
        <f>SUM(I22:I23)</f>
        <v>5130</v>
      </c>
      <c r="J24" s="51">
        <f>SUM(J22:J23)</f>
        <v>59978</v>
      </c>
      <c r="K24" s="49">
        <f>J24/I24</f>
        <v>11.691617933723197</v>
      </c>
      <c r="L24" s="49">
        <v>108.62</v>
      </c>
      <c r="M24" s="50"/>
      <c r="N24" s="51"/>
      <c r="O24" s="49"/>
      <c r="P24" s="49"/>
      <c r="Q24" s="50">
        <f>SUM(Q22:Q23)</f>
        <v>12746</v>
      </c>
      <c r="R24" s="51">
        <f>SUM(R22:R23)</f>
        <v>162076</v>
      </c>
    </row>
    <row r="25" spans="1:18" x14ac:dyDescent="0.25">
      <c r="A25" s="53">
        <v>40654</v>
      </c>
      <c r="B25" s="28">
        <v>40654</v>
      </c>
      <c r="C25" s="42">
        <v>-1.4</v>
      </c>
      <c r="D25" s="43">
        <v>0.40486111111111112</v>
      </c>
      <c r="E25" s="44">
        <v>2323</v>
      </c>
      <c r="F25" s="54">
        <v>34911</v>
      </c>
      <c r="G25" s="52">
        <v>15.028411536805855</v>
      </c>
      <c r="H25" s="52"/>
      <c r="I25" s="44">
        <v>1119</v>
      </c>
      <c r="J25" s="54">
        <v>16785</v>
      </c>
      <c r="K25" s="52">
        <v>15</v>
      </c>
      <c r="L25" s="52"/>
      <c r="M25" s="44" t="s">
        <v>22</v>
      </c>
      <c r="N25" s="54" t="s">
        <v>22</v>
      </c>
      <c r="O25" s="52" t="s">
        <v>22</v>
      </c>
      <c r="P25" s="52"/>
      <c r="Q25" s="44">
        <f t="shared" ref="Q25:Q27" si="8">+E25+I25</f>
        <v>3442</v>
      </c>
      <c r="R25" s="54">
        <f t="shared" ref="R25:R27" si="9">+F25+J25</f>
        <v>51696</v>
      </c>
    </row>
    <row r="26" spans="1:18" x14ac:dyDescent="0.25">
      <c r="A26" s="53">
        <v>40655</v>
      </c>
      <c r="B26" s="28">
        <v>40655</v>
      </c>
      <c r="C26" s="109">
        <v>-0.8</v>
      </c>
      <c r="D26" s="43">
        <v>0.43958333333333338</v>
      </c>
      <c r="E26" s="44">
        <v>2746</v>
      </c>
      <c r="F26" s="54">
        <v>39892</v>
      </c>
      <c r="G26" s="52">
        <v>14.527312454479242</v>
      </c>
      <c r="H26" s="52"/>
      <c r="I26" s="44">
        <v>1609</v>
      </c>
      <c r="J26" s="54">
        <v>24135</v>
      </c>
      <c r="K26" s="52">
        <v>15</v>
      </c>
      <c r="L26" s="52"/>
      <c r="M26" s="44" t="s">
        <v>22</v>
      </c>
      <c r="N26" s="54" t="s">
        <v>22</v>
      </c>
      <c r="O26" s="52" t="s">
        <v>22</v>
      </c>
      <c r="P26" s="52"/>
      <c r="Q26" s="44">
        <f t="shared" si="8"/>
        <v>4355</v>
      </c>
      <c r="R26" s="54">
        <f t="shared" si="9"/>
        <v>64027</v>
      </c>
    </row>
    <row r="27" spans="1:18" x14ac:dyDescent="0.25">
      <c r="A27" s="53">
        <v>40656</v>
      </c>
      <c r="B27" s="28">
        <v>40656</v>
      </c>
      <c r="C27" s="109">
        <v>-0.2</v>
      </c>
      <c r="D27" s="43">
        <v>0.4770833333333333</v>
      </c>
      <c r="E27" s="44">
        <v>5442</v>
      </c>
      <c r="F27" s="54">
        <v>81067</v>
      </c>
      <c r="G27" s="52">
        <v>14.896545387725102</v>
      </c>
      <c r="H27" s="52"/>
      <c r="I27" s="44">
        <v>2755</v>
      </c>
      <c r="J27" s="54">
        <v>41341</v>
      </c>
      <c r="K27" s="52">
        <v>15.005807622504538</v>
      </c>
      <c r="L27" s="52"/>
      <c r="M27" s="44" t="s">
        <v>22</v>
      </c>
      <c r="N27" s="54" t="s">
        <v>22</v>
      </c>
      <c r="O27" s="52" t="s">
        <v>22</v>
      </c>
      <c r="P27" s="52"/>
      <c r="Q27" s="44">
        <f t="shared" si="8"/>
        <v>8197</v>
      </c>
      <c r="R27" s="54">
        <f t="shared" si="9"/>
        <v>122408</v>
      </c>
    </row>
    <row r="28" spans="1:18" x14ac:dyDescent="0.25">
      <c r="A28" s="250" t="s">
        <v>61</v>
      </c>
      <c r="B28" s="250"/>
      <c r="C28" s="250"/>
      <c r="D28" s="251"/>
      <c r="E28" s="50">
        <f>SUM(E25:E27)</f>
        <v>10511</v>
      </c>
      <c r="F28" s="51">
        <f>SUM(F25:F27)</f>
        <v>155870</v>
      </c>
      <c r="G28" s="49">
        <f>F28/E28</f>
        <v>14.829226524593283</v>
      </c>
      <c r="H28" s="49">
        <v>121.13</v>
      </c>
      <c r="I28" s="50">
        <f>SUM(I25:I27)</f>
        <v>5483</v>
      </c>
      <c r="J28" s="51">
        <f>SUM(J25:J27)</f>
        <v>82261</v>
      </c>
      <c r="K28" s="49">
        <f>J28/I28</f>
        <v>15.002918110523437</v>
      </c>
      <c r="L28" s="49">
        <v>116.27</v>
      </c>
      <c r="M28" s="50"/>
      <c r="N28" s="51"/>
      <c r="O28" s="49"/>
      <c r="P28" s="49"/>
      <c r="Q28" s="50">
        <f>SUM(Q25:Q27)</f>
        <v>15994</v>
      </c>
      <c r="R28" s="51">
        <f>SUM(R25:R27)</f>
        <v>238131</v>
      </c>
    </row>
    <row r="29" spans="1:18" x14ac:dyDescent="0.25">
      <c r="A29" s="53">
        <v>40670</v>
      </c>
      <c r="B29" s="28">
        <v>40670</v>
      </c>
      <c r="C29" s="42">
        <v>-0.6</v>
      </c>
      <c r="D29" s="43">
        <v>0.41666666666666669</v>
      </c>
      <c r="E29" s="44" t="s">
        <v>22</v>
      </c>
      <c r="F29" s="52" t="s">
        <v>22</v>
      </c>
      <c r="G29" s="52" t="s">
        <v>22</v>
      </c>
      <c r="H29" s="95"/>
      <c r="I29" s="44">
        <v>1825</v>
      </c>
      <c r="J29" s="54">
        <v>26125</v>
      </c>
      <c r="K29" s="52">
        <v>14.315068493150685</v>
      </c>
      <c r="L29" s="95"/>
      <c r="M29" s="44" t="s">
        <v>22</v>
      </c>
      <c r="N29" s="54" t="s">
        <v>22</v>
      </c>
      <c r="O29" s="52" t="s">
        <v>22</v>
      </c>
      <c r="P29" s="95"/>
      <c r="Q29" s="44">
        <f>I29</f>
        <v>1825</v>
      </c>
      <c r="R29" s="54">
        <f>J29</f>
        <v>26125</v>
      </c>
    </row>
    <row r="30" spans="1:18" x14ac:dyDescent="0.25">
      <c r="A30" s="53">
        <v>40671</v>
      </c>
      <c r="B30" s="28">
        <v>40671</v>
      </c>
      <c r="C30" s="42">
        <v>-0.4</v>
      </c>
      <c r="D30" s="43">
        <v>0.44861111111111113</v>
      </c>
      <c r="E30" s="44" t="s">
        <v>22</v>
      </c>
      <c r="F30" s="52" t="s">
        <v>22</v>
      </c>
      <c r="G30" s="52" t="s">
        <v>22</v>
      </c>
      <c r="H30" s="95"/>
      <c r="I30" s="44">
        <v>1683</v>
      </c>
      <c r="J30" s="54">
        <v>25245</v>
      </c>
      <c r="K30" s="52">
        <v>15</v>
      </c>
      <c r="L30" s="95"/>
      <c r="M30" s="44" t="s">
        <v>22</v>
      </c>
      <c r="N30" s="54" t="s">
        <v>22</v>
      </c>
      <c r="O30" s="52" t="s">
        <v>22</v>
      </c>
      <c r="P30" s="95"/>
      <c r="Q30" s="111">
        <f>I30</f>
        <v>1683</v>
      </c>
      <c r="R30" s="94">
        <f>J30</f>
        <v>25245</v>
      </c>
    </row>
    <row r="31" spans="1:18" x14ac:dyDescent="0.25">
      <c r="A31" s="47"/>
      <c r="B31" s="48"/>
      <c r="C31" s="48"/>
      <c r="D31" s="48"/>
      <c r="E31" s="50"/>
      <c r="F31" s="51"/>
      <c r="G31" s="49"/>
      <c r="H31" s="49"/>
      <c r="I31" s="50">
        <f>SUM(I29:I30)</f>
        <v>3508</v>
      </c>
      <c r="J31" s="51">
        <f>SUM(J29:J30)</f>
        <v>51370</v>
      </c>
      <c r="K31" s="49">
        <f>J31/I31</f>
        <v>14.643671607753706</v>
      </c>
      <c r="L31" s="49">
        <v>111.08</v>
      </c>
      <c r="M31" s="50"/>
      <c r="N31" s="51"/>
      <c r="O31" s="49"/>
      <c r="P31" s="49"/>
      <c r="Q31" s="50">
        <f>+I31</f>
        <v>3508</v>
      </c>
      <c r="R31" s="51">
        <f>+J31</f>
        <v>51370</v>
      </c>
    </row>
    <row r="32" spans="1:18" x14ac:dyDescent="0.25">
      <c r="A32" s="53">
        <v>40683</v>
      </c>
      <c r="B32" s="28">
        <v>40683</v>
      </c>
      <c r="C32" s="42">
        <v>-1.7</v>
      </c>
      <c r="D32" s="43">
        <v>0.39097222222222222</v>
      </c>
      <c r="E32" s="44" t="s">
        <v>22</v>
      </c>
      <c r="F32" s="54" t="s">
        <v>22</v>
      </c>
      <c r="G32" s="52" t="s">
        <v>22</v>
      </c>
      <c r="H32" s="52"/>
      <c r="I32" s="44">
        <v>1599</v>
      </c>
      <c r="J32" s="54">
        <v>23952</v>
      </c>
      <c r="K32" s="52">
        <v>14.97936210131332</v>
      </c>
      <c r="L32" s="52"/>
      <c r="M32" s="44" t="s">
        <v>22</v>
      </c>
      <c r="N32" s="54" t="s">
        <v>22</v>
      </c>
      <c r="O32" s="52" t="s">
        <v>22</v>
      </c>
      <c r="P32" s="52"/>
      <c r="Q32" s="44">
        <f>+I32</f>
        <v>1599</v>
      </c>
      <c r="R32" s="54">
        <f>+J32</f>
        <v>23952</v>
      </c>
    </row>
    <row r="33" spans="1:18" x14ac:dyDescent="0.25">
      <c r="A33" s="53">
        <v>40684</v>
      </c>
      <c r="B33" s="28">
        <v>40684</v>
      </c>
      <c r="C33" s="42">
        <v>-1.1000000000000001</v>
      </c>
      <c r="D33" s="43">
        <v>0.42291666666666666</v>
      </c>
      <c r="E33" s="44" t="s">
        <v>22</v>
      </c>
      <c r="F33" s="54" t="s">
        <v>22</v>
      </c>
      <c r="G33" s="52" t="s">
        <v>22</v>
      </c>
      <c r="H33" s="52"/>
      <c r="I33" s="44">
        <v>2969</v>
      </c>
      <c r="J33" s="54">
        <v>43949</v>
      </c>
      <c r="K33" s="52">
        <v>14.802627147187605</v>
      </c>
      <c r="L33" s="52"/>
      <c r="M33" s="44" t="s">
        <v>22</v>
      </c>
      <c r="N33" s="54" t="s">
        <v>22</v>
      </c>
      <c r="O33" s="52" t="s">
        <v>22</v>
      </c>
      <c r="P33" s="52"/>
      <c r="Q33" s="44">
        <f t="shared" ref="Q33:Q34" si="10">+I33</f>
        <v>2969</v>
      </c>
      <c r="R33" s="54">
        <f t="shared" ref="R33:R34" si="11">+J33</f>
        <v>43949</v>
      </c>
    </row>
    <row r="34" spans="1:18" x14ac:dyDescent="0.25">
      <c r="A34" s="53">
        <v>40685</v>
      </c>
      <c r="B34" s="28">
        <v>40685</v>
      </c>
      <c r="C34" s="42">
        <v>-0.5</v>
      </c>
      <c r="D34" s="43">
        <v>0.45555555555555555</v>
      </c>
      <c r="E34" s="44" t="s">
        <v>22</v>
      </c>
      <c r="F34" s="54" t="s">
        <v>22</v>
      </c>
      <c r="G34" s="52" t="s">
        <v>22</v>
      </c>
      <c r="H34" s="52"/>
      <c r="I34" s="44">
        <v>2070</v>
      </c>
      <c r="J34" s="54">
        <v>31050</v>
      </c>
      <c r="K34" s="52">
        <v>15</v>
      </c>
      <c r="L34" s="52"/>
      <c r="M34" s="44" t="s">
        <v>22</v>
      </c>
      <c r="N34" s="54" t="s">
        <v>22</v>
      </c>
      <c r="O34" s="52" t="s">
        <v>22</v>
      </c>
      <c r="P34" s="52"/>
      <c r="Q34" s="44">
        <f t="shared" si="10"/>
        <v>2070</v>
      </c>
      <c r="R34" s="54">
        <f t="shared" si="11"/>
        <v>31050</v>
      </c>
    </row>
    <row r="35" spans="1:18" ht="15.75" thickBot="1" x14ac:dyDescent="0.3">
      <c r="A35" s="47"/>
      <c r="B35" s="48"/>
      <c r="C35" s="48"/>
      <c r="D35" s="48"/>
      <c r="E35" s="50"/>
      <c r="F35" s="51"/>
      <c r="G35" s="49"/>
      <c r="H35" s="49"/>
      <c r="I35" s="50">
        <v>6638</v>
      </c>
      <c r="J35" s="51">
        <v>98951</v>
      </c>
      <c r="K35" s="49">
        <v>14.906749020789395</v>
      </c>
      <c r="L35" s="49">
        <v>115.99</v>
      </c>
      <c r="M35" s="50"/>
      <c r="N35" s="51"/>
      <c r="O35" s="49"/>
      <c r="P35" s="49"/>
      <c r="Q35" s="50">
        <f>+I35</f>
        <v>6638</v>
      </c>
      <c r="R35" s="51">
        <f>+J35</f>
        <v>98951</v>
      </c>
    </row>
    <row r="36" spans="1:18" ht="15.75" thickTop="1" x14ac:dyDescent="0.25">
      <c r="A36" s="261" t="s">
        <v>62</v>
      </c>
      <c r="B36" s="261"/>
      <c r="C36" s="261"/>
      <c r="D36" s="261"/>
      <c r="E36" s="56">
        <f>E6+E9+E12+E15+E21+E24+E28</f>
        <v>51627</v>
      </c>
      <c r="F36" s="56">
        <f>F6+F9+F12+F15+F21+F24+F28</f>
        <v>677624</v>
      </c>
      <c r="G36" s="57">
        <f>F36/E36</f>
        <v>13.125380130551843</v>
      </c>
      <c r="H36" s="57"/>
      <c r="I36" s="56">
        <f>I6+I9+I12+I15+I21+I24+I28+I31+I35</f>
        <v>38560</v>
      </c>
      <c r="J36" s="56">
        <f>J6+J9+J12+J15+J21+J24+J28+J31+J35</f>
        <v>527470</v>
      </c>
      <c r="K36" s="57">
        <f>J36/I36</f>
        <v>13.679201244813278</v>
      </c>
      <c r="L36" s="57"/>
      <c r="M36" s="56">
        <f>SUM(M6+M9+M12+M15+M18+M21)</f>
        <v>2234.5591664444</v>
      </c>
      <c r="N36" s="56">
        <f>SUM(N6+N9+N12+N15+N18+N21)</f>
        <v>15301.075186274356</v>
      </c>
      <c r="O36" s="57">
        <f>N36/M36</f>
        <v>6.8474692530165662</v>
      </c>
      <c r="P36" s="57"/>
      <c r="Q36" s="56">
        <f>SUM(Q6+Q9+Q12+Q15+Q18+Q21)</f>
        <v>53535.5591664444</v>
      </c>
      <c r="R36" s="56">
        <f>SUM(R6+R9+R12+R15+R18+R21+R24)</f>
        <v>831943.07518627436</v>
      </c>
    </row>
    <row r="37" spans="1:18" x14ac:dyDescent="0.25">
      <c r="A37" s="262" t="s">
        <v>69</v>
      </c>
      <c r="B37" s="262"/>
      <c r="C37" s="262"/>
      <c r="D37" s="262"/>
      <c r="E37" s="94"/>
      <c r="F37" s="94">
        <f>+Harvest!J63</f>
        <v>15096</v>
      </c>
      <c r="G37" s="95"/>
      <c r="H37" s="95"/>
      <c r="I37" s="94"/>
      <c r="J37" s="94">
        <f>+Harvest!L63</f>
        <v>14142</v>
      </c>
      <c r="K37" s="95"/>
      <c r="L37" s="95"/>
      <c r="M37" s="94"/>
      <c r="N37" s="94"/>
      <c r="O37" s="95"/>
      <c r="P37" s="95"/>
      <c r="Q37" s="94"/>
      <c r="R37" s="94">
        <f>F37+J37+N37</f>
        <v>29238</v>
      </c>
    </row>
    <row r="38" spans="1:18" x14ac:dyDescent="0.25">
      <c r="A38" s="262" t="s">
        <v>71</v>
      </c>
      <c r="B38" s="262"/>
      <c r="C38" s="262"/>
      <c r="D38" s="262"/>
      <c r="E38" s="94"/>
      <c r="F38" s="94">
        <f>F36+F37</f>
        <v>692720</v>
      </c>
      <c r="G38" s="95"/>
      <c r="H38" s="95"/>
      <c r="I38" s="94"/>
      <c r="J38" s="94">
        <f>J36+J37</f>
        <v>541612</v>
      </c>
      <c r="K38" s="95"/>
      <c r="L38" s="95"/>
      <c r="M38" s="94"/>
      <c r="N38" s="94">
        <f>N36+N37</f>
        <v>15301.075186274356</v>
      </c>
      <c r="O38" s="95"/>
      <c r="P38" s="95"/>
      <c r="Q38" s="94"/>
      <c r="R38" s="94">
        <f>F38+J38+N38</f>
        <v>1249633.0751862742</v>
      </c>
    </row>
    <row r="39" spans="1:18" x14ac:dyDescent="0.25">
      <c r="A39" s="263" t="s">
        <v>45</v>
      </c>
      <c r="B39" s="263"/>
      <c r="C39" s="263"/>
      <c r="D39" s="263"/>
      <c r="E39" s="60"/>
      <c r="F39" s="58">
        <f>Harvest!J66</f>
        <v>1.4129245482749979</v>
      </c>
      <c r="G39" s="60"/>
      <c r="H39" s="60"/>
      <c r="I39" s="60"/>
      <c r="J39" s="58">
        <f>Harvest!L66</f>
        <v>1.2514674799230812</v>
      </c>
      <c r="K39" s="60"/>
      <c r="L39" s="60"/>
      <c r="M39" s="60"/>
      <c r="N39" s="58">
        <f>Harvest!N66</f>
        <v>6.5413502398280379E-2</v>
      </c>
      <c r="O39" s="60"/>
      <c r="P39" s="60"/>
      <c r="Q39" s="60"/>
      <c r="R39" s="60"/>
    </row>
    <row r="40" spans="1:18" x14ac:dyDescent="0.25">
      <c r="A40" s="263" t="s">
        <v>70</v>
      </c>
      <c r="B40" s="263"/>
      <c r="C40" s="263"/>
      <c r="D40" s="263"/>
      <c r="F40" s="94">
        <f>Harvest!J67</f>
        <v>-282096.59295164398</v>
      </c>
      <c r="J40" s="94">
        <f>Harvest!L67</f>
        <v>-137197.31001108722</v>
      </c>
      <c r="N40" s="94">
        <f>Harvest!N67</f>
        <v>241986.99065025226</v>
      </c>
    </row>
  </sheetData>
  <mergeCells count="17">
    <mergeCell ref="A37:D37"/>
    <mergeCell ref="A39:D39"/>
    <mergeCell ref="A40:D40"/>
    <mergeCell ref="A38:D38"/>
    <mergeCell ref="Q2:R2"/>
    <mergeCell ref="E2:H2"/>
    <mergeCell ref="I2:L2"/>
    <mergeCell ref="M2:P2"/>
    <mergeCell ref="A36:D36"/>
    <mergeCell ref="A6:D6"/>
    <mergeCell ref="A9:D9"/>
    <mergeCell ref="A12:D12"/>
    <mergeCell ref="A15:D15"/>
    <mergeCell ref="A21:D21"/>
    <mergeCell ref="A18:D18"/>
    <mergeCell ref="A24:D24"/>
    <mergeCell ref="A28:D28"/>
  </mergeCells>
  <pageMargins left="0.7" right="0.7" top="0.75" bottom="0.75" header="0.3" footer="0.3"/>
  <pageSetup scale="85" orientation="landscape" r:id="rId1"/>
  <ignoredErrors>
    <ignoredError sqref="Q6:R6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selection activeCell="A17" sqref="A17:D17"/>
    </sheetView>
  </sheetViews>
  <sheetFormatPr defaultRowHeight="15" x14ac:dyDescent="0.25"/>
  <cols>
    <col min="1" max="1" width="9.42578125" style="3" bestFit="1" customWidth="1"/>
    <col min="2" max="2" width="12.5703125" style="3" bestFit="1" customWidth="1"/>
    <col min="3" max="3" width="10.140625" style="3" bestFit="1" customWidth="1"/>
    <col min="4" max="4" width="14.7109375" style="3" bestFit="1" customWidth="1"/>
    <col min="8" max="8" width="7.85546875" style="3" bestFit="1" customWidth="1"/>
    <col min="9" max="9" width="12.5703125" style="3" bestFit="1" customWidth="1"/>
    <col min="10" max="10" width="9.42578125" style="3" bestFit="1" customWidth="1"/>
    <col min="11" max="11" width="14.7109375" style="3" bestFit="1" customWidth="1"/>
  </cols>
  <sheetData>
    <row r="1" spans="1:16" x14ac:dyDescent="0.25">
      <c r="A1" s="108" t="s">
        <v>68</v>
      </c>
      <c r="B1" s="108" t="s">
        <v>9</v>
      </c>
      <c r="C1" s="108" t="s">
        <v>8</v>
      </c>
      <c r="D1" s="108" t="s">
        <v>72</v>
      </c>
      <c r="H1" s="108" t="s">
        <v>68</v>
      </c>
      <c r="I1" s="108" t="s">
        <v>9</v>
      </c>
      <c r="J1" s="108" t="s">
        <v>8</v>
      </c>
      <c r="K1" s="108" t="s">
        <v>72</v>
      </c>
    </row>
    <row r="2" spans="1:16" x14ac:dyDescent="0.25">
      <c r="A2" s="3">
        <v>282</v>
      </c>
      <c r="B2" s="125" t="s">
        <v>1</v>
      </c>
      <c r="C2" s="125">
        <v>40458</v>
      </c>
      <c r="D2" s="204">
        <v>1630.64</v>
      </c>
      <c r="H2" s="123">
        <v>282</v>
      </c>
      <c r="I2" s="124" t="s">
        <v>1</v>
      </c>
      <c r="J2" s="125">
        <v>40458</v>
      </c>
      <c r="K2" s="123">
        <v>1630.64</v>
      </c>
    </row>
    <row r="3" spans="1:16" x14ac:dyDescent="0.25">
      <c r="A3" s="131"/>
      <c r="B3" s="131" t="s">
        <v>1</v>
      </c>
      <c r="C3" s="125">
        <v>40516</v>
      </c>
      <c r="D3" s="204">
        <v>4340.25</v>
      </c>
      <c r="I3" s="124" t="s">
        <v>1</v>
      </c>
      <c r="J3" s="131">
        <v>40516</v>
      </c>
      <c r="K3" s="132">
        <v>4340.25</v>
      </c>
      <c r="N3" s="135">
        <v>0.15</v>
      </c>
      <c r="O3" s="12">
        <v>28935</v>
      </c>
      <c r="P3" s="132">
        <f>+O3*N3</f>
        <v>4340.25</v>
      </c>
    </row>
    <row r="4" spans="1:16" x14ac:dyDescent="0.25">
      <c r="A4" s="3">
        <v>347</v>
      </c>
      <c r="B4" s="3" t="s">
        <v>1</v>
      </c>
      <c r="C4" s="125">
        <v>40642</v>
      </c>
      <c r="D4" s="204">
        <v>903.38</v>
      </c>
      <c r="H4" s="108" t="s">
        <v>68</v>
      </c>
      <c r="I4" s="108" t="s">
        <v>9</v>
      </c>
      <c r="J4" s="108" t="s">
        <v>8</v>
      </c>
      <c r="K4" s="108" t="s">
        <v>72</v>
      </c>
    </row>
    <row r="5" spans="1:16" x14ac:dyDescent="0.25">
      <c r="A5" s="201">
        <v>360</v>
      </c>
      <c r="B5" s="202" t="s">
        <v>1</v>
      </c>
      <c r="C5" s="203">
        <v>40652</v>
      </c>
      <c r="D5" s="204">
        <v>1506.75</v>
      </c>
      <c r="H5" s="191">
        <v>347</v>
      </c>
      <c r="I5" s="192" t="s">
        <v>1</v>
      </c>
      <c r="J5" s="193">
        <v>40642</v>
      </c>
      <c r="K5" s="191">
        <v>903.38</v>
      </c>
    </row>
    <row r="6" spans="1:16" x14ac:dyDescent="0.25">
      <c r="A6" s="3">
        <v>361</v>
      </c>
      <c r="B6" s="3" t="s">
        <v>1</v>
      </c>
      <c r="C6" s="203">
        <v>40653</v>
      </c>
      <c r="D6" s="204">
        <v>1072.05</v>
      </c>
      <c r="H6" s="200" t="s">
        <v>68</v>
      </c>
      <c r="I6" s="200" t="s">
        <v>9</v>
      </c>
      <c r="J6" s="200" t="s">
        <v>8</v>
      </c>
      <c r="K6" s="200" t="s">
        <v>72</v>
      </c>
    </row>
    <row r="7" spans="1:16" x14ac:dyDescent="0.25">
      <c r="A7" s="3">
        <v>362</v>
      </c>
      <c r="B7" s="3" t="s">
        <v>1</v>
      </c>
      <c r="C7" s="203">
        <v>40654</v>
      </c>
      <c r="D7" s="204">
        <v>442.34999999999997</v>
      </c>
      <c r="H7" s="201">
        <v>360</v>
      </c>
      <c r="I7" s="202" t="s">
        <v>1</v>
      </c>
      <c r="J7" s="203">
        <v>40652</v>
      </c>
      <c r="K7" s="201">
        <v>1506.75</v>
      </c>
    </row>
    <row r="8" spans="1:16" x14ac:dyDescent="0.25">
      <c r="A8" s="3">
        <v>363</v>
      </c>
      <c r="B8" s="3" t="s">
        <v>1</v>
      </c>
      <c r="C8" s="203">
        <v>40656</v>
      </c>
      <c r="D8" s="204">
        <v>1373.6999999999998</v>
      </c>
      <c r="H8" s="108" t="s">
        <v>68</v>
      </c>
      <c r="I8" s="108" t="s">
        <v>9</v>
      </c>
      <c r="J8" s="108" t="s">
        <v>8</v>
      </c>
      <c r="K8" s="108" t="s">
        <v>72</v>
      </c>
    </row>
    <row r="9" spans="1:16" x14ac:dyDescent="0.25">
      <c r="A9" s="3">
        <v>366</v>
      </c>
      <c r="B9" s="3" t="s">
        <v>1</v>
      </c>
      <c r="C9" s="203">
        <v>40666</v>
      </c>
      <c r="D9" s="204">
        <v>87.6</v>
      </c>
      <c r="H9" s="191">
        <v>361</v>
      </c>
      <c r="I9" s="192" t="s">
        <v>1</v>
      </c>
      <c r="J9" s="193">
        <v>40653</v>
      </c>
      <c r="K9" s="191">
        <v>1072.05</v>
      </c>
    </row>
    <row r="10" spans="1:16" x14ac:dyDescent="0.25">
      <c r="A10" s="3">
        <v>371</v>
      </c>
      <c r="B10" s="3" t="s">
        <v>1</v>
      </c>
      <c r="C10" s="203">
        <v>40668</v>
      </c>
      <c r="D10" s="204">
        <v>342</v>
      </c>
      <c r="H10" s="108" t="s">
        <v>68</v>
      </c>
      <c r="I10" s="108" t="s">
        <v>9</v>
      </c>
      <c r="J10" s="108" t="s">
        <v>8</v>
      </c>
      <c r="K10" s="108" t="s">
        <v>72</v>
      </c>
    </row>
    <row r="11" spans="1:16" x14ac:dyDescent="0.25">
      <c r="A11" s="201">
        <v>374</v>
      </c>
      <c r="B11" s="202" t="s">
        <v>1</v>
      </c>
      <c r="C11" s="203">
        <v>40669</v>
      </c>
      <c r="D11" s="201">
        <v>703.5</v>
      </c>
      <c r="H11" s="191">
        <v>362</v>
      </c>
      <c r="I11" s="192" t="s">
        <v>1</v>
      </c>
      <c r="J11" s="193">
        <v>40654</v>
      </c>
      <c r="K11" s="191">
        <v>442.34999999999997</v>
      </c>
    </row>
    <row r="12" spans="1:16" x14ac:dyDescent="0.25">
      <c r="A12" s="201">
        <v>376</v>
      </c>
      <c r="B12" s="202" t="s">
        <v>1</v>
      </c>
      <c r="C12" s="203">
        <v>40671</v>
      </c>
      <c r="D12" s="201">
        <v>1106.08</v>
      </c>
      <c r="H12" s="108" t="s">
        <v>68</v>
      </c>
      <c r="I12" s="108" t="s">
        <v>9</v>
      </c>
      <c r="J12" s="108" t="s">
        <v>8</v>
      </c>
      <c r="K12" s="108" t="s">
        <v>72</v>
      </c>
    </row>
    <row r="13" spans="1:16" x14ac:dyDescent="0.25">
      <c r="A13" s="229">
        <v>383</v>
      </c>
      <c r="B13" s="230" t="s">
        <v>1</v>
      </c>
      <c r="C13" s="231">
        <v>40681</v>
      </c>
      <c r="D13" s="229">
        <v>918.96</v>
      </c>
      <c r="H13" s="191">
        <v>363</v>
      </c>
      <c r="I13" s="192" t="s">
        <v>1</v>
      </c>
      <c r="J13" s="193">
        <v>40656</v>
      </c>
      <c r="K13" s="191">
        <v>1373.6999999999998</v>
      </c>
    </row>
    <row r="14" spans="1:16" x14ac:dyDescent="0.25">
      <c r="A14" s="229">
        <v>384</v>
      </c>
      <c r="B14" s="230" t="s">
        <v>1</v>
      </c>
      <c r="C14" s="231">
        <v>40682</v>
      </c>
      <c r="D14" s="229">
        <v>619.86</v>
      </c>
      <c r="H14" s="200" t="s">
        <v>68</v>
      </c>
      <c r="I14" s="200" t="s">
        <v>9</v>
      </c>
      <c r="J14" s="200" t="s">
        <v>8</v>
      </c>
      <c r="K14" s="200" t="s">
        <v>72</v>
      </c>
    </row>
    <row r="15" spans="1:16" x14ac:dyDescent="0.25">
      <c r="A15" s="229">
        <v>385</v>
      </c>
      <c r="B15" s="230" t="s">
        <v>1</v>
      </c>
      <c r="C15" s="231">
        <v>40683</v>
      </c>
      <c r="D15" s="229">
        <v>493.47</v>
      </c>
      <c r="H15" s="201">
        <v>366</v>
      </c>
      <c r="I15" s="202" t="s">
        <v>1</v>
      </c>
      <c r="J15" s="203">
        <v>40666</v>
      </c>
      <c r="K15" s="201">
        <v>87.6</v>
      </c>
    </row>
    <row r="16" spans="1:16" x14ac:dyDescent="0.25">
      <c r="A16" s="229">
        <v>386</v>
      </c>
      <c r="B16" s="230" t="s">
        <v>1</v>
      </c>
      <c r="C16" s="231">
        <v>40684</v>
      </c>
      <c r="D16" s="229">
        <v>199.85</v>
      </c>
      <c r="H16" s="200" t="s">
        <v>68</v>
      </c>
      <c r="I16" s="200" t="s">
        <v>9</v>
      </c>
      <c r="J16" s="200" t="s">
        <v>8</v>
      </c>
      <c r="K16" s="200" t="s">
        <v>72</v>
      </c>
    </row>
    <row r="17" spans="1:11" x14ac:dyDescent="0.25">
      <c r="A17" s="229">
        <v>387</v>
      </c>
      <c r="B17" s="230" t="s">
        <v>1</v>
      </c>
      <c r="C17" s="231">
        <v>40685</v>
      </c>
      <c r="D17" s="229">
        <v>0</v>
      </c>
      <c r="H17" s="201">
        <v>371</v>
      </c>
      <c r="I17" s="202" t="s">
        <v>1</v>
      </c>
      <c r="J17" s="203">
        <v>40668</v>
      </c>
      <c r="K17" s="201">
        <v>342</v>
      </c>
    </row>
    <row r="18" spans="1:11" x14ac:dyDescent="0.25">
      <c r="D18" s="204">
        <f>SUM(D2:D17)</f>
        <v>15740.439999999999</v>
      </c>
      <c r="H18" s="200" t="s">
        <v>68</v>
      </c>
      <c r="I18" s="200" t="s">
        <v>9</v>
      </c>
      <c r="J18" s="200" t="s">
        <v>8</v>
      </c>
      <c r="K18" s="200" t="s">
        <v>72</v>
      </c>
    </row>
    <row r="19" spans="1:11" x14ac:dyDescent="0.25">
      <c r="H19" s="201">
        <v>374</v>
      </c>
      <c r="I19" s="202" t="s">
        <v>1</v>
      </c>
      <c r="J19" s="203">
        <v>40669</v>
      </c>
      <c r="K19" s="201">
        <v>703.5</v>
      </c>
    </row>
    <row r="20" spans="1:11" x14ac:dyDescent="0.25">
      <c r="H20" s="200" t="s">
        <v>68</v>
      </c>
      <c r="I20" s="200" t="s">
        <v>9</v>
      </c>
      <c r="J20" s="200" t="s">
        <v>8</v>
      </c>
      <c r="K20" s="200" t="s">
        <v>72</v>
      </c>
    </row>
    <row r="21" spans="1:11" x14ac:dyDescent="0.25">
      <c r="H21" s="201">
        <v>376</v>
      </c>
      <c r="I21" s="202" t="s">
        <v>1</v>
      </c>
      <c r="J21" s="203">
        <v>40671</v>
      </c>
      <c r="K21" s="201">
        <v>1106.08</v>
      </c>
    </row>
    <row r="22" spans="1:11" x14ac:dyDescent="0.25">
      <c r="H22" s="228" t="s">
        <v>68</v>
      </c>
      <c r="I22" s="228" t="s">
        <v>9</v>
      </c>
      <c r="J22" s="228" t="s">
        <v>8</v>
      </c>
      <c r="K22" s="228" t="s">
        <v>72</v>
      </c>
    </row>
    <row r="23" spans="1:11" x14ac:dyDescent="0.25">
      <c r="H23" s="229">
        <v>383</v>
      </c>
      <c r="I23" s="230" t="s">
        <v>1</v>
      </c>
      <c r="J23" s="231">
        <v>40681</v>
      </c>
      <c r="K23" s="229">
        <v>918.96</v>
      </c>
    </row>
    <row r="24" spans="1:11" x14ac:dyDescent="0.25">
      <c r="H24" s="228" t="s">
        <v>68</v>
      </c>
      <c r="I24" s="228" t="s">
        <v>9</v>
      </c>
      <c r="J24" s="228" t="s">
        <v>8</v>
      </c>
      <c r="K24" s="228" t="s">
        <v>72</v>
      </c>
    </row>
    <row r="25" spans="1:11" x14ac:dyDescent="0.25">
      <c r="H25" s="229">
        <v>384</v>
      </c>
      <c r="I25" s="230" t="s">
        <v>1</v>
      </c>
      <c r="J25" s="231">
        <v>40682</v>
      </c>
      <c r="K25" s="229">
        <v>619.86</v>
      </c>
    </row>
    <row r="26" spans="1:11" x14ac:dyDescent="0.25">
      <c r="H26" s="228" t="s">
        <v>68</v>
      </c>
      <c r="I26" s="228" t="s">
        <v>9</v>
      </c>
      <c r="J26" s="228" t="s">
        <v>8</v>
      </c>
      <c r="K26" s="228" t="s">
        <v>72</v>
      </c>
    </row>
    <row r="27" spans="1:11" x14ac:dyDescent="0.25">
      <c r="H27" s="229">
        <v>385</v>
      </c>
      <c r="I27" s="230" t="s">
        <v>1</v>
      </c>
      <c r="J27" s="231">
        <v>40683</v>
      </c>
      <c r="K27" s="229">
        <v>493.47</v>
      </c>
    </row>
    <row r="28" spans="1:11" x14ac:dyDescent="0.25">
      <c r="H28" s="228" t="s">
        <v>68</v>
      </c>
      <c r="I28" s="228" t="s">
        <v>9</v>
      </c>
      <c r="J28" s="228" t="s">
        <v>8</v>
      </c>
      <c r="K28" s="228" t="s">
        <v>72</v>
      </c>
    </row>
    <row r="29" spans="1:11" x14ac:dyDescent="0.25">
      <c r="H29" s="229">
        <v>386</v>
      </c>
      <c r="I29" s="230" t="s">
        <v>1</v>
      </c>
      <c r="J29" s="231">
        <v>40684</v>
      </c>
      <c r="K29" s="229">
        <v>199.85</v>
      </c>
    </row>
    <row r="30" spans="1:11" x14ac:dyDescent="0.25">
      <c r="H30" s="228" t="s">
        <v>68</v>
      </c>
      <c r="I30" s="228" t="s">
        <v>9</v>
      </c>
      <c r="J30" s="228" t="s">
        <v>8</v>
      </c>
      <c r="K30" s="228" t="s">
        <v>72</v>
      </c>
    </row>
    <row r="31" spans="1:11" x14ac:dyDescent="0.25">
      <c r="H31" s="229">
        <v>387</v>
      </c>
      <c r="I31" s="230" t="s">
        <v>1</v>
      </c>
      <c r="J31" s="231">
        <v>40685</v>
      </c>
      <c r="K31" s="229">
        <v>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H13" sqref="H13"/>
    </sheetView>
  </sheetViews>
  <sheetFormatPr defaultRowHeight="15" x14ac:dyDescent="0.25"/>
  <cols>
    <col min="1" max="1" width="7.85546875" bestFit="1" customWidth="1"/>
    <col min="2" max="2" width="11.5703125" bestFit="1" customWidth="1"/>
    <col min="3" max="3" width="9.7109375" bestFit="1" customWidth="1"/>
    <col min="4" max="4" width="14.7109375" bestFit="1" customWidth="1"/>
    <col min="8" max="8" width="7.85546875" bestFit="1" customWidth="1"/>
    <col min="9" max="9" width="11.5703125" bestFit="1" customWidth="1"/>
    <col min="10" max="10" width="9.5703125" bestFit="1" customWidth="1"/>
    <col min="11" max="11" width="14.7109375" bestFit="1" customWidth="1"/>
  </cols>
  <sheetData>
    <row r="1" spans="1:11" x14ac:dyDescent="0.25">
      <c r="A1" s="142" t="s">
        <v>68</v>
      </c>
      <c r="B1" s="142" t="s">
        <v>9</v>
      </c>
      <c r="C1" s="142" t="s">
        <v>8</v>
      </c>
      <c r="D1" s="142" t="s">
        <v>72</v>
      </c>
      <c r="H1" s="187" t="s">
        <v>68</v>
      </c>
      <c r="I1" s="187" t="s">
        <v>9</v>
      </c>
      <c r="J1" s="187" t="s">
        <v>8</v>
      </c>
      <c r="K1" s="187" t="s">
        <v>72</v>
      </c>
    </row>
    <row r="2" spans="1:11" x14ac:dyDescent="0.25">
      <c r="A2" s="143">
        <v>313</v>
      </c>
      <c r="B2" s="144" t="s">
        <v>33</v>
      </c>
      <c r="C2" s="145">
        <v>40543</v>
      </c>
      <c r="D2" s="198">
        <v>1368.7</v>
      </c>
      <c r="H2" s="188">
        <v>349</v>
      </c>
      <c r="I2" s="189" t="s">
        <v>33</v>
      </c>
      <c r="J2" s="190">
        <v>40641</v>
      </c>
      <c r="K2" s="188">
        <v>975.2399999999999</v>
      </c>
    </row>
    <row r="3" spans="1:11" x14ac:dyDescent="0.25">
      <c r="A3" s="143">
        <v>349</v>
      </c>
      <c r="B3" s="144" t="s">
        <v>33</v>
      </c>
      <c r="C3" s="145">
        <v>40641</v>
      </c>
      <c r="D3" s="198">
        <v>975.2399999999999</v>
      </c>
      <c r="H3" s="194" t="s">
        <v>68</v>
      </c>
      <c r="I3" s="194" t="s">
        <v>9</v>
      </c>
      <c r="J3" s="194" t="s">
        <v>8</v>
      </c>
      <c r="K3" s="194" t="s">
        <v>72</v>
      </c>
    </row>
    <row r="4" spans="1:11" x14ac:dyDescent="0.25">
      <c r="A4" s="195">
        <v>357</v>
      </c>
      <c r="B4" s="196" t="s">
        <v>33</v>
      </c>
      <c r="C4" s="197">
        <v>40652</v>
      </c>
      <c r="D4" s="199">
        <v>1755.84</v>
      </c>
      <c r="H4" s="195">
        <v>357</v>
      </c>
      <c r="I4" s="196" t="s">
        <v>33</v>
      </c>
      <c r="J4" s="197">
        <v>40652</v>
      </c>
      <c r="K4" s="195">
        <v>1755.84</v>
      </c>
    </row>
    <row r="5" spans="1:11" x14ac:dyDescent="0.25">
      <c r="A5" s="195">
        <v>364</v>
      </c>
      <c r="B5" s="196" t="s">
        <v>33</v>
      </c>
      <c r="C5" s="197">
        <v>40653</v>
      </c>
      <c r="D5" s="199">
        <v>1439.24</v>
      </c>
      <c r="H5" s="187" t="s">
        <v>68</v>
      </c>
      <c r="I5" s="187" t="s">
        <v>9</v>
      </c>
      <c r="J5" s="187" t="s">
        <v>8</v>
      </c>
      <c r="K5" s="187" t="s">
        <v>72</v>
      </c>
    </row>
    <row r="6" spans="1:11" x14ac:dyDescent="0.25">
      <c r="A6" s="143">
        <v>365</v>
      </c>
      <c r="B6" s="144" t="s">
        <v>33</v>
      </c>
      <c r="C6" s="145">
        <v>40654</v>
      </c>
      <c r="D6" s="198">
        <v>2199.7500000000005</v>
      </c>
      <c r="H6" s="205">
        <v>364</v>
      </c>
      <c r="I6" s="206" t="s">
        <v>33</v>
      </c>
      <c r="J6" s="207">
        <v>40653</v>
      </c>
      <c r="K6" s="205">
        <v>1439.24</v>
      </c>
    </row>
    <row r="7" spans="1:11" x14ac:dyDescent="0.25">
      <c r="A7" s="143">
        <v>368</v>
      </c>
      <c r="B7" s="144" t="s">
        <v>33</v>
      </c>
      <c r="C7" s="145">
        <v>40667</v>
      </c>
      <c r="D7" s="198">
        <v>378.9</v>
      </c>
      <c r="H7" s="187" t="s">
        <v>68</v>
      </c>
      <c r="I7" s="187" t="s">
        <v>9</v>
      </c>
      <c r="J7" s="187" t="s">
        <v>8</v>
      </c>
      <c r="K7" s="187" t="s">
        <v>72</v>
      </c>
    </row>
    <row r="8" spans="1:11" x14ac:dyDescent="0.25">
      <c r="A8" s="233">
        <v>388</v>
      </c>
      <c r="B8" s="234" t="s">
        <v>33</v>
      </c>
      <c r="C8" s="235">
        <v>40684</v>
      </c>
      <c r="D8" s="233">
        <v>0</v>
      </c>
      <c r="H8" s="205">
        <v>365</v>
      </c>
      <c r="I8" s="206" t="s">
        <v>33</v>
      </c>
      <c r="J8" s="207">
        <v>40654</v>
      </c>
      <c r="K8" s="205">
        <v>2199.7500000000005</v>
      </c>
    </row>
    <row r="9" spans="1:11" x14ac:dyDescent="0.25">
      <c r="A9" s="143"/>
      <c r="B9" s="144"/>
      <c r="C9" s="145"/>
      <c r="D9" s="198"/>
      <c r="H9" s="194" t="s">
        <v>68</v>
      </c>
      <c r="I9" s="194" t="s">
        <v>9</v>
      </c>
      <c r="J9" s="194" t="s">
        <v>8</v>
      </c>
      <c r="K9" s="194" t="s">
        <v>72</v>
      </c>
    </row>
    <row r="10" spans="1:11" x14ac:dyDescent="0.25">
      <c r="A10" s="143"/>
      <c r="B10" s="144"/>
      <c r="C10" s="145"/>
      <c r="D10" s="198"/>
      <c r="H10" s="215">
        <v>368</v>
      </c>
      <c r="I10" s="216" t="s">
        <v>33</v>
      </c>
      <c r="J10" s="217">
        <v>40667</v>
      </c>
      <c r="K10" s="215">
        <v>378.9</v>
      </c>
    </row>
    <row r="11" spans="1:11" x14ac:dyDescent="0.25">
      <c r="A11" s="143"/>
      <c r="B11" s="144"/>
      <c r="C11" s="145"/>
      <c r="D11" s="198"/>
      <c r="H11" s="232" t="s">
        <v>68</v>
      </c>
      <c r="I11" s="232" t="s">
        <v>9</v>
      </c>
      <c r="J11" s="232" t="s">
        <v>8</v>
      </c>
      <c r="K11" s="232" t="s">
        <v>72</v>
      </c>
    </row>
    <row r="12" spans="1:11" x14ac:dyDescent="0.25">
      <c r="D12" s="110">
        <f>SUM(D2:D11)</f>
        <v>8117.67</v>
      </c>
      <c r="H12" s="233">
        <v>388</v>
      </c>
      <c r="I12" s="234" t="s">
        <v>33</v>
      </c>
      <c r="J12" s="235">
        <v>40684</v>
      </c>
      <c r="K12" s="233">
        <v>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selection activeCell="E5" sqref="E5"/>
    </sheetView>
  </sheetViews>
  <sheetFormatPr defaultRowHeight="15" x14ac:dyDescent="0.25"/>
  <cols>
    <col min="1" max="1" width="9.42578125" bestFit="1" customWidth="1"/>
    <col min="2" max="2" width="14.7109375" bestFit="1" customWidth="1"/>
    <col min="5" max="5" width="7.85546875" bestFit="1" customWidth="1"/>
    <col min="6" max="6" width="11.5703125" bestFit="1" customWidth="1"/>
    <col min="7" max="7" width="9.85546875" bestFit="1" customWidth="1"/>
    <col min="8" max="8" width="14.7109375" bestFit="1" customWidth="1"/>
  </cols>
  <sheetData>
    <row r="1" spans="1:8" x14ac:dyDescent="0.25">
      <c r="A1" s="118" t="s">
        <v>8</v>
      </c>
      <c r="B1" s="118" t="s">
        <v>72</v>
      </c>
      <c r="E1" s="118" t="s">
        <v>68</v>
      </c>
      <c r="F1" s="118" t="s">
        <v>9</v>
      </c>
      <c r="G1" s="118" t="s">
        <v>8</v>
      </c>
      <c r="H1" s="118" t="s">
        <v>72</v>
      </c>
    </row>
    <row r="2" spans="1:8" x14ac:dyDescent="0.25">
      <c r="A2" s="121">
        <v>40459</v>
      </c>
      <c r="B2" s="122">
        <v>1453.1999999999998</v>
      </c>
      <c r="E2" s="119">
        <v>278</v>
      </c>
      <c r="F2" s="120" t="s">
        <v>2</v>
      </c>
      <c r="G2" s="121">
        <v>40459</v>
      </c>
      <c r="H2" s="122">
        <v>1453.1999999999998</v>
      </c>
    </row>
    <row r="3" spans="1:8" x14ac:dyDescent="0.25">
      <c r="G3" s="134">
        <v>40516</v>
      </c>
      <c r="H3">
        <v>436</v>
      </c>
    </row>
    <row r="4" spans="1:8" x14ac:dyDescent="0.25">
      <c r="E4" s="165">
        <v>331</v>
      </c>
      <c r="F4" s="166" t="s">
        <v>2</v>
      </c>
      <c r="G4" s="121">
        <v>40622</v>
      </c>
      <c r="H4" s="165">
        <v>3026.5500000000006</v>
      </c>
    </row>
    <row r="5" spans="1:8" x14ac:dyDescent="0.25">
      <c r="E5" s="165">
        <v>355</v>
      </c>
      <c r="F5" s="166" t="s">
        <v>2</v>
      </c>
      <c r="G5" s="167">
        <v>40655</v>
      </c>
      <c r="H5" s="165">
        <v>1196.7599999999998</v>
      </c>
    </row>
    <row r="6" spans="1:8" x14ac:dyDescent="0.25">
      <c r="E6" s="165">
        <v>355</v>
      </c>
      <c r="F6" s="166" t="s">
        <v>2</v>
      </c>
      <c r="G6" s="167">
        <v>40655</v>
      </c>
      <c r="H6" s="165">
        <v>1196.7599999999998</v>
      </c>
    </row>
    <row r="7" spans="1:8" x14ac:dyDescent="0.25">
      <c r="E7" s="165">
        <v>356</v>
      </c>
      <c r="F7" s="166" t="s">
        <v>2</v>
      </c>
      <c r="G7" s="167">
        <v>40656</v>
      </c>
      <c r="H7" s="165">
        <v>3242.68</v>
      </c>
    </row>
    <row r="12" spans="1:8" x14ac:dyDescent="0.25">
      <c r="A12" s="131">
        <v>40516</v>
      </c>
      <c r="B12" s="133">
        <v>0.01</v>
      </c>
      <c r="C12" s="12">
        <v>43605</v>
      </c>
      <c r="D12" s="132">
        <f>+C12*B12</f>
        <v>436.05</v>
      </c>
      <c r="H12" s="14">
        <f>SUM(H2:H11)</f>
        <v>10551.95</v>
      </c>
    </row>
    <row r="23" spans="5:8" x14ac:dyDescent="0.25">
      <c r="E23" s="164" t="s">
        <v>68</v>
      </c>
      <c r="F23" s="164" t="s">
        <v>9</v>
      </c>
      <c r="G23" s="164" t="s">
        <v>8</v>
      </c>
      <c r="H23" s="164" t="s">
        <v>72</v>
      </c>
    </row>
    <row r="24" spans="5:8" x14ac:dyDescent="0.25">
      <c r="E24" s="165">
        <v>331</v>
      </c>
      <c r="F24" s="166" t="s">
        <v>2</v>
      </c>
      <c r="G24" s="167">
        <v>40622</v>
      </c>
      <c r="H24" s="165">
        <v>3026.5500000000006</v>
      </c>
    </row>
    <row r="25" spans="5:8" x14ac:dyDescent="0.25">
      <c r="E25" s="164" t="s">
        <v>68</v>
      </c>
      <c r="F25" s="164" t="s">
        <v>9</v>
      </c>
      <c r="G25" s="164" t="s">
        <v>8</v>
      </c>
      <c r="H25" s="164" t="s">
        <v>72</v>
      </c>
    </row>
    <row r="26" spans="5:8" x14ac:dyDescent="0.25">
      <c r="E26" s="165">
        <v>355</v>
      </c>
      <c r="F26" s="166" t="s">
        <v>2</v>
      </c>
      <c r="G26" s="167">
        <v>40655</v>
      </c>
      <c r="H26" s="165">
        <v>1196.7599999999998</v>
      </c>
    </row>
    <row r="27" spans="5:8" x14ac:dyDescent="0.25">
      <c r="E27" s="164" t="s">
        <v>68</v>
      </c>
      <c r="F27" s="164" t="s">
        <v>9</v>
      </c>
      <c r="G27" s="164" t="s">
        <v>8</v>
      </c>
      <c r="H27" s="164" t="s">
        <v>72</v>
      </c>
    </row>
    <row r="28" spans="5:8" x14ac:dyDescent="0.25">
      <c r="E28" s="165">
        <v>356</v>
      </c>
      <c r="F28" s="166" t="s">
        <v>2</v>
      </c>
      <c r="G28" s="167">
        <v>40656</v>
      </c>
      <c r="H28" s="165">
        <v>3242.68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opLeftCell="D1" workbookViewId="0">
      <selection activeCell="L1" sqref="L1:S1048576"/>
    </sheetView>
  </sheetViews>
  <sheetFormatPr defaultRowHeight="15" x14ac:dyDescent="0.25"/>
  <cols>
    <col min="1" max="1" width="18.140625" bestFit="1" customWidth="1"/>
    <col min="2" max="2" width="12.5703125" bestFit="1" customWidth="1"/>
    <col min="3" max="3" width="10.140625" bestFit="1" customWidth="1"/>
    <col min="4" max="4" width="13.5703125" bestFit="1" customWidth="1"/>
    <col min="7" max="7" width="7.85546875" bestFit="1" customWidth="1"/>
    <col min="8" max="8" width="11.5703125" bestFit="1" customWidth="1"/>
    <col min="9" max="9" width="10.140625" bestFit="1" customWidth="1"/>
    <col min="10" max="10" width="14.7109375" bestFit="1" customWidth="1"/>
  </cols>
  <sheetData>
    <row r="1" spans="1:10" x14ac:dyDescent="0.25">
      <c r="A1" s="118" t="s">
        <v>68</v>
      </c>
      <c r="B1" s="118" t="s">
        <v>9</v>
      </c>
      <c r="C1" s="118" t="s">
        <v>8</v>
      </c>
      <c r="D1" s="118" t="s">
        <v>72</v>
      </c>
      <c r="G1" s="168" t="s">
        <v>68</v>
      </c>
      <c r="H1" s="168" t="s">
        <v>9</v>
      </c>
      <c r="I1" s="168" t="s">
        <v>8</v>
      </c>
      <c r="J1" s="168" t="s">
        <v>72</v>
      </c>
    </row>
    <row r="2" spans="1:10" x14ac:dyDescent="0.25">
      <c r="A2" s="119"/>
      <c r="B2" s="120" t="s">
        <v>75</v>
      </c>
      <c r="C2" s="121">
        <v>40516</v>
      </c>
      <c r="D2" s="132">
        <v>953.25</v>
      </c>
      <c r="G2" s="169">
        <v>330</v>
      </c>
      <c r="H2" s="170" t="s">
        <v>3</v>
      </c>
      <c r="I2" s="171">
        <v>40622</v>
      </c>
      <c r="J2" s="169">
        <v>909</v>
      </c>
    </row>
    <row r="3" spans="1:10" x14ac:dyDescent="0.25">
      <c r="A3">
        <v>309</v>
      </c>
      <c r="B3" t="s">
        <v>3</v>
      </c>
      <c r="C3" s="134">
        <v>40543</v>
      </c>
      <c r="D3" s="132">
        <v>2518.86</v>
      </c>
      <c r="G3" s="168" t="s">
        <v>68</v>
      </c>
      <c r="H3" s="168" t="s">
        <v>9</v>
      </c>
      <c r="I3" s="168" t="s">
        <v>8</v>
      </c>
      <c r="J3" s="168" t="s">
        <v>72</v>
      </c>
    </row>
    <row r="4" spans="1:10" x14ac:dyDescent="0.25">
      <c r="A4" s="169">
        <v>330</v>
      </c>
      <c r="B4" s="170" t="s">
        <v>3</v>
      </c>
      <c r="C4" s="171">
        <v>40622</v>
      </c>
      <c r="D4" s="169">
        <v>909</v>
      </c>
      <c r="G4" s="169">
        <v>351</v>
      </c>
      <c r="H4" s="170" t="s">
        <v>3</v>
      </c>
      <c r="I4" s="171">
        <v>40654</v>
      </c>
      <c r="J4" s="169">
        <v>1007.0999999999999</v>
      </c>
    </row>
    <row r="5" spans="1:10" x14ac:dyDescent="0.25">
      <c r="A5" s="169">
        <v>351</v>
      </c>
      <c r="B5" s="170" t="s">
        <v>3</v>
      </c>
      <c r="C5" s="171">
        <v>40654</v>
      </c>
      <c r="D5" s="169">
        <v>671.40000000000009</v>
      </c>
      <c r="G5" s="168" t="s">
        <v>68</v>
      </c>
      <c r="H5" s="168" t="s">
        <v>9</v>
      </c>
      <c r="I5" s="168" t="s">
        <v>8</v>
      </c>
      <c r="J5" s="168" t="s">
        <v>72</v>
      </c>
    </row>
    <row r="6" spans="1:10" x14ac:dyDescent="0.25">
      <c r="A6" s="169">
        <v>352</v>
      </c>
      <c r="B6" s="170" t="s">
        <v>3</v>
      </c>
      <c r="C6" s="171">
        <v>40655</v>
      </c>
      <c r="D6" s="169">
        <v>965.40000000000009</v>
      </c>
      <c r="G6" s="169">
        <v>352</v>
      </c>
      <c r="H6" s="170" t="s">
        <v>3</v>
      </c>
      <c r="I6" s="171">
        <v>40655</v>
      </c>
      <c r="J6" s="169">
        <v>965.40000000000009</v>
      </c>
    </row>
    <row r="7" spans="1:10" x14ac:dyDescent="0.25">
      <c r="A7" s="169">
        <v>353</v>
      </c>
      <c r="B7" s="170" t="s">
        <v>3</v>
      </c>
      <c r="C7" s="171">
        <v>40656</v>
      </c>
      <c r="D7" s="169">
        <v>818.6336633663368</v>
      </c>
      <c r="G7" s="168" t="s">
        <v>68</v>
      </c>
      <c r="H7" s="168" t="s">
        <v>9</v>
      </c>
      <c r="I7" s="168" t="s">
        <v>8</v>
      </c>
      <c r="J7" s="168" t="s">
        <v>72</v>
      </c>
    </row>
    <row r="8" spans="1:10" x14ac:dyDescent="0.25">
      <c r="A8" s="169">
        <v>372</v>
      </c>
      <c r="B8" s="170" t="s">
        <v>3</v>
      </c>
      <c r="C8" s="171">
        <v>40670</v>
      </c>
      <c r="D8" s="169">
        <v>1306.25</v>
      </c>
      <c r="G8" s="169">
        <v>353</v>
      </c>
      <c r="H8" s="170" t="s">
        <v>3</v>
      </c>
      <c r="I8" s="171">
        <v>40656</v>
      </c>
      <c r="J8" s="169">
        <v>818.6336633663368</v>
      </c>
    </row>
    <row r="9" spans="1:10" x14ac:dyDescent="0.25">
      <c r="A9" s="169">
        <v>373</v>
      </c>
      <c r="B9" s="170" t="s">
        <v>3</v>
      </c>
      <c r="C9" s="171">
        <v>40671</v>
      </c>
      <c r="D9" s="169">
        <v>252.45</v>
      </c>
      <c r="G9" s="168" t="s">
        <v>68</v>
      </c>
      <c r="H9" s="168" t="s">
        <v>9</v>
      </c>
      <c r="I9" s="168" t="s">
        <v>8</v>
      </c>
      <c r="J9" s="168" t="s">
        <v>72</v>
      </c>
    </row>
    <row r="10" spans="1:10" x14ac:dyDescent="0.25">
      <c r="A10" s="219">
        <v>380</v>
      </c>
      <c r="B10" s="220" t="s">
        <v>3</v>
      </c>
      <c r="C10" s="221">
        <v>40683</v>
      </c>
      <c r="D10" s="219">
        <v>239.51999999999998</v>
      </c>
      <c r="G10" s="169">
        <v>372</v>
      </c>
      <c r="H10" s="170" t="s">
        <v>3</v>
      </c>
      <c r="I10" s="171">
        <v>40670</v>
      </c>
      <c r="J10" s="169">
        <v>1306.25</v>
      </c>
    </row>
    <row r="11" spans="1:10" x14ac:dyDescent="0.25">
      <c r="A11" s="219">
        <v>381</v>
      </c>
      <c r="B11" s="220" t="s">
        <v>3</v>
      </c>
      <c r="C11" s="221">
        <v>40684</v>
      </c>
      <c r="D11" s="219">
        <v>1757.96</v>
      </c>
      <c r="G11" s="168" t="s">
        <v>68</v>
      </c>
      <c r="H11" s="168" t="s">
        <v>9</v>
      </c>
      <c r="I11" s="168" t="s">
        <v>8</v>
      </c>
      <c r="J11" s="168" t="s">
        <v>72</v>
      </c>
    </row>
    <row r="12" spans="1:10" x14ac:dyDescent="0.25">
      <c r="A12" s="219">
        <v>382</v>
      </c>
      <c r="B12" s="220" t="s">
        <v>3</v>
      </c>
      <c r="C12" s="221">
        <v>40685</v>
      </c>
      <c r="D12" s="219">
        <v>621</v>
      </c>
      <c r="G12" s="169">
        <v>373</v>
      </c>
      <c r="H12" s="170" t="s">
        <v>3</v>
      </c>
      <c r="I12" s="171">
        <v>40671</v>
      </c>
      <c r="J12" s="169">
        <v>252.45</v>
      </c>
    </row>
    <row r="13" spans="1:10" x14ac:dyDescent="0.25">
      <c r="G13" s="218" t="s">
        <v>68</v>
      </c>
      <c r="H13" s="218" t="s">
        <v>9</v>
      </c>
      <c r="I13" s="218" t="s">
        <v>8</v>
      </c>
      <c r="J13" s="218" t="s">
        <v>72</v>
      </c>
    </row>
    <row r="14" spans="1:10" x14ac:dyDescent="0.25">
      <c r="D14" s="14">
        <f>SUM(D2:D13)</f>
        <v>11013.723663366338</v>
      </c>
      <c r="G14" s="219">
        <v>380</v>
      </c>
      <c r="H14" s="220" t="s">
        <v>3</v>
      </c>
      <c r="I14" s="221">
        <v>40683</v>
      </c>
      <c r="J14" s="219">
        <v>239.51999999999998</v>
      </c>
    </row>
    <row r="15" spans="1:10" x14ac:dyDescent="0.25">
      <c r="G15" s="218" t="s">
        <v>68</v>
      </c>
      <c r="H15" s="218" t="s">
        <v>9</v>
      </c>
      <c r="I15" s="218" t="s">
        <v>8</v>
      </c>
      <c r="J15" s="218" t="s">
        <v>72</v>
      </c>
    </row>
    <row r="16" spans="1:10" x14ac:dyDescent="0.25">
      <c r="G16" s="219">
        <v>381</v>
      </c>
      <c r="H16" s="220" t="s">
        <v>3</v>
      </c>
      <c r="I16" s="221">
        <v>40684</v>
      </c>
      <c r="J16" s="219">
        <v>1757.96</v>
      </c>
    </row>
    <row r="17" spans="7:10" x14ac:dyDescent="0.25">
      <c r="G17" s="218" t="s">
        <v>68</v>
      </c>
      <c r="H17" s="218" t="s">
        <v>9</v>
      </c>
      <c r="I17" s="218" t="s">
        <v>8</v>
      </c>
      <c r="J17" s="218" t="s">
        <v>72</v>
      </c>
    </row>
    <row r="18" spans="7:10" x14ac:dyDescent="0.25">
      <c r="G18" s="219">
        <v>382</v>
      </c>
      <c r="H18" s="220" t="s">
        <v>3</v>
      </c>
      <c r="I18" s="221">
        <v>40685</v>
      </c>
      <c r="J18" s="219">
        <v>621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selection activeCell="B7" sqref="B7"/>
    </sheetView>
  </sheetViews>
  <sheetFormatPr defaultRowHeight="15" x14ac:dyDescent="0.25"/>
  <cols>
    <col min="1" max="1" width="7.85546875" bestFit="1" customWidth="1"/>
    <col min="2" max="2" width="13.5703125" bestFit="1" customWidth="1"/>
    <col min="3" max="3" width="13.85546875" bestFit="1" customWidth="1"/>
    <col min="4" max="4" width="12.42578125" bestFit="1" customWidth="1"/>
    <col min="5" max="5" width="14.85546875" bestFit="1" customWidth="1"/>
  </cols>
  <sheetData>
    <row r="1" spans="1:5" x14ac:dyDescent="0.25">
      <c r="A1" s="150" t="s">
        <v>68</v>
      </c>
      <c r="B1" s="150" t="s">
        <v>76</v>
      </c>
      <c r="C1" s="150" t="s">
        <v>77</v>
      </c>
      <c r="D1" s="150" t="s">
        <v>78</v>
      </c>
      <c r="E1" s="150" t="s">
        <v>79</v>
      </c>
    </row>
    <row r="2" spans="1:5" x14ac:dyDescent="0.25">
      <c r="A2" s="151">
        <v>319</v>
      </c>
      <c r="B2" s="151">
        <v>4</v>
      </c>
      <c r="C2" s="151">
        <v>4</v>
      </c>
      <c r="D2" s="151">
        <v>0</v>
      </c>
      <c r="E2" s="151">
        <v>1</v>
      </c>
    </row>
    <row r="3" spans="1:5" x14ac:dyDescent="0.25">
      <c r="A3" s="151">
        <v>319</v>
      </c>
      <c r="B3" s="151">
        <v>2</v>
      </c>
      <c r="C3" s="151">
        <v>2</v>
      </c>
      <c r="D3" s="151">
        <v>0</v>
      </c>
      <c r="E3" s="151">
        <v>2</v>
      </c>
    </row>
    <row r="4" spans="1:5" x14ac:dyDescent="0.25">
      <c r="A4" s="151">
        <v>319</v>
      </c>
      <c r="B4" s="151">
        <v>2</v>
      </c>
      <c r="C4" s="151">
        <v>1</v>
      </c>
      <c r="D4" s="151">
        <v>0</v>
      </c>
      <c r="E4" s="151">
        <v>1</v>
      </c>
    </row>
    <row r="5" spans="1:5" x14ac:dyDescent="0.25">
      <c r="A5" s="151">
        <v>319</v>
      </c>
      <c r="B5" s="151">
        <v>2</v>
      </c>
      <c r="C5" s="151">
        <v>2</v>
      </c>
      <c r="D5" s="151">
        <v>0</v>
      </c>
      <c r="E5" s="151">
        <v>1</v>
      </c>
    </row>
    <row r="6" spans="1:5" x14ac:dyDescent="0.25">
      <c r="A6" s="151">
        <v>319</v>
      </c>
      <c r="B6" s="151">
        <v>1</v>
      </c>
      <c r="C6" s="151">
        <v>1</v>
      </c>
      <c r="D6" s="151">
        <v>1</v>
      </c>
      <c r="E6" s="151">
        <v>1</v>
      </c>
    </row>
    <row r="7" spans="1:5" x14ac:dyDescent="0.25">
      <c r="A7" s="151">
        <v>319</v>
      </c>
      <c r="B7" s="151">
        <v>2</v>
      </c>
      <c r="C7" s="151">
        <v>2</v>
      </c>
      <c r="D7" s="151">
        <v>0</v>
      </c>
      <c r="E7" s="151">
        <v>2</v>
      </c>
    </row>
    <row r="8" spans="1:5" x14ac:dyDescent="0.25">
      <c r="A8" s="151">
        <v>319</v>
      </c>
      <c r="B8" s="151">
        <v>4</v>
      </c>
      <c r="C8" s="151">
        <v>4</v>
      </c>
      <c r="D8" s="151">
        <v>1</v>
      </c>
      <c r="E8" s="151">
        <v>2</v>
      </c>
    </row>
    <row r="9" spans="1:5" x14ac:dyDescent="0.25">
      <c r="A9" s="151">
        <v>319</v>
      </c>
      <c r="B9" s="151">
        <v>3</v>
      </c>
      <c r="C9" s="151">
        <v>2</v>
      </c>
      <c r="D9" s="151">
        <v>10</v>
      </c>
      <c r="E9" s="151">
        <v>1</v>
      </c>
    </row>
    <row r="10" spans="1:5" x14ac:dyDescent="0.25">
      <c r="A10" s="151">
        <v>319</v>
      </c>
      <c r="B10" s="151">
        <v>3</v>
      </c>
      <c r="C10" s="151">
        <v>2</v>
      </c>
      <c r="D10" s="151">
        <v>10</v>
      </c>
      <c r="E10" s="151">
        <v>1</v>
      </c>
    </row>
    <row r="11" spans="1:5" x14ac:dyDescent="0.25">
      <c r="A11" s="151">
        <v>319</v>
      </c>
      <c r="B11" s="151">
        <v>3</v>
      </c>
      <c r="C11" s="151">
        <v>3</v>
      </c>
      <c r="D11" s="151">
        <v>4</v>
      </c>
      <c r="E11" s="151">
        <v>2</v>
      </c>
    </row>
    <row r="12" spans="1:5" x14ac:dyDescent="0.25">
      <c r="A12" s="151">
        <v>319</v>
      </c>
      <c r="B12" s="151">
        <v>2</v>
      </c>
      <c r="C12" s="151">
        <v>2</v>
      </c>
      <c r="D12" s="151">
        <v>30</v>
      </c>
      <c r="E12" s="151">
        <v>2</v>
      </c>
    </row>
    <row r="13" spans="1:5" x14ac:dyDescent="0.25">
      <c r="A13" s="151">
        <v>319</v>
      </c>
      <c r="B13" s="151">
        <v>2</v>
      </c>
      <c r="C13" s="151">
        <v>2</v>
      </c>
      <c r="D13" s="151">
        <v>3</v>
      </c>
      <c r="E13" s="152">
        <v>2</v>
      </c>
    </row>
    <row r="14" spans="1:5" x14ac:dyDescent="0.25">
      <c r="A14" s="151">
        <v>319</v>
      </c>
      <c r="B14" s="151">
        <v>1</v>
      </c>
      <c r="C14" s="151">
        <v>1</v>
      </c>
      <c r="D14" s="151">
        <v>2</v>
      </c>
      <c r="E14" s="151">
        <v>1</v>
      </c>
    </row>
    <row r="15" spans="1:5" x14ac:dyDescent="0.25">
      <c r="A15" s="151">
        <v>319</v>
      </c>
      <c r="B15" s="151">
        <v>2</v>
      </c>
      <c r="C15" s="151">
        <v>2</v>
      </c>
      <c r="D15" s="151">
        <v>4</v>
      </c>
      <c r="E15" s="151">
        <v>1</v>
      </c>
    </row>
    <row r="16" spans="1:5" x14ac:dyDescent="0.25">
      <c r="A16" s="151">
        <v>319</v>
      </c>
      <c r="B16" s="151">
        <v>2</v>
      </c>
      <c r="C16" s="151">
        <v>2</v>
      </c>
      <c r="D16" s="151">
        <v>1</v>
      </c>
      <c r="E16" s="151">
        <v>2</v>
      </c>
    </row>
    <row r="17" spans="1:8" x14ac:dyDescent="0.25">
      <c r="A17" s="151">
        <v>319</v>
      </c>
      <c r="B17" s="151">
        <v>2</v>
      </c>
      <c r="C17" s="151">
        <v>2</v>
      </c>
      <c r="D17" s="151">
        <v>30</v>
      </c>
      <c r="E17" s="151">
        <v>2</v>
      </c>
    </row>
    <row r="18" spans="1:8" x14ac:dyDescent="0.25">
      <c r="A18" s="151">
        <v>319</v>
      </c>
      <c r="B18" s="151">
        <v>3</v>
      </c>
      <c r="C18" s="151">
        <v>3</v>
      </c>
      <c r="D18" s="151">
        <v>45</v>
      </c>
      <c r="E18" s="151">
        <v>4</v>
      </c>
    </row>
    <row r="19" spans="1:8" x14ac:dyDescent="0.25">
      <c r="A19" s="151">
        <v>319</v>
      </c>
      <c r="B19" s="151">
        <v>9</v>
      </c>
      <c r="C19" s="151">
        <v>9</v>
      </c>
      <c r="D19" s="151">
        <v>2</v>
      </c>
      <c r="E19" s="151">
        <v>9</v>
      </c>
    </row>
    <row r="20" spans="1:8" x14ac:dyDescent="0.25">
      <c r="A20" s="151">
        <v>319</v>
      </c>
      <c r="B20" s="151">
        <v>2</v>
      </c>
      <c r="C20" s="151">
        <v>2</v>
      </c>
      <c r="D20" s="151">
        <v>2</v>
      </c>
      <c r="E20" s="151">
        <v>1</v>
      </c>
    </row>
    <row r="21" spans="1:8" x14ac:dyDescent="0.25">
      <c r="A21" s="151">
        <v>319</v>
      </c>
      <c r="B21" s="151">
        <v>2</v>
      </c>
      <c r="C21" s="151">
        <v>2</v>
      </c>
      <c r="D21" s="151">
        <v>6</v>
      </c>
      <c r="E21" s="151">
        <v>2</v>
      </c>
    </row>
    <row r="22" spans="1:8" x14ac:dyDescent="0.25">
      <c r="A22" s="151">
        <v>319</v>
      </c>
      <c r="B22" s="151">
        <v>2</v>
      </c>
      <c r="C22" s="151">
        <v>2</v>
      </c>
      <c r="D22" s="151">
        <v>0</v>
      </c>
      <c r="E22" s="151">
        <v>2</v>
      </c>
    </row>
    <row r="23" spans="1:8" x14ac:dyDescent="0.25">
      <c r="A23" s="151">
        <v>319</v>
      </c>
      <c r="B23" s="151">
        <v>2</v>
      </c>
      <c r="C23" s="151">
        <v>2</v>
      </c>
      <c r="D23" s="151">
        <v>0</v>
      </c>
      <c r="E23" s="151">
        <v>2</v>
      </c>
    </row>
    <row r="24" spans="1:8" x14ac:dyDescent="0.25">
      <c r="A24" s="151">
        <v>319</v>
      </c>
      <c r="B24" s="151">
        <v>3</v>
      </c>
      <c r="C24" s="151">
        <v>3</v>
      </c>
      <c r="D24" s="151">
        <v>8</v>
      </c>
      <c r="E24" s="151">
        <v>2</v>
      </c>
    </row>
    <row r="25" spans="1:8" x14ac:dyDescent="0.25">
      <c r="A25" s="153">
        <v>319</v>
      </c>
      <c r="B25" s="153">
        <v>2</v>
      </c>
      <c r="C25" s="153">
        <v>2</v>
      </c>
      <c r="D25" s="153">
        <v>20</v>
      </c>
      <c r="E25" s="153">
        <v>2</v>
      </c>
    </row>
    <row r="26" spans="1:8" x14ac:dyDescent="0.25">
      <c r="A26" s="154" t="s">
        <v>80</v>
      </c>
      <c r="B26" s="155">
        <f>SUM(B2:B25)</f>
        <v>62</v>
      </c>
      <c r="C26" s="155">
        <f>SUM(C2:C25)</f>
        <v>59</v>
      </c>
      <c r="D26" s="155">
        <f>SUM(D2:D25)</f>
        <v>179</v>
      </c>
      <c r="E26" s="156">
        <f>SUM(E2:E25)</f>
        <v>48</v>
      </c>
    </row>
    <row r="27" spans="1:8" x14ac:dyDescent="0.25">
      <c r="E27" s="157">
        <f>+B26/E26</f>
        <v>1.2916666666666667</v>
      </c>
      <c r="F27" t="s">
        <v>81</v>
      </c>
    </row>
    <row r="28" spans="1:8" x14ac:dyDescent="0.25">
      <c r="E28" s="159">
        <f>+C26/B26</f>
        <v>0.95161290322580649</v>
      </c>
      <c r="F28" s="158" t="s">
        <v>82</v>
      </c>
    </row>
    <row r="29" spans="1:8" x14ac:dyDescent="0.25">
      <c r="E29">
        <f>+D26/C26</f>
        <v>3.0338983050847457</v>
      </c>
    </row>
    <row r="30" spans="1:8" x14ac:dyDescent="0.25">
      <c r="C30" s="1" t="s">
        <v>83</v>
      </c>
      <c r="D30" t="s">
        <v>84</v>
      </c>
      <c r="E30" t="s">
        <v>85</v>
      </c>
    </row>
    <row r="31" spans="1:8" x14ac:dyDescent="0.25">
      <c r="B31">
        <v>21100</v>
      </c>
      <c r="C31" s="1">
        <v>0</v>
      </c>
      <c r="D31" s="132">
        <f>+C31*E$27</f>
        <v>0</v>
      </c>
      <c r="E31">
        <f>+D31*E$28</f>
        <v>0</v>
      </c>
      <c r="F31">
        <v>1.534667</v>
      </c>
      <c r="G31">
        <f>+E31*F31</f>
        <v>0</v>
      </c>
      <c r="H31">
        <v>3.0338983050847457</v>
      </c>
    </row>
    <row r="32" spans="1:8" x14ac:dyDescent="0.25">
      <c r="B32">
        <v>21200</v>
      </c>
      <c r="C32" s="1">
        <v>129</v>
      </c>
      <c r="D32" s="132">
        <f t="shared" ref="D32:D34" si="0">+C32*E$27</f>
        <v>166.625</v>
      </c>
      <c r="E32" s="132">
        <f t="shared" ref="E32:E34" si="1">+D32*E$28</f>
        <v>158.5625</v>
      </c>
      <c r="F32">
        <v>1.534667</v>
      </c>
      <c r="G32">
        <f t="shared" ref="G32:G34" si="2">+E32*F32</f>
        <v>243.3406361875</v>
      </c>
      <c r="H32">
        <v>3.0338983050847457</v>
      </c>
    </row>
    <row r="33" spans="2:8" x14ac:dyDescent="0.25">
      <c r="B33">
        <v>22307</v>
      </c>
      <c r="C33" s="1">
        <v>162</v>
      </c>
      <c r="D33" s="132">
        <f t="shared" si="0"/>
        <v>209.25</v>
      </c>
      <c r="E33" s="132">
        <f t="shared" si="1"/>
        <v>199.125</v>
      </c>
      <c r="F33">
        <v>1.534667</v>
      </c>
      <c r="G33">
        <f t="shared" si="2"/>
        <v>305.59056637499998</v>
      </c>
      <c r="H33">
        <v>3.0338983050847457</v>
      </c>
    </row>
    <row r="34" spans="2:8" x14ac:dyDescent="0.25">
      <c r="B34">
        <v>22309</v>
      </c>
      <c r="C34" s="1">
        <v>45</v>
      </c>
      <c r="D34" s="132">
        <f t="shared" si="0"/>
        <v>58.125</v>
      </c>
      <c r="E34" s="132">
        <f t="shared" si="1"/>
        <v>55.3125</v>
      </c>
      <c r="F34">
        <v>1.534667</v>
      </c>
      <c r="G34">
        <f t="shared" si="2"/>
        <v>84.886268437500007</v>
      </c>
      <c r="H34">
        <v>3.0338983050847457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DFC7247A834468B68F53E17E77B58" ma:contentTypeVersion="9" ma:contentTypeDescription="Create a new document." ma:contentTypeScope="" ma:versionID="b9b11016910d6c9cdeb171003dc4cdb7">
  <xsd:schema xmlns:xsd="http://www.w3.org/2001/XMLSchema" xmlns:xs="http://www.w3.org/2001/XMLSchema" xmlns:p="http://schemas.microsoft.com/office/2006/metadata/properties" xmlns:ns2="edc15492-e82e-424f-ac49-b101091fc76a" targetNamespace="http://schemas.microsoft.com/office/2006/metadata/properties" ma:root="true" ma:fieldsID="49cd9fd3fa5f1ac2094569d06a163469" ns2:_="">
    <xsd:import namespace="edc15492-e82e-424f-ac49-b101091fc7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15492-e82e-424f-ac49-b101091fc7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c15492-e82e-424f-ac49-b101091fc76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2AD202-7672-43A7-930E-39606598643F}"/>
</file>

<file path=customXml/itemProps2.xml><?xml version="1.0" encoding="utf-8"?>
<ds:datastoreItem xmlns:ds="http://schemas.openxmlformats.org/officeDocument/2006/customXml" ds:itemID="{421ACF79-F20E-4A16-9E64-D771230EB890}"/>
</file>

<file path=customXml/itemProps3.xml><?xml version="1.0" encoding="utf-8"?>
<ds:datastoreItem xmlns:ds="http://schemas.openxmlformats.org/officeDocument/2006/customXml" ds:itemID="{30F8EC9C-3045-484F-B24C-06AE117769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Harvest</vt:lpstr>
      <vt:lpstr>CPUE</vt:lpstr>
      <vt:lpstr>Effort</vt:lpstr>
      <vt:lpstr>Summary Table</vt:lpstr>
      <vt:lpstr>TAC</vt:lpstr>
      <vt:lpstr>Copy Sheet</vt:lpstr>
      <vt:lpstr>Twin Harbors Data</vt:lpstr>
      <vt:lpstr>Tribal Update</vt:lpstr>
      <vt:lpstr>TH Wastage</vt:lpstr>
      <vt:lpstr>LB Wastage</vt:lpstr>
      <vt:lpstr>Cop Wastage</vt:lpstr>
      <vt:lpstr>Moc Wastage</vt:lpstr>
      <vt:lpstr>Sheet1</vt:lpstr>
      <vt:lpstr>'Summary Table'!Print_Area</vt:lpstr>
    </vt:vector>
  </TitlesOfParts>
  <Company>WDFW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Deibert</dc:creator>
  <cp:lastModifiedBy>Ayres, Daniel L (DFW)</cp:lastModifiedBy>
  <cp:lastPrinted>2013-08-08T19:01:28Z</cp:lastPrinted>
  <dcterms:created xsi:type="dcterms:W3CDTF">2009-10-21T21:07:28Z</dcterms:created>
  <dcterms:modified xsi:type="dcterms:W3CDTF">2013-08-08T21:33:05Z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0x010100245DFC7247A834468B68F53E17E77B58</vt:lpwstr>
  </property>
</Properties>
</file>