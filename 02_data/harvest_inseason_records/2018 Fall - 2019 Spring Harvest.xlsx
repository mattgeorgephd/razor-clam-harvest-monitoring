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an Ayres/Ayres Data/A) RAZOR CLAM/1) Harvest. Recreational/2018-19/"/>
    </mc:Choice>
  </mc:AlternateContent>
  <xr:revisionPtr revIDLastSave="3" documentId="11_0A17CB3731F57C3B6245CB5BC5C1D9CF2AC49C83" xr6:coauthVersionLast="47" xr6:coauthVersionMax="47" xr10:uidLastSave="{54A16638-0764-42EE-83FF-E36C07BE2C88}"/>
  <bookViews>
    <workbookView xWindow="-120" yWindow="-120" windowWidth="29040" windowHeight="15840" activeTab="2" xr2:uid="{00000000-000D-0000-FFFF-FFFF00000000}"/>
  </bookViews>
  <sheets>
    <sheet name="Harvest" sheetId="1" r:id="rId1"/>
    <sheet name="Effort" sheetId="3" r:id="rId2"/>
    <sheet name="CPUE" sheetId="2" r:id="rId3"/>
    <sheet name="Summary Table" sheetId="4" r:id="rId4"/>
    <sheet name="Tribal update" sheetId="12" r:id="rId5"/>
    <sheet name="Copy Sheet" sheetId="5" r:id="rId6"/>
    <sheet name="Sunset times" sheetId="15" r:id="rId7"/>
    <sheet name="Harvest Dates" sheetId="16" r:id="rId8"/>
    <sheet name="Sheet1" sheetId="14" r:id="rId9"/>
    <sheet name="Tide Info" sheetId="13" r:id="rId10"/>
    <sheet name="TAC" sheetId="6" r:id="rId11"/>
    <sheet name="TH Wastage" sheetId="8" r:id="rId12"/>
    <sheet name="LB Wastage" sheetId="9" r:id="rId13"/>
    <sheet name="Cop Wastage" sheetId="10" r:id="rId14"/>
    <sheet name="Moc Wastage" sheetId="11" r:id="rId15"/>
  </sheets>
  <definedNames>
    <definedName name="_xlnm.Print_Area" localSheetId="1">Effort!$A$1:$O$79</definedName>
    <definedName name="_xlnm.Print_Area" localSheetId="7">'Harvest Dates'!$A$1:$F$163</definedName>
    <definedName name="_xlnm.Print_Area" localSheetId="3">'Summary Table'!$A$1:$U$81</definedName>
    <definedName name="_xlnm.Print_Area" localSheetId="4">'Tribal update'!$A$1:$R$73</definedName>
    <definedName name="_xlnm.Print_Titles" localSheetId="3">'Summary Table'!$1:$1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2" i="3"/>
  <c r="Q2" i="1"/>
  <c r="Q51" i="4"/>
  <c r="G161" i="16" l="1"/>
  <c r="G160" i="16"/>
  <c r="N155" i="16"/>
  <c r="Q155" i="16"/>
  <c r="N11" i="16"/>
  <c r="Q11" i="16"/>
  <c r="O156" i="16"/>
  <c r="Q152" i="16"/>
  <c r="P152" i="16"/>
  <c r="N152" i="16"/>
  <c r="M152" i="16"/>
  <c r="Q151" i="16"/>
  <c r="P151" i="16"/>
  <c r="N151" i="16"/>
  <c r="M151" i="16"/>
  <c r="Q149" i="16"/>
  <c r="P149" i="16"/>
  <c r="N149" i="16"/>
  <c r="M149" i="16"/>
  <c r="Q148" i="16"/>
  <c r="P148" i="16"/>
  <c r="N148" i="16"/>
  <c r="M148" i="16"/>
  <c r="Q147" i="16"/>
  <c r="P147" i="16"/>
  <c r="N147" i="16"/>
  <c r="M147" i="16"/>
  <c r="Q146" i="16"/>
  <c r="P146" i="16"/>
  <c r="N146" i="16"/>
  <c r="M146" i="16"/>
  <c r="Q145" i="16"/>
  <c r="P145" i="16"/>
  <c r="N145" i="16"/>
  <c r="M145" i="16"/>
  <c r="Q144" i="16"/>
  <c r="P144" i="16"/>
  <c r="N144" i="16"/>
  <c r="M144" i="16"/>
  <c r="Q143" i="16"/>
  <c r="P143" i="16"/>
  <c r="N143" i="16"/>
  <c r="M143" i="16"/>
  <c r="Q141" i="16"/>
  <c r="P141" i="16"/>
  <c r="N141" i="16"/>
  <c r="M141" i="16"/>
  <c r="Q140" i="16"/>
  <c r="P140" i="16"/>
  <c r="N140" i="16"/>
  <c r="M140" i="16"/>
  <c r="Q139" i="16"/>
  <c r="P139" i="16"/>
  <c r="N139" i="16"/>
  <c r="M139" i="16"/>
  <c r="Q138" i="16"/>
  <c r="P138" i="16"/>
  <c r="N138" i="16"/>
  <c r="M138" i="16"/>
  <c r="Q137" i="16"/>
  <c r="P137" i="16"/>
  <c r="N137" i="16"/>
  <c r="M137" i="16"/>
  <c r="Q136" i="16"/>
  <c r="P136" i="16"/>
  <c r="N136" i="16"/>
  <c r="M136" i="16"/>
  <c r="Q135" i="16"/>
  <c r="P135" i="16"/>
  <c r="N135" i="16"/>
  <c r="M135" i="16"/>
  <c r="Q133" i="16"/>
  <c r="P133" i="16"/>
  <c r="N133" i="16"/>
  <c r="M133" i="16"/>
  <c r="Q132" i="16"/>
  <c r="P132" i="16"/>
  <c r="N132" i="16"/>
  <c r="M132" i="16"/>
  <c r="Q131" i="16"/>
  <c r="P131" i="16"/>
  <c r="N131" i="16"/>
  <c r="M131" i="16"/>
  <c r="Q130" i="16"/>
  <c r="P130" i="16"/>
  <c r="N130" i="16"/>
  <c r="M130" i="16"/>
  <c r="Q129" i="16"/>
  <c r="P129" i="16"/>
  <c r="N129" i="16"/>
  <c r="M129" i="16"/>
  <c r="Q128" i="16"/>
  <c r="P128" i="16"/>
  <c r="N128" i="16"/>
  <c r="M128" i="16"/>
  <c r="Q127" i="16"/>
  <c r="P127" i="16"/>
  <c r="N127" i="16"/>
  <c r="M127" i="16"/>
  <c r="Q126" i="16"/>
  <c r="P126" i="16"/>
  <c r="N126" i="16"/>
  <c r="M126" i="16"/>
  <c r="Q125" i="16"/>
  <c r="P125" i="16"/>
  <c r="N125" i="16"/>
  <c r="M125" i="16"/>
  <c r="Q124" i="16"/>
  <c r="P124" i="16"/>
  <c r="N124" i="16"/>
  <c r="M124" i="16"/>
  <c r="Q123" i="16"/>
  <c r="P123" i="16"/>
  <c r="N123" i="16"/>
  <c r="M123" i="16"/>
  <c r="Q121" i="16"/>
  <c r="P121" i="16"/>
  <c r="N121" i="16"/>
  <c r="M121" i="16"/>
  <c r="Q120" i="16"/>
  <c r="P120" i="16"/>
  <c r="N120" i="16"/>
  <c r="M120" i="16"/>
  <c r="Q119" i="16"/>
  <c r="P119" i="16"/>
  <c r="N119" i="16"/>
  <c r="M119" i="16"/>
  <c r="Q118" i="16"/>
  <c r="P118" i="16"/>
  <c r="N118" i="16"/>
  <c r="M118" i="16"/>
  <c r="Q117" i="16"/>
  <c r="P117" i="16"/>
  <c r="N117" i="16"/>
  <c r="M117" i="16"/>
  <c r="Q115" i="16"/>
  <c r="P115" i="16"/>
  <c r="N115" i="16"/>
  <c r="M115" i="16"/>
  <c r="Q114" i="16"/>
  <c r="P114" i="16"/>
  <c r="N114" i="16"/>
  <c r="M114" i="16"/>
  <c r="Q113" i="16"/>
  <c r="P113" i="16"/>
  <c r="N113" i="16"/>
  <c r="M113" i="16"/>
  <c r="Q112" i="16"/>
  <c r="P112" i="16"/>
  <c r="N112" i="16"/>
  <c r="M112" i="16"/>
  <c r="Q111" i="16"/>
  <c r="P111" i="16"/>
  <c r="N111" i="16"/>
  <c r="M111" i="16"/>
  <c r="Q110" i="16"/>
  <c r="P110" i="16"/>
  <c r="N110" i="16"/>
  <c r="M110" i="16"/>
  <c r="Q109" i="16"/>
  <c r="P109" i="16"/>
  <c r="N109" i="16"/>
  <c r="M109" i="16"/>
  <c r="Q108" i="16"/>
  <c r="P108" i="16"/>
  <c r="N108" i="16"/>
  <c r="M108" i="16"/>
  <c r="Q107" i="16"/>
  <c r="P107" i="16"/>
  <c r="N107" i="16"/>
  <c r="M107" i="16"/>
  <c r="Q106" i="16"/>
  <c r="P106" i="16"/>
  <c r="N106" i="16"/>
  <c r="M106" i="16"/>
  <c r="Q104" i="16"/>
  <c r="P104" i="16"/>
  <c r="N104" i="16"/>
  <c r="M104" i="16"/>
  <c r="Q103" i="16"/>
  <c r="P103" i="16"/>
  <c r="N103" i="16"/>
  <c r="M103" i="16"/>
  <c r="Q102" i="16"/>
  <c r="P102" i="16"/>
  <c r="N102" i="16"/>
  <c r="M102" i="16"/>
  <c r="Q101" i="16"/>
  <c r="P101" i="16"/>
  <c r="N101" i="16"/>
  <c r="M101" i="16"/>
  <c r="Q100" i="16"/>
  <c r="P100" i="16"/>
  <c r="N100" i="16"/>
  <c r="M100" i="16"/>
  <c r="Q99" i="16"/>
  <c r="P99" i="16"/>
  <c r="N99" i="16"/>
  <c r="M99" i="16"/>
  <c r="Q98" i="16"/>
  <c r="P98" i="16"/>
  <c r="N98" i="16"/>
  <c r="M98" i="16"/>
  <c r="Q97" i="16"/>
  <c r="P97" i="16"/>
  <c r="N97" i="16"/>
  <c r="M97" i="16"/>
  <c r="Q96" i="16"/>
  <c r="P96" i="16"/>
  <c r="N96" i="16"/>
  <c r="M96" i="16"/>
  <c r="Q95" i="16"/>
  <c r="P95" i="16"/>
  <c r="N95" i="16"/>
  <c r="M95" i="16"/>
  <c r="Q94" i="16"/>
  <c r="P94" i="16"/>
  <c r="N94" i="16"/>
  <c r="M94" i="16"/>
  <c r="Q93" i="16"/>
  <c r="P93" i="16"/>
  <c r="N93" i="16"/>
  <c r="M93" i="16"/>
  <c r="Q92" i="16"/>
  <c r="P92" i="16"/>
  <c r="N92" i="16"/>
  <c r="M92" i="16"/>
  <c r="Q91" i="16"/>
  <c r="P91" i="16"/>
  <c r="N91" i="16"/>
  <c r="M91" i="16"/>
  <c r="Q90" i="16"/>
  <c r="P90" i="16"/>
  <c r="N90" i="16"/>
  <c r="M90" i="16"/>
  <c r="Q89" i="16"/>
  <c r="P89" i="16"/>
  <c r="N89" i="16"/>
  <c r="M89" i="16"/>
  <c r="Q88" i="16"/>
  <c r="P88" i="16"/>
  <c r="N88" i="16"/>
  <c r="M88" i="16"/>
  <c r="Q87" i="16"/>
  <c r="P87" i="16"/>
  <c r="N87" i="16"/>
  <c r="M87" i="16"/>
  <c r="Q86" i="16"/>
  <c r="P86" i="16"/>
  <c r="N86" i="16"/>
  <c r="M86" i="16"/>
  <c r="Q85" i="16"/>
  <c r="P85" i="16"/>
  <c r="N85" i="16"/>
  <c r="M85" i="16"/>
  <c r="Q84" i="16"/>
  <c r="P84" i="16"/>
  <c r="N84" i="16"/>
  <c r="M84" i="16"/>
  <c r="Q83" i="16"/>
  <c r="P83" i="16"/>
  <c r="N83" i="16"/>
  <c r="M83" i="16"/>
  <c r="Q82" i="16"/>
  <c r="P82" i="16"/>
  <c r="N82" i="16"/>
  <c r="M82" i="16"/>
  <c r="Q81" i="16"/>
  <c r="P81" i="16"/>
  <c r="N81" i="16"/>
  <c r="M81" i="16"/>
  <c r="Q80" i="16"/>
  <c r="P80" i="16"/>
  <c r="N80" i="16"/>
  <c r="M80" i="16"/>
  <c r="Q79" i="16"/>
  <c r="P79" i="16"/>
  <c r="N79" i="16"/>
  <c r="M79" i="16"/>
  <c r="Q78" i="16"/>
  <c r="P78" i="16"/>
  <c r="N78" i="16"/>
  <c r="M78" i="16"/>
  <c r="Q77" i="16"/>
  <c r="P77" i="16"/>
  <c r="N77" i="16"/>
  <c r="M77" i="16"/>
  <c r="Q76" i="16"/>
  <c r="P76" i="16"/>
  <c r="N76" i="16"/>
  <c r="M76" i="16"/>
  <c r="Q75" i="16"/>
  <c r="P75" i="16"/>
  <c r="N75" i="16"/>
  <c r="M75" i="16"/>
  <c r="Q74" i="16"/>
  <c r="P74" i="16"/>
  <c r="N74" i="16"/>
  <c r="M74" i="16"/>
  <c r="Q73" i="16"/>
  <c r="P73" i="16"/>
  <c r="N73" i="16"/>
  <c r="M73" i="16"/>
  <c r="Q72" i="16"/>
  <c r="P72" i="16"/>
  <c r="N72" i="16"/>
  <c r="M72" i="16"/>
  <c r="Q71" i="16"/>
  <c r="P71" i="16"/>
  <c r="N71" i="16"/>
  <c r="M71" i="16"/>
  <c r="Q70" i="16"/>
  <c r="P70" i="16"/>
  <c r="N70" i="16"/>
  <c r="M70" i="16"/>
  <c r="Q69" i="16"/>
  <c r="P69" i="16"/>
  <c r="N69" i="16"/>
  <c r="M69" i="16"/>
  <c r="Q68" i="16"/>
  <c r="P68" i="16"/>
  <c r="N68" i="16"/>
  <c r="M68" i="16"/>
  <c r="Q67" i="16"/>
  <c r="P67" i="16"/>
  <c r="N67" i="16"/>
  <c r="M67" i="16"/>
  <c r="Q66" i="16"/>
  <c r="P66" i="16"/>
  <c r="N66" i="16"/>
  <c r="M66" i="16"/>
  <c r="Q65" i="16"/>
  <c r="P65" i="16"/>
  <c r="N65" i="16"/>
  <c r="M65" i="16"/>
  <c r="Q64" i="16"/>
  <c r="P64" i="16"/>
  <c r="N64" i="16"/>
  <c r="M64" i="16"/>
  <c r="Q63" i="16"/>
  <c r="P63" i="16"/>
  <c r="N63" i="16"/>
  <c r="M63" i="16"/>
  <c r="Q62" i="16"/>
  <c r="P62" i="16"/>
  <c r="N62" i="16"/>
  <c r="M62" i="16"/>
  <c r="Q61" i="16"/>
  <c r="P61" i="16"/>
  <c r="N61" i="16"/>
  <c r="M61" i="16"/>
  <c r="Q60" i="16"/>
  <c r="P60" i="16"/>
  <c r="N60" i="16"/>
  <c r="M60" i="16"/>
  <c r="Q59" i="16"/>
  <c r="P59" i="16"/>
  <c r="N59" i="16"/>
  <c r="M59" i="16"/>
  <c r="Q58" i="16"/>
  <c r="P58" i="16"/>
  <c r="N58" i="16"/>
  <c r="M58" i="16"/>
  <c r="Q57" i="16"/>
  <c r="P57" i="16"/>
  <c r="N57" i="16"/>
  <c r="M57" i="16"/>
  <c r="Q56" i="16"/>
  <c r="P56" i="16"/>
  <c r="N56" i="16"/>
  <c r="M56" i="16"/>
  <c r="Q55" i="16"/>
  <c r="P55" i="16"/>
  <c r="N55" i="16"/>
  <c r="M55" i="16"/>
  <c r="Q53" i="16"/>
  <c r="P53" i="16"/>
  <c r="N53" i="16"/>
  <c r="M53" i="16"/>
  <c r="Q52" i="16"/>
  <c r="P52" i="16"/>
  <c r="N52" i="16"/>
  <c r="M52" i="16"/>
  <c r="Q51" i="16"/>
  <c r="P51" i="16"/>
  <c r="N51" i="16"/>
  <c r="M51" i="16"/>
  <c r="Q50" i="16"/>
  <c r="P50" i="16"/>
  <c r="N50" i="16"/>
  <c r="M50" i="16"/>
  <c r="Q49" i="16"/>
  <c r="P49" i="16"/>
  <c r="N49" i="16"/>
  <c r="M49" i="16"/>
  <c r="Q48" i="16"/>
  <c r="P48" i="16"/>
  <c r="N48" i="16"/>
  <c r="M48" i="16"/>
  <c r="Q47" i="16"/>
  <c r="P47" i="16"/>
  <c r="N47" i="16"/>
  <c r="M47" i="16"/>
  <c r="Q46" i="16"/>
  <c r="P46" i="16"/>
  <c r="N46" i="16"/>
  <c r="M46" i="16"/>
  <c r="Q44" i="16"/>
  <c r="P44" i="16"/>
  <c r="N44" i="16"/>
  <c r="M44" i="16"/>
  <c r="Q43" i="16"/>
  <c r="P43" i="16"/>
  <c r="N43" i="16"/>
  <c r="M43" i="16"/>
  <c r="Q42" i="16"/>
  <c r="P42" i="16"/>
  <c r="N42" i="16"/>
  <c r="M42" i="16"/>
  <c r="Q41" i="16"/>
  <c r="P41" i="16"/>
  <c r="N41" i="16"/>
  <c r="M41" i="16"/>
  <c r="Q40" i="16"/>
  <c r="P40" i="16"/>
  <c r="N40" i="16"/>
  <c r="M40" i="16"/>
  <c r="Q39" i="16"/>
  <c r="P39" i="16"/>
  <c r="N39" i="16"/>
  <c r="M39" i="16"/>
  <c r="Q38" i="16"/>
  <c r="P38" i="16"/>
  <c r="N38" i="16"/>
  <c r="M38" i="16"/>
  <c r="Q36" i="16"/>
  <c r="P36" i="16"/>
  <c r="N36" i="16"/>
  <c r="M36" i="16"/>
  <c r="Q35" i="16"/>
  <c r="P35" i="16"/>
  <c r="N35" i="16"/>
  <c r="M35" i="16"/>
  <c r="Q34" i="16"/>
  <c r="P34" i="16"/>
  <c r="N34" i="16"/>
  <c r="M34" i="16"/>
  <c r="Q33" i="16"/>
  <c r="P33" i="16"/>
  <c r="N33" i="16"/>
  <c r="M33" i="16"/>
  <c r="Q32" i="16"/>
  <c r="P32" i="16"/>
  <c r="N32" i="16"/>
  <c r="M32" i="16"/>
  <c r="Q31" i="16"/>
  <c r="P31" i="16"/>
  <c r="N31" i="16"/>
  <c r="M31" i="16"/>
  <c r="Q29" i="16"/>
  <c r="P29" i="16"/>
  <c r="N29" i="16"/>
  <c r="M29" i="16"/>
  <c r="Q28" i="16"/>
  <c r="P28" i="16"/>
  <c r="N28" i="16"/>
  <c r="M28" i="16"/>
  <c r="Q27" i="16"/>
  <c r="P27" i="16"/>
  <c r="P156" i="16" s="1"/>
  <c r="N27" i="16"/>
  <c r="M27" i="16"/>
  <c r="M156" i="16" s="1"/>
  <c r="Q26" i="16"/>
  <c r="P26" i="16"/>
  <c r="N26" i="16"/>
  <c r="M26" i="16"/>
  <c r="Q25" i="16"/>
  <c r="P25" i="16"/>
  <c r="N25" i="16"/>
  <c r="M25" i="16"/>
  <c r="Q24" i="16"/>
  <c r="P24" i="16"/>
  <c r="N24" i="16"/>
  <c r="M24" i="16"/>
  <c r="Q23" i="16"/>
  <c r="P23" i="16"/>
  <c r="N23" i="16"/>
  <c r="M23" i="16"/>
  <c r="Q22" i="16"/>
  <c r="P22" i="16"/>
  <c r="N22" i="16"/>
  <c r="M22" i="16"/>
  <c r="Q21" i="16"/>
  <c r="P21" i="16"/>
  <c r="N21" i="16"/>
  <c r="M21" i="16"/>
  <c r="Q19" i="16"/>
  <c r="P19" i="16"/>
  <c r="N19" i="16"/>
  <c r="M19" i="16"/>
  <c r="Q18" i="16"/>
  <c r="P18" i="16"/>
  <c r="N18" i="16"/>
  <c r="M18" i="16"/>
  <c r="Q17" i="16"/>
  <c r="P17" i="16"/>
  <c r="N17" i="16"/>
  <c r="M17" i="16"/>
  <c r="Q16" i="16"/>
  <c r="P16" i="16"/>
  <c r="N16" i="16"/>
  <c r="M16" i="16"/>
  <c r="Q15" i="16"/>
  <c r="P15" i="16"/>
  <c r="N15" i="16"/>
  <c r="M15" i="16"/>
  <c r="Q14" i="16"/>
  <c r="P14" i="16"/>
  <c r="N14" i="16"/>
  <c r="M14" i="16"/>
  <c r="Q10" i="16"/>
  <c r="P10" i="16"/>
  <c r="N10" i="16"/>
  <c r="M10" i="16"/>
  <c r="Q9" i="16"/>
  <c r="P9" i="16"/>
  <c r="N9" i="16"/>
  <c r="M9" i="16"/>
  <c r="Q8" i="16"/>
  <c r="P8" i="16"/>
  <c r="N8" i="16"/>
  <c r="M8" i="16"/>
  <c r="Q7" i="16"/>
  <c r="P7" i="16"/>
  <c r="N7" i="16"/>
  <c r="M7" i="16"/>
  <c r="Q6" i="16"/>
  <c r="P6" i="16"/>
  <c r="N6" i="16"/>
  <c r="M6" i="16"/>
  <c r="Q5" i="16"/>
  <c r="P5" i="16"/>
  <c r="N5" i="16"/>
  <c r="M5" i="16"/>
  <c r="Q4" i="16"/>
  <c r="P4" i="16"/>
  <c r="N4" i="16"/>
  <c r="M4" i="16"/>
  <c r="M13" i="16"/>
  <c r="N13" i="16"/>
  <c r="P13" i="16"/>
  <c r="Q13" i="16"/>
  <c r="A152" i="16"/>
  <c r="B152" i="16" s="1"/>
  <c r="B151" i="16"/>
  <c r="B136" i="16"/>
  <c r="B135" i="16"/>
  <c r="A139" i="16"/>
  <c r="A140" i="16" s="1"/>
  <c r="A141" i="16" s="1"/>
  <c r="B141" i="16" s="1"/>
  <c r="A144" i="16"/>
  <c r="A145" i="16" s="1"/>
  <c r="A149" i="16" s="1"/>
  <c r="B149" i="16" s="1"/>
  <c r="B143" i="16"/>
  <c r="A138" i="16"/>
  <c r="B138" i="16" s="1"/>
  <c r="B137" i="16"/>
  <c r="B129" i="16"/>
  <c r="A130" i="16"/>
  <c r="A131" i="16" s="1"/>
  <c r="A124" i="16"/>
  <c r="B124" i="16" s="1"/>
  <c r="B123" i="16"/>
  <c r="A118" i="16"/>
  <c r="B118" i="16" s="1"/>
  <c r="B117" i="16"/>
  <c r="C108" i="16"/>
  <c r="D108" i="16" s="1"/>
  <c r="A107" i="16"/>
  <c r="B107" i="16" s="1"/>
  <c r="B106" i="16"/>
  <c r="A111" i="16"/>
  <c r="B111" i="16" s="1"/>
  <c r="B110" i="16"/>
  <c r="B99" i="16"/>
  <c r="A100" i="16"/>
  <c r="B100" i="16" s="1"/>
  <c r="A91" i="16"/>
  <c r="A92" i="16" s="1"/>
  <c r="A83" i="16"/>
  <c r="A84" i="16" s="1"/>
  <c r="A73" i="16"/>
  <c r="A74" i="16" s="1"/>
  <c r="B72" i="16"/>
  <c r="A56" i="16"/>
  <c r="B56" i="16" s="1"/>
  <c r="B55" i="16"/>
  <c r="B46" i="16"/>
  <c r="A47" i="16"/>
  <c r="A48" i="16" s="1"/>
  <c r="A39" i="16"/>
  <c r="A40" i="16" s="1"/>
  <c r="A32" i="16"/>
  <c r="B32" i="16" s="1"/>
  <c r="A5" i="16"/>
  <c r="B5" i="16" s="1"/>
  <c r="B4" i="16"/>
  <c r="A22" i="16"/>
  <c r="B22" i="16" s="1"/>
  <c r="B21" i="16"/>
  <c r="A9" i="16"/>
  <c r="B9" i="16" s="1"/>
  <c r="B8" i="16"/>
  <c r="B29" i="16"/>
  <c r="T29" i="16" s="1"/>
  <c r="B28" i="16"/>
  <c r="T28" i="16" s="1"/>
  <c r="B27" i="16"/>
  <c r="T27" i="16" s="1"/>
  <c r="B25" i="16"/>
  <c r="A26" i="16"/>
  <c r="B26" i="16" s="1"/>
  <c r="A14" i="16"/>
  <c r="B14" i="16" s="1"/>
  <c r="B13" i="16"/>
  <c r="W29" i="16"/>
  <c r="W28" i="16"/>
  <c r="W27" i="16"/>
  <c r="N156" i="16" l="1"/>
  <c r="Q156" i="16"/>
  <c r="B140" i="16"/>
  <c r="B139" i="16"/>
  <c r="B145" i="16"/>
  <c r="A146" i="16"/>
  <c r="B144" i="16"/>
  <c r="A101" i="16"/>
  <c r="A102" i="16" s="1"/>
  <c r="B102" i="16" s="1"/>
  <c r="B131" i="16"/>
  <c r="A132" i="16"/>
  <c r="B130" i="16"/>
  <c r="A125" i="16"/>
  <c r="B125" i="16" s="1"/>
  <c r="U28" i="16"/>
  <c r="A112" i="16"/>
  <c r="A113" i="16" s="1"/>
  <c r="B113" i="16" s="1"/>
  <c r="A108" i="16"/>
  <c r="A109" i="16" s="1"/>
  <c r="B109" i="16" s="1"/>
  <c r="A119" i="16"/>
  <c r="B119" i="16" s="1"/>
  <c r="C109" i="16"/>
  <c r="D109" i="16" s="1"/>
  <c r="A33" i="16"/>
  <c r="A34" i="16" s="1"/>
  <c r="B34" i="16" s="1"/>
  <c r="B92" i="16"/>
  <c r="A93" i="16"/>
  <c r="A94" i="16" s="1"/>
  <c r="B94" i="16" s="1"/>
  <c r="B91" i="16"/>
  <c r="A10" i="16"/>
  <c r="A57" i="16"/>
  <c r="B57" i="16" s="1"/>
  <c r="A15" i="16"/>
  <c r="B15" i="16" s="1"/>
  <c r="B84" i="16"/>
  <c r="A85" i="16"/>
  <c r="B83" i="16"/>
  <c r="B74" i="16"/>
  <c r="A75" i="16"/>
  <c r="B73" i="16"/>
  <c r="A6" i="16"/>
  <c r="B6" i="16" s="1"/>
  <c r="A23" i="16"/>
  <c r="A24" i="16" s="1"/>
  <c r="B24" i="16" s="1"/>
  <c r="B48" i="16"/>
  <c r="A49" i="16"/>
  <c r="B47" i="16"/>
  <c r="B40" i="16"/>
  <c r="A41" i="16"/>
  <c r="B39" i="16"/>
  <c r="X29" i="16"/>
  <c r="X28" i="16"/>
  <c r="X27" i="16"/>
  <c r="B101" i="16" l="1"/>
  <c r="A103" i="16"/>
  <c r="B10" i="16"/>
  <c r="A11" i="16"/>
  <c r="B11" i="16" s="1"/>
  <c r="A114" i="16"/>
  <c r="A115" i="16" s="1"/>
  <c r="B115" i="16" s="1"/>
  <c r="A147" i="16"/>
  <c r="B146" i="16"/>
  <c r="A120" i="16"/>
  <c r="A121" i="16" s="1"/>
  <c r="B121" i="16" s="1"/>
  <c r="A133" i="16"/>
  <c r="B133" i="16" s="1"/>
  <c r="B132" i="16"/>
  <c r="A126" i="16"/>
  <c r="B108" i="16"/>
  <c r="A95" i="16"/>
  <c r="B95" i="16" s="1"/>
  <c r="B112" i="16"/>
  <c r="A16" i="16"/>
  <c r="A17" i="16" s="1"/>
  <c r="A18" i="16" s="1"/>
  <c r="A19" i="16" s="1"/>
  <c r="B19" i="16" s="1"/>
  <c r="A58" i="16"/>
  <c r="B58" i="16" s="1"/>
  <c r="A104" i="16"/>
  <c r="B104" i="16" s="1"/>
  <c r="B103" i="16"/>
  <c r="A35" i="16"/>
  <c r="A36" i="16" s="1"/>
  <c r="B36" i="16" s="1"/>
  <c r="B33" i="16"/>
  <c r="A7" i="16"/>
  <c r="B7" i="16" s="1"/>
  <c r="B93" i="16"/>
  <c r="A86" i="16"/>
  <c r="B85" i="16"/>
  <c r="A76" i="16"/>
  <c r="B75" i="16"/>
  <c r="B23" i="16"/>
  <c r="A50" i="16"/>
  <c r="B49" i="16"/>
  <c r="F159" i="16"/>
  <c r="F163" i="16" s="1"/>
  <c r="F158" i="16"/>
  <c r="F162" i="16" s="1"/>
  <c r="B41" i="16"/>
  <c r="A42" i="16"/>
  <c r="E158" i="16"/>
  <c r="B35" i="16"/>
  <c r="E159" i="16"/>
  <c r="H73" i="4"/>
  <c r="I73" i="4"/>
  <c r="J73" i="4"/>
  <c r="H74" i="4"/>
  <c r="I74" i="4"/>
  <c r="J74" i="4"/>
  <c r="H75" i="4"/>
  <c r="I75" i="4"/>
  <c r="J75" i="4"/>
  <c r="B114" i="16" l="1"/>
  <c r="A96" i="16"/>
  <c r="A97" i="16" s="1"/>
  <c r="B97" i="16" s="1"/>
  <c r="E163" i="16"/>
  <c r="G163" i="16" s="1"/>
  <c r="G159" i="16"/>
  <c r="E162" i="16"/>
  <c r="G162" i="16" s="1"/>
  <c r="G158" i="16"/>
  <c r="B16" i="16"/>
  <c r="B18" i="16"/>
  <c r="B120" i="16"/>
  <c r="B147" i="16"/>
  <c r="A148" i="16"/>
  <c r="B126" i="16"/>
  <c r="A127" i="16"/>
  <c r="B17" i="16"/>
  <c r="A59" i="16"/>
  <c r="B59" i="16" s="1"/>
  <c r="B96" i="16"/>
  <c r="B76" i="16"/>
  <c r="A77" i="16"/>
  <c r="B86" i="16"/>
  <c r="A87" i="16"/>
  <c r="A88" i="16" s="1"/>
  <c r="B88" i="16" s="1"/>
  <c r="B50" i="16"/>
  <c r="A51" i="16"/>
  <c r="B42" i="16"/>
  <c r="A43" i="16"/>
  <c r="I69" i="12"/>
  <c r="J69" i="12"/>
  <c r="R69" i="12"/>
  <c r="R68" i="12"/>
  <c r="R67" i="12"/>
  <c r="R66" i="12"/>
  <c r="B148" i="16" l="1"/>
  <c r="A60" i="16"/>
  <c r="B60" i="16" s="1"/>
  <c r="B127" i="16"/>
  <c r="A128" i="16"/>
  <c r="B128" i="16" s="1"/>
  <c r="B87" i="16"/>
  <c r="B77" i="16"/>
  <c r="A78" i="16"/>
  <c r="A52" i="16"/>
  <c r="B51" i="16"/>
  <c r="A44" i="16"/>
  <c r="B44" i="16" s="1"/>
  <c r="B43" i="16"/>
  <c r="Q68" i="12"/>
  <c r="Q67" i="12"/>
  <c r="Q66" i="12"/>
  <c r="Q69" i="12" s="1"/>
  <c r="B68" i="12"/>
  <c r="B67" i="12"/>
  <c r="B66" i="12"/>
  <c r="O73" i="3"/>
  <c r="O72" i="3"/>
  <c r="O71" i="3"/>
  <c r="O69" i="3"/>
  <c r="O68" i="3"/>
  <c r="O65" i="3"/>
  <c r="O64" i="3"/>
  <c r="O63" i="3"/>
  <c r="O61" i="3"/>
  <c r="O60" i="3"/>
  <c r="O59" i="3"/>
  <c r="O58" i="3"/>
  <c r="O55" i="3"/>
  <c r="O53" i="3"/>
  <c r="O52" i="3"/>
  <c r="O51" i="3"/>
  <c r="O48" i="3"/>
  <c r="O47" i="3"/>
  <c r="O44" i="3"/>
  <c r="O43" i="3"/>
  <c r="O41" i="3"/>
  <c r="O40" i="3"/>
  <c r="O39" i="3"/>
  <c r="O38" i="3"/>
  <c r="O37" i="3"/>
  <c r="O35" i="3"/>
  <c r="O34" i="3"/>
  <c r="O33" i="3"/>
  <c r="O32" i="3"/>
  <c r="O31" i="3"/>
  <c r="O73" i="1"/>
  <c r="O72" i="1"/>
  <c r="O71" i="1"/>
  <c r="O69" i="1"/>
  <c r="O68" i="1"/>
  <c r="O65" i="1"/>
  <c r="O64" i="1"/>
  <c r="O63" i="1"/>
  <c r="O61" i="1"/>
  <c r="O60" i="1"/>
  <c r="O59" i="1"/>
  <c r="O58" i="1"/>
  <c r="O55" i="1"/>
  <c r="O53" i="1"/>
  <c r="O52" i="1"/>
  <c r="O51" i="1"/>
  <c r="O48" i="1"/>
  <c r="O47" i="1"/>
  <c r="O44" i="1"/>
  <c r="O43" i="1"/>
  <c r="L73" i="2"/>
  <c r="P75" i="4" s="1"/>
  <c r="L72" i="2"/>
  <c r="P74" i="4" s="1"/>
  <c r="L71" i="2"/>
  <c r="S75" i="4"/>
  <c r="R75" i="4"/>
  <c r="Q75" i="4"/>
  <c r="O75" i="4"/>
  <c r="U75" i="4" s="1"/>
  <c r="N75" i="4"/>
  <c r="T75" i="4" s="1"/>
  <c r="M75" i="4"/>
  <c r="L75" i="4"/>
  <c r="K75" i="4"/>
  <c r="G75" i="4"/>
  <c r="F75" i="4"/>
  <c r="E75" i="4"/>
  <c r="S74" i="4"/>
  <c r="R74" i="4"/>
  <c r="Q74" i="4"/>
  <c r="O74" i="4"/>
  <c r="U74" i="4" s="1"/>
  <c r="N74" i="4"/>
  <c r="T74" i="4" s="1"/>
  <c r="M74" i="4"/>
  <c r="L74" i="4"/>
  <c r="K74" i="4"/>
  <c r="G74" i="4"/>
  <c r="F74" i="4"/>
  <c r="E74" i="4"/>
  <c r="S73" i="4"/>
  <c r="R73" i="4"/>
  <c r="Q73" i="4"/>
  <c r="P73" i="4"/>
  <c r="O73" i="4"/>
  <c r="U73" i="4" s="1"/>
  <c r="N73" i="4"/>
  <c r="M73" i="4"/>
  <c r="L73" i="4"/>
  <c r="K73" i="4"/>
  <c r="G73" i="4"/>
  <c r="F73" i="4"/>
  <c r="E73" i="4"/>
  <c r="B75" i="4"/>
  <c r="B74" i="4"/>
  <c r="B73" i="4"/>
  <c r="U76" i="4" l="1"/>
  <c r="O76" i="4"/>
  <c r="N76" i="4"/>
  <c r="T73" i="4"/>
  <c r="T76" i="4" s="1"/>
  <c r="A79" i="16"/>
  <c r="B78" i="16"/>
  <c r="A53" i="16"/>
  <c r="B53" i="16" s="1"/>
  <c r="B52" i="16"/>
  <c r="N49" i="12"/>
  <c r="R48" i="12"/>
  <c r="R47" i="12"/>
  <c r="R46" i="12"/>
  <c r="R45" i="12"/>
  <c r="Q48" i="12"/>
  <c r="Q47" i="12"/>
  <c r="Q46" i="12"/>
  <c r="R56" i="12"/>
  <c r="R55" i="12"/>
  <c r="R54" i="12"/>
  <c r="R53" i="12"/>
  <c r="Q56" i="12"/>
  <c r="Q55" i="12"/>
  <c r="Q54" i="12"/>
  <c r="M57" i="12"/>
  <c r="N57" i="12"/>
  <c r="O57" i="12" s="1"/>
  <c r="M49" i="12"/>
  <c r="M70" i="12" s="1"/>
  <c r="O56" i="12"/>
  <c r="O55" i="12"/>
  <c r="O54" i="12"/>
  <c r="O48" i="12"/>
  <c r="O47" i="12"/>
  <c r="O46" i="12"/>
  <c r="O49" i="12" l="1"/>
  <c r="N70" i="12"/>
  <c r="O70" i="12" s="1"/>
  <c r="P76" i="4"/>
  <c r="B79" i="16"/>
  <c r="A80" i="16"/>
  <c r="B80" i="16" s="1"/>
  <c r="Q65" i="12"/>
  <c r="R65" i="12"/>
  <c r="R64" i="12"/>
  <c r="R63" i="12"/>
  <c r="R62" i="12"/>
  <c r="R60" i="12"/>
  <c r="R59" i="12"/>
  <c r="R58" i="12"/>
  <c r="R61" i="12" s="1"/>
  <c r="Q64" i="12"/>
  <c r="Q63" i="12"/>
  <c r="Q62" i="12"/>
  <c r="Q60" i="12"/>
  <c r="Q59" i="12"/>
  <c r="Q58" i="12"/>
  <c r="Q61" i="12" s="1"/>
  <c r="G65" i="12"/>
  <c r="E65" i="12"/>
  <c r="F65" i="12"/>
  <c r="I65" i="12"/>
  <c r="J65" i="12"/>
  <c r="K65" i="12" s="1"/>
  <c r="I61" i="12"/>
  <c r="J61" i="12"/>
  <c r="K61" i="12" s="1"/>
  <c r="B64" i="12"/>
  <c r="B63" i="12"/>
  <c r="B62" i="12"/>
  <c r="B60" i="12"/>
  <c r="B59" i="12"/>
  <c r="B58" i="12"/>
  <c r="N76" i="3" l="1"/>
  <c r="I66" i="4" l="1"/>
  <c r="H66" i="4"/>
  <c r="I65" i="4"/>
  <c r="H65" i="4"/>
  <c r="H67" i="3"/>
  <c r="O67" i="3" s="1"/>
  <c r="H67" i="1"/>
  <c r="O67" i="1" s="1"/>
  <c r="F68" i="2"/>
  <c r="F67" i="2"/>
  <c r="H69" i="2"/>
  <c r="H68" i="2"/>
  <c r="J67" i="2"/>
  <c r="L69" i="2"/>
  <c r="L68" i="2"/>
  <c r="H67" i="2" l="1"/>
  <c r="J69" i="4" s="1"/>
  <c r="O70" i="4"/>
  <c r="G69" i="4"/>
  <c r="P71" i="4"/>
  <c r="O71" i="4"/>
  <c r="N71" i="4"/>
  <c r="P70" i="4"/>
  <c r="N70" i="4"/>
  <c r="N72" i="4" s="1"/>
  <c r="P69" i="4"/>
  <c r="O69" i="4"/>
  <c r="N69" i="4"/>
  <c r="O67" i="4"/>
  <c r="N67" i="4"/>
  <c r="T67" i="4" s="1"/>
  <c r="O66" i="4"/>
  <c r="N66" i="4"/>
  <c r="T66" i="4" s="1"/>
  <c r="O65" i="4"/>
  <c r="N65" i="4"/>
  <c r="S71" i="4"/>
  <c r="R71" i="4"/>
  <c r="Q71" i="4"/>
  <c r="M71" i="4"/>
  <c r="L71" i="4"/>
  <c r="K71" i="4"/>
  <c r="J71" i="4"/>
  <c r="I71" i="4"/>
  <c r="H71" i="4"/>
  <c r="T71" i="4" s="1"/>
  <c r="G71" i="4"/>
  <c r="F71" i="4"/>
  <c r="E71" i="4"/>
  <c r="S70" i="4"/>
  <c r="R70" i="4"/>
  <c r="Q70" i="4"/>
  <c r="M70" i="4"/>
  <c r="L70" i="4"/>
  <c r="K70" i="4"/>
  <c r="J70" i="4"/>
  <c r="I70" i="4"/>
  <c r="H70" i="4"/>
  <c r="G70" i="4"/>
  <c r="F70" i="4"/>
  <c r="E70" i="4"/>
  <c r="T70" i="4" s="1"/>
  <c r="S69" i="4"/>
  <c r="R69" i="4"/>
  <c r="Q69" i="4"/>
  <c r="M69" i="4"/>
  <c r="L69" i="4"/>
  <c r="K69" i="4"/>
  <c r="I69" i="4"/>
  <c r="H69" i="4"/>
  <c r="H72" i="4" s="1"/>
  <c r="F69" i="4"/>
  <c r="E69" i="4"/>
  <c r="B71" i="4"/>
  <c r="B70" i="4"/>
  <c r="B69" i="4"/>
  <c r="B67" i="4"/>
  <c r="B66" i="4"/>
  <c r="B65" i="4"/>
  <c r="B63" i="4"/>
  <c r="B62" i="4"/>
  <c r="B61" i="4"/>
  <c r="B60" i="4"/>
  <c r="B69" i="2"/>
  <c r="B68" i="2"/>
  <c r="B67" i="2"/>
  <c r="B69" i="3"/>
  <c r="B68" i="3"/>
  <c r="B67" i="3"/>
  <c r="B69" i="1"/>
  <c r="B68" i="1"/>
  <c r="B67" i="1"/>
  <c r="E72" i="4" l="1"/>
  <c r="E84" i="4" s="1"/>
  <c r="T69" i="4"/>
  <c r="T72" i="4" s="1"/>
  <c r="N68" i="4"/>
  <c r="K72" i="4"/>
  <c r="T65" i="4"/>
  <c r="T68" i="4" s="1"/>
  <c r="L72" i="4"/>
  <c r="U71" i="4"/>
  <c r="I72" i="4"/>
  <c r="U69" i="4"/>
  <c r="F72" i="4"/>
  <c r="U70" i="4"/>
  <c r="O72" i="4"/>
  <c r="L65" i="2"/>
  <c r="P67" i="4" s="1"/>
  <c r="L64" i="2"/>
  <c r="P66" i="4" s="1"/>
  <c r="L63" i="2"/>
  <c r="P65" i="4" s="1"/>
  <c r="H64" i="2"/>
  <c r="J66" i="4" s="1"/>
  <c r="H63" i="2"/>
  <c r="J65" i="4" s="1"/>
  <c r="G72" i="4" l="1"/>
  <c r="F84" i="4"/>
  <c r="M72" i="4"/>
  <c r="J72" i="4"/>
  <c r="P72" i="4"/>
  <c r="U72" i="4"/>
  <c r="S67" i="4"/>
  <c r="R67" i="4"/>
  <c r="Q67" i="4"/>
  <c r="S66" i="4"/>
  <c r="R66" i="4"/>
  <c r="Q66" i="4"/>
  <c r="S65" i="4"/>
  <c r="R65" i="4"/>
  <c r="Q65" i="4"/>
  <c r="U67" i="4"/>
  <c r="M67" i="4"/>
  <c r="L67" i="4"/>
  <c r="K67" i="4"/>
  <c r="J67" i="4"/>
  <c r="I67" i="4"/>
  <c r="H67" i="4"/>
  <c r="H68" i="4" s="1"/>
  <c r="G67" i="4"/>
  <c r="F67" i="4"/>
  <c r="E67" i="4"/>
  <c r="M66" i="4"/>
  <c r="L66" i="4"/>
  <c r="K66" i="4"/>
  <c r="G66" i="4"/>
  <c r="F66" i="4"/>
  <c r="E66" i="4"/>
  <c r="M65" i="4"/>
  <c r="L65" i="4"/>
  <c r="K65" i="4"/>
  <c r="G65" i="4"/>
  <c r="F65" i="4"/>
  <c r="E65" i="4"/>
  <c r="B65" i="2"/>
  <c r="B64" i="2"/>
  <c r="B63" i="2"/>
  <c r="B65" i="3"/>
  <c r="B64" i="3"/>
  <c r="B63" i="3"/>
  <c r="B65" i="1"/>
  <c r="B64" i="1"/>
  <c r="B63" i="1"/>
  <c r="U65" i="4" l="1"/>
  <c r="I68" i="4"/>
  <c r="U66" i="4"/>
  <c r="O68" i="4"/>
  <c r="N76" i="1"/>
  <c r="Q64" i="4"/>
  <c r="Q84" i="4" s="1"/>
  <c r="R64" i="4"/>
  <c r="R84" i="4" s="1"/>
  <c r="N61" i="2"/>
  <c r="N60" i="2"/>
  <c r="N59" i="2"/>
  <c r="N50" i="2"/>
  <c r="N49" i="2"/>
  <c r="N48" i="2"/>
  <c r="U68" i="4" l="1"/>
  <c r="J68" i="4"/>
  <c r="P68" i="4"/>
  <c r="S64" i="4"/>
  <c r="K40" i="12"/>
  <c r="K52" i="12"/>
  <c r="G44" i="12"/>
  <c r="Q57" i="12"/>
  <c r="R57" i="12"/>
  <c r="R49" i="12"/>
  <c r="R51" i="12"/>
  <c r="R50" i="12"/>
  <c r="R52" i="12" s="1"/>
  <c r="R43" i="12"/>
  <c r="R42" i="12"/>
  <c r="R41" i="12"/>
  <c r="R44" i="12" s="1"/>
  <c r="R39" i="12"/>
  <c r="R38" i="12"/>
  <c r="R37" i="12"/>
  <c r="R40" i="12" s="1"/>
  <c r="Q53" i="12"/>
  <c r="Q51" i="12"/>
  <c r="Q50" i="12"/>
  <c r="Q52" i="12" s="1"/>
  <c r="Q45" i="12"/>
  <c r="Q49" i="12" s="1"/>
  <c r="Q43" i="12"/>
  <c r="Q42" i="12"/>
  <c r="Q44" i="12" s="1"/>
  <c r="Q41" i="12"/>
  <c r="Q39" i="12"/>
  <c r="Q40" i="12" s="1"/>
  <c r="Q38" i="12"/>
  <c r="Q37" i="12"/>
  <c r="S50" i="4"/>
  <c r="S51" i="4"/>
  <c r="S52" i="4"/>
  <c r="S61" i="4"/>
  <c r="S62" i="4"/>
  <c r="S63" i="4"/>
  <c r="I57" i="12"/>
  <c r="J57" i="12"/>
  <c r="K57" i="12" s="1"/>
  <c r="I52" i="12"/>
  <c r="J52" i="12"/>
  <c r="I49" i="12"/>
  <c r="J49" i="12"/>
  <c r="K49" i="12" s="1"/>
  <c r="I44" i="12"/>
  <c r="J44" i="12"/>
  <c r="K44" i="12" s="1"/>
  <c r="I40" i="12"/>
  <c r="J40" i="12"/>
  <c r="E57" i="12"/>
  <c r="F57" i="12"/>
  <c r="G57" i="12" s="1"/>
  <c r="E52" i="12"/>
  <c r="F52" i="12"/>
  <c r="G52" i="12" s="1"/>
  <c r="E49" i="12"/>
  <c r="F49" i="12"/>
  <c r="G49" i="12" s="1"/>
  <c r="E44" i="12"/>
  <c r="F44" i="12"/>
  <c r="E40" i="12"/>
  <c r="F40" i="12"/>
  <c r="G40" i="12" s="1"/>
  <c r="B56" i="12"/>
  <c r="B55" i="12"/>
  <c r="B54" i="12"/>
  <c r="B53" i="12"/>
  <c r="B51" i="12"/>
  <c r="B50" i="12"/>
  <c r="B48" i="12"/>
  <c r="B47" i="12"/>
  <c r="B46" i="12"/>
  <c r="B45" i="12"/>
  <c r="B43" i="12"/>
  <c r="B42" i="12"/>
  <c r="B41" i="12"/>
  <c r="B39" i="12"/>
  <c r="B38" i="12"/>
  <c r="B37" i="12"/>
  <c r="L61" i="2" l="1"/>
  <c r="J60" i="2"/>
  <c r="H61" i="2"/>
  <c r="H60" i="2"/>
  <c r="H59" i="2"/>
  <c r="P63" i="4" l="1"/>
  <c r="O63" i="4"/>
  <c r="N63" i="4"/>
  <c r="M63" i="4"/>
  <c r="L63" i="4"/>
  <c r="K63" i="4"/>
  <c r="J63" i="4"/>
  <c r="I63" i="4"/>
  <c r="H63" i="4"/>
  <c r="G63" i="4"/>
  <c r="F63" i="4"/>
  <c r="E63" i="4"/>
  <c r="P62" i="4"/>
  <c r="O62" i="4"/>
  <c r="N62" i="4"/>
  <c r="M62" i="4"/>
  <c r="L62" i="4"/>
  <c r="K62" i="4"/>
  <c r="J62" i="4"/>
  <c r="I62" i="4"/>
  <c r="H62" i="4"/>
  <c r="T62" i="4" s="1"/>
  <c r="G62" i="4"/>
  <c r="F62" i="4"/>
  <c r="E62" i="4"/>
  <c r="O61" i="4"/>
  <c r="O84" i="4" s="1"/>
  <c r="N61" i="4"/>
  <c r="M61" i="4"/>
  <c r="L61" i="4"/>
  <c r="K61" i="4"/>
  <c r="J61" i="4"/>
  <c r="I61" i="4"/>
  <c r="H61" i="4"/>
  <c r="H64" i="4" s="1"/>
  <c r="H84" i="4" s="1"/>
  <c r="G61" i="4"/>
  <c r="F61" i="4"/>
  <c r="E61" i="4"/>
  <c r="S60" i="4"/>
  <c r="R60" i="4"/>
  <c r="Q60" i="4"/>
  <c r="O60" i="4"/>
  <c r="U60" i="4" s="1"/>
  <c r="N60" i="4"/>
  <c r="M60" i="4"/>
  <c r="L60" i="4"/>
  <c r="K60" i="4"/>
  <c r="J60" i="4"/>
  <c r="I60" i="4"/>
  <c r="H60" i="4"/>
  <c r="G60" i="4"/>
  <c r="F60" i="4"/>
  <c r="E60" i="4"/>
  <c r="L59" i="2"/>
  <c r="P61" i="4" s="1"/>
  <c r="L58" i="2"/>
  <c r="P60" i="4" s="1"/>
  <c r="N64" i="4" l="1"/>
  <c r="T60" i="4"/>
  <c r="T61" i="4"/>
  <c r="N84" i="4"/>
  <c r="K64" i="4"/>
  <c r="K84" i="4" s="1"/>
  <c r="T84" i="4"/>
  <c r="T63" i="4"/>
  <c r="U61" i="4"/>
  <c r="L64" i="4"/>
  <c r="L84" i="4" s="1"/>
  <c r="U63" i="4"/>
  <c r="O64" i="4"/>
  <c r="I64" i="4"/>
  <c r="I84" i="4" s="1"/>
  <c r="U62" i="4"/>
  <c r="H55" i="2"/>
  <c r="J57" i="4" s="1"/>
  <c r="H56" i="1"/>
  <c r="H56" i="3"/>
  <c r="S58" i="4"/>
  <c r="R58" i="4"/>
  <c r="Q58" i="4"/>
  <c r="O58" i="4"/>
  <c r="O59" i="4" s="1"/>
  <c r="N58" i="4"/>
  <c r="N59" i="4" s="1"/>
  <c r="M58" i="4"/>
  <c r="L58" i="4"/>
  <c r="K58" i="4"/>
  <c r="G58" i="4"/>
  <c r="F58" i="4"/>
  <c r="E58" i="4"/>
  <c r="S57" i="4"/>
  <c r="R57" i="4"/>
  <c r="Q57" i="4"/>
  <c r="P57" i="4"/>
  <c r="O57" i="4"/>
  <c r="N57" i="4"/>
  <c r="L57" i="4"/>
  <c r="K57" i="4"/>
  <c r="I57" i="4"/>
  <c r="H57" i="4"/>
  <c r="G57" i="4"/>
  <c r="F57" i="4"/>
  <c r="E57" i="4"/>
  <c r="L56" i="2"/>
  <c r="P58" i="4" s="1"/>
  <c r="J55" i="2"/>
  <c r="M57" i="4" s="1"/>
  <c r="I58" i="4" l="1"/>
  <c r="O56" i="1"/>
  <c r="H58" i="4"/>
  <c r="T58" i="4" s="1"/>
  <c r="O56" i="3"/>
  <c r="T57" i="4"/>
  <c r="T59" i="4" s="1"/>
  <c r="H59" i="4"/>
  <c r="K59" i="4"/>
  <c r="T64" i="4"/>
  <c r="H56" i="2"/>
  <c r="J58" i="4" s="1"/>
  <c r="U64" i="4"/>
  <c r="M64" i="4"/>
  <c r="J64" i="4"/>
  <c r="P59" i="4"/>
  <c r="L59" i="4"/>
  <c r="U57" i="4"/>
  <c r="P64" i="4"/>
  <c r="U58" i="4"/>
  <c r="I59" i="4"/>
  <c r="O41" i="1"/>
  <c r="O40" i="1"/>
  <c r="O39" i="1"/>
  <c r="O38" i="1"/>
  <c r="O37" i="1"/>
  <c r="O35" i="1"/>
  <c r="O34" i="1"/>
  <c r="O33" i="1"/>
  <c r="O32" i="1"/>
  <c r="O31" i="1"/>
  <c r="B61" i="3"/>
  <c r="B60" i="3"/>
  <c r="B59" i="3"/>
  <c r="B58" i="3"/>
  <c r="B61" i="1"/>
  <c r="B60" i="1"/>
  <c r="B59" i="1"/>
  <c r="B58" i="1"/>
  <c r="B61" i="2"/>
  <c r="B60" i="2"/>
  <c r="B59" i="2"/>
  <c r="B58" i="2"/>
  <c r="B56" i="2"/>
  <c r="B55" i="2"/>
  <c r="B56" i="3"/>
  <c r="B55" i="3"/>
  <c r="B56" i="1"/>
  <c r="B55" i="1"/>
  <c r="B58" i="4"/>
  <c r="B57" i="4"/>
  <c r="U59" i="4" l="1"/>
  <c r="M59" i="4"/>
  <c r="J59" i="4"/>
  <c r="I53" i="4"/>
  <c r="H53" i="4"/>
  <c r="T53" i="4" s="1"/>
  <c r="H53" i="2"/>
  <c r="H52" i="2"/>
  <c r="H51" i="2"/>
  <c r="L76" i="1" l="1"/>
  <c r="J76" i="1"/>
  <c r="F76" i="1"/>
  <c r="F49" i="2"/>
  <c r="H50" i="3" l="1"/>
  <c r="H49" i="3"/>
  <c r="H49" i="1"/>
  <c r="H50" i="1"/>
  <c r="S55" i="4"/>
  <c r="R55" i="4"/>
  <c r="Q55" i="4"/>
  <c r="P55" i="4"/>
  <c r="O55" i="4"/>
  <c r="N55" i="4"/>
  <c r="M55" i="4"/>
  <c r="L55" i="4"/>
  <c r="K55" i="4"/>
  <c r="J55" i="4"/>
  <c r="I55" i="4"/>
  <c r="U55" i="4" s="1"/>
  <c r="H55" i="4"/>
  <c r="T55" i="4" s="1"/>
  <c r="G55" i="4"/>
  <c r="F55" i="4"/>
  <c r="E55" i="4"/>
  <c r="S54" i="4"/>
  <c r="R54" i="4"/>
  <c r="Q54" i="4"/>
  <c r="P54" i="4"/>
  <c r="O54" i="4"/>
  <c r="N54" i="4"/>
  <c r="M54" i="4"/>
  <c r="L54" i="4"/>
  <c r="K54" i="4"/>
  <c r="J54" i="4"/>
  <c r="I54" i="4"/>
  <c r="U54" i="4" s="1"/>
  <c r="H54" i="4"/>
  <c r="T54" i="4" s="1"/>
  <c r="G54" i="4"/>
  <c r="F54" i="4"/>
  <c r="E54" i="4"/>
  <c r="S53" i="4"/>
  <c r="R53" i="4"/>
  <c r="Q53" i="4"/>
  <c r="P53" i="4"/>
  <c r="O53" i="4"/>
  <c r="N53" i="4"/>
  <c r="M53" i="4"/>
  <c r="L53" i="4"/>
  <c r="K53" i="4"/>
  <c r="U53" i="4"/>
  <c r="G53" i="4"/>
  <c r="F53" i="4"/>
  <c r="E53" i="4"/>
  <c r="O52" i="4"/>
  <c r="N52" i="4"/>
  <c r="M52" i="4"/>
  <c r="L52" i="4"/>
  <c r="K52" i="4"/>
  <c r="G52" i="4"/>
  <c r="F52" i="4"/>
  <c r="E52" i="4"/>
  <c r="O51" i="4"/>
  <c r="N51" i="4"/>
  <c r="L51" i="4"/>
  <c r="K51" i="4"/>
  <c r="G51" i="4"/>
  <c r="F51" i="4"/>
  <c r="E51" i="4"/>
  <c r="P50" i="4"/>
  <c r="O50" i="4"/>
  <c r="N50" i="4"/>
  <c r="L50" i="4"/>
  <c r="K50" i="4"/>
  <c r="I50" i="4"/>
  <c r="H50" i="4"/>
  <c r="T50" i="4" s="1"/>
  <c r="G50" i="4"/>
  <c r="F50" i="4"/>
  <c r="E50" i="4"/>
  <c r="S49" i="4"/>
  <c r="R49" i="4"/>
  <c r="Q49" i="4"/>
  <c r="O49" i="4"/>
  <c r="N49" i="4"/>
  <c r="M49" i="4"/>
  <c r="L49" i="4"/>
  <c r="K49" i="4"/>
  <c r="I49" i="4"/>
  <c r="H49" i="4"/>
  <c r="G49" i="4"/>
  <c r="F49" i="4"/>
  <c r="E49" i="4"/>
  <c r="B55" i="4"/>
  <c r="B54" i="4"/>
  <c r="B53" i="4"/>
  <c r="B52" i="4"/>
  <c r="B51" i="4"/>
  <c r="B50" i="4"/>
  <c r="B49" i="4"/>
  <c r="B53" i="1"/>
  <c r="B52" i="1"/>
  <c r="B51" i="1"/>
  <c r="B50" i="1"/>
  <c r="B49" i="1"/>
  <c r="B48" i="1"/>
  <c r="B47" i="1"/>
  <c r="B53" i="3"/>
  <c r="B52" i="3"/>
  <c r="B51" i="3"/>
  <c r="B50" i="3"/>
  <c r="B49" i="3"/>
  <c r="B48" i="3"/>
  <c r="B47" i="3"/>
  <c r="B53" i="2"/>
  <c r="B52" i="2"/>
  <c r="B51" i="2"/>
  <c r="B50" i="2"/>
  <c r="B49" i="2"/>
  <c r="B48" i="2"/>
  <c r="B47" i="2"/>
  <c r="J53" i="4"/>
  <c r="H48" i="2"/>
  <c r="J50" i="4" s="1"/>
  <c r="H47" i="2"/>
  <c r="J49" i="4" s="1"/>
  <c r="J49" i="2"/>
  <c r="M51" i="4" s="1"/>
  <c r="J48" i="2"/>
  <c r="M50" i="4" s="1"/>
  <c r="L50" i="2"/>
  <c r="P52" i="4" s="1"/>
  <c r="L49" i="2"/>
  <c r="P51" i="4" s="1"/>
  <c r="L47" i="2"/>
  <c r="P49" i="4" s="1"/>
  <c r="N56" i="4" l="1"/>
  <c r="I52" i="4"/>
  <c r="U52" i="4" s="1"/>
  <c r="O50" i="1"/>
  <c r="K56" i="4"/>
  <c r="I51" i="4"/>
  <c r="I56" i="4" s="1"/>
  <c r="O49" i="1"/>
  <c r="T49" i="4"/>
  <c r="H51" i="4"/>
  <c r="T51" i="4" s="1"/>
  <c r="T56" i="4" s="1"/>
  <c r="O49" i="3"/>
  <c r="H52" i="4"/>
  <c r="T52" i="4" s="1"/>
  <c r="O50" i="3"/>
  <c r="U50" i="4"/>
  <c r="Q56" i="4"/>
  <c r="Q83" i="4" s="1"/>
  <c r="R56" i="4"/>
  <c r="R83" i="4" s="1"/>
  <c r="R85" i="4" s="1"/>
  <c r="U49" i="4"/>
  <c r="E56" i="4"/>
  <c r="F56" i="4"/>
  <c r="L56" i="4"/>
  <c r="O56" i="4"/>
  <c r="H50" i="2"/>
  <c r="J52" i="4" s="1"/>
  <c r="H49" i="2"/>
  <c r="J51" i="4" s="1"/>
  <c r="U51" i="4" l="1"/>
  <c r="H56" i="4"/>
  <c r="Q78" i="4"/>
  <c r="P56" i="4"/>
  <c r="S56" i="4"/>
  <c r="R78" i="4"/>
  <c r="S78" i="4" s="1"/>
  <c r="U56" i="4"/>
  <c r="G56" i="4"/>
  <c r="M56" i="4"/>
  <c r="J56" i="4"/>
  <c r="H45" i="4"/>
  <c r="H45" i="3"/>
  <c r="O45" i="3" s="1"/>
  <c r="L44" i="2"/>
  <c r="P46" i="4" s="1"/>
  <c r="J45" i="2"/>
  <c r="M47" i="4" s="1"/>
  <c r="J43" i="2"/>
  <c r="M45" i="4" s="1"/>
  <c r="H44" i="2"/>
  <c r="J46" i="4" s="1"/>
  <c r="H43" i="2"/>
  <c r="J45" i="4" s="1"/>
  <c r="H45" i="1"/>
  <c r="S47" i="4"/>
  <c r="R47" i="4"/>
  <c r="Q47" i="4"/>
  <c r="P47" i="4"/>
  <c r="O47" i="4"/>
  <c r="N47" i="4"/>
  <c r="L47" i="4"/>
  <c r="K47" i="4"/>
  <c r="H47" i="4"/>
  <c r="G47" i="4"/>
  <c r="F47" i="4"/>
  <c r="E47" i="4"/>
  <c r="S46" i="4"/>
  <c r="R46" i="4"/>
  <c r="Q46" i="4"/>
  <c r="O46" i="4"/>
  <c r="N46" i="4"/>
  <c r="N48" i="4" s="1"/>
  <c r="M46" i="4"/>
  <c r="L46" i="4"/>
  <c r="K46" i="4"/>
  <c r="I46" i="4"/>
  <c r="H46" i="4"/>
  <c r="G46" i="4"/>
  <c r="F46" i="4"/>
  <c r="E46" i="4"/>
  <c r="S45" i="4"/>
  <c r="R45" i="4"/>
  <c r="Q45" i="4"/>
  <c r="P45" i="4"/>
  <c r="O45" i="4"/>
  <c r="N45" i="4"/>
  <c r="L45" i="4"/>
  <c r="K45" i="4"/>
  <c r="I45" i="4"/>
  <c r="G45" i="4"/>
  <c r="F45" i="4"/>
  <c r="E45" i="4"/>
  <c r="B47" i="4"/>
  <c r="B45" i="2"/>
  <c r="B44" i="2"/>
  <c r="B43" i="2"/>
  <c r="B45" i="3"/>
  <c r="B44" i="3"/>
  <c r="B43" i="3"/>
  <c r="B45" i="1"/>
  <c r="B44" i="1"/>
  <c r="B43" i="1"/>
  <c r="K48" i="4" l="1"/>
  <c r="T47" i="4"/>
  <c r="I47" i="4"/>
  <c r="O45" i="1"/>
  <c r="T45" i="4"/>
  <c r="T48" i="4" s="1"/>
  <c r="T46" i="4"/>
  <c r="H45" i="2"/>
  <c r="J47" i="4" s="1"/>
  <c r="Q85" i="4"/>
  <c r="U45" i="4"/>
  <c r="U47" i="4"/>
  <c r="O48" i="4"/>
  <c r="L48" i="4"/>
  <c r="U46" i="4"/>
  <c r="I48" i="4"/>
  <c r="H48" i="4"/>
  <c r="H41" i="2"/>
  <c r="J43" i="4" s="1"/>
  <c r="H40" i="2"/>
  <c r="J42" i="4" s="1"/>
  <c r="H39" i="2"/>
  <c r="J41" i="4" s="1"/>
  <c r="H38" i="2"/>
  <c r="J40" i="4" s="1"/>
  <c r="H37" i="2"/>
  <c r="J39" i="4" s="1"/>
  <c r="S43" i="4"/>
  <c r="R43" i="4"/>
  <c r="Q43" i="4"/>
  <c r="O43" i="4"/>
  <c r="N43" i="4"/>
  <c r="M43" i="4"/>
  <c r="L43" i="4"/>
  <c r="K43" i="4"/>
  <c r="I43" i="4"/>
  <c r="H43" i="4"/>
  <c r="T43" i="4" s="1"/>
  <c r="G43" i="4"/>
  <c r="F43" i="4"/>
  <c r="E43" i="4"/>
  <c r="S42" i="4"/>
  <c r="R42" i="4"/>
  <c r="Q42" i="4"/>
  <c r="P42" i="4"/>
  <c r="O42" i="4"/>
  <c r="N42" i="4"/>
  <c r="L42" i="4"/>
  <c r="K42" i="4"/>
  <c r="I42" i="4"/>
  <c r="H42" i="4"/>
  <c r="T42" i="4" s="1"/>
  <c r="G42" i="4"/>
  <c r="F42" i="4"/>
  <c r="E42" i="4"/>
  <c r="S41" i="4"/>
  <c r="R41" i="4"/>
  <c r="Q41" i="4"/>
  <c r="O41" i="4"/>
  <c r="N41" i="4"/>
  <c r="N44" i="4" s="1"/>
  <c r="M41" i="4"/>
  <c r="L41" i="4"/>
  <c r="K41" i="4"/>
  <c r="I41" i="4"/>
  <c r="H41" i="4"/>
  <c r="G41" i="4"/>
  <c r="F41" i="4"/>
  <c r="E41" i="4"/>
  <c r="S40" i="4"/>
  <c r="R40" i="4"/>
  <c r="Q40" i="4"/>
  <c r="P40" i="4"/>
  <c r="O40" i="4"/>
  <c r="N40" i="4"/>
  <c r="M40" i="4"/>
  <c r="L40" i="4"/>
  <c r="K40" i="4"/>
  <c r="I40" i="4"/>
  <c r="U40" i="4" s="1"/>
  <c r="H40" i="4"/>
  <c r="T40" i="4" s="1"/>
  <c r="G40" i="4"/>
  <c r="F40" i="4"/>
  <c r="E40" i="4"/>
  <c r="S39" i="4"/>
  <c r="R39" i="4"/>
  <c r="Q39" i="4"/>
  <c r="P39" i="4"/>
  <c r="O39" i="4"/>
  <c r="N39" i="4"/>
  <c r="M39" i="4"/>
  <c r="L39" i="4"/>
  <c r="K39" i="4"/>
  <c r="I39" i="4"/>
  <c r="U39" i="4" s="1"/>
  <c r="H39" i="4"/>
  <c r="G39" i="4"/>
  <c r="F39" i="4"/>
  <c r="E39" i="4"/>
  <c r="L41" i="2"/>
  <c r="P43" i="4" s="1"/>
  <c r="L39" i="2"/>
  <c r="P41" i="4" s="1"/>
  <c r="J40" i="2"/>
  <c r="M42" i="4" s="1"/>
  <c r="B41" i="2"/>
  <c r="B40" i="2"/>
  <c r="B39" i="2"/>
  <c r="B38" i="2"/>
  <c r="B37" i="2"/>
  <c r="B41" i="3"/>
  <c r="B40" i="3"/>
  <c r="B39" i="3"/>
  <c r="B38" i="3"/>
  <c r="B37" i="3"/>
  <c r="B41" i="1"/>
  <c r="B40" i="1"/>
  <c r="B39" i="1"/>
  <c r="B38" i="1"/>
  <c r="B37" i="1"/>
  <c r="T39" i="4" l="1"/>
  <c r="T44" i="4" s="1"/>
  <c r="H44" i="4"/>
  <c r="K44" i="4"/>
  <c r="T41" i="4"/>
  <c r="M48" i="4"/>
  <c r="U48" i="4"/>
  <c r="O44" i="4"/>
  <c r="U43" i="4"/>
  <c r="P48" i="4"/>
  <c r="U42" i="4"/>
  <c r="U41" i="4"/>
  <c r="L44" i="4"/>
  <c r="J48" i="4"/>
  <c r="I44" i="4"/>
  <c r="E32" i="12"/>
  <c r="F32" i="12"/>
  <c r="B35" i="12"/>
  <c r="B34" i="12"/>
  <c r="B33" i="12"/>
  <c r="B31" i="12"/>
  <c r="B30" i="12"/>
  <c r="B29" i="12"/>
  <c r="B28" i="12"/>
  <c r="B26" i="12"/>
  <c r="B25" i="12"/>
  <c r="B24" i="12"/>
  <c r="B23" i="12"/>
  <c r="B21" i="12"/>
  <c r="B20" i="12"/>
  <c r="B19" i="12"/>
  <c r="B18" i="12"/>
  <c r="R31" i="12"/>
  <c r="R30" i="12"/>
  <c r="R29" i="12"/>
  <c r="R28" i="12"/>
  <c r="Q31" i="12"/>
  <c r="Q30" i="12"/>
  <c r="Q29" i="12"/>
  <c r="Q28" i="12"/>
  <c r="Q36" i="12"/>
  <c r="R36" i="12"/>
  <c r="I36" i="12"/>
  <c r="J36" i="12"/>
  <c r="K36" i="12" s="1"/>
  <c r="E36" i="12"/>
  <c r="F36" i="12"/>
  <c r="G36" i="12" s="1"/>
  <c r="I32" i="12"/>
  <c r="J32" i="12"/>
  <c r="K32" i="12" s="1"/>
  <c r="N37" i="4"/>
  <c r="P44" i="4" l="1"/>
  <c r="U44" i="4"/>
  <c r="M44" i="4"/>
  <c r="J44" i="4"/>
  <c r="R32" i="12"/>
  <c r="Q32" i="12"/>
  <c r="G32" i="12"/>
  <c r="S37" i="4"/>
  <c r="R37" i="4"/>
  <c r="Q37" i="4"/>
  <c r="O37" i="4"/>
  <c r="M37" i="4"/>
  <c r="L37" i="4"/>
  <c r="K37" i="4"/>
  <c r="I37" i="4"/>
  <c r="H37" i="4"/>
  <c r="T37" i="4" s="1"/>
  <c r="G37" i="4"/>
  <c r="F37" i="4"/>
  <c r="E37" i="4"/>
  <c r="S36" i="4"/>
  <c r="R36" i="4"/>
  <c r="Q36" i="4"/>
  <c r="P36" i="4"/>
  <c r="O36" i="4"/>
  <c r="N36" i="4"/>
  <c r="L36" i="4"/>
  <c r="K36" i="4"/>
  <c r="I36" i="4"/>
  <c r="H36" i="4"/>
  <c r="T36" i="4" s="1"/>
  <c r="G36" i="4"/>
  <c r="F36" i="4"/>
  <c r="E36" i="4"/>
  <c r="S35" i="4"/>
  <c r="R35" i="4"/>
  <c r="Q35" i="4"/>
  <c r="O35" i="4"/>
  <c r="N35" i="4"/>
  <c r="M35" i="4"/>
  <c r="L35" i="4"/>
  <c r="K35" i="4"/>
  <c r="I35" i="4"/>
  <c r="H35" i="4"/>
  <c r="G35" i="4"/>
  <c r="F35" i="4"/>
  <c r="E35" i="4"/>
  <c r="S34" i="4"/>
  <c r="R34" i="4"/>
  <c r="Q34" i="4"/>
  <c r="P34" i="4"/>
  <c r="O34" i="4"/>
  <c r="N34" i="4"/>
  <c r="M34" i="4"/>
  <c r="L34" i="4"/>
  <c r="K34" i="4"/>
  <c r="I34" i="4"/>
  <c r="U34" i="4" s="1"/>
  <c r="H34" i="4"/>
  <c r="T34" i="4" s="1"/>
  <c r="G34" i="4"/>
  <c r="F34" i="4"/>
  <c r="E34" i="4"/>
  <c r="S33" i="4"/>
  <c r="R33" i="4"/>
  <c r="Q33" i="4"/>
  <c r="P33" i="4"/>
  <c r="O33" i="4"/>
  <c r="N33" i="4"/>
  <c r="M33" i="4"/>
  <c r="L33" i="4"/>
  <c r="K33" i="4"/>
  <c r="I33" i="4"/>
  <c r="U33" i="4" s="1"/>
  <c r="H33" i="4"/>
  <c r="G33" i="4"/>
  <c r="F33" i="4"/>
  <c r="E33" i="4"/>
  <c r="L35" i="2"/>
  <c r="P37" i="4" s="1"/>
  <c r="L33" i="2"/>
  <c r="P35" i="4" s="1"/>
  <c r="H35" i="2"/>
  <c r="J37" i="4" s="1"/>
  <c r="J34" i="2"/>
  <c r="M36" i="4" s="1"/>
  <c r="H34" i="2"/>
  <c r="J36" i="4" s="1"/>
  <c r="H33" i="2"/>
  <c r="J35" i="4" s="1"/>
  <c r="H32" i="2"/>
  <c r="J34" i="4" s="1"/>
  <c r="H31" i="2"/>
  <c r="J33" i="4" s="1"/>
  <c r="B35" i="2"/>
  <c r="B34" i="2"/>
  <c r="B33" i="2"/>
  <c r="B32" i="2"/>
  <c r="B31" i="2"/>
  <c r="B35" i="3"/>
  <c r="B34" i="3"/>
  <c r="B33" i="3"/>
  <c r="B32" i="3"/>
  <c r="B31" i="3"/>
  <c r="B35" i="1"/>
  <c r="B34" i="1"/>
  <c r="B33" i="1"/>
  <c r="B32" i="1"/>
  <c r="B31" i="1"/>
  <c r="B37" i="4"/>
  <c r="B36" i="4"/>
  <c r="B35" i="4"/>
  <c r="B34" i="4"/>
  <c r="B33" i="4"/>
  <c r="H38" i="4" l="1"/>
  <c r="T33" i="4"/>
  <c r="N38" i="4"/>
  <c r="K38" i="4"/>
  <c r="T35" i="4"/>
  <c r="U35" i="4"/>
  <c r="U36" i="4"/>
  <c r="U37" i="4"/>
  <c r="O38" i="4"/>
  <c r="L38" i="4"/>
  <c r="I38" i="4"/>
  <c r="H29" i="2"/>
  <c r="H28" i="2"/>
  <c r="H27" i="2"/>
  <c r="H26" i="2"/>
  <c r="T38" i="4" l="1"/>
  <c r="M38" i="4"/>
  <c r="U38" i="4"/>
  <c r="P38" i="4"/>
  <c r="J38" i="4"/>
  <c r="S31" i="4"/>
  <c r="R31" i="4"/>
  <c r="Q31" i="4"/>
  <c r="P31" i="4"/>
  <c r="O31" i="4"/>
  <c r="N31" i="4"/>
  <c r="L31" i="4"/>
  <c r="K31" i="4"/>
  <c r="J31" i="4"/>
  <c r="I31" i="4"/>
  <c r="H31" i="4"/>
  <c r="G31" i="4"/>
  <c r="F31" i="4"/>
  <c r="E31" i="4"/>
  <c r="S30" i="4"/>
  <c r="R30" i="4"/>
  <c r="Q30" i="4"/>
  <c r="O30" i="4"/>
  <c r="N30" i="4"/>
  <c r="M30" i="4"/>
  <c r="L30" i="4"/>
  <c r="K30" i="4"/>
  <c r="J30" i="4"/>
  <c r="I30" i="4"/>
  <c r="H30" i="4"/>
  <c r="F30" i="4"/>
  <c r="E30" i="4"/>
  <c r="T30" i="4" s="1"/>
  <c r="S29" i="4"/>
  <c r="R29" i="4"/>
  <c r="Q29" i="4"/>
  <c r="P29" i="4"/>
  <c r="O29" i="4"/>
  <c r="N29" i="4"/>
  <c r="L29" i="4"/>
  <c r="K29" i="4"/>
  <c r="J29" i="4"/>
  <c r="I29" i="4"/>
  <c r="H29" i="4"/>
  <c r="G29" i="4"/>
  <c r="F29" i="4"/>
  <c r="E29" i="4"/>
  <c r="S28" i="4"/>
  <c r="R28" i="4"/>
  <c r="Q28" i="4"/>
  <c r="O28" i="4"/>
  <c r="N28" i="4"/>
  <c r="M28" i="4"/>
  <c r="L28" i="4"/>
  <c r="K28" i="4"/>
  <c r="J28" i="4"/>
  <c r="I28" i="4"/>
  <c r="H28" i="4"/>
  <c r="G28" i="4"/>
  <c r="F28" i="4"/>
  <c r="E28" i="4"/>
  <c r="B31" i="4"/>
  <c r="B30" i="4"/>
  <c r="B29" i="4"/>
  <c r="B28" i="4"/>
  <c r="B26" i="4"/>
  <c r="B25" i="4"/>
  <c r="B24" i="4"/>
  <c r="B23" i="4"/>
  <c r="L28" i="2"/>
  <c r="P30" i="4" s="1"/>
  <c r="L26" i="2"/>
  <c r="P28" i="4" s="1"/>
  <c r="J29" i="2"/>
  <c r="M31" i="4" s="1"/>
  <c r="J27" i="2"/>
  <c r="M29" i="4" s="1"/>
  <c r="K32" i="4" l="1"/>
  <c r="T31" i="4"/>
  <c r="T28" i="4"/>
  <c r="H32" i="4"/>
  <c r="T29" i="4"/>
  <c r="U29" i="4"/>
  <c r="E32" i="4"/>
  <c r="U31" i="4"/>
  <c r="O32" i="4"/>
  <c r="U28" i="4"/>
  <c r="N32" i="4"/>
  <c r="L32" i="4"/>
  <c r="I32" i="4"/>
  <c r="F32" i="4"/>
  <c r="U30" i="4"/>
  <c r="R26" i="12"/>
  <c r="R25" i="12"/>
  <c r="R24" i="12"/>
  <c r="R23" i="12"/>
  <c r="R21" i="12"/>
  <c r="R20" i="12"/>
  <c r="R19" i="12"/>
  <c r="R18" i="12"/>
  <c r="R16" i="12"/>
  <c r="R15" i="12"/>
  <c r="R14" i="12"/>
  <c r="R13" i="12"/>
  <c r="R11" i="12"/>
  <c r="R10" i="12"/>
  <c r="R9" i="12"/>
  <c r="R8" i="12"/>
  <c r="R6" i="12"/>
  <c r="R5" i="12"/>
  <c r="R4" i="12"/>
  <c r="Q26" i="12"/>
  <c r="Q25" i="12"/>
  <c r="Q24" i="12"/>
  <c r="Q23" i="12"/>
  <c r="Q21" i="12"/>
  <c r="Q20" i="12"/>
  <c r="Q19" i="12"/>
  <c r="Q18" i="12"/>
  <c r="Q16" i="12"/>
  <c r="Q15" i="12"/>
  <c r="Q14" i="12"/>
  <c r="Q13" i="12"/>
  <c r="Q11" i="12"/>
  <c r="Q10" i="12"/>
  <c r="Q9" i="12"/>
  <c r="Q8" i="12"/>
  <c r="Q6" i="12"/>
  <c r="Q5" i="12"/>
  <c r="Q4" i="12"/>
  <c r="I27" i="12"/>
  <c r="J27" i="12"/>
  <c r="I22" i="12"/>
  <c r="J22" i="12"/>
  <c r="I17" i="12"/>
  <c r="J17" i="12"/>
  <c r="K17" i="12" s="1"/>
  <c r="I12" i="12"/>
  <c r="J12" i="12"/>
  <c r="I7" i="12"/>
  <c r="J7" i="12"/>
  <c r="E27" i="12"/>
  <c r="F27" i="12"/>
  <c r="E22" i="12"/>
  <c r="F22" i="12"/>
  <c r="G22" i="12" s="1"/>
  <c r="E17" i="12"/>
  <c r="F17" i="12"/>
  <c r="G17" i="12" s="1"/>
  <c r="E12" i="12"/>
  <c r="F12" i="12"/>
  <c r="G12" i="12" s="1"/>
  <c r="E7" i="12"/>
  <c r="E70" i="12" s="1"/>
  <c r="F7" i="12"/>
  <c r="B16" i="12"/>
  <c r="B15" i="12"/>
  <c r="B14" i="12"/>
  <c r="B13" i="12"/>
  <c r="B11" i="12"/>
  <c r="B10" i="12"/>
  <c r="B9" i="12"/>
  <c r="B8" i="12"/>
  <c r="B6" i="12"/>
  <c r="B5" i="12"/>
  <c r="B4" i="12"/>
  <c r="J70" i="12" l="1"/>
  <c r="E83" i="4"/>
  <c r="E78" i="4"/>
  <c r="I70" i="12"/>
  <c r="F83" i="4"/>
  <c r="F85" i="4" s="1"/>
  <c r="F78" i="4"/>
  <c r="T32" i="4"/>
  <c r="F70" i="12"/>
  <c r="J32" i="4"/>
  <c r="M32" i="4"/>
  <c r="U32" i="4"/>
  <c r="P32" i="4"/>
  <c r="G32" i="4"/>
  <c r="K22" i="12"/>
  <c r="K27" i="12"/>
  <c r="Q17" i="12"/>
  <c r="Q27" i="12"/>
  <c r="R12" i="12"/>
  <c r="R22" i="12"/>
  <c r="K7" i="12"/>
  <c r="Q7" i="12"/>
  <c r="R17" i="12"/>
  <c r="R27" i="12"/>
  <c r="G27" i="12"/>
  <c r="Q12" i="12"/>
  <c r="Q22" i="12"/>
  <c r="R7" i="12"/>
  <c r="K12" i="12"/>
  <c r="G7" i="12"/>
  <c r="O29" i="3"/>
  <c r="O28" i="3"/>
  <c r="O27" i="3"/>
  <c r="O26" i="3"/>
  <c r="O29" i="1"/>
  <c r="O28" i="1"/>
  <c r="O27" i="1"/>
  <c r="O26" i="1"/>
  <c r="O24" i="1"/>
  <c r="O23" i="1"/>
  <c r="O22" i="1"/>
  <c r="O21" i="1"/>
  <c r="O19" i="1"/>
  <c r="O17" i="1"/>
  <c r="Q70" i="12" l="1"/>
  <c r="G78" i="4"/>
  <c r="R70" i="12"/>
  <c r="E85" i="4"/>
  <c r="O29" i="2"/>
  <c r="O27" i="2"/>
  <c r="O28" i="2"/>
  <c r="O26" i="2"/>
  <c r="L24" i="2" l="1"/>
  <c r="L22" i="2"/>
  <c r="J23" i="2"/>
  <c r="H24" i="2"/>
  <c r="H23" i="2"/>
  <c r="H22" i="2"/>
  <c r="S26" i="4" l="1"/>
  <c r="R26" i="4"/>
  <c r="Q26" i="4"/>
  <c r="P26" i="4"/>
  <c r="O26" i="4"/>
  <c r="N26" i="4"/>
  <c r="M26" i="4"/>
  <c r="L26" i="4"/>
  <c r="K26" i="4"/>
  <c r="J26" i="4"/>
  <c r="I26" i="4"/>
  <c r="H26" i="4"/>
  <c r="S25" i="4"/>
  <c r="R25" i="4"/>
  <c r="Q25" i="4"/>
  <c r="P25" i="4"/>
  <c r="O25" i="4"/>
  <c r="N25" i="4"/>
  <c r="M25" i="4"/>
  <c r="L25" i="4"/>
  <c r="K25" i="4"/>
  <c r="J25" i="4"/>
  <c r="I25" i="4"/>
  <c r="H25" i="4"/>
  <c r="T25" i="4" s="1"/>
  <c r="S24" i="4"/>
  <c r="R24" i="4"/>
  <c r="Q24" i="4"/>
  <c r="P24" i="4"/>
  <c r="O24" i="4"/>
  <c r="N24" i="4"/>
  <c r="N27" i="4" s="1"/>
  <c r="M24" i="4"/>
  <c r="L24" i="4"/>
  <c r="K24" i="4"/>
  <c r="J24" i="4"/>
  <c r="I24" i="4"/>
  <c r="H24" i="4"/>
  <c r="S23" i="4"/>
  <c r="R23" i="4"/>
  <c r="Q23" i="4"/>
  <c r="P23" i="4"/>
  <c r="O23" i="4"/>
  <c r="N23" i="4"/>
  <c r="L23" i="4"/>
  <c r="K23" i="4"/>
  <c r="K27" i="4" s="1"/>
  <c r="I23" i="4"/>
  <c r="H23" i="4"/>
  <c r="G26" i="4"/>
  <c r="F26" i="4"/>
  <c r="E26" i="4"/>
  <c r="G25" i="4"/>
  <c r="F25" i="4"/>
  <c r="E25" i="4"/>
  <c r="G24" i="4"/>
  <c r="F24" i="4"/>
  <c r="E24" i="4"/>
  <c r="G23" i="4"/>
  <c r="F23" i="4"/>
  <c r="E23" i="4"/>
  <c r="J21" i="2"/>
  <c r="M23" i="4" s="1"/>
  <c r="H21" i="2"/>
  <c r="J23" i="4" s="1"/>
  <c r="O24" i="3"/>
  <c r="O24" i="2" s="1"/>
  <c r="O23" i="3"/>
  <c r="O23" i="2" s="1"/>
  <c r="O22" i="3"/>
  <c r="O22" i="2" s="1"/>
  <c r="O21" i="3"/>
  <c r="O21" i="2" s="1"/>
  <c r="O19" i="3"/>
  <c r="O19" i="2" s="1"/>
  <c r="O17" i="3"/>
  <c r="O17" i="2" s="1"/>
  <c r="H27" i="4" l="1"/>
  <c r="T23" i="4"/>
  <c r="T24" i="4"/>
  <c r="T26" i="4"/>
  <c r="U23" i="4"/>
  <c r="U26" i="4"/>
  <c r="L27" i="4"/>
  <c r="O27" i="4"/>
  <c r="U25" i="4"/>
  <c r="I27" i="4"/>
  <c r="U24" i="4"/>
  <c r="H18" i="3"/>
  <c r="O18" i="3" s="1"/>
  <c r="H18" i="1"/>
  <c r="H18" i="2" s="1"/>
  <c r="J20" i="4" s="1"/>
  <c r="S21" i="4"/>
  <c r="R21" i="4"/>
  <c r="Q21" i="4"/>
  <c r="O21" i="4"/>
  <c r="N21" i="4"/>
  <c r="M21" i="4"/>
  <c r="L21" i="4"/>
  <c r="K21" i="4"/>
  <c r="I21" i="4"/>
  <c r="H21" i="4"/>
  <c r="T21" i="4" s="1"/>
  <c r="G21" i="4"/>
  <c r="F21" i="4"/>
  <c r="E21" i="4"/>
  <c r="S20" i="4"/>
  <c r="R20" i="4"/>
  <c r="Q20" i="4"/>
  <c r="O20" i="4"/>
  <c r="N20" i="4"/>
  <c r="L20" i="4"/>
  <c r="K20" i="4"/>
  <c r="G20" i="4"/>
  <c r="F20" i="4"/>
  <c r="E20" i="4"/>
  <c r="S19" i="4"/>
  <c r="R19" i="4"/>
  <c r="Q19" i="4"/>
  <c r="O19" i="4"/>
  <c r="N19" i="4"/>
  <c r="M19" i="4"/>
  <c r="L19" i="4"/>
  <c r="K19" i="4"/>
  <c r="I19" i="4"/>
  <c r="H19" i="4"/>
  <c r="T19" i="4" s="1"/>
  <c r="G19" i="4"/>
  <c r="F19" i="4"/>
  <c r="E19" i="4"/>
  <c r="H16" i="3"/>
  <c r="O16" i="3" s="1"/>
  <c r="H16" i="1"/>
  <c r="O16" i="1" s="1"/>
  <c r="O16" i="2" s="1"/>
  <c r="L19" i="2"/>
  <c r="P21" i="4" s="1"/>
  <c r="L18" i="2"/>
  <c r="P20" i="4" s="1"/>
  <c r="L17" i="2"/>
  <c r="P19" i="4" s="1"/>
  <c r="J18" i="2"/>
  <c r="M20" i="4" s="1"/>
  <c r="H19" i="2"/>
  <c r="J21" i="4" s="1"/>
  <c r="H17" i="2"/>
  <c r="J19" i="4" s="1"/>
  <c r="N22" i="4" l="1"/>
  <c r="H20" i="4"/>
  <c r="T20" i="4" s="1"/>
  <c r="T27" i="4"/>
  <c r="P27" i="4"/>
  <c r="M27" i="4"/>
  <c r="H16" i="2"/>
  <c r="J18" i="4" s="1"/>
  <c r="U27" i="4"/>
  <c r="I20" i="4"/>
  <c r="O18" i="1"/>
  <c r="O18" i="2" s="1"/>
  <c r="U21" i="4"/>
  <c r="J27" i="4"/>
  <c r="U19" i="4"/>
  <c r="O22" i="4"/>
  <c r="U20" i="4"/>
  <c r="S18" i="4"/>
  <c r="R18" i="4"/>
  <c r="Q18" i="4"/>
  <c r="P18" i="4"/>
  <c r="O18" i="4"/>
  <c r="N18" i="4"/>
  <c r="L18" i="4"/>
  <c r="L22" i="4" s="1"/>
  <c r="K18" i="4"/>
  <c r="K22" i="4" s="1"/>
  <c r="I18" i="4"/>
  <c r="H18" i="4"/>
  <c r="G18" i="4"/>
  <c r="F18" i="4"/>
  <c r="E18" i="4"/>
  <c r="B21" i="4"/>
  <c r="B20" i="4"/>
  <c r="B19" i="4"/>
  <c r="B18" i="4"/>
  <c r="J16" i="2"/>
  <c r="M18" i="4" s="1"/>
  <c r="T18" i="4" l="1"/>
  <c r="T22" i="4" s="1"/>
  <c r="H22" i="4"/>
  <c r="U18" i="4"/>
  <c r="U22" i="4" s="1"/>
  <c r="M22" i="4"/>
  <c r="I22" i="4"/>
  <c r="J22" i="4" s="1"/>
  <c r="P22" i="4"/>
  <c r="H14" i="3"/>
  <c r="H14" i="1"/>
  <c r="H76" i="1" s="1"/>
  <c r="H14" i="2" l="1"/>
  <c r="H13" i="2"/>
  <c r="H12" i="2"/>
  <c r="H11" i="2"/>
  <c r="J14" i="2"/>
  <c r="L13" i="2"/>
  <c r="O14" i="1"/>
  <c r="O13" i="1"/>
  <c r="O14" i="3"/>
  <c r="O13" i="3"/>
  <c r="O12" i="3"/>
  <c r="O11" i="3"/>
  <c r="S16" i="4" l="1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S14" i="4"/>
  <c r="R14" i="4"/>
  <c r="Q14" i="4"/>
  <c r="P14" i="4"/>
  <c r="O14" i="4"/>
  <c r="N14" i="4"/>
  <c r="L14" i="4"/>
  <c r="K14" i="4"/>
  <c r="J14" i="4"/>
  <c r="I14" i="4"/>
  <c r="H14" i="4"/>
  <c r="T14" i="4" s="1"/>
  <c r="G14" i="4"/>
  <c r="F14" i="4"/>
  <c r="E14" i="4"/>
  <c r="S13" i="4"/>
  <c r="R13" i="4"/>
  <c r="Q13" i="4"/>
  <c r="O13" i="4"/>
  <c r="N13" i="4"/>
  <c r="M13" i="4"/>
  <c r="L13" i="4"/>
  <c r="K13" i="4"/>
  <c r="K17" i="4" s="1"/>
  <c r="J13" i="4"/>
  <c r="I13" i="4"/>
  <c r="H13" i="4"/>
  <c r="G13" i="4"/>
  <c r="F13" i="4"/>
  <c r="E13" i="4"/>
  <c r="B16" i="4"/>
  <c r="B15" i="4"/>
  <c r="B14" i="4"/>
  <c r="B13" i="4"/>
  <c r="O14" i="2"/>
  <c r="O13" i="2"/>
  <c r="J12" i="2"/>
  <c r="M14" i="4" s="1"/>
  <c r="L11" i="2"/>
  <c r="P13" i="4" s="1"/>
  <c r="O12" i="1"/>
  <c r="O12" i="2" s="1"/>
  <c r="O11" i="1"/>
  <c r="O11" i="2" s="1"/>
  <c r="T13" i="4" l="1"/>
  <c r="H17" i="4"/>
  <c r="T16" i="4"/>
  <c r="L17" i="4"/>
  <c r="T15" i="4"/>
  <c r="N17" i="4"/>
  <c r="U15" i="4"/>
  <c r="U14" i="4"/>
  <c r="O17" i="4"/>
  <c r="U13" i="4"/>
  <c r="I17" i="4"/>
  <c r="U16" i="4"/>
  <c r="H9" i="2"/>
  <c r="T17" i="4" l="1"/>
  <c r="J17" i="4"/>
  <c r="U17" i="4"/>
  <c r="P17" i="4"/>
  <c r="M17" i="4"/>
  <c r="O9" i="3"/>
  <c r="O8" i="3"/>
  <c r="O7" i="3"/>
  <c r="O6" i="3"/>
  <c r="O9" i="1"/>
  <c r="O8" i="1"/>
  <c r="O7" i="1"/>
  <c r="O7" i="2" s="1"/>
  <c r="O6" i="1"/>
  <c r="O76" i="1" s="1"/>
  <c r="L9" i="2"/>
  <c r="L7" i="2"/>
  <c r="J8" i="2"/>
  <c r="O8" i="2" l="1"/>
  <c r="O6" i="2"/>
  <c r="O9" i="2"/>
  <c r="B11" i="4"/>
  <c r="B10" i="4"/>
  <c r="B9" i="4"/>
  <c r="B8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S10" i="4"/>
  <c r="R10" i="4"/>
  <c r="Q10" i="4"/>
  <c r="P10" i="4"/>
  <c r="O10" i="4"/>
  <c r="N10" i="4"/>
  <c r="M10" i="4"/>
  <c r="L10" i="4"/>
  <c r="K10" i="4"/>
  <c r="I10" i="4"/>
  <c r="H10" i="4"/>
  <c r="T10" i="4" s="1"/>
  <c r="G10" i="4"/>
  <c r="F10" i="4"/>
  <c r="E10" i="4"/>
  <c r="S9" i="4"/>
  <c r="R9" i="4"/>
  <c r="Q9" i="4"/>
  <c r="P9" i="4"/>
  <c r="O9" i="4"/>
  <c r="N9" i="4"/>
  <c r="M9" i="4"/>
  <c r="L9" i="4"/>
  <c r="K9" i="4"/>
  <c r="I9" i="4"/>
  <c r="H9" i="4"/>
  <c r="T9" i="4" s="1"/>
  <c r="G9" i="4"/>
  <c r="F9" i="4"/>
  <c r="E9" i="4"/>
  <c r="S8" i="4"/>
  <c r="R8" i="4"/>
  <c r="Q8" i="4"/>
  <c r="P8" i="4"/>
  <c r="O8" i="4"/>
  <c r="N8" i="4"/>
  <c r="L8" i="4"/>
  <c r="K8" i="4"/>
  <c r="I8" i="4"/>
  <c r="H8" i="4"/>
  <c r="G8" i="4"/>
  <c r="F8" i="4"/>
  <c r="E8" i="4"/>
  <c r="J6" i="2"/>
  <c r="M8" i="4" s="1"/>
  <c r="H8" i="2"/>
  <c r="J10" i="4" s="1"/>
  <c r="H7" i="2"/>
  <c r="J9" i="4" s="1"/>
  <c r="H6" i="2"/>
  <c r="J8" i="4" s="1"/>
  <c r="T8" i="4" l="1"/>
  <c r="H12" i="4"/>
  <c r="T11" i="4"/>
  <c r="K12" i="4"/>
  <c r="N12" i="4"/>
  <c r="U11" i="4"/>
  <c r="U9" i="4"/>
  <c r="U10" i="4"/>
  <c r="L12" i="4"/>
  <c r="O12" i="4"/>
  <c r="I12" i="4"/>
  <c r="U8" i="4"/>
  <c r="L4" i="2"/>
  <c r="H4" i="2"/>
  <c r="T12" i="4" l="1"/>
  <c r="U12" i="4"/>
  <c r="M12" i="4"/>
  <c r="P12" i="4"/>
  <c r="J12" i="4"/>
  <c r="B9" i="6"/>
  <c r="B4" i="14"/>
  <c r="B3" i="14"/>
  <c r="B2" i="14"/>
  <c r="O4" i="3"/>
  <c r="O3" i="3"/>
  <c r="O2" i="3"/>
  <c r="O4" i="1"/>
  <c r="O3" i="1"/>
  <c r="O2" i="1"/>
  <c r="B6" i="4"/>
  <c r="B5" i="4"/>
  <c r="B4" i="4"/>
  <c r="S6" i="4"/>
  <c r="R6" i="4"/>
  <c r="Q6" i="4"/>
  <c r="P6" i="4"/>
  <c r="O6" i="4"/>
  <c r="N6" i="4"/>
  <c r="M6" i="4"/>
  <c r="L6" i="4"/>
  <c r="K6" i="4"/>
  <c r="J6" i="4"/>
  <c r="I6" i="4"/>
  <c r="H6" i="4"/>
  <c r="T6" i="4" s="1"/>
  <c r="G6" i="4"/>
  <c r="F6" i="4"/>
  <c r="E6" i="4"/>
  <c r="S5" i="4"/>
  <c r="R5" i="4"/>
  <c r="Q5" i="4"/>
  <c r="P5" i="4"/>
  <c r="O5" i="4"/>
  <c r="N5" i="4"/>
  <c r="L5" i="4"/>
  <c r="K5" i="4"/>
  <c r="I5" i="4"/>
  <c r="H5" i="4"/>
  <c r="G5" i="4"/>
  <c r="F5" i="4"/>
  <c r="E5" i="4"/>
  <c r="F28" i="2"/>
  <c r="G30" i="4" s="1"/>
  <c r="T5" i="4" l="1"/>
  <c r="O4" i="2"/>
  <c r="U5" i="4"/>
  <c r="U6" i="4"/>
  <c r="B29" i="2"/>
  <c r="B28" i="2"/>
  <c r="B27" i="2"/>
  <c r="B26" i="2"/>
  <c r="B24" i="2"/>
  <c r="B23" i="2"/>
  <c r="B22" i="2"/>
  <c r="B21" i="2"/>
  <c r="B19" i="2"/>
  <c r="B18" i="2"/>
  <c r="B17" i="2"/>
  <c r="B16" i="2"/>
  <c r="B14" i="2"/>
  <c r="B13" i="2"/>
  <c r="B12" i="2"/>
  <c r="B11" i="2"/>
  <c r="B9" i="2"/>
  <c r="B8" i="2"/>
  <c r="B7" i="2"/>
  <c r="B6" i="2"/>
  <c r="B4" i="2"/>
  <c r="B3" i="2"/>
  <c r="B2" i="2"/>
  <c r="B29" i="3"/>
  <c r="B28" i="3"/>
  <c r="B27" i="3"/>
  <c r="B26" i="3"/>
  <c r="B24" i="3"/>
  <c r="B23" i="3"/>
  <c r="B22" i="3"/>
  <c r="B21" i="3"/>
  <c r="B19" i="3"/>
  <c r="B18" i="3"/>
  <c r="B17" i="3"/>
  <c r="B16" i="3"/>
  <c r="B14" i="3"/>
  <c r="B13" i="3"/>
  <c r="B12" i="3"/>
  <c r="B11" i="3"/>
  <c r="B9" i="3"/>
  <c r="B8" i="3"/>
  <c r="B7" i="3"/>
  <c r="B6" i="3"/>
  <c r="B4" i="3"/>
  <c r="B3" i="3"/>
  <c r="B2" i="3"/>
  <c r="B29" i="15"/>
  <c r="B28" i="15"/>
  <c r="B27" i="15"/>
  <c r="B26" i="15"/>
  <c r="B24" i="15"/>
  <c r="B23" i="15"/>
  <c r="B22" i="15"/>
  <c r="B21" i="15"/>
  <c r="B19" i="15"/>
  <c r="B18" i="15"/>
  <c r="B17" i="15"/>
  <c r="B16" i="15"/>
  <c r="B14" i="15"/>
  <c r="B13" i="15"/>
  <c r="B12" i="15"/>
  <c r="B11" i="15"/>
  <c r="B9" i="15"/>
  <c r="B8" i="15"/>
  <c r="B7" i="15"/>
  <c r="B6" i="15"/>
  <c r="B4" i="15"/>
  <c r="B3" i="15"/>
  <c r="B2" i="15"/>
  <c r="B29" i="1"/>
  <c r="B28" i="1"/>
  <c r="B27" i="1"/>
  <c r="B26" i="1"/>
  <c r="B24" i="1"/>
  <c r="B23" i="1"/>
  <c r="B22" i="1"/>
  <c r="B21" i="1"/>
  <c r="B19" i="1"/>
  <c r="B18" i="1"/>
  <c r="B17" i="1"/>
  <c r="B16" i="1"/>
  <c r="B14" i="1"/>
  <c r="B13" i="1"/>
  <c r="B12" i="1"/>
  <c r="B11" i="1"/>
  <c r="B9" i="1"/>
  <c r="B8" i="1"/>
  <c r="B7" i="1"/>
  <c r="B6" i="1"/>
  <c r="B4" i="1"/>
  <c r="B3" i="1"/>
  <c r="B2" i="1"/>
  <c r="K70" i="12" l="1"/>
  <c r="C9" i="6"/>
  <c r="L2" i="2"/>
  <c r="J3" i="2"/>
  <c r="M5" i="4" s="1"/>
  <c r="H3" i="2"/>
  <c r="J5" i="4" s="1"/>
  <c r="H2" i="2"/>
  <c r="O3" i="2"/>
  <c r="O2" i="2"/>
  <c r="E40" i="8" l="1"/>
  <c r="E100" i="8" s="1"/>
  <c r="F40" i="8"/>
  <c r="F100" i="8" s="1"/>
  <c r="G40" i="8"/>
  <c r="H40" i="8" l="1"/>
  <c r="H77" i="1" s="1"/>
  <c r="G100" i="8"/>
  <c r="H100" i="8" s="1"/>
  <c r="G70" i="12"/>
  <c r="D9" i="6" l="1"/>
  <c r="E100" i="9" l="1"/>
  <c r="F100" i="9"/>
  <c r="G100" i="9"/>
  <c r="H100" i="9" s="1"/>
  <c r="F77" i="1" s="1"/>
  <c r="E100" i="11" l="1"/>
  <c r="F100" i="11"/>
  <c r="G100" i="11"/>
  <c r="E100" i="10"/>
  <c r="F100" i="10"/>
  <c r="G100" i="10"/>
  <c r="H100" i="11" l="1"/>
  <c r="L77" i="1" s="1"/>
  <c r="H100" i="10"/>
  <c r="J77" i="1" s="1"/>
  <c r="F78" i="1" l="1"/>
  <c r="F79" i="4" s="1"/>
  <c r="F80" i="4" s="1"/>
  <c r="E9" i="6" l="1"/>
  <c r="E4" i="4" l="1"/>
  <c r="F4" i="4"/>
  <c r="H4" i="4"/>
  <c r="I4" i="4"/>
  <c r="H7" i="4" l="1"/>
  <c r="H83" i="4" s="1"/>
  <c r="I7" i="4"/>
  <c r="H78" i="4" l="1"/>
  <c r="H85" i="4"/>
  <c r="I78" i="4"/>
  <c r="I83" i="4"/>
  <c r="I85" i="4" s="1"/>
  <c r="J78" i="4"/>
  <c r="J7" i="4"/>
  <c r="H80" i="4"/>
  <c r="F9" i="6" l="1"/>
  <c r="G4" i="4"/>
  <c r="G6" i="6" l="1"/>
  <c r="N72" i="12" l="1"/>
  <c r="M72" i="12"/>
  <c r="I72" i="12" l="1"/>
  <c r="E72" i="12"/>
  <c r="Q72" i="12" l="1"/>
  <c r="K72" i="12"/>
  <c r="G72" i="12"/>
  <c r="J4" i="4" l="1"/>
  <c r="G5" i="6" l="1"/>
  <c r="G8" i="6"/>
  <c r="H9" i="6"/>
  <c r="I9" i="6"/>
  <c r="J9" i="6"/>
  <c r="O76" i="3" l="1"/>
  <c r="G9" i="6" l="1"/>
  <c r="L78" i="1" l="1"/>
  <c r="J71" i="12" l="1"/>
  <c r="J72" i="12" s="1"/>
  <c r="O79" i="4"/>
  <c r="H76" i="3"/>
  <c r="J76" i="3"/>
  <c r="L76" i="3"/>
  <c r="N76" i="2"/>
  <c r="S4" i="4" l="1"/>
  <c r="R4" i="4"/>
  <c r="Q4" i="4"/>
  <c r="P4" i="4"/>
  <c r="O4" i="4"/>
  <c r="N4" i="4"/>
  <c r="L4" i="4"/>
  <c r="K4" i="4"/>
  <c r="K7" i="4" s="1"/>
  <c r="K83" i="4" s="1"/>
  <c r="N7" i="4" l="1"/>
  <c r="T4" i="4"/>
  <c r="T7" i="4" s="1"/>
  <c r="T78" i="4" s="1"/>
  <c r="K85" i="4"/>
  <c r="O7" i="4"/>
  <c r="U4" i="4"/>
  <c r="U7" i="4" s="1"/>
  <c r="U78" i="4" s="1"/>
  <c r="L7" i="4"/>
  <c r="K78" i="4"/>
  <c r="J78" i="1"/>
  <c r="N79" i="1"/>
  <c r="L79" i="1"/>
  <c r="L76" i="2"/>
  <c r="J76" i="2"/>
  <c r="L78" i="4" l="1"/>
  <c r="L83" i="4"/>
  <c r="O83" i="4"/>
  <c r="O78" i="4"/>
  <c r="N78" i="4"/>
  <c r="P78" i="4" s="1"/>
  <c r="N83" i="4"/>
  <c r="T83" i="4" s="1"/>
  <c r="T85" i="4" s="1"/>
  <c r="F71" i="12"/>
  <c r="L79" i="4"/>
  <c r="L81" i="1"/>
  <c r="J73" i="12" s="1"/>
  <c r="L82" i="1"/>
  <c r="N82" i="1"/>
  <c r="N81" i="1"/>
  <c r="N73" i="12" s="1"/>
  <c r="M78" i="4"/>
  <c r="P7" i="4"/>
  <c r="M7" i="4"/>
  <c r="J79" i="1"/>
  <c r="K80" i="4"/>
  <c r="R80" i="4"/>
  <c r="Q80" i="4"/>
  <c r="U83" i="4" l="1"/>
  <c r="L85" i="4"/>
  <c r="J81" i="1"/>
  <c r="F73" i="12" s="1"/>
  <c r="J82" i="1"/>
  <c r="R71" i="12"/>
  <c r="R72" i="12" s="1"/>
  <c r="F72" i="12"/>
  <c r="O81" i="4"/>
  <c r="R81" i="4"/>
  <c r="L80" i="4"/>
  <c r="M80" i="4" s="1"/>
  <c r="N80" i="4"/>
  <c r="O80" i="4"/>
  <c r="P80" i="4" l="1"/>
  <c r="L81" i="4"/>
  <c r="F76" i="3"/>
  <c r="E80" i="4" s="1"/>
  <c r="G80" i="4" s="1"/>
  <c r="M4" i="4" l="1"/>
  <c r="T80" i="4" l="1"/>
  <c r="H78" i="1" l="1"/>
  <c r="I79" i="4" s="1"/>
  <c r="H76" i="2"/>
  <c r="I80" i="4" l="1"/>
  <c r="J80" i="4" s="1"/>
  <c r="H79" i="1"/>
  <c r="H81" i="1" l="1"/>
  <c r="I81" i="4" s="1"/>
  <c r="H82" i="1"/>
  <c r="F76" i="2" l="1"/>
  <c r="O78" i="1" l="1"/>
  <c r="O79" i="1" s="1"/>
  <c r="F79" i="1"/>
  <c r="F81" i="1" l="1"/>
  <c r="F82" i="1"/>
  <c r="O82" i="1"/>
  <c r="O81" i="1"/>
  <c r="F81" i="4"/>
  <c r="U79" i="4"/>
  <c r="U80" i="4" s="1"/>
  <c r="U84" i="4" l="1"/>
  <c r="U85" i="4" s="1"/>
  <c r="O85" i="4" l="1"/>
  <c r="N8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F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G4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F5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G5" authorId="1" shapeId="0" xr:uid="{00000000-0006-0000-0A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F6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G6" authorId="2" shapeId="0" xr:uid="{00000000-0006-0000-0A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F7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G7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F8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G8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<sst xmlns="http://schemas.openxmlformats.org/spreadsheetml/2006/main" count="1501" uniqueCount="97">
  <si>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</si>
  <si>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</si>
  <si>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</si>
  <si>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</si>
  <si>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</si>
  <si>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</si>
  <si>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</si>
  <si>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</si>
  <si>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</si>
  <si>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</si>
  <si>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CPUE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</si>
  <si>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</si>
  <si>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</si>
  <si>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</si>
  <si>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</si>
  <si>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</si>
  <si>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</si>
  <si>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</si>
  <si>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</si>
  <si>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</si>
  <si>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</si>
  <si>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</si>
  <si>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</si>
  <si>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</si>
  <si>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</si>
  <si>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</si>
  <si>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</si>
  <si>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</si>
  <si>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</si>
  <si>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</si>
  <si>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</si>
  <si>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</si>
  <si>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</si>
  <si>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</si>
  <si>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Size (mm)</t>
  </si>
  <si>
    <t>WASTAGE</t>
  </si>
  <si>
    <t>SEASON SUBTOTALS:</t>
  </si>
  <si>
    <t>EventID</t>
  </si>
  <si>
    <t>2010 - 2011</t>
  </si>
  <si>
    <t>2011 - 2012</t>
  </si>
  <si>
    <t>2012 - 2013</t>
  </si>
  <si>
    <t>2013 - 2014</t>
  </si>
  <si>
    <t>2014 - 2015</t>
  </si>
  <si>
    <t>Sunset</t>
  </si>
  <si>
    <t>NON-TRIBAL TOTAL ALLOWABLE CATCH (TAC)</t>
  </si>
  <si>
    <t>2015 - 2016</t>
  </si>
  <si>
    <t>** - No beach count. Used data from another day with similar conditions to estimate count.</t>
  </si>
  <si>
    <t># - Tide is not low enough for decent digging opportunity</t>
  </si>
  <si>
    <t>LocationID</t>
  </si>
  <si>
    <t>NHoles</t>
  </si>
  <si>
    <t>NClams</t>
  </si>
  <si>
    <t>NMorts</t>
  </si>
  <si>
    <t>+</t>
  </si>
  <si>
    <t>2016 - 2017</t>
  </si>
  <si>
    <t>CLOSED</t>
  </si>
  <si>
    <t>2017 - 2018</t>
  </si>
  <si>
    <t>ID</t>
  </si>
  <si>
    <t>Tide Date</t>
  </si>
  <si>
    <t>Tide Time</t>
  </si>
  <si>
    <t>Level (1)</t>
  </si>
  <si>
    <t>2018-2019</t>
  </si>
  <si>
    <t>CorrectionFactor</t>
  </si>
  <si>
    <t>2018-2019 State (non-Indian) Recreational Razor Clam Effort, Harvest and CPUE totals.</t>
  </si>
  <si>
    <t>*</t>
  </si>
  <si>
    <t>LongBeach</t>
  </si>
  <si>
    <t xml:space="preserve">FALL 2018 - SPRING 2019 SEASON TOTALS: </t>
  </si>
  <si>
    <t>Fall 2018 / Spring 2019 Harvest Rate (clams/day):</t>
  </si>
  <si>
    <t>33012</t>
  </si>
  <si>
    <t>31005</t>
  </si>
  <si>
    <t>41400</t>
  </si>
  <si>
    <t>42600</t>
  </si>
  <si>
    <t>21200</t>
  </si>
  <si>
    <t>12400</t>
  </si>
  <si>
    <t>41100</t>
  </si>
  <si>
    <t>QIN</t>
  </si>
  <si>
    <t>STATE</t>
  </si>
  <si>
    <t>STATE % of TAC Harvested:</t>
  </si>
  <si>
    <t>QIN % of TAC Harvested:</t>
  </si>
  <si>
    <t>total days calculation</t>
  </si>
  <si>
    <t>Thu</t>
  </si>
  <si>
    <t>Fri</t>
  </si>
  <si>
    <t>Sat</t>
  </si>
  <si>
    <t>Sun</t>
  </si>
  <si>
    <t>Mon</t>
  </si>
  <si>
    <t>saturday calculation</t>
  </si>
  <si>
    <t>all</t>
  </si>
  <si>
    <t>weekend</t>
  </si>
  <si>
    <r>
      <t xml:space="preserve">STATE </t>
    </r>
    <r>
      <rPr>
        <i/>
        <sz val="10"/>
        <rFont val="Calibri"/>
        <family val="2"/>
      </rPr>
      <t>TOTAL</t>
    </r>
    <r>
      <rPr>
        <sz val="10"/>
        <rFont val="Calibri"/>
        <family val="2"/>
      </rPr>
      <t xml:space="preserve"> HARVEST DAYS:</t>
    </r>
  </si>
  <si>
    <r>
      <t xml:space="preserve">QIN </t>
    </r>
    <r>
      <rPr>
        <i/>
        <sz val="10"/>
        <rFont val="Calibri"/>
        <family val="2"/>
      </rPr>
      <t>TOTAL</t>
    </r>
    <r>
      <rPr>
        <sz val="10"/>
        <rFont val="Calibri"/>
        <family val="2"/>
      </rPr>
      <t xml:space="preserve"> HARVEST DAYS:</t>
    </r>
  </si>
  <si>
    <r>
      <t xml:space="preserve">STATE TOTAL </t>
    </r>
    <r>
      <rPr>
        <i/>
        <sz val="10"/>
        <rFont val="Calibri"/>
        <family val="2"/>
      </rPr>
      <t>WEEKEND</t>
    </r>
    <r>
      <rPr>
        <sz val="10"/>
        <rFont val="Calibri"/>
        <family val="2"/>
      </rPr>
      <t xml:space="preserve"> HARVEST  DAYS:</t>
    </r>
  </si>
  <si>
    <r>
      <t xml:space="preserve">QIN TOTAL </t>
    </r>
    <r>
      <rPr>
        <i/>
        <sz val="10"/>
        <rFont val="Calibri"/>
        <family val="2"/>
      </rPr>
      <t>WEEKEND</t>
    </r>
    <r>
      <rPr>
        <sz val="10"/>
        <rFont val="Calibri"/>
        <family val="2"/>
      </rPr>
      <t xml:space="preserve"> HARVEST DAYS:</t>
    </r>
  </si>
  <si>
    <r>
      <t xml:space="preserve">STATE TOTAL </t>
    </r>
    <r>
      <rPr>
        <i/>
        <sz val="10"/>
        <rFont val="Calibri"/>
        <family val="2"/>
      </rPr>
      <t>WEEK DAY</t>
    </r>
    <r>
      <rPr>
        <sz val="10"/>
        <rFont val="Calibri"/>
        <family val="2"/>
      </rPr>
      <t xml:space="preserve"> HARVEST  DAYS:</t>
    </r>
  </si>
  <si>
    <t>2018-2019 State/QIN Razor Clam Low Tide Harvest Date Sharing</t>
  </si>
  <si>
    <t>COMBINED</t>
  </si>
  <si>
    <r>
      <t xml:space="preserve">QIN TOTAL </t>
    </r>
    <r>
      <rPr>
        <i/>
        <sz val="10"/>
        <rFont val="Calibri"/>
        <family val="2"/>
      </rPr>
      <t xml:space="preserve">WEEK DAY </t>
    </r>
    <r>
      <rPr>
        <sz val="10"/>
        <rFont val="Calibri"/>
        <family val="2"/>
      </rPr>
      <t>HARVEST DAYS:</t>
    </r>
  </si>
  <si>
    <t>Fall/Winter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</si>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</sst>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  <numFmt numFmtId="170" formatCode="[$-409]d\-mmm\-yy;@"/>
    <numFmt numFmtId="171" formatCode="dd\-mmm\-yy"/>
    <numFmt numFmtId="172" formatCode="#,##0.0"/>
    <numFmt numFmtId="173" formatCode="[$-409]h:mm\ AM/PM;@"/>
    <numFmt numFmtId="174" formatCode="#,##0.000000000"/>
    <numFmt numFmtId="175" formatCode="#,##0.0000000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color rgb="FFFF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name val="Arial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0"/>
      </left>
      <right/>
      <top/>
      <bottom style="thin">
        <color indexed="64"/>
      </bottom>
      <diagonal/>
    </border>
    <border>
      <left/>
      <right/>
      <top style="thin">
        <color indexed="0"/>
      </top>
      <bottom style="thick">
        <color indexed="0"/>
      </bottom>
      <diagonal/>
    </border>
    <border>
      <left/>
      <right style="thick">
        <color indexed="0"/>
      </right>
      <top style="thin">
        <color indexed="0"/>
      </top>
      <bottom style="thick">
        <color indexed="0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0"/>
      </top>
      <bottom/>
      <diagonal/>
    </border>
    <border>
      <left style="thick">
        <color indexed="0"/>
      </left>
      <right style="thick">
        <color indexed="64"/>
      </right>
      <top style="thick">
        <color indexed="0"/>
      </top>
      <bottom/>
      <diagonal/>
    </border>
    <border>
      <left style="thick">
        <color indexed="0"/>
      </left>
      <right style="thick">
        <color indexed="64"/>
      </right>
      <top/>
      <bottom style="thick">
        <color indexed="0"/>
      </bottom>
      <diagonal/>
    </border>
    <border>
      <left style="thick">
        <color indexed="0"/>
      </left>
      <right style="thick">
        <color indexed="64"/>
      </right>
      <top/>
      <bottom/>
      <diagonal/>
    </border>
    <border>
      <left style="thick">
        <color indexed="0"/>
      </left>
      <right style="thick">
        <color indexed="64"/>
      </right>
      <top style="thin">
        <color indexed="0"/>
      </top>
      <bottom style="thin">
        <color indexed="0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0"/>
      </right>
      <top/>
      <bottom style="thin">
        <color indexed="0"/>
      </bottom>
      <diagonal/>
    </border>
    <border>
      <left style="thick">
        <color indexed="64"/>
      </left>
      <right/>
      <top/>
      <bottom/>
      <diagonal/>
    </border>
    <border>
      <left style="thick">
        <color indexed="0"/>
      </left>
      <right/>
      <top/>
      <bottom style="thin">
        <color indexed="0"/>
      </bottom>
      <diagonal/>
    </border>
    <border>
      <left style="thick">
        <color indexed="64"/>
      </left>
      <right style="thick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0"/>
      </left>
      <right/>
      <top/>
      <bottom style="thick">
        <color indexed="64"/>
      </bottom>
      <diagonal/>
    </border>
    <border>
      <left style="thick">
        <color indexed="0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0"/>
      </top>
      <bottom style="thick">
        <color indexed="0"/>
      </bottom>
      <diagonal/>
    </border>
    <border>
      <left/>
      <right/>
      <top style="thick">
        <color indexed="0"/>
      </top>
      <bottom style="thick">
        <color indexed="0"/>
      </bottom>
      <diagonal/>
    </border>
    <border>
      <left/>
      <right style="thick">
        <color indexed="64"/>
      </right>
      <top style="thick">
        <color indexed="0"/>
      </top>
      <bottom style="thick">
        <color indexed="0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3" fillId="0" borderId="0"/>
    <xf numFmtId="0" fontId="25" fillId="0" borderId="0"/>
    <xf numFmtId="0" fontId="27" fillId="0" borderId="0"/>
    <xf numFmtId="0" fontId="27" fillId="0" borderId="0"/>
    <xf numFmtId="0" fontId="15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</cellStyleXfs>
  <cellXfs count="3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6" fontId="0" fillId="0" borderId="0" xfId="1" applyNumberFormat="1" applyFon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2" fillId="0" borderId="0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165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8" fontId="6" fillId="0" borderId="0" xfId="0" applyNumberFormat="1" applyFont="1" applyAlignment="1">
      <alignment horizontal="center"/>
    </xf>
    <xf numFmtId="0" fontId="5" fillId="0" borderId="3" xfId="0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168" fontId="5" fillId="0" borderId="0" xfId="0" applyNumberFormat="1" applyFont="1" applyBorder="1" applyAlignment="1">
      <alignment horizontal="center"/>
    </xf>
    <xf numFmtId="18" fontId="5" fillId="0" borderId="0" xfId="0" applyNumberFormat="1" applyFont="1" applyBorder="1" applyAlignment="1">
      <alignment horizontal="center"/>
    </xf>
    <xf numFmtId="3" fontId="5" fillId="0" borderId="7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8" fontId="5" fillId="0" borderId="8" xfId="0" applyNumberFormat="1" applyFont="1" applyFill="1" applyBorder="1" applyAlignment="1">
      <alignment horizontal="center"/>
    </xf>
    <xf numFmtId="168" fontId="9" fillId="0" borderId="9" xfId="0" applyNumberFormat="1" applyFont="1" applyFill="1" applyBorder="1" applyAlignment="1">
      <alignment horizontal="center"/>
    </xf>
    <xf numFmtId="3" fontId="9" fillId="0" borderId="10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16" fontId="9" fillId="0" borderId="3" xfId="0" applyNumberFormat="1" applyFont="1" applyFill="1" applyBorder="1" applyAlignment="1">
      <alignment horizontal="left"/>
    </xf>
    <xf numFmtId="3" fontId="9" fillId="0" borderId="3" xfId="0" applyNumberFormat="1" applyFont="1" applyFill="1" applyBorder="1" applyAlignment="1">
      <alignment horizontal="center"/>
    </xf>
    <xf numFmtId="168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7" fillId="0" borderId="18" xfId="0" applyFont="1" applyBorder="1" applyAlignment="1"/>
    <xf numFmtId="3" fontId="0" fillId="0" borderId="19" xfId="0" applyNumberFormat="1" applyBorder="1" applyAlignment="1"/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0" fillId="0" borderId="0" xfId="0" applyFont="1" applyBorder="1" applyAlignment="1"/>
    <xf numFmtId="0" fontId="11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16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3" fontId="9" fillId="0" borderId="21" xfId="0" applyNumberFormat="1" applyFont="1" applyFill="1" applyBorder="1" applyAlignment="1">
      <alignment horizontal="center"/>
    </xf>
    <xf numFmtId="168" fontId="9" fillId="0" borderId="21" xfId="0" applyNumberFormat="1" applyFont="1" applyFill="1" applyBorder="1" applyAlignment="1">
      <alignment horizontal="center"/>
    </xf>
    <xf numFmtId="3" fontId="9" fillId="0" borderId="22" xfId="0" applyNumberFormat="1" applyFont="1" applyFill="1" applyBorder="1" applyAlignment="1">
      <alignment horizontal="center"/>
    </xf>
    <xf numFmtId="16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/>
    <xf numFmtId="0" fontId="9" fillId="0" borderId="25" xfId="0" applyFont="1" applyBorder="1" applyAlignment="1"/>
    <xf numFmtId="16" fontId="9" fillId="0" borderId="20" xfId="0" applyNumberFormat="1" applyFont="1" applyFill="1" applyBorder="1" applyAlignment="1">
      <alignment horizontal="left"/>
    </xf>
    <xf numFmtId="0" fontId="9" fillId="0" borderId="21" xfId="0" applyFont="1" applyFill="1" applyBorder="1" applyAlignment="1"/>
    <xf numFmtId="0" fontId="8" fillId="0" borderId="23" xfId="0" applyFont="1" applyBorder="1" applyAlignment="1">
      <alignment horizontal="left"/>
    </xf>
    <xf numFmtId="168" fontId="0" fillId="0" borderId="0" xfId="0" applyNumberFormat="1" applyBorder="1" applyAlignment="1">
      <alignment horizontal="center"/>
    </xf>
    <xf numFmtId="1" fontId="0" fillId="0" borderId="0" xfId="0" applyNumberFormat="1"/>
    <xf numFmtId="170" fontId="0" fillId="0" borderId="0" xfId="0" applyNumberFormat="1" applyAlignment="1"/>
    <xf numFmtId="170" fontId="0" fillId="0" borderId="0" xfId="0" applyNumberFormat="1"/>
    <xf numFmtId="10" fontId="0" fillId="0" borderId="0" xfId="0" applyNumberFormat="1"/>
    <xf numFmtId="3" fontId="0" fillId="0" borderId="0" xfId="0" applyNumberFormat="1" applyAlignment="1"/>
    <xf numFmtId="166" fontId="0" fillId="0" borderId="0" xfId="1" applyNumberFormat="1" applyFont="1" applyAlignment="1"/>
    <xf numFmtId="18" fontId="0" fillId="0" borderId="0" xfId="0" applyNumberFormat="1"/>
    <xf numFmtId="172" fontId="9" fillId="0" borderId="3" xfId="0" applyNumberFormat="1" applyFont="1" applyFill="1" applyBorder="1" applyAlignment="1">
      <alignment horizontal="center"/>
    </xf>
    <xf numFmtId="173" fontId="5" fillId="0" borderId="8" xfId="0" applyNumberFormat="1" applyFont="1" applyBorder="1" applyAlignment="1"/>
    <xf numFmtId="172" fontId="5" fillId="0" borderId="0" xfId="0" applyNumberFormat="1" applyFont="1" applyFill="1" applyBorder="1" applyAlignment="1">
      <alignment horizontal="center"/>
    </xf>
    <xf numFmtId="172" fontId="9" fillId="0" borderId="9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72" fontId="9" fillId="0" borderId="21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3" fontId="9" fillId="0" borderId="27" xfId="0" applyNumberFormat="1" applyFont="1" applyFill="1" applyBorder="1" applyAlignment="1">
      <alignment horizontal="center"/>
    </xf>
    <xf numFmtId="3" fontId="9" fillId="0" borderId="28" xfId="0" applyNumberFormat="1" applyFont="1" applyFill="1" applyBorder="1" applyAlignment="1">
      <alignment horizontal="center"/>
    </xf>
    <xf numFmtId="168" fontId="9" fillId="0" borderId="29" xfId="0" applyNumberFormat="1" applyFont="1" applyFill="1" applyBorder="1" applyAlignment="1">
      <alignment horizontal="center"/>
    </xf>
    <xf numFmtId="0" fontId="14" fillId="0" borderId="1" xfId="3" applyFont="1" applyFill="1" applyBorder="1" applyAlignment="1">
      <alignment horizontal="right" wrapText="1"/>
    </xf>
    <xf numFmtId="0" fontId="14" fillId="0" borderId="1" xfId="3" applyFont="1" applyFill="1" applyBorder="1" applyAlignment="1">
      <alignment wrapText="1"/>
    </xf>
    <xf numFmtId="171" fontId="14" fillId="0" borderId="1" xfId="3" applyNumberFormat="1" applyFont="1" applyFill="1" applyBorder="1" applyAlignment="1">
      <alignment horizontal="right" wrapText="1"/>
    </xf>
    <xf numFmtId="4" fontId="14" fillId="0" borderId="1" xfId="3" applyNumberFormat="1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wrapText="1"/>
    </xf>
    <xf numFmtId="171" fontId="14" fillId="0" borderId="0" xfId="3" applyNumberFormat="1" applyFont="1" applyFill="1" applyBorder="1" applyAlignment="1">
      <alignment horizontal="right" wrapText="1"/>
    </xf>
    <xf numFmtId="4" fontId="14" fillId="0" borderId="0" xfId="3" applyNumberFormat="1" applyFont="1" applyFill="1" applyBorder="1" applyAlignment="1">
      <alignment horizontal="right" wrapText="1"/>
    </xf>
    <xf numFmtId="0" fontId="14" fillId="0" borderId="1" xfId="4" applyFont="1" applyFill="1" applyBorder="1" applyAlignment="1">
      <alignment horizontal="right" wrapText="1"/>
    </xf>
    <xf numFmtId="0" fontId="14" fillId="0" borderId="1" xfId="4" applyFont="1" applyFill="1" applyBorder="1" applyAlignment="1">
      <alignment wrapText="1"/>
    </xf>
    <xf numFmtId="171" fontId="14" fillId="0" borderId="1" xfId="4" applyNumberFormat="1" applyFont="1" applyFill="1" applyBorder="1" applyAlignment="1">
      <alignment horizontal="right" wrapText="1"/>
    </xf>
    <xf numFmtId="4" fontId="14" fillId="0" borderId="1" xfId="4" applyNumberFormat="1" applyFont="1" applyFill="1" applyBorder="1" applyAlignment="1">
      <alignment horizontal="right" wrapText="1"/>
    </xf>
    <xf numFmtId="3" fontId="16" fillId="3" borderId="0" xfId="0" applyNumberFormat="1" applyFont="1" applyFill="1" applyAlignment="1">
      <alignment horizontal="center"/>
    </xf>
    <xf numFmtId="3" fontId="0" fillId="3" borderId="15" xfId="0" applyNumberFormat="1" applyFill="1" applyBorder="1" applyAlignment="1"/>
    <xf numFmtId="0" fontId="5" fillId="0" borderId="5" xfId="0" applyFont="1" applyBorder="1" applyAlignment="1"/>
    <xf numFmtId="168" fontId="3" fillId="0" borderId="0" xfId="5" applyNumberFormat="1" applyFont="1" applyFill="1" applyBorder="1" applyAlignment="1">
      <alignment horizontal="center" wrapText="1"/>
    </xf>
    <xf numFmtId="173" fontId="3" fillId="0" borderId="0" xfId="5" applyNumberFormat="1" applyFont="1" applyFill="1" applyBorder="1" applyAlignment="1">
      <alignment horizontal="center" wrapText="1"/>
    </xf>
    <xf numFmtId="0" fontId="0" fillId="0" borderId="0" xfId="0" applyFont="1" applyFill="1"/>
    <xf numFmtId="0" fontId="18" fillId="0" borderId="1" xfId="6" applyFont="1" applyFill="1" applyBorder="1" applyAlignment="1">
      <alignment horizontal="right" wrapText="1"/>
    </xf>
    <xf numFmtId="0" fontId="18" fillId="0" borderId="1" xfId="6" applyFont="1" applyFill="1" applyBorder="1" applyAlignment="1">
      <alignment wrapText="1"/>
    </xf>
    <xf numFmtId="171" fontId="18" fillId="0" borderId="1" xfId="6" applyNumberFormat="1" applyFont="1" applyFill="1" applyBorder="1" applyAlignment="1">
      <alignment horizontal="right" wrapText="1"/>
    </xf>
    <xf numFmtId="4" fontId="18" fillId="0" borderId="1" xfId="6" applyNumberFormat="1" applyFont="1" applyFill="1" applyBorder="1" applyAlignment="1">
      <alignment horizontal="right" wrapText="1"/>
    </xf>
    <xf numFmtId="0" fontId="18" fillId="0" borderId="1" xfId="7" applyFont="1" applyFill="1" applyBorder="1" applyAlignment="1">
      <alignment horizontal="right" wrapText="1"/>
    </xf>
    <xf numFmtId="0" fontId="18" fillId="0" borderId="1" xfId="7" applyFont="1" applyFill="1" applyBorder="1" applyAlignment="1">
      <alignment wrapText="1"/>
    </xf>
    <xf numFmtId="171" fontId="18" fillId="0" borderId="1" xfId="7" applyNumberFormat="1" applyFont="1" applyFill="1" applyBorder="1" applyAlignment="1">
      <alignment horizontal="right" wrapText="1"/>
    </xf>
    <xf numFmtId="4" fontId="18" fillId="0" borderId="1" xfId="7" applyNumberFormat="1" applyFont="1" applyFill="1" applyBorder="1" applyAlignment="1">
      <alignment horizontal="right" wrapText="1"/>
    </xf>
    <xf numFmtId="164" fontId="0" fillId="0" borderId="0" xfId="0" applyNumberFormat="1" applyFill="1" applyBorder="1"/>
    <xf numFmtId="37" fontId="0" fillId="0" borderId="0" xfId="1" applyNumberFormat="1" applyFont="1" applyFill="1" applyBorder="1" applyAlignment="1">
      <alignment horizontal="center"/>
    </xf>
    <xf numFmtId="168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3" fontId="0" fillId="0" borderId="0" xfId="0" applyNumberFormat="1" applyFill="1" applyAlignment="1">
      <alignment horizontal="center"/>
    </xf>
    <xf numFmtId="18" fontId="0" fillId="0" borderId="0" xfId="0" applyNumberForma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ont="1" applyAlignment="1">
      <alignment horizontal="right"/>
    </xf>
    <xf numFmtId="0" fontId="0" fillId="3" borderId="0" xfId="0" applyFill="1" applyAlignment="1"/>
    <xf numFmtId="170" fontId="0" fillId="3" borderId="0" xfId="0" applyNumberFormat="1" applyFill="1" applyAlignment="1"/>
    <xf numFmtId="37" fontId="3" fillId="3" borderId="1" xfId="1" applyNumberFormat="1" applyFont="1" applyFill="1" applyBorder="1" applyAlignment="1">
      <alignment horizontal="right"/>
    </xf>
    <xf numFmtId="0" fontId="3" fillId="3" borderId="1" xfId="8" applyFont="1" applyFill="1" applyBorder="1" applyAlignment="1">
      <alignment horizontal="right" wrapText="1"/>
    </xf>
    <xf numFmtId="10" fontId="0" fillId="3" borderId="0" xfId="0" applyNumberFormat="1" applyFill="1"/>
    <xf numFmtId="3" fontId="0" fillId="3" borderId="0" xfId="0" applyNumberFormat="1" applyFill="1"/>
    <xf numFmtId="0" fontId="3" fillId="2" borderId="2" xfId="9" applyFont="1" applyFill="1" applyBorder="1" applyAlignment="1">
      <alignment horizontal="center"/>
    </xf>
    <xf numFmtId="0" fontId="3" fillId="0" borderId="1" xfId="9" applyFont="1" applyFill="1" applyBorder="1" applyAlignment="1">
      <alignment horizontal="right" wrapText="1"/>
    </xf>
    <xf numFmtId="0" fontId="3" fillId="0" borderId="1" xfId="9" applyFont="1" applyFill="1" applyBorder="1" applyAlignment="1">
      <alignment wrapText="1"/>
    </xf>
    <xf numFmtId="171" fontId="3" fillId="0" borderId="1" xfId="9" applyNumberFormat="1" applyFont="1" applyFill="1" applyBorder="1" applyAlignment="1">
      <alignment horizontal="right" wrapText="1"/>
    </xf>
    <xf numFmtId="0" fontId="21" fillId="0" borderId="1" xfId="10" applyFont="1" applyFill="1" applyBorder="1" applyAlignment="1">
      <alignment horizontal="right" wrapText="1"/>
    </xf>
    <xf numFmtId="0" fontId="21" fillId="0" borderId="1" xfId="10" applyFont="1" applyFill="1" applyBorder="1" applyAlignment="1">
      <alignment wrapText="1"/>
    </xf>
    <xf numFmtId="171" fontId="21" fillId="0" borderId="1" xfId="10" applyNumberFormat="1" applyFont="1" applyFill="1" applyBorder="1" applyAlignment="1">
      <alignment horizontal="right" wrapText="1"/>
    </xf>
    <xf numFmtId="0" fontId="21" fillId="0" borderId="1" xfId="11" applyFont="1" applyFill="1" applyBorder="1" applyAlignment="1">
      <alignment horizontal="right" wrapText="1"/>
    </xf>
    <xf numFmtId="0" fontId="21" fillId="0" borderId="1" xfId="11" applyFont="1" applyFill="1" applyBorder="1" applyAlignment="1">
      <alignment wrapText="1"/>
    </xf>
    <xf numFmtId="171" fontId="21" fillId="0" borderId="1" xfId="11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horizontal="right"/>
    </xf>
    <xf numFmtId="37" fontId="2" fillId="0" borderId="0" xfId="1" applyNumberFormat="1" applyFont="1" applyBorder="1" applyAlignment="1">
      <alignment horizontal="right"/>
    </xf>
    <xf numFmtId="37" fontId="0" fillId="0" borderId="0" xfId="0" applyNumberFormat="1" applyFont="1" applyBorder="1"/>
    <xf numFmtId="0" fontId="0" fillId="0" borderId="0" xfId="0" applyBorder="1"/>
    <xf numFmtId="3" fontId="0" fillId="0" borderId="0" xfId="0" applyNumberFormat="1" applyBorder="1" applyAlignment="1">
      <alignment horizontal="center"/>
    </xf>
    <xf numFmtId="37" fontId="0" fillId="0" borderId="0" xfId="0" applyNumberFormat="1" applyBorder="1"/>
    <xf numFmtId="18" fontId="0" fillId="0" borderId="0" xfId="0" applyNumberFormat="1" applyBorder="1"/>
    <xf numFmtId="0" fontId="0" fillId="0" borderId="0" xfId="0" applyFill="1" applyBorder="1"/>
    <xf numFmtId="168" fontId="0" fillId="0" borderId="0" xfId="0" applyNumberFormat="1" applyFill="1" applyBorder="1" applyAlignment="1">
      <alignment horizontal="center"/>
    </xf>
    <xf numFmtId="18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37" fontId="0" fillId="0" borderId="0" xfId="0" applyNumberFormat="1" applyFont="1" applyFill="1" applyBorder="1"/>
    <xf numFmtId="37" fontId="0" fillId="0" borderId="0" xfId="0" applyNumberFormat="1" applyFill="1" applyBorder="1"/>
    <xf numFmtId="0" fontId="2" fillId="0" borderId="24" xfId="0" applyFont="1" applyBorder="1" applyAlignment="1">
      <alignment horizontal="center"/>
    </xf>
    <xf numFmtId="167" fontId="0" fillId="0" borderId="0" xfId="0" applyNumberFormat="1" applyBorder="1" applyAlignment="1">
      <alignment horizontal="right"/>
    </xf>
    <xf numFmtId="3" fontId="14" fillId="0" borderId="1" xfId="3" applyNumberFormat="1" applyFont="1" applyFill="1" applyBorder="1" applyAlignment="1">
      <alignment horizontal="right" wrapText="1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0" fontId="3" fillId="2" borderId="2" xfId="8" applyFont="1" applyFill="1" applyBorder="1" applyAlignment="1">
      <alignment horizontal="center"/>
    </xf>
    <xf numFmtId="0" fontId="3" fillId="0" borderId="1" xfId="8" applyFont="1" applyFill="1" applyBorder="1" applyAlignment="1">
      <alignment horizontal="right" wrapText="1"/>
    </xf>
    <xf numFmtId="0" fontId="3" fillId="0" borderId="1" xfId="8" applyFont="1" applyFill="1" applyBorder="1" applyAlignment="1">
      <alignment wrapText="1"/>
    </xf>
    <xf numFmtId="171" fontId="3" fillId="0" borderId="1" xfId="8" applyNumberFormat="1" applyFont="1" applyFill="1" applyBorder="1" applyAlignment="1">
      <alignment horizontal="right" wrapText="1"/>
    </xf>
    <xf numFmtId="0" fontId="3" fillId="0" borderId="1" xfId="3" applyFont="1" applyFill="1" applyBorder="1" applyAlignment="1">
      <alignment horizontal="right" wrapText="1"/>
    </xf>
    <xf numFmtId="0" fontId="3" fillId="0" borderId="1" xfId="3" applyFont="1" applyFill="1" applyBorder="1" applyAlignment="1">
      <alignment wrapText="1"/>
    </xf>
    <xf numFmtId="171" fontId="3" fillId="0" borderId="1" xfId="3" applyNumberFormat="1" applyFont="1" applyFill="1" applyBorder="1" applyAlignment="1">
      <alignment horizontal="right" wrapText="1"/>
    </xf>
    <xf numFmtId="0" fontId="2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168" fontId="22" fillId="0" borderId="9" xfId="0" applyNumberFormat="1" applyFont="1" applyFill="1" applyBorder="1" applyAlignment="1">
      <alignment horizontal="center"/>
    </xf>
    <xf numFmtId="168" fontId="0" fillId="0" borderId="0" xfId="0" applyNumberFormat="1"/>
    <xf numFmtId="0" fontId="23" fillId="0" borderId="0" xfId="12" applyAlignment="1"/>
    <xf numFmtId="3" fontId="22" fillId="0" borderId="7" xfId="0" applyNumberFormat="1" applyFont="1" applyFill="1" applyBorder="1" applyAlignment="1">
      <alignment horizontal="center"/>
    </xf>
    <xf numFmtId="16" fontId="5" fillId="0" borderId="24" xfId="0" applyNumberFormat="1" applyFont="1" applyBorder="1" applyAlignment="1">
      <alignment horizontal="center"/>
    </xf>
    <xf numFmtId="165" fontId="6" fillId="0" borderId="24" xfId="0" applyNumberFormat="1" applyFont="1" applyBorder="1" applyAlignment="1">
      <alignment horizontal="center"/>
    </xf>
    <xf numFmtId="3" fontId="5" fillId="0" borderId="30" xfId="0" applyNumberFormat="1" applyFont="1" applyFill="1" applyBorder="1" applyAlignment="1">
      <alignment horizontal="center"/>
    </xf>
    <xf numFmtId="3" fontId="22" fillId="0" borderId="30" xfId="0" applyNumberFormat="1" applyFont="1" applyFill="1" applyBorder="1" applyAlignment="1">
      <alignment horizontal="center"/>
    </xf>
    <xf numFmtId="16" fontId="5" fillId="0" borderId="24" xfId="0" applyNumberFormat="1" applyFont="1" applyFill="1" applyBorder="1" applyAlignment="1">
      <alignment horizontal="center"/>
    </xf>
    <xf numFmtId="168" fontId="22" fillId="0" borderId="0" xfId="0" applyNumberFormat="1" applyFont="1" applyFill="1" applyBorder="1" applyAlignment="1">
      <alignment horizontal="center"/>
    </xf>
    <xf numFmtId="0" fontId="24" fillId="0" borderId="1" xfId="13" applyFont="1" applyFill="1" applyBorder="1" applyAlignment="1">
      <alignment horizontal="right" wrapText="1"/>
    </xf>
    <xf numFmtId="0" fontId="24" fillId="0" borderId="1" xfId="13" applyFont="1" applyFill="1" applyBorder="1" applyAlignment="1">
      <alignment wrapText="1"/>
    </xf>
    <xf numFmtId="171" fontId="24" fillId="0" borderId="1" xfId="13" applyNumberFormat="1" applyFont="1" applyFill="1" applyBorder="1" applyAlignment="1">
      <alignment horizontal="right" wrapText="1"/>
    </xf>
    <xf numFmtId="0" fontId="2" fillId="0" borderId="24" xfId="0" applyFont="1" applyBorder="1" applyAlignment="1">
      <alignment horizontal="center"/>
    </xf>
    <xf numFmtId="0" fontId="26" fillId="2" borderId="2" xfId="14" applyFont="1" applyFill="1" applyBorder="1" applyAlignment="1">
      <alignment horizontal="center"/>
    </xf>
    <xf numFmtId="0" fontId="26" fillId="0" borderId="1" xfId="14" applyFont="1" applyFill="1" applyBorder="1" applyAlignment="1">
      <alignment horizontal="right" wrapText="1"/>
    </xf>
    <xf numFmtId="171" fontId="26" fillId="0" borderId="1" xfId="14" applyNumberFormat="1" applyFont="1" applyFill="1" applyBorder="1" applyAlignment="1">
      <alignment horizontal="right" wrapText="1"/>
    </xf>
    <xf numFmtId="173" fontId="26" fillId="0" borderId="1" xfId="14" applyNumberFormat="1" applyFont="1" applyFill="1" applyBorder="1" applyAlignment="1">
      <alignment horizontal="right" wrapText="1"/>
    </xf>
    <xf numFmtId="168" fontId="26" fillId="0" borderId="1" xfId="14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center"/>
    </xf>
    <xf numFmtId="0" fontId="26" fillId="2" borderId="2" xfId="15" applyFont="1" applyFill="1" applyBorder="1" applyAlignment="1">
      <alignment horizontal="center"/>
    </xf>
    <xf numFmtId="0" fontId="26" fillId="0" borderId="1" xfId="15" applyFont="1" applyFill="1" applyBorder="1" applyAlignment="1">
      <alignment wrapText="1"/>
    </xf>
    <xf numFmtId="171" fontId="26" fillId="0" borderId="1" xfId="15" applyNumberFormat="1" applyFont="1" applyFill="1" applyBorder="1" applyAlignment="1">
      <alignment horizontal="right" wrapText="1"/>
    </xf>
    <xf numFmtId="4" fontId="26" fillId="0" borderId="1" xfId="15" applyNumberFormat="1" applyFont="1" applyFill="1" applyBorder="1" applyAlignment="1">
      <alignment horizontal="right" wrapText="1"/>
    </xf>
    <xf numFmtId="0" fontId="26" fillId="0" borderId="1" xfId="15" applyFont="1" applyFill="1" applyBorder="1" applyAlignment="1">
      <alignment horizontal="right" wrapText="1"/>
    </xf>
    <xf numFmtId="3" fontId="26" fillId="0" borderId="1" xfId="15" applyNumberFormat="1" applyFont="1" applyFill="1" applyBorder="1" applyAlignment="1">
      <alignment horizontal="right" wrapText="1"/>
    </xf>
    <xf numFmtId="37" fontId="0" fillId="3" borderId="0" xfId="1" applyNumberFormat="1" applyFont="1" applyFill="1" applyBorder="1" applyAlignment="1">
      <alignment horizontal="center"/>
    </xf>
    <xf numFmtId="167" fontId="0" fillId="3" borderId="0" xfId="1" applyNumberFormat="1" applyFont="1" applyFill="1" applyBorder="1" applyAlignment="1">
      <alignment horizontal="center"/>
    </xf>
    <xf numFmtId="0" fontId="3" fillId="2" borderId="2" xfId="16" applyFont="1" applyFill="1" applyBorder="1" applyAlignment="1">
      <alignment horizontal="center"/>
    </xf>
    <xf numFmtId="0" fontId="3" fillId="0" borderId="1" xfId="16" applyFont="1" applyFill="1" applyBorder="1" applyAlignment="1">
      <alignment wrapText="1"/>
    </xf>
    <xf numFmtId="171" fontId="3" fillId="0" borderId="1" xfId="16" applyNumberFormat="1" applyFont="1" applyFill="1" applyBorder="1" applyAlignment="1">
      <alignment horizontal="right" wrapText="1"/>
    </xf>
    <xf numFmtId="4" fontId="3" fillId="0" borderId="1" xfId="16" applyNumberFormat="1" applyFont="1" applyFill="1" applyBorder="1" applyAlignment="1">
      <alignment horizontal="right" wrapText="1"/>
    </xf>
    <xf numFmtId="0" fontId="3" fillId="0" borderId="1" xfId="16" applyFont="1" applyFill="1" applyBorder="1" applyAlignment="1">
      <alignment horizontal="right" wrapText="1"/>
    </xf>
    <xf numFmtId="16" fontId="9" fillId="0" borderId="0" xfId="0" applyNumberFormat="1" applyFont="1" applyFill="1" applyBorder="1" applyAlignment="1">
      <alignment horizontal="center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5" fillId="0" borderId="7" xfId="0" applyNumberFormat="1" applyFont="1" applyFill="1" applyBorder="1" applyAlignment="1">
      <alignment horizontal="center"/>
    </xf>
    <xf numFmtId="168" fontId="9" fillId="0" borderId="9" xfId="0" applyNumberFormat="1" applyFont="1" applyFill="1" applyBorder="1" applyAlignment="1">
      <alignment horizontal="center"/>
    </xf>
    <xf numFmtId="3" fontId="9" fillId="0" borderId="10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164" fontId="0" fillId="3" borderId="0" xfId="0" applyNumberFormat="1" applyFill="1" applyBorder="1"/>
    <xf numFmtId="165" fontId="0" fillId="3" borderId="0" xfId="0" applyNumberFormat="1" applyFill="1" applyBorder="1" applyAlignment="1">
      <alignment horizontal="center"/>
    </xf>
    <xf numFmtId="168" fontId="0" fillId="3" borderId="0" xfId="0" applyNumberFormat="1" applyFill="1" applyAlignment="1">
      <alignment horizontal="center"/>
    </xf>
    <xf numFmtId="18" fontId="0" fillId="3" borderId="0" xfId="0" applyNumberFormat="1" applyFill="1"/>
    <xf numFmtId="174" fontId="0" fillId="0" borderId="0" xfId="0" applyNumberFormat="1"/>
    <xf numFmtId="0" fontId="28" fillId="0" borderId="1" xfId="17" applyFont="1" applyFill="1" applyBorder="1" applyAlignment="1">
      <alignment horizontal="right" wrapText="1"/>
    </xf>
    <xf numFmtId="0" fontId="28" fillId="0" borderId="1" xfId="17" applyFont="1" applyFill="1" applyBorder="1" applyAlignment="1">
      <alignment wrapText="1"/>
    </xf>
    <xf numFmtId="171" fontId="28" fillId="0" borderId="1" xfId="17" applyNumberFormat="1" applyFont="1" applyFill="1" applyBorder="1" applyAlignment="1">
      <alignment horizontal="right" wrapText="1"/>
    </xf>
    <xf numFmtId="0" fontId="28" fillId="2" borderId="2" xfId="18" applyFont="1" applyFill="1" applyBorder="1" applyAlignment="1">
      <alignment horizontal="center"/>
    </xf>
    <xf numFmtId="0" fontId="28" fillId="0" borderId="1" xfId="18" applyFont="1" applyFill="1" applyBorder="1" applyAlignment="1">
      <alignment horizontal="right" wrapText="1"/>
    </xf>
    <xf numFmtId="0" fontId="28" fillId="0" borderId="1" xfId="18" applyFont="1" applyFill="1" applyBorder="1" applyAlignment="1">
      <alignment wrapText="1"/>
    </xf>
    <xf numFmtId="171" fontId="28" fillId="0" borderId="1" xfId="18" applyNumberFormat="1" applyFont="1" applyFill="1" applyBorder="1" applyAlignment="1">
      <alignment horizontal="right" wrapText="1"/>
    </xf>
    <xf numFmtId="0" fontId="30" fillId="2" borderId="2" xfId="19" applyFont="1" applyFill="1" applyBorder="1" applyAlignment="1">
      <alignment horizontal="center"/>
    </xf>
    <xf numFmtId="0" fontId="30" fillId="0" borderId="1" xfId="19" applyFont="1" applyFill="1" applyBorder="1" applyAlignment="1">
      <alignment wrapText="1"/>
    </xf>
    <xf numFmtId="171" fontId="30" fillId="0" borderId="1" xfId="19" applyNumberFormat="1" applyFont="1" applyFill="1" applyBorder="1" applyAlignment="1">
      <alignment horizontal="right" wrapText="1"/>
    </xf>
    <xf numFmtId="4" fontId="30" fillId="0" borderId="1" xfId="19" applyNumberFormat="1" applyFont="1" applyFill="1" applyBorder="1" applyAlignment="1">
      <alignment horizontal="right" wrapText="1"/>
    </xf>
    <xf numFmtId="0" fontId="30" fillId="0" borderId="1" xfId="19" applyFont="1" applyFill="1" applyBorder="1" applyAlignment="1">
      <alignment horizontal="right" wrapText="1"/>
    </xf>
    <xf numFmtId="0" fontId="30" fillId="0" borderId="1" xfId="20" applyFont="1" applyFill="1" applyBorder="1" applyAlignment="1">
      <alignment horizontal="right" wrapText="1"/>
    </xf>
    <xf numFmtId="0" fontId="30" fillId="0" borderId="1" xfId="20" applyFont="1" applyFill="1" applyBorder="1" applyAlignment="1">
      <alignment wrapText="1"/>
    </xf>
    <xf numFmtId="171" fontId="30" fillId="0" borderId="1" xfId="20" applyNumberFormat="1" applyFont="1" applyFill="1" applyBorder="1" applyAlignment="1">
      <alignment horizontal="right" wrapText="1"/>
    </xf>
    <xf numFmtId="0" fontId="30" fillId="2" borderId="2" xfId="21" applyFont="1" applyFill="1" applyBorder="1" applyAlignment="1">
      <alignment horizontal="center"/>
    </xf>
    <xf numFmtId="0" fontId="30" fillId="0" borderId="1" xfId="21" applyFont="1" applyFill="1" applyBorder="1" applyAlignment="1">
      <alignment horizontal="right" wrapText="1"/>
    </xf>
    <xf numFmtId="0" fontId="30" fillId="0" borderId="1" xfId="21" applyFont="1" applyFill="1" applyBorder="1" applyAlignment="1">
      <alignment wrapText="1"/>
    </xf>
    <xf numFmtId="171" fontId="30" fillId="0" borderId="1" xfId="21" applyNumberFormat="1" applyFont="1" applyFill="1" applyBorder="1" applyAlignment="1">
      <alignment horizontal="right" wrapText="1"/>
    </xf>
    <xf numFmtId="175" fontId="0" fillId="0" borderId="0" xfId="0" applyNumberFormat="1"/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8" fontId="5" fillId="0" borderId="33" xfId="0" applyNumberFormat="1" applyFont="1" applyFill="1" applyBorder="1" applyAlignment="1">
      <alignment horizontal="center"/>
    </xf>
    <xf numFmtId="168" fontId="5" fillId="0" borderId="34" xfId="0" applyNumberFormat="1" applyFont="1" applyFill="1" applyBorder="1" applyAlignment="1">
      <alignment horizontal="center"/>
    </xf>
    <xf numFmtId="168" fontId="5" fillId="0" borderId="35" xfId="0" applyNumberFormat="1" applyFont="1" applyFill="1" applyBorder="1" applyAlignment="1">
      <alignment horizontal="center"/>
    </xf>
    <xf numFmtId="0" fontId="5" fillId="0" borderId="38" xfId="0" applyFont="1" applyFill="1" applyBorder="1" applyAlignment="1">
      <alignment horizontal="center"/>
    </xf>
    <xf numFmtId="0" fontId="5" fillId="0" borderId="39" xfId="0" applyFont="1" applyFill="1" applyBorder="1" applyAlignment="1">
      <alignment horizontal="center"/>
    </xf>
    <xf numFmtId="3" fontId="5" fillId="0" borderId="40" xfId="0" applyNumberFormat="1" applyFont="1" applyFill="1" applyBorder="1" applyAlignment="1">
      <alignment horizontal="center"/>
    </xf>
    <xf numFmtId="0" fontId="5" fillId="0" borderId="36" xfId="0" applyFont="1" applyFill="1" applyBorder="1" applyAlignment="1">
      <alignment horizontal="center"/>
    </xf>
    <xf numFmtId="16" fontId="5" fillId="3" borderId="0" xfId="0" applyNumberFormat="1" applyFont="1" applyFill="1" applyBorder="1" applyAlignment="1">
      <alignment horizontal="center"/>
    </xf>
    <xf numFmtId="165" fontId="6" fillId="3" borderId="0" xfId="0" applyNumberFormat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18" fontId="6" fillId="3" borderId="0" xfId="0" applyNumberFormat="1" applyFont="1" applyFill="1" applyBorder="1" applyAlignment="1">
      <alignment horizontal="center"/>
    </xf>
    <xf numFmtId="3" fontId="5" fillId="3" borderId="7" xfId="0" applyNumberFormat="1" applyFont="1" applyFill="1" applyBorder="1" applyAlignment="1">
      <alignment horizontal="center"/>
    </xf>
    <xf numFmtId="3" fontId="5" fillId="3" borderId="40" xfId="0" applyNumberFormat="1" applyFont="1" applyFill="1" applyBorder="1" applyAlignment="1">
      <alignment horizontal="center"/>
    </xf>
    <xf numFmtId="0" fontId="0" fillId="3" borderId="0" xfId="0" applyFill="1"/>
    <xf numFmtId="0" fontId="32" fillId="3" borderId="3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18" fontId="6" fillId="3" borderId="0" xfId="0" applyNumberFormat="1" applyFont="1" applyFill="1" applyAlignment="1">
      <alignment horizontal="center"/>
    </xf>
    <xf numFmtId="168" fontId="5" fillId="3" borderId="0" xfId="0" applyNumberFormat="1" applyFont="1" applyFill="1" applyBorder="1" applyAlignment="1">
      <alignment horizontal="center"/>
    </xf>
    <xf numFmtId="18" fontId="5" fillId="3" borderId="0" xfId="0" applyNumberFormat="1" applyFont="1" applyFill="1" applyBorder="1" applyAlignment="1">
      <alignment horizontal="center"/>
    </xf>
    <xf numFmtId="173" fontId="5" fillId="3" borderId="8" xfId="0" applyNumberFormat="1" applyFont="1" applyFill="1" applyBorder="1" applyAlignment="1">
      <alignment horizontal="center"/>
    </xf>
    <xf numFmtId="0" fontId="5" fillId="0" borderId="40" xfId="0" applyFont="1" applyFill="1" applyBorder="1" applyAlignment="1">
      <alignment horizontal="center"/>
    </xf>
    <xf numFmtId="18" fontId="5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32" fillId="0" borderId="36" xfId="0" applyFont="1" applyFill="1" applyBorder="1" applyAlignment="1">
      <alignment horizontal="center" vertical="center"/>
    </xf>
    <xf numFmtId="173" fontId="5" fillId="0" borderId="8" xfId="0" applyNumberFormat="1" applyFont="1" applyFill="1" applyBorder="1" applyAlignment="1">
      <alignment horizontal="center"/>
    </xf>
    <xf numFmtId="16" fontId="5" fillId="0" borderId="8" xfId="0" applyNumberFormat="1" applyFont="1" applyFill="1" applyBorder="1" applyAlignment="1">
      <alignment horizontal="center"/>
    </xf>
    <xf numFmtId="3" fontId="5" fillId="0" borderId="10" xfId="0" applyNumberFormat="1" applyFont="1" applyFill="1" applyBorder="1" applyAlignment="1">
      <alignment horizontal="center"/>
    </xf>
    <xf numFmtId="3" fontId="5" fillId="0" borderId="41" xfId="0" applyNumberFormat="1" applyFont="1" applyFill="1" applyBorder="1" applyAlignment="1">
      <alignment horizontal="center"/>
    </xf>
    <xf numFmtId="168" fontId="0" fillId="3" borderId="0" xfId="0" applyNumberFormat="1" applyFont="1" applyFill="1" applyAlignment="1">
      <alignment horizontal="center"/>
    </xf>
    <xf numFmtId="168" fontId="0" fillId="0" borderId="0" xfId="0" applyNumberFormat="1" applyFont="1" applyFill="1" applyAlignment="1">
      <alignment horizontal="center"/>
    </xf>
    <xf numFmtId="0" fontId="5" fillId="0" borderId="37" xfId="0" applyFont="1" applyFill="1" applyBorder="1" applyAlignment="1">
      <alignment horizontal="center"/>
    </xf>
    <xf numFmtId="0" fontId="5" fillId="0" borderId="42" xfId="0" applyFont="1" applyFill="1" applyBorder="1" applyAlignment="1"/>
    <xf numFmtId="0" fontId="5" fillId="0" borderId="43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34" xfId="0" applyFont="1" applyFill="1" applyBorder="1" applyAlignment="1">
      <alignment horizontal="center"/>
    </xf>
    <xf numFmtId="0" fontId="5" fillId="0" borderId="21" xfId="0" applyFont="1" applyFill="1" applyBorder="1" applyAlignment="1"/>
    <xf numFmtId="0" fontId="5" fillId="0" borderId="33" xfId="0" applyFont="1" applyFill="1" applyBorder="1" applyAlignment="1">
      <alignment horizontal="center"/>
    </xf>
    <xf numFmtId="173" fontId="5" fillId="0" borderId="0" xfId="0" applyNumberFormat="1" applyFont="1" applyFill="1" applyBorder="1" applyAlignment="1">
      <alignment horizontal="center"/>
    </xf>
    <xf numFmtId="0" fontId="0" fillId="0" borderId="46" xfId="0" applyFill="1" applyBorder="1"/>
    <xf numFmtId="0" fontId="0" fillId="0" borderId="47" xfId="0" applyFill="1" applyBorder="1"/>
    <xf numFmtId="3" fontId="5" fillId="0" borderId="48" xfId="0" applyNumberFormat="1" applyFont="1" applyFill="1" applyBorder="1" applyAlignment="1">
      <alignment horizontal="center"/>
    </xf>
    <xf numFmtId="16" fontId="5" fillId="3" borderId="8" xfId="0" applyNumberFormat="1" applyFont="1" applyFill="1" applyBorder="1" applyAlignment="1">
      <alignment horizontal="center"/>
    </xf>
    <xf numFmtId="3" fontId="5" fillId="0" borderId="49" xfId="0" applyNumberFormat="1" applyFont="1" applyFill="1" applyBorder="1" applyAlignment="1">
      <alignment horizontal="center"/>
    </xf>
    <xf numFmtId="3" fontId="5" fillId="0" borderId="46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8" fontId="6" fillId="0" borderId="0" xfId="0" applyNumberFormat="1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32" fillId="0" borderId="50" xfId="0" applyFont="1" applyFill="1" applyBorder="1" applyAlignment="1">
      <alignment horizontal="center" vertical="center"/>
    </xf>
    <xf numFmtId="3" fontId="5" fillId="0" borderId="45" xfId="0" applyNumberFormat="1" applyFont="1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9" fontId="5" fillId="0" borderId="45" xfId="2" applyFont="1" applyFill="1" applyBorder="1" applyAlignment="1">
      <alignment horizontal="center"/>
    </xf>
    <xf numFmtId="0" fontId="0" fillId="0" borderId="45" xfId="0" applyFill="1" applyBorder="1"/>
    <xf numFmtId="16" fontId="5" fillId="0" borderId="42" xfId="0" applyNumberFormat="1" applyFont="1" applyFill="1" applyBorder="1" applyAlignment="1">
      <alignment horizontal="center"/>
    </xf>
    <xf numFmtId="165" fontId="6" fillId="0" borderId="42" xfId="0" applyNumberFormat="1" applyFont="1" applyFill="1" applyBorder="1" applyAlignment="1">
      <alignment horizontal="center"/>
    </xf>
    <xf numFmtId="3" fontId="5" fillId="0" borderId="51" xfId="0" applyNumberFormat="1" applyFont="1" applyFill="1" applyBorder="1" applyAlignment="1">
      <alignment horizontal="center"/>
    </xf>
    <xf numFmtId="3" fontId="5" fillId="0" borderId="52" xfId="0" applyNumberFormat="1" applyFont="1" applyFill="1" applyBorder="1" applyAlignment="1">
      <alignment horizontal="center"/>
    </xf>
    <xf numFmtId="0" fontId="0" fillId="0" borderId="42" xfId="0" applyFill="1" applyBorder="1"/>
    <xf numFmtId="3" fontId="0" fillId="0" borderId="45" xfId="0" applyNumberFormat="1" applyFill="1" applyBorder="1" applyAlignment="1">
      <alignment horizontal="center"/>
    </xf>
    <xf numFmtId="16" fontId="5" fillId="0" borderId="44" xfId="0" applyNumberFormat="1" applyFont="1" applyFill="1" applyBorder="1" applyAlignment="1">
      <alignment horizontal="left"/>
    </xf>
    <xf numFmtId="16" fontId="5" fillId="0" borderId="53" xfId="0" applyNumberFormat="1" applyFont="1" applyFill="1" applyBorder="1" applyAlignment="1">
      <alignment horizontal="left"/>
    </xf>
    <xf numFmtId="16" fontId="5" fillId="0" borderId="47" xfId="0" applyNumberFormat="1" applyFont="1" applyFill="1" applyBorder="1" applyAlignment="1">
      <alignment horizontal="left"/>
    </xf>
    <xf numFmtId="16" fontId="5" fillId="0" borderId="54" xfId="0" applyNumberFormat="1" applyFont="1" applyFill="1" applyBorder="1" applyAlignment="1">
      <alignment horizontal="left"/>
    </xf>
    <xf numFmtId="0" fontId="0" fillId="0" borderId="47" xfId="0" applyFont="1" applyFill="1" applyBorder="1"/>
    <xf numFmtId="0" fontId="2" fillId="0" borderId="2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6" fontId="9" fillId="0" borderId="26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16" fontId="5" fillId="0" borderId="4" xfId="0" applyNumberFormat="1" applyFont="1" applyFill="1" applyBorder="1" applyAlignment="1">
      <alignment horizontal="center"/>
    </xf>
    <xf numFmtId="16" fontId="5" fillId="0" borderId="3" xfId="0" applyNumberFormat="1" applyFont="1" applyFill="1" applyBorder="1" applyAlignment="1">
      <alignment horizontal="center"/>
    </xf>
    <xf numFmtId="16" fontId="5" fillId="0" borderId="11" xfId="0" applyNumberFormat="1" applyFont="1" applyFill="1" applyBorder="1" applyAlignment="1">
      <alignment horizontal="center"/>
    </xf>
    <xf numFmtId="16" fontId="9" fillId="0" borderId="31" xfId="0" applyNumberFormat="1" applyFont="1" applyFill="1" applyBorder="1" applyAlignment="1">
      <alignment horizontal="center"/>
    </xf>
    <xf numFmtId="16" fontId="9" fillId="0" borderId="32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" fontId="5" fillId="0" borderId="9" xfId="0" applyNumberFormat="1" applyFont="1" applyFill="1" applyBorder="1" applyAlignment="1">
      <alignment horizontal="center"/>
    </xf>
    <xf numFmtId="16" fontId="5" fillId="0" borderId="26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16" fontId="5" fillId="0" borderId="55" xfId="0" applyNumberFormat="1" applyFont="1" applyFill="1" applyBorder="1" applyAlignment="1">
      <alignment horizontal="center"/>
    </xf>
    <xf numFmtId="16" fontId="5" fillId="0" borderId="56" xfId="0" applyNumberFormat="1" applyFont="1" applyFill="1" applyBorder="1" applyAlignment="1">
      <alignment horizontal="center"/>
    </xf>
    <xf numFmtId="16" fontId="5" fillId="0" borderId="57" xfId="0" applyNumberFormat="1" applyFont="1" applyFill="1" applyBorder="1" applyAlignment="1">
      <alignment horizontal="center"/>
    </xf>
  </cellXfs>
  <cellStyles count="22">
    <cellStyle name="Comma" xfId="1" builtinId="3"/>
    <cellStyle name="Normal" xfId="0" builtinId="0"/>
    <cellStyle name="Normal_Cop Wastage" xfId="8" xr:uid="{00000000-0005-0000-0000-000002000000}"/>
    <cellStyle name="Normal_Cop Wastage_1" xfId="17" xr:uid="{00000000-0005-0000-0000-000003000000}"/>
    <cellStyle name="Normal_Cop Wastage_2" xfId="11" xr:uid="{00000000-0005-0000-0000-000004000000}"/>
    <cellStyle name="Normal_Copy Sheet" xfId="15" xr:uid="{00000000-0005-0000-0000-000005000000}"/>
    <cellStyle name="Normal_Copy Sheet_1" xfId="16" xr:uid="{00000000-0005-0000-0000-000006000000}"/>
    <cellStyle name="Normal_Copy Sheet_2" xfId="12" xr:uid="{00000000-0005-0000-0000-000007000000}"/>
    <cellStyle name="Normal_Copy Sheet_3" xfId="19" xr:uid="{00000000-0005-0000-0000-000008000000}"/>
    <cellStyle name="Normal_LB Wastage" xfId="6" xr:uid="{00000000-0005-0000-0000-000009000000}"/>
    <cellStyle name="Normal_LB Wastage_1" xfId="9" xr:uid="{00000000-0005-0000-0000-00000A000000}"/>
    <cellStyle name="Normal_LB Wastage_2" xfId="20" xr:uid="{00000000-0005-0000-0000-00000B000000}"/>
    <cellStyle name="Normal_Moc Wastage" xfId="4" xr:uid="{00000000-0005-0000-0000-00000C000000}"/>
    <cellStyle name="Normal_Moc Wastage_1" xfId="10" xr:uid="{00000000-0005-0000-0000-00000D000000}"/>
    <cellStyle name="Normal_Moc Wastage_4" xfId="21" xr:uid="{00000000-0005-0000-0000-00000E000000}"/>
    <cellStyle name="Normal_Sheet1" xfId="14" xr:uid="{00000000-0005-0000-0000-00000F000000}"/>
    <cellStyle name="Normal_Sheet3" xfId="5" xr:uid="{00000000-0005-0000-0000-000010000000}"/>
    <cellStyle name="Normal_TH Wastage" xfId="3" xr:uid="{00000000-0005-0000-0000-000011000000}"/>
    <cellStyle name="Normal_TH Wastage_1" xfId="13" xr:uid="{00000000-0005-0000-0000-000012000000}"/>
    <cellStyle name="Normal_TH Wastage_2" xfId="7" xr:uid="{00000000-0005-0000-0000-000013000000}"/>
    <cellStyle name="Normal_TH Wastage_3" xfId="18" xr:uid="{00000000-0005-0000-0000-000014000000}"/>
    <cellStyle name="Percent" xfId="2" builtinId="5"/>
  </cellStyles>
  <dxfs count="0"/>
  <tableStyles count="0" defaultTableStyle="TableStyleMedium9" defaultPivotStyle="PivotStyleLight16"/>
  <colors>
    <mruColors>
      <color rgb="FF99FFCC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85"/>
  <sheetViews>
    <sheetView zoomScaleNormal="100" workbookViewId="0">
      <selection activeCell="Q2" sqref="Q2"/>
    </sheetView>
  </sheetViews>
  <sheetFormatPr defaultRowHeight="15" x14ac:dyDescent="0.25"/>
  <cols>
    <col min="1" max="1" width="18.7109375" customWidth="1"/>
    <col min="2" max="2" width="5.42578125" customWidth="1"/>
    <col min="3" max="3" width="7.7109375" style="1" customWidth="1"/>
    <col min="4" max="4" width="8.85546875" style="1" bestFit="1" customWidth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8.140625" bestFit="1" customWidth="1"/>
  </cols>
  <sheetData>
    <row r="1" spans="1:17" x14ac:dyDescent="0.25">
      <c r="A1" s="162" t="s">
        <v>8</v>
      </c>
      <c r="B1" s="162" t="s">
        <v>5</v>
      </c>
      <c r="C1" s="162" t="s">
        <v>6</v>
      </c>
      <c r="D1" s="162" t="s">
        <v>7</v>
      </c>
      <c r="E1" s="315" t="s">
        <v>0</v>
      </c>
      <c r="F1" s="315"/>
      <c r="G1" s="315" t="s">
        <v>1</v>
      </c>
      <c r="H1" s="315"/>
      <c r="I1" s="315" t="s">
        <v>2</v>
      </c>
      <c r="J1" s="315"/>
      <c r="K1" s="315" t="s">
        <v>3</v>
      </c>
      <c r="L1" s="315"/>
      <c r="M1" s="315" t="s">
        <v>4</v>
      </c>
      <c r="N1" s="315"/>
      <c r="O1" s="162" t="s">
        <v>11</v>
      </c>
    </row>
    <row r="2" spans="1:17" x14ac:dyDescent="0.25">
      <c r="A2" s="4">
        <v>43384</v>
      </c>
      <c r="B2" s="5">
        <f>+A2</f>
        <v>43384</v>
      </c>
      <c r="C2" s="77">
        <v>-0.6</v>
      </c>
      <c r="D2" s="6">
        <v>0.87361111111111101</v>
      </c>
      <c r="E2" s="52"/>
      <c r="F2" s="8" t="s">
        <v>54</v>
      </c>
      <c r="G2" s="149"/>
      <c r="H2" s="8">
        <v>25850.304851322413</v>
      </c>
      <c r="I2" s="149"/>
      <c r="J2" s="8" t="s">
        <v>54</v>
      </c>
      <c r="K2" s="149"/>
      <c r="L2" s="8">
        <v>18599.553829312834</v>
      </c>
      <c r="M2" s="54"/>
      <c r="N2" s="8" t="s">
        <v>54</v>
      </c>
      <c r="O2" s="151">
        <f>+H2+L2</f>
        <v>44449.858680635247</v>
      </c>
      <c r="Q2" s="14">
        <f>SUM(O2:O9)</f>
        <v>231563.64973642631</v>
      </c>
    </row>
    <row r="3" spans="1:17" x14ac:dyDescent="0.25">
      <c r="A3" s="4">
        <v>43385</v>
      </c>
      <c r="B3" s="5">
        <f t="shared" ref="B3:B45" si="0">+A3</f>
        <v>43385</v>
      </c>
      <c r="C3" s="77">
        <v>-0.3</v>
      </c>
      <c r="D3" s="6">
        <v>0.90347222222222223</v>
      </c>
      <c r="E3" s="53"/>
      <c r="F3" s="8" t="s">
        <v>54</v>
      </c>
      <c r="G3" s="149"/>
      <c r="H3" s="8">
        <v>16131.647680193924</v>
      </c>
      <c r="I3" s="149"/>
      <c r="J3" s="8">
        <v>29090.250424371439</v>
      </c>
      <c r="K3" s="149"/>
      <c r="L3" s="8" t="s">
        <v>54</v>
      </c>
      <c r="M3" s="54"/>
      <c r="N3" s="8" t="s">
        <v>54</v>
      </c>
      <c r="O3" s="151">
        <f>+H3+J3</f>
        <v>45221.898104565364</v>
      </c>
    </row>
    <row r="4" spans="1:17" x14ac:dyDescent="0.25">
      <c r="A4" s="4">
        <v>43386</v>
      </c>
      <c r="B4" s="5">
        <f t="shared" si="0"/>
        <v>43386</v>
      </c>
      <c r="C4" s="77">
        <v>0.1</v>
      </c>
      <c r="D4" s="6">
        <v>0.93472222222222223</v>
      </c>
      <c r="E4" s="131"/>
      <c r="F4" s="8" t="s">
        <v>54</v>
      </c>
      <c r="G4" s="8"/>
      <c r="H4" s="8">
        <v>26016.663765471276</v>
      </c>
      <c r="I4" s="8"/>
      <c r="J4" s="8" t="s">
        <v>54</v>
      </c>
      <c r="K4" s="7"/>
      <c r="L4" s="8">
        <v>23316.105050186936</v>
      </c>
      <c r="M4" s="54"/>
      <c r="N4" s="8" t="s">
        <v>54</v>
      </c>
      <c r="O4" s="151">
        <f>+H4+L4</f>
        <v>49332.768815658215</v>
      </c>
    </row>
    <row r="5" spans="1:17" x14ac:dyDescent="0.25">
      <c r="A5" s="4"/>
      <c r="B5" s="5"/>
      <c r="C5" s="77"/>
      <c r="D5" s="6"/>
      <c r="E5" s="53"/>
      <c r="F5" s="8"/>
      <c r="G5" s="8"/>
      <c r="H5" s="8"/>
      <c r="I5" s="8"/>
      <c r="J5" s="8"/>
      <c r="K5" s="7"/>
      <c r="L5" s="8"/>
      <c r="M5" s="54"/>
      <c r="N5" s="8"/>
      <c r="O5" s="151"/>
    </row>
    <row r="6" spans="1:17" x14ac:dyDescent="0.25">
      <c r="A6" s="4">
        <v>43398</v>
      </c>
      <c r="B6" s="5">
        <f t="shared" si="0"/>
        <v>43398</v>
      </c>
      <c r="C6" s="110">
        <v>-0.5</v>
      </c>
      <c r="D6" s="6">
        <v>0.82986111111111116</v>
      </c>
      <c r="E6" s="53"/>
      <c r="F6" s="8" t="s">
        <v>54</v>
      </c>
      <c r="G6" s="8"/>
      <c r="H6" s="8">
        <v>2060.6289800243067</v>
      </c>
      <c r="I6" s="8"/>
      <c r="J6" s="8">
        <v>10682.551024117136</v>
      </c>
      <c r="K6" s="7"/>
      <c r="L6" s="8" t="s">
        <v>54</v>
      </c>
      <c r="M6" s="54"/>
      <c r="N6" s="8" t="s">
        <v>54</v>
      </c>
      <c r="O6" s="151">
        <f>+H6+J6</f>
        <v>12743.180004141443</v>
      </c>
    </row>
    <row r="7" spans="1:17" x14ac:dyDescent="0.25">
      <c r="A7" s="4">
        <v>43399</v>
      </c>
      <c r="B7" s="5">
        <f t="shared" si="0"/>
        <v>43399</v>
      </c>
      <c r="C7" s="110">
        <v>-0.7</v>
      </c>
      <c r="D7" s="111">
        <v>0.85833333333333339</v>
      </c>
      <c r="E7" s="53"/>
      <c r="F7" s="8" t="s">
        <v>54</v>
      </c>
      <c r="G7" s="8"/>
      <c r="H7" s="8">
        <v>22219.796396871392</v>
      </c>
      <c r="I7" s="8"/>
      <c r="J7" s="8" t="s">
        <v>54</v>
      </c>
      <c r="K7" s="7"/>
      <c r="L7" s="8">
        <v>33762.124726809838</v>
      </c>
      <c r="M7" s="54"/>
      <c r="N7" s="8" t="s">
        <v>54</v>
      </c>
      <c r="O7" s="151">
        <f>+H7+L7</f>
        <v>55981.921123681226</v>
      </c>
    </row>
    <row r="8" spans="1:17" x14ac:dyDescent="0.25">
      <c r="A8" s="4">
        <v>43400</v>
      </c>
      <c r="B8" s="5">
        <f t="shared" si="0"/>
        <v>43400</v>
      </c>
      <c r="C8" s="110">
        <v>-0.7</v>
      </c>
      <c r="D8" s="111">
        <v>0.8881944444444444</v>
      </c>
      <c r="E8" s="53"/>
      <c r="F8" s="8" t="s">
        <v>54</v>
      </c>
      <c r="G8" s="131"/>
      <c r="H8" s="8">
        <v>7589.9773643739845</v>
      </c>
      <c r="I8" s="8"/>
      <c r="J8" s="8">
        <v>10258.665546441509</v>
      </c>
      <c r="K8" s="8"/>
      <c r="L8" s="8" t="s">
        <v>54</v>
      </c>
      <c r="M8" s="54"/>
      <c r="N8" s="8" t="s">
        <v>54</v>
      </c>
      <c r="O8" s="151">
        <f>+H8+J8</f>
        <v>17848.642910815492</v>
      </c>
    </row>
    <row r="9" spans="1:17" x14ac:dyDescent="0.25">
      <c r="A9" s="4">
        <v>43401</v>
      </c>
      <c r="B9" s="5">
        <f t="shared" si="0"/>
        <v>43401</v>
      </c>
      <c r="C9" s="77">
        <v>-0.6</v>
      </c>
      <c r="D9" s="6">
        <v>0.92222222222222217</v>
      </c>
      <c r="E9" s="131"/>
      <c r="F9" s="8" t="s">
        <v>54</v>
      </c>
      <c r="G9" s="131"/>
      <c r="H9" s="8">
        <v>2770.0689415757106</v>
      </c>
      <c r="I9" s="152"/>
      <c r="J9" s="8" t="s">
        <v>54</v>
      </c>
      <c r="K9" s="152"/>
      <c r="L9" s="8">
        <v>3215.3111553536041</v>
      </c>
      <c r="M9" s="54"/>
      <c r="N9" s="8" t="s">
        <v>54</v>
      </c>
      <c r="O9" s="151">
        <f>+H9+L9</f>
        <v>5985.3800969293152</v>
      </c>
    </row>
    <row r="10" spans="1:17" x14ac:dyDescent="0.25">
      <c r="A10" s="4"/>
      <c r="B10" s="5"/>
      <c r="C10" s="77"/>
      <c r="D10" s="6"/>
      <c r="E10" s="131"/>
      <c r="F10" s="8"/>
      <c r="G10" s="152"/>
      <c r="H10" s="8"/>
      <c r="I10" s="152"/>
      <c r="J10" s="8"/>
      <c r="K10" s="152"/>
      <c r="L10" s="8"/>
      <c r="M10" s="54"/>
      <c r="N10" s="8"/>
      <c r="O10" s="151"/>
    </row>
    <row r="11" spans="1:17" x14ac:dyDescent="0.25">
      <c r="A11" s="4">
        <v>43412</v>
      </c>
      <c r="B11" s="5">
        <f t="shared" si="0"/>
        <v>43412</v>
      </c>
      <c r="C11" s="77">
        <v>-0.8</v>
      </c>
      <c r="D11" s="6">
        <v>0.7895833333333333</v>
      </c>
      <c r="E11" s="131"/>
      <c r="F11" s="8" t="s">
        <v>54</v>
      </c>
      <c r="G11" s="131"/>
      <c r="H11" s="8">
        <v>18520.614680066396</v>
      </c>
      <c r="I11" s="152"/>
      <c r="J11" s="8" t="s">
        <v>54</v>
      </c>
      <c r="K11" s="152"/>
      <c r="L11" s="8">
        <v>20767.152659242456</v>
      </c>
      <c r="M11" s="54"/>
      <c r="N11" s="8" t="s">
        <v>54</v>
      </c>
      <c r="O11" s="151">
        <f>+H11+L11</f>
        <v>39287.767339308848</v>
      </c>
    </row>
    <row r="12" spans="1:17" x14ac:dyDescent="0.25">
      <c r="A12" s="4">
        <v>43413</v>
      </c>
      <c r="B12" s="5">
        <f t="shared" si="0"/>
        <v>43413</v>
      </c>
      <c r="C12" s="110">
        <v>-0.7</v>
      </c>
      <c r="D12" s="111">
        <v>0.81666666666666676</v>
      </c>
      <c r="E12" s="131"/>
      <c r="F12" s="8" t="s">
        <v>54</v>
      </c>
      <c r="G12" s="152"/>
      <c r="H12" s="153">
        <v>13082.880762009972</v>
      </c>
      <c r="I12" s="152"/>
      <c r="J12" s="8">
        <v>28854.588225513449</v>
      </c>
      <c r="K12" s="152"/>
      <c r="L12" s="8" t="s">
        <v>54</v>
      </c>
      <c r="M12" s="152"/>
      <c r="N12" s="8" t="s">
        <v>54</v>
      </c>
      <c r="O12" s="151">
        <f>+H12+J12</f>
        <v>41937.468987523418</v>
      </c>
    </row>
    <row r="13" spans="1:17" x14ac:dyDescent="0.25">
      <c r="A13" s="4">
        <v>43414</v>
      </c>
      <c r="B13" s="5">
        <f t="shared" si="0"/>
        <v>43414</v>
      </c>
      <c r="C13" s="77">
        <v>-0.4</v>
      </c>
      <c r="D13" s="6">
        <v>0.84375</v>
      </c>
      <c r="E13" s="131"/>
      <c r="F13" s="8" t="s">
        <v>54</v>
      </c>
      <c r="G13" s="131"/>
      <c r="H13" s="8">
        <v>31626.737013206686</v>
      </c>
      <c r="I13" s="152"/>
      <c r="J13" s="8" t="s">
        <v>54</v>
      </c>
      <c r="K13" s="152"/>
      <c r="L13" s="8">
        <v>31724.956416951049</v>
      </c>
      <c r="M13" s="152"/>
      <c r="N13" s="8" t="s">
        <v>54</v>
      </c>
      <c r="O13" s="151">
        <f>+H13+L13</f>
        <v>63351.693430157735</v>
      </c>
    </row>
    <row r="14" spans="1:17" x14ac:dyDescent="0.25">
      <c r="A14" s="4">
        <v>43415</v>
      </c>
      <c r="B14" s="5">
        <f t="shared" si="0"/>
        <v>43415</v>
      </c>
      <c r="C14" s="77">
        <v>0</v>
      </c>
      <c r="D14" s="6">
        <v>0.87222222222222223</v>
      </c>
      <c r="E14" s="131"/>
      <c r="F14" s="8" t="s">
        <v>54</v>
      </c>
      <c r="G14" s="149" t="s">
        <v>63</v>
      </c>
      <c r="H14" s="203">
        <f>+J14*(H12+H8+H6+H3)/(J3+J6+J8+J12)</f>
        <v>12189.853241880635</v>
      </c>
      <c r="I14" s="152"/>
      <c r="J14" s="8">
        <v>24742.212814854043</v>
      </c>
      <c r="K14" s="152"/>
      <c r="L14" s="8" t="s">
        <v>54</v>
      </c>
      <c r="M14" s="152"/>
      <c r="N14" s="8" t="s">
        <v>54</v>
      </c>
      <c r="O14" s="154">
        <f>+H14+J14</f>
        <v>36932.066056734679</v>
      </c>
    </row>
    <row r="15" spans="1:17" x14ac:dyDescent="0.25">
      <c r="A15" s="4"/>
      <c r="B15" s="5"/>
      <c r="C15" s="77"/>
      <c r="D15" s="6"/>
      <c r="E15" s="131"/>
      <c r="F15" s="8"/>
      <c r="G15" s="131"/>
      <c r="H15" s="8"/>
      <c r="I15" s="152"/>
      <c r="J15" s="8"/>
      <c r="K15" s="152"/>
      <c r="L15" s="8"/>
      <c r="M15" s="152"/>
      <c r="N15" s="8"/>
      <c r="O15" s="151"/>
    </row>
    <row r="16" spans="1:17" x14ac:dyDescent="0.25">
      <c r="A16" s="4">
        <v>43426</v>
      </c>
      <c r="B16" s="5">
        <f t="shared" si="0"/>
        <v>43426</v>
      </c>
      <c r="C16" s="77">
        <v>-0.7</v>
      </c>
      <c r="D16" s="111">
        <v>0.74652777777777779</v>
      </c>
      <c r="E16" s="131"/>
      <c r="F16" s="8" t="s">
        <v>54</v>
      </c>
      <c r="G16" s="149" t="s">
        <v>63</v>
      </c>
      <c r="H16" s="203">
        <f>+J16*(H12+H8+H6+H3)/(J3+J6+J8+J12)</f>
        <v>11448.849022962757</v>
      </c>
      <c r="I16" s="152"/>
      <c r="J16" s="8">
        <v>23238.168121503637</v>
      </c>
      <c r="K16" s="152"/>
      <c r="L16" s="8" t="s">
        <v>54</v>
      </c>
      <c r="M16" s="152"/>
      <c r="N16" s="8" t="s">
        <v>54</v>
      </c>
      <c r="O16" s="151">
        <f>+H16+J16</f>
        <v>34687.017144466394</v>
      </c>
    </row>
    <row r="17" spans="1:15" x14ac:dyDescent="0.25">
      <c r="A17" s="4">
        <v>43427</v>
      </c>
      <c r="B17" s="5">
        <f t="shared" si="0"/>
        <v>43427</v>
      </c>
      <c r="C17" s="110">
        <v>-1.1000000000000001</v>
      </c>
      <c r="D17" s="111">
        <v>0.77500000000000002</v>
      </c>
      <c r="E17" s="131"/>
      <c r="F17" s="8" t="s">
        <v>54</v>
      </c>
      <c r="G17" s="152"/>
      <c r="H17" s="8">
        <v>26782.2103495261</v>
      </c>
      <c r="I17" s="152"/>
      <c r="J17" s="8" t="s">
        <v>54</v>
      </c>
      <c r="K17" s="152"/>
      <c r="L17" s="8">
        <v>59634.625236633925</v>
      </c>
      <c r="M17" s="152"/>
      <c r="N17" s="8" t="s">
        <v>54</v>
      </c>
      <c r="O17" s="151">
        <f>+H17+L17</f>
        <v>86416.835586160028</v>
      </c>
    </row>
    <row r="18" spans="1:15" x14ac:dyDescent="0.25">
      <c r="A18" s="4">
        <v>43428</v>
      </c>
      <c r="B18" s="5">
        <f t="shared" si="0"/>
        <v>43428</v>
      </c>
      <c r="C18" s="77">
        <v>-1.3</v>
      </c>
      <c r="D18" s="111">
        <v>0.80555555555555547</v>
      </c>
      <c r="E18" s="131"/>
      <c r="F18" s="8" t="s">
        <v>54</v>
      </c>
      <c r="G18" s="149" t="s">
        <v>63</v>
      </c>
      <c r="H18" s="203">
        <f>+(J18+L18)*H12/J12</f>
        <v>30267.770819748097</v>
      </c>
      <c r="I18" s="152"/>
      <c r="J18" s="8">
        <v>47122.801869357994</v>
      </c>
      <c r="K18" s="152"/>
      <c r="L18" s="8">
        <v>19633.448485236298</v>
      </c>
      <c r="M18" s="152"/>
      <c r="N18" s="8" t="s">
        <v>54</v>
      </c>
      <c r="O18" s="151">
        <f>+H18+J18+L18</f>
        <v>97024.021174342386</v>
      </c>
    </row>
    <row r="19" spans="1:15" x14ac:dyDescent="0.25">
      <c r="A19" s="4">
        <v>43429</v>
      </c>
      <c r="B19" s="5">
        <f t="shared" si="0"/>
        <v>43429</v>
      </c>
      <c r="C19" s="110">
        <v>-1.3</v>
      </c>
      <c r="D19" s="111">
        <v>0.83680555555555547</v>
      </c>
      <c r="E19" s="131"/>
      <c r="F19" s="8" t="s">
        <v>54</v>
      </c>
      <c r="G19" s="152"/>
      <c r="H19" s="8">
        <v>4513.540716848398</v>
      </c>
      <c r="I19" s="152"/>
      <c r="J19" s="8" t="s">
        <v>54</v>
      </c>
      <c r="K19" s="152"/>
      <c r="L19" s="8">
        <v>7321.8111605042268</v>
      </c>
      <c r="M19" s="152"/>
      <c r="N19" s="8" t="s">
        <v>54</v>
      </c>
      <c r="O19" s="151">
        <f>+H19+L19</f>
        <v>11835.351877352625</v>
      </c>
    </row>
    <row r="20" spans="1:15" x14ac:dyDescent="0.25">
      <c r="A20" s="4"/>
      <c r="B20" s="5"/>
      <c r="C20" s="110"/>
      <c r="D20" s="111"/>
      <c r="E20" s="131"/>
      <c r="F20" s="8"/>
      <c r="G20" s="152"/>
      <c r="H20" s="8"/>
      <c r="I20" s="152"/>
      <c r="J20" s="8"/>
      <c r="K20" s="152"/>
      <c r="L20" s="8"/>
      <c r="M20" s="152"/>
      <c r="N20" s="8"/>
      <c r="O20" s="154"/>
    </row>
    <row r="21" spans="1:15" x14ac:dyDescent="0.25">
      <c r="A21" s="4">
        <v>43440</v>
      </c>
      <c r="B21" s="5">
        <f t="shared" si="0"/>
        <v>43440</v>
      </c>
      <c r="C21" s="110">
        <v>-0.7</v>
      </c>
      <c r="D21" s="111">
        <v>0.75069444444444444</v>
      </c>
      <c r="E21" s="131"/>
      <c r="F21" s="8" t="s">
        <v>54</v>
      </c>
      <c r="G21" s="131"/>
      <c r="H21" s="8">
        <v>9809.2362270875947</v>
      </c>
      <c r="I21" s="156"/>
      <c r="J21" s="8">
        <v>12790.317132971781</v>
      </c>
      <c r="K21" s="152"/>
      <c r="L21" s="8" t="s">
        <v>54</v>
      </c>
      <c r="M21" s="152"/>
      <c r="N21" s="8" t="s">
        <v>54</v>
      </c>
      <c r="O21" s="154">
        <f>+H21+J21</f>
        <v>22599.553360059377</v>
      </c>
    </row>
    <row r="22" spans="1:15" x14ac:dyDescent="0.25">
      <c r="A22" s="4">
        <v>43441</v>
      </c>
      <c r="B22" s="5">
        <f t="shared" si="0"/>
        <v>43441</v>
      </c>
      <c r="C22" s="110">
        <v>-0.7</v>
      </c>
      <c r="D22" s="111">
        <v>0.77777777777777779</v>
      </c>
      <c r="E22" s="131"/>
      <c r="F22" s="8" t="s">
        <v>54</v>
      </c>
      <c r="G22" s="152"/>
      <c r="H22" s="8">
        <v>9522.0080844982913</v>
      </c>
      <c r="I22" s="156"/>
      <c r="J22" s="8" t="s">
        <v>54</v>
      </c>
      <c r="K22" s="152"/>
      <c r="L22" s="8">
        <v>4694.4845335460677</v>
      </c>
      <c r="M22" s="152"/>
      <c r="N22" s="8" t="s">
        <v>54</v>
      </c>
      <c r="O22" s="151">
        <f>+H22+L22</f>
        <v>14216.492618044358</v>
      </c>
    </row>
    <row r="23" spans="1:15" x14ac:dyDescent="0.25">
      <c r="A23" s="4">
        <v>43442</v>
      </c>
      <c r="B23" s="5">
        <f t="shared" si="0"/>
        <v>43442</v>
      </c>
      <c r="C23" s="110">
        <v>-0.6</v>
      </c>
      <c r="D23" s="111">
        <v>0.8027777777777777</v>
      </c>
      <c r="E23" s="131"/>
      <c r="F23" s="8" t="s">
        <v>54</v>
      </c>
      <c r="G23" s="152"/>
      <c r="H23" s="8">
        <v>12936.848904201512</v>
      </c>
      <c r="I23" s="156"/>
      <c r="J23" s="8">
        <v>21330.224796342314</v>
      </c>
      <c r="K23" s="152"/>
      <c r="L23" s="8" t="s">
        <v>54</v>
      </c>
      <c r="M23" s="152"/>
      <c r="N23" s="8" t="s">
        <v>54</v>
      </c>
      <c r="O23" s="151">
        <f>+H23+J23</f>
        <v>34267.073700543828</v>
      </c>
    </row>
    <row r="24" spans="1:15" x14ac:dyDescent="0.25">
      <c r="A24" s="4">
        <v>43443</v>
      </c>
      <c r="B24" s="5">
        <f t="shared" si="0"/>
        <v>43443</v>
      </c>
      <c r="C24" s="110">
        <v>-0.4</v>
      </c>
      <c r="D24" s="111">
        <v>0.82847222222222217</v>
      </c>
      <c r="E24" s="131"/>
      <c r="F24" s="8" t="s">
        <v>54</v>
      </c>
      <c r="G24" s="152"/>
      <c r="H24" s="8">
        <v>762.29930678113033</v>
      </c>
      <c r="I24" s="156"/>
      <c r="J24" s="8" t="s">
        <v>54</v>
      </c>
      <c r="K24" s="152"/>
      <c r="L24" s="8">
        <v>2003.8623309247246</v>
      </c>
      <c r="M24" s="152"/>
      <c r="N24" s="8" t="s">
        <v>54</v>
      </c>
      <c r="O24" s="151">
        <f>+H24+L24</f>
        <v>2766.1616377058549</v>
      </c>
    </row>
    <row r="25" spans="1:15" x14ac:dyDescent="0.25">
      <c r="A25" s="121"/>
      <c r="B25" s="5"/>
      <c r="C25" s="157"/>
      <c r="D25" s="158"/>
      <c r="E25" s="131"/>
      <c r="F25" s="8"/>
      <c r="G25" s="152"/>
      <c r="H25" s="8"/>
      <c r="I25" s="156"/>
      <c r="J25" s="8"/>
      <c r="K25" s="152"/>
      <c r="L25" s="8"/>
      <c r="M25" s="152"/>
      <c r="N25" s="8"/>
      <c r="O25" s="151"/>
    </row>
    <row r="26" spans="1:15" x14ac:dyDescent="0.25">
      <c r="A26" s="4">
        <v>43454</v>
      </c>
      <c r="B26" s="5">
        <f t="shared" si="0"/>
        <v>43454</v>
      </c>
      <c r="C26" s="77">
        <v>-0.3</v>
      </c>
      <c r="D26" s="111">
        <v>0.70208333333333339</v>
      </c>
      <c r="E26" s="131"/>
      <c r="F26" s="8" t="s">
        <v>54</v>
      </c>
      <c r="G26" s="152"/>
      <c r="H26" s="211">
        <v>1892.8030070163104</v>
      </c>
      <c r="I26" s="156"/>
      <c r="J26" s="8" t="s">
        <v>54</v>
      </c>
      <c r="K26" s="156"/>
      <c r="L26" s="8">
        <v>1142.9608695271349</v>
      </c>
      <c r="M26" s="156"/>
      <c r="N26" s="8" t="s">
        <v>54</v>
      </c>
      <c r="O26" s="151">
        <f>+H26+L26</f>
        <v>3035.7638765434453</v>
      </c>
    </row>
    <row r="27" spans="1:15" x14ac:dyDescent="0.25">
      <c r="A27" s="4">
        <v>43455</v>
      </c>
      <c r="B27" s="5">
        <f t="shared" si="0"/>
        <v>43455</v>
      </c>
      <c r="C27" s="77">
        <v>-1</v>
      </c>
      <c r="D27" s="111">
        <v>0.73263888888888884</v>
      </c>
      <c r="E27" s="131"/>
      <c r="F27" s="8" t="s">
        <v>54</v>
      </c>
      <c r="G27" s="152"/>
      <c r="H27" s="211">
        <v>17388.104966240942</v>
      </c>
      <c r="I27" s="156"/>
      <c r="J27" s="211">
        <v>25219.715600942425</v>
      </c>
      <c r="K27" s="156"/>
      <c r="L27" s="8" t="s">
        <v>54</v>
      </c>
      <c r="M27" s="156"/>
      <c r="N27" s="8" t="s">
        <v>54</v>
      </c>
      <c r="O27" s="151">
        <f>+H27+J27</f>
        <v>42607.820567183371</v>
      </c>
    </row>
    <row r="28" spans="1:15" x14ac:dyDescent="0.25">
      <c r="A28" s="4">
        <v>43456</v>
      </c>
      <c r="B28" s="5">
        <f t="shared" si="0"/>
        <v>43456</v>
      </c>
      <c r="C28" s="77">
        <v>-1.4</v>
      </c>
      <c r="D28" s="111">
        <v>0.76388888888888884</v>
      </c>
      <c r="E28" s="159"/>
      <c r="F28" s="8">
        <v>3998.6840535371862</v>
      </c>
      <c r="G28" s="152"/>
      <c r="H28" s="211">
        <v>363.89578330546112</v>
      </c>
      <c r="I28" s="156"/>
      <c r="J28" s="8" t="s">
        <v>54</v>
      </c>
      <c r="K28" s="156"/>
      <c r="L28" s="8">
        <v>4055.9883811874633</v>
      </c>
      <c r="M28" s="156"/>
      <c r="N28" s="8" t="s">
        <v>54</v>
      </c>
      <c r="O28" s="151">
        <f>+F28+H28+L28</f>
        <v>8418.5682180301119</v>
      </c>
    </row>
    <row r="29" spans="1:15" x14ac:dyDescent="0.25">
      <c r="A29" s="121">
        <v>43457</v>
      </c>
      <c r="B29" s="5">
        <f t="shared" si="0"/>
        <v>43457</v>
      </c>
      <c r="C29" s="157">
        <v>-1.6</v>
      </c>
      <c r="D29" s="111">
        <v>0.79513888888888884</v>
      </c>
      <c r="E29" s="159"/>
      <c r="F29" s="8" t="s">
        <v>54</v>
      </c>
      <c r="G29" s="152"/>
      <c r="H29" s="211">
        <v>1872.682058337271</v>
      </c>
      <c r="I29" s="156"/>
      <c r="J29" s="211">
        <v>7628.5395426848745</v>
      </c>
      <c r="K29" s="156"/>
      <c r="L29" s="8" t="s">
        <v>54</v>
      </c>
      <c r="M29" s="156"/>
      <c r="N29" s="8" t="s">
        <v>54</v>
      </c>
      <c r="O29" s="151">
        <f>+H29+J29</f>
        <v>9501.2216010221455</v>
      </c>
    </row>
    <row r="30" spans="1:15" x14ac:dyDescent="0.25">
      <c r="A30" s="4"/>
      <c r="B30" s="5"/>
      <c r="C30" s="157"/>
      <c r="D30" s="158"/>
      <c r="E30" s="159"/>
      <c r="F30" s="8"/>
      <c r="G30" s="152"/>
      <c r="H30" s="8"/>
      <c r="I30" s="152"/>
      <c r="J30" s="8"/>
      <c r="K30" s="131"/>
      <c r="L30" s="8"/>
      <c r="M30" s="152"/>
      <c r="N30" s="8"/>
      <c r="O30" s="161"/>
    </row>
    <row r="31" spans="1:15" x14ac:dyDescent="0.25">
      <c r="A31" s="4">
        <v>43467</v>
      </c>
      <c r="B31" s="5">
        <f t="shared" si="0"/>
        <v>43467</v>
      </c>
      <c r="C31" s="157">
        <v>0.2</v>
      </c>
      <c r="D31" s="158">
        <v>0.68194444444444446</v>
      </c>
      <c r="E31" s="159"/>
      <c r="F31" s="8" t="s">
        <v>54</v>
      </c>
      <c r="G31" s="152"/>
      <c r="H31" s="211">
        <v>15541.821457807582</v>
      </c>
      <c r="I31" s="152"/>
      <c r="J31" s="8" t="s">
        <v>54</v>
      </c>
      <c r="K31" s="131"/>
      <c r="L31" s="8" t="s">
        <v>54</v>
      </c>
      <c r="M31" s="152"/>
      <c r="N31" s="8" t="s">
        <v>54</v>
      </c>
      <c r="O31" s="161">
        <f>+H31</f>
        <v>15541.821457807582</v>
      </c>
    </row>
    <row r="32" spans="1:15" x14ac:dyDescent="0.25">
      <c r="A32" s="4">
        <v>43468</v>
      </c>
      <c r="B32" s="5">
        <f t="shared" si="0"/>
        <v>43468</v>
      </c>
      <c r="C32" s="157">
        <v>-0.2</v>
      </c>
      <c r="D32" s="158">
        <v>0.71250000000000002</v>
      </c>
      <c r="E32" s="159"/>
      <c r="F32" s="8" t="s">
        <v>54</v>
      </c>
      <c r="G32" s="152"/>
      <c r="H32" s="211">
        <v>210.56007778023928</v>
      </c>
      <c r="I32" s="152"/>
      <c r="J32" s="8" t="s">
        <v>54</v>
      </c>
      <c r="K32" s="152"/>
      <c r="L32" s="8" t="s">
        <v>54</v>
      </c>
      <c r="M32" s="152"/>
      <c r="N32" s="8" t="s">
        <v>54</v>
      </c>
      <c r="O32" s="161">
        <f>+H32</f>
        <v>210.56007778023928</v>
      </c>
    </row>
    <row r="33" spans="1:15" x14ac:dyDescent="0.25">
      <c r="A33" s="4">
        <v>43469</v>
      </c>
      <c r="B33" s="5">
        <f t="shared" si="0"/>
        <v>43469</v>
      </c>
      <c r="C33" s="12">
        <v>-0.4</v>
      </c>
      <c r="D33" s="84">
        <v>0.7402777777777777</v>
      </c>
      <c r="E33" s="124"/>
      <c r="F33" s="8" t="s">
        <v>54</v>
      </c>
      <c r="G33" s="152"/>
      <c r="H33" s="211">
        <v>2071.9169932458453</v>
      </c>
      <c r="J33" s="8" t="s">
        <v>54</v>
      </c>
      <c r="L33" s="8">
        <v>9123.1457047318218</v>
      </c>
      <c r="N33" s="8" t="s">
        <v>54</v>
      </c>
      <c r="O33" s="161">
        <f>+H33+L33</f>
        <v>11195.062697977668</v>
      </c>
    </row>
    <row r="34" spans="1:15" x14ac:dyDescent="0.25">
      <c r="A34" s="4">
        <v>43470</v>
      </c>
      <c r="B34" s="5">
        <f t="shared" si="0"/>
        <v>43470</v>
      </c>
      <c r="C34" s="12">
        <v>-0.4</v>
      </c>
      <c r="D34" s="84">
        <v>0.76597222222222217</v>
      </c>
      <c r="E34" s="124"/>
      <c r="F34" s="8" t="s">
        <v>54</v>
      </c>
      <c r="G34" s="152"/>
      <c r="H34" s="211">
        <v>445.28936116440832</v>
      </c>
      <c r="J34" s="211">
        <v>11861.458470207321</v>
      </c>
      <c r="L34" s="8" t="s">
        <v>54</v>
      </c>
      <c r="N34" s="8" t="s">
        <v>54</v>
      </c>
      <c r="O34" s="161">
        <f>+H34+J34</f>
        <v>12306.747831371729</v>
      </c>
    </row>
    <row r="35" spans="1:15" x14ac:dyDescent="0.25">
      <c r="A35" s="4">
        <v>43471</v>
      </c>
      <c r="B35" s="5">
        <f t="shared" si="0"/>
        <v>43471</v>
      </c>
      <c r="C35" s="12">
        <v>-0.4</v>
      </c>
      <c r="D35" s="84">
        <v>0.7909722222222223</v>
      </c>
      <c r="F35" s="8" t="s">
        <v>54</v>
      </c>
      <c r="G35" s="2"/>
      <c r="H35" s="211">
        <v>1220.1537002415525</v>
      </c>
      <c r="J35" s="8" t="s">
        <v>54</v>
      </c>
      <c r="L35" s="8">
        <v>1407.4803319703024</v>
      </c>
      <c r="N35" s="8" t="s">
        <v>54</v>
      </c>
      <c r="O35" s="14">
        <f>+H35+L35</f>
        <v>2627.6340322118549</v>
      </c>
    </row>
    <row r="36" spans="1:15" x14ac:dyDescent="0.25">
      <c r="A36" s="4"/>
      <c r="B36" s="89"/>
      <c r="C36" s="12"/>
      <c r="D36" s="84"/>
      <c r="F36" s="8"/>
      <c r="G36" s="2"/>
      <c r="H36" s="8"/>
      <c r="J36" s="8"/>
      <c r="L36" s="8"/>
      <c r="N36" s="8"/>
      <c r="O36" s="14"/>
    </row>
    <row r="37" spans="1:15" x14ac:dyDescent="0.25">
      <c r="A37" s="4">
        <v>43482</v>
      </c>
      <c r="B37" s="5">
        <f t="shared" si="0"/>
        <v>43482</v>
      </c>
      <c r="C37" s="12">
        <v>0.4</v>
      </c>
      <c r="D37" s="84">
        <v>0.65208333333333335</v>
      </c>
      <c r="E37" s="124"/>
      <c r="F37" s="8" t="s">
        <v>54</v>
      </c>
      <c r="G37" s="125"/>
      <c r="H37" s="211">
        <v>1628.995261493807</v>
      </c>
      <c r="I37" s="125"/>
      <c r="J37" s="8" t="s">
        <v>54</v>
      </c>
      <c r="K37" s="125"/>
      <c r="L37" s="8" t="s">
        <v>54</v>
      </c>
      <c r="M37" s="125"/>
      <c r="N37" s="8" t="s">
        <v>54</v>
      </c>
      <c r="O37" s="129">
        <f>+H37</f>
        <v>1628.995261493807</v>
      </c>
    </row>
    <row r="38" spans="1:15" x14ac:dyDescent="0.25">
      <c r="A38" s="4">
        <v>43483</v>
      </c>
      <c r="B38" s="5">
        <f t="shared" si="0"/>
        <v>43483</v>
      </c>
      <c r="C38" s="12">
        <v>-0.4</v>
      </c>
      <c r="D38" s="84">
        <v>0.6875</v>
      </c>
      <c r="E38" s="124"/>
      <c r="F38" s="8" t="s">
        <v>54</v>
      </c>
      <c r="G38" s="174"/>
      <c r="H38" s="211">
        <v>5347.033470661012</v>
      </c>
      <c r="I38" s="125"/>
      <c r="J38" s="8" t="s">
        <v>54</v>
      </c>
      <c r="K38" s="125"/>
      <c r="L38" s="8" t="s">
        <v>54</v>
      </c>
      <c r="M38" s="125"/>
      <c r="N38" s="8" t="s">
        <v>54</v>
      </c>
      <c r="O38" s="129">
        <f>+H38</f>
        <v>5347.033470661012</v>
      </c>
    </row>
    <row r="39" spans="1:15" x14ac:dyDescent="0.25">
      <c r="A39" s="4">
        <v>43484</v>
      </c>
      <c r="B39" s="5">
        <f t="shared" si="0"/>
        <v>43484</v>
      </c>
      <c r="C39" s="12">
        <v>-1.1000000000000001</v>
      </c>
      <c r="D39" s="84">
        <v>0.72083333333333333</v>
      </c>
      <c r="E39" s="124"/>
      <c r="F39" s="8" t="s">
        <v>54</v>
      </c>
      <c r="G39" s="125"/>
      <c r="H39" s="211">
        <v>29704.380898852651</v>
      </c>
      <c r="I39" s="125"/>
      <c r="J39" s="8" t="s">
        <v>54</v>
      </c>
      <c r="K39" s="125"/>
      <c r="L39" s="122">
        <v>92345.795586985216</v>
      </c>
      <c r="M39" s="125"/>
      <c r="N39" s="8" t="s">
        <v>54</v>
      </c>
      <c r="O39" s="129">
        <f>+H39+L39</f>
        <v>122050.17648583787</v>
      </c>
    </row>
    <row r="40" spans="1:15" x14ac:dyDescent="0.25">
      <c r="A40" s="121">
        <v>43485</v>
      </c>
      <c r="B40" s="5">
        <f t="shared" si="0"/>
        <v>43485</v>
      </c>
      <c r="C40" s="123">
        <v>-1.6</v>
      </c>
      <c r="D40" s="127">
        <v>0.75347222222222221</v>
      </c>
      <c r="E40" s="124"/>
      <c r="F40" s="8" t="s">
        <v>54</v>
      </c>
      <c r="G40" s="125"/>
      <c r="H40" s="211">
        <v>34202.387513091053</v>
      </c>
      <c r="I40" s="125"/>
      <c r="J40" s="211">
        <v>77918.62205603841</v>
      </c>
      <c r="K40" s="125"/>
      <c r="L40" s="8" t="s">
        <v>54</v>
      </c>
      <c r="M40" s="125"/>
      <c r="N40" s="8" t="s">
        <v>54</v>
      </c>
      <c r="O40" s="129">
        <f>+H40+J40</f>
        <v>112121.00956912947</v>
      </c>
    </row>
    <row r="41" spans="1:15" x14ac:dyDescent="0.25">
      <c r="A41" s="121">
        <v>43486</v>
      </c>
      <c r="B41" s="5">
        <f t="shared" si="0"/>
        <v>43486</v>
      </c>
      <c r="C41" s="123">
        <v>-1.8</v>
      </c>
      <c r="D41" s="127">
        <v>0.78541666666666676</v>
      </c>
      <c r="E41" s="124"/>
      <c r="F41" s="8" t="s">
        <v>54</v>
      </c>
      <c r="G41" s="125"/>
      <c r="H41" s="211">
        <v>19877.819866831709</v>
      </c>
      <c r="I41" s="125"/>
      <c r="J41" s="8" t="s">
        <v>54</v>
      </c>
      <c r="K41" s="124"/>
      <c r="L41" s="126">
        <v>20145.44405016231</v>
      </c>
      <c r="M41" s="125"/>
      <c r="N41" s="8" t="s">
        <v>54</v>
      </c>
      <c r="O41" s="224">
        <f>+H41+L41</f>
        <v>40023.263916994023</v>
      </c>
    </row>
    <row r="42" spans="1:15" x14ac:dyDescent="0.25">
      <c r="A42" s="121"/>
      <c r="B42" s="89"/>
      <c r="C42" s="123"/>
      <c r="D42" s="127"/>
      <c r="E42" s="124"/>
      <c r="F42" s="126"/>
      <c r="G42" s="125"/>
      <c r="H42" s="126"/>
      <c r="I42" s="125"/>
      <c r="J42" s="126"/>
      <c r="K42" s="124"/>
      <c r="L42" s="126"/>
      <c r="M42" s="125"/>
      <c r="N42" s="128"/>
    </row>
    <row r="43" spans="1:15" x14ac:dyDescent="0.25">
      <c r="A43" s="121">
        <v>43497</v>
      </c>
      <c r="B43" s="5">
        <f t="shared" si="0"/>
        <v>43497</v>
      </c>
      <c r="C43" s="123">
        <v>0.2</v>
      </c>
      <c r="D43" s="127">
        <v>0.70000000000000007</v>
      </c>
      <c r="E43" s="124"/>
      <c r="F43" s="8" t="s">
        <v>54</v>
      </c>
      <c r="G43" s="125"/>
      <c r="H43" s="211">
        <v>11808.167881090683</v>
      </c>
      <c r="I43" s="125"/>
      <c r="J43" s="211">
        <v>17945.53730147878</v>
      </c>
      <c r="K43" s="124"/>
      <c r="L43" s="8" t="s">
        <v>54</v>
      </c>
      <c r="M43" s="125"/>
      <c r="N43" s="8" t="s">
        <v>54</v>
      </c>
      <c r="O43" s="14">
        <f>+H43+J43</f>
        <v>29753.705182569465</v>
      </c>
    </row>
    <row r="44" spans="1:15" x14ac:dyDescent="0.25">
      <c r="A44" s="121">
        <v>43498</v>
      </c>
      <c r="B44" s="5">
        <f t="shared" si="0"/>
        <v>43498</v>
      </c>
      <c r="C44" s="123">
        <v>0</v>
      </c>
      <c r="D44" s="127">
        <v>0.72777777777777775</v>
      </c>
      <c r="E44" s="124"/>
      <c r="F44" s="8" t="s">
        <v>54</v>
      </c>
      <c r="G44" s="125"/>
      <c r="H44" s="211">
        <v>49839.25544536933</v>
      </c>
      <c r="I44" s="125"/>
      <c r="J44" s="8" t="s">
        <v>54</v>
      </c>
      <c r="K44" s="124"/>
      <c r="L44" s="126">
        <v>42861.71613636025</v>
      </c>
      <c r="M44" s="125"/>
      <c r="N44" s="8" t="s">
        <v>54</v>
      </c>
      <c r="O44" s="244">
        <f>+H44+L44</f>
        <v>92700.97158172958</v>
      </c>
    </row>
    <row r="45" spans="1:15" x14ac:dyDescent="0.25">
      <c r="A45" s="121">
        <v>43499</v>
      </c>
      <c r="B45" s="5">
        <f t="shared" si="0"/>
        <v>43499</v>
      </c>
      <c r="C45" s="123">
        <v>-0.1</v>
      </c>
      <c r="D45" s="127">
        <v>0.75277777777777777</v>
      </c>
      <c r="E45" s="124"/>
      <c r="F45" s="8" t="s">
        <v>54</v>
      </c>
      <c r="G45" s="219" t="s">
        <v>63</v>
      </c>
      <c r="H45" s="211">
        <f>+J45*(H43+H40)/(J43+J40)</f>
        <v>5037.9819840141718</v>
      </c>
      <c r="I45" s="125"/>
      <c r="J45" s="211">
        <v>10496.763266998254</v>
      </c>
      <c r="K45" s="124"/>
      <c r="L45" s="8" t="s">
        <v>54</v>
      </c>
      <c r="M45" s="125"/>
      <c r="N45" s="8" t="s">
        <v>54</v>
      </c>
      <c r="O45" s="14">
        <f>+H45+J45</f>
        <v>15534.745251012426</v>
      </c>
    </row>
    <row r="46" spans="1:15" x14ac:dyDescent="0.25">
      <c r="A46" s="121"/>
      <c r="B46" s="89"/>
      <c r="C46" s="123"/>
      <c r="D46" s="127"/>
      <c r="E46" s="124"/>
      <c r="F46" s="126"/>
      <c r="G46" s="125"/>
      <c r="H46" s="126"/>
      <c r="I46" s="125"/>
      <c r="J46" s="126"/>
      <c r="K46" s="124"/>
      <c r="L46" s="126"/>
      <c r="M46" s="125"/>
      <c r="N46" s="128"/>
    </row>
    <row r="47" spans="1:15" x14ac:dyDescent="0.25">
      <c r="A47" s="4">
        <v>43511</v>
      </c>
      <c r="B47" s="5">
        <f t="shared" ref="B47:B69" si="1">+A47</f>
        <v>43511</v>
      </c>
      <c r="C47" s="12">
        <v>0.4</v>
      </c>
      <c r="D47" s="84">
        <v>0.63263888888888886</v>
      </c>
      <c r="E47" s="124"/>
      <c r="F47" s="211" t="s">
        <v>54</v>
      </c>
      <c r="G47" s="2"/>
      <c r="H47" s="211">
        <v>4050.8197984574981</v>
      </c>
      <c r="J47" s="211" t="s">
        <v>54</v>
      </c>
      <c r="L47" s="211">
        <v>9445.6820531252997</v>
      </c>
      <c r="N47" s="211" t="s">
        <v>54</v>
      </c>
      <c r="O47" s="14">
        <f>+H47+L47</f>
        <v>13496.501851582798</v>
      </c>
    </row>
    <row r="48" spans="1:15" x14ac:dyDescent="0.25">
      <c r="A48" s="4">
        <v>43512</v>
      </c>
      <c r="B48" s="5">
        <f t="shared" si="1"/>
        <v>43512</v>
      </c>
      <c r="C48" s="12">
        <v>-0.3</v>
      </c>
      <c r="D48" s="84">
        <v>0.67222222222222217</v>
      </c>
      <c r="E48" s="124"/>
      <c r="F48" s="211" t="s">
        <v>54</v>
      </c>
      <c r="G48" s="2"/>
      <c r="H48" s="211">
        <v>20656.268823445818</v>
      </c>
      <c r="J48" s="211">
        <v>50369.407097784228</v>
      </c>
      <c r="L48" s="211" t="s">
        <v>54</v>
      </c>
      <c r="N48" s="211">
        <v>795.52171527848361</v>
      </c>
      <c r="O48" s="14">
        <f>+H48+J48+N48</f>
        <v>71821.197636508543</v>
      </c>
    </row>
    <row r="49" spans="1:15" x14ac:dyDescent="0.25">
      <c r="A49" s="4">
        <v>43513</v>
      </c>
      <c r="B49" s="5">
        <f t="shared" si="1"/>
        <v>43513</v>
      </c>
      <c r="C49" s="12">
        <v>-1</v>
      </c>
      <c r="D49" s="84">
        <v>0.70763888888888893</v>
      </c>
      <c r="E49" s="124"/>
      <c r="F49" s="211">
        <v>110140.54292065726</v>
      </c>
      <c r="G49" s="219" t="s">
        <v>63</v>
      </c>
      <c r="H49" s="211">
        <f>+J49*(H48+H43+H40)/(J40+J43+J48)</f>
        <v>31032.289520946462</v>
      </c>
      <c r="J49" s="211">
        <v>68069.274713127612</v>
      </c>
      <c r="K49" s="211"/>
      <c r="L49" s="211">
        <v>38176.283099613553</v>
      </c>
      <c r="N49" s="211">
        <v>1268.0256704860237</v>
      </c>
      <c r="O49" s="14">
        <f>+F49+H49+J49+L49+N49</f>
        <v>248686.41592483092</v>
      </c>
    </row>
    <row r="50" spans="1:15" x14ac:dyDescent="0.25">
      <c r="A50" s="4">
        <v>43514</v>
      </c>
      <c r="B50" s="5">
        <f t="shared" si="1"/>
        <v>43514</v>
      </c>
      <c r="C50" s="12">
        <v>-1.4</v>
      </c>
      <c r="D50" s="84">
        <v>0.7402777777777777</v>
      </c>
      <c r="E50" s="124"/>
      <c r="F50" s="211" t="s">
        <v>54</v>
      </c>
      <c r="G50" s="219" t="s">
        <v>63</v>
      </c>
      <c r="H50" s="211">
        <f>+L50*(H47+H44+H41+H39)/(L39+L41+L44+L47)</f>
        <v>21024.722160358593</v>
      </c>
      <c r="J50" s="211" t="s">
        <v>54</v>
      </c>
      <c r="L50" s="211">
        <v>33485.738463818401</v>
      </c>
      <c r="N50" s="211">
        <v>594.41317615270646</v>
      </c>
      <c r="O50" s="14">
        <f>+H50+L50+N50</f>
        <v>55104.873800329704</v>
      </c>
    </row>
    <row r="51" spans="1:15" x14ac:dyDescent="0.25">
      <c r="A51" s="4">
        <v>43515</v>
      </c>
      <c r="B51" s="5">
        <f t="shared" si="1"/>
        <v>43515</v>
      </c>
      <c r="C51" s="12">
        <v>-1.5</v>
      </c>
      <c r="D51" s="84">
        <v>0.7715277777777777</v>
      </c>
      <c r="E51" s="124"/>
      <c r="F51" s="211" t="s">
        <v>54</v>
      </c>
      <c r="G51" s="2"/>
      <c r="H51" s="211">
        <v>8609.0491635355447</v>
      </c>
      <c r="J51" s="211" t="s">
        <v>54</v>
      </c>
      <c r="L51" s="211" t="s">
        <v>54</v>
      </c>
      <c r="N51" s="211" t="s">
        <v>54</v>
      </c>
      <c r="O51" s="14">
        <f>+H51</f>
        <v>8609.0491635355447</v>
      </c>
    </row>
    <row r="52" spans="1:15" x14ac:dyDescent="0.25">
      <c r="A52" s="4">
        <v>43516</v>
      </c>
      <c r="B52" s="5">
        <f t="shared" si="1"/>
        <v>43516</v>
      </c>
      <c r="C52" s="12">
        <v>-1.3</v>
      </c>
      <c r="D52" s="84">
        <v>0.80138888888888893</v>
      </c>
      <c r="E52" s="124"/>
      <c r="F52" s="211" t="s">
        <v>54</v>
      </c>
      <c r="G52" s="2"/>
      <c r="H52" s="211">
        <v>15680.460826728799</v>
      </c>
      <c r="J52" s="211" t="s">
        <v>54</v>
      </c>
      <c r="L52" s="211" t="s">
        <v>54</v>
      </c>
      <c r="N52" s="211" t="s">
        <v>54</v>
      </c>
      <c r="O52" s="14">
        <f>+H52</f>
        <v>15680.460826728799</v>
      </c>
    </row>
    <row r="53" spans="1:15" x14ac:dyDescent="0.25">
      <c r="A53" s="4">
        <v>43517</v>
      </c>
      <c r="B53" s="5">
        <f t="shared" si="1"/>
        <v>43517</v>
      </c>
      <c r="C53" s="12">
        <v>-0.8</v>
      </c>
      <c r="D53" s="84">
        <v>0.8305555555555556</v>
      </c>
      <c r="E53" s="124"/>
      <c r="F53" s="211" t="s">
        <v>54</v>
      </c>
      <c r="G53" s="2"/>
      <c r="H53" s="211">
        <v>8434.2811569809419</v>
      </c>
      <c r="J53" s="211" t="s">
        <v>54</v>
      </c>
      <c r="L53" s="211" t="s">
        <v>54</v>
      </c>
      <c r="N53" s="211" t="s">
        <v>54</v>
      </c>
      <c r="O53" s="14">
        <f>+H53</f>
        <v>8434.2811569809419</v>
      </c>
    </row>
    <row r="54" spans="1:15" x14ac:dyDescent="0.25">
      <c r="A54" s="121"/>
      <c r="B54" s="89"/>
      <c r="C54" s="123"/>
      <c r="D54" s="127"/>
      <c r="E54" s="124"/>
      <c r="F54" s="126"/>
      <c r="G54" s="125"/>
      <c r="H54" s="126"/>
      <c r="I54" s="125"/>
      <c r="J54" s="126"/>
      <c r="K54" s="124"/>
      <c r="L54" s="126"/>
      <c r="M54" s="125"/>
      <c r="N54" s="128"/>
    </row>
    <row r="55" spans="1:15" x14ac:dyDescent="0.25">
      <c r="A55" s="121">
        <v>43540</v>
      </c>
      <c r="B55" s="5">
        <f t="shared" si="1"/>
        <v>43540</v>
      </c>
      <c r="C55" s="123">
        <v>0.3</v>
      </c>
      <c r="D55" s="127">
        <v>0.65486111111111112</v>
      </c>
      <c r="E55" s="124"/>
      <c r="F55" s="211" t="s">
        <v>54</v>
      </c>
      <c r="G55" s="125"/>
      <c r="H55" s="211">
        <v>118067.48745753903</v>
      </c>
      <c r="I55" s="125"/>
      <c r="J55" s="211">
        <v>105701.80751570368</v>
      </c>
      <c r="K55" s="125"/>
      <c r="L55" s="211" t="s">
        <v>54</v>
      </c>
      <c r="M55" s="125"/>
      <c r="N55" s="211" t="s">
        <v>54</v>
      </c>
      <c r="O55" s="10">
        <f>+H55+J55</f>
        <v>223769.29497324271</v>
      </c>
    </row>
    <row r="56" spans="1:15" x14ac:dyDescent="0.25">
      <c r="A56" s="121">
        <v>43541</v>
      </c>
      <c r="B56" s="5">
        <f t="shared" si="1"/>
        <v>43541</v>
      </c>
      <c r="C56" s="123">
        <v>-0.2</v>
      </c>
      <c r="D56" s="127">
        <v>0.69652777777777775</v>
      </c>
      <c r="E56" s="124"/>
      <c r="F56" s="211" t="s">
        <v>54</v>
      </c>
      <c r="G56" s="125"/>
      <c r="H56" s="211">
        <f>+L56*(H47+H44+H41+H39+H35+H33+H28+H26+H24+H22+H19+H13+H11+H9+H7+H4+H2)/(L2+L4+L7+L9+L11+L13+L19+L22+L24+L26+L28+L33+L35+L39+L41+L44+L47)</f>
        <v>45667.230056087545</v>
      </c>
      <c r="I56" s="125"/>
      <c r="J56" s="211" t="s">
        <v>54</v>
      </c>
      <c r="K56" s="125"/>
      <c r="L56" s="211">
        <v>59342.55968781453</v>
      </c>
      <c r="M56" s="125"/>
      <c r="N56" s="211" t="s">
        <v>54</v>
      </c>
      <c r="O56" s="14">
        <f>+H56+L56</f>
        <v>105009.78974390207</v>
      </c>
    </row>
    <row r="57" spans="1:15" x14ac:dyDescent="0.25">
      <c r="A57" s="121"/>
      <c r="B57" s="89"/>
      <c r="C57" s="123"/>
      <c r="D57" s="127"/>
      <c r="E57" s="124"/>
      <c r="F57" s="126"/>
      <c r="G57" s="125"/>
      <c r="H57" s="126"/>
      <c r="I57" s="125"/>
      <c r="J57" s="126"/>
      <c r="K57" s="124"/>
      <c r="L57" s="126"/>
      <c r="M57" s="125"/>
      <c r="N57" s="128"/>
    </row>
    <row r="58" spans="1:15" x14ac:dyDescent="0.25">
      <c r="A58" s="121">
        <v>43545</v>
      </c>
      <c r="B58" s="5">
        <f t="shared" si="1"/>
        <v>43545</v>
      </c>
      <c r="C58" s="123">
        <v>-0.5</v>
      </c>
      <c r="D58" s="127">
        <v>0.82500000000000007</v>
      </c>
      <c r="E58" s="124"/>
      <c r="F58" s="126" t="s">
        <v>54</v>
      </c>
      <c r="G58" s="125"/>
      <c r="H58" s="126" t="s">
        <v>54</v>
      </c>
      <c r="I58" s="125"/>
      <c r="J58" s="126" t="s">
        <v>54</v>
      </c>
      <c r="K58" s="124"/>
      <c r="L58" s="126">
        <v>52543.398629221832</v>
      </c>
      <c r="M58" s="125"/>
      <c r="N58" s="128" t="s">
        <v>54</v>
      </c>
      <c r="O58" s="10">
        <f>+L58</f>
        <v>52543.398629221832</v>
      </c>
    </row>
    <row r="59" spans="1:15" x14ac:dyDescent="0.25">
      <c r="A59" s="121">
        <v>43546</v>
      </c>
      <c r="B59" s="5">
        <f t="shared" si="1"/>
        <v>43546</v>
      </c>
      <c r="C59" s="123">
        <v>-0.2</v>
      </c>
      <c r="D59" s="127">
        <v>0.3430555555555555</v>
      </c>
      <c r="E59" s="124"/>
      <c r="F59" s="126" t="s">
        <v>54</v>
      </c>
      <c r="G59" s="125"/>
      <c r="H59" s="126">
        <v>18097.121515547959</v>
      </c>
      <c r="I59" s="125"/>
      <c r="J59" s="126" t="s">
        <v>54</v>
      </c>
      <c r="K59" s="124"/>
      <c r="L59" s="126">
        <v>31769.357639254464</v>
      </c>
      <c r="M59" s="125"/>
      <c r="N59" s="211">
        <v>263.49523451376996</v>
      </c>
      <c r="O59" s="10">
        <f>+H59+L59+N59</f>
        <v>50129.974389316194</v>
      </c>
    </row>
    <row r="60" spans="1:15" x14ac:dyDescent="0.25">
      <c r="A60" s="121">
        <v>43547</v>
      </c>
      <c r="B60" s="5">
        <f t="shared" si="1"/>
        <v>43547</v>
      </c>
      <c r="C60" s="123">
        <v>-0.3</v>
      </c>
      <c r="D60" s="127">
        <v>0.3756944444444445</v>
      </c>
      <c r="E60" s="124"/>
      <c r="F60" s="126" t="s">
        <v>54</v>
      </c>
      <c r="G60" s="125"/>
      <c r="H60" s="126">
        <v>42074.114910440258</v>
      </c>
      <c r="I60" s="125"/>
      <c r="J60" s="126">
        <v>92692.865698471855</v>
      </c>
      <c r="K60" s="124"/>
      <c r="L60" s="126" t="s">
        <v>54</v>
      </c>
      <c r="M60" s="125"/>
      <c r="N60" s="211">
        <v>153.99215788483934</v>
      </c>
      <c r="O60" s="10">
        <f>+H60+J60+N60</f>
        <v>134920.97276679697</v>
      </c>
    </row>
    <row r="61" spans="1:15" x14ac:dyDescent="0.25">
      <c r="A61" s="121">
        <v>43548</v>
      </c>
      <c r="B61" s="5">
        <f t="shared" si="1"/>
        <v>43548</v>
      </c>
      <c r="C61" s="123">
        <v>-0.3</v>
      </c>
      <c r="D61" s="127">
        <v>0.40902777777777777</v>
      </c>
      <c r="E61" s="124"/>
      <c r="F61" s="126" t="s">
        <v>54</v>
      </c>
      <c r="G61" s="125"/>
      <c r="H61" s="126">
        <v>59322.800269326544</v>
      </c>
      <c r="I61" s="125"/>
      <c r="J61" s="126" t="s">
        <v>54</v>
      </c>
      <c r="K61" s="124"/>
      <c r="L61" s="126">
        <v>84939.583803186004</v>
      </c>
      <c r="M61" s="125"/>
      <c r="N61" s="211">
        <v>503.47490456072484</v>
      </c>
      <c r="O61" s="10">
        <f>+H61+L61+N61</f>
        <v>144765.85897707328</v>
      </c>
    </row>
    <row r="62" spans="1:15" x14ac:dyDescent="0.25">
      <c r="A62" s="121"/>
      <c r="B62" s="5"/>
      <c r="C62" s="123"/>
      <c r="D62" s="127"/>
      <c r="E62" s="124"/>
      <c r="F62" s="126"/>
      <c r="G62" s="125"/>
      <c r="H62" s="126"/>
      <c r="I62" s="125"/>
      <c r="J62" s="126"/>
      <c r="K62" s="124"/>
      <c r="L62" s="126"/>
      <c r="M62" s="125"/>
      <c r="N62" s="211"/>
    </row>
    <row r="63" spans="1:15" x14ac:dyDescent="0.25">
      <c r="A63" s="121">
        <v>43561</v>
      </c>
      <c r="B63" s="5">
        <f t="shared" si="1"/>
        <v>43561</v>
      </c>
      <c r="C63" s="123">
        <v>0.3</v>
      </c>
      <c r="D63" s="127">
        <v>0.33680555555555558</v>
      </c>
      <c r="E63" s="124"/>
      <c r="F63" s="126" t="s">
        <v>54</v>
      </c>
      <c r="G63" s="125"/>
      <c r="H63" s="126">
        <v>2156.5263113189576</v>
      </c>
      <c r="I63" s="125"/>
      <c r="J63" s="126" t="s">
        <v>54</v>
      </c>
      <c r="K63" s="124"/>
      <c r="L63" s="126">
        <v>549.93475271638476</v>
      </c>
      <c r="M63" s="125"/>
      <c r="N63" s="126" t="s">
        <v>54</v>
      </c>
      <c r="O63" s="10">
        <f>+H63+L63</f>
        <v>2706.4610640353421</v>
      </c>
    </row>
    <row r="64" spans="1:15" x14ac:dyDescent="0.25">
      <c r="A64" s="121">
        <v>43562</v>
      </c>
      <c r="B64" s="5">
        <f t="shared" si="1"/>
        <v>43562</v>
      </c>
      <c r="C64" s="123">
        <v>0.1</v>
      </c>
      <c r="D64" s="127">
        <v>0.36180555555555555</v>
      </c>
      <c r="E64" s="124"/>
      <c r="F64" s="126" t="s">
        <v>54</v>
      </c>
      <c r="G64" s="125"/>
      <c r="H64" s="126">
        <v>9851.7909841640758</v>
      </c>
      <c r="I64" s="125"/>
      <c r="J64" s="126" t="s">
        <v>54</v>
      </c>
      <c r="K64" s="124"/>
      <c r="L64" s="126">
        <v>49354.109391974554</v>
      </c>
      <c r="M64" s="125"/>
      <c r="N64" s="126" t="s">
        <v>54</v>
      </c>
      <c r="O64" s="10">
        <f>+H64+L64</f>
        <v>59205.900376138627</v>
      </c>
    </row>
    <row r="65" spans="1:15" x14ac:dyDescent="0.25">
      <c r="A65" s="121">
        <v>43563</v>
      </c>
      <c r="B65" s="5">
        <f t="shared" si="1"/>
        <v>43563</v>
      </c>
      <c r="C65" s="123">
        <v>0</v>
      </c>
      <c r="D65" s="127">
        <v>0.3888888888888889</v>
      </c>
      <c r="E65" s="124"/>
      <c r="F65" s="126" t="s">
        <v>54</v>
      </c>
      <c r="G65" s="125"/>
      <c r="H65" s="126" t="s">
        <v>54</v>
      </c>
      <c r="I65" s="125"/>
      <c r="J65" s="126" t="s">
        <v>54</v>
      </c>
      <c r="K65" s="124"/>
      <c r="L65" s="126">
        <v>19808.008992131487</v>
      </c>
      <c r="M65" s="125"/>
      <c r="N65" s="126" t="s">
        <v>54</v>
      </c>
      <c r="O65" s="10">
        <f>+L65</f>
        <v>19808.008992131487</v>
      </c>
    </row>
    <row r="66" spans="1:15" x14ac:dyDescent="0.25">
      <c r="A66" s="121"/>
      <c r="B66" s="5"/>
      <c r="C66" s="123"/>
      <c r="D66" s="127"/>
      <c r="E66" s="124"/>
      <c r="F66" s="126"/>
      <c r="G66" s="125"/>
      <c r="H66" s="126"/>
      <c r="I66" s="125"/>
      <c r="J66" s="126"/>
      <c r="K66" s="124"/>
      <c r="L66" s="126"/>
      <c r="M66" s="125"/>
      <c r="N66" s="211"/>
    </row>
    <row r="67" spans="1:15" x14ac:dyDescent="0.25">
      <c r="A67" s="121">
        <v>43575</v>
      </c>
      <c r="B67" s="5">
        <f t="shared" si="1"/>
        <v>43575</v>
      </c>
      <c r="C67" s="123">
        <v>-1.1000000000000001</v>
      </c>
      <c r="D67" s="127">
        <v>0.33194444444444443</v>
      </c>
      <c r="E67" s="124"/>
      <c r="F67" s="126">
        <v>291793.18508869287</v>
      </c>
      <c r="G67" s="219" t="s">
        <v>63</v>
      </c>
      <c r="H67" s="126">
        <f>+J67*(H60+H55+H43+H40+H34+H29+H27+H23+H21+H12+H8+H3)/(J3+J8+J12+J21+J23+J27+J29+J34+J40+J43+J55+J60)</f>
        <v>100903.67530654032</v>
      </c>
      <c r="I67" s="125"/>
      <c r="J67" s="126">
        <v>156014.95306378856</v>
      </c>
      <c r="K67" s="124"/>
      <c r="L67" s="126" t="s">
        <v>54</v>
      </c>
      <c r="M67" s="125"/>
      <c r="N67" s="126" t="s">
        <v>54</v>
      </c>
      <c r="O67" s="10">
        <f>+F67+H67+J67</f>
        <v>548711.81345902174</v>
      </c>
    </row>
    <row r="68" spans="1:15" x14ac:dyDescent="0.25">
      <c r="A68" s="121">
        <v>43576</v>
      </c>
      <c r="B68" s="5">
        <f t="shared" si="1"/>
        <v>43576</v>
      </c>
      <c r="C68" s="123">
        <v>-1.2</v>
      </c>
      <c r="D68" s="127">
        <v>0.36249999999999999</v>
      </c>
      <c r="E68" s="124"/>
      <c r="F68" s="126">
        <v>208629.48571336654</v>
      </c>
      <c r="G68" s="125"/>
      <c r="H68" s="126">
        <v>111410.5708328863</v>
      </c>
      <c r="I68" s="125"/>
      <c r="J68" s="126" t="s">
        <v>54</v>
      </c>
      <c r="K68" s="124"/>
      <c r="L68" s="126">
        <v>83678.536732537614</v>
      </c>
      <c r="M68" s="125"/>
      <c r="N68" s="126" t="s">
        <v>54</v>
      </c>
      <c r="O68" s="10">
        <f>+F68+H68+L68</f>
        <v>403718.59327879042</v>
      </c>
    </row>
    <row r="69" spans="1:15" x14ac:dyDescent="0.25">
      <c r="A69" s="121">
        <v>43577</v>
      </c>
      <c r="B69" s="5">
        <f t="shared" si="1"/>
        <v>43577</v>
      </c>
      <c r="C69" s="123">
        <v>-1</v>
      </c>
      <c r="D69" s="127">
        <v>0.3923611111111111</v>
      </c>
      <c r="E69" s="124"/>
      <c r="F69" s="126" t="s">
        <v>54</v>
      </c>
      <c r="G69" s="125"/>
      <c r="H69" s="126">
        <v>32224.540529540991</v>
      </c>
      <c r="I69" s="125"/>
      <c r="J69" s="126" t="s">
        <v>54</v>
      </c>
      <c r="K69" s="124"/>
      <c r="L69" s="126">
        <v>37499.998613508142</v>
      </c>
      <c r="M69" s="125"/>
      <c r="N69" s="126" t="s">
        <v>54</v>
      </c>
      <c r="O69" s="10">
        <f>+H69+L69</f>
        <v>69724.539143049129</v>
      </c>
    </row>
    <row r="70" spans="1:15" x14ac:dyDescent="0.25">
      <c r="A70" s="121"/>
      <c r="B70" s="89"/>
      <c r="C70" s="123"/>
      <c r="D70" s="127"/>
      <c r="E70" s="124"/>
      <c r="F70" s="126"/>
      <c r="G70" s="125"/>
      <c r="H70" s="126"/>
      <c r="I70" s="125"/>
      <c r="J70" s="126"/>
      <c r="K70" s="124"/>
      <c r="L70" s="126"/>
      <c r="M70" s="125"/>
      <c r="N70" s="128"/>
    </row>
    <row r="71" spans="1:15" x14ac:dyDescent="0.25">
      <c r="A71" s="121">
        <v>43603</v>
      </c>
      <c r="B71" s="89">
        <v>43603</v>
      </c>
      <c r="C71" s="123">
        <v>-1.4</v>
      </c>
      <c r="D71" s="127">
        <v>0.2902777777777778</v>
      </c>
      <c r="E71" s="124"/>
      <c r="F71" s="126" t="s">
        <v>54</v>
      </c>
      <c r="G71" s="125"/>
      <c r="H71" s="126" t="s">
        <v>54</v>
      </c>
      <c r="I71" s="125"/>
      <c r="J71" s="126" t="s">
        <v>54</v>
      </c>
      <c r="K71" s="125"/>
      <c r="L71" s="211">
        <v>91519.186133222363</v>
      </c>
      <c r="M71" s="125"/>
      <c r="N71" s="126" t="s">
        <v>54</v>
      </c>
      <c r="O71" s="14">
        <f>+L71</f>
        <v>91519.186133222363</v>
      </c>
    </row>
    <row r="72" spans="1:15" x14ac:dyDescent="0.25">
      <c r="A72" s="121">
        <v>43604</v>
      </c>
      <c r="B72" s="89">
        <v>43604</v>
      </c>
      <c r="C72" s="123">
        <v>-1.6</v>
      </c>
      <c r="D72" s="127">
        <v>0.32013888888888892</v>
      </c>
      <c r="E72" s="124"/>
      <c r="F72" s="126" t="s">
        <v>54</v>
      </c>
      <c r="G72" s="125"/>
      <c r="H72" s="126" t="s">
        <v>54</v>
      </c>
      <c r="I72" s="125"/>
      <c r="J72" s="126" t="s">
        <v>54</v>
      </c>
      <c r="K72" s="125"/>
      <c r="L72" s="211">
        <v>68012.261190832651</v>
      </c>
      <c r="M72" s="125"/>
      <c r="N72" s="126" t="s">
        <v>54</v>
      </c>
      <c r="O72" s="14">
        <f>+L72</f>
        <v>68012.261190832651</v>
      </c>
    </row>
    <row r="73" spans="1:15" x14ac:dyDescent="0.25">
      <c r="A73" s="121">
        <v>43605</v>
      </c>
      <c r="B73" s="89">
        <v>43605</v>
      </c>
      <c r="C73" s="123">
        <v>-1.6</v>
      </c>
      <c r="D73" s="127">
        <v>0.34930555555555554</v>
      </c>
      <c r="E73" s="124"/>
      <c r="F73" s="126" t="s">
        <v>54</v>
      </c>
      <c r="G73" s="125"/>
      <c r="H73" s="126" t="s">
        <v>54</v>
      </c>
      <c r="I73" s="125"/>
      <c r="J73" s="126" t="s">
        <v>54</v>
      </c>
      <c r="K73" s="125"/>
      <c r="L73" s="211">
        <v>26748.384725052361</v>
      </c>
      <c r="M73" s="125"/>
      <c r="N73" s="126" t="s">
        <v>54</v>
      </c>
      <c r="O73" s="14">
        <f>+L73</f>
        <v>26748.384725052361</v>
      </c>
    </row>
    <row r="74" spans="1:15" x14ac:dyDescent="0.25">
      <c r="A74" s="121"/>
      <c r="B74" s="89"/>
      <c r="C74" s="123"/>
      <c r="D74" s="127"/>
      <c r="E74" s="124"/>
      <c r="F74" s="126"/>
      <c r="G74" s="125"/>
      <c r="H74" s="126"/>
      <c r="I74" s="125"/>
      <c r="J74" s="126"/>
      <c r="K74" s="124"/>
      <c r="L74" s="126"/>
      <c r="M74" s="125"/>
      <c r="N74" s="128"/>
    </row>
    <row r="75" spans="1:15" x14ac:dyDescent="0.25">
      <c r="A75" s="4"/>
      <c r="B75" s="89"/>
      <c r="C75" s="12"/>
      <c r="D75" s="84"/>
    </row>
    <row r="76" spans="1:15" x14ac:dyDescent="0.25">
      <c r="A76" s="58" t="s">
        <v>65</v>
      </c>
      <c r="C76"/>
      <c r="D76" s="84"/>
      <c r="E76" s="132"/>
      <c r="F76" s="62">
        <f>SUM(F2:F75)</f>
        <v>614561.89777625387</v>
      </c>
      <c r="G76" s="55"/>
      <c r="H76" s="62">
        <f>SUM(H2:H75)</f>
        <v>1131818.9364590403</v>
      </c>
      <c r="I76" s="55"/>
      <c r="J76" s="62">
        <f>SUM(J2:J75)</f>
        <v>832028.7242826994</v>
      </c>
      <c r="K76" s="55"/>
      <c r="L76" s="62">
        <f>SUM(L2:L75)</f>
        <v>1082628.9905536359</v>
      </c>
      <c r="M76" s="55"/>
      <c r="N76" s="62">
        <f>SUM(N2:N75)</f>
        <v>3578.9228588765482</v>
      </c>
      <c r="O76" s="59">
        <f>SUM(O6:O75)</f>
        <v>3525612.9463296472</v>
      </c>
    </row>
    <row r="77" spans="1:15" x14ac:dyDescent="0.25">
      <c r="A77" s="60" t="s">
        <v>12</v>
      </c>
      <c r="B77" s="57"/>
      <c r="C77" s="55"/>
      <c r="D77" s="55"/>
      <c r="E77" s="132"/>
      <c r="F77" s="166">
        <f>+'LB Wastage'!H100</f>
        <v>0.05</v>
      </c>
      <c r="G77" s="57"/>
      <c r="H77" s="166">
        <f>+'TH Wastage'!H40</f>
        <v>0.05</v>
      </c>
      <c r="I77" s="57"/>
      <c r="J77" s="166">
        <f>+'Cop Wastage'!H100</f>
        <v>4.4999999999999998E-2</v>
      </c>
      <c r="K77" s="112"/>
      <c r="L77" s="166">
        <f>+'Moc Wastage'!H100</f>
        <v>5.8749999999999997E-2</v>
      </c>
      <c r="M77" s="57"/>
      <c r="N77" s="166"/>
      <c r="O77" s="57"/>
    </row>
    <row r="78" spans="1:15" x14ac:dyDescent="0.25">
      <c r="A78" s="58" t="s">
        <v>13</v>
      </c>
      <c r="B78" s="57"/>
      <c r="C78" s="55"/>
      <c r="D78" s="55"/>
      <c r="E78" s="132"/>
      <c r="F78" s="62">
        <f>+F76*F77</f>
        <v>30728.094888812695</v>
      </c>
      <c r="G78" s="57"/>
      <c r="H78" s="62">
        <f>+H76*H77</f>
        <v>56590.946822952013</v>
      </c>
      <c r="I78" s="57"/>
      <c r="J78" s="62">
        <f>+J76*J77</f>
        <v>37441.292592721475</v>
      </c>
      <c r="K78" s="57"/>
      <c r="L78" s="62">
        <f>+L76*L77</f>
        <v>63604.453195026101</v>
      </c>
      <c r="M78" s="57"/>
      <c r="N78" s="62"/>
      <c r="O78" s="59">
        <f>F78+H78+J78+L78+N78</f>
        <v>188364.78749951225</v>
      </c>
    </row>
    <row r="79" spans="1:15" x14ac:dyDescent="0.25">
      <c r="A79" s="60" t="s">
        <v>14</v>
      </c>
      <c r="B79" s="57"/>
      <c r="C79" s="55"/>
      <c r="D79" s="55"/>
      <c r="E79" s="132"/>
      <c r="F79" s="62">
        <f>F76+F78</f>
        <v>645289.99266506662</v>
      </c>
      <c r="G79" s="57"/>
      <c r="H79" s="62">
        <f>H76+H78</f>
        <v>1188409.8832819923</v>
      </c>
      <c r="I79" s="57"/>
      <c r="J79" s="62">
        <f>J76+J78</f>
        <v>869470.01687542093</v>
      </c>
      <c r="K79" s="57"/>
      <c r="L79" s="62">
        <f>L76+L78</f>
        <v>1146233.443748662</v>
      </c>
      <c r="M79" s="57"/>
      <c r="N79" s="62">
        <f>N76+N78</f>
        <v>3578.9228588765482</v>
      </c>
      <c r="O79" s="59">
        <f>O76+O78</f>
        <v>3713977.7338291593</v>
      </c>
    </row>
    <row r="80" spans="1:15" x14ac:dyDescent="0.25">
      <c r="A80" s="61" t="s">
        <v>66</v>
      </c>
      <c r="B80" s="57"/>
      <c r="C80" s="55"/>
      <c r="D80" s="55"/>
      <c r="E80" s="132"/>
      <c r="F80" s="62"/>
      <c r="G80" s="57"/>
      <c r="H80" s="62"/>
      <c r="I80" s="57"/>
      <c r="J80" s="62"/>
      <c r="K80" s="57"/>
      <c r="L80" s="62"/>
      <c r="M80" s="57"/>
      <c r="N80" s="62"/>
      <c r="O80" s="62"/>
    </row>
    <row r="81" spans="1:15" x14ac:dyDescent="0.25">
      <c r="A81" s="61" t="s">
        <v>15</v>
      </c>
      <c r="B81" s="57"/>
      <c r="C81" s="55"/>
      <c r="D81" s="55"/>
      <c r="E81" s="132"/>
      <c r="F81" s="63">
        <f>F79/TAC!B4</f>
        <v>1.934571880263543</v>
      </c>
      <c r="G81" s="57"/>
      <c r="H81" s="63">
        <f>H79/TAC!B5</f>
        <v>0.862964424639733</v>
      </c>
      <c r="I81" s="57"/>
      <c r="J81" s="63">
        <f>+J79/TAC!B6</f>
        <v>1.0101095961692592</v>
      </c>
      <c r="K81" s="57"/>
      <c r="L81" s="63">
        <f>L79/TAC!B7</f>
        <v>0.75971182148463723</v>
      </c>
      <c r="M81" s="57"/>
      <c r="N81" s="63">
        <f>N79/TAC!B8</f>
        <v>4.6037912425443061E-3</v>
      </c>
      <c r="O81" s="63">
        <f>O79/TAC!C9</f>
        <v>1.3390732541741783</v>
      </c>
    </row>
    <row r="82" spans="1:15" x14ac:dyDescent="0.25">
      <c r="A82" s="61" t="s">
        <v>16</v>
      </c>
      <c r="B82" s="57"/>
      <c r="C82" s="55"/>
      <c r="D82" s="55"/>
      <c r="E82" s="132"/>
      <c r="F82" s="62">
        <f>+TAC!B4-Harvest!F79</f>
        <v>-311732.99266506662</v>
      </c>
      <c r="G82" s="57"/>
      <c r="H82" s="62">
        <f>TAC!B5-Harvest!H79</f>
        <v>188715.11671800772</v>
      </c>
      <c r="I82" s="57"/>
      <c r="J82" s="62">
        <f>+TAC!B6-Harvest!J79</f>
        <v>-8702.0168754209299</v>
      </c>
      <c r="K82" s="57"/>
      <c r="L82" s="62">
        <f>TAC!B7-L79</f>
        <v>362540.55625133798</v>
      </c>
      <c r="M82" s="57"/>
      <c r="N82" s="62">
        <f>TAC!B8-N79</f>
        <v>773807.07714112347</v>
      </c>
      <c r="O82" s="62">
        <f>TAC!C9-Harvest!O79</f>
        <v>-940434.37296230998</v>
      </c>
    </row>
    <row r="83" spans="1:15" x14ac:dyDescent="0.25">
      <c r="A83" s="61"/>
      <c r="B83" s="57"/>
      <c r="C83" s="55"/>
      <c r="D83" s="55"/>
      <c r="E83" s="132"/>
      <c r="F83" s="57"/>
      <c r="G83" s="57"/>
      <c r="H83" s="57"/>
      <c r="I83" s="57"/>
      <c r="J83" s="57"/>
      <c r="K83" s="57"/>
      <c r="L83" s="57"/>
      <c r="M83" s="57"/>
      <c r="N83" s="57"/>
      <c r="O83" s="57"/>
    </row>
    <row r="84" spans="1:15" x14ac:dyDescent="0.25">
      <c r="A84" s="58" t="s">
        <v>17</v>
      </c>
      <c r="B84" s="57"/>
      <c r="C84" s="55"/>
      <c r="D84" s="55"/>
      <c r="J84" s="10"/>
    </row>
    <row r="85" spans="1:15" x14ac:dyDescent="0.25">
      <c r="A85" s="91" t="s">
        <v>46</v>
      </c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paperSize="3" scale="93" fitToHeight="0" orientation="portrait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79 O3 O12 O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79"/>
  <sheetViews>
    <sheetView zoomScaleNormal="100" workbookViewId="0">
      <selection activeCell="U8" sqref="U8"/>
    </sheetView>
  </sheetViews>
  <sheetFormatPr defaultRowHeight="15" x14ac:dyDescent="0.25"/>
  <cols>
    <col min="1" max="1" width="18.7109375" customWidth="1"/>
    <col min="2" max="2" width="6" bestFit="1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8.140625" bestFit="1" customWidth="1"/>
  </cols>
  <sheetData>
    <row r="1" spans="1:17" x14ac:dyDescent="0.25">
      <c r="A1" s="11" t="s">
        <v>8</v>
      </c>
      <c r="B1" s="11" t="s">
        <v>5</v>
      </c>
      <c r="C1" s="130" t="s">
        <v>6</v>
      </c>
      <c r="D1" s="130" t="s">
        <v>7</v>
      </c>
      <c r="E1" s="316" t="s">
        <v>0</v>
      </c>
      <c r="F1" s="316"/>
      <c r="G1" s="316" t="s">
        <v>1</v>
      </c>
      <c r="H1" s="316"/>
      <c r="I1" s="316" t="s">
        <v>2</v>
      </c>
      <c r="J1" s="316"/>
      <c r="K1" s="316" t="s">
        <v>3</v>
      </c>
      <c r="L1" s="316"/>
      <c r="M1" s="316" t="s">
        <v>4</v>
      </c>
      <c r="N1" s="316"/>
      <c r="O1" s="13" t="s">
        <v>11</v>
      </c>
    </row>
    <row r="2" spans="1:17" x14ac:dyDescent="0.25">
      <c r="A2" s="4">
        <v>43384</v>
      </c>
      <c r="B2" s="5">
        <f>+A2</f>
        <v>43384</v>
      </c>
      <c r="C2" s="77">
        <v>-0.6</v>
      </c>
      <c r="D2" s="6">
        <v>0.87361111111111101</v>
      </c>
      <c r="E2" s="52"/>
      <c r="F2" s="8" t="s">
        <v>54</v>
      </c>
      <c r="G2" s="149"/>
      <c r="H2" s="8">
        <v>1852.5576795324773</v>
      </c>
      <c r="I2" s="149"/>
      <c r="J2" s="8" t="s">
        <v>54</v>
      </c>
      <c r="K2" s="149"/>
      <c r="L2" s="8">
        <v>1283.6696475443512</v>
      </c>
      <c r="M2" s="54"/>
      <c r="N2" s="8" t="s">
        <v>54</v>
      </c>
      <c r="O2" s="160">
        <f>+H2+L2</f>
        <v>3136.2273270768283</v>
      </c>
      <c r="Q2" s="14">
        <f>SUM(O2:O9)</f>
        <v>18435.450531100061</v>
      </c>
    </row>
    <row r="3" spans="1:17" x14ac:dyDescent="0.25">
      <c r="A3" s="4">
        <v>43385</v>
      </c>
      <c r="B3" s="5">
        <f t="shared" ref="B3:B35" si="0">+A3</f>
        <v>43385</v>
      </c>
      <c r="C3" s="77">
        <v>-0.3</v>
      </c>
      <c r="D3" s="6">
        <v>0.90347222222222223</v>
      </c>
      <c r="E3" s="53"/>
      <c r="F3" s="8" t="s">
        <v>54</v>
      </c>
      <c r="G3" s="149"/>
      <c r="H3" s="8">
        <v>1085.7839784745911</v>
      </c>
      <c r="I3" s="149"/>
      <c r="J3" s="8">
        <v>1983.4261652980529</v>
      </c>
      <c r="K3" s="149"/>
      <c r="L3" s="8" t="s">
        <v>54</v>
      </c>
      <c r="M3" s="54"/>
      <c r="N3" s="8" t="s">
        <v>54</v>
      </c>
      <c r="O3" s="160">
        <f>+H3+J3</f>
        <v>3069.2101437726442</v>
      </c>
    </row>
    <row r="4" spans="1:17" x14ac:dyDescent="0.25">
      <c r="A4" s="4">
        <v>43386</v>
      </c>
      <c r="B4" s="5">
        <f t="shared" si="0"/>
        <v>43386</v>
      </c>
      <c r="C4" s="77">
        <v>0.1</v>
      </c>
      <c r="D4" s="6">
        <v>0.93472222222222223</v>
      </c>
      <c r="E4" s="131"/>
      <c r="F4" s="8" t="s">
        <v>54</v>
      </c>
      <c r="G4" s="8"/>
      <c r="H4" s="8">
        <v>1666.4268294223432</v>
      </c>
      <c r="I4" s="8"/>
      <c r="J4" s="8" t="s">
        <v>54</v>
      </c>
      <c r="K4" s="7"/>
      <c r="L4" s="8">
        <v>1673.0640265019636</v>
      </c>
      <c r="M4" s="54"/>
      <c r="N4" s="8" t="s">
        <v>54</v>
      </c>
      <c r="O4" s="160">
        <f>+H4+L4</f>
        <v>3339.4908559243067</v>
      </c>
    </row>
    <row r="5" spans="1:17" x14ac:dyDescent="0.25">
      <c r="A5" s="4"/>
      <c r="B5" s="5"/>
      <c r="C5" s="77"/>
      <c r="D5" s="6"/>
      <c r="E5" s="53"/>
      <c r="F5" s="8"/>
      <c r="G5" s="8"/>
      <c r="H5" s="8"/>
      <c r="I5" s="8"/>
      <c r="J5" s="8"/>
      <c r="K5" s="7"/>
      <c r="L5" s="8"/>
      <c r="M5" s="54"/>
      <c r="N5" s="8"/>
      <c r="O5" s="151"/>
      <c r="Q5" s="14"/>
    </row>
    <row r="6" spans="1:17" x14ac:dyDescent="0.25">
      <c r="A6" s="4">
        <v>43398</v>
      </c>
      <c r="B6" s="5">
        <f t="shared" si="0"/>
        <v>43398</v>
      </c>
      <c r="C6" s="110">
        <v>-0.5</v>
      </c>
      <c r="D6" s="6">
        <v>0.82986111111111116</v>
      </c>
      <c r="E6" s="53"/>
      <c r="F6" s="8" t="s">
        <v>54</v>
      </c>
      <c r="G6" s="8"/>
      <c r="H6" s="8">
        <v>632.23843705291222</v>
      </c>
      <c r="I6" s="8"/>
      <c r="J6" s="8">
        <v>1056.2522360924809</v>
      </c>
      <c r="K6" s="7"/>
      <c r="L6" s="8" t="s">
        <v>54</v>
      </c>
      <c r="M6" s="54"/>
      <c r="N6" s="8" t="s">
        <v>54</v>
      </c>
      <c r="O6" s="151">
        <f>+H6+J6</f>
        <v>1688.490673145393</v>
      </c>
    </row>
    <row r="7" spans="1:17" x14ac:dyDescent="0.25">
      <c r="A7" s="4">
        <v>43399</v>
      </c>
      <c r="B7" s="5">
        <f t="shared" si="0"/>
        <v>43399</v>
      </c>
      <c r="C7" s="110">
        <v>-0.7</v>
      </c>
      <c r="D7" s="6">
        <v>0.85833333333333339</v>
      </c>
      <c r="E7" s="53"/>
      <c r="F7" s="8" t="s">
        <v>54</v>
      </c>
      <c r="G7" s="8"/>
      <c r="H7" s="8">
        <v>2041.562489456132</v>
      </c>
      <c r="I7" s="8"/>
      <c r="J7" s="8" t="s">
        <v>54</v>
      </c>
      <c r="K7" s="7"/>
      <c r="L7" s="8">
        <v>2233.1779627828964</v>
      </c>
      <c r="M7" s="54"/>
      <c r="N7" s="8" t="s">
        <v>54</v>
      </c>
      <c r="O7" s="151">
        <f>+H7+L7</f>
        <v>4274.7404522390279</v>
      </c>
    </row>
    <row r="8" spans="1:17" x14ac:dyDescent="0.25">
      <c r="A8" s="4">
        <v>43400</v>
      </c>
      <c r="B8" s="5">
        <f t="shared" si="0"/>
        <v>43400</v>
      </c>
      <c r="C8" s="110">
        <v>-0.7</v>
      </c>
      <c r="D8" s="6">
        <v>0.8881944444444444</v>
      </c>
      <c r="E8" s="53"/>
      <c r="F8" s="8" t="s">
        <v>54</v>
      </c>
      <c r="G8" s="131"/>
      <c r="H8" s="8">
        <v>670.44800051970208</v>
      </c>
      <c r="I8" s="8"/>
      <c r="J8" s="8">
        <v>1327.3992160731027</v>
      </c>
      <c r="K8" s="8"/>
      <c r="L8" s="8" t="s">
        <v>54</v>
      </c>
      <c r="M8" s="54"/>
      <c r="N8" s="8" t="s">
        <v>54</v>
      </c>
      <c r="O8" s="151">
        <f>+H8+J8</f>
        <v>1997.8472165928047</v>
      </c>
    </row>
    <row r="9" spans="1:17" x14ac:dyDescent="0.25">
      <c r="A9" s="4">
        <v>43401</v>
      </c>
      <c r="B9" s="5">
        <f t="shared" si="0"/>
        <v>43401</v>
      </c>
      <c r="C9" s="77">
        <v>-0.6</v>
      </c>
      <c r="D9" s="6">
        <v>0.92222222222222217</v>
      </c>
      <c r="E9" s="131"/>
      <c r="F9" s="8" t="s">
        <v>54</v>
      </c>
      <c r="G9" s="131"/>
      <c r="H9" s="8">
        <v>261.32725863921792</v>
      </c>
      <c r="I9" s="152"/>
      <c r="J9" s="8" t="s">
        <v>54</v>
      </c>
      <c r="K9" s="152"/>
      <c r="L9" s="8">
        <v>668.11660370983986</v>
      </c>
      <c r="M9" s="54"/>
      <c r="N9" s="8" t="s">
        <v>54</v>
      </c>
      <c r="O9" s="160">
        <f>+H9+L9</f>
        <v>929.44386234905778</v>
      </c>
    </row>
    <row r="10" spans="1:17" x14ac:dyDescent="0.25">
      <c r="A10" s="4"/>
      <c r="B10" s="5"/>
      <c r="C10" s="77"/>
      <c r="D10" s="6"/>
      <c r="E10" s="131"/>
      <c r="F10" s="8"/>
      <c r="G10" s="152"/>
      <c r="H10" s="8"/>
      <c r="I10" s="152"/>
      <c r="J10" s="8"/>
      <c r="K10" s="152"/>
      <c r="L10" s="8"/>
      <c r="M10" s="54"/>
      <c r="N10" s="8"/>
      <c r="O10" s="151"/>
    </row>
    <row r="11" spans="1:17" x14ac:dyDescent="0.25">
      <c r="A11" s="4">
        <v>43412</v>
      </c>
      <c r="B11" s="5">
        <f t="shared" si="0"/>
        <v>43412</v>
      </c>
      <c r="C11" s="77">
        <v>-0.8</v>
      </c>
      <c r="D11" s="6">
        <v>0.7895833333333333</v>
      </c>
      <c r="E11" s="131"/>
      <c r="F11" s="8" t="s">
        <v>54</v>
      </c>
      <c r="G11" s="131"/>
      <c r="H11" s="8">
        <v>1280.6808023450167</v>
      </c>
      <c r="I11" s="152"/>
      <c r="J11" s="8" t="s">
        <v>54</v>
      </c>
      <c r="K11" s="152"/>
      <c r="L11" s="8">
        <v>1395.421324929335</v>
      </c>
      <c r="M11" s="54"/>
      <c r="N11" s="8" t="s">
        <v>54</v>
      </c>
      <c r="O11" s="151">
        <f>+H11+L11</f>
        <v>2676.1021272743519</v>
      </c>
    </row>
    <row r="12" spans="1:17" x14ac:dyDescent="0.25">
      <c r="A12" s="4">
        <v>43413</v>
      </c>
      <c r="B12" s="5">
        <f t="shared" si="0"/>
        <v>43413</v>
      </c>
      <c r="C12" s="110">
        <v>-0.7</v>
      </c>
      <c r="D12" s="6">
        <v>0.81666666666666676</v>
      </c>
      <c r="E12" s="131"/>
      <c r="F12" s="8" t="s">
        <v>54</v>
      </c>
      <c r="G12" s="152"/>
      <c r="H12" s="153">
        <v>901.32581450173075</v>
      </c>
      <c r="I12" s="152"/>
      <c r="J12" s="8">
        <v>1923.6392150342299</v>
      </c>
      <c r="K12" s="152"/>
      <c r="L12" s="8" t="s">
        <v>54</v>
      </c>
      <c r="M12" s="152"/>
      <c r="N12" s="8" t="s">
        <v>54</v>
      </c>
      <c r="O12" s="151">
        <f>+H12+J12</f>
        <v>2824.9650295359606</v>
      </c>
    </row>
    <row r="13" spans="1:17" x14ac:dyDescent="0.25">
      <c r="A13" s="4">
        <v>43414</v>
      </c>
      <c r="B13" s="5">
        <f t="shared" si="0"/>
        <v>43414</v>
      </c>
      <c r="C13" s="77">
        <v>-0.4</v>
      </c>
      <c r="D13" s="6">
        <v>0.84375</v>
      </c>
      <c r="E13" s="131"/>
      <c r="F13" s="8" t="s">
        <v>54</v>
      </c>
      <c r="G13" s="131"/>
      <c r="H13" s="8">
        <v>2386.1604651907855</v>
      </c>
      <c r="I13" s="152"/>
      <c r="J13" s="8" t="s">
        <v>54</v>
      </c>
      <c r="K13" s="152"/>
      <c r="L13" s="8">
        <v>2162.2595993676132</v>
      </c>
      <c r="M13" s="152"/>
      <c r="N13" s="8" t="s">
        <v>54</v>
      </c>
      <c r="O13" s="151">
        <f>+H13+L13</f>
        <v>4548.4200645583987</v>
      </c>
    </row>
    <row r="14" spans="1:17" x14ac:dyDescent="0.25">
      <c r="A14" s="4">
        <v>43415</v>
      </c>
      <c r="B14" s="5">
        <f t="shared" si="0"/>
        <v>43415</v>
      </c>
      <c r="C14" s="77">
        <v>0</v>
      </c>
      <c r="D14" s="6">
        <v>0.87222222222222223</v>
      </c>
      <c r="E14" s="131"/>
      <c r="F14" s="8" t="s">
        <v>54</v>
      </c>
      <c r="G14" s="149" t="s">
        <v>63</v>
      </c>
      <c r="H14" s="203">
        <f>+J14*(H12+H8+H6+H3)/(J3+J6+J8+J12)</f>
        <v>867.23855491327697</v>
      </c>
      <c r="I14" s="152"/>
      <c r="J14" s="8">
        <v>1658.3252556872683</v>
      </c>
      <c r="K14" s="152"/>
      <c r="L14" s="8" t="s">
        <v>54</v>
      </c>
      <c r="M14" s="152"/>
      <c r="N14" s="8" t="s">
        <v>54</v>
      </c>
      <c r="O14" s="161">
        <f>+H14+J14</f>
        <v>2525.5638106005454</v>
      </c>
    </row>
    <row r="15" spans="1:17" x14ac:dyDescent="0.25">
      <c r="A15" s="4"/>
      <c r="B15" s="5"/>
      <c r="C15" s="77"/>
      <c r="D15" s="6"/>
      <c r="E15" s="131"/>
      <c r="F15" s="8"/>
      <c r="G15" s="131"/>
      <c r="H15" s="8"/>
      <c r="I15" s="152"/>
      <c r="J15" s="8"/>
      <c r="K15" s="152"/>
      <c r="L15" s="8"/>
      <c r="M15" s="152"/>
      <c r="N15" s="8"/>
      <c r="O15" s="151"/>
    </row>
    <row r="16" spans="1:17" x14ac:dyDescent="0.25">
      <c r="A16" s="4">
        <v>43426</v>
      </c>
      <c r="B16" s="5">
        <f t="shared" si="0"/>
        <v>43426</v>
      </c>
      <c r="C16" s="77">
        <v>-0.7</v>
      </c>
      <c r="D16" s="6">
        <v>0.74652777777777779</v>
      </c>
      <c r="E16" s="131"/>
      <c r="F16" s="8" t="s">
        <v>54</v>
      </c>
      <c r="G16" s="149" t="s">
        <v>63</v>
      </c>
      <c r="H16" s="203">
        <f>+J16*(H12+H8+H6+H3)/(J3+J6+J8+J12)</f>
        <v>830.57634199829124</v>
      </c>
      <c r="I16" s="152"/>
      <c r="J16" s="8">
        <v>1588.2201234121189</v>
      </c>
      <c r="K16" s="152"/>
      <c r="L16" s="8" t="s">
        <v>54</v>
      </c>
      <c r="M16" s="152"/>
      <c r="N16" s="8" t="s">
        <v>54</v>
      </c>
      <c r="O16" s="151">
        <f>+H16+J16</f>
        <v>2418.7964654104103</v>
      </c>
    </row>
    <row r="17" spans="1:15" x14ac:dyDescent="0.25">
      <c r="A17" s="4">
        <v>43427</v>
      </c>
      <c r="B17" s="5">
        <f t="shared" si="0"/>
        <v>43427</v>
      </c>
      <c r="C17" s="110">
        <v>-1.1000000000000001</v>
      </c>
      <c r="D17" s="6">
        <v>0.77500000000000002</v>
      </c>
      <c r="E17" s="131"/>
      <c r="F17" s="8" t="s">
        <v>54</v>
      </c>
      <c r="G17" s="152"/>
      <c r="H17" s="8">
        <v>2423.2725669693737</v>
      </c>
      <c r="I17" s="152"/>
      <c r="J17" s="8" t="s">
        <v>54</v>
      </c>
      <c r="K17" s="152"/>
      <c r="L17" s="8">
        <v>4038.1859770360866</v>
      </c>
      <c r="M17" s="152"/>
      <c r="N17" s="8" t="s">
        <v>54</v>
      </c>
      <c r="O17" s="161">
        <f>+H17+L17</f>
        <v>6461.4585440054598</v>
      </c>
    </row>
    <row r="18" spans="1:15" x14ac:dyDescent="0.25">
      <c r="A18" s="4">
        <v>43428</v>
      </c>
      <c r="B18" s="5">
        <f t="shared" si="0"/>
        <v>43428</v>
      </c>
      <c r="C18" s="77">
        <v>-1.3</v>
      </c>
      <c r="D18" s="6">
        <v>0.80555555555555547</v>
      </c>
      <c r="E18" s="131"/>
      <c r="F18" s="8" t="s">
        <v>54</v>
      </c>
      <c r="G18" s="149" t="s">
        <v>63</v>
      </c>
      <c r="H18" s="203">
        <f>+(J18+L18)*H12/J12</f>
        <v>2161.5193015649434</v>
      </c>
      <c r="I18" s="152"/>
      <c r="J18" s="8">
        <v>3198.5485088909131</v>
      </c>
      <c r="K18" s="152"/>
      <c r="L18" s="8">
        <v>1414.6371179318728</v>
      </c>
      <c r="M18" s="152"/>
      <c r="N18" s="8" t="s">
        <v>54</v>
      </c>
      <c r="O18" s="151">
        <f>+H18+J18+L18</f>
        <v>6774.7049283877295</v>
      </c>
    </row>
    <row r="19" spans="1:15" x14ac:dyDescent="0.25">
      <c r="A19" s="4">
        <v>43429</v>
      </c>
      <c r="B19" s="5">
        <f t="shared" si="0"/>
        <v>43429</v>
      </c>
      <c r="C19" s="110">
        <v>-1.3</v>
      </c>
      <c r="D19" s="6">
        <v>0.83680555555555547</v>
      </c>
      <c r="E19" s="131"/>
      <c r="F19" s="8" t="s">
        <v>54</v>
      </c>
      <c r="G19" s="152"/>
      <c r="H19" s="8">
        <v>300.90271445655992</v>
      </c>
      <c r="I19" s="152"/>
      <c r="J19" s="8" t="s">
        <v>54</v>
      </c>
      <c r="K19" s="152"/>
      <c r="L19" s="8">
        <v>499.47238924369924</v>
      </c>
      <c r="M19" s="152"/>
      <c r="N19" s="8" t="s">
        <v>54</v>
      </c>
      <c r="O19" s="151">
        <f>+H19+L19</f>
        <v>800.37510370025916</v>
      </c>
    </row>
    <row r="20" spans="1:15" x14ac:dyDescent="0.25">
      <c r="A20" s="4"/>
      <c r="B20" s="5"/>
      <c r="C20" s="110"/>
      <c r="D20" s="6"/>
      <c r="E20" s="131"/>
      <c r="F20" s="8"/>
      <c r="G20" s="152"/>
      <c r="H20" s="8"/>
      <c r="I20" s="152"/>
      <c r="J20" s="8"/>
      <c r="K20" s="152"/>
      <c r="L20" s="8"/>
      <c r="M20" s="152"/>
      <c r="N20" s="8"/>
      <c r="O20" s="154"/>
    </row>
    <row r="21" spans="1:15" x14ac:dyDescent="0.25">
      <c r="A21" s="4">
        <v>43440</v>
      </c>
      <c r="B21" s="5">
        <f t="shared" si="0"/>
        <v>43440</v>
      </c>
      <c r="C21" s="110">
        <v>-0.7</v>
      </c>
      <c r="D21" s="6">
        <v>0.75069444444444444</v>
      </c>
      <c r="E21" s="131"/>
      <c r="F21" s="8" t="s">
        <v>54</v>
      </c>
      <c r="G21" s="131"/>
      <c r="H21" s="8">
        <v>1538.7037218960934</v>
      </c>
      <c r="I21" s="156"/>
      <c r="J21" s="8">
        <v>1112.2014898236332</v>
      </c>
      <c r="K21" s="152"/>
      <c r="L21" s="8" t="s">
        <v>54</v>
      </c>
      <c r="M21" s="152"/>
      <c r="N21" s="8" t="s">
        <v>54</v>
      </c>
      <c r="O21" s="154">
        <f>+H21+J21</f>
        <v>2650.9052117197266</v>
      </c>
    </row>
    <row r="22" spans="1:15" x14ac:dyDescent="0.25">
      <c r="A22" s="4">
        <v>43441</v>
      </c>
      <c r="B22" s="5">
        <f t="shared" si="0"/>
        <v>43441</v>
      </c>
      <c r="C22" s="110">
        <v>-0.7</v>
      </c>
      <c r="D22" s="6">
        <v>0.77777777777777779</v>
      </c>
      <c r="E22" s="131"/>
      <c r="F22" s="8" t="s">
        <v>54</v>
      </c>
      <c r="G22" s="152"/>
      <c r="H22" s="8">
        <v>804.41325664720341</v>
      </c>
      <c r="I22" s="156"/>
      <c r="J22" s="8" t="s">
        <v>54</v>
      </c>
      <c r="K22" s="152"/>
      <c r="L22" s="8">
        <v>576.3050066757321</v>
      </c>
      <c r="M22" s="152"/>
      <c r="N22" s="8" t="s">
        <v>54</v>
      </c>
      <c r="O22" s="151">
        <f>+H22+L22</f>
        <v>1380.7182633229354</v>
      </c>
    </row>
    <row r="23" spans="1:15" x14ac:dyDescent="0.25">
      <c r="A23" s="4">
        <v>43442</v>
      </c>
      <c r="B23" s="5">
        <f t="shared" si="0"/>
        <v>43442</v>
      </c>
      <c r="C23" s="110">
        <v>-0.6</v>
      </c>
      <c r="D23" s="6">
        <v>0.8027777777777777</v>
      </c>
      <c r="E23" s="131"/>
      <c r="F23" s="8" t="s">
        <v>54</v>
      </c>
      <c r="G23" s="152"/>
      <c r="H23" s="8">
        <v>948.52659990072175</v>
      </c>
      <c r="I23" s="156"/>
      <c r="J23" s="8">
        <v>1667.8920270267668</v>
      </c>
      <c r="K23" s="152"/>
      <c r="L23" s="8" t="s">
        <v>54</v>
      </c>
      <c r="M23" s="152"/>
      <c r="N23" s="8" t="s">
        <v>54</v>
      </c>
      <c r="O23" s="151">
        <f>+H23+J23</f>
        <v>2616.4186269274887</v>
      </c>
    </row>
    <row r="24" spans="1:15" x14ac:dyDescent="0.25">
      <c r="A24" s="4">
        <v>43443</v>
      </c>
      <c r="B24" s="5">
        <f t="shared" si="0"/>
        <v>43443</v>
      </c>
      <c r="C24" s="110">
        <v>-0.4</v>
      </c>
      <c r="D24" s="6">
        <v>0.82847222222222217</v>
      </c>
      <c r="E24" s="131"/>
      <c r="F24" s="8" t="s">
        <v>54</v>
      </c>
      <c r="G24" s="152"/>
      <c r="H24" s="8">
        <v>132.87786081505945</v>
      </c>
      <c r="I24" s="156"/>
      <c r="J24" s="8" t="s">
        <v>54</v>
      </c>
      <c r="K24" s="152"/>
      <c r="L24" s="8">
        <v>226.07677579663562</v>
      </c>
      <c r="M24" s="152"/>
      <c r="N24" s="8" t="s">
        <v>54</v>
      </c>
      <c r="O24" s="151">
        <f>+H24+L24</f>
        <v>358.95463661169504</v>
      </c>
    </row>
    <row r="25" spans="1:15" x14ac:dyDescent="0.25">
      <c r="A25" s="121"/>
      <c r="B25" s="5"/>
      <c r="C25" s="157"/>
      <c r="D25" s="6"/>
      <c r="E25" s="131"/>
      <c r="F25" s="8"/>
      <c r="G25" s="152"/>
      <c r="H25" s="8"/>
      <c r="I25" s="156"/>
      <c r="J25" s="8"/>
      <c r="K25" s="152"/>
      <c r="L25" s="8"/>
      <c r="M25" s="152"/>
      <c r="N25" s="8"/>
      <c r="O25" s="161"/>
    </row>
    <row r="26" spans="1:15" x14ac:dyDescent="0.25">
      <c r="A26" s="4">
        <v>43454</v>
      </c>
      <c r="B26" s="5">
        <f t="shared" si="0"/>
        <v>43454</v>
      </c>
      <c r="C26" s="77">
        <v>-0.3</v>
      </c>
      <c r="D26" s="6">
        <v>0.70208333333333339</v>
      </c>
      <c r="E26" s="131"/>
      <c r="F26" s="8" t="s">
        <v>54</v>
      </c>
      <c r="G26" s="152"/>
      <c r="H26" s="8">
        <v>397.64769054964506</v>
      </c>
      <c r="I26" s="156"/>
      <c r="J26" s="8" t="s">
        <v>54</v>
      </c>
      <c r="K26" s="156"/>
      <c r="L26" s="8">
        <v>280.13746802135654</v>
      </c>
      <c r="M26" s="156"/>
      <c r="N26" s="8" t="s">
        <v>54</v>
      </c>
      <c r="O26" s="151">
        <f>+H26+L26</f>
        <v>677.7851585710016</v>
      </c>
    </row>
    <row r="27" spans="1:15" x14ac:dyDescent="0.25">
      <c r="A27" s="4">
        <v>43455</v>
      </c>
      <c r="B27" s="5">
        <f t="shared" si="0"/>
        <v>43455</v>
      </c>
      <c r="C27" s="77">
        <v>-1</v>
      </c>
      <c r="D27" s="6">
        <v>0.73263888888888884</v>
      </c>
      <c r="E27" s="131"/>
      <c r="F27" s="8" t="s">
        <v>54</v>
      </c>
      <c r="G27" s="152"/>
      <c r="H27" s="8">
        <v>1183.6581520643404</v>
      </c>
      <c r="I27" s="156"/>
      <c r="J27" s="8">
        <v>1681.3143733961617</v>
      </c>
      <c r="K27" s="156"/>
      <c r="L27" s="8" t="s">
        <v>54</v>
      </c>
      <c r="M27" s="156"/>
      <c r="N27" s="8" t="s">
        <v>54</v>
      </c>
      <c r="O27" s="151">
        <f>+H27+J27</f>
        <v>2864.9725254605019</v>
      </c>
    </row>
    <row r="28" spans="1:15" x14ac:dyDescent="0.25">
      <c r="A28" s="4">
        <v>43456</v>
      </c>
      <c r="B28" s="5">
        <f t="shared" si="0"/>
        <v>43456</v>
      </c>
      <c r="C28" s="77">
        <v>-1.4</v>
      </c>
      <c r="D28" s="6">
        <v>0.76388888888888884</v>
      </c>
      <c r="E28" s="159"/>
      <c r="F28" s="8">
        <v>1777.1929126831938</v>
      </c>
      <c r="G28" s="152"/>
      <c r="H28" s="8">
        <v>709.5967774456492</v>
      </c>
      <c r="I28" s="156"/>
      <c r="J28" s="8" t="s">
        <v>54</v>
      </c>
      <c r="K28" s="156"/>
      <c r="L28" s="8">
        <v>881.01386968416227</v>
      </c>
      <c r="M28" s="156"/>
      <c r="N28" s="8" t="s">
        <v>54</v>
      </c>
      <c r="O28" s="151">
        <f>+F28+H28+L28</f>
        <v>3367.8035598130054</v>
      </c>
    </row>
    <row r="29" spans="1:15" x14ac:dyDescent="0.25">
      <c r="A29" s="121">
        <v>43457</v>
      </c>
      <c r="B29" s="5">
        <f t="shared" si="0"/>
        <v>43457</v>
      </c>
      <c r="C29" s="157">
        <v>-1.6</v>
      </c>
      <c r="D29" s="6">
        <v>0.79513888888888884</v>
      </c>
      <c r="E29" s="159"/>
      <c r="F29" s="8" t="s">
        <v>54</v>
      </c>
      <c r="G29" s="152"/>
      <c r="H29" s="8">
        <v>587.93506482681767</v>
      </c>
      <c r="I29" s="156"/>
      <c r="J29" s="8">
        <v>1074.4421891105458</v>
      </c>
      <c r="K29" s="156"/>
      <c r="L29" s="8" t="s">
        <v>54</v>
      </c>
      <c r="M29" s="156"/>
      <c r="N29" s="8" t="s">
        <v>54</v>
      </c>
      <c r="O29" s="151">
        <f>+H29+J29</f>
        <v>1662.3772539373635</v>
      </c>
    </row>
    <row r="30" spans="1:15" x14ac:dyDescent="0.25">
      <c r="A30" s="4"/>
      <c r="B30" s="5"/>
      <c r="C30" s="157"/>
      <c r="D30" s="158"/>
      <c r="E30" s="159"/>
      <c r="F30" s="8"/>
      <c r="G30" s="152"/>
      <c r="H30" s="8"/>
      <c r="I30" s="152"/>
      <c r="J30" s="8"/>
      <c r="K30" s="131"/>
      <c r="L30" s="8"/>
      <c r="M30" s="152"/>
      <c r="N30" s="8"/>
      <c r="O30" s="161"/>
    </row>
    <row r="31" spans="1:15" x14ac:dyDescent="0.25">
      <c r="A31" s="4">
        <v>43467</v>
      </c>
      <c r="B31" s="5">
        <f t="shared" si="0"/>
        <v>43467</v>
      </c>
      <c r="C31" s="157">
        <v>0.2</v>
      </c>
      <c r="D31" s="158">
        <v>0.68194444444444446</v>
      </c>
      <c r="E31" s="159"/>
      <c r="F31" s="8" t="s">
        <v>54</v>
      </c>
      <c r="G31" s="152"/>
      <c r="H31" s="8">
        <v>1358.3299241579796</v>
      </c>
      <c r="I31" s="152"/>
      <c r="J31" s="8" t="s">
        <v>54</v>
      </c>
      <c r="K31" s="131"/>
      <c r="L31" s="8" t="s">
        <v>54</v>
      </c>
      <c r="M31" s="152"/>
      <c r="N31" s="8" t="s">
        <v>54</v>
      </c>
      <c r="O31" s="161">
        <f>+H31</f>
        <v>1358.3299241579796</v>
      </c>
    </row>
    <row r="32" spans="1:15" x14ac:dyDescent="0.25">
      <c r="A32" s="4">
        <v>43468</v>
      </c>
      <c r="B32" s="5">
        <f t="shared" si="0"/>
        <v>43468</v>
      </c>
      <c r="C32" s="157">
        <v>-0.2</v>
      </c>
      <c r="D32" s="158">
        <v>0.71250000000000002</v>
      </c>
      <c r="E32" s="159"/>
      <c r="F32" s="8" t="s">
        <v>54</v>
      </c>
      <c r="G32" s="152"/>
      <c r="H32" s="8">
        <v>232.72429649394869</v>
      </c>
      <c r="I32" s="152"/>
      <c r="J32" s="8" t="s">
        <v>54</v>
      </c>
      <c r="K32" s="152"/>
      <c r="L32" s="8" t="s">
        <v>54</v>
      </c>
      <c r="M32" s="152"/>
      <c r="N32" s="8" t="s">
        <v>54</v>
      </c>
      <c r="O32" s="161">
        <f>+H32</f>
        <v>232.72429649394869</v>
      </c>
    </row>
    <row r="33" spans="1:15" x14ac:dyDescent="0.25">
      <c r="A33" s="4">
        <v>43469</v>
      </c>
      <c r="B33" s="5">
        <f t="shared" si="0"/>
        <v>43469</v>
      </c>
      <c r="C33" s="12">
        <v>-0.4</v>
      </c>
      <c r="D33" s="84">
        <v>0.7402777777777777</v>
      </c>
      <c r="E33" s="124"/>
      <c r="F33" s="8" t="s">
        <v>54</v>
      </c>
      <c r="G33" s="152"/>
      <c r="H33" s="8">
        <v>723.21630896317242</v>
      </c>
      <c r="J33" s="8" t="s">
        <v>54</v>
      </c>
      <c r="L33" s="8">
        <v>931.3652227568449</v>
      </c>
      <c r="N33" s="8" t="s">
        <v>54</v>
      </c>
      <c r="O33" s="161">
        <f>+H33+L33</f>
        <v>1654.5815317200172</v>
      </c>
    </row>
    <row r="34" spans="1:15" x14ac:dyDescent="0.25">
      <c r="A34" s="4">
        <v>43470</v>
      </c>
      <c r="B34" s="5">
        <f t="shared" si="0"/>
        <v>43470</v>
      </c>
      <c r="C34" s="12">
        <v>-0.4</v>
      </c>
      <c r="D34" s="84">
        <v>0.76597222222222217</v>
      </c>
      <c r="E34" s="124"/>
      <c r="F34" s="8" t="s">
        <v>54</v>
      </c>
      <c r="G34" s="152"/>
      <c r="H34" s="8">
        <v>667.93404174661259</v>
      </c>
      <c r="J34" s="8">
        <v>1448.5191219377602</v>
      </c>
      <c r="L34" s="8" t="s">
        <v>54</v>
      </c>
      <c r="N34" s="8" t="s">
        <v>54</v>
      </c>
      <c r="O34" s="161">
        <f>+H34+J34</f>
        <v>2116.4531636843731</v>
      </c>
    </row>
    <row r="35" spans="1:15" x14ac:dyDescent="0.25">
      <c r="A35" s="4">
        <v>43471</v>
      </c>
      <c r="B35" s="5">
        <f t="shared" si="0"/>
        <v>43471</v>
      </c>
      <c r="C35" s="12">
        <v>-0.4</v>
      </c>
      <c r="D35" s="84">
        <v>0.7909722222222223</v>
      </c>
      <c r="F35" s="8" t="s">
        <v>54</v>
      </c>
      <c r="G35" s="2"/>
      <c r="H35" s="8">
        <v>142.90088381207374</v>
      </c>
      <c r="J35" s="8" t="s">
        <v>54</v>
      </c>
      <c r="L35" s="8">
        <v>95.964568088884249</v>
      </c>
      <c r="N35" s="8" t="s">
        <v>54</v>
      </c>
      <c r="O35" s="14">
        <f>+H35+L35</f>
        <v>238.86545190095799</v>
      </c>
    </row>
    <row r="36" spans="1:15" x14ac:dyDescent="0.25">
      <c r="A36" s="4"/>
      <c r="B36" s="89"/>
      <c r="C36" s="12"/>
      <c r="D36" s="84"/>
      <c r="F36" s="8"/>
      <c r="G36" s="2"/>
      <c r="H36" s="8"/>
      <c r="J36" s="8"/>
      <c r="L36" s="8"/>
      <c r="N36" s="8"/>
      <c r="O36" s="14"/>
    </row>
    <row r="37" spans="1:15" x14ac:dyDescent="0.25">
      <c r="A37" s="4">
        <v>43482</v>
      </c>
      <c r="B37" s="5">
        <f t="shared" ref="B37:B41" si="1">+A37</f>
        <v>43482</v>
      </c>
      <c r="C37" s="12">
        <v>0.4</v>
      </c>
      <c r="D37" s="84">
        <v>0.65208333333333335</v>
      </c>
      <c r="F37" s="8" t="s">
        <v>54</v>
      </c>
      <c r="G37" s="125"/>
      <c r="H37" s="122">
        <v>760.1977886971099</v>
      </c>
      <c r="I37" s="125"/>
      <c r="J37" s="8" t="s">
        <v>54</v>
      </c>
      <c r="K37" s="125"/>
      <c r="L37" s="8" t="s">
        <v>54</v>
      </c>
      <c r="M37" s="125"/>
      <c r="N37" s="8" t="s">
        <v>54</v>
      </c>
      <c r="O37" s="14">
        <f>+H37</f>
        <v>760.1977886971099</v>
      </c>
    </row>
    <row r="38" spans="1:15" x14ac:dyDescent="0.25">
      <c r="A38" s="4">
        <v>43483</v>
      </c>
      <c r="B38" s="5">
        <f t="shared" si="1"/>
        <v>43483</v>
      </c>
      <c r="C38" s="12">
        <v>-0.4</v>
      </c>
      <c r="D38" s="84">
        <v>0.6875</v>
      </c>
      <c r="F38" s="8" t="s">
        <v>54</v>
      </c>
      <c r="G38" s="174"/>
      <c r="H38" s="126">
        <v>751.23610744824146</v>
      </c>
      <c r="I38" s="125"/>
      <c r="J38" s="8" t="s">
        <v>54</v>
      </c>
      <c r="K38" s="125"/>
      <c r="L38" s="8" t="s">
        <v>54</v>
      </c>
      <c r="M38" s="125"/>
      <c r="N38" s="8" t="s">
        <v>54</v>
      </c>
      <c r="O38" s="14">
        <f>+H38</f>
        <v>751.23610744824146</v>
      </c>
    </row>
    <row r="39" spans="1:15" x14ac:dyDescent="0.25">
      <c r="A39" s="4">
        <v>43484</v>
      </c>
      <c r="B39" s="5">
        <f t="shared" si="1"/>
        <v>43484</v>
      </c>
      <c r="C39" s="12">
        <v>-1.1000000000000001</v>
      </c>
      <c r="D39" s="84">
        <v>0.72083333333333333</v>
      </c>
      <c r="F39" s="8" t="s">
        <v>54</v>
      </c>
      <c r="G39" s="125"/>
      <c r="H39" s="122">
        <v>4752.7009438164241</v>
      </c>
      <c r="I39" s="125"/>
      <c r="J39" s="8" t="s">
        <v>54</v>
      </c>
      <c r="K39" s="125"/>
      <c r="L39" s="122">
        <v>6352.8667886082021</v>
      </c>
      <c r="M39" s="125"/>
      <c r="N39" s="8" t="s">
        <v>54</v>
      </c>
      <c r="O39" s="14">
        <f>+H39+L39</f>
        <v>11105.567732424626</v>
      </c>
    </row>
    <row r="40" spans="1:15" x14ac:dyDescent="0.25">
      <c r="A40" s="121">
        <v>43485</v>
      </c>
      <c r="B40" s="5">
        <f t="shared" si="1"/>
        <v>43485</v>
      </c>
      <c r="C40" s="123">
        <v>-1.6</v>
      </c>
      <c r="D40" s="127">
        <v>0.75347222222222221</v>
      </c>
      <c r="F40" s="8" t="s">
        <v>54</v>
      </c>
      <c r="G40" s="125"/>
      <c r="H40" s="122">
        <v>2417.1298595824064</v>
      </c>
      <c r="I40" s="125"/>
      <c r="J40" s="122">
        <v>5194.5748037358944</v>
      </c>
      <c r="K40" s="125"/>
      <c r="L40" s="8" t="s">
        <v>54</v>
      </c>
      <c r="M40" s="125"/>
      <c r="N40" s="8" t="s">
        <v>54</v>
      </c>
      <c r="O40" s="14">
        <f>+H40+J40</f>
        <v>7611.7046633183008</v>
      </c>
    </row>
    <row r="41" spans="1:15" x14ac:dyDescent="0.25">
      <c r="A41" s="121">
        <v>43486</v>
      </c>
      <c r="B41" s="5">
        <f t="shared" si="1"/>
        <v>43486</v>
      </c>
      <c r="C41" s="123">
        <v>-1.8</v>
      </c>
      <c r="D41" s="127">
        <v>0.78541666666666676</v>
      </c>
      <c r="F41" s="8" t="s">
        <v>54</v>
      </c>
      <c r="G41" s="125"/>
      <c r="H41" s="126">
        <v>1325.1879911221138</v>
      </c>
      <c r="I41" s="125"/>
      <c r="J41" s="8" t="s">
        <v>54</v>
      </c>
      <c r="K41" s="124"/>
      <c r="L41" s="126">
        <v>1471.4933045335947</v>
      </c>
      <c r="M41" s="125"/>
      <c r="N41" s="8" t="s">
        <v>54</v>
      </c>
      <c r="O41" s="14">
        <f>+H41+L41</f>
        <v>2796.6812956557087</v>
      </c>
    </row>
    <row r="42" spans="1:15" x14ac:dyDescent="0.25">
      <c r="A42" s="4"/>
      <c r="B42" s="89"/>
      <c r="C42" s="12"/>
      <c r="D42" s="84"/>
      <c r="F42" s="8"/>
      <c r="G42" s="2"/>
      <c r="H42" s="8"/>
      <c r="J42" s="8"/>
      <c r="L42" s="8"/>
      <c r="N42" s="8"/>
      <c r="O42" s="14"/>
    </row>
    <row r="43" spans="1:15" x14ac:dyDescent="0.25">
      <c r="A43" s="121">
        <v>43497</v>
      </c>
      <c r="B43" s="5">
        <f t="shared" ref="B43:B45" si="2">+A43</f>
        <v>43497</v>
      </c>
      <c r="C43" s="123">
        <v>0.2</v>
      </c>
      <c r="D43" s="127">
        <v>0.70000000000000007</v>
      </c>
      <c r="F43" s="211" t="s">
        <v>54</v>
      </c>
      <c r="G43" s="2"/>
      <c r="H43" s="8">
        <v>1060.3252791183472</v>
      </c>
      <c r="J43" s="8">
        <v>1395.156101182039</v>
      </c>
      <c r="L43" s="211" t="s">
        <v>54</v>
      </c>
      <c r="N43" s="211" t="s">
        <v>54</v>
      </c>
      <c r="O43" s="14">
        <f>+H43+J43</f>
        <v>2455.4813803003863</v>
      </c>
    </row>
    <row r="44" spans="1:15" x14ac:dyDescent="0.25">
      <c r="A44" s="121">
        <v>43498</v>
      </c>
      <c r="B44" s="5">
        <f t="shared" si="2"/>
        <v>43498</v>
      </c>
      <c r="C44" s="123">
        <v>0</v>
      </c>
      <c r="D44" s="127">
        <v>0.72777777777777775</v>
      </c>
      <c r="F44" s="211" t="s">
        <v>54</v>
      </c>
      <c r="G44" s="2"/>
      <c r="H44" s="8">
        <v>4068.5106486015784</v>
      </c>
      <c r="J44" s="211" t="s">
        <v>54</v>
      </c>
      <c r="L44" s="8">
        <v>3324.7873264653281</v>
      </c>
      <c r="N44" s="211" t="s">
        <v>54</v>
      </c>
      <c r="O44" s="14">
        <f>+H44+L44</f>
        <v>7393.2979750669065</v>
      </c>
    </row>
    <row r="45" spans="1:15" x14ac:dyDescent="0.25">
      <c r="A45" s="121">
        <v>43499</v>
      </c>
      <c r="B45" s="5">
        <f t="shared" si="2"/>
        <v>43499</v>
      </c>
      <c r="C45" s="123">
        <v>-0.1</v>
      </c>
      <c r="D45" s="127">
        <v>0.75277777777777777</v>
      </c>
      <c r="F45" s="211" t="s">
        <v>54</v>
      </c>
      <c r="G45" s="2" t="s">
        <v>63</v>
      </c>
      <c r="H45" s="8">
        <f>+J45*(H43+H40)/(J43+J40)</f>
        <v>393.10651853523575</v>
      </c>
      <c r="J45" s="8">
        <v>744.93158669019863</v>
      </c>
      <c r="L45" s="211" t="s">
        <v>54</v>
      </c>
      <c r="N45" s="211" t="s">
        <v>54</v>
      </c>
      <c r="O45" s="14">
        <f>+H45+J45</f>
        <v>1138.0381052254343</v>
      </c>
    </row>
    <row r="46" spans="1:15" x14ac:dyDescent="0.25">
      <c r="A46" s="4"/>
      <c r="B46" s="89"/>
      <c r="C46" s="12"/>
      <c r="D46" s="84"/>
      <c r="F46" s="8"/>
      <c r="G46" s="2"/>
      <c r="H46" s="8"/>
      <c r="J46" s="8"/>
      <c r="L46" s="8"/>
      <c r="N46" s="8"/>
      <c r="O46" s="14"/>
    </row>
    <row r="47" spans="1:15" x14ac:dyDescent="0.25">
      <c r="A47" s="4">
        <v>43511</v>
      </c>
      <c r="B47" s="5">
        <f t="shared" ref="B47:B53" si="3">+A47</f>
        <v>43511</v>
      </c>
      <c r="C47" s="12">
        <v>0.4</v>
      </c>
      <c r="D47" s="84">
        <v>0.63263888888888886</v>
      </c>
      <c r="F47" s="211" t="s">
        <v>54</v>
      </c>
      <c r="G47" s="2"/>
      <c r="H47" s="211">
        <v>466.58657364431917</v>
      </c>
      <c r="J47" s="211" t="s">
        <v>54</v>
      </c>
      <c r="L47" s="211">
        <v>794.7823086772097</v>
      </c>
      <c r="N47" s="211" t="s">
        <v>54</v>
      </c>
      <c r="O47" s="14">
        <f>+H47+L47</f>
        <v>1261.3688823215289</v>
      </c>
    </row>
    <row r="48" spans="1:15" x14ac:dyDescent="0.25">
      <c r="A48" s="4">
        <v>43512</v>
      </c>
      <c r="B48" s="5">
        <f t="shared" si="3"/>
        <v>43512</v>
      </c>
      <c r="C48" s="12">
        <v>-0.3</v>
      </c>
      <c r="D48" s="84">
        <v>0.67222222222222217</v>
      </c>
      <c r="F48" s="211" t="s">
        <v>54</v>
      </c>
      <c r="G48" s="2"/>
      <c r="H48" s="211">
        <v>1607.184181416065</v>
      </c>
      <c r="J48" s="211">
        <v>4004.5242910039633</v>
      </c>
      <c r="L48" s="211" t="s">
        <v>54</v>
      </c>
      <c r="N48" s="211">
        <v>282.2995219387513</v>
      </c>
      <c r="O48" s="14">
        <f>+H48+J48+N48</f>
        <v>5894.0079943587798</v>
      </c>
    </row>
    <row r="49" spans="1:15" x14ac:dyDescent="0.25">
      <c r="A49" s="4">
        <v>43513</v>
      </c>
      <c r="B49" s="5">
        <f t="shared" si="3"/>
        <v>43513</v>
      </c>
      <c r="C49" s="12">
        <v>-1</v>
      </c>
      <c r="D49" s="84">
        <v>0.70763888888888893</v>
      </c>
      <c r="F49" s="211">
        <v>8343.9805242922157</v>
      </c>
      <c r="G49" s="2" t="s">
        <v>63</v>
      </c>
      <c r="H49" s="211">
        <f>+J49*(H48+H43+H40)/(J40+J43+J48)</f>
        <v>2177.9584268238209</v>
      </c>
      <c r="J49" s="211">
        <v>4537.9516475418404</v>
      </c>
      <c r="L49" s="211">
        <v>2715.4678355373658</v>
      </c>
      <c r="N49" s="211">
        <v>309.65567327409434</v>
      </c>
      <c r="O49" s="14">
        <f>+F49+H49+J49+L49+N49</f>
        <v>18085.014107469338</v>
      </c>
    </row>
    <row r="50" spans="1:15" x14ac:dyDescent="0.25">
      <c r="A50" s="4">
        <v>43514</v>
      </c>
      <c r="B50" s="5">
        <f t="shared" si="3"/>
        <v>43514</v>
      </c>
      <c r="C50" s="12">
        <v>-1.4</v>
      </c>
      <c r="D50" s="84">
        <v>0.7402777777777777</v>
      </c>
      <c r="F50" s="211" t="s">
        <v>54</v>
      </c>
      <c r="G50" s="2" t="s">
        <v>63</v>
      </c>
      <c r="H50" s="211">
        <f>+L50*(H47+H44+H41+H39)/(L39+L41+L44+L47)</f>
        <v>1983.6222910679141</v>
      </c>
      <c r="J50" s="211" t="s">
        <v>54</v>
      </c>
      <c r="L50" s="211">
        <v>2232.3825642545598</v>
      </c>
      <c r="N50" s="211">
        <v>110.96922339405562</v>
      </c>
      <c r="O50" s="14">
        <f>+H50+L50+N50</f>
        <v>4326.9740787165301</v>
      </c>
    </row>
    <row r="51" spans="1:15" x14ac:dyDescent="0.25">
      <c r="A51" s="4">
        <v>43515</v>
      </c>
      <c r="B51" s="5">
        <f t="shared" si="3"/>
        <v>43515</v>
      </c>
      <c r="C51" s="12">
        <v>-1.5</v>
      </c>
      <c r="D51" s="84">
        <v>0.7715277777777777</v>
      </c>
      <c r="F51" s="211" t="s">
        <v>54</v>
      </c>
      <c r="G51" s="2"/>
      <c r="H51" s="211">
        <v>1004.3890690791468</v>
      </c>
      <c r="J51" s="211" t="s">
        <v>54</v>
      </c>
      <c r="L51" s="211" t="s">
        <v>54</v>
      </c>
      <c r="N51" s="211" t="s">
        <v>54</v>
      </c>
      <c r="O51" s="14">
        <f>+H51</f>
        <v>1004.3890690791468</v>
      </c>
    </row>
    <row r="52" spans="1:15" x14ac:dyDescent="0.25">
      <c r="A52" s="4">
        <v>43516</v>
      </c>
      <c r="B52" s="5">
        <f t="shared" si="3"/>
        <v>43516</v>
      </c>
      <c r="C52" s="12">
        <v>-1.3</v>
      </c>
      <c r="D52" s="84">
        <v>0.80138888888888893</v>
      </c>
      <c r="F52" s="211" t="s">
        <v>54</v>
      </c>
      <c r="G52" s="2"/>
      <c r="H52" s="8">
        <v>1251.8014945707864</v>
      </c>
      <c r="J52" s="211" t="s">
        <v>54</v>
      </c>
      <c r="L52" s="211" t="s">
        <v>54</v>
      </c>
      <c r="N52" s="211" t="s">
        <v>54</v>
      </c>
      <c r="O52" s="14">
        <f>+H52</f>
        <v>1251.8014945707864</v>
      </c>
    </row>
    <row r="53" spans="1:15" x14ac:dyDescent="0.25">
      <c r="A53" s="4">
        <v>43517</v>
      </c>
      <c r="B53" s="5">
        <f t="shared" si="3"/>
        <v>43517</v>
      </c>
      <c r="C53" s="12">
        <v>-0.8</v>
      </c>
      <c r="D53" s="84">
        <v>0.8305555555555556</v>
      </c>
      <c r="F53" s="211" t="s">
        <v>54</v>
      </c>
      <c r="G53" s="2"/>
      <c r="H53" s="8">
        <v>615.98682607164176</v>
      </c>
      <c r="J53" s="211" t="s">
        <v>54</v>
      </c>
      <c r="L53" s="211" t="s">
        <v>54</v>
      </c>
      <c r="N53" s="211" t="s">
        <v>54</v>
      </c>
      <c r="O53" s="14">
        <f>+H53</f>
        <v>615.98682607164176</v>
      </c>
    </row>
    <row r="54" spans="1:15" x14ac:dyDescent="0.25">
      <c r="A54" s="4"/>
      <c r="B54" s="89"/>
      <c r="C54" s="12"/>
      <c r="D54" s="84"/>
      <c r="F54" s="8"/>
      <c r="H54" s="8"/>
      <c r="J54" s="8"/>
      <c r="L54" s="8"/>
      <c r="N54" s="8"/>
      <c r="O54" s="14"/>
    </row>
    <row r="55" spans="1:15" x14ac:dyDescent="0.25">
      <c r="A55" s="121">
        <v>43540</v>
      </c>
      <c r="B55" s="5">
        <f t="shared" ref="B55:B56" si="4">+A55</f>
        <v>43540</v>
      </c>
      <c r="C55" s="123">
        <v>0.3</v>
      </c>
      <c r="D55" s="127">
        <v>0.65486111111111112</v>
      </c>
      <c r="F55" s="211" t="s">
        <v>54</v>
      </c>
      <c r="G55" s="125"/>
      <c r="H55" s="211">
        <v>8237.2665668050486</v>
      </c>
      <c r="I55" s="125"/>
      <c r="J55" s="211">
        <v>8342.8653289005797</v>
      </c>
      <c r="K55" s="125"/>
      <c r="L55" s="211" t="s">
        <v>54</v>
      </c>
      <c r="M55" s="125"/>
      <c r="N55" s="211" t="s">
        <v>54</v>
      </c>
      <c r="O55" s="14">
        <f>+H55+J55</f>
        <v>16580.131895705628</v>
      </c>
    </row>
    <row r="56" spans="1:15" x14ac:dyDescent="0.25">
      <c r="A56" s="121">
        <v>43541</v>
      </c>
      <c r="B56" s="5">
        <f t="shared" si="4"/>
        <v>43541</v>
      </c>
      <c r="C56" s="123">
        <v>-0.2</v>
      </c>
      <c r="D56" s="127">
        <v>0.69652777777777775</v>
      </c>
      <c r="F56" s="211" t="s">
        <v>54</v>
      </c>
      <c r="G56" s="125"/>
      <c r="H56" s="211">
        <f>+L56*(H47+H44+H41+H39+H35+H33+H28+H26+H24+H22+H19+H13+H11+H9+H7+H4+H2)/(L2+L4+L7+L9+L11+L13+L19+L22+L24+L26+L28+L33+L35+L39+L41+L44+L47)</f>
        <v>3986.4494593711274</v>
      </c>
      <c r="I56" s="125"/>
      <c r="J56" s="211" t="s">
        <v>54</v>
      </c>
      <c r="K56" s="125"/>
      <c r="L56" s="211">
        <v>4249.2203233249911</v>
      </c>
      <c r="M56" s="125"/>
      <c r="N56" s="211" t="s">
        <v>54</v>
      </c>
      <c r="O56" s="14">
        <f>+H56+L56</f>
        <v>8235.669782696119</v>
      </c>
    </row>
    <row r="57" spans="1:15" x14ac:dyDescent="0.25">
      <c r="A57" s="4"/>
      <c r="B57" s="89"/>
      <c r="C57" s="12"/>
      <c r="D57" s="84"/>
      <c r="F57" s="211"/>
      <c r="H57" s="211"/>
      <c r="J57" s="211"/>
      <c r="L57" s="211"/>
      <c r="N57" s="211"/>
      <c r="O57" s="14"/>
    </row>
    <row r="58" spans="1:15" x14ac:dyDescent="0.25">
      <c r="A58" s="121">
        <v>43545</v>
      </c>
      <c r="B58" s="5">
        <f t="shared" ref="B58:B61" si="5">+A58</f>
        <v>43545</v>
      </c>
      <c r="C58" s="123">
        <v>-0.5</v>
      </c>
      <c r="D58" s="127">
        <v>0.82500000000000007</v>
      </c>
      <c r="F58" s="126" t="s">
        <v>54</v>
      </c>
      <c r="G58" s="125"/>
      <c r="H58" s="126" t="s">
        <v>54</v>
      </c>
      <c r="I58" s="125"/>
      <c r="J58" s="126" t="s">
        <v>54</v>
      </c>
      <c r="K58" s="124"/>
      <c r="L58" s="126">
        <v>3502.8932419481225</v>
      </c>
      <c r="M58" s="125"/>
      <c r="N58" s="128" t="s">
        <v>54</v>
      </c>
      <c r="O58" s="14">
        <f>+L58</f>
        <v>3502.8932419481225</v>
      </c>
    </row>
    <row r="59" spans="1:15" x14ac:dyDescent="0.25">
      <c r="A59" s="121">
        <v>43546</v>
      </c>
      <c r="B59" s="5">
        <f t="shared" si="5"/>
        <v>43546</v>
      </c>
      <c r="C59" s="123">
        <v>-0.2</v>
      </c>
      <c r="D59" s="127">
        <v>0.3430555555555555</v>
      </c>
      <c r="F59" s="126" t="s">
        <v>54</v>
      </c>
      <c r="G59" s="125"/>
      <c r="H59" s="126">
        <v>1206.4747677031974</v>
      </c>
      <c r="I59" s="125"/>
      <c r="J59" s="126" t="s">
        <v>54</v>
      </c>
      <c r="K59" s="124"/>
      <c r="L59" s="126">
        <v>2328.3731168834706</v>
      </c>
      <c r="M59" s="125"/>
      <c r="N59" s="211">
        <v>59.725254186602875</v>
      </c>
      <c r="O59" s="14">
        <f>+H59+L59+N59</f>
        <v>3594.5731387732708</v>
      </c>
    </row>
    <row r="60" spans="1:15" x14ac:dyDescent="0.25">
      <c r="A60" s="121">
        <v>43547</v>
      </c>
      <c r="B60" s="5">
        <f t="shared" si="5"/>
        <v>43547</v>
      </c>
      <c r="C60" s="123">
        <v>-0.3</v>
      </c>
      <c r="D60" s="127">
        <v>0.3756944444444445</v>
      </c>
      <c r="F60" s="126" t="s">
        <v>54</v>
      </c>
      <c r="G60" s="125"/>
      <c r="H60" s="126">
        <v>3421.6900680177314</v>
      </c>
      <c r="I60" s="125"/>
      <c r="J60" s="126">
        <v>6831.5523946737048</v>
      </c>
      <c r="K60" s="124"/>
      <c r="L60" s="126" t="s">
        <v>54</v>
      </c>
      <c r="M60" s="125"/>
      <c r="N60" s="211">
        <v>125.33043886592304</v>
      </c>
      <c r="O60" s="14">
        <f>+H60+J60+N60</f>
        <v>10378.57290155736</v>
      </c>
    </row>
    <row r="61" spans="1:15" x14ac:dyDescent="0.25">
      <c r="A61" s="121">
        <v>43548</v>
      </c>
      <c r="B61" s="5">
        <f t="shared" si="5"/>
        <v>43548</v>
      </c>
      <c r="C61" s="123">
        <v>-0.3</v>
      </c>
      <c r="D61" s="127">
        <v>0.40902777777777777</v>
      </c>
      <c r="F61" s="126" t="s">
        <v>54</v>
      </c>
      <c r="G61" s="125"/>
      <c r="H61" s="126">
        <v>4508.2465825905574</v>
      </c>
      <c r="I61" s="125"/>
      <c r="J61" s="126" t="s">
        <v>54</v>
      </c>
      <c r="K61" s="124"/>
      <c r="L61" s="126">
        <v>5801.0499362348455</v>
      </c>
      <c r="M61" s="125"/>
      <c r="N61" s="211">
        <v>109.29690522243713</v>
      </c>
      <c r="O61" s="14">
        <f>+H61+L61+N61</f>
        <v>10418.59342404784</v>
      </c>
    </row>
    <row r="62" spans="1:15" x14ac:dyDescent="0.25">
      <c r="A62" s="121"/>
      <c r="B62" s="5"/>
      <c r="C62" s="123"/>
      <c r="D62" s="127"/>
      <c r="F62" s="126"/>
      <c r="G62" s="125"/>
      <c r="H62" s="126"/>
      <c r="I62" s="125"/>
      <c r="J62" s="126"/>
      <c r="K62" s="124"/>
      <c r="L62" s="126"/>
      <c r="M62" s="125"/>
      <c r="N62" s="211"/>
      <c r="O62" s="14"/>
    </row>
    <row r="63" spans="1:15" x14ac:dyDescent="0.25">
      <c r="A63" s="121">
        <v>43561</v>
      </c>
      <c r="B63" s="5">
        <f t="shared" ref="B63:B65" si="6">+A63</f>
        <v>43561</v>
      </c>
      <c r="C63" s="123">
        <v>0.3</v>
      </c>
      <c r="D63" s="127">
        <v>0.33680555555555558</v>
      </c>
      <c r="E63" s="124"/>
      <c r="F63" s="126" t="s">
        <v>54</v>
      </c>
      <c r="G63" s="125"/>
      <c r="H63" s="126">
        <v>1251.1145012232118</v>
      </c>
      <c r="I63" s="125"/>
      <c r="J63" s="126" t="s">
        <v>54</v>
      </c>
      <c r="K63" s="124"/>
      <c r="L63" s="126">
        <v>1695.6321542088529</v>
      </c>
      <c r="M63" s="125"/>
      <c r="N63" s="126" t="s">
        <v>54</v>
      </c>
      <c r="O63" s="14">
        <f>+H63+L63</f>
        <v>2946.7466554320645</v>
      </c>
    </row>
    <row r="64" spans="1:15" x14ac:dyDescent="0.25">
      <c r="A64" s="121">
        <v>43562</v>
      </c>
      <c r="B64" s="5">
        <f t="shared" si="6"/>
        <v>43562</v>
      </c>
      <c r="C64" s="123">
        <v>0.1</v>
      </c>
      <c r="D64" s="127">
        <v>0.36180555555555555</v>
      </c>
      <c r="E64" s="124"/>
      <c r="F64" s="126" t="s">
        <v>54</v>
      </c>
      <c r="G64" s="125"/>
      <c r="H64" s="126">
        <v>2327.8493464691492</v>
      </c>
      <c r="I64" s="125"/>
      <c r="J64" s="126" t="s">
        <v>54</v>
      </c>
      <c r="K64" s="124"/>
      <c r="L64" s="126">
        <v>3535.0050804169109</v>
      </c>
      <c r="M64" s="125"/>
      <c r="N64" s="126" t="s">
        <v>54</v>
      </c>
      <c r="O64" s="14">
        <f>+H64+L64</f>
        <v>5862.8544268860605</v>
      </c>
    </row>
    <row r="65" spans="1:15" x14ac:dyDescent="0.25">
      <c r="A65" s="121">
        <v>43563</v>
      </c>
      <c r="B65" s="5">
        <f t="shared" si="6"/>
        <v>43563</v>
      </c>
      <c r="C65" s="123">
        <v>0</v>
      </c>
      <c r="D65" s="127">
        <v>0.3888888888888889</v>
      </c>
      <c r="E65" s="124"/>
      <c r="F65" s="126" t="s">
        <v>54</v>
      </c>
      <c r="G65" s="125"/>
      <c r="H65" s="126" t="s">
        <v>54</v>
      </c>
      <c r="I65" s="125"/>
      <c r="J65" s="126" t="s">
        <v>54</v>
      </c>
      <c r="K65" s="124"/>
      <c r="L65" s="126">
        <v>1619.183296359522</v>
      </c>
      <c r="M65" s="125"/>
      <c r="N65" s="126" t="s">
        <v>54</v>
      </c>
      <c r="O65" s="14">
        <f>+L65</f>
        <v>1619.183296359522</v>
      </c>
    </row>
    <row r="66" spans="1:15" x14ac:dyDescent="0.25">
      <c r="A66" s="121"/>
      <c r="B66" s="5"/>
      <c r="C66" s="123"/>
      <c r="D66" s="127"/>
      <c r="F66" s="126"/>
      <c r="G66" s="125"/>
      <c r="H66" s="126"/>
      <c r="I66" s="125"/>
      <c r="J66" s="126"/>
      <c r="K66" s="124"/>
      <c r="L66" s="126"/>
      <c r="M66" s="125"/>
      <c r="N66" s="211"/>
      <c r="O66" s="14"/>
    </row>
    <row r="67" spans="1:15" x14ac:dyDescent="0.25">
      <c r="A67" s="121">
        <v>43575</v>
      </c>
      <c r="B67" s="5">
        <f t="shared" ref="B67:B69" si="7">+A67</f>
        <v>43575</v>
      </c>
      <c r="C67" s="123">
        <v>-1.1000000000000001</v>
      </c>
      <c r="D67" s="127">
        <v>0.33194444444444443</v>
      </c>
      <c r="F67" s="126">
        <v>19507.065298408441</v>
      </c>
      <c r="G67" s="125"/>
      <c r="H67" s="126">
        <f>+J67*(H60+H55+H43+H40+H34+H29+H27+H23+H21+H12+H8+H3)/(J3+J8+J12+J21+J23+J27+J29+J34+J40+J43+J55+J60)</f>
        <v>7532.3967102202332</v>
      </c>
      <c r="I67" s="125"/>
      <c r="J67" s="126">
        <v>11266.070111633988</v>
      </c>
      <c r="K67" s="124"/>
      <c r="L67" s="126" t="s">
        <v>54</v>
      </c>
      <c r="M67" s="125"/>
      <c r="N67" s="126" t="s">
        <v>54</v>
      </c>
      <c r="O67" s="14">
        <f>+F67+H67+J67</f>
        <v>38305.532120262666</v>
      </c>
    </row>
    <row r="68" spans="1:15" x14ac:dyDescent="0.25">
      <c r="A68" s="121">
        <v>43576</v>
      </c>
      <c r="B68" s="5">
        <f t="shared" si="7"/>
        <v>43576</v>
      </c>
      <c r="C68" s="123">
        <v>-1.2</v>
      </c>
      <c r="D68" s="127">
        <v>0.36249999999999999</v>
      </c>
      <c r="F68" s="126">
        <v>14267.564829430228</v>
      </c>
      <c r="G68" s="125"/>
      <c r="H68" s="126">
        <v>7486.3187808341581</v>
      </c>
      <c r="I68" s="125"/>
      <c r="J68" s="126" t="s">
        <v>54</v>
      </c>
      <c r="K68" s="124"/>
      <c r="L68" s="126">
        <v>5578.569115502507</v>
      </c>
      <c r="M68" s="125"/>
      <c r="N68" s="126" t="s">
        <v>54</v>
      </c>
      <c r="O68" s="14">
        <f>+F68+H68+L68</f>
        <v>27332.452725766896</v>
      </c>
    </row>
    <row r="69" spans="1:15" x14ac:dyDescent="0.25">
      <c r="A69" s="121">
        <v>43577</v>
      </c>
      <c r="B69" s="5">
        <f t="shared" si="7"/>
        <v>43577</v>
      </c>
      <c r="C69" s="123">
        <v>-1</v>
      </c>
      <c r="D69" s="127">
        <v>0.3923611111111111</v>
      </c>
      <c r="F69" s="126" t="s">
        <v>54</v>
      </c>
      <c r="G69" s="125"/>
      <c r="H69" s="126">
        <v>2151.6385757302214</v>
      </c>
      <c r="I69" s="125"/>
      <c r="J69" s="126" t="s">
        <v>54</v>
      </c>
      <c r="K69" s="124"/>
      <c r="L69" s="126">
        <v>2499.9999075672094</v>
      </c>
      <c r="M69" s="125"/>
      <c r="N69" s="126" t="s">
        <v>54</v>
      </c>
      <c r="O69" s="14">
        <f>+H69+L69</f>
        <v>4651.6384832974309</v>
      </c>
    </row>
    <row r="70" spans="1:15" x14ac:dyDescent="0.25">
      <c r="A70" s="4"/>
      <c r="B70" s="89"/>
      <c r="C70" s="12"/>
      <c r="D70" s="84"/>
      <c r="F70" s="8"/>
      <c r="G70" s="2"/>
      <c r="H70" s="8"/>
      <c r="J70" s="8"/>
      <c r="L70" s="8"/>
      <c r="N70" s="8"/>
      <c r="O70" s="14"/>
    </row>
    <row r="71" spans="1:15" x14ac:dyDescent="0.25">
      <c r="A71" s="4">
        <v>43603</v>
      </c>
      <c r="B71" s="89">
        <v>43603</v>
      </c>
      <c r="C71" s="12">
        <v>-1.4</v>
      </c>
      <c r="D71" s="84">
        <v>0.2902777777777778</v>
      </c>
      <c r="F71" s="211" t="s">
        <v>54</v>
      </c>
      <c r="G71" s="2"/>
      <c r="H71" s="211" t="s">
        <v>54</v>
      </c>
      <c r="J71" s="211" t="s">
        <v>54</v>
      </c>
      <c r="L71" s="211">
        <v>6218.9345949113449</v>
      </c>
      <c r="N71" s="211" t="s">
        <v>54</v>
      </c>
      <c r="O71" s="14">
        <f>+L71</f>
        <v>6218.9345949113449</v>
      </c>
    </row>
    <row r="72" spans="1:15" x14ac:dyDescent="0.25">
      <c r="A72" s="4">
        <v>43604</v>
      </c>
      <c r="B72" s="89">
        <v>43604</v>
      </c>
      <c r="C72" s="12">
        <v>-1.6</v>
      </c>
      <c r="D72" s="84">
        <v>0.32013888888888892</v>
      </c>
      <c r="F72" s="211" t="s">
        <v>54</v>
      </c>
      <c r="G72" s="2"/>
      <c r="H72" s="211" t="s">
        <v>54</v>
      </c>
      <c r="J72" s="211" t="s">
        <v>54</v>
      </c>
      <c r="L72" s="211">
        <v>4678.6958201747293</v>
      </c>
      <c r="N72" s="211" t="s">
        <v>54</v>
      </c>
      <c r="O72" s="14">
        <f>+L72</f>
        <v>4678.6958201747293</v>
      </c>
    </row>
    <row r="73" spans="1:15" x14ac:dyDescent="0.25">
      <c r="A73" s="4">
        <v>43605</v>
      </c>
      <c r="B73" s="89">
        <v>43605</v>
      </c>
      <c r="C73" s="12">
        <v>-1.6</v>
      </c>
      <c r="D73" s="84">
        <v>0.34930555555555554</v>
      </c>
      <c r="F73" s="211" t="s">
        <v>54</v>
      </c>
      <c r="G73" s="2"/>
      <c r="H73" s="211" t="s">
        <v>54</v>
      </c>
      <c r="J73" s="211" t="s">
        <v>54</v>
      </c>
      <c r="L73" s="211">
        <v>1867.9039612466729</v>
      </c>
      <c r="N73" s="211" t="s">
        <v>54</v>
      </c>
      <c r="O73" s="14">
        <f>+L73</f>
        <v>1867.9039612466729</v>
      </c>
    </row>
    <row r="74" spans="1:15" x14ac:dyDescent="0.25">
      <c r="A74" s="4"/>
      <c r="B74" s="89"/>
      <c r="C74" s="12"/>
      <c r="D74" s="84"/>
      <c r="F74" s="8"/>
      <c r="G74" s="2"/>
      <c r="H74" s="8"/>
      <c r="J74" s="8"/>
      <c r="L74" s="8"/>
      <c r="N74" s="8"/>
      <c r="O74" s="14"/>
    </row>
    <row r="75" spans="1:15" x14ac:dyDescent="0.25">
      <c r="A75" s="4"/>
      <c r="B75" s="89"/>
      <c r="C75" s="12"/>
      <c r="D75" s="84"/>
    </row>
    <row r="76" spans="1:15" x14ac:dyDescent="0.25">
      <c r="A76" s="16" t="s">
        <v>18</v>
      </c>
      <c r="F76" s="14">
        <f>SUM(F2:F75)</f>
        <v>43895.803564814079</v>
      </c>
      <c r="H76" s="14">
        <f>SUM(H2:H75)</f>
        <v>95535.855172916432</v>
      </c>
      <c r="J76" s="14">
        <f>SUM(J2:J75)</f>
        <v>62037.806187145252</v>
      </c>
      <c r="L76" s="14">
        <f>SUM(L3:L75)</f>
        <v>77542.438589382364</v>
      </c>
      <c r="N76" s="14">
        <f>SUM(N48:N75)</f>
        <v>997.27701688186426</v>
      </c>
      <c r="O76" s="14">
        <f>SUM(O2:O75)</f>
        <v>281292.8501786844</v>
      </c>
    </row>
    <row r="77" spans="1:15" x14ac:dyDescent="0.25">
      <c r="A77" s="15" t="s">
        <v>17</v>
      </c>
    </row>
    <row r="78" spans="1:15" x14ac:dyDescent="0.25">
      <c r="A78" s="91" t="s">
        <v>46</v>
      </c>
    </row>
    <row r="79" spans="1:15" x14ac:dyDescent="0.25">
      <c r="A79" t="s">
        <v>47</v>
      </c>
    </row>
  </sheetData>
  <mergeCells count="5">
    <mergeCell ref="E1:F1"/>
    <mergeCell ref="G1:H1"/>
    <mergeCell ref="I1:J1"/>
    <mergeCell ref="K1:L1"/>
    <mergeCell ref="M1:N1"/>
  </mergeCells>
  <pageMargins left="0.25" right="0.25" top="0.75" bottom="0.75" header="0.3" footer="0.3"/>
  <pageSetup scale="71" fitToHeight="0" orientation="portrait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  <ignoredErrors>
    <ignoredError sqref="O12 O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Q78"/>
  <sheetViews>
    <sheetView tabSelected="1" workbookViewId="0">
      <pane ySplit="1" topLeftCell="A2" activePane="bottomLeft" state="frozen"/>
      <selection pane="bottomLeft" activeCell="Q3" sqref="Q3"/>
    </sheetView>
  </sheetViews>
  <sheetFormatPr defaultRowHeight="15" x14ac:dyDescent="0.2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0.5703125" bestFit="1" customWidth="1"/>
  </cols>
  <sheetData>
    <row r="1" spans="1:17" x14ac:dyDescent="0.25">
      <c r="A1" s="11" t="s">
        <v>8</v>
      </c>
      <c r="B1" s="11" t="s">
        <v>5</v>
      </c>
      <c r="C1" s="11" t="s">
        <v>6</v>
      </c>
      <c r="D1" s="11" t="s">
        <v>7</v>
      </c>
      <c r="E1" s="316" t="s">
        <v>0</v>
      </c>
      <c r="F1" s="316"/>
      <c r="G1" s="316" t="s">
        <v>1</v>
      </c>
      <c r="H1" s="316"/>
      <c r="I1" s="316" t="s">
        <v>2</v>
      </c>
      <c r="J1" s="316"/>
      <c r="K1" s="316" t="s">
        <v>3</v>
      </c>
      <c r="L1" s="316"/>
      <c r="M1" s="316" t="s">
        <v>4</v>
      </c>
      <c r="N1" s="316"/>
    </row>
    <row r="2" spans="1:17" x14ac:dyDescent="0.25">
      <c r="A2" s="4">
        <v>43384</v>
      </c>
      <c r="B2" s="5">
        <f>+A2</f>
        <v>43384</v>
      </c>
      <c r="C2" s="77">
        <v>-0.6</v>
      </c>
      <c r="D2" s="6">
        <v>0.87361111111111101</v>
      </c>
      <c r="E2" s="52"/>
      <c r="F2" s="8" t="s">
        <v>54</v>
      </c>
      <c r="G2" s="149"/>
      <c r="H2" s="9">
        <f>+Harvest!H2/Effort!H2</f>
        <v>13.953846153846154</v>
      </c>
      <c r="I2" s="149"/>
      <c r="J2" s="8" t="s">
        <v>54</v>
      </c>
      <c r="K2" s="149"/>
      <c r="L2" s="9">
        <f>+Harvest!L2/Effort!L2</f>
        <v>14.48936170212766</v>
      </c>
      <c r="M2" s="54"/>
      <c r="N2" s="8" t="s">
        <v>54</v>
      </c>
      <c r="O2" s="178">
        <f>+Harvest!O2/Effort!O2</f>
        <v>14.173034683064719</v>
      </c>
      <c r="Q2" s="178">
        <f>AVERAGE(O2:O9)</f>
        <v>11.385196227619783</v>
      </c>
    </row>
    <row r="3" spans="1:17" x14ac:dyDescent="0.25">
      <c r="A3" s="4">
        <v>43385</v>
      </c>
      <c r="B3" s="5">
        <f t="shared" ref="B3:B35" si="0">+A3</f>
        <v>43385</v>
      </c>
      <c r="C3" s="77">
        <v>-0.3</v>
      </c>
      <c r="D3" s="6">
        <v>0.90347222222222223</v>
      </c>
      <c r="E3" s="53"/>
      <c r="F3" s="8" t="s">
        <v>54</v>
      </c>
      <c r="G3" s="150"/>
      <c r="H3" s="9">
        <f>+Harvest!H3/Effort!H3</f>
        <v>14.857142857142856</v>
      </c>
      <c r="I3" s="150"/>
      <c r="J3" s="9">
        <f>+Harvest!J3/Effort!J3</f>
        <v>14.666666666666666</v>
      </c>
      <c r="K3" s="150"/>
      <c r="L3" s="8" t="s">
        <v>54</v>
      </c>
      <c r="M3" s="54"/>
      <c r="N3" s="8" t="s">
        <v>54</v>
      </c>
      <c r="O3" s="178">
        <f>+Harvest!O3/Effort!O3</f>
        <v>14.734050777304883</v>
      </c>
    </row>
    <row r="4" spans="1:17" x14ac:dyDescent="0.25">
      <c r="A4" s="4">
        <v>43386</v>
      </c>
      <c r="B4" s="5">
        <f t="shared" si="0"/>
        <v>43386</v>
      </c>
      <c r="C4" s="77">
        <v>0.1</v>
      </c>
      <c r="D4" s="6">
        <v>0.93472222222222223</v>
      </c>
      <c r="E4" s="131"/>
      <c r="F4" s="8" t="s">
        <v>54</v>
      </c>
      <c r="G4" s="8"/>
      <c r="H4" s="9">
        <f>+Harvest!H4/Effort!H4</f>
        <v>15.612244897959183</v>
      </c>
      <c r="I4" s="8"/>
      <c r="J4" s="8" t="s">
        <v>54</v>
      </c>
      <c r="K4" s="7"/>
      <c r="L4" s="9">
        <f>+Harvest!L4/Effort!L4</f>
        <v>13.936170212765955</v>
      </c>
      <c r="M4" s="54"/>
      <c r="N4" s="8" t="s">
        <v>54</v>
      </c>
      <c r="O4" s="178">
        <f>+Harvest!O4/Effort!O4</f>
        <v>14.772541966432142</v>
      </c>
    </row>
    <row r="5" spans="1:17" x14ac:dyDescent="0.25">
      <c r="A5" s="4"/>
      <c r="B5" s="5"/>
      <c r="C5" s="77"/>
      <c r="D5" s="6"/>
      <c r="E5" s="53"/>
      <c r="F5" s="8"/>
      <c r="G5" s="8"/>
      <c r="H5" s="8"/>
      <c r="I5" s="8"/>
      <c r="J5" s="9"/>
      <c r="K5" s="7"/>
      <c r="L5" s="8"/>
      <c r="M5" s="54"/>
      <c r="N5" s="8"/>
      <c r="O5" s="178"/>
    </row>
    <row r="6" spans="1:17" x14ac:dyDescent="0.25">
      <c r="A6" s="4">
        <v>43398</v>
      </c>
      <c r="B6" s="5">
        <f t="shared" si="0"/>
        <v>43398</v>
      </c>
      <c r="C6" s="110">
        <v>-0.5</v>
      </c>
      <c r="D6" s="6">
        <v>0.82986111111111116</v>
      </c>
      <c r="E6" s="53"/>
      <c r="F6" s="8" t="s">
        <v>54</v>
      </c>
      <c r="G6" s="9"/>
      <c r="H6" s="9">
        <f>+Harvest!H6/Effort!H6</f>
        <v>3.2592592592592595</v>
      </c>
      <c r="I6" s="8"/>
      <c r="J6" s="9">
        <f>+Harvest!J6/Effort!J6</f>
        <v>10.113636363636363</v>
      </c>
      <c r="K6" s="7"/>
      <c r="L6" s="8" t="s">
        <v>54</v>
      </c>
      <c r="M6" s="54"/>
      <c r="N6" s="8" t="s">
        <v>54</v>
      </c>
      <c r="O6" s="178">
        <f>+Harvest!O6/Effort!O6</f>
        <v>7.5470834437023564</v>
      </c>
    </row>
    <row r="7" spans="1:17" x14ac:dyDescent="0.25">
      <c r="A7" s="4">
        <v>43399</v>
      </c>
      <c r="B7" s="5">
        <f t="shared" si="0"/>
        <v>43399</v>
      </c>
      <c r="C7" s="110">
        <v>-0.7</v>
      </c>
      <c r="D7" s="111">
        <v>0.85833333333333339</v>
      </c>
      <c r="E7" s="53"/>
      <c r="F7" s="8" t="s">
        <v>54</v>
      </c>
      <c r="G7" s="9"/>
      <c r="H7" s="9">
        <f>+Harvest!H7/Effort!H7</f>
        <v>10.88372093023256</v>
      </c>
      <c r="I7" s="8"/>
      <c r="J7" s="8" t="s">
        <v>54</v>
      </c>
      <c r="K7" s="7"/>
      <c r="L7" s="9">
        <f>+Harvest!L7/Effort!L7</f>
        <v>15.118421052631577</v>
      </c>
      <c r="M7" s="54"/>
      <c r="N7" s="8" t="s">
        <v>54</v>
      </c>
      <c r="O7" s="178">
        <f>+Harvest!O7/Effort!O7</f>
        <v>13.095981323113771</v>
      </c>
    </row>
    <row r="8" spans="1:17" x14ac:dyDescent="0.25">
      <c r="A8" s="4">
        <v>43400</v>
      </c>
      <c r="B8" s="5">
        <f t="shared" si="0"/>
        <v>43400</v>
      </c>
      <c r="C8" s="110">
        <v>-0.7</v>
      </c>
      <c r="D8" s="111">
        <v>0.8881944444444444</v>
      </c>
      <c r="E8" s="53"/>
      <c r="F8" s="8" t="s">
        <v>54</v>
      </c>
      <c r="G8" s="163"/>
      <c r="H8" s="9">
        <f>+Harvest!H8/Effort!H8</f>
        <v>11.32075471698113</v>
      </c>
      <c r="I8" s="8"/>
      <c r="J8" s="9">
        <f>+Harvest!J8/Effort!J8</f>
        <v>7.7283950617283947</v>
      </c>
      <c r="K8" s="8"/>
      <c r="L8" s="8" t="s">
        <v>54</v>
      </c>
      <c r="M8" s="54"/>
      <c r="N8" s="8" t="s">
        <v>54</v>
      </c>
      <c r="O8" s="178">
        <f>+Harvest!O8/Effort!O8</f>
        <v>8.9339378720136384</v>
      </c>
    </row>
    <row r="9" spans="1:17" x14ac:dyDescent="0.25">
      <c r="A9" s="4">
        <v>43401</v>
      </c>
      <c r="B9" s="5">
        <f t="shared" si="0"/>
        <v>43401</v>
      </c>
      <c r="C9" s="77">
        <v>-0.6</v>
      </c>
      <c r="D9" s="6">
        <v>0.92222222222222217</v>
      </c>
      <c r="E9" s="131"/>
      <c r="F9" s="8" t="s">
        <v>54</v>
      </c>
      <c r="G9" s="131"/>
      <c r="H9" s="9">
        <f>+Harvest!H9/Effort!H9</f>
        <v>10.600000000000003</v>
      </c>
      <c r="I9" s="152"/>
      <c r="J9" s="8" t="s">
        <v>54</v>
      </c>
      <c r="K9" s="152"/>
      <c r="L9" s="9">
        <f>+Harvest!L9/Effort!L9</f>
        <v>4.8125</v>
      </c>
      <c r="M9" s="54"/>
      <c r="N9" s="8" t="s">
        <v>54</v>
      </c>
      <c r="O9" s="178">
        <f>+Harvest!O9/Effort!O9</f>
        <v>6.4397435277069723</v>
      </c>
    </row>
    <row r="10" spans="1:17" x14ac:dyDescent="0.25">
      <c r="A10" s="4"/>
      <c r="B10" s="5"/>
      <c r="C10" s="77"/>
      <c r="D10" s="6"/>
      <c r="E10" s="131"/>
      <c r="F10" s="8"/>
      <c r="G10" s="152"/>
      <c r="H10" s="8"/>
      <c r="I10" s="152"/>
      <c r="J10" s="8"/>
      <c r="K10" s="152"/>
      <c r="L10" s="8"/>
      <c r="M10" s="54"/>
      <c r="N10" s="8"/>
      <c r="O10" s="178"/>
    </row>
    <row r="11" spans="1:17" x14ac:dyDescent="0.25">
      <c r="A11" s="4">
        <v>43412</v>
      </c>
      <c r="B11" s="5">
        <f t="shared" si="0"/>
        <v>43412</v>
      </c>
      <c r="C11" s="77">
        <v>-0.8</v>
      </c>
      <c r="D11" s="6">
        <v>0.7895833333333333</v>
      </c>
      <c r="E11" s="131"/>
      <c r="F11" s="8" t="s">
        <v>54</v>
      </c>
      <c r="G11" s="131"/>
      <c r="H11" s="9">
        <f>+Harvest!H11/Effort!H11</f>
        <v>14.461538461538462</v>
      </c>
      <c r="I11" s="152"/>
      <c r="J11" s="8" t="s">
        <v>54</v>
      </c>
      <c r="K11" s="152"/>
      <c r="L11" s="9">
        <f>+Harvest!L11/Effort!L11</f>
        <v>14.882352941176471</v>
      </c>
      <c r="M11" s="54"/>
      <c r="N11" s="8" t="s">
        <v>54</v>
      </c>
      <c r="O11" s="178">
        <f>+Harvest!O11/Effort!O11</f>
        <v>14.680967119638291</v>
      </c>
    </row>
    <row r="12" spans="1:17" x14ac:dyDescent="0.25">
      <c r="A12" s="4">
        <v>43413</v>
      </c>
      <c r="B12" s="5">
        <f t="shared" si="0"/>
        <v>43413</v>
      </c>
      <c r="C12" s="110">
        <v>-0.7</v>
      </c>
      <c r="D12" s="111">
        <v>0.81666666666666676</v>
      </c>
      <c r="E12" s="131"/>
      <c r="F12" s="8" t="s">
        <v>54</v>
      </c>
      <c r="G12" s="152"/>
      <c r="H12" s="9">
        <f>+Harvest!H12/Effort!H12</f>
        <v>14.515151515151517</v>
      </c>
      <c r="I12" s="152"/>
      <c r="J12" s="9">
        <f>+Harvest!J12/Effort!J12</f>
        <v>15</v>
      </c>
      <c r="K12" s="152"/>
      <c r="L12" s="8" t="s">
        <v>54</v>
      </c>
      <c r="M12" s="152"/>
      <c r="N12" s="8" t="s">
        <v>54</v>
      </c>
      <c r="O12" s="178">
        <f>+Harvest!O12/Effort!O12</f>
        <v>14.845305534423632</v>
      </c>
    </row>
    <row r="13" spans="1:17" x14ac:dyDescent="0.25">
      <c r="A13" s="4">
        <v>43414</v>
      </c>
      <c r="B13" s="5">
        <f t="shared" si="0"/>
        <v>43414</v>
      </c>
      <c r="C13" s="77">
        <v>-0.4</v>
      </c>
      <c r="D13" s="6">
        <v>0.84375</v>
      </c>
      <c r="E13" s="131"/>
      <c r="F13" s="8" t="s">
        <v>54</v>
      </c>
      <c r="G13" s="131"/>
      <c r="H13" s="9">
        <f>+Harvest!H13/Effort!H13</f>
        <v>13.254237288135595</v>
      </c>
      <c r="I13" s="152"/>
      <c r="J13" s="8" t="s">
        <v>54</v>
      </c>
      <c r="K13" s="152"/>
      <c r="L13" s="9">
        <f>+Harvest!L13/Effort!L13</f>
        <v>14.672131147540984</v>
      </c>
      <c r="M13" s="152"/>
      <c r="N13" s="8" t="s">
        <v>54</v>
      </c>
      <c r="O13" s="178">
        <f>+Harvest!O13/Effort!O13</f>
        <v>13.928285543324918</v>
      </c>
    </row>
    <row r="14" spans="1:17" x14ac:dyDescent="0.25">
      <c r="A14" s="4">
        <v>43415</v>
      </c>
      <c r="B14" s="5">
        <f t="shared" si="0"/>
        <v>43415</v>
      </c>
      <c r="C14" s="77">
        <v>0</v>
      </c>
      <c r="D14" s="6">
        <v>0.87222222222222223</v>
      </c>
      <c r="E14" s="131"/>
      <c r="F14" s="8" t="s">
        <v>54</v>
      </c>
      <c r="G14" s="149" t="s">
        <v>63</v>
      </c>
      <c r="H14" s="204">
        <f>+Harvest!H14/Effort!H14</f>
        <v>14.055940171040492</v>
      </c>
      <c r="I14" s="152"/>
      <c r="J14" s="9">
        <f>+Harvest!J14/Effort!J14</f>
        <v>14.92</v>
      </c>
      <c r="K14" s="152"/>
      <c r="L14" s="8" t="s">
        <v>54</v>
      </c>
      <c r="M14" s="152"/>
      <c r="N14" s="8" t="s">
        <v>54</v>
      </c>
      <c r="O14" s="178">
        <f>+Harvest!O14/Effort!O14</f>
        <v>14.623295559478549</v>
      </c>
    </row>
    <row r="15" spans="1:17" x14ac:dyDescent="0.25">
      <c r="A15" s="4"/>
      <c r="B15" s="5"/>
      <c r="C15" s="77"/>
      <c r="D15" s="6"/>
      <c r="E15" s="131"/>
      <c r="F15" s="8" t="s">
        <v>54</v>
      </c>
      <c r="G15" s="131"/>
      <c r="H15" s="8"/>
      <c r="I15" s="152"/>
      <c r="J15" s="8"/>
      <c r="K15" s="152"/>
      <c r="L15" s="8"/>
      <c r="M15" s="152"/>
      <c r="N15" s="8"/>
      <c r="O15" s="178"/>
    </row>
    <row r="16" spans="1:17" x14ac:dyDescent="0.25">
      <c r="A16" s="4">
        <v>43426</v>
      </c>
      <c r="B16" s="5">
        <f t="shared" si="0"/>
        <v>43426</v>
      </c>
      <c r="C16" s="77">
        <v>-0.7</v>
      </c>
      <c r="D16" s="111">
        <v>0.74652777777777779</v>
      </c>
      <c r="E16" s="131"/>
      <c r="F16" s="8" t="s">
        <v>54</v>
      </c>
      <c r="G16" s="149" t="s">
        <v>63</v>
      </c>
      <c r="H16" s="204">
        <f>+Harvest!H16/Effort!H16</f>
        <v>13.784222405634461</v>
      </c>
      <c r="I16" s="152"/>
      <c r="J16" s="9">
        <f>+Harvest!J16/Effort!J16</f>
        <v>14.631578947368423</v>
      </c>
      <c r="K16" s="152"/>
      <c r="L16" s="8" t="s">
        <v>54</v>
      </c>
      <c r="M16" s="152"/>
      <c r="N16" s="8" t="s">
        <v>54</v>
      </c>
      <c r="O16" s="178">
        <f>+Harvest!O16/Effort!O16</f>
        <v>14.340610150751505</v>
      </c>
    </row>
    <row r="17" spans="1:15" x14ac:dyDescent="0.25">
      <c r="A17" s="4">
        <v>43427</v>
      </c>
      <c r="B17" s="5">
        <f t="shared" si="0"/>
        <v>43427</v>
      </c>
      <c r="C17" s="110">
        <v>-1.1000000000000001</v>
      </c>
      <c r="D17" s="155">
        <v>0.77500000000000002</v>
      </c>
      <c r="E17" s="131"/>
      <c r="F17" s="8" t="s">
        <v>54</v>
      </c>
      <c r="G17" s="152"/>
      <c r="H17" s="9">
        <f>+Harvest!H17/Effort!H17</f>
        <v>11.052083333333334</v>
      </c>
      <c r="I17" s="152"/>
      <c r="J17" s="8" t="s">
        <v>54</v>
      </c>
      <c r="K17" s="152"/>
      <c r="L17" s="9">
        <f>+Harvest!L17/Effort!L17</f>
        <v>14.767676767676768</v>
      </c>
      <c r="M17" s="152"/>
      <c r="N17" s="8" t="s">
        <v>54</v>
      </c>
      <c r="O17" s="178">
        <f>+Harvest!O17/Effort!O17</f>
        <v>13.374199493445982</v>
      </c>
    </row>
    <row r="18" spans="1:15" x14ac:dyDescent="0.25">
      <c r="A18" s="4">
        <v>43428</v>
      </c>
      <c r="B18" s="5">
        <f t="shared" si="0"/>
        <v>43428</v>
      </c>
      <c r="C18" s="77">
        <v>-1.3</v>
      </c>
      <c r="D18" s="111">
        <v>0.80555555555555547</v>
      </c>
      <c r="E18" s="131"/>
      <c r="F18" s="8" t="s">
        <v>54</v>
      </c>
      <c r="G18" s="149" t="s">
        <v>63</v>
      </c>
      <c r="H18" s="204">
        <f>+Harvest!H18/Effort!H18</f>
        <v>14.003007420675903</v>
      </c>
      <c r="I18" s="152"/>
      <c r="J18" s="9">
        <f>+Harvest!J18/Effort!J18</f>
        <v>14.732558139534886</v>
      </c>
      <c r="K18" s="152"/>
      <c r="L18" s="9">
        <f>+Harvest!L18/Effort!L18</f>
        <v>13.878787878787881</v>
      </c>
      <c r="M18" s="152"/>
      <c r="N18" s="8" t="s">
        <v>54</v>
      </c>
      <c r="O18" s="178">
        <f>+Harvest!O18/Effort!O18</f>
        <v>14.321512479132068</v>
      </c>
    </row>
    <row r="19" spans="1:15" x14ac:dyDescent="0.25">
      <c r="A19" s="4">
        <v>43429</v>
      </c>
      <c r="B19" s="5">
        <f t="shared" si="0"/>
        <v>43429</v>
      </c>
      <c r="C19" s="110">
        <v>-1.3</v>
      </c>
      <c r="D19" s="111">
        <v>0.83680555555555547</v>
      </c>
      <c r="E19" s="131"/>
      <c r="F19" s="8" t="s">
        <v>54</v>
      </c>
      <c r="G19" s="152"/>
      <c r="H19" s="9">
        <f>+Harvest!H19/Effort!H19</f>
        <v>14.999999999999998</v>
      </c>
      <c r="I19" s="152"/>
      <c r="J19" s="8" t="s">
        <v>54</v>
      </c>
      <c r="K19" s="152"/>
      <c r="L19" s="9">
        <f>+Harvest!L19/Effort!L19</f>
        <v>14.659090909090908</v>
      </c>
      <c r="M19" s="152"/>
      <c r="N19" s="8" t="s">
        <v>54</v>
      </c>
      <c r="O19" s="178">
        <f>+Harvest!O19/Effort!O19</f>
        <v>14.787256403448763</v>
      </c>
    </row>
    <row r="20" spans="1:15" x14ac:dyDescent="0.25">
      <c r="A20" s="4"/>
      <c r="B20" s="5"/>
      <c r="C20" s="110"/>
      <c r="D20" s="111"/>
      <c r="E20" s="131"/>
      <c r="F20" s="8"/>
      <c r="G20" s="152"/>
      <c r="H20" s="8"/>
      <c r="I20" s="152"/>
      <c r="J20" s="8"/>
      <c r="K20" s="152"/>
      <c r="L20" s="8"/>
      <c r="M20" s="152"/>
      <c r="N20" s="8"/>
      <c r="O20" s="178"/>
    </row>
    <row r="21" spans="1:15" x14ac:dyDescent="0.25">
      <c r="A21" s="4">
        <v>43440</v>
      </c>
      <c r="B21" s="5">
        <f t="shared" si="0"/>
        <v>43440</v>
      </c>
      <c r="C21" s="110">
        <v>-0.7</v>
      </c>
      <c r="D21" s="111">
        <v>0.75069444444444444</v>
      </c>
      <c r="E21" s="131"/>
      <c r="F21" s="8" t="s">
        <v>54</v>
      </c>
      <c r="G21" s="131"/>
      <c r="H21" s="9">
        <f>+Harvest!H21/Effort!H21</f>
        <v>6.375</v>
      </c>
      <c r="I21" s="156"/>
      <c r="J21" s="9">
        <f>+Harvest!J21/Effort!J21</f>
        <v>11.499999999999998</v>
      </c>
      <c r="K21" s="152"/>
      <c r="L21" s="8" t="s">
        <v>54</v>
      </c>
      <c r="M21" s="152"/>
      <c r="N21" s="8" t="s">
        <v>54</v>
      </c>
      <c r="O21" s="178">
        <f>+Harvest!O21/Effort!O21</f>
        <v>8.5252212188297474</v>
      </c>
    </row>
    <row r="22" spans="1:15" x14ac:dyDescent="0.25">
      <c r="A22" s="4">
        <v>43441</v>
      </c>
      <c r="B22" s="5">
        <f t="shared" si="0"/>
        <v>43441</v>
      </c>
      <c r="C22" s="110">
        <v>-0.7</v>
      </c>
      <c r="D22" s="111">
        <v>0.77777777777777779</v>
      </c>
      <c r="E22" s="131"/>
      <c r="F22" s="8" t="s">
        <v>54</v>
      </c>
      <c r="G22" s="152"/>
      <c r="H22" s="9">
        <f>+Harvest!H22/Effort!H22</f>
        <v>11.837209302325581</v>
      </c>
      <c r="I22" s="156"/>
      <c r="J22" s="8" t="s">
        <v>54</v>
      </c>
      <c r="K22" s="152"/>
      <c r="L22" s="9">
        <f>+Harvest!L22/Effort!L22</f>
        <v>8.1458333333333339</v>
      </c>
      <c r="M22" s="152"/>
      <c r="N22" s="8" t="s">
        <v>54</v>
      </c>
      <c r="O22" s="178">
        <f>+Harvest!O22/Effort!O22</f>
        <v>10.296447143264354</v>
      </c>
    </row>
    <row r="23" spans="1:15" x14ac:dyDescent="0.25">
      <c r="A23" s="4">
        <v>43442</v>
      </c>
      <c r="B23" s="5">
        <f t="shared" si="0"/>
        <v>43442</v>
      </c>
      <c r="C23" s="110">
        <v>-0.6</v>
      </c>
      <c r="D23" s="111">
        <v>0.8027777777777777</v>
      </c>
      <c r="E23" s="131"/>
      <c r="F23" s="8" t="s">
        <v>54</v>
      </c>
      <c r="G23" s="152"/>
      <c r="H23" s="9">
        <f>+Harvest!H23/Effort!H23</f>
        <v>13.638888888888889</v>
      </c>
      <c r="I23" s="156"/>
      <c r="J23" s="9">
        <f>+Harvest!J23/Effort!J23</f>
        <v>12.788732394366198</v>
      </c>
      <c r="K23" s="152"/>
      <c r="L23" s="8" t="s">
        <v>54</v>
      </c>
      <c r="M23" s="152"/>
      <c r="N23" s="8" t="s">
        <v>54</v>
      </c>
      <c r="O23" s="178">
        <f>+Harvest!O23/Effort!O23</f>
        <v>13.09693844397688</v>
      </c>
    </row>
    <row r="24" spans="1:15" x14ac:dyDescent="0.25">
      <c r="A24" s="4">
        <v>43443</v>
      </c>
      <c r="B24" s="5">
        <f t="shared" si="0"/>
        <v>43443</v>
      </c>
      <c r="C24" s="110">
        <v>-0.4</v>
      </c>
      <c r="D24" s="111">
        <v>0.82847222222222217</v>
      </c>
      <c r="E24" s="131"/>
      <c r="F24" s="8" t="s">
        <v>54</v>
      </c>
      <c r="G24" s="152"/>
      <c r="H24" s="9">
        <f>+Harvest!H24/Effort!H24</f>
        <v>5.7368421052631566</v>
      </c>
      <c r="I24" s="156"/>
      <c r="J24" s="8" t="s">
        <v>54</v>
      </c>
      <c r="K24" s="152"/>
      <c r="L24" s="9">
        <f>+Harvest!L24/Effort!L24</f>
        <v>8.8636363636363633</v>
      </c>
      <c r="M24" s="152"/>
      <c r="N24" s="8" t="s">
        <v>54</v>
      </c>
      <c r="O24" s="178">
        <f>+Harvest!O24/Effort!O24</f>
        <v>7.7061593738325067</v>
      </c>
    </row>
    <row r="25" spans="1:15" x14ac:dyDescent="0.25">
      <c r="A25" s="121"/>
      <c r="B25" s="5"/>
      <c r="C25" s="157"/>
      <c r="D25" s="158"/>
      <c r="E25" s="131"/>
      <c r="F25" s="8"/>
      <c r="G25" s="152"/>
      <c r="H25" s="8"/>
      <c r="I25" s="156"/>
      <c r="J25" s="8"/>
      <c r="K25" s="152"/>
      <c r="L25" s="8"/>
      <c r="M25" s="152"/>
      <c r="N25" s="8"/>
    </row>
    <row r="26" spans="1:15" x14ac:dyDescent="0.25">
      <c r="A26" s="4">
        <v>43454</v>
      </c>
      <c r="B26" s="5">
        <f t="shared" si="0"/>
        <v>43454</v>
      </c>
      <c r="C26" s="77">
        <v>-0.3</v>
      </c>
      <c r="D26" s="155">
        <v>0.70208333333333339</v>
      </c>
      <c r="E26" s="131"/>
      <c r="F26" s="8" t="s">
        <v>54</v>
      </c>
      <c r="G26" s="152"/>
      <c r="H26" s="9">
        <f>+Harvest!H26/Effort!H26</f>
        <v>4.76</v>
      </c>
      <c r="I26" s="156"/>
      <c r="J26" s="8" t="s">
        <v>54</v>
      </c>
      <c r="K26" s="156"/>
      <c r="L26" s="9">
        <f>+Harvest!L26/Effort!L26</f>
        <v>4.080000000000001</v>
      </c>
      <c r="M26" s="156"/>
      <c r="N26" s="8" t="s">
        <v>54</v>
      </c>
      <c r="O26" s="178">
        <f>+Harvest!O26/Effort!O26</f>
        <v>4.4789471090571729</v>
      </c>
    </row>
    <row r="27" spans="1:15" x14ac:dyDescent="0.25">
      <c r="A27" s="4">
        <v>43455</v>
      </c>
      <c r="B27" s="5">
        <f t="shared" si="0"/>
        <v>43455</v>
      </c>
      <c r="C27" s="77">
        <v>-1</v>
      </c>
      <c r="D27" s="155">
        <v>0.73263888888888884</v>
      </c>
      <c r="E27" s="131"/>
      <c r="F27" s="8" t="s">
        <v>54</v>
      </c>
      <c r="G27" s="152"/>
      <c r="H27" s="9">
        <f>+Harvest!H27/Effort!H27</f>
        <v>14.690140845070422</v>
      </c>
      <c r="I27" s="156"/>
      <c r="J27" s="9">
        <f>+Harvest!J27/Effort!J27</f>
        <v>15</v>
      </c>
      <c r="K27" s="156"/>
      <c r="L27" s="8" t="s">
        <v>54</v>
      </c>
      <c r="M27" s="156"/>
      <c r="N27" s="8" t="s">
        <v>54</v>
      </c>
      <c r="O27" s="178">
        <f>+Harvest!O27/Effort!O27</f>
        <v>14.87198225760814</v>
      </c>
    </row>
    <row r="28" spans="1:15" x14ac:dyDescent="0.25">
      <c r="A28" s="4">
        <v>43456</v>
      </c>
      <c r="B28" s="5">
        <f t="shared" si="0"/>
        <v>43456</v>
      </c>
      <c r="C28" s="77">
        <v>-1.4</v>
      </c>
      <c r="D28" s="155">
        <v>0.76388888888888884</v>
      </c>
      <c r="E28" s="159"/>
      <c r="F28" s="9">
        <f>+Harvest!F28/Effort!F28</f>
        <v>2.25</v>
      </c>
      <c r="G28" s="152"/>
      <c r="H28" s="9">
        <f>+Harvest!H28/Effort!H28</f>
        <v>0.51282051282051277</v>
      </c>
      <c r="I28" s="156"/>
      <c r="J28" s="8" t="s">
        <v>54</v>
      </c>
      <c r="K28" s="156"/>
      <c r="L28" s="9">
        <f>+Harvest!L28/Effort!L28</f>
        <v>4.6037735849056594</v>
      </c>
      <c r="M28" s="156"/>
      <c r="N28" s="8" t="s">
        <v>54</v>
      </c>
      <c r="O28" s="178">
        <f>+Harvest!O28/Effort!O28</f>
        <v>2.4997206839752693</v>
      </c>
    </row>
    <row r="29" spans="1:15" x14ac:dyDescent="0.25">
      <c r="A29" s="121">
        <v>43457</v>
      </c>
      <c r="B29" s="5">
        <f t="shared" si="0"/>
        <v>43457</v>
      </c>
      <c r="C29" s="157">
        <v>-1.6</v>
      </c>
      <c r="D29" s="158">
        <v>0.79513888888888884</v>
      </c>
      <c r="E29" s="159"/>
      <c r="F29" s="8" t="s">
        <v>54</v>
      </c>
      <c r="G29" s="152"/>
      <c r="H29" s="9">
        <f>+Harvest!H29/Effort!H29</f>
        <v>3.1851851851851851</v>
      </c>
      <c r="I29" s="156"/>
      <c r="J29" s="9">
        <f>+Harvest!J29/Effort!J29</f>
        <v>7.1</v>
      </c>
      <c r="K29" s="156"/>
      <c r="L29" s="8" t="s">
        <v>54</v>
      </c>
      <c r="M29" s="156"/>
      <c r="N29" s="8" t="s">
        <v>54</v>
      </c>
      <c r="O29" s="178">
        <f>+Harvest!O29/Effort!O29</f>
        <v>5.7154424956900547</v>
      </c>
    </row>
    <row r="30" spans="1:15" x14ac:dyDescent="0.25">
      <c r="A30" s="4"/>
      <c r="B30" s="5"/>
      <c r="C30" s="157"/>
      <c r="D30" s="158"/>
      <c r="E30" s="159"/>
      <c r="F30" s="9"/>
      <c r="G30" s="152"/>
      <c r="H30" s="9"/>
      <c r="I30" s="152"/>
      <c r="J30" s="9"/>
      <c r="K30" s="131"/>
      <c r="L30" s="9"/>
      <c r="M30" s="152"/>
      <c r="N30" s="8"/>
      <c r="O30" s="178"/>
    </row>
    <row r="31" spans="1:15" x14ac:dyDescent="0.25">
      <c r="A31" s="4">
        <v>43467</v>
      </c>
      <c r="B31" s="5">
        <f t="shared" si="0"/>
        <v>43467</v>
      </c>
      <c r="C31" s="157">
        <v>0.2</v>
      </c>
      <c r="D31" s="158">
        <v>0.68194444444444446</v>
      </c>
      <c r="E31" s="159"/>
      <c r="F31" s="8" t="s">
        <v>54</v>
      </c>
      <c r="G31" s="152"/>
      <c r="H31" s="9">
        <f>+Harvest!H31/Effort!H31</f>
        <v>11.44186046511628</v>
      </c>
      <c r="I31" s="152"/>
      <c r="J31" s="8" t="s">
        <v>54</v>
      </c>
      <c r="K31" s="131"/>
      <c r="L31" s="8" t="s">
        <v>54</v>
      </c>
      <c r="M31" s="152"/>
      <c r="N31" s="8" t="s">
        <v>54</v>
      </c>
      <c r="O31" s="178"/>
    </row>
    <row r="32" spans="1:15" x14ac:dyDescent="0.25">
      <c r="A32" s="4">
        <v>43468</v>
      </c>
      <c r="B32" s="5">
        <f t="shared" si="0"/>
        <v>43468</v>
      </c>
      <c r="C32" s="157">
        <v>-0.2</v>
      </c>
      <c r="D32" s="158">
        <v>0.71250000000000002</v>
      </c>
      <c r="E32" s="159"/>
      <c r="F32" s="8" t="s">
        <v>54</v>
      </c>
      <c r="G32" s="152"/>
      <c r="H32" s="9">
        <f>+Harvest!H32/Effort!H32</f>
        <v>0.90476190476190477</v>
      </c>
      <c r="I32" s="152"/>
      <c r="J32" s="8" t="s">
        <v>54</v>
      </c>
      <c r="K32" s="152"/>
      <c r="L32" s="8" t="s">
        <v>54</v>
      </c>
      <c r="M32" s="152"/>
      <c r="N32" s="8" t="s">
        <v>54</v>
      </c>
      <c r="O32" s="178"/>
    </row>
    <row r="33" spans="1:15" x14ac:dyDescent="0.25">
      <c r="A33" s="4">
        <v>43469</v>
      </c>
      <c r="B33" s="5">
        <f t="shared" si="0"/>
        <v>43469</v>
      </c>
      <c r="C33" s="12">
        <v>-0.4</v>
      </c>
      <c r="D33" s="84">
        <v>0.7402777777777777</v>
      </c>
      <c r="E33" s="124"/>
      <c r="F33" s="8" t="s">
        <v>54</v>
      </c>
      <c r="G33" s="152"/>
      <c r="H33" s="9">
        <f>+Harvest!H33/Effort!H33</f>
        <v>2.8648648648648649</v>
      </c>
      <c r="J33" s="8" t="s">
        <v>54</v>
      </c>
      <c r="L33" s="9">
        <f>+Harvest!L33/Effort!L33</f>
        <v>9.795454545454545</v>
      </c>
      <c r="N33" s="8" t="s">
        <v>54</v>
      </c>
      <c r="O33" s="178"/>
    </row>
    <row r="34" spans="1:15" x14ac:dyDescent="0.25">
      <c r="A34" s="4">
        <v>43470</v>
      </c>
      <c r="B34" s="5">
        <f t="shared" si="0"/>
        <v>43470</v>
      </c>
      <c r="C34" s="12">
        <v>-0.4</v>
      </c>
      <c r="D34" s="84">
        <v>0.76597222222222217</v>
      </c>
      <c r="E34" s="124"/>
      <c r="F34" s="8" t="s">
        <v>54</v>
      </c>
      <c r="G34" s="152"/>
      <c r="H34" s="9">
        <f>+Harvest!H34/Effort!H34</f>
        <v>0.66666666666666652</v>
      </c>
      <c r="J34" s="9">
        <f>+Harvest!J34/Effort!J34</f>
        <v>8.1886792452830193</v>
      </c>
      <c r="L34" s="8" t="s">
        <v>54</v>
      </c>
      <c r="N34" s="8" t="s">
        <v>54</v>
      </c>
      <c r="O34" s="178"/>
    </row>
    <row r="35" spans="1:15" x14ac:dyDescent="0.25">
      <c r="A35" s="4">
        <v>43471</v>
      </c>
      <c r="B35" s="5">
        <f t="shared" si="0"/>
        <v>43471</v>
      </c>
      <c r="C35" s="12">
        <v>-0.4</v>
      </c>
      <c r="D35" s="84">
        <v>0.7909722222222223</v>
      </c>
      <c r="F35" s="8" t="s">
        <v>54</v>
      </c>
      <c r="G35" s="2"/>
      <c r="H35" s="9">
        <f>+Harvest!H35/Effort!H35</f>
        <v>8.5384615384615365</v>
      </c>
      <c r="J35" s="8" t="s">
        <v>54</v>
      </c>
      <c r="L35" s="9">
        <f>+Harvest!L35/Effort!L35</f>
        <v>14.666666666666668</v>
      </c>
      <c r="N35" s="8" t="s">
        <v>54</v>
      </c>
      <c r="O35" s="178"/>
    </row>
    <row r="36" spans="1:15" x14ac:dyDescent="0.25">
      <c r="A36" s="4"/>
      <c r="B36" s="89"/>
      <c r="C36" s="12"/>
      <c r="D36" s="84"/>
      <c r="F36" s="8"/>
      <c r="G36" s="2"/>
      <c r="H36" s="9"/>
      <c r="I36" s="9"/>
      <c r="J36" s="9"/>
      <c r="L36" s="9"/>
      <c r="N36" s="8"/>
    </row>
    <row r="37" spans="1:15" x14ac:dyDescent="0.25">
      <c r="A37" s="4">
        <v>43482</v>
      </c>
      <c r="B37" s="5">
        <f t="shared" ref="B37:B41" si="1">+A37</f>
        <v>43482</v>
      </c>
      <c r="C37" s="12">
        <v>0.4</v>
      </c>
      <c r="D37" s="84">
        <v>0.65208333333333335</v>
      </c>
      <c r="F37" s="8" t="s">
        <v>54</v>
      </c>
      <c r="G37" s="125"/>
      <c r="H37" s="9">
        <f>+Harvest!H37/Effort!H37</f>
        <v>2.1428571428571428</v>
      </c>
      <c r="I37" s="125"/>
      <c r="J37" s="8" t="s">
        <v>54</v>
      </c>
      <c r="K37" s="125"/>
      <c r="L37" s="8" t="s">
        <v>54</v>
      </c>
      <c r="M37" s="125"/>
      <c r="N37" s="8" t="s">
        <v>54</v>
      </c>
    </row>
    <row r="38" spans="1:15" x14ac:dyDescent="0.25">
      <c r="A38" s="4">
        <v>43483</v>
      </c>
      <c r="B38" s="5">
        <f t="shared" si="1"/>
        <v>43483</v>
      </c>
      <c r="C38" s="12">
        <v>-0.4</v>
      </c>
      <c r="D38" s="84">
        <v>0.6875</v>
      </c>
      <c r="F38" s="8" t="s">
        <v>54</v>
      </c>
      <c r="G38" s="174"/>
      <c r="H38" s="9">
        <f>+Harvest!H38/Effort!H38</f>
        <v>7.1176470588235281</v>
      </c>
      <c r="I38" s="125"/>
      <c r="J38" s="8" t="s">
        <v>54</v>
      </c>
      <c r="K38" s="125"/>
      <c r="L38" s="8" t="s">
        <v>54</v>
      </c>
      <c r="M38" s="125"/>
      <c r="N38" s="8" t="s">
        <v>54</v>
      </c>
    </row>
    <row r="39" spans="1:15" x14ac:dyDescent="0.25">
      <c r="A39" s="4">
        <v>43484</v>
      </c>
      <c r="B39" s="5">
        <f t="shared" si="1"/>
        <v>43484</v>
      </c>
      <c r="C39" s="12">
        <v>-1.1000000000000001</v>
      </c>
      <c r="D39" s="84">
        <v>0.72083333333333333</v>
      </c>
      <c r="F39" s="8" t="s">
        <v>54</v>
      </c>
      <c r="G39" s="125"/>
      <c r="H39" s="9">
        <f>+Harvest!H39/Effort!H39</f>
        <v>6.25</v>
      </c>
      <c r="I39" s="125"/>
      <c r="J39" s="8" t="s">
        <v>54</v>
      </c>
      <c r="K39" s="125"/>
      <c r="L39" s="9">
        <f>+Harvest!L39/Effort!L39</f>
        <v>14.536082474226806</v>
      </c>
      <c r="M39" s="125"/>
      <c r="N39" s="8" t="s">
        <v>54</v>
      </c>
    </row>
    <row r="40" spans="1:15" x14ac:dyDescent="0.25">
      <c r="A40" s="121">
        <v>43485</v>
      </c>
      <c r="B40" s="5">
        <f t="shared" si="1"/>
        <v>43485</v>
      </c>
      <c r="C40" s="123">
        <v>-1.6</v>
      </c>
      <c r="D40" s="127">
        <v>0.75347222222222221</v>
      </c>
      <c r="F40" s="8" t="s">
        <v>54</v>
      </c>
      <c r="G40" s="125"/>
      <c r="H40" s="9">
        <f>+Harvest!H40/Effort!H40</f>
        <v>14.15</v>
      </c>
      <c r="I40" s="125"/>
      <c r="J40" s="9">
        <f>+Harvest!J40/Effort!J40</f>
        <v>14.999999999999998</v>
      </c>
      <c r="K40" s="125"/>
      <c r="L40" s="8" t="s">
        <v>54</v>
      </c>
      <c r="M40" s="125"/>
      <c r="N40" s="8" t="s">
        <v>54</v>
      </c>
    </row>
    <row r="41" spans="1:15" x14ac:dyDescent="0.25">
      <c r="A41" s="121">
        <v>43486</v>
      </c>
      <c r="B41" s="5">
        <f t="shared" si="1"/>
        <v>43486</v>
      </c>
      <c r="C41" s="123">
        <v>-1.8</v>
      </c>
      <c r="D41" s="127">
        <v>0.78541666666666676</v>
      </c>
      <c r="F41" s="8" t="s">
        <v>54</v>
      </c>
      <c r="G41" s="125"/>
      <c r="H41" s="9">
        <f>+Harvest!H41/Effort!H41</f>
        <v>15.000000000000002</v>
      </c>
      <c r="I41" s="125"/>
      <c r="J41" s="8" t="s">
        <v>54</v>
      </c>
      <c r="K41" s="124"/>
      <c r="L41" s="9">
        <f>+Harvest!L41/Effort!L41</f>
        <v>13.690476190476192</v>
      </c>
      <c r="M41" s="125"/>
      <c r="N41" s="8" t="s">
        <v>54</v>
      </c>
    </row>
    <row r="42" spans="1:15" x14ac:dyDescent="0.25">
      <c r="A42" s="4"/>
      <c r="B42" s="89"/>
      <c r="C42" s="12"/>
      <c r="D42" s="84"/>
      <c r="F42" s="8"/>
      <c r="G42" s="2"/>
      <c r="H42" s="9"/>
      <c r="I42" s="9"/>
      <c r="J42" s="9"/>
      <c r="L42" s="9"/>
      <c r="N42" s="8"/>
    </row>
    <row r="43" spans="1:15" x14ac:dyDescent="0.25">
      <c r="A43" s="121">
        <v>43497</v>
      </c>
      <c r="B43" s="5">
        <f t="shared" ref="B43:B53" si="2">+A43</f>
        <v>43497</v>
      </c>
      <c r="C43" s="123">
        <v>0.2</v>
      </c>
      <c r="D43" s="127">
        <v>0.70000000000000007</v>
      </c>
      <c r="F43" s="211" t="s">
        <v>54</v>
      </c>
      <c r="G43" s="2"/>
      <c r="H43" s="212">
        <f>+Harvest!H43/Effort!H43</f>
        <v>11.136363636363635</v>
      </c>
      <c r="I43" s="9"/>
      <c r="J43" s="212">
        <f>+Harvest!J43/Effort!J43</f>
        <v>12.862745098039218</v>
      </c>
      <c r="L43" s="211" t="s">
        <v>54</v>
      </c>
      <c r="N43" s="211" t="s">
        <v>54</v>
      </c>
    </row>
    <row r="44" spans="1:15" x14ac:dyDescent="0.25">
      <c r="A44" s="121">
        <v>43498</v>
      </c>
      <c r="B44" s="5">
        <f t="shared" si="2"/>
        <v>43498</v>
      </c>
      <c r="C44" s="123">
        <v>0</v>
      </c>
      <c r="D44" s="127">
        <v>0.72777777777777775</v>
      </c>
      <c r="F44" s="211" t="s">
        <v>54</v>
      </c>
      <c r="G44" s="2"/>
      <c r="H44" s="212">
        <f>+Harvest!H44/Effort!H44</f>
        <v>12.249999999999998</v>
      </c>
      <c r="I44" s="9"/>
      <c r="J44" s="211" t="s">
        <v>54</v>
      </c>
      <c r="L44" s="212">
        <f>+Harvest!L44/Effort!L44</f>
        <v>12.89156626506024</v>
      </c>
      <c r="N44" s="211" t="s">
        <v>54</v>
      </c>
    </row>
    <row r="45" spans="1:15" x14ac:dyDescent="0.25">
      <c r="A45" s="121">
        <v>43499</v>
      </c>
      <c r="B45" s="5">
        <f t="shared" si="2"/>
        <v>43499</v>
      </c>
      <c r="C45" s="123">
        <v>-0.1</v>
      </c>
      <c r="D45" s="127">
        <v>0.75277777777777777</v>
      </c>
      <c r="F45" s="211" t="s">
        <v>54</v>
      </c>
      <c r="G45" s="2"/>
      <c r="H45" s="212">
        <f>+Harvest!H45/Effort!H45</f>
        <v>12.815818986635799</v>
      </c>
      <c r="I45" s="9"/>
      <c r="J45" s="212">
        <f>+Harvest!J45/Effort!J45</f>
        <v>14.090909090909092</v>
      </c>
      <c r="L45" s="211" t="s">
        <v>54</v>
      </c>
      <c r="N45" s="211" t="s">
        <v>54</v>
      </c>
    </row>
    <row r="46" spans="1:15" x14ac:dyDescent="0.25">
      <c r="A46" s="4"/>
      <c r="B46" s="89"/>
      <c r="C46" s="12"/>
      <c r="D46" s="84"/>
      <c r="F46" s="8"/>
      <c r="G46" s="2"/>
      <c r="H46" s="9"/>
      <c r="I46" s="9"/>
      <c r="J46" s="9"/>
      <c r="L46" s="9"/>
      <c r="N46" s="8"/>
    </row>
    <row r="47" spans="1:15" x14ac:dyDescent="0.25">
      <c r="A47" s="4">
        <v>43511</v>
      </c>
      <c r="B47" s="5">
        <f t="shared" si="2"/>
        <v>43511</v>
      </c>
      <c r="C47" s="12">
        <v>0.4</v>
      </c>
      <c r="D47" s="84">
        <v>0.63263888888888886</v>
      </c>
      <c r="F47" s="211" t="s">
        <v>54</v>
      </c>
      <c r="G47" s="2"/>
      <c r="H47" s="212">
        <f>+Harvest!H47/Effort!H47</f>
        <v>8.6818181818181817</v>
      </c>
      <c r="J47" s="211" t="s">
        <v>54</v>
      </c>
      <c r="L47" s="212">
        <f>+Harvest!L47/Effort!L47</f>
        <v>11.884615384615385</v>
      </c>
      <c r="N47" s="211" t="s">
        <v>54</v>
      </c>
    </row>
    <row r="48" spans="1:15" x14ac:dyDescent="0.25">
      <c r="A48" s="4">
        <v>43512</v>
      </c>
      <c r="B48" s="5">
        <f t="shared" si="2"/>
        <v>43512</v>
      </c>
      <c r="C48" s="12">
        <v>-0.3</v>
      </c>
      <c r="D48" s="84">
        <v>0.67222222222222217</v>
      </c>
      <c r="F48" s="211" t="s">
        <v>54</v>
      </c>
      <c r="G48" s="2"/>
      <c r="H48" s="212">
        <f>+Harvest!H48/Effort!H48</f>
        <v>12.852459016393443</v>
      </c>
      <c r="J48" s="212">
        <f>+Harvest!J48/Effort!J48</f>
        <v>12.578125</v>
      </c>
      <c r="L48" s="211" t="s">
        <v>54</v>
      </c>
      <c r="N48" s="212">
        <f>+Harvest!N48/Effort!N48</f>
        <v>2.8180058889759043</v>
      </c>
    </row>
    <row r="49" spans="1:14" x14ac:dyDescent="0.25">
      <c r="A49" s="4">
        <v>43513</v>
      </c>
      <c r="B49" s="5">
        <f t="shared" si="2"/>
        <v>43513</v>
      </c>
      <c r="C49" s="12">
        <v>-1</v>
      </c>
      <c r="D49" s="84">
        <v>0.70763888888888893</v>
      </c>
      <c r="F49" s="212">
        <f>+Harvest!F49/Effort!F49</f>
        <v>13.200000000000001</v>
      </c>
      <c r="G49" s="2"/>
      <c r="H49" s="212">
        <f>+Harvest!H49/Effort!H49</f>
        <v>14.248338783124405</v>
      </c>
      <c r="J49" s="212">
        <f>+Harvest!J49/Effort!J49</f>
        <v>15.000000000000002</v>
      </c>
      <c r="L49" s="212">
        <f>+Harvest!L49/Effort!L49</f>
        <v>14.058823529411764</v>
      </c>
      <c r="N49" s="212">
        <f>+Harvest!N49/Effort!N49</f>
        <v>4.0949537823052253</v>
      </c>
    </row>
    <row r="50" spans="1:14" x14ac:dyDescent="0.25">
      <c r="A50" s="4">
        <v>43514</v>
      </c>
      <c r="B50" s="5">
        <f t="shared" si="2"/>
        <v>43514</v>
      </c>
      <c r="C50" s="12">
        <v>-1.4</v>
      </c>
      <c r="D50" s="84">
        <v>0.7402777777777777</v>
      </c>
      <c r="F50" s="211" t="s">
        <v>54</v>
      </c>
      <c r="G50" s="2"/>
      <c r="H50" s="212">
        <f>+Harvest!H50/Effort!H50</f>
        <v>10.599156026341893</v>
      </c>
      <c r="J50" s="211" t="s">
        <v>54</v>
      </c>
      <c r="L50" s="212">
        <f>+Harvest!L50/Effort!L50</f>
        <v>15.000000000000002</v>
      </c>
      <c r="N50" s="212">
        <f>+Harvest!N50/Effort!N50</f>
        <v>5.3565588545386529</v>
      </c>
    </row>
    <row r="51" spans="1:14" x14ac:dyDescent="0.25">
      <c r="A51" s="4">
        <v>43515</v>
      </c>
      <c r="B51" s="5">
        <f t="shared" si="2"/>
        <v>43515</v>
      </c>
      <c r="C51" s="12">
        <v>-1.5</v>
      </c>
      <c r="D51" s="84">
        <v>0.7715277777777777</v>
      </c>
      <c r="F51" s="211" t="s">
        <v>54</v>
      </c>
      <c r="G51" s="2"/>
      <c r="H51" s="212">
        <f>+Harvest!H51/Effort!H51</f>
        <v>8.571428571428573</v>
      </c>
      <c r="J51" s="211" t="s">
        <v>54</v>
      </c>
      <c r="L51" s="211" t="s">
        <v>54</v>
      </c>
      <c r="N51" s="211" t="s">
        <v>54</v>
      </c>
    </row>
    <row r="52" spans="1:14" x14ac:dyDescent="0.25">
      <c r="A52" s="4">
        <v>43516</v>
      </c>
      <c r="B52" s="5">
        <f t="shared" si="2"/>
        <v>43516</v>
      </c>
      <c r="C52" s="12">
        <v>-1.3</v>
      </c>
      <c r="D52" s="84">
        <v>0.80138888888888893</v>
      </c>
      <c r="E52" s="124"/>
      <c r="F52" s="211" t="s">
        <v>54</v>
      </c>
      <c r="G52" s="2"/>
      <c r="H52" s="212">
        <f>+Harvest!H52/Effort!H52</f>
        <v>12.526315789473685</v>
      </c>
      <c r="J52" s="211" t="s">
        <v>54</v>
      </c>
      <c r="L52" s="211" t="s">
        <v>54</v>
      </c>
      <c r="N52" s="211" t="s">
        <v>54</v>
      </c>
    </row>
    <row r="53" spans="1:14" x14ac:dyDescent="0.25">
      <c r="A53" s="4">
        <v>43517</v>
      </c>
      <c r="B53" s="5">
        <f t="shared" si="2"/>
        <v>43517</v>
      </c>
      <c r="C53" s="12">
        <v>-0.8</v>
      </c>
      <c r="D53" s="84">
        <v>0.8305555555555556</v>
      </c>
      <c r="E53" s="124"/>
      <c r="F53" s="211" t="s">
        <v>54</v>
      </c>
      <c r="G53" s="2"/>
      <c r="H53" s="212">
        <f>+Harvest!H53/Effort!H53</f>
        <v>13.692307692307693</v>
      </c>
      <c r="J53" s="211" t="s">
        <v>54</v>
      </c>
      <c r="L53" s="211" t="s">
        <v>54</v>
      </c>
      <c r="N53" s="211" t="s">
        <v>54</v>
      </c>
    </row>
    <row r="54" spans="1:14" x14ac:dyDescent="0.25">
      <c r="A54" s="4"/>
      <c r="B54" s="89"/>
      <c r="C54" s="12"/>
      <c r="D54" s="84"/>
      <c r="E54" s="124"/>
      <c r="F54" s="9"/>
      <c r="G54" s="125"/>
      <c r="H54" s="8"/>
      <c r="I54" s="125"/>
      <c r="J54" s="8"/>
      <c r="K54" s="125"/>
      <c r="L54" s="8"/>
      <c r="M54" s="125"/>
      <c r="N54" s="8"/>
    </row>
    <row r="55" spans="1:14" x14ac:dyDescent="0.25">
      <c r="A55" s="121">
        <v>43540</v>
      </c>
      <c r="B55" s="5">
        <f t="shared" ref="B55:B61" si="3">+A55</f>
        <v>43540</v>
      </c>
      <c r="C55" s="123">
        <v>0.3</v>
      </c>
      <c r="D55" s="127">
        <v>0.65486111111111112</v>
      </c>
      <c r="E55" s="124"/>
      <c r="F55" s="211" t="s">
        <v>54</v>
      </c>
      <c r="G55" s="125"/>
      <c r="H55" s="212">
        <f>+Harvest!H55/Effort!H55</f>
        <v>14.333333333333334</v>
      </c>
      <c r="I55" s="125"/>
      <c r="J55" s="212">
        <f>+Harvest!J55/Effort!J55</f>
        <v>12.669724770642203</v>
      </c>
      <c r="K55" s="125"/>
      <c r="L55" s="211" t="s">
        <v>54</v>
      </c>
      <c r="M55" s="125"/>
      <c r="N55" s="211" t="s">
        <v>54</v>
      </c>
    </row>
    <row r="56" spans="1:14" x14ac:dyDescent="0.25">
      <c r="A56" s="121">
        <v>43541</v>
      </c>
      <c r="B56" s="5">
        <f t="shared" si="3"/>
        <v>43541</v>
      </c>
      <c r="C56" s="123">
        <v>-0.2</v>
      </c>
      <c r="D56" s="127">
        <v>0.69652777777777775</v>
      </c>
      <c r="E56" s="124"/>
      <c r="F56" s="211" t="s">
        <v>54</v>
      </c>
      <c r="G56" s="125"/>
      <c r="H56" s="212">
        <f>+Harvest!H56/Effort!H56</f>
        <v>11.455614958001165</v>
      </c>
      <c r="I56" s="125"/>
      <c r="J56" s="211" t="s">
        <v>54</v>
      </c>
      <c r="K56" s="125"/>
      <c r="L56" s="212">
        <f>+Harvest!L56/Effort!L56</f>
        <v>13.96551724137931</v>
      </c>
      <c r="M56" s="125"/>
      <c r="N56" s="211" t="s">
        <v>54</v>
      </c>
    </row>
    <row r="57" spans="1:14" x14ac:dyDescent="0.25">
      <c r="A57" s="4"/>
      <c r="B57" s="89"/>
      <c r="C57" s="12"/>
      <c r="D57" s="84"/>
      <c r="E57" s="124"/>
      <c r="F57" s="212"/>
      <c r="G57" s="125"/>
      <c r="H57" s="211"/>
      <c r="I57" s="125"/>
      <c r="J57" s="211"/>
      <c r="K57" s="125"/>
      <c r="L57" s="211"/>
      <c r="M57" s="125"/>
      <c r="N57" s="211"/>
    </row>
    <row r="58" spans="1:14" x14ac:dyDescent="0.25">
      <c r="A58" s="121">
        <v>43545</v>
      </c>
      <c r="B58" s="89">
        <f t="shared" si="3"/>
        <v>43545</v>
      </c>
      <c r="C58" s="123">
        <v>-0.5</v>
      </c>
      <c r="D58" s="127">
        <v>0.82500000000000007</v>
      </c>
      <c r="E58" s="124"/>
      <c r="F58" s="211" t="s">
        <v>54</v>
      </c>
      <c r="G58" s="125"/>
      <c r="H58" s="211" t="s">
        <v>54</v>
      </c>
      <c r="I58" s="125"/>
      <c r="J58" s="211" t="s">
        <v>54</v>
      </c>
      <c r="K58" s="125"/>
      <c r="L58" s="212">
        <f>+Harvest!L58/Effort!L58</f>
        <v>14.999999999999998</v>
      </c>
      <c r="M58" s="125"/>
      <c r="N58" s="211" t="s">
        <v>54</v>
      </c>
    </row>
    <row r="59" spans="1:14" x14ac:dyDescent="0.25">
      <c r="A59" s="220">
        <v>43546</v>
      </c>
      <c r="B59" s="221">
        <f t="shared" si="3"/>
        <v>43546</v>
      </c>
      <c r="C59" s="222">
        <v>-0.2</v>
      </c>
      <c r="D59" s="223">
        <v>0.3430555555555555</v>
      </c>
      <c r="E59" s="124"/>
      <c r="F59" s="211" t="s">
        <v>54</v>
      </c>
      <c r="G59" s="125"/>
      <c r="H59" s="212">
        <f>+Harvest!H59/Effort!H59</f>
        <v>14.999999999999998</v>
      </c>
      <c r="I59" s="125"/>
      <c r="J59" s="211" t="s">
        <v>54</v>
      </c>
      <c r="K59" s="125"/>
      <c r="L59" s="212">
        <f>+Harvest!L59/Effort!L59</f>
        <v>13.644444444444444</v>
      </c>
      <c r="M59" s="125"/>
      <c r="N59" s="212">
        <f>+Harvest!N59/Effort!N59</f>
        <v>4.4117892523406832</v>
      </c>
    </row>
    <row r="60" spans="1:14" x14ac:dyDescent="0.25">
      <c r="A60" s="220">
        <v>43547</v>
      </c>
      <c r="B60" s="221">
        <f t="shared" si="3"/>
        <v>43547</v>
      </c>
      <c r="C60" s="222">
        <v>-0.3</v>
      </c>
      <c r="D60" s="223">
        <v>0.3756944444444445</v>
      </c>
      <c r="E60" s="124"/>
      <c r="F60" s="211" t="s">
        <v>54</v>
      </c>
      <c r="G60" s="125"/>
      <c r="H60" s="212">
        <f>+Harvest!H60/Effort!H60</f>
        <v>12.296296296296298</v>
      </c>
      <c r="I60" s="125"/>
      <c r="J60" s="212">
        <f>+Harvest!J60/Effort!J60</f>
        <v>13.568345866854637</v>
      </c>
      <c r="K60" s="125"/>
      <c r="L60" s="211" t="s">
        <v>54</v>
      </c>
      <c r="M60" s="125"/>
      <c r="N60" s="212">
        <f>+Harvest!N60/Effort!N60</f>
        <v>1.2286892097264437</v>
      </c>
    </row>
    <row r="61" spans="1:14" x14ac:dyDescent="0.25">
      <c r="A61" s="220">
        <v>43548</v>
      </c>
      <c r="B61" s="221">
        <f t="shared" si="3"/>
        <v>43548</v>
      </c>
      <c r="C61" s="222">
        <v>-0.3</v>
      </c>
      <c r="D61" s="223">
        <v>0.40902777777777777</v>
      </c>
      <c r="E61" s="124"/>
      <c r="F61" s="211" t="s">
        <v>54</v>
      </c>
      <c r="G61" s="125"/>
      <c r="H61" s="212">
        <f>+Harvest!H61/Effort!H61</f>
        <v>13.15873015873016</v>
      </c>
      <c r="I61" s="125"/>
      <c r="J61" s="211" t="s">
        <v>54</v>
      </c>
      <c r="K61" s="125"/>
      <c r="L61" s="212">
        <f>+Harvest!L61/Effort!L61</f>
        <v>14.642105263157895</v>
      </c>
      <c r="M61" s="125"/>
      <c r="N61" s="212">
        <f>+Harvest!N61/Effort!N61</f>
        <v>4.606488203266788</v>
      </c>
    </row>
    <row r="62" spans="1:14" x14ac:dyDescent="0.25">
      <c r="A62" s="4"/>
      <c r="B62" s="89"/>
      <c r="C62" s="12"/>
      <c r="D62" s="84"/>
      <c r="E62" s="124"/>
      <c r="F62" s="212"/>
      <c r="G62" s="125"/>
      <c r="H62" s="211"/>
      <c r="I62" s="125"/>
      <c r="J62" s="211"/>
      <c r="K62" s="125"/>
      <c r="L62" s="211"/>
      <c r="M62" s="125"/>
      <c r="N62" s="211"/>
    </row>
    <row r="63" spans="1:14" x14ac:dyDescent="0.25">
      <c r="A63" s="121">
        <v>43561</v>
      </c>
      <c r="B63" s="5">
        <f t="shared" ref="B63:B65" si="4">+A63</f>
        <v>43561</v>
      </c>
      <c r="C63" s="123">
        <v>0.3</v>
      </c>
      <c r="D63" s="127">
        <v>0.33680555555555558</v>
      </c>
      <c r="E63" s="124"/>
      <c r="F63" s="126" t="s">
        <v>54</v>
      </c>
      <c r="G63" s="125"/>
      <c r="H63" s="212">
        <f>+Harvest!H63/Effort!H63</f>
        <v>1.7236842105263162</v>
      </c>
      <c r="I63" s="125"/>
      <c r="J63" s="126" t="s">
        <v>54</v>
      </c>
      <c r="K63" s="124"/>
      <c r="L63" s="212">
        <f>+Harvest!L63/Effort!L63</f>
        <v>0.32432432432432434</v>
      </c>
      <c r="M63" s="125"/>
      <c r="N63" s="126" t="s">
        <v>54</v>
      </c>
    </row>
    <row r="64" spans="1:14" x14ac:dyDescent="0.25">
      <c r="A64" s="121">
        <v>43562</v>
      </c>
      <c r="B64" s="5">
        <f t="shared" si="4"/>
        <v>43562</v>
      </c>
      <c r="C64" s="123">
        <v>0.1</v>
      </c>
      <c r="D64" s="127">
        <v>0.36180555555555555</v>
      </c>
      <c r="E64" s="124"/>
      <c r="F64" s="126" t="s">
        <v>54</v>
      </c>
      <c r="G64" s="125"/>
      <c r="H64" s="212">
        <f>+Harvest!H64/Effort!H64</f>
        <v>4.2321428571428559</v>
      </c>
      <c r="I64" s="125"/>
      <c r="J64" s="126" t="s">
        <v>54</v>
      </c>
      <c r="K64" s="124"/>
      <c r="L64" s="212">
        <f>+Harvest!L64/Effort!L64</f>
        <v>13.961538461538458</v>
      </c>
      <c r="M64" s="125"/>
      <c r="N64" s="126" t="s">
        <v>54</v>
      </c>
    </row>
    <row r="65" spans="1:14" x14ac:dyDescent="0.25">
      <c r="A65" s="121">
        <v>43563</v>
      </c>
      <c r="B65" s="5">
        <f t="shared" si="4"/>
        <v>43563</v>
      </c>
      <c r="C65" s="123">
        <v>0</v>
      </c>
      <c r="D65" s="127">
        <v>0.3888888888888889</v>
      </c>
      <c r="E65" s="124"/>
      <c r="F65" s="126" t="s">
        <v>54</v>
      </c>
      <c r="G65" s="125"/>
      <c r="H65" s="126" t="s">
        <v>54</v>
      </c>
      <c r="I65" s="125"/>
      <c r="J65" s="126" t="s">
        <v>54</v>
      </c>
      <c r="K65" s="124"/>
      <c r="L65" s="212">
        <f>+Harvest!L65/Effort!L65</f>
        <v>12.233333333333334</v>
      </c>
      <c r="M65" s="125"/>
      <c r="N65" s="126" t="s">
        <v>54</v>
      </c>
    </row>
    <row r="66" spans="1:14" x14ac:dyDescent="0.25">
      <c r="A66" s="4"/>
      <c r="B66" s="89"/>
      <c r="C66" s="12"/>
      <c r="D66" s="84"/>
      <c r="E66" s="124"/>
      <c r="F66" s="212"/>
      <c r="G66" s="125"/>
      <c r="H66" s="211"/>
      <c r="I66" s="125"/>
      <c r="J66" s="211"/>
      <c r="K66" s="125"/>
      <c r="L66" s="211"/>
      <c r="M66" s="125"/>
      <c r="N66" s="211"/>
    </row>
    <row r="67" spans="1:14" x14ac:dyDescent="0.25">
      <c r="A67" s="121">
        <v>43575</v>
      </c>
      <c r="B67" s="5">
        <f t="shared" ref="B67:B69" si="5">+A67</f>
        <v>43575</v>
      </c>
      <c r="C67" s="123">
        <v>-1.1000000000000001</v>
      </c>
      <c r="D67" s="127">
        <v>0.33194444444444443</v>
      </c>
      <c r="E67" s="124"/>
      <c r="F67" s="212">
        <f>+Harvest!F67/Effort!F67</f>
        <v>14.95833333333333</v>
      </c>
      <c r="G67" s="125"/>
      <c r="H67" s="212">
        <f>+Harvest!H67/Effort!H67</f>
        <v>13.395958708551621</v>
      </c>
      <c r="I67" s="125"/>
      <c r="J67" s="212">
        <f>+Harvest!J67/Effort!J67</f>
        <v>13.848214285714288</v>
      </c>
      <c r="K67" s="124"/>
      <c r="L67" s="126" t="s">
        <v>54</v>
      </c>
      <c r="M67" s="125"/>
      <c r="N67" s="126" t="s">
        <v>54</v>
      </c>
    </row>
    <row r="68" spans="1:14" x14ac:dyDescent="0.25">
      <c r="A68" s="121">
        <v>43576</v>
      </c>
      <c r="B68" s="5">
        <f t="shared" si="5"/>
        <v>43576</v>
      </c>
      <c r="C68" s="123">
        <v>-1.2</v>
      </c>
      <c r="D68" s="127">
        <v>0.36249999999999999</v>
      </c>
      <c r="E68" s="124"/>
      <c r="F68" s="212">
        <f>+Harvest!F68/Effort!F68</f>
        <v>14.622641509433961</v>
      </c>
      <c r="G68" s="125"/>
      <c r="H68" s="212">
        <f>+Harvest!H68/Effort!H68</f>
        <v>14.881889763779528</v>
      </c>
      <c r="I68" s="125"/>
      <c r="J68" s="126" t="s">
        <v>54</v>
      </c>
      <c r="K68" s="124"/>
      <c r="L68" s="212">
        <f>+Harvest!L68/Effort!L68</f>
        <v>15.000000000000002</v>
      </c>
      <c r="M68" s="125"/>
      <c r="N68" s="126" t="s">
        <v>54</v>
      </c>
    </row>
    <row r="69" spans="1:14" x14ac:dyDescent="0.25">
      <c r="A69" s="121">
        <v>43577</v>
      </c>
      <c r="B69" s="5">
        <f t="shared" si="5"/>
        <v>43577</v>
      </c>
      <c r="C69" s="123">
        <v>-1</v>
      </c>
      <c r="D69" s="127">
        <v>0.3923611111111111</v>
      </c>
      <c r="E69" s="124"/>
      <c r="F69" s="126" t="s">
        <v>54</v>
      </c>
      <c r="G69" s="125"/>
      <c r="H69" s="212">
        <f>+Harvest!H69/Effort!H69</f>
        <v>14.976744186046512</v>
      </c>
      <c r="I69" s="125"/>
      <c r="J69" s="126" t="s">
        <v>54</v>
      </c>
      <c r="K69" s="124"/>
      <c r="L69" s="212">
        <f>+Harvest!L69/Effort!L69</f>
        <v>15</v>
      </c>
      <c r="M69" s="125"/>
      <c r="N69" s="126" t="s">
        <v>54</v>
      </c>
    </row>
    <row r="70" spans="1:14" x14ac:dyDescent="0.25">
      <c r="A70" s="4"/>
      <c r="B70" s="89"/>
      <c r="C70" s="12"/>
      <c r="D70" s="84"/>
      <c r="E70" s="124"/>
      <c r="F70" s="9"/>
      <c r="G70" s="125"/>
      <c r="H70" s="8"/>
      <c r="I70" s="125"/>
      <c r="J70" s="8"/>
      <c r="K70" s="125"/>
      <c r="L70" s="8"/>
      <c r="M70" s="125"/>
      <c r="N70" s="8"/>
    </row>
    <row r="71" spans="1:14" x14ac:dyDescent="0.25">
      <c r="A71" s="4">
        <v>43603</v>
      </c>
      <c r="B71" s="89">
        <v>43603</v>
      </c>
      <c r="C71" s="12">
        <v>-1.4</v>
      </c>
      <c r="D71" s="84">
        <v>0.2902777777777778</v>
      </c>
      <c r="E71" s="124"/>
      <c r="F71" s="126" t="s">
        <v>54</v>
      </c>
      <c r="G71" s="125"/>
      <c r="H71" s="126" t="s">
        <v>54</v>
      </c>
      <c r="I71" s="125"/>
      <c r="J71" s="126" t="s">
        <v>54</v>
      </c>
      <c r="K71" s="125"/>
      <c r="L71" s="212">
        <f>+Harvest!L71/Effort!L71</f>
        <v>14.716216216216218</v>
      </c>
      <c r="M71" s="125"/>
      <c r="N71" s="126" t="s">
        <v>54</v>
      </c>
    </row>
    <row r="72" spans="1:14" x14ac:dyDescent="0.25">
      <c r="A72" s="4">
        <v>43604</v>
      </c>
      <c r="B72" s="89">
        <v>43604</v>
      </c>
      <c r="C72" s="12">
        <v>-1.6</v>
      </c>
      <c r="D72" s="84">
        <v>0.32013888888888892</v>
      </c>
      <c r="E72" s="124"/>
      <c r="F72" s="126" t="s">
        <v>54</v>
      </c>
      <c r="G72" s="125"/>
      <c r="H72" s="126" t="s">
        <v>54</v>
      </c>
      <c r="I72" s="125"/>
      <c r="J72" s="126" t="s">
        <v>54</v>
      </c>
      <c r="K72" s="125"/>
      <c r="L72" s="212">
        <f>+Harvest!L72/Effort!L72</f>
        <v>14.536585365853659</v>
      </c>
      <c r="M72" s="125"/>
      <c r="N72" s="126" t="s">
        <v>54</v>
      </c>
    </row>
    <row r="73" spans="1:14" x14ac:dyDescent="0.25">
      <c r="A73" s="4">
        <v>43605</v>
      </c>
      <c r="B73" s="89">
        <v>43605</v>
      </c>
      <c r="C73" s="12">
        <v>-1.6</v>
      </c>
      <c r="D73" s="84">
        <v>0.34930555555555554</v>
      </c>
      <c r="E73" s="124"/>
      <c r="F73" s="126" t="s">
        <v>54</v>
      </c>
      <c r="G73" s="125"/>
      <c r="H73" s="126" t="s">
        <v>54</v>
      </c>
      <c r="I73" s="125"/>
      <c r="J73" s="126" t="s">
        <v>54</v>
      </c>
      <c r="K73" s="125"/>
      <c r="L73" s="212">
        <f>+Harvest!L73/Effort!L73</f>
        <v>14.320000000000002</v>
      </c>
      <c r="M73" s="125"/>
      <c r="N73" s="126" t="s">
        <v>54</v>
      </c>
    </row>
    <row r="74" spans="1:14" x14ac:dyDescent="0.25">
      <c r="A74" s="51"/>
      <c r="B74" s="5"/>
      <c r="C74" s="55"/>
      <c r="D74" s="56"/>
      <c r="F74" s="8"/>
      <c r="G74" s="57"/>
      <c r="H74" s="9"/>
      <c r="I74" s="57"/>
      <c r="J74" s="8"/>
      <c r="K74" s="57"/>
      <c r="L74" s="8"/>
      <c r="M74" s="57"/>
      <c r="N74" s="8"/>
    </row>
    <row r="75" spans="1:14" x14ac:dyDescent="0.25">
      <c r="A75" s="51"/>
      <c r="B75" s="5"/>
      <c r="C75" s="55"/>
      <c r="D75" s="56"/>
      <c r="F75" s="8"/>
      <c r="G75" s="57"/>
      <c r="H75" s="9"/>
      <c r="I75" s="57"/>
      <c r="J75" s="8"/>
      <c r="K75" s="57"/>
      <c r="L75" s="8"/>
      <c r="M75" s="57"/>
      <c r="N75" s="8"/>
    </row>
    <row r="76" spans="1:14" x14ac:dyDescent="0.25">
      <c r="A76" s="16" t="s">
        <v>18</v>
      </c>
      <c r="F76" s="42">
        <f>Harvest!F76/Effort!F76</f>
        <v>14.000470383662671</v>
      </c>
      <c r="H76" s="42">
        <f>Harvest!H76/Effort!H76</f>
        <v>11.847059247132808</v>
      </c>
      <c r="J76" s="42">
        <f>Harvest!J76/Effort!J76</f>
        <v>13.411640021131221</v>
      </c>
      <c r="L76" s="42">
        <f>Harvest!L76/Effort!L76</f>
        <v>13.961760943405213</v>
      </c>
      <c r="N76" s="42">
        <f>Harvest!N76/Effort!N76</f>
        <v>3.5886948142719519</v>
      </c>
    </row>
    <row r="77" spans="1:14" x14ac:dyDescent="0.25">
      <c r="A77" s="15" t="s">
        <v>17</v>
      </c>
    </row>
    <row r="78" spans="1:14" x14ac:dyDescent="0.25">
      <c r="A78" s="91" t="s">
        <v>46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28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  <ignoredErrors>
    <ignoredError sqref="O2:O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I85"/>
  <sheetViews>
    <sheetView showRuler="0" zoomScaleNormal="100" workbookViewId="0">
      <selection activeCell="P18" sqref="P18"/>
    </sheetView>
  </sheetViews>
  <sheetFormatPr defaultRowHeight="15" x14ac:dyDescent="0.25"/>
  <cols>
    <col min="1" max="1" width="8" customWidth="1"/>
    <col min="2" max="2" width="6.85546875" bestFit="1" customWidth="1"/>
    <col min="3" max="3" width="4.5703125" customWidth="1"/>
    <col min="4" max="5" width="8.42578125" bestFit="1" customWidth="1"/>
    <col min="6" max="6" width="8.85546875" bestFit="1" customWidth="1"/>
    <col min="7" max="7" width="9.5703125" customWidth="1"/>
    <col min="8" max="8" width="7.42578125" bestFit="1" customWidth="1"/>
    <col min="9" max="9" width="8.85546875" bestFit="1" customWidth="1"/>
    <col min="10" max="10" width="7" customWidth="1"/>
    <col min="11" max="11" width="7.5703125" bestFit="1" customWidth="1"/>
    <col min="12" max="12" width="8.85546875" bestFit="1" customWidth="1"/>
    <col min="13" max="14" width="7.5703125" bestFit="1" customWidth="1"/>
    <col min="15" max="15" width="8.85546875" bestFit="1" customWidth="1"/>
    <col min="16" max="16" width="7.5703125" bestFit="1" customWidth="1"/>
    <col min="17" max="17" width="8.5703125" customWidth="1"/>
    <col min="18" max="19" width="7.5703125" bestFit="1" customWidth="1"/>
    <col min="21" max="21" width="15.85546875" bestFit="1" customWidth="1"/>
  </cols>
  <sheetData>
    <row r="1" spans="1:21" ht="15.75" thickBot="1" x14ac:dyDescent="0.3">
      <c r="A1" s="109" t="s">
        <v>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1" ht="15.75" thickTop="1" x14ac:dyDescent="0.25">
      <c r="A2" s="22"/>
      <c r="B2" s="22"/>
      <c r="C2" s="22"/>
      <c r="D2" s="22"/>
      <c r="E2" s="321" t="s">
        <v>19</v>
      </c>
      <c r="F2" s="322"/>
      <c r="G2" s="323"/>
      <c r="H2" s="321" t="s">
        <v>20</v>
      </c>
      <c r="I2" s="322"/>
      <c r="J2" s="323"/>
      <c r="K2" s="321" t="s">
        <v>21</v>
      </c>
      <c r="L2" s="322"/>
      <c r="M2" s="323"/>
      <c r="N2" s="321" t="s">
        <v>22</v>
      </c>
      <c r="O2" s="322"/>
      <c r="P2" s="323"/>
      <c r="Q2" s="324" t="s">
        <v>23</v>
      </c>
      <c r="R2" s="325"/>
      <c r="S2" s="326"/>
      <c r="T2" s="319" t="s">
        <v>24</v>
      </c>
      <c r="U2" s="320"/>
    </row>
    <row r="3" spans="1:21" ht="15.75" thickBot="1" x14ac:dyDescent="0.3">
      <c r="A3" s="23" t="s">
        <v>25</v>
      </c>
      <c r="B3" s="23" t="s">
        <v>26</v>
      </c>
      <c r="C3" s="23" t="s">
        <v>27</v>
      </c>
      <c r="D3" s="23" t="s">
        <v>28</v>
      </c>
      <c r="E3" s="24" t="s">
        <v>29</v>
      </c>
      <c r="F3" s="23" t="s">
        <v>30</v>
      </c>
      <c r="G3" s="23" t="s">
        <v>10</v>
      </c>
      <c r="H3" s="24" t="s">
        <v>29</v>
      </c>
      <c r="I3" s="23" t="s">
        <v>30</v>
      </c>
      <c r="J3" s="23" t="s">
        <v>10</v>
      </c>
      <c r="K3" s="24" t="s">
        <v>29</v>
      </c>
      <c r="L3" s="23" t="s">
        <v>30</v>
      </c>
      <c r="M3" s="23" t="s">
        <v>10</v>
      </c>
      <c r="N3" s="24" t="s">
        <v>29</v>
      </c>
      <c r="O3" s="23" t="s">
        <v>30</v>
      </c>
      <c r="P3" s="23" t="s">
        <v>10</v>
      </c>
      <c r="Q3" s="24" t="s">
        <v>29</v>
      </c>
      <c r="R3" s="23" t="s">
        <v>30</v>
      </c>
      <c r="S3" s="23" t="s">
        <v>10</v>
      </c>
      <c r="T3" s="24" t="s">
        <v>29</v>
      </c>
      <c r="U3" s="25" t="s">
        <v>30</v>
      </c>
    </row>
    <row r="4" spans="1:21" ht="15.75" thickTop="1" x14ac:dyDescent="0.25">
      <c r="A4" s="26">
        <v>43384</v>
      </c>
      <c r="B4" s="17">
        <f>+A4</f>
        <v>43384</v>
      </c>
      <c r="C4" s="18">
        <v>-0.6</v>
      </c>
      <c r="D4" s="19">
        <v>0.87361111111111101</v>
      </c>
      <c r="E4" s="29" t="str">
        <f>Effort!F2</f>
        <v>CLOSED</v>
      </c>
      <c r="F4" s="30" t="str">
        <f>Harvest!F2</f>
        <v>CLOSED</v>
      </c>
      <c r="G4" s="27" t="str">
        <f>CPUE!F2</f>
        <v>CLOSED</v>
      </c>
      <c r="H4" s="29">
        <f>Effort!H2</f>
        <v>1852.5576795324773</v>
      </c>
      <c r="I4" s="30">
        <f>Harvest!H2</f>
        <v>25850.304851322413</v>
      </c>
      <c r="J4" s="27">
        <f>CPUE!H2</f>
        <v>13.953846153846154</v>
      </c>
      <c r="K4" s="29" t="str">
        <f>Effort!J2</f>
        <v>CLOSED</v>
      </c>
      <c r="L4" s="30" t="str">
        <f>Harvest!J2</f>
        <v>CLOSED</v>
      </c>
      <c r="M4" s="27" t="str">
        <f>CPUE!J2</f>
        <v>CLOSED</v>
      </c>
      <c r="N4" s="29">
        <f>Effort!L2</f>
        <v>1283.6696475443512</v>
      </c>
      <c r="O4" s="30">
        <f>Harvest!L2</f>
        <v>18599.553829312834</v>
      </c>
      <c r="P4" s="27">
        <f>CPUE!L2</f>
        <v>14.48936170212766</v>
      </c>
      <c r="Q4" s="29" t="str">
        <f>Effort!N2</f>
        <v>CLOSED</v>
      </c>
      <c r="R4" s="30" t="str">
        <f>Harvest!N2</f>
        <v>CLOSED</v>
      </c>
      <c r="S4" s="31" t="str">
        <f>CPUE!N2</f>
        <v>CLOSED</v>
      </c>
      <c r="T4" s="29">
        <f>+H4+N4</f>
        <v>3136.2273270768283</v>
      </c>
      <c r="U4" s="30">
        <f>+I4+O4</f>
        <v>44449.858680635247</v>
      </c>
    </row>
    <row r="5" spans="1:21" x14ac:dyDescent="0.25">
      <c r="A5" s="26">
        <v>43385</v>
      </c>
      <c r="B5" s="17">
        <f t="shared" ref="B5:B6" si="0">+A5</f>
        <v>43385</v>
      </c>
      <c r="C5" s="18">
        <v>-0.3</v>
      </c>
      <c r="D5" s="19">
        <v>0.90347222222222223</v>
      </c>
      <c r="E5" s="29" t="str">
        <f>Effort!F3</f>
        <v>CLOSED</v>
      </c>
      <c r="F5" s="30" t="str">
        <f>Harvest!F3</f>
        <v>CLOSED</v>
      </c>
      <c r="G5" s="27" t="str">
        <f>CPUE!F3</f>
        <v>CLOSED</v>
      </c>
      <c r="H5" s="29">
        <f>Effort!H3</f>
        <v>1085.7839784745911</v>
      </c>
      <c r="I5" s="30">
        <f>Harvest!H3</f>
        <v>16131.647680193924</v>
      </c>
      <c r="J5" s="27">
        <f>CPUE!H3</f>
        <v>14.857142857142856</v>
      </c>
      <c r="K5" s="29">
        <f>Effort!J3</f>
        <v>1983.4261652980529</v>
      </c>
      <c r="L5" s="30">
        <f>Harvest!J3</f>
        <v>29090.250424371439</v>
      </c>
      <c r="M5" s="27">
        <f>CPUE!J3</f>
        <v>14.666666666666666</v>
      </c>
      <c r="N5" s="29" t="str">
        <f>Effort!L3</f>
        <v>CLOSED</v>
      </c>
      <c r="O5" s="30" t="str">
        <f>Harvest!L3</f>
        <v>CLOSED</v>
      </c>
      <c r="P5" s="27" t="str">
        <f>CPUE!L3</f>
        <v>CLOSED</v>
      </c>
      <c r="Q5" s="29" t="str">
        <f>Effort!N3</f>
        <v>CLOSED</v>
      </c>
      <c r="R5" s="30" t="str">
        <f>Harvest!N3</f>
        <v>CLOSED</v>
      </c>
      <c r="S5" s="31" t="str">
        <f>CPUE!N3</f>
        <v>CLOSED</v>
      </c>
      <c r="T5" s="29">
        <f>+H5+K5</f>
        <v>3069.2101437726442</v>
      </c>
      <c r="U5" s="30">
        <f>+I5+L5</f>
        <v>45221.898104565364</v>
      </c>
    </row>
    <row r="6" spans="1:21" x14ac:dyDescent="0.25">
      <c r="A6" s="26">
        <v>43386</v>
      </c>
      <c r="B6" s="17">
        <f t="shared" si="0"/>
        <v>43386</v>
      </c>
      <c r="C6" s="18">
        <v>0.1</v>
      </c>
      <c r="D6" s="19">
        <v>0.93472222222222223</v>
      </c>
      <c r="E6" s="29" t="str">
        <f>Effort!F4</f>
        <v>CLOSED</v>
      </c>
      <c r="F6" s="30" t="str">
        <f>Harvest!F4</f>
        <v>CLOSED</v>
      </c>
      <c r="G6" s="27" t="str">
        <f>CPUE!F4</f>
        <v>CLOSED</v>
      </c>
      <c r="H6" s="29">
        <f>Effort!H4</f>
        <v>1666.4268294223432</v>
      </c>
      <c r="I6" s="30">
        <f>Harvest!H4</f>
        <v>26016.663765471276</v>
      </c>
      <c r="J6" s="27">
        <f>CPUE!H4</f>
        <v>15.612244897959183</v>
      </c>
      <c r="K6" s="29" t="str">
        <f>Effort!J4</f>
        <v>CLOSED</v>
      </c>
      <c r="L6" s="30" t="str">
        <f>Harvest!J4</f>
        <v>CLOSED</v>
      </c>
      <c r="M6" s="27" t="str">
        <f>CPUE!J4</f>
        <v>CLOSED</v>
      </c>
      <c r="N6" s="29">
        <f>Effort!L4</f>
        <v>1673.0640265019636</v>
      </c>
      <c r="O6" s="30">
        <f>Harvest!L4</f>
        <v>23316.105050186936</v>
      </c>
      <c r="P6" s="27">
        <f>CPUE!L4</f>
        <v>13.936170212765955</v>
      </c>
      <c r="Q6" s="29" t="str">
        <f>Effort!N4</f>
        <v>CLOSED</v>
      </c>
      <c r="R6" s="30" t="str">
        <f>Harvest!N4</f>
        <v>CLOSED</v>
      </c>
      <c r="S6" s="31" t="str">
        <f>CPUE!N4</f>
        <v>CLOSED</v>
      </c>
      <c r="T6" s="29">
        <f>+H6+N6</f>
        <v>3339.4908559243067</v>
      </c>
      <c r="U6" s="30">
        <f>+I6+O6</f>
        <v>49332.768815658215</v>
      </c>
    </row>
    <row r="7" spans="1:21" x14ac:dyDescent="0.25">
      <c r="A7" s="317" t="s">
        <v>31</v>
      </c>
      <c r="B7" s="317"/>
      <c r="C7" s="317"/>
      <c r="D7" s="318"/>
      <c r="E7" s="33"/>
      <c r="F7" s="34"/>
      <c r="G7" s="32"/>
      <c r="H7" s="33">
        <f>SUM(H4:H6)</f>
        <v>4604.7684874294118</v>
      </c>
      <c r="I7" s="34">
        <f>SUM(I4:I6)</f>
        <v>67998.616296987602</v>
      </c>
      <c r="J7" s="32">
        <f>+I7/H7</f>
        <v>14.767000009363658</v>
      </c>
      <c r="K7" s="33">
        <f>SUM(K4:K6)</f>
        <v>1983.4261652980529</v>
      </c>
      <c r="L7" s="34">
        <f>SUM(L4:L6)</f>
        <v>29090.250424371439</v>
      </c>
      <c r="M7" s="32">
        <f>+L7/K7</f>
        <v>14.666666666666666</v>
      </c>
      <c r="N7" s="33">
        <f>SUM(N4:N6)</f>
        <v>2956.7336740463147</v>
      </c>
      <c r="O7" s="34">
        <f>SUM(O4:O6)</f>
        <v>41915.658879499766</v>
      </c>
      <c r="P7" s="32">
        <f>+O7/N7</f>
        <v>14.176338994420771</v>
      </c>
      <c r="Q7" s="33"/>
      <c r="R7" s="34"/>
      <c r="S7" s="32"/>
      <c r="T7" s="33">
        <f>SUM(T4:T6)</f>
        <v>9544.9283267737792</v>
      </c>
      <c r="U7" s="34">
        <f>SUM(U4:U6)</f>
        <v>139004.52560085885</v>
      </c>
    </row>
    <row r="8" spans="1:21" x14ac:dyDescent="0.25">
      <c r="A8" s="26">
        <v>43398</v>
      </c>
      <c r="B8" s="17">
        <f>+A8</f>
        <v>43398</v>
      </c>
      <c r="C8" s="18">
        <v>-0.5</v>
      </c>
      <c r="D8" s="19">
        <v>0.82986111111111116</v>
      </c>
      <c r="E8" s="29" t="str">
        <f>Effort!F6</f>
        <v>CLOSED</v>
      </c>
      <c r="F8" s="37" t="str">
        <f>Harvest!F6</f>
        <v>CLOSED</v>
      </c>
      <c r="G8" s="35" t="str">
        <f>CPUE!F6</f>
        <v>CLOSED</v>
      </c>
      <c r="H8" s="29">
        <f>Effort!H6</f>
        <v>632.23843705291222</v>
      </c>
      <c r="I8" s="37">
        <f>Harvest!H6</f>
        <v>2060.6289800243067</v>
      </c>
      <c r="J8" s="35">
        <f>CPUE!H6</f>
        <v>3.2592592592592595</v>
      </c>
      <c r="K8" s="29">
        <f>Effort!J6</f>
        <v>1056.2522360924809</v>
      </c>
      <c r="L8" s="37">
        <f>Harvest!J6</f>
        <v>10682.551024117136</v>
      </c>
      <c r="M8" s="35">
        <f>CPUE!J6</f>
        <v>10.113636363636363</v>
      </c>
      <c r="N8" s="29" t="str">
        <f>Effort!L6</f>
        <v>CLOSED</v>
      </c>
      <c r="O8" s="37" t="str">
        <f>Harvest!L6</f>
        <v>CLOSED</v>
      </c>
      <c r="P8" s="35" t="str">
        <f>CPUE!L6</f>
        <v>CLOSED</v>
      </c>
      <c r="Q8" s="29" t="str">
        <f>Effort!N6</f>
        <v>CLOSED</v>
      </c>
      <c r="R8" s="37" t="str">
        <f>Harvest!N6</f>
        <v>CLOSED</v>
      </c>
      <c r="S8" s="35" t="str">
        <f>CPUE!N6</f>
        <v>CLOSED</v>
      </c>
      <c r="T8" s="29">
        <f>+H8+K8</f>
        <v>1688.490673145393</v>
      </c>
      <c r="U8" s="30">
        <f>+I8+L8</f>
        <v>12743.180004141443</v>
      </c>
    </row>
    <row r="9" spans="1:21" x14ac:dyDescent="0.25">
      <c r="A9" s="26">
        <v>43399</v>
      </c>
      <c r="B9" s="17">
        <f t="shared" ref="B9:B37" si="1">+A9</f>
        <v>43399</v>
      </c>
      <c r="C9" s="18">
        <v>-0.7</v>
      </c>
      <c r="D9" s="19">
        <v>0.85833333333333339</v>
      </c>
      <c r="E9" s="29" t="str">
        <f>Effort!F7</f>
        <v>CLOSED</v>
      </c>
      <c r="F9" s="37" t="str">
        <f>Harvest!F7</f>
        <v>CLOSED</v>
      </c>
      <c r="G9" s="35" t="str">
        <f>CPUE!F7</f>
        <v>CLOSED</v>
      </c>
      <c r="H9" s="29">
        <f>Effort!H7</f>
        <v>2041.562489456132</v>
      </c>
      <c r="I9" s="37">
        <f>Harvest!H7</f>
        <v>22219.796396871392</v>
      </c>
      <c r="J9" s="35">
        <f>CPUE!H7</f>
        <v>10.88372093023256</v>
      </c>
      <c r="K9" s="29" t="str">
        <f>Effort!J7</f>
        <v>CLOSED</v>
      </c>
      <c r="L9" s="37" t="str">
        <f>Harvest!J7</f>
        <v>CLOSED</v>
      </c>
      <c r="M9" s="35" t="str">
        <f>CPUE!J7</f>
        <v>CLOSED</v>
      </c>
      <c r="N9" s="29">
        <f>Effort!L7</f>
        <v>2233.1779627828964</v>
      </c>
      <c r="O9" s="37">
        <f>Harvest!L7</f>
        <v>33762.124726809838</v>
      </c>
      <c r="P9" s="35">
        <f>CPUE!L7</f>
        <v>15.118421052631577</v>
      </c>
      <c r="Q9" s="29" t="str">
        <f>Effort!N7</f>
        <v>CLOSED</v>
      </c>
      <c r="R9" s="37" t="str">
        <f>Harvest!N7</f>
        <v>CLOSED</v>
      </c>
      <c r="S9" s="35" t="str">
        <f>CPUE!N7</f>
        <v>CLOSED</v>
      </c>
      <c r="T9" s="29">
        <f>+H9+N9</f>
        <v>4274.7404522390279</v>
      </c>
      <c r="U9" s="30">
        <f>+I9+O9</f>
        <v>55981.921123681226</v>
      </c>
    </row>
    <row r="10" spans="1:21" x14ac:dyDescent="0.25">
      <c r="A10" s="26">
        <v>43400</v>
      </c>
      <c r="B10" s="17">
        <f t="shared" si="1"/>
        <v>43400</v>
      </c>
      <c r="C10" s="20">
        <v>-0.7</v>
      </c>
      <c r="D10" s="21">
        <v>0.8881944444444444</v>
      </c>
      <c r="E10" s="29" t="str">
        <f>Effort!F8</f>
        <v>CLOSED</v>
      </c>
      <c r="F10" s="37" t="str">
        <f>Harvest!F8</f>
        <v>CLOSED</v>
      </c>
      <c r="G10" s="35" t="str">
        <f>CPUE!F8</f>
        <v>CLOSED</v>
      </c>
      <c r="H10" s="29">
        <f>Effort!H8</f>
        <v>670.44800051970208</v>
      </c>
      <c r="I10" s="37">
        <f>Harvest!H8</f>
        <v>7589.9773643739845</v>
      </c>
      <c r="J10" s="35">
        <f>CPUE!H8</f>
        <v>11.32075471698113</v>
      </c>
      <c r="K10" s="29">
        <f>Effort!J8</f>
        <v>1327.3992160731027</v>
      </c>
      <c r="L10" s="37">
        <f>Harvest!J8</f>
        <v>10258.665546441509</v>
      </c>
      <c r="M10" s="35">
        <f>CPUE!J8</f>
        <v>7.7283950617283947</v>
      </c>
      <c r="N10" s="29" t="str">
        <f>Effort!L8</f>
        <v>CLOSED</v>
      </c>
      <c r="O10" s="37" t="str">
        <f>Harvest!L8</f>
        <v>CLOSED</v>
      </c>
      <c r="P10" s="35" t="str">
        <f>CPUE!L8</f>
        <v>CLOSED</v>
      </c>
      <c r="Q10" s="29" t="str">
        <f>Effort!N8</f>
        <v>CLOSED</v>
      </c>
      <c r="R10" s="37" t="str">
        <f>Harvest!N8</f>
        <v>CLOSED</v>
      </c>
      <c r="S10" s="35" t="str">
        <f>CPUE!N8</f>
        <v>CLOSED</v>
      </c>
      <c r="T10" s="29">
        <f>+H10+K10</f>
        <v>1997.8472165928047</v>
      </c>
      <c r="U10" s="30">
        <f>+I10+L10</f>
        <v>17848.642910815492</v>
      </c>
    </row>
    <row r="11" spans="1:21" x14ac:dyDescent="0.25">
      <c r="A11" s="26">
        <v>43401</v>
      </c>
      <c r="B11" s="17">
        <f t="shared" si="1"/>
        <v>43401</v>
      </c>
      <c r="C11" s="20">
        <v>-0.6</v>
      </c>
      <c r="D11" s="21">
        <v>0.92222222222222217</v>
      </c>
      <c r="E11" s="29" t="str">
        <f>Effort!F9</f>
        <v>CLOSED</v>
      </c>
      <c r="F11" s="37" t="str">
        <f>Harvest!F9</f>
        <v>CLOSED</v>
      </c>
      <c r="G11" s="35" t="str">
        <f>CPUE!F9</f>
        <v>CLOSED</v>
      </c>
      <c r="H11" s="29">
        <f>Effort!H9</f>
        <v>261.32725863921792</v>
      </c>
      <c r="I11" s="37">
        <f>Harvest!H9</f>
        <v>2770.0689415757106</v>
      </c>
      <c r="J11" s="35">
        <f>CPUE!H9</f>
        <v>10.600000000000003</v>
      </c>
      <c r="K11" s="29" t="str">
        <f>Effort!J9</f>
        <v>CLOSED</v>
      </c>
      <c r="L11" s="37" t="str">
        <f>Harvest!J9</f>
        <v>CLOSED</v>
      </c>
      <c r="M11" s="35" t="str">
        <f>CPUE!J9</f>
        <v>CLOSED</v>
      </c>
      <c r="N11" s="29">
        <f>Effort!L9</f>
        <v>668.11660370983986</v>
      </c>
      <c r="O11" s="37">
        <f>Harvest!L9</f>
        <v>3215.3111553536041</v>
      </c>
      <c r="P11" s="35">
        <f>CPUE!L9</f>
        <v>4.8125</v>
      </c>
      <c r="Q11" s="29" t="str">
        <f>Effort!N9</f>
        <v>CLOSED</v>
      </c>
      <c r="R11" s="37" t="str">
        <f>Harvest!N9</f>
        <v>CLOSED</v>
      </c>
      <c r="S11" s="35" t="str">
        <f>CPUE!N9</f>
        <v>CLOSED</v>
      </c>
      <c r="T11" s="29">
        <f>+H11+N11</f>
        <v>929.44386234905778</v>
      </c>
      <c r="U11" s="30">
        <f>+I11+O11</f>
        <v>5985.3800969293152</v>
      </c>
    </row>
    <row r="12" spans="1:21" x14ac:dyDescent="0.25">
      <c r="A12" s="317" t="s">
        <v>31</v>
      </c>
      <c r="B12" s="317"/>
      <c r="C12" s="317"/>
      <c r="D12" s="318"/>
      <c r="E12" s="33"/>
      <c r="F12" s="34"/>
      <c r="G12" s="32"/>
      <c r="H12" s="33">
        <f>SUM(H8:H11)</f>
        <v>3605.5761856679637</v>
      </c>
      <c r="I12" s="34">
        <f>SUM(I8:I11)</f>
        <v>34640.471682845389</v>
      </c>
      <c r="J12" s="32">
        <f>+I12/H12</f>
        <v>9.607471843346433</v>
      </c>
      <c r="K12" s="33">
        <f>SUM(K8:K11)</f>
        <v>2383.6514521655836</v>
      </c>
      <c r="L12" s="34">
        <f>SUM(L8:L11)</f>
        <v>20941.216570558645</v>
      </c>
      <c r="M12" s="32">
        <f>+L12/K12</f>
        <v>8.7853517977778299</v>
      </c>
      <c r="N12" s="33">
        <f>SUM(N9:N11)</f>
        <v>2901.2945664927365</v>
      </c>
      <c r="O12" s="34">
        <f>SUM(O9:O11)</f>
        <v>36977.435882163445</v>
      </c>
      <c r="P12" s="32">
        <f>+O12/N12</f>
        <v>12.745150495650652</v>
      </c>
      <c r="Q12" s="33"/>
      <c r="R12" s="34"/>
      <c r="S12" s="32"/>
      <c r="T12" s="33">
        <f>SUM(T8:T11)</f>
        <v>8890.5222043262838</v>
      </c>
      <c r="U12" s="34">
        <f>SUM(U8:U11)</f>
        <v>92559.124135567487</v>
      </c>
    </row>
    <row r="13" spans="1:21" x14ac:dyDescent="0.25">
      <c r="A13" s="36">
        <v>43412</v>
      </c>
      <c r="B13" s="17">
        <f t="shared" si="1"/>
        <v>43412</v>
      </c>
      <c r="C13" s="27">
        <v>-0.8</v>
      </c>
      <c r="D13" s="28">
        <v>0.7895833333333333</v>
      </c>
      <c r="E13" s="29" t="str">
        <f>Effort!F11</f>
        <v>CLOSED</v>
      </c>
      <c r="F13" s="37" t="str">
        <f>Harvest!F11</f>
        <v>CLOSED</v>
      </c>
      <c r="G13" s="35" t="str">
        <f>CPUE!F11</f>
        <v>CLOSED</v>
      </c>
      <c r="H13" s="29">
        <f>Effort!H11</f>
        <v>1280.6808023450167</v>
      </c>
      <c r="I13" s="37">
        <f>Harvest!H11</f>
        <v>18520.614680066396</v>
      </c>
      <c r="J13" s="35">
        <f>CPUE!H11</f>
        <v>14.461538461538462</v>
      </c>
      <c r="K13" s="29" t="str">
        <f>Effort!J11</f>
        <v>CLOSED</v>
      </c>
      <c r="L13" s="37" t="str">
        <f>Harvest!J11</f>
        <v>CLOSED</v>
      </c>
      <c r="M13" s="35" t="str">
        <f>CPUE!J11</f>
        <v>CLOSED</v>
      </c>
      <c r="N13" s="29">
        <f>Effort!L11</f>
        <v>1395.421324929335</v>
      </c>
      <c r="O13" s="37">
        <f>Harvest!L11</f>
        <v>20767.152659242456</v>
      </c>
      <c r="P13" s="35">
        <f>CPUE!L11</f>
        <v>14.882352941176471</v>
      </c>
      <c r="Q13" s="29" t="str">
        <f>Effort!N11</f>
        <v>CLOSED</v>
      </c>
      <c r="R13" s="37" t="str">
        <f>Harvest!N11</f>
        <v>CLOSED</v>
      </c>
      <c r="S13" s="35" t="str">
        <f>CPUE!N11</f>
        <v>CLOSED</v>
      </c>
      <c r="T13" s="29">
        <f>+H13+N13</f>
        <v>2676.1021272743519</v>
      </c>
      <c r="U13" s="30">
        <f>+I13+O13</f>
        <v>39287.767339308848</v>
      </c>
    </row>
    <row r="14" spans="1:21" x14ac:dyDescent="0.25">
      <c r="A14" s="36">
        <v>43413</v>
      </c>
      <c r="B14" s="17">
        <f t="shared" si="1"/>
        <v>43413</v>
      </c>
      <c r="C14" s="27">
        <v>-0.7</v>
      </c>
      <c r="D14" s="28">
        <v>0.81666666666666676</v>
      </c>
      <c r="E14" s="29" t="str">
        <f>Effort!F12</f>
        <v>CLOSED</v>
      </c>
      <c r="F14" s="37" t="str">
        <f>Harvest!F12</f>
        <v>CLOSED</v>
      </c>
      <c r="G14" s="35" t="str">
        <f>CPUE!F12</f>
        <v>CLOSED</v>
      </c>
      <c r="H14" s="29">
        <f>Effort!H12</f>
        <v>901.32581450173075</v>
      </c>
      <c r="I14" s="37">
        <f>Harvest!H12</f>
        <v>13082.880762009972</v>
      </c>
      <c r="J14" s="35">
        <f>CPUE!H12</f>
        <v>14.515151515151517</v>
      </c>
      <c r="K14" s="29">
        <f>Effort!J12</f>
        <v>1923.6392150342299</v>
      </c>
      <c r="L14" s="37">
        <f>Harvest!J12</f>
        <v>28854.588225513449</v>
      </c>
      <c r="M14" s="35">
        <f>CPUE!J12</f>
        <v>15</v>
      </c>
      <c r="N14" s="29" t="str">
        <f>Effort!L12</f>
        <v>CLOSED</v>
      </c>
      <c r="O14" s="37" t="str">
        <f>Harvest!L12</f>
        <v>CLOSED</v>
      </c>
      <c r="P14" s="35" t="str">
        <f>CPUE!L12</f>
        <v>CLOSED</v>
      </c>
      <c r="Q14" s="29" t="str">
        <f>Effort!N12</f>
        <v>CLOSED</v>
      </c>
      <c r="R14" s="37" t="str">
        <f>Harvest!N12</f>
        <v>CLOSED</v>
      </c>
      <c r="S14" s="35" t="str">
        <f>CPUE!N12</f>
        <v>CLOSED</v>
      </c>
      <c r="T14" s="29">
        <f>+H14+K14</f>
        <v>2824.9650295359606</v>
      </c>
      <c r="U14" s="30">
        <f>+I14+L14</f>
        <v>41937.468987523418</v>
      </c>
    </row>
    <row r="15" spans="1:21" x14ac:dyDescent="0.25">
      <c r="A15" s="36">
        <v>43414</v>
      </c>
      <c r="B15" s="17">
        <f t="shared" si="1"/>
        <v>43414</v>
      </c>
      <c r="C15" s="27">
        <v>-0.4</v>
      </c>
      <c r="D15" s="28">
        <v>0.84375</v>
      </c>
      <c r="E15" s="29" t="str">
        <f>Effort!F13</f>
        <v>CLOSED</v>
      </c>
      <c r="F15" s="37" t="str">
        <f>Harvest!F13</f>
        <v>CLOSED</v>
      </c>
      <c r="G15" s="35" t="str">
        <f>CPUE!F13</f>
        <v>CLOSED</v>
      </c>
      <c r="H15" s="29">
        <f>Effort!H13</f>
        <v>2386.1604651907855</v>
      </c>
      <c r="I15" s="37">
        <f>Harvest!H13</f>
        <v>31626.737013206686</v>
      </c>
      <c r="J15" s="35">
        <f>CPUE!H13</f>
        <v>13.254237288135595</v>
      </c>
      <c r="K15" s="29" t="str">
        <f>Effort!J13</f>
        <v>CLOSED</v>
      </c>
      <c r="L15" s="37" t="str">
        <f>Harvest!J13</f>
        <v>CLOSED</v>
      </c>
      <c r="M15" s="35" t="str">
        <f>CPUE!J13</f>
        <v>CLOSED</v>
      </c>
      <c r="N15" s="29">
        <f>Effort!L13</f>
        <v>2162.2595993676132</v>
      </c>
      <c r="O15" s="37">
        <f>Harvest!L13</f>
        <v>31724.956416951049</v>
      </c>
      <c r="P15" s="35">
        <f>CPUE!L13</f>
        <v>14.672131147540984</v>
      </c>
      <c r="Q15" s="29" t="str">
        <f>Effort!N13</f>
        <v>CLOSED</v>
      </c>
      <c r="R15" s="37" t="str">
        <f>Harvest!N13</f>
        <v>CLOSED</v>
      </c>
      <c r="S15" s="35" t="str">
        <f>CPUE!N13</f>
        <v>CLOSED</v>
      </c>
      <c r="T15" s="29">
        <f>+H15+N15</f>
        <v>4548.4200645583987</v>
      </c>
      <c r="U15" s="30">
        <f>+I15+O15</f>
        <v>63351.693430157735</v>
      </c>
    </row>
    <row r="16" spans="1:21" x14ac:dyDescent="0.25">
      <c r="A16" s="36">
        <v>43415</v>
      </c>
      <c r="B16" s="17">
        <f t="shared" si="1"/>
        <v>43415</v>
      </c>
      <c r="C16" s="27">
        <v>0</v>
      </c>
      <c r="D16" s="28">
        <v>0.87222222222222223</v>
      </c>
      <c r="E16" s="29" t="str">
        <f>Effort!F14</f>
        <v>CLOSED</v>
      </c>
      <c r="F16" s="37" t="str">
        <f>Harvest!F14</f>
        <v>CLOSED</v>
      </c>
      <c r="G16" s="35" t="str">
        <f>CPUE!F14</f>
        <v>CLOSED</v>
      </c>
      <c r="H16" s="29">
        <f>Effort!H14</f>
        <v>867.23855491327697</v>
      </c>
      <c r="I16" s="37">
        <f>Harvest!H14</f>
        <v>12189.853241880635</v>
      </c>
      <c r="J16" s="35">
        <f>CPUE!H14</f>
        <v>14.055940171040492</v>
      </c>
      <c r="K16" s="29">
        <f>Effort!J14</f>
        <v>1658.3252556872683</v>
      </c>
      <c r="L16" s="37">
        <f>Harvest!J14</f>
        <v>24742.212814854043</v>
      </c>
      <c r="M16" s="35">
        <f>CPUE!J14</f>
        <v>14.92</v>
      </c>
      <c r="N16" s="29" t="str">
        <f>Effort!L14</f>
        <v>CLOSED</v>
      </c>
      <c r="O16" s="37" t="str">
        <f>Harvest!L14</f>
        <v>CLOSED</v>
      </c>
      <c r="P16" s="35" t="str">
        <f>CPUE!L14</f>
        <v>CLOSED</v>
      </c>
      <c r="Q16" s="29" t="str">
        <f>Effort!N14</f>
        <v>CLOSED</v>
      </c>
      <c r="R16" s="37" t="str">
        <f>Harvest!N14</f>
        <v>CLOSED</v>
      </c>
      <c r="S16" s="35" t="str">
        <f>CPUE!N14</f>
        <v>CLOSED</v>
      </c>
      <c r="T16" s="29">
        <f>+H16+K16</f>
        <v>2525.5638106005454</v>
      </c>
      <c r="U16" s="30">
        <f>+I16+L16</f>
        <v>36932.066056734679</v>
      </c>
    </row>
    <row r="17" spans="1:21" x14ac:dyDescent="0.25">
      <c r="A17" s="317" t="s">
        <v>31</v>
      </c>
      <c r="B17" s="317"/>
      <c r="C17" s="317"/>
      <c r="D17" s="318"/>
      <c r="E17" s="33"/>
      <c r="F17" s="34"/>
      <c r="G17" s="32"/>
      <c r="H17" s="33">
        <f>SUM(H13:H16)</f>
        <v>5435.4056369508098</v>
      </c>
      <c r="I17" s="34">
        <f>SUM(I13:I16)</f>
        <v>75420.085697163682</v>
      </c>
      <c r="J17" s="32">
        <f>+I17/H17</f>
        <v>13.875705096312434</v>
      </c>
      <c r="K17" s="33">
        <f>SUM(K13:K16)</f>
        <v>3581.9644707214984</v>
      </c>
      <c r="L17" s="216">
        <f>SUM(L13:L16)</f>
        <v>53596.801040367493</v>
      </c>
      <c r="M17" s="32">
        <f>+L17/K17</f>
        <v>14.962962776002001</v>
      </c>
      <c r="N17" s="33">
        <f>SUM(N13:N16)</f>
        <v>3557.6809242969484</v>
      </c>
      <c r="O17" s="34">
        <f>SUM(O13:O16)</f>
        <v>52492.109076193505</v>
      </c>
      <c r="P17" s="32">
        <f>+O17/N17</f>
        <v>14.754585976977893</v>
      </c>
      <c r="Q17" s="33"/>
      <c r="R17" s="34"/>
      <c r="S17" s="32"/>
      <c r="T17" s="33">
        <f>SUM(T13:T16)</f>
        <v>12575.051031969258</v>
      </c>
      <c r="U17" s="34">
        <f>SUM(U13:U16)</f>
        <v>181508.99581372467</v>
      </c>
    </row>
    <row r="18" spans="1:21" x14ac:dyDescent="0.25">
      <c r="A18" s="36">
        <v>43426</v>
      </c>
      <c r="B18" s="17">
        <f t="shared" si="1"/>
        <v>43426</v>
      </c>
      <c r="C18" s="27">
        <v>-0.7</v>
      </c>
      <c r="D18" s="28">
        <v>0.74652777777777779</v>
      </c>
      <c r="E18" s="29" t="str">
        <f>Effort!F16</f>
        <v>CLOSED</v>
      </c>
      <c r="F18" s="37" t="str">
        <f>Harvest!F16</f>
        <v>CLOSED</v>
      </c>
      <c r="G18" s="35" t="str">
        <f>CPUE!F16</f>
        <v>CLOSED</v>
      </c>
      <c r="H18" s="29">
        <f>Effort!H16</f>
        <v>830.57634199829124</v>
      </c>
      <c r="I18" s="37">
        <f>Harvest!H16</f>
        <v>11448.849022962757</v>
      </c>
      <c r="J18" s="35">
        <f>CPUE!H16</f>
        <v>13.784222405634461</v>
      </c>
      <c r="K18" s="29">
        <f>Effort!J16</f>
        <v>1588.2201234121189</v>
      </c>
      <c r="L18" s="37">
        <f>Harvest!J16</f>
        <v>23238.168121503637</v>
      </c>
      <c r="M18" s="35">
        <f>CPUE!J16</f>
        <v>14.631578947368423</v>
      </c>
      <c r="N18" s="29" t="str">
        <f>Effort!L16</f>
        <v>CLOSED</v>
      </c>
      <c r="O18" s="37" t="str">
        <f>Harvest!L16</f>
        <v>CLOSED</v>
      </c>
      <c r="P18" s="35" t="str">
        <f>CPUE!L16</f>
        <v>CLOSED</v>
      </c>
      <c r="Q18" s="29" t="str">
        <f>Effort!N16</f>
        <v>CLOSED</v>
      </c>
      <c r="R18" s="37" t="str">
        <f>Harvest!N16</f>
        <v>CLOSED</v>
      </c>
      <c r="S18" s="35" t="str">
        <f>CPUE!N16</f>
        <v>CLOSED</v>
      </c>
      <c r="T18" s="29">
        <f>+H18+K18</f>
        <v>2418.7964654104103</v>
      </c>
      <c r="U18" s="30">
        <f>+I18+L18</f>
        <v>34687.017144466394</v>
      </c>
    </row>
    <row r="19" spans="1:21" x14ac:dyDescent="0.25">
      <c r="A19" s="36">
        <v>43427</v>
      </c>
      <c r="B19" s="17">
        <f t="shared" si="1"/>
        <v>43427</v>
      </c>
      <c r="C19" s="27">
        <v>-1.1000000000000001</v>
      </c>
      <c r="D19" s="28">
        <v>0.77500000000000002</v>
      </c>
      <c r="E19" s="29" t="str">
        <f>Effort!F17</f>
        <v>CLOSED</v>
      </c>
      <c r="F19" s="37" t="str">
        <f>Harvest!F17</f>
        <v>CLOSED</v>
      </c>
      <c r="G19" s="35" t="str">
        <f>CPUE!F17</f>
        <v>CLOSED</v>
      </c>
      <c r="H19" s="29">
        <f>Effort!H17</f>
        <v>2423.2725669693737</v>
      </c>
      <c r="I19" s="37">
        <f>Harvest!H17</f>
        <v>26782.2103495261</v>
      </c>
      <c r="J19" s="35">
        <f>CPUE!H17</f>
        <v>11.052083333333334</v>
      </c>
      <c r="K19" s="29" t="str">
        <f>Effort!J17</f>
        <v>CLOSED</v>
      </c>
      <c r="L19" s="37" t="str">
        <f>Harvest!J17</f>
        <v>CLOSED</v>
      </c>
      <c r="M19" s="35" t="str">
        <f>CPUE!J17</f>
        <v>CLOSED</v>
      </c>
      <c r="N19" s="29">
        <f>Effort!L17</f>
        <v>4038.1859770360866</v>
      </c>
      <c r="O19" s="37">
        <f>Harvest!L17</f>
        <v>59634.625236633925</v>
      </c>
      <c r="P19" s="35">
        <f>CPUE!L17</f>
        <v>14.767676767676768</v>
      </c>
      <c r="Q19" s="29" t="str">
        <f>Effort!N17</f>
        <v>CLOSED</v>
      </c>
      <c r="R19" s="37" t="str">
        <f>Harvest!N17</f>
        <v>CLOSED</v>
      </c>
      <c r="S19" s="35" t="str">
        <f>CPUE!N17</f>
        <v>CLOSED</v>
      </c>
      <c r="T19" s="29">
        <f>+H19+N19</f>
        <v>6461.4585440054598</v>
      </c>
      <c r="U19" s="30">
        <f>+I19+O19</f>
        <v>86416.835586160028</v>
      </c>
    </row>
    <row r="20" spans="1:21" x14ac:dyDescent="0.25">
      <c r="A20" s="36">
        <v>43428</v>
      </c>
      <c r="B20" s="17">
        <f t="shared" si="1"/>
        <v>43428</v>
      </c>
      <c r="C20" s="27">
        <v>-1.3</v>
      </c>
      <c r="D20" s="28">
        <v>0.80555555555555547</v>
      </c>
      <c r="E20" s="29" t="str">
        <f>Effort!F18</f>
        <v>CLOSED</v>
      </c>
      <c r="F20" s="37" t="str">
        <f>Harvest!F18</f>
        <v>CLOSED</v>
      </c>
      <c r="G20" s="35" t="str">
        <f>CPUE!F18</f>
        <v>CLOSED</v>
      </c>
      <c r="H20" s="29">
        <f>Effort!H18</f>
        <v>2161.5193015649434</v>
      </c>
      <c r="I20" s="37">
        <f>Harvest!H18</f>
        <v>30267.770819748097</v>
      </c>
      <c r="J20" s="35">
        <f>CPUE!H18</f>
        <v>14.003007420675903</v>
      </c>
      <c r="K20" s="29">
        <f>Effort!J18</f>
        <v>3198.5485088909131</v>
      </c>
      <c r="L20" s="37">
        <f>Harvest!J18</f>
        <v>47122.801869357994</v>
      </c>
      <c r="M20" s="35">
        <f>CPUE!J18</f>
        <v>14.732558139534886</v>
      </c>
      <c r="N20" s="29">
        <f>Effort!L18</f>
        <v>1414.6371179318728</v>
      </c>
      <c r="O20" s="37">
        <f>Harvest!L18</f>
        <v>19633.448485236298</v>
      </c>
      <c r="P20" s="35">
        <f>CPUE!L18</f>
        <v>13.878787878787881</v>
      </c>
      <c r="Q20" s="29" t="str">
        <f>Effort!N18</f>
        <v>CLOSED</v>
      </c>
      <c r="R20" s="37" t="str">
        <f>Harvest!N18</f>
        <v>CLOSED</v>
      </c>
      <c r="S20" s="35" t="str">
        <f>CPUE!N18</f>
        <v>CLOSED</v>
      </c>
      <c r="T20" s="29">
        <f>+H20+K20+N20</f>
        <v>6774.7049283877295</v>
      </c>
      <c r="U20" s="30">
        <f>+I20+L20+O20</f>
        <v>97024.021174342386</v>
      </c>
    </row>
    <row r="21" spans="1:21" x14ac:dyDescent="0.25">
      <c r="A21" s="36">
        <v>43429</v>
      </c>
      <c r="B21" s="17">
        <f t="shared" si="1"/>
        <v>43429</v>
      </c>
      <c r="C21" s="27">
        <v>-1.3</v>
      </c>
      <c r="D21" s="28">
        <v>0.83680555555555547</v>
      </c>
      <c r="E21" s="29" t="str">
        <f>Effort!F19</f>
        <v>CLOSED</v>
      </c>
      <c r="F21" s="37" t="str">
        <f>Harvest!F19</f>
        <v>CLOSED</v>
      </c>
      <c r="G21" s="35" t="str">
        <f>CPUE!F19</f>
        <v>CLOSED</v>
      </c>
      <c r="H21" s="29">
        <f>Effort!H19</f>
        <v>300.90271445655992</v>
      </c>
      <c r="I21" s="37">
        <f>Harvest!H19</f>
        <v>4513.540716848398</v>
      </c>
      <c r="J21" s="35">
        <f>CPUE!H19</f>
        <v>14.999999999999998</v>
      </c>
      <c r="K21" s="29" t="str">
        <f>Effort!J19</f>
        <v>CLOSED</v>
      </c>
      <c r="L21" s="37" t="str">
        <f>Harvest!J19</f>
        <v>CLOSED</v>
      </c>
      <c r="M21" s="35" t="str">
        <f>CPUE!J19</f>
        <v>CLOSED</v>
      </c>
      <c r="N21" s="29">
        <f>Effort!L19</f>
        <v>499.47238924369924</v>
      </c>
      <c r="O21" s="37">
        <f>Harvest!L19</f>
        <v>7321.8111605042268</v>
      </c>
      <c r="P21" s="35">
        <f>CPUE!L19</f>
        <v>14.659090909090908</v>
      </c>
      <c r="Q21" s="29" t="str">
        <f>Effort!N19</f>
        <v>CLOSED</v>
      </c>
      <c r="R21" s="37" t="str">
        <f>Harvest!N19</f>
        <v>CLOSED</v>
      </c>
      <c r="S21" s="35" t="str">
        <f>CPUE!N19</f>
        <v>CLOSED</v>
      </c>
      <c r="T21" s="29">
        <f>+H21+N21</f>
        <v>800.37510370025916</v>
      </c>
      <c r="U21" s="30">
        <f>+I21+O21</f>
        <v>11835.351877352625</v>
      </c>
    </row>
    <row r="22" spans="1:21" x14ac:dyDescent="0.25">
      <c r="A22" s="317" t="s">
        <v>31</v>
      </c>
      <c r="B22" s="317"/>
      <c r="C22" s="317"/>
      <c r="D22" s="318"/>
      <c r="E22" s="33"/>
      <c r="F22" s="34"/>
      <c r="G22" s="32"/>
      <c r="H22" s="33">
        <f>SUM(H18:H21)</f>
        <v>5716.2709249891677</v>
      </c>
      <c r="I22" s="34">
        <f>SUM(I18:I21)</f>
        <v>73012.370909085352</v>
      </c>
      <c r="J22" s="32">
        <f>+I22/H22</f>
        <v>12.772727511900376</v>
      </c>
      <c r="K22" s="33">
        <f>SUM(K18:K21)</f>
        <v>4786.7686323030321</v>
      </c>
      <c r="L22" s="34">
        <f>SUM(L18:L21)</f>
        <v>70360.969990861631</v>
      </c>
      <c r="M22" s="32">
        <f>+L22/K22</f>
        <v>14.699053870295218</v>
      </c>
      <c r="N22" s="33">
        <f>SUM(N19:N21)</f>
        <v>5952.2954842116587</v>
      </c>
      <c r="O22" s="34">
        <f>SUM(O19:O21)</f>
        <v>86589.884882374448</v>
      </c>
      <c r="P22" s="32">
        <f>+O22/N22</f>
        <v>14.547309540000549</v>
      </c>
      <c r="Q22" s="33"/>
      <c r="R22" s="34"/>
      <c r="S22" s="32"/>
      <c r="T22" s="33">
        <f>SUM(T18:T21)</f>
        <v>16455.335041503859</v>
      </c>
      <c r="U22" s="34">
        <f>SUM(U18:U21)</f>
        <v>229963.22578232142</v>
      </c>
    </row>
    <row r="23" spans="1:21" x14ac:dyDescent="0.25">
      <c r="A23" s="36">
        <v>43440</v>
      </c>
      <c r="B23" s="17">
        <f t="shared" si="1"/>
        <v>43440</v>
      </c>
      <c r="C23" s="12">
        <v>-0.7</v>
      </c>
      <c r="D23" s="86">
        <v>0.75069444444444444</v>
      </c>
      <c r="E23" s="29" t="str">
        <f>Effort!F21</f>
        <v>CLOSED</v>
      </c>
      <c r="F23" s="37" t="str">
        <f>Harvest!F21</f>
        <v>CLOSED</v>
      </c>
      <c r="G23" s="35" t="str">
        <f>CPUE!F21</f>
        <v>CLOSED</v>
      </c>
      <c r="H23" s="29">
        <f>Effort!H21</f>
        <v>1538.7037218960934</v>
      </c>
      <c r="I23" s="37">
        <f>Harvest!H21</f>
        <v>9809.2362270875947</v>
      </c>
      <c r="J23" s="35">
        <f>CPUE!H21</f>
        <v>6.375</v>
      </c>
      <c r="K23" s="29">
        <f>Effort!J21</f>
        <v>1112.2014898236332</v>
      </c>
      <c r="L23" s="37">
        <f>Harvest!J21</f>
        <v>12790.317132971781</v>
      </c>
      <c r="M23" s="35">
        <f>CPUE!J21</f>
        <v>11.499999999999998</v>
      </c>
      <c r="N23" s="29" t="str">
        <f>Effort!L21</f>
        <v>CLOSED</v>
      </c>
      <c r="O23" s="37" t="str">
        <f>Harvest!L21</f>
        <v>CLOSED</v>
      </c>
      <c r="P23" s="35" t="str">
        <f>CPUE!L21</f>
        <v>CLOSED</v>
      </c>
      <c r="Q23" s="29" t="str">
        <f>Effort!N21</f>
        <v>CLOSED</v>
      </c>
      <c r="R23" s="37" t="str">
        <f>Harvest!N21</f>
        <v>CLOSED</v>
      </c>
      <c r="S23" s="35" t="str">
        <f>CPUE!N21</f>
        <v>CLOSED</v>
      </c>
      <c r="T23" s="29">
        <f>+H23+K23</f>
        <v>2650.9052117197266</v>
      </c>
      <c r="U23" s="37">
        <f>+I23+L23</f>
        <v>22599.553360059377</v>
      </c>
    </row>
    <row r="24" spans="1:21" x14ac:dyDescent="0.25">
      <c r="A24" s="36">
        <v>43441</v>
      </c>
      <c r="B24" s="17">
        <f t="shared" si="1"/>
        <v>43441</v>
      </c>
      <c r="C24" s="12">
        <v>-0.7</v>
      </c>
      <c r="D24" s="86">
        <v>0.77777777777777779</v>
      </c>
      <c r="E24" s="29" t="str">
        <f>Effort!F22</f>
        <v>CLOSED</v>
      </c>
      <c r="F24" s="37" t="str">
        <f>Harvest!F22</f>
        <v>CLOSED</v>
      </c>
      <c r="G24" s="35" t="str">
        <f>CPUE!F22</f>
        <v>CLOSED</v>
      </c>
      <c r="H24" s="29">
        <f>Effort!H22</f>
        <v>804.41325664720341</v>
      </c>
      <c r="I24" s="37">
        <f>Harvest!H22</f>
        <v>9522.0080844982913</v>
      </c>
      <c r="J24" s="35">
        <f>CPUE!H22</f>
        <v>11.837209302325581</v>
      </c>
      <c r="K24" s="29" t="str">
        <f>Effort!J22</f>
        <v>CLOSED</v>
      </c>
      <c r="L24" s="37" t="str">
        <f>Harvest!J22</f>
        <v>CLOSED</v>
      </c>
      <c r="M24" s="35" t="str">
        <f>CPUE!J22</f>
        <v>CLOSED</v>
      </c>
      <c r="N24" s="29">
        <f>Effort!L22</f>
        <v>576.3050066757321</v>
      </c>
      <c r="O24" s="37">
        <f>Harvest!L22</f>
        <v>4694.4845335460677</v>
      </c>
      <c r="P24" s="35">
        <f>CPUE!L22</f>
        <v>8.1458333333333339</v>
      </c>
      <c r="Q24" s="29" t="str">
        <f>Effort!N22</f>
        <v>CLOSED</v>
      </c>
      <c r="R24" s="37" t="str">
        <f>Harvest!N22</f>
        <v>CLOSED</v>
      </c>
      <c r="S24" s="35" t="str">
        <f>CPUE!N22</f>
        <v>CLOSED</v>
      </c>
      <c r="T24" s="29">
        <f>+H24+N24</f>
        <v>1380.7182633229354</v>
      </c>
      <c r="U24" s="37">
        <f>+I24+O24</f>
        <v>14216.492618044358</v>
      </c>
    </row>
    <row r="25" spans="1:21" x14ac:dyDescent="0.25">
      <c r="A25" s="36">
        <v>43442</v>
      </c>
      <c r="B25" s="17">
        <f t="shared" si="1"/>
        <v>43442</v>
      </c>
      <c r="C25" s="12">
        <v>-0.6</v>
      </c>
      <c r="D25" s="86">
        <v>0.8027777777777777</v>
      </c>
      <c r="E25" s="29" t="str">
        <f>Effort!F23</f>
        <v>CLOSED</v>
      </c>
      <c r="F25" s="37" t="str">
        <f>Harvest!F23</f>
        <v>CLOSED</v>
      </c>
      <c r="G25" s="35" t="str">
        <f>CPUE!F23</f>
        <v>CLOSED</v>
      </c>
      <c r="H25" s="29">
        <f>Effort!H23</f>
        <v>948.52659990072175</v>
      </c>
      <c r="I25" s="37">
        <f>Harvest!H23</f>
        <v>12936.848904201512</v>
      </c>
      <c r="J25" s="35">
        <f>CPUE!H23</f>
        <v>13.638888888888889</v>
      </c>
      <c r="K25" s="29">
        <f>Effort!J23</f>
        <v>1667.8920270267668</v>
      </c>
      <c r="L25" s="37">
        <f>Harvest!J23</f>
        <v>21330.224796342314</v>
      </c>
      <c r="M25" s="35">
        <f>CPUE!J23</f>
        <v>12.788732394366198</v>
      </c>
      <c r="N25" s="29" t="str">
        <f>Effort!L23</f>
        <v>CLOSED</v>
      </c>
      <c r="O25" s="37" t="str">
        <f>Harvest!L23</f>
        <v>CLOSED</v>
      </c>
      <c r="P25" s="35" t="str">
        <f>CPUE!L23</f>
        <v>CLOSED</v>
      </c>
      <c r="Q25" s="29" t="str">
        <f>Effort!N23</f>
        <v>CLOSED</v>
      </c>
      <c r="R25" s="37" t="str">
        <f>Harvest!N23</f>
        <v>CLOSED</v>
      </c>
      <c r="S25" s="35" t="str">
        <f>CPUE!N23</f>
        <v>CLOSED</v>
      </c>
      <c r="T25" s="29">
        <f>+H25+K25</f>
        <v>2616.4186269274887</v>
      </c>
      <c r="U25" s="37">
        <f>+I25+L25</f>
        <v>34267.073700543828</v>
      </c>
    </row>
    <row r="26" spans="1:21" x14ac:dyDescent="0.25">
      <c r="A26" s="36">
        <v>43443</v>
      </c>
      <c r="B26" s="17">
        <f t="shared" si="1"/>
        <v>43443</v>
      </c>
      <c r="C26" s="12">
        <v>-0.4</v>
      </c>
      <c r="D26" s="86">
        <v>0.82847222222222217</v>
      </c>
      <c r="E26" s="29" t="str">
        <f>Effort!F24</f>
        <v>CLOSED</v>
      </c>
      <c r="F26" s="37" t="str">
        <f>Harvest!F24</f>
        <v>CLOSED</v>
      </c>
      <c r="G26" s="35" t="str">
        <f>CPUE!F24</f>
        <v>CLOSED</v>
      </c>
      <c r="H26" s="29">
        <f>Effort!H24</f>
        <v>132.87786081505945</v>
      </c>
      <c r="I26" s="37">
        <f>Harvest!H24</f>
        <v>762.29930678113033</v>
      </c>
      <c r="J26" s="35">
        <f>CPUE!H24</f>
        <v>5.7368421052631566</v>
      </c>
      <c r="K26" s="29" t="str">
        <f>Effort!J24</f>
        <v>CLOSED</v>
      </c>
      <c r="L26" s="37" t="str">
        <f>Harvest!J24</f>
        <v>CLOSED</v>
      </c>
      <c r="M26" s="35" t="str">
        <f>CPUE!J24</f>
        <v>CLOSED</v>
      </c>
      <c r="N26" s="29">
        <f>Effort!L24</f>
        <v>226.07677579663562</v>
      </c>
      <c r="O26" s="37">
        <f>Harvest!L24</f>
        <v>2003.8623309247246</v>
      </c>
      <c r="P26" s="35">
        <f>CPUE!L24</f>
        <v>8.8636363636363633</v>
      </c>
      <c r="Q26" s="29" t="str">
        <f>Effort!N24</f>
        <v>CLOSED</v>
      </c>
      <c r="R26" s="37" t="str">
        <f>Harvest!N24</f>
        <v>CLOSED</v>
      </c>
      <c r="S26" s="35" t="str">
        <f>CPUE!N24</f>
        <v>CLOSED</v>
      </c>
      <c r="T26" s="29">
        <f>+H26+N26</f>
        <v>358.95463661169504</v>
      </c>
      <c r="U26" s="37">
        <f>+I26+O26</f>
        <v>2766.1616377058549</v>
      </c>
    </row>
    <row r="27" spans="1:21" x14ac:dyDescent="0.25">
      <c r="A27" s="317" t="s">
        <v>31</v>
      </c>
      <c r="B27" s="317"/>
      <c r="C27" s="317"/>
      <c r="D27" s="318"/>
      <c r="E27" s="33"/>
      <c r="F27" s="34"/>
      <c r="G27" s="32"/>
      <c r="H27" s="33">
        <f>SUM(H23:H26)</f>
        <v>3424.5214392590779</v>
      </c>
      <c r="I27" s="34">
        <f>SUM(I23:I26)</f>
        <v>33030.392522568531</v>
      </c>
      <c r="J27" s="32">
        <f>+I27/H27</f>
        <v>9.6452579165966377</v>
      </c>
      <c r="K27" s="33">
        <f>SUM(K23:K26)</f>
        <v>2780.0935168504002</v>
      </c>
      <c r="L27" s="34">
        <f>SUM(L23:L26)</f>
        <v>34120.541929314095</v>
      </c>
      <c r="M27" s="32">
        <f>+L27/K27</f>
        <v>12.273163374723325</v>
      </c>
      <c r="N27" s="33">
        <f>SUM(N24:N26)</f>
        <v>802.38178247236772</v>
      </c>
      <c r="O27" s="34">
        <f>SUM(O24:O26)</f>
        <v>6698.3468644707918</v>
      </c>
      <c r="P27" s="32">
        <f>+O27/N27</f>
        <v>8.3480794439665242</v>
      </c>
      <c r="Q27" s="33"/>
      <c r="R27" s="34"/>
      <c r="S27" s="32"/>
      <c r="T27" s="33">
        <f>SUM(T23:T26)</f>
        <v>7006.9967385818454</v>
      </c>
      <c r="U27" s="34">
        <f>SUM(U23:U26)</f>
        <v>73849.281316353416</v>
      </c>
    </row>
    <row r="28" spans="1:21" x14ac:dyDescent="0.25">
      <c r="A28" s="36">
        <v>43454</v>
      </c>
      <c r="B28" s="17">
        <f t="shared" si="1"/>
        <v>43454</v>
      </c>
      <c r="C28" s="12">
        <v>-0.3</v>
      </c>
      <c r="D28" s="86">
        <v>0.70208333333333339</v>
      </c>
      <c r="E28" s="29" t="str">
        <f>Effort!F26</f>
        <v>CLOSED</v>
      </c>
      <c r="F28" s="37" t="str">
        <f>Harvest!F26</f>
        <v>CLOSED</v>
      </c>
      <c r="G28" s="35" t="str">
        <f>CPUE!F26</f>
        <v>CLOSED</v>
      </c>
      <c r="H28" s="29">
        <f>Effort!H26</f>
        <v>397.64769054964506</v>
      </c>
      <c r="I28" s="37">
        <f>Harvest!H26</f>
        <v>1892.8030070163104</v>
      </c>
      <c r="J28" s="35">
        <f>CPUE!H26</f>
        <v>4.76</v>
      </c>
      <c r="K28" s="29" t="str">
        <f>Effort!J26</f>
        <v>CLOSED</v>
      </c>
      <c r="L28" s="37" t="str">
        <f>Harvest!J26</f>
        <v>CLOSED</v>
      </c>
      <c r="M28" s="35" t="str">
        <f>CPUE!J26</f>
        <v>CLOSED</v>
      </c>
      <c r="N28" s="29">
        <f>Effort!L26</f>
        <v>280.13746802135654</v>
      </c>
      <c r="O28" s="37">
        <f>Harvest!L26</f>
        <v>1142.9608695271349</v>
      </c>
      <c r="P28" s="35">
        <f>CPUE!L26</f>
        <v>4.080000000000001</v>
      </c>
      <c r="Q28" s="29" t="str">
        <f>Effort!N26</f>
        <v>CLOSED</v>
      </c>
      <c r="R28" s="37" t="str">
        <f>Harvest!N26</f>
        <v>CLOSED</v>
      </c>
      <c r="S28" s="35" t="str">
        <f>CPUE!N26</f>
        <v>CLOSED</v>
      </c>
      <c r="T28" s="29">
        <f>+H28+N28</f>
        <v>677.7851585710016</v>
      </c>
      <c r="U28" s="37">
        <f>+I28+O28</f>
        <v>3035.7638765434453</v>
      </c>
    </row>
    <row r="29" spans="1:21" x14ac:dyDescent="0.25">
      <c r="A29" s="36">
        <v>43455</v>
      </c>
      <c r="B29" s="17">
        <f t="shared" si="1"/>
        <v>43455</v>
      </c>
      <c r="C29" s="12">
        <v>-1</v>
      </c>
      <c r="D29" s="86">
        <v>0.73263888888888884</v>
      </c>
      <c r="E29" s="29" t="str">
        <f>Effort!F27</f>
        <v>CLOSED</v>
      </c>
      <c r="F29" s="37" t="str">
        <f>Harvest!F27</f>
        <v>CLOSED</v>
      </c>
      <c r="G29" s="35" t="str">
        <f>CPUE!F27</f>
        <v>CLOSED</v>
      </c>
      <c r="H29" s="29">
        <f>Effort!H27</f>
        <v>1183.6581520643404</v>
      </c>
      <c r="I29" s="37">
        <f>Harvest!H27</f>
        <v>17388.104966240942</v>
      </c>
      <c r="J29" s="35">
        <f>CPUE!H27</f>
        <v>14.690140845070422</v>
      </c>
      <c r="K29" s="29">
        <f>Effort!J27</f>
        <v>1681.3143733961617</v>
      </c>
      <c r="L29" s="37">
        <f>Harvest!J27</f>
        <v>25219.715600942425</v>
      </c>
      <c r="M29" s="35">
        <f>CPUE!J27</f>
        <v>15</v>
      </c>
      <c r="N29" s="29" t="str">
        <f>Effort!L27</f>
        <v>CLOSED</v>
      </c>
      <c r="O29" s="37" t="str">
        <f>Harvest!L27</f>
        <v>CLOSED</v>
      </c>
      <c r="P29" s="35" t="str">
        <f>CPUE!L27</f>
        <v>CLOSED</v>
      </c>
      <c r="Q29" s="29" t="str">
        <f>Effort!N27</f>
        <v>CLOSED</v>
      </c>
      <c r="R29" s="37" t="str">
        <f>Harvest!N27</f>
        <v>CLOSED</v>
      </c>
      <c r="S29" s="35" t="str">
        <f>CPUE!N27</f>
        <v>CLOSED</v>
      </c>
      <c r="T29" s="29">
        <f>+H29+K29</f>
        <v>2864.9725254605019</v>
      </c>
      <c r="U29" s="37">
        <f>+I29+L29</f>
        <v>42607.820567183371</v>
      </c>
    </row>
    <row r="30" spans="1:21" x14ac:dyDescent="0.25">
      <c r="A30" s="36">
        <v>43456</v>
      </c>
      <c r="B30" s="17">
        <f t="shared" si="1"/>
        <v>43456</v>
      </c>
      <c r="C30" s="12">
        <v>-1.4</v>
      </c>
      <c r="D30" s="86">
        <v>0.76388888888888884</v>
      </c>
      <c r="E30" s="29">
        <f>Effort!F28</f>
        <v>1777.1929126831938</v>
      </c>
      <c r="F30" s="37">
        <f>Harvest!F28</f>
        <v>3998.6840535371862</v>
      </c>
      <c r="G30" s="35">
        <f>CPUE!F28</f>
        <v>2.25</v>
      </c>
      <c r="H30" s="29">
        <f>Effort!H28</f>
        <v>709.5967774456492</v>
      </c>
      <c r="I30" s="37">
        <f>Harvest!H28</f>
        <v>363.89578330546112</v>
      </c>
      <c r="J30" s="35">
        <f>CPUE!H28</f>
        <v>0.51282051282051277</v>
      </c>
      <c r="K30" s="29" t="str">
        <f>Effort!J28</f>
        <v>CLOSED</v>
      </c>
      <c r="L30" s="37" t="str">
        <f>Harvest!J28</f>
        <v>CLOSED</v>
      </c>
      <c r="M30" s="35" t="str">
        <f>CPUE!J28</f>
        <v>CLOSED</v>
      </c>
      <c r="N30" s="29">
        <f>Effort!L28</f>
        <v>881.01386968416227</v>
      </c>
      <c r="O30" s="37">
        <f>Harvest!L28</f>
        <v>4055.9883811874633</v>
      </c>
      <c r="P30" s="35">
        <f>CPUE!L28</f>
        <v>4.6037735849056594</v>
      </c>
      <c r="Q30" s="29" t="str">
        <f>Effort!N28</f>
        <v>CLOSED</v>
      </c>
      <c r="R30" s="37" t="str">
        <f>Harvest!N28</f>
        <v>CLOSED</v>
      </c>
      <c r="S30" s="35" t="str">
        <f>CPUE!N28</f>
        <v>CLOSED</v>
      </c>
      <c r="T30" s="29">
        <f>+E30+H30+N30</f>
        <v>3367.8035598130054</v>
      </c>
      <c r="U30" s="37">
        <f>+F30+I30+O30</f>
        <v>8418.5682180301119</v>
      </c>
    </row>
    <row r="31" spans="1:21" x14ac:dyDescent="0.25">
      <c r="A31" s="36">
        <v>43457</v>
      </c>
      <c r="B31" s="17">
        <f t="shared" si="1"/>
        <v>43457</v>
      </c>
      <c r="C31" s="12">
        <v>-1.6</v>
      </c>
      <c r="D31" s="86">
        <v>0.79513888888888884</v>
      </c>
      <c r="E31" s="29" t="str">
        <f>Effort!F29</f>
        <v>CLOSED</v>
      </c>
      <c r="F31" s="37" t="str">
        <f>Harvest!F29</f>
        <v>CLOSED</v>
      </c>
      <c r="G31" s="35" t="str">
        <f>CPUE!F29</f>
        <v>CLOSED</v>
      </c>
      <c r="H31" s="29">
        <f>Effort!H29</f>
        <v>587.93506482681767</v>
      </c>
      <c r="I31" s="37">
        <f>Harvest!H29</f>
        <v>1872.682058337271</v>
      </c>
      <c r="J31" s="35">
        <f>CPUE!H29</f>
        <v>3.1851851851851851</v>
      </c>
      <c r="K31" s="29">
        <f>Effort!J29</f>
        <v>1074.4421891105458</v>
      </c>
      <c r="L31" s="37">
        <f>Harvest!J29</f>
        <v>7628.5395426848745</v>
      </c>
      <c r="M31" s="35">
        <f>CPUE!J29</f>
        <v>7.1</v>
      </c>
      <c r="N31" s="29" t="str">
        <f>Effort!L29</f>
        <v>CLOSED</v>
      </c>
      <c r="O31" s="37" t="str">
        <f>Harvest!L29</f>
        <v>CLOSED</v>
      </c>
      <c r="P31" s="35" t="str">
        <f>CPUE!L29</f>
        <v>CLOSED</v>
      </c>
      <c r="Q31" s="29" t="str">
        <f>Effort!N29</f>
        <v>CLOSED</v>
      </c>
      <c r="R31" s="37" t="str">
        <f>Harvest!N29</f>
        <v>CLOSED</v>
      </c>
      <c r="S31" s="35" t="str">
        <f>CPUE!N29</f>
        <v>CLOSED</v>
      </c>
      <c r="T31" s="29">
        <f>+H31+K31</f>
        <v>1662.3772539373635</v>
      </c>
      <c r="U31" s="37">
        <f>+I31+L31</f>
        <v>9501.2216010221455</v>
      </c>
    </row>
    <row r="32" spans="1:21" x14ac:dyDescent="0.25">
      <c r="A32" s="317" t="s">
        <v>31</v>
      </c>
      <c r="B32" s="317"/>
      <c r="C32" s="317"/>
      <c r="D32" s="318"/>
      <c r="E32" s="33">
        <f>SUM(E30:E31)</f>
        <v>1777.1929126831938</v>
      </c>
      <c r="F32" s="34">
        <f>SUM(F30:F31)</f>
        <v>3998.6840535371862</v>
      </c>
      <c r="G32" s="32">
        <f>+F32/E32</f>
        <v>2.25</v>
      </c>
      <c r="H32" s="33">
        <f>SUM(H28:H31)</f>
        <v>2878.8376848864523</v>
      </c>
      <c r="I32" s="34">
        <f>SUM(I28:I31)</f>
        <v>21517.485814899988</v>
      </c>
      <c r="J32" s="32">
        <f>+I32/H32</f>
        <v>7.4743657580502614</v>
      </c>
      <c r="K32" s="33">
        <f>SUM(K29:K31)</f>
        <v>2755.7565625067073</v>
      </c>
      <c r="L32" s="34">
        <f>SUM(L29:L31)</f>
        <v>32848.255143627299</v>
      </c>
      <c r="M32" s="32">
        <f>+L32/K32</f>
        <v>11.919868246180526</v>
      </c>
      <c r="N32" s="33">
        <f>SUM(N28:N31)</f>
        <v>1161.1513377055189</v>
      </c>
      <c r="O32" s="34">
        <f>SUM(O28:O31)</f>
        <v>5198.9492507145987</v>
      </c>
      <c r="P32" s="32">
        <f>+O32/N32</f>
        <v>4.4774088285407556</v>
      </c>
      <c r="Q32" s="33"/>
      <c r="R32" s="34"/>
      <c r="S32" s="32"/>
      <c r="T32" s="33">
        <f>SUM(T28:T31)</f>
        <v>8572.9384977818718</v>
      </c>
      <c r="U32" s="34">
        <f>SUM(U28:U31)</f>
        <v>63563.374262779078</v>
      </c>
    </row>
    <row r="33" spans="1:529" x14ac:dyDescent="0.25">
      <c r="A33" s="36">
        <v>43467</v>
      </c>
      <c r="B33" s="17">
        <f t="shared" si="1"/>
        <v>43467</v>
      </c>
      <c r="C33" s="12">
        <v>0.2</v>
      </c>
      <c r="D33" s="86">
        <v>0.68194444444444446</v>
      </c>
      <c r="E33" s="29" t="str">
        <f>Effort!F31</f>
        <v>CLOSED</v>
      </c>
      <c r="F33" s="37" t="str">
        <f>Harvest!F31</f>
        <v>CLOSED</v>
      </c>
      <c r="G33" s="35" t="str">
        <f>CPUE!F31</f>
        <v>CLOSED</v>
      </c>
      <c r="H33" s="29">
        <f>Effort!H31</f>
        <v>1358.3299241579796</v>
      </c>
      <c r="I33" s="37">
        <f>Harvest!H31</f>
        <v>15541.821457807582</v>
      </c>
      <c r="J33" s="35">
        <f>CPUE!H31</f>
        <v>11.44186046511628</v>
      </c>
      <c r="K33" s="29" t="str">
        <f>Effort!J31</f>
        <v>CLOSED</v>
      </c>
      <c r="L33" s="37" t="str">
        <f>Harvest!J31</f>
        <v>CLOSED</v>
      </c>
      <c r="M33" s="35" t="str">
        <f>CPUE!J31</f>
        <v>CLOSED</v>
      </c>
      <c r="N33" s="29" t="str">
        <f>Effort!L31</f>
        <v>CLOSED</v>
      </c>
      <c r="O33" s="37" t="str">
        <f>Harvest!L31</f>
        <v>CLOSED</v>
      </c>
      <c r="P33" s="35" t="str">
        <f>CPUE!L31</f>
        <v>CLOSED</v>
      </c>
      <c r="Q33" s="29" t="str">
        <f>Effort!N31</f>
        <v>CLOSED</v>
      </c>
      <c r="R33" s="37" t="str">
        <f>Harvest!N31</f>
        <v>CLOSED</v>
      </c>
      <c r="S33" s="35" t="str">
        <f>CPUE!N31</f>
        <v>CLOSED</v>
      </c>
      <c r="T33" s="29">
        <f>+H33</f>
        <v>1358.3299241579796</v>
      </c>
      <c r="U33" s="37">
        <f>+I33</f>
        <v>15541.821457807582</v>
      </c>
    </row>
    <row r="34" spans="1:529" x14ac:dyDescent="0.25">
      <c r="A34" s="36">
        <v>43468</v>
      </c>
      <c r="B34" s="17">
        <f t="shared" si="1"/>
        <v>43468</v>
      </c>
      <c r="C34" s="12">
        <v>-0.2</v>
      </c>
      <c r="D34" s="86">
        <v>0.71250000000000002</v>
      </c>
      <c r="E34" s="29" t="str">
        <f>Effort!F32</f>
        <v>CLOSED</v>
      </c>
      <c r="F34" s="37" t="str">
        <f>Harvest!F32</f>
        <v>CLOSED</v>
      </c>
      <c r="G34" s="35" t="str">
        <f>CPUE!F32</f>
        <v>CLOSED</v>
      </c>
      <c r="H34" s="29">
        <f>Effort!H32</f>
        <v>232.72429649394869</v>
      </c>
      <c r="I34" s="37">
        <f>Harvest!H32</f>
        <v>210.56007778023928</v>
      </c>
      <c r="J34" s="35">
        <f>CPUE!H32</f>
        <v>0.90476190476190477</v>
      </c>
      <c r="K34" s="29" t="str">
        <f>Effort!J32</f>
        <v>CLOSED</v>
      </c>
      <c r="L34" s="37" t="str">
        <f>Harvest!J32</f>
        <v>CLOSED</v>
      </c>
      <c r="M34" s="35" t="str">
        <f>CPUE!J32</f>
        <v>CLOSED</v>
      </c>
      <c r="N34" s="29" t="str">
        <f>Effort!L32</f>
        <v>CLOSED</v>
      </c>
      <c r="O34" s="37" t="str">
        <f>Harvest!L32</f>
        <v>CLOSED</v>
      </c>
      <c r="P34" s="35" t="str">
        <f>CPUE!L32</f>
        <v>CLOSED</v>
      </c>
      <c r="Q34" s="29" t="str">
        <f>Effort!N32</f>
        <v>CLOSED</v>
      </c>
      <c r="R34" s="37" t="str">
        <f>Harvest!N32</f>
        <v>CLOSED</v>
      </c>
      <c r="S34" s="35" t="str">
        <f>CPUE!N32</f>
        <v>CLOSED</v>
      </c>
      <c r="T34" s="29">
        <f>+H34</f>
        <v>232.72429649394869</v>
      </c>
      <c r="U34" s="37">
        <f>+I34</f>
        <v>210.56007778023928</v>
      </c>
    </row>
    <row r="35" spans="1:529" x14ac:dyDescent="0.25">
      <c r="A35" s="36">
        <v>43469</v>
      </c>
      <c r="B35" s="17">
        <f t="shared" si="1"/>
        <v>43469</v>
      </c>
      <c r="C35" s="12">
        <v>-0.4</v>
      </c>
      <c r="D35" s="86">
        <v>0.7402777777777777</v>
      </c>
      <c r="E35" s="29" t="str">
        <f>Effort!F33</f>
        <v>CLOSED</v>
      </c>
      <c r="F35" s="37" t="str">
        <f>Harvest!F33</f>
        <v>CLOSED</v>
      </c>
      <c r="G35" s="35" t="str">
        <f>CPUE!F33</f>
        <v>CLOSED</v>
      </c>
      <c r="H35" s="29">
        <f>Effort!H33</f>
        <v>723.21630896317242</v>
      </c>
      <c r="I35" s="37">
        <f>Harvest!H33</f>
        <v>2071.9169932458453</v>
      </c>
      <c r="J35" s="35">
        <f>CPUE!H33</f>
        <v>2.8648648648648649</v>
      </c>
      <c r="K35" s="29" t="str">
        <f>Effort!J33</f>
        <v>CLOSED</v>
      </c>
      <c r="L35" s="37" t="str">
        <f>Harvest!J33</f>
        <v>CLOSED</v>
      </c>
      <c r="M35" s="35" t="str">
        <f>CPUE!J33</f>
        <v>CLOSED</v>
      </c>
      <c r="N35" s="29">
        <f>Effort!L33</f>
        <v>931.3652227568449</v>
      </c>
      <c r="O35" s="37">
        <f>Harvest!L33</f>
        <v>9123.1457047318218</v>
      </c>
      <c r="P35" s="35">
        <f>CPUE!L33</f>
        <v>9.795454545454545</v>
      </c>
      <c r="Q35" s="29" t="str">
        <f>Effort!N33</f>
        <v>CLOSED</v>
      </c>
      <c r="R35" s="37" t="str">
        <f>Harvest!N33</f>
        <v>CLOSED</v>
      </c>
      <c r="S35" s="35" t="str">
        <f>CPUE!N33</f>
        <v>CLOSED</v>
      </c>
      <c r="T35" s="29">
        <f>+H35+N35</f>
        <v>1654.5815317200172</v>
      </c>
      <c r="U35" s="37">
        <f>+I35+O35</f>
        <v>11195.062697977668</v>
      </c>
    </row>
    <row r="36" spans="1:529" x14ac:dyDescent="0.25">
      <c r="A36" s="36">
        <v>43470</v>
      </c>
      <c r="B36" s="17">
        <f t="shared" si="1"/>
        <v>43470</v>
      </c>
      <c r="C36" s="12">
        <v>-0.4</v>
      </c>
      <c r="D36" s="86">
        <v>0.76597222222222217</v>
      </c>
      <c r="E36" s="29" t="str">
        <f>Effort!F34</f>
        <v>CLOSED</v>
      </c>
      <c r="F36" s="37" t="str">
        <f>Harvest!F34</f>
        <v>CLOSED</v>
      </c>
      <c r="G36" s="35" t="str">
        <f>CPUE!F34</f>
        <v>CLOSED</v>
      </c>
      <c r="H36" s="29">
        <f>Effort!H34</f>
        <v>667.93404174661259</v>
      </c>
      <c r="I36" s="37">
        <f>Harvest!H34</f>
        <v>445.28936116440832</v>
      </c>
      <c r="J36" s="35">
        <f>CPUE!H34</f>
        <v>0.66666666666666652</v>
      </c>
      <c r="K36" s="29">
        <f>Effort!J34</f>
        <v>1448.5191219377602</v>
      </c>
      <c r="L36" s="37">
        <f>Harvest!J34</f>
        <v>11861.458470207321</v>
      </c>
      <c r="M36" s="35">
        <f>CPUE!J34</f>
        <v>8.1886792452830193</v>
      </c>
      <c r="N36" s="29" t="str">
        <f>Effort!L34</f>
        <v>CLOSED</v>
      </c>
      <c r="O36" s="37" t="str">
        <f>Harvest!L34</f>
        <v>CLOSED</v>
      </c>
      <c r="P36" s="35" t="str">
        <f>CPUE!L34</f>
        <v>CLOSED</v>
      </c>
      <c r="Q36" s="29" t="str">
        <f>Effort!N34</f>
        <v>CLOSED</v>
      </c>
      <c r="R36" s="37" t="str">
        <f>Harvest!N34</f>
        <v>CLOSED</v>
      </c>
      <c r="S36" s="35" t="str">
        <f>CPUE!N34</f>
        <v>CLOSED</v>
      </c>
      <c r="T36" s="29">
        <f>+H36+K36</f>
        <v>2116.4531636843731</v>
      </c>
      <c r="U36" s="37">
        <f>+I36+L36</f>
        <v>12306.747831371729</v>
      </c>
    </row>
    <row r="37" spans="1:529" x14ac:dyDescent="0.25">
      <c r="A37" s="36">
        <v>43471</v>
      </c>
      <c r="B37" s="17">
        <f t="shared" si="1"/>
        <v>43471</v>
      </c>
      <c r="C37" s="12">
        <v>-0.4</v>
      </c>
      <c r="D37" s="86">
        <v>0.7909722222222223</v>
      </c>
      <c r="E37" s="29" t="str">
        <f>Effort!F35</f>
        <v>CLOSED</v>
      </c>
      <c r="F37" s="37" t="str">
        <f>Harvest!F35</f>
        <v>CLOSED</v>
      </c>
      <c r="G37" s="35" t="str">
        <f>CPUE!F35</f>
        <v>CLOSED</v>
      </c>
      <c r="H37" s="29">
        <f>Effort!H35</f>
        <v>142.90088381207374</v>
      </c>
      <c r="I37" s="37">
        <f>Harvest!H35</f>
        <v>1220.1537002415525</v>
      </c>
      <c r="J37" s="35">
        <f>CPUE!H35</f>
        <v>8.5384615384615365</v>
      </c>
      <c r="K37" s="29" t="str">
        <f>Effort!J35</f>
        <v>CLOSED</v>
      </c>
      <c r="L37" s="37" t="str">
        <f>Harvest!J35</f>
        <v>CLOSED</v>
      </c>
      <c r="M37" s="35" t="str">
        <f>CPUE!J35</f>
        <v>CLOSED</v>
      </c>
      <c r="N37" s="29">
        <f>Effort!L35</f>
        <v>95.964568088884249</v>
      </c>
      <c r="O37" s="37">
        <f>Harvest!L35</f>
        <v>1407.4803319703024</v>
      </c>
      <c r="P37" s="35">
        <f>CPUE!L35</f>
        <v>14.666666666666668</v>
      </c>
      <c r="Q37" s="29" t="str">
        <f>Effort!N35</f>
        <v>CLOSED</v>
      </c>
      <c r="R37" s="37" t="str">
        <f>Harvest!N35</f>
        <v>CLOSED</v>
      </c>
      <c r="S37" s="35" t="str">
        <f>CPUE!N35</f>
        <v>CLOSED</v>
      </c>
      <c r="T37" s="29">
        <f>+H37+N37</f>
        <v>238.86545190095799</v>
      </c>
      <c r="U37" s="37">
        <f>+I37+O37</f>
        <v>2627.6340322118549</v>
      </c>
      <c r="TI37" t="s">
        <v>52</v>
      </c>
    </row>
    <row r="38" spans="1:529" x14ac:dyDescent="0.25">
      <c r="A38" s="317" t="s">
        <v>31</v>
      </c>
      <c r="B38" s="317"/>
      <c r="C38" s="317"/>
      <c r="D38" s="318"/>
      <c r="E38" s="33"/>
      <c r="F38" s="34"/>
      <c r="G38" s="32"/>
      <c r="H38" s="33">
        <f>SUM(H33:H37)</f>
        <v>3125.105455173787</v>
      </c>
      <c r="I38" s="34">
        <f>SUM(I33:I37)</f>
        <v>19489.741590239628</v>
      </c>
      <c r="J38" s="32">
        <f>+I38/H38</f>
        <v>6.236506853864169</v>
      </c>
      <c r="K38" s="33">
        <f>SUM(K36:K37)</f>
        <v>1448.5191219377602</v>
      </c>
      <c r="L38" s="34">
        <f>SUM(L36:L37)</f>
        <v>11861.458470207321</v>
      </c>
      <c r="M38" s="32">
        <f>+L38/K38</f>
        <v>8.1886792452830193</v>
      </c>
      <c r="N38" s="33">
        <f>SUM(N35:N37)</f>
        <v>1027.3297908457291</v>
      </c>
      <c r="O38" s="34">
        <f>SUM(O35:O37)</f>
        <v>10530.626036702124</v>
      </c>
      <c r="P38" s="32">
        <f>+O38/N38</f>
        <v>10.250482494071347</v>
      </c>
      <c r="Q38" s="33"/>
      <c r="R38" s="34"/>
      <c r="S38" s="32"/>
      <c r="T38" s="33">
        <f>SUM(T33:T37)</f>
        <v>5600.9543679572762</v>
      </c>
      <c r="U38" s="34">
        <f>SUM(U33:U37)</f>
        <v>41881.826097149074</v>
      </c>
    </row>
    <row r="39" spans="1:529" x14ac:dyDescent="0.25">
      <c r="A39" s="36">
        <v>43482</v>
      </c>
      <c r="B39" s="17">
        <v>43482</v>
      </c>
      <c r="C39" s="12">
        <v>0.4</v>
      </c>
      <c r="D39" s="86">
        <v>0.65208333333333335</v>
      </c>
      <c r="E39" s="29" t="str">
        <f>Effort!F37</f>
        <v>CLOSED</v>
      </c>
      <c r="F39" s="37" t="str">
        <f>Harvest!F37</f>
        <v>CLOSED</v>
      </c>
      <c r="G39" s="35" t="str">
        <f>CPUE!F37</f>
        <v>CLOSED</v>
      </c>
      <c r="H39" s="29">
        <f>Effort!H37</f>
        <v>760.1977886971099</v>
      </c>
      <c r="I39" s="37">
        <f>Harvest!H37</f>
        <v>1628.995261493807</v>
      </c>
      <c r="J39" s="35">
        <f>CPUE!H37</f>
        <v>2.1428571428571428</v>
      </c>
      <c r="K39" s="29" t="str">
        <f>Effort!J37</f>
        <v>CLOSED</v>
      </c>
      <c r="L39" s="37" t="str">
        <f>Harvest!J37</f>
        <v>CLOSED</v>
      </c>
      <c r="M39" s="35" t="str">
        <f>CPUE!J37</f>
        <v>CLOSED</v>
      </c>
      <c r="N39" s="29" t="str">
        <f>Effort!L37</f>
        <v>CLOSED</v>
      </c>
      <c r="O39" s="37" t="str">
        <f>Harvest!L37</f>
        <v>CLOSED</v>
      </c>
      <c r="P39" s="35" t="str">
        <f>CPUE!L37</f>
        <v>CLOSED</v>
      </c>
      <c r="Q39" s="29" t="str">
        <f>Effort!N37</f>
        <v>CLOSED</v>
      </c>
      <c r="R39" s="37" t="str">
        <f>Harvest!N37</f>
        <v>CLOSED</v>
      </c>
      <c r="S39" s="35" t="str">
        <f>CPUE!N37</f>
        <v>CLOSED</v>
      </c>
      <c r="T39" s="29">
        <f>+H39</f>
        <v>760.1977886971099</v>
      </c>
      <c r="U39" s="37">
        <f>+I39</f>
        <v>1628.995261493807</v>
      </c>
    </row>
    <row r="40" spans="1:529" x14ac:dyDescent="0.25">
      <c r="A40" s="36">
        <v>43483</v>
      </c>
      <c r="B40" s="17">
        <v>43483</v>
      </c>
      <c r="C40" s="12">
        <v>-0.4</v>
      </c>
      <c r="D40" s="86">
        <v>0.6875</v>
      </c>
      <c r="E40" s="29" t="str">
        <f>Effort!F38</f>
        <v>CLOSED</v>
      </c>
      <c r="F40" s="37" t="str">
        <f>Harvest!F38</f>
        <v>CLOSED</v>
      </c>
      <c r="G40" s="35" t="str">
        <f>CPUE!F38</f>
        <v>CLOSED</v>
      </c>
      <c r="H40" s="29">
        <f>Effort!H38</f>
        <v>751.23610744824146</v>
      </c>
      <c r="I40" s="37">
        <f>Harvest!H38</f>
        <v>5347.033470661012</v>
      </c>
      <c r="J40" s="35">
        <f>CPUE!H38</f>
        <v>7.1176470588235281</v>
      </c>
      <c r="K40" s="29" t="str">
        <f>Effort!J38</f>
        <v>CLOSED</v>
      </c>
      <c r="L40" s="37" t="str">
        <f>Harvest!J38</f>
        <v>CLOSED</v>
      </c>
      <c r="M40" s="35" t="str">
        <f>CPUE!J38</f>
        <v>CLOSED</v>
      </c>
      <c r="N40" s="29" t="str">
        <f>Effort!L38</f>
        <v>CLOSED</v>
      </c>
      <c r="O40" s="37" t="str">
        <f>Harvest!L38</f>
        <v>CLOSED</v>
      </c>
      <c r="P40" s="35" t="str">
        <f>CPUE!L38</f>
        <v>CLOSED</v>
      </c>
      <c r="Q40" s="29" t="str">
        <f>Effort!N38</f>
        <v>CLOSED</v>
      </c>
      <c r="R40" s="37" t="str">
        <f>Harvest!N38</f>
        <v>CLOSED</v>
      </c>
      <c r="S40" s="35" t="str">
        <f>CPUE!N38</f>
        <v>CLOSED</v>
      </c>
      <c r="T40" s="29">
        <f>+H40</f>
        <v>751.23610744824146</v>
      </c>
      <c r="U40" s="37">
        <f>+I40</f>
        <v>5347.033470661012</v>
      </c>
    </row>
    <row r="41" spans="1:529" x14ac:dyDescent="0.25">
      <c r="A41" s="36">
        <v>43484</v>
      </c>
      <c r="B41" s="17">
        <v>43484</v>
      </c>
      <c r="C41" s="12">
        <v>-1.1000000000000001</v>
      </c>
      <c r="D41" s="86">
        <v>0.72083333333333333</v>
      </c>
      <c r="E41" s="29" t="str">
        <f>Effort!F39</f>
        <v>CLOSED</v>
      </c>
      <c r="F41" s="37" t="str">
        <f>Harvest!F39</f>
        <v>CLOSED</v>
      </c>
      <c r="G41" s="35" t="str">
        <f>CPUE!F39</f>
        <v>CLOSED</v>
      </c>
      <c r="H41" s="29">
        <f>Effort!H39</f>
        <v>4752.7009438164241</v>
      </c>
      <c r="I41" s="37">
        <f>Harvest!H39</f>
        <v>29704.380898852651</v>
      </c>
      <c r="J41" s="35">
        <f>CPUE!H39</f>
        <v>6.25</v>
      </c>
      <c r="K41" s="29" t="str">
        <f>Effort!J39</f>
        <v>CLOSED</v>
      </c>
      <c r="L41" s="37" t="str">
        <f>Harvest!J39</f>
        <v>CLOSED</v>
      </c>
      <c r="M41" s="35" t="str">
        <f>CPUE!J39</f>
        <v>CLOSED</v>
      </c>
      <c r="N41" s="29">
        <f>Effort!L39</f>
        <v>6352.8667886082021</v>
      </c>
      <c r="O41" s="37">
        <f>Harvest!L39</f>
        <v>92345.795586985216</v>
      </c>
      <c r="P41" s="35">
        <f>CPUE!L39</f>
        <v>14.536082474226806</v>
      </c>
      <c r="Q41" s="29" t="str">
        <f>Effort!N39</f>
        <v>CLOSED</v>
      </c>
      <c r="R41" s="37" t="str">
        <f>Harvest!N39</f>
        <v>CLOSED</v>
      </c>
      <c r="S41" s="35" t="str">
        <f>CPUE!N39</f>
        <v>CLOSED</v>
      </c>
      <c r="T41" s="29">
        <f>+H41+N41</f>
        <v>11105.567732424626</v>
      </c>
      <c r="U41" s="37">
        <f>+I41+O41</f>
        <v>122050.17648583787</v>
      </c>
    </row>
    <row r="42" spans="1:529" x14ac:dyDescent="0.25">
      <c r="A42" s="36">
        <v>43485</v>
      </c>
      <c r="B42" s="17">
        <v>43485</v>
      </c>
      <c r="C42" s="12">
        <v>-1.6</v>
      </c>
      <c r="D42" s="86">
        <v>0.75347222222222221</v>
      </c>
      <c r="E42" s="29" t="str">
        <f>Effort!F40</f>
        <v>CLOSED</v>
      </c>
      <c r="F42" s="37" t="str">
        <f>Harvest!F40</f>
        <v>CLOSED</v>
      </c>
      <c r="G42" s="35" t="str">
        <f>CPUE!F40</f>
        <v>CLOSED</v>
      </c>
      <c r="H42" s="29">
        <f>Effort!H40</f>
        <v>2417.1298595824064</v>
      </c>
      <c r="I42" s="37">
        <f>Harvest!H40</f>
        <v>34202.387513091053</v>
      </c>
      <c r="J42" s="35">
        <f>CPUE!H40</f>
        <v>14.15</v>
      </c>
      <c r="K42" s="29">
        <f>Effort!J40</f>
        <v>5194.5748037358944</v>
      </c>
      <c r="L42" s="37">
        <f>Harvest!J40</f>
        <v>77918.62205603841</v>
      </c>
      <c r="M42" s="35">
        <f>CPUE!J40</f>
        <v>14.999999999999998</v>
      </c>
      <c r="N42" s="29" t="str">
        <f>Effort!L40</f>
        <v>CLOSED</v>
      </c>
      <c r="O42" s="37" t="str">
        <f>Harvest!L40</f>
        <v>CLOSED</v>
      </c>
      <c r="P42" s="35" t="str">
        <f>CPUE!L40</f>
        <v>CLOSED</v>
      </c>
      <c r="Q42" s="29" t="str">
        <f>Effort!N40</f>
        <v>CLOSED</v>
      </c>
      <c r="R42" s="37" t="str">
        <f>Harvest!N40</f>
        <v>CLOSED</v>
      </c>
      <c r="S42" s="35" t="str">
        <f>CPUE!N40</f>
        <v>CLOSED</v>
      </c>
      <c r="T42" s="29">
        <f>+H42+K42</f>
        <v>7611.7046633183008</v>
      </c>
      <c r="U42" s="37">
        <f>+I42+L42</f>
        <v>112121.00956912947</v>
      </c>
    </row>
    <row r="43" spans="1:529" x14ac:dyDescent="0.25">
      <c r="A43" s="36">
        <v>43486</v>
      </c>
      <c r="B43" s="17">
        <v>43486</v>
      </c>
      <c r="C43" s="12">
        <v>-1.8</v>
      </c>
      <c r="D43" s="86">
        <v>0.78541666666666676</v>
      </c>
      <c r="E43" s="29" t="str">
        <f>Effort!F41</f>
        <v>CLOSED</v>
      </c>
      <c r="F43" s="37" t="str">
        <f>Harvest!F41</f>
        <v>CLOSED</v>
      </c>
      <c r="G43" s="35" t="str">
        <f>CPUE!F41</f>
        <v>CLOSED</v>
      </c>
      <c r="H43" s="29">
        <f>Effort!H41</f>
        <v>1325.1879911221138</v>
      </c>
      <c r="I43" s="37">
        <f>Harvest!H41</f>
        <v>19877.819866831709</v>
      </c>
      <c r="J43" s="35">
        <f>CPUE!H41</f>
        <v>15.000000000000002</v>
      </c>
      <c r="K43" s="29" t="str">
        <f>Effort!J41</f>
        <v>CLOSED</v>
      </c>
      <c r="L43" s="37" t="str">
        <f>Harvest!J41</f>
        <v>CLOSED</v>
      </c>
      <c r="M43" s="35" t="str">
        <f>CPUE!J41</f>
        <v>CLOSED</v>
      </c>
      <c r="N43" s="29">
        <f>Effort!L41</f>
        <v>1471.4933045335947</v>
      </c>
      <c r="O43" s="37">
        <f>Harvest!L41</f>
        <v>20145.44405016231</v>
      </c>
      <c r="P43" s="35">
        <f>CPUE!L41</f>
        <v>13.690476190476192</v>
      </c>
      <c r="Q43" s="29" t="str">
        <f>Effort!N41</f>
        <v>CLOSED</v>
      </c>
      <c r="R43" s="37" t="str">
        <f>Harvest!N41</f>
        <v>CLOSED</v>
      </c>
      <c r="S43" s="35" t="str">
        <f>CPUE!N41</f>
        <v>CLOSED</v>
      </c>
      <c r="T43" s="29">
        <f>+H43+N43</f>
        <v>2796.6812956557087</v>
      </c>
      <c r="U43" s="37">
        <f>+I43+O43</f>
        <v>40023.263916994023</v>
      </c>
    </row>
    <row r="44" spans="1:529" x14ac:dyDescent="0.25">
      <c r="A44" s="317" t="s">
        <v>31</v>
      </c>
      <c r="B44" s="317"/>
      <c r="C44" s="317"/>
      <c r="D44" s="318"/>
      <c r="E44" s="33"/>
      <c r="F44" s="34"/>
      <c r="G44" s="32"/>
      <c r="H44" s="33">
        <f>SUM(H39:H43)</f>
        <v>10006.452690666296</v>
      </c>
      <c r="I44" s="34">
        <f>SUM(I39:I43)</f>
        <v>90760.617010930233</v>
      </c>
      <c r="J44" s="32">
        <f>+I44/H44</f>
        <v>9.0702089758130651</v>
      </c>
      <c r="K44" s="33">
        <f>SUM(K42:K43)</f>
        <v>5194.5748037358944</v>
      </c>
      <c r="L44" s="34">
        <f>SUM(L42:L43)</f>
        <v>77918.62205603841</v>
      </c>
      <c r="M44" s="32">
        <f>+L44/K44</f>
        <v>14.999999999999998</v>
      </c>
      <c r="N44" s="33">
        <f>SUM(N41:N43)</f>
        <v>7824.3600931417968</v>
      </c>
      <c r="O44" s="34">
        <f>SUM(O41:O43)</f>
        <v>112491.23963714752</v>
      </c>
      <c r="P44" s="32">
        <f>+O44/N44</f>
        <v>14.377052985553192</v>
      </c>
      <c r="Q44" s="33"/>
      <c r="R44" s="34"/>
      <c r="S44" s="32"/>
      <c r="T44" s="33">
        <f>SUM(T39:T43)</f>
        <v>23025.387587543988</v>
      </c>
      <c r="U44" s="34">
        <f>SUM(U39:U43)</f>
        <v>281170.47870411619</v>
      </c>
    </row>
    <row r="45" spans="1:529" x14ac:dyDescent="0.25">
      <c r="A45" s="210">
        <v>43497</v>
      </c>
      <c r="B45" s="17">
        <v>43482</v>
      </c>
      <c r="C45" s="12">
        <v>0.2</v>
      </c>
      <c r="D45" s="86">
        <v>0.70000000000000007</v>
      </c>
      <c r="E45" s="213" t="str">
        <f>Effort!F43</f>
        <v>CLOSED</v>
      </c>
      <c r="F45" s="218" t="str">
        <f>Harvest!F43</f>
        <v>CLOSED</v>
      </c>
      <c r="G45" s="217" t="str">
        <f>CPUE!F43</f>
        <v>CLOSED</v>
      </c>
      <c r="H45" s="213">
        <f>Effort!H43</f>
        <v>1060.3252791183472</v>
      </c>
      <c r="I45" s="218">
        <f>Harvest!H43</f>
        <v>11808.167881090683</v>
      </c>
      <c r="J45" s="217">
        <f>CPUE!H43</f>
        <v>11.136363636363635</v>
      </c>
      <c r="K45" s="213">
        <f>Effort!J43</f>
        <v>1395.156101182039</v>
      </c>
      <c r="L45" s="218">
        <f>Harvest!J43</f>
        <v>17945.53730147878</v>
      </c>
      <c r="M45" s="217">
        <f>CPUE!J43</f>
        <v>12.862745098039218</v>
      </c>
      <c r="N45" s="213" t="str">
        <f>Effort!L43</f>
        <v>CLOSED</v>
      </c>
      <c r="O45" s="218" t="str">
        <f>Harvest!L43</f>
        <v>CLOSED</v>
      </c>
      <c r="P45" s="217" t="str">
        <f>CPUE!L43</f>
        <v>CLOSED</v>
      </c>
      <c r="Q45" s="213" t="str">
        <f>Effort!N43</f>
        <v>CLOSED</v>
      </c>
      <c r="R45" s="218" t="str">
        <f>Harvest!N43</f>
        <v>CLOSED</v>
      </c>
      <c r="S45" s="217" t="str">
        <f>CPUE!N43</f>
        <v>CLOSED</v>
      </c>
      <c r="T45" s="213">
        <f>+H45+K45</f>
        <v>2455.4813803003863</v>
      </c>
      <c r="U45" s="218">
        <f>+I45+L45</f>
        <v>29753.705182569465</v>
      </c>
    </row>
    <row r="46" spans="1:529" x14ac:dyDescent="0.25">
      <c r="A46" s="210">
        <v>43498</v>
      </c>
      <c r="B46" s="17">
        <v>43483</v>
      </c>
      <c r="C46" s="12">
        <v>0</v>
      </c>
      <c r="D46" s="86">
        <v>0.72777777777777775</v>
      </c>
      <c r="E46" s="213" t="str">
        <f>Effort!F44</f>
        <v>CLOSED</v>
      </c>
      <c r="F46" s="218" t="str">
        <f>Harvest!F44</f>
        <v>CLOSED</v>
      </c>
      <c r="G46" s="217" t="str">
        <f>CPUE!F44</f>
        <v>CLOSED</v>
      </c>
      <c r="H46" s="213">
        <f>Effort!H44</f>
        <v>4068.5106486015784</v>
      </c>
      <c r="I46" s="218">
        <f>Harvest!H44</f>
        <v>49839.25544536933</v>
      </c>
      <c r="J46" s="217">
        <f>CPUE!H44</f>
        <v>12.249999999999998</v>
      </c>
      <c r="K46" s="213" t="str">
        <f>Effort!J44</f>
        <v>CLOSED</v>
      </c>
      <c r="L46" s="218" t="str">
        <f>Harvest!J44</f>
        <v>CLOSED</v>
      </c>
      <c r="M46" s="217" t="str">
        <f>CPUE!J44</f>
        <v>CLOSED</v>
      </c>
      <c r="N46" s="213">
        <f>Effort!L44</f>
        <v>3324.7873264653281</v>
      </c>
      <c r="O46" s="218">
        <f>Harvest!L44</f>
        <v>42861.71613636025</v>
      </c>
      <c r="P46" s="217">
        <f>CPUE!L44</f>
        <v>12.89156626506024</v>
      </c>
      <c r="Q46" s="213" t="str">
        <f>Effort!N44</f>
        <v>CLOSED</v>
      </c>
      <c r="R46" s="218" t="str">
        <f>Harvest!N44</f>
        <v>CLOSED</v>
      </c>
      <c r="S46" s="217" t="str">
        <f>CPUE!N44</f>
        <v>CLOSED</v>
      </c>
      <c r="T46" s="213">
        <f>+H46+N46</f>
        <v>7393.2979750669065</v>
      </c>
      <c r="U46" s="218">
        <f>+I46+O46</f>
        <v>92700.97158172958</v>
      </c>
    </row>
    <row r="47" spans="1:529" x14ac:dyDescent="0.25">
      <c r="A47" s="210">
        <v>43499</v>
      </c>
      <c r="B47" s="17">
        <f t="shared" ref="B47" si="2">+A47</f>
        <v>43499</v>
      </c>
      <c r="C47" s="12">
        <v>-0.1</v>
      </c>
      <c r="D47" s="86">
        <v>0.75277777777777777</v>
      </c>
      <c r="E47" s="213" t="str">
        <f>Effort!F45</f>
        <v>CLOSED</v>
      </c>
      <c r="F47" s="218" t="str">
        <f>Harvest!F45</f>
        <v>CLOSED</v>
      </c>
      <c r="G47" s="217" t="str">
        <f>CPUE!F45</f>
        <v>CLOSED</v>
      </c>
      <c r="H47" s="213">
        <f>Effort!H45</f>
        <v>393.10651853523575</v>
      </c>
      <c r="I47" s="218">
        <f>Harvest!H45</f>
        <v>5037.9819840141718</v>
      </c>
      <c r="J47" s="217">
        <f>CPUE!H45</f>
        <v>12.815818986635799</v>
      </c>
      <c r="K47" s="213">
        <f>Effort!J45</f>
        <v>744.93158669019863</v>
      </c>
      <c r="L47" s="218">
        <f>Harvest!J45</f>
        <v>10496.763266998254</v>
      </c>
      <c r="M47" s="217">
        <f>CPUE!J45</f>
        <v>14.090909090909092</v>
      </c>
      <c r="N47" s="213" t="str">
        <f>Effort!L45</f>
        <v>CLOSED</v>
      </c>
      <c r="O47" s="218" t="str">
        <f>Harvest!L45</f>
        <v>CLOSED</v>
      </c>
      <c r="P47" s="217" t="str">
        <f>CPUE!L45</f>
        <v>CLOSED</v>
      </c>
      <c r="Q47" s="213" t="str">
        <f>Effort!N45</f>
        <v>CLOSED</v>
      </c>
      <c r="R47" s="218" t="str">
        <f>Harvest!N45</f>
        <v>CLOSED</v>
      </c>
      <c r="S47" s="217" t="str">
        <f>CPUE!N45</f>
        <v>CLOSED</v>
      </c>
      <c r="T47" s="213">
        <f>+H47+K47</f>
        <v>1138.0381052254343</v>
      </c>
      <c r="U47" s="218">
        <f>+I47+L47</f>
        <v>15534.745251012426</v>
      </c>
    </row>
    <row r="48" spans="1:529" x14ac:dyDescent="0.25">
      <c r="A48" s="317" t="s">
        <v>31</v>
      </c>
      <c r="B48" s="317"/>
      <c r="C48" s="317"/>
      <c r="D48" s="318"/>
      <c r="E48" s="215"/>
      <c r="F48" s="216"/>
      <c r="G48" s="214"/>
      <c r="H48" s="215">
        <f>SUM(H45:H47)</f>
        <v>5521.9424462551606</v>
      </c>
      <c r="I48" s="216">
        <f>SUM(I45:I47)</f>
        <v>66685.405310474191</v>
      </c>
      <c r="J48" s="214">
        <f>+I48/H48</f>
        <v>12.076439760015703</v>
      </c>
      <c r="K48" s="215">
        <f>SUM(K45:K47)</f>
        <v>2140.0876878722374</v>
      </c>
      <c r="L48" s="216">
        <f>SUM(L45:L47)</f>
        <v>28442.300568477032</v>
      </c>
      <c r="M48" s="214">
        <f>+L48/K48</f>
        <v>13.290250081647603</v>
      </c>
      <c r="N48" s="215">
        <f>SUM(N46:N47)</f>
        <v>3324.7873264653281</v>
      </c>
      <c r="O48" s="216">
        <f>SUM(O46:O47)</f>
        <v>42861.71613636025</v>
      </c>
      <c r="P48" s="214">
        <f>+O48/N48</f>
        <v>12.89156626506024</v>
      </c>
      <c r="Q48" s="215"/>
      <c r="R48" s="216"/>
      <c r="S48" s="214"/>
      <c r="T48" s="215">
        <f>SUM(T45:T47)</f>
        <v>10986.817460592727</v>
      </c>
      <c r="U48" s="216">
        <f>SUM(U45:U47)</f>
        <v>137989.42201531146</v>
      </c>
    </row>
    <row r="49" spans="1:22" x14ac:dyDescent="0.25">
      <c r="A49" s="36">
        <v>43511</v>
      </c>
      <c r="B49" s="17">
        <f t="shared" ref="B49:B75" si="3">+A49</f>
        <v>43511</v>
      </c>
      <c r="C49" s="12">
        <v>0.4</v>
      </c>
      <c r="D49" s="86">
        <v>0.63263888888888886</v>
      </c>
      <c r="E49" s="29" t="str">
        <f>Effort!F47</f>
        <v>CLOSED</v>
      </c>
      <c r="F49" s="37" t="str">
        <f>Harvest!F47</f>
        <v>CLOSED</v>
      </c>
      <c r="G49" s="35" t="str">
        <f>CPUE!F47</f>
        <v>CLOSED</v>
      </c>
      <c r="H49" s="29">
        <f>Effort!H47</f>
        <v>466.58657364431917</v>
      </c>
      <c r="I49" s="37">
        <f>Harvest!H47</f>
        <v>4050.8197984574981</v>
      </c>
      <c r="J49" s="35">
        <f>CPUE!H47</f>
        <v>8.6818181818181817</v>
      </c>
      <c r="K49" s="29" t="str">
        <f>Effort!J47</f>
        <v>CLOSED</v>
      </c>
      <c r="L49" s="37" t="str">
        <f>Harvest!J47</f>
        <v>CLOSED</v>
      </c>
      <c r="M49" s="35" t="str">
        <f>CPUE!J47</f>
        <v>CLOSED</v>
      </c>
      <c r="N49" s="29">
        <f>Effort!L47</f>
        <v>794.7823086772097</v>
      </c>
      <c r="O49" s="37">
        <f>Harvest!L47</f>
        <v>9445.6820531252997</v>
      </c>
      <c r="P49" s="35">
        <f>CPUE!L47</f>
        <v>11.884615384615385</v>
      </c>
      <c r="Q49" s="29" t="str">
        <f>Effort!N47</f>
        <v>CLOSED</v>
      </c>
      <c r="R49" s="37" t="str">
        <f>Harvest!N47</f>
        <v>CLOSED</v>
      </c>
      <c r="S49" s="35" t="str">
        <f>CPUE!N47</f>
        <v>CLOSED</v>
      </c>
      <c r="T49" s="29">
        <f>+H49+N49</f>
        <v>1261.3688823215289</v>
      </c>
      <c r="U49" s="37">
        <f>+I49+O49</f>
        <v>13496.501851582798</v>
      </c>
    </row>
    <row r="50" spans="1:22" x14ac:dyDescent="0.25">
      <c r="A50" s="36">
        <v>43512</v>
      </c>
      <c r="B50" s="17">
        <f t="shared" si="3"/>
        <v>43512</v>
      </c>
      <c r="C50" s="12">
        <v>-0.3</v>
      </c>
      <c r="D50" s="86">
        <v>0.67222222222222217</v>
      </c>
      <c r="E50" s="213" t="str">
        <f>Effort!F48</f>
        <v>CLOSED</v>
      </c>
      <c r="F50" s="218" t="str">
        <f>Harvest!F48</f>
        <v>CLOSED</v>
      </c>
      <c r="G50" s="217" t="str">
        <f>CPUE!F48</f>
        <v>CLOSED</v>
      </c>
      <c r="H50" s="213">
        <f>Effort!H48</f>
        <v>1607.184181416065</v>
      </c>
      <c r="I50" s="218">
        <f>Harvest!H48</f>
        <v>20656.268823445818</v>
      </c>
      <c r="J50" s="217">
        <f>CPUE!H48</f>
        <v>12.852459016393443</v>
      </c>
      <c r="K50" s="213">
        <f>Effort!J48</f>
        <v>4004.5242910039633</v>
      </c>
      <c r="L50" s="218">
        <f>Harvest!J48</f>
        <v>50369.407097784228</v>
      </c>
      <c r="M50" s="217">
        <f>CPUE!J48</f>
        <v>12.578125</v>
      </c>
      <c r="N50" s="213" t="str">
        <f>Effort!L48</f>
        <v>CLOSED</v>
      </c>
      <c r="O50" s="218" t="str">
        <f>Harvest!L48</f>
        <v>CLOSED</v>
      </c>
      <c r="P50" s="217" t="str">
        <f>CPUE!L48</f>
        <v>CLOSED</v>
      </c>
      <c r="Q50" s="213">
        <v>285.06636058124673</v>
      </c>
      <c r="R50" s="218">
        <v>817.79552231741377</v>
      </c>
      <c r="S50" s="217">
        <f>CPUE!N48</f>
        <v>2.8180058889759043</v>
      </c>
      <c r="T50" s="213">
        <f>+H50+K50+Q50</f>
        <v>5896.7748330012755</v>
      </c>
      <c r="U50" s="218">
        <f>+I50+L50+R50</f>
        <v>71843.47144354746</v>
      </c>
      <c r="V50" s="152"/>
    </row>
    <row r="51" spans="1:22" x14ac:dyDescent="0.25">
      <c r="A51" s="36">
        <v>43513</v>
      </c>
      <c r="B51" s="17">
        <f t="shared" si="3"/>
        <v>43513</v>
      </c>
      <c r="C51" s="12">
        <v>-1</v>
      </c>
      <c r="D51" s="86">
        <v>0.70763888888888893</v>
      </c>
      <c r="E51" s="213">
        <f>Effort!F49</f>
        <v>8343.9805242922157</v>
      </c>
      <c r="F51" s="218">
        <f>Harvest!F49</f>
        <v>110140.54292065726</v>
      </c>
      <c r="G51" s="217">
        <f>CPUE!F49</f>
        <v>13.200000000000001</v>
      </c>
      <c r="H51" s="213">
        <f>Effort!H49</f>
        <v>2177.9584268238209</v>
      </c>
      <c r="I51" s="218">
        <f>Harvest!H49</f>
        <v>31032.289520946462</v>
      </c>
      <c r="J51" s="217">
        <f>CPUE!H49</f>
        <v>14.248338783124405</v>
      </c>
      <c r="K51" s="213">
        <f>Effort!J49</f>
        <v>4537.9516475418404</v>
      </c>
      <c r="L51" s="218">
        <f>Harvest!J49</f>
        <v>68069.274713127612</v>
      </c>
      <c r="M51" s="217">
        <f>CPUE!J49</f>
        <v>15.000000000000002</v>
      </c>
      <c r="N51" s="213">
        <f>Effort!L49</f>
        <v>2715.4678355373658</v>
      </c>
      <c r="O51" s="218">
        <f>Harvest!L49</f>
        <v>38176.283099613553</v>
      </c>
      <c r="P51" s="217">
        <f>CPUE!L49</f>
        <v>14.058823529411764</v>
      </c>
      <c r="Q51" s="213">
        <f>Effort!N49</f>
        <v>309.65567327409434</v>
      </c>
      <c r="R51" s="218">
        <v>1321.3784975036406</v>
      </c>
      <c r="S51" s="217">
        <f>CPUE!N49</f>
        <v>4.0949537823052253</v>
      </c>
      <c r="T51" s="213">
        <f>E51+H51+K51+N51+Q51</f>
        <v>18085.014107469338</v>
      </c>
      <c r="U51" s="213">
        <f>F51+I51+L51+O51+R51</f>
        <v>248739.76875184852</v>
      </c>
    </row>
    <row r="52" spans="1:22" x14ac:dyDescent="0.25">
      <c r="A52" s="36">
        <v>43514</v>
      </c>
      <c r="B52" s="17">
        <f t="shared" si="3"/>
        <v>43514</v>
      </c>
      <c r="C52" s="12">
        <v>-1.4</v>
      </c>
      <c r="D52" s="86">
        <v>0.7402777777777777</v>
      </c>
      <c r="E52" s="213" t="str">
        <f>Effort!F50</f>
        <v>CLOSED</v>
      </c>
      <c r="F52" s="218" t="str">
        <f>Harvest!F50</f>
        <v>CLOSED</v>
      </c>
      <c r="G52" s="217" t="str">
        <f>CPUE!F50</f>
        <v>CLOSED</v>
      </c>
      <c r="H52" s="213">
        <f>Effort!H50</f>
        <v>1983.6222910679141</v>
      </c>
      <c r="I52" s="218">
        <f>Harvest!H50</f>
        <v>21024.722160358593</v>
      </c>
      <c r="J52" s="217">
        <f>CPUE!H50</f>
        <v>10.599156026341893</v>
      </c>
      <c r="K52" s="213" t="str">
        <f>Effort!J50</f>
        <v>CLOSED</v>
      </c>
      <c r="L52" s="218" t="str">
        <f>Harvest!J50</f>
        <v>CLOSED</v>
      </c>
      <c r="M52" s="217" t="str">
        <f>CPUE!J50</f>
        <v>CLOSED</v>
      </c>
      <c r="N52" s="213">
        <f>Effort!L50</f>
        <v>2232.3825642545598</v>
      </c>
      <c r="O52" s="218">
        <f>Harvest!L50</f>
        <v>33485.738463818401</v>
      </c>
      <c r="P52" s="217">
        <f>CPUE!L50</f>
        <v>15.000000000000002</v>
      </c>
      <c r="Q52" s="213">
        <v>116.22777245126238</v>
      </c>
      <c r="R52" s="218">
        <v>581.18729626078618</v>
      </c>
      <c r="S52" s="217">
        <f>CPUE!N50</f>
        <v>5.3565588545386529</v>
      </c>
      <c r="T52" s="213">
        <f>+H52+N52+Q52</f>
        <v>4332.2326277737366</v>
      </c>
      <c r="U52" s="218">
        <f>+I52+O52+R52</f>
        <v>55091.647920437783</v>
      </c>
    </row>
    <row r="53" spans="1:22" x14ac:dyDescent="0.25">
      <c r="A53" s="36">
        <v>43515</v>
      </c>
      <c r="B53" s="17">
        <f t="shared" si="3"/>
        <v>43515</v>
      </c>
      <c r="C53" s="12">
        <v>-1.5</v>
      </c>
      <c r="D53" s="86">
        <v>0.7715277777777777</v>
      </c>
      <c r="E53" s="29" t="str">
        <f>Effort!F51</f>
        <v>CLOSED</v>
      </c>
      <c r="F53" s="37" t="str">
        <f>Harvest!F51</f>
        <v>CLOSED</v>
      </c>
      <c r="G53" s="35" t="str">
        <f>CPUE!F51</f>
        <v>CLOSED</v>
      </c>
      <c r="H53" s="213">
        <f>Effort!H51</f>
        <v>1004.3890690791468</v>
      </c>
      <c r="I53" s="37">
        <f>Harvest!H51</f>
        <v>8609.0491635355447</v>
      </c>
      <c r="J53" s="35">
        <f>CPUE!H51</f>
        <v>8.571428571428573</v>
      </c>
      <c r="K53" s="29" t="str">
        <f>Effort!J51</f>
        <v>CLOSED</v>
      </c>
      <c r="L53" s="37" t="str">
        <f>Harvest!J51</f>
        <v>CLOSED</v>
      </c>
      <c r="M53" s="35" t="str">
        <f>CPUE!J51</f>
        <v>CLOSED</v>
      </c>
      <c r="N53" s="29" t="str">
        <f>Effort!L51</f>
        <v>CLOSED</v>
      </c>
      <c r="O53" s="37" t="str">
        <f>Harvest!L51</f>
        <v>CLOSED</v>
      </c>
      <c r="P53" s="35" t="str">
        <f>CPUE!L51</f>
        <v>CLOSED</v>
      </c>
      <c r="Q53" s="29" t="str">
        <f>Effort!N51</f>
        <v>CLOSED</v>
      </c>
      <c r="R53" s="37" t="str">
        <f>Harvest!N51</f>
        <v>CLOSED</v>
      </c>
      <c r="S53" s="35" t="str">
        <f>CPUE!N51</f>
        <v>CLOSED</v>
      </c>
      <c r="T53" s="29">
        <f>+H53</f>
        <v>1004.3890690791468</v>
      </c>
      <c r="U53" s="37">
        <f t="shared" ref="U53:U55" si="4">+I53</f>
        <v>8609.0491635355447</v>
      </c>
    </row>
    <row r="54" spans="1:22" x14ac:dyDescent="0.25">
      <c r="A54" s="36">
        <v>43516</v>
      </c>
      <c r="B54" s="17">
        <f t="shared" si="3"/>
        <v>43516</v>
      </c>
      <c r="C54" s="12">
        <v>-1.3</v>
      </c>
      <c r="D54" s="86">
        <v>0.80138888888888893</v>
      </c>
      <c r="E54" s="29" t="str">
        <f>Effort!F52</f>
        <v>CLOSED</v>
      </c>
      <c r="F54" s="37" t="str">
        <f>Harvest!F52</f>
        <v>CLOSED</v>
      </c>
      <c r="G54" s="35" t="str">
        <f>CPUE!F52</f>
        <v>CLOSED</v>
      </c>
      <c r="H54" s="29">
        <f>Effort!H52</f>
        <v>1251.8014945707864</v>
      </c>
      <c r="I54" s="37">
        <f>Harvest!H52</f>
        <v>15680.460826728799</v>
      </c>
      <c r="J54" s="35">
        <f>CPUE!H52</f>
        <v>12.526315789473685</v>
      </c>
      <c r="K54" s="29" t="str">
        <f>Effort!J52</f>
        <v>CLOSED</v>
      </c>
      <c r="L54" s="37" t="str">
        <f>Harvest!J52</f>
        <v>CLOSED</v>
      </c>
      <c r="M54" s="35" t="str">
        <f>CPUE!J52</f>
        <v>CLOSED</v>
      </c>
      <c r="N54" s="29" t="str">
        <f>Effort!L52</f>
        <v>CLOSED</v>
      </c>
      <c r="O54" s="37" t="str">
        <f>Harvest!L52</f>
        <v>CLOSED</v>
      </c>
      <c r="P54" s="35" t="str">
        <f>CPUE!L52</f>
        <v>CLOSED</v>
      </c>
      <c r="Q54" s="29" t="str">
        <f>Effort!N52</f>
        <v>CLOSED</v>
      </c>
      <c r="R54" s="37" t="str">
        <f>Harvest!N52</f>
        <v>CLOSED</v>
      </c>
      <c r="S54" s="35" t="str">
        <f>CPUE!N52</f>
        <v>CLOSED</v>
      </c>
      <c r="T54" s="29">
        <f>+H54</f>
        <v>1251.8014945707864</v>
      </c>
      <c r="U54" s="37">
        <f t="shared" si="4"/>
        <v>15680.460826728799</v>
      </c>
    </row>
    <row r="55" spans="1:22" x14ac:dyDescent="0.25">
      <c r="A55" s="36">
        <v>43517</v>
      </c>
      <c r="B55" s="17">
        <f t="shared" si="3"/>
        <v>43517</v>
      </c>
      <c r="C55" s="12">
        <v>-0.8</v>
      </c>
      <c r="D55" s="86">
        <v>0.8305555555555556</v>
      </c>
      <c r="E55" s="29" t="str">
        <f>Effort!F53</f>
        <v>CLOSED</v>
      </c>
      <c r="F55" s="37" t="str">
        <f>Harvest!F53</f>
        <v>CLOSED</v>
      </c>
      <c r="G55" s="35" t="str">
        <f>CPUE!F53</f>
        <v>CLOSED</v>
      </c>
      <c r="H55" s="29">
        <f>Effort!H53</f>
        <v>615.98682607164176</v>
      </c>
      <c r="I55" s="37">
        <f>Harvest!H53</f>
        <v>8434.2811569809419</v>
      </c>
      <c r="J55" s="35">
        <f>CPUE!H53</f>
        <v>13.692307692307693</v>
      </c>
      <c r="K55" s="29" t="str">
        <f>Effort!J53</f>
        <v>CLOSED</v>
      </c>
      <c r="L55" s="37" t="str">
        <f>Harvest!J53</f>
        <v>CLOSED</v>
      </c>
      <c r="M55" s="35" t="str">
        <f>CPUE!J53</f>
        <v>CLOSED</v>
      </c>
      <c r="N55" s="29" t="str">
        <f>Effort!L53</f>
        <v>CLOSED</v>
      </c>
      <c r="O55" s="37" t="str">
        <f>Harvest!L53</f>
        <v>CLOSED</v>
      </c>
      <c r="P55" s="35" t="str">
        <f>CPUE!L53</f>
        <v>CLOSED</v>
      </c>
      <c r="Q55" s="29" t="str">
        <f>Effort!N53</f>
        <v>CLOSED</v>
      </c>
      <c r="R55" s="37" t="str">
        <f>Harvest!N53</f>
        <v>CLOSED</v>
      </c>
      <c r="S55" s="35" t="str">
        <f>CPUE!N53</f>
        <v>CLOSED</v>
      </c>
      <c r="T55" s="29">
        <f>+H55</f>
        <v>615.98682607164176</v>
      </c>
      <c r="U55" s="37">
        <f t="shared" si="4"/>
        <v>8434.2811569809419</v>
      </c>
    </row>
    <row r="56" spans="1:22" x14ac:dyDescent="0.25">
      <c r="A56" s="317" t="s">
        <v>31</v>
      </c>
      <c r="B56" s="317"/>
      <c r="C56" s="317"/>
      <c r="D56" s="318"/>
      <c r="E56" s="93">
        <f>SUM(E51:E55)</f>
        <v>8343.9805242922157</v>
      </c>
      <c r="F56" s="92">
        <f>SUM(F51:F55)</f>
        <v>110140.54292065726</v>
      </c>
      <c r="G56" s="94">
        <f>+F56/E56</f>
        <v>13.200000000000001</v>
      </c>
      <c r="H56" s="93">
        <f>SUM(H49:H55)</f>
        <v>9107.5288626736929</v>
      </c>
      <c r="I56" s="92">
        <f>SUM(I49:I55)</f>
        <v>109487.89145045365</v>
      </c>
      <c r="J56" s="94">
        <f>+I56/H56</f>
        <v>12.021690307145658</v>
      </c>
      <c r="K56" s="93">
        <f>SUM(K50:K55)</f>
        <v>8542.4759385458037</v>
      </c>
      <c r="L56" s="92">
        <f>SUM(L50:L55)</f>
        <v>118438.68181091183</v>
      </c>
      <c r="M56" s="94">
        <f>+L56/K56</f>
        <v>13.864678421449998</v>
      </c>
      <c r="N56" s="93">
        <f>SUM(N49:N55)</f>
        <v>5742.6327084691347</v>
      </c>
      <c r="O56" s="92">
        <f>SUM(O49:O55)</f>
        <v>81107.70361655725</v>
      </c>
      <c r="P56" s="94">
        <f>+O56/N56</f>
        <v>14.123783939192389</v>
      </c>
      <c r="Q56" s="93">
        <f>SUM(Q50:Q55)</f>
        <v>710.94980630660348</v>
      </c>
      <c r="R56" s="92">
        <f>SUM(R50:R55)</f>
        <v>2720.3613160818409</v>
      </c>
      <c r="S56" s="94">
        <f>+R56/Q56</f>
        <v>3.826376056298777</v>
      </c>
      <c r="T56" s="92">
        <f>SUM(T49:T55)</f>
        <v>32447.567840287455</v>
      </c>
      <c r="U56" s="92">
        <f>SUM(U49:U55)</f>
        <v>421895.18111466186</v>
      </c>
    </row>
    <row r="57" spans="1:22" x14ac:dyDescent="0.25">
      <c r="A57" s="36">
        <v>43540</v>
      </c>
      <c r="B57" s="17">
        <f t="shared" si="3"/>
        <v>43540</v>
      </c>
      <c r="C57" s="12">
        <v>0.3</v>
      </c>
      <c r="D57" s="86">
        <v>0.65486111111111112</v>
      </c>
      <c r="E57" s="213" t="str">
        <f>Effort!F55</f>
        <v>CLOSED</v>
      </c>
      <c r="F57" s="218" t="str">
        <f>Harvest!F55</f>
        <v>CLOSED</v>
      </c>
      <c r="G57" s="217" t="str">
        <f>CPUE!F55</f>
        <v>CLOSED</v>
      </c>
      <c r="H57" s="213">
        <f>Effort!H55</f>
        <v>8237.2665668050486</v>
      </c>
      <c r="I57" s="218">
        <f>Harvest!H55</f>
        <v>118067.48745753903</v>
      </c>
      <c r="J57" s="217">
        <f>CPUE!H55</f>
        <v>14.333333333333334</v>
      </c>
      <c r="K57" s="213">
        <f>Effort!J55</f>
        <v>8342.8653289005797</v>
      </c>
      <c r="L57" s="218">
        <f>Harvest!J55</f>
        <v>105701.80751570368</v>
      </c>
      <c r="M57" s="217">
        <f>CPUE!J55</f>
        <v>12.669724770642203</v>
      </c>
      <c r="N57" s="213" t="str">
        <f>Effort!L55</f>
        <v>CLOSED</v>
      </c>
      <c r="O57" s="218" t="str">
        <f>Harvest!L55</f>
        <v>CLOSED</v>
      </c>
      <c r="P57" s="217" t="str">
        <f>CPUE!L55</f>
        <v>CLOSED</v>
      </c>
      <c r="Q57" s="213" t="str">
        <f>Effort!N55</f>
        <v>CLOSED</v>
      </c>
      <c r="R57" s="218" t="str">
        <f>Harvest!N55</f>
        <v>CLOSED</v>
      </c>
      <c r="S57" s="217" t="str">
        <f>CPUE!N55</f>
        <v>CLOSED</v>
      </c>
      <c r="T57" s="213">
        <f>+H57+K57</f>
        <v>16580.131895705628</v>
      </c>
      <c r="U57" s="218">
        <f>+I57+L57</f>
        <v>223769.29497324271</v>
      </c>
    </row>
    <row r="58" spans="1:22" x14ac:dyDescent="0.25">
      <c r="A58" s="36">
        <v>43541</v>
      </c>
      <c r="B58" s="17">
        <f t="shared" si="3"/>
        <v>43541</v>
      </c>
      <c r="C58" s="12">
        <v>-0.2</v>
      </c>
      <c r="D58" s="86">
        <v>0.69652777777777775</v>
      </c>
      <c r="E58" s="213" t="str">
        <f>Effort!F56</f>
        <v>CLOSED</v>
      </c>
      <c r="F58" s="218" t="str">
        <f>Harvest!F56</f>
        <v>CLOSED</v>
      </c>
      <c r="G58" s="217" t="str">
        <f>CPUE!F56</f>
        <v>CLOSED</v>
      </c>
      <c r="H58" s="213">
        <f>Effort!H56</f>
        <v>3986.4494593711274</v>
      </c>
      <c r="I58" s="218">
        <f>Harvest!H56</f>
        <v>45667.230056087545</v>
      </c>
      <c r="J58" s="217">
        <f>CPUE!H56</f>
        <v>11.455614958001165</v>
      </c>
      <c r="K58" s="213" t="str">
        <f>Effort!J56</f>
        <v>CLOSED</v>
      </c>
      <c r="L58" s="218" t="str">
        <f>Harvest!J56</f>
        <v>CLOSED</v>
      </c>
      <c r="M58" s="217" t="str">
        <f>CPUE!J56</f>
        <v>CLOSED</v>
      </c>
      <c r="N58" s="213">
        <f>Effort!L56</f>
        <v>4249.2203233249911</v>
      </c>
      <c r="O58" s="218">
        <f>Harvest!L56</f>
        <v>59342.55968781453</v>
      </c>
      <c r="P58" s="217">
        <f>CPUE!L56</f>
        <v>13.96551724137931</v>
      </c>
      <c r="Q58" s="213" t="str">
        <f>Effort!N56</f>
        <v>CLOSED</v>
      </c>
      <c r="R58" s="218" t="str">
        <f>Harvest!N56</f>
        <v>CLOSED</v>
      </c>
      <c r="S58" s="217" t="str">
        <f>CPUE!N56</f>
        <v>CLOSED</v>
      </c>
      <c r="T58" s="213">
        <f>+H58+N58</f>
        <v>8235.669782696119</v>
      </c>
      <c r="U58" s="218">
        <f>+I58+O58</f>
        <v>105009.78974390207</v>
      </c>
    </row>
    <row r="59" spans="1:22" x14ac:dyDescent="0.25">
      <c r="A59" s="317" t="s">
        <v>31</v>
      </c>
      <c r="B59" s="317"/>
      <c r="C59" s="317"/>
      <c r="D59" s="318"/>
      <c r="E59" s="215"/>
      <c r="F59" s="216"/>
      <c r="G59" s="214"/>
      <c r="H59" s="215">
        <f>SUM(H57:H58)</f>
        <v>12223.716026176176</v>
      </c>
      <c r="I59" s="216">
        <f>SUM(I57:I58)</f>
        <v>163734.71751362656</v>
      </c>
      <c r="J59" s="94">
        <f>+I59/H59</f>
        <v>13.394839765829055</v>
      </c>
      <c r="K59" s="215">
        <f>SUM(K57:K58)</f>
        <v>8342.8653289005797</v>
      </c>
      <c r="L59" s="216">
        <f>SUM(L57:L58)</f>
        <v>105701.80751570368</v>
      </c>
      <c r="M59" s="94">
        <f>+L59/K59</f>
        <v>12.669724770642203</v>
      </c>
      <c r="N59" s="215">
        <f>SUM(N58)</f>
        <v>4249.2203233249911</v>
      </c>
      <c r="O59" s="216">
        <f>SUM(O58)</f>
        <v>59342.55968781453</v>
      </c>
      <c r="P59" s="94">
        <f>+O59/N59</f>
        <v>13.96551724137931</v>
      </c>
      <c r="Q59" s="215"/>
      <c r="R59" s="216"/>
      <c r="S59" s="214"/>
      <c r="T59" s="215">
        <f>SUM(T57:T58)</f>
        <v>24815.801678401745</v>
      </c>
      <c r="U59" s="216">
        <f>SUM(U57:U58)</f>
        <v>328779.08471714478</v>
      </c>
    </row>
    <row r="60" spans="1:22" x14ac:dyDescent="0.25">
      <c r="A60" s="36">
        <v>43545</v>
      </c>
      <c r="B60" s="17">
        <f t="shared" si="3"/>
        <v>43545</v>
      </c>
      <c r="C60" s="12">
        <v>-0.5</v>
      </c>
      <c r="D60" s="86">
        <v>0.82500000000000007</v>
      </c>
      <c r="E60" s="213" t="str">
        <f>Effort!F58</f>
        <v>CLOSED</v>
      </c>
      <c r="F60" s="218" t="str">
        <f>Harvest!F58</f>
        <v>CLOSED</v>
      </c>
      <c r="G60" s="217" t="str">
        <f>CPUE!F58</f>
        <v>CLOSED</v>
      </c>
      <c r="H60" s="213" t="str">
        <f>Effort!H58</f>
        <v>CLOSED</v>
      </c>
      <c r="I60" s="218" t="str">
        <f>Harvest!H58</f>
        <v>CLOSED</v>
      </c>
      <c r="J60" s="217" t="str">
        <f>CPUE!H58</f>
        <v>CLOSED</v>
      </c>
      <c r="K60" s="213" t="str">
        <f>Effort!J58</f>
        <v>CLOSED</v>
      </c>
      <c r="L60" s="218" t="str">
        <f>Harvest!J58</f>
        <v>CLOSED</v>
      </c>
      <c r="M60" s="217" t="str">
        <f>CPUE!J58</f>
        <v>CLOSED</v>
      </c>
      <c r="N60" s="213">
        <f>Effort!L58</f>
        <v>3502.8932419481225</v>
      </c>
      <c r="O60" s="218">
        <f>Harvest!L58</f>
        <v>52543.398629221832</v>
      </c>
      <c r="P60" s="217">
        <f>CPUE!L58</f>
        <v>14.999999999999998</v>
      </c>
      <c r="Q60" s="213" t="str">
        <f>Effort!N58</f>
        <v>CLOSED</v>
      </c>
      <c r="R60" s="218" t="str">
        <f>Harvest!N58</f>
        <v>CLOSED</v>
      </c>
      <c r="S60" s="217" t="str">
        <f>CPUE!N58</f>
        <v>CLOSED</v>
      </c>
      <c r="T60" s="213">
        <f>+N60</f>
        <v>3502.8932419481225</v>
      </c>
      <c r="U60" s="218">
        <f>+O60</f>
        <v>52543.398629221832</v>
      </c>
    </row>
    <row r="61" spans="1:22" x14ac:dyDescent="0.25">
      <c r="A61" s="36">
        <v>43546</v>
      </c>
      <c r="B61" s="17">
        <f t="shared" si="3"/>
        <v>43546</v>
      </c>
      <c r="C61" s="12">
        <v>-0.2</v>
      </c>
      <c r="D61" s="86">
        <v>0.3430555555555555</v>
      </c>
      <c r="E61" s="213" t="str">
        <f>Effort!F59</f>
        <v>CLOSED</v>
      </c>
      <c r="F61" s="218" t="str">
        <f>Harvest!F59</f>
        <v>CLOSED</v>
      </c>
      <c r="G61" s="217" t="str">
        <f>CPUE!F59</f>
        <v>CLOSED</v>
      </c>
      <c r="H61" s="213">
        <f>Effort!H59</f>
        <v>1206.4747677031974</v>
      </c>
      <c r="I61" s="218">
        <f>Harvest!H59</f>
        <v>18097.121515547959</v>
      </c>
      <c r="J61" s="217">
        <f>CPUE!H59</f>
        <v>14.999999999999998</v>
      </c>
      <c r="K61" s="213" t="str">
        <f>Effort!J59</f>
        <v>CLOSED</v>
      </c>
      <c r="L61" s="218" t="str">
        <f>Harvest!J59</f>
        <v>CLOSED</v>
      </c>
      <c r="M61" s="217" t="str">
        <f>CPUE!J59</f>
        <v>CLOSED</v>
      </c>
      <c r="N61" s="213">
        <f>Effort!L59</f>
        <v>2328.3731168834706</v>
      </c>
      <c r="O61" s="218">
        <f>Harvest!L59</f>
        <v>31769.357639254464</v>
      </c>
      <c r="P61" s="217">
        <f>CPUE!L59</f>
        <v>13.644444444444444</v>
      </c>
      <c r="Q61" s="213">
        <v>59.058403110047848</v>
      </c>
      <c r="R61" s="218">
        <v>256.35568181818184</v>
      </c>
      <c r="S61" s="217">
        <f>CPUE!N59</f>
        <v>4.4117892523406832</v>
      </c>
      <c r="T61" s="213">
        <f>+N61+H61+Q61</f>
        <v>3593.9062876967159</v>
      </c>
      <c r="U61" s="218">
        <f>+O61+I61+R61</f>
        <v>50122.834836620605</v>
      </c>
    </row>
    <row r="62" spans="1:22" x14ac:dyDescent="0.25">
      <c r="A62" s="36">
        <v>43547</v>
      </c>
      <c r="B62" s="17">
        <f t="shared" si="3"/>
        <v>43547</v>
      </c>
      <c r="C62" s="12">
        <v>-0.3</v>
      </c>
      <c r="D62" s="86">
        <v>0.3756944444444445</v>
      </c>
      <c r="E62" s="213" t="str">
        <f>Effort!F60</f>
        <v>CLOSED</v>
      </c>
      <c r="F62" s="218" t="str">
        <f>Harvest!F60</f>
        <v>CLOSED</v>
      </c>
      <c r="G62" s="217" t="str">
        <f>CPUE!F60</f>
        <v>CLOSED</v>
      </c>
      <c r="H62" s="213">
        <f>Effort!H60</f>
        <v>3421.6900680177314</v>
      </c>
      <c r="I62" s="218">
        <f>Harvest!H60</f>
        <v>42074.114910440258</v>
      </c>
      <c r="J62" s="217">
        <f>CPUE!H60</f>
        <v>12.296296296296298</v>
      </c>
      <c r="K62" s="213">
        <f>Effort!J60</f>
        <v>6831.5523946737048</v>
      </c>
      <c r="L62" s="218">
        <f>Harvest!J60</f>
        <v>92692.865698471855</v>
      </c>
      <c r="M62" s="217">
        <f>CPUE!J60</f>
        <v>13.568345866854637</v>
      </c>
      <c r="N62" s="213" t="str">
        <f>Effort!L60</f>
        <v>CLOSED</v>
      </c>
      <c r="O62" s="218" t="str">
        <f>Harvest!L60</f>
        <v>CLOSED</v>
      </c>
      <c r="P62" s="217" t="str">
        <f>CPUE!L60</f>
        <v>CLOSED</v>
      </c>
      <c r="Q62" s="213">
        <v>126.1305629898014</v>
      </c>
      <c r="R62" s="218">
        <v>156.82194483635016</v>
      </c>
      <c r="S62" s="217">
        <f>CPUE!N60</f>
        <v>1.2286892097264437</v>
      </c>
      <c r="T62" s="213">
        <f>+H62+K62+Q62</f>
        <v>10379.373025681238</v>
      </c>
      <c r="U62" s="218">
        <f>+I62+L62+R62</f>
        <v>134923.80255374848</v>
      </c>
    </row>
    <row r="63" spans="1:22" x14ac:dyDescent="0.25">
      <c r="A63" s="36">
        <v>43548</v>
      </c>
      <c r="B63" s="17">
        <f t="shared" si="3"/>
        <v>43548</v>
      </c>
      <c r="C63" s="12">
        <v>-0.3</v>
      </c>
      <c r="D63" s="86">
        <v>0.40902777777777777</v>
      </c>
      <c r="E63" s="213" t="str">
        <f>Effort!F61</f>
        <v>CLOSED</v>
      </c>
      <c r="F63" s="218" t="str">
        <f>Harvest!F61</f>
        <v>CLOSED</v>
      </c>
      <c r="G63" s="217" t="str">
        <f>CPUE!F61</f>
        <v>CLOSED</v>
      </c>
      <c r="H63" s="213">
        <f>Effort!H61</f>
        <v>4508.2465825905574</v>
      </c>
      <c r="I63" s="218">
        <f>Harvest!H61</f>
        <v>59322.800269326544</v>
      </c>
      <c r="J63" s="217">
        <f>CPUE!H61</f>
        <v>13.15873015873016</v>
      </c>
      <c r="K63" s="213" t="str">
        <f>Effort!J61</f>
        <v>CLOSED</v>
      </c>
      <c r="L63" s="218" t="str">
        <f>Harvest!J61</f>
        <v>CLOSED</v>
      </c>
      <c r="M63" s="217" t="str">
        <f>CPUE!J61</f>
        <v>CLOSED</v>
      </c>
      <c r="N63" s="213">
        <f>Effort!L61</f>
        <v>5801.0499362348455</v>
      </c>
      <c r="O63" s="218">
        <f>Harvest!L61</f>
        <v>84939.583803186004</v>
      </c>
      <c r="P63" s="217">
        <f>CPUE!L61</f>
        <v>14.642105263157895</v>
      </c>
      <c r="Q63" s="213">
        <v>103.98123143272285</v>
      </c>
      <c r="R63" s="218">
        <v>465.15752223445907</v>
      </c>
      <c r="S63" s="217">
        <f>CPUE!N61</f>
        <v>4.606488203266788</v>
      </c>
      <c r="T63" s="213">
        <f>+H63+N63+Q63</f>
        <v>10413.277750258125</v>
      </c>
      <c r="U63" s="218">
        <f>+I63+O63+R63</f>
        <v>144727.54159474702</v>
      </c>
    </row>
    <row r="64" spans="1:22" x14ac:dyDescent="0.25">
      <c r="A64" s="317" t="s">
        <v>31</v>
      </c>
      <c r="B64" s="317"/>
      <c r="C64" s="317"/>
      <c r="D64" s="318"/>
      <c r="E64" s="215"/>
      <c r="F64" s="216"/>
      <c r="G64" s="214"/>
      <c r="H64" s="215">
        <f>SUM(H61:H63)</f>
        <v>9136.4114183114871</v>
      </c>
      <c r="I64" s="216">
        <f>SUM(I61:I63)</f>
        <v>119494.03669531476</v>
      </c>
      <c r="J64" s="94">
        <f>+I64/H64</f>
        <v>13.078880889253849</v>
      </c>
      <c r="K64" s="215">
        <f>SUM(K62:K63)</f>
        <v>6831.5523946737048</v>
      </c>
      <c r="L64" s="216">
        <f>SUM(L62:L63)</f>
        <v>92692.865698471855</v>
      </c>
      <c r="M64" s="94">
        <f>+L64/K64</f>
        <v>13.568345866854637</v>
      </c>
      <c r="N64" s="215">
        <f>SUM(N60:N63)</f>
        <v>11632.316295066439</v>
      </c>
      <c r="O64" s="216">
        <f>SUM(O60:O63)</f>
        <v>169252.3400716623</v>
      </c>
      <c r="P64" s="94">
        <f>+O64/N64</f>
        <v>14.550183796450456</v>
      </c>
      <c r="Q64" s="215">
        <f>SUM(Q61:Q63)</f>
        <v>289.1701975325721</v>
      </c>
      <c r="R64" s="216">
        <f>SUM(R61:R63)</f>
        <v>878.33514888899106</v>
      </c>
      <c r="S64" s="94">
        <f>+R64/Q64</f>
        <v>3.0374331669848358</v>
      </c>
      <c r="T64" s="215">
        <f>SUM(T60:T63)</f>
        <v>27889.4503055842</v>
      </c>
      <c r="U64" s="216">
        <f>SUM(U60:U63)</f>
        <v>382317.5776143379</v>
      </c>
    </row>
    <row r="65" spans="1:23" x14ac:dyDescent="0.25">
      <c r="A65" s="36">
        <v>43561</v>
      </c>
      <c r="B65" s="17">
        <f t="shared" si="3"/>
        <v>43561</v>
      </c>
      <c r="C65" s="12">
        <v>0.3</v>
      </c>
      <c r="D65" s="86">
        <v>0.33680555555555558</v>
      </c>
      <c r="E65" s="213" t="str">
        <f>Effort!F63</f>
        <v>CLOSED</v>
      </c>
      <c r="F65" s="218" t="str">
        <f>Harvest!F63</f>
        <v>CLOSED</v>
      </c>
      <c r="G65" s="217" t="str">
        <f>CPUE!F63</f>
        <v>CLOSED</v>
      </c>
      <c r="H65" s="213">
        <f>Effort!H63</f>
        <v>1251.1145012232118</v>
      </c>
      <c r="I65" s="218">
        <f>Harvest!H63</f>
        <v>2156.5263113189576</v>
      </c>
      <c r="J65" s="217">
        <f>CPUE!H63</f>
        <v>1.7236842105263162</v>
      </c>
      <c r="K65" s="213" t="str">
        <f>Effort!J63</f>
        <v>CLOSED</v>
      </c>
      <c r="L65" s="218" t="str">
        <f>Harvest!J63</f>
        <v>CLOSED</v>
      </c>
      <c r="M65" s="217" t="str">
        <f>CPUE!J63</f>
        <v>CLOSED</v>
      </c>
      <c r="N65" s="213">
        <f>Effort!L63</f>
        <v>1695.6321542088529</v>
      </c>
      <c r="O65" s="218">
        <f>Harvest!L63</f>
        <v>549.93475271638476</v>
      </c>
      <c r="P65" s="217">
        <f>CPUE!L63</f>
        <v>0.32432432432432434</v>
      </c>
      <c r="Q65" s="213" t="str">
        <f>Effort!N63</f>
        <v>CLOSED</v>
      </c>
      <c r="R65" s="218" t="str">
        <f>Harvest!N63</f>
        <v>CLOSED</v>
      </c>
      <c r="S65" s="217" t="str">
        <f>CPUE!N63</f>
        <v>CLOSED</v>
      </c>
      <c r="T65" s="213">
        <f>+H65+N65</f>
        <v>2946.7466554320645</v>
      </c>
      <c r="U65" s="218">
        <f>+I65+O65</f>
        <v>2706.4610640353421</v>
      </c>
    </row>
    <row r="66" spans="1:23" x14ac:dyDescent="0.25">
      <c r="A66" s="36">
        <v>43562</v>
      </c>
      <c r="B66" s="17">
        <f t="shared" si="3"/>
        <v>43562</v>
      </c>
      <c r="C66" s="12">
        <v>0.1</v>
      </c>
      <c r="D66" s="86">
        <v>0.36180555555555555</v>
      </c>
      <c r="E66" s="213" t="str">
        <f>Effort!F64</f>
        <v>CLOSED</v>
      </c>
      <c r="F66" s="218" t="str">
        <f>Harvest!F64</f>
        <v>CLOSED</v>
      </c>
      <c r="G66" s="217" t="str">
        <f>CPUE!F64</f>
        <v>CLOSED</v>
      </c>
      <c r="H66" s="213">
        <f>Effort!H64</f>
        <v>2327.8493464691492</v>
      </c>
      <c r="I66" s="218">
        <f>Harvest!H64</f>
        <v>9851.7909841640758</v>
      </c>
      <c r="J66" s="217">
        <f>CPUE!H64</f>
        <v>4.2321428571428559</v>
      </c>
      <c r="K66" s="213" t="str">
        <f>Effort!J64</f>
        <v>CLOSED</v>
      </c>
      <c r="L66" s="218" t="str">
        <f>Harvest!J64</f>
        <v>CLOSED</v>
      </c>
      <c r="M66" s="217" t="str">
        <f>CPUE!J64</f>
        <v>CLOSED</v>
      </c>
      <c r="N66" s="213">
        <f>Effort!L64</f>
        <v>3535.0050804169109</v>
      </c>
      <c r="O66" s="218">
        <f>Harvest!L64</f>
        <v>49354.109391974554</v>
      </c>
      <c r="P66" s="217">
        <f>CPUE!L64</f>
        <v>13.961538461538458</v>
      </c>
      <c r="Q66" s="213" t="str">
        <f>Effort!N64</f>
        <v>CLOSED</v>
      </c>
      <c r="R66" s="218" t="str">
        <f>Harvest!N64</f>
        <v>CLOSED</v>
      </c>
      <c r="S66" s="217" t="str">
        <f>CPUE!N64</f>
        <v>CLOSED</v>
      </c>
      <c r="T66" s="213">
        <f>+H66+N66</f>
        <v>5862.8544268860605</v>
      </c>
      <c r="U66" s="218">
        <f>+I66+O66</f>
        <v>59205.900376138627</v>
      </c>
    </row>
    <row r="67" spans="1:23" x14ac:dyDescent="0.25">
      <c r="A67" s="36">
        <v>43563</v>
      </c>
      <c r="B67" s="17">
        <f t="shared" si="3"/>
        <v>43563</v>
      </c>
      <c r="C67" s="12">
        <v>0</v>
      </c>
      <c r="D67" s="86">
        <v>0.3888888888888889</v>
      </c>
      <c r="E67" s="213" t="str">
        <f>Effort!F65</f>
        <v>CLOSED</v>
      </c>
      <c r="F67" s="218" t="str">
        <f>Harvest!F65</f>
        <v>CLOSED</v>
      </c>
      <c r="G67" s="217" t="str">
        <f>CPUE!F65</f>
        <v>CLOSED</v>
      </c>
      <c r="H67" s="213" t="str">
        <f>Effort!H65</f>
        <v>CLOSED</v>
      </c>
      <c r="I67" s="218" t="str">
        <f>Harvest!H65</f>
        <v>CLOSED</v>
      </c>
      <c r="J67" s="217" t="str">
        <f>CPUE!H65</f>
        <v>CLOSED</v>
      </c>
      <c r="K67" s="213" t="str">
        <f>Effort!J65</f>
        <v>CLOSED</v>
      </c>
      <c r="L67" s="218" t="str">
        <f>Harvest!J65</f>
        <v>CLOSED</v>
      </c>
      <c r="M67" s="217" t="str">
        <f>CPUE!J65</f>
        <v>CLOSED</v>
      </c>
      <c r="N67" s="213">
        <f>Effort!L65</f>
        <v>1619.183296359522</v>
      </c>
      <c r="O67" s="218">
        <f>Harvest!L65</f>
        <v>19808.008992131487</v>
      </c>
      <c r="P67" s="217">
        <f>CPUE!L65</f>
        <v>12.233333333333334</v>
      </c>
      <c r="Q67" s="213" t="str">
        <f>Effort!N65</f>
        <v>CLOSED</v>
      </c>
      <c r="R67" s="218" t="str">
        <f>Harvest!N65</f>
        <v>CLOSED</v>
      </c>
      <c r="S67" s="217" t="str">
        <f>CPUE!N65</f>
        <v>CLOSED</v>
      </c>
      <c r="T67" s="213">
        <f>+N67</f>
        <v>1619.183296359522</v>
      </c>
      <c r="U67" s="218">
        <f>+O67</f>
        <v>19808.008992131487</v>
      </c>
    </row>
    <row r="68" spans="1:23" x14ac:dyDescent="0.25">
      <c r="A68" s="317" t="s">
        <v>31</v>
      </c>
      <c r="B68" s="317"/>
      <c r="C68" s="317"/>
      <c r="D68" s="318"/>
      <c r="E68" s="215"/>
      <c r="F68" s="216"/>
      <c r="G68" s="214"/>
      <c r="H68" s="215">
        <f>SUM(H65:H67)</f>
        <v>3578.963847692361</v>
      </c>
      <c r="I68" s="216">
        <f>SUM(I65:I67)</f>
        <v>12008.317295483033</v>
      </c>
      <c r="J68" s="94">
        <f>+I68/H68</f>
        <v>3.3552496774243021</v>
      </c>
      <c r="K68" s="215"/>
      <c r="L68" s="216"/>
      <c r="M68" s="94"/>
      <c r="N68" s="215">
        <f>SUM(N65:N67)</f>
        <v>6849.8205309852856</v>
      </c>
      <c r="O68" s="216">
        <f>SUM(O65:O67)</f>
        <v>69712.053136822418</v>
      </c>
      <c r="P68" s="94">
        <f>+O68/N68</f>
        <v>10.177208705173909</v>
      </c>
      <c r="Q68" s="215"/>
      <c r="R68" s="216"/>
      <c r="S68" s="94"/>
      <c r="T68" s="215">
        <f>SUM(T65:T67)</f>
        <v>10428.784378677647</v>
      </c>
      <c r="U68" s="216">
        <f>SUM(U65:U67)</f>
        <v>81720.370432305455</v>
      </c>
    </row>
    <row r="69" spans="1:23" x14ac:dyDescent="0.25">
      <c r="A69" s="36">
        <v>43575</v>
      </c>
      <c r="B69" s="17">
        <f t="shared" si="3"/>
        <v>43575</v>
      </c>
      <c r="C69" s="12">
        <v>-1.1000000000000001</v>
      </c>
      <c r="D69" s="86">
        <v>0.33194444444444443</v>
      </c>
      <c r="E69" s="213">
        <f>Effort!F67</f>
        <v>19507.065298408441</v>
      </c>
      <c r="F69" s="218">
        <f>Harvest!F67</f>
        <v>291793.18508869287</v>
      </c>
      <c r="G69" s="217">
        <f>CPUE!F67</f>
        <v>14.95833333333333</v>
      </c>
      <c r="H69" s="213">
        <f>Effort!H67</f>
        <v>7532.3967102202332</v>
      </c>
      <c r="I69" s="218">
        <f>Harvest!H67</f>
        <v>100903.67530654032</v>
      </c>
      <c r="J69" s="217">
        <f>CPUE!H67</f>
        <v>13.395958708551621</v>
      </c>
      <c r="K69" s="213">
        <f>Effort!J67</f>
        <v>11266.070111633988</v>
      </c>
      <c r="L69" s="218">
        <f>Harvest!J67</f>
        <v>156014.95306378856</v>
      </c>
      <c r="M69" s="217">
        <f>CPUE!J67</f>
        <v>13.848214285714288</v>
      </c>
      <c r="N69" s="213" t="str">
        <f>Effort!L67</f>
        <v>CLOSED</v>
      </c>
      <c r="O69" s="218" t="str">
        <f>Harvest!L67</f>
        <v>CLOSED</v>
      </c>
      <c r="P69" s="217" t="str">
        <f>CPUE!L67</f>
        <v>CLOSED</v>
      </c>
      <c r="Q69" s="213" t="str">
        <f>Effort!N67</f>
        <v>CLOSED</v>
      </c>
      <c r="R69" s="218" t="str">
        <f>Harvest!N67</f>
        <v>CLOSED</v>
      </c>
      <c r="S69" s="217" t="str">
        <f>CPUE!N67</f>
        <v>CLOSED</v>
      </c>
      <c r="T69" s="213">
        <f>+E69+H69+K69</f>
        <v>38305.532120262666</v>
      </c>
      <c r="U69" s="218">
        <f>+F69+I69+L69</f>
        <v>548711.81345902174</v>
      </c>
    </row>
    <row r="70" spans="1:23" x14ac:dyDescent="0.25">
      <c r="A70" s="36">
        <v>43576</v>
      </c>
      <c r="B70" s="17">
        <f t="shared" si="3"/>
        <v>43576</v>
      </c>
      <c r="C70" s="12">
        <v>-1.2</v>
      </c>
      <c r="D70" s="86">
        <v>0.36249999999999999</v>
      </c>
      <c r="E70" s="213">
        <f>Effort!F68</f>
        <v>14267.564829430228</v>
      </c>
      <c r="F70" s="218">
        <f>Harvest!F68</f>
        <v>208629.48571336654</v>
      </c>
      <c r="G70" s="217">
        <f>CPUE!F68</f>
        <v>14.622641509433961</v>
      </c>
      <c r="H70" s="213">
        <f>Effort!H68</f>
        <v>7486.3187808341581</v>
      </c>
      <c r="I70" s="218">
        <f>Harvest!H68</f>
        <v>111410.5708328863</v>
      </c>
      <c r="J70" s="217">
        <f>CPUE!H68</f>
        <v>14.881889763779528</v>
      </c>
      <c r="K70" s="213" t="str">
        <f>Effort!J68</f>
        <v>CLOSED</v>
      </c>
      <c r="L70" s="218" t="str">
        <f>Harvest!J68</f>
        <v>CLOSED</v>
      </c>
      <c r="M70" s="217" t="str">
        <f>CPUE!J68</f>
        <v>CLOSED</v>
      </c>
      <c r="N70" s="213">
        <f>Effort!L68</f>
        <v>5578.569115502507</v>
      </c>
      <c r="O70" s="218">
        <f>Harvest!L68</f>
        <v>83678.536732537614</v>
      </c>
      <c r="P70" s="217">
        <f>CPUE!L68</f>
        <v>15.000000000000002</v>
      </c>
      <c r="Q70" s="213" t="str">
        <f>Effort!N68</f>
        <v>CLOSED</v>
      </c>
      <c r="R70" s="218" t="str">
        <f>Harvest!N68</f>
        <v>CLOSED</v>
      </c>
      <c r="S70" s="217" t="str">
        <f>CPUE!N68</f>
        <v>CLOSED</v>
      </c>
      <c r="T70" s="213">
        <f>+E70+H70+N70</f>
        <v>27332.452725766896</v>
      </c>
      <c r="U70" s="218">
        <f>+F70+I70+O70</f>
        <v>403718.59327879042</v>
      </c>
    </row>
    <row r="71" spans="1:23" x14ac:dyDescent="0.25">
      <c r="A71" s="36">
        <v>43577</v>
      </c>
      <c r="B71" s="17">
        <f t="shared" si="3"/>
        <v>43577</v>
      </c>
      <c r="C71" s="12">
        <v>-1</v>
      </c>
      <c r="D71" s="86">
        <v>0.3923611111111111</v>
      </c>
      <c r="E71" s="213" t="str">
        <f>Effort!F69</f>
        <v>CLOSED</v>
      </c>
      <c r="F71" s="218" t="str">
        <f>Harvest!F69</f>
        <v>CLOSED</v>
      </c>
      <c r="G71" s="217" t="str">
        <f>CPUE!F69</f>
        <v>CLOSED</v>
      </c>
      <c r="H71" s="213">
        <f>Effort!H69</f>
        <v>2151.6385757302214</v>
      </c>
      <c r="I71" s="218">
        <f>Harvest!H69</f>
        <v>32224.540529540991</v>
      </c>
      <c r="J71" s="217">
        <f>CPUE!H69</f>
        <v>14.976744186046512</v>
      </c>
      <c r="K71" s="213" t="str">
        <f>Effort!J69</f>
        <v>CLOSED</v>
      </c>
      <c r="L71" s="218" t="str">
        <f>Harvest!J69</f>
        <v>CLOSED</v>
      </c>
      <c r="M71" s="217" t="str">
        <f>CPUE!J69</f>
        <v>CLOSED</v>
      </c>
      <c r="N71" s="213">
        <f>Effort!L69</f>
        <v>2499.9999075672094</v>
      </c>
      <c r="O71" s="218">
        <f>Harvest!L69</f>
        <v>37499.998613508142</v>
      </c>
      <c r="P71" s="217">
        <f>CPUE!L69</f>
        <v>15</v>
      </c>
      <c r="Q71" s="213" t="str">
        <f>Effort!N69</f>
        <v>CLOSED</v>
      </c>
      <c r="R71" s="218" t="str">
        <f>Harvest!N69</f>
        <v>CLOSED</v>
      </c>
      <c r="S71" s="217" t="str">
        <f>CPUE!N69</f>
        <v>CLOSED</v>
      </c>
      <c r="T71" s="213">
        <f>+H71+N71</f>
        <v>4651.6384832974309</v>
      </c>
      <c r="U71" s="218">
        <f>+I71+O71</f>
        <v>69724.539143049129</v>
      </c>
    </row>
    <row r="72" spans="1:23" x14ac:dyDescent="0.25">
      <c r="A72" s="317" t="s">
        <v>31</v>
      </c>
      <c r="B72" s="317"/>
      <c r="C72" s="317"/>
      <c r="D72" s="318"/>
      <c r="E72" s="215">
        <f>SUM(E69:E71)</f>
        <v>33774.630127838667</v>
      </c>
      <c r="F72" s="216">
        <f>SUM(F69:F71)</f>
        <v>500422.67080205941</v>
      </c>
      <c r="G72" s="94">
        <f>+F72/E72</f>
        <v>14.816525566910267</v>
      </c>
      <c r="H72" s="215">
        <f>SUM(H69:H71)</f>
        <v>17170.35406678461</v>
      </c>
      <c r="I72" s="216">
        <f>SUM(I69:I71)</f>
        <v>244538.7866689676</v>
      </c>
      <c r="J72" s="94">
        <f>+I72/H72</f>
        <v>14.2419186999771</v>
      </c>
      <c r="K72" s="215">
        <f>SUM(K69:K71)</f>
        <v>11266.070111633988</v>
      </c>
      <c r="L72" s="216">
        <f>SUM(L69:L71)</f>
        <v>156014.95306378856</v>
      </c>
      <c r="M72" s="94">
        <f>+L72/K72</f>
        <v>13.848214285714288</v>
      </c>
      <c r="N72" s="215">
        <f>SUM(N70:N71)</f>
        <v>8078.5690230697164</v>
      </c>
      <c r="O72" s="216">
        <f>SUM(O70:O71)</f>
        <v>121178.53534604576</v>
      </c>
      <c r="P72" s="94">
        <f>+O72/N72</f>
        <v>15.000000000000002</v>
      </c>
      <c r="Q72" s="215"/>
      <c r="R72" s="216"/>
      <c r="S72" s="94"/>
      <c r="T72" s="215">
        <f>SUM(T69:T71)</f>
        <v>70289.623329326991</v>
      </c>
      <c r="U72" s="216">
        <f>SUM(U69:U71)</f>
        <v>1022154.9458808613</v>
      </c>
    </row>
    <row r="73" spans="1:23" x14ac:dyDescent="0.25">
      <c r="A73" s="36">
        <v>43603</v>
      </c>
      <c r="B73" s="17">
        <f t="shared" si="3"/>
        <v>43603</v>
      </c>
      <c r="C73" s="12">
        <v>-1.4</v>
      </c>
      <c r="D73" s="86">
        <v>0.2902777777777778</v>
      </c>
      <c r="E73" s="213" t="str">
        <f>Effort!F71</f>
        <v>CLOSED</v>
      </c>
      <c r="F73" s="218" t="str">
        <f>Harvest!F71</f>
        <v>CLOSED</v>
      </c>
      <c r="G73" s="217" t="str">
        <f>CPUE!F71</f>
        <v>CLOSED</v>
      </c>
      <c r="H73" s="213" t="str">
        <f>Effort!H71</f>
        <v>CLOSED</v>
      </c>
      <c r="I73" s="218" t="str">
        <f>Harvest!H71</f>
        <v>CLOSED</v>
      </c>
      <c r="J73" s="247" t="str">
        <f>CPUE!H71</f>
        <v>CLOSED</v>
      </c>
      <c r="K73" s="36" t="str">
        <f>Effort!J71</f>
        <v>CLOSED</v>
      </c>
      <c r="L73" s="36" t="str">
        <f>Harvest!J71</f>
        <v>CLOSED</v>
      </c>
      <c r="M73" s="36" t="str">
        <f>CPUE!J71</f>
        <v>CLOSED</v>
      </c>
      <c r="N73" s="213">
        <f>Effort!L71</f>
        <v>6218.9345949113449</v>
      </c>
      <c r="O73" s="218">
        <f>Harvest!L71</f>
        <v>91519.186133222363</v>
      </c>
      <c r="P73" s="217">
        <f>CPUE!L71</f>
        <v>14.716216216216218</v>
      </c>
      <c r="Q73" s="213" t="str">
        <f>Effort!N71</f>
        <v>CLOSED</v>
      </c>
      <c r="R73" s="218" t="str">
        <f>Harvest!N71</f>
        <v>CLOSED</v>
      </c>
      <c r="S73" s="217" t="str">
        <f>CPUE!N71</f>
        <v>CLOSED</v>
      </c>
      <c r="T73" s="213">
        <f>+N73</f>
        <v>6218.9345949113449</v>
      </c>
      <c r="U73" s="218">
        <f>+O73</f>
        <v>91519.186133222363</v>
      </c>
    </row>
    <row r="74" spans="1:23" x14ac:dyDescent="0.25">
      <c r="A74" s="36">
        <v>43604</v>
      </c>
      <c r="B74" s="17">
        <f t="shared" si="3"/>
        <v>43604</v>
      </c>
      <c r="C74" s="12">
        <v>-1.6</v>
      </c>
      <c r="D74" s="86">
        <v>0.32013888888888892</v>
      </c>
      <c r="E74" s="213" t="str">
        <f>Effort!F72</f>
        <v>CLOSED</v>
      </c>
      <c r="F74" s="218" t="str">
        <f>Harvest!F72</f>
        <v>CLOSED</v>
      </c>
      <c r="G74" s="217" t="str">
        <f>CPUE!F72</f>
        <v>CLOSED</v>
      </c>
      <c r="H74" s="213" t="str">
        <f>Effort!H72</f>
        <v>CLOSED</v>
      </c>
      <c r="I74" s="218" t="str">
        <f>Harvest!H72</f>
        <v>CLOSED</v>
      </c>
      <c r="J74" s="248" t="str">
        <f>CPUE!H72</f>
        <v>CLOSED</v>
      </c>
      <c r="K74" s="36" t="str">
        <f>Effort!J72</f>
        <v>CLOSED</v>
      </c>
      <c r="L74" s="36" t="str">
        <f>Harvest!J72</f>
        <v>CLOSED</v>
      </c>
      <c r="M74" s="36" t="str">
        <f>CPUE!J72</f>
        <v>CLOSED</v>
      </c>
      <c r="N74" s="213">
        <f>Effort!L72</f>
        <v>4678.6958201747293</v>
      </c>
      <c r="O74" s="218">
        <f>Harvest!L72</f>
        <v>68012.261190832651</v>
      </c>
      <c r="P74" s="217">
        <f>CPUE!L72</f>
        <v>14.536585365853659</v>
      </c>
      <c r="Q74" s="213" t="str">
        <f>Effort!N72</f>
        <v>CLOSED</v>
      </c>
      <c r="R74" s="218" t="str">
        <f>Harvest!N72</f>
        <v>CLOSED</v>
      </c>
      <c r="S74" s="217" t="str">
        <f>CPUE!N72</f>
        <v>CLOSED</v>
      </c>
      <c r="T74" s="213">
        <f>+N74</f>
        <v>4678.6958201747293</v>
      </c>
      <c r="U74" s="218">
        <f t="shared" ref="U74:U75" si="5">+O74</f>
        <v>68012.261190832651</v>
      </c>
    </row>
    <row r="75" spans="1:23" x14ac:dyDescent="0.25">
      <c r="A75" s="36">
        <v>43605</v>
      </c>
      <c r="B75" s="17">
        <f t="shared" si="3"/>
        <v>43605</v>
      </c>
      <c r="C75" s="12">
        <v>-1.6</v>
      </c>
      <c r="D75" s="86">
        <v>0.34930555555555554</v>
      </c>
      <c r="E75" s="213" t="str">
        <f>Effort!F73</f>
        <v>CLOSED</v>
      </c>
      <c r="F75" s="218" t="str">
        <f>Harvest!F73</f>
        <v>CLOSED</v>
      </c>
      <c r="G75" s="217" t="str">
        <f>CPUE!F73</f>
        <v>CLOSED</v>
      </c>
      <c r="H75" s="213" t="str">
        <f>Effort!H73</f>
        <v>CLOSED</v>
      </c>
      <c r="I75" s="218" t="str">
        <f>Harvest!H73</f>
        <v>CLOSED</v>
      </c>
      <c r="J75" s="249" t="str">
        <f>CPUE!H73</f>
        <v>CLOSED</v>
      </c>
      <c r="K75" s="36" t="str">
        <f>Effort!J73</f>
        <v>CLOSED</v>
      </c>
      <c r="L75" s="36" t="str">
        <f>Harvest!J73</f>
        <v>CLOSED</v>
      </c>
      <c r="M75" s="36" t="str">
        <f>CPUE!J73</f>
        <v>CLOSED</v>
      </c>
      <c r="N75" s="213">
        <f>Effort!L73</f>
        <v>1867.9039612466729</v>
      </c>
      <c r="O75" s="218">
        <f>Harvest!L73</f>
        <v>26748.384725052361</v>
      </c>
      <c r="P75" s="217">
        <f>CPUE!L73</f>
        <v>14.320000000000002</v>
      </c>
      <c r="Q75" s="213" t="str">
        <f>Effort!N73</f>
        <v>CLOSED</v>
      </c>
      <c r="R75" s="218" t="str">
        <f>Harvest!N73</f>
        <v>CLOSED</v>
      </c>
      <c r="S75" s="217" t="str">
        <f>CPUE!N73</f>
        <v>CLOSED</v>
      </c>
      <c r="T75" s="213">
        <f>+N75</f>
        <v>1867.9039612466729</v>
      </c>
      <c r="U75" s="218">
        <f t="shared" si="5"/>
        <v>26748.384725052361</v>
      </c>
    </row>
    <row r="76" spans="1:23" x14ac:dyDescent="0.25">
      <c r="A76" s="317" t="s">
        <v>31</v>
      </c>
      <c r="B76" s="317"/>
      <c r="C76" s="317"/>
      <c r="D76" s="318"/>
      <c r="E76" s="215"/>
      <c r="F76" s="216"/>
      <c r="G76" s="94"/>
      <c r="H76" s="215"/>
      <c r="I76" s="216"/>
      <c r="J76" s="94"/>
      <c r="K76" s="215"/>
      <c r="L76" s="216"/>
      <c r="M76" s="94"/>
      <c r="N76" s="215">
        <f>SUM(N73:N75)</f>
        <v>12765.534376332747</v>
      </c>
      <c r="O76" s="216">
        <f>SUM(O73:O75)</f>
        <v>186279.83204910738</v>
      </c>
      <c r="P76" s="94">
        <f>+O76/N76</f>
        <v>14.592403777038076</v>
      </c>
      <c r="Q76" s="215"/>
      <c r="R76" s="216"/>
      <c r="S76" s="94"/>
      <c r="T76" s="215">
        <f>SUM(T73:T75)</f>
        <v>12765.534376332747</v>
      </c>
      <c r="U76" s="216">
        <f>SUM(U73:U75)</f>
        <v>186279.83204910738</v>
      </c>
    </row>
    <row r="77" spans="1:23" ht="15.75" thickBot="1" x14ac:dyDescent="0.3">
      <c r="A77" s="210"/>
      <c r="B77" s="210"/>
      <c r="C77" s="210"/>
      <c r="D77" s="210"/>
      <c r="E77" s="66"/>
      <c r="F77" s="66"/>
      <c r="G77" s="67"/>
      <c r="H77" s="66"/>
      <c r="I77" s="66"/>
      <c r="J77" s="67"/>
      <c r="K77" s="66"/>
      <c r="L77" s="66"/>
      <c r="M77" s="67"/>
      <c r="N77" s="66"/>
      <c r="O77" s="66"/>
      <c r="P77" s="67"/>
      <c r="Q77" s="66"/>
      <c r="R77" s="66"/>
      <c r="S77" s="67"/>
      <c r="T77" s="66"/>
      <c r="U77" s="66"/>
    </row>
    <row r="78" spans="1:23" ht="15.75" thickTop="1" x14ac:dyDescent="0.25">
      <c r="A78" s="38" t="s">
        <v>36</v>
      </c>
      <c r="B78" s="41"/>
      <c r="C78" s="41"/>
      <c r="D78" s="41"/>
      <c r="E78" s="39">
        <f>+E7+E12+E17+E22+E27+E32+E38+E44+E48+E56+E59+E64+E68+E72</f>
        <v>43895.803564814079</v>
      </c>
      <c r="F78" s="39">
        <f>+F7+F12+F17+F22+F27+F32+F38+F44+F48+F56+F59+F64+F68+F72</f>
        <v>614561.89777625387</v>
      </c>
      <c r="G78" s="40">
        <f>+F78/E78</f>
        <v>14.000470383662671</v>
      </c>
      <c r="H78" s="39">
        <f>+H7+H12+H17+H22+H27+H32+H38+H44+H48+H56+H59+H64+H68+H72</f>
        <v>95535.855172916461</v>
      </c>
      <c r="I78" s="39">
        <f>+I7+I12+I17+I22+I27+I32+I38+I44+I48+I56+I59+I64+I68+I72</f>
        <v>1131818.9364590403</v>
      </c>
      <c r="J78" s="40">
        <f>+I78/H78</f>
        <v>11.847059247132805</v>
      </c>
      <c r="K78" s="39">
        <f>+K7+K12+K17+K22+K27+K32+K38+K44+K48+K56+K59+K64+K72</f>
        <v>62037.806187145252</v>
      </c>
      <c r="L78" s="39">
        <f>+L7+L12+L17+L22+L27+L32+L38+L44+L48+L56+L59+L64+L72</f>
        <v>832028.7242826994</v>
      </c>
      <c r="M78" s="40">
        <f>+L78/K78</f>
        <v>13.411640021131221</v>
      </c>
      <c r="N78" s="39">
        <f>+N7+N12+N17+N22+N27+N32+N38+N44+N48+N56+N59+N64+N68+N72+N76</f>
        <v>78826.108236926724</v>
      </c>
      <c r="O78" s="39">
        <f>+O7+O12+O17+O22+O27+O32+O38+O44+O48+O56+O59+O64+O68+O72+O76</f>
        <v>1082628.9905536361</v>
      </c>
      <c r="P78" s="40">
        <f>+O78/N78</f>
        <v>13.734396062020348</v>
      </c>
      <c r="Q78" s="39">
        <f>+Q7+Q12+Q17+Q22+Q27+Q32+Q38+Q44+Q48+Q56+Q59+Q64+Q68+Q72</f>
        <v>1000.1200038391755</v>
      </c>
      <c r="R78" s="39">
        <f>+R56+R64</f>
        <v>3598.696464970832</v>
      </c>
      <c r="S78" s="40">
        <f>+R78/Q78</f>
        <v>3.5982646593973349</v>
      </c>
      <c r="T78" s="39">
        <f>+T7+T12+T17+T22+T27+T32+T38+T44+T48+T56+T59+T64+T68+T72+T76</f>
        <v>281295.69316564169</v>
      </c>
      <c r="U78" s="39">
        <f>+U7+U12+U17+U22+U27+U32+U38+U44+U48+U56+U59+U64+U68+U72+U76</f>
        <v>3664637.2455366002</v>
      </c>
      <c r="V78" s="10"/>
      <c r="W78" s="10"/>
    </row>
    <row r="79" spans="1:23" x14ac:dyDescent="0.25">
      <c r="A79" s="64" t="s">
        <v>35</v>
      </c>
      <c r="B79" s="65"/>
      <c r="C79" s="65"/>
      <c r="D79" s="65"/>
      <c r="E79" s="66"/>
      <c r="F79" s="66">
        <f>Harvest!F78</f>
        <v>30728.094888812695</v>
      </c>
      <c r="G79" s="67"/>
      <c r="H79" s="66"/>
      <c r="I79" s="66">
        <f>+Harvest!H78</f>
        <v>56590.946822952013</v>
      </c>
      <c r="J79" s="67"/>
      <c r="K79" s="66"/>
      <c r="L79" s="66">
        <f>+Harvest!J78</f>
        <v>37441.292592721475</v>
      </c>
      <c r="M79" s="67"/>
      <c r="N79" s="66"/>
      <c r="O79" s="66">
        <f>+Harvest!L78</f>
        <v>63604.453195026101</v>
      </c>
      <c r="P79" s="67"/>
      <c r="Q79" s="66"/>
      <c r="R79" s="66"/>
      <c r="S79" s="67"/>
      <c r="T79" s="66"/>
      <c r="U79" s="66">
        <f>F79+I79+L79+O79+R79</f>
        <v>188364.78749951225</v>
      </c>
    </row>
    <row r="80" spans="1:23" x14ac:dyDescent="0.25">
      <c r="A80" s="74" t="s">
        <v>32</v>
      </c>
      <c r="B80" s="75"/>
      <c r="C80" s="75"/>
      <c r="D80" s="75"/>
      <c r="E80" s="68">
        <f>Effort!F76</f>
        <v>43895.803564814079</v>
      </c>
      <c r="F80" s="68">
        <f>F78+F79</f>
        <v>645289.99266506662</v>
      </c>
      <c r="G80" s="69">
        <f>+F80/E80</f>
        <v>14.700493902845807</v>
      </c>
      <c r="H80" s="68">
        <f>H78</f>
        <v>95535.855172916461</v>
      </c>
      <c r="I80" s="68">
        <f>I78+I79</f>
        <v>1188409.8832819923</v>
      </c>
      <c r="J80" s="69">
        <f>+I80/H80</f>
        <v>12.439412209489443</v>
      </c>
      <c r="K80" s="68">
        <f>K78</f>
        <v>62037.806187145252</v>
      </c>
      <c r="L80" s="68">
        <f>L78+L79</f>
        <v>869470.01687542093</v>
      </c>
      <c r="M80" s="69">
        <f>+L80/K80</f>
        <v>14.015163822082128</v>
      </c>
      <c r="N80" s="68">
        <f>N78</f>
        <v>78826.108236926724</v>
      </c>
      <c r="O80" s="68">
        <f>O78+O79</f>
        <v>1146233.4437486622</v>
      </c>
      <c r="P80" s="69">
        <f>+O80/N80</f>
        <v>14.541291830664044</v>
      </c>
      <c r="Q80" s="68">
        <f>Q78</f>
        <v>1000.1200038391755</v>
      </c>
      <c r="R80" s="68">
        <f>R78+R79</f>
        <v>3598.696464970832</v>
      </c>
      <c r="S80" s="69"/>
      <c r="T80" s="68">
        <f>SUM(T78:T79)</f>
        <v>281295.69316564169</v>
      </c>
      <c r="U80" s="70">
        <f>SUM(U78:U79)</f>
        <v>3853002.0330361123</v>
      </c>
    </row>
    <row r="81" spans="1:21" x14ac:dyDescent="0.25">
      <c r="A81" s="76" t="s">
        <v>15</v>
      </c>
      <c r="B81" s="72"/>
      <c r="C81" s="72"/>
      <c r="D81" s="72"/>
      <c r="E81" s="72"/>
      <c r="F81" s="71">
        <f>Harvest!F81</f>
        <v>1.934571880263543</v>
      </c>
      <c r="G81" s="72"/>
      <c r="H81" s="72"/>
      <c r="I81" s="71">
        <f>Harvest!H81</f>
        <v>0.862964424639733</v>
      </c>
      <c r="J81" s="72"/>
      <c r="K81" s="72"/>
      <c r="L81" s="71">
        <f>Harvest!J81</f>
        <v>1.0101095961692592</v>
      </c>
      <c r="M81" s="72"/>
      <c r="N81" s="72"/>
      <c r="O81" s="71">
        <f>Harvest!L81</f>
        <v>0.75971182148463723</v>
      </c>
      <c r="P81" s="72"/>
      <c r="Q81" s="72"/>
      <c r="R81" s="71">
        <f>Harvest!N81</f>
        <v>4.6037912425443061E-3</v>
      </c>
      <c r="S81" s="72"/>
      <c r="T81" s="72"/>
      <c r="U81" s="73"/>
    </row>
    <row r="83" spans="1:21" x14ac:dyDescent="0.25">
      <c r="A83" s="64" t="s">
        <v>95</v>
      </c>
      <c r="E83" s="10">
        <f>E7+E12+E17+E22+E27+E32+E38+E44+E56+E59</f>
        <v>10121.173436975409</v>
      </c>
      <c r="F83" s="10">
        <f>F7+F12+F17+F22+F27+F32+F38+F44+F56+F59</f>
        <v>114139.22697419445</v>
      </c>
      <c r="H83" s="10">
        <f>H7+H12+H17+H22+H27+H32+H38+H44+H48+H56+H59</f>
        <v>65650.125840128007</v>
      </c>
      <c r="I83" s="10">
        <f>I7+I12+I17+I22+I27+I32+I38+I44+I48+I56+I59</f>
        <v>755777.79579927481</v>
      </c>
      <c r="K83" s="10">
        <f>K7+K12+K17+K22+K27+K32+K38+K44+K48+K56+K59</f>
        <v>43940.183680837552</v>
      </c>
      <c r="L83" s="10">
        <f>L7+L12+L17+L22+L27+L32+L38+L44+L48+L56+L59</f>
        <v>583320.90552043892</v>
      </c>
      <c r="N83" s="10">
        <f>N7+N12+N17+N22+N27+N32+N38+N44+N48+N56+N59+N60</f>
        <v>43002.761253420642</v>
      </c>
      <c r="O83" s="10">
        <f>O7+O12+O17+O22+O27+O32+O38+O44+O48+O56+O59+O60</f>
        <v>588749.62857922004</v>
      </c>
      <c r="Q83" s="10">
        <f>Q7+Q12+Q17+Q22+Q27+Q32+Q38+Q44+Q56+Q59</f>
        <v>710.94980630660348</v>
      </c>
      <c r="R83" s="10">
        <f>R7+R12+R17+R22+R27+R32+R38+R44+R56+R59</f>
        <v>2720.3613160818409</v>
      </c>
      <c r="T83" s="10">
        <f>E83+H83+K83+N83+Q83</f>
        <v>163425.19401766823</v>
      </c>
      <c r="U83" s="10">
        <f>F83+I83+L83+O83+R83</f>
        <v>2044707.9181892099</v>
      </c>
    </row>
    <row r="84" spans="1:21" x14ac:dyDescent="0.25">
      <c r="A84" s="64" t="s">
        <v>96</v>
      </c>
      <c r="E84" s="10">
        <f>E64+E68+E72+E76</f>
        <v>33774.630127838667</v>
      </c>
      <c r="F84" s="10">
        <f>F64+F68+F72+F76</f>
        <v>500422.67080205941</v>
      </c>
      <c r="H84" s="10">
        <f>H64+H68+H72+H76</f>
        <v>29885.729332788458</v>
      </c>
      <c r="I84" s="10">
        <f>I64+I68+I72+I76</f>
        <v>376041.1406597654</v>
      </c>
      <c r="K84" s="10">
        <f>K64+K68+K72+K76</f>
        <v>18097.622506307693</v>
      </c>
      <c r="L84" s="10">
        <f>L64+L68+L72+L76</f>
        <v>248707.81876226043</v>
      </c>
      <c r="N84" s="10">
        <f>N61+N63+N68+N72+N76</f>
        <v>35823.346983506068</v>
      </c>
      <c r="O84" s="10">
        <f>O61+O63+O68+O72+O76</f>
        <v>493879.36197441607</v>
      </c>
      <c r="Q84" s="10">
        <f>Q64+Q68+Q72+Q76</f>
        <v>289.1701975325721</v>
      </c>
      <c r="R84" s="10">
        <f>R64+R68+R72+R76</f>
        <v>878.33514888899106</v>
      </c>
      <c r="T84" s="10">
        <f>E84+H84+K84+N84+Q84</f>
        <v>117870.49914797345</v>
      </c>
      <c r="U84" s="10">
        <f>F84+I84+L84+O84+R84</f>
        <v>1619929.3273473904</v>
      </c>
    </row>
    <row r="85" spans="1:21" x14ac:dyDescent="0.25">
      <c r="E85" s="10">
        <f>SUM(E83:E84)</f>
        <v>43895.803564814079</v>
      </c>
      <c r="F85" s="10">
        <f>SUM(F83:F84)</f>
        <v>614561.89777625387</v>
      </c>
      <c r="H85" s="10">
        <f>SUM(H83:H84)</f>
        <v>95535.855172916461</v>
      </c>
      <c r="I85" s="10">
        <f>SUM(I83:I84)</f>
        <v>1131818.9364590403</v>
      </c>
      <c r="K85" s="10">
        <f>SUM(K83:K84)</f>
        <v>62037.806187145245</v>
      </c>
      <c r="L85" s="10">
        <f>SUM(L83:L84)</f>
        <v>832028.7242826994</v>
      </c>
      <c r="N85" s="10">
        <f>SUM(N83:N84)</f>
        <v>78826.10823692671</v>
      </c>
      <c r="O85" s="10">
        <f>SUM(O83:O84)</f>
        <v>1082628.9905536361</v>
      </c>
      <c r="Q85" s="10">
        <f>SUM(Q83:Q84)</f>
        <v>1000.1200038391755</v>
      </c>
      <c r="R85" s="10">
        <f>SUM(R83:R84)</f>
        <v>3598.696464970832</v>
      </c>
      <c r="T85" s="10">
        <f>SUM(T83:T84)</f>
        <v>281295.69316564169</v>
      </c>
      <c r="U85" s="10">
        <f>SUM(U83:U84)</f>
        <v>3664637.2455366002</v>
      </c>
    </row>
  </sheetData>
  <mergeCells count="21">
    <mergeCell ref="A76:D76"/>
    <mergeCell ref="T2:U2"/>
    <mergeCell ref="N2:P2"/>
    <mergeCell ref="K2:M2"/>
    <mergeCell ref="H2:J2"/>
    <mergeCell ref="E2:G2"/>
    <mergeCell ref="Q2:S2"/>
    <mergeCell ref="A72:D72"/>
    <mergeCell ref="A7:D7"/>
    <mergeCell ref="A38:D38"/>
    <mergeCell ref="A12:D12"/>
    <mergeCell ref="A17:D17"/>
    <mergeCell ref="A22:D22"/>
    <mergeCell ref="A68:D68"/>
    <mergeCell ref="A59:D59"/>
    <mergeCell ref="A64:D64"/>
    <mergeCell ref="A27:D27"/>
    <mergeCell ref="A32:D32"/>
    <mergeCell ref="A56:D56"/>
    <mergeCell ref="A44:D44"/>
    <mergeCell ref="A48:D48"/>
  </mergeCells>
  <pageMargins left="0.25" right="0.25" top="0.75" bottom="0.75" header="0.3" footer="0.3"/>
  <pageSetup scale="76" fitToHeight="0" orientation="landscape" r:id="rId1"/>
  <headerFooter>
    <oddHeader>&amp;L&amp;KFF0000PRELIMINARY ESTIMATE&amp;C&amp;KFF0000Page &amp;P</oddHeader>
  </headerFooter>
  <ignoredErrors>
    <ignoredError sqref="J7 U5 U9 M7 J12 U10 J27 J22 J59" formula="1"/>
    <ignoredError sqref="G32 J32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R75"/>
  <sheetViews>
    <sheetView workbookViewId="0">
      <selection activeCell="A36" sqref="A36:D36"/>
    </sheetView>
  </sheetViews>
  <sheetFormatPr defaultRowHeight="15" x14ac:dyDescent="0.25"/>
  <cols>
    <col min="1" max="1" width="8" customWidth="1"/>
    <col min="2" max="2" width="6.85546875" bestFit="1" customWidth="1"/>
    <col min="3" max="3" width="4.5703125" customWidth="1"/>
    <col min="4" max="4" width="8.42578125" bestFit="1" customWidth="1"/>
  </cols>
  <sheetData>
    <row r="1" spans="1:18" ht="15.75" thickBot="1" x14ac:dyDescent="0.3">
      <c r="A1" s="109" t="s">
        <v>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ht="15.75" thickTop="1" x14ac:dyDescent="0.25">
      <c r="A2" s="22"/>
      <c r="B2" s="22"/>
      <c r="C2" s="22"/>
      <c r="D2" s="22"/>
      <c r="E2" s="321" t="s">
        <v>21</v>
      </c>
      <c r="F2" s="322"/>
      <c r="G2" s="322"/>
      <c r="H2" s="323"/>
      <c r="I2" s="321" t="s">
        <v>22</v>
      </c>
      <c r="J2" s="322"/>
      <c r="K2" s="322"/>
      <c r="L2" s="323"/>
      <c r="M2" s="324" t="s">
        <v>23</v>
      </c>
      <c r="N2" s="325"/>
      <c r="O2" s="325"/>
      <c r="P2" s="326"/>
      <c r="Q2" s="319" t="s">
        <v>24</v>
      </c>
      <c r="R2" s="320"/>
    </row>
    <row r="3" spans="1:18" ht="15.75" thickBot="1" x14ac:dyDescent="0.3">
      <c r="A3" s="23" t="s">
        <v>25</v>
      </c>
      <c r="B3" s="23" t="s">
        <v>26</v>
      </c>
      <c r="C3" s="23" t="s">
        <v>27</v>
      </c>
      <c r="D3" s="23" t="s">
        <v>28</v>
      </c>
      <c r="E3" s="24" t="s">
        <v>29</v>
      </c>
      <c r="F3" s="23" t="s">
        <v>30</v>
      </c>
      <c r="G3" s="23" t="s">
        <v>10</v>
      </c>
      <c r="H3" s="23" t="s">
        <v>34</v>
      </c>
      <c r="I3" s="24" t="s">
        <v>29</v>
      </c>
      <c r="J3" s="23" t="s">
        <v>30</v>
      </c>
      <c r="K3" s="23" t="s">
        <v>10</v>
      </c>
      <c r="L3" s="23" t="s">
        <v>34</v>
      </c>
      <c r="M3" s="24" t="s">
        <v>29</v>
      </c>
      <c r="N3" s="23" t="s">
        <v>30</v>
      </c>
      <c r="O3" s="23" t="s">
        <v>10</v>
      </c>
      <c r="P3" s="23" t="s">
        <v>34</v>
      </c>
      <c r="Q3" s="24" t="s">
        <v>29</v>
      </c>
      <c r="R3" s="25" t="s">
        <v>30</v>
      </c>
    </row>
    <row r="4" spans="1:18" ht="15.75" thickTop="1" x14ac:dyDescent="0.25">
      <c r="A4" s="26">
        <v>43384</v>
      </c>
      <c r="B4" s="17">
        <f>+A4</f>
        <v>43384</v>
      </c>
      <c r="C4" s="18">
        <v>-0.6</v>
      </c>
      <c r="D4" s="19">
        <v>0.87361111111111101</v>
      </c>
      <c r="E4" s="29" t="s">
        <v>54</v>
      </c>
      <c r="F4" s="37" t="s">
        <v>54</v>
      </c>
      <c r="G4" s="87" t="s">
        <v>54</v>
      </c>
      <c r="H4" s="175"/>
      <c r="I4" s="29">
        <v>1283.6696475443512</v>
      </c>
      <c r="J4" s="37">
        <v>18599.553829312834</v>
      </c>
      <c r="K4" s="87">
        <v>14.48936170212766</v>
      </c>
      <c r="L4" s="175"/>
      <c r="M4" s="176" t="s">
        <v>54</v>
      </c>
      <c r="N4" s="175" t="s">
        <v>54</v>
      </c>
      <c r="O4" s="175" t="s">
        <v>54</v>
      </c>
      <c r="P4" s="175"/>
      <c r="Q4" s="29">
        <f>+I4</f>
        <v>1283.6696475443512</v>
      </c>
      <c r="R4" s="37">
        <f>+J4</f>
        <v>18599.553829312834</v>
      </c>
    </row>
    <row r="5" spans="1:18" x14ac:dyDescent="0.25">
      <c r="A5" s="26">
        <v>43385</v>
      </c>
      <c r="B5" s="17">
        <f t="shared" ref="B5:B6" si="0">+A5</f>
        <v>43385</v>
      </c>
      <c r="C5" s="18">
        <v>-0.3</v>
      </c>
      <c r="D5" s="19">
        <v>0.90347222222222223</v>
      </c>
      <c r="E5" s="29">
        <v>1983.4261652980529</v>
      </c>
      <c r="F5" s="37">
        <v>29090.250424371439</v>
      </c>
      <c r="G5" s="87">
        <v>14.666666666666666</v>
      </c>
      <c r="H5" s="175"/>
      <c r="I5" s="29" t="s">
        <v>54</v>
      </c>
      <c r="J5" s="37" t="s">
        <v>54</v>
      </c>
      <c r="K5" s="87" t="s">
        <v>54</v>
      </c>
      <c r="L5" s="175"/>
      <c r="M5" s="176" t="s">
        <v>54</v>
      </c>
      <c r="N5" s="175" t="s">
        <v>54</v>
      </c>
      <c r="O5" s="175" t="s">
        <v>54</v>
      </c>
      <c r="P5" s="175"/>
      <c r="Q5" s="29">
        <f>+E5</f>
        <v>1983.4261652980529</v>
      </c>
      <c r="R5" s="37">
        <f>+F5</f>
        <v>29090.250424371439</v>
      </c>
    </row>
    <row r="6" spans="1:18" x14ac:dyDescent="0.25">
      <c r="A6" s="26">
        <v>43386</v>
      </c>
      <c r="B6" s="17">
        <f t="shared" si="0"/>
        <v>43386</v>
      </c>
      <c r="C6" s="18">
        <v>0.1</v>
      </c>
      <c r="D6" s="19">
        <v>0.93472222222222223</v>
      </c>
      <c r="E6" s="29" t="s">
        <v>54</v>
      </c>
      <c r="F6" s="30" t="s">
        <v>54</v>
      </c>
      <c r="G6" s="27" t="s">
        <v>54</v>
      </c>
      <c r="H6" s="27"/>
      <c r="I6" s="29">
        <v>1673.0640265019636</v>
      </c>
      <c r="J6" s="30">
        <v>23316.105050186936</v>
      </c>
      <c r="K6" s="27">
        <v>13.936170212765955</v>
      </c>
      <c r="L6" s="27"/>
      <c r="M6" s="29" t="s">
        <v>54</v>
      </c>
      <c r="N6" s="30" t="s">
        <v>54</v>
      </c>
      <c r="O6" s="27" t="s">
        <v>54</v>
      </c>
      <c r="P6" s="27"/>
      <c r="Q6" s="29">
        <f>+I6</f>
        <v>1673.0640265019636</v>
      </c>
      <c r="R6" s="30">
        <f>+J6</f>
        <v>23316.105050186936</v>
      </c>
    </row>
    <row r="7" spans="1:18" x14ac:dyDescent="0.25">
      <c r="A7" s="317" t="s">
        <v>31</v>
      </c>
      <c r="B7" s="317"/>
      <c r="C7" s="317"/>
      <c r="D7" s="318"/>
      <c r="E7" s="33">
        <f>SUM(E5:E6)</f>
        <v>1983.4261652980529</v>
      </c>
      <c r="F7" s="34">
        <f>SUM(F5:F6)</f>
        <v>29090.250424371439</v>
      </c>
      <c r="G7" s="32">
        <f>+F7/E7</f>
        <v>14.666666666666666</v>
      </c>
      <c r="H7" s="177"/>
      <c r="I7" s="33">
        <f>SUM(I4:I6)</f>
        <v>2956.7336740463147</v>
      </c>
      <c r="J7" s="34">
        <f>SUM(J4:J6)</f>
        <v>41915.658879499766</v>
      </c>
      <c r="K7" s="32">
        <f>+J7/I7</f>
        <v>14.176338994420771</v>
      </c>
      <c r="L7" s="177"/>
      <c r="M7" s="33"/>
      <c r="N7" s="34"/>
      <c r="O7" s="34"/>
      <c r="P7" s="32"/>
      <c r="Q7" s="33">
        <f>SUM(Q4:Q6)</f>
        <v>4940.1598393443674</v>
      </c>
      <c r="R7" s="34">
        <f>SUM(R4:R6)</f>
        <v>71005.909303871202</v>
      </c>
    </row>
    <row r="8" spans="1:18" x14ac:dyDescent="0.25">
      <c r="A8" s="26">
        <v>43398</v>
      </c>
      <c r="B8" s="17">
        <f>+A8</f>
        <v>43398</v>
      </c>
      <c r="C8" s="18">
        <v>-0.5</v>
      </c>
      <c r="D8" s="19">
        <v>0.82986111111111116</v>
      </c>
      <c r="E8" s="29">
        <v>1056.2522360924809</v>
      </c>
      <c r="F8" s="37">
        <v>10682.551024117136</v>
      </c>
      <c r="G8" s="87">
        <v>10.113636363636363</v>
      </c>
      <c r="H8" s="35"/>
      <c r="I8" s="29" t="s">
        <v>54</v>
      </c>
      <c r="J8" s="37" t="s">
        <v>54</v>
      </c>
      <c r="K8" s="87" t="s">
        <v>54</v>
      </c>
      <c r="L8" s="35"/>
      <c r="M8" s="29" t="s">
        <v>54</v>
      </c>
      <c r="N8" s="30" t="s">
        <v>54</v>
      </c>
      <c r="O8" s="27" t="s">
        <v>54</v>
      </c>
      <c r="P8" s="35"/>
      <c r="Q8" s="29">
        <f>+E8</f>
        <v>1056.2522360924809</v>
      </c>
      <c r="R8" s="37">
        <f>+F8</f>
        <v>10682.551024117136</v>
      </c>
    </row>
    <row r="9" spans="1:18" x14ac:dyDescent="0.25">
      <c r="A9" s="26">
        <v>43399</v>
      </c>
      <c r="B9" s="17">
        <f t="shared" ref="B9:B64" si="1">+A9</f>
        <v>43399</v>
      </c>
      <c r="C9" s="18">
        <v>-0.7</v>
      </c>
      <c r="D9" s="19">
        <v>0.85833333333333339</v>
      </c>
      <c r="E9" s="29" t="s">
        <v>54</v>
      </c>
      <c r="F9" s="37" t="s">
        <v>54</v>
      </c>
      <c r="G9" s="87" t="s">
        <v>54</v>
      </c>
      <c r="H9" s="35"/>
      <c r="I9" s="29">
        <v>2233.1779627828964</v>
      </c>
      <c r="J9" s="37">
        <v>33762.124726809838</v>
      </c>
      <c r="K9" s="87">
        <v>15.118421052631577</v>
      </c>
      <c r="L9" s="35"/>
      <c r="M9" s="29" t="s">
        <v>54</v>
      </c>
      <c r="N9" s="30" t="s">
        <v>54</v>
      </c>
      <c r="O9" s="27" t="s">
        <v>54</v>
      </c>
      <c r="P9" s="35"/>
      <c r="Q9" s="29">
        <f>+I9</f>
        <v>2233.1779627828964</v>
      </c>
      <c r="R9" s="37">
        <f>+J9</f>
        <v>33762.124726809838</v>
      </c>
    </row>
    <row r="10" spans="1:18" x14ac:dyDescent="0.25">
      <c r="A10" s="26">
        <v>43400</v>
      </c>
      <c r="B10" s="17">
        <f t="shared" si="1"/>
        <v>43400</v>
      </c>
      <c r="C10" s="20">
        <v>-0.7</v>
      </c>
      <c r="D10" s="21">
        <v>0.8881944444444444</v>
      </c>
      <c r="E10" s="29">
        <v>1327.3992160731027</v>
      </c>
      <c r="F10" s="37">
        <v>10258.665546441509</v>
      </c>
      <c r="G10" s="87">
        <v>7.7283950617283947</v>
      </c>
      <c r="H10" s="35"/>
      <c r="I10" s="29" t="s">
        <v>54</v>
      </c>
      <c r="J10" s="37" t="s">
        <v>54</v>
      </c>
      <c r="K10" s="87" t="s">
        <v>54</v>
      </c>
      <c r="L10" s="35"/>
      <c r="M10" s="29" t="s">
        <v>54</v>
      </c>
      <c r="N10" s="30" t="s">
        <v>54</v>
      </c>
      <c r="O10" s="27" t="s">
        <v>54</v>
      </c>
      <c r="P10" s="35"/>
      <c r="Q10" s="29">
        <f>+E10</f>
        <v>1327.3992160731027</v>
      </c>
      <c r="R10" s="37">
        <f>+F10</f>
        <v>10258.665546441509</v>
      </c>
    </row>
    <row r="11" spans="1:18" x14ac:dyDescent="0.25">
      <c r="A11" s="26">
        <v>43401</v>
      </c>
      <c r="B11" s="17">
        <f t="shared" si="1"/>
        <v>43401</v>
      </c>
      <c r="C11" s="20">
        <v>-0.6</v>
      </c>
      <c r="D11" s="21">
        <v>0.92222222222222217</v>
      </c>
      <c r="E11" s="29" t="s">
        <v>54</v>
      </c>
      <c r="F11" s="37" t="s">
        <v>54</v>
      </c>
      <c r="G11" s="87" t="s">
        <v>54</v>
      </c>
      <c r="H11" s="35"/>
      <c r="I11" s="29">
        <v>668.11660370983986</v>
      </c>
      <c r="J11" s="37">
        <v>3215.3111553536041</v>
      </c>
      <c r="K11" s="87">
        <v>4.8125</v>
      </c>
      <c r="L11" s="35"/>
      <c r="M11" s="29" t="s">
        <v>54</v>
      </c>
      <c r="N11" s="30" t="s">
        <v>54</v>
      </c>
      <c r="O11" s="27" t="s">
        <v>54</v>
      </c>
      <c r="P11" s="35"/>
      <c r="Q11" s="29">
        <f>+I11</f>
        <v>668.11660370983986</v>
      </c>
      <c r="R11" s="37">
        <f>+J11</f>
        <v>3215.3111553536041</v>
      </c>
    </row>
    <row r="12" spans="1:18" x14ac:dyDescent="0.25">
      <c r="A12" s="317" t="s">
        <v>31</v>
      </c>
      <c r="B12" s="317"/>
      <c r="C12" s="317"/>
      <c r="D12" s="318"/>
      <c r="E12" s="33">
        <f>SUM(E8:E11)</f>
        <v>2383.6514521655836</v>
      </c>
      <c r="F12" s="34">
        <f>SUM(F8:F11)</f>
        <v>20941.216570558645</v>
      </c>
      <c r="G12" s="32">
        <f>+F12/E12</f>
        <v>8.7853517977778299</v>
      </c>
      <c r="H12" s="32"/>
      <c r="I12" s="33">
        <f>SUM(I9:I11)</f>
        <v>2901.2945664927365</v>
      </c>
      <c r="J12" s="34">
        <f>SUM(J9:J11)</f>
        <v>36977.435882163445</v>
      </c>
      <c r="K12" s="32">
        <f>+J12/I12</f>
        <v>12.745150495650652</v>
      </c>
      <c r="L12" s="32"/>
      <c r="M12" s="33"/>
      <c r="N12" s="34"/>
      <c r="O12" s="34"/>
      <c r="P12" s="32"/>
      <c r="Q12" s="33">
        <f>SUM(Q8:Q11)</f>
        <v>5284.9460186583201</v>
      </c>
      <c r="R12" s="34">
        <f>SUM(R8:R11)</f>
        <v>57918.65245272209</v>
      </c>
    </row>
    <row r="13" spans="1:18" x14ac:dyDescent="0.25">
      <c r="A13" s="36">
        <v>43412</v>
      </c>
      <c r="B13" s="17">
        <f t="shared" si="1"/>
        <v>43412</v>
      </c>
      <c r="C13" s="27">
        <v>-0.8</v>
      </c>
      <c r="D13" s="28">
        <v>0.7895833333333333</v>
      </c>
      <c r="E13" s="29" t="s">
        <v>54</v>
      </c>
      <c r="F13" s="37" t="s">
        <v>54</v>
      </c>
      <c r="G13" s="87" t="s">
        <v>54</v>
      </c>
      <c r="H13" s="35"/>
      <c r="I13" s="29">
        <v>1395.421324929335</v>
      </c>
      <c r="J13" s="37">
        <v>20767.152659242456</v>
      </c>
      <c r="K13" s="35">
        <v>14.882352941176471</v>
      </c>
      <c r="L13" s="67"/>
      <c r="M13" s="29" t="s">
        <v>54</v>
      </c>
      <c r="N13" s="30" t="s">
        <v>54</v>
      </c>
      <c r="O13" s="27" t="s">
        <v>54</v>
      </c>
      <c r="P13" s="67"/>
      <c r="Q13" s="29">
        <f>+I13</f>
        <v>1395.421324929335</v>
      </c>
      <c r="R13" s="37">
        <f>+J13</f>
        <v>20767.152659242456</v>
      </c>
    </row>
    <row r="14" spans="1:18" x14ac:dyDescent="0.25">
      <c r="A14" s="36">
        <v>43413</v>
      </c>
      <c r="B14" s="17">
        <f t="shared" si="1"/>
        <v>43413</v>
      </c>
      <c r="C14" s="27">
        <v>-0.7</v>
      </c>
      <c r="D14" s="28">
        <v>0.81666666666666676</v>
      </c>
      <c r="E14" s="29">
        <v>1923.6392150342299</v>
      </c>
      <c r="F14" s="37">
        <v>28854.588225513449</v>
      </c>
      <c r="G14" s="35">
        <v>15</v>
      </c>
      <c r="H14" s="67"/>
      <c r="I14" s="29" t="s">
        <v>54</v>
      </c>
      <c r="J14" s="37" t="s">
        <v>54</v>
      </c>
      <c r="K14" s="35" t="s">
        <v>54</v>
      </c>
      <c r="L14" s="67"/>
      <c r="M14" s="29" t="s">
        <v>54</v>
      </c>
      <c r="N14" s="37" t="s">
        <v>54</v>
      </c>
      <c r="O14" s="37" t="s">
        <v>54</v>
      </c>
      <c r="P14" s="67"/>
      <c r="Q14" s="29">
        <f>+E14</f>
        <v>1923.6392150342299</v>
      </c>
      <c r="R14" s="37">
        <f>+F14</f>
        <v>28854.588225513449</v>
      </c>
    </row>
    <row r="15" spans="1:18" x14ac:dyDescent="0.25">
      <c r="A15" s="36">
        <v>43414</v>
      </c>
      <c r="B15" s="17">
        <f t="shared" si="1"/>
        <v>43414</v>
      </c>
      <c r="C15" s="27">
        <v>-0.4</v>
      </c>
      <c r="D15" s="28">
        <v>0.84375</v>
      </c>
      <c r="E15" s="29" t="s">
        <v>54</v>
      </c>
      <c r="F15" s="37" t="s">
        <v>54</v>
      </c>
      <c r="G15" s="87" t="s">
        <v>54</v>
      </c>
      <c r="H15" s="35"/>
      <c r="I15" s="29">
        <v>2162.2595993676132</v>
      </c>
      <c r="J15" s="37">
        <v>31724.956416951049</v>
      </c>
      <c r="K15" s="87">
        <v>14.672131147540984</v>
      </c>
      <c r="L15" s="35"/>
      <c r="M15" s="29" t="s">
        <v>54</v>
      </c>
      <c r="N15" s="30" t="s">
        <v>54</v>
      </c>
      <c r="O15" s="27" t="s">
        <v>54</v>
      </c>
      <c r="P15" s="35"/>
      <c r="Q15" s="29">
        <f>+I15</f>
        <v>2162.2595993676132</v>
      </c>
      <c r="R15" s="37">
        <f>+J15</f>
        <v>31724.956416951049</v>
      </c>
    </row>
    <row r="16" spans="1:18" x14ac:dyDescent="0.25">
      <c r="A16" s="36">
        <v>43415</v>
      </c>
      <c r="B16" s="17">
        <f t="shared" si="1"/>
        <v>43415</v>
      </c>
      <c r="C16" s="27">
        <v>0</v>
      </c>
      <c r="D16" s="28">
        <v>0.87222222222222223</v>
      </c>
      <c r="E16" s="29">
        <v>1658.3252556872683</v>
      </c>
      <c r="F16" s="37">
        <v>24742.212814854043</v>
      </c>
      <c r="G16" s="87">
        <v>14.92</v>
      </c>
      <c r="H16" s="35"/>
      <c r="I16" s="29" t="s">
        <v>54</v>
      </c>
      <c r="J16" s="37" t="s">
        <v>54</v>
      </c>
      <c r="K16" s="87" t="s">
        <v>54</v>
      </c>
      <c r="L16" s="35"/>
      <c r="M16" s="29" t="s">
        <v>54</v>
      </c>
      <c r="N16" s="30" t="s">
        <v>54</v>
      </c>
      <c r="O16" s="27" t="s">
        <v>54</v>
      </c>
      <c r="P16" s="35"/>
      <c r="Q16" s="29">
        <f>+E16</f>
        <v>1658.3252556872683</v>
      </c>
      <c r="R16" s="37">
        <f>+F16</f>
        <v>24742.212814854043</v>
      </c>
    </row>
    <row r="17" spans="1:18" x14ac:dyDescent="0.25">
      <c r="A17" s="317" t="s">
        <v>31</v>
      </c>
      <c r="B17" s="317"/>
      <c r="C17" s="317"/>
      <c r="D17" s="318"/>
      <c r="E17" s="33">
        <f>SUM(E14:E16)</f>
        <v>3581.9644707214984</v>
      </c>
      <c r="F17" s="34">
        <f>SUM(F14:F16)</f>
        <v>53596.801040367493</v>
      </c>
      <c r="G17" s="32">
        <f>+F17/E17</f>
        <v>14.962962776002001</v>
      </c>
      <c r="H17" s="177"/>
      <c r="I17" s="33">
        <f>SUM(I13:I16)</f>
        <v>3557.6809242969484</v>
      </c>
      <c r="J17" s="34">
        <f>SUM(J13:J16)</f>
        <v>52492.109076193505</v>
      </c>
      <c r="K17" s="32">
        <f>+J17/I17</f>
        <v>14.754585976977893</v>
      </c>
      <c r="L17" s="177"/>
      <c r="M17" s="33"/>
      <c r="N17" s="34"/>
      <c r="O17" s="34"/>
      <c r="P17" s="32"/>
      <c r="Q17" s="33">
        <f>SUM(Q13:Q16)</f>
        <v>7139.6453950184468</v>
      </c>
      <c r="R17" s="34">
        <f>SUM(R13:R16)</f>
        <v>106088.91011656099</v>
      </c>
    </row>
    <row r="18" spans="1:18" x14ac:dyDescent="0.25">
      <c r="A18" s="36">
        <v>43426</v>
      </c>
      <c r="B18" s="17">
        <f t="shared" si="1"/>
        <v>43426</v>
      </c>
      <c r="C18" s="27">
        <v>-0.7</v>
      </c>
      <c r="D18" s="28">
        <v>0.74652777777777779</v>
      </c>
      <c r="E18" s="29">
        <v>1588.2201234121189</v>
      </c>
      <c r="F18" s="37">
        <v>23238.168121503637</v>
      </c>
      <c r="G18" s="87">
        <v>14.631578947368423</v>
      </c>
      <c r="H18" s="35"/>
      <c r="I18" s="29" t="s">
        <v>54</v>
      </c>
      <c r="J18" s="37" t="s">
        <v>54</v>
      </c>
      <c r="K18" s="87" t="s">
        <v>54</v>
      </c>
      <c r="L18" s="35"/>
      <c r="M18" s="29" t="s">
        <v>54</v>
      </c>
      <c r="N18" s="30" t="s">
        <v>54</v>
      </c>
      <c r="O18" s="27" t="s">
        <v>54</v>
      </c>
      <c r="P18" s="35"/>
      <c r="Q18" s="29">
        <f>+E18</f>
        <v>1588.2201234121189</v>
      </c>
      <c r="R18" s="37">
        <f>+F18</f>
        <v>23238.168121503637</v>
      </c>
    </row>
    <row r="19" spans="1:18" x14ac:dyDescent="0.25">
      <c r="A19" s="36">
        <v>43427</v>
      </c>
      <c r="B19" s="17">
        <f t="shared" si="1"/>
        <v>43427</v>
      </c>
      <c r="C19" s="27">
        <v>-1.1000000000000001</v>
      </c>
      <c r="D19" s="28">
        <v>0.77500000000000002</v>
      </c>
      <c r="E19" s="29" t="s">
        <v>54</v>
      </c>
      <c r="F19" s="37" t="s">
        <v>54</v>
      </c>
      <c r="G19" s="87" t="s">
        <v>54</v>
      </c>
      <c r="H19" s="35"/>
      <c r="I19" s="29">
        <v>4038.1859770360866</v>
      </c>
      <c r="J19" s="37">
        <v>59634.625236633925</v>
      </c>
      <c r="K19" s="87">
        <v>14.767676767676768</v>
      </c>
      <c r="L19" s="35"/>
      <c r="M19" s="29" t="s">
        <v>54</v>
      </c>
      <c r="N19" s="30" t="s">
        <v>54</v>
      </c>
      <c r="O19" s="27" t="s">
        <v>54</v>
      </c>
      <c r="P19" s="35"/>
      <c r="Q19" s="29">
        <f>+I19</f>
        <v>4038.1859770360866</v>
      </c>
      <c r="R19" s="37">
        <f>+J19</f>
        <v>59634.625236633925</v>
      </c>
    </row>
    <row r="20" spans="1:18" x14ac:dyDescent="0.25">
      <c r="A20" s="36">
        <v>43428</v>
      </c>
      <c r="B20" s="17">
        <f t="shared" si="1"/>
        <v>43428</v>
      </c>
      <c r="C20" s="27">
        <v>-1.3</v>
      </c>
      <c r="D20" s="28">
        <v>0.80555555555555547</v>
      </c>
      <c r="E20" s="29">
        <v>3198.5485088909131</v>
      </c>
      <c r="F20" s="37">
        <v>47122.801869357994</v>
      </c>
      <c r="G20" s="87">
        <v>14.732558139534886</v>
      </c>
      <c r="H20" s="35"/>
      <c r="I20" s="29">
        <v>1414.6371179318728</v>
      </c>
      <c r="J20" s="37">
        <v>19633.448485236298</v>
      </c>
      <c r="K20" s="87">
        <v>13.878787878787881</v>
      </c>
      <c r="L20" s="35"/>
      <c r="M20" s="29" t="s">
        <v>54</v>
      </c>
      <c r="N20" s="30" t="s">
        <v>54</v>
      </c>
      <c r="O20" s="27" t="s">
        <v>54</v>
      </c>
      <c r="P20" s="35"/>
      <c r="Q20" s="29">
        <f>+E20+I20</f>
        <v>4613.1856268227857</v>
      </c>
      <c r="R20" s="37">
        <f>+F20+J20</f>
        <v>66756.250354594289</v>
      </c>
    </row>
    <row r="21" spans="1:18" x14ac:dyDescent="0.25">
      <c r="A21" s="36">
        <v>43429</v>
      </c>
      <c r="B21" s="17">
        <f t="shared" si="1"/>
        <v>43429</v>
      </c>
      <c r="C21" s="27">
        <v>-1.3</v>
      </c>
      <c r="D21" s="28">
        <v>0.83680555555555547</v>
      </c>
      <c r="E21" s="29" t="s">
        <v>54</v>
      </c>
      <c r="F21" s="37" t="s">
        <v>54</v>
      </c>
      <c r="G21" s="87" t="s">
        <v>54</v>
      </c>
      <c r="H21" s="35"/>
      <c r="I21" s="29">
        <v>499.47238924369924</v>
      </c>
      <c r="J21" s="37">
        <v>7321.8111605042268</v>
      </c>
      <c r="K21" s="87">
        <v>14.659090909090908</v>
      </c>
      <c r="L21" s="35"/>
      <c r="M21" s="29" t="s">
        <v>54</v>
      </c>
      <c r="N21" s="30" t="s">
        <v>54</v>
      </c>
      <c r="O21" s="27" t="s">
        <v>54</v>
      </c>
      <c r="P21" s="35"/>
      <c r="Q21" s="29">
        <f>+I21</f>
        <v>499.47238924369924</v>
      </c>
      <c r="R21" s="37">
        <f>+J21</f>
        <v>7321.8111605042268</v>
      </c>
    </row>
    <row r="22" spans="1:18" x14ac:dyDescent="0.25">
      <c r="A22" s="317" t="s">
        <v>31</v>
      </c>
      <c r="B22" s="317"/>
      <c r="C22" s="317"/>
      <c r="D22" s="318"/>
      <c r="E22" s="33">
        <f>SUM(E18:E21)</f>
        <v>4786.7686323030321</v>
      </c>
      <c r="F22" s="34">
        <f>SUM(F18:F21)</f>
        <v>70360.969990861631</v>
      </c>
      <c r="G22" s="32">
        <f>+F22/E22</f>
        <v>14.699053870295218</v>
      </c>
      <c r="H22" s="177"/>
      <c r="I22" s="33">
        <f>SUM(I19:I21)</f>
        <v>5952.2954842116587</v>
      </c>
      <c r="J22" s="34">
        <f>SUM(J19:J21)</f>
        <v>86589.884882374448</v>
      </c>
      <c r="K22" s="32">
        <f>+J22/I22</f>
        <v>14.547309540000549</v>
      </c>
      <c r="L22" s="177"/>
      <c r="M22" s="33"/>
      <c r="N22" s="34"/>
      <c r="O22" s="34"/>
      <c r="P22" s="32"/>
      <c r="Q22" s="33">
        <f>SUM(Q18:Q21)</f>
        <v>10739.064116514692</v>
      </c>
      <c r="R22" s="34">
        <f>SUM(R18:R21)</f>
        <v>156950.85487323609</v>
      </c>
    </row>
    <row r="23" spans="1:18" x14ac:dyDescent="0.25">
      <c r="A23" s="36">
        <v>43440</v>
      </c>
      <c r="B23" s="17">
        <f t="shared" si="1"/>
        <v>43440</v>
      </c>
      <c r="C23" s="12">
        <v>-0.7</v>
      </c>
      <c r="D23" s="86">
        <v>0.75069444444444444</v>
      </c>
      <c r="E23" s="29">
        <v>1112.2014898236332</v>
      </c>
      <c r="F23" s="37">
        <v>12790.317132971781</v>
      </c>
      <c r="G23" s="87">
        <v>11.499999999999998</v>
      </c>
      <c r="H23" s="35"/>
      <c r="I23" s="29" t="s">
        <v>54</v>
      </c>
      <c r="J23" s="37" t="s">
        <v>54</v>
      </c>
      <c r="K23" s="87" t="s">
        <v>54</v>
      </c>
      <c r="L23" s="35"/>
      <c r="M23" s="29" t="s">
        <v>54</v>
      </c>
      <c r="N23" s="30" t="s">
        <v>54</v>
      </c>
      <c r="O23" s="27" t="s">
        <v>54</v>
      </c>
      <c r="P23" s="35"/>
      <c r="Q23" s="29">
        <f>+E23</f>
        <v>1112.2014898236332</v>
      </c>
      <c r="R23" s="37">
        <f>+F23</f>
        <v>12790.317132971781</v>
      </c>
    </row>
    <row r="24" spans="1:18" x14ac:dyDescent="0.25">
      <c r="A24" s="36">
        <v>43441</v>
      </c>
      <c r="B24" s="17">
        <f t="shared" si="1"/>
        <v>43441</v>
      </c>
      <c r="C24" s="12">
        <v>-0.7</v>
      </c>
      <c r="D24" s="86">
        <v>0.77777777777777779</v>
      </c>
      <c r="E24" s="29" t="s">
        <v>54</v>
      </c>
      <c r="F24" s="37" t="s">
        <v>54</v>
      </c>
      <c r="G24" s="87" t="s">
        <v>54</v>
      </c>
      <c r="H24" s="35"/>
      <c r="I24" s="29">
        <v>576.3050066757321</v>
      </c>
      <c r="J24" s="37">
        <v>4694.4845335460677</v>
      </c>
      <c r="K24" s="87">
        <v>8.1458333333333339</v>
      </c>
      <c r="L24" s="35"/>
      <c r="M24" s="29" t="s">
        <v>54</v>
      </c>
      <c r="N24" s="30" t="s">
        <v>54</v>
      </c>
      <c r="O24" s="27" t="s">
        <v>54</v>
      </c>
      <c r="P24" s="35"/>
      <c r="Q24" s="29">
        <f>+I24</f>
        <v>576.3050066757321</v>
      </c>
      <c r="R24" s="37">
        <f>+J24</f>
        <v>4694.4845335460677</v>
      </c>
    </row>
    <row r="25" spans="1:18" x14ac:dyDescent="0.25">
      <c r="A25" s="36">
        <v>43442</v>
      </c>
      <c r="B25" s="17">
        <f t="shared" si="1"/>
        <v>43442</v>
      </c>
      <c r="C25" s="12">
        <v>-0.6</v>
      </c>
      <c r="D25" s="86">
        <v>0.8027777777777777</v>
      </c>
      <c r="E25" s="29">
        <v>1667.8920270267668</v>
      </c>
      <c r="F25" s="37">
        <v>21330.224796342314</v>
      </c>
      <c r="G25" s="87">
        <v>12.788732394366198</v>
      </c>
      <c r="H25" s="35"/>
      <c r="I25" s="29" t="s">
        <v>54</v>
      </c>
      <c r="J25" s="37" t="s">
        <v>54</v>
      </c>
      <c r="K25" s="87" t="s">
        <v>54</v>
      </c>
      <c r="L25" s="35"/>
      <c r="M25" s="29" t="s">
        <v>54</v>
      </c>
      <c r="N25" s="30" t="s">
        <v>54</v>
      </c>
      <c r="O25" s="27" t="s">
        <v>54</v>
      </c>
      <c r="P25" s="35"/>
      <c r="Q25" s="29">
        <f>+E25</f>
        <v>1667.8920270267668</v>
      </c>
      <c r="R25" s="37">
        <f>+F25</f>
        <v>21330.224796342314</v>
      </c>
    </row>
    <row r="26" spans="1:18" x14ac:dyDescent="0.25">
      <c r="A26" s="36">
        <v>43443</v>
      </c>
      <c r="B26" s="17">
        <f t="shared" si="1"/>
        <v>43443</v>
      </c>
      <c r="C26" s="12">
        <v>-0.4</v>
      </c>
      <c r="D26" s="86">
        <v>0.82847222222222217</v>
      </c>
      <c r="E26" s="29" t="s">
        <v>54</v>
      </c>
      <c r="F26" s="37" t="s">
        <v>54</v>
      </c>
      <c r="G26" s="87" t="s">
        <v>54</v>
      </c>
      <c r="H26" s="35"/>
      <c r="I26" s="29">
        <v>226.07677579663562</v>
      </c>
      <c r="J26" s="37">
        <v>2003.8623309247246</v>
      </c>
      <c r="K26" s="87">
        <v>8.8636363636363633</v>
      </c>
      <c r="L26" s="35"/>
      <c r="M26" s="29" t="s">
        <v>54</v>
      </c>
      <c r="N26" s="30" t="s">
        <v>54</v>
      </c>
      <c r="O26" s="27" t="s">
        <v>54</v>
      </c>
      <c r="P26" s="35"/>
      <c r="Q26" s="29">
        <f>+I26</f>
        <v>226.07677579663562</v>
      </c>
      <c r="R26" s="37">
        <f>+J26</f>
        <v>2003.8623309247246</v>
      </c>
    </row>
    <row r="27" spans="1:18" x14ac:dyDescent="0.25">
      <c r="A27" s="317" t="s">
        <v>31</v>
      </c>
      <c r="B27" s="317"/>
      <c r="C27" s="317"/>
      <c r="D27" s="318"/>
      <c r="E27" s="33">
        <f>SUM(E23:E26)</f>
        <v>2780.0935168504002</v>
      </c>
      <c r="F27" s="34">
        <f>SUM(F23:F26)</f>
        <v>34120.541929314095</v>
      </c>
      <c r="G27" s="32">
        <f>+F27/E27</f>
        <v>12.273163374723325</v>
      </c>
      <c r="H27" s="177"/>
      <c r="I27" s="33">
        <f>SUM(I24:I26)</f>
        <v>802.38178247236772</v>
      </c>
      <c r="J27" s="34">
        <f>SUM(J24:J26)</f>
        <v>6698.3468644707918</v>
      </c>
      <c r="K27" s="32">
        <f>+J27/I27</f>
        <v>8.3480794439665242</v>
      </c>
      <c r="L27" s="177"/>
      <c r="M27" s="33"/>
      <c r="N27" s="34"/>
      <c r="O27" s="32"/>
      <c r="P27" s="32"/>
      <c r="Q27" s="33">
        <f>SUM(Q23:Q26)</f>
        <v>3582.4752993227676</v>
      </c>
      <c r="R27" s="34">
        <f>SUM(R23:R26)</f>
        <v>40818.888793784885</v>
      </c>
    </row>
    <row r="28" spans="1:18" x14ac:dyDescent="0.25">
      <c r="A28" s="36">
        <v>43454</v>
      </c>
      <c r="B28" s="17">
        <f t="shared" si="1"/>
        <v>43454</v>
      </c>
      <c r="C28" s="12">
        <v>-0.3</v>
      </c>
      <c r="D28" s="86">
        <v>0.70208333333333339</v>
      </c>
      <c r="E28" s="29" t="s">
        <v>54</v>
      </c>
      <c r="F28" s="37" t="s">
        <v>54</v>
      </c>
      <c r="G28" s="87" t="s">
        <v>54</v>
      </c>
      <c r="H28" s="35"/>
      <c r="I28" s="29">
        <v>280.13746802135654</v>
      </c>
      <c r="J28" s="37">
        <v>1142.9608695271349</v>
      </c>
      <c r="K28" s="87">
        <v>4.080000000000001</v>
      </c>
      <c r="L28" s="35"/>
      <c r="M28" s="29" t="s">
        <v>54</v>
      </c>
      <c r="N28" s="30" t="s">
        <v>54</v>
      </c>
      <c r="O28" s="27" t="s">
        <v>54</v>
      </c>
      <c r="P28" s="35"/>
      <c r="Q28" s="29">
        <f>+I28</f>
        <v>280.13746802135654</v>
      </c>
      <c r="R28" s="37">
        <f>+J28</f>
        <v>1142.9608695271349</v>
      </c>
    </row>
    <row r="29" spans="1:18" x14ac:dyDescent="0.25">
      <c r="A29" s="36">
        <v>43455</v>
      </c>
      <c r="B29" s="17">
        <f t="shared" si="1"/>
        <v>43455</v>
      </c>
      <c r="C29" s="12">
        <v>-1</v>
      </c>
      <c r="D29" s="86">
        <v>0.73263888888888884</v>
      </c>
      <c r="E29" s="29">
        <v>1681.3143733961617</v>
      </c>
      <c r="F29" s="37">
        <v>25219.715600942425</v>
      </c>
      <c r="G29" s="87">
        <v>15</v>
      </c>
      <c r="H29" s="35"/>
      <c r="I29" s="29" t="s">
        <v>54</v>
      </c>
      <c r="J29" s="37" t="s">
        <v>54</v>
      </c>
      <c r="K29" s="87" t="s">
        <v>54</v>
      </c>
      <c r="L29" s="35"/>
      <c r="M29" s="29" t="s">
        <v>54</v>
      </c>
      <c r="N29" s="30" t="s">
        <v>54</v>
      </c>
      <c r="O29" s="27" t="s">
        <v>54</v>
      </c>
      <c r="P29" s="35"/>
      <c r="Q29" s="29">
        <f>+E29</f>
        <v>1681.3143733961617</v>
      </c>
      <c r="R29" s="37">
        <f>+F29</f>
        <v>25219.715600942425</v>
      </c>
    </row>
    <row r="30" spans="1:18" x14ac:dyDescent="0.25">
      <c r="A30" s="36">
        <v>43456</v>
      </c>
      <c r="B30" s="17">
        <f t="shared" si="1"/>
        <v>43456</v>
      </c>
      <c r="C30" s="12">
        <v>-1.4</v>
      </c>
      <c r="D30" s="86">
        <v>0.76388888888888884</v>
      </c>
      <c r="E30" s="29" t="s">
        <v>54</v>
      </c>
      <c r="F30" s="37" t="s">
        <v>54</v>
      </c>
      <c r="G30" s="87" t="s">
        <v>54</v>
      </c>
      <c r="H30" s="35"/>
      <c r="I30" s="29">
        <v>881.01386968416227</v>
      </c>
      <c r="J30" s="37">
        <v>4055.9883811874633</v>
      </c>
      <c r="K30" s="87">
        <v>4.6037735849056594</v>
      </c>
      <c r="L30" s="35"/>
      <c r="M30" s="29" t="s">
        <v>54</v>
      </c>
      <c r="N30" s="30" t="s">
        <v>54</v>
      </c>
      <c r="O30" s="27" t="s">
        <v>54</v>
      </c>
      <c r="P30" s="35"/>
      <c r="Q30" s="29">
        <f>+I30</f>
        <v>881.01386968416227</v>
      </c>
      <c r="R30" s="37">
        <f>+J30</f>
        <v>4055.9883811874633</v>
      </c>
    </row>
    <row r="31" spans="1:18" x14ac:dyDescent="0.25">
      <c r="A31" s="36">
        <v>43457</v>
      </c>
      <c r="B31" s="17">
        <f t="shared" si="1"/>
        <v>43457</v>
      </c>
      <c r="C31" s="12">
        <v>-1.6</v>
      </c>
      <c r="D31" s="86">
        <v>0.79513888888888884</v>
      </c>
      <c r="E31" s="29">
        <v>1074.4421891105458</v>
      </c>
      <c r="F31" s="37">
        <v>7628.5395426848745</v>
      </c>
      <c r="G31" s="87">
        <v>7.1</v>
      </c>
      <c r="H31" s="35"/>
      <c r="I31" s="29" t="s">
        <v>54</v>
      </c>
      <c r="J31" s="37" t="s">
        <v>54</v>
      </c>
      <c r="K31" s="87" t="s">
        <v>54</v>
      </c>
      <c r="L31" s="35"/>
      <c r="M31" s="29" t="s">
        <v>54</v>
      </c>
      <c r="N31" s="30" t="s">
        <v>54</v>
      </c>
      <c r="O31" s="27" t="s">
        <v>54</v>
      </c>
      <c r="P31" s="35"/>
      <c r="Q31" s="29">
        <f>+E31</f>
        <v>1074.4421891105458</v>
      </c>
      <c r="R31" s="37">
        <f>+F31</f>
        <v>7628.5395426848745</v>
      </c>
    </row>
    <row r="32" spans="1:18" x14ac:dyDescent="0.25">
      <c r="A32" s="317" t="s">
        <v>31</v>
      </c>
      <c r="B32" s="317"/>
      <c r="C32" s="317"/>
      <c r="D32" s="318"/>
      <c r="E32" s="33">
        <f>SUM(E29:E31)</f>
        <v>2755.7565625067073</v>
      </c>
      <c r="F32" s="34">
        <f>SUM(F29:F31)</f>
        <v>32848.255143627299</v>
      </c>
      <c r="G32" s="32">
        <f>+F32/E32</f>
        <v>11.919868246180526</v>
      </c>
      <c r="H32" s="177"/>
      <c r="I32" s="33">
        <f>SUM(I28:I31)</f>
        <v>1161.1513377055189</v>
      </c>
      <c r="J32" s="34">
        <f>SUM(J28:J31)</f>
        <v>5198.9492507145987</v>
      </c>
      <c r="K32" s="32">
        <f>+J32/I32</f>
        <v>4.4774088285407556</v>
      </c>
      <c r="L32" s="177"/>
      <c r="M32" s="33"/>
      <c r="N32" s="34"/>
      <c r="O32" s="34"/>
      <c r="P32" s="32"/>
      <c r="Q32" s="33">
        <f>SUM(Q28:Q31)</f>
        <v>3916.9079002122262</v>
      </c>
      <c r="R32" s="34">
        <f>SUM(R28:R31)</f>
        <v>38047.204394341898</v>
      </c>
    </row>
    <row r="33" spans="1:18" x14ac:dyDescent="0.25">
      <c r="A33" s="36">
        <v>43469</v>
      </c>
      <c r="B33" s="17">
        <f t="shared" si="1"/>
        <v>43469</v>
      </c>
      <c r="C33" s="12">
        <v>-0.4</v>
      </c>
      <c r="D33" s="86">
        <v>0.7402777777777777</v>
      </c>
      <c r="E33" s="29" t="s">
        <v>54</v>
      </c>
      <c r="F33" s="37" t="s">
        <v>54</v>
      </c>
      <c r="G33" s="35" t="s">
        <v>54</v>
      </c>
      <c r="H33" s="67"/>
      <c r="I33" s="29">
        <v>931.3652227568449</v>
      </c>
      <c r="J33" s="37">
        <v>9123.1457047318218</v>
      </c>
      <c r="K33" s="35">
        <v>9.795454545454545</v>
      </c>
      <c r="L33" s="186"/>
      <c r="M33" s="29" t="s">
        <v>54</v>
      </c>
      <c r="N33" s="37" t="s">
        <v>54</v>
      </c>
      <c r="O33" s="37" t="s">
        <v>54</v>
      </c>
      <c r="P33" s="67"/>
      <c r="Q33" s="29">
        <v>931.3652227568449</v>
      </c>
      <c r="R33" s="37">
        <v>9123.1457047318218</v>
      </c>
    </row>
    <row r="34" spans="1:18" x14ac:dyDescent="0.25">
      <c r="A34" s="36">
        <v>43470</v>
      </c>
      <c r="B34" s="17">
        <f t="shared" si="1"/>
        <v>43470</v>
      </c>
      <c r="C34" s="12">
        <v>-0.4</v>
      </c>
      <c r="D34" s="86">
        <v>0.76597222222222217</v>
      </c>
      <c r="E34" s="29">
        <v>1448.5191219377602</v>
      </c>
      <c r="F34" s="37">
        <v>11861.458470207321</v>
      </c>
      <c r="G34" s="35">
        <v>8.1886792452830193</v>
      </c>
      <c r="H34" s="67"/>
      <c r="I34" s="29" t="s">
        <v>54</v>
      </c>
      <c r="J34" s="37" t="s">
        <v>54</v>
      </c>
      <c r="K34" s="35" t="s">
        <v>54</v>
      </c>
      <c r="L34" s="186"/>
      <c r="M34" s="29" t="s">
        <v>54</v>
      </c>
      <c r="N34" s="37" t="s">
        <v>54</v>
      </c>
      <c r="O34" s="37" t="s">
        <v>54</v>
      </c>
      <c r="P34" s="67"/>
      <c r="Q34" s="29">
        <v>1448.5191219377602</v>
      </c>
      <c r="R34" s="37">
        <v>11861.458470207321</v>
      </c>
    </row>
    <row r="35" spans="1:18" x14ac:dyDescent="0.25">
      <c r="A35" s="36">
        <v>43471</v>
      </c>
      <c r="B35" s="17">
        <f t="shared" si="1"/>
        <v>43471</v>
      </c>
      <c r="C35" s="12">
        <v>-0.4</v>
      </c>
      <c r="D35" s="86">
        <v>0.7909722222222223</v>
      </c>
      <c r="E35" s="29" t="s">
        <v>54</v>
      </c>
      <c r="F35" s="37" t="s">
        <v>54</v>
      </c>
      <c r="G35" s="35" t="s">
        <v>54</v>
      </c>
      <c r="H35" s="67"/>
      <c r="I35" s="29">
        <v>95.964568088884249</v>
      </c>
      <c r="J35" s="37">
        <v>1407.4803319703024</v>
      </c>
      <c r="K35" s="35">
        <v>14.666666666666668</v>
      </c>
      <c r="L35" s="186"/>
      <c r="M35" s="29" t="s">
        <v>54</v>
      </c>
      <c r="N35" s="37" t="s">
        <v>54</v>
      </c>
      <c r="O35" s="37" t="s">
        <v>54</v>
      </c>
      <c r="P35" s="67"/>
      <c r="Q35" s="29">
        <v>95.964568088884249</v>
      </c>
      <c r="R35" s="37">
        <v>1407.4803319703024</v>
      </c>
    </row>
    <row r="36" spans="1:18" x14ac:dyDescent="0.25">
      <c r="A36" s="317" t="s">
        <v>31</v>
      </c>
      <c r="B36" s="317"/>
      <c r="C36" s="317"/>
      <c r="D36" s="318"/>
      <c r="E36" s="33">
        <f>SUM(E34:E35)</f>
        <v>1448.5191219377602</v>
      </c>
      <c r="F36" s="34">
        <f>SUM(F34:F35)</f>
        <v>11861.458470207321</v>
      </c>
      <c r="G36" s="32">
        <f>+F36/E36</f>
        <v>8.1886792452830193</v>
      </c>
      <c r="H36" s="177"/>
      <c r="I36" s="33">
        <f>SUM(I33:I35)</f>
        <v>1027.3297908457291</v>
      </c>
      <c r="J36" s="34">
        <f>SUM(J33:J35)</f>
        <v>10530.626036702124</v>
      </c>
      <c r="K36" s="32">
        <f>+J36/I36</f>
        <v>10.250482494071347</v>
      </c>
      <c r="L36" s="177"/>
      <c r="M36" s="33"/>
      <c r="N36" s="34"/>
      <c r="O36" s="34"/>
      <c r="P36" s="32"/>
      <c r="Q36" s="33">
        <f>SUM(Q33:Q35)</f>
        <v>2475.8489127834896</v>
      </c>
      <c r="R36" s="34">
        <f>SUM(R33:R35)</f>
        <v>22392.084506909447</v>
      </c>
    </row>
    <row r="37" spans="1:18" x14ac:dyDescent="0.25">
      <c r="A37" s="36">
        <v>43484</v>
      </c>
      <c r="B37" s="17">
        <f t="shared" si="1"/>
        <v>43484</v>
      </c>
      <c r="C37" s="12">
        <v>-1.1000000000000001</v>
      </c>
      <c r="D37" s="86">
        <v>0.72083333333333333</v>
      </c>
      <c r="E37" s="213" t="s">
        <v>54</v>
      </c>
      <c r="F37" s="218" t="s">
        <v>54</v>
      </c>
      <c r="G37" s="217" t="s">
        <v>54</v>
      </c>
      <c r="H37" s="67"/>
      <c r="I37" s="213">
        <v>6352.8667886082021</v>
      </c>
      <c r="J37" s="218">
        <v>92345.795586985216</v>
      </c>
      <c r="K37" s="217">
        <v>14.536082474226806</v>
      </c>
      <c r="L37" s="186"/>
      <c r="M37" s="213" t="s">
        <v>54</v>
      </c>
      <c r="N37" s="218" t="s">
        <v>54</v>
      </c>
      <c r="O37" s="218" t="s">
        <v>54</v>
      </c>
      <c r="P37" s="67"/>
      <c r="Q37" s="213">
        <f>+I37</f>
        <v>6352.8667886082021</v>
      </c>
      <c r="R37" s="218">
        <f>+J37</f>
        <v>92345.795586985216</v>
      </c>
    </row>
    <row r="38" spans="1:18" x14ac:dyDescent="0.25">
      <c r="A38" s="36">
        <v>43485</v>
      </c>
      <c r="B38" s="17">
        <f t="shared" si="1"/>
        <v>43485</v>
      </c>
      <c r="C38" s="12">
        <v>-1.6</v>
      </c>
      <c r="D38" s="86">
        <v>0.75347222222222221</v>
      </c>
      <c r="E38" s="213">
        <v>5194.5748037358944</v>
      </c>
      <c r="F38" s="218">
        <v>77918.62205603841</v>
      </c>
      <c r="G38" s="217">
        <v>14.999999999999998</v>
      </c>
      <c r="H38" s="67"/>
      <c r="I38" s="213" t="s">
        <v>54</v>
      </c>
      <c r="J38" s="218" t="s">
        <v>54</v>
      </c>
      <c r="K38" s="217" t="s">
        <v>54</v>
      </c>
      <c r="L38" s="186"/>
      <c r="M38" s="213" t="s">
        <v>54</v>
      </c>
      <c r="N38" s="218" t="s">
        <v>54</v>
      </c>
      <c r="O38" s="218" t="s">
        <v>54</v>
      </c>
      <c r="P38" s="67"/>
      <c r="Q38" s="213">
        <f>+E38</f>
        <v>5194.5748037358944</v>
      </c>
      <c r="R38" s="218">
        <f>+F38</f>
        <v>77918.62205603841</v>
      </c>
    </row>
    <row r="39" spans="1:18" x14ac:dyDescent="0.25">
      <c r="A39" s="36">
        <v>43486</v>
      </c>
      <c r="B39" s="17">
        <f t="shared" si="1"/>
        <v>43486</v>
      </c>
      <c r="C39" s="12">
        <v>-1.8</v>
      </c>
      <c r="D39" s="86">
        <v>0.78541666666666676</v>
      </c>
      <c r="E39" s="213" t="s">
        <v>54</v>
      </c>
      <c r="F39" s="218" t="s">
        <v>54</v>
      </c>
      <c r="G39" s="217" t="s">
        <v>54</v>
      </c>
      <c r="H39" s="67"/>
      <c r="I39" s="213">
        <v>1471.4933045335947</v>
      </c>
      <c r="J39" s="218">
        <v>20145.44405016231</v>
      </c>
      <c r="K39" s="217">
        <v>13.690476190476192</v>
      </c>
      <c r="L39" s="186"/>
      <c r="M39" s="213" t="s">
        <v>54</v>
      </c>
      <c r="N39" s="218" t="s">
        <v>54</v>
      </c>
      <c r="O39" s="218" t="s">
        <v>54</v>
      </c>
      <c r="P39" s="67"/>
      <c r="Q39" s="213">
        <f>+I39</f>
        <v>1471.4933045335947</v>
      </c>
      <c r="R39" s="218">
        <f>+J39</f>
        <v>20145.44405016231</v>
      </c>
    </row>
    <row r="40" spans="1:18" x14ac:dyDescent="0.25">
      <c r="A40" s="317" t="s">
        <v>31</v>
      </c>
      <c r="B40" s="317"/>
      <c r="C40" s="317"/>
      <c r="D40" s="318"/>
      <c r="E40" s="215">
        <f>SUM(E38:E39)</f>
        <v>5194.5748037358944</v>
      </c>
      <c r="F40" s="216">
        <f>SUM(F38:F39)</f>
        <v>77918.62205603841</v>
      </c>
      <c r="G40" s="214">
        <f>+F40/E40</f>
        <v>14.999999999999998</v>
      </c>
      <c r="H40" s="177"/>
      <c r="I40" s="215">
        <f>SUM(I37:I39)</f>
        <v>7824.3600931417968</v>
      </c>
      <c r="J40" s="216">
        <f>SUM(J37:J39)</f>
        <v>112491.23963714752</v>
      </c>
      <c r="K40" s="214">
        <f>+J40/I40</f>
        <v>14.377052985553192</v>
      </c>
      <c r="L40" s="177"/>
      <c r="M40" s="215"/>
      <c r="N40" s="216"/>
      <c r="O40" s="216"/>
      <c r="P40" s="214"/>
      <c r="Q40" s="215">
        <f>SUM(Q37:Q39)</f>
        <v>13018.934896877692</v>
      </c>
      <c r="R40" s="216">
        <f>SUM(R37:R39)</f>
        <v>190409.86169318593</v>
      </c>
    </row>
    <row r="41" spans="1:18" x14ac:dyDescent="0.25">
      <c r="A41" s="210">
        <v>43497</v>
      </c>
      <c r="B41" s="17">
        <f t="shared" si="1"/>
        <v>43497</v>
      </c>
      <c r="C41" s="12">
        <v>0.2</v>
      </c>
      <c r="D41" s="86">
        <v>0.70000000000000007</v>
      </c>
      <c r="E41" s="213">
        <v>1395.156101182039</v>
      </c>
      <c r="F41" s="218">
        <v>17945.53730147878</v>
      </c>
      <c r="G41" s="217">
        <v>12.862745098039218</v>
      </c>
      <c r="H41" s="67"/>
      <c r="I41" s="213" t="s">
        <v>54</v>
      </c>
      <c r="J41" s="218" t="s">
        <v>54</v>
      </c>
      <c r="K41" s="217" t="s">
        <v>54</v>
      </c>
      <c r="L41" s="186"/>
      <c r="M41" s="213" t="s">
        <v>54</v>
      </c>
      <c r="N41" s="218" t="s">
        <v>54</v>
      </c>
      <c r="O41" s="218" t="s">
        <v>54</v>
      </c>
      <c r="P41" s="67"/>
      <c r="Q41" s="213">
        <f>+E41</f>
        <v>1395.156101182039</v>
      </c>
      <c r="R41" s="218">
        <f>+F41</f>
        <v>17945.53730147878</v>
      </c>
    </row>
    <row r="42" spans="1:18" x14ac:dyDescent="0.25">
      <c r="A42" s="210">
        <v>43498</v>
      </c>
      <c r="B42" s="17">
        <f t="shared" si="1"/>
        <v>43498</v>
      </c>
      <c r="C42" s="12">
        <v>0</v>
      </c>
      <c r="D42" s="86">
        <v>0.72777777777777775</v>
      </c>
      <c r="E42" s="213" t="s">
        <v>54</v>
      </c>
      <c r="F42" s="218" t="s">
        <v>54</v>
      </c>
      <c r="G42" s="217" t="s">
        <v>54</v>
      </c>
      <c r="H42" s="67"/>
      <c r="I42" s="213">
        <v>3324.7873264653281</v>
      </c>
      <c r="J42" s="218">
        <v>42861.71613636025</v>
      </c>
      <c r="K42" s="217">
        <v>12.89156626506024</v>
      </c>
      <c r="L42" s="186"/>
      <c r="M42" s="213" t="s">
        <v>54</v>
      </c>
      <c r="N42" s="218" t="s">
        <v>54</v>
      </c>
      <c r="O42" s="218" t="s">
        <v>54</v>
      </c>
      <c r="P42" s="67"/>
      <c r="Q42" s="213">
        <f>+I42</f>
        <v>3324.7873264653281</v>
      </c>
      <c r="R42" s="218">
        <f>+J42</f>
        <v>42861.71613636025</v>
      </c>
    </row>
    <row r="43" spans="1:18" x14ac:dyDescent="0.25">
      <c r="A43" s="210">
        <v>43499</v>
      </c>
      <c r="B43" s="17">
        <f t="shared" si="1"/>
        <v>43499</v>
      </c>
      <c r="C43" s="12">
        <v>-0.1</v>
      </c>
      <c r="D43" s="86">
        <v>0.75277777777777777</v>
      </c>
      <c r="E43" s="213">
        <v>744.93158669019863</v>
      </c>
      <c r="F43" s="218">
        <v>10496.763266998254</v>
      </c>
      <c r="G43" s="217">
        <v>14.090909090909092</v>
      </c>
      <c r="H43" s="67"/>
      <c r="I43" s="213" t="s">
        <v>54</v>
      </c>
      <c r="J43" s="218" t="s">
        <v>54</v>
      </c>
      <c r="K43" s="217" t="s">
        <v>54</v>
      </c>
      <c r="L43" s="186"/>
      <c r="M43" s="213" t="s">
        <v>54</v>
      </c>
      <c r="N43" s="218" t="s">
        <v>54</v>
      </c>
      <c r="O43" s="218" t="s">
        <v>54</v>
      </c>
      <c r="P43" s="67"/>
      <c r="Q43" s="213">
        <f>+E43</f>
        <v>744.93158669019863</v>
      </c>
      <c r="R43" s="218">
        <f>+F43</f>
        <v>10496.763266998254</v>
      </c>
    </row>
    <row r="44" spans="1:18" x14ac:dyDescent="0.25">
      <c r="A44" s="317" t="s">
        <v>31</v>
      </c>
      <c r="B44" s="317"/>
      <c r="C44" s="317"/>
      <c r="D44" s="318"/>
      <c r="E44" s="215">
        <f>SUM(E41:E43)</f>
        <v>2140.0876878722374</v>
      </c>
      <c r="F44" s="216">
        <f>SUM(F41:F43)</f>
        <v>28442.300568477032</v>
      </c>
      <c r="G44" s="214">
        <f>+F44/E44</f>
        <v>13.290250081647603</v>
      </c>
      <c r="H44" s="177"/>
      <c r="I44" s="215">
        <f>SUM(I42:I43)</f>
        <v>3324.7873264653281</v>
      </c>
      <c r="J44" s="216">
        <f>SUM(J42:J43)</f>
        <v>42861.71613636025</v>
      </c>
      <c r="K44" s="214">
        <f>+J44/I44</f>
        <v>12.89156626506024</v>
      </c>
      <c r="L44" s="177"/>
      <c r="M44" s="215"/>
      <c r="N44" s="216"/>
      <c r="O44" s="216"/>
      <c r="P44" s="214"/>
      <c r="Q44" s="215">
        <f>SUM(Q41:Q43)</f>
        <v>5464.8750143375664</v>
      </c>
      <c r="R44" s="216">
        <f>SUM(R41:R43)</f>
        <v>71304.016704837282</v>
      </c>
    </row>
    <row r="45" spans="1:18" x14ac:dyDescent="0.25">
      <c r="A45" s="36">
        <v>43511</v>
      </c>
      <c r="B45" s="17">
        <f t="shared" si="1"/>
        <v>43511</v>
      </c>
      <c r="C45" s="12">
        <v>0.4</v>
      </c>
      <c r="D45" s="86">
        <v>0.63263888888888886</v>
      </c>
      <c r="E45" s="213" t="s">
        <v>54</v>
      </c>
      <c r="F45" s="218" t="s">
        <v>54</v>
      </c>
      <c r="G45" s="87" t="s">
        <v>54</v>
      </c>
      <c r="H45" s="217"/>
      <c r="I45" s="213">
        <v>794.7823086772097</v>
      </c>
      <c r="J45" s="218">
        <v>9445.6820531252997</v>
      </c>
      <c r="K45" s="87">
        <v>11.884615384615385</v>
      </c>
      <c r="L45" s="217"/>
      <c r="M45" s="213" t="s">
        <v>54</v>
      </c>
      <c r="N45" s="30" t="s">
        <v>54</v>
      </c>
      <c r="O45" s="27" t="s">
        <v>54</v>
      </c>
      <c r="P45" s="217"/>
      <c r="Q45" s="213">
        <f>+I45</f>
        <v>794.7823086772097</v>
      </c>
      <c r="R45" s="218">
        <f>+J45</f>
        <v>9445.6820531252997</v>
      </c>
    </row>
    <row r="46" spans="1:18" x14ac:dyDescent="0.25">
      <c r="A46" s="36">
        <v>43512</v>
      </c>
      <c r="B46" s="17">
        <f t="shared" si="1"/>
        <v>43512</v>
      </c>
      <c r="C46" s="12">
        <v>-0.3</v>
      </c>
      <c r="D46" s="86">
        <v>0.67222222222222217</v>
      </c>
      <c r="E46" s="213">
        <v>4004.5242910039633</v>
      </c>
      <c r="F46" s="218">
        <v>50369.407097784228</v>
      </c>
      <c r="G46" s="87">
        <v>12.578125</v>
      </c>
      <c r="H46" s="217"/>
      <c r="I46" s="213" t="s">
        <v>54</v>
      </c>
      <c r="J46" s="218" t="s">
        <v>54</v>
      </c>
      <c r="K46" s="87" t="s">
        <v>54</v>
      </c>
      <c r="L46" s="217"/>
      <c r="M46" s="213">
        <v>285</v>
      </c>
      <c r="N46" s="30">
        <v>818</v>
      </c>
      <c r="O46" s="27">
        <f>+N46/M46</f>
        <v>2.8701754385964913</v>
      </c>
      <c r="P46" s="217"/>
      <c r="Q46" s="213">
        <f>+E46+M46</f>
        <v>4289.5242910039633</v>
      </c>
      <c r="R46" s="218">
        <f>+F46+N46</f>
        <v>51187.407097784228</v>
      </c>
    </row>
    <row r="47" spans="1:18" x14ac:dyDescent="0.25">
      <c r="A47" s="36">
        <v>43513</v>
      </c>
      <c r="B47" s="17">
        <f t="shared" si="1"/>
        <v>43513</v>
      </c>
      <c r="C47" s="12">
        <v>-1</v>
      </c>
      <c r="D47" s="86">
        <v>0.70763888888888893</v>
      </c>
      <c r="E47" s="213">
        <v>4537.9516475418404</v>
      </c>
      <c r="F47" s="218">
        <v>68069.274713127612</v>
      </c>
      <c r="G47" s="87">
        <v>15.000000000000002</v>
      </c>
      <c r="H47" s="217"/>
      <c r="I47" s="213">
        <v>2715.4678355373658</v>
      </c>
      <c r="J47" s="218">
        <v>38176.283099613553</v>
      </c>
      <c r="K47" s="87">
        <v>14.058823529411764</v>
      </c>
      <c r="L47" s="217"/>
      <c r="M47" s="213">
        <v>320</v>
      </c>
      <c r="N47" s="30">
        <v>1321</v>
      </c>
      <c r="O47" s="27">
        <f>+N47/M47</f>
        <v>4.1281249999999998</v>
      </c>
      <c r="P47" s="217"/>
      <c r="Q47" s="213">
        <f>+E47+I47+M47</f>
        <v>7573.4194830792057</v>
      </c>
      <c r="R47" s="218">
        <f>+F47+J47+N47</f>
        <v>107566.55781274117</v>
      </c>
    </row>
    <row r="48" spans="1:18" x14ac:dyDescent="0.25">
      <c r="A48" s="36">
        <v>43514</v>
      </c>
      <c r="B48" s="17">
        <f t="shared" si="1"/>
        <v>43514</v>
      </c>
      <c r="C48" s="12">
        <v>-1.4</v>
      </c>
      <c r="D48" s="86">
        <v>0.7402777777777777</v>
      </c>
      <c r="E48" s="213" t="s">
        <v>54</v>
      </c>
      <c r="F48" s="218" t="s">
        <v>54</v>
      </c>
      <c r="G48" s="87" t="s">
        <v>54</v>
      </c>
      <c r="H48" s="217"/>
      <c r="I48" s="213">
        <v>2232.3825642545598</v>
      </c>
      <c r="J48" s="218">
        <v>33485.738463818401</v>
      </c>
      <c r="K48" s="87">
        <v>15.000000000000002</v>
      </c>
      <c r="L48" s="217"/>
      <c r="M48" s="213">
        <v>116</v>
      </c>
      <c r="N48" s="30">
        <v>581</v>
      </c>
      <c r="O48" s="27">
        <f>+N48/M48</f>
        <v>5.0086206896551726</v>
      </c>
      <c r="P48" s="217"/>
      <c r="Q48" s="213">
        <f>+I48+M48</f>
        <v>2348.3825642545598</v>
      </c>
      <c r="R48" s="218">
        <f>+J48+N48</f>
        <v>34066.738463818401</v>
      </c>
    </row>
    <row r="49" spans="1:18" x14ac:dyDescent="0.25">
      <c r="A49" s="317" t="s">
        <v>31</v>
      </c>
      <c r="B49" s="317"/>
      <c r="C49" s="317"/>
      <c r="D49" s="318"/>
      <c r="E49" s="215">
        <f>SUM(E46:E48)</f>
        <v>8542.4759385458037</v>
      </c>
      <c r="F49" s="216">
        <f>SUM(F46:F48)</f>
        <v>118438.68181091183</v>
      </c>
      <c r="G49" s="214">
        <f>+F49/E49</f>
        <v>13.864678421449998</v>
      </c>
      <c r="H49" s="177"/>
      <c r="I49" s="215">
        <f>SUM(I45:I48)</f>
        <v>5742.6327084691347</v>
      </c>
      <c r="J49" s="216">
        <f>SUM(J45:J48)</f>
        <v>81107.70361655725</v>
      </c>
      <c r="K49" s="214">
        <f>+J49/I49</f>
        <v>14.123783939192389</v>
      </c>
      <c r="L49" s="177"/>
      <c r="M49" s="215">
        <f>SUM(M46:M48)</f>
        <v>721</v>
      </c>
      <c r="N49" s="216">
        <f>SUM(N46:N48)</f>
        <v>2720</v>
      </c>
      <c r="O49" s="88">
        <f>+N49/M49</f>
        <v>3.7725381414701804</v>
      </c>
      <c r="P49" s="214"/>
      <c r="Q49" s="215">
        <f>SUM(Q45:Q48)</f>
        <v>15006.108647014938</v>
      </c>
      <c r="R49" s="216">
        <f>SUM(R45:R48)</f>
        <v>202266.3854274691</v>
      </c>
    </row>
    <row r="50" spans="1:18" x14ac:dyDescent="0.25">
      <c r="A50" s="36">
        <v>43540</v>
      </c>
      <c r="B50" s="17">
        <f t="shared" si="1"/>
        <v>43540</v>
      </c>
      <c r="C50" s="12">
        <v>0.3</v>
      </c>
      <c r="D50" s="86">
        <v>0.65486111111111112</v>
      </c>
      <c r="E50" s="213">
        <v>8342.8653289005797</v>
      </c>
      <c r="F50" s="218">
        <v>105701.80751570368</v>
      </c>
      <c r="G50" s="87">
        <v>12.669724770642203</v>
      </c>
      <c r="H50" s="217"/>
      <c r="I50" s="213" t="s">
        <v>54</v>
      </c>
      <c r="J50" s="218" t="s">
        <v>54</v>
      </c>
      <c r="K50" s="87" t="s">
        <v>54</v>
      </c>
      <c r="L50" s="217"/>
      <c r="M50" s="213" t="s">
        <v>54</v>
      </c>
      <c r="N50" s="30" t="s">
        <v>54</v>
      </c>
      <c r="O50" s="27" t="s">
        <v>54</v>
      </c>
      <c r="P50" s="217"/>
      <c r="Q50" s="213">
        <f>+E50</f>
        <v>8342.8653289005797</v>
      </c>
      <c r="R50" s="218">
        <f>+F50</f>
        <v>105701.80751570368</v>
      </c>
    </row>
    <row r="51" spans="1:18" x14ac:dyDescent="0.25">
      <c r="A51" s="36">
        <v>43541</v>
      </c>
      <c r="B51" s="17">
        <f t="shared" si="1"/>
        <v>43541</v>
      </c>
      <c r="C51" s="12">
        <v>-0.2</v>
      </c>
      <c r="D51" s="86">
        <v>0.69652777777777775</v>
      </c>
      <c r="E51" s="213" t="s">
        <v>54</v>
      </c>
      <c r="F51" s="218" t="s">
        <v>54</v>
      </c>
      <c r="G51" s="87" t="s">
        <v>54</v>
      </c>
      <c r="H51" s="217"/>
      <c r="I51" s="213">
        <v>4249.2203233249911</v>
      </c>
      <c r="J51" s="218">
        <v>59342.55968781453</v>
      </c>
      <c r="K51" s="87">
        <v>13.96551724137931</v>
      </c>
      <c r="L51" s="217"/>
      <c r="M51" s="213" t="s">
        <v>54</v>
      </c>
      <c r="N51" s="30" t="s">
        <v>54</v>
      </c>
      <c r="O51" s="27" t="s">
        <v>54</v>
      </c>
      <c r="P51" s="217"/>
      <c r="Q51" s="213">
        <f>+I51</f>
        <v>4249.2203233249911</v>
      </c>
      <c r="R51" s="218">
        <f>+J51</f>
        <v>59342.55968781453</v>
      </c>
    </row>
    <row r="52" spans="1:18" x14ac:dyDescent="0.25">
      <c r="A52" s="317" t="s">
        <v>31</v>
      </c>
      <c r="B52" s="317"/>
      <c r="C52" s="317"/>
      <c r="D52" s="318"/>
      <c r="E52" s="215">
        <f>SUM(E50:E51)</f>
        <v>8342.8653289005797</v>
      </c>
      <c r="F52" s="216">
        <f>SUM(F50:F51)</f>
        <v>105701.80751570368</v>
      </c>
      <c r="G52" s="214">
        <f>+F52/E52</f>
        <v>12.669724770642203</v>
      </c>
      <c r="H52" s="177"/>
      <c r="I52" s="215">
        <f>SUM(I51)</f>
        <v>4249.2203233249911</v>
      </c>
      <c r="J52" s="216">
        <f>SUM(J51)</f>
        <v>59342.55968781453</v>
      </c>
      <c r="K52" s="214">
        <f>+J52/I52</f>
        <v>13.96551724137931</v>
      </c>
      <c r="L52" s="177"/>
      <c r="M52" s="215"/>
      <c r="N52" s="216"/>
      <c r="O52" s="216"/>
      <c r="P52" s="214"/>
      <c r="Q52" s="215">
        <f>SUM(Q50:Q51)</f>
        <v>12592.085652225571</v>
      </c>
      <c r="R52" s="216">
        <f>SUM(R50:R51)</f>
        <v>165044.36720351822</v>
      </c>
    </row>
    <row r="53" spans="1:18" x14ac:dyDescent="0.25">
      <c r="A53" s="36">
        <v>43545</v>
      </c>
      <c r="B53" s="17">
        <f t="shared" si="1"/>
        <v>43545</v>
      </c>
      <c r="C53" s="12">
        <v>-0.5</v>
      </c>
      <c r="D53" s="86">
        <v>0.82500000000000007</v>
      </c>
      <c r="E53" s="213" t="s">
        <v>54</v>
      </c>
      <c r="F53" s="218" t="s">
        <v>54</v>
      </c>
      <c r="G53" s="87" t="s">
        <v>54</v>
      </c>
      <c r="H53" s="217"/>
      <c r="I53" s="213">
        <v>3502.8932419481225</v>
      </c>
      <c r="J53" s="218">
        <v>52543.398629221832</v>
      </c>
      <c r="K53" s="87">
        <v>14.999999999999998</v>
      </c>
      <c r="L53" s="217"/>
      <c r="M53" s="213" t="s">
        <v>54</v>
      </c>
      <c r="N53" s="30" t="s">
        <v>54</v>
      </c>
      <c r="O53" s="27" t="s">
        <v>54</v>
      </c>
      <c r="P53" s="217"/>
      <c r="Q53" s="213">
        <f>+I53</f>
        <v>3502.8932419481225</v>
      </c>
      <c r="R53" s="218">
        <f>+J53</f>
        <v>52543.398629221832</v>
      </c>
    </row>
    <row r="54" spans="1:18" x14ac:dyDescent="0.25">
      <c r="A54" s="36">
        <v>43546</v>
      </c>
      <c r="B54" s="17">
        <f t="shared" si="1"/>
        <v>43546</v>
      </c>
      <c r="C54" s="12">
        <v>-0.2</v>
      </c>
      <c r="D54" s="86">
        <v>0.3430555555555555</v>
      </c>
      <c r="E54" s="213" t="s">
        <v>54</v>
      </c>
      <c r="F54" s="218" t="s">
        <v>54</v>
      </c>
      <c r="G54" s="87" t="s">
        <v>54</v>
      </c>
      <c r="H54" s="217"/>
      <c r="I54" s="213">
        <v>2328.3731168834706</v>
      </c>
      <c r="J54" s="218">
        <v>31769.357639254464</v>
      </c>
      <c r="K54" s="87">
        <v>13.644444444444444</v>
      </c>
      <c r="L54" s="217"/>
      <c r="M54" s="213">
        <v>59</v>
      </c>
      <c r="N54" s="30">
        <v>256</v>
      </c>
      <c r="O54" s="27">
        <f t="shared" ref="O54:O56" si="2">+N54/M54</f>
        <v>4.3389830508474576</v>
      </c>
      <c r="P54" s="217"/>
      <c r="Q54" s="213">
        <f>+I54+M54</f>
        <v>2387.3731168834706</v>
      </c>
      <c r="R54" s="218">
        <f>+J54+N54</f>
        <v>32025.357639254464</v>
      </c>
    </row>
    <row r="55" spans="1:18" x14ac:dyDescent="0.25">
      <c r="A55" s="36">
        <v>43547</v>
      </c>
      <c r="B55" s="17">
        <f t="shared" si="1"/>
        <v>43547</v>
      </c>
      <c r="C55" s="12">
        <v>-0.3</v>
      </c>
      <c r="D55" s="86">
        <v>0.3756944444444445</v>
      </c>
      <c r="E55" s="213">
        <v>7038.7095877983975</v>
      </c>
      <c r="F55" s="218">
        <v>92692.865698471855</v>
      </c>
      <c r="G55" s="87">
        <v>13.169014084507042</v>
      </c>
      <c r="H55" s="217"/>
      <c r="I55" s="213" t="s">
        <v>54</v>
      </c>
      <c r="J55" s="218" t="s">
        <v>54</v>
      </c>
      <c r="K55" s="87" t="s">
        <v>54</v>
      </c>
      <c r="L55" s="217"/>
      <c r="M55" s="213">
        <v>126</v>
      </c>
      <c r="N55" s="30">
        <v>157</v>
      </c>
      <c r="O55" s="27">
        <f t="shared" si="2"/>
        <v>1.246031746031746</v>
      </c>
      <c r="P55" s="217"/>
      <c r="Q55" s="213">
        <f>+E55+M55</f>
        <v>7164.7095877983975</v>
      </c>
      <c r="R55" s="218">
        <f>+F55+N55</f>
        <v>92849.865698471855</v>
      </c>
    </row>
    <row r="56" spans="1:18" x14ac:dyDescent="0.25">
      <c r="A56" s="36">
        <v>43548</v>
      </c>
      <c r="B56" s="17">
        <f t="shared" si="1"/>
        <v>43548</v>
      </c>
      <c r="C56" s="12">
        <v>-0.3</v>
      </c>
      <c r="D56" s="86">
        <v>0.40902777777777777</v>
      </c>
      <c r="E56" s="213" t="s">
        <v>54</v>
      </c>
      <c r="F56" s="218" t="s">
        <v>54</v>
      </c>
      <c r="G56" s="87" t="s">
        <v>54</v>
      </c>
      <c r="H56" s="217"/>
      <c r="I56" s="213">
        <v>5801.0499362348455</v>
      </c>
      <c r="J56" s="218">
        <v>84939.583803186004</v>
      </c>
      <c r="K56" s="87">
        <v>14.642105263157895</v>
      </c>
      <c r="L56" s="217"/>
      <c r="M56" s="213">
        <v>104</v>
      </c>
      <c r="N56" s="30">
        <v>465</v>
      </c>
      <c r="O56" s="27">
        <f t="shared" si="2"/>
        <v>4.4711538461538458</v>
      </c>
      <c r="P56" s="217"/>
      <c r="Q56" s="213">
        <f>+I56+M56</f>
        <v>5905.0499362348455</v>
      </c>
      <c r="R56" s="218">
        <f>+J56+N56</f>
        <v>85404.583803186004</v>
      </c>
    </row>
    <row r="57" spans="1:18" x14ac:dyDescent="0.25">
      <c r="A57" s="317" t="s">
        <v>31</v>
      </c>
      <c r="B57" s="317"/>
      <c r="C57" s="317"/>
      <c r="D57" s="318"/>
      <c r="E57" s="215">
        <f>SUM(E55:E56)</f>
        <v>7038.7095877983975</v>
      </c>
      <c r="F57" s="216">
        <f>SUM(F55:F56)</f>
        <v>92692.865698471855</v>
      </c>
      <c r="G57" s="214">
        <f>+F57/E57</f>
        <v>13.169014084507042</v>
      </c>
      <c r="H57" s="177"/>
      <c r="I57" s="215">
        <f>SUM(I53:I56)</f>
        <v>11632.316295066439</v>
      </c>
      <c r="J57" s="216">
        <f>SUM(J53:J56)</f>
        <v>169252.3400716623</v>
      </c>
      <c r="K57" s="214">
        <f>+J57/I57</f>
        <v>14.550183796450456</v>
      </c>
      <c r="L57" s="177"/>
      <c r="M57" s="215">
        <f>SUM(M54:M56)</f>
        <v>289</v>
      </c>
      <c r="N57" s="216">
        <f>SUM(N54:N56)</f>
        <v>878</v>
      </c>
      <c r="O57" s="88">
        <f>+N57/M57</f>
        <v>3.0380622837370241</v>
      </c>
      <c r="P57" s="214"/>
      <c r="Q57" s="215">
        <f>SUM(Q53:Q56)</f>
        <v>18960.025882864837</v>
      </c>
      <c r="R57" s="216">
        <f>SUM(R53:R56)</f>
        <v>262823.20577013417</v>
      </c>
    </row>
    <row r="58" spans="1:18" x14ac:dyDescent="0.25">
      <c r="A58" s="36">
        <v>43561</v>
      </c>
      <c r="B58" s="17">
        <f t="shared" si="1"/>
        <v>43561</v>
      </c>
      <c r="C58" s="12">
        <v>0.3</v>
      </c>
      <c r="D58" s="86">
        <v>0.33680555555555558</v>
      </c>
      <c r="E58" s="213" t="s">
        <v>54</v>
      </c>
      <c r="F58" s="218" t="s">
        <v>54</v>
      </c>
      <c r="G58" s="217" t="s">
        <v>54</v>
      </c>
      <c r="H58" s="67"/>
      <c r="I58" s="213">
        <v>1695.6321542088529</v>
      </c>
      <c r="J58" s="218">
        <v>549.93475271638476</v>
      </c>
      <c r="K58" s="217">
        <v>0.32432432432432434</v>
      </c>
      <c r="L58" s="186"/>
      <c r="M58" s="213" t="s">
        <v>54</v>
      </c>
      <c r="N58" s="218" t="s">
        <v>54</v>
      </c>
      <c r="O58" s="218" t="s">
        <v>54</v>
      </c>
      <c r="P58" s="67"/>
      <c r="Q58" s="213">
        <f t="shared" ref="Q58:R60" si="3">+I58</f>
        <v>1695.6321542088529</v>
      </c>
      <c r="R58" s="218">
        <f t="shared" si="3"/>
        <v>549.93475271638476</v>
      </c>
    </row>
    <row r="59" spans="1:18" x14ac:dyDescent="0.25">
      <c r="A59" s="36">
        <v>43562</v>
      </c>
      <c r="B59" s="17">
        <f t="shared" si="1"/>
        <v>43562</v>
      </c>
      <c r="C59" s="12">
        <v>0.1</v>
      </c>
      <c r="D59" s="86">
        <v>0.36180555555555555</v>
      </c>
      <c r="E59" s="213" t="s">
        <v>54</v>
      </c>
      <c r="F59" s="218" t="s">
        <v>54</v>
      </c>
      <c r="G59" s="217" t="s">
        <v>54</v>
      </c>
      <c r="H59" s="67"/>
      <c r="I59" s="213">
        <v>3535.0050804169109</v>
      </c>
      <c r="J59" s="218">
        <v>49354.109391974554</v>
      </c>
      <c r="K59" s="217">
        <v>13.961538461538458</v>
      </c>
      <c r="L59" s="186"/>
      <c r="M59" s="213" t="s">
        <v>54</v>
      </c>
      <c r="N59" s="218" t="s">
        <v>54</v>
      </c>
      <c r="O59" s="218" t="s">
        <v>54</v>
      </c>
      <c r="P59" s="67"/>
      <c r="Q59" s="213">
        <f t="shared" si="3"/>
        <v>3535.0050804169109</v>
      </c>
      <c r="R59" s="218">
        <f t="shared" si="3"/>
        <v>49354.109391974554</v>
      </c>
    </row>
    <row r="60" spans="1:18" x14ac:dyDescent="0.25">
      <c r="A60" s="36">
        <v>43563</v>
      </c>
      <c r="B60" s="17">
        <f t="shared" si="1"/>
        <v>43563</v>
      </c>
      <c r="C60" s="12">
        <v>0</v>
      </c>
      <c r="D60" s="86">
        <v>0.3888888888888889</v>
      </c>
      <c r="E60" s="213" t="s">
        <v>54</v>
      </c>
      <c r="F60" s="218" t="s">
        <v>54</v>
      </c>
      <c r="G60" s="217" t="s">
        <v>54</v>
      </c>
      <c r="H60" s="67"/>
      <c r="I60" s="213">
        <v>1619.183296359522</v>
      </c>
      <c r="J60" s="218">
        <v>19808.008992131487</v>
      </c>
      <c r="K60" s="217">
        <v>12.233333333333334</v>
      </c>
      <c r="L60" s="186"/>
      <c r="M60" s="213" t="s">
        <v>54</v>
      </c>
      <c r="N60" s="218" t="s">
        <v>54</v>
      </c>
      <c r="O60" s="218" t="s">
        <v>54</v>
      </c>
      <c r="P60" s="67"/>
      <c r="Q60" s="213">
        <f t="shared" si="3"/>
        <v>1619.183296359522</v>
      </c>
      <c r="R60" s="218">
        <f t="shared" si="3"/>
        <v>19808.008992131487</v>
      </c>
    </row>
    <row r="61" spans="1:18" x14ac:dyDescent="0.25">
      <c r="A61" s="317" t="s">
        <v>31</v>
      </c>
      <c r="B61" s="317"/>
      <c r="C61" s="317"/>
      <c r="D61" s="318"/>
      <c r="E61" s="215"/>
      <c r="F61" s="216"/>
      <c r="G61" s="214"/>
      <c r="H61" s="177"/>
      <c r="I61" s="215">
        <f>SUM(I58:I60)</f>
        <v>6849.8205309852856</v>
      </c>
      <c r="J61" s="216">
        <f>SUM(J58:J60)</f>
        <v>69712.053136822418</v>
      </c>
      <c r="K61" s="214">
        <f>+J61/I61</f>
        <v>10.177208705173909</v>
      </c>
      <c r="L61" s="177"/>
      <c r="M61" s="215"/>
      <c r="N61" s="216"/>
      <c r="O61" s="216"/>
      <c r="P61" s="214"/>
      <c r="Q61" s="215">
        <f>SUM(Q58:Q60)</f>
        <v>6849.8205309852856</v>
      </c>
      <c r="R61" s="216">
        <f>SUM(R58:R60)</f>
        <v>69712.053136822418</v>
      </c>
    </row>
    <row r="62" spans="1:18" x14ac:dyDescent="0.25">
      <c r="A62" s="36">
        <v>43575</v>
      </c>
      <c r="B62" s="17">
        <f t="shared" si="1"/>
        <v>43575</v>
      </c>
      <c r="C62" s="12">
        <v>-1.1000000000000001</v>
      </c>
      <c r="D62" s="86">
        <v>0.33194444444444443</v>
      </c>
      <c r="E62" s="213">
        <v>11266.070111633988</v>
      </c>
      <c r="F62" s="218">
        <v>156014.95306378856</v>
      </c>
      <c r="G62" s="217">
        <v>13.848214285714288</v>
      </c>
      <c r="H62" s="67"/>
      <c r="I62" s="213" t="s">
        <v>54</v>
      </c>
      <c r="J62" s="218" t="s">
        <v>54</v>
      </c>
      <c r="K62" s="217" t="s">
        <v>54</v>
      </c>
      <c r="L62" s="186"/>
      <c r="M62" s="213" t="s">
        <v>54</v>
      </c>
      <c r="N62" s="218" t="s">
        <v>54</v>
      </c>
      <c r="O62" s="218" t="s">
        <v>54</v>
      </c>
      <c r="P62" s="67"/>
      <c r="Q62" s="213">
        <f>+E62</f>
        <v>11266.070111633988</v>
      </c>
      <c r="R62" s="218">
        <f>+F62</f>
        <v>156014.95306378856</v>
      </c>
    </row>
    <row r="63" spans="1:18" x14ac:dyDescent="0.25">
      <c r="A63" s="36">
        <v>43576</v>
      </c>
      <c r="B63" s="17">
        <f t="shared" si="1"/>
        <v>43576</v>
      </c>
      <c r="C63" s="12">
        <v>-1.2</v>
      </c>
      <c r="D63" s="86">
        <v>0.36249999999999999</v>
      </c>
      <c r="E63" s="213" t="s">
        <v>54</v>
      </c>
      <c r="F63" s="218" t="s">
        <v>54</v>
      </c>
      <c r="G63" s="217" t="s">
        <v>54</v>
      </c>
      <c r="H63" s="67"/>
      <c r="I63" s="213">
        <v>5578.569115502507</v>
      </c>
      <c r="J63" s="218">
        <v>83678.536732537614</v>
      </c>
      <c r="K63" s="217">
        <v>15.000000000000002</v>
      </c>
      <c r="L63" s="186"/>
      <c r="M63" s="213" t="s">
        <v>54</v>
      </c>
      <c r="N63" s="218" t="s">
        <v>54</v>
      </c>
      <c r="O63" s="218" t="s">
        <v>54</v>
      </c>
      <c r="P63" s="67"/>
      <c r="Q63" s="213">
        <f>+I63</f>
        <v>5578.569115502507</v>
      </c>
      <c r="R63" s="218">
        <f>+J63</f>
        <v>83678.536732537614</v>
      </c>
    </row>
    <row r="64" spans="1:18" x14ac:dyDescent="0.25">
      <c r="A64" s="36">
        <v>43577</v>
      </c>
      <c r="B64" s="17">
        <f t="shared" si="1"/>
        <v>43577</v>
      </c>
      <c r="C64" s="12">
        <v>-1</v>
      </c>
      <c r="D64" s="86">
        <v>0.3923611111111111</v>
      </c>
      <c r="E64" s="213" t="s">
        <v>54</v>
      </c>
      <c r="F64" s="218" t="s">
        <v>54</v>
      </c>
      <c r="G64" s="217" t="s">
        <v>54</v>
      </c>
      <c r="H64" s="67"/>
      <c r="I64" s="213">
        <v>2499.9999075672094</v>
      </c>
      <c r="J64" s="218">
        <v>37499.998613508142</v>
      </c>
      <c r="K64" s="217">
        <v>15</v>
      </c>
      <c r="L64" s="186"/>
      <c r="M64" s="213" t="s">
        <v>54</v>
      </c>
      <c r="N64" s="218" t="s">
        <v>54</v>
      </c>
      <c r="O64" s="218" t="s">
        <v>54</v>
      </c>
      <c r="P64" s="67"/>
      <c r="Q64" s="213">
        <f>+I64</f>
        <v>2499.9999075672094</v>
      </c>
      <c r="R64" s="218">
        <f>+J64</f>
        <v>37499.998613508142</v>
      </c>
    </row>
    <row r="65" spans="1:18" x14ac:dyDescent="0.25">
      <c r="A65" s="317" t="s">
        <v>31</v>
      </c>
      <c r="B65" s="317"/>
      <c r="C65" s="317"/>
      <c r="D65" s="318"/>
      <c r="E65" s="215">
        <f>SUM(E62:E64)</f>
        <v>11266.070111633988</v>
      </c>
      <c r="F65" s="216">
        <f>SUM(F62:F64)</f>
        <v>156014.95306378856</v>
      </c>
      <c r="G65" s="214">
        <f>+F65/E65</f>
        <v>13.848214285714288</v>
      </c>
      <c r="H65" s="177"/>
      <c r="I65" s="215">
        <f>SUM(I63:I64)</f>
        <v>8078.5690230697164</v>
      </c>
      <c r="J65" s="216">
        <f>SUM(J63:J64)</f>
        <v>121178.53534604576</v>
      </c>
      <c r="K65" s="214">
        <f>+J65/I65</f>
        <v>15.000000000000002</v>
      </c>
      <c r="L65" s="177"/>
      <c r="M65" s="215"/>
      <c r="N65" s="216"/>
      <c r="O65" s="216"/>
      <c r="P65" s="214"/>
      <c r="Q65" s="215">
        <f>SUM(Q62:Q64)</f>
        <v>19344.639134703706</v>
      </c>
      <c r="R65" s="216">
        <f>SUM(R62:R64)</f>
        <v>277193.48840983433</v>
      </c>
    </row>
    <row r="66" spans="1:18" x14ac:dyDescent="0.25">
      <c r="A66" s="36">
        <v>43603</v>
      </c>
      <c r="B66" s="17">
        <f t="shared" ref="B66:B68" si="4">+A66</f>
        <v>43603</v>
      </c>
      <c r="C66" s="27">
        <v>-1.4</v>
      </c>
      <c r="D66" s="28">
        <v>0.2902777777777778</v>
      </c>
      <c r="E66" s="213" t="s">
        <v>54</v>
      </c>
      <c r="F66" s="218" t="s">
        <v>54</v>
      </c>
      <c r="G66" s="217" t="s">
        <v>54</v>
      </c>
      <c r="H66" s="67"/>
      <c r="I66" s="213">
        <v>6218.9345949113449</v>
      </c>
      <c r="J66" s="218">
        <v>91519.186133222363</v>
      </c>
      <c r="K66" s="217">
        <v>14.716216216216218</v>
      </c>
      <c r="L66" s="67"/>
      <c r="M66" s="213" t="s">
        <v>54</v>
      </c>
      <c r="N66" s="218" t="s">
        <v>54</v>
      </c>
      <c r="O66" s="218" t="s">
        <v>54</v>
      </c>
      <c r="P66" s="67"/>
      <c r="Q66" s="29">
        <f t="shared" ref="Q66:R68" si="5">+I66</f>
        <v>6218.9345949113449</v>
      </c>
      <c r="R66" s="37">
        <f t="shared" si="5"/>
        <v>91519.186133222363</v>
      </c>
    </row>
    <row r="67" spans="1:18" x14ac:dyDescent="0.25">
      <c r="A67" s="36">
        <v>43604</v>
      </c>
      <c r="B67" s="17">
        <f t="shared" si="4"/>
        <v>43604</v>
      </c>
      <c r="C67" s="27">
        <v>-1.6</v>
      </c>
      <c r="D67" s="28">
        <v>0.32013888888888892</v>
      </c>
      <c r="E67" s="213" t="s">
        <v>54</v>
      </c>
      <c r="F67" s="218" t="s">
        <v>54</v>
      </c>
      <c r="G67" s="217" t="s">
        <v>54</v>
      </c>
      <c r="H67" s="67"/>
      <c r="I67" s="213">
        <v>4678.6958201747293</v>
      </c>
      <c r="J67" s="218">
        <v>68012.261190832651</v>
      </c>
      <c r="K67" s="217">
        <v>14.536585365853659</v>
      </c>
      <c r="L67" s="67"/>
      <c r="M67" s="213" t="s">
        <v>54</v>
      </c>
      <c r="N67" s="218" t="s">
        <v>54</v>
      </c>
      <c r="O67" s="218" t="s">
        <v>54</v>
      </c>
      <c r="P67" s="67"/>
      <c r="Q67" s="213">
        <f t="shared" si="5"/>
        <v>4678.6958201747293</v>
      </c>
      <c r="R67" s="218">
        <f t="shared" si="5"/>
        <v>68012.261190832651</v>
      </c>
    </row>
    <row r="68" spans="1:18" x14ac:dyDescent="0.25">
      <c r="A68" s="36">
        <v>43605</v>
      </c>
      <c r="B68" s="17">
        <f t="shared" si="4"/>
        <v>43605</v>
      </c>
      <c r="C68" s="12">
        <v>-1.6</v>
      </c>
      <c r="D68" s="86">
        <v>0.34930555555555554</v>
      </c>
      <c r="E68" s="29" t="s">
        <v>54</v>
      </c>
      <c r="F68" s="37" t="s">
        <v>54</v>
      </c>
      <c r="G68" s="87" t="s">
        <v>54</v>
      </c>
      <c r="H68" s="35"/>
      <c r="I68" s="29">
        <v>1867.9039612466729</v>
      </c>
      <c r="J68" s="37">
        <v>26748.384725052361</v>
      </c>
      <c r="K68" s="87">
        <v>14.320000000000002</v>
      </c>
      <c r="L68" s="35"/>
      <c r="M68" s="213" t="s">
        <v>54</v>
      </c>
      <c r="N68" s="218" t="s">
        <v>54</v>
      </c>
      <c r="O68" s="218" t="s">
        <v>54</v>
      </c>
      <c r="P68" s="35"/>
      <c r="Q68" s="29">
        <f t="shared" si="5"/>
        <v>1867.9039612466729</v>
      </c>
      <c r="R68" s="37">
        <f t="shared" si="5"/>
        <v>26748.384725052361</v>
      </c>
    </row>
    <row r="69" spans="1:18" ht="15.75" thickBot="1" x14ac:dyDescent="0.3">
      <c r="A69" s="327"/>
      <c r="B69" s="327"/>
      <c r="C69" s="327"/>
      <c r="D69" s="328"/>
      <c r="E69" s="33"/>
      <c r="F69" s="34"/>
      <c r="G69" s="88"/>
      <c r="H69" s="177">
        <v>109.09</v>
      </c>
      <c r="I69" s="33">
        <f>SUM(I66:I68)</f>
        <v>12765.534376332747</v>
      </c>
      <c r="J69" s="34">
        <f>SUM(J66:J68)</f>
        <v>186279.83204910738</v>
      </c>
      <c r="K69" s="88"/>
      <c r="L69" s="177">
        <v>106.95</v>
      </c>
      <c r="M69" s="33"/>
      <c r="N69" s="34"/>
      <c r="O69" s="34"/>
      <c r="P69" s="32"/>
      <c r="Q69" s="33">
        <f>SUM(Q66:Q68)</f>
        <v>12765.534376332747</v>
      </c>
      <c r="R69" s="34">
        <f>SUM(R66:R68)</f>
        <v>186279.83204910738</v>
      </c>
    </row>
    <row r="70" spans="1:18" ht="15.75" thickTop="1" x14ac:dyDescent="0.25">
      <c r="A70" s="38" t="s">
        <v>36</v>
      </c>
      <c r="B70" s="41"/>
      <c r="C70" s="41"/>
      <c r="D70" s="41"/>
      <c r="E70" s="39">
        <f>+E7+E12+E17+E22+E27+E32+E36+E40+E44+E49+E52+E57+E61+E65</f>
        <v>62244.963380269939</v>
      </c>
      <c r="F70" s="39">
        <f>+F7+F12+F17+F22+F27+F32+F36+F40+F44+F49+F52+F57+F61+F65</f>
        <v>832028.7242826994</v>
      </c>
      <c r="G70" s="85">
        <f>+F70/E70</f>
        <v>13.367004800045095</v>
      </c>
      <c r="H70" s="40"/>
      <c r="I70" s="39">
        <f>+I7+I12+I17+I22+I27+I32+I36+I40+I44+I49+I52+I57+I61+I65+I69</f>
        <v>78826.108236926724</v>
      </c>
      <c r="J70" s="39">
        <f>+J7+J12+J17+J22+J27+J32+J36+J40+J44+J49+J52+J57+J61+J65+J69</f>
        <v>1082628.9905536361</v>
      </c>
      <c r="K70" s="85">
        <f>+J70/I70</f>
        <v>13.734396062020348</v>
      </c>
      <c r="L70" s="40"/>
      <c r="M70" s="39">
        <f>+M49+M57</f>
        <v>1010</v>
      </c>
      <c r="N70" s="39">
        <f>+N49+N57</f>
        <v>3598</v>
      </c>
      <c r="O70" s="85">
        <f>+N70/M70</f>
        <v>3.5623762376237624</v>
      </c>
      <c r="P70" s="40"/>
      <c r="Q70" s="39">
        <f>+Q7+Q12+Q17+Q22+Q27+Q32+Q36+Q69+Q40+Q44+Q49+Q52+Q57+Q61+Q65</f>
        <v>142081.07161719663</v>
      </c>
      <c r="R70" s="39">
        <f>+R7+R12+R17+R22+R27+R32+R36+R69+R40+R44+R49+R52+R57+R61+R65</f>
        <v>1918255.7148363357</v>
      </c>
    </row>
    <row r="71" spans="1:18" x14ac:dyDescent="0.25">
      <c r="A71" s="64" t="s">
        <v>35</v>
      </c>
      <c r="B71" s="65"/>
      <c r="C71" s="65"/>
      <c r="D71" s="65"/>
      <c r="E71" s="66"/>
      <c r="F71" s="66">
        <f>+Harvest!J78</f>
        <v>37441.292592721475</v>
      </c>
      <c r="G71" s="66"/>
      <c r="H71" s="67"/>
      <c r="I71" s="66"/>
      <c r="J71" s="66">
        <f>+Harvest!L78</f>
        <v>63604.453195026101</v>
      </c>
      <c r="K71" s="66"/>
      <c r="L71" s="67"/>
      <c r="M71" s="66"/>
      <c r="N71" s="66"/>
      <c r="O71" s="66"/>
      <c r="P71" s="67"/>
      <c r="Q71" s="66"/>
      <c r="R71" s="66">
        <f>+F71+J71+N71</f>
        <v>101045.74578774758</v>
      </c>
    </row>
    <row r="72" spans="1:18" x14ac:dyDescent="0.25">
      <c r="A72" s="74" t="s">
        <v>32</v>
      </c>
      <c r="B72" s="75"/>
      <c r="C72" s="75"/>
      <c r="D72" s="75"/>
      <c r="E72" s="68">
        <f>+E70</f>
        <v>62244.963380269939</v>
      </c>
      <c r="F72" s="68">
        <f>SUM(F70:F71)</f>
        <v>869470.01687542093</v>
      </c>
      <c r="G72" s="90">
        <f>+G70</f>
        <v>13.367004800045095</v>
      </c>
      <c r="H72" s="69"/>
      <c r="I72" s="68">
        <f>+I70</f>
        <v>78826.108236926724</v>
      </c>
      <c r="J72" s="68">
        <f>SUM(J70:J71)</f>
        <v>1146233.4437486622</v>
      </c>
      <c r="K72" s="90">
        <f>+K70</f>
        <v>13.734396062020348</v>
      </c>
      <c r="L72" s="69"/>
      <c r="M72" s="68">
        <f>+M70</f>
        <v>1010</v>
      </c>
      <c r="N72" s="68">
        <f>+N70</f>
        <v>3598</v>
      </c>
      <c r="O72" s="68"/>
      <c r="P72" s="69"/>
      <c r="Q72" s="68">
        <f>+Q70</f>
        <v>142081.07161719663</v>
      </c>
      <c r="R72" s="70">
        <f>SUM(R70:R71)</f>
        <v>2019301.4606240834</v>
      </c>
    </row>
    <row r="73" spans="1:18" x14ac:dyDescent="0.25">
      <c r="A73" s="76" t="s">
        <v>15</v>
      </c>
      <c r="B73" s="72"/>
      <c r="C73" s="72"/>
      <c r="D73" s="72"/>
      <c r="E73" s="72"/>
      <c r="F73" s="71">
        <f>+Harvest!J81</f>
        <v>1.0101095961692592</v>
      </c>
      <c r="G73" s="71"/>
      <c r="H73" s="72"/>
      <c r="I73" s="72"/>
      <c r="J73" s="71">
        <f>+Harvest!L81</f>
        <v>0.75971182148463723</v>
      </c>
      <c r="K73" s="71"/>
      <c r="L73" s="72"/>
      <c r="M73" s="72"/>
      <c r="N73" s="71">
        <f>+Harvest!N81</f>
        <v>4.6037912425443061E-3</v>
      </c>
      <c r="O73" s="71"/>
      <c r="P73" s="72"/>
      <c r="Q73" s="72"/>
      <c r="R73" s="73"/>
    </row>
    <row r="74" spans="1:18" x14ac:dyDescent="0.25">
      <c r="Q74" s="10"/>
    </row>
    <row r="75" spans="1:18" x14ac:dyDescent="0.25">
      <c r="F75" s="10"/>
      <c r="J75" s="10"/>
    </row>
  </sheetData>
  <mergeCells count="19">
    <mergeCell ref="Q2:R2"/>
    <mergeCell ref="A27:D27"/>
    <mergeCell ref="A7:D7"/>
    <mergeCell ref="A12:D12"/>
    <mergeCell ref="A17:D17"/>
    <mergeCell ref="A22:D22"/>
    <mergeCell ref="A57:D57"/>
    <mergeCell ref="A69:D69"/>
    <mergeCell ref="E2:H2"/>
    <mergeCell ref="I2:L2"/>
    <mergeCell ref="M2:P2"/>
    <mergeCell ref="A36:D36"/>
    <mergeCell ref="A32:D32"/>
    <mergeCell ref="A40:D40"/>
    <mergeCell ref="A44:D44"/>
    <mergeCell ref="A49:D49"/>
    <mergeCell ref="A52:D52"/>
    <mergeCell ref="A61:D61"/>
    <mergeCell ref="A65:D65"/>
  </mergeCells>
  <pageMargins left="0.25" right="0.25" top="0.75" bottom="0.75" header="0.3" footer="0.3"/>
  <pageSetup scale="85" fitToHeight="0" orientation="landscape" r:id="rId1"/>
  <ignoredErrors>
    <ignoredError sqref="F72 J7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G141"/>
  <sheetViews>
    <sheetView topLeftCell="A109" workbookViewId="0">
      <selection activeCell="C139" sqref="C139:C141"/>
    </sheetView>
  </sheetViews>
  <sheetFormatPr defaultRowHeight="15" x14ac:dyDescent="0.25"/>
  <cols>
    <col min="1" max="1" width="12.5703125" bestFit="1" customWidth="1"/>
    <col min="2" max="2" width="10.5703125" bestFit="1" customWidth="1"/>
    <col min="3" max="3" width="16" bestFit="1" customWidth="1"/>
    <col min="4" max="4" width="10.140625" bestFit="1" customWidth="1"/>
    <col min="5" max="5" width="5.5703125" bestFit="1" customWidth="1"/>
    <col min="6" max="6" width="7.85546875" bestFit="1" customWidth="1"/>
    <col min="7" max="7" width="15.85546875" bestFit="1" customWidth="1"/>
  </cols>
  <sheetData>
    <row r="1" spans="1:7" x14ac:dyDescent="0.25">
      <c r="A1" s="197" t="s">
        <v>9</v>
      </c>
      <c r="B1" s="197" t="s">
        <v>8</v>
      </c>
      <c r="C1" s="197" t="s">
        <v>29</v>
      </c>
      <c r="D1" s="197" t="s">
        <v>30</v>
      </c>
      <c r="E1" s="197" t="s">
        <v>10</v>
      </c>
      <c r="F1" s="197" t="s">
        <v>37</v>
      </c>
      <c r="G1" s="197" t="s">
        <v>61</v>
      </c>
    </row>
    <row r="2" spans="1:7" x14ac:dyDescent="0.25">
      <c r="A2" s="198" t="s">
        <v>2</v>
      </c>
      <c r="B2" s="199">
        <v>43385</v>
      </c>
      <c r="C2" s="202">
        <v>1983.4261652980529</v>
      </c>
      <c r="D2" s="202">
        <v>29090.250424371439</v>
      </c>
      <c r="E2" s="200">
        <v>14.666666666666666</v>
      </c>
      <c r="F2" s="201">
        <v>1521</v>
      </c>
      <c r="G2" s="200">
        <v>0.50492501258850098</v>
      </c>
    </row>
    <row r="3" spans="1:7" x14ac:dyDescent="0.25">
      <c r="A3" s="198" t="s">
        <v>3</v>
      </c>
      <c r="B3" s="199">
        <v>43384</v>
      </c>
      <c r="C3" s="202">
        <v>1283.6696475443512</v>
      </c>
      <c r="D3" s="202">
        <v>18599.553829312834</v>
      </c>
      <c r="E3" s="200">
        <v>14.48936170212766</v>
      </c>
      <c r="F3" s="201">
        <v>1519</v>
      </c>
      <c r="G3" s="200">
        <v>0.58923333883285522</v>
      </c>
    </row>
    <row r="4" spans="1:7" x14ac:dyDescent="0.25">
      <c r="A4" s="198" t="s">
        <v>3</v>
      </c>
      <c r="B4" s="199">
        <v>43386</v>
      </c>
      <c r="C4" s="202">
        <v>1673.0640265019636</v>
      </c>
      <c r="D4" s="202">
        <v>23316.105050186936</v>
      </c>
      <c r="E4" s="200">
        <v>13.936170212765957</v>
      </c>
      <c r="F4" s="201">
        <v>1523</v>
      </c>
      <c r="G4" s="200">
        <v>0.54243332147598267</v>
      </c>
    </row>
    <row r="5" spans="1:7" x14ac:dyDescent="0.25">
      <c r="A5" s="198" t="s">
        <v>1</v>
      </c>
      <c r="B5" s="199">
        <v>43384</v>
      </c>
      <c r="C5" s="202">
        <v>1852.5576795324773</v>
      </c>
      <c r="D5" s="202">
        <v>25850.304851322413</v>
      </c>
      <c r="E5" s="200">
        <v>13.953846153846154</v>
      </c>
      <c r="F5" s="201">
        <v>1518</v>
      </c>
      <c r="G5" s="200">
        <v>0.52713334560394287</v>
      </c>
    </row>
    <row r="6" spans="1:7" x14ac:dyDescent="0.25">
      <c r="A6" s="198" t="s">
        <v>1</v>
      </c>
      <c r="B6" s="199">
        <v>43385</v>
      </c>
      <c r="C6" s="202">
        <v>1085.7839784745911</v>
      </c>
      <c r="D6" s="202">
        <v>16131.647680193924</v>
      </c>
      <c r="E6" s="200">
        <v>14.857142857142858</v>
      </c>
      <c r="F6" s="201">
        <v>1520</v>
      </c>
      <c r="G6" s="200">
        <v>0.52713334560394287</v>
      </c>
    </row>
    <row r="7" spans="1:7" x14ac:dyDescent="0.25">
      <c r="A7" s="198" t="s">
        <v>1</v>
      </c>
      <c r="B7" s="199">
        <v>43386</v>
      </c>
      <c r="C7" s="202">
        <v>1666.4268294223432</v>
      </c>
      <c r="D7" s="202">
        <v>26016.663765471276</v>
      </c>
      <c r="E7" s="200">
        <v>15.612244897959183</v>
      </c>
      <c r="F7" s="201">
        <v>1522</v>
      </c>
      <c r="G7" s="200">
        <v>0.52713334560394287</v>
      </c>
    </row>
    <row r="8" spans="1:7" x14ac:dyDescent="0.25">
      <c r="C8" s="10"/>
      <c r="D8" s="10"/>
    </row>
    <row r="9" spans="1:7" x14ac:dyDescent="0.25">
      <c r="A9" s="197" t="s">
        <v>9</v>
      </c>
      <c r="B9" s="197" t="s">
        <v>8</v>
      </c>
      <c r="C9" s="197" t="s">
        <v>29</v>
      </c>
      <c r="D9" s="197" t="s">
        <v>30</v>
      </c>
      <c r="E9" s="197" t="s">
        <v>10</v>
      </c>
      <c r="F9" s="197" t="s">
        <v>37</v>
      </c>
      <c r="G9" s="197" t="s">
        <v>61</v>
      </c>
    </row>
    <row r="10" spans="1:7" x14ac:dyDescent="0.25">
      <c r="A10" s="198" t="s">
        <v>2</v>
      </c>
      <c r="B10" s="199">
        <v>43398</v>
      </c>
      <c r="C10" s="200">
        <v>1056.2522360924809</v>
      </c>
      <c r="D10" s="200">
        <v>10682.551024117136</v>
      </c>
      <c r="E10" s="200">
        <v>10.113636363636363</v>
      </c>
      <c r="F10" s="201">
        <v>1524</v>
      </c>
      <c r="G10" s="200">
        <v>0.55820000171661377</v>
      </c>
    </row>
    <row r="11" spans="1:7" x14ac:dyDescent="0.25">
      <c r="A11" s="198" t="s">
        <v>2</v>
      </c>
      <c r="B11" s="199">
        <v>43400</v>
      </c>
      <c r="C11" s="200">
        <v>1327.3992160731027</v>
      </c>
      <c r="D11" s="200">
        <v>10258.665546441509</v>
      </c>
      <c r="E11" s="200">
        <v>7.7283950617283947</v>
      </c>
      <c r="F11" s="201">
        <v>1529</v>
      </c>
      <c r="G11" s="200">
        <v>0.49880000948905945</v>
      </c>
    </row>
    <row r="12" spans="1:7" x14ac:dyDescent="0.25">
      <c r="A12" s="198" t="s">
        <v>3</v>
      </c>
      <c r="B12" s="199">
        <v>43399</v>
      </c>
      <c r="C12" s="200">
        <v>2233.1779627828964</v>
      </c>
      <c r="D12" s="200">
        <v>33762.124726809838</v>
      </c>
      <c r="E12" s="200">
        <v>15.118421052631579</v>
      </c>
      <c r="F12" s="201">
        <v>1527</v>
      </c>
      <c r="G12" s="200">
        <v>0.5117499828338623</v>
      </c>
    </row>
    <row r="13" spans="1:7" x14ac:dyDescent="0.25">
      <c r="A13" s="198" t="s">
        <v>3</v>
      </c>
      <c r="B13" s="199">
        <v>43401</v>
      </c>
      <c r="C13" s="200">
        <v>668.11660370983986</v>
      </c>
      <c r="D13" s="200">
        <v>3215.3111553536041</v>
      </c>
      <c r="E13" s="200">
        <v>4.8125</v>
      </c>
      <c r="F13" s="201">
        <v>1530</v>
      </c>
      <c r="G13" s="200">
        <v>0.51727497577667236</v>
      </c>
    </row>
    <row r="14" spans="1:7" x14ac:dyDescent="0.25">
      <c r="A14" s="198" t="s">
        <v>1</v>
      </c>
      <c r="B14" s="199">
        <v>43398</v>
      </c>
      <c r="C14" s="200">
        <v>632.23843705291222</v>
      </c>
      <c r="D14" s="200">
        <v>2060.6289800243067</v>
      </c>
      <c r="E14" s="200">
        <v>3.2592592592592591</v>
      </c>
      <c r="F14" s="201">
        <v>1525</v>
      </c>
      <c r="G14" s="200">
        <v>0.53109997510910034</v>
      </c>
    </row>
    <row r="15" spans="1:7" x14ac:dyDescent="0.25">
      <c r="A15" s="198" t="s">
        <v>1</v>
      </c>
      <c r="B15" s="199">
        <v>43399</v>
      </c>
      <c r="C15" s="200">
        <v>2041.562489456132</v>
      </c>
      <c r="D15" s="200">
        <v>22219.796396871392</v>
      </c>
      <c r="E15" s="200">
        <v>10.883720930232558</v>
      </c>
      <c r="F15" s="201">
        <v>1526</v>
      </c>
      <c r="G15" s="200">
        <v>0.51243335008621216</v>
      </c>
    </row>
    <row r="16" spans="1:7" x14ac:dyDescent="0.25">
      <c r="A16" s="198" t="s">
        <v>1</v>
      </c>
      <c r="B16" s="199">
        <v>43400</v>
      </c>
      <c r="C16" s="200">
        <v>670.44800051970208</v>
      </c>
      <c r="D16" s="200">
        <v>7589.9773643739845</v>
      </c>
      <c r="E16" s="200">
        <v>11.320754716981131</v>
      </c>
      <c r="F16" s="201">
        <v>1528</v>
      </c>
      <c r="G16" s="200">
        <v>0.53109997510910034</v>
      </c>
    </row>
    <row r="17" spans="1:7" x14ac:dyDescent="0.25">
      <c r="A17" s="198" t="s">
        <v>1</v>
      </c>
      <c r="B17" s="199">
        <v>43401</v>
      </c>
      <c r="C17" s="200">
        <v>261.32725863921792</v>
      </c>
      <c r="D17" s="200">
        <v>2770.0689415757106</v>
      </c>
      <c r="E17" s="200">
        <v>10.6</v>
      </c>
      <c r="F17" s="201">
        <v>1531</v>
      </c>
      <c r="G17" s="200">
        <v>0.51555001735687256</v>
      </c>
    </row>
    <row r="18" spans="1:7" x14ac:dyDescent="0.25">
      <c r="C18" s="10"/>
      <c r="D18" s="10"/>
    </row>
    <row r="19" spans="1:7" x14ac:dyDescent="0.25">
      <c r="A19" s="205" t="s">
        <v>9</v>
      </c>
      <c r="B19" s="205" t="s">
        <v>8</v>
      </c>
      <c r="C19" s="205" t="s">
        <v>29</v>
      </c>
      <c r="D19" s="205" t="s">
        <v>30</v>
      </c>
      <c r="E19" s="205" t="s">
        <v>10</v>
      </c>
      <c r="F19" s="205" t="s">
        <v>37</v>
      </c>
      <c r="G19" s="205" t="s">
        <v>61</v>
      </c>
    </row>
    <row r="20" spans="1:7" x14ac:dyDescent="0.25">
      <c r="A20" s="206" t="s">
        <v>2</v>
      </c>
      <c r="B20" s="207">
        <v>43413</v>
      </c>
      <c r="C20" s="208">
        <v>1923.6392150342299</v>
      </c>
      <c r="D20" s="208">
        <v>28854.588225513449</v>
      </c>
      <c r="E20" s="208">
        <v>15</v>
      </c>
      <c r="F20" s="209">
        <v>1533</v>
      </c>
      <c r="G20" s="208">
        <v>0.49082499742507935</v>
      </c>
    </row>
    <row r="21" spans="1:7" x14ac:dyDescent="0.25">
      <c r="A21" s="206" t="s">
        <v>2</v>
      </c>
      <c r="B21" s="207">
        <v>43415</v>
      </c>
      <c r="C21" s="208">
        <v>1658.3252556872683</v>
      </c>
      <c r="D21" s="208">
        <v>24742.212814854043</v>
      </c>
      <c r="E21" s="208">
        <v>14.92</v>
      </c>
      <c r="F21" s="209">
        <v>1535</v>
      </c>
      <c r="G21" s="208">
        <v>0.44668000936508179</v>
      </c>
    </row>
    <row r="22" spans="1:7" x14ac:dyDescent="0.25">
      <c r="A22" s="206" t="s">
        <v>3</v>
      </c>
      <c r="B22" s="207">
        <v>43412</v>
      </c>
      <c r="C22" s="208">
        <v>1395.421324929335</v>
      </c>
      <c r="D22" s="208">
        <v>20767.152659242456</v>
      </c>
      <c r="E22" s="208">
        <v>14.882352941176471</v>
      </c>
      <c r="F22" s="209">
        <v>1532</v>
      </c>
      <c r="G22" s="208">
        <v>0.32104998826980591</v>
      </c>
    </row>
    <row r="23" spans="1:7" x14ac:dyDescent="0.25">
      <c r="A23" s="206" t="s">
        <v>3</v>
      </c>
      <c r="B23" s="207">
        <v>43414</v>
      </c>
      <c r="C23" s="208">
        <v>2708.4907979499981</v>
      </c>
      <c r="D23" s="208">
        <v>39739.332199430297</v>
      </c>
      <c r="E23" s="208">
        <v>14.672131147540984</v>
      </c>
      <c r="F23" s="209">
        <v>1534</v>
      </c>
      <c r="G23" s="208">
        <v>0.65113335847854614</v>
      </c>
    </row>
    <row r="24" spans="1:7" x14ac:dyDescent="0.25">
      <c r="A24" s="206" t="s">
        <v>1</v>
      </c>
      <c r="B24" s="207">
        <v>43412</v>
      </c>
      <c r="C24" s="208">
        <v>1280.6808023450167</v>
      </c>
      <c r="D24" s="208">
        <v>18520.614680066396</v>
      </c>
      <c r="E24" s="208">
        <v>14.461538461538462</v>
      </c>
      <c r="F24" s="209">
        <v>1536</v>
      </c>
      <c r="G24" s="208">
        <v>0.47396665811538696</v>
      </c>
    </row>
    <row r="25" spans="1:7" x14ac:dyDescent="0.25">
      <c r="A25" s="206" t="s">
        <v>1</v>
      </c>
      <c r="B25" s="207">
        <v>43413</v>
      </c>
      <c r="C25" s="208">
        <v>901.32581450173075</v>
      </c>
      <c r="D25" s="208">
        <v>13082.880762009972</v>
      </c>
      <c r="E25" s="208">
        <v>14.515151515151516</v>
      </c>
      <c r="F25" s="209">
        <v>1537</v>
      </c>
      <c r="G25" s="208">
        <v>0.53109997510910034</v>
      </c>
    </row>
    <row r="26" spans="1:7" x14ac:dyDescent="0.25">
      <c r="A26" s="206" t="s">
        <v>1</v>
      </c>
      <c r="B26" s="207">
        <v>43414</v>
      </c>
      <c r="C26" s="208">
        <v>2386.1604651907855</v>
      </c>
      <c r="D26" s="208">
        <v>31626.737013206686</v>
      </c>
      <c r="E26" s="208">
        <v>13.254237288135593</v>
      </c>
      <c r="F26" s="209">
        <v>1538</v>
      </c>
      <c r="G26" s="208">
        <v>0.52713334560394287</v>
      </c>
    </row>
    <row r="27" spans="1:7" x14ac:dyDescent="0.25">
      <c r="C27" s="10"/>
      <c r="D27" s="10"/>
    </row>
    <row r="28" spans="1:7" x14ac:dyDescent="0.25">
      <c r="A28" s="197" t="s">
        <v>9</v>
      </c>
      <c r="B28" s="197" t="s">
        <v>8</v>
      </c>
      <c r="C28" s="197" t="s">
        <v>29</v>
      </c>
      <c r="D28" s="197" t="s">
        <v>30</v>
      </c>
      <c r="E28" s="197" t="s">
        <v>10</v>
      </c>
      <c r="F28" s="197" t="s">
        <v>37</v>
      </c>
      <c r="G28" s="197" t="s">
        <v>61</v>
      </c>
    </row>
    <row r="29" spans="1:7" x14ac:dyDescent="0.25">
      <c r="A29" s="198" t="s">
        <v>2</v>
      </c>
      <c r="B29" s="199">
        <v>43426</v>
      </c>
      <c r="C29" s="200">
        <v>1588.2201234121189</v>
      </c>
      <c r="D29" s="200">
        <v>23238.168121503637</v>
      </c>
      <c r="E29" s="200">
        <v>14.631578947368421</v>
      </c>
      <c r="F29" s="201">
        <v>1539</v>
      </c>
      <c r="G29" s="200">
        <v>0.51840001344680786</v>
      </c>
    </row>
    <row r="30" spans="1:7" x14ac:dyDescent="0.25">
      <c r="A30" s="198" t="s">
        <v>2</v>
      </c>
      <c r="B30" s="199">
        <v>43428</v>
      </c>
      <c r="C30" s="200">
        <v>3198.5485088909131</v>
      </c>
      <c r="D30" s="200">
        <v>47122.801869357994</v>
      </c>
      <c r="E30" s="200">
        <v>14.732558139534884</v>
      </c>
      <c r="F30" s="201">
        <v>1542</v>
      </c>
      <c r="G30" s="200">
        <v>0.52386665344238281</v>
      </c>
    </row>
    <row r="31" spans="1:7" x14ac:dyDescent="0.25">
      <c r="A31" s="198" t="s">
        <v>3</v>
      </c>
      <c r="B31" s="199">
        <v>43427</v>
      </c>
      <c r="C31" s="200">
        <v>4038.1859770360866</v>
      </c>
      <c r="D31" s="200">
        <v>59634.625236633925</v>
      </c>
      <c r="E31" s="200">
        <v>14.767676767676768</v>
      </c>
      <c r="F31" s="201">
        <v>1540</v>
      </c>
      <c r="G31" s="200">
        <v>0.57612502574920654</v>
      </c>
    </row>
    <row r="32" spans="1:7" x14ac:dyDescent="0.25">
      <c r="A32" s="198" t="s">
        <v>3</v>
      </c>
      <c r="B32" s="199">
        <v>43428</v>
      </c>
      <c r="C32" s="200">
        <v>1414.6371179318728</v>
      </c>
      <c r="D32" s="200">
        <v>19633.448485236298</v>
      </c>
      <c r="E32" s="200">
        <v>13.878787878787879</v>
      </c>
      <c r="F32" s="201">
        <v>1543</v>
      </c>
      <c r="G32" s="200">
        <v>0.53653335571289063</v>
      </c>
    </row>
    <row r="33" spans="1:7" x14ac:dyDescent="0.25">
      <c r="A33" s="198" t="s">
        <v>3</v>
      </c>
      <c r="B33" s="199">
        <v>43429</v>
      </c>
      <c r="C33" s="200">
        <v>499.47238924369924</v>
      </c>
      <c r="D33" s="200">
        <v>7321.8111605042268</v>
      </c>
      <c r="E33" s="200">
        <v>14.659090909090908</v>
      </c>
      <c r="F33" s="201">
        <v>1544</v>
      </c>
      <c r="G33" s="200">
        <v>0.56859999895095825</v>
      </c>
    </row>
    <row r="34" spans="1:7" x14ac:dyDescent="0.25">
      <c r="A34" s="198" t="s">
        <v>1</v>
      </c>
      <c r="B34" s="199">
        <v>43427</v>
      </c>
      <c r="C34" s="200">
        <v>2423.2725669693737</v>
      </c>
      <c r="D34" s="200">
        <v>26782.2103495261</v>
      </c>
      <c r="E34" s="200">
        <v>11.052083333333334</v>
      </c>
      <c r="F34" s="201">
        <v>1541</v>
      </c>
      <c r="G34" s="200">
        <v>0.53109997510910034</v>
      </c>
    </row>
    <row r="35" spans="1:7" x14ac:dyDescent="0.25">
      <c r="A35" s="198" t="s">
        <v>1</v>
      </c>
      <c r="B35" s="199">
        <v>43429</v>
      </c>
      <c r="C35" s="200">
        <v>300.90271445655992</v>
      </c>
      <c r="D35" s="200">
        <v>4513.540716848398</v>
      </c>
      <c r="E35" s="200">
        <v>15</v>
      </c>
      <c r="F35" s="201">
        <v>1545</v>
      </c>
      <c r="G35" s="200">
        <v>0.49849998950958252</v>
      </c>
    </row>
    <row r="36" spans="1:7" x14ac:dyDescent="0.25">
      <c r="C36" s="10"/>
      <c r="D36" s="10"/>
    </row>
    <row r="37" spans="1:7" x14ac:dyDescent="0.25">
      <c r="A37" s="197" t="s">
        <v>9</v>
      </c>
      <c r="B37" s="197" t="s">
        <v>8</v>
      </c>
      <c r="C37" s="197" t="s">
        <v>29</v>
      </c>
      <c r="D37" s="197" t="s">
        <v>30</v>
      </c>
      <c r="E37" s="197" t="s">
        <v>10</v>
      </c>
      <c r="F37" s="197" t="s">
        <v>37</v>
      </c>
      <c r="G37" s="197" t="s">
        <v>61</v>
      </c>
    </row>
    <row r="38" spans="1:7" x14ac:dyDescent="0.25">
      <c r="A38" s="198" t="s">
        <v>2</v>
      </c>
      <c r="B38" s="199">
        <v>43440</v>
      </c>
      <c r="C38" s="200">
        <v>1112.2014898236332</v>
      </c>
      <c r="D38" s="200">
        <v>12790.317132971781</v>
      </c>
      <c r="E38" s="200">
        <v>11.5</v>
      </c>
      <c r="F38" s="201">
        <v>1546</v>
      </c>
      <c r="G38" s="200">
        <v>0.61140000820159912</v>
      </c>
    </row>
    <row r="39" spans="1:7" x14ac:dyDescent="0.25">
      <c r="A39" s="198" t="s">
        <v>2</v>
      </c>
      <c r="B39" s="199">
        <v>43442</v>
      </c>
      <c r="C39" s="200">
        <v>1667.8920270267668</v>
      </c>
      <c r="D39" s="200">
        <v>21330.224796342314</v>
      </c>
      <c r="E39" s="200">
        <v>12.788732394366198</v>
      </c>
      <c r="F39" s="201">
        <v>1551</v>
      </c>
      <c r="G39" s="200">
        <v>0.52593332529067993</v>
      </c>
    </row>
    <row r="40" spans="1:7" x14ac:dyDescent="0.25">
      <c r="A40" s="198" t="s">
        <v>3</v>
      </c>
      <c r="B40" s="199">
        <v>43441</v>
      </c>
      <c r="C40" s="200">
        <v>576.3050066757321</v>
      </c>
      <c r="D40" s="200">
        <v>4694.4845335460677</v>
      </c>
      <c r="E40" s="200">
        <v>8.1458333333333339</v>
      </c>
      <c r="F40" s="201">
        <v>1549</v>
      </c>
      <c r="G40" s="200">
        <v>0.58004999160766602</v>
      </c>
    </row>
    <row r="41" spans="1:7" x14ac:dyDescent="0.25">
      <c r="A41" s="198" t="s">
        <v>3</v>
      </c>
      <c r="B41" s="199">
        <v>43443</v>
      </c>
      <c r="C41" s="200">
        <v>226.07677579663562</v>
      </c>
      <c r="D41" s="200">
        <v>2003.8623309247246</v>
      </c>
      <c r="E41" s="200">
        <v>8.8636363636363633</v>
      </c>
      <c r="F41" s="201">
        <v>1552</v>
      </c>
      <c r="G41" s="200">
        <v>0.5131000280380249</v>
      </c>
    </row>
    <row r="42" spans="1:7" x14ac:dyDescent="0.25">
      <c r="A42" s="198" t="s">
        <v>1</v>
      </c>
      <c r="B42" s="199">
        <v>43440</v>
      </c>
      <c r="C42" s="200">
        <v>1538.7037218960934</v>
      </c>
      <c r="D42" s="200">
        <v>9809.2362270875947</v>
      </c>
      <c r="E42" s="200">
        <v>6.375</v>
      </c>
      <c r="F42" s="201">
        <v>1547</v>
      </c>
      <c r="G42" s="200">
        <v>0.52713334560394287</v>
      </c>
    </row>
    <row r="43" spans="1:7" x14ac:dyDescent="0.25">
      <c r="A43" s="198" t="s">
        <v>1</v>
      </c>
      <c r="B43" s="199">
        <v>43441</v>
      </c>
      <c r="C43" s="200">
        <v>804.41325664720341</v>
      </c>
      <c r="D43" s="200">
        <v>9522.0080844982913</v>
      </c>
      <c r="E43" s="200">
        <v>11.837209302325581</v>
      </c>
      <c r="F43" s="201">
        <v>1548</v>
      </c>
      <c r="G43" s="200">
        <v>0.49849998950958252</v>
      </c>
    </row>
    <row r="44" spans="1:7" x14ac:dyDescent="0.25">
      <c r="A44" s="198" t="s">
        <v>1</v>
      </c>
      <c r="B44" s="199">
        <v>43442</v>
      </c>
      <c r="C44" s="200">
        <v>948.52659990072175</v>
      </c>
      <c r="D44" s="200">
        <v>12936.848904201512</v>
      </c>
      <c r="E44" s="200">
        <v>13.638888888888889</v>
      </c>
      <c r="F44" s="201">
        <v>1550</v>
      </c>
      <c r="G44" s="200">
        <v>0.52713334560394287</v>
      </c>
    </row>
    <row r="45" spans="1:7" x14ac:dyDescent="0.25">
      <c r="A45" s="198" t="s">
        <v>1</v>
      </c>
      <c r="B45" s="199">
        <v>43443</v>
      </c>
      <c r="C45" s="200">
        <v>132.87786081505945</v>
      </c>
      <c r="D45" s="200">
        <v>762.29930678113033</v>
      </c>
      <c r="E45" s="200">
        <v>5.7368421052631575</v>
      </c>
      <c r="F45" s="201">
        <v>1553</v>
      </c>
      <c r="G45" s="200">
        <v>0.53109997510910034</v>
      </c>
    </row>
    <row r="46" spans="1:7" x14ac:dyDescent="0.25">
      <c r="A46" s="179"/>
      <c r="B46" s="179"/>
      <c r="C46" s="179"/>
    </row>
    <row r="47" spans="1:7" x14ac:dyDescent="0.25">
      <c r="A47" s="197" t="s">
        <v>9</v>
      </c>
      <c r="B47" s="197" t="s">
        <v>8</v>
      </c>
      <c r="C47" s="197" t="s">
        <v>29</v>
      </c>
      <c r="D47" s="197" t="s">
        <v>30</v>
      </c>
      <c r="E47" s="197" t="s">
        <v>10</v>
      </c>
      <c r="F47" s="197" t="s">
        <v>37</v>
      </c>
      <c r="G47" s="197" t="s">
        <v>61</v>
      </c>
    </row>
    <row r="48" spans="1:7" x14ac:dyDescent="0.25">
      <c r="A48" s="198" t="s">
        <v>2</v>
      </c>
      <c r="B48" s="199">
        <v>43455</v>
      </c>
      <c r="C48" s="200">
        <v>1681.3143733961617</v>
      </c>
      <c r="D48" s="200">
        <v>25219.715600942425</v>
      </c>
      <c r="E48" s="200">
        <v>15</v>
      </c>
      <c r="F48" s="201">
        <v>1555</v>
      </c>
      <c r="G48" s="200">
        <v>0.52593332529067993</v>
      </c>
    </row>
    <row r="49" spans="1:7" x14ac:dyDescent="0.25">
      <c r="A49" s="198" t="s">
        <v>2</v>
      </c>
      <c r="B49" s="199">
        <v>43457</v>
      </c>
      <c r="C49" s="200">
        <v>1074.4421891105458</v>
      </c>
      <c r="D49" s="200">
        <v>7628.5395426848745</v>
      </c>
      <c r="E49" s="200">
        <v>7.1</v>
      </c>
      <c r="F49" s="201">
        <v>1557</v>
      </c>
      <c r="G49" s="200">
        <v>0.49300000071525574</v>
      </c>
    </row>
    <row r="50" spans="1:7" x14ac:dyDescent="0.25">
      <c r="A50" s="198" t="s">
        <v>64</v>
      </c>
      <c r="B50" s="199">
        <v>43456</v>
      </c>
      <c r="C50" s="200">
        <v>1777.1929126831938</v>
      </c>
      <c r="D50" s="200">
        <v>3998.6840535371862</v>
      </c>
      <c r="E50" s="200">
        <v>2.25</v>
      </c>
      <c r="F50" s="201">
        <v>1562</v>
      </c>
      <c r="G50" s="200">
        <v>0.70139998197555542</v>
      </c>
    </row>
    <row r="51" spans="1:7" x14ac:dyDescent="0.25">
      <c r="A51" s="198" t="s">
        <v>3</v>
      </c>
      <c r="B51" s="199">
        <v>43454</v>
      </c>
      <c r="C51" s="200">
        <v>280.13746802135654</v>
      </c>
      <c r="D51" s="200">
        <v>1142.9608695271349</v>
      </c>
      <c r="E51" s="200">
        <v>4.08</v>
      </c>
      <c r="F51" s="201">
        <v>1554</v>
      </c>
      <c r="G51" s="200">
        <v>0.55119997262954712</v>
      </c>
    </row>
    <row r="52" spans="1:7" x14ac:dyDescent="0.25">
      <c r="A52" s="198" t="s">
        <v>3</v>
      </c>
      <c r="B52" s="199">
        <v>43456</v>
      </c>
      <c r="C52" s="200">
        <v>881.01386968416227</v>
      </c>
      <c r="D52" s="200">
        <v>4055.9883811874633</v>
      </c>
      <c r="E52" s="200">
        <v>4.6037735849056602</v>
      </c>
      <c r="F52" s="201">
        <v>1556</v>
      </c>
      <c r="G52" s="200">
        <v>0.58626669645309448</v>
      </c>
    </row>
    <row r="53" spans="1:7" x14ac:dyDescent="0.25">
      <c r="A53" s="198" t="s">
        <v>1</v>
      </c>
      <c r="B53" s="199">
        <v>43454</v>
      </c>
      <c r="C53" s="200">
        <v>397.64769054964506</v>
      </c>
      <c r="D53" s="200">
        <v>1892.8030070163104</v>
      </c>
      <c r="E53" s="200">
        <v>4.76</v>
      </c>
      <c r="F53" s="201">
        <v>1558</v>
      </c>
      <c r="G53" s="200">
        <v>0.31676667928695679</v>
      </c>
    </row>
    <row r="54" spans="1:7" x14ac:dyDescent="0.25">
      <c r="A54" s="198" t="s">
        <v>1</v>
      </c>
      <c r="B54" s="199">
        <v>43455</v>
      </c>
      <c r="C54" s="200">
        <v>1183.6581520643404</v>
      </c>
      <c r="D54" s="200">
        <v>17388.104966240942</v>
      </c>
      <c r="E54" s="200">
        <v>14.690140845070422</v>
      </c>
      <c r="F54" s="201">
        <v>1559</v>
      </c>
      <c r="G54" s="200">
        <v>0.48570001125335693</v>
      </c>
    </row>
    <row r="55" spans="1:7" x14ac:dyDescent="0.25">
      <c r="A55" s="198" t="s">
        <v>1</v>
      </c>
      <c r="B55" s="199">
        <v>43456</v>
      </c>
      <c r="C55" s="200">
        <v>709.5967774456492</v>
      </c>
      <c r="D55" s="200">
        <v>363.89578330546112</v>
      </c>
      <c r="E55" s="200">
        <v>0.51282051282051277</v>
      </c>
      <c r="F55" s="201">
        <v>1560</v>
      </c>
      <c r="G55" s="200">
        <v>0.48570001125335693</v>
      </c>
    </row>
    <row r="56" spans="1:7" x14ac:dyDescent="0.25">
      <c r="A56" s="198" t="s">
        <v>1</v>
      </c>
      <c r="B56" s="199">
        <v>43457</v>
      </c>
      <c r="C56" s="200">
        <v>587.93506482681767</v>
      </c>
      <c r="D56" s="200">
        <v>1872.682058337271</v>
      </c>
      <c r="E56" s="200">
        <v>3.1851851851851851</v>
      </c>
      <c r="F56" s="201">
        <v>1561</v>
      </c>
      <c r="G56" s="200">
        <v>0.48985001444816589</v>
      </c>
    </row>
    <row r="58" spans="1:7" x14ac:dyDescent="0.25">
      <c r="A58" s="197" t="s">
        <v>9</v>
      </c>
      <c r="B58" s="197" t="s">
        <v>8</v>
      </c>
      <c r="C58" s="197" t="s">
        <v>29</v>
      </c>
      <c r="D58" s="197" t="s">
        <v>30</v>
      </c>
      <c r="E58" s="197" t="s">
        <v>10</v>
      </c>
      <c r="F58" s="197" t="s">
        <v>37</v>
      </c>
      <c r="G58" s="197" t="s">
        <v>61</v>
      </c>
    </row>
    <row r="59" spans="1:7" x14ac:dyDescent="0.25">
      <c r="A59" s="198" t="s">
        <v>2</v>
      </c>
      <c r="B59" s="199">
        <v>43470</v>
      </c>
      <c r="C59" s="200">
        <v>1448.5191219377602</v>
      </c>
      <c r="D59" s="200">
        <v>11861.458470207321</v>
      </c>
      <c r="E59" s="200">
        <v>8.1886792452830193</v>
      </c>
      <c r="F59" s="201">
        <v>1566</v>
      </c>
      <c r="G59" s="200">
        <v>0.47166666388511658</v>
      </c>
    </row>
    <row r="60" spans="1:7" x14ac:dyDescent="0.25">
      <c r="A60" s="198" t="s">
        <v>3</v>
      </c>
      <c r="B60" s="199">
        <v>43469</v>
      </c>
      <c r="C60" s="200">
        <v>931.3652227568449</v>
      </c>
      <c r="D60" s="200">
        <v>9123.1457047318218</v>
      </c>
      <c r="E60" s="200">
        <v>9.795454545454545</v>
      </c>
      <c r="F60" s="201">
        <v>1565</v>
      </c>
      <c r="G60" s="200">
        <v>0.44486665725708008</v>
      </c>
    </row>
    <row r="61" spans="1:7" x14ac:dyDescent="0.25">
      <c r="A61" s="198" t="s">
        <v>3</v>
      </c>
      <c r="B61" s="199">
        <v>43471</v>
      </c>
      <c r="C61" s="200">
        <v>95.964568088884249</v>
      </c>
      <c r="D61" s="200">
        <v>1407.4803319703024</v>
      </c>
      <c r="E61" s="200">
        <v>14.666666666666666</v>
      </c>
      <c r="F61" s="201">
        <v>1567</v>
      </c>
      <c r="G61" s="200">
        <v>0.54186666011810303</v>
      </c>
    </row>
    <row r="62" spans="1:7" x14ac:dyDescent="0.25">
      <c r="A62" s="198" t="s">
        <v>1</v>
      </c>
      <c r="B62" s="199">
        <v>43467</v>
      </c>
      <c r="C62" s="200">
        <v>1358.3299241579796</v>
      </c>
      <c r="D62" s="200">
        <v>15541.821457807582</v>
      </c>
      <c r="E62" s="200">
        <v>11.44186046511628</v>
      </c>
      <c r="F62" s="201">
        <v>1563</v>
      </c>
      <c r="G62" s="200">
        <v>0.48539999127388</v>
      </c>
    </row>
    <row r="63" spans="1:7" x14ac:dyDescent="0.25">
      <c r="A63" s="198" t="s">
        <v>1</v>
      </c>
      <c r="B63" s="199">
        <v>43468</v>
      </c>
      <c r="C63" s="200">
        <v>232.72429649394869</v>
      </c>
      <c r="D63" s="200">
        <v>210.56007778023928</v>
      </c>
      <c r="E63" s="200">
        <v>0.90476190476190477</v>
      </c>
      <c r="F63" s="201">
        <v>1564</v>
      </c>
      <c r="G63" s="200">
        <v>0.48985001444816589</v>
      </c>
    </row>
    <row r="64" spans="1:7" x14ac:dyDescent="0.25">
      <c r="A64" s="198" t="s">
        <v>1</v>
      </c>
      <c r="B64" s="199">
        <v>43469</v>
      </c>
      <c r="C64" s="200">
        <v>723.21630896317242</v>
      </c>
      <c r="D64" s="200">
        <v>2071.9169932458453</v>
      </c>
      <c r="E64" s="200">
        <v>2.8648648648648649</v>
      </c>
      <c r="F64" s="201">
        <v>1568</v>
      </c>
      <c r="G64" s="200">
        <v>0.47710001468658447</v>
      </c>
    </row>
    <row r="65" spans="1:7" x14ac:dyDescent="0.25">
      <c r="A65" s="198" t="s">
        <v>1</v>
      </c>
      <c r="B65" s="199">
        <v>43470</v>
      </c>
      <c r="C65" s="200">
        <v>667.93404174661259</v>
      </c>
      <c r="D65" s="200">
        <v>445.28936116440832</v>
      </c>
      <c r="E65" s="200">
        <v>0.66666666666666663</v>
      </c>
      <c r="F65" s="201">
        <v>1569</v>
      </c>
      <c r="G65" s="200">
        <v>0.48985001444816589</v>
      </c>
    </row>
    <row r="66" spans="1:7" x14ac:dyDescent="0.25">
      <c r="A66" s="198" t="s">
        <v>1</v>
      </c>
      <c r="B66" s="199">
        <v>43471</v>
      </c>
      <c r="C66" s="200">
        <v>142.90088381207374</v>
      </c>
      <c r="D66" s="200">
        <v>1220.1537002415525</v>
      </c>
      <c r="E66" s="200">
        <v>8.5384615384615383</v>
      </c>
      <c r="F66" s="201">
        <v>1570</v>
      </c>
      <c r="G66" s="200">
        <v>0.48985001444816589</v>
      </c>
    </row>
    <row r="68" spans="1:7" x14ac:dyDescent="0.25">
      <c r="A68" s="197" t="s">
        <v>9</v>
      </c>
      <c r="B68" s="197" t="s">
        <v>8</v>
      </c>
      <c r="C68" s="197" t="s">
        <v>29</v>
      </c>
      <c r="D68" s="197" t="s">
        <v>30</v>
      </c>
      <c r="E68" s="197" t="s">
        <v>10</v>
      </c>
      <c r="F68" s="197" t="s">
        <v>37</v>
      </c>
      <c r="G68" s="197" t="s">
        <v>61</v>
      </c>
    </row>
    <row r="69" spans="1:7" x14ac:dyDescent="0.25">
      <c r="A69" s="198" t="s">
        <v>2</v>
      </c>
      <c r="B69" s="199">
        <v>43485</v>
      </c>
      <c r="C69" s="200">
        <v>5194.5748037358944</v>
      </c>
      <c r="D69" s="200">
        <v>77918.62205603841</v>
      </c>
      <c r="E69" s="200">
        <v>15</v>
      </c>
      <c r="F69" s="201">
        <v>1572</v>
      </c>
      <c r="G69" s="200">
        <v>0.52593332529067993</v>
      </c>
    </row>
    <row r="70" spans="1:7" x14ac:dyDescent="0.25">
      <c r="A70" s="198" t="s">
        <v>3</v>
      </c>
      <c r="B70" s="199">
        <v>43484</v>
      </c>
      <c r="C70" s="200">
        <v>6352.8667886082021</v>
      </c>
      <c r="D70" s="200">
        <v>92345.795586985216</v>
      </c>
      <c r="E70" s="200">
        <v>14.536082474226804</v>
      </c>
      <c r="F70" s="201">
        <v>1571</v>
      </c>
      <c r="G70" s="200">
        <v>0.55119997262954712</v>
      </c>
    </row>
    <row r="71" spans="1:7" x14ac:dyDescent="0.25">
      <c r="A71" s="198" t="s">
        <v>3</v>
      </c>
      <c r="B71" s="199">
        <v>43486</v>
      </c>
      <c r="C71" s="200">
        <v>1471.4933045335947</v>
      </c>
      <c r="D71" s="200">
        <v>20145.44405016231</v>
      </c>
      <c r="E71" s="200">
        <v>13.69047619047619</v>
      </c>
      <c r="F71" s="201">
        <v>1573</v>
      </c>
      <c r="G71" s="200">
        <v>0.5131000280380249</v>
      </c>
    </row>
    <row r="72" spans="1:7" x14ac:dyDescent="0.25">
      <c r="A72" s="198" t="s">
        <v>1</v>
      </c>
      <c r="B72" s="199">
        <v>43482</v>
      </c>
      <c r="C72" s="200">
        <v>760.1977886971099</v>
      </c>
      <c r="D72" s="200">
        <v>1628.995261493807</v>
      </c>
      <c r="E72" s="200">
        <v>2.1428571428571428</v>
      </c>
      <c r="F72" s="201">
        <v>1574</v>
      </c>
      <c r="G72" s="200">
        <v>0.48539999127388</v>
      </c>
    </row>
    <row r="73" spans="1:7" x14ac:dyDescent="0.25">
      <c r="A73" s="198" t="s">
        <v>1</v>
      </c>
      <c r="B73" s="199">
        <v>43483</v>
      </c>
      <c r="C73" s="200">
        <v>751.23610744824146</v>
      </c>
      <c r="D73" s="200">
        <v>5347.033470661012</v>
      </c>
      <c r="E73" s="200">
        <v>7.117647058823529</v>
      </c>
      <c r="F73" s="201">
        <v>1575</v>
      </c>
      <c r="G73" s="200">
        <v>0.48539999127388</v>
      </c>
    </row>
    <row r="74" spans="1:7" x14ac:dyDescent="0.25">
      <c r="A74" s="198" t="s">
        <v>1</v>
      </c>
      <c r="B74" s="199">
        <v>43484</v>
      </c>
      <c r="C74" s="200">
        <v>4752.7009438164241</v>
      </c>
      <c r="D74" s="200">
        <v>29704.380898852651</v>
      </c>
      <c r="E74" s="200">
        <v>6.25</v>
      </c>
      <c r="F74" s="201">
        <v>1576</v>
      </c>
      <c r="G74" s="200">
        <v>0.44486665725708008</v>
      </c>
    </row>
    <row r="75" spans="1:7" x14ac:dyDescent="0.25">
      <c r="A75" s="198" t="s">
        <v>1</v>
      </c>
      <c r="B75" s="199">
        <v>43485</v>
      </c>
      <c r="C75" s="200">
        <v>2417.1298595824064</v>
      </c>
      <c r="D75" s="200">
        <v>34202.387513091053</v>
      </c>
      <c r="E75" s="200">
        <v>14.15</v>
      </c>
      <c r="F75" s="201">
        <v>1577</v>
      </c>
      <c r="G75" s="200">
        <v>0.48570001125335693</v>
      </c>
    </row>
    <row r="76" spans="1:7" x14ac:dyDescent="0.25">
      <c r="A76" s="198" t="s">
        <v>1</v>
      </c>
      <c r="B76" s="199">
        <v>43486</v>
      </c>
      <c r="C76" s="200">
        <v>1325.1879911221138</v>
      </c>
      <c r="D76" s="200">
        <v>19877.819866831709</v>
      </c>
      <c r="E76" s="200">
        <v>15</v>
      </c>
      <c r="F76" s="201">
        <v>1578</v>
      </c>
      <c r="G76" s="200">
        <v>0.43224999308586121</v>
      </c>
    </row>
    <row r="78" spans="1:7" x14ac:dyDescent="0.25">
      <c r="A78" s="197" t="s">
        <v>9</v>
      </c>
      <c r="B78" s="197" t="s">
        <v>8</v>
      </c>
      <c r="C78" s="197" t="s">
        <v>29</v>
      </c>
      <c r="D78" s="197" t="s">
        <v>30</v>
      </c>
      <c r="E78" s="197" t="s">
        <v>10</v>
      </c>
      <c r="F78" s="197" t="s">
        <v>37</v>
      </c>
      <c r="G78" s="208">
        <v>1004.3890690791468</v>
      </c>
    </row>
    <row r="79" spans="1:7" x14ac:dyDescent="0.25">
      <c r="A79" s="198" t="s">
        <v>2</v>
      </c>
      <c r="B79" s="199">
        <v>43497</v>
      </c>
      <c r="C79" s="200">
        <v>1395.156101182039</v>
      </c>
      <c r="D79" s="200">
        <v>17945.53730147878</v>
      </c>
      <c r="E79" s="200">
        <v>12.862745098039216</v>
      </c>
      <c r="F79" s="201">
        <v>1580</v>
      </c>
      <c r="G79" s="208">
        <v>1251.8014945707864</v>
      </c>
    </row>
    <row r="80" spans="1:7" x14ac:dyDescent="0.25">
      <c r="A80" s="198" t="s">
        <v>2</v>
      </c>
      <c r="B80" s="199">
        <v>43499</v>
      </c>
      <c r="C80" s="200">
        <v>744.93158669019863</v>
      </c>
      <c r="D80" s="200">
        <v>10496.763266998254</v>
      </c>
      <c r="E80" s="200">
        <v>14.090909090909092</v>
      </c>
      <c r="F80" s="201">
        <v>1583</v>
      </c>
      <c r="G80" s="208">
        <v>615.98682607164176</v>
      </c>
    </row>
    <row r="81" spans="1:7" x14ac:dyDescent="0.25">
      <c r="A81" s="198" t="s">
        <v>3</v>
      </c>
      <c r="B81" s="199">
        <v>43498</v>
      </c>
      <c r="C81" s="200">
        <v>3324.7873264653281</v>
      </c>
      <c r="D81" s="200">
        <v>42861.71613636025</v>
      </c>
      <c r="E81" s="200">
        <v>12.891566265060241</v>
      </c>
      <c r="F81" s="201">
        <v>1582</v>
      </c>
      <c r="G81" s="200">
        <v>0.54653334617614746</v>
      </c>
    </row>
    <row r="82" spans="1:7" x14ac:dyDescent="0.25">
      <c r="A82" s="198" t="s">
        <v>1</v>
      </c>
      <c r="B82" s="199">
        <v>43497</v>
      </c>
      <c r="C82" s="200">
        <v>1060.3252791183472</v>
      </c>
      <c r="D82" s="200">
        <v>11808.167881090683</v>
      </c>
      <c r="E82" s="200">
        <v>11.136363636363637</v>
      </c>
      <c r="F82" s="201">
        <v>1579</v>
      </c>
      <c r="G82" s="200">
        <v>0.48570001125335693</v>
      </c>
    </row>
    <row r="83" spans="1:7" x14ac:dyDescent="0.25">
      <c r="A83" s="198" t="s">
        <v>1</v>
      </c>
      <c r="B83" s="199">
        <v>43498</v>
      </c>
      <c r="C83" s="200">
        <v>4068.5106486015784</v>
      </c>
      <c r="D83" s="200">
        <v>49839.25544536933</v>
      </c>
      <c r="E83" s="200">
        <v>12.25</v>
      </c>
      <c r="F83" s="201">
        <v>1581</v>
      </c>
      <c r="G83" s="200">
        <v>0.48985001444816589</v>
      </c>
    </row>
    <row r="85" spans="1:7" x14ac:dyDescent="0.25">
      <c r="A85" s="205" t="s">
        <v>9</v>
      </c>
      <c r="B85" s="205" t="s">
        <v>8</v>
      </c>
      <c r="C85" s="205" t="s">
        <v>29</v>
      </c>
      <c r="D85" s="205" t="s">
        <v>30</v>
      </c>
      <c r="E85" s="205" t="s">
        <v>10</v>
      </c>
      <c r="F85" s="205" t="s">
        <v>37</v>
      </c>
      <c r="G85" s="205" t="s">
        <v>61</v>
      </c>
    </row>
    <row r="86" spans="1:7" x14ac:dyDescent="0.25">
      <c r="A86" s="206" t="s">
        <v>2</v>
      </c>
      <c r="B86" s="207">
        <v>43512</v>
      </c>
      <c r="C86" s="208">
        <v>4004.5242910039633</v>
      </c>
      <c r="D86" s="208">
        <v>50369.407097784228</v>
      </c>
      <c r="E86" s="208">
        <v>12.578125</v>
      </c>
      <c r="F86" s="209">
        <v>1584</v>
      </c>
      <c r="G86" s="208">
        <v>0.54653334617614746</v>
      </c>
    </row>
    <row r="87" spans="1:7" x14ac:dyDescent="0.25">
      <c r="A87" s="206" t="s">
        <v>2</v>
      </c>
      <c r="B87" s="207">
        <v>43513</v>
      </c>
      <c r="C87" s="208">
        <v>4537.9516475418404</v>
      </c>
      <c r="D87" s="208">
        <v>68069.274713127612</v>
      </c>
      <c r="E87" s="208">
        <v>15</v>
      </c>
      <c r="F87" s="209">
        <v>1585</v>
      </c>
      <c r="G87" s="208">
        <v>0.52593332529067993</v>
      </c>
    </row>
    <row r="88" spans="1:7" x14ac:dyDescent="0.25">
      <c r="A88" s="206" t="s">
        <v>64</v>
      </c>
      <c r="B88" s="207">
        <v>43513</v>
      </c>
      <c r="C88" s="208">
        <v>8343.9805242922157</v>
      </c>
      <c r="D88" s="208">
        <v>110140.54292065726</v>
      </c>
      <c r="E88" s="208">
        <v>13.2</v>
      </c>
      <c r="F88" s="209">
        <v>1591</v>
      </c>
      <c r="G88" s="208">
        <v>0.6165199875831604</v>
      </c>
    </row>
    <row r="89" spans="1:7" x14ac:dyDescent="0.25">
      <c r="A89" s="206" t="s">
        <v>3</v>
      </c>
      <c r="B89" s="207">
        <v>43511</v>
      </c>
      <c r="C89" s="208">
        <v>794.7823086772097</v>
      </c>
      <c r="D89" s="208">
        <v>9445.6820531252997</v>
      </c>
      <c r="E89" s="208">
        <v>11.884615384615385</v>
      </c>
      <c r="F89" s="209">
        <v>1586</v>
      </c>
      <c r="G89" s="208">
        <v>0.59853333234786987</v>
      </c>
    </row>
    <row r="90" spans="1:7" x14ac:dyDescent="0.25">
      <c r="A90" s="206" t="s">
        <v>3</v>
      </c>
      <c r="B90" s="207">
        <v>43513</v>
      </c>
      <c r="C90" s="208">
        <v>2715.4678355373658</v>
      </c>
      <c r="D90" s="208">
        <v>38176.283099613553</v>
      </c>
      <c r="E90" s="208">
        <v>14.058823529411764</v>
      </c>
      <c r="F90" s="209">
        <v>1587</v>
      </c>
      <c r="G90" s="208">
        <v>0.5591999888420105</v>
      </c>
    </row>
    <row r="91" spans="1:7" x14ac:dyDescent="0.25">
      <c r="A91" s="206" t="s">
        <v>3</v>
      </c>
      <c r="B91" s="207">
        <v>43514</v>
      </c>
      <c r="C91" s="208">
        <v>2232.3825642545598</v>
      </c>
      <c r="D91" s="208">
        <v>33485.738463818401</v>
      </c>
      <c r="E91" s="208">
        <v>15</v>
      </c>
      <c r="F91" s="209">
        <v>1588</v>
      </c>
      <c r="G91" s="208">
        <v>0.57380002737045288</v>
      </c>
    </row>
    <row r="92" spans="1:7" x14ac:dyDescent="0.25">
      <c r="A92" s="206" t="s">
        <v>1</v>
      </c>
      <c r="B92" s="207">
        <v>43511</v>
      </c>
      <c r="C92" s="208">
        <v>466.58657364431917</v>
      </c>
      <c r="D92" s="208">
        <v>4050.8197984574981</v>
      </c>
      <c r="E92" s="208">
        <v>8.6818181818181817</v>
      </c>
      <c r="F92" s="209">
        <v>1589</v>
      </c>
      <c r="G92" s="208">
        <v>0.47694998979568481</v>
      </c>
    </row>
    <row r="93" spans="1:7" x14ac:dyDescent="0.25">
      <c r="A93" s="206" t="s">
        <v>1</v>
      </c>
      <c r="B93" s="207">
        <v>43512</v>
      </c>
      <c r="C93" s="208">
        <v>1607.184181416065</v>
      </c>
      <c r="D93" s="208">
        <v>20656.268823445818</v>
      </c>
      <c r="E93" s="208">
        <v>12.852459016393443</v>
      </c>
      <c r="F93" s="209">
        <v>1590</v>
      </c>
      <c r="G93" s="208">
        <v>0.48570001125335693</v>
      </c>
    </row>
    <row r="94" spans="1:7" x14ac:dyDescent="0.25">
      <c r="A94" s="206" t="s">
        <v>1</v>
      </c>
      <c r="B94" s="207">
        <v>43515</v>
      </c>
      <c r="C94" s="208">
        <v>1004.3890690791468</v>
      </c>
      <c r="D94" s="208">
        <v>8609.0491635355447</v>
      </c>
      <c r="E94" s="208">
        <v>8.5714285714285712</v>
      </c>
      <c r="F94" s="209">
        <v>1592</v>
      </c>
      <c r="G94" s="208">
        <v>0.48985001444816589</v>
      </c>
    </row>
    <row r="95" spans="1:7" x14ac:dyDescent="0.25">
      <c r="A95" s="206" t="s">
        <v>1</v>
      </c>
      <c r="B95" s="207">
        <v>43516</v>
      </c>
      <c r="C95" s="208">
        <v>1251.8014945707864</v>
      </c>
      <c r="D95" s="208">
        <v>15680.460826728799</v>
      </c>
      <c r="E95" s="208">
        <v>12.526315789473685</v>
      </c>
      <c r="F95" s="209">
        <v>1593</v>
      </c>
      <c r="G95" s="208">
        <v>0.48570001125335693</v>
      </c>
    </row>
    <row r="96" spans="1:7" x14ac:dyDescent="0.25">
      <c r="A96" s="206" t="s">
        <v>1</v>
      </c>
      <c r="B96" s="207">
        <v>43517</v>
      </c>
      <c r="C96" s="208">
        <v>615.98682607164176</v>
      </c>
      <c r="D96" s="208">
        <v>8434.2811569809419</v>
      </c>
      <c r="E96" s="208">
        <v>13.692307692307692</v>
      </c>
      <c r="F96" s="209">
        <v>1594</v>
      </c>
      <c r="G96" s="208">
        <v>0.48539999127388</v>
      </c>
    </row>
    <row r="98" spans="1:7" x14ac:dyDescent="0.25">
      <c r="A98" s="197" t="s">
        <v>9</v>
      </c>
      <c r="B98" s="197" t="s">
        <v>8</v>
      </c>
      <c r="C98" s="197" t="s">
        <v>29</v>
      </c>
      <c r="D98" s="197" t="s">
        <v>30</v>
      </c>
      <c r="E98" s="197" t="s">
        <v>10</v>
      </c>
      <c r="F98" s="197" t="s">
        <v>37</v>
      </c>
      <c r="G98" s="197" t="s">
        <v>61</v>
      </c>
    </row>
    <row r="99" spans="1:7" x14ac:dyDescent="0.25">
      <c r="A99" s="198" t="s">
        <v>2</v>
      </c>
      <c r="B99" s="199">
        <v>43540</v>
      </c>
      <c r="C99" s="200">
        <v>8342.8653289005797</v>
      </c>
      <c r="D99" s="200">
        <v>105701.80751570368</v>
      </c>
      <c r="E99" s="200">
        <v>12.669724770642201</v>
      </c>
      <c r="F99" s="201">
        <v>1595</v>
      </c>
      <c r="G99" s="200">
        <v>0.52653330564498901</v>
      </c>
    </row>
    <row r="100" spans="1:7" x14ac:dyDescent="0.25">
      <c r="A100" s="198" t="s">
        <v>3</v>
      </c>
      <c r="B100" s="199">
        <v>43541</v>
      </c>
      <c r="C100" s="200">
        <v>4249.2203233249911</v>
      </c>
      <c r="D100" s="200">
        <v>59342.55968781453</v>
      </c>
      <c r="E100" s="200">
        <v>13.96551724137931</v>
      </c>
      <c r="F100" s="201">
        <v>1596</v>
      </c>
      <c r="G100" s="200">
        <v>0.59853333234786987</v>
      </c>
    </row>
    <row r="101" spans="1:7" x14ac:dyDescent="0.25">
      <c r="A101" s="198" t="s">
        <v>1</v>
      </c>
      <c r="B101" s="199">
        <v>43540</v>
      </c>
      <c r="C101" s="200">
        <v>8237.2665668050486</v>
      </c>
      <c r="D101" s="200">
        <v>118067.48745753903</v>
      </c>
      <c r="E101" s="200">
        <v>14.333333333333334</v>
      </c>
      <c r="F101" s="201">
        <v>1597</v>
      </c>
      <c r="G101" s="200">
        <v>0.47710001468658447</v>
      </c>
    </row>
    <row r="103" spans="1:7" x14ac:dyDescent="0.25">
      <c r="A103" s="205" t="s">
        <v>9</v>
      </c>
      <c r="B103" s="205" t="s">
        <v>8</v>
      </c>
      <c r="C103" s="205" t="s">
        <v>29</v>
      </c>
      <c r="D103" s="205" t="s">
        <v>30</v>
      </c>
      <c r="E103" s="205" t="s">
        <v>10</v>
      </c>
      <c r="F103" s="205" t="s">
        <v>37</v>
      </c>
      <c r="G103" s="205" t="s">
        <v>61</v>
      </c>
    </row>
    <row r="104" spans="1:7" x14ac:dyDescent="0.25">
      <c r="A104" s="206" t="s">
        <v>2</v>
      </c>
      <c r="B104" s="207">
        <v>43547</v>
      </c>
      <c r="C104" s="208">
        <v>7038.7095877983975</v>
      </c>
      <c r="D104" s="208">
        <v>92692.865698471855</v>
      </c>
      <c r="E104" s="208">
        <v>13.169014084507042</v>
      </c>
      <c r="F104" s="209">
        <v>1602</v>
      </c>
      <c r="G104" s="208">
        <v>0.51472502946853638</v>
      </c>
    </row>
    <row r="105" spans="1:7" x14ac:dyDescent="0.25">
      <c r="A105" s="206" t="s">
        <v>3</v>
      </c>
      <c r="B105" s="207">
        <v>43545</v>
      </c>
      <c r="C105" s="208">
        <v>3502.8932419481225</v>
      </c>
      <c r="D105" s="208">
        <v>52543.398629221832</v>
      </c>
      <c r="E105" s="208">
        <v>15</v>
      </c>
      <c r="F105" s="209">
        <v>1598</v>
      </c>
      <c r="G105" s="208">
        <v>0.38596665859222412</v>
      </c>
    </row>
    <row r="106" spans="1:7" x14ac:dyDescent="0.25">
      <c r="A106" s="206" t="s">
        <v>3</v>
      </c>
      <c r="B106" s="207">
        <v>43546</v>
      </c>
      <c r="C106" s="208">
        <v>2328.3731168834706</v>
      </c>
      <c r="D106" s="208">
        <v>31769.357639254464</v>
      </c>
      <c r="E106" s="208">
        <v>13.644444444444444</v>
      </c>
      <c r="F106" s="209">
        <v>1599</v>
      </c>
      <c r="G106" s="208">
        <v>0.58736664056777954</v>
      </c>
    </row>
    <row r="107" spans="1:7" x14ac:dyDescent="0.25">
      <c r="A107" s="206" t="s">
        <v>3</v>
      </c>
      <c r="B107" s="207">
        <v>43548</v>
      </c>
      <c r="C107" s="208">
        <v>5801.0499362348455</v>
      </c>
      <c r="D107" s="208">
        <v>84939.583803186004</v>
      </c>
      <c r="E107" s="208">
        <v>14.642105263157895</v>
      </c>
      <c r="F107" s="209">
        <v>1604</v>
      </c>
      <c r="G107" s="208">
        <v>0.57627499103546143</v>
      </c>
    </row>
    <row r="108" spans="1:7" x14ac:dyDescent="0.25">
      <c r="A108" s="206" t="s">
        <v>1</v>
      </c>
      <c r="B108" s="207">
        <v>43546</v>
      </c>
      <c r="C108" s="208">
        <v>1206.4747677031974</v>
      </c>
      <c r="D108" s="208">
        <v>18097.121515547959</v>
      </c>
      <c r="E108" s="208">
        <v>15</v>
      </c>
      <c r="F108" s="209">
        <v>1600</v>
      </c>
      <c r="G108" s="208">
        <v>0.45509999990463257</v>
      </c>
    </row>
    <row r="109" spans="1:7" x14ac:dyDescent="0.25">
      <c r="A109" s="206" t="s">
        <v>1</v>
      </c>
      <c r="B109" s="207">
        <v>43547</v>
      </c>
      <c r="C109" s="208">
        <v>3421.6900680177314</v>
      </c>
      <c r="D109" s="208">
        <v>42074.114910440258</v>
      </c>
      <c r="E109" s="208">
        <v>12.296296296296296</v>
      </c>
      <c r="F109" s="209">
        <v>1601</v>
      </c>
      <c r="G109" s="208">
        <v>0.48163333535194397</v>
      </c>
    </row>
    <row r="110" spans="1:7" x14ac:dyDescent="0.25">
      <c r="A110" s="206" t="s">
        <v>1</v>
      </c>
      <c r="B110" s="207">
        <v>43548</v>
      </c>
      <c r="C110" s="208">
        <v>4508.2465825905574</v>
      </c>
      <c r="D110" s="208">
        <v>59322.800269326544</v>
      </c>
      <c r="E110" s="208">
        <v>13.158730158730158</v>
      </c>
      <c r="F110" s="209">
        <v>1603</v>
      </c>
      <c r="G110" s="208">
        <v>0.43410000205039978</v>
      </c>
    </row>
    <row r="112" spans="1:7" x14ac:dyDescent="0.25">
      <c r="A112" s="232" t="s">
        <v>9</v>
      </c>
      <c r="B112" s="232" t="s">
        <v>8</v>
      </c>
      <c r="C112" s="232" t="s">
        <v>29</v>
      </c>
      <c r="D112" s="232" t="s">
        <v>30</v>
      </c>
      <c r="E112" s="232" t="s">
        <v>10</v>
      </c>
      <c r="F112" s="232" t="s">
        <v>37</v>
      </c>
      <c r="G112" s="232" t="s">
        <v>61</v>
      </c>
    </row>
    <row r="113" spans="1:7" x14ac:dyDescent="0.25">
      <c r="A113" s="233" t="s">
        <v>3</v>
      </c>
      <c r="B113" s="234">
        <v>43561</v>
      </c>
      <c r="C113" s="235">
        <v>1695.6321542088529</v>
      </c>
      <c r="D113" s="235">
        <v>549.93475271638476</v>
      </c>
      <c r="E113" s="235">
        <v>0.32432432432432434</v>
      </c>
      <c r="F113" s="236">
        <v>1607</v>
      </c>
      <c r="G113" s="235">
        <v>0.654033362865448</v>
      </c>
    </row>
    <row r="114" spans="1:7" x14ac:dyDescent="0.25">
      <c r="A114" s="233" t="s">
        <v>3</v>
      </c>
      <c r="B114" s="234">
        <v>43562</v>
      </c>
      <c r="C114" s="235">
        <v>3535.0050804169109</v>
      </c>
      <c r="D114" s="235">
        <v>49354.109391974554</v>
      </c>
      <c r="E114" s="235">
        <v>13.961538461538462</v>
      </c>
      <c r="F114" s="236">
        <v>1608</v>
      </c>
      <c r="G114" s="235">
        <v>0.62620002031326294</v>
      </c>
    </row>
    <row r="115" spans="1:7" x14ac:dyDescent="0.25">
      <c r="A115" s="233" t="s">
        <v>3</v>
      </c>
      <c r="B115" s="234">
        <v>43563</v>
      </c>
      <c r="C115" s="235">
        <v>1619.183296359522</v>
      </c>
      <c r="D115" s="235">
        <v>19808.008992131487</v>
      </c>
      <c r="E115" s="235">
        <v>12.233333333333333</v>
      </c>
      <c r="F115" s="236">
        <v>1609</v>
      </c>
      <c r="G115" s="235">
        <v>0.63179999589920044</v>
      </c>
    </row>
    <row r="116" spans="1:7" x14ac:dyDescent="0.25">
      <c r="A116" s="233" t="s">
        <v>1</v>
      </c>
      <c r="B116" s="234">
        <v>43561</v>
      </c>
      <c r="C116" s="235">
        <v>1251.1145012232118</v>
      </c>
      <c r="D116" s="235">
        <v>2156.5263113189576</v>
      </c>
      <c r="E116" s="235">
        <v>1.7236842105263157</v>
      </c>
      <c r="F116" s="236">
        <v>1605</v>
      </c>
      <c r="G116" s="235">
        <v>0.48359999060630798</v>
      </c>
    </row>
    <row r="117" spans="1:7" x14ac:dyDescent="0.25">
      <c r="A117" s="233" t="s">
        <v>1</v>
      </c>
      <c r="B117" s="234">
        <v>43562</v>
      </c>
      <c r="C117" s="235">
        <v>2327.8493464691492</v>
      </c>
      <c r="D117" s="235">
        <v>9851.7909841640758</v>
      </c>
      <c r="E117" s="235">
        <v>4.2321428571428568</v>
      </c>
      <c r="F117" s="236">
        <v>1606</v>
      </c>
      <c r="G117" s="235">
        <v>0.49149999022483826</v>
      </c>
    </row>
    <row r="119" spans="1:7" x14ac:dyDescent="0.25">
      <c r="A119" s="232" t="s">
        <v>9</v>
      </c>
      <c r="B119" s="232" t="s">
        <v>8</v>
      </c>
      <c r="C119" s="232" t="s">
        <v>29</v>
      </c>
      <c r="D119" s="232" t="s">
        <v>30</v>
      </c>
      <c r="E119" s="232" t="s">
        <v>10</v>
      </c>
      <c r="F119" s="232" t="s">
        <v>37</v>
      </c>
      <c r="G119" s="232" t="s">
        <v>61</v>
      </c>
    </row>
    <row r="120" spans="1:7" x14ac:dyDescent="0.25">
      <c r="A120" s="233" t="s">
        <v>2</v>
      </c>
      <c r="B120" s="234">
        <v>43575</v>
      </c>
      <c r="C120" s="235">
        <v>11491.475515412563</v>
      </c>
      <c r="D120" s="235">
        <v>159136.41539647221</v>
      </c>
      <c r="E120" s="235">
        <v>13.848214285714286</v>
      </c>
      <c r="F120" s="236">
        <v>1611</v>
      </c>
      <c r="G120" s="235">
        <v>0.53479999303817749</v>
      </c>
    </row>
    <row r="121" spans="1:7" x14ac:dyDescent="0.25">
      <c r="A121" s="233" t="s">
        <v>64</v>
      </c>
      <c r="B121" s="234">
        <v>43575</v>
      </c>
      <c r="C121" s="235">
        <v>19507.065298408441</v>
      </c>
      <c r="D121" s="235">
        <v>291793.18508869287</v>
      </c>
      <c r="E121" s="235">
        <v>14.958333333333334</v>
      </c>
      <c r="F121" s="236">
        <v>1610</v>
      </c>
      <c r="G121" s="235">
        <v>0.3528749942779541</v>
      </c>
    </row>
    <row r="122" spans="1:7" x14ac:dyDescent="0.25">
      <c r="A122" s="233" t="s">
        <v>3</v>
      </c>
      <c r="B122" s="234">
        <v>43576</v>
      </c>
      <c r="C122" s="235">
        <v>5578.569115502507</v>
      </c>
      <c r="D122" s="235">
        <v>83678.536732537614</v>
      </c>
      <c r="E122" s="235">
        <v>15</v>
      </c>
      <c r="F122" s="236">
        <v>1613</v>
      </c>
      <c r="G122" s="235">
        <v>0.52626669406890869</v>
      </c>
    </row>
    <row r="123" spans="1:7" x14ac:dyDescent="0.25">
      <c r="A123" s="233" t="s">
        <v>1</v>
      </c>
      <c r="B123" s="234">
        <v>43576</v>
      </c>
      <c r="C123" s="235">
        <v>7486.3187808341581</v>
      </c>
      <c r="D123" s="235">
        <v>111410.5708328863</v>
      </c>
      <c r="E123" s="235">
        <v>14.881889763779528</v>
      </c>
      <c r="F123" s="236">
        <v>1612</v>
      </c>
      <c r="G123" s="235">
        <v>0.4654499888420105</v>
      </c>
    </row>
    <row r="125" spans="1:7" x14ac:dyDescent="0.25">
      <c r="A125" s="205" t="s">
        <v>9</v>
      </c>
      <c r="B125" s="205" t="s">
        <v>8</v>
      </c>
      <c r="C125" s="205" t="s">
        <v>29</v>
      </c>
      <c r="D125" s="205" t="s">
        <v>30</v>
      </c>
      <c r="E125" s="205" t="s">
        <v>10</v>
      </c>
      <c r="F125" s="205" t="s">
        <v>37</v>
      </c>
      <c r="G125" s="205" t="s">
        <v>61</v>
      </c>
    </row>
    <row r="126" spans="1:7" x14ac:dyDescent="0.25">
      <c r="A126" s="206" t="s">
        <v>2</v>
      </c>
      <c r="B126" s="207">
        <v>43575</v>
      </c>
      <c r="C126" s="208">
        <v>11266.070111633988</v>
      </c>
      <c r="D126" s="208">
        <v>156014.95306378856</v>
      </c>
      <c r="E126" s="208">
        <v>13.848214285714286</v>
      </c>
      <c r="F126" s="209">
        <v>1611</v>
      </c>
      <c r="G126" s="208">
        <v>0.54549998044967651</v>
      </c>
    </row>
    <row r="127" spans="1:7" x14ac:dyDescent="0.25">
      <c r="A127" s="206" t="s">
        <v>64</v>
      </c>
      <c r="B127" s="207">
        <v>43575</v>
      </c>
      <c r="C127" s="208">
        <v>19507.065298408441</v>
      </c>
      <c r="D127" s="208">
        <v>291793.18508869287</v>
      </c>
      <c r="E127" s="208">
        <v>14.958333333333334</v>
      </c>
      <c r="F127" s="209">
        <v>1610</v>
      </c>
      <c r="G127" s="208">
        <v>0.3528749942779541</v>
      </c>
    </row>
    <row r="128" spans="1:7" x14ac:dyDescent="0.25">
      <c r="A128" s="206" t="s">
        <v>64</v>
      </c>
      <c r="B128" s="207">
        <v>43576</v>
      </c>
      <c r="C128" s="208">
        <v>14267.564829430228</v>
      </c>
      <c r="D128" s="208">
        <v>208629.48571336654</v>
      </c>
      <c r="E128" s="208">
        <v>14.622641509433961</v>
      </c>
      <c r="F128" s="209">
        <v>1616</v>
      </c>
      <c r="G128" s="208">
        <v>0.51472502946853638</v>
      </c>
    </row>
    <row r="129" spans="1:7" x14ac:dyDescent="0.25">
      <c r="A129" s="206" t="s">
        <v>3</v>
      </c>
      <c r="B129" s="207">
        <v>43576</v>
      </c>
      <c r="C129" s="208">
        <v>5578.569115502507</v>
      </c>
      <c r="D129" s="208">
        <v>83678.536732537614</v>
      </c>
      <c r="E129" s="208">
        <v>15</v>
      </c>
      <c r="F129" s="209">
        <v>1613</v>
      </c>
      <c r="G129" s="208">
        <v>0.52626669406890869</v>
      </c>
    </row>
    <row r="130" spans="1:7" x14ac:dyDescent="0.25">
      <c r="A130" s="206" t="s">
        <v>3</v>
      </c>
      <c r="B130" s="207">
        <v>43577</v>
      </c>
      <c r="C130" s="208">
        <v>2499.9999075672094</v>
      </c>
      <c r="D130" s="208">
        <v>37499.998613508142</v>
      </c>
      <c r="E130" s="208">
        <v>15</v>
      </c>
      <c r="F130" s="209">
        <v>1615</v>
      </c>
      <c r="G130" s="208">
        <v>0.57520002126693726</v>
      </c>
    </row>
    <row r="131" spans="1:7" x14ac:dyDescent="0.25">
      <c r="A131" s="206" t="s">
        <v>1</v>
      </c>
      <c r="B131" s="207">
        <v>43576</v>
      </c>
      <c r="C131" s="208">
        <v>7486.3187808341581</v>
      </c>
      <c r="D131" s="208">
        <v>111410.5708328863</v>
      </c>
      <c r="E131" s="208">
        <v>14.881889763779528</v>
      </c>
      <c r="F131" s="209">
        <v>1612</v>
      </c>
      <c r="G131" s="208">
        <v>0.4654499888420105</v>
      </c>
    </row>
    <row r="132" spans="1:7" x14ac:dyDescent="0.25">
      <c r="A132" s="206" t="s">
        <v>1</v>
      </c>
      <c r="B132" s="207">
        <v>43577</v>
      </c>
      <c r="C132" s="208">
        <v>2151.6385757302214</v>
      </c>
      <c r="D132" s="208">
        <v>32224.540529540991</v>
      </c>
      <c r="E132" s="208">
        <v>14.976744186046512</v>
      </c>
      <c r="F132" s="209">
        <v>1614</v>
      </c>
      <c r="G132" s="208">
        <v>0.47920000553131104</v>
      </c>
    </row>
    <row r="134" spans="1:7" x14ac:dyDescent="0.25">
      <c r="A134" s="205" t="s">
        <v>9</v>
      </c>
      <c r="B134" s="205" t="s">
        <v>8</v>
      </c>
      <c r="C134" s="205" t="s">
        <v>29</v>
      </c>
      <c r="D134" s="205" t="s">
        <v>30</v>
      </c>
      <c r="E134" s="205" t="s">
        <v>10</v>
      </c>
      <c r="F134" s="205" t="s">
        <v>37</v>
      </c>
      <c r="G134" s="205" t="s">
        <v>61</v>
      </c>
    </row>
    <row r="135" spans="1:7" x14ac:dyDescent="0.25">
      <c r="A135" s="206" t="s">
        <v>2</v>
      </c>
      <c r="B135" s="207">
        <v>43547</v>
      </c>
      <c r="C135" s="208">
        <v>6831.5523946737048</v>
      </c>
      <c r="D135" s="208">
        <v>89964.809704505838</v>
      </c>
      <c r="E135" s="208">
        <v>13.169014084507042</v>
      </c>
      <c r="F135" s="209">
        <v>1602</v>
      </c>
      <c r="G135" s="208">
        <v>0.53033334016799927</v>
      </c>
    </row>
    <row r="136" spans="1:7" x14ac:dyDescent="0.25">
      <c r="A136" s="206" t="s">
        <v>1</v>
      </c>
      <c r="B136" s="207">
        <v>43547</v>
      </c>
      <c r="C136" s="208">
        <v>3421.6900680177314</v>
      </c>
      <c r="D136" s="208">
        <v>42074.114910440258</v>
      </c>
      <c r="E136" s="208">
        <v>12.296296296296296</v>
      </c>
      <c r="F136" s="209">
        <v>1601</v>
      </c>
      <c r="G136" s="208">
        <v>0.48163333535194397</v>
      </c>
    </row>
    <row r="138" spans="1:7" x14ac:dyDescent="0.25">
      <c r="A138" s="232" t="s">
        <v>9</v>
      </c>
      <c r="B138" s="232" t="s">
        <v>8</v>
      </c>
      <c r="C138" s="232" t="s">
        <v>29</v>
      </c>
      <c r="D138" s="232" t="s">
        <v>30</v>
      </c>
      <c r="E138" s="232" t="s">
        <v>10</v>
      </c>
      <c r="F138" s="232" t="s">
        <v>37</v>
      </c>
      <c r="G138" s="232" t="s">
        <v>61</v>
      </c>
    </row>
    <row r="139" spans="1:7" x14ac:dyDescent="0.25">
      <c r="A139" s="233" t="s">
        <v>3</v>
      </c>
      <c r="B139" s="234">
        <v>43603</v>
      </c>
      <c r="C139" s="235">
        <v>6218.9345949113449</v>
      </c>
      <c r="D139" s="235">
        <v>91519.186133222363</v>
      </c>
      <c r="E139" s="235">
        <v>14.716216216216216</v>
      </c>
      <c r="F139" s="236">
        <v>1617</v>
      </c>
      <c r="G139" s="235">
        <v>0.60154998302459717</v>
      </c>
    </row>
    <row r="140" spans="1:7" x14ac:dyDescent="0.25">
      <c r="A140" s="233" t="s">
        <v>3</v>
      </c>
      <c r="B140" s="234">
        <v>43604</v>
      </c>
      <c r="C140" s="235">
        <v>4678.6958201747293</v>
      </c>
      <c r="D140" s="235">
        <v>68012.261190832651</v>
      </c>
      <c r="E140" s="235">
        <v>14.536585365853659</v>
      </c>
      <c r="F140" s="236">
        <v>1618</v>
      </c>
      <c r="G140" s="235">
        <v>0.63179999589920044</v>
      </c>
    </row>
    <row r="141" spans="1:7" x14ac:dyDescent="0.25">
      <c r="A141" s="233" t="s">
        <v>3</v>
      </c>
      <c r="B141" s="234">
        <v>43605</v>
      </c>
      <c r="C141" s="235">
        <v>1867.9039612466729</v>
      </c>
      <c r="D141" s="235">
        <v>26748.384725052361</v>
      </c>
      <c r="E141" s="235">
        <v>14.32</v>
      </c>
      <c r="F141" s="236">
        <v>1619</v>
      </c>
      <c r="G141" s="235">
        <v>0.57249999046325684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>
      <selection activeCell="E2" sqref="E2"/>
    </sheetView>
  </sheetViews>
  <sheetFormatPr defaultRowHeight="15" x14ac:dyDescent="0.25"/>
  <cols>
    <col min="1" max="1" width="18.140625" bestFit="1" customWidth="1"/>
    <col min="2" max="3" width="4.28515625" bestFit="1" customWidth="1"/>
    <col min="4" max="4" width="8.85546875" bestFit="1" customWidth="1"/>
  </cols>
  <sheetData>
    <row r="1" spans="1:5" x14ac:dyDescent="0.25">
      <c r="A1" s="190" t="s">
        <v>8</v>
      </c>
      <c r="B1" s="190" t="s">
        <v>5</v>
      </c>
      <c r="C1" s="190" t="s">
        <v>6</v>
      </c>
      <c r="D1" s="190" t="s">
        <v>7</v>
      </c>
      <c r="E1" s="196" t="s">
        <v>43</v>
      </c>
    </row>
    <row r="2" spans="1:5" x14ac:dyDescent="0.25">
      <c r="A2" s="4">
        <v>43384</v>
      </c>
      <c r="B2" s="5">
        <f>+A2</f>
        <v>43384</v>
      </c>
      <c r="C2" s="77">
        <v>-0.6</v>
      </c>
      <c r="D2" s="6">
        <v>0.87361111111111101</v>
      </c>
      <c r="E2" s="84">
        <v>0.77569444444444446</v>
      </c>
    </row>
    <row r="3" spans="1:5" x14ac:dyDescent="0.25">
      <c r="A3" s="4">
        <v>43385</v>
      </c>
      <c r="B3" s="5">
        <f t="shared" ref="B3:B29" si="0">+A3</f>
        <v>43385</v>
      </c>
      <c r="C3" s="77">
        <v>-0.3</v>
      </c>
      <c r="D3" s="6">
        <v>0.90347222222222223</v>
      </c>
      <c r="E3" s="84">
        <v>0.77430555555555547</v>
      </c>
    </row>
    <row r="4" spans="1:5" x14ac:dyDescent="0.25">
      <c r="A4" s="4">
        <v>43386</v>
      </c>
      <c r="B4" s="5">
        <f t="shared" si="0"/>
        <v>43386</v>
      </c>
      <c r="C4" s="77">
        <v>0.1</v>
      </c>
      <c r="D4" s="6">
        <v>0.93472222222222223</v>
      </c>
      <c r="E4" s="84">
        <v>0.7729166666666667</v>
      </c>
    </row>
    <row r="5" spans="1:5" x14ac:dyDescent="0.25">
      <c r="A5" s="4"/>
      <c r="B5" s="5"/>
      <c r="C5" s="77"/>
      <c r="D5" s="6"/>
    </row>
    <row r="6" spans="1:5" x14ac:dyDescent="0.25">
      <c r="A6" s="4">
        <v>43398</v>
      </c>
      <c r="B6" s="5">
        <f t="shared" si="0"/>
        <v>43398</v>
      </c>
      <c r="C6" s="110">
        <v>-0.5</v>
      </c>
      <c r="D6" s="6">
        <v>0.82986111111111116</v>
      </c>
      <c r="E6" s="84">
        <v>0.75763888888888886</v>
      </c>
    </row>
    <row r="7" spans="1:5" x14ac:dyDescent="0.25">
      <c r="A7" s="4">
        <v>43399</v>
      </c>
      <c r="B7" s="5">
        <f t="shared" si="0"/>
        <v>43399</v>
      </c>
      <c r="C7" s="110">
        <v>-0.7</v>
      </c>
      <c r="D7" s="111">
        <v>0.85833333333333339</v>
      </c>
      <c r="E7" s="84">
        <v>0.75694444444444453</v>
      </c>
    </row>
    <row r="8" spans="1:5" x14ac:dyDescent="0.25">
      <c r="A8" s="4">
        <v>43400</v>
      </c>
      <c r="B8" s="5">
        <f t="shared" si="0"/>
        <v>43400</v>
      </c>
      <c r="C8" s="110">
        <v>-0.7</v>
      </c>
      <c r="D8" s="111">
        <v>0.8881944444444444</v>
      </c>
      <c r="E8" s="84">
        <v>0.75555555555555554</v>
      </c>
    </row>
    <row r="9" spans="1:5" x14ac:dyDescent="0.25">
      <c r="A9" s="4">
        <v>43401</v>
      </c>
      <c r="B9" s="5">
        <f t="shared" si="0"/>
        <v>43401</v>
      </c>
      <c r="C9" s="77">
        <v>-0.6</v>
      </c>
      <c r="D9" s="6">
        <v>0.92222222222222217</v>
      </c>
      <c r="E9" s="84">
        <v>0.75416666666666676</v>
      </c>
    </row>
    <row r="10" spans="1:5" x14ac:dyDescent="0.25">
      <c r="A10" s="4"/>
      <c r="B10" s="5"/>
      <c r="C10" s="77"/>
      <c r="D10" s="6"/>
    </row>
    <row r="11" spans="1:5" x14ac:dyDescent="0.25">
      <c r="A11" s="4">
        <v>43412</v>
      </c>
      <c r="B11" s="5">
        <f t="shared" si="0"/>
        <v>43412</v>
      </c>
      <c r="C11" s="77">
        <v>-0.8</v>
      </c>
      <c r="D11" s="6">
        <v>0.7895833333333333</v>
      </c>
      <c r="E11" s="84">
        <v>0.70138888888888884</v>
      </c>
    </row>
    <row r="12" spans="1:5" x14ac:dyDescent="0.25">
      <c r="A12" s="4">
        <v>43413</v>
      </c>
      <c r="B12" s="5">
        <f t="shared" si="0"/>
        <v>43413</v>
      </c>
      <c r="C12" s="110">
        <v>-0.7</v>
      </c>
      <c r="D12" s="111">
        <v>0.81666666666666676</v>
      </c>
      <c r="E12" s="84">
        <v>0.7006944444444444</v>
      </c>
    </row>
    <row r="13" spans="1:5" x14ac:dyDescent="0.25">
      <c r="A13" s="4">
        <v>43414</v>
      </c>
      <c r="B13" s="5">
        <f t="shared" si="0"/>
        <v>43414</v>
      </c>
      <c r="C13" s="77">
        <v>-0.4</v>
      </c>
      <c r="D13" s="6">
        <v>0.84375</v>
      </c>
      <c r="E13" s="84">
        <v>0.69930555555555562</v>
      </c>
    </row>
    <row r="14" spans="1:5" x14ac:dyDescent="0.25">
      <c r="A14" s="4">
        <v>43415</v>
      </c>
      <c r="B14" s="5">
        <f t="shared" si="0"/>
        <v>43415</v>
      </c>
      <c r="C14" s="77">
        <v>0</v>
      </c>
      <c r="D14" s="6">
        <v>0.87222222222222223</v>
      </c>
      <c r="E14" s="84">
        <v>0.69861111111111107</v>
      </c>
    </row>
    <row r="15" spans="1:5" x14ac:dyDescent="0.25">
      <c r="A15" s="4"/>
      <c r="B15" s="5"/>
      <c r="C15" s="77"/>
      <c r="D15" s="6"/>
    </row>
    <row r="16" spans="1:5" x14ac:dyDescent="0.25">
      <c r="A16" s="4">
        <v>43426</v>
      </c>
      <c r="B16" s="5">
        <f t="shared" si="0"/>
        <v>43426</v>
      </c>
      <c r="C16" s="77">
        <v>-0.7</v>
      </c>
      <c r="D16" s="111">
        <v>0.74652777777777779</v>
      </c>
      <c r="E16" s="84">
        <v>0.69097222222222221</v>
      </c>
    </row>
    <row r="17" spans="1:5" x14ac:dyDescent="0.25">
      <c r="A17" s="4">
        <v>43427</v>
      </c>
      <c r="B17" s="5">
        <f t="shared" si="0"/>
        <v>43427</v>
      </c>
      <c r="C17" s="110">
        <v>-1.1000000000000001</v>
      </c>
      <c r="D17" s="155">
        <v>0.77500000000000002</v>
      </c>
      <c r="E17" s="84">
        <v>0.69027777777777777</v>
      </c>
    </row>
    <row r="18" spans="1:5" x14ac:dyDescent="0.25">
      <c r="A18" s="4">
        <v>43428</v>
      </c>
      <c r="B18" s="5">
        <f t="shared" si="0"/>
        <v>43428</v>
      </c>
      <c r="C18" s="77">
        <v>-1.3</v>
      </c>
      <c r="D18" s="111">
        <v>0.80555555555555547</v>
      </c>
      <c r="E18" s="84">
        <v>0.68958333333333333</v>
      </c>
    </row>
    <row r="19" spans="1:5" x14ac:dyDescent="0.25">
      <c r="A19" s="4">
        <v>43429</v>
      </c>
      <c r="B19" s="5">
        <f t="shared" si="0"/>
        <v>43429</v>
      </c>
      <c r="C19" s="110">
        <v>-1.3</v>
      </c>
      <c r="D19" s="111">
        <v>0.83680555555555547</v>
      </c>
      <c r="E19" s="84">
        <v>0.68888888888888899</v>
      </c>
    </row>
    <row r="20" spans="1:5" x14ac:dyDescent="0.25">
      <c r="A20" s="4"/>
      <c r="B20" s="5"/>
      <c r="C20" s="110"/>
      <c r="D20" s="111"/>
    </row>
    <row r="21" spans="1:5" x14ac:dyDescent="0.25">
      <c r="A21" s="4">
        <v>43440</v>
      </c>
      <c r="B21" s="5">
        <f t="shared" si="0"/>
        <v>43440</v>
      </c>
      <c r="C21" s="110">
        <v>-0.7</v>
      </c>
      <c r="D21" s="111">
        <v>0.75069444444444444</v>
      </c>
      <c r="E21" s="84">
        <v>0.68541666666666667</v>
      </c>
    </row>
    <row r="22" spans="1:5" x14ac:dyDescent="0.25">
      <c r="A22" s="4">
        <v>43441</v>
      </c>
      <c r="B22" s="5">
        <f t="shared" si="0"/>
        <v>43441</v>
      </c>
      <c r="C22" s="110">
        <v>-0.7</v>
      </c>
      <c r="D22" s="111">
        <v>0.77777777777777779</v>
      </c>
      <c r="E22" s="84">
        <v>0.68541666666666667</v>
      </c>
    </row>
    <row r="23" spans="1:5" x14ac:dyDescent="0.25">
      <c r="A23" s="4">
        <v>43442</v>
      </c>
      <c r="B23" s="5">
        <f t="shared" si="0"/>
        <v>43442</v>
      </c>
      <c r="C23" s="110">
        <v>-0.6</v>
      </c>
      <c r="D23" s="111">
        <v>0.8027777777777777</v>
      </c>
      <c r="E23" s="84">
        <v>0.68541666666666667</v>
      </c>
    </row>
    <row r="24" spans="1:5" x14ac:dyDescent="0.25">
      <c r="A24" s="4">
        <v>43443</v>
      </c>
      <c r="B24" s="5">
        <f t="shared" si="0"/>
        <v>43443</v>
      </c>
      <c r="C24" s="110">
        <v>-0.4</v>
      </c>
      <c r="D24" s="111">
        <v>0.82847222222222217</v>
      </c>
      <c r="E24" s="84">
        <v>0.68541666666666667</v>
      </c>
    </row>
    <row r="25" spans="1:5" x14ac:dyDescent="0.25">
      <c r="A25" s="121"/>
      <c r="B25" s="5"/>
      <c r="C25" s="157"/>
      <c r="D25" s="158"/>
    </row>
    <row r="26" spans="1:5" x14ac:dyDescent="0.25">
      <c r="A26" s="4">
        <v>43454</v>
      </c>
      <c r="B26" s="5">
        <f t="shared" si="0"/>
        <v>43454</v>
      </c>
      <c r="C26" s="77">
        <v>-0.3</v>
      </c>
      <c r="D26" s="155">
        <v>0.70208333333333339</v>
      </c>
      <c r="E26" s="84">
        <v>0.68680555555555556</v>
      </c>
    </row>
    <row r="27" spans="1:5" x14ac:dyDescent="0.25">
      <c r="A27" s="4">
        <v>43455</v>
      </c>
      <c r="B27" s="5">
        <f t="shared" si="0"/>
        <v>43455</v>
      </c>
      <c r="C27" s="77">
        <v>-1</v>
      </c>
      <c r="D27" s="155">
        <v>0.73263888888888884</v>
      </c>
      <c r="E27" s="84">
        <v>0.68680555555555556</v>
      </c>
    </row>
    <row r="28" spans="1:5" x14ac:dyDescent="0.25">
      <c r="A28" s="4">
        <v>43456</v>
      </c>
      <c r="B28" s="5">
        <f t="shared" si="0"/>
        <v>43456</v>
      </c>
      <c r="C28" s="77">
        <v>-1.4</v>
      </c>
      <c r="D28" s="155">
        <v>0.76388888888888884</v>
      </c>
      <c r="E28" s="84">
        <v>0.6875</v>
      </c>
    </row>
    <row r="29" spans="1:5" x14ac:dyDescent="0.25">
      <c r="A29" s="121">
        <v>43457</v>
      </c>
      <c r="B29" s="5">
        <f t="shared" si="0"/>
        <v>43457</v>
      </c>
      <c r="C29" s="157">
        <v>-1.6</v>
      </c>
      <c r="D29" s="158">
        <v>0.79513888888888884</v>
      </c>
      <c r="E29" s="84">
        <v>0.6875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164"/>
  <sheetViews>
    <sheetView workbookViewId="0">
      <pane ySplit="3" topLeftCell="A141" activePane="bottomLeft" state="frozen"/>
      <selection pane="bottomLeft" activeCell="A154" sqref="A154:G163"/>
    </sheetView>
  </sheetViews>
  <sheetFormatPr defaultRowHeight="15" x14ac:dyDescent="0.25"/>
  <cols>
    <col min="1" max="1" width="8" style="112" customWidth="1"/>
    <col min="2" max="2" width="26.7109375" style="112" customWidth="1"/>
    <col min="3" max="3" width="7.140625" style="112" hidden="1" customWidth="1"/>
    <col min="4" max="4" width="12.28515625" style="294" hidden="1" customWidth="1"/>
    <col min="5" max="5" width="12.140625" style="112" customWidth="1"/>
    <col min="6" max="6" width="13.5703125" style="112" customWidth="1"/>
    <col min="7" max="7" width="14.5703125" style="125" customWidth="1"/>
    <col min="8" max="12" width="9.140625" style="125"/>
    <col min="13" max="13" width="12.140625" style="125" customWidth="1"/>
    <col min="14" max="14" width="11.7109375" style="125" customWidth="1"/>
    <col min="15" max="15" width="9.140625" style="125"/>
    <col min="16" max="16" width="11.5703125" style="125" customWidth="1"/>
    <col min="17" max="17" width="9.7109375" style="125" customWidth="1"/>
    <col min="18" max="19" width="9.140625" style="125"/>
    <col min="20" max="20" width="10.28515625" style="125" customWidth="1"/>
    <col min="21" max="21" width="12" style="125" customWidth="1"/>
    <col min="22" max="22" width="9.140625" style="125"/>
    <col min="23" max="24" width="12.42578125" style="125" customWidth="1"/>
    <col min="25" max="16384" width="9.140625" style="125"/>
  </cols>
  <sheetData>
    <row r="1" spans="1:24" ht="15.75" thickBot="1" x14ac:dyDescent="0.3">
      <c r="A1" s="332" t="s">
        <v>92</v>
      </c>
      <c r="B1" s="332"/>
      <c r="C1" s="332"/>
      <c r="D1" s="332"/>
      <c r="E1" s="332"/>
      <c r="F1" s="332"/>
      <c r="M1" s="329" t="s">
        <v>78</v>
      </c>
      <c r="N1" s="329"/>
      <c r="O1" s="329"/>
      <c r="P1" s="329"/>
      <c r="Q1" s="329"/>
      <c r="T1" s="329" t="s">
        <v>84</v>
      </c>
      <c r="U1" s="329"/>
      <c r="V1" s="329"/>
      <c r="W1" s="329"/>
      <c r="X1" s="329"/>
    </row>
    <row r="2" spans="1:24" ht="15.75" thickTop="1" x14ac:dyDescent="0.25">
      <c r="A2" s="22"/>
      <c r="B2" s="22"/>
      <c r="C2" s="22"/>
      <c r="D2" s="246"/>
      <c r="E2" s="245" t="s">
        <v>21</v>
      </c>
      <c r="F2" s="250" t="s">
        <v>22</v>
      </c>
      <c r="M2" s="253" t="s">
        <v>21</v>
      </c>
      <c r="N2" s="253" t="s">
        <v>22</v>
      </c>
      <c r="P2" s="253" t="s">
        <v>21</v>
      </c>
      <c r="Q2" s="253" t="s">
        <v>22</v>
      </c>
      <c r="T2" s="253" t="s">
        <v>21</v>
      </c>
      <c r="U2" s="253" t="s">
        <v>22</v>
      </c>
      <c r="W2" s="253" t="s">
        <v>21</v>
      </c>
      <c r="X2" s="253" t="s">
        <v>22</v>
      </c>
    </row>
    <row r="3" spans="1:24" ht="15.75" thickBot="1" x14ac:dyDescent="0.3">
      <c r="A3" s="23" t="s">
        <v>25</v>
      </c>
      <c r="B3" s="23" t="s">
        <v>26</v>
      </c>
      <c r="C3" s="23" t="s">
        <v>27</v>
      </c>
      <c r="D3" s="23" t="s">
        <v>28</v>
      </c>
      <c r="E3" s="24"/>
      <c r="F3" s="251"/>
      <c r="M3" s="253" t="s">
        <v>74</v>
      </c>
      <c r="N3" s="253" t="s">
        <v>74</v>
      </c>
      <c r="P3" s="253" t="s">
        <v>75</v>
      </c>
      <c r="Q3" s="253" t="s">
        <v>75</v>
      </c>
      <c r="T3" s="253" t="s">
        <v>74</v>
      </c>
      <c r="U3" s="253" t="s">
        <v>74</v>
      </c>
      <c r="W3" s="253" t="s">
        <v>75</v>
      </c>
      <c r="X3" s="253" t="s">
        <v>75</v>
      </c>
    </row>
    <row r="4" spans="1:24" ht="15.75" thickTop="1" x14ac:dyDescent="0.25">
      <c r="A4" s="36">
        <v>43348</v>
      </c>
      <c r="B4" s="269">
        <f>+A4</f>
        <v>43348</v>
      </c>
      <c r="C4" s="175"/>
      <c r="D4" s="175"/>
      <c r="E4" s="176"/>
      <c r="F4" s="267" t="s">
        <v>74</v>
      </c>
      <c r="M4" s="270">
        <f t="shared" ref="M4:M10" si="0">IF(E4="QIN",1,0)</f>
        <v>0</v>
      </c>
      <c r="N4" s="270">
        <f t="shared" ref="N4:N11" si="1">IF(F4="QIN",1,0)</f>
        <v>1</v>
      </c>
      <c r="P4" s="270">
        <f t="shared" ref="P4:P10" si="2">IF(E4="STATE",1,0)</f>
        <v>0</v>
      </c>
      <c r="Q4" s="270">
        <f t="shared" ref="Q4:Q11" si="3">IF(F4="STATE",1,0)</f>
        <v>0</v>
      </c>
      <c r="T4" s="253"/>
      <c r="U4" s="253"/>
      <c r="W4" s="253"/>
      <c r="X4" s="253"/>
    </row>
    <row r="5" spans="1:24" x14ac:dyDescent="0.25">
      <c r="A5" s="36">
        <f>A4+1</f>
        <v>43349</v>
      </c>
      <c r="B5" s="269">
        <f t="shared" ref="B5:B7" si="4">+A5</f>
        <v>43349</v>
      </c>
      <c r="C5" s="175"/>
      <c r="D5" s="175"/>
      <c r="E5" s="176"/>
      <c r="F5" s="267" t="s">
        <v>74</v>
      </c>
      <c r="M5" s="270">
        <f t="shared" si="0"/>
        <v>0</v>
      </c>
      <c r="N5" s="270">
        <f t="shared" si="1"/>
        <v>1</v>
      </c>
      <c r="P5" s="270">
        <f t="shared" si="2"/>
        <v>0</v>
      </c>
      <c r="Q5" s="270">
        <f t="shared" si="3"/>
        <v>0</v>
      </c>
      <c r="T5" s="253"/>
      <c r="U5" s="253"/>
      <c r="W5" s="253"/>
      <c r="X5" s="253"/>
    </row>
    <row r="6" spans="1:24" x14ac:dyDescent="0.25">
      <c r="A6" s="36">
        <f t="shared" ref="A6:A7" si="5">A5+1</f>
        <v>43350</v>
      </c>
      <c r="B6" s="269">
        <f t="shared" si="4"/>
        <v>43350</v>
      </c>
      <c r="C6" s="175"/>
      <c r="D6" s="175"/>
      <c r="E6" s="176"/>
      <c r="F6" s="267" t="s">
        <v>74</v>
      </c>
      <c r="M6" s="270">
        <f t="shared" si="0"/>
        <v>0</v>
      </c>
      <c r="N6" s="270">
        <f t="shared" si="1"/>
        <v>1</v>
      </c>
      <c r="P6" s="270">
        <f t="shared" si="2"/>
        <v>0</v>
      </c>
      <c r="Q6" s="270">
        <f t="shared" si="3"/>
        <v>0</v>
      </c>
      <c r="T6" s="253"/>
      <c r="U6" s="253"/>
      <c r="W6" s="253"/>
      <c r="X6" s="253"/>
    </row>
    <row r="7" spans="1:24" s="260" customFormat="1" x14ac:dyDescent="0.25">
      <c r="A7" s="254">
        <f t="shared" si="5"/>
        <v>43351</v>
      </c>
      <c r="B7" s="255">
        <f t="shared" si="4"/>
        <v>43351</v>
      </c>
      <c r="C7" s="295"/>
      <c r="D7" s="295"/>
      <c r="E7" s="296"/>
      <c r="F7" s="297" t="s">
        <v>74</v>
      </c>
      <c r="M7" s="261">
        <f t="shared" si="0"/>
        <v>0</v>
      </c>
      <c r="N7" s="261">
        <f t="shared" si="1"/>
        <v>1</v>
      </c>
      <c r="P7" s="261">
        <f t="shared" si="2"/>
        <v>0</v>
      </c>
      <c r="Q7" s="261">
        <f t="shared" si="3"/>
        <v>0</v>
      </c>
      <c r="T7" s="298"/>
      <c r="U7" s="298"/>
      <c r="W7" s="298"/>
      <c r="X7" s="298"/>
    </row>
    <row r="8" spans="1:24" s="260" customFormat="1" x14ac:dyDescent="0.25">
      <c r="A8" s="254">
        <v>43352</v>
      </c>
      <c r="B8" s="255">
        <f>+A8</f>
        <v>43352</v>
      </c>
      <c r="C8" s="256">
        <v>-0.6</v>
      </c>
      <c r="D8" s="257">
        <v>0.1763888888888889</v>
      </c>
      <c r="E8" s="296"/>
      <c r="F8" s="297" t="s">
        <v>74</v>
      </c>
      <c r="M8" s="261">
        <f t="shared" si="0"/>
        <v>0</v>
      </c>
      <c r="N8" s="261">
        <f t="shared" si="1"/>
        <v>1</v>
      </c>
      <c r="P8" s="261">
        <f t="shared" si="2"/>
        <v>0</v>
      </c>
      <c r="Q8" s="261">
        <f t="shared" si="3"/>
        <v>0</v>
      </c>
      <c r="T8" s="298"/>
      <c r="U8" s="298"/>
      <c r="W8" s="298"/>
      <c r="X8" s="298"/>
    </row>
    <row r="9" spans="1:24" x14ac:dyDescent="0.25">
      <c r="A9" s="36">
        <f>A8+1</f>
        <v>43353</v>
      </c>
      <c r="B9" s="269">
        <f t="shared" ref="B9:B11" si="6">+A9</f>
        <v>43353</v>
      </c>
      <c r="C9" s="175"/>
      <c r="D9" s="175"/>
      <c r="E9" s="176"/>
      <c r="F9" s="267" t="s">
        <v>74</v>
      </c>
      <c r="M9" s="270">
        <f t="shared" si="0"/>
        <v>0</v>
      </c>
      <c r="N9" s="270">
        <f t="shared" si="1"/>
        <v>1</v>
      </c>
      <c r="P9" s="270">
        <f t="shared" si="2"/>
        <v>0</v>
      </c>
      <c r="Q9" s="270">
        <f t="shared" si="3"/>
        <v>0</v>
      </c>
      <c r="T9" s="253"/>
      <c r="U9" s="253"/>
      <c r="W9" s="253"/>
      <c r="X9" s="253"/>
    </row>
    <row r="10" spans="1:24" x14ac:dyDescent="0.25">
      <c r="A10" s="36">
        <f>A9+1</f>
        <v>43354</v>
      </c>
      <c r="B10" s="269">
        <f t="shared" si="6"/>
        <v>43354</v>
      </c>
      <c r="C10" s="175"/>
      <c r="D10" s="175"/>
      <c r="E10" s="176"/>
      <c r="F10" s="267" t="s">
        <v>74</v>
      </c>
      <c r="M10" s="270">
        <f t="shared" si="0"/>
        <v>0</v>
      </c>
      <c r="N10" s="270">
        <f t="shared" si="1"/>
        <v>1</v>
      </c>
      <c r="P10" s="270">
        <f t="shared" si="2"/>
        <v>0</v>
      </c>
      <c r="Q10" s="270">
        <f t="shared" si="3"/>
        <v>0</v>
      </c>
      <c r="T10" s="253"/>
      <c r="U10" s="253"/>
      <c r="W10" s="253"/>
      <c r="X10" s="253"/>
    </row>
    <row r="11" spans="1:24" x14ac:dyDescent="0.25">
      <c r="A11" s="36">
        <f>A10+1</f>
        <v>43355</v>
      </c>
      <c r="B11" s="269">
        <f t="shared" si="6"/>
        <v>43355</v>
      </c>
      <c r="C11" s="175"/>
      <c r="D11" s="175"/>
      <c r="E11" s="176"/>
      <c r="F11" s="267" t="s">
        <v>74</v>
      </c>
      <c r="M11" s="270"/>
      <c r="N11" s="270">
        <f t="shared" si="1"/>
        <v>1</v>
      </c>
      <c r="P11" s="270"/>
      <c r="Q11" s="270">
        <f t="shared" si="3"/>
        <v>0</v>
      </c>
      <c r="T11" s="253"/>
      <c r="U11" s="253"/>
      <c r="W11" s="253"/>
      <c r="X11" s="253"/>
    </row>
    <row r="12" spans="1:24" x14ac:dyDescent="0.25">
      <c r="A12" s="330"/>
      <c r="B12" s="330"/>
      <c r="C12" s="330"/>
      <c r="D12" s="331"/>
      <c r="E12" s="273"/>
      <c r="F12" s="274"/>
      <c r="M12" s="270"/>
      <c r="N12" s="270"/>
      <c r="P12" s="270"/>
      <c r="Q12" s="270"/>
      <c r="T12" s="253"/>
      <c r="U12" s="253"/>
      <c r="W12" s="253"/>
      <c r="X12" s="253"/>
    </row>
    <row r="13" spans="1:24" x14ac:dyDescent="0.25">
      <c r="A13" s="36">
        <v>43366</v>
      </c>
      <c r="B13" s="269">
        <f>+A13</f>
        <v>43366</v>
      </c>
      <c r="C13" s="291">
        <v>-0.6</v>
      </c>
      <c r="D13" s="292">
        <v>0.1763888888888889</v>
      </c>
      <c r="E13" s="176" t="s">
        <v>74</v>
      </c>
      <c r="F13" s="267"/>
      <c r="M13" s="270">
        <f t="shared" ref="M13" si="7">IF(E13="QIN",1,0)</f>
        <v>1</v>
      </c>
      <c r="N13" s="270">
        <f t="shared" ref="N13" si="8">IF(F13="QIN",1,0)</f>
        <v>0</v>
      </c>
      <c r="P13" s="270">
        <f t="shared" ref="P13" si="9">IF(E13="STATE",1,0)</f>
        <v>0</v>
      </c>
      <c r="Q13" s="270">
        <f t="shared" ref="Q13" si="10">IF(F13="STATE",1,0)</f>
        <v>0</v>
      </c>
      <c r="T13" s="253"/>
      <c r="U13" s="253"/>
      <c r="W13" s="253"/>
      <c r="X13" s="253"/>
    </row>
    <row r="14" spans="1:24" x14ac:dyDescent="0.25">
      <c r="A14" s="36">
        <f>A13+1</f>
        <v>43367</v>
      </c>
      <c r="B14" s="269">
        <f t="shared" ref="B14:B19" si="11">+A14</f>
        <v>43367</v>
      </c>
      <c r="C14" s="175">
        <v>-0.1</v>
      </c>
      <c r="D14" s="268">
        <v>0.19999999999999998</v>
      </c>
      <c r="E14" s="176" t="s">
        <v>74</v>
      </c>
      <c r="F14" s="267"/>
      <c r="M14" s="270">
        <f t="shared" ref="M14:M77" si="12">IF(E14="QIN",1,0)</f>
        <v>1</v>
      </c>
      <c r="N14" s="270">
        <f t="shared" ref="N14:N77" si="13">IF(F14="QIN",1,0)</f>
        <v>0</v>
      </c>
      <c r="P14" s="270">
        <f t="shared" ref="P14:P77" si="14">IF(E14="STATE",1,0)</f>
        <v>0</v>
      </c>
      <c r="Q14" s="270">
        <f t="shared" ref="Q14:Q77" si="15">IF(F14="STATE",1,0)</f>
        <v>0</v>
      </c>
      <c r="T14" s="253"/>
      <c r="U14" s="253"/>
      <c r="W14" s="253"/>
      <c r="X14" s="253"/>
    </row>
    <row r="15" spans="1:24" x14ac:dyDescent="0.25">
      <c r="A15" s="36">
        <f t="shared" ref="A15:A19" si="16">A14+1</f>
        <v>43368</v>
      </c>
      <c r="B15" s="269">
        <f t="shared" si="11"/>
        <v>43368</v>
      </c>
      <c r="C15" s="175">
        <v>-0.1</v>
      </c>
      <c r="D15" s="268">
        <v>0.22222222222222221</v>
      </c>
      <c r="E15" s="176" t="s">
        <v>74</v>
      </c>
      <c r="F15" s="267"/>
      <c r="M15" s="270">
        <f t="shared" si="12"/>
        <v>1</v>
      </c>
      <c r="N15" s="270">
        <f t="shared" si="13"/>
        <v>0</v>
      </c>
      <c r="P15" s="270">
        <f t="shared" si="14"/>
        <v>0</v>
      </c>
      <c r="Q15" s="270">
        <f t="shared" si="15"/>
        <v>0</v>
      </c>
      <c r="T15" s="253"/>
      <c r="U15" s="253"/>
      <c r="W15" s="253"/>
      <c r="X15" s="253"/>
    </row>
    <row r="16" spans="1:24" x14ac:dyDescent="0.25">
      <c r="A16" s="36">
        <f t="shared" si="16"/>
        <v>43369</v>
      </c>
      <c r="B16" s="269">
        <f t="shared" si="11"/>
        <v>43369</v>
      </c>
      <c r="C16" s="175">
        <v>0</v>
      </c>
      <c r="D16" s="268">
        <v>0.76458333333333339</v>
      </c>
      <c r="E16" s="176" t="s">
        <v>74</v>
      </c>
      <c r="F16" s="267"/>
      <c r="M16" s="270">
        <f t="shared" si="12"/>
        <v>1</v>
      </c>
      <c r="N16" s="270">
        <f t="shared" si="13"/>
        <v>0</v>
      </c>
      <c r="P16" s="270">
        <f t="shared" si="14"/>
        <v>0</v>
      </c>
      <c r="Q16" s="270">
        <f t="shared" si="15"/>
        <v>0</v>
      </c>
      <c r="T16" s="253"/>
      <c r="U16" s="253"/>
      <c r="W16" s="253"/>
      <c r="X16" s="253"/>
    </row>
    <row r="17" spans="1:24" x14ac:dyDescent="0.25">
      <c r="A17" s="36">
        <f t="shared" si="16"/>
        <v>43370</v>
      </c>
      <c r="B17" s="269">
        <f t="shared" si="11"/>
        <v>43370</v>
      </c>
      <c r="C17" s="175">
        <v>-0.2</v>
      </c>
      <c r="D17" s="268">
        <v>0.79027777777777775</v>
      </c>
      <c r="E17" s="176" t="s">
        <v>74</v>
      </c>
      <c r="F17" s="267"/>
      <c r="M17" s="270">
        <f t="shared" si="12"/>
        <v>1</v>
      </c>
      <c r="N17" s="270">
        <f t="shared" si="13"/>
        <v>0</v>
      </c>
      <c r="P17" s="270">
        <f t="shared" si="14"/>
        <v>0</v>
      </c>
      <c r="Q17" s="270">
        <f t="shared" si="15"/>
        <v>0</v>
      </c>
      <c r="T17" s="253"/>
      <c r="U17" s="253"/>
      <c r="W17" s="253"/>
      <c r="X17" s="253"/>
    </row>
    <row r="18" spans="1:24" x14ac:dyDescent="0.25">
      <c r="A18" s="36">
        <f t="shared" si="16"/>
        <v>43371</v>
      </c>
      <c r="B18" s="269">
        <f t="shared" si="11"/>
        <v>43371</v>
      </c>
      <c r="C18" s="175">
        <v>-0.2</v>
      </c>
      <c r="D18" s="268">
        <v>0.81666666666666676</v>
      </c>
      <c r="E18" s="176" t="s">
        <v>74</v>
      </c>
      <c r="F18" s="267"/>
      <c r="M18" s="270">
        <f t="shared" si="12"/>
        <v>1</v>
      </c>
      <c r="N18" s="270">
        <f t="shared" si="13"/>
        <v>0</v>
      </c>
      <c r="P18" s="270">
        <f t="shared" si="14"/>
        <v>0</v>
      </c>
      <c r="Q18" s="270">
        <f t="shared" si="15"/>
        <v>0</v>
      </c>
      <c r="T18" s="253"/>
      <c r="U18" s="253"/>
      <c r="W18" s="253"/>
      <c r="X18" s="253"/>
    </row>
    <row r="19" spans="1:24" s="260" customFormat="1" x14ac:dyDescent="0.25">
      <c r="A19" s="254">
        <f t="shared" si="16"/>
        <v>43372</v>
      </c>
      <c r="B19" s="255">
        <f t="shared" si="11"/>
        <v>43372</v>
      </c>
      <c r="C19" s="295">
        <v>-0.2</v>
      </c>
      <c r="D19" s="265">
        <v>0.84791666666666676</v>
      </c>
      <c r="E19" s="296" t="s">
        <v>74</v>
      </c>
      <c r="F19" s="297"/>
      <c r="M19" s="261">
        <f t="shared" si="12"/>
        <v>1</v>
      </c>
      <c r="N19" s="261">
        <f t="shared" si="13"/>
        <v>0</v>
      </c>
      <c r="P19" s="261">
        <f t="shared" si="14"/>
        <v>0</v>
      </c>
      <c r="Q19" s="261">
        <f t="shared" si="15"/>
        <v>0</v>
      </c>
      <c r="T19" s="298"/>
      <c r="U19" s="298"/>
      <c r="W19" s="298"/>
      <c r="X19" s="298"/>
    </row>
    <row r="20" spans="1:24" x14ac:dyDescent="0.25">
      <c r="A20" s="330"/>
      <c r="B20" s="330"/>
      <c r="C20" s="330"/>
      <c r="D20" s="331"/>
      <c r="E20" s="273"/>
      <c r="F20" s="274"/>
      <c r="M20" s="270"/>
      <c r="N20" s="270"/>
      <c r="P20" s="270"/>
      <c r="Q20" s="270"/>
      <c r="T20" s="253"/>
      <c r="U20" s="253"/>
      <c r="W20" s="253"/>
      <c r="X20" s="253"/>
    </row>
    <row r="21" spans="1:24" x14ac:dyDescent="0.25">
      <c r="A21" s="36">
        <v>43378</v>
      </c>
      <c r="B21" s="269">
        <f t="shared" ref="B21:B24" si="17">+A21</f>
        <v>43378</v>
      </c>
      <c r="C21" s="175"/>
      <c r="D21" s="175"/>
      <c r="E21" s="176"/>
      <c r="F21" s="267" t="s">
        <v>74</v>
      </c>
      <c r="M21" s="270">
        <f t="shared" si="12"/>
        <v>0</v>
      </c>
      <c r="N21" s="270">
        <f t="shared" si="13"/>
        <v>1</v>
      </c>
      <c r="P21" s="270">
        <f t="shared" si="14"/>
        <v>0</v>
      </c>
      <c r="Q21" s="270">
        <f t="shared" si="15"/>
        <v>0</v>
      </c>
      <c r="T21" s="253"/>
      <c r="U21" s="253"/>
      <c r="W21" s="253"/>
      <c r="X21" s="253"/>
    </row>
    <row r="22" spans="1:24" s="260" customFormat="1" x14ac:dyDescent="0.25">
      <c r="A22" s="254">
        <f>A21+1</f>
        <v>43379</v>
      </c>
      <c r="B22" s="255">
        <f t="shared" si="17"/>
        <v>43379</v>
      </c>
      <c r="C22" s="295"/>
      <c r="D22" s="295"/>
      <c r="E22" s="296"/>
      <c r="F22" s="297" t="s">
        <v>74</v>
      </c>
      <c r="M22" s="261">
        <f t="shared" si="12"/>
        <v>0</v>
      </c>
      <c r="N22" s="261">
        <f t="shared" si="13"/>
        <v>1</v>
      </c>
      <c r="P22" s="261">
        <f t="shared" si="14"/>
        <v>0</v>
      </c>
      <c r="Q22" s="261">
        <f t="shared" si="15"/>
        <v>0</v>
      </c>
      <c r="T22" s="298"/>
      <c r="U22" s="298"/>
      <c r="W22" s="298"/>
      <c r="X22" s="298"/>
    </row>
    <row r="23" spans="1:24" s="260" customFormat="1" x14ac:dyDescent="0.25">
      <c r="A23" s="254">
        <f t="shared" ref="A23:A24" si="18">A22+1</f>
        <v>43380</v>
      </c>
      <c r="B23" s="255">
        <f t="shared" si="17"/>
        <v>43380</v>
      </c>
      <c r="C23" s="295"/>
      <c r="D23" s="295"/>
      <c r="E23" s="296"/>
      <c r="F23" s="297" t="s">
        <v>74</v>
      </c>
      <c r="M23" s="261">
        <f t="shared" si="12"/>
        <v>0</v>
      </c>
      <c r="N23" s="261">
        <f t="shared" si="13"/>
        <v>1</v>
      </c>
      <c r="P23" s="261">
        <f t="shared" si="14"/>
        <v>0</v>
      </c>
      <c r="Q23" s="261">
        <f t="shared" si="15"/>
        <v>0</v>
      </c>
      <c r="T23" s="298"/>
      <c r="U23" s="298"/>
      <c r="W23" s="298"/>
      <c r="X23" s="298"/>
    </row>
    <row r="24" spans="1:24" x14ac:dyDescent="0.25">
      <c r="A24" s="36">
        <f t="shared" si="18"/>
        <v>43381</v>
      </c>
      <c r="B24" s="269">
        <f t="shared" si="17"/>
        <v>43381</v>
      </c>
      <c r="C24" s="175"/>
      <c r="D24" s="175"/>
      <c r="E24" s="176"/>
      <c r="F24" s="267" t="s">
        <v>74</v>
      </c>
      <c r="M24" s="270">
        <f t="shared" si="12"/>
        <v>0</v>
      </c>
      <c r="N24" s="270">
        <f t="shared" si="13"/>
        <v>1</v>
      </c>
      <c r="P24" s="270">
        <f t="shared" si="14"/>
        <v>0</v>
      </c>
      <c r="Q24" s="270">
        <f t="shared" si="15"/>
        <v>0</v>
      </c>
      <c r="T24" s="253"/>
      <c r="U24" s="253"/>
      <c r="W24" s="253"/>
      <c r="X24" s="253"/>
    </row>
    <row r="25" spans="1:24" x14ac:dyDescent="0.25">
      <c r="A25" s="36">
        <v>43382</v>
      </c>
      <c r="B25" s="269">
        <f t="shared" ref="B25:B29" si="19">+A25</f>
        <v>43382</v>
      </c>
      <c r="C25" s="291">
        <v>-0.7</v>
      </c>
      <c r="D25" s="292">
        <v>0.73472222222222217</v>
      </c>
      <c r="E25" s="176"/>
      <c r="F25" s="267" t="s">
        <v>74</v>
      </c>
      <c r="M25" s="270">
        <f t="shared" si="12"/>
        <v>0</v>
      </c>
      <c r="N25" s="270">
        <f t="shared" si="13"/>
        <v>1</v>
      </c>
      <c r="P25" s="270">
        <f t="shared" si="14"/>
        <v>0</v>
      </c>
      <c r="Q25" s="270">
        <f t="shared" si="15"/>
        <v>0</v>
      </c>
      <c r="T25" s="253"/>
      <c r="U25" s="253"/>
      <c r="W25" s="253"/>
      <c r="X25" s="253"/>
    </row>
    <row r="26" spans="1:24" x14ac:dyDescent="0.25">
      <c r="A26" s="36">
        <f>A25+1</f>
        <v>43383</v>
      </c>
      <c r="B26" s="269">
        <f t="shared" si="19"/>
        <v>43383</v>
      </c>
      <c r="C26" s="175">
        <v>-0.9</v>
      </c>
      <c r="D26" s="268">
        <v>0.76597222222222217</v>
      </c>
      <c r="E26" s="176"/>
      <c r="F26" s="267" t="s">
        <v>74</v>
      </c>
      <c r="M26" s="270">
        <f t="shared" si="12"/>
        <v>0</v>
      </c>
      <c r="N26" s="270">
        <f t="shared" si="13"/>
        <v>1</v>
      </c>
      <c r="P26" s="270">
        <f t="shared" si="14"/>
        <v>0</v>
      </c>
      <c r="Q26" s="270">
        <f t="shared" si="15"/>
        <v>0</v>
      </c>
      <c r="T26" s="253"/>
      <c r="U26" s="253"/>
      <c r="W26" s="253"/>
      <c r="X26" s="253"/>
    </row>
    <row r="27" spans="1:24" x14ac:dyDescent="0.25">
      <c r="A27" s="36">
        <v>43384</v>
      </c>
      <c r="B27" s="269">
        <f t="shared" si="19"/>
        <v>43384</v>
      </c>
      <c r="C27" s="291">
        <v>-0.6</v>
      </c>
      <c r="D27" s="292">
        <v>0.87361111111111101</v>
      </c>
      <c r="E27" s="213" t="s">
        <v>74</v>
      </c>
      <c r="F27" s="252" t="s">
        <v>75</v>
      </c>
      <c r="L27" s="156"/>
      <c r="M27" s="270">
        <f t="shared" si="12"/>
        <v>1</v>
      </c>
      <c r="N27" s="270">
        <f t="shared" si="13"/>
        <v>0</v>
      </c>
      <c r="P27" s="270">
        <f t="shared" si="14"/>
        <v>0</v>
      </c>
      <c r="Q27" s="270">
        <f t="shared" si="15"/>
        <v>1</v>
      </c>
      <c r="T27" s="270">
        <f>IF($B27="Sat",1,0)</f>
        <v>0</v>
      </c>
      <c r="U27" s="270">
        <v>0</v>
      </c>
      <c r="W27" s="270">
        <f>IF(L27="STATE",1,0)</f>
        <v>0</v>
      </c>
      <c r="X27" s="270">
        <f>IF(M27="STATE",1,0)</f>
        <v>0</v>
      </c>
    </row>
    <row r="28" spans="1:24" x14ac:dyDescent="0.25">
      <c r="A28" s="36">
        <v>43385</v>
      </c>
      <c r="B28" s="269">
        <f t="shared" si="19"/>
        <v>43385</v>
      </c>
      <c r="C28" s="291">
        <v>-0.3</v>
      </c>
      <c r="D28" s="292">
        <v>0.90347222222222223</v>
      </c>
      <c r="E28" s="213" t="s">
        <v>75</v>
      </c>
      <c r="F28" s="252" t="s">
        <v>74</v>
      </c>
      <c r="M28" s="270">
        <f t="shared" si="12"/>
        <v>0</v>
      </c>
      <c r="N28" s="270">
        <f t="shared" si="13"/>
        <v>1</v>
      </c>
      <c r="P28" s="270">
        <f t="shared" si="14"/>
        <v>1</v>
      </c>
      <c r="Q28" s="270">
        <f t="shared" si="15"/>
        <v>0</v>
      </c>
      <c r="T28" s="270">
        <f t="shared" ref="T28:U29" si="20">IF($B28="Sat",1,0)</f>
        <v>0</v>
      </c>
      <c r="U28" s="270">
        <f t="shared" si="20"/>
        <v>0</v>
      </c>
      <c r="W28" s="270">
        <f t="shared" ref="W28:W29" si="21">IF(L28="STATE",1,0)</f>
        <v>0</v>
      </c>
      <c r="X28" s="270">
        <f t="shared" ref="X28:X29" si="22">IF(M28="STATE",1,0)</f>
        <v>0</v>
      </c>
    </row>
    <row r="29" spans="1:24" s="260" customFormat="1" x14ac:dyDescent="0.25">
      <c r="A29" s="254">
        <v>43386</v>
      </c>
      <c r="B29" s="255">
        <f t="shared" si="19"/>
        <v>43386</v>
      </c>
      <c r="C29" s="256">
        <v>0.1</v>
      </c>
      <c r="D29" s="257">
        <v>0.93472222222222223</v>
      </c>
      <c r="E29" s="258" t="s">
        <v>74</v>
      </c>
      <c r="F29" s="259" t="s">
        <v>75</v>
      </c>
      <c r="M29" s="261">
        <f t="shared" si="12"/>
        <v>1</v>
      </c>
      <c r="N29" s="261">
        <f t="shared" si="13"/>
        <v>0</v>
      </c>
      <c r="P29" s="261">
        <f t="shared" si="14"/>
        <v>0</v>
      </c>
      <c r="Q29" s="261">
        <f t="shared" si="15"/>
        <v>1</v>
      </c>
      <c r="T29" s="261">
        <f t="shared" si="20"/>
        <v>0</v>
      </c>
      <c r="U29" s="261">
        <v>0</v>
      </c>
      <c r="W29" s="261">
        <f t="shared" si="21"/>
        <v>0</v>
      </c>
      <c r="X29" s="261">
        <f t="shared" si="22"/>
        <v>0</v>
      </c>
    </row>
    <row r="30" spans="1:24" x14ac:dyDescent="0.25">
      <c r="A30" s="330"/>
      <c r="B30" s="330"/>
      <c r="C30" s="330"/>
      <c r="D30" s="331"/>
      <c r="E30" s="273"/>
      <c r="F30" s="274"/>
      <c r="M30" s="270"/>
      <c r="N30" s="270"/>
      <c r="P30" s="270"/>
      <c r="Q30" s="270"/>
    </row>
    <row r="31" spans="1:24" x14ac:dyDescent="0.25">
      <c r="A31" s="36">
        <v>43396</v>
      </c>
      <c r="B31" s="269" t="s">
        <v>79</v>
      </c>
      <c r="C31" s="36"/>
      <c r="D31" s="36"/>
      <c r="E31" s="213"/>
      <c r="F31" s="267" t="s">
        <v>74</v>
      </c>
      <c r="M31" s="270">
        <f t="shared" si="12"/>
        <v>0</v>
      </c>
      <c r="N31" s="270">
        <f t="shared" si="13"/>
        <v>1</v>
      </c>
      <c r="P31" s="270">
        <f t="shared" si="14"/>
        <v>0</v>
      </c>
      <c r="Q31" s="270">
        <f t="shared" si="15"/>
        <v>0</v>
      </c>
    </row>
    <row r="32" spans="1:24" x14ac:dyDescent="0.25">
      <c r="A32" s="36">
        <f t="shared" ref="A32:A36" si="23">A31+1</f>
        <v>43397</v>
      </c>
      <c r="B32" s="269">
        <f t="shared" ref="B32:B36" si="24">+A32</f>
        <v>43397</v>
      </c>
      <c r="C32" s="36"/>
      <c r="D32" s="36"/>
      <c r="E32" s="213"/>
      <c r="F32" s="267" t="s">
        <v>74</v>
      </c>
      <c r="M32" s="270">
        <f t="shared" si="12"/>
        <v>0</v>
      </c>
      <c r="N32" s="270">
        <f t="shared" si="13"/>
        <v>1</v>
      </c>
      <c r="P32" s="270">
        <f t="shared" si="14"/>
        <v>0</v>
      </c>
      <c r="Q32" s="270">
        <f t="shared" si="15"/>
        <v>0</v>
      </c>
    </row>
    <row r="33" spans="1:17" x14ac:dyDescent="0.25">
      <c r="A33" s="36">
        <f t="shared" si="23"/>
        <v>43398</v>
      </c>
      <c r="B33" s="269">
        <f t="shared" si="24"/>
        <v>43398</v>
      </c>
      <c r="C33" s="291">
        <v>-0.5</v>
      </c>
      <c r="D33" s="292">
        <v>0.82986111111111116</v>
      </c>
      <c r="E33" s="213" t="s">
        <v>75</v>
      </c>
      <c r="F33" s="252" t="s">
        <v>74</v>
      </c>
      <c r="M33" s="270">
        <f t="shared" si="12"/>
        <v>0</v>
      </c>
      <c r="N33" s="270">
        <f t="shared" si="13"/>
        <v>1</v>
      </c>
      <c r="P33" s="270">
        <f t="shared" si="14"/>
        <v>1</v>
      </c>
      <c r="Q33" s="270">
        <f t="shared" si="15"/>
        <v>0</v>
      </c>
    </row>
    <row r="34" spans="1:17" x14ac:dyDescent="0.25">
      <c r="A34" s="36">
        <f t="shared" si="23"/>
        <v>43399</v>
      </c>
      <c r="B34" s="269">
        <f t="shared" si="24"/>
        <v>43399</v>
      </c>
      <c r="C34" s="291">
        <v>-0.7</v>
      </c>
      <c r="D34" s="292">
        <v>0.85833333333333339</v>
      </c>
      <c r="E34" s="213" t="s">
        <v>74</v>
      </c>
      <c r="F34" s="252" t="s">
        <v>75</v>
      </c>
      <c r="M34" s="270">
        <f t="shared" si="12"/>
        <v>1</v>
      </c>
      <c r="N34" s="270">
        <f t="shared" si="13"/>
        <v>0</v>
      </c>
      <c r="P34" s="270">
        <f t="shared" si="14"/>
        <v>0</v>
      </c>
      <c r="Q34" s="270">
        <f t="shared" si="15"/>
        <v>1</v>
      </c>
    </row>
    <row r="35" spans="1:17" s="260" customFormat="1" x14ac:dyDescent="0.25">
      <c r="A35" s="254">
        <f t="shared" si="23"/>
        <v>43400</v>
      </c>
      <c r="B35" s="255">
        <f t="shared" si="24"/>
        <v>43400</v>
      </c>
      <c r="C35" s="262">
        <v>-0.7</v>
      </c>
      <c r="D35" s="263">
        <v>0.8881944444444444</v>
      </c>
      <c r="E35" s="258" t="s">
        <v>75</v>
      </c>
      <c r="F35" s="259" t="s">
        <v>74</v>
      </c>
      <c r="M35" s="261">
        <f t="shared" si="12"/>
        <v>0</v>
      </c>
      <c r="N35" s="261">
        <f t="shared" si="13"/>
        <v>1</v>
      </c>
      <c r="P35" s="261">
        <f t="shared" si="14"/>
        <v>1</v>
      </c>
      <c r="Q35" s="261">
        <f t="shared" si="15"/>
        <v>0</v>
      </c>
    </row>
    <row r="36" spans="1:17" s="260" customFormat="1" x14ac:dyDescent="0.25">
      <c r="A36" s="254">
        <f t="shared" si="23"/>
        <v>43401</v>
      </c>
      <c r="B36" s="255">
        <f t="shared" si="24"/>
        <v>43401</v>
      </c>
      <c r="C36" s="262">
        <v>-0.6</v>
      </c>
      <c r="D36" s="263">
        <v>0.92222222222222217</v>
      </c>
      <c r="E36" s="258" t="s">
        <v>74</v>
      </c>
      <c r="F36" s="259" t="s">
        <v>75</v>
      </c>
      <c r="M36" s="261">
        <f t="shared" si="12"/>
        <v>1</v>
      </c>
      <c r="N36" s="261">
        <f t="shared" si="13"/>
        <v>0</v>
      </c>
      <c r="P36" s="261">
        <f t="shared" si="14"/>
        <v>0</v>
      </c>
      <c r="Q36" s="261">
        <f t="shared" si="15"/>
        <v>1</v>
      </c>
    </row>
    <row r="37" spans="1:17" x14ac:dyDescent="0.25">
      <c r="A37" s="330"/>
      <c r="B37" s="330"/>
      <c r="C37" s="330"/>
      <c r="D37" s="331"/>
      <c r="E37" s="273"/>
      <c r="F37" s="274"/>
      <c r="M37" s="270"/>
      <c r="N37" s="270"/>
      <c r="P37" s="270"/>
      <c r="Q37" s="270"/>
    </row>
    <row r="38" spans="1:17" x14ac:dyDescent="0.25">
      <c r="A38" s="36">
        <v>43409</v>
      </c>
      <c r="B38" s="269" t="s">
        <v>79</v>
      </c>
      <c r="C38" s="36"/>
      <c r="D38" s="36"/>
      <c r="E38" s="213"/>
      <c r="F38" s="267" t="s">
        <v>74</v>
      </c>
      <c r="M38" s="270">
        <f t="shared" si="12"/>
        <v>0</v>
      </c>
      <c r="N38" s="270">
        <f t="shared" si="13"/>
        <v>1</v>
      </c>
      <c r="P38" s="270">
        <f t="shared" si="14"/>
        <v>0</v>
      </c>
      <c r="Q38" s="270">
        <f t="shared" si="15"/>
        <v>0</v>
      </c>
    </row>
    <row r="39" spans="1:17" x14ac:dyDescent="0.25">
      <c r="A39" s="36">
        <f t="shared" ref="A39:A44" si="25">A38+1</f>
        <v>43410</v>
      </c>
      <c r="B39" s="269">
        <f t="shared" ref="B39:B46" si="26">+A39</f>
        <v>43410</v>
      </c>
      <c r="C39" s="36"/>
      <c r="D39" s="36"/>
      <c r="E39" s="213"/>
      <c r="F39" s="267" t="s">
        <v>74</v>
      </c>
      <c r="M39" s="270">
        <f t="shared" si="12"/>
        <v>0</v>
      </c>
      <c r="N39" s="270">
        <f t="shared" si="13"/>
        <v>1</v>
      </c>
      <c r="P39" s="270">
        <f t="shared" si="14"/>
        <v>0</v>
      </c>
      <c r="Q39" s="270">
        <f t="shared" si="15"/>
        <v>0</v>
      </c>
    </row>
    <row r="40" spans="1:17" x14ac:dyDescent="0.25">
      <c r="A40" s="36">
        <f t="shared" si="25"/>
        <v>43411</v>
      </c>
      <c r="B40" s="269">
        <f t="shared" si="26"/>
        <v>43411</v>
      </c>
      <c r="C40" s="36"/>
      <c r="D40" s="36"/>
      <c r="E40" s="213"/>
      <c r="F40" s="267" t="s">
        <v>74</v>
      </c>
      <c r="M40" s="270">
        <f t="shared" si="12"/>
        <v>0</v>
      </c>
      <c r="N40" s="270">
        <f t="shared" si="13"/>
        <v>1</v>
      </c>
      <c r="P40" s="270">
        <f t="shared" si="14"/>
        <v>0</v>
      </c>
      <c r="Q40" s="270">
        <f t="shared" si="15"/>
        <v>0</v>
      </c>
    </row>
    <row r="41" spans="1:17" x14ac:dyDescent="0.25">
      <c r="A41" s="36">
        <f t="shared" si="25"/>
        <v>43412</v>
      </c>
      <c r="B41" s="269">
        <f t="shared" si="26"/>
        <v>43412</v>
      </c>
      <c r="C41" s="217">
        <v>-0.8</v>
      </c>
      <c r="D41" s="268">
        <v>0.7895833333333333</v>
      </c>
      <c r="E41" s="213" t="s">
        <v>74</v>
      </c>
      <c r="F41" s="252" t="s">
        <v>75</v>
      </c>
      <c r="M41" s="270">
        <f t="shared" si="12"/>
        <v>1</v>
      </c>
      <c r="N41" s="270">
        <f t="shared" si="13"/>
        <v>0</v>
      </c>
      <c r="P41" s="270">
        <f t="shared" si="14"/>
        <v>0</v>
      </c>
      <c r="Q41" s="270">
        <f t="shared" si="15"/>
        <v>1</v>
      </c>
    </row>
    <row r="42" spans="1:17" x14ac:dyDescent="0.25">
      <c r="A42" s="36">
        <f t="shared" si="25"/>
        <v>43413</v>
      </c>
      <c r="B42" s="269">
        <f t="shared" si="26"/>
        <v>43413</v>
      </c>
      <c r="C42" s="217">
        <v>-0.7</v>
      </c>
      <c r="D42" s="268">
        <v>0.81666666666666676</v>
      </c>
      <c r="E42" s="213" t="s">
        <v>75</v>
      </c>
      <c r="F42" s="252" t="s">
        <v>74</v>
      </c>
      <c r="M42" s="270">
        <f t="shared" si="12"/>
        <v>0</v>
      </c>
      <c r="N42" s="270">
        <f t="shared" si="13"/>
        <v>1</v>
      </c>
      <c r="P42" s="270">
        <f t="shared" si="14"/>
        <v>1</v>
      </c>
      <c r="Q42" s="270">
        <f t="shared" si="15"/>
        <v>0</v>
      </c>
    </row>
    <row r="43" spans="1:17" s="260" customFormat="1" x14ac:dyDescent="0.25">
      <c r="A43" s="254">
        <f t="shared" si="25"/>
        <v>43414</v>
      </c>
      <c r="B43" s="255">
        <f t="shared" si="26"/>
        <v>43414</v>
      </c>
      <c r="C43" s="264">
        <v>-0.4</v>
      </c>
      <c r="D43" s="265">
        <v>0.84375</v>
      </c>
      <c r="E43" s="258" t="s">
        <v>74</v>
      </c>
      <c r="F43" s="259" t="s">
        <v>75</v>
      </c>
      <c r="M43" s="261">
        <f t="shared" si="12"/>
        <v>1</v>
      </c>
      <c r="N43" s="261">
        <f t="shared" si="13"/>
        <v>0</v>
      </c>
      <c r="P43" s="261">
        <f t="shared" si="14"/>
        <v>0</v>
      </c>
      <c r="Q43" s="261">
        <f t="shared" si="15"/>
        <v>1</v>
      </c>
    </row>
    <row r="44" spans="1:17" s="260" customFormat="1" x14ac:dyDescent="0.25">
      <c r="A44" s="254">
        <f t="shared" si="25"/>
        <v>43415</v>
      </c>
      <c r="B44" s="255">
        <f t="shared" si="26"/>
        <v>43415</v>
      </c>
      <c r="C44" s="264">
        <v>0</v>
      </c>
      <c r="D44" s="265">
        <v>0.87222222222222223</v>
      </c>
      <c r="E44" s="258" t="s">
        <v>75</v>
      </c>
      <c r="F44" s="259" t="s">
        <v>74</v>
      </c>
      <c r="M44" s="261">
        <f t="shared" si="12"/>
        <v>0</v>
      </c>
      <c r="N44" s="261">
        <f t="shared" si="13"/>
        <v>1</v>
      </c>
      <c r="P44" s="261">
        <f t="shared" si="14"/>
        <v>1</v>
      </c>
      <c r="Q44" s="261">
        <f t="shared" si="15"/>
        <v>0</v>
      </c>
    </row>
    <row r="45" spans="1:17" x14ac:dyDescent="0.25">
      <c r="A45" s="330"/>
      <c r="B45" s="330"/>
      <c r="C45" s="330"/>
      <c r="D45" s="331"/>
      <c r="E45" s="273"/>
      <c r="F45" s="274"/>
      <c r="M45" s="270"/>
      <c r="N45" s="270"/>
      <c r="P45" s="270"/>
      <c r="Q45" s="270"/>
    </row>
    <row r="46" spans="1:17" x14ac:dyDescent="0.25">
      <c r="A46" s="36">
        <v>43425</v>
      </c>
      <c r="B46" s="269">
        <f t="shared" si="26"/>
        <v>43425</v>
      </c>
      <c r="C46" s="36"/>
      <c r="D46" s="36"/>
      <c r="E46" s="213"/>
      <c r="F46" s="252" t="s">
        <v>74</v>
      </c>
      <c r="M46" s="270">
        <f t="shared" si="12"/>
        <v>0</v>
      </c>
      <c r="N46" s="270">
        <f t="shared" si="13"/>
        <v>1</v>
      </c>
      <c r="P46" s="270">
        <f t="shared" si="14"/>
        <v>0</v>
      </c>
      <c r="Q46" s="270">
        <f t="shared" si="15"/>
        <v>0</v>
      </c>
    </row>
    <row r="47" spans="1:17" x14ac:dyDescent="0.25">
      <c r="A47" s="36">
        <f t="shared" ref="A47:A50" si="27">A46+1</f>
        <v>43426</v>
      </c>
      <c r="B47" s="269">
        <f t="shared" ref="B47:B53" si="28">+A47</f>
        <v>43426</v>
      </c>
      <c r="C47" s="217">
        <v>-0.7</v>
      </c>
      <c r="D47" s="268">
        <v>0.74652777777777779</v>
      </c>
      <c r="E47" s="213" t="s">
        <v>75</v>
      </c>
      <c r="F47" s="252" t="s">
        <v>74</v>
      </c>
      <c r="M47" s="270">
        <f t="shared" si="12"/>
        <v>0</v>
      </c>
      <c r="N47" s="270">
        <f t="shared" si="13"/>
        <v>1</v>
      </c>
      <c r="P47" s="270">
        <f t="shared" si="14"/>
        <v>1</v>
      </c>
      <c r="Q47" s="270">
        <f t="shared" si="15"/>
        <v>0</v>
      </c>
    </row>
    <row r="48" spans="1:17" x14ac:dyDescent="0.25">
      <c r="A48" s="36">
        <f t="shared" si="27"/>
        <v>43427</v>
      </c>
      <c r="B48" s="269">
        <f t="shared" si="28"/>
        <v>43427</v>
      </c>
      <c r="C48" s="217">
        <v>-1.1000000000000001</v>
      </c>
      <c r="D48" s="268">
        <v>0.77500000000000002</v>
      </c>
      <c r="E48" s="213" t="s">
        <v>74</v>
      </c>
      <c r="F48" s="252" t="s">
        <v>75</v>
      </c>
      <c r="M48" s="270">
        <f t="shared" si="12"/>
        <v>1</v>
      </c>
      <c r="N48" s="270">
        <f t="shared" si="13"/>
        <v>0</v>
      </c>
      <c r="P48" s="270">
        <f t="shared" si="14"/>
        <v>0</v>
      </c>
      <c r="Q48" s="270">
        <f t="shared" si="15"/>
        <v>1</v>
      </c>
    </row>
    <row r="49" spans="1:17" s="260" customFormat="1" x14ac:dyDescent="0.25">
      <c r="A49" s="254">
        <f t="shared" si="27"/>
        <v>43428</v>
      </c>
      <c r="B49" s="255">
        <f t="shared" si="28"/>
        <v>43428</v>
      </c>
      <c r="C49" s="264">
        <v>-1.3</v>
      </c>
      <c r="D49" s="265">
        <v>0.80555555555555547</v>
      </c>
      <c r="E49" s="258" t="s">
        <v>75</v>
      </c>
      <c r="F49" s="259" t="s">
        <v>75</v>
      </c>
      <c r="M49" s="261">
        <f t="shared" si="12"/>
        <v>0</v>
      </c>
      <c r="N49" s="261">
        <f t="shared" si="13"/>
        <v>0</v>
      </c>
      <c r="P49" s="261">
        <f t="shared" si="14"/>
        <v>1</v>
      </c>
      <c r="Q49" s="261">
        <f t="shared" si="15"/>
        <v>1</v>
      </c>
    </row>
    <row r="50" spans="1:17" s="260" customFormat="1" x14ac:dyDescent="0.25">
      <c r="A50" s="254">
        <f t="shared" si="27"/>
        <v>43429</v>
      </c>
      <c r="B50" s="255">
        <f t="shared" si="28"/>
        <v>43429</v>
      </c>
      <c r="C50" s="264">
        <v>-1.3</v>
      </c>
      <c r="D50" s="265">
        <v>0.83680555555555547</v>
      </c>
      <c r="E50" s="258" t="s">
        <v>74</v>
      </c>
      <c r="F50" s="259" t="s">
        <v>75</v>
      </c>
      <c r="M50" s="261">
        <f t="shared" si="12"/>
        <v>1</v>
      </c>
      <c r="N50" s="261">
        <f t="shared" si="13"/>
        <v>0</v>
      </c>
      <c r="P50" s="261">
        <f t="shared" si="14"/>
        <v>0</v>
      </c>
      <c r="Q50" s="261">
        <f t="shared" si="15"/>
        <v>1</v>
      </c>
    </row>
    <row r="51" spans="1:17" x14ac:dyDescent="0.25">
      <c r="A51" s="36">
        <f t="shared" ref="A51:A53" si="29">A50+1</f>
        <v>43430</v>
      </c>
      <c r="B51" s="269">
        <f t="shared" si="28"/>
        <v>43430</v>
      </c>
      <c r="C51" s="217"/>
      <c r="D51" s="268"/>
      <c r="E51" s="213"/>
      <c r="F51" s="252" t="s">
        <v>74</v>
      </c>
      <c r="M51" s="270">
        <f t="shared" si="12"/>
        <v>0</v>
      </c>
      <c r="N51" s="270">
        <f t="shared" si="13"/>
        <v>1</v>
      </c>
      <c r="P51" s="270">
        <f t="shared" si="14"/>
        <v>0</v>
      </c>
      <c r="Q51" s="270">
        <f t="shared" si="15"/>
        <v>0</v>
      </c>
    </row>
    <row r="52" spans="1:17" x14ac:dyDescent="0.25">
      <c r="A52" s="36">
        <f t="shared" si="29"/>
        <v>43431</v>
      </c>
      <c r="B52" s="269">
        <f t="shared" si="28"/>
        <v>43431</v>
      </c>
      <c r="C52" s="217"/>
      <c r="D52" s="268"/>
      <c r="E52" s="213"/>
      <c r="F52" s="252" t="s">
        <v>74</v>
      </c>
      <c r="M52" s="270">
        <f t="shared" si="12"/>
        <v>0</v>
      </c>
      <c r="N52" s="270">
        <f t="shared" si="13"/>
        <v>1</v>
      </c>
      <c r="P52" s="270">
        <f t="shared" si="14"/>
        <v>0</v>
      </c>
      <c r="Q52" s="270">
        <f t="shared" si="15"/>
        <v>0</v>
      </c>
    </row>
    <row r="53" spans="1:17" x14ac:dyDescent="0.25">
      <c r="A53" s="36">
        <f t="shared" si="29"/>
        <v>43432</v>
      </c>
      <c r="B53" s="269">
        <f t="shared" si="28"/>
        <v>43432</v>
      </c>
      <c r="C53" s="217"/>
      <c r="D53" s="268"/>
      <c r="E53" s="213"/>
      <c r="F53" s="252" t="s">
        <v>74</v>
      </c>
      <c r="M53" s="270">
        <f t="shared" si="12"/>
        <v>0</v>
      </c>
      <c r="N53" s="270">
        <f t="shared" si="13"/>
        <v>1</v>
      </c>
      <c r="P53" s="270">
        <f t="shared" si="14"/>
        <v>0</v>
      </c>
      <c r="Q53" s="270">
        <f t="shared" si="15"/>
        <v>0</v>
      </c>
    </row>
    <row r="54" spans="1:17" x14ac:dyDescent="0.25">
      <c r="A54" s="330"/>
      <c r="B54" s="330"/>
      <c r="C54" s="330"/>
      <c r="D54" s="331"/>
      <c r="E54" s="273"/>
      <c r="F54" s="274"/>
      <c r="M54" s="270"/>
      <c r="N54" s="270"/>
      <c r="P54" s="270"/>
      <c r="Q54" s="270"/>
    </row>
    <row r="55" spans="1:17" x14ac:dyDescent="0.25">
      <c r="A55" s="36">
        <v>43438</v>
      </c>
      <c r="B55" s="269">
        <f t="shared" ref="B55:B60" si="30">+A55</f>
        <v>43438</v>
      </c>
      <c r="C55" s="36"/>
      <c r="D55" s="272"/>
      <c r="E55" s="213"/>
      <c r="F55" s="252" t="s">
        <v>74</v>
      </c>
      <c r="M55" s="270">
        <f t="shared" si="12"/>
        <v>0</v>
      </c>
      <c r="N55" s="270">
        <f t="shared" si="13"/>
        <v>1</v>
      </c>
      <c r="P55" s="270">
        <f t="shared" si="14"/>
        <v>0</v>
      </c>
      <c r="Q55" s="270">
        <f t="shared" si="15"/>
        <v>0</v>
      </c>
    </row>
    <row r="56" spans="1:17" x14ac:dyDescent="0.25">
      <c r="A56" s="36">
        <f t="shared" ref="A56:A60" si="31">A55+1</f>
        <v>43439</v>
      </c>
      <c r="B56" s="269">
        <f t="shared" si="30"/>
        <v>43439</v>
      </c>
      <c r="C56" s="36"/>
      <c r="D56" s="272"/>
      <c r="E56" s="213" t="s">
        <v>74</v>
      </c>
      <c r="F56" s="252"/>
      <c r="M56" s="270">
        <f t="shared" si="12"/>
        <v>1</v>
      </c>
      <c r="N56" s="270">
        <f t="shared" si="13"/>
        <v>0</v>
      </c>
      <c r="P56" s="270">
        <f t="shared" si="14"/>
        <v>0</v>
      </c>
      <c r="Q56" s="270">
        <f t="shared" si="15"/>
        <v>0</v>
      </c>
    </row>
    <row r="57" spans="1:17" x14ac:dyDescent="0.25">
      <c r="A57" s="36">
        <f t="shared" si="31"/>
        <v>43440</v>
      </c>
      <c r="B57" s="269">
        <f t="shared" si="30"/>
        <v>43440</v>
      </c>
      <c r="C57" s="276">
        <v>-0.7</v>
      </c>
      <c r="D57" s="271">
        <v>0.75069444444444444</v>
      </c>
      <c r="E57" s="213" t="s">
        <v>75</v>
      </c>
      <c r="F57" s="252" t="s">
        <v>74</v>
      </c>
      <c r="M57" s="270">
        <f t="shared" si="12"/>
        <v>0</v>
      </c>
      <c r="N57" s="270">
        <f t="shared" si="13"/>
        <v>1</v>
      </c>
      <c r="P57" s="270">
        <f t="shared" si="14"/>
        <v>1</v>
      </c>
      <c r="Q57" s="270">
        <f t="shared" si="15"/>
        <v>0</v>
      </c>
    </row>
    <row r="58" spans="1:17" x14ac:dyDescent="0.25">
      <c r="A58" s="36">
        <f t="shared" si="31"/>
        <v>43441</v>
      </c>
      <c r="B58" s="269">
        <f t="shared" si="30"/>
        <v>43441</v>
      </c>
      <c r="C58" s="276">
        <v>-0.7</v>
      </c>
      <c r="D58" s="271">
        <v>0.77777777777777779</v>
      </c>
      <c r="E58" s="213" t="s">
        <v>74</v>
      </c>
      <c r="F58" s="252" t="s">
        <v>75</v>
      </c>
      <c r="M58" s="270">
        <f t="shared" si="12"/>
        <v>1</v>
      </c>
      <c r="N58" s="270">
        <f t="shared" si="13"/>
        <v>0</v>
      </c>
      <c r="P58" s="270">
        <f t="shared" si="14"/>
        <v>0</v>
      </c>
      <c r="Q58" s="270">
        <f t="shared" si="15"/>
        <v>1</v>
      </c>
    </row>
    <row r="59" spans="1:17" s="260" customFormat="1" x14ac:dyDescent="0.25">
      <c r="A59" s="254">
        <f t="shared" si="31"/>
        <v>43442</v>
      </c>
      <c r="B59" s="255">
        <f t="shared" si="30"/>
        <v>43442</v>
      </c>
      <c r="C59" s="275">
        <v>-0.6</v>
      </c>
      <c r="D59" s="266">
        <v>0.8027777777777777</v>
      </c>
      <c r="E59" s="258" t="s">
        <v>75</v>
      </c>
      <c r="F59" s="259" t="s">
        <v>74</v>
      </c>
      <c r="M59" s="261">
        <f t="shared" si="12"/>
        <v>0</v>
      </c>
      <c r="N59" s="261">
        <f t="shared" si="13"/>
        <v>1</v>
      </c>
      <c r="P59" s="261">
        <f t="shared" si="14"/>
        <v>1</v>
      </c>
      <c r="Q59" s="261">
        <f t="shared" si="15"/>
        <v>0</v>
      </c>
    </row>
    <row r="60" spans="1:17" s="260" customFormat="1" x14ac:dyDescent="0.25">
      <c r="A60" s="254">
        <f t="shared" si="31"/>
        <v>43443</v>
      </c>
      <c r="B60" s="255">
        <f t="shared" si="30"/>
        <v>43443</v>
      </c>
      <c r="C60" s="275">
        <v>-0.4</v>
      </c>
      <c r="D60" s="266">
        <v>0.82847222222222217</v>
      </c>
      <c r="E60" s="258" t="s">
        <v>74</v>
      </c>
      <c r="F60" s="259" t="s">
        <v>75</v>
      </c>
      <c r="M60" s="261">
        <f t="shared" si="12"/>
        <v>1</v>
      </c>
      <c r="N60" s="261">
        <f t="shared" si="13"/>
        <v>0</v>
      </c>
      <c r="P60" s="261">
        <f t="shared" si="14"/>
        <v>0</v>
      </c>
      <c r="Q60" s="261">
        <f t="shared" si="15"/>
        <v>1</v>
      </c>
    </row>
    <row r="61" spans="1:17" x14ac:dyDescent="0.25">
      <c r="A61" s="330"/>
      <c r="B61" s="330"/>
      <c r="C61" s="330"/>
      <c r="D61" s="331"/>
      <c r="E61" s="273"/>
      <c r="F61" s="274"/>
      <c r="M61" s="270">
        <f t="shared" si="12"/>
        <v>0</v>
      </c>
      <c r="N61" s="270">
        <f t="shared" si="13"/>
        <v>0</v>
      </c>
      <c r="P61" s="270">
        <f t="shared" si="14"/>
        <v>0</v>
      </c>
      <c r="Q61" s="270">
        <f t="shared" si="15"/>
        <v>0</v>
      </c>
    </row>
    <row r="62" spans="1:17" x14ac:dyDescent="0.25">
      <c r="A62" s="36">
        <v>43454</v>
      </c>
      <c r="B62" s="269" t="s">
        <v>79</v>
      </c>
      <c r="C62" s="276">
        <v>-0.3</v>
      </c>
      <c r="D62" s="271">
        <v>0.70208333333333339</v>
      </c>
      <c r="E62" s="213" t="s">
        <v>74</v>
      </c>
      <c r="F62" s="252" t="s">
        <v>75</v>
      </c>
      <c r="M62" s="270">
        <f t="shared" si="12"/>
        <v>1</v>
      </c>
      <c r="N62" s="270">
        <f t="shared" si="13"/>
        <v>0</v>
      </c>
      <c r="P62" s="270">
        <f t="shared" si="14"/>
        <v>0</v>
      </c>
      <c r="Q62" s="270">
        <f t="shared" si="15"/>
        <v>1</v>
      </c>
    </row>
    <row r="63" spans="1:17" x14ac:dyDescent="0.25">
      <c r="A63" s="36">
        <v>43455</v>
      </c>
      <c r="B63" s="269" t="s">
        <v>80</v>
      </c>
      <c r="C63" s="276">
        <v>-1</v>
      </c>
      <c r="D63" s="271">
        <v>0.73263888888888884</v>
      </c>
      <c r="E63" s="213" t="s">
        <v>75</v>
      </c>
      <c r="F63" s="252" t="s">
        <v>74</v>
      </c>
      <c r="M63" s="270">
        <f t="shared" si="12"/>
        <v>0</v>
      </c>
      <c r="N63" s="270">
        <f t="shared" si="13"/>
        <v>1</v>
      </c>
      <c r="P63" s="270">
        <f t="shared" si="14"/>
        <v>1</v>
      </c>
      <c r="Q63" s="270">
        <f t="shared" si="15"/>
        <v>0</v>
      </c>
    </row>
    <row r="64" spans="1:17" s="260" customFormat="1" x14ac:dyDescent="0.25">
      <c r="A64" s="254">
        <v>43456</v>
      </c>
      <c r="B64" s="255" t="s">
        <v>81</v>
      </c>
      <c r="C64" s="275">
        <v>-1.4</v>
      </c>
      <c r="D64" s="266">
        <v>0.76388888888888884</v>
      </c>
      <c r="E64" s="258" t="s">
        <v>74</v>
      </c>
      <c r="F64" s="259" t="s">
        <v>75</v>
      </c>
      <c r="M64" s="261">
        <f t="shared" si="12"/>
        <v>1</v>
      </c>
      <c r="N64" s="261">
        <f t="shared" si="13"/>
        <v>0</v>
      </c>
      <c r="P64" s="261">
        <f t="shared" si="14"/>
        <v>0</v>
      </c>
      <c r="Q64" s="261">
        <f t="shared" si="15"/>
        <v>1</v>
      </c>
    </row>
    <row r="65" spans="1:17" s="260" customFormat="1" x14ac:dyDescent="0.25">
      <c r="A65" s="254">
        <v>43457</v>
      </c>
      <c r="B65" s="255" t="s">
        <v>82</v>
      </c>
      <c r="C65" s="275">
        <v>-1.6</v>
      </c>
      <c r="D65" s="266">
        <v>0.79513888888888884</v>
      </c>
      <c r="E65" s="258" t="s">
        <v>75</v>
      </c>
      <c r="F65" s="259"/>
      <c r="M65" s="261">
        <f t="shared" si="12"/>
        <v>0</v>
      </c>
      <c r="N65" s="261">
        <f t="shared" si="13"/>
        <v>0</v>
      </c>
      <c r="P65" s="261">
        <f t="shared" si="14"/>
        <v>1</v>
      </c>
      <c r="Q65" s="261">
        <f t="shared" si="15"/>
        <v>0</v>
      </c>
    </row>
    <row r="66" spans="1:17" x14ac:dyDescent="0.25">
      <c r="A66" s="330"/>
      <c r="B66" s="330"/>
      <c r="C66" s="330"/>
      <c r="D66" s="331"/>
      <c r="E66" s="273"/>
      <c r="F66" s="274"/>
      <c r="M66" s="270">
        <f t="shared" si="12"/>
        <v>0</v>
      </c>
      <c r="N66" s="270">
        <f t="shared" si="13"/>
        <v>0</v>
      </c>
      <c r="P66" s="270">
        <f t="shared" si="14"/>
        <v>0</v>
      </c>
      <c r="Q66" s="270">
        <f t="shared" si="15"/>
        <v>0</v>
      </c>
    </row>
    <row r="67" spans="1:17" x14ac:dyDescent="0.25">
      <c r="A67" s="36">
        <v>43469</v>
      </c>
      <c r="B67" s="269" t="s">
        <v>80</v>
      </c>
      <c r="C67" s="276">
        <v>-0.4</v>
      </c>
      <c r="D67" s="271">
        <v>0.7402777777777777</v>
      </c>
      <c r="E67" s="213" t="s">
        <v>74</v>
      </c>
      <c r="F67" s="252" t="s">
        <v>75</v>
      </c>
      <c r="M67" s="270">
        <f t="shared" si="12"/>
        <v>1</v>
      </c>
      <c r="N67" s="270">
        <f t="shared" si="13"/>
        <v>0</v>
      </c>
      <c r="P67" s="270">
        <f t="shared" si="14"/>
        <v>0</v>
      </c>
      <c r="Q67" s="270">
        <f t="shared" si="15"/>
        <v>1</v>
      </c>
    </row>
    <row r="68" spans="1:17" s="260" customFormat="1" x14ac:dyDescent="0.25">
      <c r="A68" s="254">
        <v>43470</v>
      </c>
      <c r="B68" s="255" t="s">
        <v>81</v>
      </c>
      <c r="C68" s="275">
        <v>-0.4</v>
      </c>
      <c r="D68" s="266">
        <v>0.76597222222222217</v>
      </c>
      <c r="E68" s="258" t="s">
        <v>75</v>
      </c>
      <c r="F68" s="259" t="s">
        <v>74</v>
      </c>
      <c r="M68" s="261">
        <f t="shared" si="12"/>
        <v>0</v>
      </c>
      <c r="N68" s="261">
        <f t="shared" si="13"/>
        <v>1</v>
      </c>
      <c r="P68" s="261">
        <f t="shared" si="14"/>
        <v>1</v>
      </c>
      <c r="Q68" s="261">
        <f t="shared" si="15"/>
        <v>0</v>
      </c>
    </row>
    <row r="69" spans="1:17" s="260" customFormat="1" x14ac:dyDescent="0.25">
      <c r="A69" s="254">
        <v>43471</v>
      </c>
      <c r="B69" s="255" t="s">
        <v>82</v>
      </c>
      <c r="C69" s="275">
        <v>-0.4</v>
      </c>
      <c r="D69" s="266">
        <v>0.7909722222222223</v>
      </c>
      <c r="E69" s="258" t="s">
        <v>74</v>
      </c>
      <c r="F69" s="259" t="s">
        <v>75</v>
      </c>
      <c r="M69" s="261">
        <f t="shared" si="12"/>
        <v>1</v>
      </c>
      <c r="N69" s="261">
        <f t="shared" si="13"/>
        <v>0</v>
      </c>
      <c r="P69" s="261">
        <f t="shared" si="14"/>
        <v>0</v>
      </c>
      <c r="Q69" s="261">
        <f t="shared" si="15"/>
        <v>1</v>
      </c>
    </row>
    <row r="70" spans="1:17" x14ac:dyDescent="0.25">
      <c r="A70" s="36">
        <v>43472</v>
      </c>
      <c r="B70" s="269" t="s">
        <v>83</v>
      </c>
      <c r="C70" s="276"/>
      <c r="D70" s="271"/>
      <c r="E70" s="213" t="s">
        <v>74</v>
      </c>
      <c r="F70" s="252"/>
      <c r="M70" s="270">
        <f t="shared" si="12"/>
        <v>1</v>
      </c>
      <c r="N70" s="270">
        <f t="shared" si="13"/>
        <v>0</v>
      </c>
      <c r="P70" s="270">
        <f t="shared" si="14"/>
        <v>0</v>
      </c>
      <c r="Q70" s="270">
        <f t="shared" si="15"/>
        <v>0</v>
      </c>
    </row>
    <row r="71" spans="1:17" x14ac:dyDescent="0.25">
      <c r="A71" s="330"/>
      <c r="B71" s="330"/>
      <c r="C71" s="330"/>
      <c r="D71" s="331"/>
      <c r="E71" s="273"/>
      <c r="F71" s="274"/>
      <c r="M71" s="270">
        <f t="shared" si="12"/>
        <v>0</v>
      </c>
      <c r="N71" s="270">
        <f t="shared" si="13"/>
        <v>0</v>
      </c>
      <c r="P71" s="270">
        <f t="shared" si="14"/>
        <v>0</v>
      </c>
      <c r="Q71" s="270">
        <f t="shared" si="15"/>
        <v>0</v>
      </c>
    </row>
    <row r="72" spans="1:17" x14ac:dyDescent="0.25">
      <c r="A72" s="36">
        <v>43482</v>
      </c>
      <c r="B72" s="269">
        <f t="shared" ref="B72:B80" si="32">+A72</f>
        <v>43482</v>
      </c>
      <c r="C72" s="36"/>
      <c r="D72" s="272"/>
      <c r="E72" s="213"/>
      <c r="F72" s="252" t="s">
        <v>74</v>
      </c>
      <c r="M72" s="270">
        <f t="shared" si="12"/>
        <v>0</v>
      </c>
      <c r="N72" s="270">
        <f t="shared" si="13"/>
        <v>1</v>
      </c>
      <c r="P72" s="270">
        <f t="shared" si="14"/>
        <v>0</v>
      </c>
      <c r="Q72" s="270">
        <f t="shared" si="15"/>
        <v>0</v>
      </c>
    </row>
    <row r="73" spans="1:17" x14ac:dyDescent="0.25">
      <c r="A73" s="36">
        <f t="shared" ref="A73:A76" si="33">A72+1</f>
        <v>43483</v>
      </c>
      <c r="B73" s="269">
        <f t="shared" si="32"/>
        <v>43483</v>
      </c>
      <c r="C73" s="276">
        <v>-1.1000000000000001</v>
      </c>
      <c r="D73" s="271">
        <v>0.72083333333333333</v>
      </c>
      <c r="E73" s="213" t="s">
        <v>74</v>
      </c>
      <c r="F73" s="252" t="s">
        <v>75</v>
      </c>
      <c r="M73" s="270">
        <f t="shared" si="12"/>
        <v>1</v>
      </c>
      <c r="N73" s="270">
        <f t="shared" si="13"/>
        <v>0</v>
      </c>
      <c r="P73" s="270">
        <f t="shared" si="14"/>
        <v>0</v>
      </c>
      <c r="Q73" s="270">
        <f t="shared" si="15"/>
        <v>1</v>
      </c>
    </row>
    <row r="74" spans="1:17" s="260" customFormat="1" x14ac:dyDescent="0.25">
      <c r="A74" s="254">
        <f t="shared" si="33"/>
        <v>43484</v>
      </c>
      <c r="B74" s="255">
        <f t="shared" si="32"/>
        <v>43484</v>
      </c>
      <c r="C74" s="275">
        <v>-1.6</v>
      </c>
      <c r="D74" s="266">
        <v>0.75347222222222221</v>
      </c>
      <c r="E74" s="258" t="s">
        <v>75</v>
      </c>
      <c r="F74" s="259" t="s">
        <v>74</v>
      </c>
      <c r="M74" s="261">
        <f t="shared" si="12"/>
        <v>0</v>
      </c>
      <c r="N74" s="261">
        <f t="shared" si="13"/>
        <v>1</v>
      </c>
      <c r="P74" s="261">
        <f t="shared" si="14"/>
        <v>1</v>
      </c>
      <c r="Q74" s="261">
        <f t="shared" si="15"/>
        <v>0</v>
      </c>
    </row>
    <row r="75" spans="1:17" s="260" customFormat="1" x14ac:dyDescent="0.25">
      <c r="A75" s="254">
        <f t="shared" si="33"/>
        <v>43485</v>
      </c>
      <c r="B75" s="255">
        <f t="shared" si="32"/>
        <v>43485</v>
      </c>
      <c r="C75" s="275">
        <v>-1.8</v>
      </c>
      <c r="D75" s="266">
        <v>0.78541666666666676</v>
      </c>
      <c r="E75" s="258" t="s">
        <v>74</v>
      </c>
      <c r="F75" s="259" t="s">
        <v>75</v>
      </c>
      <c r="M75" s="261">
        <f t="shared" si="12"/>
        <v>1</v>
      </c>
      <c r="N75" s="261">
        <f t="shared" si="13"/>
        <v>0</v>
      </c>
      <c r="P75" s="261">
        <f t="shared" si="14"/>
        <v>0</v>
      </c>
      <c r="Q75" s="261">
        <f t="shared" si="15"/>
        <v>1</v>
      </c>
    </row>
    <row r="76" spans="1:17" x14ac:dyDescent="0.25">
      <c r="A76" s="36">
        <f t="shared" si="33"/>
        <v>43486</v>
      </c>
      <c r="B76" s="269">
        <f t="shared" si="32"/>
        <v>43486</v>
      </c>
      <c r="C76" s="276">
        <v>-1.8</v>
      </c>
      <c r="D76" s="271">
        <v>0.78541666666666676</v>
      </c>
      <c r="E76" s="213" t="s">
        <v>74</v>
      </c>
      <c r="F76" s="252" t="s">
        <v>75</v>
      </c>
      <c r="M76" s="270">
        <f t="shared" si="12"/>
        <v>1</v>
      </c>
      <c r="N76" s="270">
        <f t="shared" si="13"/>
        <v>0</v>
      </c>
      <c r="P76" s="270">
        <f t="shared" si="14"/>
        <v>0</v>
      </c>
      <c r="Q76" s="270">
        <f t="shared" si="15"/>
        <v>1</v>
      </c>
    </row>
    <row r="77" spans="1:17" x14ac:dyDescent="0.25">
      <c r="A77" s="36">
        <f t="shared" ref="A77" si="34">A76+1</f>
        <v>43487</v>
      </c>
      <c r="B77" s="269">
        <f t="shared" si="32"/>
        <v>43487</v>
      </c>
      <c r="C77" s="276"/>
      <c r="D77" s="271"/>
      <c r="E77" s="213" t="s">
        <v>74</v>
      </c>
      <c r="F77" s="252"/>
      <c r="M77" s="270">
        <f t="shared" si="12"/>
        <v>1</v>
      </c>
      <c r="N77" s="270">
        <f t="shared" si="13"/>
        <v>0</v>
      </c>
      <c r="P77" s="270">
        <f t="shared" si="14"/>
        <v>0</v>
      </c>
      <c r="Q77" s="270">
        <f t="shared" si="15"/>
        <v>0</v>
      </c>
    </row>
    <row r="78" spans="1:17" x14ac:dyDescent="0.25">
      <c r="A78" s="36">
        <f t="shared" ref="A78:A80" si="35">A77+1</f>
        <v>43488</v>
      </c>
      <c r="B78" s="269">
        <f t="shared" si="32"/>
        <v>43488</v>
      </c>
      <c r="C78" s="276"/>
      <c r="D78" s="271"/>
      <c r="E78" s="213" t="s">
        <v>74</v>
      </c>
      <c r="F78" s="252"/>
      <c r="M78" s="270">
        <f t="shared" ref="M78:M141" si="36">IF(E78="QIN",1,0)</f>
        <v>1</v>
      </c>
      <c r="N78" s="270">
        <f t="shared" ref="N78:N141" si="37">IF(F78="QIN",1,0)</f>
        <v>0</v>
      </c>
      <c r="P78" s="270">
        <f t="shared" ref="P78:P141" si="38">IF(E78="STATE",1,0)</f>
        <v>0</v>
      </c>
      <c r="Q78" s="270">
        <f t="shared" ref="Q78:Q141" si="39">IF(F78="STATE",1,0)</f>
        <v>0</v>
      </c>
    </row>
    <row r="79" spans="1:17" x14ac:dyDescent="0.25">
      <c r="A79" s="36">
        <f t="shared" si="35"/>
        <v>43489</v>
      </c>
      <c r="B79" s="269">
        <f t="shared" si="32"/>
        <v>43489</v>
      </c>
      <c r="C79" s="276"/>
      <c r="D79" s="271"/>
      <c r="E79" s="213" t="s">
        <v>74</v>
      </c>
      <c r="F79" s="252"/>
      <c r="M79" s="270">
        <f t="shared" si="36"/>
        <v>1</v>
      </c>
      <c r="N79" s="270">
        <f t="shared" si="37"/>
        <v>0</v>
      </c>
      <c r="P79" s="270">
        <f t="shared" si="38"/>
        <v>0</v>
      </c>
      <c r="Q79" s="270">
        <f t="shared" si="39"/>
        <v>0</v>
      </c>
    </row>
    <row r="80" spans="1:17" x14ac:dyDescent="0.25">
      <c r="A80" s="36">
        <f t="shared" si="35"/>
        <v>43490</v>
      </c>
      <c r="B80" s="269">
        <f t="shared" si="32"/>
        <v>43490</v>
      </c>
      <c r="C80" s="276"/>
      <c r="D80" s="271"/>
      <c r="E80" s="213" t="s">
        <v>74</v>
      </c>
      <c r="F80" s="252"/>
      <c r="M80" s="270">
        <f t="shared" si="36"/>
        <v>1</v>
      </c>
      <c r="N80" s="270">
        <f t="shared" si="37"/>
        <v>0</v>
      </c>
      <c r="P80" s="270">
        <f t="shared" si="38"/>
        <v>0</v>
      </c>
      <c r="Q80" s="270">
        <f t="shared" si="39"/>
        <v>0</v>
      </c>
    </row>
    <row r="81" spans="1:17" x14ac:dyDescent="0.25">
      <c r="A81" s="330"/>
      <c r="B81" s="330"/>
      <c r="C81" s="330"/>
      <c r="D81" s="331"/>
      <c r="E81" s="273"/>
      <c r="F81" s="274"/>
      <c r="M81" s="270">
        <f t="shared" si="36"/>
        <v>0</v>
      </c>
      <c r="N81" s="270">
        <f t="shared" si="37"/>
        <v>0</v>
      </c>
      <c r="P81" s="270">
        <f t="shared" si="38"/>
        <v>0</v>
      </c>
      <c r="Q81" s="270">
        <f t="shared" si="39"/>
        <v>0</v>
      </c>
    </row>
    <row r="82" spans="1:17" x14ac:dyDescent="0.25">
      <c r="A82" s="36">
        <v>43497</v>
      </c>
      <c r="B82" s="269" t="s">
        <v>80</v>
      </c>
      <c r="C82" s="276">
        <v>0.2</v>
      </c>
      <c r="D82" s="271">
        <v>0.70000000000000007</v>
      </c>
      <c r="E82" s="213" t="s">
        <v>75</v>
      </c>
      <c r="F82" s="252" t="s">
        <v>74</v>
      </c>
      <c r="M82" s="270">
        <f t="shared" si="36"/>
        <v>0</v>
      </c>
      <c r="N82" s="270">
        <f t="shared" si="37"/>
        <v>1</v>
      </c>
      <c r="P82" s="270">
        <f t="shared" si="38"/>
        <v>1</v>
      </c>
      <c r="Q82" s="270">
        <f t="shared" si="39"/>
        <v>0</v>
      </c>
    </row>
    <row r="83" spans="1:17" s="260" customFormat="1" x14ac:dyDescent="0.25">
      <c r="A83" s="254">
        <f t="shared" ref="A83:A87" si="40">A82+1</f>
        <v>43498</v>
      </c>
      <c r="B83" s="255">
        <f t="shared" ref="B83:B88" si="41">+A83</f>
        <v>43498</v>
      </c>
      <c r="C83" s="275">
        <v>0</v>
      </c>
      <c r="D83" s="266">
        <v>0.72777777777777775</v>
      </c>
      <c r="E83" s="258" t="s">
        <v>74</v>
      </c>
      <c r="F83" s="259" t="s">
        <v>75</v>
      </c>
      <c r="M83" s="261">
        <f t="shared" si="36"/>
        <v>1</v>
      </c>
      <c r="N83" s="261">
        <f t="shared" si="37"/>
        <v>0</v>
      </c>
      <c r="P83" s="261">
        <f t="shared" si="38"/>
        <v>0</v>
      </c>
      <c r="Q83" s="261">
        <f t="shared" si="39"/>
        <v>1</v>
      </c>
    </row>
    <row r="84" spans="1:17" s="260" customFormat="1" x14ac:dyDescent="0.25">
      <c r="A84" s="254">
        <f t="shared" si="40"/>
        <v>43499</v>
      </c>
      <c r="B84" s="255">
        <f t="shared" si="41"/>
        <v>43499</v>
      </c>
      <c r="C84" s="275">
        <v>-0.1</v>
      </c>
      <c r="D84" s="266">
        <v>0.75277777777777777</v>
      </c>
      <c r="E84" s="258" t="s">
        <v>75</v>
      </c>
      <c r="F84" s="259" t="s">
        <v>74</v>
      </c>
      <c r="M84" s="261">
        <f t="shared" si="36"/>
        <v>0</v>
      </c>
      <c r="N84" s="261">
        <f t="shared" si="37"/>
        <v>1</v>
      </c>
      <c r="P84" s="261">
        <f t="shared" si="38"/>
        <v>1</v>
      </c>
      <c r="Q84" s="261">
        <f t="shared" si="39"/>
        <v>0</v>
      </c>
    </row>
    <row r="85" spans="1:17" x14ac:dyDescent="0.25">
      <c r="A85" s="36">
        <f t="shared" si="40"/>
        <v>43500</v>
      </c>
      <c r="B85" s="269">
        <f t="shared" si="41"/>
        <v>43500</v>
      </c>
      <c r="C85" s="276"/>
      <c r="D85" s="271"/>
      <c r="E85" s="213" t="s">
        <v>74</v>
      </c>
      <c r="F85" s="252"/>
      <c r="M85" s="270">
        <f t="shared" si="36"/>
        <v>1</v>
      </c>
      <c r="N85" s="270">
        <f t="shared" si="37"/>
        <v>0</v>
      </c>
      <c r="P85" s="270">
        <f t="shared" si="38"/>
        <v>0</v>
      </c>
      <c r="Q85" s="270">
        <f t="shared" si="39"/>
        <v>0</v>
      </c>
    </row>
    <row r="86" spans="1:17" x14ac:dyDescent="0.25">
      <c r="A86" s="36">
        <f t="shared" si="40"/>
        <v>43501</v>
      </c>
      <c r="B86" s="269">
        <f t="shared" si="41"/>
        <v>43501</v>
      </c>
      <c r="C86" s="276"/>
      <c r="D86" s="271"/>
      <c r="E86" s="213" t="s">
        <v>74</v>
      </c>
      <c r="F86" s="252"/>
      <c r="M86" s="270">
        <f t="shared" si="36"/>
        <v>1</v>
      </c>
      <c r="N86" s="270">
        <f t="shared" si="37"/>
        <v>0</v>
      </c>
      <c r="P86" s="270">
        <f t="shared" si="38"/>
        <v>0</v>
      </c>
      <c r="Q86" s="270">
        <f t="shared" si="39"/>
        <v>0</v>
      </c>
    </row>
    <row r="87" spans="1:17" x14ac:dyDescent="0.25">
      <c r="A87" s="36">
        <f t="shared" si="40"/>
        <v>43502</v>
      </c>
      <c r="B87" s="269">
        <f t="shared" si="41"/>
        <v>43502</v>
      </c>
      <c r="C87" s="276"/>
      <c r="D87" s="271"/>
      <c r="E87" s="213" t="s">
        <v>74</v>
      </c>
      <c r="F87" s="252"/>
      <c r="M87" s="270">
        <f t="shared" si="36"/>
        <v>1</v>
      </c>
      <c r="N87" s="270">
        <f t="shared" si="37"/>
        <v>0</v>
      </c>
      <c r="P87" s="270">
        <f t="shared" si="38"/>
        <v>0</v>
      </c>
      <c r="Q87" s="270">
        <f t="shared" si="39"/>
        <v>0</v>
      </c>
    </row>
    <row r="88" spans="1:17" x14ac:dyDescent="0.25">
      <c r="A88" s="36">
        <f t="shared" ref="A88" si="42">A87+1</f>
        <v>43503</v>
      </c>
      <c r="B88" s="269">
        <f t="shared" si="41"/>
        <v>43503</v>
      </c>
      <c r="C88" s="276"/>
      <c r="D88" s="284"/>
      <c r="E88" s="285"/>
      <c r="F88" s="287" t="s">
        <v>74</v>
      </c>
      <c r="G88" s="286"/>
      <c r="M88" s="270">
        <f t="shared" si="36"/>
        <v>0</v>
      </c>
      <c r="N88" s="270">
        <f t="shared" si="37"/>
        <v>1</v>
      </c>
      <c r="P88" s="270">
        <f t="shared" si="38"/>
        <v>0</v>
      </c>
      <c r="Q88" s="270">
        <f t="shared" si="39"/>
        <v>0</v>
      </c>
    </row>
    <row r="89" spans="1:17" x14ac:dyDescent="0.25">
      <c r="A89" s="330"/>
      <c r="B89" s="330"/>
      <c r="C89" s="330"/>
      <c r="D89" s="331"/>
      <c r="E89" s="273"/>
      <c r="F89" s="274"/>
      <c r="M89" s="270">
        <f t="shared" si="36"/>
        <v>0</v>
      </c>
      <c r="N89" s="270">
        <f t="shared" si="37"/>
        <v>0</v>
      </c>
      <c r="P89" s="270">
        <f t="shared" si="38"/>
        <v>0</v>
      </c>
      <c r="Q89" s="270">
        <f t="shared" si="39"/>
        <v>0</v>
      </c>
    </row>
    <row r="90" spans="1:17" x14ac:dyDescent="0.25">
      <c r="A90" s="36">
        <v>43511</v>
      </c>
      <c r="B90" s="269" t="s">
        <v>80</v>
      </c>
      <c r="C90" s="276">
        <v>0.4</v>
      </c>
      <c r="D90" s="271">
        <v>0.63263888888888886</v>
      </c>
      <c r="E90" s="213" t="s">
        <v>74</v>
      </c>
      <c r="F90" s="252" t="s">
        <v>75</v>
      </c>
      <c r="M90" s="270">
        <f t="shared" si="36"/>
        <v>1</v>
      </c>
      <c r="N90" s="270">
        <f t="shared" si="37"/>
        <v>0</v>
      </c>
      <c r="P90" s="270">
        <f t="shared" si="38"/>
        <v>0</v>
      </c>
      <c r="Q90" s="270">
        <f t="shared" si="39"/>
        <v>1</v>
      </c>
    </row>
    <row r="91" spans="1:17" s="260" customFormat="1" x14ac:dyDescent="0.25">
      <c r="A91" s="254">
        <f t="shared" ref="A91:A93" si="43">A90+1</f>
        <v>43512</v>
      </c>
      <c r="B91" s="255">
        <f t="shared" ref="B91:B97" si="44">+A91</f>
        <v>43512</v>
      </c>
      <c r="C91" s="275">
        <v>-0.3</v>
      </c>
      <c r="D91" s="266">
        <v>0.67222222222222217</v>
      </c>
      <c r="E91" s="258" t="s">
        <v>75</v>
      </c>
      <c r="F91" s="259" t="s">
        <v>74</v>
      </c>
      <c r="M91" s="261">
        <f t="shared" si="36"/>
        <v>0</v>
      </c>
      <c r="N91" s="261">
        <f t="shared" si="37"/>
        <v>1</v>
      </c>
      <c r="P91" s="261">
        <f t="shared" si="38"/>
        <v>1</v>
      </c>
      <c r="Q91" s="261">
        <f t="shared" si="39"/>
        <v>0</v>
      </c>
    </row>
    <row r="92" spans="1:17" s="260" customFormat="1" x14ac:dyDescent="0.25">
      <c r="A92" s="254">
        <f t="shared" si="43"/>
        <v>43513</v>
      </c>
      <c r="B92" s="255">
        <f t="shared" si="44"/>
        <v>43513</v>
      </c>
      <c r="C92" s="275">
        <v>-1</v>
      </c>
      <c r="D92" s="266">
        <v>0.70763888888888893</v>
      </c>
      <c r="E92" s="258" t="s">
        <v>75</v>
      </c>
      <c r="F92" s="259" t="s">
        <v>75</v>
      </c>
      <c r="M92" s="261">
        <f t="shared" si="36"/>
        <v>0</v>
      </c>
      <c r="N92" s="261">
        <f t="shared" si="37"/>
        <v>0</v>
      </c>
      <c r="P92" s="261">
        <f t="shared" si="38"/>
        <v>1</v>
      </c>
      <c r="Q92" s="261">
        <f t="shared" si="39"/>
        <v>1</v>
      </c>
    </row>
    <row r="93" spans="1:17" x14ac:dyDescent="0.25">
      <c r="A93" s="36">
        <f t="shared" si="43"/>
        <v>43514</v>
      </c>
      <c r="B93" s="269">
        <f t="shared" si="44"/>
        <v>43514</v>
      </c>
      <c r="C93" s="276">
        <v>-1.4</v>
      </c>
      <c r="D93" s="271">
        <v>0.7402777777777777</v>
      </c>
      <c r="E93" s="213" t="s">
        <v>74</v>
      </c>
      <c r="F93" s="252" t="s">
        <v>75</v>
      </c>
      <c r="M93" s="270">
        <f t="shared" si="36"/>
        <v>1</v>
      </c>
      <c r="N93" s="270">
        <f t="shared" si="37"/>
        <v>0</v>
      </c>
      <c r="P93" s="270">
        <f t="shared" si="38"/>
        <v>0</v>
      </c>
      <c r="Q93" s="270">
        <f t="shared" si="39"/>
        <v>1</v>
      </c>
    </row>
    <row r="94" spans="1:17" x14ac:dyDescent="0.25">
      <c r="A94" s="36">
        <f t="shared" ref="A94:A97" si="45">A93+1</f>
        <v>43515</v>
      </c>
      <c r="B94" s="269">
        <f t="shared" si="44"/>
        <v>43515</v>
      </c>
      <c r="C94" s="276"/>
      <c r="D94" s="271"/>
      <c r="E94" s="213" t="s">
        <v>74</v>
      </c>
      <c r="F94" s="252"/>
      <c r="M94" s="270">
        <f t="shared" si="36"/>
        <v>1</v>
      </c>
      <c r="N94" s="270">
        <f t="shared" si="37"/>
        <v>0</v>
      </c>
      <c r="P94" s="270">
        <f t="shared" si="38"/>
        <v>0</v>
      </c>
      <c r="Q94" s="270">
        <f t="shared" si="39"/>
        <v>0</v>
      </c>
    </row>
    <row r="95" spans="1:17" x14ac:dyDescent="0.25">
      <c r="A95" s="36">
        <f t="shared" si="45"/>
        <v>43516</v>
      </c>
      <c r="B95" s="269">
        <f t="shared" si="44"/>
        <v>43516</v>
      </c>
      <c r="C95" s="276"/>
      <c r="D95" s="271"/>
      <c r="E95" s="213" t="s">
        <v>74</v>
      </c>
      <c r="F95" s="252"/>
      <c r="M95" s="270">
        <f t="shared" si="36"/>
        <v>1</v>
      </c>
      <c r="N95" s="270">
        <f t="shared" si="37"/>
        <v>0</v>
      </c>
      <c r="P95" s="270">
        <f t="shared" si="38"/>
        <v>0</v>
      </c>
      <c r="Q95" s="270">
        <f t="shared" si="39"/>
        <v>0</v>
      </c>
    </row>
    <row r="96" spans="1:17" x14ac:dyDescent="0.25">
      <c r="A96" s="36">
        <f t="shared" si="45"/>
        <v>43517</v>
      </c>
      <c r="B96" s="269">
        <f t="shared" si="44"/>
        <v>43517</v>
      </c>
      <c r="C96" s="276"/>
      <c r="D96" s="271"/>
      <c r="E96" s="213" t="s">
        <v>74</v>
      </c>
      <c r="F96" s="252" t="s">
        <v>74</v>
      </c>
      <c r="M96" s="270">
        <f t="shared" si="36"/>
        <v>1</v>
      </c>
      <c r="N96" s="270">
        <f t="shared" si="37"/>
        <v>1</v>
      </c>
      <c r="P96" s="270">
        <f t="shared" si="38"/>
        <v>0</v>
      </c>
      <c r="Q96" s="270">
        <f t="shared" si="39"/>
        <v>0</v>
      </c>
    </row>
    <row r="97" spans="1:17" x14ac:dyDescent="0.25">
      <c r="A97" s="36">
        <f t="shared" si="45"/>
        <v>43518</v>
      </c>
      <c r="B97" s="269">
        <f t="shared" si="44"/>
        <v>43518</v>
      </c>
      <c r="C97" s="276"/>
      <c r="D97" s="271"/>
      <c r="E97" s="213"/>
      <c r="F97" s="252" t="s">
        <v>74</v>
      </c>
      <c r="M97" s="270">
        <f t="shared" si="36"/>
        <v>0</v>
      </c>
      <c r="N97" s="270">
        <f t="shared" si="37"/>
        <v>1</v>
      </c>
      <c r="P97" s="270">
        <f t="shared" si="38"/>
        <v>0</v>
      </c>
      <c r="Q97" s="270">
        <f t="shared" si="39"/>
        <v>0</v>
      </c>
    </row>
    <row r="98" spans="1:17" x14ac:dyDescent="0.25">
      <c r="A98" s="330"/>
      <c r="B98" s="330"/>
      <c r="C98" s="330"/>
      <c r="D98" s="331"/>
      <c r="E98" s="273"/>
      <c r="F98" s="274"/>
      <c r="M98" s="270">
        <f t="shared" si="36"/>
        <v>0</v>
      </c>
      <c r="N98" s="270">
        <f t="shared" si="37"/>
        <v>0</v>
      </c>
      <c r="P98" s="270">
        <f t="shared" si="38"/>
        <v>0</v>
      </c>
      <c r="Q98" s="270">
        <f t="shared" si="39"/>
        <v>0</v>
      </c>
    </row>
    <row r="99" spans="1:17" s="260" customFormat="1" x14ac:dyDescent="0.25">
      <c r="A99" s="254">
        <v>43526</v>
      </c>
      <c r="B99" s="255">
        <f t="shared" ref="B99:D109" si="46">+A99</f>
        <v>43526</v>
      </c>
      <c r="C99" s="275"/>
      <c r="D99" s="266"/>
      <c r="E99" s="258"/>
      <c r="F99" s="259" t="s">
        <v>74</v>
      </c>
      <c r="M99" s="261">
        <f t="shared" si="36"/>
        <v>0</v>
      </c>
      <c r="N99" s="261">
        <f t="shared" si="37"/>
        <v>1</v>
      </c>
      <c r="P99" s="261">
        <f t="shared" si="38"/>
        <v>0</v>
      </c>
      <c r="Q99" s="261">
        <f t="shared" si="39"/>
        <v>0</v>
      </c>
    </row>
    <row r="100" spans="1:17" s="260" customFormat="1" x14ac:dyDescent="0.25">
      <c r="A100" s="254">
        <f t="shared" ref="A100" si="47">A99+1</f>
        <v>43527</v>
      </c>
      <c r="B100" s="255">
        <f t="shared" si="46"/>
        <v>43527</v>
      </c>
      <c r="C100" s="275"/>
      <c r="D100" s="266"/>
      <c r="E100" s="258"/>
      <c r="F100" s="259" t="s">
        <v>74</v>
      </c>
      <c r="M100" s="261">
        <f t="shared" si="36"/>
        <v>0</v>
      </c>
      <c r="N100" s="261">
        <f t="shared" si="37"/>
        <v>1</v>
      </c>
      <c r="P100" s="261">
        <f t="shared" si="38"/>
        <v>0</v>
      </c>
      <c r="Q100" s="261">
        <f t="shared" si="39"/>
        <v>0</v>
      </c>
    </row>
    <row r="101" spans="1:17" x14ac:dyDescent="0.25">
      <c r="A101" s="36">
        <f t="shared" ref="A101:A104" si="48">A100+1</f>
        <v>43528</v>
      </c>
      <c r="B101" s="269">
        <f t="shared" si="46"/>
        <v>43528</v>
      </c>
      <c r="C101" s="276"/>
      <c r="D101" s="271"/>
      <c r="E101" s="213"/>
      <c r="F101" s="252" t="s">
        <v>74</v>
      </c>
      <c r="M101" s="270">
        <f t="shared" si="36"/>
        <v>0</v>
      </c>
      <c r="N101" s="270">
        <f t="shared" si="37"/>
        <v>1</v>
      </c>
      <c r="P101" s="270">
        <f t="shared" si="38"/>
        <v>0</v>
      </c>
      <c r="Q101" s="270">
        <f t="shared" si="39"/>
        <v>0</v>
      </c>
    </row>
    <row r="102" spans="1:17" x14ac:dyDescent="0.25">
      <c r="A102" s="36">
        <f t="shared" si="48"/>
        <v>43529</v>
      </c>
      <c r="B102" s="269">
        <f t="shared" si="46"/>
        <v>43529</v>
      </c>
      <c r="C102" s="276"/>
      <c r="D102" s="271"/>
      <c r="E102" s="213"/>
      <c r="F102" s="252" t="s">
        <v>74</v>
      </c>
      <c r="M102" s="270">
        <f t="shared" si="36"/>
        <v>0</v>
      </c>
      <c r="N102" s="270">
        <f t="shared" si="37"/>
        <v>1</v>
      </c>
      <c r="P102" s="270">
        <f t="shared" si="38"/>
        <v>0</v>
      </c>
      <c r="Q102" s="270">
        <f t="shared" si="39"/>
        <v>0</v>
      </c>
    </row>
    <row r="103" spans="1:17" x14ac:dyDescent="0.25">
      <c r="A103" s="36">
        <f t="shared" si="48"/>
        <v>43530</v>
      </c>
      <c r="B103" s="269">
        <f t="shared" si="46"/>
        <v>43530</v>
      </c>
      <c r="C103" s="276"/>
      <c r="D103" s="271"/>
      <c r="E103" s="213"/>
      <c r="F103" s="252" t="s">
        <v>74</v>
      </c>
      <c r="M103" s="270">
        <f t="shared" si="36"/>
        <v>0</v>
      </c>
      <c r="N103" s="270">
        <f t="shared" si="37"/>
        <v>1</v>
      </c>
      <c r="P103" s="270">
        <f t="shared" si="38"/>
        <v>0</v>
      </c>
      <c r="Q103" s="270">
        <f t="shared" si="39"/>
        <v>0</v>
      </c>
    </row>
    <row r="104" spans="1:17" x14ac:dyDescent="0.25">
      <c r="A104" s="36">
        <f t="shared" si="48"/>
        <v>43531</v>
      </c>
      <c r="B104" s="269">
        <f t="shared" si="46"/>
        <v>43531</v>
      </c>
      <c r="C104" s="276"/>
      <c r="D104" s="271"/>
      <c r="E104" s="213"/>
      <c r="F104" s="252" t="s">
        <v>74</v>
      </c>
      <c r="M104" s="270">
        <f t="shared" si="36"/>
        <v>0</v>
      </c>
      <c r="N104" s="270">
        <f t="shared" si="37"/>
        <v>1</v>
      </c>
      <c r="P104" s="270">
        <f t="shared" si="38"/>
        <v>0</v>
      </c>
      <c r="Q104" s="270">
        <f t="shared" si="39"/>
        <v>0</v>
      </c>
    </row>
    <row r="105" spans="1:17" x14ac:dyDescent="0.25">
      <c r="A105" s="330"/>
      <c r="B105" s="330"/>
      <c r="C105" s="330"/>
      <c r="D105" s="331"/>
      <c r="E105" s="273"/>
      <c r="F105" s="274"/>
      <c r="M105" s="270"/>
      <c r="N105" s="270"/>
      <c r="P105" s="270"/>
      <c r="Q105" s="270"/>
    </row>
    <row r="106" spans="1:17" x14ac:dyDescent="0.25">
      <c r="A106" s="36">
        <v>43540</v>
      </c>
      <c r="B106" s="269">
        <f t="shared" si="46"/>
        <v>43540</v>
      </c>
      <c r="C106" s="276">
        <v>0.3</v>
      </c>
      <c r="D106" s="271">
        <v>0.65486111111111112</v>
      </c>
      <c r="E106" s="213" t="s">
        <v>75</v>
      </c>
      <c r="F106" s="252" t="s">
        <v>74</v>
      </c>
      <c r="M106" s="270">
        <f t="shared" si="36"/>
        <v>0</v>
      </c>
      <c r="N106" s="270">
        <f t="shared" si="37"/>
        <v>1</v>
      </c>
      <c r="P106" s="270">
        <f t="shared" si="38"/>
        <v>1</v>
      </c>
      <c r="Q106" s="270">
        <f t="shared" si="39"/>
        <v>0</v>
      </c>
    </row>
    <row r="107" spans="1:17" x14ac:dyDescent="0.25">
      <c r="A107" s="36">
        <f t="shared" ref="A107" si="49">A106+1</f>
        <v>43541</v>
      </c>
      <c r="B107" s="269">
        <f t="shared" si="46"/>
        <v>43541</v>
      </c>
      <c r="C107" s="276">
        <v>-0.2</v>
      </c>
      <c r="D107" s="271">
        <v>0.69652777777777775</v>
      </c>
      <c r="E107" s="213" t="s">
        <v>74</v>
      </c>
      <c r="F107" s="252" t="s">
        <v>75</v>
      </c>
      <c r="M107" s="270">
        <f t="shared" si="36"/>
        <v>1</v>
      </c>
      <c r="N107" s="270">
        <f t="shared" si="37"/>
        <v>0</v>
      </c>
      <c r="P107" s="270">
        <f t="shared" si="38"/>
        <v>0</v>
      </c>
      <c r="Q107" s="270">
        <f t="shared" si="39"/>
        <v>1</v>
      </c>
    </row>
    <row r="108" spans="1:17" x14ac:dyDescent="0.25">
      <c r="A108" s="36">
        <f t="shared" ref="A108:A109" si="50">A107+1</f>
        <v>43542</v>
      </c>
      <c r="B108" s="269">
        <f t="shared" si="46"/>
        <v>43542</v>
      </c>
      <c r="C108" s="36">
        <f t="shared" ref="C108:C109" si="51">C107+1</f>
        <v>0.8</v>
      </c>
      <c r="D108" s="269">
        <f t="shared" si="46"/>
        <v>0.8</v>
      </c>
      <c r="E108" s="213"/>
      <c r="F108" s="252" t="s">
        <v>74</v>
      </c>
      <c r="M108" s="270">
        <f t="shared" si="36"/>
        <v>0</v>
      </c>
      <c r="N108" s="270">
        <f t="shared" si="37"/>
        <v>1</v>
      </c>
      <c r="P108" s="270">
        <f t="shared" si="38"/>
        <v>0</v>
      </c>
      <c r="Q108" s="270">
        <f t="shared" si="39"/>
        <v>0</v>
      </c>
    </row>
    <row r="109" spans="1:17" x14ac:dyDescent="0.25">
      <c r="A109" s="36">
        <f t="shared" si="50"/>
        <v>43543</v>
      </c>
      <c r="B109" s="269">
        <f t="shared" si="46"/>
        <v>43543</v>
      </c>
      <c r="C109" s="36">
        <f t="shared" si="51"/>
        <v>1.8</v>
      </c>
      <c r="D109" s="269">
        <f t="shared" si="46"/>
        <v>1.8</v>
      </c>
      <c r="E109" s="213"/>
      <c r="F109" s="252" t="s">
        <v>74</v>
      </c>
      <c r="M109" s="270">
        <f t="shared" si="36"/>
        <v>0</v>
      </c>
      <c r="N109" s="270">
        <f t="shared" si="37"/>
        <v>1</v>
      </c>
      <c r="P109" s="270">
        <f t="shared" si="38"/>
        <v>0</v>
      </c>
      <c r="Q109" s="270">
        <f t="shared" si="39"/>
        <v>0</v>
      </c>
    </row>
    <row r="110" spans="1:17" x14ac:dyDescent="0.25">
      <c r="A110" s="36">
        <v>43544</v>
      </c>
      <c r="B110" s="269">
        <f t="shared" ref="B110:B115" si="52">+A110</f>
        <v>43544</v>
      </c>
      <c r="C110" s="36"/>
      <c r="D110" s="272"/>
      <c r="E110" s="213"/>
      <c r="F110" s="252" t="s">
        <v>74</v>
      </c>
      <c r="M110" s="270">
        <f t="shared" si="36"/>
        <v>0</v>
      </c>
      <c r="N110" s="270">
        <f t="shared" si="37"/>
        <v>1</v>
      </c>
      <c r="P110" s="270">
        <f t="shared" si="38"/>
        <v>0</v>
      </c>
      <c r="Q110" s="270">
        <f t="shared" si="39"/>
        <v>0</v>
      </c>
    </row>
    <row r="111" spans="1:17" x14ac:dyDescent="0.25">
      <c r="A111" s="36">
        <f t="shared" ref="A111:A115" si="53">A110+1</f>
        <v>43545</v>
      </c>
      <c r="B111" s="269">
        <f t="shared" si="52"/>
        <v>43545</v>
      </c>
      <c r="C111" s="276">
        <v>-0.5</v>
      </c>
      <c r="D111" s="271">
        <v>0.82500000000000007</v>
      </c>
      <c r="E111" s="213" t="s">
        <v>74</v>
      </c>
      <c r="F111" s="252" t="s">
        <v>75</v>
      </c>
      <c r="M111" s="270">
        <f t="shared" si="36"/>
        <v>1</v>
      </c>
      <c r="N111" s="270">
        <f t="shared" si="37"/>
        <v>0</v>
      </c>
      <c r="P111" s="270">
        <f t="shared" si="38"/>
        <v>0</v>
      </c>
      <c r="Q111" s="270">
        <f t="shared" si="39"/>
        <v>1</v>
      </c>
    </row>
    <row r="112" spans="1:17" x14ac:dyDescent="0.25">
      <c r="A112" s="36">
        <f t="shared" si="53"/>
        <v>43546</v>
      </c>
      <c r="B112" s="269">
        <f t="shared" si="52"/>
        <v>43546</v>
      </c>
      <c r="C112" s="276">
        <v>-0.2</v>
      </c>
      <c r="D112" s="271">
        <v>0.3430555555555555</v>
      </c>
      <c r="E112" s="213" t="s">
        <v>74</v>
      </c>
      <c r="F112" s="252" t="s">
        <v>75</v>
      </c>
      <c r="M112" s="270">
        <f t="shared" si="36"/>
        <v>1</v>
      </c>
      <c r="N112" s="270">
        <f t="shared" si="37"/>
        <v>0</v>
      </c>
      <c r="P112" s="270">
        <f t="shared" si="38"/>
        <v>0</v>
      </c>
      <c r="Q112" s="270">
        <f t="shared" si="39"/>
        <v>1</v>
      </c>
    </row>
    <row r="113" spans="1:17" s="260" customFormat="1" x14ac:dyDescent="0.25">
      <c r="A113" s="254">
        <f t="shared" si="53"/>
        <v>43547</v>
      </c>
      <c r="B113" s="255">
        <f t="shared" si="52"/>
        <v>43547</v>
      </c>
      <c r="C113" s="275">
        <v>-0.3</v>
      </c>
      <c r="D113" s="266">
        <v>0.3756944444444445</v>
      </c>
      <c r="E113" s="258" t="s">
        <v>75</v>
      </c>
      <c r="F113" s="259" t="s">
        <v>74</v>
      </c>
      <c r="M113" s="261">
        <f t="shared" si="36"/>
        <v>0</v>
      </c>
      <c r="N113" s="261">
        <f t="shared" si="37"/>
        <v>1</v>
      </c>
      <c r="P113" s="261">
        <f t="shared" si="38"/>
        <v>1</v>
      </c>
      <c r="Q113" s="261">
        <f t="shared" si="39"/>
        <v>0</v>
      </c>
    </row>
    <row r="114" spans="1:17" s="260" customFormat="1" x14ac:dyDescent="0.25">
      <c r="A114" s="254">
        <f t="shared" si="53"/>
        <v>43548</v>
      </c>
      <c r="B114" s="255">
        <f t="shared" si="52"/>
        <v>43548</v>
      </c>
      <c r="C114" s="275">
        <v>-0.3</v>
      </c>
      <c r="D114" s="266">
        <v>0.40902777777777777</v>
      </c>
      <c r="E114" s="258" t="s">
        <v>74</v>
      </c>
      <c r="F114" s="259" t="s">
        <v>75</v>
      </c>
      <c r="M114" s="261">
        <f t="shared" si="36"/>
        <v>1</v>
      </c>
      <c r="N114" s="261">
        <f t="shared" si="37"/>
        <v>0</v>
      </c>
      <c r="P114" s="261">
        <f t="shared" si="38"/>
        <v>0</v>
      </c>
      <c r="Q114" s="261">
        <f t="shared" si="39"/>
        <v>1</v>
      </c>
    </row>
    <row r="115" spans="1:17" x14ac:dyDescent="0.25">
      <c r="A115" s="36">
        <f t="shared" si="53"/>
        <v>43549</v>
      </c>
      <c r="B115" s="269">
        <f t="shared" si="52"/>
        <v>43549</v>
      </c>
      <c r="C115" s="276">
        <v>-0.3</v>
      </c>
      <c r="D115" s="271">
        <v>0.40902777777777777</v>
      </c>
      <c r="E115" s="213" t="s">
        <v>74</v>
      </c>
      <c r="F115" s="252"/>
      <c r="M115" s="270">
        <f t="shared" si="36"/>
        <v>1</v>
      </c>
      <c r="N115" s="270">
        <f t="shared" si="37"/>
        <v>0</v>
      </c>
      <c r="P115" s="270">
        <f t="shared" si="38"/>
        <v>0</v>
      </c>
      <c r="Q115" s="270">
        <f t="shared" si="39"/>
        <v>0</v>
      </c>
    </row>
    <row r="116" spans="1:17" x14ac:dyDescent="0.25">
      <c r="A116" s="330"/>
      <c r="B116" s="330"/>
      <c r="C116" s="330"/>
      <c r="D116" s="331"/>
      <c r="E116" s="273"/>
      <c r="F116" s="274"/>
      <c r="M116" s="270"/>
      <c r="N116" s="270"/>
      <c r="P116" s="270"/>
      <c r="Q116" s="270"/>
    </row>
    <row r="117" spans="1:17" x14ac:dyDescent="0.25">
      <c r="A117" s="36">
        <v>43561</v>
      </c>
      <c r="B117" s="269">
        <f t="shared" ref="B117" si="54">+A117</f>
        <v>43561</v>
      </c>
      <c r="C117" s="276">
        <v>0.3</v>
      </c>
      <c r="D117" s="271">
        <v>0.33680555555555558</v>
      </c>
      <c r="E117" s="213" t="s">
        <v>74</v>
      </c>
      <c r="F117" s="252" t="s">
        <v>75</v>
      </c>
      <c r="M117" s="270">
        <f t="shared" si="36"/>
        <v>1</v>
      </c>
      <c r="N117" s="270">
        <f t="shared" si="37"/>
        <v>0</v>
      </c>
      <c r="P117" s="270">
        <f t="shared" si="38"/>
        <v>0</v>
      </c>
      <c r="Q117" s="270">
        <f t="shared" si="39"/>
        <v>1</v>
      </c>
    </row>
    <row r="118" spans="1:17" x14ac:dyDescent="0.25">
      <c r="A118" s="36">
        <f t="shared" ref="A118" si="55">A117+1</f>
        <v>43562</v>
      </c>
      <c r="B118" s="269">
        <f t="shared" ref="B118:B121" si="56">+A118</f>
        <v>43562</v>
      </c>
      <c r="C118" s="276">
        <v>0.1</v>
      </c>
      <c r="D118" s="271">
        <v>0.36180555555555555</v>
      </c>
      <c r="E118" s="213" t="s">
        <v>74</v>
      </c>
      <c r="F118" s="252" t="s">
        <v>75</v>
      </c>
      <c r="M118" s="270">
        <f t="shared" si="36"/>
        <v>1</v>
      </c>
      <c r="N118" s="270">
        <f t="shared" si="37"/>
        <v>0</v>
      </c>
      <c r="P118" s="270">
        <f t="shared" si="38"/>
        <v>0</v>
      </c>
      <c r="Q118" s="270">
        <f t="shared" si="39"/>
        <v>1</v>
      </c>
    </row>
    <row r="119" spans="1:17" x14ac:dyDescent="0.25">
      <c r="A119" s="36">
        <f t="shared" ref="A119:A121" si="57">A118+1</f>
        <v>43563</v>
      </c>
      <c r="B119" s="269">
        <f t="shared" si="56"/>
        <v>43563</v>
      </c>
      <c r="C119" s="276"/>
      <c r="D119" s="271"/>
      <c r="E119" s="213" t="s">
        <v>74</v>
      </c>
      <c r="F119" s="252" t="s">
        <v>75</v>
      </c>
      <c r="M119" s="270">
        <f t="shared" si="36"/>
        <v>1</v>
      </c>
      <c r="N119" s="270">
        <f t="shared" si="37"/>
        <v>0</v>
      </c>
      <c r="P119" s="270">
        <f t="shared" si="38"/>
        <v>0</v>
      </c>
      <c r="Q119" s="270">
        <f t="shared" si="39"/>
        <v>1</v>
      </c>
    </row>
    <row r="120" spans="1:17" x14ac:dyDescent="0.25">
      <c r="A120" s="36">
        <f t="shared" si="57"/>
        <v>43564</v>
      </c>
      <c r="B120" s="269">
        <f t="shared" si="56"/>
        <v>43564</v>
      </c>
      <c r="C120" s="276"/>
      <c r="D120" s="271"/>
      <c r="E120" s="213" t="s">
        <v>74</v>
      </c>
      <c r="F120" s="252"/>
      <c r="M120" s="270">
        <f t="shared" si="36"/>
        <v>1</v>
      </c>
      <c r="N120" s="270">
        <f t="shared" si="37"/>
        <v>0</v>
      </c>
      <c r="P120" s="270">
        <f t="shared" si="38"/>
        <v>0</v>
      </c>
      <c r="Q120" s="270">
        <f t="shared" si="39"/>
        <v>0</v>
      </c>
    </row>
    <row r="121" spans="1:17" x14ac:dyDescent="0.25">
      <c r="A121" s="36">
        <f t="shared" si="57"/>
        <v>43565</v>
      </c>
      <c r="B121" s="269">
        <f t="shared" si="56"/>
        <v>43565</v>
      </c>
      <c r="C121" s="276">
        <v>0</v>
      </c>
      <c r="D121" s="271">
        <v>0.3888888888888889</v>
      </c>
      <c r="E121" s="213" t="s">
        <v>74</v>
      </c>
      <c r="F121" s="252"/>
      <c r="M121" s="270">
        <f t="shared" si="36"/>
        <v>1</v>
      </c>
      <c r="N121" s="270">
        <f t="shared" si="37"/>
        <v>0</v>
      </c>
      <c r="P121" s="270">
        <f t="shared" si="38"/>
        <v>0</v>
      </c>
      <c r="Q121" s="270">
        <f t="shared" si="39"/>
        <v>0</v>
      </c>
    </row>
    <row r="122" spans="1:17" x14ac:dyDescent="0.25">
      <c r="A122" s="330"/>
      <c r="B122" s="330"/>
      <c r="C122" s="330"/>
      <c r="D122" s="331"/>
      <c r="E122" s="273"/>
      <c r="F122" s="274"/>
      <c r="M122" s="270"/>
      <c r="N122" s="270"/>
      <c r="P122" s="270"/>
      <c r="Q122" s="270"/>
    </row>
    <row r="123" spans="1:17" s="260" customFormat="1" x14ac:dyDescent="0.25">
      <c r="A123" s="254">
        <v>43569</v>
      </c>
      <c r="B123" s="255">
        <f t="shared" ref="B123:B128" si="58">+A123</f>
        <v>43569</v>
      </c>
      <c r="C123" s="254"/>
      <c r="D123" s="288"/>
      <c r="E123" s="258" t="s">
        <v>74</v>
      </c>
      <c r="F123" s="259"/>
      <c r="M123" s="261">
        <f t="shared" si="36"/>
        <v>1</v>
      </c>
      <c r="N123" s="261">
        <f t="shared" si="37"/>
        <v>0</v>
      </c>
      <c r="P123" s="261">
        <f t="shared" si="38"/>
        <v>0</v>
      </c>
      <c r="Q123" s="261">
        <f t="shared" si="39"/>
        <v>0</v>
      </c>
    </row>
    <row r="124" spans="1:17" x14ac:dyDescent="0.25">
      <c r="A124" s="36">
        <f t="shared" ref="A124" si="59">A123+1</f>
        <v>43570</v>
      </c>
      <c r="B124" s="269">
        <f t="shared" si="58"/>
        <v>43570</v>
      </c>
      <c r="C124" s="36"/>
      <c r="D124" s="272"/>
      <c r="E124" s="213" t="s">
        <v>74</v>
      </c>
      <c r="F124" s="252"/>
      <c r="M124" s="270">
        <f t="shared" si="36"/>
        <v>1</v>
      </c>
      <c r="N124" s="270">
        <f t="shared" si="37"/>
        <v>0</v>
      </c>
      <c r="P124" s="270">
        <f t="shared" si="38"/>
        <v>0</v>
      </c>
      <c r="Q124" s="270">
        <f t="shared" si="39"/>
        <v>0</v>
      </c>
    </row>
    <row r="125" spans="1:17" x14ac:dyDescent="0.25">
      <c r="A125" s="36">
        <f t="shared" ref="A125:A126" si="60">A124+1</f>
        <v>43571</v>
      </c>
      <c r="B125" s="269">
        <f t="shared" si="58"/>
        <v>43571</v>
      </c>
      <c r="C125" s="36"/>
      <c r="D125" s="272"/>
      <c r="E125" s="213" t="s">
        <v>74</v>
      </c>
      <c r="F125" s="252"/>
      <c r="M125" s="270">
        <f t="shared" si="36"/>
        <v>1</v>
      </c>
      <c r="N125" s="270">
        <f t="shared" si="37"/>
        <v>0</v>
      </c>
      <c r="P125" s="270">
        <f t="shared" si="38"/>
        <v>0</v>
      </c>
      <c r="Q125" s="270">
        <f t="shared" si="39"/>
        <v>0</v>
      </c>
    </row>
    <row r="126" spans="1:17" x14ac:dyDescent="0.25">
      <c r="A126" s="36">
        <f t="shared" si="60"/>
        <v>43572</v>
      </c>
      <c r="B126" s="269">
        <f t="shared" si="58"/>
        <v>43572</v>
      </c>
      <c r="C126" s="36"/>
      <c r="D126" s="272"/>
      <c r="E126" s="213" t="s">
        <v>74</v>
      </c>
      <c r="F126" s="252"/>
      <c r="M126" s="270">
        <f t="shared" si="36"/>
        <v>1</v>
      </c>
      <c r="N126" s="270">
        <f t="shared" si="37"/>
        <v>0</v>
      </c>
      <c r="P126" s="270">
        <f t="shared" si="38"/>
        <v>0</v>
      </c>
      <c r="Q126" s="270">
        <f t="shared" si="39"/>
        <v>0</v>
      </c>
    </row>
    <row r="127" spans="1:17" x14ac:dyDescent="0.25">
      <c r="A127" s="36">
        <f t="shared" ref="A127:A128" si="61">A126+1</f>
        <v>43573</v>
      </c>
      <c r="B127" s="269">
        <f t="shared" si="58"/>
        <v>43573</v>
      </c>
      <c r="C127" s="36"/>
      <c r="D127" s="272"/>
      <c r="E127" s="213" t="s">
        <v>74</v>
      </c>
      <c r="F127" s="252"/>
      <c r="M127" s="270">
        <f t="shared" si="36"/>
        <v>1</v>
      </c>
      <c r="N127" s="270">
        <f t="shared" si="37"/>
        <v>0</v>
      </c>
      <c r="P127" s="270">
        <f t="shared" si="38"/>
        <v>0</v>
      </c>
      <c r="Q127" s="270">
        <f t="shared" si="39"/>
        <v>0</v>
      </c>
    </row>
    <row r="128" spans="1:17" x14ac:dyDescent="0.25">
      <c r="A128" s="36">
        <f t="shared" si="61"/>
        <v>43574</v>
      </c>
      <c r="B128" s="269">
        <f t="shared" si="58"/>
        <v>43574</v>
      </c>
      <c r="C128" s="36"/>
      <c r="D128" s="272"/>
      <c r="E128" s="213" t="s">
        <v>74</v>
      </c>
      <c r="F128" s="252"/>
      <c r="M128" s="270">
        <f t="shared" si="36"/>
        <v>1</v>
      </c>
      <c r="N128" s="270">
        <f t="shared" si="37"/>
        <v>0</v>
      </c>
      <c r="P128" s="270">
        <f t="shared" si="38"/>
        <v>0</v>
      </c>
      <c r="Q128" s="270">
        <f t="shared" si="39"/>
        <v>0</v>
      </c>
    </row>
    <row r="129" spans="1:17" s="260" customFormat="1" x14ac:dyDescent="0.25">
      <c r="A129" s="254">
        <v>43575</v>
      </c>
      <c r="B129" s="255">
        <f t="shared" ref="B129" si="62">+A129</f>
        <v>43575</v>
      </c>
      <c r="C129" s="275">
        <v>-1.1000000000000001</v>
      </c>
      <c r="D129" s="266">
        <v>0.33194444444444443</v>
      </c>
      <c r="E129" s="258" t="s">
        <v>75</v>
      </c>
      <c r="F129" s="259" t="s">
        <v>74</v>
      </c>
      <c r="M129" s="261">
        <f t="shared" si="36"/>
        <v>0</v>
      </c>
      <c r="N129" s="261">
        <f t="shared" si="37"/>
        <v>1</v>
      </c>
      <c r="P129" s="261">
        <f t="shared" si="38"/>
        <v>1</v>
      </c>
      <c r="Q129" s="261">
        <f t="shared" si="39"/>
        <v>0</v>
      </c>
    </row>
    <row r="130" spans="1:17" s="260" customFormat="1" x14ac:dyDescent="0.25">
      <c r="A130" s="254">
        <f t="shared" ref="A130:A133" si="63">A129+1</f>
        <v>43576</v>
      </c>
      <c r="B130" s="255">
        <f t="shared" ref="B130:B133" si="64">+A130</f>
        <v>43576</v>
      </c>
      <c r="C130" s="275">
        <v>-1.2</v>
      </c>
      <c r="D130" s="266">
        <v>0.36249999999999999</v>
      </c>
      <c r="E130" s="258" t="s">
        <v>74</v>
      </c>
      <c r="F130" s="259" t="s">
        <v>75</v>
      </c>
      <c r="M130" s="261">
        <f t="shared" si="36"/>
        <v>1</v>
      </c>
      <c r="N130" s="261">
        <f t="shared" si="37"/>
        <v>0</v>
      </c>
      <c r="P130" s="261">
        <f t="shared" si="38"/>
        <v>0</v>
      </c>
      <c r="Q130" s="261">
        <f t="shared" si="39"/>
        <v>1</v>
      </c>
    </row>
    <row r="131" spans="1:17" x14ac:dyDescent="0.25">
      <c r="A131" s="36">
        <f t="shared" si="63"/>
        <v>43577</v>
      </c>
      <c r="B131" s="269">
        <f t="shared" si="64"/>
        <v>43577</v>
      </c>
      <c r="C131" s="276">
        <v>-1</v>
      </c>
      <c r="D131" s="271">
        <v>0.3923611111111111</v>
      </c>
      <c r="E131" s="213" t="s">
        <v>74</v>
      </c>
      <c r="F131" s="252" t="s">
        <v>75</v>
      </c>
      <c r="M131" s="270">
        <f t="shared" si="36"/>
        <v>1</v>
      </c>
      <c r="N131" s="270">
        <f t="shared" si="37"/>
        <v>0</v>
      </c>
      <c r="P131" s="270">
        <f t="shared" si="38"/>
        <v>0</v>
      </c>
      <c r="Q131" s="270">
        <f t="shared" si="39"/>
        <v>1</v>
      </c>
    </row>
    <row r="132" spans="1:17" x14ac:dyDescent="0.25">
      <c r="A132" s="36">
        <f t="shared" si="63"/>
        <v>43578</v>
      </c>
      <c r="B132" s="269">
        <f t="shared" si="64"/>
        <v>43578</v>
      </c>
      <c r="C132" s="276">
        <v>-1</v>
      </c>
      <c r="D132" s="271">
        <v>0.3923611111111111</v>
      </c>
      <c r="E132" s="213" t="s">
        <v>74</v>
      </c>
      <c r="F132" s="252"/>
      <c r="M132" s="270">
        <f t="shared" si="36"/>
        <v>1</v>
      </c>
      <c r="N132" s="270">
        <f t="shared" si="37"/>
        <v>0</v>
      </c>
      <c r="P132" s="270">
        <f t="shared" si="38"/>
        <v>0</v>
      </c>
      <c r="Q132" s="270">
        <f t="shared" si="39"/>
        <v>0</v>
      </c>
    </row>
    <row r="133" spans="1:17" x14ac:dyDescent="0.25">
      <c r="A133" s="36">
        <f t="shared" si="63"/>
        <v>43579</v>
      </c>
      <c r="B133" s="269">
        <f t="shared" si="64"/>
        <v>43579</v>
      </c>
      <c r="C133" s="276">
        <v>-1</v>
      </c>
      <c r="D133" s="271">
        <v>0.3923611111111111</v>
      </c>
      <c r="E133" s="213" t="s">
        <v>74</v>
      </c>
      <c r="F133" s="252"/>
      <c r="M133" s="270">
        <f t="shared" si="36"/>
        <v>1</v>
      </c>
      <c r="N133" s="270">
        <f t="shared" si="37"/>
        <v>0</v>
      </c>
      <c r="P133" s="270">
        <f t="shared" si="38"/>
        <v>0</v>
      </c>
      <c r="Q133" s="270">
        <f t="shared" si="39"/>
        <v>0</v>
      </c>
    </row>
    <row r="134" spans="1:17" x14ac:dyDescent="0.25">
      <c r="A134" s="330"/>
      <c r="B134" s="330"/>
      <c r="C134" s="330"/>
      <c r="D134" s="331"/>
      <c r="E134" s="273"/>
      <c r="F134" s="274"/>
      <c r="M134" s="270"/>
      <c r="N134" s="270"/>
      <c r="P134" s="270"/>
      <c r="Q134" s="270"/>
    </row>
    <row r="135" spans="1:17" s="260" customFormat="1" x14ac:dyDescent="0.25">
      <c r="A135" s="254">
        <v>43589</v>
      </c>
      <c r="B135" s="255">
        <f t="shared" ref="B135:B141" si="65">+A135</f>
        <v>43589</v>
      </c>
      <c r="C135" s="254"/>
      <c r="D135" s="254"/>
      <c r="E135" s="258" t="s">
        <v>74</v>
      </c>
      <c r="F135" s="259"/>
      <c r="M135" s="261">
        <f t="shared" si="36"/>
        <v>1</v>
      </c>
      <c r="N135" s="261">
        <f t="shared" si="37"/>
        <v>0</v>
      </c>
      <c r="P135" s="261">
        <f t="shared" si="38"/>
        <v>0</v>
      </c>
      <c r="Q135" s="261">
        <f t="shared" si="39"/>
        <v>0</v>
      </c>
    </row>
    <row r="136" spans="1:17" x14ac:dyDescent="0.25">
      <c r="A136" s="36">
        <v>43591</v>
      </c>
      <c r="B136" s="269">
        <f t="shared" si="65"/>
        <v>43591</v>
      </c>
      <c r="C136" s="36"/>
      <c r="D136" s="36"/>
      <c r="E136" s="213" t="s">
        <v>74</v>
      </c>
      <c r="F136" s="252"/>
      <c r="M136" s="270">
        <f t="shared" si="36"/>
        <v>1</v>
      </c>
      <c r="N136" s="270">
        <f t="shared" si="37"/>
        <v>0</v>
      </c>
      <c r="P136" s="270">
        <f t="shared" si="38"/>
        <v>0</v>
      </c>
      <c r="Q136" s="270">
        <f t="shared" si="39"/>
        <v>0</v>
      </c>
    </row>
    <row r="137" spans="1:17" x14ac:dyDescent="0.25">
      <c r="A137" s="36">
        <v>43591</v>
      </c>
      <c r="B137" s="269">
        <f t="shared" si="65"/>
        <v>43591</v>
      </c>
      <c r="C137" s="36"/>
      <c r="D137" s="36"/>
      <c r="E137" s="213"/>
      <c r="F137" s="252" t="s">
        <v>74</v>
      </c>
      <c r="M137" s="270">
        <f t="shared" si="36"/>
        <v>0</v>
      </c>
      <c r="N137" s="270">
        <f t="shared" si="37"/>
        <v>1</v>
      </c>
      <c r="P137" s="270">
        <f t="shared" si="38"/>
        <v>0</v>
      </c>
      <c r="Q137" s="270">
        <f t="shared" si="39"/>
        <v>0</v>
      </c>
    </row>
    <row r="138" spans="1:17" x14ac:dyDescent="0.25">
      <c r="A138" s="36">
        <f t="shared" ref="A138" si="66">A137+1</f>
        <v>43592</v>
      </c>
      <c r="B138" s="269">
        <f t="shared" si="65"/>
        <v>43592</v>
      </c>
      <c r="C138" s="36"/>
      <c r="D138" s="36"/>
      <c r="E138" s="213"/>
      <c r="F138" s="252" t="s">
        <v>74</v>
      </c>
      <c r="M138" s="270">
        <f t="shared" si="36"/>
        <v>0</v>
      </c>
      <c r="N138" s="270">
        <f t="shared" si="37"/>
        <v>1</v>
      </c>
      <c r="P138" s="270">
        <f t="shared" si="38"/>
        <v>0</v>
      </c>
      <c r="Q138" s="270">
        <f t="shared" si="39"/>
        <v>0</v>
      </c>
    </row>
    <row r="139" spans="1:17" x14ac:dyDescent="0.25">
      <c r="A139" s="36">
        <f t="shared" ref="A139" si="67">A138+1</f>
        <v>43593</v>
      </c>
      <c r="B139" s="269">
        <f t="shared" si="65"/>
        <v>43593</v>
      </c>
      <c r="C139" s="36"/>
      <c r="D139" s="36"/>
      <c r="E139" s="213"/>
      <c r="F139" s="252" t="s">
        <v>74</v>
      </c>
      <c r="M139" s="270">
        <f t="shared" si="36"/>
        <v>0</v>
      </c>
      <c r="N139" s="270">
        <f t="shared" si="37"/>
        <v>1</v>
      </c>
      <c r="P139" s="270">
        <f t="shared" si="38"/>
        <v>0</v>
      </c>
      <c r="Q139" s="270">
        <f t="shared" si="39"/>
        <v>0</v>
      </c>
    </row>
    <row r="140" spans="1:17" x14ac:dyDescent="0.25">
      <c r="A140" s="36">
        <f t="shared" ref="A140:A141" si="68">A139+1</f>
        <v>43594</v>
      </c>
      <c r="B140" s="269">
        <f t="shared" si="65"/>
        <v>43594</v>
      </c>
      <c r="C140" s="36"/>
      <c r="D140" s="36"/>
      <c r="E140" s="213"/>
      <c r="F140" s="252" t="s">
        <v>74</v>
      </c>
      <c r="M140" s="270">
        <f t="shared" si="36"/>
        <v>0</v>
      </c>
      <c r="N140" s="270">
        <f t="shared" si="37"/>
        <v>1</v>
      </c>
      <c r="P140" s="270">
        <f t="shared" si="38"/>
        <v>0</v>
      </c>
      <c r="Q140" s="270">
        <f t="shared" si="39"/>
        <v>0</v>
      </c>
    </row>
    <row r="141" spans="1:17" x14ac:dyDescent="0.25">
      <c r="A141" s="36">
        <f t="shared" si="68"/>
        <v>43595</v>
      </c>
      <c r="B141" s="269">
        <f t="shared" si="65"/>
        <v>43595</v>
      </c>
      <c r="C141" s="36"/>
      <c r="D141" s="36"/>
      <c r="E141" s="213"/>
      <c r="F141" s="252" t="s">
        <v>74</v>
      </c>
      <c r="M141" s="270">
        <f t="shared" si="36"/>
        <v>0</v>
      </c>
      <c r="N141" s="270">
        <f t="shared" si="37"/>
        <v>1</v>
      </c>
      <c r="P141" s="270">
        <f t="shared" si="38"/>
        <v>0</v>
      </c>
      <c r="Q141" s="270">
        <f t="shared" si="39"/>
        <v>0</v>
      </c>
    </row>
    <row r="142" spans="1:17" x14ac:dyDescent="0.25">
      <c r="A142" s="330"/>
      <c r="B142" s="330"/>
      <c r="C142" s="330"/>
      <c r="D142" s="331"/>
      <c r="E142" s="273"/>
      <c r="F142" s="274"/>
      <c r="M142" s="270"/>
      <c r="N142" s="270"/>
      <c r="P142" s="270"/>
      <c r="Q142" s="270"/>
    </row>
    <row r="143" spans="1:17" x14ac:dyDescent="0.25">
      <c r="A143" s="36">
        <v>43602</v>
      </c>
      <c r="B143" s="269">
        <f t="shared" ref="B143:B152" si="69">+A143</f>
        <v>43602</v>
      </c>
      <c r="C143" s="36"/>
      <c r="D143" s="36"/>
      <c r="E143" s="213"/>
      <c r="F143" s="252" t="s">
        <v>74</v>
      </c>
      <c r="M143" s="270">
        <f t="shared" ref="M143:M152" si="70">IF(E143="QIN",1,0)</f>
        <v>0</v>
      </c>
      <c r="N143" s="270">
        <f t="shared" ref="N143:N155" si="71">IF(F143="QIN",1,0)</f>
        <v>1</v>
      </c>
      <c r="P143" s="270">
        <f t="shared" ref="P143:P152" si="72">IF(E143="STATE",1,0)</f>
        <v>0</v>
      </c>
      <c r="Q143" s="270">
        <f t="shared" ref="Q143:Q155" si="73">IF(F143="STATE",1,0)</f>
        <v>0</v>
      </c>
    </row>
    <row r="144" spans="1:17" s="260" customFormat="1" ht="14.25" customHeight="1" x14ac:dyDescent="0.25">
      <c r="A144" s="254">
        <f t="shared" ref="A144:A148" si="74">A143+1</f>
        <v>43603</v>
      </c>
      <c r="B144" s="255">
        <f t="shared" si="69"/>
        <v>43603</v>
      </c>
      <c r="C144" s="264">
        <v>-1.4</v>
      </c>
      <c r="D144" s="265">
        <v>0.2902777777777778</v>
      </c>
      <c r="E144" s="258" t="s">
        <v>74</v>
      </c>
      <c r="F144" s="259" t="s">
        <v>75</v>
      </c>
      <c r="M144" s="261">
        <f t="shared" si="70"/>
        <v>1</v>
      </c>
      <c r="N144" s="261">
        <f t="shared" si="71"/>
        <v>0</v>
      </c>
      <c r="P144" s="261">
        <f t="shared" si="72"/>
        <v>0</v>
      </c>
      <c r="Q144" s="261">
        <f t="shared" si="73"/>
        <v>1</v>
      </c>
    </row>
    <row r="145" spans="1:17" s="260" customFormat="1" x14ac:dyDescent="0.25">
      <c r="A145" s="254">
        <f t="shared" si="74"/>
        <v>43604</v>
      </c>
      <c r="B145" s="255">
        <f t="shared" si="69"/>
        <v>43604</v>
      </c>
      <c r="C145" s="264">
        <v>-1.6</v>
      </c>
      <c r="D145" s="265">
        <v>0.32013888888888892</v>
      </c>
      <c r="E145" s="258" t="s">
        <v>74</v>
      </c>
      <c r="F145" s="259" t="s">
        <v>75</v>
      </c>
      <c r="M145" s="261">
        <f t="shared" si="70"/>
        <v>1</v>
      </c>
      <c r="N145" s="261">
        <f t="shared" si="71"/>
        <v>0</v>
      </c>
      <c r="P145" s="261">
        <f t="shared" si="72"/>
        <v>0</v>
      </c>
      <c r="Q145" s="261">
        <f t="shared" si="73"/>
        <v>1</v>
      </c>
    </row>
    <row r="146" spans="1:17" x14ac:dyDescent="0.25">
      <c r="A146" s="36">
        <f t="shared" si="74"/>
        <v>43605</v>
      </c>
      <c r="B146" s="269">
        <f t="shared" si="69"/>
        <v>43605</v>
      </c>
      <c r="C146" s="276">
        <v>-1.6</v>
      </c>
      <c r="D146" s="284">
        <v>0.34930555555555554</v>
      </c>
      <c r="E146" s="289" t="s">
        <v>74</v>
      </c>
      <c r="F146" s="252" t="s">
        <v>75</v>
      </c>
      <c r="M146" s="270">
        <f t="shared" si="70"/>
        <v>1</v>
      </c>
      <c r="N146" s="270">
        <f t="shared" si="71"/>
        <v>0</v>
      </c>
      <c r="P146" s="270">
        <f t="shared" si="72"/>
        <v>0</v>
      </c>
      <c r="Q146" s="270">
        <f t="shared" si="73"/>
        <v>1</v>
      </c>
    </row>
    <row r="147" spans="1:17" x14ac:dyDescent="0.25">
      <c r="A147" s="36">
        <f t="shared" si="74"/>
        <v>43606</v>
      </c>
      <c r="B147" s="269">
        <f t="shared" si="69"/>
        <v>43606</v>
      </c>
      <c r="C147" s="276"/>
      <c r="D147" s="284"/>
      <c r="E147" s="289" t="s">
        <v>74</v>
      </c>
      <c r="F147" s="252" t="s">
        <v>74</v>
      </c>
      <c r="M147" s="270">
        <f t="shared" si="70"/>
        <v>1</v>
      </c>
      <c r="N147" s="270">
        <f t="shared" si="71"/>
        <v>1</v>
      </c>
      <c r="P147" s="270">
        <f t="shared" si="72"/>
        <v>0</v>
      </c>
      <c r="Q147" s="270">
        <f t="shared" si="73"/>
        <v>0</v>
      </c>
    </row>
    <row r="148" spans="1:17" x14ac:dyDescent="0.25">
      <c r="A148" s="36">
        <f t="shared" si="74"/>
        <v>43607</v>
      </c>
      <c r="B148" s="269">
        <f t="shared" si="69"/>
        <v>43607</v>
      </c>
      <c r="C148" s="276"/>
      <c r="D148" s="284"/>
      <c r="E148" s="289"/>
      <c r="F148" s="252" t="s">
        <v>74</v>
      </c>
      <c r="M148" s="270">
        <f t="shared" si="70"/>
        <v>0</v>
      </c>
      <c r="N148" s="270">
        <f t="shared" si="71"/>
        <v>1</v>
      </c>
      <c r="P148" s="270">
        <f t="shared" si="72"/>
        <v>0</v>
      </c>
      <c r="Q148" s="270">
        <f t="shared" si="73"/>
        <v>0</v>
      </c>
    </row>
    <row r="149" spans="1:17" x14ac:dyDescent="0.25">
      <c r="A149" s="36">
        <f>A145+1</f>
        <v>43605</v>
      </c>
      <c r="B149" s="269">
        <f t="shared" si="69"/>
        <v>43605</v>
      </c>
      <c r="C149" s="276"/>
      <c r="D149" s="284"/>
      <c r="E149" s="290"/>
      <c r="F149" s="252" t="s">
        <v>74</v>
      </c>
      <c r="M149" s="270">
        <f t="shared" si="70"/>
        <v>0</v>
      </c>
      <c r="N149" s="270">
        <f t="shared" si="71"/>
        <v>1</v>
      </c>
      <c r="P149" s="270">
        <f t="shared" si="72"/>
        <v>0</v>
      </c>
      <c r="Q149" s="270">
        <f t="shared" si="73"/>
        <v>0</v>
      </c>
    </row>
    <row r="150" spans="1:17" x14ac:dyDescent="0.25">
      <c r="A150" s="330"/>
      <c r="B150" s="330"/>
      <c r="C150" s="330"/>
      <c r="D150" s="331"/>
      <c r="E150" s="273"/>
      <c r="F150" s="274"/>
      <c r="M150" s="270"/>
      <c r="N150" s="270"/>
      <c r="P150" s="270"/>
      <c r="Q150" s="270"/>
    </row>
    <row r="151" spans="1:17" x14ac:dyDescent="0.25">
      <c r="A151" s="36">
        <v>43622</v>
      </c>
      <c r="B151" s="269">
        <f t="shared" si="69"/>
        <v>43622</v>
      </c>
      <c r="C151" s="36"/>
      <c r="D151" s="36"/>
      <c r="E151" s="213"/>
      <c r="F151" s="252" t="s">
        <v>74</v>
      </c>
      <c r="M151" s="270">
        <f t="shared" si="70"/>
        <v>0</v>
      </c>
      <c r="N151" s="270">
        <f t="shared" si="71"/>
        <v>1</v>
      </c>
      <c r="P151" s="270">
        <f t="shared" si="72"/>
        <v>0</v>
      </c>
      <c r="Q151" s="270">
        <f t="shared" si="73"/>
        <v>0</v>
      </c>
    </row>
    <row r="152" spans="1:17" ht="15.75" thickBot="1" x14ac:dyDescent="0.3">
      <c r="A152" s="304">
        <f t="shared" ref="A152" si="75">A151+1</f>
        <v>43623</v>
      </c>
      <c r="B152" s="305">
        <f t="shared" si="69"/>
        <v>43623</v>
      </c>
      <c r="C152" s="304"/>
      <c r="D152" s="304"/>
      <c r="E152" s="306"/>
      <c r="F152" s="307" t="s">
        <v>74</v>
      </c>
      <c r="M152" s="270">
        <f t="shared" si="70"/>
        <v>0</v>
      </c>
      <c r="N152" s="270">
        <f t="shared" si="71"/>
        <v>1</v>
      </c>
      <c r="P152" s="270">
        <f t="shared" si="72"/>
        <v>0</v>
      </c>
      <c r="Q152" s="270">
        <f t="shared" si="73"/>
        <v>0</v>
      </c>
    </row>
    <row r="153" spans="1:17" ht="15.75" thickTop="1" x14ac:dyDescent="0.25">
      <c r="A153" s="36"/>
      <c r="B153" s="269"/>
      <c r="C153" s="36"/>
      <c r="D153" s="36"/>
      <c r="E153" s="218"/>
      <c r="F153" s="218"/>
      <c r="M153" s="293"/>
      <c r="N153" s="299"/>
      <c r="P153" s="293"/>
      <c r="Q153" s="299"/>
    </row>
    <row r="154" spans="1:17" ht="15.75" thickBot="1" x14ac:dyDescent="0.3">
      <c r="A154" s="332" t="s">
        <v>92</v>
      </c>
      <c r="B154" s="332"/>
      <c r="C154" s="332"/>
      <c r="D154" s="332"/>
      <c r="E154" s="332"/>
      <c r="F154" s="332"/>
      <c r="G154" s="308"/>
      <c r="M154" s="293"/>
      <c r="N154" s="299"/>
      <c r="P154" s="293"/>
      <c r="Q154" s="299"/>
    </row>
    <row r="155" spans="1:17" ht="16.5" thickTop="1" thickBot="1" x14ac:dyDescent="0.3">
      <c r="A155" s="333"/>
      <c r="B155" s="334"/>
      <c r="C155" s="334"/>
      <c r="D155" s="335"/>
      <c r="E155" s="300" t="s">
        <v>21</v>
      </c>
      <c r="F155" s="300" t="s">
        <v>22</v>
      </c>
      <c r="G155" s="301" t="s">
        <v>93</v>
      </c>
      <c r="N155" s="299">
        <f t="shared" si="71"/>
        <v>0</v>
      </c>
      <c r="Q155" s="299">
        <f t="shared" si="73"/>
        <v>0</v>
      </c>
    </row>
    <row r="156" spans="1:17" ht="16.5" thickTop="1" thickBot="1" x14ac:dyDescent="0.3">
      <c r="A156" s="310" t="s">
        <v>76</v>
      </c>
      <c r="B156" s="22"/>
      <c r="C156" s="22"/>
      <c r="D156" s="277"/>
      <c r="E156" s="302">
        <v>1.01</v>
      </c>
      <c r="F156" s="302">
        <v>0.76</v>
      </c>
      <c r="G156" s="303"/>
      <c r="L156" s="128" t="s">
        <v>85</v>
      </c>
      <c r="M156" s="128">
        <f>SUM(M27:M152)</f>
        <v>58</v>
      </c>
      <c r="N156" s="128">
        <f t="shared" ref="N156:Q156" si="76">SUM(N27:N152)</f>
        <v>51</v>
      </c>
      <c r="O156" s="128">
        <f t="shared" si="76"/>
        <v>0</v>
      </c>
      <c r="P156" s="128">
        <f t="shared" si="76"/>
        <v>20</v>
      </c>
      <c r="Q156" s="128">
        <f t="shared" si="76"/>
        <v>34</v>
      </c>
    </row>
    <row r="157" spans="1:17" ht="16.5" thickTop="1" thickBot="1" x14ac:dyDescent="0.3">
      <c r="A157" s="311" t="s">
        <v>77</v>
      </c>
      <c r="B157" s="278"/>
      <c r="C157" s="278"/>
      <c r="D157" s="279"/>
      <c r="E157" s="302">
        <v>0.95</v>
      </c>
      <c r="F157" s="302">
        <v>1.02</v>
      </c>
      <c r="G157" s="303"/>
      <c r="L157" s="128" t="s">
        <v>86</v>
      </c>
      <c r="M157" s="128">
        <v>16</v>
      </c>
      <c r="N157" s="128">
        <v>12</v>
      </c>
      <c r="O157" s="128"/>
      <c r="P157" s="128">
        <v>13</v>
      </c>
      <c r="Q157" s="128">
        <v>18</v>
      </c>
    </row>
    <row r="158" spans="1:17" ht="16.5" thickTop="1" thickBot="1" x14ac:dyDescent="0.3">
      <c r="A158" s="312" t="s">
        <v>87</v>
      </c>
      <c r="B158" s="280"/>
      <c r="C158" s="280"/>
      <c r="D158" s="281"/>
      <c r="E158" s="300">
        <f>P156</f>
        <v>20</v>
      </c>
      <c r="F158" s="300">
        <f>Q156</f>
        <v>34</v>
      </c>
      <c r="G158" s="309">
        <f t="shared" ref="G158:G163" si="77">E158+F158</f>
        <v>54</v>
      </c>
      <c r="L158" s="128"/>
      <c r="M158" s="128"/>
      <c r="N158" s="128"/>
      <c r="O158" s="128"/>
      <c r="P158" s="128"/>
      <c r="Q158" s="128"/>
    </row>
    <row r="159" spans="1:17" ht="16.5" thickTop="1" thickBot="1" x14ac:dyDescent="0.3">
      <c r="A159" s="311" t="s">
        <v>88</v>
      </c>
      <c r="B159" s="278"/>
      <c r="C159" s="278"/>
      <c r="D159" s="279"/>
      <c r="E159" s="300">
        <f>M156</f>
        <v>58</v>
      </c>
      <c r="F159" s="300">
        <f>N156</f>
        <v>51</v>
      </c>
      <c r="G159" s="309">
        <f t="shared" si="77"/>
        <v>109</v>
      </c>
    </row>
    <row r="160" spans="1:17" ht="16.5" thickTop="1" thickBot="1" x14ac:dyDescent="0.3">
      <c r="A160" s="312" t="s">
        <v>89</v>
      </c>
      <c r="B160" s="280"/>
      <c r="C160" s="280"/>
      <c r="D160" s="281"/>
      <c r="E160" s="300">
        <v>13</v>
      </c>
      <c r="F160" s="300">
        <v>18</v>
      </c>
      <c r="G160" s="309">
        <f t="shared" si="77"/>
        <v>31</v>
      </c>
    </row>
    <row r="161" spans="1:7" ht="16.5" thickTop="1" thickBot="1" x14ac:dyDescent="0.3">
      <c r="A161" s="311" t="s">
        <v>90</v>
      </c>
      <c r="B161" s="278"/>
      <c r="C161" s="278"/>
      <c r="D161" s="279"/>
      <c r="E161" s="300">
        <v>15</v>
      </c>
      <c r="F161" s="300">
        <v>15</v>
      </c>
      <c r="G161" s="309">
        <f t="shared" si="77"/>
        <v>30</v>
      </c>
    </row>
    <row r="162" spans="1:7" ht="16.5" thickTop="1" thickBot="1" x14ac:dyDescent="0.3">
      <c r="A162" s="313" t="s">
        <v>91</v>
      </c>
      <c r="B162" s="282"/>
      <c r="C162" s="282"/>
      <c r="D162" s="283"/>
      <c r="E162" s="300">
        <f>E158-E160</f>
        <v>7</v>
      </c>
      <c r="F162" s="300">
        <f>F158-F160</f>
        <v>16</v>
      </c>
      <c r="G162" s="309">
        <f t="shared" si="77"/>
        <v>23</v>
      </c>
    </row>
    <row r="163" spans="1:7" ht="16.5" thickTop="1" thickBot="1" x14ac:dyDescent="0.3">
      <c r="A163" s="311" t="s">
        <v>94</v>
      </c>
      <c r="B163" s="278"/>
      <c r="C163" s="278"/>
      <c r="D163" s="279"/>
      <c r="E163" s="300">
        <f>E159-E161</f>
        <v>43</v>
      </c>
      <c r="F163" s="300">
        <f>F159-F161</f>
        <v>36</v>
      </c>
      <c r="G163" s="309">
        <f t="shared" si="77"/>
        <v>79</v>
      </c>
    </row>
    <row r="164" spans="1:7" ht="15.75" thickTop="1" x14ac:dyDescent="0.25">
      <c r="A164" s="314"/>
    </row>
  </sheetData>
  <mergeCells count="23">
    <mergeCell ref="A154:F154"/>
    <mergeCell ref="A155:D155"/>
    <mergeCell ref="M1:Q1"/>
    <mergeCell ref="A30:D30"/>
    <mergeCell ref="A37:D37"/>
    <mergeCell ref="A54:D54"/>
    <mergeCell ref="A61:D61"/>
    <mergeCell ref="A66:D66"/>
    <mergeCell ref="T1:X1"/>
    <mergeCell ref="A98:D98"/>
    <mergeCell ref="A142:D142"/>
    <mergeCell ref="A150:D150"/>
    <mergeCell ref="A20:D20"/>
    <mergeCell ref="A12:D12"/>
    <mergeCell ref="A1:F1"/>
    <mergeCell ref="A89:D89"/>
    <mergeCell ref="A105:D105"/>
    <mergeCell ref="A116:D116"/>
    <mergeCell ref="A122:D122"/>
    <mergeCell ref="A134:D134"/>
    <mergeCell ref="A45:D45"/>
    <mergeCell ref="A71:D71"/>
    <mergeCell ref="A81:D81"/>
  </mergeCells>
  <pageMargins left="0.25" right="0.25" top="0.75" bottom="0.75" header="0.3" footer="0.3"/>
  <pageSetup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workbookViewId="0">
      <selection activeCell="J10" sqref="J10"/>
    </sheetView>
  </sheetViews>
  <sheetFormatPr defaultRowHeight="15" x14ac:dyDescent="0.25"/>
  <cols>
    <col min="3" max="6" width="12.7109375" customWidth="1"/>
  </cols>
  <sheetData>
    <row r="1" spans="1:6" ht="15.75" thickBot="1" x14ac:dyDescent="0.3">
      <c r="A1" s="23" t="s">
        <v>25</v>
      </c>
      <c r="B1" s="23" t="s">
        <v>26</v>
      </c>
      <c r="C1" s="24" t="s">
        <v>19</v>
      </c>
      <c r="D1" s="24" t="s">
        <v>20</v>
      </c>
      <c r="E1" s="24" t="s">
        <v>21</v>
      </c>
      <c r="F1" s="24" t="s">
        <v>22</v>
      </c>
    </row>
    <row r="2" spans="1:6" ht="15.75" thickTop="1" x14ac:dyDescent="0.25">
      <c r="A2" s="26">
        <v>43384</v>
      </c>
      <c r="B2" s="17">
        <f>+A2</f>
        <v>43384</v>
      </c>
      <c r="C2" s="29"/>
      <c r="D2" s="29"/>
      <c r="E2" s="29"/>
      <c r="F2" s="29"/>
    </row>
    <row r="3" spans="1:6" x14ac:dyDescent="0.25">
      <c r="A3" s="26">
        <v>43385</v>
      </c>
      <c r="B3" s="17">
        <f>+A3</f>
        <v>43385</v>
      </c>
      <c r="C3" s="29"/>
      <c r="D3" s="29"/>
      <c r="E3" s="29"/>
      <c r="F3" s="29"/>
    </row>
    <row r="4" spans="1:6" x14ac:dyDescent="0.25">
      <c r="A4" s="181">
        <v>43386</v>
      </c>
      <c r="B4" s="182">
        <f>+A4</f>
        <v>43386</v>
      </c>
      <c r="C4" s="183"/>
      <c r="D4" s="183"/>
      <c r="E4" s="183"/>
      <c r="F4" s="183"/>
    </row>
    <row r="5" spans="1:6" x14ac:dyDescent="0.25">
      <c r="A5" s="26"/>
      <c r="B5" s="17"/>
      <c r="C5" s="180"/>
      <c r="D5" s="180"/>
      <c r="E5" s="29"/>
      <c r="F5" s="180"/>
    </row>
    <row r="6" spans="1:6" x14ac:dyDescent="0.25">
      <c r="A6" s="26"/>
      <c r="B6" s="17"/>
      <c r="C6" s="29"/>
      <c r="D6" s="29"/>
      <c r="E6" s="180"/>
      <c r="F6" s="29"/>
    </row>
    <row r="7" spans="1:6" x14ac:dyDescent="0.25">
      <c r="A7" s="26"/>
      <c r="B7" s="17"/>
      <c r="C7" s="29"/>
      <c r="D7" s="29"/>
      <c r="E7" s="29"/>
      <c r="F7" s="180"/>
    </row>
    <row r="8" spans="1:6" x14ac:dyDescent="0.25">
      <c r="A8" s="181"/>
      <c r="B8" s="182"/>
      <c r="C8" s="183"/>
      <c r="D8" s="183"/>
      <c r="E8" s="184"/>
      <c r="F8" s="183"/>
    </row>
    <row r="9" spans="1:6" x14ac:dyDescent="0.25">
      <c r="A9" s="36"/>
      <c r="B9" s="17"/>
      <c r="C9" s="180"/>
      <c r="D9" s="180"/>
      <c r="E9" s="29"/>
      <c r="F9" s="180"/>
    </row>
    <row r="10" spans="1:6" x14ac:dyDescent="0.25">
      <c r="A10" s="36"/>
      <c r="B10" s="17"/>
      <c r="C10" s="29"/>
      <c r="D10" s="29"/>
      <c r="E10" s="180"/>
      <c r="F10" s="29"/>
    </row>
    <row r="11" spans="1:6" x14ac:dyDescent="0.25">
      <c r="A11" s="36"/>
      <c r="B11" s="17"/>
      <c r="C11" s="29"/>
      <c r="D11" s="29"/>
      <c r="E11" s="29"/>
      <c r="F11" s="180"/>
    </row>
    <row r="12" spans="1:6" x14ac:dyDescent="0.25">
      <c r="A12" s="185"/>
      <c r="B12" s="182"/>
      <c r="C12" s="183"/>
      <c r="D12" s="183"/>
      <c r="E12" s="184"/>
      <c r="F12" s="183"/>
    </row>
    <row r="13" spans="1:6" x14ac:dyDescent="0.25">
      <c r="A13" s="36"/>
      <c r="B13" s="17"/>
      <c r="C13" s="29"/>
      <c r="D13" s="29"/>
      <c r="E13" s="29"/>
      <c r="F13" s="29"/>
    </row>
    <row r="14" spans="1:6" x14ac:dyDescent="0.25">
      <c r="A14" s="185"/>
      <c r="B14" s="182"/>
      <c r="C14" s="184"/>
      <c r="D14" s="183"/>
      <c r="E14" s="184"/>
      <c r="F14" s="183"/>
    </row>
    <row r="15" spans="1:6" x14ac:dyDescent="0.25">
      <c r="A15" s="36"/>
      <c r="B15" s="17"/>
      <c r="C15" s="180"/>
      <c r="D15" s="180"/>
      <c r="E15" s="180"/>
      <c r="F15" s="29"/>
    </row>
    <row r="16" spans="1:6" x14ac:dyDescent="0.25">
      <c r="A16" s="36"/>
      <c r="B16" s="17"/>
      <c r="C16" s="180"/>
      <c r="D16" s="180"/>
      <c r="E16" s="29"/>
      <c r="F16" s="180"/>
    </row>
    <row r="17" spans="1:6" x14ac:dyDescent="0.25">
      <c r="A17" s="36"/>
      <c r="B17" s="17"/>
      <c r="C17" s="180"/>
      <c r="D17" s="29"/>
      <c r="E17" s="180"/>
      <c r="F17" s="29"/>
    </row>
    <row r="18" spans="1:6" x14ac:dyDescent="0.25">
      <c r="A18" s="36"/>
      <c r="B18" s="17"/>
      <c r="C18" s="29"/>
      <c r="D18" s="29"/>
      <c r="E18" s="29"/>
      <c r="F18" s="180"/>
    </row>
    <row r="19" spans="1:6" x14ac:dyDescent="0.25">
      <c r="A19" s="36"/>
      <c r="B19" s="17"/>
      <c r="C19" s="29"/>
      <c r="D19" s="29"/>
      <c r="E19" s="180"/>
      <c r="F19" s="29"/>
    </row>
    <row r="20" spans="1:6" x14ac:dyDescent="0.25">
      <c r="A20" s="36"/>
      <c r="B20" s="17"/>
      <c r="C20" s="29"/>
      <c r="D20" s="29"/>
      <c r="E20" s="29"/>
      <c r="F20" s="180"/>
    </row>
    <row r="21" spans="1:6" x14ac:dyDescent="0.25">
      <c r="A21" s="185"/>
      <c r="B21" s="182"/>
      <c r="C21" s="183"/>
      <c r="D21" s="183"/>
      <c r="E21" s="184"/>
      <c r="F21" s="183"/>
    </row>
    <row r="22" spans="1:6" x14ac:dyDescent="0.25">
      <c r="A22" s="36"/>
      <c r="B22" s="17"/>
      <c r="C22" s="29"/>
      <c r="D22" s="29"/>
      <c r="E22" s="29"/>
      <c r="F22" s="29"/>
    </row>
    <row r="23" spans="1:6" x14ac:dyDescent="0.25">
      <c r="A23" s="36"/>
      <c r="B23" s="17"/>
      <c r="C23" s="29"/>
      <c r="D23" s="29"/>
      <c r="E23" s="29"/>
      <c r="F23" s="29"/>
    </row>
    <row r="24" spans="1:6" x14ac:dyDescent="0.25">
      <c r="A24" s="36"/>
      <c r="B24" s="17"/>
      <c r="C24" s="29"/>
      <c r="D24" s="29"/>
      <c r="E24" s="29"/>
      <c r="F24" s="29"/>
    </row>
    <row r="25" spans="1:6" x14ac:dyDescent="0.25">
      <c r="A25" s="36"/>
      <c r="B25" s="17"/>
      <c r="C25" s="29"/>
      <c r="D25" s="29"/>
      <c r="E25" s="29"/>
      <c r="F25" s="29"/>
    </row>
    <row r="26" spans="1:6" x14ac:dyDescent="0.25">
      <c r="A26" s="36"/>
      <c r="B26" s="17"/>
      <c r="C26" s="29"/>
      <c r="D26" s="29"/>
      <c r="E26" s="29"/>
      <c r="F26" s="29"/>
    </row>
    <row r="27" spans="1:6" x14ac:dyDescent="0.25">
      <c r="A27" s="36"/>
      <c r="B27" s="17"/>
      <c r="C27" s="29"/>
      <c r="D27" s="29"/>
      <c r="E27" s="29"/>
      <c r="F27" s="29"/>
    </row>
    <row r="28" spans="1:6" x14ac:dyDescent="0.25">
      <c r="A28" s="36"/>
      <c r="B28" s="17"/>
      <c r="C28" s="29"/>
      <c r="D28" s="29"/>
      <c r="E28" s="29"/>
      <c r="F28" s="29"/>
    </row>
    <row r="29" spans="1:6" x14ac:dyDescent="0.25">
      <c r="A29" s="36"/>
      <c r="B29" s="17"/>
      <c r="C29" s="29"/>
      <c r="D29" s="29"/>
      <c r="E29" s="29"/>
      <c r="F29" s="2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D531"/>
  <sheetViews>
    <sheetView topLeftCell="A133" zoomScaleNormal="100" workbookViewId="0">
      <selection activeCell="C19" sqref="C19"/>
    </sheetView>
  </sheetViews>
  <sheetFormatPr defaultRowHeight="15" x14ac:dyDescent="0.25"/>
  <cols>
    <col min="2" max="2" width="10.140625" bestFit="1" customWidth="1"/>
  </cols>
  <sheetData>
    <row r="1" spans="1:4" x14ac:dyDescent="0.25">
      <c r="A1" s="191" t="s">
        <v>56</v>
      </c>
      <c r="B1" s="191" t="s">
        <v>57</v>
      </c>
      <c r="C1" s="191" t="s">
        <v>58</v>
      </c>
      <c r="D1" s="191" t="s">
        <v>59</v>
      </c>
    </row>
    <row r="2" spans="1:4" x14ac:dyDescent="0.25">
      <c r="A2" s="192">
        <v>2</v>
      </c>
      <c r="B2" s="193">
        <v>43375</v>
      </c>
      <c r="C2" s="194">
        <v>1.5972222222222221E-2</v>
      </c>
      <c r="D2" s="195">
        <v>0.3</v>
      </c>
    </row>
    <row r="3" spans="1:4" x14ac:dyDescent="0.25">
      <c r="A3" s="192">
        <v>3</v>
      </c>
      <c r="B3" s="193">
        <v>43376</v>
      </c>
      <c r="C3" s="194">
        <v>6.5277777777777782E-2</v>
      </c>
      <c r="D3" s="195">
        <v>0.4</v>
      </c>
    </row>
    <row r="4" spans="1:4" x14ac:dyDescent="0.25">
      <c r="A4" s="192">
        <v>4</v>
      </c>
      <c r="B4" s="193">
        <v>43377</v>
      </c>
      <c r="C4" s="194">
        <v>0.11458333333333333</v>
      </c>
      <c r="D4" s="195">
        <v>0.2</v>
      </c>
    </row>
    <row r="5" spans="1:4" x14ac:dyDescent="0.25">
      <c r="A5" s="192">
        <v>5</v>
      </c>
      <c r="B5" s="193">
        <v>43378</v>
      </c>
      <c r="C5" s="194">
        <v>0.15902777777777777</v>
      </c>
      <c r="D5" s="195">
        <v>0</v>
      </c>
    </row>
    <row r="6" spans="1:4" x14ac:dyDescent="0.25">
      <c r="A6" s="192">
        <v>6</v>
      </c>
      <c r="B6" s="193">
        <v>43379</v>
      </c>
      <c r="C6" s="194">
        <v>0.19791666666666666</v>
      </c>
      <c r="D6" s="195">
        <v>-0.2</v>
      </c>
    </row>
    <row r="7" spans="1:4" x14ac:dyDescent="0.25">
      <c r="A7" s="192">
        <v>6</v>
      </c>
      <c r="B7" s="193">
        <v>43379</v>
      </c>
      <c r="C7" s="194">
        <v>0.71458333333333335</v>
      </c>
      <c r="D7" s="195">
        <v>1.3</v>
      </c>
    </row>
    <row r="8" spans="1:4" x14ac:dyDescent="0.25">
      <c r="A8" s="192">
        <v>7</v>
      </c>
      <c r="B8" s="193">
        <v>43380</v>
      </c>
      <c r="C8" s="194">
        <v>0.23194444444444445</v>
      </c>
      <c r="D8" s="195">
        <v>-0.3</v>
      </c>
    </row>
    <row r="9" spans="1:4" x14ac:dyDescent="0.25">
      <c r="A9" s="192">
        <v>7</v>
      </c>
      <c r="B9" s="193">
        <v>43380</v>
      </c>
      <c r="C9" s="194">
        <v>0.75</v>
      </c>
      <c r="D9" s="195">
        <v>0.5</v>
      </c>
    </row>
    <row r="10" spans="1:4" x14ac:dyDescent="0.25">
      <c r="A10" s="192">
        <v>8</v>
      </c>
      <c r="B10" s="193">
        <v>43381</v>
      </c>
      <c r="C10" s="194">
        <v>0.26319444444444445</v>
      </c>
      <c r="D10" s="195">
        <v>-0.2</v>
      </c>
    </row>
    <row r="11" spans="1:4" x14ac:dyDescent="0.25">
      <c r="A11" s="192">
        <v>8</v>
      </c>
      <c r="B11" s="193">
        <v>43381</v>
      </c>
      <c r="C11" s="194">
        <v>0.78333333333333333</v>
      </c>
      <c r="D11" s="195">
        <v>-0.1</v>
      </c>
    </row>
    <row r="12" spans="1:4" x14ac:dyDescent="0.25">
      <c r="A12" s="192">
        <v>9</v>
      </c>
      <c r="B12" s="193">
        <v>43382</v>
      </c>
      <c r="C12" s="194">
        <v>0.29236111111111113</v>
      </c>
      <c r="D12" s="195">
        <v>0.1</v>
      </c>
    </row>
    <row r="13" spans="1:4" x14ac:dyDescent="0.25">
      <c r="A13" s="192">
        <v>9</v>
      </c>
      <c r="B13" s="193">
        <v>43382</v>
      </c>
      <c r="C13" s="194">
        <v>0.81388888888888888</v>
      </c>
      <c r="D13" s="195">
        <v>-0.5</v>
      </c>
    </row>
    <row r="14" spans="1:4" x14ac:dyDescent="0.25">
      <c r="A14" s="192">
        <v>10</v>
      </c>
      <c r="B14" s="193">
        <v>43383</v>
      </c>
      <c r="C14" s="194">
        <v>0.32013888888888886</v>
      </c>
      <c r="D14" s="195">
        <v>0.6</v>
      </c>
    </row>
    <row r="15" spans="1:4" x14ac:dyDescent="0.25">
      <c r="A15" s="192">
        <v>10</v>
      </c>
      <c r="B15" s="193">
        <v>43383</v>
      </c>
      <c r="C15" s="194">
        <v>0.84444444444444444</v>
      </c>
      <c r="D15" s="195">
        <v>-0.7</v>
      </c>
    </row>
    <row r="16" spans="1:4" x14ac:dyDescent="0.25">
      <c r="A16" s="192">
        <v>11</v>
      </c>
      <c r="B16" s="193">
        <v>43384</v>
      </c>
      <c r="C16" s="194">
        <v>0.34722222222222221</v>
      </c>
      <c r="D16" s="195">
        <v>1.2</v>
      </c>
    </row>
    <row r="17" spans="1:4" x14ac:dyDescent="0.25">
      <c r="A17" s="192">
        <v>11</v>
      </c>
      <c r="B17" s="193">
        <v>43384</v>
      </c>
      <c r="C17" s="194">
        <v>0.87361111111111112</v>
      </c>
      <c r="D17" s="195">
        <v>-0.6</v>
      </c>
    </row>
    <row r="18" spans="1:4" x14ac:dyDescent="0.25">
      <c r="A18" s="192">
        <v>12</v>
      </c>
      <c r="B18" s="193">
        <v>43385</v>
      </c>
      <c r="C18" s="194">
        <v>0.90347222222222223</v>
      </c>
      <c r="D18" s="195">
        <v>-0.3</v>
      </c>
    </row>
    <row r="19" spans="1:4" x14ac:dyDescent="0.25">
      <c r="A19" s="192">
        <v>13</v>
      </c>
      <c r="B19" s="193">
        <v>43386</v>
      </c>
      <c r="C19" s="194">
        <v>0.93472222222222223</v>
      </c>
      <c r="D19" s="195">
        <v>0.1</v>
      </c>
    </row>
    <row r="20" spans="1:4" x14ac:dyDescent="0.25">
      <c r="A20" s="192">
        <v>14</v>
      </c>
      <c r="B20" s="193">
        <v>43387</v>
      </c>
      <c r="C20" s="194">
        <v>0.96875</v>
      </c>
      <c r="D20" s="195">
        <v>0.6</v>
      </c>
    </row>
    <row r="21" spans="1:4" x14ac:dyDescent="0.25">
      <c r="A21" s="192">
        <v>16</v>
      </c>
      <c r="B21" s="193">
        <v>43389</v>
      </c>
      <c r="C21" s="194">
        <v>6.9444444444444441E-3</v>
      </c>
      <c r="D21" s="195">
        <v>1</v>
      </c>
    </row>
    <row r="22" spans="1:4" x14ac:dyDescent="0.25">
      <c r="A22" s="192">
        <v>17</v>
      </c>
      <c r="B22" s="193">
        <v>43390</v>
      </c>
      <c r="C22" s="194">
        <v>0.05</v>
      </c>
      <c r="D22" s="195">
        <v>1.3</v>
      </c>
    </row>
    <row r="23" spans="1:4" x14ac:dyDescent="0.25">
      <c r="A23" s="192">
        <v>18</v>
      </c>
      <c r="B23" s="193">
        <v>43391</v>
      </c>
      <c r="C23" s="194">
        <v>9.4444444444444442E-2</v>
      </c>
      <c r="D23" s="195">
        <v>1.4</v>
      </c>
    </row>
    <row r="24" spans="1:4" x14ac:dyDescent="0.25">
      <c r="A24" s="192">
        <v>19</v>
      </c>
      <c r="B24" s="193">
        <v>43392</v>
      </c>
      <c r="C24" s="194">
        <v>0.1361111111111111</v>
      </c>
      <c r="D24" s="195">
        <v>1.3</v>
      </c>
    </row>
    <row r="25" spans="1:4" x14ac:dyDescent="0.25">
      <c r="A25" s="192">
        <v>20</v>
      </c>
      <c r="B25" s="193">
        <v>43393</v>
      </c>
      <c r="C25" s="194">
        <v>0.17083333333333334</v>
      </c>
      <c r="D25" s="195">
        <v>1.2</v>
      </c>
    </row>
    <row r="26" spans="1:4" x14ac:dyDescent="0.25">
      <c r="A26" s="192">
        <v>21</v>
      </c>
      <c r="B26" s="193">
        <v>43394</v>
      </c>
      <c r="C26" s="194">
        <v>0.20069444444444445</v>
      </c>
      <c r="D26" s="195">
        <v>1.1000000000000001</v>
      </c>
    </row>
    <row r="27" spans="1:4" x14ac:dyDescent="0.25">
      <c r="A27" s="192">
        <v>21</v>
      </c>
      <c r="B27" s="193">
        <v>43394</v>
      </c>
      <c r="C27" s="194">
        <v>0.72291666666666665</v>
      </c>
      <c r="D27" s="195">
        <v>1.6</v>
      </c>
    </row>
    <row r="28" spans="1:4" x14ac:dyDescent="0.25">
      <c r="A28" s="192">
        <v>22</v>
      </c>
      <c r="B28" s="193">
        <v>43395</v>
      </c>
      <c r="C28" s="194">
        <v>0.22777777777777777</v>
      </c>
      <c r="D28" s="195">
        <v>1.1000000000000001</v>
      </c>
    </row>
    <row r="29" spans="1:4" x14ac:dyDescent="0.25">
      <c r="A29" s="192">
        <v>22</v>
      </c>
      <c r="B29" s="193">
        <v>43395</v>
      </c>
      <c r="C29" s="194">
        <v>0.75</v>
      </c>
      <c r="D29" s="195">
        <v>0.9</v>
      </c>
    </row>
    <row r="30" spans="1:4" x14ac:dyDescent="0.25">
      <c r="A30" s="192">
        <v>23</v>
      </c>
      <c r="B30" s="193">
        <v>43396</v>
      </c>
      <c r="C30" s="194">
        <v>0.25347222222222221</v>
      </c>
      <c r="D30" s="195">
        <v>1.1000000000000001</v>
      </c>
    </row>
    <row r="31" spans="1:4" x14ac:dyDescent="0.25">
      <c r="A31" s="192">
        <v>23</v>
      </c>
      <c r="B31" s="193">
        <v>43396</v>
      </c>
      <c r="C31" s="194">
        <v>0.77638888888888891</v>
      </c>
      <c r="D31" s="195">
        <v>0.3</v>
      </c>
    </row>
    <row r="32" spans="1:4" x14ac:dyDescent="0.25">
      <c r="A32" s="192">
        <v>24</v>
      </c>
      <c r="B32" s="193">
        <v>43397</v>
      </c>
      <c r="C32" s="194">
        <v>0.27777777777777779</v>
      </c>
      <c r="D32" s="195">
        <v>1.3</v>
      </c>
    </row>
    <row r="33" spans="1:4" x14ac:dyDescent="0.25">
      <c r="A33" s="192">
        <v>24</v>
      </c>
      <c r="B33" s="193">
        <v>43397</v>
      </c>
      <c r="C33" s="194">
        <v>0.80277777777777781</v>
      </c>
      <c r="D33" s="195">
        <v>-0.1</v>
      </c>
    </row>
    <row r="34" spans="1:4" x14ac:dyDescent="0.25">
      <c r="A34" s="192">
        <v>25</v>
      </c>
      <c r="B34" s="193">
        <v>43398</v>
      </c>
      <c r="C34" s="194">
        <v>0.30277777777777776</v>
      </c>
      <c r="D34" s="195">
        <v>1.6</v>
      </c>
    </row>
    <row r="35" spans="1:4" x14ac:dyDescent="0.25">
      <c r="A35" s="192">
        <v>25</v>
      </c>
      <c r="B35" s="193">
        <v>43398</v>
      </c>
      <c r="C35" s="194">
        <v>0.82986111111111116</v>
      </c>
      <c r="D35" s="195">
        <v>-0.5</v>
      </c>
    </row>
    <row r="36" spans="1:4" x14ac:dyDescent="0.25">
      <c r="A36" s="192">
        <v>26</v>
      </c>
      <c r="B36" s="193">
        <v>43399</v>
      </c>
      <c r="C36" s="194">
        <v>0.85833333333333328</v>
      </c>
      <c r="D36" s="195">
        <v>-0.7</v>
      </c>
    </row>
    <row r="37" spans="1:4" x14ac:dyDescent="0.25">
      <c r="A37" s="192">
        <v>27</v>
      </c>
      <c r="B37" s="193">
        <v>43400</v>
      </c>
      <c r="C37" s="194">
        <v>0.8881944444444444</v>
      </c>
      <c r="D37" s="195">
        <v>-0.7</v>
      </c>
    </row>
    <row r="38" spans="1:4" x14ac:dyDescent="0.25">
      <c r="A38" s="192">
        <v>28</v>
      </c>
      <c r="B38" s="193">
        <v>43401</v>
      </c>
      <c r="C38" s="194">
        <v>0.92222222222222228</v>
      </c>
      <c r="D38" s="195">
        <v>-0.6</v>
      </c>
    </row>
    <row r="39" spans="1:4" x14ac:dyDescent="0.25">
      <c r="A39" s="192">
        <v>29</v>
      </c>
      <c r="B39" s="193">
        <v>43402</v>
      </c>
      <c r="C39" s="194">
        <v>0.95972222222222225</v>
      </c>
      <c r="D39" s="195">
        <v>-0.3</v>
      </c>
    </row>
    <row r="40" spans="1:4" x14ac:dyDescent="0.25">
      <c r="A40" s="192">
        <v>31</v>
      </c>
      <c r="B40" s="193">
        <v>43404</v>
      </c>
      <c r="C40" s="194">
        <v>2.0833333333333333E-3</v>
      </c>
      <c r="D40" s="195">
        <v>0.1</v>
      </c>
    </row>
    <row r="41" spans="1:4" x14ac:dyDescent="0.25">
      <c r="A41" s="192">
        <v>32</v>
      </c>
      <c r="B41" s="193">
        <v>43405</v>
      </c>
      <c r="C41" s="194">
        <v>4.791666666666667E-2</v>
      </c>
      <c r="D41" s="195">
        <v>0.4</v>
      </c>
    </row>
    <row r="42" spans="1:4" x14ac:dyDescent="0.25">
      <c r="A42" s="192">
        <v>33</v>
      </c>
      <c r="B42" s="193">
        <v>43406</v>
      </c>
      <c r="C42" s="194">
        <v>9.5138888888888884E-2</v>
      </c>
      <c r="D42" s="195">
        <v>0.5</v>
      </c>
    </row>
    <row r="43" spans="1:4" x14ac:dyDescent="0.25">
      <c r="A43" s="192">
        <v>34</v>
      </c>
      <c r="B43" s="193">
        <v>43407</v>
      </c>
      <c r="C43" s="194">
        <v>0.1388888888888889</v>
      </c>
      <c r="D43" s="195">
        <v>0.6</v>
      </c>
    </row>
    <row r="44" spans="1:4" x14ac:dyDescent="0.25">
      <c r="A44" s="192">
        <v>35</v>
      </c>
      <c r="B44" s="193">
        <v>43408</v>
      </c>
      <c r="C44" s="194">
        <v>0.1361111111111111</v>
      </c>
      <c r="D44" s="195">
        <v>0.7</v>
      </c>
    </row>
    <row r="45" spans="1:4" x14ac:dyDescent="0.25">
      <c r="A45" s="192">
        <v>35</v>
      </c>
      <c r="B45" s="193">
        <v>43408</v>
      </c>
      <c r="C45" s="194">
        <v>0.66736111111111107</v>
      </c>
      <c r="D45" s="195">
        <v>0.9</v>
      </c>
    </row>
    <row r="46" spans="1:4" x14ac:dyDescent="0.25">
      <c r="A46" s="192">
        <v>36</v>
      </c>
      <c r="B46" s="193">
        <v>43409</v>
      </c>
      <c r="C46" s="194">
        <v>0.17083333333333334</v>
      </c>
      <c r="D46" s="195">
        <v>0.9</v>
      </c>
    </row>
    <row r="47" spans="1:4" x14ac:dyDescent="0.25">
      <c r="A47" s="192">
        <v>36</v>
      </c>
      <c r="B47" s="193">
        <v>43409</v>
      </c>
      <c r="C47" s="194">
        <v>0.70138888888888884</v>
      </c>
      <c r="D47" s="195">
        <v>0.1</v>
      </c>
    </row>
    <row r="48" spans="1:4" x14ac:dyDescent="0.25">
      <c r="A48" s="192">
        <v>37</v>
      </c>
      <c r="B48" s="193">
        <v>43410</v>
      </c>
      <c r="C48" s="194">
        <v>0.20208333333333334</v>
      </c>
      <c r="D48" s="195">
        <v>1.1000000000000001</v>
      </c>
    </row>
    <row r="49" spans="1:4" x14ac:dyDescent="0.25">
      <c r="A49" s="192">
        <v>37</v>
      </c>
      <c r="B49" s="193">
        <v>43410</v>
      </c>
      <c r="C49" s="194">
        <v>0.73263888888888884</v>
      </c>
      <c r="D49" s="195">
        <v>-0.5</v>
      </c>
    </row>
    <row r="50" spans="1:4" x14ac:dyDescent="0.25">
      <c r="A50" s="192">
        <v>38</v>
      </c>
      <c r="B50" s="193">
        <v>43411</v>
      </c>
      <c r="C50" s="194">
        <v>0.23125000000000001</v>
      </c>
      <c r="D50" s="195">
        <v>1.5</v>
      </c>
    </row>
    <row r="51" spans="1:4" x14ac:dyDescent="0.25">
      <c r="A51" s="192">
        <v>38</v>
      </c>
      <c r="B51" s="193">
        <v>43411</v>
      </c>
      <c r="C51" s="194">
        <v>0.76180555555555551</v>
      </c>
      <c r="D51" s="195">
        <v>-0.8</v>
      </c>
    </row>
    <row r="52" spans="1:4" x14ac:dyDescent="0.25">
      <c r="A52" s="192">
        <v>39</v>
      </c>
      <c r="B52" s="193">
        <v>43412</v>
      </c>
      <c r="C52" s="194">
        <v>0.7895833333333333</v>
      </c>
      <c r="D52" s="195">
        <v>-0.8</v>
      </c>
    </row>
    <row r="53" spans="1:4" x14ac:dyDescent="0.25">
      <c r="A53" s="192">
        <v>40</v>
      </c>
      <c r="B53" s="193">
        <v>43413</v>
      </c>
      <c r="C53" s="194">
        <v>0.81666666666666665</v>
      </c>
      <c r="D53" s="195">
        <v>-0.7</v>
      </c>
    </row>
    <row r="54" spans="1:4" x14ac:dyDescent="0.25">
      <c r="A54" s="192">
        <v>41</v>
      </c>
      <c r="B54" s="193">
        <v>43414</v>
      </c>
      <c r="C54" s="194">
        <v>0.84375</v>
      </c>
      <c r="D54" s="195">
        <v>-0.4</v>
      </c>
    </row>
    <row r="55" spans="1:4" x14ac:dyDescent="0.25">
      <c r="A55" s="192">
        <v>42</v>
      </c>
      <c r="B55" s="193">
        <v>43415</v>
      </c>
      <c r="C55" s="194">
        <v>0.87222222222222223</v>
      </c>
      <c r="D55" s="195">
        <v>0</v>
      </c>
    </row>
    <row r="56" spans="1:4" x14ac:dyDescent="0.25">
      <c r="A56" s="192">
        <v>43</v>
      </c>
      <c r="B56" s="193">
        <v>43416</v>
      </c>
      <c r="C56" s="194">
        <v>0.90208333333333335</v>
      </c>
      <c r="D56" s="195">
        <v>0.4</v>
      </c>
    </row>
    <row r="57" spans="1:4" x14ac:dyDescent="0.25">
      <c r="A57" s="192">
        <v>44</v>
      </c>
      <c r="B57" s="193">
        <v>43417</v>
      </c>
      <c r="C57" s="194">
        <v>0.93472222222222223</v>
      </c>
      <c r="D57" s="195">
        <v>0.9</v>
      </c>
    </row>
    <row r="58" spans="1:4" x14ac:dyDescent="0.25">
      <c r="A58" s="192">
        <v>45</v>
      </c>
      <c r="B58" s="193">
        <v>43418</v>
      </c>
      <c r="C58" s="194">
        <v>0.97083333333333333</v>
      </c>
      <c r="D58" s="195">
        <v>1.3</v>
      </c>
    </row>
    <row r="59" spans="1:4" x14ac:dyDescent="0.25">
      <c r="A59" s="192">
        <v>47</v>
      </c>
      <c r="B59" s="193">
        <v>43420</v>
      </c>
      <c r="C59" s="194">
        <v>1.0416666666666666E-2</v>
      </c>
      <c r="D59" s="195">
        <v>1.5</v>
      </c>
    </row>
    <row r="60" spans="1:4" x14ac:dyDescent="0.25">
      <c r="A60" s="192">
        <v>48</v>
      </c>
      <c r="B60" s="193">
        <v>43421</v>
      </c>
      <c r="C60" s="194">
        <v>5.0694444444444445E-2</v>
      </c>
      <c r="D60" s="195">
        <v>1.7</v>
      </c>
    </row>
    <row r="61" spans="1:4" x14ac:dyDescent="0.25">
      <c r="A61" s="192">
        <v>50</v>
      </c>
      <c r="B61" s="193">
        <v>43423</v>
      </c>
      <c r="C61" s="194">
        <v>0.66041666666666665</v>
      </c>
      <c r="D61" s="195">
        <v>1.4</v>
      </c>
    </row>
    <row r="62" spans="1:4" x14ac:dyDescent="0.25">
      <c r="A62" s="192">
        <v>51</v>
      </c>
      <c r="B62" s="193">
        <v>43424</v>
      </c>
      <c r="C62" s="194">
        <v>0.69027777777777777</v>
      </c>
      <c r="D62" s="195">
        <v>0.6</v>
      </c>
    </row>
    <row r="63" spans="1:4" x14ac:dyDescent="0.25">
      <c r="A63" s="192">
        <v>52</v>
      </c>
      <c r="B63" s="193">
        <v>43425</v>
      </c>
      <c r="C63" s="194">
        <v>0.71805555555555556</v>
      </c>
      <c r="D63" s="195">
        <v>-0.1</v>
      </c>
    </row>
    <row r="64" spans="1:4" x14ac:dyDescent="0.25">
      <c r="A64" s="192">
        <v>53</v>
      </c>
      <c r="B64" s="193">
        <v>43426</v>
      </c>
      <c r="C64" s="194">
        <v>0.74652777777777779</v>
      </c>
      <c r="D64" s="195">
        <v>-0.7</v>
      </c>
    </row>
    <row r="65" spans="1:4" x14ac:dyDescent="0.25">
      <c r="A65" s="192">
        <v>54</v>
      </c>
      <c r="B65" s="193">
        <v>43427</v>
      </c>
      <c r="C65" s="194">
        <v>0.77500000000000002</v>
      </c>
      <c r="D65" s="195">
        <v>-1.1000000000000001</v>
      </c>
    </row>
    <row r="66" spans="1:4" x14ac:dyDescent="0.25">
      <c r="A66" s="192">
        <v>55</v>
      </c>
      <c r="B66" s="193">
        <v>43428</v>
      </c>
      <c r="C66" s="194">
        <v>0.80555555555555558</v>
      </c>
      <c r="D66" s="195">
        <v>-1.3</v>
      </c>
    </row>
    <row r="67" spans="1:4" x14ac:dyDescent="0.25">
      <c r="A67" s="192">
        <v>56</v>
      </c>
      <c r="B67" s="193">
        <v>43429</v>
      </c>
      <c r="C67" s="194">
        <v>0.83680555555555558</v>
      </c>
      <c r="D67" s="195">
        <v>-1.3</v>
      </c>
    </row>
    <row r="68" spans="1:4" x14ac:dyDescent="0.25">
      <c r="A68" s="192">
        <v>57</v>
      </c>
      <c r="B68" s="193">
        <v>43430</v>
      </c>
      <c r="C68" s="194">
        <v>0.87013888888888891</v>
      </c>
      <c r="D68" s="195">
        <v>-1</v>
      </c>
    </row>
    <row r="69" spans="1:4" x14ac:dyDescent="0.25">
      <c r="A69" s="192">
        <v>58</v>
      </c>
      <c r="B69" s="193">
        <v>43431</v>
      </c>
      <c r="C69" s="194">
        <v>0.90625</v>
      </c>
      <c r="D69" s="195">
        <v>-0.6</v>
      </c>
    </row>
    <row r="70" spans="1:4" x14ac:dyDescent="0.25">
      <c r="A70" s="192">
        <v>59</v>
      </c>
      <c r="B70" s="193">
        <v>43432</v>
      </c>
      <c r="C70" s="194">
        <v>0.9458333333333333</v>
      </c>
      <c r="D70" s="195">
        <v>-0.1</v>
      </c>
    </row>
    <row r="71" spans="1:4" x14ac:dyDescent="0.25">
      <c r="A71" s="192">
        <v>60</v>
      </c>
      <c r="B71" s="193">
        <v>43433</v>
      </c>
      <c r="C71" s="194">
        <v>0.98750000000000004</v>
      </c>
      <c r="D71" s="195">
        <v>0.5</v>
      </c>
    </row>
    <row r="72" spans="1:4" x14ac:dyDescent="0.25">
      <c r="A72" s="192">
        <v>62</v>
      </c>
      <c r="B72" s="193">
        <v>43435</v>
      </c>
      <c r="C72" s="194">
        <v>3.0555555555555555E-2</v>
      </c>
      <c r="D72" s="195">
        <v>1</v>
      </c>
    </row>
    <row r="73" spans="1:4" x14ac:dyDescent="0.25">
      <c r="A73" s="192">
        <v>63</v>
      </c>
      <c r="B73" s="193">
        <v>43436</v>
      </c>
      <c r="C73" s="194">
        <v>7.3611111111111113E-2</v>
      </c>
      <c r="D73" s="195">
        <v>1.4</v>
      </c>
    </row>
    <row r="74" spans="1:4" x14ac:dyDescent="0.25">
      <c r="A74" s="192">
        <v>63</v>
      </c>
      <c r="B74" s="193">
        <v>43436</v>
      </c>
      <c r="C74" s="194">
        <v>0.62013888888888891</v>
      </c>
      <c r="D74" s="195">
        <v>1.4</v>
      </c>
    </row>
    <row r="75" spans="1:4" x14ac:dyDescent="0.25">
      <c r="A75" s="192">
        <v>64</v>
      </c>
      <c r="B75" s="193">
        <v>43437</v>
      </c>
      <c r="C75" s="194">
        <v>0.65902777777777777</v>
      </c>
      <c r="D75" s="195">
        <v>0.6</v>
      </c>
    </row>
    <row r="76" spans="1:4" x14ac:dyDescent="0.25">
      <c r="A76" s="192">
        <v>65</v>
      </c>
      <c r="B76" s="193">
        <v>43438</v>
      </c>
      <c r="C76" s="194">
        <v>0.69236111111111109</v>
      </c>
      <c r="D76" s="195">
        <v>0</v>
      </c>
    </row>
    <row r="77" spans="1:4" x14ac:dyDescent="0.25">
      <c r="A77" s="192">
        <v>66</v>
      </c>
      <c r="B77" s="193">
        <v>43439</v>
      </c>
      <c r="C77" s="194">
        <v>0.72291666666666665</v>
      </c>
      <c r="D77" s="195">
        <v>-0.5</v>
      </c>
    </row>
    <row r="78" spans="1:4" x14ac:dyDescent="0.25">
      <c r="A78" s="192">
        <v>67</v>
      </c>
      <c r="B78" s="193">
        <v>43440</v>
      </c>
      <c r="C78" s="194">
        <v>0.75069444444444444</v>
      </c>
      <c r="D78" s="195">
        <v>-0.7</v>
      </c>
    </row>
    <row r="79" spans="1:4" x14ac:dyDescent="0.25">
      <c r="A79" s="192">
        <v>68</v>
      </c>
      <c r="B79" s="193">
        <v>43441</v>
      </c>
      <c r="C79" s="194">
        <v>0.77777777777777779</v>
      </c>
      <c r="D79" s="195">
        <v>-0.7</v>
      </c>
    </row>
    <row r="80" spans="1:4" x14ac:dyDescent="0.25">
      <c r="A80" s="192">
        <v>69</v>
      </c>
      <c r="B80" s="193">
        <v>43442</v>
      </c>
      <c r="C80" s="194">
        <v>0.80277777777777781</v>
      </c>
      <c r="D80" s="195">
        <v>-0.6</v>
      </c>
    </row>
    <row r="81" spans="1:4" x14ac:dyDescent="0.25">
      <c r="A81" s="192">
        <v>70</v>
      </c>
      <c r="B81" s="193">
        <v>43443</v>
      </c>
      <c r="C81" s="194">
        <v>0.82847222222222228</v>
      </c>
      <c r="D81" s="195">
        <v>-0.4</v>
      </c>
    </row>
    <row r="82" spans="1:4" x14ac:dyDescent="0.25">
      <c r="A82" s="192">
        <v>71</v>
      </c>
      <c r="B82" s="193">
        <v>43444</v>
      </c>
      <c r="C82" s="194">
        <v>0.85347222222222219</v>
      </c>
      <c r="D82" s="195">
        <v>-0.1</v>
      </c>
    </row>
    <row r="83" spans="1:4" x14ac:dyDescent="0.25">
      <c r="A83" s="192">
        <v>72</v>
      </c>
      <c r="B83" s="193">
        <v>43445</v>
      </c>
      <c r="C83" s="194">
        <v>0.87986111111111109</v>
      </c>
      <c r="D83" s="195">
        <v>0.3</v>
      </c>
    </row>
    <row r="84" spans="1:4" x14ac:dyDescent="0.25">
      <c r="A84" s="192">
        <v>73</v>
      </c>
      <c r="B84" s="193">
        <v>43446</v>
      </c>
      <c r="C84" s="194">
        <v>0.90763888888888888</v>
      </c>
      <c r="D84" s="195">
        <v>0.7</v>
      </c>
    </row>
    <row r="85" spans="1:4" x14ac:dyDescent="0.25">
      <c r="A85" s="192">
        <v>74</v>
      </c>
      <c r="B85" s="193">
        <v>43447</v>
      </c>
      <c r="C85" s="194">
        <v>0.9375</v>
      </c>
      <c r="D85" s="195">
        <v>1.1000000000000001</v>
      </c>
    </row>
    <row r="86" spans="1:4" x14ac:dyDescent="0.25">
      <c r="A86" s="192">
        <v>75</v>
      </c>
      <c r="B86" s="193">
        <v>43448</v>
      </c>
      <c r="C86" s="194">
        <v>0.97013888888888888</v>
      </c>
      <c r="D86" s="195">
        <v>1.5</v>
      </c>
    </row>
    <row r="87" spans="1:4" x14ac:dyDescent="0.25">
      <c r="A87" s="192">
        <v>79</v>
      </c>
      <c r="B87" s="193">
        <v>43452</v>
      </c>
      <c r="C87" s="194">
        <v>0.63680555555555551</v>
      </c>
      <c r="D87" s="195">
        <v>1.4</v>
      </c>
    </row>
    <row r="88" spans="1:4" x14ac:dyDescent="0.25">
      <c r="A88" s="192">
        <v>80</v>
      </c>
      <c r="B88" s="193">
        <v>43453</v>
      </c>
      <c r="C88" s="194">
        <v>0.67013888888888884</v>
      </c>
      <c r="D88" s="195">
        <v>0.5</v>
      </c>
    </row>
    <row r="89" spans="1:4" x14ac:dyDescent="0.25">
      <c r="A89" s="192">
        <v>81</v>
      </c>
      <c r="B89" s="193">
        <v>43454</v>
      </c>
      <c r="C89" s="194">
        <v>0.70208333333333328</v>
      </c>
      <c r="D89" s="195">
        <v>-0.3</v>
      </c>
    </row>
    <row r="90" spans="1:4" x14ac:dyDescent="0.25">
      <c r="A90" s="192">
        <v>82</v>
      </c>
      <c r="B90" s="193">
        <v>43455</v>
      </c>
      <c r="C90" s="194">
        <v>0.73263888888888884</v>
      </c>
      <c r="D90" s="195">
        <v>-1</v>
      </c>
    </row>
    <row r="91" spans="1:4" x14ac:dyDescent="0.25">
      <c r="A91" s="192">
        <v>83</v>
      </c>
      <c r="B91" s="193">
        <v>43456</v>
      </c>
      <c r="C91" s="194">
        <v>0.76388888888888884</v>
      </c>
      <c r="D91" s="195">
        <v>-1.4</v>
      </c>
    </row>
    <row r="92" spans="1:4" x14ac:dyDescent="0.25">
      <c r="A92" s="192">
        <v>84</v>
      </c>
      <c r="B92" s="193">
        <v>43457</v>
      </c>
      <c r="C92" s="194">
        <v>0.79513888888888884</v>
      </c>
      <c r="D92" s="195">
        <v>-1.6</v>
      </c>
    </row>
    <row r="93" spans="1:4" x14ac:dyDescent="0.25">
      <c r="A93" s="192">
        <v>85</v>
      </c>
      <c r="B93" s="193">
        <v>43458</v>
      </c>
      <c r="C93" s="194">
        <v>0.82708333333333328</v>
      </c>
      <c r="D93" s="195">
        <v>-1.6</v>
      </c>
    </row>
    <row r="94" spans="1:4" x14ac:dyDescent="0.25">
      <c r="A94" s="192">
        <v>86</v>
      </c>
      <c r="B94" s="193">
        <v>43459</v>
      </c>
      <c r="C94" s="194">
        <v>0.85972222222222228</v>
      </c>
      <c r="D94" s="195">
        <v>-1.3</v>
      </c>
    </row>
    <row r="95" spans="1:4" x14ac:dyDescent="0.25">
      <c r="A95" s="192">
        <v>87</v>
      </c>
      <c r="B95" s="193">
        <v>43460</v>
      </c>
      <c r="C95" s="194">
        <v>0.8930555555555556</v>
      </c>
      <c r="D95" s="195">
        <v>-0.7</v>
      </c>
    </row>
    <row r="96" spans="1:4" x14ac:dyDescent="0.25">
      <c r="A96" s="192">
        <v>88</v>
      </c>
      <c r="B96" s="193">
        <v>43461</v>
      </c>
      <c r="C96" s="194">
        <v>0.92847222222222225</v>
      </c>
      <c r="D96" s="195">
        <v>-0.1</v>
      </c>
    </row>
    <row r="97" spans="1:4" x14ac:dyDescent="0.25">
      <c r="A97" s="192">
        <v>89</v>
      </c>
      <c r="B97" s="193">
        <v>43462</v>
      </c>
      <c r="C97" s="194">
        <v>0.96597222222222223</v>
      </c>
      <c r="D97" s="195">
        <v>0.7</v>
      </c>
    </row>
    <row r="98" spans="1:4" x14ac:dyDescent="0.25">
      <c r="A98" s="192">
        <v>91</v>
      </c>
      <c r="B98" s="193">
        <v>43464</v>
      </c>
      <c r="C98" s="194">
        <v>5.5555555555555558E-3</v>
      </c>
      <c r="D98" s="195">
        <v>1.5</v>
      </c>
    </row>
    <row r="99" spans="1:4" x14ac:dyDescent="0.25">
      <c r="A99" s="192">
        <v>92</v>
      </c>
      <c r="B99" s="193">
        <v>43465</v>
      </c>
      <c r="C99" s="194">
        <v>0.60624999999999996</v>
      </c>
      <c r="D99" s="195">
        <v>1.3</v>
      </c>
    </row>
    <row r="100" spans="1:4" x14ac:dyDescent="0.25">
      <c r="A100" s="192">
        <v>93</v>
      </c>
      <c r="B100" s="193">
        <v>43466</v>
      </c>
      <c r="C100" s="194">
        <v>0.64722222222222225</v>
      </c>
      <c r="D100" s="195">
        <v>0.7</v>
      </c>
    </row>
    <row r="101" spans="1:4" x14ac:dyDescent="0.25">
      <c r="A101" s="192">
        <v>94</v>
      </c>
      <c r="B101" s="193">
        <v>43467</v>
      </c>
      <c r="C101" s="194">
        <v>0.68194444444444446</v>
      </c>
      <c r="D101" s="195">
        <v>0.2</v>
      </c>
    </row>
    <row r="102" spans="1:4" x14ac:dyDescent="0.25">
      <c r="A102" s="192">
        <v>95</v>
      </c>
      <c r="B102" s="193">
        <v>43468</v>
      </c>
      <c r="C102" s="194">
        <v>0.71250000000000002</v>
      </c>
      <c r="D102" s="195">
        <v>-0.2</v>
      </c>
    </row>
    <row r="103" spans="1:4" x14ac:dyDescent="0.25">
      <c r="A103" s="192">
        <v>96</v>
      </c>
      <c r="B103" s="193">
        <v>43469</v>
      </c>
      <c r="C103" s="194">
        <v>0.74027777777777781</v>
      </c>
      <c r="D103" s="195">
        <v>-0.4</v>
      </c>
    </row>
    <row r="104" spans="1:4" x14ac:dyDescent="0.25">
      <c r="A104" s="192">
        <v>97</v>
      </c>
      <c r="B104" s="193">
        <v>43470</v>
      </c>
      <c r="C104" s="194">
        <v>0.76597222222222228</v>
      </c>
      <c r="D104" s="195">
        <v>-0.4</v>
      </c>
    </row>
    <row r="105" spans="1:4" x14ac:dyDescent="0.25">
      <c r="A105" s="192">
        <v>98</v>
      </c>
      <c r="B105" s="193">
        <v>43471</v>
      </c>
      <c r="C105" s="194">
        <v>0.79097222222222219</v>
      </c>
      <c r="D105" s="195">
        <v>-0.4</v>
      </c>
    </row>
    <row r="106" spans="1:4" x14ac:dyDescent="0.25">
      <c r="A106" s="192">
        <v>99</v>
      </c>
      <c r="B106" s="193">
        <v>43472</v>
      </c>
      <c r="C106" s="194">
        <v>0.81458333333333333</v>
      </c>
      <c r="D106" s="195">
        <v>-0.3</v>
      </c>
    </row>
    <row r="107" spans="1:4" x14ac:dyDescent="0.25">
      <c r="A107" s="192">
        <v>100</v>
      </c>
      <c r="B107" s="193">
        <v>43473</v>
      </c>
      <c r="C107" s="194">
        <v>0.83750000000000002</v>
      </c>
      <c r="D107" s="195">
        <v>-0.1</v>
      </c>
    </row>
    <row r="108" spans="1:4" x14ac:dyDescent="0.25">
      <c r="A108" s="192">
        <v>101</v>
      </c>
      <c r="B108" s="193">
        <v>43474</v>
      </c>
      <c r="C108" s="194">
        <v>0.86111111111111116</v>
      </c>
      <c r="D108" s="195">
        <v>0.2</v>
      </c>
    </row>
    <row r="109" spans="1:4" x14ac:dyDescent="0.25">
      <c r="A109" s="192">
        <v>102</v>
      </c>
      <c r="B109" s="193">
        <v>43475</v>
      </c>
      <c r="C109" s="194">
        <v>0.88472222222222219</v>
      </c>
      <c r="D109" s="195">
        <v>0.6</v>
      </c>
    </row>
    <row r="110" spans="1:4" x14ac:dyDescent="0.25">
      <c r="A110" s="192">
        <v>103</v>
      </c>
      <c r="B110" s="193">
        <v>43476</v>
      </c>
      <c r="C110" s="194">
        <v>0.90902777777777777</v>
      </c>
      <c r="D110" s="195">
        <v>1.1000000000000001</v>
      </c>
    </row>
    <row r="111" spans="1:4" x14ac:dyDescent="0.25">
      <c r="A111" s="192">
        <v>104</v>
      </c>
      <c r="B111" s="193">
        <v>43477</v>
      </c>
      <c r="C111" s="194">
        <v>0.93611111111111112</v>
      </c>
      <c r="D111" s="195">
        <v>1.6</v>
      </c>
    </row>
    <row r="112" spans="1:4" x14ac:dyDescent="0.25">
      <c r="A112" s="192">
        <v>108</v>
      </c>
      <c r="B112" s="193">
        <v>43481</v>
      </c>
      <c r="C112" s="194">
        <v>0.61319444444444449</v>
      </c>
      <c r="D112" s="195">
        <v>1.3</v>
      </c>
    </row>
    <row r="113" spans="1:4" x14ac:dyDescent="0.25">
      <c r="A113" s="192">
        <v>109</v>
      </c>
      <c r="B113" s="193">
        <v>43482</v>
      </c>
      <c r="C113" s="194">
        <v>0.65208333333333335</v>
      </c>
      <c r="D113" s="195">
        <v>0.4</v>
      </c>
    </row>
    <row r="114" spans="1:4" x14ac:dyDescent="0.25">
      <c r="A114" s="192">
        <v>110</v>
      </c>
      <c r="B114" s="193">
        <v>43483</v>
      </c>
      <c r="C114" s="194">
        <v>0.6875</v>
      </c>
      <c r="D114" s="195">
        <v>-0.4</v>
      </c>
    </row>
    <row r="115" spans="1:4" x14ac:dyDescent="0.25">
      <c r="A115" s="192">
        <v>111</v>
      </c>
      <c r="B115" s="193">
        <v>43484</v>
      </c>
      <c r="C115" s="194">
        <v>0.72083333333333333</v>
      </c>
      <c r="D115" s="195">
        <v>-1.1000000000000001</v>
      </c>
    </row>
    <row r="116" spans="1:4" x14ac:dyDescent="0.25">
      <c r="A116" s="192">
        <v>112</v>
      </c>
      <c r="B116" s="193">
        <v>43485</v>
      </c>
      <c r="C116" s="194">
        <v>0.75347222222222221</v>
      </c>
      <c r="D116" s="195">
        <v>-1.6</v>
      </c>
    </row>
    <row r="117" spans="1:4" x14ac:dyDescent="0.25">
      <c r="A117" s="192">
        <v>113</v>
      </c>
      <c r="B117" s="193">
        <v>43486</v>
      </c>
      <c r="C117" s="194">
        <v>0.78541666666666665</v>
      </c>
      <c r="D117" s="195">
        <v>-1.8</v>
      </c>
    </row>
    <row r="118" spans="1:4" x14ac:dyDescent="0.25">
      <c r="A118" s="192">
        <v>113</v>
      </c>
      <c r="B118" s="193">
        <v>43486</v>
      </c>
      <c r="C118" s="194">
        <v>0.78541666666666665</v>
      </c>
      <c r="D118" s="195">
        <v>-1.8</v>
      </c>
    </row>
    <row r="119" spans="1:4" x14ac:dyDescent="0.25">
      <c r="A119" s="192">
        <v>114</v>
      </c>
      <c r="B119" s="193">
        <v>43487</v>
      </c>
      <c r="C119" s="194">
        <v>0.81597222222222221</v>
      </c>
      <c r="D119" s="195">
        <v>-1.7</v>
      </c>
    </row>
    <row r="120" spans="1:4" x14ac:dyDescent="0.25">
      <c r="A120" s="192">
        <v>115</v>
      </c>
      <c r="B120" s="193">
        <v>43488</v>
      </c>
      <c r="C120" s="194">
        <v>0.84722222222222221</v>
      </c>
      <c r="D120" s="195">
        <v>-1.3</v>
      </c>
    </row>
    <row r="121" spans="1:4" x14ac:dyDescent="0.25">
      <c r="A121" s="192">
        <v>116</v>
      </c>
      <c r="B121" s="193">
        <v>43489</v>
      </c>
      <c r="C121" s="194">
        <v>0.87847222222222221</v>
      </c>
      <c r="D121" s="195">
        <v>-0.7</v>
      </c>
    </row>
    <row r="122" spans="1:4" x14ac:dyDescent="0.25">
      <c r="A122" s="192">
        <v>117</v>
      </c>
      <c r="B122" s="193">
        <v>43490</v>
      </c>
      <c r="C122" s="194">
        <v>0.90972222222222221</v>
      </c>
      <c r="D122" s="195">
        <v>0.2</v>
      </c>
    </row>
    <row r="123" spans="1:4" x14ac:dyDescent="0.25">
      <c r="A123" s="192">
        <v>118</v>
      </c>
      <c r="B123" s="193">
        <v>43491</v>
      </c>
      <c r="C123" s="194">
        <v>0.94305555555555554</v>
      </c>
      <c r="D123" s="195">
        <v>1.1000000000000001</v>
      </c>
    </row>
    <row r="124" spans="1:4" x14ac:dyDescent="0.25">
      <c r="A124" s="192">
        <v>120</v>
      </c>
      <c r="B124" s="193">
        <v>43493</v>
      </c>
      <c r="C124" s="194">
        <v>0.53611111111111109</v>
      </c>
      <c r="D124" s="195">
        <v>1.6</v>
      </c>
    </row>
    <row r="125" spans="1:4" x14ac:dyDescent="0.25">
      <c r="A125" s="192">
        <v>121</v>
      </c>
      <c r="B125" s="193">
        <v>43494</v>
      </c>
      <c r="C125" s="194">
        <v>0.58611111111111114</v>
      </c>
      <c r="D125" s="195">
        <v>1.3</v>
      </c>
    </row>
    <row r="126" spans="1:4" x14ac:dyDescent="0.25">
      <c r="A126" s="192">
        <v>122</v>
      </c>
      <c r="B126" s="193">
        <v>43495</v>
      </c>
      <c r="C126" s="194">
        <v>0.63055555555555554</v>
      </c>
      <c r="D126" s="195">
        <v>0.9</v>
      </c>
    </row>
    <row r="127" spans="1:4" x14ac:dyDescent="0.25">
      <c r="A127" s="192">
        <v>123</v>
      </c>
      <c r="B127" s="193">
        <v>43496</v>
      </c>
      <c r="C127" s="194">
        <v>0.66805555555555551</v>
      </c>
      <c r="D127" s="195">
        <v>0.5</v>
      </c>
    </row>
    <row r="128" spans="1:4" x14ac:dyDescent="0.25">
      <c r="A128" s="192">
        <v>124</v>
      </c>
      <c r="B128" s="193">
        <v>43497</v>
      </c>
      <c r="C128" s="194">
        <v>0.7</v>
      </c>
      <c r="D128" s="195">
        <v>0.2</v>
      </c>
    </row>
    <row r="129" spans="1:4" x14ac:dyDescent="0.25">
      <c r="A129" s="192">
        <v>125</v>
      </c>
      <c r="B129" s="193">
        <v>43498</v>
      </c>
      <c r="C129" s="194">
        <v>0.72777777777777775</v>
      </c>
      <c r="D129" s="195">
        <v>0</v>
      </c>
    </row>
    <row r="130" spans="1:4" x14ac:dyDescent="0.25">
      <c r="A130" s="192">
        <v>126</v>
      </c>
      <c r="B130" s="193">
        <v>43499</v>
      </c>
      <c r="C130" s="194">
        <v>0.75277777777777777</v>
      </c>
      <c r="D130" s="195">
        <v>-0.1</v>
      </c>
    </row>
    <row r="131" spans="1:4" x14ac:dyDescent="0.25">
      <c r="A131" s="192">
        <v>127</v>
      </c>
      <c r="B131" s="193">
        <v>43500</v>
      </c>
      <c r="C131" s="194">
        <v>0.77638888888888891</v>
      </c>
      <c r="D131" s="195">
        <v>-0.2</v>
      </c>
    </row>
    <row r="132" spans="1:4" x14ac:dyDescent="0.25">
      <c r="A132" s="192">
        <v>128</v>
      </c>
      <c r="B132" s="193">
        <v>43501</v>
      </c>
      <c r="C132" s="194">
        <v>0.79791666666666672</v>
      </c>
      <c r="D132" s="195">
        <v>-0.1</v>
      </c>
    </row>
    <row r="133" spans="1:4" x14ac:dyDescent="0.25">
      <c r="A133" s="192">
        <v>129</v>
      </c>
      <c r="B133" s="193">
        <v>43502</v>
      </c>
      <c r="C133" s="194">
        <v>0.81944444444444442</v>
      </c>
      <c r="D133" s="195">
        <v>0.1</v>
      </c>
    </row>
    <row r="134" spans="1:4" x14ac:dyDescent="0.25">
      <c r="A134" s="192">
        <v>130</v>
      </c>
      <c r="B134" s="193">
        <v>43503</v>
      </c>
      <c r="C134" s="194">
        <v>0.84027777777777779</v>
      </c>
      <c r="D134" s="195">
        <v>0.4</v>
      </c>
    </row>
    <row r="135" spans="1:4" x14ac:dyDescent="0.25">
      <c r="A135" s="192">
        <v>131</v>
      </c>
      <c r="B135" s="193">
        <v>43504</v>
      </c>
      <c r="C135" s="194">
        <v>0.86111111111111116</v>
      </c>
      <c r="D135" s="195">
        <v>0.7</v>
      </c>
    </row>
    <row r="136" spans="1:4" x14ac:dyDescent="0.25">
      <c r="A136" s="192">
        <v>132</v>
      </c>
      <c r="B136" s="193">
        <v>43505</v>
      </c>
      <c r="C136" s="194">
        <v>0.8833333333333333</v>
      </c>
      <c r="D136" s="195">
        <v>1.2</v>
      </c>
    </row>
    <row r="137" spans="1:4" x14ac:dyDescent="0.25">
      <c r="A137" s="192">
        <v>136</v>
      </c>
      <c r="B137" s="193">
        <v>43509</v>
      </c>
      <c r="C137" s="194">
        <v>0.53888888888888886</v>
      </c>
      <c r="D137" s="195">
        <v>1.6</v>
      </c>
    </row>
    <row r="138" spans="1:4" x14ac:dyDescent="0.25">
      <c r="A138" s="192">
        <v>137</v>
      </c>
      <c r="B138" s="193">
        <v>43510</v>
      </c>
      <c r="C138" s="194">
        <v>0.58819444444444446</v>
      </c>
      <c r="D138" s="195">
        <v>1.1000000000000001</v>
      </c>
    </row>
    <row r="139" spans="1:4" x14ac:dyDescent="0.25">
      <c r="A139" s="192">
        <v>138</v>
      </c>
      <c r="B139" s="193">
        <v>43511</v>
      </c>
      <c r="C139" s="194">
        <v>0.63263888888888886</v>
      </c>
      <c r="D139" s="195">
        <v>0.4</v>
      </c>
    </row>
    <row r="140" spans="1:4" x14ac:dyDescent="0.25">
      <c r="A140" s="192">
        <v>139</v>
      </c>
      <c r="B140" s="193">
        <v>43512</v>
      </c>
      <c r="C140" s="194">
        <v>0.67222222222222228</v>
      </c>
      <c r="D140" s="195">
        <v>-0.3</v>
      </c>
    </row>
    <row r="141" spans="1:4" x14ac:dyDescent="0.25">
      <c r="A141" s="192">
        <v>140</v>
      </c>
      <c r="B141" s="193">
        <v>43513</v>
      </c>
      <c r="C141" s="194">
        <v>0.70763888888888893</v>
      </c>
      <c r="D141" s="195">
        <v>-1</v>
      </c>
    </row>
    <row r="142" spans="1:4" x14ac:dyDescent="0.25">
      <c r="A142" s="192">
        <v>141</v>
      </c>
      <c r="B142" s="193">
        <v>43514</v>
      </c>
      <c r="C142" s="194">
        <v>0.74027777777777781</v>
      </c>
      <c r="D142" s="195">
        <v>-1.4</v>
      </c>
    </row>
    <row r="143" spans="1:4" x14ac:dyDescent="0.25">
      <c r="A143" s="192">
        <v>142</v>
      </c>
      <c r="B143" s="193">
        <v>43515</v>
      </c>
      <c r="C143" s="194">
        <v>0.77152777777777781</v>
      </c>
      <c r="D143" s="195">
        <v>-1.5</v>
      </c>
    </row>
    <row r="144" spans="1:4" x14ac:dyDescent="0.25">
      <c r="A144" s="192">
        <v>143</v>
      </c>
      <c r="B144" s="193">
        <v>43516</v>
      </c>
      <c r="C144" s="194">
        <v>0.27777777777777779</v>
      </c>
      <c r="D144" s="195">
        <v>1.5</v>
      </c>
    </row>
    <row r="145" spans="1:4" x14ac:dyDescent="0.25">
      <c r="A145" s="192">
        <v>143</v>
      </c>
      <c r="B145" s="193">
        <v>43516</v>
      </c>
      <c r="C145" s="194">
        <v>0.80138888888888893</v>
      </c>
      <c r="D145" s="195">
        <v>-1.3</v>
      </c>
    </row>
    <row r="146" spans="1:4" x14ac:dyDescent="0.25">
      <c r="A146" s="192">
        <v>144</v>
      </c>
      <c r="B146" s="193">
        <v>43517</v>
      </c>
      <c r="C146" s="194">
        <v>0.3125</v>
      </c>
      <c r="D146" s="195">
        <v>1.1000000000000001</v>
      </c>
    </row>
    <row r="147" spans="1:4" x14ac:dyDescent="0.25">
      <c r="A147" s="192">
        <v>144</v>
      </c>
      <c r="B147" s="193">
        <v>43517</v>
      </c>
      <c r="C147" s="194">
        <v>0.8305555555555556</v>
      </c>
      <c r="D147" s="195">
        <v>-0.8</v>
      </c>
    </row>
    <row r="148" spans="1:4" x14ac:dyDescent="0.25">
      <c r="A148" s="192">
        <v>145</v>
      </c>
      <c r="B148" s="193">
        <v>43518</v>
      </c>
      <c r="C148" s="194">
        <v>0.34722222222222221</v>
      </c>
      <c r="D148" s="195">
        <v>0.8</v>
      </c>
    </row>
    <row r="149" spans="1:4" x14ac:dyDescent="0.25">
      <c r="A149" s="192">
        <v>145</v>
      </c>
      <c r="B149" s="193">
        <v>43518</v>
      </c>
      <c r="C149" s="194">
        <v>0.85902777777777772</v>
      </c>
      <c r="D149" s="195">
        <v>-0.1</v>
      </c>
    </row>
    <row r="150" spans="1:4" x14ac:dyDescent="0.25">
      <c r="A150" s="192">
        <v>146</v>
      </c>
      <c r="B150" s="193">
        <v>43519</v>
      </c>
      <c r="C150" s="194">
        <v>0.38333333333333336</v>
      </c>
      <c r="D150" s="195">
        <v>0.8</v>
      </c>
    </row>
    <row r="151" spans="1:4" x14ac:dyDescent="0.25">
      <c r="A151" s="192">
        <v>146</v>
      </c>
      <c r="B151" s="193">
        <v>43519</v>
      </c>
      <c r="C151" s="194">
        <v>0.88888888888888884</v>
      </c>
      <c r="D151" s="195">
        <v>0.8</v>
      </c>
    </row>
    <row r="152" spans="1:4" x14ac:dyDescent="0.25">
      <c r="A152" s="192">
        <v>147</v>
      </c>
      <c r="B152" s="193">
        <v>43520</v>
      </c>
      <c r="C152" s="194">
        <v>0.42152777777777778</v>
      </c>
      <c r="D152" s="195">
        <v>0.9</v>
      </c>
    </row>
    <row r="153" spans="1:4" x14ac:dyDescent="0.25">
      <c r="A153" s="192">
        <v>148</v>
      </c>
      <c r="B153" s="193">
        <v>43521</v>
      </c>
      <c r="C153" s="194">
        <v>0.46250000000000002</v>
      </c>
      <c r="D153" s="195">
        <v>1.1000000000000001</v>
      </c>
    </row>
    <row r="154" spans="1:4" x14ac:dyDescent="0.25">
      <c r="A154" s="192">
        <v>149</v>
      </c>
      <c r="B154" s="193">
        <v>43522</v>
      </c>
      <c r="C154" s="194">
        <v>0.50902777777777775</v>
      </c>
      <c r="D154" s="195">
        <v>1.3</v>
      </c>
    </row>
    <row r="155" spans="1:4" x14ac:dyDescent="0.25">
      <c r="A155" s="192">
        <v>150</v>
      </c>
      <c r="B155" s="193">
        <v>43523</v>
      </c>
      <c r="C155" s="194">
        <v>0.55833333333333335</v>
      </c>
      <c r="D155" s="195">
        <v>1.3</v>
      </c>
    </row>
    <row r="156" spans="1:4" x14ac:dyDescent="0.25">
      <c r="A156" s="192">
        <v>151</v>
      </c>
      <c r="B156" s="193">
        <v>43524</v>
      </c>
      <c r="C156" s="194">
        <v>0.60624999999999996</v>
      </c>
      <c r="D156" s="195">
        <v>1.2</v>
      </c>
    </row>
    <row r="157" spans="1:4" x14ac:dyDescent="0.25">
      <c r="A157" s="192">
        <v>152</v>
      </c>
      <c r="B157" s="193">
        <v>43525</v>
      </c>
      <c r="C157" s="194">
        <v>0.6479166666666667</v>
      </c>
      <c r="D157" s="195">
        <v>0.9</v>
      </c>
    </row>
    <row r="158" spans="1:4" x14ac:dyDescent="0.25">
      <c r="A158" s="192">
        <v>153</v>
      </c>
      <c r="B158" s="193">
        <v>43526</v>
      </c>
      <c r="C158" s="194">
        <v>0.68125000000000002</v>
      </c>
      <c r="D158" s="195">
        <v>0.6</v>
      </c>
    </row>
    <row r="159" spans="1:4" x14ac:dyDescent="0.25">
      <c r="A159" s="192">
        <v>154</v>
      </c>
      <c r="B159" s="193">
        <v>43527</v>
      </c>
      <c r="C159" s="194">
        <v>0.70972222222222225</v>
      </c>
      <c r="D159" s="195">
        <v>0.4</v>
      </c>
    </row>
    <row r="160" spans="1:4" x14ac:dyDescent="0.25">
      <c r="A160" s="192">
        <v>155</v>
      </c>
      <c r="B160" s="193">
        <v>43528</v>
      </c>
      <c r="C160" s="194">
        <v>0.73472222222222228</v>
      </c>
      <c r="D160" s="195">
        <v>0.2</v>
      </c>
    </row>
    <row r="161" spans="1:4" x14ac:dyDescent="0.25">
      <c r="A161" s="192">
        <v>156</v>
      </c>
      <c r="B161" s="193">
        <v>43529</v>
      </c>
      <c r="C161" s="194">
        <v>0.75694444444444442</v>
      </c>
      <c r="D161" s="195">
        <v>0.2</v>
      </c>
    </row>
    <row r="162" spans="1:4" x14ac:dyDescent="0.25">
      <c r="A162" s="192">
        <v>157</v>
      </c>
      <c r="B162" s="193">
        <v>43530</v>
      </c>
      <c r="C162" s="194">
        <v>0.77777777777777779</v>
      </c>
      <c r="D162" s="195">
        <v>0.2</v>
      </c>
    </row>
    <row r="163" spans="1:4" x14ac:dyDescent="0.25">
      <c r="A163" s="192">
        <v>158</v>
      </c>
      <c r="B163" s="193">
        <v>43531</v>
      </c>
      <c r="C163" s="194">
        <v>0.79861111111111116</v>
      </c>
      <c r="D163" s="195">
        <v>0.4</v>
      </c>
    </row>
    <row r="164" spans="1:4" x14ac:dyDescent="0.25">
      <c r="A164" s="192">
        <v>159</v>
      </c>
      <c r="B164" s="193">
        <v>43532</v>
      </c>
      <c r="C164" s="194">
        <v>0.31041666666666667</v>
      </c>
      <c r="D164" s="195">
        <v>1.5</v>
      </c>
    </row>
    <row r="165" spans="1:4" x14ac:dyDescent="0.25">
      <c r="A165" s="192">
        <v>159</v>
      </c>
      <c r="B165" s="193">
        <v>43532</v>
      </c>
      <c r="C165" s="194">
        <v>0.81874999999999998</v>
      </c>
      <c r="D165" s="195">
        <v>0.7</v>
      </c>
    </row>
    <row r="166" spans="1:4" x14ac:dyDescent="0.25">
      <c r="A166" s="192">
        <v>160</v>
      </c>
      <c r="B166" s="193">
        <v>43533</v>
      </c>
      <c r="C166" s="194">
        <v>0.33541666666666664</v>
      </c>
      <c r="D166" s="195">
        <v>1.4</v>
      </c>
    </row>
    <row r="167" spans="1:4" x14ac:dyDescent="0.25">
      <c r="A167" s="192">
        <v>160</v>
      </c>
      <c r="B167" s="193">
        <v>43533</v>
      </c>
      <c r="C167" s="194">
        <v>0.83958333333333335</v>
      </c>
      <c r="D167" s="195">
        <v>1.2</v>
      </c>
    </row>
    <row r="168" spans="1:4" x14ac:dyDescent="0.25">
      <c r="A168" s="192">
        <v>161</v>
      </c>
      <c r="B168" s="193">
        <v>43534</v>
      </c>
      <c r="C168" s="194">
        <v>0.40347222222222223</v>
      </c>
      <c r="D168" s="195">
        <v>1.2</v>
      </c>
    </row>
    <row r="169" spans="1:4" x14ac:dyDescent="0.25">
      <c r="A169" s="192">
        <v>161</v>
      </c>
      <c r="B169" s="193">
        <v>43534</v>
      </c>
      <c r="C169" s="194">
        <v>0.90277777777777779</v>
      </c>
      <c r="D169" s="195">
        <v>1.7</v>
      </c>
    </row>
    <row r="170" spans="1:4" x14ac:dyDescent="0.25">
      <c r="A170" s="192">
        <v>162</v>
      </c>
      <c r="B170" s="193">
        <v>43535</v>
      </c>
      <c r="C170" s="194">
        <v>0.43263888888888891</v>
      </c>
      <c r="D170" s="195">
        <v>1.2</v>
      </c>
    </row>
    <row r="171" spans="1:4" x14ac:dyDescent="0.25">
      <c r="A171" s="192">
        <v>163</v>
      </c>
      <c r="B171" s="193">
        <v>43536</v>
      </c>
      <c r="C171" s="194">
        <v>0.46666666666666667</v>
      </c>
      <c r="D171" s="195">
        <v>1.2</v>
      </c>
    </row>
    <row r="172" spans="1:4" x14ac:dyDescent="0.25">
      <c r="A172" s="192">
        <v>164</v>
      </c>
      <c r="B172" s="193">
        <v>43537</v>
      </c>
      <c r="C172" s="194">
        <v>0.50763888888888886</v>
      </c>
      <c r="D172" s="195">
        <v>1.1000000000000001</v>
      </c>
    </row>
    <row r="173" spans="1:4" x14ac:dyDescent="0.25">
      <c r="A173" s="192">
        <v>165</v>
      </c>
      <c r="B173" s="193">
        <v>43538</v>
      </c>
      <c r="C173" s="194">
        <v>0.55555555555555558</v>
      </c>
      <c r="D173" s="195">
        <v>1.1000000000000001</v>
      </c>
    </row>
    <row r="174" spans="1:4" x14ac:dyDescent="0.25">
      <c r="A174" s="192">
        <v>166</v>
      </c>
      <c r="B174" s="193">
        <v>43539</v>
      </c>
      <c r="C174" s="194">
        <v>0.6069444444444444</v>
      </c>
      <c r="D174" s="195">
        <v>0.8</v>
      </c>
    </row>
    <row r="175" spans="1:4" x14ac:dyDescent="0.25">
      <c r="A175" s="192">
        <v>167</v>
      </c>
      <c r="B175" s="193">
        <v>43540</v>
      </c>
      <c r="C175" s="194">
        <v>0.65486111111111112</v>
      </c>
      <c r="D175" s="195">
        <v>0.3</v>
      </c>
    </row>
    <row r="176" spans="1:4" x14ac:dyDescent="0.25">
      <c r="A176" s="192">
        <v>168</v>
      </c>
      <c r="B176" s="193">
        <v>43541</v>
      </c>
      <c r="C176" s="194">
        <v>0.69652777777777775</v>
      </c>
      <c r="D176" s="195">
        <v>-0.2</v>
      </c>
    </row>
    <row r="177" spans="1:4" x14ac:dyDescent="0.25">
      <c r="A177" s="192">
        <v>169</v>
      </c>
      <c r="B177" s="193">
        <v>43542</v>
      </c>
      <c r="C177" s="194">
        <v>0.73263888888888884</v>
      </c>
      <c r="D177" s="195">
        <v>-0.7</v>
      </c>
    </row>
    <row r="178" spans="1:4" x14ac:dyDescent="0.25">
      <c r="A178" s="192">
        <v>170</v>
      </c>
      <c r="B178" s="193">
        <v>43543</v>
      </c>
      <c r="C178" s="194">
        <v>0.76527777777777772</v>
      </c>
      <c r="D178" s="195">
        <v>-0.9</v>
      </c>
    </row>
    <row r="179" spans="1:4" x14ac:dyDescent="0.25">
      <c r="A179" s="192">
        <v>171</v>
      </c>
      <c r="B179" s="193">
        <v>43544</v>
      </c>
      <c r="C179" s="194">
        <v>0.27708333333333335</v>
      </c>
      <c r="D179" s="195">
        <v>1</v>
      </c>
    </row>
    <row r="180" spans="1:4" x14ac:dyDescent="0.25">
      <c r="A180" s="192">
        <v>171</v>
      </c>
      <c r="B180" s="193">
        <v>43544</v>
      </c>
      <c r="C180" s="194">
        <v>0.79583333333333328</v>
      </c>
      <c r="D180" s="195">
        <v>-0.8</v>
      </c>
    </row>
    <row r="181" spans="1:4" x14ac:dyDescent="0.25">
      <c r="A181" s="192">
        <v>172</v>
      </c>
      <c r="B181" s="193">
        <v>43545</v>
      </c>
      <c r="C181" s="194">
        <v>0.31041666666666667</v>
      </c>
      <c r="D181" s="195">
        <v>0.3</v>
      </c>
    </row>
    <row r="182" spans="1:4" x14ac:dyDescent="0.25">
      <c r="A182" s="192">
        <v>172</v>
      </c>
      <c r="B182" s="193">
        <v>43545</v>
      </c>
      <c r="C182" s="194">
        <v>0.82499999999999996</v>
      </c>
      <c r="D182" s="195">
        <v>-0.5</v>
      </c>
    </row>
    <row r="183" spans="1:4" x14ac:dyDescent="0.25">
      <c r="A183" s="192">
        <v>173</v>
      </c>
      <c r="B183" s="193">
        <v>43546</v>
      </c>
      <c r="C183" s="194">
        <v>0.34305555555555556</v>
      </c>
      <c r="D183" s="195">
        <v>-0.2</v>
      </c>
    </row>
    <row r="184" spans="1:4" x14ac:dyDescent="0.25">
      <c r="A184" s="192">
        <v>173</v>
      </c>
      <c r="B184" s="193">
        <v>43546</v>
      </c>
      <c r="C184" s="194">
        <v>0.85277777777777775</v>
      </c>
      <c r="D184" s="195">
        <v>0</v>
      </c>
    </row>
    <row r="185" spans="1:4" x14ac:dyDescent="0.25">
      <c r="A185" s="192">
        <v>174</v>
      </c>
      <c r="B185" s="193">
        <v>43547</v>
      </c>
      <c r="C185" s="194">
        <v>0.37569444444444444</v>
      </c>
      <c r="D185" s="195">
        <v>-0.3</v>
      </c>
    </row>
    <row r="186" spans="1:4" x14ac:dyDescent="0.25">
      <c r="A186" s="192">
        <v>174</v>
      </c>
      <c r="B186" s="193">
        <v>43547</v>
      </c>
      <c r="C186" s="194">
        <v>0.88124999999999998</v>
      </c>
      <c r="D186" s="195">
        <v>0.8</v>
      </c>
    </row>
    <row r="187" spans="1:4" x14ac:dyDescent="0.25">
      <c r="A187" s="192">
        <v>175</v>
      </c>
      <c r="B187" s="193">
        <v>43548</v>
      </c>
      <c r="C187" s="194">
        <v>0.40902777777777777</v>
      </c>
      <c r="D187" s="195">
        <v>-0.3</v>
      </c>
    </row>
    <row r="188" spans="1:4" x14ac:dyDescent="0.25">
      <c r="A188" s="192">
        <v>175</v>
      </c>
      <c r="B188" s="193">
        <v>43548</v>
      </c>
      <c r="C188" s="194">
        <v>0.90972222222222221</v>
      </c>
      <c r="D188" s="195">
        <v>1.6</v>
      </c>
    </row>
    <row r="189" spans="1:4" x14ac:dyDescent="0.25">
      <c r="A189" s="192">
        <v>176</v>
      </c>
      <c r="B189" s="193">
        <v>43549</v>
      </c>
      <c r="C189" s="194">
        <v>0.44305555555555554</v>
      </c>
      <c r="D189" s="195">
        <v>0</v>
      </c>
    </row>
    <row r="190" spans="1:4" x14ac:dyDescent="0.25">
      <c r="A190" s="192">
        <v>177</v>
      </c>
      <c r="B190" s="193">
        <v>43550</v>
      </c>
      <c r="C190" s="194">
        <v>0.47986111111111113</v>
      </c>
      <c r="D190" s="195">
        <v>0.4</v>
      </c>
    </row>
    <row r="191" spans="1:4" x14ac:dyDescent="0.25">
      <c r="A191" s="192">
        <v>178</v>
      </c>
      <c r="B191" s="193">
        <v>43551</v>
      </c>
      <c r="C191" s="194">
        <v>0.52083333333333337</v>
      </c>
      <c r="D191" s="195">
        <v>0.9</v>
      </c>
    </row>
    <row r="192" spans="1:4" x14ac:dyDescent="0.25">
      <c r="A192" s="192">
        <v>179</v>
      </c>
      <c r="B192" s="193">
        <v>43552</v>
      </c>
      <c r="C192" s="194">
        <v>0.56736111111111109</v>
      </c>
      <c r="D192" s="195">
        <v>1.2</v>
      </c>
    </row>
    <row r="193" spans="1:4" x14ac:dyDescent="0.25">
      <c r="A193" s="192">
        <v>180</v>
      </c>
      <c r="B193" s="193">
        <v>43553</v>
      </c>
      <c r="C193" s="194">
        <v>0.61597222222222225</v>
      </c>
      <c r="D193" s="195">
        <v>1.3</v>
      </c>
    </row>
    <row r="194" spans="1:4" x14ac:dyDescent="0.25">
      <c r="A194" s="192">
        <v>181</v>
      </c>
      <c r="B194" s="193">
        <v>43554</v>
      </c>
      <c r="C194" s="194">
        <v>0.65972222222222221</v>
      </c>
      <c r="D194" s="195">
        <v>1.2</v>
      </c>
    </row>
    <row r="195" spans="1:4" x14ac:dyDescent="0.25">
      <c r="A195" s="192">
        <v>182</v>
      </c>
      <c r="B195" s="193">
        <v>43555</v>
      </c>
      <c r="C195" s="194">
        <v>0.69513888888888886</v>
      </c>
      <c r="D195" s="195">
        <v>1</v>
      </c>
    </row>
    <row r="196" spans="1:4" x14ac:dyDescent="0.25">
      <c r="A196" s="192">
        <v>183</v>
      </c>
      <c r="B196" s="193">
        <v>43556</v>
      </c>
      <c r="C196" s="194">
        <v>0.72499999999999998</v>
      </c>
      <c r="D196" s="195">
        <v>0.8</v>
      </c>
    </row>
    <row r="197" spans="1:4" x14ac:dyDescent="0.25">
      <c r="A197" s="192">
        <v>184</v>
      </c>
      <c r="B197" s="193">
        <v>43557</v>
      </c>
      <c r="C197" s="194">
        <v>0.75</v>
      </c>
      <c r="D197" s="195">
        <v>0.7</v>
      </c>
    </row>
    <row r="198" spans="1:4" x14ac:dyDescent="0.25">
      <c r="A198" s="192">
        <v>185</v>
      </c>
      <c r="B198" s="193">
        <v>43558</v>
      </c>
      <c r="C198" s="194">
        <v>0.26319444444444445</v>
      </c>
      <c r="D198" s="195">
        <v>1.6</v>
      </c>
    </row>
    <row r="199" spans="1:4" x14ac:dyDescent="0.25">
      <c r="A199" s="192">
        <v>185</v>
      </c>
      <c r="B199" s="193">
        <v>43558</v>
      </c>
      <c r="C199" s="194">
        <v>0.77361111111111114</v>
      </c>
      <c r="D199" s="195">
        <v>0.7</v>
      </c>
    </row>
    <row r="200" spans="1:4" x14ac:dyDescent="0.25">
      <c r="A200" s="192">
        <v>186</v>
      </c>
      <c r="B200" s="193">
        <v>43559</v>
      </c>
      <c r="C200" s="194">
        <v>0.28819444444444442</v>
      </c>
      <c r="D200" s="195">
        <v>1.1000000000000001</v>
      </c>
    </row>
    <row r="201" spans="1:4" x14ac:dyDescent="0.25">
      <c r="A201" s="192">
        <v>186</v>
      </c>
      <c r="B201" s="193">
        <v>43559</v>
      </c>
      <c r="C201" s="194">
        <v>0.79513888888888884</v>
      </c>
      <c r="D201" s="195">
        <v>0.8</v>
      </c>
    </row>
    <row r="202" spans="1:4" x14ac:dyDescent="0.25">
      <c r="A202" s="192">
        <v>187</v>
      </c>
      <c r="B202" s="193">
        <v>43560</v>
      </c>
      <c r="C202" s="194">
        <v>0.3125</v>
      </c>
      <c r="D202" s="195">
        <v>0.7</v>
      </c>
    </row>
    <row r="203" spans="1:4" x14ac:dyDescent="0.25">
      <c r="A203" s="192">
        <v>187</v>
      </c>
      <c r="B203" s="193">
        <v>43560</v>
      </c>
      <c r="C203" s="194">
        <v>0.81666666666666665</v>
      </c>
      <c r="D203" s="195">
        <v>1</v>
      </c>
    </row>
    <row r="204" spans="1:4" x14ac:dyDescent="0.25">
      <c r="A204" s="192">
        <v>188</v>
      </c>
      <c r="B204" s="193">
        <v>43561</v>
      </c>
      <c r="C204" s="194">
        <v>0.33680555555555558</v>
      </c>
      <c r="D204" s="195">
        <v>0.3</v>
      </c>
    </row>
    <row r="205" spans="1:4" x14ac:dyDescent="0.25">
      <c r="A205" s="192">
        <v>188</v>
      </c>
      <c r="B205" s="193">
        <v>43561</v>
      </c>
      <c r="C205" s="194">
        <v>0.83819444444444446</v>
      </c>
      <c r="D205" s="195">
        <v>1.3</v>
      </c>
    </row>
    <row r="206" spans="1:4" x14ac:dyDescent="0.25">
      <c r="A206" s="192">
        <v>189</v>
      </c>
      <c r="B206" s="193">
        <v>43562</v>
      </c>
      <c r="C206" s="194">
        <v>0.36180555555555555</v>
      </c>
      <c r="D206" s="195">
        <v>0.1</v>
      </c>
    </row>
    <row r="207" spans="1:4" x14ac:dyDescent="0.25">
      <c r="A207" s="192">
        <v>190</v>
      </c>
      <c r="B207" s="193">
        <v>43563</v>
      </c>
      <c r="C207" s="194">
        <v>0.3888888888888889</v>
      </c>
      <c r="D207" s="195">
        <v>0</v>
      </c>
    </row>
    <row r="208" spans="1:4" x14ac:dyDescent="0.25">
      <c r="A208" s="192">
        <v>191</v>
      </c>
      <c r="B208" s="193">
        <v>43564</v>
      </c>
      <c r="C208" s="194">
        <v>0.41805555555555557</v>
      </c>
      <c r="D208" s="195">
        <v>0</v>
      </c>
    </row>
    <row r="209" spans="1:4" x14ac:dyDescent="0.25">
      <c r="A209" s="192">
        <v>192</v>
      </c>
      <c r="B209" s="193">
        <v>43565</v>
      </c>
      <c r="C209" s="194">
        <v>0.4513888888888889</v>
      </c>
      <c r="D209" s="195">
        <v>0.1</v>
      </c>
    </row>
    <row r="210" spans="1:4" x14ac:dyDescent="0.25">
      <c r="A210" s="192">
        <v>193</v>
      </c>
      <c r="B210" s="193">
        <v>43566</v>
      </c>
      <c r="C210" s="194">
        <v>0.4909722222222222</v>
      </c>
      <c r="D210" s="195">
        <v>0.2</v>
      </c>
    </row>
    <row r="211" spans="1:4" x14ac:dyDescent="0.25">
      <c r="A211" s="192">
        <v>194</v>
      </c>
      <c r="B211" s="193">
        <v>43567</v>
      </c>
      <c r="C211" s="194">
        <v>0.53680555555555554</v>
      </c>
      <c r="D211" s="195">
        <v>0.4</v>
      </c>
    </row>
    <row r="212" spans="1:4" x14ac:dyDescent="0.25">
      <c r="A212" s="192">
        <v>195</v>
      </c>
      <c r="B212" s="193">
        <v>43568</v>
      </c>
      <c r="C212" s="194">
        <v>0.58611111111111114</v>
      </c>
      <c r="D212" s="195">
        <v>0.3</v>
      </c>
    </row>
    <row r="213" spans="1:4" x14ac:dyDescent="0.25">
      <c r="A213" s="192">
        <v>196</v>
      </c>
      <c r="B213" s="193">
        <v>43569</v>
      </c>
      <c r="C213" s="194">
        <v>0.63402777777777775</v>
      </c>
      <c r="D213" s="195">
        <v>0.2</v>
      </c>
    </row>
    <row r="214" spans="1:4" x14ac:dyDescent="0.25">
      <c r="A214" s="192">
        <v>197</v>
      </c>
      <c r="B214" s="193">
        <v>43570</v>
      </c>
      <c r="C214" s="194">
        <v>0.67569444444444449</v>
      </c>
      <c r="D214" s="195">
        <v>0</v>
      </c>
    </row>
    <row r="215" spans="1:4" x14ac:dyDescent="0.25">
      <c r="A215" s="192">
        <v>198</v>
      </c>
      <c r="B215" s="193">
        <v>43571</v>
      </c>
      <c r="C215" s="194">
        <v>0.19583333333333333</v>
      </c>
      <c r="D215" s="195">
        <v>1.7</v>
      </c>
    </row>
    <row r="216" spans="1:4" x14ac:dyDescent="0.25">
      <c r="A216" s="192">
        <v>198</v>
      </c>
      <c r="B216" s="193">
        <v>43571</v>
      </c>
      <c r="C216" s="194">
        <v>0.71250000000000002</v>
      </c>
      <c r="D216" s="195">
        <v>-0.1</v>
      </c>
    </row>
    <row r="217" spans="1:4" x14ac:dyDescent="0.25">
      <c r="A217" s="192">
        <v>199</v>
      </c>
      <c r="B217" s="193">
        <v>43572</v>
      </c>
      <c r="C217" s="194">
        <v>0.23402777777777778</v>
      </c>
      <c r="D217" s="195">
        <v>0.7</v>
      </c>
    </row>
    <row r="218" spans="1:4" x14ac:dyDescent="0.25">
      <c r="A218" s="192">
        <v>199</v>
      </c>
      <c r="B218" s="193">
        <v>43572</v>
      </c>
      <c r="C218" s="194">
        <v>0.74513888888888891</v>
      </c>
      <c r="D218" s="195">
        <v>-0.1</v>
      </c>
    </row>
    <row r="219" spans="1:4" x14ac:dyDescent="0.25">
      <c r="A219" s="192">
        <v>200</v>
      </c>
      <c r="B219" s="193">
        <v>43573</v>
      </c>
      <c r="C219" s="194">
        <v>0.26805555555555555</v>
      </c>
      <c r="D219" s="195">
        <v>-0.1</v>
      </c>
    </row>
    <row r="220" spans="1:4" x14ac:dyDescent="0.25">
      <c r="A220" s="192">
        <v>200</v>
      </c>
      <c r="B220" s="193">
        <v>43573</v>
      </c>
      <c r="C220" s="194">
        <v>0.77569444444444446</v>
      </c>
      <c r="D220" s="195">
        <v>0.1</v>
      </c>
    </row>
    <row r="221" spans="1:4" x14ac:dyDescent="0.25">
      <c r="A221" s="192">
        <v>201</v>
      </c>
      <c r="B221" s="193">
        <v>43574</v>
      </c>
      <c r="C221" s="194">
        <v>0.30069444444444443</v>
      </c>
      <c r="D221" s="195">
        <v>-0.7</v>
      </c>
    </row>
    <row r="222" spans="1:4" x14ac:dyDescent="0.25">
      <c r="A222" s="192">
        <v>201</v>
      </c>
      <c r="B222" s="193">
        <v>43574</v>
      </c>
      <c r="C222" s="194">
        <v>0.80555555555555558</v>
      </c>
      <c r="D222" s="195">
        <v>0.5</v>
      </c>
    </row>
    <row r="223" spans="1:4" x14ac:dyDescent="0.25">
      <c r="A223" s="192">
        <v>202</v>
      </c>
      <c r="B223" s="193">
        <v>43575</v>
      </c>
      <c r="C223" s="194">
        <v>0.33194444444444443</v>
      </c>
      <c r="D223" s="195">
        <v>-1.1000000000000001</v>
      </c>
    </row>
    <row r="224" spans="1:4" x14ac:dyDescent="0.25">
      <c r="A224" s="192">
        <v>202</v>
      </c>
      <c r="B224" s="193">
        <v>43575</v>
      </c>
      <c r="C224" s="194">
        <v>0.83402777777777781</v>
      </c>
      <c r="D224" s="195">
        <v>1</v>
      </c>
    </row>
    <row r="225" spans="1:4" x14ac:dyDescent="0.25">
      <c r="A225" s="192">
        <v>203</v>
      </c>
      <c r="B225" s="193">
        <v>43576</v>
      </c>
      <c r="C225" s="194">
        <v>0.36249999999999999</v>
      </c>
      <c r="D225" s="195">
        <v>-1.2</v>
      </c>
    </row>
    <row r="226" spans="1:4" x14ac:dyDescent="0.25">
      <c r="A226" s="192">
        <v>203</v>
      </c>
      <c r="B226" s="193">
        <v>43576</v>
      </c>
      <c r="C226" s="194">
        <v>0.8618055555555556</v>
      </c>
      <c r="D226" s="195">
        <v>1.6</v>
      </c>
    </row>
    <row r="227" spans="1:4" x14ac:dyDescent="0.25">
      <c r="A227" s="192">
        <v>204</v>
      </c>
      <c r="B227" s="193">
        <v>43577</v>
      </c>
      <c r="C227" s="194">
        <v>0.3923611111111111</v>
      </c>
      <c r="D227" s="195">
        <v>-1</v>
      </c>
    </row>
    <row r="228" spans="1:4" x14ac:dyDescent="0.25">
      <c r="A228" s="192">
        <v>205</v>
      </c>
      <c r="B228" s="193">
        <v>43578</v>
      </c>
      <c r="C228" s="194">
        <v>0.4236111111111111</v>
      </c>
      <c r="D228" s="195">
        <v>-0.6</v>
      </c>
    </row>
    <row r="229" spans="1:4" x14ac:dyDescent="0.25">
      <c r="A229" s="192">
        <v>206</v>
      </c>
      <c r="B229" s="193">
        <v>43579</v>
      </c>
      <c r="C229" s="194">
        <v>0.45694444444444443</v>
      </c>
      <c r="D229" s="195">
        <v>-0.1</v>
      </c>
    </row>
    <row r="230" spans="1:4" x14ac:dyDescent="0.25">
      <c r="A230" s="192">
        <v>207</v>
      </c>
      <c r="B230" s="193">
        <v>43580</v>
      </c>
      <c r="C230" s="194">
        <v>0.49305555555555558</v>
      </c>
      <c r="D230" s="195">
        <v>0.4</v>
      </c>
    </row>
    <row r="231" spans="1:4" x14ac:dyDescent="0.25">
      <c r="A231" s="192">
        <v>208</v>
      </c>
      <c r="B231" s="193">
        <v>43581</v>
      </c>
      <c r="C231" s="194">
        <v>0.53333333333333333</v>
      </c>
      <c r="D231" s="195">
        <v>0.8</v>
      </c>
    </row>
    <row r="232" spans="1:4" x14ac:dyDescent="0.25">
      <c r="A232" s="192">
        <v>209</v>
      </c>
      <c r="B232" s="193">
        <v>43582</v>
      </c>
      <c r="C232" s="194">
        <v>0.57708333333333328</v>
      </c>
      <c r="D232" s="195">
        <v>1.1000000000000001</v>
      </c>
    </row>
    <row r="233" spans="1:4" x14ac:dyDescent="0.25">
      <c r="A233" s="192">
        <v>210</v>
      </c>
      <c r="B233" s="193">
        <v>43583</v>
      </c>
      <c r="C233" s="194">
        <v>0.62013888888888891</v>
      </c>
      <c r="D233" s="195">
        <v>1.2</v>
      </c>
    </row>
    <row r="234" spans="1:4" x14ac:dyDescent="0.25">
      <c r="A234" s="192">
        <v>211</v>
      </c>
      <c r="B234" s="193">
        <v>43584</v>
      </c>
      <c r="C234" s="194">
        <v>0.65763888888888888</v>
      </c>
      <c r="D234" s="195">
        <v>1.2</v>
      </c>
    </row>
    <row r="235" spans="1:4" x14ac:dyDescent="0.25">
      <c r="A235" s="192">
        <v>212</v>
      </c>
      <c r="B235" s="193">
        <v>43585</v>
      </c>
      <c r="C235" s="194">
        <v>0.68958333333333333</v>
      </c>
      <c r="D235" s="195">
        <v>1.2</v>
      </c>
    </row>
    <row r="236" spans="1:4" x14ac:dyDescent="0.25">
      <c r="A236" s="192">
        <v>213</v>
      </c>
      <c r="B236" s="193">
        <v>43586</v>
      </c>
      <c r="C236" s="194">
        <v>0.21666666666666667</v>
      </c>
      <c r="D236" s="195">
        <v>1.5</v>
      </c>
    </row>
    <row r="237" spans="1:4" x14ac:dyDescent="0.25">
      <c r="A237" s="192">
        <v>213</v>
      </c>
      <c r="B237" s="193">
        <v>43586</v>
      </c>
      <c r="C237" s="194">
        <v>0.71805555555555556</v>
      </c>
      <c r="D237" s="195">
        <v>1.2</v>
      </c>
    </row>
    <row r="238" spans="1:4" x14ac:dyDescent="0.25">
      <c r="A238" s="192">
        <v>214</v>
      </c>
      <c r="B238" s="193">
        <v>43587</v>
      </c>
      <c r="C238" s="194">
        <v>0.24444444444444444</v>
      </c>
      <c r="D238" s="195">
        <v>0.9</v>
      </c>
    </row>
    <row r="239" spans="1:4" x14ac:dyDescent="0.25">
      <c r="A239" s="192">
        <v>214</v>
      </c>
      <c r="B239" s="193">
        <v>43587</v>
      </c>
      <c r="C239" s="194">
        <v>0.74375000000000002</v>
      </c>
      <c r="D239" s="195">
        <v>1.3</v>
      </c>
    </row>
    <row r="240" spans="1:4" x14ac:dyDescent="0.25">
      <c r="A240" s="192">
        <v>215</v>
      </c>
      <c r="B240" s="193">
        <v>43588</v>
      </c>
      <c r="C240" s="194">
        <v>0.27013888888888887</v>
      </c>
      <c r="D240" s="195">
        <v>0.2</v>
      </c>
    </row>
    <row r="241" spans="1:4" x14ac:dyDescent="0.25">
      <c r="A241" s="192">
        <v>215</v>
      </c>
      <c r="B241" s="193">
        <v>43588</v>
      </c>
      <c r="C241" s="194">
        <v>0.76875000000000004</v>
      </c>
      <c r="D241" s="195">
        <v>1.4</v>
      </c>
    </row>
    <row r="242" spans="1:4" x14ac:dyDescent="0.25">
      <c r="A242" s="192">
        <v>216</v>
      </c>
      <c r="B242" s="193">
        <v>43589</v>
      </c>
      <c r="C242" s="194">
        <v>0.29583333333333334</v>
      </c>
      <c r="D242" s="195">
        <v>-0.3</v>
      </c>
    </row>
    <row r="243" spans="1:4" x14ac:dyDescent="0.25">
      <c r="A243" s="192">
        <v>216</v>
      </c>
      <c r="B243" s="193">
        <v>43589</v>
      </c>
      <c r="C243" s="194">
        <v>0.79305555555555551</v>
      </c>
      <c r="D243" s="195">
        <v>1.7</v>
      </c>
    </row>
    <row r="244" spans="1:4" x14ac:dyDescent="0.25">
      <c r="A244" s="192">
        <v>217</v>
      </c>
      <c r="B244" s="193">
        <v>43590</v>
      </c>
      <c r="C244" s="194">
        <v>0.3215277777777778</v>
      </c>
      <c r="D244" s="195">
        <v>-0.7</v>
      </c>
    </row>
    <row r="245" spans="1:4" x14ac:dyDescent="0.25">
      <c r="A245" s="192">
        <v>218</v>
      </c>
      <c r="B245" s="193">
        <v>43591</v>
      </c>
      <c r="C245" s="194">
        <v>0.34861111111111109</v>
      </c>
      <c r="D245" s="195">
        <v>-1</v>
      </c>
    </row>
    <row r="246" spans="1:4" x14ac:dyDescent="0.25">
      <c r="A246" s="192">
        <v>219</v>
      </c>
      <c r="B246" s="193">
        <v>43592</v>
      </c>
      <c r="C246" s="194">
        <v>0.37638888888888888</v>
      </c>
      <c r="D246" s="195">
        <v>-1.1000000000000001</v>
      </c>
    </row>
    <row r="247" spans="1:4" x14ac:dyDescent="0.25">
      <c r="A247" s="192">
        <v>220</v>
      </c>
      <c r="B247" s="193">
        <v>43593</v>
      </c>
      <c r="C247" s="194">
        <v>0.40763888888888888</v>
      </c>
      <c r="D247" s="195">
        <v>-1.1000000000000001</v>
      </c>
    </row>
    <row r="248" spans="1:4" x14ac:dyDescent="0.25">
      <c r="A248" s="192">
        <v>221</v>
      </c>
      <c r="B248" s="193">
        <v>43594</v>
      </c>
      <c r="C248" s="194">
        <v>0.44097222222222221</v>
      </c>
      <c r="D248" s="195">
        <v>-0.9</v>
      </c>
    </row>
    <row r="249" spans="1:4" x14ac:dyDescent="0.25">
      <c r="A249" s="192">
        <v>222</v>
      </c>
      <c r="B249" s="193">
        <v>43595</v>
      </c>
      <c r="C249" s="194">
        <v>0.47916666666666669</v>
      </c>
      <c r="D249" s="195">
        <v>-0.6</v>
      </c>
    </row>
    <row r="250" spans="1:4" x14ac:dyDescent="0.25">
      <c r="A250" s="192">
        <v>223</v>
      </c>
      <c r="B250" s="193">
        <v>43596</v>
      </c>
      <c r="C250" s="194">
        <v>0.52152777777777781</v>
      </c>
      <c r="D250" s="195">
        <v>-0.3</v>
      </c>
    </row>
    <row r="251" spans="1:4" x14ac:dyDescent="0.25">
      <c r="A251" s="192">
        <v>224</v>
      </c>
      <c r="B251" s="193">
        <v>43597</v>
      </c>
      <c r="C251" s="194">
        <v>0.56666666666666665</v>
      </c>
      <c r="D251" s="195">
        <v>0</v>
      </c>
    </row>
    <row r="252" spans="1:4" x14ac:dyDescent="0.25">
      <c r="A252" s="192">
        <v>225</v>
      </c>
      <c r="B252" s="193">
        <v>43598</v>
      </c>
      <c r="C252" s="194">
        <v>0.61111111111111116</v>
      </c>
      <c r="D252" s="195">
        <v>0.2</v>
      </c>
    </row>
    <row r="253" spans="1:4" x14ac:dyDescent="0.25">
      <c r="A253" s="192">
        <v>226</v>
      </c>
      <c r="B253" s="193">
        <v>43599</v>
      </c>
      <c r="C253" s="194">
        <v>0.1451388888888889</v>
      </c>
      <c r="D253" s="195">
        <v>1.7</v>
      </c>
    </row>
    <row r="254" spans="1:4" x14ac:dyDescent="0.25">
      <c r="A254" s="192">
        <v>226</v>
      </c>
      <c r="B254" s="193">
        <v>43599</v>
      </c>
      <c r="C254" s="194">
        <v>0.65208333333333335</v>
      </c>
      <c r="D254" s="195">
        <v>0.4</v>
      </c>
    </row>
    <row r="255" spans="1:4" x14ac:dyDescent="0.25">
      <c r="A255" s="192">
        <v>227</v>
      </c>
      <c r="B255" s="193">
        <v>43600</v>
      </c>
      <c r="C255" s="194">
        <v>0.18819444444444444</v>
      </c>
      <c r="D255" s="195">
        <v>0.8</v>
      </c>
    </row>
    <row r="256" spans="1:4" x14ac:dyDescent="0.25">
      <c r="A256" s="192">
        <v>227</v>
      </c>
      <c r="B256" s="193">
        <v>43600</v>
      </c>
      <c r="C256" s="194">
        <v>0.68958333333333333</v>
      </c>
      <c r="D256" s="195">
        <v>0.6</v>
      </c>
    </row>
    <row r="257" spans="1:4" x14ac:dyDescent="0.25">
      <c r="A257" s="192">
        <v>228</v>
      </c>
      <c r="B257" s="193">
        <v>43601</v>
      </c>
      <c r="C257" s="194">
        <v>0.22569444444444445</v>
      </c>
      <c r="D257" s="195">
        <v>-0.1</v>
      </c>
    </row>
    <row r="258" spans="1:4" x14ac:dyDescent="0.25">
      <c r="A258" s="192">
        <v>228</v>
      </c>
      <c r="B258" s="193">
        <v>43601</v>
      </c>
      <c r="C258" s="194">
        <v>0.72361111111111109</v>
      </c>
      <c r="D258" s="195">
        <v>0.8</v>
      </c>
    </row>
    <row r="259" spans="1:4" x14ac:dyDescent="0.25">
      <c r="A259" s="192">
        <v>229</v>
      </c>
      <c r="B259" s="193">
        <v>43602</v>
      </c>
      <c r="C259" s="194">
        <v>0.2590277777777778</v>
      </c>
      <c r="D259" s="195">
        <v>-0.9</v>
      </c>
    </row>
    <row r="260" spans="1:4" x14ac:dyDescent="0.25">
      <c r="A260" s="192">
        <v>229</v>
      </c>
      <c r="B260" s="193">
        <v>43602</v>
      </c>
      <c r="C260" s="194">
        <v>0.75624999999999998</v>
      </c>
      <c r="D260" s="195">
        <v>1.1000000000000001</v>
      </c>
    </row>
    <row r="261" spans="1:4" x14ac:dyDescent="0.25">
      <c r="A261" s="192">
        <v>230</v>
      </c>
      <c r="B261" s="193">
        <v>43603</v>
      </c>
      <c r="C261" s="194">
        <v>0.2902777777777778</v>
      </c>
      <c r="D261" s="195">
        <v>-1.4</v>
      </c>
    </row>
    <row r="262" spans="1:4" x14ac:dyDescent="0.25">
      <c r="A262" s="192">
        <v>230</v>
      </c>
      <c r="B262" s="193">
        <v>43603</v>
      </c>
      <c r="C262" s="194">
        <v>0.78680555555555554</v>
      </c>
      <c r="D262" s="195">
        <v>1.5</v>
      </c>
    </row>
    <row r="263" spans="1:4" x14ac:dyDescent="0.25">
      <c r="A263" s="192">
        <v>231</v>
      </c>
      <c r="B263" s="193">
        <v>43604</v>
      </c>
      <c r="C263" s="194">
        <v>0.32013888888888886</v>
      </c>
      <c r="D263" s="195">
        <v>-1.6</v>
      </c>
    </row>
    <row r="264" spans="1:4" x14ac:dyDescent="0.25">
      <c r="A264" s="192">
        <v>232</v>
      </c>
      <c r="B264" s="193">
        <v>43605</v>
      </c>
      <c r="C264" s="194">
        <v>0.34930555555555554</v>
      </c>
      <c r="D264" s="195">
        <v>-1.6</v>
      </c>
    </row>
    <row r="265" spans="1:4" x14ac:dyDescent="0.25">
      <c r="A265" s="192">
        <v>233</v>
      </c>
      <c r="B265" s="193">
        <v>43606</v>
      </c>
      <c r="C265" s="194">
        <v>0.37777777777777777</v>
      </c>
      <c r="D265" s="195">
        <v>-1.4</v>
      </c>
    </row>
    <row r="266" spans="1:4" x14ac:dyDescent="0.25">
      <c r="A266" s="192">
        <v>234</v>
      </c>
      <c r="B266" s="193">
        <v>43607</v>
      </c>
      <c r="C266" s="194">
        <v>0.40625</v>
      </c>
      <c r="D266" s="195">
        <v>-1</v>
      </c>
    </row>
    <row r="267" spans="1:4" x14ac:dyDescent="0.25">
      <c r="A267" s="192">
        <v>235</v>
      </c>
      <c r="B267" s="193">
        <v>43608</v>
      </c>
      <c r="C267" s="194">
        <v>0.43611111111111112</v>
      </c>
      <c r="D267" s="195">
        <v>-0.5</v>
      </c>
    </row>
    <row r="268" spans="1:4" x14ac:dyDescent="0.25">
      <c r="A268" s="192">
        <v>236</v>
      </c>
      <c r="B268" s="193">
        <v>43609</v>
      </c>
      <c r="C268" s="194">
        <v>0.46736111111111112</v>
      </c>
      <c r="D268" s="195">
        <v>-0.1</v>
      </c>
    </row>
    <row r="269" spans="1:4" x14ac:dyDescent="0.25">
      <c r="A269" s="192">
        <v>237</v>
      </c>
      <c r="B269" s="193">
        <v>43610</v>
      </c>
      <c r="C269" s="194">
        <v>0.50138888888888888</v>
      </c>
      <c r="D269" s="195">
        <v>0.4</v>
      </c>
    </row>
    <row r="270" spans="1:4" x14ac:dyDescent="0.25">
      <c r="A270" s="192">
        <v>238</v>
      </c>
      <c r="B270" s="193">
        <v>43611</v>
      </c>
      <c r="C270" s="194">
        <v>0.53749999999999998</v>
      </c>
      <c r="D270" s="195">
        <v>0.8</v>
      </c>
    </row>
    <row r="271" spans="1:4" x14ac:dyDescent="0.25">
      <c r="A271" s="192">
        <v>239</v>
      </c>
      <c r="B271" s="193">
        <v>43612</v>
      </c>
      <c r="C271" s="194">
        <v>0.5756944444444444</v>
      </c>
      <c r="D271" s="195">
        <v>1.1000000000000001</v>
      </c>
    </row>
    <row r="272" spans="1:4" x14ac:dyDescent="0.25">
      <c r="A272" s="192">
        <v>240</v>
      </c>
      <c r="B272" s="193">
        <v>43613</v>
      </c>
      <c r="C272" s="194">
        <v>0.61319444444444449</v>
      </c>
      <c r="D272" s="195">
        <v>1.3</v>
      </c>
    </row>
    <row r="273" spans="1:4" x14ac:dyDescent="0.25">
      <c r="A273" s="192">
        <v>241</v>
      </c>
      <c r="B273" s="193">
        <v>43614</v>
      </c>
      <c r="C273" s="194">
        <v>0.6479166666666667</v>
      </c>
      <c r="D273" s="195">
        <v>1.5</v>
      </c>
    </row>
    <row r="274" spans="1:4" x14ac:dyDescent="0.25">
      <c r="A274" s="192">
        <v>242</v>
      </c>
      <c r="B274" s="193">
        <v>43615</v>
      </c>
      <c r="C274" s="194">
        <v>0.19236111111111112</v>
      </c>
      <c r="D274" s="195">
        <v>1.1000000000000001</v>
      </c>
    </row>
    <row r="275" spans="1:4" x14ac:dyDescent="0.25">
      <c r="A275" s="192">
        <v>242</v>
      </c>
      <c r="B275" s="193">
        <v>43615</v>
      </c>
      <c r="C275" s="194">
        <v>0.68055555555555558</v>
      </c>
      <c r="D275" s="195">
        <v>1.7</v>
      </c>
    </row>
    <row r="276" spans="1:4" x14ac:dyDescent="0.25">
      <c r="A276" s="192">
        <v>243</v>
      </c>
      <c r="B276" s="193">
        <v>43616</v>
      </c>
      <c r="C276" s="194">
        <v>0.22291666666666668</v>
      </c>
      <c r="D276" s="195">
        <v>0.3</v>
      </c>
    </row>
    <row r="277" spans="1:4" x14ac:dyDescent="0.25">
      <c r="A277" s="192">
        <v>244</v>
      </c>
      <c r="B277" s="193">
        <v>43617</v>
      </c>
      <c r="C277" s="194">
        <v>0.25138888888888888</v>
      </c>
      <c r="D277" s="195">
        <v>-0.4</v>
      </c>
    </row>
    <row r="278" spans="1:4" x14ac:dyDescent="0.25">
      <c r="A278" s="192">
        <v>245</v>
      </c>
      <c r="B278" s="193">
        <v>43618</v>
      </c>
      <c r="C278" s="194">
        <v>0.27916666666666667</v>
      </c>
      <c r="D278" s="195">
        <v>-1</v>
      </c>
    </row>
    <row r="279" spans="1:4" x14ac:dyDescent="0.25">
      <c r="A279" s="192">
        <v>246</v>
      </c>
      <c r="B279" s="193">
        <v>43619</v>
      </c>
      <c r="C279" s="194">
        <v>0.30763888888888891</v>
      </c>
      <c r="D279" s="195">
        <v>-1.5</v>
      </c>
    </row>
    <row r="280" spans="1:4" x14ac:dyDescent="0.25">
      <c r="A280" s="192">
        <v>247</v>
      </c>
      <c r="B280" s="193">
        <v>43620</v>
      </c>
      <c r="C280" s="194">
        <v>0.33611111111111114</v>
      </c>
      <c r="D280" s="195">
        <v>-1.8</v>
      </c>
    </row>
    <row r="281" spans="1:4" x14ac:dyDescent="0.25">
      <c r="A281" s="192">
        <v>248</v>
      </c>
      <c r="B281" s="193">
        <v>43621</v>
      </c>
      <c r="C281" s="194">
        <v>0.3659722222222222</v>
      </c>
      <c r="D281" s="195">
        <v>-1.9</v>
      </c>
    </row>
    <row r="282" spans="1:4" x14ac:dyDescent="0.25">
      <c r="A282" s="192">
        <v>249</v>
      </c>
      <c r="B282" s="193">
        <v>43622</v>
      </c>
      <c r="C282" s="194">
        <v>0.39791666666666664</v>
      </c>
      <c r="D282" s="195">
        <v>-1.8</v>
      </c>
    </row>
    <row r="283" spans="1:4" x14ac:dyDescent="0.25">
      <c r="A283" s="192">
        <v>250</v>
      </c>
      <c r="B283" s="193">
        <v>43623</v>
      </c>
      <c r="C283" s="194">
        <v>0.43125000000000002</v>
      </c>
      <c r="D283" s="195">
        <v>-1.6</v>
      </c>
    </row>
    <row r="284" spans="1:4" x14ac:dyDescent="0.25">
      <c r="A284" s="192">
        <v>251</v>
      </c>
      <c r="B284" s="193">
        <v>43624</v>
      </c>
      <c r="C284" s="194">
        <v>0.46736111111111112</v>
      </c>
      <c r="D284" s="195">
        <v>-1.2</v>
      </c>
    </row>
    <row r="285" spans="1:4" x14ac:dyDescent="0.25">
      <c r="A285" s="192">
        <v>252</v>
      </c>
      <c r="B285" s="193">
        <v>43625</v>
      </c>
      <c r="C285" s="194">
        <v>0.50555555555555554</v>
      </c>
      <c r="D285" s="195">
        <v>-0.6</v>
      </c>
    </row>
    <row r="286" spans="1:4" x14ac:dyDescent="0.25">
      <c r="A286" s="192">
        <v>253</v>
      </c>
      <c r="B286" s="193">
        <v>43626</v>
      </c>
      <c r="C286" s="194">
        <v>0.54513888888888884</v>
      </c>
      <c r="D286" s="195">
        <v>-0.1</v>
      </c>
    </row>
    <row r="287" spans="1:4" x14ac:dyDescent="0.25">
      <c r="A287" s="192">
        <v>254</v>
      </c>
      <c r="B287" s="193">
        <v>43627</v>
      </c>
      <c r="C287" s="194">
        <v>8.611111111111111E-2</v>
      </c>
      <c r="D287" s="195">
        <v>1.7</v>
      </c>
    </row>
    <row r="288" spans="1:4" x14ac:dyDescent="0.25">
      <c r="A288" s="192">
        <v>254</v>
      </c>
      <c r="B288" s="193">
        <v>43627</v>
      </c>
      <c r="C288" s="194">
        <v>0.58680555555555558</v>
      </c>
      <c r="D288" s="195">
        <v>0.5</v>
      </c>
    </row>
    <row r="289" spans="1:4" x14ac:dyDescent="0.25">
      <c r="A289" s="192">
        <v>255</v>
      </c>
      <c r="B289" s="193">
        <v>43628</v>
      </c>
      <c r="C289" s="194">
        <v>0.13472222222222222</v>
      </c>
      <c r="D289" s="195">
        <v>0.9</v>
      </c>
    </row>
    <row r="290" spans="1:4" x14ac:dyDescent="0.25">
      <c r="A290" s="192">
        <v>255</v>
      </c>
      <c r="B290" s="193">
        <v>43628</v>
      </c>
      <c r="C290" s="194">
        <v>0.62777777777777777</v>
      </c>
      <c r="D290" s="195">
        <v>1</v>
      </c>
    </row>
    <row r="291" spans="1:4" x14ac:dyDescent="0.25">
      <c r="A291" s="192">
        <v>256</v>
      </c>
      <c r="B291" s="193">
        <v>43629</v>
      </c>
      <c r="C291" s="194">
        <v>0.17777777777777778</v>
      </c>
      <c r="D291" s="195">
        <v>0.1</v>
      </c>
    </row>
    <row r="292" spans="1:4" x14ac:dyDescent="0.25">
      <c r="A292" s="192">
        <v>256</v>
      </c>
      <c r="B292" s="193">
        <v>43629</v>
      </c>
      <c r="C292" s="194">
        <v>0.66666666666666663</v>
      </c>
      <c r="D292" s="195">
        <v>1.4</v>
      </c>
    </row>
    <row r="293" spans="1:4" x14ac:dyDescent="0.25">
      <c r="A293" s="192">
        <v>257</v>
      </c>
      <c r="B293" s="193">
        <v>43630</v>
      </c>
      <c r="C293" s="194">
        <v>0.21597222222222223</v>
      </c>
      <c r="D293" s="195">
        <v>-0.6</v>
      </c>
    </row>
    <row r="294" spans="1:4" x14ac:dyDescent="0.25">
      <c r="A294" s="192">
        <v>257</v>
      </c>
      <c r="B294" s="193">
        <v>43630</v>
      </c>
      <c r="C294" s="194">
        <v>0.70416666666666672</v>
      </c>
      <c r="D294" s="195">
        <v>1.7</v>
      </c>
    </row>
    <row r="295" spans="1:4" x14ac:dyDescent="0.25">
      <c r="A295" s="192">
        <v>258</v>
      </c>
      <c r="B295" s="193">
        <v>43631</v>
      </c>
      <c r="C295" s="194">
        <v>0.24930555555555556</v>
      </c>
      <c r="D295" s="195">
        <v>-1.2</v>
      </c>
    </row>
    <row r="296" spans="1:4" x14ac:dyDescent="0.25">
      <c r="A296" s="192">
        <v>259</v>
      </c>
      <c r="B296" s="193">
        <v>43632</v>
      </c>
      <c r="C296" s="194">
        <v>0.27986111111111112</v>
      </c>
      <c r="D296" s="195">
        <v>-1.5</v>
      </c>
    </row>
    <row r="297" spans="1:4" x14ac:dyDescent="0.25">
      <c r="A297" s="192">
        <v>260</v>
      </c>
      <c r="B297" s="193">
        <v>43633</v>
      </c>
      <c r="C297" s="194">
        <v>0.30902777777777779</v>
      </c>
      <c r="D297" s="195">
        <v>-1.7</v>
      </c>
    </row>
    <row r="298" spans="1:4" x14ac:dyDescent="0.25">
      <c r="A298" s="192">
        <v>261</v>
      </c>
      <c r="B298" s="193">
        <v>43634</v>
      </c>
      <c r="C298" s="194">
        <v>0.33680555555555558</v>
      </c>
      <c r="D298" s="195">
        <v>-1.6</v>
      </c>
    </row>
    <row r="299" spans="1:4" x14ac:dyDescent="0.25">
      <c r="A299" s="192">
        <v>262</v>
      </c>
      <c r="B299" s="193">
        <v>43635</v>
      </c>
      <c r="C299" s="194">
        <v>0.36319444444444443</v>
      </c>
      <c r="D299" s="195">
        <v>-1.4</v>
      </c>
    </row>
    <row r="300" spans="1:4" x14ac:dyDescent="0.25">
      <c r="A300" s="192">
        <v>263</v>
      </c>
      <c r="B300" s="193">
        <v>43636</v>
      </c>
      <c r="C300" s="194">
        <v>0.38958333333333334</v>
      </c>
      <c r="D300" s="195">
        <v>-1.1000000000000001</v>
      </c>
    </row>
    <row r="301" spans="1:4" x14ac:dyDescent="0.25">
      <c r="A301" s="192">
        <v>264</v>
      </c>
      <c r="B301" s="193">
        <v>43637</v>
      </c>
      <c r="C301" s="194">
        <v>0.41597222222222224</v>
      </c>
      <c r="D301" s="195">
        <v>-0.8</v>
      </c>
    </row>
    <row r="302" spans="1:4" x14ac:dyDescent="0.25">
      <c r="A302" s="192">
        <v>265</v>
      </c>
      <c r="B302" s="193">
        <v>43638</v>
      </c>
      <c r="C302" s="194">
        <v>0.44305555555555554</v>
      </c>
      <c r="D302" s="195">
        <v>-0.4</v>
      </c>
    </row>
    <row r="303" spans="1:4" x14ac:dyDescent="0.25">
      <c r="A303" s="192">
        <v>266</v>
      </c>
      <c r="B303" s="193">
        <v>43639</v>
      </c>
      <c r="C303" s="194">
        <v>0.47083333333333333</v>
      </c>
      <c r="D303" s="195">
        <v>0.1</v>
      </c>
    </row>
    <row r="304" spans="1:4" x14ac:dyDescent="0.25">
      <c r="A304" s="192">
        <v>267</v>
      </c>
      <c r="B304" s="193">
        <v>43640</v>
      </c>
      <c r="C304" s="194">
        <v>0.50069444444444444</v>
      </c>
      <c r="D304" s="195">
        <v>0.6</v>
      </c>
    </row>
    <row r="305" spans="1:4" x14ac:dyDescent="0.25">
      <c r="A305" s="192">
        <v>268</v>
      </c>
      <c r="B305" s="193">
        <v>43641</v>
      </c>
      <c r="C305" s="194">
        <v>0.53333333333333333</v>
      </c>
      <c r="D305" s="195">
        <v>1</v>
      </c>
    </row>
    <row r="306" spans="1:4" x14ac:dyDescent="0.25">
      <c r="A306" s="192">
        <v>269</v>
      </c>
      <c r="B306" s="193">
        <v>43642</v>
      </c>
      <c r="C306" s="194">
        <v>0.56805555555555554</v>
      </c>
      <c r="D306" s="195">
        <v>1.5</v>
      </c>
    </row>
    <row r="307" spans="1:4" x14ac:dyDescent="0.25">
      <c r="A307" s="192">
        <v>270</v>
      </c>
      <c r="B307" s="193">
        <v>43643</v>
      </c>
      <c r="C307" s="194">
        <v>0.12569444444444444</v>
      </c>
      <c r="D307" s="195">
        <v>1.5</v>
      </c>
    </row>
    <row r="308" spans="1:4" x14ac:dyDescent="0.25">
      <c r="A308" s="192">
        <v>271</v>
      </c>
      <c r="B308" s="193">
        <v>43644</v>
      </c>
      <c r="C308" s="194">
        <v>0.16458333333333333</v>
      </c>
      <c r="D308" s="195">
        <v>0.8</v>
      </c>
    </row>
    <row r="309" spans="1:4" x14ac:dyDescent="0.25">
      <c r="A309" s="192">
        <v>272</v>
      </c>
      <c r="B309" s="193">
        <v>43645</v>
      </c>
      <c r="C309" s="194">
        <v>0.19930555555555557</v>
      </c>
      <c r="D309" s="195">
        <v>0</v>
      </c>
    </row>
    <row r="310" spans="1:4" x14ac:dyDescent="0.25">
      <c r="A310" s="192">
        <v>273</v>
      </c>
      <c r="B310" s="193">
        <v>43646</v>
      </c>
      <c r="C310" s="194">
        <v>0.23194444444444445</v>
      </c>
      <c r="D310" s="195">
        <v>-0.8</v>
      </c>
    </row>
    <row r="311" spans="1:4" x14ac:dyDescent="0.25">
      <c r="A311" s="192">
        <v>274</v>
      </c>
      <c r="B311" s="193">
        <v>43647</v>
      </c>
      <c r="C311" s="194">
        <v>0.26250000000000001</v>
      </c>
      <c r="D311" s="195">
        <v>-1.4</v>
      </c>
    </row>
    <row r="312" spans="1:4" x14ac:dyDescent="0.25">
      <c r="A312" s="192">
        <v>275</v>
      </c>
      <c r="B312" s="193">
        <v>43648</v>
      </c>
      <c r="C312" s="194">
        <v>0.29375000000000001</v>
      </c>
      <c r="D312" s="195">
        <v>-1.9</v>
      </c>
    </row>
    <row r="313" spans="1:4" x14ac:dyDescent="0.25">
      <c r="A313" s="192">
        <v>276</v>
      </c>
      <c r="B313" s="193">
        <v>43649</v>
      </c>
      <c r="C313" s="194">
        <v>0.32430555555555557</v>
      </c>
      <c r="D313" s="195">
        <v>-2.2999999999999998</v>
      </c>
    </row>
    <row r="314" spans="1:4" x14ac:dyDescent="0.25">
      <c r="A314" s="192">
        <v>277</v>
      </c>
      <c r="B314" s="193">
        <v>43650</v>
      </c>
      <c r="C314" s="194">
        <v>0.35555555555555557</v>
      </c>
      <c r="D314" s="195">
        <v>-2.4</v>
      </c>
    </row>
    <row r="315" spans="1:4" x14ac:dyDescent="0.25">
      <c r="A315" s="192">
        <v>278</v>
      </c>
      <c r="B315" s="193">
        <v>43651</v>
      </c>
      <c r="C315" s="194">
        <v>0.38680555555555557</v>
      </c>
      <c r="D315" s="195">
        <v>-2.2000000000000002</v>
      </c>
    </row>
    <row r="316" spans="1:4" x14ac:dyDescent="0.25">
      <c r="A316" s="192">
        <v>279</v>
      </c>
      <c r="B316" s="193">
        <v>43652</v>
      </c>
      <c r="C316" s="194">
        <v>0.41875000000000001</v>
      </c>
      <c r="D316" s="195">
        <v>-1.9</v>
      </c>
    </row>
    <row r="317" spans="1:4" x14ac:dyDescent="0.25">
      <c r="A317" s="192">
        <v>280</v>
      </c>
      <c r="B317" s="193">
        <v>43653</v>
      </c>
      <c r="C317" s="194">
        <v>0.45208333333333334</v>
      </c>
      <c r="D317" s="195">
        <v>-1.3</v>
      </c>
    </row>
    <row r="318" spans="1:4" x14ac:dyDescent="0.25">
      <c r="A318" s="192">
        <v>280</v>
      </c>
      <c r="B318" s="193">
        <v>43653</v>
      </c>
      <c r="C318" s="194">
        <v>0.97499999999999998</v>
      </c>
      <c r="D318" s="195">
        <v>1.6</v>
      </c>
    </row>
    <row r="319" spans="1:4" x14ac:dyDescent="0.25">
      <c r="A319" s="192">
        <v>281</v>
      </c>
      <c r="B319" s="193">
        <v>43654</v>
      </c>
      <c r="C319" s="194">
        <v>0.48680555555555555</v>
      </c>
      <c r="D319" s="195">
        <v>-0.5</v>
      </c>
    </row>
    <row r="320" spans="1:4" x14ac:dyDescent="0.25">
      <c r="A320" s="192">
        <v>282</v>
      </c>
      <c r="B320" s="193">
        <v>43655</v>
      </c>
      <c r="C320" s="194">
        <v>2.2222222222222223E-2</v>
      </c>
      <c r="D320" s="195">
        <v>1.3</v>
      </c>
    </row>
    <row r="321" spans="1:4" x14ac:dyDescent="0.25">
      <c r="A321" s="192">
        <v>282</v>
      </c>
      <c r="B321" s="193">
        <v>43655</v>
      </c>
      <c r="C321" s="194">
        <v>0.52361111111111114</v>
      </c>
      <c r="D321" s="195">
        <v>0.3</v>
      </c>
    </row>
    <row r="322" spans="1:4" x14ac:dyDescent="0.25">
      <c r="A322" s="192">
        <v>283</v>
      </c>
      <c r="B322" s="193">
        <v>43656</v>
      </c>
      <c r="C322" s="194">
        <v>7.1527777777777773E-2</v>
      </c>
      <c r="D322" s="195">
        <v>0.9</v>
      </c>
    </row>
    <row r="323" spans="1:4" x14ac:dyDescent="0.25">
      <c r="A323" s="192">
        <v>283</v>
      </c>
      <c r="B323" s="193">
        <v>43656</v>
      </c>
      <c r="C323" s="194">
        <v>0.56319444444444444</v>
      </c>
      <c r="D323" s="195">
        <v>1</v>
      </c>
    </row>
    <row r="324" spans="1:4" x14ac:dyDescent="0.25">
      <c r="A324" s="192">
        <v>284</v>
      </c>
      <c r="B324" s="193">
        <v>43657</v>
      </c>
      <c r="C324" s="194">
        <v>0.12083333333333333</v>
      </c>
      <c r="D324" s="195">
        <v>0.4</v>
      </c>
    </row>
    <row r="325" spans="1:4" x14ac:dyDescent="0.25">
      <c r="A325" s="192">
        <v>284</v>
      </c>
      <c r="B325" s="193">
        <v>43657</v>
      </c>
      <c r="C325" s="194">
        <v>0.60486111111111107</v>
      </c>
      <c r="D325" s="195">
        <v>1.7</v>
      </c>
    </row>
    <row r="326" spans="1:4" x14ac:dyDescent="0.25">
      <c r="A326" s="192">
        <v>285</v>
      </c>
      <c r="B326" s="193">
        <v>43658</v>
      </c>
      <c r="C326" s="194">
        <v>0.16527777777777777</v>
      </c>
      <c r="D326" s="195">
        <v>-0.2</v>
      </c>
    </row>
    <row r="327" spans="1:4" x14ac:dyDescent="0.25">
      <c r="A327" s="192">
        <v>286</v>
      </c>
      <c r="B327" s="193">
        <v>43659</v>
      </c>
      <c r="C327" s="194">
        <v>0.20416666666666666</v>
      </c>
      <c r="D327" s="195">
        <v>-0.7</v>
      </c>
    </row>
    <row r="328" spans="1:4" x14ac:dyDescent="0.25">
      <c r="A328" s="192">
        <v>287</v>
      </c>
      <c r="B328" s="193">
        <v>43660</v>
      </c>
      <c r="C328" s="194">
        <v>0.2388888888888889</v>
      </c>
      <c r="D328" s="195">
        <v>-1.1000000000000001</v>
      </c>
    </row>
    <row r="329" spans="1:4" x14ac:dyDescent="0.25">
      <c r="A329" s="192">
        <v>288</v>
      </c>
      <c r="B329" s="193">
        <v>43661</v>
      </c>
      <c r="C329" s="194">
        <v>0.26944444444444443</v>
      </c>
      <c r="D329" s="195">
        <v>-1.3</v>
      </c>
    </row>
    <row r="330" spans="1:4" x14ac:dyDescent="0.25">
      <c r="A330" s="192">
        <v>289</v>
      </c>
      <c r="B330" s="193">
        <v>43662</v>
      </c>
      <c r="C330" s="194">
        <v>0.29722222222222222</v>
      </c>
      <c r="D330" s="195">
        <v>-1.4</v>
      </c>
    </row>
    <row r="331" spans="1:4" x14ac:dyDescent="0.25">
      <c r="A331" s="192">
        <v>290</v>
      </c>
      <c r="B331" s="193">
        <v>43663</v>
      </c>
      <c r="C331" s="194">
        <v>0.32361111111111113</v>
      </c>
      <c r="D331" s="195">
        <v>-1.3</v>
      </c>
    </row>
    <row r="332" spans="1:4" x14ac:dyDescent="0.25">
      <c r="A332" s="192">
        <v>291</v>
      </c>
      <c r="B332" s="193">
        <v>43664</v>
      </c>
      <c r="C332" s="194">
        <v>0.34791666666666665</v>
      </c>
      <c r="D332" s="195">
        <v>-1.2</v>
      </c>
    </row>
    <row r="333" spans="1:4" x14ac:dyDescent="0.25">
      <c r="A333" s="192">
        <v>292</v>
      </c>
      <c r="B333" s="193">
        <v>43665</v>
      </c>
      <c r="C333" s="194">
        <v>0.37222222222222223</v>
      </c>
      <c r="D333" s="195">
        <v>-1</v>
      </c>
    </row>
    <row r="334" spans="1:4" x14ac:dyDescent="0.25">
      <c r="A334" s="192">
        <v>293</v>
      </c>
      <c r="B334" s="193">
        <v>43666</v>
      </c>
      <c r="C334" s="194">
        <v>0.39513888888888887</v>
      </c>
      <c r="D334" s="195">
        <v>-0.7</v>
      </c>
    </row>
    <row r="335" spans="1:4" x14ac:dyDescent="0.25">
      <c r="A335" s="192">
        <v>294</v>
      </c>
      <c r="B335" s="193">
        <v>43667</v>
      </c>
      <c r="C335" s="194">
        <v>0.41875000000000001</v>
      </c>
      <c r="D335" s="195">
        <v>-0.3</v>
      </c>
    </row>
    <row r="336" spans="1:4" x14ac:dyDescent="0.25">
      <c r="A336" s="192">
        <v>295</v>
      </c>
      <c r="B336" s="193">
        <v>43668</v>
      </c>
      <c r="C336" s="194">
        <v>0.44236111111111109</v>
      </c>
      <c r="D336" s="195">
        <v>0.2</v>
      </c>
    </row>
    <row r="337" spans="1:4" x14ac:dyDescent="0.25">
      <c r="A337" s="192">
        <v>296</v>
      </c>
      <c r="B337" s="193">
        <v>43669</v>
      </c>
      <c r="C337" s="194">
        <v>0.46736111111111112</v>
      </c>
      <c r="D337" s="195">
        <v>0.7</v>
      </c>
    </row>
    <row r="338" spans="1:4" x14ac:dyDescent="0.25">
      <c r="A338" s="192">
        <v>297</v>
      </c>
      <c r="B338" s="193">
        <v>43670</v>
      </c>
      <c r="C338" s="194">
        <v>0.49583333333333335</v>
      </c>
      <c r="D338" s="195">
        <v>1.3</v>
      </c>
    </row>
    <row r="339" spans="1:4" x14ac:dyDescent="0.25">
      <c r="A339" s="192">
        <v>298</v>
      </c>
      <c r="B339" s="193">
        <v>43671</v>
      </c>
      <c r="C339" s="194">
        <v>4.7222222222222221E-2</v>
      </c>
      <c r="D339" s="195">
        <v>1.7</v>
      </c>
    </row>
    <row r="340" spans="1:4" x14ac:dyDescent="0.25">
      <c r="A340" s="192">
        <v>299</v>
      </c>
      <c r="B340" s="193">
        <v>43672</v>
      </c>
      <c r="C340" s="194">
        <v>9.166666666666666E-2</v>
      </c>
      <c r="D340" s="195">
        <v>1.3</v>
      </c>
    </row>
    <row r="341" spans="1:4" x14ac:dyDescent="0.25">
      <c r="A341" s="192">
        <v>300</v>
      </c>
      <c r="B341" s="193">
        <v>43673</v>
      </c>
      <c r="C341" s="194">
        <v>0.13541666666666666</v>
      </c>
      <c r="D341" s="195">
        <v>0.7</v>
      </c>
    </row>
    <row r="342" spans="1:4" x14ac:dyDescent="0.25">
      <c r="A342" s="192">
        <v>301</v>
      </c>
      <c r="B342" s="193">
        <v>43674</v>
      </c>
      <c r="C342" s="194">
        <v>0.17569444444444443</v>
      </c>
      <c r="D342" s="195">
        <v>-0.1</v>
      </c>
    </row>
    <row r="343" spans="1:4" x14ac:dyDescent="0.25">
      <c r="A343" s="192">
        <v>302</v>
      </c>
      <c r="B343" s="193">
        <v>43675</v>
      </c>
      <c r="C343" s="194">
        <v>0.21249999999999999</v>
      </c>
      <c r="D343" s="195">
        <v>-0.8</v>
      </c>
    </row>
    <row r="344" spans="1:4" x14ac:dyDescent="0.25">
      <c r="A344" s="192">
        <v>303</v>
      </c>
      <c r="B344" s="193">
        <v>43676</v>
      </c>
      <c r="C344" s="194">
        <v>0.24652777777777779</v>
      </c>
      <c r="D344" s="195">
        <v>-1.5</v>
      </c>
    </row>
    <row r="345" spans="1:4" x14ac:dyDescent="0.25">
      <c r="A345" s="192">
        <v>304</v>
      </c>
      <c r="B345" s="193">
        <v>43677</v>
      </c>
      <c r="C345" s="194">
        <v>0.27916666666666667</v>
      </c>
      <c r="D345" s="195">
        <v>-2</v>
      </c>
    </row>
    <row r="346" spans="1:4" x14ac:dyDescent="0.25">
      <c r="A346" s="192">
        <v>305</v>
      </c>
      <c r="B346" s="193">
        <v>43678</v>
      </c>
      <c r="C346" s="194">
        <v>0.31041666666666667</v>
      </c>
      <c r="D346" s="195">
        <v>-2.2999999999999998</v>
      </c>
    </row>
    <row r="347" spans="1:4" x14ac:dyDescent="0.25">
      <c r="A347" s="192">
        <v>305</v>
      </c>
      <c r="B347" s="193">
        <v>43678</v>
      </c>
      <c r="C347" s="194">
        <v>0.81041666666666667</v>
      </c>
      <c r="D347" s="195">
        <v>1.6</v>
      </c>
    </row>
    <row r="348" spans="1:4" x14ac:dyDescent="0.25">
      <c r="A348" s="192">
        <v>306</v>
      </c>
      <c r="B348" s="193">
        <v>43679</v>
      </c>
      <c r="C348" s="194">
        <v>0.34166666666666667</v>
      </c>
      <c r="D348" s="195">
        <v>-2.2999999999999998</v>
      </c>
    </row>
    <row r="349" spans="1:4" x14ac:dyDescent="0.25">
      <c r="A349" s="192">
        <v>306</v>
      </c>
      <c r="B349" s="193">
        <v>43679</v>
      </c>
      <c r="C349" s="194">
        <v>0.84583333333333333</v>
      </c>
      <c r="D349" s="195">
        <v>1.3</v>
      </c>
    </row>
    <row r="350" spans="1:4" x14ac:dyDescent="0.25">
      <c r="A350" s="192">
        <v>307</v>
      </c>
      <c r="B350" s="193">
        <v>43680</v>
      </c>
      <c r="C350" s="194">
        <v>0.37222222222222223</v>
      </c>
      <c r="D350" s="195">
        <v>-2.1</v>
      </c>
    </row>
    <row r="351" spans="1:4" x14ac:dyDescent="0.25">
      <c r="A351" s="192">
        <v>307</v>
      </c>
      <c r="B351" s="193">
        <v>43680</v>
      </c>
      <c r="C351" s="194">
        <v>0.88263888888888886</v>
      </c>
      <c r="D351" s="195">
        <v>1</v>
      </c>
    </row>
    <row r="352" spans="1:4" x14ac:dyDescent="0.25">
      <c r="A352" s="192">
        <v>308</v>
      </c>
      <c r="B352" s="193">
        <v>43681</v>
      </c>
      <c r="C352" s="194">
        <v>0.40277777777777779</v>
      </c>
      <c r="D352" s="195">
        <v>-1.5</v>
      </c>
    </row>
    <row r="353" spans="1:4" x14ac:dyDescent="0.25">
      <c r="A353" s="192">
        <v>308</v>
      </c>
      <c r="B353" s="193">
        <v>43681</v>
      </c>
      <c r="C353" s="194">
        <v>0.92083333333333328</v>
      </c>
      <c r="D353" s="195">
        <v>0.8</v>
      </c>
    </row>
    <row r="354" spans="1:4" x14ac:dyDescent="0.25">
      <c r="A354" s="192">
        <v>309</v>
      </c>
      <c r="B354" s="193">
        <v>43682</v>
      </c>
      <c r="C354" s="194">
        <v>0.43402777777777779</v>
      </c>
      <c r="D354" s="195">
        <v>-0.8</v>
      </c>
    </row>
    <row r="355" spans="1:4" x14ac:dyDescent="0.25">
      <c r="A355" s="192">
        <v>309</v>
      </c>
      <c r="B355" s="193">
        <v>43682</v>
      </c>
      <c r="C355" s="194">
        <v>0.96111111111111114</v>
      </c>
      <c r="D355" s="195">
        <v>0.7</v>
      </c>
    </row>
    <row r="356" spans="1:4" x14ac:dyDescent="0.25">
      <c r="A356" s="192">
        <v>310</v>
      </c>
      <c r="B356" s="193">
        <v>43683</v>
      </c>
      <c r="C356" s="194">
        <v>0.46666666666666667</v>
      </c>
      <c r="D356" s="195">
        <v>0.1</v>
      </c>
    </row>
    <row r="357" spans="1:4" x14ac:dyDescent="0.25">
      <c r="A357" s="192">
        <v>311</v>
      </c>
      <c r="B357" s="193">
        <v>43684</v>
      </c>
      <c r="C357" s="194">
        <v>5.5555555555555558E-3</v>
      </c>
      <c r="D357" s="195">
        <v>0.6</v>
      </c>
    </row>
    <row r="358" spans="1:4" x14ac:dyDescent="0.25">
      <c r="A358" s="192">
        <v>311</v>
      </c>
      <c r="B358" s="193">
        <v>43684</v>
      </c>
      <c r="C358" s="194">
        <v>0.50138888888888888</v>
      </c>
      <c r="D358" s="195">
        <v>1</v>
      </c>
    </row>
    <row r="359" spans="1:4" x14ac:dyDescent="0.25">
      <c r="A359" s="192">
        <v>312</v>
      </c>
      <c r="B359" s="193">
        <v>43685</v>
      </c>
      <c r="C359" s="194">
        <v>5.2777777777777778E-2</v>
      </c>
      <c r="D359" s="195">
        <v>0.5</v>
      </c>
    </row>
    <row r="360" spans="1:4" x14ac:dyDescent="0.25">
      <c r="A360" s="192">
        <v>313</v>
      </c>
      <c r="B360" s="193">
        <v>43686</v>
      </c>
      <c r="C360" s="194">
        <v>0.10208333333333333</v>
      </c>
      <c r="D360" s="195">
        <v>0.3</v>
      </c>
    </row>
    <row r="361" spans="1:4" x14ac:dyDescent="0.25">
      <c r="A361" s="192">
        <v>314</v>
      </c>
      <c r="B361" s="193">
        <v>43687</v>
      </c>
      <c r="C361" s="194">
        <v>0.14930555555555555</v>
      </c>
      <c r="D361" s="195">
        <v>0</v>
      </c>
    </row>
    <row r="362" spans="1:4" x14ac:dyDescent="0.25">
      <c r="A362" s="192">
        <v>315</v>
      </c>
      <c r="B362" s="193">
        <v>43688</v>
      </c>
      <c r="C362" s="194">
        <v>0.19027777777777777</v>
      </c>
      <c r="D362" s="195">
        <v>-0.3</v>
      </c>
    </row>
    <row r="363" spans="1:4" x14ac:dyDescent="0.25">
      <c r="A363" s="192">
        <v>316</v>
      </c>
      <c r="B363" s="193">
        <v>43689</v>
      </c>
      <c r="C363" s="194">
        <v>0.22569444444444445</v>
      </c>
      <c r="D363" s="195">
        <v>-0.6</v>
      </c>
    </row>
    <row r="364" spans="1:4" x14ac:dyDescent="0.25">
      <c r="A364" s="192">
        <v>317</v>
      </c>
      <c r="B364" s="193">
        <v>43690</v>
      </c>
      <c r="C364" s="194">
        <v>0.25624999999999998</v>
      </c>
      <c r="D364" s="195">
        <v>-0.8</v>
      </c>
    </row>
    <row r="365" spans="1:4" x14ac:dyDescent="0.25">
      <c r="A365" s="192">
        <v>318</v>
      </c>
      <c r="B365" s="193">
        <v>43691</v>
      </c>
      <c r="C365" s="194">
        <v>0.28263888888888888</v>
      </c>
      <c r="D365" s="195">
        <v>-0.8</v>
      </c>
    </row>
    <row r="366" spans="1:4" x14ac:dyDescent="0.25">
      <c r="A366" s="192">
        <v>319</v>
      </c>
      <c r="B366" s="193">
        <v>43692</v>
      </c>
      <c r="C366" s="194">
        <v>0.30694444444444446</v>
      </c>
      <c r="D366" s="195">
        <v>-0.8</v>
      </c>
    </row>
    <row r="367" spans="1:4" x14ac:dyDescent="0.25">
      <c r="A367" s="192">
        <v>320</v>
      </c>
      <c r="B367" s="193">
        <v>43693</v>
      </c>
      <c r="C367" s="194">
        <v>0.3298611111111111</v>
      </c>
      <c r="D367" s="195">
        <v>-0.7</v>
      </c>
    </row>
    <row r="368" spans="1:4" x14ac:dyDescent="0.25">
      <c r="A368" s="192">
        <v>321</v>
      </c>
      <c r="B368" s="193">
        <v>43694</v>
      </c>
      <c r="C368" s="194">
        <v>0.35138888888888886</v>
      </c>
      <c r="D368" s="195">
        <v>-0.5</v>
      </c>
    </row>
    <row r="369" spans="1:4" x14ac:dyDescent="0.25">
      <c r="A369" s="192">
        <v>321</v>
      </c>
      <c r="B369" s="193">
        <v>43694</v>
      </c>
      <c r="C369" s="194">
        <v>0.85833333333333328</v>
      </c>
      <c r="D369" s="195">
        <v>1.7</v>
      </c>
    </row>
    <row r="370" spans="1:4" x14ac:dyDescent="0.25">
      <c r="A370" s="192">
        <v>322</v>
      </c>
      <c r="B370" s="193">
        <v>43695</v>
      </c>
      <c r="C370" s="194">
        <v>0.37291666666666667</v>
      </c>
      <c r="D370" s="195">
        <v>-0.2</v>
      </c>
    </row>
    <row r="371" spans="1:4" x14ac:dyDescent="0.25">
      <c r="A371" s="192">
        <v>322</v>
      </c>
      <c r="B371" s="193">
        <v>43695</v>
      </c>
      <c r="C371" s="194">
        <v>0.88402777777777775</v>
      </c>
      <c r="D371" s="195">
        <v>1.5</v>
      </c>
    </row>
    <row r="372" spans="1:4" x14ac:dyDescent="0.25">
      <c r="A372" s="192">
        <v>323</v>
      </c>
      <c r="B372" s="193">
        <v>43696</v>
      </c>
      <c r="C372" s="194">
        <v>0.39374999999999999</v>
      </c>
      <c r="D372" s="195">
        <v>0.2</v>
      </c>
    </row>
    <row r="373" spans="1:4" x14ac:dyDescent="0.25">
      <c r="A373" s="192">
        <v>323</v>
      </c>
      <c r="B373" s="193">
        <v>43696</v>
      </c>
      <c r="C373" s="194">
        <v>0.91111111111111109</v>
      </c>
      <c r="D373" s="195">
        <v>1.5</v>
      </c>
    </row>
    <row r="374" spans="1:4" x14ac:dyDescent="0.25">
      <c r="A374" s="192">
        <v>324</v>
      </c>
      <c r="B374" s="193">
        <v>43697</v>
      </c>
      <c r="C374" s="194">
        <v>0.4152777777777778</v>
      </c>
      <c r="D374" s="195">
        <v>0.7</v>
      </c>
    </row>
    <row r="375" spans="1:4" x14ac:dyDescent="0.25">
      <c r="A375" s="192">
        <v>324</v>
      </c>
      <c r="B375" s="193">
        <v>43697</v>
      </c>
      <c r="C375" s="194">
        <v>0.94097222222222221</v>
      </c>
      <c r="D375" s="195">
        <v>1.4</v>
      </c>
    </row>
    <row r="376" spans="1:4" x14ac:dyDescent="0.25">
      <c r="A376" s="192">
        <v>325</v>
      </c>
      <c r="B376" s="193">
        <v>43698</v>
      </c>
      <c r="C376" s="194">
        <v>0.43819444444444444</v>
      </c>
      <c r="D376" s="195">
        <v>1.3</v>
      </c>
    </row>
    <row r="377" spans="1:4" x14ac:dyDescent="0.25">
      <c r="A377" s="192">
        <v>325</v>
      </c>
      <c r="B377" s="193">
        <v>43698</v>
      </c>
      <c r="C377" s="194">
        <v>0.97499999999999998</v>
      </c>
      <c r="D377" s="195">
        <v>1.4</v>
      </c>
    </row>
    <row r="378" spans="1:4" x14ac:dyDescent="0.25">
      <c r="A378" s="192">
        <v>327</v>
      </c>
      <c r="B378" s="193">
        <v>43700</v>
      </c>
      <c r="C378" s="194">
        <v>1.4583333333333334E-2</v>
      </c>
      <c r="D378" s="195">
        <v>1.3</v>
      </c>
    </row>
    <row r="379" spans="1:4" x14ac:dyDescent="0.25">
      <c r="A379" s="192">
        <v>328</v>
      </c>
      <c r="B379" s="193">
        <v>43701</v>
      </c>
      <c r="C379" s="194">
        <v>5.9722222222222225E-2</v>
      </c>
      <c r="D379" s="195">
        <v>1</v>
      </c>
    </row>
    <row r="380" spans="1:4" x14ac:dyDescent="0.25">
      <c r="A380" s="192">
        <v>329</v>
      </c>
      <c r="B380" s="193">
        <v>43702</v>
      </c>
      <c r="C380" s="194">
        <v>0.1076388888888889</v>
      </c>
      <c r="D380" s="195">
        <v>0.6</v>
      </c>
    </row>
    <row r="381" spans="1:4" x14ac:dyDescent="0.25">
      <c r="A381" s="192">
        <v>330</v>
      </c>
      <c r="B381" s="193">
        <v>43703</v>
      </c>
      <c r="C381" s="194">
        <v>0.15347222222222223</v>
      </c>
      <c r="D381" s="195">
        <v>0</v>
      </c>
    </row>
    <row r="382" spans="1:4" x14ac:dyDescent="0.25">
      <c r="A382" s="192">
        <v>331</v>
      </c>
      <c r="B382" s="193">
        <v>43704</v>
      </c>
      <c r="C382" s="194">
        <v>0.19375000000000001</v>
      </c>
      <c r="D382" s="195">
        <v>-0.6</v>
      </c>
    </row>
    <row r="383" spans="1:4" x14ac:dyDescent="0.25">
      <c r="A383" s="192">
        <v>332</v>
      </c>
      <c r="B383" s="193">
        <v>43705</v>
      </c>
      <c r="C383" s="194">
        <v>0.2298611111111111</v>
      </c>
      <c r="D383" s="195">
        <v>-1.2</v>
      </c>
    </row>
    <row r="384" spans="1:4" x14ac:dyDescent="0.25">
      <c r="A384" s="192">
        <v>333</v>
      </c>
      <c r="B384" s="193">
        <v>43706</v>
      </c>
      <c r="C384" s="194">
        <v>0.26319444444444445</v>
      </c>
      <c r="D384" s="195">
        <v>-1.6</v>
      </c>
    </row>
    <row r="385" spans="1:4" x14ac:dyDescent="0.25">
      <c r="A385" s="192">
        <v>333</v>
      </c>
      <c r="B385" s="193">
        <v>43706</v>
      </c>
      <c r="C385" s="194">
        <v>0.76597222222222228</v>
      </c>
      <c r="D385" s="195">
        <v>1.4</v>
      </c>
    </row>
    <row r="386" spans="1:4" x14ac:dyDescent="0.25">
      <c r="A386" s="192">
        <v>334</v>
      </c>
      <c r="B386" s="193">
        <v>43707</v>
      </c>
      <c r="C386" s="194">
        <v>0.29444444444444445</v>
      </c>
      <c r="D386" s="195">
        <v>-1.8</v>
      </c>
    </row>
    <row r="387" spans="1:4" x14ac:dyDescent="0.25">
      <c r="A387" s="192">
        <v>334</v>
      </c>
      <c r="B387" s="193">
        <v>43707</v>
      </c>
      <c r="C387" s="194">
        <v>0.80138888888888893</v>
      </c>
      <c r="D387" s="195">
        <v>0.8</v>
      </c>
    </row>
    <row r="388" spans="1:4" x14ac:dyDescent="0.25">
      <c r="A388" s="192">
        <v>335</v>
      </c>
      <c r="B388" s="193">
        <v>43708</v>
      </c>
      <c r="C388" s="194">
        <v>0.32430555555555557</v>
      </c>
      <c r="D388" s="195">
        <v>-1.7</v>
      </c>
    </row>
    <row r="389" spans="1:4" x14ac:dyDescent="0.25">
      <c r="A389" s="192">
        <v>335</v>
      </c>
      <c r="B389" s="193">
        <v>43708</v>
      </c>
      <c r="C389" s="194">
        <v>0.83611111111111114</v>
      </c>
      <c r="D389" s="195">
        <v>0.2</v>
      </c>
    </row>
    <row r="390" spans="1:4" x14ac:dyDescent="0.25">
      <c r="A390" s="192">
        <v>336</v>
      </c>
      <c r="B390" s="193">
        <v>43709</v>
      </c>
      <c r="C390" s="194">
        <v>0.35416666666666669</v>
      </c>
      <c r="D390" s="195">
        <v>-1.3</v>
      </c>
    </row>
    <row r="391" spans="1:4" x14ac:dyDescent="0.25">
      <c r="A391" s="192">
        <v>336</v>
      </c>
      <c r="B391" s="193">
        <v>43709</v>
      </c>
      <c r="C391" s="194">
        <v>0.87083333333333335</v>
      </c>
      <c r="D391" s="195">
        <v>-0.1</v>
      </c>
    </row>
    <row r="392" spans="1:4" x14ac:dyDescent="0.25">
      <c r="A392" s="192">
        <v>337</v>
      </c>
      <c r="B392" s="193">
        <v>43710</v>
      </c>
      <c r="C392" s="194">
        <v>0.38333333333333336</v>
      </c>
      <c r="D392" s="195">
        <v>-0.6</v>
      </c>
    </row>
    <row r="393" spans="1:4" x14ac:dyDescent="0.25">
      <c r="A393" s="192">
        <v>337</v>
      </c>
      <c r="B393" s="193">
        <v>43710</v>
      </c>
      <c r="C393" s="194">
        <v>0.90694444444444444</v>
      </c>
      <c r="D393" s="195">
        <v>-0.2</v>
      </c>
    </row>
    <row r="394" spans="1:4" x14ac:dyDescent="0.25">
      <c r="A394" s="192">
        <v>338</v>
      </c>
      <c r="B394" s="193">
        <v>43711</v>
      </c>
      <c r="C394" s="194">
        <v>0.41388888888888886</v>
      </c>
      <c r="D394" s="195">
        <v>0.2</v>
      </c>
    </row>
    <row r="395" spans="1:4" x14ac:dyDescent="0.25">
      <c r="A395" s="192">
        <v>338</v>
      </c>
      <c r="B395" s="193">
        <v>43711</v>
      </c>
      <c r="C395" s="194">
        <v>0.94444444444444442</v>
      </c>
      <c r="D395" s="195">
        <v>-0.1</v>
      </c>
    </row>
    <row r="396" spans="1:4" x14ac:dyDescent="0.25">
      <c r="A396" s="192">
        <v>339</v>
      </c>
      <c r="B396" s="193">
        <v>43712</v>
      </c>
      <c r="C396" s="194">
        <v>0.44583333333333336</v>
      </c>
      <c r="D396" s="195">
        <v>1.1000000000000001</v>
      </c>
    </row>
    <row r="397" spans="1:4" x14ac:dyDescent="0.25">
      <c r="A397" s="192">
        <v>339</v>
      </c>
      <c r="B397" s="193">
        <v>43712</v>
      </c>
      <c r="C397" s="194">
        <v>0.98541666666666672</v>
      </c>
      <c r="D397" s="195">
        <v>0.1</v>
      </c>
    </row>
    <row r="398" spans="1:4" x14ac:dyDescent="0.25">
      <c r="A398" s="192">
        <v>341</v>
      </c>
      <c r="B398" s="193">
        <v>43714</v>
      </c>
      <c r="C398" s="194">
        <v>3.0555555555555555E-2</v>
      </c>
      <c r="D398" s="195">
        <v>0.3</v>
      </c>
    </row>
    <row r="399" spans="1:4" x14ac:dyDescent="0.25">
      <c r="A399" s="192">
        <v>342</v>
      </c>
      <c r="B399" s="193">
        <v>43715</v>
      </c>
      <c r="C399" s="194">
        <v>7.9166666666666663E-2</v>
      </c>
      <c r="D399" s="195">
        <v>0.4</v>
      </c>
    </row>
    <row r="400" spans="1:4" x14ac:dyDescent="0.25">
      <c r="A400" s="192">
        <v>343</v>
      </c>
      <c r="B400" s="193">
        <v>43716</v>
      </c>
      <c r="C400" s="194">
        <v>0.12777777777777777</v>
      </c>
      <c r="D400" s="195">
        <v>0.4</v>
      </c>
    </row>
    <row r="401" spans="1:4" x14ac:dyDescent="0.25">
      <c r="A401" s="192">
        <v>344</v>
      </c>
      <c r="B401" s="193">
        <v>43717</v>
      </c>
      <c r="C401" s="194">
        <v>0.17083333333333334</v>
      </c>
      <c r="D401" s="195">
        <v>0.3</v>
      </c>
    </row>
    <row r="402" spans="1:4" x14ac:dyDescent="0.25">
      <c r="A402" s="192">
        <v>345</v>
      </c>
      <c r="B402" s="193">
        <v>43718</v>
      </c>
      <c r="C402" s="194">
        <v>0.20694444444444443</v>
      </c>
      <c r="D402" s="195">
        <v>0.1</v>
      </c>
    </row>
    <row r="403" spans="1:4" x14ac:dyDescent="0.25">
      <c r="A403" s="192">
        <v>346</v>
      </c>
      <c r="B403" s="193">
        <v>43719</v>
      </c>
      <c r="C403" s="194">
        <v>0.23680555555555555</v>
      </c>
      <c r="D403" s="195">
        <v>-0.1</v>
      </c>
    </row>
    <row r="404" spans="1:4" x14ac:dyDescent="0.25">
      <c r="A404" s="192">
        <v>347</v>
      </c>
      <c r="B404" s="193">
        <v>43720</v>
      </c>
      <c r="C404" s="194">
        <v>0.26319444444444445</v>
      </c>
      <c r="D404" s="195">
        <v>-0.1</v>
      </c>
    </row>
    <row r="405" spans="1:4" x14ac:dyDescent="0.25">
      <c r="A405" s="192">
        <v>348</v>
      </c>
      <c r="B405" s="193">
        <v>43721</v>
      </c>
      <c r="C405" s="194">
        <v>0.28611111111111109</v>
      </c>
      <c r="D405" s="195">
        <v>-0.1</v>
      </c>
    </row>
    <row r="406" spans="1:4" x14ac:dyDescent="0.25">
      <c r="A406" s="192">
        <v>348</v>
      </c>
      <c r="B406" s="193">
        <v>43721</v>
      </c>
      <c r="C406" s="194">
        <v>0.79374999999999996</v>
      </c>
      <c r="D406" s="195">
        <v>1.4</v>
      </c>
    </row>
    <row r="407" spans="1:4" x14ac:dyDescent="0.25">
      <c r="A407" s="192">
        <v>349</v>
      </c>
      <c r="B407" s="193">
        <v>43722</v>
      </c>
      <c r="C407" s="194">
        <v>0.30763888888888891</v>
      </c>
      <c r="D407" s="195">
        <v>0</v>
      </c>
    </row>
    <row r="408" spans="1:4" x14ac:dyDescent="0.25">
      <c r="A408" s="192">
        <v>349</v>
      </c>
      <c r="B408" s="193">
        <v>43722</v>
      </c>
      <c r="C408" s="194">
        <v>0.81805555555555554</v>
      </c>
      <c r="D408" s="195">
        <v>1.1000000000000001</v>
      </c>
    </row>
    <row r="409" spans="1:4" x14ac:dyDescent="0.25">
      <c r="A409" s="192">
        <v>350</v>
      </c>
      <c r="B409" s="193">
        <v>43723</v>
      </c>
      <c r="C409" s="194">
        <v>0.32847222222222222</v>
      </c>
      <c r="D409" s="195">
        <v>0.3</v>
      </c>
    </row>
    <row r="410" spans="1:4" x14ac:dyDescent="0.25">
      <c r="A410" s="192">
        <v>350</v>
      </c>
      <c r="B410" s="193">
        <v>43723</v>
      </c>
      <c r="C410" s="194">
        <v>0.84166666666666667</v>
      </c>
      <c r="D410" s="195">
        <v>0.9</v>
      </c>
    </row>
    <row r="411" spans="1:4" x14ac:dyDescent="0.25">
      <c r="A411" s="192">
        <v>351</v>
      </c>
      <c r="B411" s="193">
        <v>43724</v>
      </c>
      <c r="C411" s="194">
        <v>0.34861111111111109</v>
      </c>
      <c r="D411" s="195">
        <v>0.6</v>
      </c>
    </row>
    <row r="412" spans="1:4" x14ac:dyDescent="0.25">
      <c r="A412" s="192">
        <v>351</v>
      </c>
      <c r="B412" s="193">
        <v>43724</v>
      </c>
      <c r="C412" s="194">
        <v>0.86597222222222225</v>
      </c>
      <c r="D412" s="195">
        <v>0.8</v>
      </c>
    </row>
    <row r="413" spans="1:4" x14ac:dyDescent="0.25">
      <c r="A413" s="192">
        <v>352</v>
      </c>
      <c r="B413" s="193">
        <v>43725</v>
      </c>
      <c r="C413" s="194">
        <v>0.36875000000000002</v>
      </c>
      <c r="D413" s="195">
        <v>1.1000000000000001</v>
      </c>
    </row>
    <row r="414" spans="1:4" x14ac:dyDescent="0.25">
      <c r="A414" s="192">
        <v>352</v>
      </c>
      <c r="B414" s="193">
        <v>43725</v>
      </c>
      <c r="C414" s="194">
        <v>0.89166666666666672</v>
      </c>
      <c r="D414" s="195">
        <v>0.7</v>
      </c>
    </row>
    <row r="415" spans="1:4" x14ac:dyDescent="0.25">
      <c r="A415" s="192">
        <v>353</v>
      </c>
      <c r="B415" s="193">
        <v>43726</v>
      </c>
      <c r="C415" s="194">
        <v>0.39027777777777778</v>
      </c>
      <c r="D415" s="195">
        <v>1.6</v>
      </c>
    </row>
    <row r="416" spans="1:4" x14ac:dyDescent="0.25">
      <c r="A416" s="192">
        <v>353</v>
      </c>
      <c r="B416" s="193">
        <v>43726</v>
      </c>
      <c r="C416" s="194">
        <v>0.9194444444444444</v>
      </c>
      <c r="D416" s="195">
        <v>0.7</v>
      </c>
    </row>
    <row r="417" spans="1:4" x14ac:dyDescent="0.25">
      <c r="A417" s="192">
        <v>354</v>
      </c>
      <c r="B417" s="193">
        <v>43727</v>
      </c>
      <c r="C417" s="194">
        <v>0.9506944444444444</v>
      </c>
      <c r="D417" s="195">
        <v>0.7</v>
      </c>
    </row>
    <row r="418" spans="1:4" x14ac:dyDescent="0.25">
      <c r="A418" s="192">
        <v>355</v>
      </c>
      <c r="B418" s="193">
        <v>43728</v>
      </c>
      <c r="C418" s="194">
        <v>0.98888888888888893</v>
      </c>
      <c r="D418" s="195">
        <v>0.8</v>
      </c>
    </row>
    <row r="419" spans="1:4" x14ac:dyDescent="0.25">
      <c r="A419" s="192">
        <v>357</v>
      </c>
      <c r="B419" s="193">
        <v>43730</v>
      </c>
      <c r="C419" s="194">
        <v>3.3333333333333333E-2</v>
      </c>
      <c r="D419" s="195">
        <v>0.8</v>
      </c>
    </row>
    <row r="420" spans="1:4" x14ac:dyDescent="0.25">
      <c r="A420" s="192">
        <v>358</v>
      </c>
      <c r="B420" s="193">
        <v>43731</v>
      </c>
      <c r="C420" s="194">
        <v>8.3333333333333329E-2</v>
      </c>
      <c r="D420" s="195">
        <v>0.6</v>
      </c>
    </row>
    <row r="421" spans="1:4" x14ac:dyDescent="0.25">
      <c r="A421" s="192">
        <v>359</v>
      </c>
      <c r="B421" s="193">
        <v>43732</v>
      </c>
      <c r="C421" s="194">
        <v>0.13125000000000001</v>
      </c>
      <c r="D421" s="195">
        <v>0.2</v>
      </c>
    </row>
    <row r="422" spans="1:4" x14ac:dyDescent="0.25">
      <c r="A422" s="192">
        <v>360</v>
      </c>
      <c r="B422" s="193">
        <v>43733</v>
      </c>
      <c r="C422" s="194">
        <v>0.1736111111111111</v>
      </c>
      <c r="D422" s="195">
        <v>-0.2</v>
      </c>
    </row>
    <row r="423" spans="1:4" x14ac:dyDescent="0.25">
      <c r="A423" s="192">
        <v>361</v>
      </c>
      <c r="B423" s="193">
        <v>43734</v>
      </c>
      <c r="C423" s="194">
        <v>0.21111111111111111</v>
      </c>
      <c r="D423" s="195">
        <v>-0.6</v>
      </c>
    </row>
    <row r="424" spans="1:4" x14ac:dyDescent="0.25">
      <c r="A424" s="192">
        <v>361</v>
      </c>
      <c r="B424" s="193">
        <v>43734</v>
      </c>
      <c r="C424" s="194">
        <v>0.72222222222222221</v>
      </c>
      <c r="D424" s="195">
        <v>1.5</v>
      </c>
    </row>
    <row r="425" spans="1:4" x14ac:dyDescent="0.25">
      <c r="A425" s="192">
        <v>362</v>
      </c>
      <c r="B425" s="193">
        <v>43735</v>
      </c>
      <c r="C425" s="194">
        <v>0.24444444444444444</v>
      </c>
      <c r="D425" s="195">
        <v>-0.9</v>
      </c>
    </row>
    <row r="426" spans="1:4" x14ac:dyDescent="0.25">
      <c r="A426" s="192">
        <v>362</v>
      </c>
      <c r="B426" s="193">
        <v>43735</v>
      </c>
      <c r="C426" s="194">
        <v>0.75763888888888886</v>
      </c>
      <c r="D426" s="195">
        <v>0.6</v>
      </c>
    </row>
    <row r="427" spans="1:4" x14ac:dyDescent="0.25">
      <c r="A427" s="192">
        <v>363</v>
      </c>
      <c r="B427" s="193">
        <v>43736</v>
      </c>
      <c r="C427" s="194">
        <v>0.27500000000000002</v>
      </c>
      <c r="D427" s="195">
        <v>-0.8</v>
      </c>
    </row>
    <row r="428" spans="1:4" x14ac:dyDescent="0.25">
      <c r="A428" s="192">
        <v>363</v>
      </c>
      <c r="B428" s="193">
        <v>43736</v>
      </c>
      <c r="C428" s="194">
        <v>0.79166666666666663</v>
      </c>
      <c r="D428" s="195">
        <v>-0.1</v>
      </c>
    </row>
    <row r="429" spans="1:4" x14ac:dyDescent="0.25">
      <c r="A429" s="192">
        <v>364</v>
      </c>
      <c r="B429" s="193">
        <v>43737</v>
      </c>
      <c r="C429" s="194">
        <v>0.30486111111111114</v>
      </c>
      <c r="D429" s="195">
        <v>-0.6</v>
      </c>
    </row>
    <row r="430" spans="1:4" x14ac:dyDescent="0.25">
      <c r="A430" s="192">
        <v>364</v>
      </c>
      <c r="B430" s="193">
        <v>43737</v>
      </c>
      <c r="C430" s="194">
        <v>0.82499999999999996</v>
      </c>
      <c r="D430" s="195">
        <v>-0.7</v>
      </c>
    </row>
    <row r="431" spans="1:4" x14ac:dyDescent="0.25">
      <c r="A431" s="192">
        <v>365</v>
      </c>
      <c r="B431" s="193">
        <v>43738</v>
      </c>
      <c r="C431" s="194">
        <v>0.3347222222222222</v>
      </c>
      <c r="D431" s="195">
        <v>0</v>
      </c>
    </row>
    <row r="432" spans="1:4" x14ac:dyDescent="0.25">
      <c r="A432" s="192">
        <v>365</v>
      </c>
      <c r="B432" s="193">
        <v>43738</v>
      </c>
      <c r="C432" s="194">
        <v>0.85833333333333328</v>
      </c>
      <c r="D432" s="195">
        <v>-0.9</v>
      </c>
    </row>
    <row r="433" spans="1:4" x14ac:dyDescent="0.25">
      <c r="A433" s="192">
        <v>366</v>
      </c>
      <c r="B433" s="193">
        <v>43739</v>
      </c>
      <c r="C433" s="194">
        <v>0.36388888888888887</v>
      </c>
      <c r="D433" s="195">
        <v>0.6</v>
      </c>
    </row>
    <row r="434" spans="1:4" x14ac:dyDescent="0.25">
      <c r="A434" s="192">
        <v>366</v>
      </c>
      <c r="B434" s="193">
        <v>43739</v>
      </c>
      <c r="C434" s="194">
        <v>0.89166666666666672</v>
      </c>
      <c r="D434" s="195">
        <v>-0.9</v>
      </c>
    </row>
    <row r="435" spans="1:4" x14ac:dyDescent="0.25">
      <c r="A435" s="192">
        <v>367</v>
      </c>
      <c r="B435" s="193">
        <v>43740</v>
      </c>
      <c r="C435" s="194">
        <v>0.39374999999999999</v>
      </c>
      <c r="D435" s="195">
        <v>1.4</v>
      </c>
    </row>
    <row r="436" spans="1:4" x14ac:dyDescent="0.25">
      <c r="A436" s="192">
        <v>367</v>
      </c>
      <c r="B436" s="193">
        <v>43740</v>
      </c>
      <c r="C436" s="194">
        <v>0.92708333333333337</v>
      </c>
      <c r="D436" s="195">
        <v>-0.6</v>
      </c>
    </row>
    <row r="437" spans="1:4" x14ac:dyDescent="0.25">
      <c r="A437" s="192">
        <v>368</v>
      </c>
      <c r="B437" s="193">
        <v>43741</v>
      </c>
      <c r="C437" s="194">
        <v>0.96388888888888891</v>
      </c>
      <c r="D437" s="195">
        <v>-0.2</v>
      </c>
    </row>
    <row r="438" spans="1:4" x14ac:dyDescent="0.25">
      <c r="A438" s="192">
        <v>370</v>
      </c>
      <c r="B438" s="193">
        <v>43743</v>
      </c>
      <c r="C438" s="194">
        <v>5.5555555555555558E-3</v>
      </c>
      <c r="D438" s="195">
        <v>0.3</v>
      </c>
    </row>
    <row r="439" spans="1:4" x14ac:dyDescent="0.25">
      <c r="A439" s="192">
        <v>371</v>
      </c>
      <c r="B439" s="193">
        <v>43744</v>
      </c>
      <c r="C439" s="194">
        <v>5.1388888888888887E-2</v>
      </c>
      <c r="D439" s="195">
        <v>0.7</v>
      </c>
    </row>
    <row r="440" spans="1:4" x14ac:dyDescent="0.25">
      <c r="A440" s="192">
        <v>372</v>
      </c>
      <c r="B440" s="193">
        <v>43745</v>
      </c>
      <c r="C440" s="194">
        <v>9.930555555555555E-2</v>
      </c>
      <c r="D440" s="195">
        <v>0.9</v>
      </c>
    </row>
    <row r="441" spans="1:4" x14ac:dyDescent="0.25">
      <c r="A441" s="192">
        <v>373</v>
      </c>
      <c r="B441" s="193">
        <v>43746</v>
      </c>
      <c r="C441" s="194">
        <v>0.14374999999999999</v>
      </c>
      <c r="D441" s="195">
        <v>0.9</v>
      </c>
    </row>
    <row r="442" spans="1:4" x14ac:dyDescent="0.25">
      <c r="A442" s="192">
        <v>374</v>
      </c>
      <c r="B442" s="193">
        <v>43747</v>
      </c>
      <c r="C442" s="194">
        <v>0.18055555555555555</v>
      </c>
      <c r="D442" s="195">
        <v>0.8</v>
      </c>
    </row>
    <row r="443" spans="1:4" x14ac:dyDescent="0.25">
      <c r="A443" s="192">
        <v>375</v>
      </c>
      <c r="B443" s="193">
        <v>43748</v>
      </c>
      <c r="C443" s="194">
        <v>0.21041666666666667</v>
      </c>
      <c r="D443" s="195">
        <v>0.8</v>
      </c>
    </row>
    <row r="444" spans="1:4" x14ac:dyDescent="0.25">
      <c r="A444" s="192">
        <v>376</v>
      </c>
      <c r="B444" s="193">
        <v>43749</v>
      </c>
      <c r="C444" s="194">
        <v>0.23680555555555555</v>
      </c>
      <c r="D444" s="195">
        <v>0.7</v>
      </c>
    </row>
    <row r="445" spans="1:4" x14ac:dyDescent="0.25">
      <c r="A445" s="192">
        <v>376</v>
      </c>
      <c r="B445" s="193">
        <v>43749</v>
      </c>
      <c r="C445" s="194">
        <v>0.75347222222222221</v>
      </c>
      <c r="D445" s="195">
        <v>1.4</v>
      </c>
    </row>
    <row r="446" spans="1:4" x14ac:dyDescent="0.25">
      <c r="A446" s="192">
        <v>377</v>
      </c>
      <c r="B446" s="193">
        <v>43750</v>
      </c>
      <c r="C446" s="194">
        <v>0.26041666666666669</v>
      </c>
      <c r="D446" s="195">
        <v>0.8</v>
      </c>
    </row>
    <row r="447" spans="1:4" x14ac:dyDescent="0.25">
      <c r="A447" s="192">
        <v>377</v>
      </c>
      <c r="B447" s="193">
        <v>43750</v>
      </c>
      <c r="C447" s="194">
        <v>0.77777777777777779</v>
      </c>
      <c r="D447" s="195">
        <v>0.9</v>
      </c>
    </row>
    <row r="448" spans="1:4" x14ac:dyDescent="0.25">
      <c r="A448" s="192">
        <v>378</v>
      </c>
      <c r="B448" s="193">
        <v>43751</v>
      </c>
      <c r="C448" s="194">
        <v>0.28194444444444444</v>
      </c>
      <c r="D448" s="195">
        <v>1</v>
      </c>
    </row>
    <row r="449" spans="1:4" x14ac:dyDescent="0.25">
      <c r="A449" s="192">
        <v>378</v>
      </c>
      <c r="B449" s="193">
        <v>43751</v>
      </c>
      <c r="C449" s="194">
        <v>0.80208333333333337</v>
      </c>
      <c r="D449" s="195">
        <v>0.5</v>
      </c>
    </row>
    <row r="450" spans="1:4" x14ac:dyDescent="0.25">
      <c r="A450" s="192">
        <v>379</v>
      </c>
      <c r="B450" s="193">
        <v>43752</v>
      </c>
      <c r="C450" s="194">
        <v>0.3034722222222222</v>
      </c>
      <c r="D450" s="195">
        <v>1.3</v>
      </c>
    </row>
    <row r="451" spans="1:4" x14ac:dyDescent="0.25">
      <c r="A451" s="192">
        <v>379</v>
      </c>
      <c r="B451" s="193">
        <v>43752</v>
      </c>
      <c r="C451" s="194">
        <v>0.8256944444444444</v>
      </c>
      <c r="D451" s="195">
        <v>0.2</v>
      </c>
    </row>
    <row r="452" spans="1:4" x14ac:dyDescent="0.25">
      <c r="A452" s="192">
        <v>380</v>
      </c>
      <c r="B452" s="193">
        <v>43753</v>
      </c>
      <c r="C452" s="194">
        <v>0.32500000000000001</v>
      </c>
      <c r="D452" s="195">
        <v>1.7</v>
      </c>
    </row>
    <row r="453" spans="1:4" x14ac:dyDescent="0.25">
      <c r="A453" s="192">
        <v>380</v>
      </c>
      <c r="B453" s="193">
        <v>43753</v>
      </c>
      <c r="C453" s="194">
        <v>0.84930555555555554</v>
      </c>
      <c r="D453" s="195">
        <v>0.1</v>
      </c>
    </row>
    <row r="454" spans="1:4" x14ac:dyDescent="0.25">
      <c r="A454" s="192">
        <v>381</v>
      </c>
      <c r="B454" s="193">
        <v>43754</v>
      </c>
      <c r="C454" s="194">
        <v>0.875</v>
      </c>
      <c r="D454" s="195">
        <v>0</v>
      </c>
    </row>
    <row r="455" spans="1:4" x14ac:dyDescent="0.25">
      <c r="A455" s="192">
        <v>382</v>
      </c>
      <c r="B455" s="193">
        <v>43755</v>
      </c>
      <c r="C455" s="194">
        <v>0.90277777777777779</v>
      </c>
      <c r="D455" s="195">
        <v>0</v>
      </c>
    </row>
    <row r="456" spans="1:4" x14ac:dyDescent="0.25">
      <c r="A456" s="192">
        <v>383</v>
      </c>
      <c r="B456" s="193">
        <v>43756</v>
      </c>
      <c r="C456" s="194">
        <v>0.93402777777777779</v>
      </c>
      <c r="D456" s="195">
        <v>0.2</v>
      </c>
    </row>
    <row r="457" spans="1:4" x14ac:dyDescent="0.25">
      <c r="A457" s="192">
        <v>384</v>
      </c>
      <c r="B457" s="193">
        <v>43757</v>
      </c>
      <c r="C457" s="194">
        <v>0.97083333333333333</v>
      </c>
      <c r="D457" s="195">
        <v>0.4</v>
      </c>
    </row>
    <row r="458" spans="1:4" x14ac:dyDescent="0.25">
      <c r="A458" s="192">
        <v>386</v>
      </c>
      <c r="B458" s="193">
        <v>43759</v>
      </c>
      <c r="C458" s="194">
        <v>1.3888888888888888E-2</v>
      </c>
      <c r="D458" s="195">
        <v>0.5</v>
      </c>
    </row>
    <row r="459" spans="1:4" x14ac:dyDescent="0.25">
      <c r="A459" s="192">
        <v>387</v>
      </c>
      <c r="B459" s="193">
        <v>43760</v>
      </c>
      <c r="C459" s="194">
        <v>6.1805555555555558E-2</v>
      </c>
      <c r="D459" s="195">
        <v>0.6</v>
      </c>
    </row>
    <row r="460" spans="1:4" x14ac:dyDescent="0.25">
      <c r="A460" s="192">
        <v>388</v>
      </c>
      <c r="B460" s="193">
        <v>43761</v>
      </c>
      <c r="C460" s="194">
        <v>0.10902777777777778</v>
      </c>
      <c r="D460" s="195">
        <v>0.5</v>
      </c>
    </row>
    <row r="461" spans="1:4" x14ac:dyDescent="0.25">
      <c r="A461" s="192">
        <v>389</v>
      </c>
      <c r="B461" s="193">
        <v>43762</v>
      </c>
      <c r="C461" s="194">
        <v>0.15138888888888888</v>
      </c>
      <c r="D461" s="195">
        <v>0.3</v>
      </c>
    </row>
    <row r="462" spans="1:4" x14ac:dyDescent="0.25">
      <c r="A462" s="192">
        <v>390</v>
      </c>
      <c r="B462" s="193">
        <v>43763</v>
      </c>
      <c r="C462" s="194">
        <v>0.18958333333333333</v>
      </c>
      <c r="D462" s="195">
        <v>0.2</v>
      </c>
    </row>
    <row r="463" spans="1:4" x14ac:dyDescent="0.25">
      <c r="A463" s="192">
        <v>390</v>
      </c>
      <c r="B463" s="193">
        <v>43763</v>
      </c>
      <c r="C463" s="194">
        <v>0.71458333333333335</v>
      </c>
      <c r="D463" s="195">
        <v>0.9</v>
      </c>
    </row>
    <row r="464" spans="1:4" x14ac:dyDescent="0.25">
      <c r="A464" s="192">
        <v>391</v>
      </c>
      <c r="B464" s="193">
        <v>43764</v>
      </c>
      <c r="C464" s="194">
        <v>0.22361111111111112</v>
      </c>
      <c r="D464" s="195">
        <v>0.3</v>
      </c>
    </row>
    <row r="465" spans="1:4" x14ac:dyDescent="0.25">
      <c r="A465" s="192">
        <v>391</v>
      </c>
      <c r="B465" s="193">
        <v>43764</v>
      </c>
      <c r="C465" s="194">
        <v>0.74930555555555556</v>
      </c>
      <c r="D465" s="195">
        <v>0</v>
      </c>
    </row>
    <row r="466" spans="1:4" x14ac:dyDescent="0.25">
      <c r="A466" s="192">
        <v>392</v>
      </c>
      <c r="B466" s="193">
        <v>43765</v>
      </c>
      <c r="C466" s="194">
        <v>0.25486111111111109</v>
      </c>
      <c r="D466" s="195">
        <v>0.5</v>
      </c>
    </row>
    <row r="467" spans="1:4" x14ac:dyDescent="0.25">
      <c r="A467" s="192">
        <v>392</v>
      </c>
      <c r="B467" s="193">
        <v>43765</v>
      </c>
      <c r="C467" s="194">
        <v>0.78263888888888888</v>
      </c>
      <c r="D467" s="195">
        <v>-0.8</v>
      </c>
    </row>
    <row r="468" spans="1:4" x14ac:dyDescent="0.25">
      <c r="A468" s="192">
        <v>393</v>
      </c>
      <c r="B468" s="193">
        <v>43766</v>
      </c>
      <c r="C468" s="194">
        <v>0.28541666666666665</v>
      </c>
      <c r="D468" s="195">
        <v>0.8</v>
      </c>
    </row>
    <row r="469" spans="1:4" x14ac:dyDescent="0.25">
      <c r="A469" s="192">
        <v>393</v>
      </c>
      <c r="B469" s="193">
        <v>43766</v>
      </c>
      <c r="C469" s="194">
        <v>0.81458333333333333</v>
      </c>
      <c r="D469" s="195">
        <v>-1.2</v>
      </c>
    </row>
    <row r="470" spans="1:4" x14ac:dyDescent="0.25">
      <c r="A470" s="192">
        <v>394</v>
      </c>
      <c r="B470" s="193">
        <v>43767</v>
      </c>
      <c r="C470" s="194">
        <v>0.31527777777777777</v>
      </c>
      <c r="D470" s="195">
        <v>1.3</v>
      </c>
    </row>
    <row r="471" spans="1:4" x14ac:dyDescent="0.25">
      <c r="A471" s="192">
        <v>394</v>
      </c>
      <c r="B471" s="193">
        <v>43767</v>
      </c>
      <c r="C471" s="194">
        <v>0.84583333333333333</v>
      </c>
      <c r="D471" s="195">
        <v>-1.4</v>
      </c>
    </row>
    <row r="472" spans="1:4" x14ac:dyDescent="0.25">
      <c r="A472" s="192">
        <v>395</v>
      </c>
      <c r="B472" s="193">
        <v>43768</v>
      </c>
      <c r="C472" s="194">
        <v>0.87708333333333333</v>
      </c>
      <c r="D472" s="195">
        <v>-1.2</v>
      </c>
    </row>
    <row r="473" spans="1:4" x14ac:dyDescent="0.25">
      <c r="A473" s="192">
        <v>396</v>
      </c>
      <c r="B473" s="193">
        <v>43769</v>
      </c>
      <c r="C473" s="194">
        <v>0.90972222222222221</v>
      </c>
      <c r="D473" s="195">
        <v>-0.8</v>
      </c>
    </row>
    <row r="474" spans="1:4" x14ac:dyDescent="0.25">
      <c r="A474" s="192">
        <v>397</v>
      </c>
      <c r="B474" s="193">
        <v>43770</v>
      </c>
      <c r="C474" s="194">
        <v>0.94305555555555554</v>
      </c>
      <c r="D474" s="195">
        <v>-0.2</v>
      </c>
    </row>
    <row r="475" spans="1:4" x14ac:dyDescent="0.25">
      <c r="A475" s="192">
        <v>398</v>
      </c>
      <c r="B475" s="193">
        <v>43771</v>
      </c>
      <c r="C475" s="194">
        <v>0.97986111111111107</v>
      </c>
      <c r="D475" s="195">
        <v>0.3</v>
      </c>
    </row>
    <row r="476" spans="1:4" x14ac:dyDescent="0.25">
      <c r="A476" s="192">
        <v>399</v>
      </c>
      <c r="B476" s="193">
        <v>43772</v>
      </c>
      <c r="C476" s="194">
        <v>0.97916666666666663</v>
      </c>
      <c r="D476" s="195">
        <v>0.9</v>
      </c>
    </row>
    <row r="477" spans="1:4" x14ac:dyDescent="0.25">
      <c r="A477" s="192">
        <v>401</v>
      </c>
      <c r="B477" s="193">
        <v>43774</v>
      </c>
      <c r="C477" s="194">
        <v>2.2222222222222223E-2</v>
      </c>
      <c r="D477" s="195">
        <v>1.2</v>
      </c>
    </row>
    <row r="478" spans="1:4" x14ac:dyDescent="0.25">
      <c r="A478" s="192">
        <v>402</v>
      </c>
      <c r="B478" s="193">
        <v>43775</v>
      </c>
      <c r="C478" s="194">
        <v>6.458333333333334E-2</v>
      </c>
      <c r="D478" s="195">
        <v>1.4</v>
      </c>
    </row>
    <row r="479" spans="1:4" x14ac:dyDescent="0.25">
      <c r="A479" s="192">
        <v>403</v>
      </c>
      <c r="B479" s="193">
        <v>43776</v>
      </c>
      <c r="C479" s="194">
        <v>0.10208333333333333</v>
      </c>
      <c r="D479" s="195">
        <v>1.6</v>
      </c>
    </row>
    <row r="480" spans="1:4" x14ac:dyDescent="0.25">
      <c r="A480" s="192">
        <v>404</v>
      </c>
      <c r="B480" s="193">
        <v>43777</v>
      </c>
      <c r="C480" s="194">
        <v>0.13472222222222222</v>
      </c>
      <c r="D480" s="195">
        <v>1.6</v>
      </c>
    </row>
    <row r="481" spans="1:4" x14ac:dyDescent="0.25">
      <c r="A481" s="192">
        <v>405</v>
      </c>
      <c r="B481" s="193">
        <v>43778</v>
      </c>
      <c r="C481" s="194">
        <v>0.16319444444444445</v>
      </c>
      <c r="D481" s="195">
        <v>1.7</v>
      </c>
    </row>
    <row r="482" spans="1:4" x14ac:dyDescent="0.25">
      <c r="A482" s="192">
        <v>405</v>
      </c>
      <c r="B482" s="193">
        <v>43778</v>
      </c>
      <c r="C482" s="194">
        <v>0.69374999999999998</v>
      </c>
      <c r="D482" s="195">
        <v>1.1000000000000001</v>
      </c>
    </row>
    <row r="483" spans="1:4" x14ac:dyDescent="0.25">
      <c r="A483" s="192">
        <v>406</v>
      </c>
      <c r="B483" s="193">
        <v>43779</v>
      </c>
      <c r="C483" s="194">
        <v>0.71944444444444444</v>
      </c>
      <c r="D483" s="195">
        <v>0.5</v>
      </c>
    </row>
    <row r="484" spans="1:4" x14ac:dyDescent="0.25">
      <c r="A484" s="192">
        <v>407</v>
      </c>
      <c r="B484" s="193">
        <v>43780</v>
      </c>
      <c r="C484" s="194">
        <v>0.74375000000000002</v>
      </c>
      <c r="D484" s="195">
        <v>0.1</v>
      </c>
    </row>
    <row r="485" spans="1:4" x14ac:dyDescent="0.25">
      <c r="A485" s="192">
        <v>408</v>
      </c>
      <c r="B485" s="193">
        <v>43781</v>
      </c>
      <c r="C485" s="194">
        <v>0.76875000000000004</v>
      </c>
      <c r="D485" s="195">
        <v>-0.3</v>
      </c>
    </row>
    <row r="486" spans="1:4" x14ac:dyDescent="0.25">
      <c r="A486" s="192">
        <v>409</v>
      </c>
      <c r="B486" s="193">
        <v>43782</v>
      </c>
      <c r="C486" s="194">
        <v>0.79374999999999996</v>
      </c>
      <c r="D486" s="195">
        <v>-0.5</v>
      </c>
    </row>
    <row r="487" spans="1:4" x14ac:dyDescent="0.25">
      <c r="A487" s="192">
        <v>410</v>
      </c>
      <c r="B487" s="193">
        <v>43783</v>
      </c>
      <c r="C487" s="194">
        <v>0.82013888888888886</v>
      </c>
      <c r="D487" s="195">
        <v>-0.6</v>
      </c>
    </row>
    <row r="488" spans="1:4" x14ac:dyDescent="0.25">
      <c r="A488" s="192">
        <v>411</v>
      </c>
      <c r="B488" s="193">
        <v>43784</v>
      </c>
      <c r="C488" s="194">
        <v>0.84861111111111109</v>
      </c>
      <c r="D488" s="195">
        <v>-0.5</v>
      </c>
    </row>
    <row r="489" spans="1:4" x14ac:dyDescent="0.25">
      <c r="A489" s="192">
        <v>412</v>
      </c>
      <c r="B489" s="193">
        <v>43785</v>
      </c>
      <c r="C489" s="194">
        <v>0.88055555555555554</v>
      </c>
      <c r="D489" s="195">
        <v>-0.3</v>
      </c>
    </row>
    <row r="490" spans="1:4" x14ac:dyDescent="0.25">
      <c r="A490" s="192">
        <v>413</v>
      </c>
      <c r="B490" s="193">
        <v>43786</v>
      </c>
      <c r="C490" s="194">
        <v>0.91597222222222219</v>
      </c>
      <c r="D490" s="195">
        <v>-0.1</v>
      </c>
    </row>
    <row r="491" spans="1:4" x14ac:dyDescent="0.25">
      <c r="A491" s="192">
        <v>414</v>
      </c>
      <c r="B491" s="193">
        <v>43787</v>
      </c>
      <c r="C491" s="194">
        <v>0.9555555555555556</v>
      </c>
      <c r="D491" s="195">
        <v>0.3</v>
      </c>
    </row>
    <row r="492" spans="1:4" x14ac:dyDescent="0.25">
      <c r="A492" s="192">
        <v>415</v>
      </c>
      <c r="B492" s="193">
        <v>43788</v>
      </c>
      <c r="C492" s="194">
        <v>0.99930555555555556</v>
      </c>
      <c r="D492" s="195">
        <v>0.6</v>
      </c>
    </row>
    <row r="493" spans="1:4" x14ac:dyDescent="0.25">
      <c r="A493" s="192">
        <v>417</v>
      </c>
      <c r="B493" s="193">
        <v>43790</v>
      </c>
      <c r="C493" s="194">
        <v>4.3055555555555555E-2</v>
      </c>
      <c r="D493" s="195">
        <v>0.8</v>
      </c>
    </row>
    <row r="494" spans="1:4" x14ac:dyDescent="0.25">
      <c r="A494" s="192">
        <v>418</v>
      </c>
      <c r="B494" s="193">
        <v>43791</v>
      </c>
      <c r="C494" s="194">
        <v>8.5416666666666669E-2</v>
      </c>
      <c r="D494" s="195">
        <v>1</v>
      </c>
    </row>
    <row r="495" spans="1:4" x14ac:dyDescent="0.25">
      <c r="A495" s="192">
        <v>418</v>
      </c>
      <c r="B495" s="193">
        <v>43791</v>
      </c>
      <c r="C495" s="194">
        <v>0.62638888888888888</v>
      </c>
      <c r="D495" s="195">
        <v>1.5</v>
      </c>
    </row>
    <row r="496" spans="1:4" x14ac:dyDescent="0.25">
      <c r="A496" s="192">
        <v>419</v>
      </c>
      <c r="B496" s="193">
        <v>43792</v>
      </c>
      <c r="C496" s="194">
        <v>0.125</v>
      </c>
      <c r="D496" s="195">
        <v>1.3</v>
      </c>
    </row>
    <row r="497" spans="1:4" x14ac:dyDescent="0.25">
      <c r="A497" s="192">
        <v>419</v>
      </c>
      <c r="B497" s="193">
        <v>43792</v>
      </c>
      <c r="C497" s="194">
        <v>0.6645833333333333</v>
      </c>
      <c r="D497" s="195">
        <v>0.5</v>
      </c>
    </row>
    <row r="498" spans="1:4" x14ac:dyDescent="0.25">
      <c r="A498" s="192">
        <v>420</v>
      </c>
      <c r="B498" s="193">
        <v>43793</v>
      </c>
      <c r="C498" s="194">
        <v>0.16111111111111112</v>
      </c>
      <c r="D498" s="195">
        <v>1.5</v>
      </c>
    </row>
    <row r="499" spans="1:4" x14ac:dyDescent="0.25">
      <c r="A499" s="192">
        <v>420</v>
      </c>
      <c r="B499" s="193">
        <v>43793</v>
      </c>
      <c r="C499" s="194">
        <v>0.69930555555555551</v>
      </c>
      <c r="D499" s="195">
        <v>-0.4</v>
      </c>
    </row>
    <row r="500" spans="1:4" x14ac:dyDescent="0.25">
      <c r="A500" s="192">
        <v>421</v>
      </c>
      <c r="B500" s="193">
        <v>43794</v>
      </c>
      <c r="C500" s="194">
        <v>0.7319444444444444</v>
      </c>
      <c r="D500" s="195">
        <v>-1</v>
      </c>
    </row>
    <row r="501" spans="1:4" x14ac:dyDescent="0.25">
      <c r="A501" s="192">
        <v>422</v>
      </c>
      <c r="B501" s="193">
        <v>43795</v>
      </c>
      <c r="C501" s="194">
        <v>0.76249999999999996</v>
      </c>
      <c r="D501" s="195">
        <v>-1.3</v>
      </c>
    </row>
    <row r="502" spans="1:4" x14ac:dyDescent="0.25">
      <c r="A502" s="192">
        <v>423</v>
      </c>
      <c r="B502" s="193">
        <v>43796</v>
      </c>
      <c r="C502" s="194">
        <v>0.79305555555555551</v>
      </c>
      <c r="D502" s="195">
        <v>-1.4</v>
      </c>
    </row>
    <row r="503" spans="1:4" x14ac:dyDescent="0.25">
      <c r="A503" s="192">
        <v>424</v>
      </c>
      <c r="B503" s="193">
        <v>43797</v>
      </c>
      <c r="C503" s="194">
        <v>0.82222222222222219</v>
      </c>
      <c r="D503" s="195">
        <v>-1.2</v>
      </c>
    </row>
    <row r="504" spans="1:4" x14ac:dyDescent="0.25">
      <c r="A504" s="192">
        <v>425</v>
      </c>
      <c r="B504" s="193">
        <v>43798</v>
      </c>
      <c r="C504" s="194">
        <v>0.8520833333333333</v>
      </c>
      <c r="D504" s="195">
        <v>-0.7</v>
      </c>
    </row>
    <row r="505" spans="1:4" x14ac:dyDescent="0.25">
      <c r="A505" s="192">
        <v>426</v>
      </c>
      <c r="B505" s="193">
        <v>43799</v>
      </c>
      <c r="C505" s="194">
        <v>0.88194444444444442</v>
      </c>
      <c r="D505" s="195">
        <v>-0.2</v>
      </c>
    </row>
    <row r="506" spans="1:4" x14ac:dyDescent="0.25">
      <c r="A506" s="192">
        <v>427</v>
      </c>
      <c r="B506" s="193">
        <v>43800</v>
      </c>
      <c r="C506" s="194">
        <v>0.91388888888888886</v>
      </c>
      <c r="D506" s="195">
        <v>0.3</v>
      </c>
    </row>
    <row r="507" spans="1:4" x14ac:dyDescent="0.25">
      <c r="A507" s="192">
        <v>428</v>
      </c>
      <c r="B507" s="193">
        <v>43801</v>
      </c>
      <c r="C507" s="194">
        <v>0.94722222222222219</v>
      </c>
      <c r="D507" s="195">
        <v>0.9</v>
      </c>
    </row>
    <row r="508" spans="1:4" x14ac:dyDescent="0.25">
      <c r="A508" s="192">
        <v>429</v>
      </c>
      <c r="B508" s="193">
        <v>43802</v>
      </c>
      <c r="C508" s="194">
        <v>0.98263888888888884</v>
      </c>
      <c r="D508" s="195">
        <v>1.4</v>
      </c>
    </row>
    <row r="509" spans="1:4" x14ac:dyDescent="0.25">
      <c r="A509" s="192">
        <v>434</v>
      </c>
      <c r="B509" s="193">
        <v>43807</v>
      </c>
      <c r="C509" s="194">
        <v>0.67291666666666672</v>
      </c>
      <c r="D509" s="195">
        <v>1.1000000000000001</v>
      </c>
    </row>
    <row r="510" spans="1:4" x14ac:dyDescent="0.25">
      <c r="A510" s="192">
        <v>435</v>
      </c>
      <c r="B510" s="193">
        <v>43808</v>
      </c>
      <c r="C510" s="194">
        <v>0.7006944444444444</v>
      </c>
      <c r="D510" s="195">
        <v>0.4</v>
      </c>
    </row>
    <row r="511" spans="1:4" x14ac:dyDescent="0.25">
      <c r="A511" s="192">
        <v>436</v>
      </c>
      <c r="B511" s="193">
        <v>43809</v>
      </c>
      <c r="C511" s="194">
        <v>0.72777777777777775</v>
      </c>
      <c r="D511" s="195">
        <v>-0.2</v>
      </c>
    </row>
    <row r="512" spans="1:4" x14ac:dyDescent="0.25">
      <c r="A512" s="192">
        <v>437</v>
      </c>
      <c r="B512" s="193">
        <v>43810</v>
      </c>
      <c r="C512" s="194">
        <v>0.75416666666666665</v>
      </c>
      <c r="D512" s="195">
        <v>-0.6</v>
      </c>
    </row>
    <row r="513" spans="1:4" x14ac:dyDescent="0.25">
      <c r="A513" s="192">
        <v>438</v>
      </c>
      <c r="B513" s="193">
        <v>43811</v>
      </c>
      <c r="C513" s="194">
        <v>0.78125</v>
      </c>
      <c r="D513" s="195">
        <v>-0.9</v>
      </c>
    </row>
    <row r="514" spans="1:4" x14ac:dyDescent="0.25">
      <c r="A514" s="192">
        <v>439</v>
      </c>
      <c r="B514" s="193">
        <v>43812</v>
      </c>
      <c r="C514" s="194">
        <v>0.80972222222222223</v>
      </c>
      <c r="D514" s="195">
        <v>-1</v>
      </c>
    </row>
    <row r="515" spans="1:4" x14ac:dyDescent="0.25">
      <c r="A515" s="192">
        <v>440</v>
      </c>
      <c r="B515" s="193">
        <v>43813</v>
      </c>
      <c r="C515" s="194">
        <v>0.83888888888888891</v>
      </c>
      <c r="D515" s="195">
        <v>-1</v>
      </c>
    </row>
    <row r="516" spans="1:4" x14ac:dyDescent="0.25">
      <c r="A516" s="192">
        <v>441</v>
      </c>
      <c r="B516" s="193">
        <v>43814</v>
      </c>
      <c r="C516" s="194">
        <v>0.87013888888888891</v>
      </c>
      <c r="D516" s="195">
        <v>-0.8</v>
      </c>
    </row>
    <row r="517" spans="1:4" x14ac:dyDescent="0.25">
      <c r="A517" s="192">
        <v>442</v>
      </c>
      <c r="B517" s="193">
        <v>43815</v>
      </c>
      <c r="C517" s="194">
        <v>0.90347222222222223</v>
      </c>
      <c r="D517" s="195">
        <v>-0.4</v>
      </c>
    </row>
    <row r="518" spans="1:4" x14ac:dyDescent="0.25">
      <c r="A518" s="192">
        <v>443</v>
      </c>
      <c r="B518" s="193">
        <v>43816</v>
      </c>
      <c r="C518" s="194">
        <v>0.93888888888888888</v>
      </c>
      <c r="D518" s="195">
        <v>0.1</v>
      </c>
    </row>
    <row r="519" spans="1:4" x14ac:dyDescent="0.25">
      <c r="A519" s="192">
        <v>444</v>
      </c>
      <c r="B519" s="193">
        <v>43817</v>
      </c>
      <c r="C519" s="194">
        <v>0.9770833333333333</v>
      </c>
      <c r="D519" s="195">
        <v>0.7</v>
      </c>
    </row>
    <row r="520" spans="1:4" x14ac:dyDescent="0.25">
      <c r="A520" s="192">
        <v>446</v>
      </c>
      <c r="B520" s="193">
        <v>43819</v>
      </c>
      <c r="C520" s="194">
        <v>1.8055555555555554E-2</v>
      </c>
      <c r="D520" s="195">
        <v>1.3</v>
      </c>
    </row>
    <row r="521" spans="1:4" x14ac:dyDescent="0.25">
      <c r="A521" s="192">
        <v>447</v>
      </c>
      <c r="B521" s="193">
        <v>43820</v>
      </c>
      <c r="C521" s="194">
        <v>0.61527777777777781</v>
      </c>
      <c r="D521" s="195">
        <v>1.1000000000000001</v>
      </c>
    </row>
    <row r="522" spans="1:4" x14ac:dyDescent="0.25">
      <c r="A522" s="192">
        <v>448</v>
      </c>
      <c r="B522" s="193">
        <v>43821</v>
      </c>
      <c r="C522" s="194">
        <v>0.65555555555555556</v>
      </c>
      <c r="D522" s="195">
        <v>0.3</v>
      </c>
    </row>
    <row r="523" spans="1:4" x14ac:dyDescent="0.25">
      <c r="A523" s="192">
        <v>449</v>
      </c>
      <c r="B523" s="193">
        <v>43822</v>
      </c>
      <c r="C523" s="194">
        <v>0.69097222222222221</v>
      </c>
      <c r="D523" s="195">
        <v>-0.4</v>
      </c>
    </row>
    <row r="524" spans="1:4" x14ac:dyDescent="0.25">
      <c r="A524" s="192">
        <v>450</v>
      </c>
      <c r="B524" s="193">
        <v>43823</v>
      </c>
      <c r="C524" s="194">
        <v>0.72361111111111109</v>
      </c>
      <c r="D524" s="195">
        <v>-0.9</v>
      </c>
    </row>
    <row r="525" spans="1:4" x14ac:dyDescent="0.25">
      <c r="A525" s="192">
        <v>451</v>
      </c>
      <c r="B525" s="193">
        <v>43824</v>
      </c>
      <c r="C525" s="194">
        <v>0.75347222222222221</v>
      </c>
      <c r="D525" s="195">
        <v>-1.1000000000000001</v>
      </c>
    </row>
    <row r="526" spans="1:4" x14ac:dyDescent="0.25">
      <c r="A526" s="192">
        <v>452</v>
      </c>
      <c r="B526" s="193">
        <v>43825</v>
      </c>
      <c r="C526" s="194">
        <v>0.78263888888888888</v>
      </c>
      <c r="D526" s="195">
        <v>-1.1000000000000001</v>
      </c>
    </row>
    <row r="527" spans="1:4" x14ac:dyDescent="0.25">
      <c r="A527" s="192">
        <v>453</v>
      </c>
      <c r="B527" s="193">
        <v>43826</v>
      </c>
      <c r="C527" s="194">
        <v>0.80972222222222223</v>
      </c>
      <c r="D527" s="195">
        <v>-0.9</v>
      </c>
    </row>
    <row r="528" spans="1:4" x14ac:dyDescent="0.25">
      <c r="A528" s="192">
        <v>454</v>
      </c>
      <c r="B528" s="193">
        <v>43827</v>
      </c>
      <c r="C528" s="194">
        <v>0.83680555555555558</v>
      </c>
      <c r="D528" s="195">
        <v>-0.6</v>
      </c>
    </row>
    <row r="529" spans="1:4" x14ac:dyDescent="0.25">
      <c r="A529" s="192">
        <v>455</v>
      </c>
      <c r="B529" s="193">
        <v>43828</v>
      </c>
      <c r="C529" s="194">
        <v>0.86319444444444449</v>
      </c>
      <c r="D529" s="195">
        <v>-0.2</v>
      </c>
    </row>
    <row r="530" spans="1:4" x14ac:dyDescent="0.25">
      <c r="A530" s="192">
        <v>456</v>
      </c>
      <c r="B530" s="193">
        <v>43829</v>
      </c>
      <c r="C530" s="194">
        <v>0.88958333333333328</v>
      </c>
      <c r="D530" s="195">
        <v>0.3</v>
      </c>
    </row>
    <row r="531" spans="1:4" x14ac:dyDescent="0.25">
      <c r="A531" s="192">
        <v>457</v>
      </c>
      <c r="B531" s="193">
        <v>43830</v>
      </c>
      <c r="C531" s="194">
        <v>0.91666666666666663</v>
      </c>
      <c r="D531" s="195">
        <v>0.9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J9"/>
  <sheetViews>
    <sheetView workbookViewId="0">
      <selection activeCell="B4" sqref="B4"/>
    </sheetView>
  </sheetViews>
  <sheetFormatPr defaultRowHeight="15" x14ac:dyDescent="0.25"/>
  <cols>
    <col min="1" max="1" width="21.5703125" customWidth="1"/>
    <col min="2" max="2" width="12.140625" customWidth="1"/>
    <col min="3" max="3" width="12" bestFit="1" customWidth="1"/>
    <col min="4" max="5" width="10.7109375" customWidth="1"/>
    <col min="6" max="6" width="10.5703125" bestFit="1" customWidth="1"/>
    <col min="7" max="7" width="12" bestFit="1" customWidth="1"/>
    <col min="8" max="9" width="10.5703125" bestFit="1" customWidth="1"/>
    <col min="10" max="10" width="13.28515625" bestFit="1" customWidth="1"/>
  </cols>
  <sheetData>
    <row r="1" spans="1:10" x14ac:dyDescent="0.25">
      <c r="A1" s="3" t="s">
        <v>44</v>
      </c>
      <c r="B1" s="3"/>
      <c r="C1" s="3"/>
      <c r="D1" s="3"/>
      <c r="E1" s="3"/>
      <c r="F1" s="3"/>
      <c r="G1" s="3"/>
      <c r="H1" s="3"/>
    </row>
    <row r="2" spans="1:10" x14ac:dyDescent="0.25">
      <c r="A2" s="3"/>
      <c r="B2" s="3"/>
      <c r="C2" s="3"/>
      <c r="D2" s="3"/>
      <c r="E2" s="3"/>
      <c r="F2" s="3"/>
      <c r="G2" s="3"/>
      <c r="H2" s="3"/>
    </row>
    <row r="3" spans="1:10" ht="15.75" thickBot="1" x14ac:dyDescent="0.3">
      <c r="A3" s="3"/>
      <c r="B3" s="1" t="s">
        <v>60</v>
      </c>
      <c r="C3" s="1" t="s">
        <v>55</v>
      </c>
      <c r="D3" s="3" t="s">
        <v>53</v>
      </c>
      <c r="E3" s="1" t="s">
        <v>45</v>
      </c>
      <c r="F3" s="3" t="s">
        <v>42</v>
      </c>
      <c r="G3" s="1" t="s">
        <v>41</v>
      </c>
      <c r="H3" s="1" t="s">
        <v>40</v>
      </c>
      <c r="I3" s="1" t="s">
        <v>39</v>
      </c>
      <c r="J3" s="1" t="s">
        <v>38</v>
      </c>
    </row>
    <row r="4" spans="1:10" x14ac:dyDescent="0.25">
      <c r="A4" s="43" t="s">
        <v>19</v>
      </c>
      <c r="B4" s="44">
        <v>333557</v>
      </c>
      <c r="C4" s="44">
        <v>872679.52221495111</v>
      </c>
      <c r="D4" s="44">
        <v>4895623.5998578668</v>
      </c>
      <c r="E4" s="44">
        <v>4768605</v>
      </c>
      <c r="F4" s="44">
        <v>3885491.5446236241</v>
      </c>
      <c r="G4" s="44">
        <v>2881223.2800000003</v>
      </c>
      <c r="H4" s="44">
        <v>1847952.1349999998</v>
      </c>
      <c r="I4" s="44">
        <v>1094641.4136540764</v>
      </c>
      <c r="J4" s="44">
        <v>1276247.6927039789</v>
      </c>
    </row>
    <row r="5" spans="1:10" x14ac:dyDescent="0.25">
      <c r="A5" s="45" t="s">
        <v>20</v>
      </c>
      <c r="B5" s="46">
        <v>1377125</v>
      </c>
      <c r="C5" s="46">
        <v>506698.75607162755</v>
      </c>
      <c r="D5" s="46">
        <v>1896630.873404826</v>
      </c>
      <c r="E5" s="46">
        <v>1198600</v>
      </c>
      <c r="F5" s="46">
        <v>2662860.8000000003</v>
      </c>
      <c r="G5" s="46">
        <f>5744410.73323314*0.4</f>
        <v>2297764.2932932558</v>
      </c>
      <c r="H5" s="46">
        <v>1881783.2000000002</v>
      </c>
      <c r="I5" s="46">
        <v>616314.30636927264</v>
      </c>
      <c r="J5" s="46">
        <v>845427.66684737173</v>
      </c>
    </row>
    <row r="6" spans="1:10" x14ac:dyDescent="0.25">
      <c r="A6" s="45" t="s">
        <v>21</v>
      </c>
      <c r="B6" s="46">
        <v>860768</v>
      </c>
      <c r="C6" s="46">
        <v>591366.11976499634</v>
      </c>
      <c r="D6" s="46">
        <v>880571.44910342421</v>
      </c>
      <c r="E6" s="46">
        <v>1094781</v>
      </c>
      <c r="F6" s="108">
        <v>889827.43342746096</v>
      </c>
      <c r="G6" s="107">
        <f>(2615522*0.5)-(161153)+250000</f>
        <v>1396608</v>
      </c>
      <c r="H6" s="46">
        <v>1072689.5999999999</v>
      </c>
      <c r="I6" s="46">
        <v>371373.03795949166</v>
      </c>
      <c r="J6" s="46">
        <v>683167.40704835602</v>
      </c>
    </row>
    <row r="7" spans="1:10" x14ac:dyDescent="0.25">
      <c r="A7" s="45" t="s">
        <v>22</v>
      </c>
      <c r="B7" s="46">
        <v>1508774</v>
      </c>
      <c r="C7" s="46">
        <v>778354.53277878079</v>
      </c>
      <c r="D7" s="46">
        <v>941919.24030067341</v>
      </c>
      <c r="E7" s="46">
        <v>1695074</v>
      </c>
      <c r="F7" s="46">
        <v>2240308.7479108246</v>
      </c>
      <c r="G7" s="46">
        <v>2088668.5</v>
      </c>
      <c r="H7" s="46">
        <v>909667.35</v>
      </c>
      <c r="I7" s="46">
        <v>605830.70008886908</v>
      </c>
      <c r="J7" s="46">
        <v>545586.68998891278</v>
      </c>
    </row>
    <row r="8" spans="1:10" ht="15.75" thickBot="1" x14ac:dyDescent="0.3">
      <c r="A8" s="47" t="s">
        <v>23</v>
      </c>
      <c r="B8" s="48">
        <v>777386</v>
      </c>
      <c r="C8" s="48">
        <v>24444.430036493428</v>
      </c>
      <c r="D8" s="48">
        <v>725888.21174021007</v>
      </c>
      <c r="E8" s="48">
        <v>63740</v>
      </c>
      <c r="F8" s="48">
        <v>125735.12787535199</v>
      </c>
      <c r="G8" s="48">
        <f>1033285.9456848*0.254*0.5</f>
        <v>131227.31510196961</v>
      </c>
      <c r="H8" s="48">
        <v>113543.20699999999</v>
      </c>
      <c r="I8" s="48">
        <v>144560.51050788548</v>
      </c>
      <c r="J8" s="48">
        <v>258924.12448845015</v>
      </c>
    </row>
    <row r="9" spans="1:10" ht="16.5" thickBot="1" x14ac:dyDescent="0.3">
      <c r="A9" s="49" t="s">
        <v>33</v>
      </c>
      <c r="B9" s="50">
        <f>SUM(B4:B8)</f>
        <v>4857610</v>
      </c>
      <c r="C9" s="50">
        <f>SUM(C4:C8)</f>
        <v>2773543.3608668493</v>
      </c>
      <c r="D9" s="50">
        <f>SUM(D4:D8)</f>
        <v>9340633.3744070008</v>
      </c>
      <c r="E9" s="50">
        <f t="shared" ref="E9:J9" si="0">SUM(E4:E8)</f>
        <v>8820800</v>
      </c>
      <c r="F9" s="50">
        <f t="shared" si="0"/>
        <v>9804223.6538372617</v>
      </c>
      <c r="G9" s="50">
        <f t="shared" si="0"/>
        <v>8795491.3883952256</v>
      </c>
      <c r="H9" s="50">
        <f t="shared" si="0"/>
        <v>5825635.4919999996</v>
      </c>
      <c r="I9" s="50">
        <f t="shared" si="0"/>
        <v>2832719.968579595</v>
      </c>
      <c r="J9" s="50">
        <f t="shared" si="0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H100"/>
  <sheetViews>
    <sheetView topLeftCell="A16" workbookViewId="0">
      <selection sqref="A1:G2"/>
    </sheetView>
  </sheetViews>
  <sheetFormatPr defaultRowHeight="15" x14ac:dyDescent="0.25"/>
  <cols>
    <col min="1" max="1" width="9.42578125" style="3" bestFit="1" customWidth="1"/>
    <col min="2" max="2" width="12.5703125" style="3" bestFit="1" customWidth="1"/>
    <col min="3" max="3" width="10.140625" style="79" bestFit="1" customWidth="1"/>
    <col min="4" max="4" width="14.7109375" style="3" bestFit="1" customWidth="1"/>
    <col min="5" max="5" width="16.7109375" bestFit="1" customWidth="1"/>
  </cols>
  <sheetData>
    <row r="1" spans="1:7" x14ac:dyDescent="0.25">
      <c r="A1" s="228" t="s">
        <v>37</v>
      </c>
      <c r="B1" s="228" t="s">
        <v>9</v>
      </c>
      <c r="C1" s="228" t="s">
        <v>8</v>
      </c>
      <c r="D1" s="228" t="s">
        <v>48</v>
      </c>
      <c r="E1" s="228" t="s">
        <v>49</v>
      </c>
      <c r="F1" s="228" t="s">
        <v>50</v>
      </c>
      <c r="G1" s="228" t="s">
        <v>51</v>
      </c>
    </row>
    <row r="2" spans="1:7" x14ac:dyDescent="0.25">
      <c r="A2" s="229">
        <v>1600</v>
      </c>
      <c r="B2" s="230" t="s">
        <v>1</v>
      </c>
      <c r="C2" s="231">
        <v>43546</v>
      </c>
      <c r="D2" s="230" t="s">
        <v>71</v>
      </c>
      <c r="E2" s="229">
        <v>100</v>
      </c>
      <c r="F2" s="229">
        <v>5</v>
      </c>
      <c r="G2" s="229">
        <v>5</v>
      </c>
    </row>
    <row r="3" spans="1:7" x14ac:dyDescent="0.25">
      <c r="A3" s="187"/>
      <c r="B3" s="188"/>
      <c r="C3" s="189"/>
      <c r="D3" s="188"/>
      <c r="E3" s="187"/>
      <c r="F3" s="187"/>
      <c r="G3" s="187"/>
    </row>
    <row r="4" spans="1:7" x14ac:dyDescent="0.25">
      <c r="A4" s="171"/>
      <c r="B4" s="172"/>
      <c r="C4" s="173"/>
      <c r="D4" s="172"/>
      <c r="E4" s="171"/>
      <c r="F4" s="171"/>
      <c r="G4" s="171"/>
    </row>
    <row r="5" spans="1:7" x14ac:dyDescent="0.25">
      <c r="A5" s="171"/>
      <c r="B5" s="172"/>
      <c r="C5" s="173"/>
      <c r="D5" s="172"/>
      <c r="E5" s="171"/>
      <c r="F5" s="171"/>
      <c r="G5" s="171"/>
    </row>
    <row r="6" spans="1:7" x14ac:dyDescent="0.25">
      <c r="A6" s="171"/>
      <c r="B6" s="172"/>
      <c r="C6" s="173"/>
      <c r="D6" s="172"/>
      <c r="E6" s="171"/>
      <c r="F6" s="171"/>
      <c r="G6" s="171"/>
    </row>
    <row r="7" spans="1:7" x14ac:dyDescent="0.25">
      <c r="A7" s="171"/>
      <c r="B7" s="172"/>
      <c r="C7" s="173"/>
      <c r="D7" s="172"/>
      <c r="E7" s="171"/>
      <c r="F7" s="171"/>
      <c r="G7" s="171"/>
    </row>
    <row r="8" spans="1:7" x14ac:dyDescent="0.25">
      <c r="A8" s="171"/>
      <c r="B8" s="172"/>
      <c r="C8" s="173"/>
      <c r="D8" s="172"/>
      <c r="E8" s="171"/>
      <c r="F8" s="171"/>
      <c r="G8" s="171"/>
    </row>
    <row r="9" spans="1:7" x14ac:dyDescent="0.25">
      <c r="A9" s="171"/>
      <c r="B9" s="172"/>
      <c r="C9" s="173"/>
      <c r="D9" s="172"/>
      <c r="E9" s="171"/>
      <c r="F9" s="171"/>
      <c r="G9" s="171"/>
    </row>
    <row r="10" spans="1:7" x14ac:dyDescent="0.25">
      <c r="A10" s="171"/>
      <c r="B10" s="172"/>
      <c r="C10" s="173"/>
      <c r="D10" s="172"/>
      <c r="E10" s="171"/>
      <c r="F10" s="171"/>
      <c r="G10" s="171"/>
    </row>
    <row r="11" spans="1:7" x14ac:dyDescent="0.25">
      <c r="A11" s="171"/>
      <c r="B11" s="172"/>
      <c r="C11" s="173"/>
      <c r="D11" s="172"/>
      <c r="E11" s="171"/>
      <c r="F11" s="171"/>
      <c r="G11" s="171"/>
    </row>
    <row r="12" spans="1:7" x14ac:dyDescent="0.25">
      <c r="A12" s="117"/>
      <c r="B12" s="118"/>
      <c r="C12" s="119"/>
      <c r="D12" s="117"/>
      <c r="E12" s="120"/>
      <c r="F12" s="8"/>
      <c r="G12" s="78"/>
    </row>
    <row r="13" spans="1:7" x14ac:dyDescent="0.25">
      <c r="A13" s="117"/>
      <c r="B13" s="118"/>
      <c r="C13" s="119"/>
      <c r="D13" s="117"/>
      <c r="E13" s="120"/>
      <c r="F13" s="8"/>
      <c r="G13" s="78"/>
    </row>
    <row r="14" spans="1:7" x14ac:dyDescent="0.25">
      <c r="A14" s="117"/>
      <c r="B14" s="118"/>
      <c r="C14" s="119"/>
      <c r="D14" s="117"/>
      <c r="E14" s="120"/>
      <c r="F14" s="8"/>
      <c r="G14" s="78"/>
    </row>
    <row r="15" spans="1:7" x14ac:dyDescent="0.25">
      <c r="A15" s="117"/>
      <c r="B15" s="118"/>
      <c r="C15" s="119"/>
      <c r="D15" s="117"/>
      <c r="E15" s="120"/>
      <c r="F15" s="8"/>
      <c r="G15" s="78"/>
    </row>
    <row r="16" spans="1:7" x14ac:dyDescent="0.25">
      <c r="A16" s="117"/>
      <c r="B16" s="118"/>
      <c r="C16" s="119"/>
      <c r="D16" s="117"/>
      <c r="E16" s="120"/>
      <c r="F16" s="8"/>
      <c r="G16" s="78"/>
    </row>
    <row r="17" spans="1:7" x14ac:dyDescent="0.25">
      <c r="A17" s="117"/>
      <c r="B17" s="118"/>
      <c r="C17" s="119"/>
      <c r="D17" s="117"/>
      <c r="E17" s="120"/>
      <c r="F17" s="8"/>
      <c r="G17" s="78"/>
    </row>
    <row r="18" spans="1:7" x14ac:dyDescent="0.25">
      <c r="A18" s="117"/>
      <c r="B18" s="118"/>
      <c r="C18" s="119"/>
      <c r="D18" s="117"/>
      <c r="E18" s="120"/>
      <c r="F18" s="8"/>
      <c r="G18" s="78"/>
    </row>
    <row r="19" spans="1:7" x14ac:dyDescent="0.25">
      <c r="A19" s="117"/>
      <c r="B19" s="118"/>
      <c r="C19" s="119"/>
      <c r="D19" s="117"/>
      <c r="E19" s="120"/>
      <c r="F19" s="8"/>
      <c r="G19" s="78"/>
    </row>
    <row r="20" spans="1:7" x14ac:dyDescent="0.25">
      <c r="A20" s="117"/>
      <c r="B20" s="118"/>
      <c r="C20" s="119"/>
      <c r="D20" s="117"/>
      <c r="E20" s="120"/>
      <c r="F20" s="8"/>
      <c r="G20" s="78"/>
    </row>
    <row r="21" spans="1:7" x14ac:dyDescent="0.25">
      <c r="A21" s="117"/>
      <c r="B21" s="118"/>
      <c r="C21" s="119"/>
      <c r="D21" s="117"/>
      <c r="E21" s="120"/>
      <c r="F21" s="8"/>
      <c r="G21" s="78"/>
    </row>
    <row r="22" spans="1:7" x14ac:dyDescent="0.25">
      <c r="A22" s="117"/>
      <c r="B22" s="118"/>
      <c r="C22" s="119"/>
      <c r="D22" s="117"/>
      <c r="E22" s="120"/>
      <c r="F22" s="8"/>
      <c r="G22" s="78"/>
    </row>
    <row r="23" spans="1:7" x14ac:dyDescent="0.25">
      <c r="A23" s="117"/>
      <c r="B23" s="118"/>
      <c r="C23" s="119"/>
      <c r="D23" s="117"/>
      <c r="E23" s="120"/>
      <c r="F23" s="8"/>
      <c r="G23" s="78"/>
    </row>
    <row r="24" spans="1:7" x14ac:dyDescent="0.25">
      <c r="A24" s="117"/>
      <c r="B24" s="118"/>
      <c r="C24" s="119"/>
      <c r="D24" s="117"/>
      <c r="E24" s="120"/>
      <c r="F24" s="8"/>
      <c r="G24" s="78"/>
    </row>
    <row r="25" spans="1:7" x14ac:dyDescent="0.25">
      <c r="A25" s="117"/>
      <c r="B25" s="118"/>
      <c r="C25" s="119"/>
      <c r="D25" s="117"/>
      <c r="E25" s="120"/>
      <c r="F25" s="8"/>
      <c r="G25" s="78"/>
    </row>
    <row r="26" spans="1:7" x14ac:dyDescent="0.25">
      <c r="A26" s="95"/>
      <c r="B26" s="96"/>
      <c r="C26" s="97"/>
      <c r="D26" s="95"/>
      <c r="E26" s="98"/>
      <c r="F26" s="8"/>
      <c r="G26" s="78"/>
    </row>
    <row r="27" spans="1:7" x14ac:dyDescent="0.25">
      <c r="A27" s="95"/>
      <c r="B27" s="96"/>
      <c r="C27" s="97"/>
      <c r="D27" s="95"/>
      <c r="E27" s="98"/>
      <c r="F27" s="8"/>
      <c r="G27" s="78"/>
    </row>
    <row r="28" spans="1:7" x14ac:dyDescent="0.25">
      <c r="A28" s="95"/>
      <c r="B28" s="96"/>
      <c r="C28" s="97"/>
      <c r="D28" s="95"/>
      <c r="E28" s="98"/>
      <c r="F28" s="8"/>
      <c r="G28" s="78"/>
    </row>
    <row r="29" spans="1:7" x14ac:dyDescent="0.25">
      <c r="A29" s="95"/>
      <c r="B29" s="96"/>
      <c r="C29" s="97"/>
      <c r="D29" s="95"/>
      <c r="E29" s="98"/>
      <c r="F29" s="8"/>
      <c r="G29" s="78"/>
    </row>
    <row r="30" spans="1:7" x14ac:dyDescent="0.25">
      <c r="A30" s="95"/>
      <c r="B30" s="96"/>
      <c r="C30" s="97"/>
      <c r="D30" s="95"/>
      <c r="E30" s="98"/>
      <c r="F30" s="8"/>
      <c r="G30" s="78"/>
    </row>
    <row r="31" spans="1:7" x14ac:dyDescent="0.25">
      <c r="A31" s="95"/>
      <c r="B31" s="96"/>
      <c r="C31" s="97"/>
      <c r="D31" s="95"/>
      <c r="E31" s="98"/>
      <c r="F31" s="8"/>
      <c r="G31" s="78"/>
    </row>
    <row r="32" spans="1:7" x14ac:dyDescent="0.25">
      <c r="A32" s="95"/>
      <c r="B32" s="96"/>
      <c r="C32" s="97"/>
      <c r="D32" s="95"/>
      <c r="E32" s="98"/>
      <c r="F32" s="8"/>
      <c r="G32" s="78"/>
    </row>
    <row r="33" spans="1:8" x14ac:dyDescent="0.25">
      <c r="A33" s="95"/>
      <c r="B33" s="96"/>
      <c r="C33" s="97"/>
      <c r="D33" s="95"/>
      <c r="E33" s="98"/>
      <c r="F33" s="8"/>
      <c r="G33" s="78"/>
    </row>
    <row r="34" spans="1:8" x14ac:dyDescent="0.25">
      <c r="A34" s="95"/>
      <c r="B34" s="96"/>
      <c r="C34" s="97"/>
      <c r="D34" s="95"/>
      <c r="E34" s="98"/>
      <c r="F34" s="8"/>
      <c r="G34" s="78"/>
    </row>
    <row r="35" spans="1:8" x14ac:dyDescent="0.25">
      <c r="A35" s="95"/>
      <c r="B35" s="96"/>
      <c r="C35" s="97"/>
      <c r="D35" s="95"/>
      <c r="E35" s="98"/>
      <c r="F35" s="8"/>
      <c r="G35" s="78"/>
    </row>
    <row r="36" spans="1:8" x14ac:dyDescent="0.25">
      <c r="A36" s="95"/>
      <c r="B36" s="96"/>
      <c r="C36" s="97"/>
      <c r="D36" s="95"/>
      <c r="E36" s="98"/>
      <c r="F36" s="8"/>
      <c r="G36" s="78"/>
    </row>
    <row r="37" spans="1:8" x14ac:dyDescent="0.25">
      <c r="A37" s="95"/>
      <c r="B37" s="96"/>
      <c r="C37" s="97"/>
      <c r="D37" s="95"/>
      <c r="E37" s="98"/>
      <c r="F37" s="8"/>
      <c r="G37" s="78"/>
    </row>
    <row r="38" spans="1:8" x14ac:dyDescent="0.25">
      <c r="A38" s="95"/>
      <c r="B38" s="96"/>
      <c r="C38" s="97"/>
      <c r="D38" s="95"/>
      <c r="E38" s="98"/>
      <c r="F38" s="8"/>
      <c r="G38" s="78"/>
    </row>
    <row r="39" spans="1:8" x14ac:dyDescent="0.25">
      <c r="A39" s="95"/>
      <c r="B39" s="96"/>
      <c r="C39" s="97"/>
      <c r="D39" s="95"/>
      <c r="E39" s="98"/>
      <c r="F39" s="8"/>
      <c r="G39" s="78"/>
    </row>
    <row r="40" spans="1:8" x14ac:dyDescent="0.25">
      <c r="A40" s="95"/>
      <c r="B40" s="96"/>
      <c r="C40" s="97"/>
      <c r="D40" s="95"/>
      <c r="E40" s="164">
        <f>SUM(E2:E39)</f>
        <v>100</v>
      </c>
      <c r="F40" s="8">
        <f>SUM(F2:F39)</f>
        <v>5</v>
      </c>
      <c r="G40" s="78">
        <f>SUM(G2:G39)</f>
        <v>5</v>
      </c>
      <c r="H40" s="165">
        <f>+G40/E40</f>
        <v>0.05</v>
      </c>
    </row>
    <row r="41" spans="1:8" x14ac:dyDescent="0.25">
      <c r="A41" s="95"/>
      <c r="B41" s="96"/>
      <c r="C41" s="97"/>
      <c r="D41" s="95"/>
      <c r="E41" s="98"/>
      <c r="F41" s="8"/>
      <c r="G41" s="78"/>
    </row>
    <row r="42" spans="1:8" x14ac:dyDescent="0.25">
      <c r="A42" s="95"/>
      <c r="B42" s="96"/>
      <c r="C42" s="97"/>
      <c r="D42" s="95"/>
      <c r="E42" s="98"/>
      <c r="F42" s="8"/>
      <c r="G42" s="78"/>
    </row>
    <row r="43" spans="1:8" x14ac:dyDescent="0.25">
      <c r="A43" s="95"/>
      <c r="B43" s="96"/>
      <c r="C43" s="97"/>
      <c r="D43" s="95"/>
      <c r="E43" s="98"/>
      <c r="F43" s="8"/>
      <c r="G43" s="78"/>
    </row>
    <row r="44" spans="1:8" x14ac:dyDescent="0.25">
      <c r="A44" s="95"/>
      <c r="B44" s="96"/>
      <c r="C44" s="97"/>
      <c r="D44" s="95"/>
      <c r="E44" s="98"/>
      <c r="F44" s="8"/>
      <c r="G44" s="78"/>
    </row>
    <row r="45" spans="1:8" x14ac:dyDescent="0.25">
      <c r="A45" s="95"/>
      <c r="B45" s="96"/>
      <c r="C45" s="97"/>
      <c r="D45" s="95"/>
      <c r="E45" s="98"/>
      <c r="F45" s="8"/>
      <c r="G45" s="78"/>
    </row>
    <row r="46" spans="1:8" x14ac:dyDescent="0.25">
      <c r="A46" s="95"/>
      <c r="B46" s="96"/>
      <c r="C46" s="97"/>
      <c r="D46" s="95"/>
      <c r="E46" s="98"/>
      <c r="F46" s="8"/>
      <c r="G46" s="78"/>
    </row>
    <row r="47" spans="1:8" x14ac:dyDescent="0.25">
      <c r="A47" s="95"/>
      <c r="B47" s="96"/>
      <c r="C47" s="97"/>
      <c r="D47" s="95"/>
      <c r="E47" s="98"/>
      <c r="F47" s="8"/>
      <c r="G47" s="78"/>
    </row>
    <row r="48" spans="1:8" x14ac:dyDescent="0.25">
      <c r="A48" s="95"/>
      <c r="B48" s="96"/>
      <c r="C48" s="97"/>
      <c r="D48" s="95"/>
      <c r="E48" s="98"/>
    </row>
    <row r="49" spans="1:5" x14ac:dyDescent="0.25">
      <c r="A49" s="95"/>
      <c r="B49" s="96"/>
      <c r="C49" s="97"/>
      <c r="D49" s="95"/>
      <c r="E49" s="98"/>
    </row>
    <row r="50" spans="1:5" x14ac:dyDescent="0.25">
      <c r="A50" s="95"/>
      <c r="B50" s="96"/>
      <c r="C50" s="97"/>
      <c r="D50" s="95"/>
      <c r="E50" s="98"/>
    </row>
    <row r="51" spans="1:5" x14ac:dyDescent="0.25">
      <c r="A51" s="95"/>
      <c r="B51" s="96"/>
      <c r="C51" s="97"/>
      <c r="D51" s="95"/>
      <c r="E51" s="98"/>
    </row>
    <row r="52" spans="1:5" x14ac:dyDescent="0.25">
      <c r="A52" s="95"/>
      <c r="B52" s="96"/>
      <c r="C52" s="97"/>
      <c r="D52" s="95"/>
      <c r="E52" s="98"/>
    </row>
    <row r="53" spans="1:5" x14ac:dyDescent="0.25">
      <c r="A53" s="95"/>
      <c r="B53" s="96"/>
      <c r="C53" s="97"/>
      <c r="D53" s="95"/>
      <c r="E53" s="98"/>
    </row>
    <row r="54" spans="1:5" x14ac:dyDescent="0.25">
      <c r="A54" s="95"/>
      <c r="B54" s="96"/>
      <c r="C54" s="97"/>
      <c r="D54" s="95"/>
      <c r="E54" s="98"/>
    </row>
    <row r="55" spans="1:5" x14ac:dyDescent="0.25">
      <c r="A55" s="95"/>
      <c r="B55" s="96"/>
      <c r="C55" s="97"/>
      <c r="D55" s="95"/>
      <c r="E55" s="98"/>
    </row>
    <row r="56" spans="1:5" x14ac:dyDescent="0.25">
      <c r="A56" s="95"/>
      <c r="B56" s="96"/>
      <c r="C56" s="97"/>
      <c r="D56" s="95"/>
      <c r="E56" s="98"/>
    </row>
    <row r="57" spans="1:5" x14ac:dyDescent="0.25">
      <c r="A57" s="95"/>
      <c r="B57" s="96"/>
      <c r="C57" s="97"/>
      <c r="D57" s="95"/>
      <c r="E57" s="98"/>
    </row>
    <row r="58" spans="1:5" x14ac:dyDescent="0.25">
      <c r="A58" s="95"/>
      <c r="B58" s="96"/>
      <c r="C58" s="97"/>
      <c r="D58" s="95"/>
      <c r="E58" s="98"/>
    </row>
    <row r="59" spans="1:5" x14ac:dyDescent="0.25">
      <c r="A59" s="95"/>
      <c r="B59" s="96"/>
      <c r="C59" s="97"/>
      <c r="D59" s="95"/>
      <c r="E59" s="98"/>
    </row>
    <row r="60" spans="1:5" x14ac:dyDescent="0.25">
      <c r="A60" s="95"/>
      <c r="B60" s="96"/>
      <c r="C60" s="97"/>
      <c r="D60" s="95"/>
      <c r="E60" s="98"/>
    </row>
    <row r="61" spans="1:5" x14ac:dyDescent="0.25">
      <c r="A61" s="95"/>
      <c r="B61" s="96"/>
      <c r="C61" s="97"/>
      <c r="D61" s="95"/>
      <c r="E61" s="98"/>
    </row>
    <row r="62" spans="1:5" x14ac:dyDescent="0.25">
      <c r="A62" s="95"/>
      <c r="B62" s="96"/>
      <c r="C62" s="97"/>
      <c r="D62" s="95"/>
      <c r="E62" s="98"/>
    </row>
    <row r="63" spans="1:5" x14ac:dyDescent="0.25">
      <c r="A63" s="95"/>
      <c r="B63" s="96"/>
      <c r="C63" s="97"/>
      <c r="D63" s="95"/>
      <c r="E63" s="98"/>
    </row>
    <row r="64" spans="1:5" x14ac:dyDescent="0.25">
      <c r="A64" s="95"/>
      <c r="B64" s="96"/>
      <c r="C64" s="97"/>
      <c r="D64" s="95"/>
      <c r="E64" s="98"/>
    </row>
    <row r="65" spans="1:5" x14ac:dyDescent="0.25">
      <c r="A65" s="95"/>
      <c r="B65" s="96"/>
      <c r="C65" s="97"/>
      <c r="D65" s="95"/>
      <c r="E65" s="98"/>
    </row>
    <row r="66" spans="1:5" x14ac:dyDescent="0.25">
      <c r="A66" s="95"/>
      <c r="B66" s="96"/>
      <c r="C66" s="97"/>
      <c r="D66" s="95"/>
      <c r="E66" s="98"/>
    </row>
    <row r="67" spans="1:5" x14ac:dyDescent="0.25">
      <c r="A67" s="95"/>
      <c r="B67" s="96"/>
      <c r="C67" s="97"/>
      <c r="D67" s="95"/>
      <c r="E67" s="98"/>
    </row>
    <row r="68" spans="1:5" x14ac:dyDescent="0.25">
      <c r="A68" s="95"/>
      <c r="B68" s="96"/>
      <c r="C68" s="97"/>
      <c r="D68" s="95"/>
      <c r="E68" s="98"/>
    </row>
    <row r="69" spans="1:5" x14ac:dyDescent="0.25">
      <c r="A69" s="95"/>
      <c r="B69" s="96"/>
      <c r="C69" s="97"/>
      <c r="D69" s="95"/>
      <c r="E69" s="98"/>
    </row>
    <row r="70" spans="1:5" x14ac:dyDescent="0.25">
      <c r="A70" s="95"/>
      <c r="B70" s="96"/>
      <c r="C70" s="97"/>
      <c r="D70" s="95"/>
      <c r="E70" s="98"/>
    </row>
    <row r="71" spans="1:5" x14ac:dyDescent="0.25">
      <c r="A71" s="95"/>
      <c r="B71" s="96"/>
      <c r="C71" s="97"/>
      <c r="D71" s="95"/>
      <c r="E71" s="98"/>
    </row>
    <row r="72" spans="1:5" x14ac:dyDescent="0.25">
      <c r="A72" s="95"/>
      <c r="B72" s="96"/>
      <c r="C72" s="97"/>
      <c r="D72" s="95"/>
      <c r="E72" s="98"/>
    </row>
    <row r="73" spans="1:5" x14ac:dyDescent="0.25">
      <c r="A73" s="95"/>
      <c r="B73" s="96"/>
      <c r="C73" s="97"/>
      <c r="D73" s="95"/>
      <c r="E73" s="98"/>
    </row>
    <row r="74" spans="1:5" x14ac:dyDescent="0.25">
      <c r="A74" s="95"/>
      <c r="B74" s="96"/>
      <c r="C74" s="97"/>
      <c r="D74" s="95"/>
      <c r="E74" s="98"/>
    </row>
    <row r="75" spans="1:5" x14ac:dyDescent="0.25">
      <c r="A75" s="95"/>
      <c r="B75" s="96"/>
      <c r="C75" s="97"/>
      <c r="D75" s="95"/>
      <c r="E75" s="98"/>
    </row>
    <row r="76" spans="1:5" x14ac:dyDescent="0.25">
      <c r="A76" s="95"/>
      <c r="B76" s="96"/>
      <c r="C76" s="97"/>
      <c r="D76" s="95"/>
      <c r="E76" s="98"/>
    </row>
    <row r="77" spans="1:5" x14ac:dyDescent="0.25">
      <c r="A77" s="95"/>
      <c r="B77" s="96"/>
      <c r="C77" s="97"/>
      <c r="D77" s="95"/>
      <c r="E77" s="98"/>
    </row>
    <row r="78" spans="1:5" x14ac:dyDescent="0.25">
      <c r="A78" s="95"/>
      <c r="B78" s="96"/>
      <c r="C78" s="97"/>
      <c r="D78" s="95"/>
      <c r="E78" s="98"/>
    </row>
    <row r="79" spans="1:5" x14ac:dyDescent="0.25">
      <c r="A79" s="95"/>
      <c r="B79" s="96"/>
      <c r="C79" s="97"/>
      <c r="D79" s="95"/>
      <c r="E79" s="98"/>
    </row>
    <row r="80" spans="1:5" x14ac:dyDescent="0.25">
      <c r="A80" s="95"/>
      <c r="B80" s="96"/>
      <c r="C80" s="97"/>
      <c r="D80" s="95"/>
      <c r="E80" s="98"/>
    </row>
    <row r="81" spans="1:5" x14ac:dyDescent="0.25">
      <c r="A81" s="95"/>
      <c r="B81" s="96"/>
      <c r="C81" s="97"/>
      <c r="D81" s="95"/>
      <c r="E81" s="98"/>
    </row>
    <row r="82" spans="1:5" x14ac:dyDescent="0.25">
      <c r="A82" s="95"/>
      <c r="B82" s="96"/>
      <c r="C82" s="97"/>
      <c r="D82" s="95"/>
      <c r="E82" s="98"/>
    </row>
    <row r="83" spans="1:5" x14ac:dyDescent="0.25">
      <c r="A83" s="95"/>
      <c r="B83" s="96"/>
      <c r="C83" s="97"/>
      <c r="D83" s="95"/>
      <c r="E83" s="98"/>
    </row>
    <row r="84" spans="1:5" x14ac:dyDescent="0.25">
      <c r="A84" s="95"/>
      <c r="B84" s="96"/>
      <c r="C84" s="97"/>
      <c r="D84" s="95"/>
      <c r="E84" s="98"/>
    </row>
    <row r="85" spans="1:5" x14ac:dyDescent="0.25">
      <c r="A85" s="95"/>
      <c r="B85" s="96"/>
      <c r="C85" s="97"/>
      <c r="D85" s="95"/>
      <c r="E85" s="98"/>
    </row>
    <row r="86" spans="1:5" x14ac:dyDescent="0.25">
      <c r="A86" s="95"/>
      <c r="B86" s="96"/>
      <c r="C86" s="97"/>
      <c r="D86" s="95"/>
      <c r="E86" s="98"/>
    </row>
    <row r="87" spans="1:5" x14ac:dyDescent="0.25">
      <c r="A87" s="95"/>
      <c r="B87" s="96"/>
      <c r="C87" s="97"/>
      <c r="D87" s="95"/>
      <c r="E87" s="98"/>
    </row>
    <row r="88" spans="1:5" x14ac:dyDescent="0.25">
      <c r="A88" s="95"/>
      <c r="B88" s="96"/>
      <c r="C88" s="97"/>
      <c r="D88" s="95"/>
      <c r="E88" s="98"/>
    </row>
    <row r="89" spans="1:5" x14ac:dyDescent="0.25">
      <c r="A89" s="95"/>
      <c r="B89" s="96"/>
      <c r="C89" s="97"/>
      <c r="D89" s="95"/>
      <c r="E89" s="98"/>
    </row>
    <row r="90" spans="1:5" x14ac:dyDescent="0.25">
      <c r="A90" s="95"/>
      <c r="B90" s="96"/>
      <c r="C90" s="97"/>
      <c r="D90" s="95"/>
      <c r="E90" s="98"/>
    </row>
    <row r="91" spans="1:5" x14ac:dyDescent="0.25">
      <c r="A91" s="95"/>
      <c r="B91" s="96"/>
      <c r="C91" s="97"/>
      <c r="D91" s="95"/>
      <c r="E91" s="98"/>
    </row>
    <row r="92" spans="1:5" x14ac:dyDescent="0.25">
      <c r="A92" s="95"/>
      <c r="B92" s="96"/>
      <c r="C92" s="97"/>
      <c r="D92" s="95"/>
      <c r="E92" s="98"/>
    </row>
    <row r="93" spans="1:5" x14ac:dyDescent="0.25">
      <c r="A93" s="95"/>
      <c r="B93" s="96"/>
      <c r="C93" s="97"/>
      <c r="D93" s="95"/>
      <c r="E93" s="98"/>
    </row>
    <row r="94" spans="1:5" x14ac:dyDescent="0.25">
      <c r="A94" s="95"/>
      <c r="B94" s="96"/>
      <c r="C94" s="97"/>
      <c r="D94" s="95"/>
      <c r="E94" s="98"/>
    </row>
    <row r="95" spans="1:5" x14ac:dyDescent="0.25">
      <c r="A95" s="95"/>
      <c r="B95" s="96"/>
      <c r="C95" s="97"/>
      <c r="D95" s="95"/>
      <c r="E95" s="98"/>
    </row>
    <row r="96" spans="1:5" x14ac:dyDescent="0.25">
      <c r="A96" s="99"/>
      <c r="B96" s="100"/>
      <c r="C96" s="101"/>
      <c r="D96" s="95"/>
      <c r="E96" s="102"/>
    </row>
    <row r="97" spans="1:8" x14ac:dyDescent="0.25">
      <c r="A97" s="99"/>
      <c r="B97" s="100"/>
      <c r="C97" s="101"/>
      <c r="D97" s="95"/>
      <c r="E97" s="102"/>
    </row>
    <row r="98" spans="1:8" x14ac:dyDescent="0.25">
      <c r="A98" s="99"/>
      <c r="B98" s="100"/>
      <c r="C98" s="101"/>
      <c r="D98" s="95"/>
      <c r="E98" s="102"/>
    </row>
    <row r="99" spans="1:8" x14ac:dyDescent="0.25">
      <c r="A99" s="99"/>
      <c r="B99" s="100"/>
      <c r="C99" s="101"/>
      <c r="D99" s="95"/>
      <c r="E99" s="102"/>
    </row>
    <row r="100" spans="1:8" x14ac:dyDescent="0.25">
      <c r="C100" s="3"/>
      <c r="D100" s="83"/>
      <c r="E100" s="82">
        <f>SUM(E2:E99)</f>
        <v>200</v>
      </c>
      <c r="F100" s="81">
        <f>SUM(F2:F99)</f>
        <v>10</v>
      </c>
      <c r="G100">
        <f>SUM(G2:G99)</f>
        <v>10</v>
      </c>
      <c r="H100" s="81">
        <f>+G100/E100</f>
        <v>0.05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H100"/>
  <sheetViews>
    <sheetView topLeftCell="A76" workbookViewId="0">
      <selection activeCell="B13" sqref="B13"/>
    </sheetView>
  </sheetViews>
  <sheetFormatPr defaultRowHeight="15" x14ac:dyDescent="0.25"/>
  <cols>
    <col min="1" max="1" width="7.85546875" style="3" bestFit="1" customWidth="1"/>
    <col min="2" max="2" width="11.5703125" style="3" bestFit="1" customWidth="1"/>
    <col min="3" max="3" width="10.140625" style="3" bestFit="1" customWidth="1"/>
    <col min="4" max="4" width="14.7109375" style="3" bestFit="1" customWidth="1"/>
    <col min="5" max="5" width="16.7109375" style="3" bestFit="1" customWidth="1"/>
  </cols>
  <sheetData>
    <row r="1" spans="1:7" x14ac:dyDescent="0.25">
      <c r="A1" s="139" t="s">
        <v>37</v>
      </c>
      <c r="B1" s="139" t="s">
        <v>9</v>
      </c>
      <c r="C1" s="139" t="s">
        <v>8</v>
      </c>
      <c r="D1" s="139" t="s">
        <v>48</v>
      </c>
      <c r="E1" s="139" t="s">
        <v>49</v>
      </c>
      <c r="F1" s="139" t="s">
        <v>50</v>
      </c>
      <c r="G1" s="139" t="s">
        <v>51</v>
      </c>
    </row>
    <row r="2" spans="1:7" x14ac:dyDescent="0.25">
      <c r="A2" s="237">
        <v>1610</v>
      </c>
      <c r="B2" s="238" t="s">
        <v>64</v>
      </c>
      <c r="C2" s="239">
        <v>43575</v>
      </c>
      <c r="D2" s="238" t="s">
        <v>72</v>
      </c>
      <c r="E2" s="237">
        <v>100</v>
      </c>
      <c r="F2" s="237">
        <v>5</v>
      </c>
      <c r="G2" s="237">
        <v>5</v>
      </c>
    </row>
    <row r="3" spans="1:7" x14ac:dyDescent="0.25">
      <c r="A3" s="140"/>
      <c r="B3" s="141"/>
      <c r="C3" s="142"/>
      <c r="D3" s="141"/>
      <c r="E3" s="140"/>
      <c r="F3" s="140"/>
      <c r="G3" s="140"/>
    </row>
    <row r="4" spans="1:7" x14ac:dyDescent="0.25">
      <c r="A4" s="140"/>
      <c r="B4" s="141"/>
      <c r="C4" s="142"/>
      <c r="D4" s="141"/>
      <c r="E4" s="140"/>
      <c r="F4" s="140"/>
      <c r="G4" s="140"/>
    </row>
    <row r="5" spans="1:7" x14ac:dyDescent="0.25">
      <c r="A5" s="140"/>
      <c r="B5" s="141"/>
      <c r="C5" s="142"/>
      <c r="D5" s="141"/>
      <c r="E5" s="140"/>
      <c r="F5" s="140"/>
      <c r="G5" s="140"/>
    </row>
    <row r="6" spans="1:7" x14ac:dyDescent="0.25">
      <c r="A6" s="140"/>
      <c r="B6" s="141"/>
      <c r="C6" s="142"/>
      <c r="D6" s="141"/>
      <c r="E6" s="140"/>
      <c r="F6" s="140"/>
      <c r="G6" s="140"/>
    </row>
    <row r="7" spans="1:7" x14ac:dyDescent="0.25">
      <c r="A7" s="140"/>
      <c r="B7" s="141"/>
      <c r="C7" s="142"/>
      <c r="D7" s="141"/>
      <c r="E7" s="140"/>
      <c r="F7" s="140"/>
      <c r="G7" s="140"/>
    </row>
    <row r="8" spans="1:7" x14ac:dyDescent="0.25">
      <c r="A8" s="140"/>
      <c r="B8" s="141"/>
      <c r="C8" s="142"/>
      <c r="D8" s="141"/>
      <c r="E8" s="140"/>
      <c r="F8" s="140"/>
      <c r="G8" s="140"/>
    </row>
    <row r="9" spans="1:7" x14ac:dyDescent="0.25">
      <c r="A9" s="140"/>
      <c r="B9" s="141"/>
      <c r="C9" s="142"/>
      <c r="D9" s="141"/>
      <c r="E9" s="140"/>
      <c r="F9" s="140"/>
      <c r="G9" s="140"/>
    </row>
    <row r="10" spans="1:7" x14ac:dyDescent="0.25">
      <c r="A10" s="113"/>
      <c r="B10" s="114"/>
      <c r="C10" s="115"/>
      <c r="D10" s="113"/>
      <c r="E10" s="116"/>
    </row>
    <row r="11" spans="1:7" x14ac:dyDescent="0.25">
      <c r="A11" s="113"/>
      <c r="B11" s="114"/>
      <c r="C11" s="115"/>
      <c r="D11" s="113"/>
      <c r="E11" s="116"/>
    </row>
    <row r="100" spans="4:8" x14ac:dyDescent="0.25">
      <c r="D100" s="83"/>
      <c r="E100" s="82">
        <f>SUM(E2:E99)</f>
        <v>100</v>
      </c>
      <c r="F100" s="81">
        <f>SUM(F2:F99)</f>
        <v>5</v>
      </c>
      <c r="G100">
        <f>SUM(G2:G99)</f>
        <v>5</v>
      </c>
      <c r="H100" s="81">
        <f>+G100/E100</f>
        <v>0.05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H100"/>
  <sheetViews>
    <sheetView topLeftCell="A71" workbookViewId="0">
      <selection activeCell="H100" sqref="H100"/>
    </sheetView>
  </sheetViews>
  <sheetFormatPr defaultRowHeight="15" x14ac:dyDescent="0.25"/>
  <cols>
    <col min="1" max="2" width="14.28515625" customWidth="1"/>
    <col min="3" max="3" width="14.28515625" style="80" customWidth="1"/>
    <col min="4" max="4" width="14.28515625" customWidth="1"/>
    <col min="5" max="5" width="16.7109375" bestFit="1" customWidth="1"/>
  </cols>
  <sheetData>
    <row r="1" spans="1:7" x14ac:dyDescent="0.25">
      <c r="A1" s="167" t="s">
        <v>37</v>
      </c>
      <c r="B1" s="167" t="s">
        <v>9</v>
      </c>
      <c r="C1" s="167" t="s">
        <v>8</v>
      </c>
      <c r="D1" s="167" t="s">
        <v>48</v>
      </c>
      <c r="E1" s="167" t="s">
        <v>49</v>
      </c>
      <c r="F1" s="167" t="s">
        <v>50</v>
      </c>
      <c r="G1" s="167" t="s">
        <v>51</v>
      </c>
    </row>
    <row r="2" spans="1:7" x14ac:dyDescent="0.25">
      <c r="A2" s="225">
        <v>1595</v>
      </c>
      <c r="B2" s="226" t="s">
        <v>2</v>
      </c>
      <c r="C2" s="227">
        <v>43540</v>
      </c>
      <c r="D2" s="226" t="s">
        <v>67</v>
      </c>
      <c r="E2" s="225">
        <v>100</v>
      </c>
      <c r="F2" s="225">
        <v>9</v>
      </c>
      <c r="G2" s="225">
        <v>9</v>
      </c>
    </row>
    <row r="3" spans="1:7" x14ac:dyDescent="0.25">
      <c r="A3" s="225">
        <v>1595</v>
      </c>
      <c r="B3" s="226" t="s">
        <v>2</v>
      </c>
      <c r="C3" s="227">
        <v>43540</v>
      </c>
      <c r="D3" s="226" t="s">
        <v>68</v>
      </c>
      <c r="E3" s="225">
        <v>100</v>
      </c>
      <c r="F3" s="225">
        <v>0</v>
      </c>
      <c r="G3" s="225">
        <v>0</v>
      </c>
    </row>
    <row r="4" spans="1:7" x14ac:dyDescent="0.25">
      <c r="A4" s="168"/>
      <c r="B4" s="169"/>
      <c r="C4" s="170"/>
      <c r="D4" s="169"/>
      <c r="E4" s="168"/>
      <c r="F4" s="168"/>
      <c r="G4" s="168"/>
    </row>
    <row r="5" spans="1:7" x14ac:dyDescent="0.25">
      <c r="A5" s="168"/>
      <c r="B5" s="169"/>
      <c r="C5" s="170"/>
      <c r="D5" s="169"/>
      <c r="E5" s="168"/>
      <c r="F5" s="168"/>
      <c r="G5" s="168"/>
    </row>
    <row r="6" spans="1:7" x14ac:dyDescent="0.25">
      <c r="A6" s="168"/>
      <c r="B6" s="169"/>
      <c r="C6" s="170"/>
      <c r="D6" s="169"/>
      <c r="E6" s="168"/>
      <c r="F6" s="168"/>
      <c r="G6" s="168"/>
    </row>
    <row r="7" spans="1:7" x14ac:dyDescent="0.25">
      <c r="A7" s="168"/>
      <c r="B7" s="169"/>
      <c r="C7" s="170"/>
      <c r="D7" s="169"/>
      <c r="E7" s="168"/>
      <c r="F7" s="168"/>
      <c r="G7" s="168"/>
    </row>
    <row r="8" spans="1:7" x14ac:dyDescent="0.25">
      <c r="A8" s="168"/>
      <c r="B8" s="169"/>
      <c r="C8" s="170"/>
      <c r="D8" s="169"/>
      <c r="E8" s="168"/>
      <c r="F8" s="168"/>
      <c r="G8" s="168"/>
    </row>
    <row r="9" spans="1:7" x14ac:dyDescent="0.25">
      <c r="A9" s="168"/>
      <c r="B9" s="169"/>
      <c r="C9" s="170"/>
      <c r="D9" s="169"/>
      <c r="E9" s="168"/>
      <c r="F9" s="168"/>
      <c r="G9" s="168"/>
    </row>
    <row r="10" spans="1:7" x14ac:dyDescent="0.25">
      <c r="A10" s="168"/>
      <c r="B10" s="169"/>
      <c r="C10" s="170"/>
      <c r="D10" s="169"/>
      <c r="E10" s="168"/>
      <c r="F10" s="168"/>
      <c r="G10" s="168"/>
    </row>
    <row r="11" spans="1:7" x14ac:dyDescent="0.25">
      <c r="A11" s="146"/>
      <c r="B11" s="147"/>
      <c r="C11" s="148"/>
      <c r="D11" s="147"/>
      <c r="E11" s="146"/>
      <c r="F11" s="146"/>
      <c r="G11" s="146"/>
    </row>
    <row r="12" spans="1:7" x14ac:dyDescent="0.25">
      <c r="A12" s="168"/>
      <c r="B12" s="169"/>
      <c r="C12" s="170"/>
      <c r="D12" s="169"/>
      <c r="E12" s="168"/>
      <c r="F12" s="168"/>
      <c r="G12" s="168"/>
    </row>
    <row r="13" spans="1:7" x14ac:dyDescent="0.25">
      <c r="A13" s="168"/>
      <c r="B13" s="169"/>
      <c r="C13" s="170"/>
      <c r="D13" s="169"/>
      <c r="E13" s="168"/>
      <c r="F13" s="168"/>
      <c r="G13" s="168"/>
    </row>
    <row r="14" spans="1:7" x14ac:dyDescent="0.25">
      <c r="A14" s="168"/>
      <c r="B14" s="169"/>
      <c r="C14" s="170"/>
      <c r="D14" s="169"/>
      <c r="E14" s="168"/>
      <c r="F14" s="168"/>
      <c r="G14" s="168"/>
    </row>
    <row r="15" spans="1:7" x14ac:dyDescent="0.25">
      <c r="A15" s="168"/>
      <c r="B15" s="169"/>
      <c r="C15" s="170"/>
      <c r="D15" s="169"/>
      <c r="E15" s="168"/>
      <c r="F15" s="168"/>
      <c r="G15" s="168"/>
    </row>
    <row r="16" spans="1:7" x14ac:dyDescent="0.25">
      <c r="A16" s="168"/>
      <c r="B16" s="169"/>
      <c r="C16" s="170"/>
      <c r="D16" s="169"/>
      <c r="E16" s="168"/>
      <c r="F16" s="168"/>
      <c r="G16" s="168"/>
    </row>
    <row r="17" spans="1:7" x14ac:dyDescent="0.25">
      <c r="A17" s="168"/>
      <c r="B17" s="169"/>
      <c r="C17" s="170"/>
      <c r="D17" s="169"/>
      <c r="E17" s="168"/>
      <c r="F17" s="168"/>
      <c r="G17" s="168"/>
    </row>
    <row r="18" spans="1:7" x14ac:dyDescent="0.25">
      <c r="A18" s="168"/>
      <c r="B18" s="169"/>
      <c r="C18" s="170"/>
      <c r="D18" s="169"/>
      <c r="E18" s="168"/>
      <c r="F18" s="168"/>
      <c r="G18" s="168"/>
    </row>
    <row r="19" spans="1:7" x14ac:dyDescent="0.25">
      <c r="A19" s="3"/>
      <c r="B19" s="3"/>
      <c r="C19" s="79"/>
      <c r="D19" s="3"/>
      <c r="E19" s="10"/>
    </row>
    <row r="20" spans="1:7" x14ac:dyDescent="0.25">
      <c r="A20" s="3"/>
      <c r="B20" s="3"/>
      <c r="C20" s="79"/>
      <c r="D20" s="3"/>
      <c r="E20" s="10"/>
    </row>
    <row r="21" spans="1:7" x14ac:dyDescent="0.25">
      <c r="A21" s="3"/>
      <c r="B21" s="3"/>
      <c r="C21" s="79"/>
      <c r="D21" s="3"/>
      <c r="E21" s="10"/>
    </row>
    <row r="22" spans="1:7" x14ac:dyDescent="0.25">
      <c r="A22" s="3"/>
      <c r="B22" s="3"/>
      <c r="C22" s="79"/>
      <c r="D22" s="3"/>
      <c r="E22" s="10"/>
    </row>
    <row r="23" spans="1:7" x14ac:dyDescent="0.25">
      <c r="A23" s="3"/>
      <c r="B23" s="3"/>
      <c r="C23" s="79"/>
      <c r="D23" s="3"/>
      <c r="E23" s="10"/>
    </row>
    <row r="24" spans="1:7" x14ac:dyDescent="0.25">
      <c r="A24" s="3"/>
      <c r="B24" s="3"/>
      <c r="C24" s="79"/>
      <c r="D24" s="3"/>
      <c r="E24" s="10"/>
    </row>
    <row r="25" spans="1:7" x14ac:dyDescent="0.25">
      <c r="A25" s="3"/>
      <c r="B25" s="3"/>
      <c r="C25" s="79"/>
      <c r="D25" s="3"/>
      <c r="E25" s="10"/>
    </row>
    <row r="26" spans="1:7" x14ac:dyDescent="0.25">
      <c r="A26" s="3"/>
      <c r="B26" s="3"/>
      <c r="C26" s="79"/>
      <c r="D26" s="3"/>
      <c r="E26" s="10"/>
    </row>
    <row r="27" spans="1:7" x14ac:dyDescent="0.25">
      <c r="A27" s="3"/>
      <c r="B27" s="3"/>
      <c r="C27" s="79"/>
      <c r="D27" s="3"/>
      <c r="E27" s="10"/>
    </row>
    <row r="28" spans="1:7" x14ac:dyDescent="0.25">
      <c r="A28" s="3"/>
      <c r="B28" s="3"/>
      <c r="C28" s="79"/>
      <c r="D28" s="3"/>
      <c r="E28" s="10"/>
    </row>
    <row r="29" spans="1:7" x14ac:dyDescent="0.25">
      <c r="A29" s="3"/>
      <c r="B29" s="3"/>
      <c r="C29" s="79"/>
      <c r="D29" s="3"/>
      <c r="E29" s="10"/>
    </row>
    <row r="30" spans="1:7" x14ac:dyDescent="0.25">
      <c r="A30" s="3"/>
      <c r="B30" s="3"/>
      <c r="C30" s="79"/>
      <c r="D30" s="3"/>
      <c r="E30" s="10"/>
    </row>
    <row r="31" spans="1:7" x14ac:dyDescent="0.25">
      <c r="A31" s="3"/>
      <c r="B31" s="3"/>
      <c r="C31" s="79"/>
      <c r="D31" s="3"/>
      <c r="E31" s="10"/>
    </row>
    <row r="32" spans="1:7" x14ac:dyDescent="0.25">
      <c r="A32" s="3"/>
      <c r="B32" s="3"/>
      <c r="C32" s="79"/>
      <c r="D32" s="3"/>
      <c r="E32" s="10"/>
    </row>
    <row r="33" spans="1:8" x14ac:dyDescent="0.25">
      <c r="A33" s="3"/>
      <c r="B33" s="3"/>
      <c r="C33" s="79"/>
      <c r="D33" s="3"/>
      <c r="E33" s="10"/>
    </row>
    <row r="34" spans="1:8" x14ac:dyDescent="0.25">
      <c r="A34" s="3"/>
      <c r="B34" s="3"/>
      <c r="C34" s="79"/>
      <c r="D34" s="3"/>
      <c r="E34" s="10"/>
    </row>
    <row r="35" spans="1:8" x14ac:dyDescent="0.25">
      <c r="A35" s="3"/>
      <c r="B35" s="3"/>
      <c r="C35" s="79"/>
      <c r="D35" s="3"/>
      <c r="E35" s="10"/>
    </row>
    <row r="36" spans="1:8" x14ac:dyDescent="0.25">
      <c r="A36" s="3"/>
      <c r="B36" s="3"/>
      <c r="C36" s="79"/>
      <c r="D36" s="3"/>
      <c r="E36" s="10"/>
    </row>
    <row r="37" spans="1:8" x14ac:dyDescent="0.25">
      <c r="A37" s="3"/>
      <c r="B37" s="3"/>
      <c r="C37" s="79"/>
      <c r="D37" s="3"/>
      <c r="E37" s="10"/>
    </row>
    <row r="38" spans="1:8" x14ac:dyDescent="0.25">
      <c r="A38" s="3"/>
      <c r="B38" s="3"/>
      <c r="C38" s="79"/>
      <c r="D38" s="3"/>
      <c r="E38" s="10"/>
    </row>
    <row r="39" spans="1:8" x14ac:dyDescent="0.25">
      <c r="A39" s="3"/>
      <c r="B39" s="3"/>
      <c r="C39" s="79"/>
      <c r="D39" s="3"/>
      <c r="E39" s="10"/>
    </row>
    <row r="40" spans="1:8" x14ac:dyDescent="0.25">
      <c r="A40" s="3"/>
      <c r="B40" s="3"/>
      <c r="C40" s="79"/>
      <c r="D40" s="3"/>
      <c r="E40" s="10"/>
      <c r="H40" s="165"/>
    </row>
    <row r="41" spans="1:8" x14ac:dyDescent="0.25">
      <c r="A41" s="3"/>
      <c r="B41" s="3"/>
      <c r="C41" s="79"/>
      <c r="D41" s="3"/>
      <c r="E41" s="10"/>
    </row>
    <row r="42" spans="1:8" x14ac:dyDescent="0.25">
      <c r="A42" s="3"/>
      <c r="B42" s="3"/>
      <c r="C42" s="79"/>
      <c r="D42" s="3"/>
      <c r="E42" s="10"/>
    </row>
    <row r="43" spans="1:8" x14ac:dyDescent="0.25">
      <c r="A43" s="3"/>
      <c r="B43" s="3"/>
      <c r="C43" s="79"/>
      <c r="D43" s="3"/>
      <c r="E43" s="10"/>
    </row>
    <row r="44" spans="1:8" x14ac:dyDescent="0.25">
      <c r="A44" s="3"/>
      <c r="B44" s="3"/>
      <c r="C44" s="79"/>
      <c r="D44" s="3"/>
      <c r="E44" s="10"/>
    </row>
    <row r="45" spans="1:8" x14ac:dyDescent="0.25">
      <c r="A45" s="3"/>
      <c r="B45" s="3"/>
      <c r="C45" s="79"/>
      <c r="D45" s="3"/>
      <c r="E45" s="10"/>
    </row>
    <row r="46" spans="1:8" x14ac:dyDescent="0.25">
      <c r="A46" s="3"/>
      <c r="B46" s="3"/>
      <c r="C46" s="79"/>
      <c r="D46" s="3"/>
      <c r="E46" s="10"/>
    </row>
    <row r="47" spans="1:8" x14ac:dyDescent="0.25">
      <c r="A47" s="3"/>
      <c r="B47" s="3"/>
      <c r="C47" s="79"/>
      <c r="D47" s="3"/>
      <c r="E47" s="10"/>
    </row>
    <row r="48" spans="1:8" x14ac:dyDescent="0.25">
      <c r="A48" s="3"/>
      <c r="B48" s="3"/>
      <c r="C48" s="79"/>
      <c r="D48" s="3"/>
      <c r="E48" s="10"/>
    </row>
    <row r="49" spans="1:5" x14ac:dyDescent="0.25">
      <c r="A49" s="3"/>
      <c r="B49" s="3"/>
      <c r="C49" s="79"/>
      <c r="D49" s="3"/>
      <c r="E49" s="10"/>
    </row>
    <row r="50" spans="1:5" x14ac:dyDescent="0.25">
      <c r="A50" s="3"/>
      <c r="B50" s="3"/>
      <c r="C50" s="79"/>
      <c r="D50" s="3"/>
      <c r="E50" s="10"/>
    </row>
    <row r="51" spans="1:5" x14ac:dyDescent="0.25">
      <c r="A51" s="3"/>
      <c r="B51" s="3"/>
      <c r="C51" s="79"/>
      <c r="D51" s="3"/>
      <c r="E51" s="10"/>
    </row>
    <row r="52" spans="1:5" x14ac:dyDescent="0.25">
      <c r="A52" s="3"/>
      <c r="B52" s="3"/>
      <c r="C52" s="79"/>
      <c r="D52" s="3"/>
      <c r="E52" s="10"/>
    </row>
    <row r="53" spans="1:5" x14ac:dyDescent="0.25">
      <c r="A53" s="3"/>
      <c r="B53" s="3"/>
      <c r="C53" s="79"/>
      <c r="D53" s="3"/>
      <c r="E53" s="10"/>
    </row>
    <row r="54" spans="1:5" x14ac:dyDescent="0.25">
      <c r="A54" s="3"/>
      <c r="B54" s="3"/>
      <c r="C54" s="79"/>
      <c r="D54" s="3"/>
      <c r="E54" s="10"/>
    </row>
    <row r="55" spans="1:5" x14ac:dyDescent="0.25">
      <c r="A55" s="3"/>
      <c r="B55" s="3"/>
      <c r="C55" s="79"/>
      <c r="D55" s="3"/>
      <c r="E55" s="10"/>
    </row>
    <row r="56" spans="1:5" x14ac:dyDescent="0.25">
      <c r="A56" s="3"/>
      <c r="B56" s="3"/>
      <c r="C56" s="79"/>
      <c r="D56" s="3"/>
      <c r="E56" s="10"/>
    </row>
    <row r="57" spans="1:5" x14ac:dyDescent="0.25">
      <c r="A57" s="3"/>
      <c r="B57" s="3"/>
      <c r="C57" s="79"/>
      <c r="D57" s="3"/>
      <c r="E57" s="10"/>
    </row>
    <row r="58" spans="1:5" x14ac:dyDescent="0.25">
      <c r="A58" s="3"/>
      <c r="B58" s="3"/>
      <c r="C58" s="79"/>
      <c r="D58" s="3"/>
      <c r="E58" s="10"/>
    </row>
    <row r="59" spans="1:5" x14ac:dyDescent="0.25">
      <c r="A59" s="3"/>
      <c r="B59" s="3"/>
      <c r="C59" s="79"/>
      <c r="D59" s="3"/>
      <c r="E59" s="10"/>
    </row>
    <row r="60" spans="1:5" x14ac:dyDescent="0.25">
      <c r="A60" s="3"/>
      <c r="B60" s="3"/>
      <c r="C60" s="79"/>
      <c r="D60" s="3"/>
      <c r="E60" s="10"/>
    </row>
    <row r="61" spans="1:5" x14ac:dyDescent="0.25">
      <c r="A61" s="3"/>
      <c r="B61" s="3"/>
      <c r="C61" s="79"/>
      <c r="D61" s="3"/>
      <c r="E61" s="10"/>
    </row>
    <row r="62" spans="1:5" x14ac:dyDescent="0.25">
      <c r="A62" s="3"/>
      <c r="B62" s="3"/>
      <c r="C62" s="79"/>
      <c r="D62" s="3"/>
      <c r="E62" s="10"/>
    </row>
    <row r="63" spans="1:5" x14ac:dyDescent="0.25">
      <c r="A63" s="3"/>
      <c r="B63" s="3"/>
      <c r="C63" s="79"/>
      <c r="D63" s="3"/>
      <c r="E63" s="10"/>
    </row>
    <row r="64" spans="1:5" x14ac:dyDescent="0.25">
      <c r="A64" s="3"/>
      <c r="B64" s="3"/>
      <c r="C64" s="79"/>
      <c r="D64" s="3"/>
      <c r="E64" s="10"/>
    </row>
    <row r="65" spans="1:5" x14ac:dyDescent="0.25">
      <c r="A65" s="3"/>
      <c r="B65" s="3"/>
      <c r="C65" s="79"/>
      <c r="D65" s="3"/>
      <c r="E65" s="10"/>
    </row>
    <row r="66" spans="1:5" x14ac:dyDescent="0.25">
      <c r="A66" s="3"/>
      <c r="B66" s="3"/>
      <c r="C66" s="79"/>
      <c r="D66" s="3"/>
      <c r="E66" s="10"/>
    </row>
    <row r="67" spans="1:5" x14ac:dyDescent="0.25">
      <c r="A67" s="3"/>
      <c r="B67" s="3"/>
      <c r="C67" s="79"/>
      <c r="D67" s="3"/>
      <c r="E67" s="10"/>
    </row>
    <row r="68" spans="1:5" x14ac:dyDescent="0.25">
      <c r="A68" s="3"/>
      <c r="B68" s="3"/>
      <c r="C68" s="79"/>
      <c r="D68" s="3"/>
      <c r="E68" s="10"/>
    </row>
    <row r="69" spans="1:5" x14ac:dyDescent="0.25">
      <c r="A69" s="3"/>
      <c r="B69" s="3"/>
      <c r="C69" s="79"/>
      <c r="D69" s="3"/>
      <c r="E69" s="10"/>
    </row>
    <row r="70" spans="1:5" x14ac:dyDescent="0.25">
      <c r="A70" s="3"/>
      <c r="B70" s="3"/>
      <c r="C70" s="79"/>
      <c r="D70" s="3"/>
      <c r="E70" s="10"/>
    </row>
    <row r="71" spans="1:5" x14ac:dyDescent="0.25">
      <c r="A71" s="3"/>
      <c r="B71" s="3"/>
      <c r="C71" s="79"/>
      <c r="D71" s="3"/>
      <c r="E71" s="10"/>
    </row>
    <row r="72" spans="1:5" x14ac:dyDescent="0.25">
      <c r="A72" s="3"/>
      <c r="B72" s="3"/>
      <c r="C72" s="79"/>
      <c r="D72" s="3"/>
      <c r="E72" s="10"/>
    </row>
    <row r="73" spans="1:5" x14ac:dyDescent="0.25">
      <c r="A73" s="3"/>
      <c r="B73" s="3"/>
      <c r="C73" s="79"/>
      <c r="D73" s="3"/>
      <c r="E73" s="10"/>
    </row>
    <row r="74" spans="1:5" x14ac:dyDescent="0.25">
      <c r="A74" s="3"/>
      <c r="B74" s="3"/>
      <c r="C74" s="79"/>
      <c r="D74" s="3"/>
      <c r="E74" s="10"/>
    </row>
    <row r="75" spans="1:5" x14ac:dyDescent="0.25">
      <c r="A75" s="3"/>
      <c r="B75" s="3"/>
      <c r="C75" s="79"/>
      <c r="D75" s="3"/>
      <c r="E75" s="10"/>
    </row>
    <row r="76" spans="1:5" x14ac:dyDescent="0.25">
      <c r="A76" s="3"/>
      <c r="B76" s="3"/>
      <c r="C76" s="79"/>
      <c r="D76" s="3"/>
      <c r="E76" s="10"/>
    </row>
    <row r="77" spans="1:5" x14ac:dyDescent="0.25">
      <c r="A77" s="3"/>
      <c r="B77" s="3"/>
      <c r="C77" s="79"/>
      <c r="D77" s="3"/>
      <c r="E77" s="10"/>
    </row>
    <row r="78" spans="1:5" x14ac:dyDescent="0.25">
      <c r="A78" s="3"/>
      <c r="B78" s="3"/>
      <c r="C78" s="79"/>
      <c r="D78" s="3"/>
      <c r="E78" s="10"/>
    </row>
    <row r="79" spans="1:5" x14ac:dyDescent="0.25">
      <c r="A79" s="3"/>
      <c r="B79" s="3"/>
      <c r="C79" s="79"/>
      <c r="D79" s="3"/>
      <c r="E79" s="10"/>
    </row>
    <row r="80" spans="1:5" x14ac:dyDescent="0.25">
      <c r="A80" s="3"/>
      <c r="B80" s="3"/>
      <c r="C80" s="79"/>
      <c r="D80" s="3"/>
      <c r="E80" s="10"/>
    </row>
    <row r="81" spans="1:5" x14ac:dyDescent="0.25">
      <c r="A81" s="3"/>
      <c r="B81" s="3"/>
      <c r="C81" s="79"/>
      <c r="D81" s="3"/>
      <c r="E81" s="10"/>
    </row>
    <row r="82" spans="1:5" x14ac:dyDescent="0.25">
      <c r="A82" s="3"/>
      <c r="B82" s="3"/>
      <c r="C82" s="79"/>
      <c r="D82" s="3"/>
      <c r="E82" s="10"/>
    </row>
    <row r="83" spans="1:5" x14ac:dyDescent="0.25">
      <c r="A83" s="3"/>
      <c r="B83" s="3"/>
      <c r="C83" s="79"/>
      <c r="D83" s="3"/>
      <c r="E83" s="10"/>
    </row>
    <row r="84" spans="1:5" x14ac:dyDescent="0.25">
      <c r="A84" s="3"/>
      <c r="B84" s="3"/>
      <c r="C84" s="79"/>
      <c r="D84" s="3"/>
      <c r="E84" s="10"/>
    </row>
    <row r="85" spans="1:5" x14ac:dyDescent="0.25">
      <c r="A85" s="3"/>
      <c r="B85" s="3"/>
      <c r="C85" s="79"/>
      <c r="D85" s="3"/>
      <c r="E85" s="10"/>
    </row>
    <row r="86" spans="1:5" x14ac:dyDescent="0.25">
      <c r="A86" s="3"/>
      <c r="B86" s="3"/>
      <c r="C86" s="79"/>
      <c r="D86" s="3"/>
      <c r="E86" s="10"/>
    </row>
    <row r="87" spans="1:5" x14ac:dyDescent="0.25">
      <c r="A87" s="3"/>
      <c r="B87" s="3"/>
      <c r="C87" s="79"/>
      <c r="D87" s="3"/>
      <c r="E87" s="10"/>
    </row>
    <row r="88" spans="1:5" x14ac:dyDescent="0.25">
      <c r="A88" s="3"/>
      <c r="B88" s="3"/>
      <c r="C88" s="79"/>
      <c r="D88" s="3"/>
      <c r="E88" s="10"/>
    </row>
    <row r="89" spans="1:5" x14ac:dyDescent="0.25">
      <c r="A89" s="3"/>
      <c r="B89" s="3"/>
      <c r="C89" s="79"/>
      <c r="D89" s="3"/>
      <c r="E89" s="10"/>
    </row>
    <row r="90" spans="1:5" x14ac:dyDescent="0.25">
      <c r="A90" s="3"/>
      <c r="B90" s="3"/>
      <c r="C90" s="79"/>
      <c r="D90" s="3"/>
      <c r="E90" s="10"/>
    </row>
    <row r="91" spans="1:5" x14ac:dyDescent="0.25">
      <c r="A91" s="3"/>
      <c r="B91" s="3"/>
      <c r="C91" s="79"/>
      <c r="D91" s="3"/>
      <c r="E91" s="10"/>
    </row>
    <row r="92" spans="1:5" x14ac:dyDescent="0.25">
      <c r="A92" s="3"/>
      <c r="B92" s="3"/>
      <c r="C92" s="79"/>
      <c r="D92" s="3"/>
      <c r="E92" s="10"/>
    </row>
    <row r="93" spans="1:5" x14ac:dyDescent="0.25">
      <c r="A93" s="3"/>
      <c r="B93" s="3"/>
      <c r="C93" s="79"/>
      <c r="D93" s="3"/>
      <c r="E93" s="10"/>
    </row>
    <row r="94" spans="1:5" x14ac:dyDescent="0.25">
      <c r="A94" s="3"/>
      <c r="B94" s="3"/>
      <c r="C94" s="79"/>
      <c r="D94" s="3"/>
      <c r="E94" s="10"/>
    </row>
    <row r="95" spans="1:5" x14ac:dyDescent="0.25">
      <c r="A95" s="3"/>
      <c r="B95" s="3"/>
      <c r="C95" s="79"/>
      <c r="D95" s="3"/>
      <c r="E95" s="10"/>
    </row>
    <row r="96" spans="1:5" x14ac:dyDescent="0.25">
      <c r="A96" s="3"/>
      <c r="B96" s="3"/>
      <c r="C96" s="79"/>
      <c r="D96" s="3"/>
      <c r="E96" s="10"/>
    </row>
    <row r="97" spans="1:8" x14ac:dyDescent="0.25">
      <c r="A97" s="3"/>
      <c r="B97" s="3"/>
      <c r="C97" s="79"/>
      <c r="D97" s="3"/>
      <c r="E97" s="10"/>
    </row>
    <row r="98" spans="1:8" x14ac:dyDescent="0.25">
      <c r="A98" s="3"/>
      <c r="B98" s="3"/>
      <c r="C98" s="79"/>
      <c r="D98" s="3"/>
      <c r="E98" s="10"/>
    </row>
    <row r="99" spans="1:8" x14ac:dyDescent="0.25">
      <c r="A99" s="3"/>
      <c r="B99" s="3"/>
      <c r="C99" s="79"/>
      <c r="D99" s="3"/>
      <c r="E99" s="10"/>
    </row>
    <row r="100" spans="1:8" x14ac:dyDescent="0.25">
      <c r="A100" s="133"/>
      <c r="B100" s="133"/>
      <c r="C100" s="134"/>
      <c r="D100" s="135"/>
      <c r="E100" s="136">
        <f>SUM(E2:E99)</f>
        <v>200</v>
      </c>
      <c r="F100" s="136">
        <f>SUM(F2:F99)</f>
        <v>9</v>
      </c>
      <c r="G100" s="136">
        <f>SUM(G2:G99)</f>
        <v>9</v>
      </c>
      <c r="H100" s="137">
        <f>+G100/E100</f>
        <v>4.4999999999999998E-2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H100"/>
  <sheetViews>
    <sheetView topLeftCell="A70" workbookViewId="0">
      <selection sqref="A1:G9"/>
    </sheetView>
  </sheetViews>
  <sheetFormatPr defaultRowHeight="15" x14ac:dyDescent="0.25"/>
  <cols>
    <col min="1" max="2" width="15.140625" customWidth="1"/>
    <col min="3" max="3" width="15.140625" style="80" customWidth="1"/>
    <col min="4" max="4" width="15.140625" customWidth="1"/>
    <col min="5" max="5" width="16.7109375" bestFit="1" customWidth="1"/>
  </cols>
  <sheetData>
    <row r="1" spans="1:7" x14ac:dyDescent="0.25">
      <c r="A1" s="240" t="s">
        <v>37</v>
      </c>
      <c r="B1" s="240" t="s">
        <v>9</v>
      </c>
      <c r="C1" s="240" t="s">
        <v>8</v>
      </c>
      <c r="D1" s="240" t="s">
        <v>48</v>
      </c>
      <c r="E1" s="240" t="s">
        <v>49</v>
      </c>
      <c r="F1" s="240" t="s">
        <v>50</v>
      </c>
      <c r="G1" s="240" t="s">
        <v>51</v>
      </c>
    </row>
    <row r="2" spans="1:7" x14ac:dyDescent="0.25">
      <c r="A2" s="241">
        <v>1596</v>
      </c>
      <c r="B2" s="242" t="s">
        <v>3</v>
      </c>
      <c r="C2" s="243">
        <v>43541</v>
      </c>
      <c r="D2" s="242" t="s">
        <v>69</v>
      </c>
      <c r="E2" s="241">
        <v>100</v>
      </c>
      <c r="F2" s="241">
        <v>6</v>
      </c>
      <c r="G2" s="241">
        <v>6</v>
      </c>
    </row>
    <row r="3" spans="1:7" x14ac:dyDescent="0.25">
      <c r="A3" s="241">
        <v>1596</v>
      </c>
      <c r="B3" s="242" t="s">
        <v>3</v>
      </c>
      <c r="C3" s="243">
        <v>43541</v>
      </c>
      <c r="D3" s="242" t="s">
        <v>70</v>
      </c>
      <c r="E3" s="241">
        <v>100</v>
      </c>
      <c r="F3" s="241">
        <v>4</v>
      </c>
      <c r="G3" s="241">
        <v>4</v>
      </c>
    </row>
    <row r="4" spans="1:7" x14ac:dyDescent="0.25">
      <c r="A4" s="241">
        <v>1604</v>
      </c>
      <c r="B4" s="242" t="s">
        <v>3</v>
      </c>
      <c r="C4" s="243">
        <v>43548</v>
      </c>
      <c r="D4" s="242" t="s">
        <v>70</v>
      </c>
      <c r="E4" s="241">
        <v>100</v>
      </c>
      <c r="F4" s="241">
        <v>2</v>
      </c>
      <c r="G4" s="241">
        <v>2</v>
      </c>
    </row>
    <row r="5" spans="1:7" x14ac:dyDescent="0.25">
      <c r="A5" s="241">
        <v>1613</v>
      </c>
      <c r="B5" s="242" t="s">
        <v>3</v>
      </c>
      <c r="C5" s="243">
        <v>43576</v>
      </c>
      <c r="D5" s="242" t="s">
        <v>70</v>
      </c>
      <c r="E5" s="241">
        <v>100</v>
      </c>
      <c r="F5" s="241">
        <v>13</v>
      </c>
      <c r="G5" s="241">
        <v>13</v>
      </c>
    </row>
    <row r="6" spans="1:7" x14ac:dyDescent="0.25">
      <c r="A6" s="241">
        <v>1617</v>
      </c>
      <c r="B6" s="242" t="s">
        <v>3</v>
      </c>
      <c r="C6" s="243">
        <v>43603</v>
      </c>
      <c r="D6" s="242" t="s">
        <v>73</v>
      </c>
      <c r="E6" s="241">
        <v>100</v>
      </c>
      <c r="F6" s="241">
        <v>6</v>
      </c>
      <c r="G6" s="241">
        <v>6</v>
      </c>
    </row>
    <row r="7" spans="1:7" x14ac:dyDescent="0.25">
      <c r="A7" s="241">
        <v>1618</v>
      </c>
      <c r="B7" s="242" t="s">
        <v>3</v>
      </c>
      <c r="C7" s="243">
        <v>43604</v>
      </c>
      <c r="D7" s="242" t="s">
        <v>73</v>
      </c>
      <c r="E7" s="241">
        <v>100</v>
      </c>
      <c r="F7" s="241">
        <v>6</v>
      </c>
      <c r="G7" s="241">
        <v>6</v>
      </c>
    </row>
    <row r="8" spans="1:7" x14ac:dyDescent="0.25">
      <c r="A8" s="241">
        <v>1619</v>
      </c>
      <c r="B8" s="242" t="s">
        <v>3</v>
      </c>
      <c r="C8" s="243">
        <v>43605</v>
      </c>
      <c r="D8" s="242" t="s">
        <v>69</v>
      </c>
      <c r="E8" s="241">
        <v>100</v>
      </c>
      <c r="F8" s="241">
        <v>4</v>
      </c>
      <c r="G8" s="241">
        <v>4</v>
      </c>
    </row>
    <row r="9" spans="1:7" x14ac:dyDescent="0.25">
      <c r="A9" s="241">
        <v>1619</v>
      </c>
      <c r="B9" s="242" t="s">
        <v>3</v>
      </c>
      <c r="C9" s="243">
        <v>43605</v>
      </c>
      <c r="D9" s="242" t="s">
        <v>70</v>
      </c>
      <c r="E9" s="241">
        <v>100</v>
      </c>
      <c r="F9" s="241">
        <v>6</v>
      </c>
      <c r="G9" s="241">
        <v>6</v>
      </c>
    </row>
    <row r="10" spans="1:7" x14ac:dyDescent="0.25">
      <c r="A10" s="143"/>
      <c r="B10" s="144"/>
      <c r="C10" s="145"/>
      <c r="D10" s="144"/>
      <c r="E10" s="143"/>
      <c r="F10" s="143"/>
      <c r="G10" s="143"/>
    </row>
    <row r="11" spans="1:7" x14ac:dyDescent="0.25">
      <c r="A11" s="143"/>
      <c r="B11" s="144"/>
      <c r="C11" s="145"/>
      <c r="D11" s="144"/>
      <c r="E11" s="143"/>
      <c r="F11" s="143"/>
      <c r="G11" s="143"/>
    </row>
    <row r="12" spans="1:7" x14ac:dyDescent="0.25">
      <c r="A12" s="143"/>
      <c r="B12" s="144"/>
      <c r="C12" s="145"/>
      <c r="D12" s="144"/>
      <c r="E12" s="143"/>
      <c r="F12" s="143"/>
      <c r="G12" s="143"/>
    </row>
    <row r="13" spans="1:7" x14ac:dyDescent="0.25">
      <c r="A13" s="143"/>
      <c r="B13" s="144"/>
      <c r="C13" s="145"/>
      <c r="D13" s="144"/>
      <c r="E13" s="143"/>
      <c r="F13" s="143"/>
      <c r="G13" s="143"/>
    </row>
    <row r="14" spans="1:7" x14ac:dyDescent="0.25">
      <c r="A14" s="143"/>
      <c r="B14" s="144"/>
      <c r="C14" s="145"/>
      <c r="D14" s="144"/>
      <c r="E14" s="143"/>
      <c r="F14" s="143"/>
      <c r="G14" s="143"/>
    </row>
    <row r="15" spans="1:7" x14ac:dyDescent="0.25">
      <c r="A15" s="143"/>
      <c r="B15" s="144"/>
      <c r="C15" s="145"/>
      <c r="D15" s="144"/>
      <c r="E15" s="143"/>
      <c r="F15" s="143"/>
      <c r="G15" s="143"/>
    </row>
    <row r="16" spans="1:7" x14ac:dyDescent="0.25">
      <c r="A16" s="143"/>
      <c r="B16" s="144"/>
      <c r="C16" s="145"/>
      <c r="D16" s="144"/>
      <c r="E16" s="143"/>
      <c r="F16" s="143"/>
      <c r="G16" s="143"/>
    </row>
    <row r="17" spans="1:7" x14ac:dyDescent="0.25">
      <c r="A17" s="143"/>
      <c r="B17" s="144"/>
      <c r="C17" s="145"/>
      <c r="D17" s="144"/>
      <c r="E17" s="143"/>
      <c r="F17" s="143"/>
      <c r="G17" s="143"/>
    </row>
    <row r="18" spans="1:7" x14ac:dyDescent="0.25">
      <c r="A18" s="143"/>
      <c r="B18" s="144"/>
      <c r="C18" s="145"/>
      <c r="D18" s="144"/>
      <c r="E18" s="143"/>
      <c r="F18" s="143"/>
      <c r="G18" s="143"/>
    </row>
    <row r="19" spans="1:7" x14ac:dyDescent="0.25">
      <c r="A19" s="143"/>
      <c r="B19" s="144"/>
      <c r="C19" s="145"/>
      <c r="D19" s="144"/>
      <c r="E19" s="143"/>
      <c r="F19" s="143"/>
      <c r="G19" s="143"/>
    </row>
    <row r="20" spans="1:7" x14ac:dyDescent="0.25">
      <c r="A20" s="103"/>
      <c r="B20" s="104"/>
      <c r="C20" s="105"/>
      <c r="D20" s="103"/>
      <c r="E20" s="106"/>
    </row>
    <row r="21" spans="1:7" x14ac:dyDescent="0.25">
      <c r="A21" s="103"/>
      <c r="B21" s="104"/>
      <c r="C21" s="105"/>
      <c r="D21" s="103"/>
      <c r="E21" s="106"/>
    </row>
    <row r="22" spans="1:7" x14ac:dyDescent="0.25">
      <c r="A22" s="103"/>
      <c r="B22" s="104"/>
      <c r="C22" s="105"/>
      <c r="D22" s="103"/>
      <c r="E22" s="106"/>
    </row>
    <row r="23" spans="1:7" x14ac:dyDescent="0.25">
      <c r="A23" s="103"/>
      <c r="B23" s="104"/>
      <c r="C23" s="105"/>
      <c r="D23" s="103"/>
      <c r="E23" s="106"/>
    </row>
    <row r="24" spans="1:7" x14ac:dyDescent="0.25">
      <c r="A24" s="103"/>
      <c r="B24" s="104"/>
      <c r="C24" s="105"/>
      <c r="D24" s="103"/>
      <c r="E24" s="106"/>
    </row>
    <row r="25" spans="1:7" x14ac:dyDescent="0.25">
      <c r="A25" s="103"/>
      <c r="B25" s="104"/>
      <c r="C25" s="105"/>
      <c r="D25" s="103"/>
      <c r="E25" s="106"/>
    </row>
    <row r="26" spans="1:7" x14ac:dyDescent="0.25">
      <c r="A26" s="103"/>
      <c r="B26" s="104"/>
      <c r="C26" s="105"/>
      <c r="D26" s="103"/>
      <c r="E26" s="106"/>
    </row>
    <row r="27" spans="1:7" x14ac:dyDescent="0.25">
      <c r="A27" s="103"/>
      <c r="B27" s="104"/>
      <c r="C27" s="105"/>
      <c r="D27" s="103"/>
      <c r="E27" s="106"/>
    </row>
    <row r="28" spans="1:7" x14ac:dyDescent="0.25">
      <c r="A28" s="103"/>
      <c r="B28" s="104"/>
      <c r="C28" s="105"/>
      <c r="D28" s="103"/>
      <c r="E28" s="106"/>
    </row>
    <row r="29" spans="1:7" x14ac:dyDescent="0.25">
      <c r="A29" s="103"/>
      <c r="B29" s="104"/>
      <c r="C29" s="105"/>
      <c r="D29" s="103"/>
      <c r="E29" s="106"/>
    </row>
    <row r="30" spans="1:7" x14ac:dyDescent="0.25">
      <c r="A30" s="103"/>
      <c r="B30" s="104"/>
      <c r="C30" s="105"/>
      <c r="D30" s="103"/>
      <c r="E30" s="106"/>
    </row>
    <row r="31" spans="1:7" x14ac:dyDescent="0.25">
      <c r="A31" s="103"/>
      <c r="B31" s="104"/>
      <c r="C31" s="105"/>
      <c r="D31" s="103"/>
      <c r="E31" s="106"/>
    </row>
    <row r="32" spans="1:7" x14ac:dyDescent="0.25">
      <c r="A32" s="103"/>
      <c r="B32" s="104"/>
      <c r="C32" s="105"/>
      <c r="D32" s="103"/>
      <c r="E32" s="106"/>
    </row>
    <row r="33" spans="1:8" x14ac:dyDescent="0.25">
      <c r="A33" s="103"/>
      <c r="B33" s="104"/>
      <c r="C33" s="105"/>
      <c r="D33" s="103"/>
      <c r="E33" s="106"/>
    </row>
    <row r="34" spans="1:8" x14ac:dyDescent="0.25">
      <c r="A34" s="103"/>
      <c r="B34" s="104"/>
      <c r="C34" s="105"/>
      <c r="D34" s="103"/>
      <c r="E34" s="106"/>
    </row>
    <row r="35" spans="1:8" x14ac:dyDescent="0.25">
      <c r="A35" s="103"/>
      <c r="B35" s="104"/>
      <c r="C35" s="105"/>
      <c r="D35" s="103"/>
      <c r="E35" s="106"/>
    </row>
    <row r="36" spans="1:8" x14ac:dyDescent="0.25">
      <c r="A36" s="103"/>
      <c r="B36" s="104"/>
      <c r="C36" s="105"/>
      <c r="D36" s="103"/>
      <c r="E36" s="106"/>
    </row>
    <row r="37" spans="1:8" x14ac:dyDescent="0.25">
      <c r="A37" s="103"/>
      <c r="B37" s="104"/>
      <c r="C37" s="105"/>
      <c r="D37" s="103"/>
      <c r="E37" s="106"/>
    </row>
    <row r="38" spans="1:8" x14ac:dyDescent="0.25">
      <c r="A38" s="103"/>
      <c r="B38" s="104"/>
      <c r="C38" s="105"/>
      <c r="D38" s="103"/>
      <c r="E38" s="106"/>
    </row>
    <row r="39" spans="1:8" x14ac:dyDescent="0.25">
      <c r="A39" s="103"/>
      <c r="B39" s="104"/>
      <c r="C39" s="105"/>
      <c r="D39" s="103"/>
      <c r="E39" s="106"/>
    </row>
    <row r="40" spans="1:8" x14ac:dyDescent="0.25">
      <c r="A40" s="103"/>
      <c r="B40" s="104"/>
      <c r="C40" s="105"/>
      <c r="D40" s="103"/>
      <c r="E40" s="106"/>
      <c r="H40" s="165"/>
    </row>
    <row r="41" spans="1:8" x14ac:dyDescent="0.25">
      <c r="A41" s="103"/>
      <c r="B41" s="104"/>
      <c r="C41" s="105"/>
      <c r="D41" s="103"/>
      <c r="E41" s="106"/>
    </row>
    <row r="42" spans="1:8" x14ac:dyDescent="0.25">
      <c r="A42" s="103"/>
      <c r="B42" s="104"/>
      <c r="C42" s="105"/>
      <c r="D42" s="103"/>
      <c r="E42" s="106"/>
    </row>
    <row r="43" spans="1:8" x14ac:dyDescent="0.25">
      <c r="A43" s="103"/>
      <c r="B43" s="104"/>
      <c r="C43" s="105"/>
      <c r="D43" s="103"/>
      <c r="E43" s="106"/>
    </row>
    <row r="44" spans="1:8" x14ac:dyDescent="0.25">
      <c r="A44" s="103"/>
      <c r="B44" s="104"/>
      <c r="C44" s="105"/>
      <c r="D44" s="103"/>
      <c r="E44" s="106"/>
    </row>
    <row r="45" spans="1:8" x14ac:dyDescent="0.25">
      <c r="A45" s="103"/>
      <c r="B45" s="104"/>
      <c r="C45" s="105"/>
      <c r="D45" s="103"/>
      <c r="E45" s="106"/>
    </row>
    <row r="46" spans="1:8" x14ac:dyDescent="0.25">
      <c r="A46" s="103"/>
      <c r="B46" s="104"/>
      <c r="C46" s="105"/>
      <c r="D46" s="103"/>
      <c r="E46" s="106"/>
    </row>
    <row r="47" spans="1:8" x14ac:dyDescent="0.25">
      <c r="A47" s="103"/>
      <c r="B47" s="104"/>
      <c r="C47" s="105"/>
      <c r="D47" s="103"/>
      <c r="E47" s="106"/>
    </row>
    <row r="48" spans="1:8" x14ac:dyDescent="0.25">
      <c r="A48" s="103"/>
      <c r="B48" s="104"/>
      <c r="C48" s="105"/>
      <c r="D48" s="103"/>
      <c r="E48" s="106"/>
    </row>
    <row r="49" spans="1:5" x14ac:dyDescent="0.25">
      <c r="A49" s="103"/>
      <c r="B49" s="104"/>
      <c r="C49" s="105"/>
      <c r="D49" s="103"/>
      <c r="E49" s="106"/>
    </row>
    <row r="50" spans="1:5" x14ac:dyDescent="0.25">
      <c r="A50" s="103"/>
      <c r="B50" s="104"/>
      <c r="C50" s="105"/>
      <c r="D50" s="103"/>
      <c r="E50" s="106"/>
    </row>
    <row r="51" spans="1:5" x14ac:dyDescent="0.25">
      <c r="A51" s="103"/>
      <c r="B51" s="104"/>
      <c r="C51" s="105"/>
      <c r="D51" s="103"/>
      <c r="E51" s="106"/>
    </row>
    <row r="52" spans="1:5" x14ac:dyDescent="0.25">
      <c r="A52" s="103"/>
      <c r="B52" s="104"/>
      <c r="C52" s="105"/>
      <c r="D52" s="103"/>
      <c r="E52" s="106"/>
    </row>
    <row r="53" spans="1:5" x14ac:dyDescent="0.25">
      <c r="A53" s="103"/>
      <c r="B53" s="104"/>
      <c r="C53" s="105"/>
      <c r="D53" s="103"/>
      <c r="E53" s="106"/>
    </row>
    <row r="54" spans="1:5" x14ac:dyDescent="0.25">
      <c r="A54" s="103"/>
      <c r="B54" s="104"/>
      <c r="C54" s="105"/>
      <c r="D54" s="103"/>
      <c r="E54" s="106"/>
    </row>
    <row r="55" spans="1:5" x14ac:dyDescent="0.25">
      <c r="A55" s="103"/>
      <c r="B55" s="104"/>
      <c r="C55" s="105"/>
      <c r="D55" s="103"/>
      <c r="E55" s="106"/>
    </row>
    <row r="56" spans="1:5" x14ac:dyDescent="0.25">
      <c r="A56" s="103"/>
      <c r="B56" s="104"/>
      <c r="C56" s="105"/>
      <c r="D56" s="103"/>
      <c r="E56" s="106"/>
    </row>
    <row r="57" spans="1:5" x14ac:dyDescent="0.25">
      <c r="A57" s="103"/>
      <c r="B57" s="104"/>
      <c r="C57" s="105"/>
      <c r="D57" s="103"/>
      <c r="E57" s="106"/>
    </row>
    <row r="58" spans="1:5" x14ac:dyDescent="0.25">
      <c r="A58" s="103"/>
      <c r="B58" s="104"/>
      <c r="C58" s="105"/>
      <c r="D58" s="103"/>
      <c r="E58" s="106"/>
    </row>
    <row r="59" spans="1:5" x14ac:dyDescent="0.25">
      <c r="A59" s="103"/>
      <c r="B59" s="104"/>
      <c r="C59" s="105"/>
      <c r="D59" s="103"/>
      <c r="E59" s="106"/>
    </row>
    <row r="60" spans="1:5" x14ac:dyDescent="0.25">
      <c r="A60" s="103"/>
      <c r="B60" s="104"/>
      <c r="C60" s="105"/>
      <c r="D60" s="103"/>
      <c r="E60" s="106"/>
    </row>
    <row r="61" spans="1:5" x14ac:dyDescent="0.25">
      <c r="A61" s="103"/>
      <c r="B61" s="104"/>
      <c r="C61" s="105"/>
      <c r="D61" s="103"/>
      <c r="E61" s="106"/>
    </row>
    <row r="62" spans="1:5" x14ac:dyDescent="0.25">
      <c r="A62" s="103"/>
      <c r="B62" s="104"/>
      <c r="C62" s="105"/>
      <c r="D62" s="103"/>
      <c r="E62" s="106"/>
    </row>
    <row r="63" spans="1:5" x14ac:dyDescent="0.25">
      <c r="A63" s="103"/>
      <c r="B63" s="104"/>
      <c r="C63" s="105"/>
      <c r="D63" s="103"/>
      <c r="E63" s="106"/>
    </row>
    <row r="64" spans="1:5" x14ac:dyDescent="0.25">
      <c r="A64" s="103"/>
      <c r="B64" s="104"/>
      <c r="C64" s="105"/>
      <c r="D64" s="103"/>
      <c r="E64" s="106"/>
    </row>
    <row r="65" spans="1:5" x14ac:dyDescent="0.25">
      <c r="A65" s="103"/>
      <c r="B65" s="104"/>
      <c r="C65" s="105"/>
      <c r="D65" s="103"/>
      <c r="E65" s="106"/>
    </row>
    <row r="66" spans="1:5" x14ac:dyDescent="0.25">
      <c r="A66" s="103"/>
      <c r="B66" s="104"/>
      <c r="C66" s="105"/>
      <c r="D66" s="103"/>
      <c r="E66" s="106"/>
    </row>
    <row r="67" spans="1:5" x14ac:dyDescent="0.25">
      <c r="A67" s="103"/>
      <c r="B67" s="104"/>
      <c r="C67" s="105"/>
      <c r="D67" s="103"/>
      <c r="E67" s="106"/>
    </row>
    <row r="68" spans="1:5" x14ac:dyDescent="0.25">
      <c r="A68" s="103"/>
      <c r="B68" s="104"/>
      <c r="C68" s="105"/>
      <c r="D68" s="103"/>
      <c r="E68" s="106"/>
    </row>
    <row r="69" spans="1:5" x14ac:dyDescent="0.25">
      <c r="A69" s="103"/>
      <c r="B69" s="104"/>
      <c r="C69" s="105"/>
      <c r="D69" s="103"/>
      <c r="E69" s="106"/>
    </row>
    <row r="70" spans="1:5" x14ac:dyDescent="0.25">
      <c r="A70" s="103"/>
      <c r="B70" s="104"/>
      <c r="C70" s="105"/>
      <c r="D70" s="103"/>
      <c r="E70" s="106"/>
    </row>
    <row r="71" spans="1:5" x14ac:dyDescent="0.25">
      <c r="A71" s="103"/>
      <c r="B71" s="104"/>
      <c r="C71" s="105"/>
      <c r="D71" s="103"/>
      <c r="E71" s="106"/>
    </row>
    <row r="72" spans="1:5" x14ac:dyDescent="0.25">
      <c r="A72" s="103"/>
      <c r="B72" s="104"/>
      <c r="C72" s="105"/>
      <c r="D72" s="103"/>
      <c r="E72" s="106"/>
    </row>
    <row r="73" spans="1:5" x14ac:dyDescent="0.25">
      <c r="A73" s="103"/>
      <c r="B73" s="104"/>
      <c r="C73" s="105"/>
      <c r="D73" s="103"/>
      <c r="E73" s="106"/>
    </row>
    <row r="74" spans="1:5" x14ac:dyDescent="0.25">
      <c r="A74" s="103"/>
      <c r="B74" s="104"/>
      <c r="C74" s="105"/>
      <c r="D74" s="103"/>
      <c r="E74" s="106"/>
    </row>
    <row r="75" spans="1:5" x14ac:dyDescent="0.25">
      <c r="A75" s="103"/>
      <c r="B75" s="104"/>
      <c r="C75" s="105"/>
      <c r="D75" s="103"/>
      <c r="E75" s="106"/>
    </row>
    <row r="76" spans="1:5" x14ac:dyDescent="0.25">
      <c r="A76" s="103"/>
      <c r="B76" s="104"/>
      <c r="C76" s="105"/>
      <c r="D76" s="103"/>
      <c r="E76" s="106"/>
    </row>
    <row r="77" spans="1:5" x14ac:dyDescent="0.25">
      <c r="A77" s="103"/>
      <c r="B77" s="104"/>
      <c r="C77" s="105"/>
      <c r="D77" s="103"/>
      <c r="E77" s="106"/>
    </row>
    <row r="78" spans="1:5" x14ac:dyDescent="0.25">
      <c r="A78" s="103"/>
      <c r="B78" s="104"/>
      <c r="C78" s="105"/>
      <c r="D78" s="103"/>
      <c r="E78" s="106"/>
    </row>
    <row r="79" spans="1:5" x14ac:dyDescent="0.25">
      <c r="A79" s="103"/>
      <c r="B79" s="104"/>
      <c r="C79" s="105"/>
      <c r="D79" s="103"/>
      <c r="E79" s="106"/>
    </row>
    <row r="80" spans="1:5" x14ac:dyDescent="0.25">
      <c r="A80" s="103"/>
      <c r="B80" s="104"/>
      <c r="C80" s="105"/>
      <c r="D80" s="103"/>
      <c r="E80" s="106"/>
    </row>
    <row r="81" spans="1:5" x14ac:dyDescent="0.25">
      <c r="A81" s="103"/>
      <c r="B81" s="104"/>
      <c r="C81" s="105"/>
      <c r="D81" s="103"/>
      <c r="E81" s="106"/>
    </row>
    <row r="82" spans="1:5" x14ac:dyDescent="0.25">
      <c r="A82" s="103"/>
      <c r="B82" s="104"/>
      <c r="C82" s="105"/>
      <c r="D82" s="103"/>
      <c r="E82" s="106"/>
    </row>
    <row r="83" spans="1:5" x14ac:dyDescent="0.25">
      <c r="A83" s="103"/>
      <c r="B83" s="104"/>
      <c r="C83" s="105"/>
      <c r="D83" s="103"/>
      <c r="E83" s="106"/>
    </row>
    <row r="84" spans="1:5" x14ac:dyDescent="0.25">
      <c r="A84" s="103"/>
      <c r="B84" s="104"/>
      <c r="C84" s="105"/>
      <c r="D84" s="103"/>
      <c r="E84" s="106"/>
    </row>
    <row r="85" spans="1:5" x14ac:dyDescent="0.25">
      <c r="A85" s="103"/>
      <c r="B85" s="104"/>
      <c r="C85" s="105"/>
      <c r="D85" s="103"/>
      <c r="E85" s="106"/>
    </row>
    <row r="86" spans="1:5" x14ac:dyDescent="0.25">
      <c r="A86" s="103"/>
      <c r="B86" s="104"/>
      <c r="C86" s="105"/>
      <c r="D86" s="103"/>
      <c r="E86" s="106"/>
    </row>
    <row r="87" spans="1:5" x14ac:dyDescent="0.25">
      <c r="A87" s="103"/>
      <c r="B87" s="104"/>
      <c r="C87" s="105"/>
      <c r="D87" s="103"/>
      <c r="E87" s="106"/>
    </row>
    <row r="88" spans="1:5" x14ac:dyDescent="0.25">
      <c r="A88" s="103"/>
      <c r="B88" s="104"/>
      <c r="C88" s="105"/>
      <c r="D88" s="103"/>
      <c r="E88" s="106"/>
    </row>
    <row r="89" spans="1:5" x14ac:dyDescent="0.25">
      <c r="A89" s="103"/>
      <c r="B89" s="104"/>
      <c r="C89" s="105"/>
      <c r="D89" s="103"/>
      <c r="E89" s="106"/>
    </row>
    <row r="90" spans="1:5" x14ac:dyDescent="0.25">
      <c r="A90" s="103"/>
      <c r="B90" s="104"/>
      <c r="C90" s="105"/>
      <c r="D90" s="103"/>
      <c r="E90" s="106"/>
    </row>
    <row r="91" spans="1:5" x14ac:dyDescent="0.25">
      <c r="A91" s="103"/>
      <c r="B91" s="104"/>
      <c r="C91" s="105"/>
      <c r="D91" s="103"/>
      <c r="E91" s="106"/>
    </row>
    <row r="92" spans="1:5" x14ac:dyDescent="0.25">
      <c r="A92" s="103"/>
      <c r="B92" s="104"/>
      <c r="C92" s="105"/>
      <c r="D92" s="103"/>
      <c r="E92" s="106"/>
    </row>
    <row r="93" spans="1:5" x14ac:dyDescent="0.25">
      <c r="A93" s="103"/>
      <c r="B93" s="104"/>
      <c r="C93" s="105"/>
      <c r="D93" s="103"/>
      <c r="E93" s="106"/>
    </row>
    <row r="94" spans="1:5" x14ac:dyDescent="0.25">
      <c r="A94" s="103"/>
      <c r="B94" s="104"/>
      <c r="C94" s="105"/>
      <c r="D94" s="103"/>
      <c r="E94" s="106"/>
    </row>
    <row r="95" spans="1:5" x14ac:dyDescent="0.25">
      <c r="A95" s="103"/>
      <c r="B95" s="104"/>
      <c r="C95" s="105"/>
      <c r="D95" s="103"/>
      <c r="E95" s="106"/>
    </row>
    <row r="96" spans="1:5" x14ac:dyDescent="0.25">
      <c r="A96" s="103"/>
      <c r="B96" s="104"/>
      <c r="C96" s="105"/>
      <c r="D96" s="103"/>
      <c r="E96" s="106"/>
    </row>
    <row r="97" spans="1:8" x14ac:dyDescent="0.25">
      <c r="A97" s="103"/>
      <c r="B97" s="104"/>
      <c r="C97" s="105"/>
      <c r="D97" s="103"/>
      <c r="E97" s="106"/>
    </row>
    <row r="98" spans="1:8" x14ac:dyDescent="0.25">
      <c r="A98" s="103"/>
      <c r="B98" s="104"/>
      <c r="C98" s="105"/>
      <c r="D98" s="103"/>
      <c r="E98" s="106"/>
    </row>
    <row r="99" spans="1:8" x14ac:dyDescent="0.25">
      <c r="A99" s="103"/>
      <c r="B99" s="104"/>
      <c r="C99" s="105"/>
      <c r="D99" s="103"/>
      <c r="E99" s="106"/>
    </row>
    <row r="100" spans="1:8" x14ac:dyDescent="0.25">
      <c r="A100" s="133"/>
      <c r="B100" s="133"/>
      <c r="C100" s="134"/>
      <c r="D100" s="135"/>
      <c r="E100" s="138">
        <f>SUM(E2:E99)</f>
        <v>800</v>
      </c>
      <c r="F100" s="138">
        <f>SUM(F2:F99)</f>
        <v>47</v>
      </c>
      <c r="G100" s="138">
        <f>SUM(G2:G99)</f>
        <v>47</v>
      </c>
      <c r="H100" s="137">
        <f>+G100/E100</f>
        <v>5.8749999999999997E-2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8512A6-76F0-4DE8-86D3-8D93872245E9}"/>
</file>

<file path=customXml/itemProps2.xml><?xml version="1.0" encoding="utf-8"?>
<ds:datastoreItem xmlns:ds="http://schemas.openxmlformats.org/officeDocument/2006/customXml" ds:itemID="{20A87022-DE7C-459C-8204-6031BAC22DE3}"/>
</file>

<file path=customXml/itemProps3.xml><?xml version="1.0" encoding="utf-8"?>
<ds:datastoreItem xmlns:ds="http://schemas.openxmlformats.org/officeDocument/2006/customXml" ds:itemID="{0CB6FE0A-0559-4B4B-A518-980AA3C1C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Harvest</vt:lpstr>
      <vt:lpstr>Effort</vt:lpstr>
      <vt:lpstr>CPUE</vt:lpstr>
      <vt:lpstr>Summary Table</vt:lpstr>
      <vt:lpstr>Tribal update</vt:lpstr>
      <vt:lpstr>Copy Sheet</vt:lpstr>
      <vt:lpstr>Sunset times</vt:lpstr>
      <vt:lpstr>Harvest Dates</vt:lpstr>
      <vt:lpstr>Sheet1</vt:lpstr>
      <vt:lpstr>Tide Info</vt:lpstr>
      <vt:lpstr>TAC</vt:lpstr>
      <vt:lpstr>TH Wastage</vt:lpstr>
      <vt:lpstr>LB Wastage</vt:lpstr>
      <vt:lpstr>Cop Wastage</vt:lpstr>
      <vt:lpstr>Moc Wastage</vt:lpstr>
      <vt:lpstr>Effort!Print_Area</vt:lpstr>
      <vt:lpstr>'Harvest Dates'!Print_Area</vt:lpstr>
      <vt:lpstr>'Summary Table'!Print_Area</vt:lpstr>
      <vt:lpstr>'Tribal update'!Print_Area</vt:lpstr>
      <vt:lpstr>'Summary Table'!Print_Titles</vt:lpstr>
    </vt:vector>
  </TitlesOfParts>
  <Company>WDFW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Deibert</dc:creator>
  <cp:lastModifiedBy>George, Matthew (DFW)</cp:lastModifiedBy>
  <cp:lastPrinted>2019-11-21T17:16:18Z</cp:lastPrinted>
  <dcterms:created xsi:type="dcterms:W3CDTF">2009-10-21T21:07:28Z</dcterms:created>
  <dcterms:modified xsi:type="dcterms:W3CDTF">2023-11-15T22:26:42Z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2023-11-15T22:26:42Z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08978d58-fec4-4fbd-8c34-b20e2d55c5c9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Order">
    <vt:r8>2815600</vt:r8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</Properties>
</file>