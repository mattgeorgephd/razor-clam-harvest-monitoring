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65" windowWidth="19095" windowHeight="11160"/>
  </bookViews>
  <sheets>
    <sheet name="Harvest" sheetId="1" r:id="rId1"/>
    <sheet name="Effort" sheetId="3" r:id="rId2"/>
    <sheet name="Copy Sheet" sheetId="5" r:id="rId3"/>
    <sheet name="CPUE" sheetId="2" r:id="rId4"/>
    <sheet name="Summary Table" sheetId="4" r:id="rId5"/>
    <sheet name="Tribal Update" sheetId="7" r:id="rId6"/>
    <sheet name="TAC" sheetId="6" r:id="rId7"/>
    <sheet name="Twin Harbors Data" sheetId="13" r:id="rId8"/>
    <sheet name="TH Wastage" sheetId="8" r:id="rId9"/>
    <sheet name="LB Wastage" sheetId="9" r:id="rId10"/>
    <sheet name="Cop Wastage" sheetId="10" r:id="rId11"/>
    <sheet name="Moc Wastage" sheetId="11" r:id="rId12"/>
  </sheets>
  <definedNames>
    <definedName name="_xlnm.Print_Area" localSheetId="4">'Summary Table'!$A$1:$U$47</definedName>
  </definedNames>
  <calcPr calcId="125725"/>
</workbook>
</file>

<file path=xl/calcChain.xml><?xml version="1.0" encoding="utf-8"?>
<calcChain xmlns="http://schemas.openxmlformats.org/spreadsheetml/2006/main">
  <c r="F44" i="1"/>
  <c r="H44" i="4"/>
  <c r="T41"/>
  <c r="U41"/>
  <c r="U40"/>
  <c r="U39"/>
  <c r="U38"/>
  <c r="T40"/>
  <c r="T39"/>
  <c r="T38"/>
  <c r="U36"/>
  <c r="U35"/>
  <c r="U34"/>
  <c r="T36"/>
  <c r="T35"/>
  <c r="T34"/>
  <c r="H17" i="3"/>
  <c r="H38" i="2"/>
  <c r="H37"/>
  <c r="H36"/>
  <c r="O38" i="3"/>
  <c r="O37"/>
  <c r="O36"/>
  <c r="O38" i="2"/>
  <c r="O37"/>
  <c r="O36"/>
  <c r="O38" i="1"/>
  <c r="O37"/>
  <c r="O36"/>
  <c r="S40" i="4"/>
  <c r="R40"/>
  <c r="Q40"/>
  <c r="P40"/>
  <c r="O40"/>
  <c r="N40"/>
  <c r="M40"/>
  <c r="L40"/>
  <c r="K40"/>
  <c r="J40"/>
  <c r="I40"/>
  <c r="H40"/>
  <c r="G40"/>
  <c r="F40"/>
  <c r="E40"/>
  <c r="S39"/>
  <c r="R39"/>
  <c r="Q39"/>
  <c r="P39"/>
  <c r="O39"/>
  <c r="N39"/>
  <c r="M39"/>
  <c r="L39"/>
  <c r="K39"/>
  <c r="J39"/>
  <c r="I39"/>
  <c r="H39"/>
  <c r="H41" s="1"/>
  <c r="G39"/>
  <c r="F39"/>
  <c r="E39"/>
  <c r="S38"/>
  <c r="R38"/>
  <c r="Q38"/>
  <c r="P38"/>
  <c r="O38"/>
  <c r="N38"/>
  <c r="M38"/>
  <c r="L38"/>
  <c r="K38"/>
  <c r="J38"/>
  <c r="I38"/>
  <c r="I41" s="1"/>
  <c r="J41" s="1"/>
  <c r="H38"/>
  <c r="G38"/>
  <c r="F38"/>
  <c r="E38"/>
  <c r="H34" i="3" l="1"/>
  <c r="J44" i="1"/>
  <c r="L34" i="2"/>
  <c r="P36" i="4" s="1"/>
  <c r="J34" i="2"/>
  <c r="M36" i="4" s="1"/>
  <c r="O34" i="3"/>
  <c r="H34" i="1"/>
  <c r="O34" s="1"/>
  <c r="O33"/>
  <c r="O32"/>
  <c r="O33" i="3"/>
  <c r="O32"/>
  <c r="H34" i="2"/>
  <c r="J36" i="4" s="1"/>
  <c r="F34" i="2"/>
  <c r="G36" i="4" s="1"/>
  <c r="H33" i="2"/>
  <c r="J35" i="4" s="1"/>
  <c r="F33" i="2"/>
  <c r="H32"/>
  <c r="J34" i="4" s="1"/>
  <c r="F32" i="2"/>
  <c r="G34" i="4" s="1"/>
  <c r="S36"/>
  <c r="R36"/>
  <c r="Q36"/>
  <c r="O36"/>
  <c r="N36"/>
  <c r="L36"/>
  <c r="K36"/>
  <c r="S35"/>
  <c r="R35"/>
  <c r="Q35"/>
  <c r="P35"/>
  <c r="O35"/>
  <c r="N35"/>
  <c r="M35"/>
  <c r="L35"/>
  <c r="K35"/>
  <c r="S34"/>
  <c r="R34"/>
  <c r="Q34"/>
  <c r="P34"/>
  <c r="O34"/>
  <c r="N34"/>
  <c r="M34"/>
  <c r="L34"/>
  <c r="K34"/>
  <c r="K37" s="1"/>
  <c r="I36"/>
  <c r="H36"/>
  <c r="F36"/>
  <c r="E36"/>
  <c r="I35"/>
  <c r="H35"/>
  <c r="G35"/>
  <c r="F35"/>
  <c r="E35"/>
  <c r="I34"/>
  <c r="H34"/>
  <c r="F34"/>
  <c r="E34"/>
  <c r="B33" i="3"/>
  <c r="B32"/>
  <c r="B33" i="2"/>
  <c r="B32"/>
  <c r="B33" i="1"/>
  <c r="B32"/>
  <c r="N34" i="7"/>
  <c r="M34"/>
  <c r="Q33"/>
  <c r="R33"/>
  <c r="R32"/>
  <c r="R31"/>
  <c r="R30"/>
  <c r="Q32"/>
  <c r="Q31"/>
  <c r="Q30"/>
  <c r="N44" i="1"/>
  <c r="O32" i="2" l="1"/>
  <c r="O33"/>
  <c r="I37" i="4"/>
  <c r="H37"/>
  <c r="J37" s="1"/>
  <c r="F37"/>
  <c r="N37"/>
  <c r="E37"/>
  <c r="O34" i="2"/>
  <c r="L37" i="4"/>
  <c r="O37"/>
  <c r="O28" i="1"/>
  <c r="O29"/>
  <c r="O30"/>
  <c r="R32" i="4"/>
  <c r="Q32"/>
  <c r="R31"/>
  <c r="Q31"/>
  <c r="R30"/>
  <c r="R33" s="1"/>
  <c r="Q30"/>
  <c r="Q33" s="1"/>
  <c r="Q44" s="1"/>
  <c r="P32"/>
  <c r="O32"/>
  <c r="N32"/>
  <c r="M32"/>
  <c r="L32"/>
  <c r="K32"/>
  <c r="I32"/>
  <c r="H32"/>
  <c r="F32"/>
  <c r="U32" s="1"/>
  <c r="E32"/>
  <c r="T32" s="1"/>
  <c r="O31"/>
  <c r="N31"/>
  <c r="M31"/>
  <c r="L31"/>
  <c r="K31"/>
  <c r="I31"/>
  <c r="H31"/>
  <c r="F31"/>
  <c r="E31"/>
  <c r="O30"/>
  <c r="O33" s="1"/>
  <c r="N30"/>
  <c r="L30"/>
  <c r="L33" s="1"/>
  <c r="K30"/>
  <c r="I30"/>
  <c r="I33" s="1"/>
  <c r="H30"/>
  <c r="F30"/>
  <c r="E30"/>
  <c r="N30" i="2"/>
  <c r="S32" i="4" s="1"/>
  <c r="N29" i="2"/>
  <c r="S31" i="4" s="1"/>
  <c r="N28" i="2"/>
  <c r="S30" i="4" s="1"/>
  <c r="L29" i="2"/>
  <c r="P31" i="4" s="1"/>
  <c r="L28" i="2"/>
  <c r="P30" i="4" s="1"/>
  <c r="J28" i="2"/>
  <c r="M30" i="4" s="1"/>
  <c r="H30" i="2"/>
  <c r="J32" i="4" s="1"/>
  <c r="H29" i="2"/>
  <c r="J31" i="4" s="1"/>
  <c r="H28" i="2"/>
  <c r="J30" i="4" s="1"/>
  <c r="F30" i="2"/>
  <c r="G32" i="4" s="1"/>
  <c r="F29" i="2"/>
  <c r="G31" i="4" s="1"/>
  <c r="F28" i="2"/>
  <c r="G30" i="4" s="1"/>
  <c r="O30" i="3"/>
  <c r="O30" i="2" s="1"/>
  <c r="O28" i="3"/>
  <c r="O28" i="2" s="1"/>
  <c r="O29" i="3"/>
  <c r="B30"/>
  <c r="B29"/>
  <c r="B28"/>
  <c r="B30" i="2"/>
  <c r="B29"/>
  <c r="B28"/>
  <c r="B30" i="1"/>
  <c r="B29"/>
  <c r="B28"/>
  <c r="R28" i="7"/>
  <c r="Q28"/>
  <c r="R27"/>
  <c r="R29" s="1"/>
  <c r="Q27"/>
  <c r="Q29" s="1"/>
  <c r="O28" i="4"/>
  <c r="N28"/>
  <c r="M28"/>
  <c r="L28"/>
  <c r="K28"/>
  <c r="I28"/>
  <c r="H28"/>
  <c r="F28"/>
  <c r="E28"/>
  <c r="O27"/>
  <c r="N27"/>
  <c r="L27"/>
  <c r="L29" s="1"/>
  <c r="K27"/>
  <c r="K29" s="1"/>
  <c r="I27"/>
  <c r="I29" s="1"/>
  <c r="H27"/>
  <c r="H29" s="1"/>
  <c r="F27"/>
  <c r="F29" s="1"/>
  <c r="E27"/>
  <c r="E29" s="1"/>
  <c r="O26" i="3"/>
  <c r="O25"/>
  <c r="L26" i="2"/>
  <c r="P28" i="4" s="1"/>
  <c r="H26" i="2"/>
  <c r="J28" i="4" s="1"/>
  <c r="F26" i="2"/>
  <c r="G28" i="4" s="1"/>
  <c r="L25" i="2"/>
  <c r="P27" i="4" s="1"/>
  <c r="J25" i="2"/>
  <c r="M27" i="4" s="1"/>
  <c r="H25" i="2"/>
  <c r="J27" i="4" s="1"/>
  <c r="F25" i="2"/>
  <c r="G27" i="4" s="1"/>
  <c r="O26" i="1"/>
  <c r="O25"/>
  <c r="O26" i="2" l="1"/>
  <c r="N29" i="4"/>
  <c r="T28"/>
  <c r="O25" i="2"/>
  <c r="U31" i="4"/>
  <c r="F33"/>
  <c r="T37"/>
  <c r="G37"/>
  <c r="P37"/>
  <c r="U37"/>
  <c r="M37"/>
  <c r="S33"/>
  <c r="R44"/>
  <c r="S44" s="1"/>
  <c r="O29"/>
  <c r="U28"/>
  <c r="H33"/>
  <c r="J33" s="1"/>
  <c r="K33"/>
  <c r="M33" s="1"/>
  <c r="T30"/>
  <c r="G29"/>
  <c r="O29" i="2"/>
  <c r="N33" i="4"/>
  <c r="P33" s="1"/>
  <c r="T31"/>
  <c r="T33" s="1"/>
  <c r="M29"/>
  <c r="U27"/>
  <c r="U30"/>
  <c r="U33" s="1"/>
  <c r="E33"/>
  <c r="G33" s="1"/>
  <c r="T27"/>
  <c r="J29"/>
  <c r="P29" l="1"/>
  <c r="U29"/>
  <c r="T29"/>
  <c r="B26" i="3"/>
  <c r="B25"/>
  <c r="B26" i="2"/>
  <c r="B25"/>
  <c r="B26" i="1"/>
  <c r="B25"/>
  <c r="R25" i="7"/>
  <c r="Q25"/>
  <c r="R24"/>
  <c r="R26" s="1"/>
  <c r="Q24"/>
  <c r="Q26" s="1"/>
  <c r="L25" i="4"/>
  <c r="K25"/>
  <c r="O25"/>
  <c r="N25"/>
  <c r="I25"/>
  <c r="H25"/>
  <c r="F25"/>
  <c r="U25" s="1"/>
  <c r="E25"/>
  <c r="T25" s="1"/>
  <c r="O24"/>
  <c r="N24"/>
  <c r="N26" s="1"/>
  <c r="L24"/>
  <c r="L26" s="1"/>
  <c r="K24"/>
  <c r="K26" s="1"/>
  <c r="I24"/>
  <c r="I26" s="1"/>
  <c r="H24"/>
  <c r="H26" s="1"/>
  <c r="F24"/>
  <c r="F26" s="1"/>
  <c r="E24"/>
  <c r="E26" s="1"/>
  <c r="L23" i="2"/>
  <c r="P25" i="4" s="1"/>
  <c r="J23" i="2"/>
  <c r="M25" i="4" s="1"/>
  <c r="H23" i="2"/>
  <c r="J25" i="4" s="1"/>
  <c r="F23" i="2"/>
  <c r="G25" i="4" s="1"/>
  <c r="L22" i="2"/>
  <c r="P24" i="4" s="1"/>
  <c r="J22" i="2"/>
  <c r="M24" i="4" s="1"/>
  <c r="H22" i="2"/>
  <c r="J24" i="4" s="1"/>
  <c r="F22" i="2"/>
  <c r="G24" i="4" s="1"/>
  <c r="O23" i="3"/>
  <c r="O22"/>
  <c r="B23"/>
  <c r="B22"/>
  <c r="B23" i="2"/>
  <c r="B22"/>
  <c r="O23" i="1"/>
  <c r="O23" i="2" s="1"/>
  <c r="O22" i="1"/>
  <c r="O22" i="2" s="1"/>
  <c r="B23" i="1"/>
  <c r="B22"/>
  <c r="R22" i="7"/>
  <c r="R21"/>
  <c r="Q22"/>
  <c r="Q23" s="1"/>
  <c r="Q21"/>
  <c r="L20" i="2"/>
  <c r="L19"/>
  <c r="P21" i="4" s="1"/>
  <c r="H20" i="2"/>
  <c r="J22" i="4" s="1"/>
  <c r="F20" i="2"/>
  <c r="G22" i="4" s="1"/>
  <c r="H19" i="2"/>
  <c r="F19"/>
  <c r="G21" i="4" s="1"/>
  <c r="M21"/>
  <c r="L21"/>
  <c r="K21"/>
  <c r="O20" i="1"/>
  <c r="O19"/>
  <c r="O20" i="3"/>
  <c r="O20" i="2" s="1"/>
  <c r="O19" i="3"/>
  <c r="P22" i="4"/>
  <c r="O22"/>
  <c r="N22"/>
  <c r="I22"/>
  <c r="H22"/>
  <c r="F22"/>
  <c r="E22"/>
  <c r="O21"/>
  <c r="N21"/>
  <c r="J21"/>
  <c r="I21"/>
  <c r="H21"/>
  <c r="H23" s="1"/>
  <c r="F21"/>
  <c r="E21"/>
  <c r="B20" i="3"/>
  <c r="B19"/>
  <c r="B20" i="2"/>
  <c r="B19"/>
  <c r="B20" i="1"/>
  <c r="B19"/>
  <c r="R19" i="7"/>
  <c r="Q19"/>
  <c r="R18"/>
  <c r="R20" s="1"/>
  <c r="Q18"/>
  <c r="Q20" s="1"/>
  <c r="H19" i="4"/>
  <c r="H17" i="1"/>
  <c r="I19" i="4" s="1"/>
  <c r="L19"/>
  <c r="K19"/>
  <c r="O18"/>
  <c r="N18"/>
  <c r="L18"/>
  <c r="K18"/>
  <c r="I18"/>
  <c r="H18"/>
  <c r="F18"/>
  <c r="E18"/>
  <c r="T18" s="1"/>
  <c r="O16" i="1"/>
  <c r="L17"/>
  <c r="F17"/>
  <c r="F19" i="4" s="1"/>
  <c r="L17" i="3"/>
  <c r="N19" i="4" s="1"/>
  <c r="F17" i="3"/>
  <c r="E19" i="4" s="1"/>
  <c r="J17" i="2"/>
  <c r="M19" i="4" s="1"/>
  <c r="L16" i="2"/>
  <c r="P18" i="4" s="1"/>
  <c r="J16" i="2"/>
  <c r="M18" i="4" s="1"/>
  <c r="H16" i="2"/>
  <c r="J18" i="4" s="1"/>
  <c r="F16" i="2"/>
  <c r="G18" i="4" s="1"/>
  <c r="O16" i="3"/>
  <c r="B17"/>
  <c r="B16"/>
  <c r="B17" i="2"/>
  <c r="B16"/>
  <c r="L17" l="1"/>
  <c r="P19" i="4" s="1"/>
  <c r="I23"/>
  <c r="F17" i="2"/>
  <c r="G19" i="4" s="1"/>
  <c r="H17" i="2"/>
  <c r="J19" i="4" s="1"/>
  <c r="O19"/>
  <c r="U19" s="1"/>
  <c r="L44" i="1"/>
  <c r="O16" i="2"/>
  <c r="O17" i="1"/>
  <c r="M26" i="4"/>
  <c r="U24"/>
  <c r="U26" s="1"/>
  <c r="J26"/>
  <c r="O26"/>
  <c r="P26" s="1"/>
  <c r="T24"/>
  <c r="T26" s="1"/>
  <c r="G26"/>
  <c r="U18"/>
  <c r="R23" i="7"/>
  <c r="E23" i="4"/>
  <c r="T22"/>
  <c r="F23"/>
  <c r="U22"/>
  <c r="G23"/>
  <c r="O19" i="2"/>
  <c r="N23" i="4"/>
  <c r="U21"/>
  <c r="T21"/>
  <c r="O23"/>
  <c r="J23"/>
  <c r="U23"/>
  <c r="T19"/>
  <c r="O17" i="3"/>
  <c r="B17" i="1"/>
  <c r="B16"/>
  <c r="L40"/>
  <c r="H22" i="11"/>
  <c r="E22" i="10"/>
  <c r="E22" i="9"/>
  <c r="E22" i="8"/>
  <c r="O16" i="4"/>
  <c r="N16"/>
  <c r="I16" i="7" s="1"/>
  <c r="L16" i="4"/>
  <c r="K16"/>
  <c r="I16"/>
  <c r="H16"/>
  <c r="O15"/>
  <c r="J15" i="7" s="1"/>
  <c r="N15" i="4"/>
  <c r="I15" i="7" s="1"/>
  <c r="L15" i="4"/>
  <c r="F15" i="7" s="1"/>
  <c r="K15" i="4"/>
  <c r="E15" i="7" s="1"/>
  <c r="I15" i="4"/>
  <c r="H15"/>
  <c r="H17" s="1"/>
  <c r="F15"/>
  <c r="E15"/>
  <c r="F14" i="3"/>
  <c r="O14" s="1"/>
  <c r="F14" i="1"/>
  <c r="L14" i="2"/>
  <c r="P16" i="4" s="1"/>
  <c r="K16" i="7" s="1"/>
  <c r="J14" i="2"/>
  <c r="M16" i="4" s="1"/>
  <c r="G16" i="7" s="1"/>
  <c r="H14" i="2"/>
  <c r="J16" i="4" s="1"/>
  <c r="L13" i="2"/>
  <c r="P15" i="4" s="1"/>
  <c r="K15" i="7" s="1"/>
  <c r="J13" i="2"/>
  <c r="M15" i="4" s="1"/>
  <c r="G15" i="7" s="1"/>
  <c r="H13" i="2"/>
  <c r="J15" i="4" s="1"/>
  <c r="F13" i="2"/>
  <c r="G15" i="4" s="1"/>
  <c r="O14" i="1"/>
  <c r="O13"/>
  <c r="O13" i="3"/>
  <c r="J16" i="7"/>
  <c r="F16"/>
  <c r="R16" s="1"/>
  <c r="E16"/>
  <c r="B14" i="3"/>
  <c r="B13"/>
  <c r="B14" i="2"/>
  <c r="B13"/>
  <c r="B14" i="1"/>
  <c r="B13"/>
  <c r="R13" i="7"/>
  <c r="R14" s="1"/>
  <c r="Q13"/>
  <c r="Q14" s="1"/>
  <c r="I14"/>
  <c r="J14"/>
  <c r="K14" s="1"/>
  <c r="E14"/>
  <c r="F14"/>
  <c r="G14" s="1"/>
  <c r="O17" i="4"/>
  <c r="K17"/>
  <c r="I17"/>
  <c r="O13"/>
  <c r="O14" s="1"/>
  <c r="N13"/>
  <c r="N14" s="1"/>
  <c r="L13"/>
  <c r="L14" s="1"/>
  <c r="K13"/>
  <c r="K14" s="1"/>
  <c r="F13"/>
  <c r="F14" s="1"/>
  <c r="E13"/>
  <c r="E14" s="1"/>
  <c r="L11" i="2"/>
  <c r="P13" i="4" s="1"/>
  <c r="J11" i="2"/>
  <c r="M13" i="4" s="1"/>
  <c r="F11" i="2"/>
  <c r="G13" i="4" s="1"/>
  <c r="H11" i="3"/>
  <c r="O11" s="1"/>
  <c r="H11" i="1"/>
  <c r="B11" i="3"/>
  <c r="B11" i="2"/>
  <c r="B11" i="1"/>
  <c r="R11" i="7"/>
  <c r="R10"/>
  <c r="Q11"/>
  <c r="Q10"/>
  <c r="J12"/>
  <c r="I12"/>
  <c r="F12"/>
  <c r="E12"/>
  <c r="O13" i="2" l="1"/>
  <c r="F16" i="4"/>
  <c r="O11" i="1"/>
  <c r="O11" i="2" s="1"/>
  <c r="N17" i="4"/>
  <c r="T23"/>
  <c r="J17" i="7"/>
  <c r="J34" s="1"/>
  <c r="H13" i="4"/>
  <c r="H14" s="1"/>
  <c r="E17" i="7"/>
  <c r="E34" s="1"/>
  <c r="U15" i="4"/>
  <c r="H11" i="2"/>
  <c r="J13" i="4" s="1"/>
  <c r="I13"/>
  <c r="I14" s="1"/>
  <c r="J14" s="1"/>
  <c r="M14"/>
  <c r="O17" i="2"/>
  <c r="P23" i="4"/>
  <c r="T14"/>
  <c r="P14"/>
  <c r="Q16" i="7"/>
  <c r="G14" i="4"/>
  <c r="U14"/>
  <c r="I17" i="7"/>
  <c r="I34" s="1"/>
  <c r="U13" i="4"/>
  <c r="L17"/>
  <c r="T15"/>
  <c r="F14" i="2"/>
  <c r="G16" i="4" s="1"/>
  <c r="U16"/>
  <c r="F17"/>
  <c r="U17"/>
  <c r="E16"/>
  <c r="F17" i="7"/>
  <c r="F34" s="1"/>
  <c r="K17"/>
  <c r="R15"/>
  <c r="R17" s="1"/>
  <c r="R34" s="1"/>
  <c r="O14" i="2"/>
  <c r="Q15" i="7"/>
  <c r="Q17" s="1"/>
  <c r="Q34" s="1"/>
  <c r="Q12"/>
  <c r="R12"/>
  <c r="G12"/>
  <c r="K12"/>
  <c r="H8" i="1"/>
  <c r="I10" i="4" s="1"/>
  <c r="H8" i="3"/>
  <c r="O8" s="1"/>
  <c r="R9" i="7"/>
  <c r="Q9"/>
  <c r="R8"/>
  <c r="R7"/>
  <c r="Q8"/>
  <c r="Q7"/>
  <c r="B8"/>
  <c r="B7"/>
  <c r="O11" i="4"/>
  <c r="N11"/>
  <c r="M11"/>
  <c r="L11"/>
  <c r="K11"/>
  <c r="I11"/>
  <c r="H11"/>
  <c r="F11"/>
  <c r="E11"/>
  <c r="O10"/>
  <c r="N10"/>
  <c r="L10"/>
  <c r="K10"/>
  <c r="H10"/>
  <c r="F10"/>
  <c r="E10"/>
  <c r="O8"/>
  <c r="N8"/>
  <c r="M8"/>
  <c r="L8"/>
  <c r="K8"/>
  <c r="I8"/>
  <c r="H8"/>
  <c r="F8"/>
  <c r="E8"/>
  <c r="O7"/>
  <c r="N7"/>
  <c r="M7"/>
  <c r="L7"/>
  <c r="K7"/>
  <c r="I7"/>
  <c r="H7"/>
  <c r="F7"/>
  <c r="E7"/>
  <c r="L9" i="2"/>
  <c r="P11" i="4" s="1"/>
  <c r="H9" i="2"/>
  <c r="J11" i="4" s="1"/>
  <c r="F9" i="2"/>
  <c r="G11" i="4" s="1"/>
  <c r="L8" i="2"/>
  <c r="P10" i="4" s="1"/>
  <c r="J8" i="2"/>
  <c r="M10" i="4" s="1"/>
  <c r="F8" i="2"/>
  <c r="G10" i="4" s="1"/>
  <c r="L6" i="2"/>
  <c r="P8" i="4" s="1"/>
  <c r="H6" i="2"/>
  <c r="J8" i="4" s="1"/>
  <c r="F6" i="2"/>
  <c r="G8" i="4" s="1"/>
  <c r="L5" i="2"/>
  <c r="P7" i="4" s="1"/>
  <c r="H5" i="2"/>
  <c r="J7" i="4" s="1"/>
  <c r="F5" i="2"/>
  <c r="G7" i="4" s="1"/>
  <c r="B9" i="2"/>
  <c r="B8"/>
  <c r="B6"/>
  <c r="B5"/>
  <c r="O9" i="3"/>
  <c r="B9"/>
  <c r="B8"/>
  <c r="O6"/>
  <c r="B6"/>
  <c r="O5"/>
  <c r="B5"/>
  <c r="O9" i="1"/>
  <c r="O9" i="2" s="1"/>
  <c r="B9" i="1"/>
  <c r="B8"/>
  <c r="B6"/>
  <c r="B5"/>
  <c r="O6"/>
  <c r="O5"/>
  <c r="J6" i="7"/>
  <c r="I6"/>
  <c r="F6"/>
  <c r="E6"/>
  <c r="K5"/>
  <c r="K4"/>
  <c r="G4"/>
  <c r="G5"/>
  <c r="R6"/>
  <c r="R5"/>
  <c r="R4"/>
  <c r="Q5"/>
  <c r="Q4"/>
  <c r="G22" i="11"/>
  <c r="L42" i="1" s="1"/>
  <c r="D22" i="10"/>
  <c r="C9" i="6"/>
  <c r="B8" i="4"/>
  <c r="B7"/>
  <c r="L3" i="2"/>
  <c r="L2"/>
  <c r="J3"/>
  <c r="J2"/>
  <c r="H3"/>
  <c r="H2"/>
  <c r="F3"/>
  <c r="F2"/>
  <c r="O3" i="1"/>
  <c r="O2"/>
  <c r="O3" i="3"/>
  <c r="O2"/>
  <c r="B3"/>
  <c r="B2"/>
  <c r="B3" i="2"/>
  <c r="B2"/>
  <c r="D22" i="8"/>
  <c r="F22" s="1"/>
  <c r="H41" i="1" s="1"/>
  <c r="H8" i="2" l="1"/>
  <c r="J10" i="4" s="1"/>
  <c r="H44" i="1"/>
  <c r="T13" i="4"/>
  <c r="K34" i="7"/>
  <c r="I22" i="11"/>
  <c r="L41" i="1" s="1"/>
  <c r="J42"/>
  <c r="F22" i="10"/>
  <c r="J41" i="1" s="1"/>
  <c r="G17" i="7"/>
  <c r="U11" i="4"/>
  <c r="T10"/>
  <c r="T16"/>
  <c r="T17" s="1"/>
  <c r="E17"/>
  <c r="G6" i="7"/>
  <c r="Q6"/>
  <c r="K6"/>
  <c r="O8" i="1"/>
  <c r="O8" i="2" s="1"/>
  <c r="T11" i="4"/>
  <c r="U10"/>
  <c r="O6" i="2"/>
  <c r="O5"/>
  <c r="F57" i="13"/>
  <c r="G57" s="1"/>
  <c r="F56"/>
  <c r="G56" s="1"/>
  <c r="F55"/>
  <c r="G55" s="1"/>
  <c r="F54"/>
  <c r="G54" l="1"/>
  <c r="D22" i="9" l="1"/>
  <c r="O20" i="4"/>
  <c r="F42" i="1" l="1"/>
  <c r="F22" i="9"/>
  <c r="F41" i="1" s="1"/>
  <c r="K20" i="4"/>
  <c r="L20"/>
  <c r="N20"/>
  <c r="H42" i="1"/>
  <c r="J35" i="7"/>
  <c r="T7" i="4" l="1"/>
  <c r="U8"/>
  <c r="F35" i="7"/>
  <c r="U7" i="4" l="1"/>
  <c r="T8"/>
  <c r="O4" i="3"/>
  <c r="B3" i="1"/>
  <c r="B2"/>
  <c r="H40" i="3"/>
  <c r="J40"/>
  <c r="L40"/>
  <c r="N40"/>
  <c r="R35" i="7" l="1"/>
  <c r="O45" i="4" l="1"/>
  <c r="L45"/>
  <c r="F45" l="1"/>
  <c r="M20" l="1"/>
  <c r="P20"/>
  <c r="H20"/>
  <c r="F20"/>
  <c r="I20"/>
  <c r="E20"/>
  <c r="J20" l="1"/>
  <c r="P17"/>
  <c r="M17"/>
  <c r="U20"/>
  <c r="T20"/>
  <c r="G20"/>
  <c r="G17"/>
  <c r="J17"/>
  <c r="E12" l="1"/>
  <c r="L12"/>
  <c r="N12"/>
  <c r="E9"/>
  <c r="F12"/>
  <c r="G12" s="1"/>
  <c r="K12"/>
  <c r="O12"/>
  <c r="P12" s="1"/>
  <c r="I12"/>
  <c r="H9"/>
  <c r="N9"/>
  <c r="U9"/>
  <c r="H12"/>
  <c r="I9"/>
  <c r="O9"/>
  <c r="F9"/>
  <c r="I45"/>
  <c r="U45" s="1"/>
  <c r="M12" l="1"/>
  <c r="G9"/>
  <c r="J12"/>
  <c r="P9"/>
  <c r="J9"/>
  <c r="U12"/>
  <c r="T12"/>
  <c r="T9"/>
  <c r="O42" i="1"/>
  <c r="B9" i="6" l="1"/>
  <c r="R5" i="4"/>
  <c r="N4" i="7" s="1"/>
  <c r="Q5" i="4"/>
  <c r="M4" i="7" s="1"/>
  <c r="O5" i="4"/>
  <c r="N5"/>
  <c r="L5"/>
  <c r="K5"/>
  <c r="I5"/>
  <c r="H5"/>
  <c r="F5"/>
  <c r="U5" s="1"/>
  <c r="E5"/>
  <c r="T5" s="1"/>
  <c r="S4"/>
  <c r="R4"/>
  <c r="Q4"/>
  <c r="P4"/>
  <c r="O4"/>
  <c r="O6" s="1"/>
  <c r="O44" s="1"/>
  <c r="N4"/>
  <c r="N6" s="1"/>
  <c r="N44" s="1"/>
  <c r="L4"/>
  <c r="K4"/>
  <c r="I4"/>
  <c r="H4"/>
  <c r="F4"/>
  <c r="U4" s="1"/>
  <c r="E4"/>
  <c r="N40" i="1"/>
  <c r="J40"/>
  <c r="H40"/>
  <c r="T4" i="4" l="1"/>
  <c r="P44"/>
  <c r="N43" i="1"/>
  <c r="L43"/>
  <c r="J43"/>
  <c r="H43"/>
  <c r="H40" i="2"/>
  <c r="L40"/>
  <c r="J40"/>
  <c r="N40"/>
  <c r="I6" i="4"/>
  <c r="I44" s="1"/>
  <c r="L6"/>
  <c r="L44" s="1"/>
  <c r="O2" i="2"/>
  <c r="O3"/>
  <c r="H6" i="4"/>
  <c r="K6"/>
  <c r="K44" s="1"/>
  <c r="M44" l="1"/>
  <c r="J44"/>
  <c r="P6"/>
  <c r="N36" i="7"/>
  <c r="J45" i="1"/>
  <c r="F37" i="7" s="1"/>
  <c r="J46" i="1"/>
  <c r="F38" i="7" s="1"/>
  <c r="L45" i="1"/>
  <c r="O47" i="4" s="1"/>
  <c r="L46" i="1"/>
  <c r="J38" i="7" s="1"/>
  <c r="N45" i="1"/>
  <c r="R47" i="4" s="1"/>
  <c r="N46" i="1"/>
  <c r="N38" i="7" s="1"/>
  <c r="K46" i="4"/>
  <c r="R46"/>
  <c r="I46"/>
  <c r="H46"/>
  <c r="L46"/>
  <c r="H45" i="1"/>
  <c r="I47" i="4" s="1"/>
  <c r="H46" i="1"/>
  <c r="Q46" i="4"/>
  <c r="J6"/>
  <c r="M6"/>
  <c r="N46" l="1"/>
  <c r="J37" i="7"/>
  <c r="O46" i="4"/>
  <c r="N37" i="7"/>
  <c r="L47" i="4"/>
  <c r="G34" i="7"/>
  <c r="F36"/>
  <c r="J46" i="4"/>
  <c r="M46"/>
  <c r="P46" l="1"/>
  <c r="J36" i="7"/>
  <c r="R36" s="1"/>
  <c r="F40" i="3"/>
  <c r="S5" i="4" l="1"/>
  <c r="O4" i="7" s="1"/>
  <c r="F40" i="1"/>
  <c r="O40"/>
  <c r="O43" s="1"/>
  <c r="O45" s="1"/>
  <c r="G5" i="4"/>
  <c r="J5"/>
  <c r="J4"/>
  <c r="O40" i="3" l="1"/>
  <c r="M5" i="4"/>
  <c r="P5"/>
  <c r="M4"/>
  <c r="F43" i="1"/>
  <c r="O46"/>
  <c r="O44"/>
  <c r="F40" i="2"/>
  <c r="U6" i="4"/>
  <c r="U44" s="1"/>
  <c r="F6"/>
  <c r="F44" s="1"/>
  <c r="T6"/>
  <c r="T44" s="1"/>
  <c r="E6"/>
  <c r="E44" s="1"/>
  <c r="G4"/>
  <c r="G44" l="1"/>
  <c r="F45" i="1"/>
  <c r="F47" i="4" s="1"/>
  <c r="F46" i="1"/>
  <c r="E46" i="4"/>
  <c r="F46"/>
  <c r="T46"/>
  <c r="U46"/>
  <c r="G6"/>
  <c r="G46" l="1"/>
</calcChain>
</file>

<file path=xl/sharedStrings.xml><?xml version="1.0" encoding="utf-8"?>
<sst xmlns="http://schemas.openxmlformats.org/spreadsheetml/2006/main" count="646" uniqueCount="64">
  <si>
    <t>Longbeach</t>
  </si>
  <si>
    <t>Twin Harbors</t>
  </si>
  <si>
    <t>Copalis</t>
  </si>
  <si>
    <t>Mocrocks</t>
  </si>
  <si>
    <t>Kalaloch</t>
  </si>
  <si>
    <t>Day</t>
  </si>
  <si>
    <t>Tide</t>
  </si>
  <si>
    <t>Time</t>
  </si>
  <si>
    <t>Date</t>
  </si>
  <si>
    <t>BeachName</t>
  </si>
  <si>
    <t>LocationID</t>
  </si>
  <si>
    <t>CPUE</t>
  </si>
  <si>
    <t>CorrectionFactor</t>
  </si>
  <si>
    <t>Calc People</t>
  </si>
  <si>
    <t>EstCorEffort</t>
  </si>
  <si>
    <t>TotHarvest</t>
  </si>
  <si>
    <t>CLOSED</t>
  </si>
  <si>
    <t>21100</t>
  </si>
  <si>
    <t>21200</t>
  </si>
  <si>
    <t>22307</t>
  </si>
  <si>
    <t>22309</t>
  </si>
  <si>
    <t>LongBeach</t>
  </si>
  <si>
    <t>Daily Totals</t>
  </si>
  <si>
    <t>ESTIMATED WASTAGE RATE:</t>
  </si>
  <si>
    <t>ESTIMATED TOTAL WASTAGE:</t>
  </si>
  <si>
    <t>SEASON TOTAL INCLUDING WASTAGE:</t>
  </si>
  <si>
    <t>% of TAC Harvested:</t>
  </si>
  <si>
    <t>clams left in TAC :</t>
  </si>
  <si>
    <t>*- estimate based on comparison of other beaches.        + - no harvest due to very heavy surf and storm warnings.</t>
  </si>
  <si>
    <t>SEASON TOTALS :</t>
  </si>
  <si>
    <t>LONG BEACH</t>
  </si>
  <si>
    <t>TWIN HARBORS</t>
  </si>
  <si>
    <t>COPALIS</t>
  </si>
  <si>
    <t>MOCROCKS</t>
  </si>
  <si>
    <t>KALALOCH</t>
  </si>
  <si>
    <t>DAILY TOTALS</t>
  </si>
  <si>
    <t>DATE</t>
  </si>
  <si>
    <t>DAY</t>
  </si>
  <si>
    <t>TIDE</t>
  </si>
  <si>
    <t>TIME</t>
  </si>
  <si>
    <t>Effort</t>
  </si>
  <si>
    <t>Harvest</t>
  </si>
  <si>
    <t>Tide Series Totals</t>
  </si>
  <si>
    <t>SEASON TOTALS:</t>
  </si>
  <si>
    <t>COASTWIDE TAC</t>
  </si>
  <si>
    <t>2009 FALL - 2010 SPRING NON-TRIBAL TOTAL ALLOWABLE CATCH (TAC)</t>
  </si>
  <si>
    <t>Size (mm)</t>
  </si>
  <si>
    <t>WASTAGE</t>
  </si>
  <si>
    <t>SEASON SUBTOTALS:</t>
  </si>
  <si>
    <t>EventID</t>
  </si>
  <si>
    <t>Wastage:</t>
  </si>
  <si>
    <t>Clams left in TAC:</t>
  </si>
  <si>
    <t>Season total, including Wastage</t>
  </si>
  <si>
    <t>SumOfWastage</t>
  </si>
  <si>
    <t xml:space="preserve">FALL 2010 - SPRING 2011 SEASON TOTALS: </t>
  </si>
  <si>
    <t>Fall 2010 / Spring 2011 Harvest Rate (clams/day):</t>
  </si>
  <si>
    <t>SumOfTotHarvest</t>
  </si>
  <si>
    <t>2010 - 2011</t>
  </si>
  <si>
    <t>2011 - 2012</t>
  </si>
  <si>
    <t>2011-2012 State (non-Indian) Recreational Razor Clam Effort, Harvest and CPUE totals.</t>
  </si>
  <si>
    <r>
      <t xml:space="preserve">2011-2012 State (non-Indian) Recreational Razor Clam Effort, Harvest and CPUE totals - </t>
    </r>
    <r>
      <rPr>
        <sz val="10"/>
        <color rgb="FFFF0000"/>
        <rFont val="Calibri"/>
        <family val="2"/>
      </rPr>
      <t>PRELIMINARY</t>
    </r>
  </si>
  <si>
    <t>*</t>
  </si>
  <si>
    <t>Diggers-People</t>
  </si>
  <si>
    <t>CalcPeople</t>
  </si>
</sst>
</file>

<file path=xl/styles.xml><?xml version="1.0" encoding="utf-8"?>
<styleSheet xmlns="http://schemas.openxmlformats.org/spreadsheetml/2006/main">
  <numFmts count="8">
    <numFmt numFmtId="43" formatCode="_(* #,##0.00_);_(* \(#,##0.00\);_(* &quot;-&quot;??_);_(@_)"/>
    <numFmt numFmtId="164" formatCode="[$-409]mmmm\ d\,\ yyyy;@"/>
    <numFmt numFmtId="165" formatCode="ddd"/>
    <numFmt numFmtId="166" formatCode="_(* #,##0_);_(* \(#,##0\);_(* &quot;-&quot;??_);_(@_)"/>
    <numFmt numFmtId="167" formatCode="#,##0.0_);\(#,##0.0\)"/>
    <numFmt numFmtId="168" formatCode="0.0"/>
    <numFmt numFmtId="169" formatCode="0.0%"/>
    <numFmt numFmtId="170" formatCode="[$-409]d\-mmm\-yy;@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2"/>
      <name val="Times New Roman"/>
      <family val="1"/>
    </font>
    <font>
      <b/>
      <i/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charset val="238"/>
    </font>
    <font>
      <sz val="10"/>
      <color indexed="8"/>
      <name val="Arial"/>
    </font>
    <font>
      <sz val="10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0"/>
      </patternFill>
    </fill>
    <fill>
      <patternFill patternType="solid">
        <fgColor theme="1"/>
        <bgColor indexed="64"/>
      </patternFill>
    </fill>
  </fills>
  <borders count="2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0"/>
      </top>
      <bottom/>
      <diagonal/>
    </border>
    <border>
      <left style="thick">
        <color indexed="0"/>
      </left>
      <right/>
      <top style="thick">
        <color indexed="0"/>
      </top>
      <bottom/>
      <diagonal/>
    </border>
    <border>
      <left/>
      <right/>
      <top/>
      <bottom style="thick">
        <color indexed="0"/>
      </bottom>
      <diagonal/>
    </border>
    <border>
      <left style="thick">
        <color indexed="0"/>
      </left>
      <right/>
      <top/>
      <bottom style="thick">
        <color indexed="0"/>
      </bottom>
      <diagonal/>
    </border>
    <border>
      <left style="thick">
        <color indexed="0"/>
      </left>
      <right/>
      <top/>
      <bottom/>
      <diagonal/>
    </border>
    <border>
      <left/>
      <right style="thick">
        <color indexed="0"/>
      </right>
      <top/>
      <bottom/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ck">
        <color indexed="0"/>
      </left>
      <right/>
      <top style="thin">
        <color indexed="0"/>
      </top>
      <bottom style="thin">
        <color indexed="0"/>
      </bottom>
      <diagonal/>
    </border>
    <border>
      <left/>
      <right style="thick">
        <color indexed="0"/>
      </right>
      <top style="thick">
        <color indexed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ck">
        <color indexed="0"/>
      </bottom>
      <diagonal/>
    </border>
    <border>
      <left/>
      <right style="thick">
        <color indexed="0"/>
      </right>
      <top style="thin">
        <color indexed="0"/>
      </top>
      <bottom style="thick">
        <color indexed="0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0" fontId="3" fillId="0" borderId="0"/>
    <xf numFmtId="0" fontId="14" fillId="0" borderId="0"/>
    <xf numFmtId="0" fontId="14" fillId="0" borderId="0"/>
    <xf numFmtId="0" fontId="16" fillId="0" borderId="0"/>
    <xf numFmtId="0" fontId="18" fillId="0" borderId="0"/>
    <xf numFmtId="0" fontId="20" fillId="0" borderId="0"/>
    <xf numFmtId="0" fontId="3" fillId="0" borderId="0"/>
    <xf numFmtId="0" fontId="3" fillId="0" borderId="0"/>
    <xf numFmtId="0" fontId="3" fillId="0" borderId="0"/>
  </cellStyleXfs>
  <cellXfs count="17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/>
    <xf numFmtId="0" fontId="0" fillId="0" borderId="0" xfId="0" applyAlignment="1">
      <alignment vertical="center"/>
    </xf>
    <xf numFmtId="164" fontId="0" fillId="0" borderId="0" xfId="0" applyNumberFormat="1" applyBorder="1"/>
    <xf numFmtId="165" fontId="0" fillId="0" borderId="0" xfId="0" applyNumberFormat="1" applyBorder="1" applyAlignment="1">
      <alignment horizontal="center"/>
    </xf>
    <xf numFmtId="18" fontId="0" fillId="0" borderId="0" xfId="0" applyNumberFormat="1" applyBorder="1" applyAlignment="1">
      <alignment horizontal="center"/>
    </xf>
    <xf numFmtId="166" fontId="0" fillId="0" borderId="0" xfId="1" applyNumberFormat="1" applyFont="1" applyBorder="1" applyAlignment="1">
      <alignment horizontal="right"/>
    </xf>
    <xf numFmtId="37" fontId="0" fillId="0" borderId="0" xfId="1" applyNumberFormat="1" applyFont="1" applyBorder="1" applyAlignment="1">
      <alignment horizontal="center"/>
    </xf>
    <xf numFmtId="167" fontId="0" fillId="0" borderId="0" xfId="1" applyNumberFormat="1" applyFont="1" applyBorder="1" applyAlignment="1">
      <alignment horizontal="center"/>
    </xf>
    <xf numFmtId="3" fontId="0" fillId="0" borderId="0" xfId="0" applyNumberFormat="1"/>
    <xf numFmtId="0" fontId="4" fillId="2" borderId="2" xfId="2" applyFont="1" applyFill="1" applyBorder="1" applyAlignment="1">
      <alignment horizontal="center"/>
    </xf>
    <xf numFmtId="0" fontId="4" fillId="0" borderId="1" xfId="2" applyFont="1" applyFill="1" applyBorder="1" applyAlignment="1">
      <alignment wrapText="1"/>
    </xf>
    <xf numFmtId="0" fontId="2" fillId="0" borderId="0" xfId="0" applyFont="1" applyBorder="1" applyAlignment="1">
      <alignment horizontal="center"/>
    </xf>
    <xf numFmtId="18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2" fillId="0" borderId="0" xfId="0" applyFont="1"/>
    <xf numFmtId="37" fontId="0" fillId="0" borderId="0" xfId="0" applyNumberFormat="1"/>
    <xf numFmtId="167" fontId="0" fillId="0" borderId="0" xfId="0" applyNumberFormat="1"/>
    <xf numFmtId="0" fontId="5" fillId="0" borderId="0" xfId="0" applyFont="1" applyBorder="1" applyAlignment="1">
      <alignment horizontal="left"/>
    </xf>
    <xf numFmtId="0" fontId="5" fillId="0" borderId="0" xfId="0" applyFont="1" applyBorder="1" applyAlignment="1"/>
    <xf numFmtId="165" fontId="7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8" fontId="7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18" fontId="7" fillId="0" borderId="0" xfId="0" applyNumberFormat="1" applyFont="1" applyAlignment="1">
      <alignment horizontal="center"/>
    </xf>
    <xf numFmtId="0" fontId="6" fillId="0" borderId="3" xfId="0" applyFont="1" applyFill="1" applyBorder="1" applyAlignment="1"/>
    <xf numFmtId="0" fontId="6" fillId="0" borderId="5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3" fontId="6" fillId="0" borderId="5" xfId="0" applyNumberFormat="1" applyFont="1" applyFill="1" applyBorder="1" applyAlignment="1">
      <alignment horizontal="center"/>
    </xf>
    <xf numFmtId="16" fontId="6" fillId="0" borderId="0" xfId="0" applyNumberFormat="1" applyFont="1" applyBorder="1" applyAlignment="1">
      <alignment horizontal="center"/>
    </xf>
    <xf numFmtId="168" fontId="6" fillId="0" borderId="0" xfId="0" applyNumberFormat="1" applyFont="1" applyBorder="1" applyAlignment="1">
      <alignment horizontal="center"/>
    </xf>
    <xf numFmtId="18" fontId="6" fillId="0" borderId="0" xfId="0" applyNumberFormat="1" applyFont="1" applyBorder="1" applyAlignment="1">
      <alignment horizontal="center"/>
    </xf>
    <xf numFmtId="3" fontId="6" fillId="0" borderId="7" xfId="0" applyNumberFormat="1" applyFont="1" applyFill="1" applyBorder="1" applyAlignment="1">
      <alignment horizontal="center"/>
    </xf>
    <xf numFmtId="3" fontId="6" fillId="0" borderId="0" xfId="0" applyNumberFormat="1" applyFont="1" applyBorder="1" applyAlignment="1">
      <alignment horizontal="center"/>
    </xf>
    <xf numFmtId="168" fontId="6" fillId="0" borderId="8" xfId="0" applyNumberFormat="1" applyFont="1" applyFill="1" applyBorder="1" applyAlignment="1">
      <alignment horizontal="center"/>
    </xf>
    <xf numFmtId="168" fontId="10" fillId="0" borderId="9" xfId="0" applyNumberFormat="1" applyFont="1" applyFill="1" applyBorder="1" applyAlignment="1">
      <alignment horizontal="center"/>
    </xf>
    <xf numFmtId="3" fontId="10" fillId="0" borderId="10" xfId="0" applyNumberFormat="1" applyFont="1" applyFill="1" applyBorder="1" applyAlignment="1">
      <alignment horizontal="center"/>
    </xf>
    <xf numFmtId="3" fontId="10" fillId="0" borderId="9" xfId="0" applyNumberFormat="1" applyFont="1" applyFill="1" applyBorder="1" applyAlignment="1">
      <alignment horizontal="center"/>
    </xf>
    <xf numFmtId="168" fontId="6" fillId="0" borderId="0" xfId="0" applyNumberFormat="1" applyFont="1" applyFill="1" applyBorder="1" applyAlignment="1">
      <alignment horizontal="center"/>
    </xf>
    <xf numFmtId="16" fontId="6" fillId="0" borderId="0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16" fontId="10" fillId="0" borderId="3" xfId="0" applyNumberFormat="1" applyFont="1" applyFill="1" applyBorder="1" applyAlignment="1">
      <alignment horizontal="left"/>
    </xf>
    <xf numFmtId="3" fontId="10" fillId="0" borderId="3" xfId="0" applyNumberFormat="1" applyFont="1" applyFill="1" applyBorder="1" applyAlignment="1">
      <alignment horizontal="center"/>
    </xf>
    <xf numFmtId="168" fontId="10" fillId="0" borderId="3" xfId="0" applyNumberFormat="1" applyFont="1" applyFill="1" applyBorder="1" applyAlignment="1">
      <alignment horizontal="center"/>
    </xf>
    <xf numFmtId="169" fontId="10" fillId="0" borderId="0" xfId="0" applyNumberFormat="1" applyFont="1" applyAlignment="1">
      <alignment horizontal="center"/>
    </xf>
    <xf numFmtId="0" fontId="10" fillId="0" borderId="3" xfId="0" applyFont="1" applyFill="1" applyBorder="1" applyAlignment="1"/>
    <xf numFmtId="0" fontId="10" fillId="0" borderId="0" xfId="0" applyFont="1" applyAlignment="1"/>
    <xf numFmtId="167" fontId="0" fillId="0" borderId="0" xfId="0" applyNumberFormat="1" applyAlignment="1">
      <alignment horizontal="center"/>
    </xf>
    <xf numFmtId="0" fontId="0" fillId="0" borderId="12" xfId="0" applyBorder="1" applyAlignment="1"/>
    <xf numFmtId="3" fontId="0" fillId="0" borderId="13" xfId="0" applyNumberFormat="1" applyBorder="1" applyAlignment="1"/>
    <xf numFmtId="0" fontId="0" fillId="0" borderId="14" xfId="0" applyBorder="1" applyAlignment="1"/>
    <xf numFmtId="3" fontId="0" fillId="0" borderId="15" xfId="0" applyNumberFormat="1" applyBorder="1" applyAlignment="1"/>
    <xf numFmtId="0" fontId="0" fillId="0" borderId="16" xfId="0" applyBorder="1" applyAlignment="1"/>
    <xf numFmtId="3" fontId="0" fillId="0" borderId="17" xfId="0" applyNumberFormat="1" applyBorder="1" applyAlignment="1"/>
    <xf numFmtId="0" fontId="8" fillId="0" borderId="18" xfId="0" applyFont="1" applyBorder="1" applyAlignment="1"/>
    <xf numFmtId="3" fontId="0" fillId="0" borderId="19" xfId="0" applyNumberFormat="1" applyBorder="1" applyAlignment="1"/>
    <xf numFmtId="0" fontId="2" fillId="0" borderId="0" xfId="0" applyFont="1" applyBorder="1" applyAlignment="1">
      <alignment horizontal="center"/>
    </xf>
    <xf numFmtId="164" fontId="0" fillId="0" borderId="0" xfId="0" applyNumberFormat="1" applyFont="1" applyBorder="1"/>
    <xf numFmtId="18" fontId="0" fillId="0" borderId="0" xfId="0" applyNumberFormat="1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0" fillId="0" borderId="0" xfId="0" applyFont="1" applyBorder="1"/>
    <xf numFmtId="37" fontId="0" fillId="0" borderId="0" xfId="0" applyNumberFormat="1" applyFont="1"/>
    <xf numFmtId="0" fontId="0" fillId="0" borderId="0" xfId="0" applyFont="1" applyAlignment="1">
      <alignment horizontal="center"/>
    </xf>
    <xf numFmtId="18" fontId="0" fillId="0" borderId="0" xfId="0" applyNumberFormat="1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right"/>
    </xf>
    <xf numFmtId="168" fontId="0" fillId="0" borderId="0" xfId="0" applyNumberFormat="1" applyFont="1" applyAlignment="1">
      <alignment horizontal="center"/>
    </xf>
    <xf numFmtId="0" fontId="0" fillId="0" borderId="0" xfId="0" applyFont="1"/>
    <xf numFmtId="165" fontId="0" fillId="0" borderId="0" xfId="0" applyNumberFormat="1" applyFont="1" applyFill="1" applyBorder="1" applyAlignment="1">
      <alignment horizontal="center"/>
    </xf>
    <xf numFmtId="0" fontId="11" fillId="0" borderId="0" xfId="0" applyFont="1" applyBorder="1" applyAlignment="1">
      <alignment horizontal="left"/>
    </xf>
    <xf numFmtId="37" fontId="0" fillId="0" borderId="0" xfId="0" applyNumberFormat="1" applyFont="1" applyAlignment="1">
      <alignment horizontal="center"/>
    </xf>
    <xf numFmtId="0" fontId="11" fillId="0" borderId="0" xfId="0" applyFont="1" applyBorder="1" applyAlignment="1"/>
    <xf numFmtId="0" fontId="12" fillId="0" borderId="0" xfId="0" applyFont="1" applyBorder="1" applyAlignment="1">
      <alignment horizontal="left"/>
    </xf>
    <xf numFmtId="3" fontId="0" fillId="0" borderId="0" xfId="0" applyNumberFormat="1" applyFont="1" applyAlignment="1">
      <alignment horizontal="center"/>
    </xf>
    <xf numFmtId="169" fontId="0" fillId="0" borderId="0" xfId="0" applyNumberFormat="1" applyFont="1" applyAlignment="1">
      <alignment horizontal="center"/>
    </xf>
    <xf numFmtId="0" fontId="4" fillId="0" borderId="1" xfId="2" applyFont="1" applyFill="1" applyBorder="1" applyAlignment="1">
      <alignment horizontal="right" wrapText="1"/>
    </xf>
    <xf numFmtId="169" fontId="0" fillId="0" borderId="0" xfId="3" applyNumberFormat="1" applyFont="1" applyAlignment="1">
      <alignment horizontal="center"/>
    </xf>
    <xf numFmtId="16" fontId="10" fillId="0" borderId="0" xfId="0" applyNumberFormat="1" applyFont="1" applyFill="1" applyBorder="1" applyAlignment="1">
      <alignment horizontal="left"/>
    </xf>
    <xf numFmtId="0" fontId="10" fillId="0" borderId="0" xfId="0" applyFont="1" applyFill="1" applyBorder="1" applyAlignment="1"/>
    <xf numFmtId="3" fontId="10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3" fontId="10" fillId="0" borderId="21" xfId="0" applyNumberFormat="1" applyFont="1" applyFill="1" applyBorder="1" applyAlignment="1">
      <alignment horizontal="center"/>
    </xf>
    <xf numFmtId="168" fontId="10" fillId="0" borderId="21" xfId="0" applyNumberFormat="1" applyFont="1" applyFill="1" applyBorder="1" applyAlignment="1">
      <alignment horizontal="center"/>
    </xf>
    <xf numFmtId="3" fontId="10" fillId="0" borderId="22" xfId="0" applyNumberFormat="1" applyFont="1" applyFill="1" applyBorder="1" applyAlignment="1">
      <alignment horizontal="center"/>
    </xf>
    <xf numFmtId="169" fontId="10" fillId="0" borderId="24" xfId="0" applyNumberFormat="1" applyFont="1" applyBorder="1" applyAlignment="1">
      <alignment horizontal="center"/>
    </xf>
    <xf numFmtId="0" fontId="10" fillId="0" borderId="24" xfId="0" applyFont="1" applyBorder="1" applyAlignment="1"/>
    <xf numFmtId="0" fontId="10" fillId="0" borderId="25" xfId="0" applyFont="1" applyBorder="1" applyAlignment="1"/>
    <xf numFmtId="16" fontId="10" fillId="0" borderId="20" xfId="0" applyNumberFormat="1" applyFont="1" applyFill="1" applyBorder="1" applyAlignment="1">
      <alignment horizontal="left"/>
    </xf>
    <xf numFmtId="0" fontId="10" fillId="0" borderId="21" xfId="0" applyFont="1" applyFill="1" applyBorder="1" applyAlignment="1"/>
    <xf numFmtId="0" fontId="9" fillId="0" borderId="23" xfId="0" applyFont="1" applyBorder="1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 applyAlignment="1">
      <alignment horizontal="center"/>
    </xf>
    <xf numFmtId="37" fontId="0" fillId="0" borderId="0" xfId="1" applyNumberFormat="1" applyFont="1" applyAlignment="1">
      <alignment horizontal="center"/>
    </xf>
    <xf numFmtId="0" fontId="4" fillId="2" borderId="2" xfId="4" applyFont="1" applyFill="1" applyBorder="1" applyAlignment="1">
      <alignment horizontal="center"/>
    </xf>
    <xf numFmtId="166" fontId="0" fillId="0" borderId="0" xfId="1" applyNumberFormat="1" applyFont="1"/>
    <xf numFmtId="3" fontId="10" fillId="0" borderId="7" xfId="0" applyNumberFormat="1" applyFont="1" applyFill="1" applyBorder="1" applyAlignment="1">
      <alignment horizontal="center"/>
    </xf>
    <xf numFmtId="168" fontId="0" fillId="0" borderId="0" xfId="0" applyNumberFormat="1" applyBorder="1" applyAlignment="1">
      <alignment horizontal="center"/>
    </xf>
    <xf numFmtId="37" fontId="0" fillId="0" borderId="0" xfId="1" applyNumberFormat="1" applyFont="1" applyAlignment="1">
      <alignment horizontal="right"/>
    </xf>
    <xf numFmtId="0" fontId="13" fillId="0" borderId="1" xfId="5" applyFont="1" applyFill="1" applyBorder="1" applyAlignment="1">
      <alignment wrapText="1"/>
    </xf>
    <xf numFmtId="0" fontId="13" fillId="0" borderId="1" xfId="5" applyFont="1" applyFill="1" applyBorder="1" applyAlignment="1">
      <alignment horizontal="right" wrapText="1"/>
    </xf>
    <xf numFmtId="1" fontId="0" fillId="0" borderId="0" xfId="0" applyNumberFormat="1"/>
    <xf numFmtId="0" fontId="13" fillId="2" borderId="2" xfId="6" applyFont="1" applyFill="1" applyBorder="1" applyAlignment="1">
      <alignment horizontal="center"/>
    </xf>
    <xf numFmtId="0" fontId="13" fillId="0" borderId="1" xfId="6" applyFont="1" applyFill="1" applyBorder="1" applyAlignment="1">
      <alignment horizontal="right"/>
    </xf>
    <xf numFmtId="0" fontId="13" fillId="0" borderId="1" xfId="6" applyFont="1" applyFill="1" applyBorder="1" applyAlignment="1"/>
    <xf numFmtId="15" fontId="13" fillId="0" borderId="1" xfId="6" applyNumberFormat="1" applyFont="1" applyFill="1" applyBorder="1" applyAlignment="1">
      <alignment horizontal="right"/>
    </xf>
    <xf numFmtId="0" fontId="15" fillId="0" borderId="1" xfId="7" applyFont="1" applyFill="1" applyBorder="1" applyAlignment="1">
      <alignment wrapText="1"/>
    </xf>
    <xf numFmtId="0" fontId="15" fillId="0" borderId="1" xfId="7" applyFont="1" applyFill="1" applyBorder="1" applyAlignment="1">
      <alignment horizontal="right" wrapText="1"/>
    </xf>
    <xf numFmtId="1" fontId="15" fillId="0" borderId="1" xfId="7" applyNumberFormat="1" applyFont="1" applyFill="1" applyBorder="1" applyAlignment="1">
      <alignment horizontal="right" wrapText="1"/>
    </xf>
    <xf numFmtId="0" fontId="17" fillId="0" borderId="1" xfId="8" applyFont="1" applyFill="1" applyBorder="1" applyAlignment="1">
      <alignment wrapText="1"/>
    </xf>
    <xf numFmtId="0" fontId="17" fillId="0" borderId="1" xfId="8" applyFont="1" applyFill="1" applyBorder="1" applyAlignment="1">
      <alignment horizontal="right" wrapText="1"/>
    </xf>
    <xf numFmtId="14" fontId="0" fillId="0" borderId="0" xfId="0" applyNumberFormat="1"/>
    <xf numFmtId="166" fontId="13" fillId="0" borderId="1" xfId="1" applyNumberFormat="1" applyFont="1" applyFill="1" applyBorder="1" applyAlignment="1">
      <alignment horizontal="right"/>
    </xf>
    <xf numFmtId="37" fontId="4" fillId="0" borderId="1" xfId="1" applyNumberFormat="1" applyFont="1" applyFill="1" applyBorder="1" applyAlignment="1">
      <alignment horizontal="right"/>
    </xf>
    <xf numFmtId="0" fontId="10" fillId="0" borderId="0" xfId="0" applyFont="1" applyFill="1" applyBorder="1" applyAlignment="1">
      <alignment horizontal="center"/>
    </xf>
    <xf numFmtId="37" fontId="0" fillId="0" borderId="0" xfId="1" applyNumberFormat="1" applyFont="1" applyBorder="1" applyAlignment="1">
      <alignment horizontal="right"/>
    </xf>
    <xf numFmtId="170" fontId="4" fillId="2" borderId="2" xfId="4" applyNumberFormat="1" applyFont="1" applyFill="1" applyBorder="1" applyAlignment="1">
      <alignment horizontal="center"/>
    </xf>
    <xf numFmtId="170" fontId="0" fillId="0" borderId="0" xfId="0" applyNumberFormat="1" applyAlignment="1"/>
    <xf numFmtId="170" fontId="0" fillId="0" borderId="0" xfId="0" applyNumberFormat="1"/>
    <xf numFmtId="10" fontId="0" fillId="0" borderId="0" xfId="0" applyNumberFormat="1"/>
    <xf numFmtId="0" fontId="4" fillId="0" borderId="1" xfId="10" applyFont="1" applyFill="1" applyBorder="1" applyAlignment="1">
      <alignment horizontal="right"/>
    </xf>
    <xf numFmtId="0" fontId="4" fillId="0" borderId="1" xfId="10" applyFont="1" applyFill="1" applyBorder="1" applyAlignment="1"/>
    <xf numFmtId="15" fontId="4" fillId="0" borderId="1" xfId="10" applyNumberFormat="1" applyFont="1" applyFill="1" applyBorder="1" applyAlignment="1">
      <alignment horizontal="right"/>
    </xf>
    <xf numFmtId="0" fontId="4" fillId="0" borderId="1" xfId="4" applyFont="1" applyFill="1" applyBorder="1" applyAlignment="1">
      <alignment horizontal="right"/>
    </xf>
    <xf numFmtId="0" fontId="4" fillId="0" borderId="1" xfId="4" applyFont="1" applyFill="1" applyBorder="1" applyAlignment="1"/>
    <xf numFmtId="15" fontId="4" fillId="0" borderId="1" xfId="4" applyNumberFormat="1" applyFont="1" applyFill="1" applyBorder="1" applyAlignment="1">
      <alignment horizontal="right"/>
    </xf>
    <xf numFmtId="3" fontId="0" fillId="0" borderId="0" xfId="0" applyNumberFormat="1" applyAlignment="1"/>
    <xf numFmtId="0" fontId="19" fillId="0" borderId="1" xfId="9" applyFont="1" applyFill="1" applyBorder="1" applyAlignment="1">
      <alignment horizontal="right"/>
    </xf>
    <xf numFmtId="0" fontId="19" fillId="0" borderId="1" xfId="9" applyFont="1" applyFill="1" applyBorder="1" applyAlignment="1"/>
    <xf numFmtId="15" fontId="19" fillId="0" borderId="1" xfId="9" applyNumberFormat="1" applyFont="1" applyFill="1" applyBorder="1" applyAlignment="1">
      <alignment horizontal="right"/>
    </xf>
    <xf numFmtId="166" fontId="0" fillId="0" borderId="0" xfId="1" applyNumberFormat="1" applyFont="1" applyAlignment="1"/>
    <xf numFmtId="0" fontId="2" fillId="0" borderId="0" xfId="0" applyFont="1" applyBorder="1" applyAlignment="1">
      <alignment horizontal="center"/>
    </xf>
    <xf numFmtId="16" fontId="10" fillId="0" borderId="9" xfId="0" applyNumberFormat="1" applyFont="1" applyFill="1" applyBorder="1" applyAlignment="1">
      <alignment horizontal="center"/>
    </xf>
    <xf numFmtId="16" fontId="10" fillId="0" borderId="26" xfId="0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left"/>
    </xf>
    <xf numFmtId="3" fontId="6" fillId="0" borderId="4" xfId="0" applyNumberFormat="1" applyFont="1" applyFill="1" applyBorder="1" applyAlignment="1">
      <alignment horizontal="center"/>
    </xf>
    <xf numFmtId="3" fontId="6" fillId="0" borderId="3" xfId="0" applyNumberFormat="1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16" fontId="6" fillId="0" borderId="4" xfId="0" applyNumberFormat="1" applyFont="1" applyFill="1" applyBorder="1" applyAlignment="1">
      <alignment horizontal="center"/>
    </xf>
    <xf numFmtId="16" fontId="6" fillId="0" borderId="3" xfId="0" applyNumberFormat="1" applyFont="1" applyFill="1" applyBorder="1" applyAlignment="1">
      <alignment horizontal="center"/>
    </xf>
    <xf numFmtId="16" fontId="6" fillId="0" borderId="11" xfId="0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16" fontId="10" fillId="0" borderId="0" xfId="0" applyNumberFormat="1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16" fontId="10" fillId="0" borderId="3" xfId="0" applyNumberFormat="1" applyFont="1" applyFill="1" applyBorder="1" applyAlignment="1">
      <alignment horizontal="center"/>
    </xf>
    <xf numFmtId="16" fontId="10" fillId="0" borderId="27" xfId="0" applyNumberFormat="1" applyFont="1" applyFill="1" applyBorder="1" applyAlignment="1">
      <alignment horizontal="center"/>
    </xf>
    <xf numFmtId="16" fontId="10" fillId="0" borderId="28" xfId="0" applyNumberFormat="1" applyFont="1" applyFill="1" applyBorder="1" applyAlignment="1">
      <alignment horizontal="center"/>
    </xf>
    <xf numFmtId="0" fontId="4" fillId="0" borderId="1" xfId="2" applyFont="1" applyFill="1" applyBorder="1" applyAlignment="1"/>
    <xf numFmtId="15" fontId="4" fillId="0" borderId="1" xfId="2" applyNumberFormat="1" applyFont="1" applyFill="1" applyBorder="1" applyAlignment="1">
      <alignment horizontal="right"/>
    </xf>
    <xf numFmtId="4" fontId="4" fillId="0" borderId="1" xfId="2" applyNumberFormat="1" applyFont="1" applyFill="1" applyBorder="1" applyAlignment="1">
      <alignment horizontal="right"/>
    </xf>
    <xf numFmtId="0" fontId="4" fillId="0" borderId="1" xfId="2" applyFont="1" applyFill="1" applyBorder="1" applyAlignment="1">
      <alignment horizontal="right"/>
    </xf>
    <xf numFmtId="0" fontId="4" fillId="3" borderId="2" xfId="2" applyFont="1" applyFill="1" applyBorder="1" applyAlignment="1">
      <alignment horizontal="center"/>
    </xf>
    <xf numFmtId="166" fontId="4" fillId="4" borderId="1" xfId="1" applyNumberFormat="1" applyFont="1" applyFill="1" applyBorder="1" applyAlignment="1">
      <alignment horizontal="right"/>
    </xf>
    <xf numFmtId="0" fontId="0" fillId="4" borderId="0" xfId="0" applyFill="1" applyAlignment="1"/>
    <xf numFmtId="0" fontId="4" fillId="5" borderId="2" xfId="2" applyFont="1" applyFill="1" applyBorder="1" applyAlignment="1">
      <alignment horizontal="center"/>
    </xf>
    <xf numFmtId="166" fontId="4" fillId="6" borderId="1" xfId="1" applyNumberFormat="1" applyFont="1" applyFill="1" applyBorder="1" applyAlignment="1">
      <alignment horizontal="right"/>
    </xf>
    <xf numFmtId="0" fontId="0" fillId="6" borderId="0" xfId="0" applyFill="1" applyAlignment="1"/>
    <xf numFmtId="0" fontId="4" fillId="7" borderId="2" xfId="2" applyFont="1" applyFill="1" applyBorder="1" applyAlignment="1">
      <alignment horizontal="center"/>
    </xf>
    <xf numFmtId="166" fontId="4" fillId="8" borderId="1" xfId="1" applyNumberFormat="1" applyFont="1" applyFill="1" applyBorder="1" applyAlignment="1">
      <alignment horizontal="right"/>
    </xf>
    <xf numFmtId="0" fontId="0" fillId="8" borderId="0" xfId="0" applyFill="1" applyAlignment="1"/>
    <xf numFmtId="37" fontId="0" fillId="0" borderId="0" xfId="0" applyNumberFormat="1" applyAlignment="1">
      <alignment horizontal="center"/>
    </xf>
    <xf numFmtId="0" fontId="4" fillId="0" borderId="1" xfId="11" applyFont="1" applyFill="1" applyBorder="1" applyAlignment="1">
      <alignment wrapText="1"/>
    </xf>
    <xf numFmtId="15" fontId="4" fillId="0" borderId="1" xfId="11" applyNumberFormat="1" applyFont="1" applyFill="1" applyBorder="1" applyAlignment="1">
      <alignment horizontal="right" wrapText="1"/>
    </xf>
    <xf numFmtId="4" fontId="4" fillId="0" borderId="1" xfId="11" applyNumberFormat="1" applyFont="1" applyFill="1" applyBorder="1" applyAlignment="1">
      <alignment horizontal="right" wrapText="1"/>
    </xf>
    <xf numFmtId="0" fontId="4" fillId="0" borderId="1" xfId="11" applyFont="1" applyFill="1" applyBorder="1" applyAlignment="1">
      <alignment horizontal="right" wrapText="1"/>
    </xf>
    <xf numFmtId="4" fontId="4" fillId="0" borderId="1" xfId="10" applyNumberFormat="1" applyFont="1" applyFill="1" applyBorder="1" applyAlignment="1">
      <alignment horizontal="right"/>
    </xf>
    <xf numFmtId="0" fontId="4" fillId="2" borderId="2" xfId="12" applyFont="1" applyFill="1" applyBorder="1" applyAlignment="1">
      <alignment horizontal="center"/>
    </xf>
    <xf numFmtId="0" fontId="4" fillId="0" borderId="1" xfId="12" applyFont="1" applyFill="1" applyBorder="1" applyAlignment="1">
      <alignment horizontal="right"/>
    </xf>
    <xf numFmtId="0" fontId="4" fillId="0" borderId="1" xfId="12" applyFont="1" applyFill="1" applyBorder="1" applyAlignment="1"/>
    <xf numFmtId="15" fontId="4" fillId="0" borderId="1" xfId="12" applyNumberFormat="1" applyFont="1" applyFill="1" applyBorder="1" applyAlignment="1">
      <alignment horizontal="right"/>
    </xf>
    <xf numFmtId="4" fontId="4" fillId="0" borderId="1" xfId="12" applyNumberFormat="1" applyFont="1" applyFill="1" applyBorder="1" applyAlignment="1">
      <alignment horizontal="right"/>
    </xf>
    <xf numFmtId="4" fontId="4" fillId="0" borderId="1" xfId="4" applyNumberFormat="1" applyFont="1" applyFill="1" applyBorder="1" applyAlignment="1">
      <alignment horizontal="right"/>
    </xf>
  </cellXfs>
  <cellStyles count="13">
    <cellStyle name="Comma" xfId="1" builtinId="3"/>
    <cellStyle name="Normal" xfId="0" builtinId="0"/>
    <cellStyle name="Normal_Cop Wastage" xfId="11"/>
    <cellStyle name="Normal_Copy Sheet" xfId="2"/>
    <cellStyle name="Normal_Copy Sheet_1" xfId="5"/>
    <cellStyle name="Normal_Copy Sheet_2" xfId="7"/>
    <cellStyle name="Normal_Copy Sheet_3" xfId="8"/>
    <cellStyle name="Normal_LB Wastage_1" xfId="6"/>
    <cellStyle name="Normal_LB Wastage_3" xfId="9"/>
    <cellStyle name="Normal_LB Wastage_4" xfId="12"/>
    <cellStyle name="Normal_Moc Wastage" xfId="10"/>
    <cellStyle name="Normal_TH Wastage" xfId="4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9"/>
  <sheetViews>
    <sheetView tabSelected="1" zoomScaleNormal="100" workbookViewId="0">
      <selection activeCell="F48" sqref="F48"/>
    </sheetView>
  </sheetViews>
  <sheetFormatPr defaultRowHeight="15"/>
  <cols>
    <col min="1" max="1" width="17.7109375" customWidth="1"/>
    <col min="2" max="2" width="5.42578125" customWidth="1"/>
    <col min="3" max="3" width="7.7109375" style="1" customWidth="1"/>
    <col min="4" max="4" width="9.140625" style="1"/>
    <col min="5" max="5" width="3.7109375" style="1" customWidth="1"/>
    <col min="6" max="6" width="12.7109375" customWidth="1"/>
    <col min="7" max="7" width="3.7109375" customWidth="1"/>
    <col min="8" max="8" width="12.7109375" customWidth="1"/>
    <col min="9" max="9" width="3.7109375" customWidth="1"/>
    <col min="10" max="10" width="12.7109375" customWidth="1"/>
    <col min="11" max="11" width="3.7109375" customWidth="1"/>
    <col min="12" max="12" width="12.7109375" customWidth="1"/>
    <col min="13" max="13" width="3.7109375" customWidth="1"/>
    <col min="14" max="14" width="12.7109375" customWidth="1"/>
    <col min="15" max="15" width="11.140625" bestFit="1" customWidth="1"/>
  </cols>
  <sheetData>
    <row r="1" spans="1:15">
      <c r="A1" s="58" t="s">
        <v>8</v>
      </c>
      <c r="B1" s="58" t="s">
        <v>5</v>
      </c>
      <c r="C1" s="58" t="s">
        <v>6</v>
      </c>
      <c r="D1" s="58" t="s">
        <v>7</v>
      </c>
      <c r="E1" s="132" t="s">
        <v>0</v>
      </c>
      <c r="F1" s="132"/>
      <c r="G1" s="132" t="s">
        <v>1</v>
      </c>
      <c r="H1" s="132"/>
      <c r="I1" s="132" t="s">
        <v>2</v>
      </c>
      <c r="J1" s="132"/>
      <c r="K1" s="132" t="s">
        <v>3</v>
      </c>
      <c r="L1" s="132"/>
      <c r="M1" s="132" t="s">
        <v>4</v>
      </c>
      <c r="N1" s="132"/>
      <c r="O1" s="17" t="s">
        <v>22</v>
      </c>
    </row>
    <row r="2" spans="1:15">
      <c r="A2" s="5">
        <v>40844</v>
      </c>
      <c r="B2" s="6">
        <f>+A2</f>
        <v>40844</v>
      </c>
      <c r="C2" s="98">
        <v>-1.8</v>
      </c>
      <c r="D2" s="7">
        <v>0.85277777777777775</v>
      </c>
      <c r="E2" s="60"/>
      <c r="F2" s="9">
        <v>27700.083002686122</v>
      </c>
      <c r="G2" s="61"/>
      <c r="H2" s="9">
        <v>12413.980174311415</v>
      </c>
      <c r="I2" s="61"/>
      <c r="J2" s="9">
        <v>40131.276856910212</v>
      </c>
      <c r="K2" s="8"/>
      <c r="L2" s="9">
        <v>15167.372361843132</v>
      </c>
      <c r="M2" s="62"/>
      <c r="N2" s="9" t="s">
        <v>16</v>
      </c>
      <c r="O2" s="63">
        <f>+F2+H2+J2+L2</f>
        <v>95412.712395750888</v>
      </c>
    </row>
    <row r="3" spans="1:15">
      <c r="A3" s="5">
        <v>40845</v>
      </c>
      <c r="B3" s="6">
        <f t="shared" ref="B3:B33" si="0">+A3</f>
        <v>40845</v>
      </c>
      <c r="C3" s="16">
        <v>-1.5</v>
      </c>
      <c r="D3" s="15">
        <v>0.88680555555555562</v>
      </c>
      <c r="E3" s="66"/>
      <c r="F3" s="9">
        <v>41286.083801791741</v>
      </c>
      <c r="G3" s="9"/>
      <c r="H3" s="9">
        <v>22522.504559756384</v>
      </c>
      <c r="I3" s="9"/>
      <c r="J3" s="9">
        <v>39546.970299335619</v>
      </c>
      <c r="K3" s="9"/>
      <c r="L3" s="9">
        <v>17987.682022811277</v>
      </c>
      <c r="M3" s="9"/>
      <c r="N3" s="9" t="s">
        <v>16</v>
      </c>
      <c r="O3" s="63">
        <f>+F3+H3+J3+L3</f>
        <v>121343.24068369502</v>
      </c>
    </row>
    <row r="4" spans="1:15">
      <c r="A4" s="5"/>
      <c r="B4" s="6"/>
      <c r="C4" s="16"/>
      <c r="D4" s="15"/>
      <c r="E4" s="2"/>
      <c r="F4" s="94"/>
      <c r="G4" s="9"/>
      <c r="H4" s="94"/>
      <c r="I4" s="9"/>
      <c r="J4" s="9"/>
      <c r="K4" s="9"/>
      <c r="L4" s="9"/>
      <c r="M4" s="9"/>
      <c r="N4" s="9"/>
      <c r="O4" s="63"/>
    </row>
    <row r="5" spans="1:15">
      <c r="A5" s="5">
        <v>40858</v>
      </c>
      <c r="B5" s="6">
        <f t="shared" si="0"/>
        <v>40858</v>
      </c>
      <c r="C5" s="16">
        <v>-0.4</v>
      </c>
      <c r="D5" s="15">
        <v>0.78333333333333333</v>
      </c>
      <c r="E5" s="66"/>
      <c r="F5" s="9">
        <v>20473.723155706317</v>
      </c>
      <c r="G5" s="9"/>
      <c r="H5" s="9">
        <v>13437.603690278665</v>
      </c>
      <c r="I5" s="9"/>
      <c r="J5" s="9" t="s">
        <v>16</v>
      </c>
      <c r="K5" s="9"/>
      <c r="L5" s="9">
        <v>24195.0292638834</v>
      </c>
      <c r="M5" s="9"/>
      <c r="N5" s="9" t="s">
        <v>16</v>
      </c>
      <c r="O5" s="63">
        <f>+F5+H5+L5</f>
        <v>58106.356109868379</v>
      </c>
    </row>
    <row r="6" spans="1:15">
      <c r="A6" s="5">
        <v>40859</v>
      </c>
      <c r="B6" s="6">
        <f t="shared" si="0"/>
        <v>40859</v>
      </c>
      <c r="C6" s="16">
        <v>-0.4</v>
      </c>
      <c r="D6" s="15">
        <v>0.80763888888888891</v>
      </c>
      <c r="E6" s="66"/>
      <c r="F6" s="9">
        <v>5500.22007423171</v>
      </c>
      <c r="G6" s="9"/>
      <c r="H6" s="9">
        <v>7090.5919545675561</v>
      </c>
      <c r="I6" s="9"/>
      <c r="J6" s="9" t="s">
        <v>16</v>
      </c>
      <c r="K6" s="9"/>
      <c r="L6" s="9">
        <v>17280.655517944593</v>
      </c>
      <c r="M6" s="9"/>
      <c r="N6" s="9" t="s">
        <v>16</v>
      </c>
      <c r="O6" s="63">
        <f>+F6+H6+L6</f>
        <v>29871.467546743857</v>
      </c>
    </row>
    <row r="7" spans="1:15">
      <c r="A7" s="5"/>
      <c r="B7" s="6"/>
      <c r="C7" s="16"/>
      <c r="D7" s="15"/>
      <c r="E7" s="66"/>
      <c r="F7" s="9"/>
      <c r="G7" s="9"/>
      <c r="H7" s="9"/>
      <c r="I7" s="9"/>
      <c r="J7" s="9"/>
      <c r="K7" s="9"/>
      <c r="L7" s="9"/>
      <c r="M7" s="9"/>
      <c r="N7" s="9"/>
      <c r="O7" s="63"/>
    </row>
    <row r="8" spans="1:15">
      <c r="A8" s="5">
        <v>40872</v>
      </c>
      <c r="B8" s="6">
        <f t="shared" si="0"/>
        <v>40872</v>
      </c>
      <c r="C8" s="16">
        <v>-1.9</v>
      </c>
      <c r="D8" s="15">
        <v>0.76874999999999993</v>
      </c>
      <c r="E8" s="66"/>
      <c r="F8" s="9">
        <v>64433.645423714348</v>
      </c>
      <c r="G8" s="116" t="s">
        <v>61</v>
      </c>
      <c r="H8" s="9">
        <f>+(F8+L8)*(H5+H6+H9)/(F5+F6+L5+L6+F9+L9)</f>
        <v>21535.655622161466</v>
      </c>
      <c r="I8" s="9"/>
      <c r="J8" s="9">
        <v>50966.213228826942</v>
      </c>
      <c r="K8" s="9"/>
      <c r="L8" s="9">
        <v>27088.79461763092</v>
      </c>
      <c r="M8" s="9"/>
      <c r="N8" s="9" t="s">
        <v>16</v>
      </c>
      <c r="O8" s="63">
        <f>+F8+H8+J8+L8</f>
        <v>164024.30889233368</v>
      </c>
    </row>
    <row r="9" spans="1:15">
      <c r="A9" s="5">
        <v>40873</v>
      </c>
      <c r="B9" s="6">
        <f t="shared" si="0"/>
        <v>40873</v>
      </c>
      <c r="C9" s="16">
        <v>-1.8</v>
      </c>
      <c r="D9" s="15">
        <v>0.80138888888888893</v>
      </c>
      <c r="E9" s="66"/>
      <c r="F9" s="9">
        <v>42119.098115794608</v>
      </c>
      <c r="G9" s="9"/>
      <c r="H9" s="9">
        <v>12697.487248348203</v>
      </c>
      <c r="I9" s="9"/>
      <c r="J9" s="9" t="s">
        <v>16</v>
      </c>
      <c r="K9" s="9"/>
      <c r="L9" s="9">
        <v>31634.106225306154</v>
      </c>
      <c r="M9" s="9"/>
      <c r="N9" s="9" t="s">
        <v>16</v>
      </c>
      <c r="O9" s="63">
        <f>+F9+H9+L9</f>
        <v>86450.691589448965</v>
      </c>
    </row>
    <row r="10" spans="1:15">
      <c r="A10" s="59"/>
      <c r="B10" s="6"/>
      <c r="C10" s="64"/>
      <c r="D10" s="65"/>
      <c r="E10" s="64"/>
      <c r="F10" s="9"/>
      <c r="G10" s="69"/>
      <c r="H10" s="9"/>
      <c r="I10" s="69"/>
      <c r="J10" s="9"/>
      <c r="K10" s="69"/>
      <c r="L10" s="9"/>
      <c r="M10" s="69"/>
      <c r="N10" s="9"/>
      <c r="O10" s="63"/>
    </row>
    <row r="11" spans="1:15">
      <c r="A11" s="59">
        <v>40887</v>
      </c>
      <c r="B11" s="6">
        <f t="shared" si="0"/>
        <v>40887</v>
      </c>
      <c r="C11" s="64">
        <v>-0.5</v>
      </c>
      <c r="D11" s="65">
        <v>0.77083333333333337</v>
      </c>
      <c r="E11" s="64"/>
      <c r="F11" s="9">
        <v>16446.747396914099</v>
      </c>
      <c r="G11" s="116" t="s">
        <v>61</v>
      </c>
      <c r="H11" s="9">
        <f>(H2+H3)*(F11+J11+L11)/(F2+F3+J2+J3+L2+L3)</f>
        <v>12244.922882528857</v>
      </c>
      <c r="I11" s="67"/>
      <c r="J11" s="9">
        <v>26597.011602877094</v>
      </c>
      <c r="K11" s="67"/>
      <c r="L11" s="9">
        <v>20682.32521785031</v>
      </c>
      <c r="M11" s="67"/>
      <c r="N11" s="9" t="s">
        <v>16</v>
      </c>
      <c r="O11" s="63">
        <f>+F11+H11+J11+L11</f>
        <v>75971.007100170362</v>
      </c>
    </row>
    <row r="12" spans="1:15">
      <c r="A12" s="59"/>
      <c r="B12" s="6"/>
      <c r="C12" s="64"/>
      <c r="D12" s="65"/>
      <c r="E12" s="2"/>
      <c r="F12" s="9"/>
      <c r="G12" s="2"/>
      <c r="H12" s="9"/>
      <c r="I12" s="67"/>
      <c r="J12" s="9"/>
      <c r="K12" s="67"/>
      <c r="L12" s="9"/>
      <c r="M12" s="67"/>
      <c r="N12" s="9"/>
      <c r="O12" s="63"/>
    </row>
    <row r="13" spans="1:15">
      <c r="A13" s="59">
        <v>40899</v>
      </c>
      <c r="B13" s="6">
        <f t="shared" si="0"/>
        <v>40899</v>
      </c>
      <c r="C13" s="64">
        <v>-0.9</v>
      </c>
      <c r="D13" s="15">
        <v>0.69444444444444453</v>
      </c>
      <c r="E13" s="64"/>
      <c r="F13" s="9">
        <v>28321.854922208357</v>
      </c>
      <c r="G13" s="67"/>
      <c r="H13" s="9">
        <v>19334.070989720509</v>
      </c>
      <c r="I13" s="67"/>
      <c r="J13" s="9">
        <v>28993.196681172696</v>
      </c>
      <c r="K13" s="67"/>
      <c r="L13" s="9">
        <v>20682.32521785031</v>
      </c>
      <c r="M13" s="67"/>
      <c r="N13" s="9" t="s">
        <v>16</v>
      </c>
      <c r="O13" s="63">
        <f t="shared" ref="O13:O17" si="1">+F13+H13+J13+L13</f>
        <v>97331.447810951853</v>
      </c>
    </row>
    <row r="14" spans="1:15">
      <c r="A14" s="59">
        <v>40900</v>
      </c>
      <c r="B14" s="6">
        <f t="shared" si="0"/>
        <v>40900</v>
      </c>
      <c r="C14" s="64">
        <v>-1.4</v>
      </c>
      <c r="D14" s="65">
        <v>0.7284722222222223</v>
      </c>
      <c r="E14" s="116" t="s">
        <v>61</v>
      </c>
      <c r="F14" s="9">
        <f>+F13*(H14+J14+L14)/(H13+J13+L13)</f>
        <v>19103.920654702677</v>
      </c>
      <c r="G14" s="67"/>
      <c r="H14" s="9">
        <v>12800.975957497689</v>
      </c>
      <c r="I14" s="67"/>
      <c r="J14" s="9">
        <v>13065.690427815454</v>
      </c>
      <c r="K14" s="67"/>
      <c r="L14" s="9">
        <v>20682.32521785031</v>
      </c>
      <c r="M14" s="67"/>
      <c r="N14" s="9" t="s">
        <v>16</v>
      </c>
      <c r="O14" s="63">
        <f t="shared" si="1"/>
        <v>65652.912257866119</v>
      </c>
    </row>
    <row r="15" spans="1:15">
      <c r="A15" s="59"/>
      <c r="B15" s="6"/>
      <c r="C15" s="64"/>
      <c r="D15" s="65"/>
      <c r="E15" s="64"/>
      <c r="F15" s="9"/>
      <c r="G15" s="67"/>
      <c r="H15" s="9"/>
      <c r="I15" s="67"/>
      <c r="J15" s="9"/>
      <c r="K15" s="67"/>
      <c r="L15" s="9"/>
      <c r="M15" s="67"/>
      <c r="N15" s="9"/>
      <c r="O15" s="63"/>
    </row>
    <row r="16" spans="1:15">
      <c r="A16" s="59">
        <v>40928</v>
      </c>
      <c r="B16" s="6">
        <f t="shared" si="0"/>
        <v>40928</v>
      </c>
      <c r="C16" s="64">
        <v>-0.5</v>
      </c>
      <c r="D16" s="65">
        <v>0.68611111111111101</v>
      </c>
      <c r="E16" s="64"/>
      <c r="F16" s="9">
        <v>7917.093099509103</v>
      </c>
      <c r="G16" s="67"/>
      <c r="H16" s="9">
        <v>815.86929006368052</v>
      </c>
      <c r="I16" s="67"/>
      <c r="J16" s="9">
        <v>3740.7512502651307</v>
      </c>
      <c r="K16" s="67"/>
      <c r="L16" s="9">
        <v>1861.5008054258572</v>
      </c>
      <c r="M16" s="67"/>
      <c r="N16" s="9" t="s">
        <v>16</v>
      </c>
      <c r="O16" s="63">
        <f t="shared" si="1"/>
        <v>14335.214445263773</v>
      </c>
    </row>
    <row r="17" spans="1:15">
      <c r="A17" s="59">
        <v>40929</v>
      </c>
      <c r="B17" s="6">
        <f t="shared" si="0"/>
        <v>40929</v>
      </c>
      <c r="C17" s="64">
        <v>-0.8</v>
      </c>
      <c r="D17" s="65">
        <v>0.72013888888888899</v>
      </c>
      <c r="E17" s="116" t="s">
        <v>61</v>
      </c>
      <c r="F17" s="9">
        <f>+J17*(F16+F13)/(J16+J13)</f>
        <v>22932.08396919422</v>
      </c>
      <c r="G17" s="116" t="s">
        <v>61</v>
      </c>
      <c r="H17" s="9">
        <f>+J17*(H16+H13)/(J16+J13)</f>
        <v>12750.925390917591</v>
      </c>
      <c r="I17" s="67"/>
      <c r="J17" s="9">
        <v>20714.11240075473</v>
      </c>
      <c r="K17" s="116" t="s">
        <v>61</v>
      </c>
      <c r="L17" s="9">
        <f>+J17*(J16+J13)/(L16+L13)</f>
        <v>30077.178384546369</v>
      </c>
      <c r="M17" s="67"/>
      <c r="N17" s="9" t="s">
        <v>16</v>
      </c>
      <c r="O17" s="63">
        <f t="shared" si="1"/>
        <v>86474.300145412912</v>
      </c>
    </row>
    <row r="18" spans="1:15">
      <c r="A18" s="59"/>
      <c r="B18" s="6"/>
      <c r="C18" s="64"/>
      <c r="D18" s="65"/>
      <c r="E18" s="64"/>
      <c r="F18" s="9"/>
      <c r="G18" s="67"/>
      <c r="H18" s="9"/>
      <c r="I18" s="67"/>
      <c r="J18" s="9"/>
      <c r="K18" s="67"/>
      <c r="L18" s="9"/>
      <c r="M18" s="67"/>
      <c r="N18" s="9"/>
      <c r="O18" s="63"/>
    </row>
    <row r="19" spans="1:15">
      <c r="A19" s="59">
        <v>40957</v>
      </c>
      <c r="B19" s="6">
        <f t="shared" si="0"/>
        <v>40957</v>
      </c>
      <c r="C19" s="64">
        <v>0</v>
      </c>
      <c r="D19" s="65">
        <v>0.67569444444444438</v>
      </c>
      <c r="E19" s="64"/>
      <c r="F19" s="9">
        <v>57532.08405630324</v>
      </c>
      <c r="G19" s="67"/>
      <c r="H19" s="9">
        <v>11362.667102072854</v>
      </c>
      <c r="I19" s="67"/>
      <c r="J19" s="9" t="s">
        <v>16</v>
      </c>
      <c r="K19" s="67"/>
      <c r="L19" s="9">
        <v>51488.694868599167</v>
      </c>
      <c r="M19" s="67"/>
      <c r="N19" s="9" t="s">
        <v>16</v>
      </c>
      <c r="O19" s="18">
        <f>+F19+H19+L19</f>
        <v>120383.44602697526</v>
      </c>
    </row>
    <row r="20" spans="1:15">
      <c r="A20" s="59">
        <v>40958</v>
      </c>
      <c r="B20" s="6">
        <f t="shared" si="0"/>
        <v>40958</v>
      </c>
      <c r="C20" s="68">
        <v>-0.2</v>
      </c>
      <c r="D20" s="65">
        <v>0.70833333333333337</v>
      </c>
      <c r="E20" s="64"/>
      <c r="F20" s="9">
        <v>149317.31396193223</v>
      </c>
      <c r="G20" s="99"/>
      <c r="H20" s="9">
        <v>44173.653527256029</v>
      </c>
      <c r="I20" s="67"/>
      <c r="J20" s="9" t="s">
        <v>16</v>
      </c>
      <c r="K20" s="67"/>
      <c r="L20" s="9">
        <v>109323.25914910439</v>
      </c>
      <c r="M20" s="67"/>
      <c r="N20" s="9" t="s">
        <v>16</v>
      </c>
      <c r="O20" s="18">
        <f>+F20+H20+L20</f>
        <v>302814.22663829266</v>
      </c>
    </row>
    <row r="21" spans="1:15">
      <c r="A21" s="59"/>
      <c r="B21" s="6"/>
      <c r="C21" s="64"/>
      <c r="D21" s="65"/>
      <c r="E21" s="64"/>
      <c r="F21" s="9"/>
      <c r="G21" s="99"/>
      <c r="H21" s="9"/>
      <c r="I21" s="67"/>
      <c r="J21" s="93"/>
      <c r="K21" s="67"/>
      <c r="L21" s="93"/>
      <c r="M21" s="67"/>
      <c r="N21" s="9"/>
      <c r="O21" s="63"/>
    </row>
    <row r="22" spans="1:15">
      <c r="A22" s="59">
        <v>40978</v>
      </c>
      <c r="B22" s="6">
        <f t="shared" si="0"/>
        <v>40978</v>
      </c>
      <c r="C22" s="64">
        <v>-0.3</v>
      </c>
      <c r="D22" s="15">
        <v>0.31875000000000003</v>
      </c>
      <c r="E22" s="64"/>
      <c r="F22" s="9">
        <v>61966.710939163619</v>
      </c>
      <c r="G22" s="67"/>
      <c r="H22" s="9">
        <v>22781.123915158358</v>
      </c>
      <c r="I22" s="67"/>
      <c r="J22" s="9">
        <v>48063.471055514339</v>
      </c>
      <c r="K22" s="67"/>
      <c r="L22" s="9">
        <v>24036.931695359781</v>
      </c>
      <c r="M22" s="67"/>
      <c r="N22" s="9" t="s">
        <v>16</v>
      </c>
      <c r="O22" s="18">
        <f>+F22+H22+J22+L22</f>
        <v>156848.2376051961</v>
      </c>
    </row>
    <row r="23" spans="1:15">
      <c r="A23" s="59">
        <v>40979</v>
      </c>
      <c r="B23" s="6">
        <f t="shared" si="0"/>
        <v>40979</v>
      </c>
      <c r="C23" s="64">
        <v>-0.4</v>
      </c>
      <c r="D23" s="65">
        <v>0.39444444444444443</v>
      </c>
      <c r="E23" s="64"/>
      <c r="F23" s="9">
        <v>72871.274301967293</v>
      </c>
      <c r="G23" s="67"/>
      <c r="H23" s="9">
        <v>25083.937330828725</v>
      </c>
      <c r="I23" s="67"/>
      <c r="J23" s="9">
        <v>47474.802429687967</v>
      </c>
      <c r="K23" s="67"/>
      <c r="L23" s="9">
        <v>24319.311472337075</v>
      </c>
      <c r="M23" s="67"/>
      <c r="N23" s="9" t="s">
        <v>16</v>
      </c>
      <c r="O23" s="18">
        <f>+F23+H23+J23+L23</f>
        <v>169749.32553482105</v>
      </c>
    </row>
    <row r="24" spans="1:15">
      <c r="A24" s="59"/>
      <c r="B24" s="6"/>
      <c r="D24" s="65"/>
      <c r="E24" s="64"/>
      <c r="F24" s="9"/>
      <c r="G24" s="67"/>
      <c r="H24" s="9"/>
      <c r="I24" s="67"/>
      <c r="J24" s="9"/>
      <c r="K24" s="67"/>
      <c r="L24" s="9"/>
      <c r="M24" s="67"/>
      <c r="N24" s="9"/>
      <c r="O24" s="18"/>
    </row>
    <row r="25" spans="1:15">
      <c r="A25" s="59">
        <v>40992</v>
      </c>
      <c r="B25" s="6">
        <f t="shared" si="0"/>
        <v>40992</v>
      </c>
      <c r="C25" s="64">
        <v>0.3</v>
      </c>
      <c r="D25" s="65">
        <v>0.35069444444444442</v>
      </c>
      <c r="E25" s="64"/>
      <c r="F25" s="9">
        <v>81215.589858687177</v>
      </c>
      <c r="G25" s="67"/>
      <c r="H25" s="9">
        <v>26562.928779883259</v>
      </c>
      <c r="I25" s="67"/>
      <c r="J25" s="9">
        <v>59039.347953794429</v>
      </c>
      <c r="K25" s="67"/>
      <c r="L25" s="9">
        <v>42122.044233851091</v>
      </c>
      <c r="M25" s="67"/>
      <c r="N25" s="9" t="s">
        <v>16</v>
      </c>
      <c r="O25" s="18">
        <f>+F25+H25+J25+L25</f>
        <v>208939.91082621599</v>
      </c>
    </row>
    <row r="26" spans="1:15">
      <c r="A26" s="59">
        <v>40993</v>
      </c>
      <c r="B26" s="6">
        <f t="shared" si="0"/>
        <v>40993</v>
      </c>
      <c r="C26" s="64">
        <v>0.3</v>
      </c>
      <c r="D26" s="65">
        <v>0.3743055555555555</v>
      </c>
      <c r="E26" s="64"/>
      <c r="F26" s="9">
        <v>49011.00683463661</v>
      </c>
      <c r="G26" s="67"/>
      <c r="H26" s="9">
        <v>32734.849770999383</v>
      </c>
      <c r="I26" s="67"/>
      <c r="J26" s="9" t="s">
        <v>16</v>
      </c>
      <c r="K26" s="67"/>
      <c r="L26" s="9">
        <v>54519.961237297677</v>
      </c>
      <c r="M26" s="67"/>
      <c r="N26" s="9" t="s">
        <v>16</v>
      </c>
      <c r="O26" s="18">
        <f>+F26+H26+L26</f>
        <v>136265.81784293367</v>
      </c>
    </row>
    <row r="27" spans="1:15">
      <c r="A27" s="59"/>
      <c r="B27" s="70"/>
      <c r="C27" s="64"/>
      <c r="D27" s="65"/>
      <c r="F27" s="9"/>
      <c r="G27" s="67"/>
      <c r="H27" s="9"/>
      <c r="I27" s="67"/>
      <c r="J27" s="9"/>
      <c r="K27" s="67"/>
      <c r="L27" s="9"/>
      <c r="M27" s="67"/>
      <c r="N27" s="9"/>
      <c r="O27" s="18"/>
    </row>
    <row r="28" spans="1:15">
      <c r="A28" s="59">
        <v>41006</v>
      </c>
      <c r="B28" s="6">
        <f t="shared" si="0"/>
        <v>41006</v>
      </c>
      <c r="C28" s="68">
        <v>-1.2</v>
      </c>
      <c r="D28" s="65">
        <v>0.31666666666666665</v>
      </c>
      <c r="E28" s="64"/>
      <c r="F28" s="9">
        <v>210312.06567751843</v>
      </c>
      <c r="G28" s="2"/>
      <c r="H28" s="9">
        <v>86779.693383897044</v>
      </c>
      <c r="J28" s="9">
        <v>60601.874416660714</v>
      </c>
      <c r="K28" s="67"/>
      <c r="L28" s="9">
        <v>67693.736871986388</v>
      </c>
      <c r="M28" s="67"/>
      <c r="N28" s="9">
        <v>3872.2596723024644</v>
      </c>
      <c r="O28" s="18">
        <f>+F28+H28+J28+L28+N28</f>
        <v>429259.63002236496</v>
      </c>
    </row>
    <row r="29" spans="1:15">
      <c r="A29" s="59">
        <v>41007</v>
      </c>
      <c r="B29" s="6">
        <f t="shared" si="0"/>
        <v>41007</v>
      </c>
      <c r="C29" s="64">
        <v>-1.5</v>
      </c>
      <c r="D29" s="65">
        <v>0.34930555555555554</v>
      </c>
      <c r="E29" s="64"/>
      <c r="F29" s="9">
        <v>137285.41373571014</v>
      </c>
      <c r="G29" s="99"/>
      <c r="H29" s="9">
        <v>35799.299461393246</v>
      </c>
      <c r="J29" s="9" t="s">
        <v>16</v>
      </c>
      <c r="K29" s="67"/>
      <c r="L29" s="9">
        <v>114608.07373150863</v>
      </c>
      <c r="M29" s="67"/>
      <c r="N29" s="9">
        <v>312.04958394872102</v>
      </c>
      <c r="O29" s="63">
        <f>+F29+H29+L29+N29</f>
        <v>288004.83651256078</v>
      </c>
    </row>
    <row r="30" spans="1:15">
      <c r="A30" s="59">
        <v>41008</v>
      </c>
      <c r="B30" s="6">
        <f t="shared" si="0"/>
        <v>41008</v>
      </c>
      <c r="C30" s="64">
        <v>-1.5</v>
      </c>
      <c r="D30" s="65">
        <v>0.38263888888888892</v>
      </c>
      <c r="E30" s="64"/>
      <c r="F30" s="9">
        <v>78053.18151142796</v>
      </c>
      <c r="G30" s="99"/>
      <c r="H30" s="9">
        <v>35461.190154613854</v>
      </c>
      <c r="J30" s="9" t="s">
        <v>16</v>
      </c>
      <c r="K30" s="67"/>
      <c r="L30" s="9" t="s">
        <v>16</v>
      </c>
      <c r="M30" s="67"/>
      <c r="N30" s="9">
        <v>698.15318833734227</v>
      </c>
      <c r="O30" s="63">
        <f>+F30+H30+N30</f>
        <v>114212.52485437915</v>
      </c>
    </row>
    <row r="31" spans="1:15">
      <c r="A31" s="59"/>
      <c r="B31" s="70"/>
      <c r="C31" s="68"/>
      <c r="D31" s="65"/>
      <c r="E31" s="64"/>
      <c r="F31" s="9"/>
      <c r="G31" s="67"/>
      <c r="H31" s="9"/>
      <c r="I31" s="67"/>
      <c r="J31" s="9"/>
      <c r="K31" s="67"/>
      <c r="L31" s="9"/>
      <c r="M31" s="67"/>
      <c r="N31" s="9"/>
      <c r="O31" s="18"/>
    </row>
    <row r="32" spans="1:15">
      <c r="A32" s="59">
        <v>41020</v>
      </c>
      <c r="B32" s="6">
        <f t="shared" si="0"/>
        <v>41020</v>
      </c>
      <c r="C32" s="68">
        <v>-0.3</v>
      </c>
      <c r="D32" s="65">
        <v>0.31111111111111112</v>
      </c>
      <c r="E32" s="64"/>
      <c r="F32" s="9">
        <v>90164.58454135996</v>
      </c>
      <c r="G32" s="2"/>
      <c r="H32" s="9">
        <v>52318.409855461825</v>
      </c>
      <c r="I32" s="67"/>
      <c r="J32" s="9" t="s">
        <v>16</v>
      </c>
      <c r="K32" s="67"/>
      <c r="L32" s="9" t="s">
        <v>16</v>
      </c>
      <c r="M32" s="67"/>
      <c r="N32" s="9" t="s">
        <v>16</v>
      </c>
      <c r="O32" s="63">
        <f>+F32+H32</f>
        <v>142482.99439682177</v>
      </c>
    </row>
    <row r="33" spans="1:15">
      <c r="A33" s="59">
        <v>41021</v>
      </c>
      <c r="B33" s="6">
        <f t="shared" si="0"/>
        <v>41021</v>
      </c>
      <c r="C33" s="64">
        <v>-0.4</v>
      </c>
      <c r="D33" s="65">
        <v>0.33402777777777781</v>
      </c>
      <c r="E33" s="64"/>
      <c r="F33" s="9">
        <v>88566.236960358045</v>
      </c>
      <c r="G33" s="69"/>
      <c r="H33" s="9">
        <v>40570.487265792173</v>
      </c>
      <c r="I33" s="69"/>
      <c r="J33" s="9" t="s">
        <v>16</v>
      </c>
      <c r="K33" s="69"/>
      <c r="L33" s="9" t="s">
        <v>16</v>
      </c>
      <c r="M33" s="69"/>
      <c r="N33" s="9" t="s">
        <v>16</v>
      </c>
      <c r="O33" s="63">
        <f>+F33+H33</f>
        <v>129136.72422615023</v>
      </c>
    </row>
    <row r="34" spans="1:15">
      <c r="A34" s="59">
        <v>41022</v>
      </c>
      <c r="B34" s="6">
        <v>41021</v>
      </c>
      <c r="C34" s="64">
        <v>-0.4</v>
      </c>
      <c r="D34" s="65">
        <v>0.3576388888888889</v>
      </c>
      <c r="E34" s="64"/>
      <c r="F34" s="9">
        <v>49092.555528231249</v>
      </c>
      <c r="G34" s="116" t="s">
        <v>61</v>
      </c>
      <c r="H34" s="9">
        <f>+F34*(H32+H33)/(F32+F33)</f>
        <v>25514.084820773278</v>
      </c>
      <c r="I34" s="69"/>
      <c r="J34" s="9">
        <v>24277.997274013189</v>
      </c>
      <c r="K34" s="67"/>
      <c r="L34" s="9">
        <v>18846.816793778791</v>
      </c>
      <c r="M34" s="67"/>
      <c r="N34" s="9" t="s">
        <v>16</v>
      </c>
      <c r="O34" s="63">
        <f>+F34+H34+J34+L34</f>
        <v>117731.45441679652</v>
      </c>
    </row>
    <row r="35" spans="1:15">
      <c r="A35" s="59"/>
      <c r="B35" s="6"/>
      <c r="C35" s="64"/>
      <c r="D35" s="65"/>
      <c r="E35" s="64"/>
      <c r="F35" s="9"/>
      <c r="G35" s="2"/>
      <c r="H35" s="9"/>
      <c r="I35" s="69"/>
      <c r="J35" s="9"/>
      <c r="K35" s="69"/>
      <c r="L35" s="9"/>
      <c r="M35" s="69"/>
      <c r="N35" s="9"/>
      <c r="O35" s="18"/>
    </row>
    <row r="36" spans="1:15">
      <c r="A36" s="59">
        <v>41034</v>
      </c>
      <c r="B36" s="6">
        <v>41034</v>
      </c>
      <c r="C36" s="64">
        <v>-1.5</v>
      </c>
      <c r="D36" s="65">
        <v>0.27152777777777776</v>
      </c>
      <c r="E36" s="64"/>
      <c r="F36" s="9" t="s">
        <v>16</v>
      </c>
      <c r="G36" s="2"/>
      <c r="H36" s="9">
        <v>58539.354239579829</v>
      </c>
      <c r="I36" s="69"/>
      <c r="J36" s="9" t="s">
        <v>16</v>
      </c>
      <c r="K36" s="69"/>
      <c r="L36" s="9" t="s">
        <v>16</v>
      </c>
      <c r="M36" s="69"/>
      <c r="N36" s="9" t="s">
        <v>16</v>
      </c>
      <c r="O36" s="18">
        <f>+H36</f>
        <v>58539.354239579829</v>
      </c>
    </row>
    <row r="37" spans="1:15">
      <c r="A37" s="59">
        <v>41035</v>
      </c>
      <c r="B37" s="6">
        <v>41035</v>
      </c>
      <c r="C37" s="64">
        <v>-2.1</v>
      </c>
      <c r="D37" s="65">
        <v>0.30486111111111108</v>
      </c>
      <c r="E37" s="64"/>
      <c r="F37" s="9" t="s">
        <v>16</v>
      </c>
      <c r="G37" s="2"/>
      <c r="H37" s="9">
        <v>53922.802143714493</v>
      </c>
      <c r="I37" s="69"/>
      <c r="J37" s="9" t="s">
        <v>16</v>
      </c>
      <c r="K37" s="69"/>
      <c r="L37" s="9" t="s">
        <v>16</v>
      </c>
      <c r="M37" s="69"/>
      <c r="N37" s="9" t="s">
        <v>16</v>
      </c>
      <c r="O37" s="18">
        <f t="shared" ref="O37:O38" si="2">+H37</f>
        <v>53922.802143714493</v>
      </c>
    </row>
    <row r="38" spans="1:15">
      <c r="A38" s="59">
        <v>41036</v>
      </c>
      <c r="B38" s="70">
        <v>41036</v>
      </c>
      <c r="C38" s="64">
        <v>-2.2999999999999998</v>
      </c>
      <c r="D38" s="65">
        <v>0.33819444444444446</v>
      </c>
      <c r="E38" s="2"/>
      <c r="F38" s="9" t="s">
        <v>16</v>
      </c>
      <c r="G38" s="69"/>
      <c r="H38" s="9">
        <v>35842.120908227873</v>
      </c>
      <c r="I38" s="69"/>
      <c r="J38" s="9" t="s">
        <v>16</v>
      </c>
      <c r="K38" s="69"/>
      <c r="L38" s="9" t="s">
        <v>16</v>
      </c>
      <c r="M38" s="69"/>
      <c r="N38" s="9" t="s">
        <v>16</v>
      </c>
      <c r="O38" s="18">
        <f t="shared" si="2"/>
        <v>35842.120908227873</v>
      </c>
    </row>
    <row r="39" spans="1:15">
      <c r="A39" s="69"/>
      <c r="B39" s="69"/>
      <c r="C39" s="64"/>
      <c r="D39" s="64"/>
      <c r="E39" s="64"/>
      <c r="F39" s="69"/>
      <c r="G39" s="69"/>
      <c r="H39" s="69"/>
      <c r="I39" s="69"/>
      <c r="J39" s="69"/>
      <c r="K39" s="69"/>
      <c r="L39" s="69"/>
      <c r="M39" s="69"/>
      <c r="N39" s="69"/>
      <c r="O39" s="69"/>
    </row>
    <row r="40" spans="1:15">
      <c r="A40" s="71" t="s">
        <v>54</v>
      </c>
      <c r="B40" s="69"/>
      <c r="C40" s="64"/>
      <c r="D40" s="64"/>
      <c r="E40" s="64"/>
      <c r="F40" s="72">
        <f>SUM(F2:F39)</f>
        <v>1421622.571523749</v>
      </c>
      <c r="G40" s="64"/>
      <c r="H40" s="72">
        <f>SUM(H2:H39)</f>
        <v>735091.19041980442</v>
      </c>
      <c r="I40" s="64"/>
      <c r="J40" s="72">
        <f>SUM(J2:J39)</f>
        <v>463212.71587762848</v>
      </c>
      <c r="K40" s="64"/>
      <c r="L40" s="72">
        <f>SUM(L2:L39)</f>
        <v>734298.12490676541</v>
      </c>
      <c r="M40" s="64"/>
      <c r="N40" s="72">
        <f>SUM(N3:N39)</f>
        <v>4882.4624445885274</v>
      </c>
      <c r="O40" s="72">
        <f>SUM(O2:O39)</f>
        <v>3359107.0651725358</v>
      </c>
    </row>
    <row r="41" spans="1:15">
      <c r="A41" s="73" t="s">
        <v>23</v>
      </c>
      <c r="B41" s="69"/>
      <c r="C41" s="64"/>
      <c r="D41" s="64"/>
      <c r="E41" s="64"/>
      <c r="F41" s="78">
        <f>+'LB Wastage'!F22</f>
        <v>1.598729051307447E-2</v>
      </c>
      <c r="G41" s="69"/>
      <c r="H41" s="78">
        <f>+'TH Wastage'!F22</f>
        <v>4.9181856645455185E-2</v>
      </c>
      <c r="I41" s="69"/>
      <c r="J41" s="78">
        <f>+'Cop Wastage'!F22</f>
        <v>1.918016481062302E-2</v>
      </c>
      <c r="K41" s="69"/>
      <c r="L41" s="78">
        <f>+'Moc Wastage'!I22</f>
        <v>2.5771595383300074E-2</v>
      </c>
      <c r="M41" s="69"/>
      <c r="N41" s="69"/>
      <c r="O41" s="69"/>
    </row>
    <row r="42" spans="1:15">
      <c r="A42" s="71" t="s">
        <v>24</v>
      </c>
      <c r="B42" s="69"/>
      <c r="C42" s="64"/>
      <c r="D42" s="64"/>
      <c r="E42" s="64"/>
      <c r="F42" s="75">
        <f>+'LB Wastage'!D22</f>
        <v>4415</v>
      </c>
      <c r="G42" s="69"/>
      <c r="H42" s="94">
        <f>+'TH Wastage'!D22</f>
        <v>17521</v>
      </c>
      <c r="I42" s="69"/>
      <c r="J42" s="94">
        <f>+'Cop Wastage'!D22</f>
        <v>3076</v>
      </c>
      <c r="K42" s="69"/>
      <c r="L42" s="94">
        <f>+'Moc Wastage'!G22</f>
        <v>8518</v>
      </c>
      <c r="M42" s="69"/>
      <c r="N42" s="69"/>
      <c r="O42" s="72">
        <f>F42+H42+J42+L42+N42</f>
        <v>33530</v>
      </c>
    </row>
    <row r="43" spans="1:15">
      <c r="A43" s="73" t="s">
        <v>25</v>
      </c>
      <c r="B43" s="69"/>
      <c r="C43" s="64"/>
      <c r="D43" s="64"/>
      <c r="E43" s="64"/>
      <c r="F43" s="72">
        <f>F40+F42</f>
        <v>1426037.571523749</v>
      </c>
      <c r="G43" s="69"/>
      <c r="H43" s="72">
        <f>H40+H42</f>
        <v>752612.19041980442</v>
      </c>
      <c r="I43" s="69"/>
      <c r="J43" s="72">
        <f>J40+J42</f>
        <v>466288.71587762848</v>
      </c>
      <c r="K43" s="69"/>
      <c r="L43" s="72">
        <f>L40+L42</f>
        <v>742816.12490676541</v>
      </c>
      <c r="M43" s="69"/>
      <c r="N43" s="72">
        <f>N40+N42</f>
        <v>4882.4624445885274</v>
      </c>
      <c r="O43" s="72">
        <f>O40+O42</f>
        <v>3392637.0651725358</v>
      </c>
    </row>
    <row r="44" spans="1:15">
      <c r="A44" s="74" t="s">
        <v>55</v>
      </c>
      <c r="B44" s="69"/>
      <c r="C44" s="64"/>
      <c r="D44" s="64"/>
      <c r="E44" s="64"/>
      <c r="F44" s="75">
        <f>AVERAGE(F2:F38)</f>
        <v>61809.677022771699</v>
      </c>
      <c r="G44" s="69"/>
      <c r="H44" s="75">
        <f>AVERAGE(H2:H38)</f>
        <v>28272.738093069402</v>
      </c>
      <c r="I44" s="69"/>
      <c r="J44" s="75">
        <f>AVERAGE(J2:J38)</f>
        <v>35631.747375202191</v>
      </c>
      <c r="K44" s="69"/>
      <c r="L44" s="75">
        <f>AVERAGE(L2:L38)</f>
        <v>36714.906245338272</v>
      </c>
      <c r="M44" s="69"/>
      <c r="N44" s="75">
        <f>AVERAGE(N2:N38)</f>
        <v>1627.4874815295091</v>
      </c>
      <c r="O44" s="75">
        <f>F44+H44+J44+L44+N44</f>
        <v>164056.55621791107</v>
      </c>
    </row>
    <row r="45" spans="1:15">
      <c r="A45" s="74" t="s">
        <v>26</v>
      </c>
      <c r="B45" s="69"/>
      <c r="C45" s="64"/>
      <c r="D45" s="64"/>
      <c r="E45" s="64"/>
      <c r="F45" s="76">
        <f>F43/TAC!B4</f>
        <v>1.3027440344719123</v>
      </c>
      <c r="G45" s="69"/>
      <c r="H45" s="76">
        <f>H43/TAC!B5</f>
        <v>1.2211499597558704</v>
      </c>
      <c r="I45" s="69"/>
      <c r="J45" s="76">
        <f>J43/TAC!B6</f>
        <v>1.2555804224228306</v>
      </c>
      <c r="K45" s="69"/>
      <c r="L45" s="76">
        <f>L43/TAC!B7</f>
        <v>1.2261117252687954</v>
      </c>
      <c r="M45" s="69"/>
      <c r="N45" s="76">
        <f>N43/TAC!B8</f>
        <v>3.3774524089842634E-2</v>
      </c>
      <c r="O45" s="76">
        <f>O43/TAC!B9</f>
        <v>1.1976605886933818</v>
      </c>
    </row>
    <row r="46" spans="1:15">
      <c r="A46" s="74" t="s">
        <v>27</v>
      </c>
      <c r="B46" s="69"/>
      <c r="C46" s="64"/>
      <c r="D46" s="64"/>
      <c r="E46" s="64"/>
      <c r="F46" s="75">
        <f>TAC!B4-F43</f>
        <v>-331396.15786967264</v>
      </c>
      <c r="G46" s="69"/>
      <c r="H46" s="75">
        <f>TAC!B5-Harvest!H43</f>
        <v>-136297.88405053178</v>
      </c>
      <c r="I46" s="69"/>
      <c r="J46" s="75">
        <f>TAC!B6-J43</f>
        <v>-94915.677918136818</v>
      </c>
      <c r="K46" s="69"/>
      <c r="L46" s="75">
        <f>TAC!B7-L43</f>
        <v>-136985.42481789633</v>
      </c>
      <c r="M46" s="69"/>
      <c r="N46" s="75">
        <f>TAC!B8-N43</f>
        <v>139678.04806329694</v>
      </c>
      <c r="O46" s="75">
        <f>TAC!B9-Harvest!O40</f>
        <v>-526387.09659294086</v>
      </c>
    </row>
    <row r="47" spans="1:15">
      <c r="A47" s="71" t="s">
        <v>28</v>
      </c>
      <c r="B47" s="69"/>
      <c r="C47" s="64"/>
      <c r="D47" s="64"/>
      <c r="E47" s="64"/>
      <c r="F47" s="69"/>
      <c r="G47" s="69"/>
      <c r="H47" s="69"/>
      <c r="I47" s="69"/>
      <c r="J47" s="69"/>
      <c r="K47" s="69"/>
      <c r="L47" s="69"/>
      <c r="M47" s="69"/>
      <c r="N47" s="69"/>
      <c r="O47" s="69"/>
    </row>
    <row r="48" spans="1:15">
      <c r="J48" s="11"/>
    </row>
    <row r="49" spans="6:14">
      <c r="F49" s="18"/>
      <c r="H49" s="18"/>
      <c r="J49" s="18"/>
      <c r="L49" s="18"/>
      <c r="N49" s="18"/>
    </row>
  </sheetData>
  <mergeCells count="5">
    <mergeCell ref="E1:F1"/>
    <mergeCell ref="G1:H1"/>
    <mergeCell ref="I1:J1"/>
    <mergeCell ref="K1:L1"/>
    <mergeCell ref="M1:N1"/>
  </mergeCells>
  <pageMargins left="0.28999999999999998" right="0.36" top="0.66" bottom="0.5" header="0.2" footer="0.25"/>
  <pageSetup scale="75" orientation="landscape" r:id="rId1"/>
  <headerFooter>
    <oddHeader>&amp;L&amp;12 2010 Fall / 2011 Spring Razor clam Harvest Totals
(Number of Clams) &amp;C&amp;12Non-Indian Fishery&amp;R&amp;12&amp;KFF0000PRELIMINARY ESTIMATE</oddHeader>
    <oddFooter>&amp;LPage 1 of 3</oddFooter>
  </headerFooter>
  <ignoredErrors>
    <ignoredError sqref="O4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1"/>
  <sheetViews>
    <sheetView workbookViewId="0">
      <selection activeCell="H17" sqref="H17"/>
    </sheetView>
  </sheetViews>
  <sheetFormatPr defaultRowHeight="15"/>
  <cols>
    <col min="1" max="1" width="17.7109375" customWidth="1"/>
    <col min="2" max="2" width="5.42578125" customWidth="1"/>
    <col min="3" max="3" width="7.7109375" style="1" customWidth="1"/>
    <col min="4" max="4" width="9.140625" style="1"/>
    <col min="5" max="5" width="3.7109375" style="1" customWidth="1"/>
    <col min="6" max="6" width="12.7109375" customWidth="1"/>
    <col min="7" max="7" width="3.7109375" customWidth="1"/>
    <col min="8" max="8" width="12.7109375" customWidth="1"/>
    <col min="9" max="9" width="3.7109375" customWidth="1"/>
    <col min="10" max="10" width="12.7109375" customWidth="1"/>
    <col min="11" max="11" width="3.7109375" customWidth="1"/>
    <col min="12" max="12" width="12.7109375" customWidth="1"/>
    <col min="13" max="13" width="3.7109375" customWidth="1"/>
    <col min="14" max="14" width="12.7109375" customWidth="1"/>
    <col min="15" max="15" width="13.42578125" customWidth="1"/>
  </cols>
  <sheetData>
    <row r="1" spans="1:17">
      <c r="A1" s="14" t="s">
        <v>8</v>
      </c>
      <c r="B1" s="14" t="s">
        <v>5</v>
      </c>
      <c r="C1" s="14" t="s">
        <v>6</v>
      </c>
      <c r="D1" s="14" t="s">
        <v>7</v>
      </c>
      <c r="E1" s="132" t="s">
        <v>0</v>
      </c>
      <c r="F1" s="132"/>
      <c r="G1" s="132" t="s">
        <v>1</v>
      </c>
      <c r="H1" s="132"/>
      <c r="I1" s="132" t="s">
        <v>2</v>
      </c>
      <c r="J1" s="132"/>
      <c r="K1" s="132" t="s">
        <v>3</v>
      </c>
      <c r="L1" s="132"/>
      <c r="M1" s="132" t="s">
        <v>4</v>
      </c>
      <c r="N1" s="132"/>
      <c r="O1" s="17" t="s">
        <v>22</v>
      </c>
    </row>
    <row r="2" spans="1:17">
      <c r="A2" s="5">
        <v>40844</v>
      </c>
      <c r="B2" s="6">
        <f>+A2</f>
        <v>40844</v>
      </c>
      <c r="C2" s="98">
        <v>-1.8</v>
      </c>
      <c r="D2" s="7">
        <v>0.85277777777777775</v>
      </c>
      <c r="E2" s="60"/>
      <c r="F2" s="9">
        <v>2083.0462418019965</v>
      </c>
      <c r="G2" s="61"/>
      <c r="H2" s="9">
        <v>1039.5943988339611</v>
      </c>
      <c r="I2" s="61"/>
      <c r="J2" s="9">
        <v>3064.0267246430517</v>
      </c>
      <c r="K2" s="8"/>
      <c r="L2" s="9">
        <v>1055.8277949341941</v>
      </c>
      <c r="M2" s="62"/>
      <c r="N2" s="9" t="s">
        <v>16</v>
      </c>
      <c r="O2" s="18">
        <f>+F2+H2+J2+L2</f>
        <v>7242.4951602132023</v>
      </c>
    </row>
    <row r="3" spans="1:17">
      <c r="A3" s="5">
        <v>40845</v>
      </c>
      <c r="B3" s="6">
        <f t="shared" ref="B3" si="0">+A3</f>
        <v>40845</v>
      </c>
      <c r="C3" s="16">
        <v>-1.5</v>
      </c>
      <c r="D3" s="15">
        <v>0.88680555555555562</v>
      </c>
      <c r="E3" s="66"/>
      <c r="F3" s="9">
        <v>2846.0076150132181</v>
      </c>
      <c r="G3" s="9"/>
      <c r="H3" s="9">
        <v>1500.1668223638799</v>
      </c>
      <c r="I3" s="9"/>
      <c r="J3" s="9">
        <v>2636.4646866223748</v>
      </c>
      <c r="K3" s="9"/>
      <c r="L3" s="9">
        <v>1400.383298420207</v>
      </c>
      <c r="M3" s="9"/>
      <c r="N3" s="9" t="s">
        <v>16</v>
      </c>
      <c r="O3" s="18">
        <f>+F3+H3+J3+L3</f>
        <v>8383.0224224196791</v>
      </c>
    </row>
    <row r="4" spans="1:17">
      <c r="A4" s="5"/>
      <c r="B4" s="6"/>
      <c r="C4" s="16"/>
      <c r="D4" s="15"/>
      <c r="E4" s="99"/>
      <c r="F4" s="94"/>
      <c r="G4" s="99"/>
      <c r="H4" s="94"/>
      <c r="I4" s="94"/>
      <c r="J4" s="94"/>
      <c r="K4" s="94"/>
      <c r="L4" s="94"/>
      <c r="M4" s="94"/>
      <c r="N4" s="94"/>
      <c r="O4" s="18">
        <f>+F4+H4+J4+L4+N4</f>
        <v>0</v>
      </c>
    </row>
    <row r="5" spans="1:17">
      <c r="A5" s="5">
        <v>40858</v>
      </c>
      <c r="B5" s="6">
        <f t="shared" ref="B5:B9" si="1">+A5</f>
        <v>40858</v>
      </c>
      <c r="C5" s="16">
        <v>-0.4</v>
      </c>
      <c r="D5" s="15">
        <v>0.78333333333333333</v>
      </c>
      <c r="E5" s="66"/>
      <c r="F5" s="9">
        <v>1456.5638376161969</v>
      </c>
      <c r="G5" s="9"/>
      <c r="H5" s="9">
        <v>1148.5131359212535</v>
      </c>
      <c r="I5" s="9"/>
      <c r="J5" s="9" t="s">
        <v>16</v>
      </c>
      <c r="K5" s="9"/>
      <c r="L5" s="9">
        <v>1726.8147406502344</v>
      </c>
      <c r="M5" s="9"/>
      <c r="N5" s="9" t="s">
        <v>16</v>
      </c>
      <c r="O5" s="63">
        <f>+F5+H5+L5</f>
        <v>4331.8917141876846</v>
      </c>
      <c r="Q5" s="18"/>
    </row>
    <row r="6" spans="1:17">
      <c r="A6" s="5">
        <v>40859</v>
      </c>
      <c r="B6" s="6">
        <f t="shared" si="1"/>
        <v>40859</v>
      </c>
      <c r="C6" s="16">
        <v>-0.4</v>
      </c>
      <c r="D6" s="15">
        <v>0.80763888888888891</v>
      </c>
      <c r="E6" s="66"/>
      <c r="F6" s="9">
        <v>1440.5338289654478</v>
      </c>
      <c r="G6" s="9"/>
      <c r="H6" s="9">
        <v>826.76862711360832</v>
      </c>
      <c r="I6" s="9"/>
      <c r="J6" s="9" t="s">
        <v>16</v>
      </c>
      <c r="K6" s="9"/>
      <c r="L6" s="9">
        <v>1598.9904213928667</v>
      </c>
      <c r="M6" s="9"/>
      <c r="N6" s="9" t="s">
        <v>16</v>
      </c>
      <c r="O6" s="63">
        <f>+F6+H6+L6</f>
        <v>3866.292877471923</v>
      </c>
    </row>
    <row r="7" spans="1:17">
      <c r="A7" s="5"/>
      <c r="B7" s="6"/>
      <c r="C7" s="16"/>
      <c r="D7" s="15"/>
      <c r="E7" s="66"/>
      <c r="F7" s="9"/>
      <c r="G7" s="9"/>
      <c r="H7" s="9"/>
      <c r="I7" s="9"/>
      <c r="J7" s="9"/>
      <c r="K7" s="9"/>
      <c r="L7" s="9"/>
      <c r="M7" s="9"/>
      <c r="N7" s="9"/>
      <c r="O7" s="63"/>
    </row>
    <row r="8" spans="1:17">
      <c r="A8" s="5">
        <v>40872</v>
      </c>
      <c r="B8" s="6">
        <f t="shared" si="1"/>
        <v>40872</v>
      </c>
      <c r="C8" s="16">
        <v>-1.9</v>
      </c>
      <c r="D8" s="15">
        <v>0.76874999999999993</v>
      </c>
      <c r="E8" s="66"/>
      <c r="F8" s="9">
        <v>4738.4192854552821</v>
      </c>
      <c r="G8" s="116" t="s">
        <v>61</v>
      </c>
      <c r="H8" s="9">
        <f>+(F8+L8)*(H5+H6+H9)/(F5+F6+L5+L6+F9+L9)</f>
        <v>1699.7808238970301</v>
      </c>
      <c r="I8" s="9"/>
      <c r="J8" s="9">
        <v>3486.4376286146244</v>
      </c>
      <c r="K8" s="9"/>
      <c r="L8" s="9">
        <v>1887.5809444457425</v>
      </c>
      <c r="M8" s="9"/>
      <c r="N8" s="9" t="s">
        <v>16</v>
      </c>
      <c r="O8" s="63">
        <f>+F8+H8+J8+L8</f>
        <v>11812.218682412678</v>
      </c>
    </row>
    <row r="9" spans="1:17">
      <c r="A9" s="5">
        <v>40873</v>
      </c>
      <c r="B9" s="6">
        <f t="shared" si="1"/>
        <v>40873</v>
      </c>
      <c r="C9" s="16">
        <v>-1.8</v>
      </c>
      <c r="D9" s="15">
        <v>0.80138888888888893</v>
      </c>
      <c r="E9" s="66"/>
      <c r="F9" s="9">
        <v>2800.7584424825063</v>
      </c>
      <c r="G9" s="9"/>
      <c r="H9" s="9">
        <v>880.58636397940552</v>
      </c>
      <c r="I9" s="9"/>
      <c r="J9" s="9" t="s">
        <v>16</v>
      </c>
      <c r="K9" s="9"/>
      <c r="L9" s="9">
        <v>2108.94041502041</v>
      </c>
      <c r="M9" s="9"/>
      <c r="N9" s="9" t="s">
        <v>16</v>
      </c>
      <c r="O9" s="63">
        <f>+F9+H9+L9</f>
        <v>5790.2852214823215</v>
      </c>
    </row>
    <row r="10" spans="1:17">
      <c r="A10" s="59"/>
      <c r="B10" s="6"/>
      <c r="C10" s="64"/>
      <c r="D10" s="65"/>
      <c r="F10" s="9"/>
      <c r="H10" s="9"/>
      <c r="J10" s="9"/>
      <c r="L10" s="9"/>
      <c r="N10" s="9"/>
      <c r="O10" s="18"/>
    </row>
    <row r="11" spans="1:17">
      <c r="A11" s="59">
        <v>40887</v>
      </c>
      <c r="B11" s="6">
        <f t="shared" ref="B11" si="2">+A11</f>
        <v>40887</v>
      </c>
      <c r="C11" s="64">
        <v>-0.5</v>
      </c>
      <c r="D11" s="65">
        <v>0.77083333333333337</v>
      </c>
      <c r="F11" s="9">
        <v>2272.0248981304017</v>
      </c>
      <c r="G11" s="116" t="s">
        <v>61</v>
      </c>
      <c r="H11" s="9">
        <f>(H2+H3)*(F11+J11+L11)/(F2+F3+J2+J3+L2+L3)</f>
        <v>1095.1615443859198</v>
      </c>
      <c r="I11" s="2"/>
      <c r="J11" s="9">
        <v>1995.6360581718907</v>
      </c>
      <c r="K11" s="2"/>
      <c r="L11" s="9">
        <v>1375.0022305496052</v>
      </c>
      <c r="M11" s="2"/>
      <c r="N11" s="9" t="s">
        <v>16</v>
      </c>
      <c r="O11" s="63">
        <f>+F11+H11+J11+L11</f>
        <v>6737.8247312378171</v>
      </c>
    </row>
    <row r="12" spans="1:17">
      <c r="A12" s="59"/>
      <c r="B12" s="6"/>
      <c r="C12" s="64"/>
      <c r="D12" s="65"/>
      <c r="E12" s="2"/>
      <c r="F12" s="9"/>
      <c r="G12" s="2"/>
      <c r="H12" s="9"/>
      <c r="I12" s="2"/>
      <c r="J12" s="9"/>
      <c r="K12" s="2"/>
      <c r="L12" s="9"/>
      <c r="M12" s="2"/>
      <c r="N12" s="9"/>
      <c r="O12" s="18"/>
    </row>
    <row r="13" spans="1:17">
      <c r="A13" s="59">
        <v>40899</v>
      </c>
      <c r="B13" s="6">
        <f t="shared" ref="B13:B14" si="3">+A13</f>
        <v>40899</v>
      </c>
      <c r="C13" s="64">
        <v>-0.9</v>
      </c>
      <c r="D13" s="15">
        <v>0.69444444444444453</v>
      </c>
      <c r="F13" s="9">
        <v>1878.0267435047256</v>
      </c>
      <c r="G13" s="2"/>
      <c r="H13" s="9">
        <v>1291.5472523497508</v>
      </c>
      <c r="I13" s="2"/>
      <c r="J13" s="9">
        <v>1958.6515091281108</v>
      </c>
      <c r="K13" s="2"/>
      <c r="L13" s="9">
        <v>2321.1554658574019</v>
      </c>
      <c r="M13" s="2"/>
      <c r="N13" s="9" t="s">
        <v>16</v>
      </c>
      <c r="O13" s="63">
        <f t="shared" ref="O13:O14" si="4">+F13+H13+J13+L13</f>
        <v>7449.3809708399895</v>
      </c>
    </row>
    <row r="14" spans="1:17">
      <c r="A14" s="59">
        <v>40900</v>
      </c>
      <c r="B14" s="6">
        <f t="shared" si="3"/>
        <v>40900</v>
      </c>
      <c r="C14" s="64">
        <v>-1.4</v>
      </c>
      <c r="D14" s="65">
        <v>0.7284722222222223</v>
      </c>
      <c r="E14" s="116" t="s">
        <v>61</v>
      </c>
      <c r="F14" s="9">
        <f>+F13*(H14+J14+L14)/(H13+J13+L13)</f>
        <v>2276.9490349747994</v>
      </c>
      <c r="G14" s="2"/>
      <c r="H14" s="9">
        <v>1585.26018049507</v>
      </c>
      <c r="I14" s="2"/>
      <c r="J14" s="9">
        <v>3056.652347791689</v>
      </c>
      <c r="K14" s="2"/>
      <c r="L14" s="9">
        <v>2112.8845880525359</v>
      </c>
      <c r="M14" s="2"/>
      <c r="N14" s="9" t="s">
        <v>16</v>
      </c>
      <c r="O14" s="63">
        <f t="shared" si="4"/>
        <v>9031.7461513140952</v>
      </c>
    </row>
    <row r="15" spans="1:17">
      <c r="A15" s="59"/>
      <c r="B15" s="6"/>
      <c r="C15" s="64"/>
      <c r="D15" s="65"/>
      <c r="F15" s="9"/>
      <c r="H15" s="9"/>
      <c r="J15" s="9"/>
      <c r="L15" s="9"/>
      <c r="N15" s="9"/>
      <c r="O15" s="18"/>
    </row>
    <row r="16" spans="1:17">
      <c r="A16" s="59">
        <v>40928</v>
      </c>
      <c r="B16" s="6">
        <f t="shared" ref="B16:B17" si="5">+A16</f>
        <v>40928</v>
      </c>
      <c r="C16" s="64">
        <v>-0.5</v>
      </c>
      <c r="D16" s="65">
        <v>0.68611111111111101</v>
      </c>
      <c r="F16" s="9">
        <v>1104.0844118363034</v>
      </c>
      <c r="H16" s="9">
        <v>103.15588724943086</v>
      </c>
      <c r="J16" s="9">
        <v>538.66818003817878</v>
      </c>
      <c r="L16" s="9">
        <v>139.61256040693928</v>
      </c>
      <c r="N16" s="9" t="s">
        <v>16</v>
      </c>
      <c r="O16" s="18">
        <f>+F16+H16+J16+L16</f>
        <v>1885.5210395308522</v>
      </c>
    </row>
    <row r="17" spans="1:15">
      <c r="A17" s="59">
        <v>40929</v>
      </c>
      <c r="B17" s="6">
        <f t="shared" si="5"/>
        <v>40929</v>
      </c>
      <c r="C17" s="64">
        <v>-0.8</v>
      </c>
      <c r="D17" s="65">
        <v>0.72013888888888899</v>
      </c>
      <c r="E17" s="116" t="s">
        <v>61</v>
      </c>
      <c r="F17" s="9">
        <f>+J17*(F16+F13)/(J16+J13)</f>
        <v>1996.7486689317957</v>
      </c>
      <c r="G17" s="116" t="s">
        <v>61</v>
      </c>
      <c r="H17" s="9">
        <f>+J17*(H16+H13)/(J16+J13)</f>
        <v>933.85909930348976</v>
      </c>
      <c r="J17" s="9">
        <v>1672.1441641465926</v>
      </c>
      <c r="K17" s="116" t="s">
        <v>61</v>
      </c>
      <c r="L17" s="9">
        <f>+J17*(J16+J13)/(L16+L13)</f>
        <v>1696.9817957961438</v>
      </c>
      <c r="N17" s="9" t="s">
        <v>16</v>
      </c>
      <c r="O17" s="18">
        <f>+F17+H17+J17+L17</f>
        <v>6299.7337281780219</v>
      </c>
    </row>
    <row r="18" spans="1:15">
      <c r="A18" s="59"/>
      <c r="B18" s="6"/>
      <c r="C18" s="64"/>
      <c r="D18" s="65"/>
      <c r="F18" s="9"/>
      <c r="H18" s="9"/>
      <c r="J18" s="9"/>
      <c r="L18" s="9"/>
      <c r="N18" s="9"/>
      <c r="O18" s="18"/>
    </row>
    <row r="19" spans="1:15">
      <c r="A19" s="59">
        <v>40957</v>
      </c>
      <c r="B19" s="6">
        <f t="shared" ref="B19:B20" si="6">+A19</f>
        <v>40957</v>
      </c>
      <c r="C19" s="64">
        <v>0</v>
      </c>
      <c r="D19" s="65">
        <v>0.67569444444444438</v>
      </c>
      <c r="F19" s="9">
        <v>6838.8807199171761</v>
      </c>
      <c r="H19" s="9">
        <v>1858.2377834489116</v>
      </c>
      <c r="J19" s="9" t="s">
        <v>16</v>
      </c>
      <c r="L19" s="9">
        <v>6276.7170887435168</v>
      </c>
      <c r="N19" s="9" t="s">
        <v>16</v>
      </c>
      <c r="O19" s="18">
        <f>+F19+H19+L19</f>
        <v>14973.835592109604</v>
      </c>
    </row>
    <row r="20" spans="1:15">
      <c r="A20" s="59">
        <v>40958</v>
      </c>
      <c r="B20" s="6">
        <f t="shared" si="6"/>
        <v>40958</v>
      </c>
      <c r="C20" s="68">
        <v>-0.2</v>
      </c>
      <c r="D20" s="65">
        <v>0.70833333333333337</v>
      </c>
      <c r="F20" s="9">
        <v>10016.606084809806</v>
      </c>
      <c r="G20" s="99"/>
      <c r="H20" s="9">
        <v>4572.3606282598348</v>
      </c>
      <c r="J20" s="9" t="s">
        <v>16</v>
      </c>
      <c r="L20" s="9">
        <v>7752.8048320878816</v>
      </c>
      <c r="N20" s="9" t="s">
        <v>16</v>
      </c>
      <c r="O20" s="18">
        <f>+F20+H20+L20</f>
        <v>22341.77154515752</v>
      </c>
    </row>
    <row r="21" spans="1:15">
      <c r="A21" s="59"/>
      <c r="B21" s="6"/>
      <c r="C21" s="64"/>
      <c r="D21" s="65"/>
      <c r="F21" s="9"/>
      <c r="G21" s="99"/>
      <c r="H21" s="9"/>
      <c r="J21" s="9"/>
      <c r="L21" s="93"/>
      <c r="N21" s="9"/>
      <c r="O21" s="63"/>
    </row>
    <row r="22" spans="1:15">
      <c r="A22" s="59">
        <v>40978</v>
      </c>
      <c r="B22" s="6">
        <f t="shared" ref="B22:B23" si="7">+A22</f>
        <v>40978</v>
      </c>
      <c r="C22" s="64">
        <v>-0.3</v>
      </c>
      <c r="D22" s="15">
        <v>0.31875000000000003</v>
      </c>
      <c r="F22" s="9">
        <v>5360.6629442736803</v>
      </c>
      <c r="H22" s="9">
        <v>1595.7792114482909</v>
      </c>
      <c r="J22" s="9">
        <v>3766.167508081347</v>
      </c>
      <c r="L22" s="9">
        <v>1997.7924759995599</v>
      </c>
      <c r="N22" s="9" t="s">
        <v>16</v>
      </c>
      <c r="O22" s="18">
        <f t="shared" ref="O22:O25" si="8">+F22+H22+J22+L22</f>
        <v>12720.402139802878</v>
      </c>
    </row>
    <row r="23" spans="1:15">
      <c r="A23" s="59">
        <v>40979</v>
      </c>
      <c r="B23" s="6">
        <f t="shared" si="7"/>
        <v>40979</v>
      </c>
      <c r="C23" s="64">
        <v>-0.4</v>
      </c>
      <c r="D23" s="65">
        <v>0.39444444444444443</v>
      </c>
      <c r="F23" s="9">
        <v>6486.3441961091776</v>
      </c>
      <c r="H23" s="9">
        <v>1716.2693963198601</v>
      </c>
      <c r="J23" s="9">
        <v>3272.7310611104044</v>
      </c>
      <c r="L23" s="9">
        <v>1959.7979941077497</v>
      </c>
      <c r="N23" s="9" t="s">
        <v>16</v>
      </c>
      <c r="O23" s="18">
        <f t="shared" si="8"/>
        <v>13435.142647647192</v>
      </c>
    </row>
    <row r="24" spans="1:15">
      <c r="A24" s="59"/>
      <c r="B24" s="6"/>
      <c r="D24" s="65"/>
      <c r="E24" s="64"/>
      <c r="F24" s="9"/>
      <c r="G24" s="67"/>
      <c r="H24" s="9"/>
      <c r="I24" s="67"/>
      <c r="J24" s="9"/>
      <c r="K24" s="67"/>
      <c r="L24" s="9"/>
      <c r="M24" s="67"/>
      <c r="N24" s="9"/>
      <c r="O24" s="18"/>
    </row>
    <row r="25" spans="1:15">
      <c r="A25" s="59">
        <v>40992</v>
      </c>
      <c r="B25" s="6">
        <f t="shared" ref="B25:B26" si="9">+A25</f>
        <v>40992</v>
      </c>
      <c r="C25" s="64">
        <v>0.3</v>
      </c>
      <c r="D25" s="65">
        <v>0.35069444444444442</v>
      </c>
      <c r="E25" s="64"/>
      <c r="F25" s="9">
        <v>5584.7550135927077</v>
      </c>
      <c r="G25" s="67"/>
      <c r="H25" s="9">
        <v>1928.3925801346743</v>
      </c>
      <c r="I25" s="67"/>
      <c r="J25" s="9">
        <v>4043.0808958700318</v>
      </c>
      <c r="K25" s="67"/>
      <c r="L25" s="9">
        <v>2819.0841819926336</v>
      </c>
      <c r="M25" s="67"/>
      <c r="N25" s="9" t="s">
        <v>16</v>
      </c>
      <c r="O25" s="18">
        <f t="shared" si="8"/>
        <v>14375.312671590047</v>
      </c>
    </row>
    <row r="26" spans="1:15">
      <c r="A26" s="59">
        <v>40993</v>
      </c>
      <c r="B26" s="6">
        <f t="shared" si="9"/>
        <v>40993</v>
      </c>
      <c r="C26" s="64">
        <v>0.3</v>
      </c>
      <c r="D26" s="65">
        <v>0.3743055555555555</v>
      </c>
      <c r="E26" s="64"/>
      <c r="F26" s="9">
        <v>5766.0008040748944</v>
      </c>
      <c r="G26" s="67"/>
      <c r="H26" s="9">
        <v>2214.3077635399809</v>
      </c>
      <c r="I26" s="67"/>
      <c r="J26" s="9" t="s">
        <v>16</v>
      </c>
      <c r="K26" s="67"/>
      <c r="L26" s="9">
        <v>3677.677858610612</v>
      </c>
      <c r="M26" s="67"/>
      <c r="N26" s="9" t="s">
        <v>16</v>
      </c>
      <c r="O26" s="18">
        <f>+F26+H26+L26</f>
        <v>11657.986426225487</v>
      </c>
    </row>
    <row r="27" spans="1:15">
      <c r="A27" s="59"/>
      <c r="B27" s="70"/>
      <c r="C27" s="64"/>
      <c r="D27" s="65"/>
      <c r="F27" s="9"/>
      <c r="H27" s="9"/>
      <c r="J27" s="9"/>
      <c r="K27" s="67"/>
      <c r="L27" s="9"/>
      <c r="M27" s="67"/>
      <c r="N27" s="9"/>
      <c r="O27" s="18"/>
    </row>
    <row r="28" spans="1:15">
      <c r="A28" s="59">
        <v>41006</v>
      </c>
      <c r="B28" s="6">
        <f t="shared" ref="B28:B30" si="10">+A28</f>
        <v>41006</v>
      </c>
      <c r="C28" s="68">
        <v>-1.2</v>
      </c>
      <c r="D28" s="65">
        <v>0.31666666666666665</v>
      </c>
      <c r="F28" s="9">
        <v>14020.804378501231</v>
      </c>
      <c r="G28" s="2"/>
      <c r="H28" s="9">
        <v>5785.3128922598034</v>
      </c>
      <c r="J28" s="9">
        <v>4040.1249611107141</v>
      </c>
      <c r="K28" s="67"/>
      <c r="L28" s="9">
        <v>4530.8005304015551</v>
      </c>
      <c r="M28" s="67"/>
      <c r="N28" s="9">
        <v>3872.2596723024644</v>
      </c>
      <c r="O28" s="18">
        <f>+F28+H28+J28+L28+N28</f>
        <v>32249.302434575769</v>
      </c>
    </row>
    <row r="29" spans="1:15">
      <c r="A29" s="59">
        <v>41007</v>
      </c>
      <c r="B29" s="6">
        <f t="shared" si="10"/>
        <v>41007</v>
      </c>
      <c r="C29" s="64">
        <v>-1.5</v>
      </c>
      <c r="D29" s="65">
        <v>0.34930555555555554</v>
      </c>
      <c r="F29" s="9">
        <v>10042.05143783828</v>
      </c>
      <c r="G29" s="99"/>
      <c r="H29" s="9">
        <v>2386.619964092883</v>
      </c>
      <c r="J29" s="9" t="s">
        <v>16</v>
      </c>
      <c r="K29" s="67"/>
      <c r="L29" s="9">
        <v>8013.0083622414622</v>
      </c>
      <c r="M29" s="67"/>
      <c r="N29" s="9">
        <v>312.04958394872102</v>
      </c>
      <c r="O29" s="63">
        <f>+F29+H29+L29+N29</f>
        <v>20753.729348121342</v>
      </c>
    </row>
    <row r="30" spans="1:15">
      <c r="A30" s="59">
        <v>41008</v>
      </c>
      <c r="B30" s="6">
        <f t="shared" si="10"/>
        <v>41008</v>
      </c>
      <c r="C30" s="64">
        <v>-1.5</v>
      </c>
      <c r="D30" s="65">
        <v>0.38263888888888892</v>
      </c>
      <c r="F30" s="9">
        <v>5594.3696619778839</v>
      </c>
      <c r="G30" s="99"/>
      <c r="H30" s="9">
        <v>2354.8446587048265</v>
      </c>
      <c r="J30" s="9" t="s">
        <v>16</v>
      </c>
      <c r="K30" s="67"/>
      <c r="L30" s="9" t="s">
        <v>16</v>
      </c>
      <c r="M30" s="67"/>
      <c r="N30" s="9">
        <v>698.15318833734227</v>
      </c>
      <c r="O30" s="63">
        <f>+F30+H30+N30</f>
        <v>8647.3675090200522</v>
      </c>
    </row>
    <row r="31" spans="1:15">
      <c r="A31" s="59"/>
      <c r="B31" s="70"/>
      <c r="C31" s="68"/>
      <c r="D31" s="65"/>
      <c r="F31" s="9"/>
      <c r="H31" s="9"/>
      <c r="J31" s="9"/>
      <c r="K31" s="67"/>
      <c r="L31" s="9"/>
      <c r="M31" s="67"/>
      <c r="N31" s="9"/>
      <c r="O31" s="18"/>
    </row>
    <row r="32" spans="1:15">
      <c r="A32" s="59">
        <v>41020</v>
      </c>
      <c r="B32" s="6">
        <f t="shared" ref="B32:B33" si="11">+A32</f>
        <v>41020</v>
      </c>
      <c r="C32" s="68">
        <v>-0.3</v>
      </c>
      <c r="D32" s="65">
        <v>0.31111111111111112</v>
      </c>
      <c r="E32" s="64"/>
      <c r="F32" s="9">
        <v>6010.9723027573309</v>
      </c>
      <c r="G32" s="2"/>
      <c r="H32" s="9">
        <v>3487.8939903641217</v>
      </c>
      <c r="I32" s="67"/>
      <c r="J32" s="9" t="s">
        <v>16</v>
      </c>
      <c r="K32" s="67"/>
      <c r="L32" s="9" t="s">
        <v>16</v>
      </c>
      <c r="M32" s="67"/>
      <c r="N32" s="9" t="s">
        <v>16</v>
      </c>
      <c r="O32" s="63">
        <f>+F32+H32</f>
        <v>9498.8662931214531</v>
      </c>
    </row>
    <row r="33" spans="1:15">
      <c r="A33" s="59">
        <v>41021</v>
      </c>
      <c r="B33" s="6">
        <f t="shared" si="11"/>
        <v>41021</v>
      </c>
      <c r="C33" s="64">
        <v>-0.4</v>
      </c>
      <c r="D33" s="65">
        <v>0.33402777777777781</v>
      </c>
      <c r="E33" s="64"/>
      <c r="F33" s="9">
        <v>5904.4157973572028</v>
      </c>
      <c r="G33" s="69"/>
      <c r="H33" s="9">
        <v>2704.6991510528114</v>
      </c>
      <c r="I33" s="69"/>
      <c r="J33" s="9" t="s">
        <v>16</v>
      </c>
      <c r="K33" s="69"/>
      <c r="L33" s="9" t="s">
        <v>16</v>
      </c>
      <c r="M33" s="69"/>
      <c r="N33" s="9" t="s">
        <v>16</v>
      </c>
      <c r="O33" s="63">
        <f>+F33+H33</f>
        <v>8609.1149484100133</v>
      </c>
    </row>
    <row r="34" spans="1:15">
      <c r="A34" s="59">
        <v>41022</v>
      </c>
      <c r="B34" s="6">
        <v>41021</v>
      </c>
      <c r="C34" s="64">
        <v>-0.4</v>
      </c>
      <c r="D34" s="65">
        <v>0.3576388888888889</v>
      </c>
      <c r="E34" s="64"/>
      <c r="F34" s="9">
        <v>3272.8370352154166</v>
      </c>
      <c r="G34" s="69"/>
      <c r="H34" s="9">
        <f>+F34*(H32+H33)/(F32+F33)</f>
        <v>1700.9389880515516</v>
      </c>
      <c r="I34" s="69"/>
      <c r="J34" s="9">
        <v>1618.5331516008796</v>
      </c>
      <c r="K34" s="67"/>
      <c r="L34" s="9">
        <v>1256.4544529185862</v>
      </c>
      <c r="M34" s="67"/>
      <c r="N34" s="9" t="s">
        <v>16</v>
      </c>
      <c r="O34" s="63">
        <f>+F34+H34+J34+L34</f>
        <v>7848.7636277864331</v>
      </c>
    </row>
    <row r="35" spans="1:15">
      <c r="A35" s="59"/>
      <c r="B35" s="6"/>
      <c r="C35" s="64"/>
      <c r="D35" s="65"/>
      <c r="F35" s="9"/>
      <c r="G35" s="2"/>
      <c r="H35" s="9"/>
      <c r="J35" s="9"/>
      <c r="K35" s="69"/>
      <c r="L35" s="9"/>
      <c r="M35" s="69"/>
      <c r="N35" s="9"/>
      <c r="O35" s="18"/>
    </row>
    <row r="36" spans="1:15">
      <c r="A36" s="59">
        <v>41034</v>
      </c>
      <c r="B36" s="6">
        <v>41034</v>
      </c>
      <c r="C36" s="64">
        <v>-1.5</v>
      </c>
      <c r="D36" s="65">
        <v>0.27152777777777776</v>
      </c>
      <c r="F36" s="9" t="s">
        <v>16</v>
      </c>
      <c r="G36" s="2"/>
      <c r="H36" s="9">
        <v>3902.6236159719892</v>
      </c>
      <c r="J36" s="9" t="s">
        <v>16</v>
      </c>
      <c r="K36" s="69"/>
      <c r="L36" s="9" t="s">
        <v>16</v>
      </c>
      <c r="M36" s="69"/>
      <c r="N36" s="9" t="s">
        <v>16</v>
      </c>
      <c r="O36" s="18">
        <f>+H36</f>
        <v>3902.6236159719892</v>
      </c>
    </row>
    <row r="37" spans="1:15">
      <c r="A37" s="59">
        <v>41035</v>
      </c>
      <c r="B37" s="6">
        <v>41035</v>
      </c>
      <c r="C37" s="64">
        <v>-2.1</v>
      </c>
      <c r="D37" s="65">
        <v>0.30486111111111108</v>
      </c>
      <c r="F37" s="9" t="s">
        <v>16</v>
      </c>
      <c r="G37" s="2"/>
      <c r="H37" s="9">
        <v>3594.853476247632</v>
      </c>
      <c r="J37" s="9" t="s">
        <v>16</v>
      </c>
      <c r="K37" s="69"/>
      <c r="L37" s="9" t="s">
        <v>16</v>
      </c>
      <c r="M37" s="69"/>
      <c r="N37" s="9" t="s">
        <v>16</v>
      </c>
      <c r="O37" s="18">
        <f t="shared" ref="O37:O38" si="12">+H37</f>
        <v>3594.853476247632</v>
      </c>
    </row>
    <row r="38" spans="1:15">
      <c r="A38" s="59">
        <v>41036</v>
      </c>
      <c r="B38" s="70">
        <v>41036</v>
      </c>
      <c r="C38" s="64">
        <v>-2.2999999999999998</v>
      </c>
      <c r="D38" s="65">
        <v>0.33819444444444446</v>
      </c>
      <c r="E38" s="2"/>
      <c r="F38" s="9" t="s">
        <v>16</v>
      </c>
      <c r="H38" s="9">
        <v>2389.4747272151917</v>
      </c>
      <c r="J38" s="9" t="s">
        <v>16</v>
      </c>
      <c r="L38" s="9" t="s">
        <v>16</v>
      </c>
      <c r="N38" s="9" t="s">
        <v>16</v>
      </c>
      <c r="O38" s="18">
        <f t="shared" si="12"/>
        <v>2389.4747272151917</v>
      </c>
    </row>
    <row r="40" spans="1:15">
      <c r="A40" s="21" t="s">
        <v>29</v>
      </c>
      <c r="F40" s="163">
        <f>SUM(F2:F39)</f>
        <v>109791.86338513746</v>
      </c>
      <c r="G40" s="1"/>
      <c r="H40" s="163">
        <f>SUM(H2:H39)</f>
        <v>54297.002963005172</v>
      </c>
      <c r="I40" s="1"/>
      <c r="J40" s="163">
        <f>SUM(J2:J39)</f>
        <v>35149.318876929894</v>
      </c>
      <c r="K40" s="1"/>
      <c r="L40" s="163">
        <f>SUM(L3:L39)</f>
        <v>54652.484237695637</v>
      </c>
      <c r="M40" s="1"/>
      <c r="N40" s="163">
        <f>SUM(N3:N39)</f>
        <v>4882.4624445885274</v>
      </c>
      <c r="O40" s="163">
        <f>SUM(O2:O38)</f>
        <v>259828.95970229083</v>
      </c>
    </row>
    <row r="41" spans="1:15">
      <c r="A41" s="20" t="s">
        <v>28</v>
      </c>
    </row>
  </sheetData>
  <mergeCells count="5">
    <mergeCell ref="E1:F1"/>
    <mergeCell ref="G1:H1"/>
    <mergeCell ref="I1:J1"/>
    <mergeCell ref="K1:L1"/>
    <mergeCell ref="M1:N1"/>
  </mergeCells>
  <pageMargins left="0.2" right="0.28999999999999998" top="0.68" bottom="0.37" header="0.2" footer="0"/>
  <pageSetup scale="89" orientation="landscape" r:id="rId1"/>
  <headerFooter>
    <oddHeader>&amp;L&amp;12 2010 Fall / 2011 Spring Razor Clam Harvst Totals
&amp;"-,Italic"(Number of Diggers)&amp;C&amp;12Non-Indian Fishery&amp;R&amp;12&amp;KFF0000PRELIMINARY ESTIMATE</oddHeader>
    <oddFooter>&amp;LPage 3 of 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H79"/>
  <sheetViews>
    <sheetView topLeftCell="A37" workbookViewId="0">
      <selection activeCell="G65" sqref="G65"/>
    </sheetView>
  </sheetViews>
  <sheetFormatPr defaultRowHeight="15"/>
  <cols>
    <col min="1" max="1" width="12.5703125" style="3" bestFit="1" customWidth="1"/>
    <col min="2" max="2" width="10.140625" style="3" bestFit="1" customWidth="1"/>
    <col min="3" max="3" width="11.85546875" style="3" bestFit="1" customWidth="1"/>
    <col min="4" max="4" width="22.42578125" style="3" bestFit="1" customWidth="1"/>
    <col min="5" max="5" width="21.85546875" style="3" bestFit="1" customWidth="1"/>
    <col min="6" max="6" width="18" style="162" bestFit="1" customWidth="1"/>
    <col min="7" max="7" width="17.85546875" style="159" bestFit="1" customWidth="1"/>
    <col min="8" max="8" width="16.7109375" style="156" bestFit="1" customWidth="1"/>
  </cols>
  <sheetData>
    <row r="1" spans="1:8">
      <c r="A1" s="12" t="s">
        <v>9</v>
      </c>
      <c r="B1" s="12" t="s">
        <v>8</v>
      </c>
      <c r="C1" s="12" t="s">
        <v>11</v>
      </c>
      <c r="D1" s="12" t="s">
        <v>12</v>
      </c>
      <c r="E1" s="12" t="s">
        <v>62</v>
      </c>
      <c r="F1" s="160" t="s">
        <v>63</v>
      </c>
      <c r="G1" s="157" t="s">
        <v>14</v>
      </c>
      <c r="H1" s="154" t="s">
        <v>15</v>
      </c>
    </row>
    <row r="2" spans="1:8">
      <c r="A2" s="150" t="s">
        <v>2</v>
      </c>
      <c r="B2" s="151">
        <v>40844</v>
      </c>
      <c r="C2" s="152">
        <v>13.097560975609754</v>
      </c>
      <c r="D2" s="152">
        <v>0.44658005237579346</v>
      </c>
      <c r="E2" s="153">
        <v>0.90109890109890112</v>
      </c>
      <c r="F2" s="161">
        <v>1518.516129032258</v>
      </c>
      <c r="G2" s="158">
        <v>3064.0267246430517</v>
      </c>
      <c r="H2" s="155">
        <v>40131.276856910212</v>
      </c>
    </row>
    <row r="3" spans="1:8">
      <c r="A3" s="150" t="s">
        <v>2</v>
      </c>
      <c r="B3" s="151">
        <v>40845</v>
      </c>
      <c r="C3" s="152">
        <v>15</v>
      </c>
      <c r="D3" s="152">
        <v>0.47837996482849121</v>
      </c>
      <c r="E3" s="153">
        <v>0.98333333333333328</v>
      </c>
      <c r="F3" s="161">
        <v>1282.608695652174</v>
      </c>
      <c r="G3" s="158">
        <v>2636.4646866223748</v>
      </c>
      <c r="H3" s="155">
        <v>39546.970299335619</v>
      </c>
    </row>
    <row r="4" spans="1:8">
      <c r="A4" s="150" t="s">
        <v>2</v>
      </c>
      <c r="B4" s="151">
        <v>40872</v>
      </c>
      <c r="C4" s="152">
        <v>14.618421052631577</v>
      </c>
      <c r="D4" s="152">
        <v>0.49326670169830322</v>
      </c>
      <c r="E4" s="153">
        <v>0.97435897435897434</v>
      </c>
      <c r="F4" s="161">
        <v>1765</v>
      </c>
      <c r="G4" s="158">
        <v>3486.4376286146244</v>
      </c>
      <c r="H4" s="155">
        <v>50966.213228826942</v>
      </c>
    </row>
    <row r="5" spans="1:8">
      <c r="A5" s="150" t="s">
        <v>2</v>
      </c>
      <c r="B5" s="151">
        <v>40887</v>
      </c>
      <c r="C5" s="152">
        <v>13.327586206896553</v>
      </c>
      <c r="D5" s="152">
        <v>0.49650001525878906</v>
      </c>
      <c r="E5" s="153">
        <v>0.96666666666666667</v>
      </c>
      <c r="F5" s="161">
        <v>1025</v>
      </c>
      <c r="G5" s="158">
        <v>1995.6360581718907</v>
      </c>
      <c r="H5" s="155">
        <v>26597.011602877094</v>
      </c>
    </row>
    <row r="6" spans="1:8">
      <c r="A6" s="150" t="s">
        <v>2</v>
      </c>
      <c r="B6" s="151">
        <v>40899</v>
      </c>
      <c r="C6" s="152">
        <v>14.802631578947368</v>
      </c>
      <c r="D6" s="152">
        <v>0.49696671962738037</v>
      </c>
      <c r="E6" s="153">
        <v>0.97435897435897434</v>
      </c>
      <c r="F6" s="161">
        <v>999</v>
      </c>
      <c r="G6" s="158">
        <v>1958.6515091281108</v>
      </c>
      <c r="H6" s="155">
        <v>28993.196681172696</v>
      </c>
    </row>
    <row r="7" spans="1:8">
      <c r="A7" s="150" t="s">
        <v>2</v>
      </c>
      <c r="B7" s="151">
        <v>40900</v>
      </c>
      <c r="C7" s="152">
        <v>4.2745098039215685</v>
      </c>
      <c r="D7" s="152">
        <v>0.46906661987304688</v>
      </c>
      <c r="E7" s="153">
        <v>0.96226415094339612</v>
      </c>
      <c r="F7" s="161">
        <v>1490</v>
      </c>
      <c r="G7" s="158">
        <v>3056.652347791689</v>
      </c>
      <c r="H7" s="155">
        <v>13065.690427815454</v>
      </c>
    </row>
    <row r="8" spans="1:8">
      <c r="A8" s="150" t="s">
        <v>2</v>
      </c>
      <c r="B8" s="151">
        <v>40928</v>
      </c>
      <c r="C8" s="152">
        <v>6.9444444444444438</v>
      </c>
      <c r="D8" s="152">
        <v>0.4133000373840332</v>
      </c>
      <c r="E8" s="153">
        <v>0.94736842105263153</v>
      </c>
      <c r="F8" s="161">
        <v>235</v>
      </c>
      <c r="G8" s="158">
        <v>538.66818003817878</v>
      </c>
      <c r="H8" s="155">
        <v>3740.7512502651307</v>
      </c>
    </row>
    <row r="9" spans="1:8">
      <c r="A9" s="150" t="s">
        <v>2</v>
      </c>
      <c r="B9" s="151">
        <v>40929</v>
      </c>
      <c r="C9" s="152">
        <v>12.387755102040815</v>
      </c>
      <c r="D9" s="152">
        <v>0.49696671962738037</v>
      </c>
      <c r="E9" s="153">
        <v>1</v>
      </c>
      <c r="F9" s="161">
        <v>831</v>
      </c>
      <c r="G9" s="158">
        <v>1672.1441641465926</v>
      </c>
      <c r="H9" s="155">
        <v>20714.11240075473</v>
      </c>
    </row>
    <row r="10" spans="1:8">
      <c r="A10" s="150" t="s">
        <v>2</v>
      </c>
      <c r="B10" s="151">
        <v>40978</v>
      </c>
      <c r="C10" s="152">
        <v>12.761904761904761</v>
      </c>
      <c r="D10" s="152">
        <v>0.44116663932800293</v>
      </c>
      <c r="E10" s="153">
        <v>0.94029850746268651</v>
      </c>
      <c r="F10" s="161">
        <v>1767</v>
      </c>
      <c r="G10" s="158">
        <v>3766.167508081347</v>
      </c>
      <c r="H10" s="155">
        <v>48063.471055514339</v>
      </c>
    </row>
    <row r="11" spans="1:8">
      <c r="A11" s="150" t="s">
        <v>2</v>
      </c>
      <c r="B11" s="151">
        <v>40979</v>
      </c>
      <c r="C11" s="152">
        <v>14.506172839506172</v>
      </c>
      <c r="D11" s="152">
        <v>0.51160001754760742</v>
      </c>
      <c r="E11" s="153">
        <v>0.98780487804878059</v>
      </c>
      <c r="F11" s="161">
        <v>1695</v>
      </c>
      <c r="G11" s="158">
        <v>3272.7310611104044</v>
      </c>
      <c r="H11" s="155">
        <v>47474.802429687967</v>
      </c>
    </row>
    <row r="12" spans="1:8">
      <c r="A12" s="150" t="s">
        <v>2</v>
      </c>
      <c r="B12" s="151">
        <v>40992</v>
      </c>
      <c r="C12" s="152">
        <v>14.602564102564102</v>
      </c>
      <c r="D12" s="152">
        <v>0.58736670017242432</v>
      </c>
      <c r="E12" s="153">
        <v>0.93975903614457834</v>
      </c>
      <c r="F12" s="161">
        <v>2527</v>
      </c>
      <c r="G12" s="158">
        <v>4043.0808958700318</v>
      </c>
      <c r="H12" s="155">
        <v>59039.347953794429</v>
      </c>
    </row>
    <row r="13" spans="1:8">
      <c r="A13" s="150" t="s">
        <v>2</v>
      </c>
      <c r="B13" s="151">
        <v>41006</v>
      </c>
      <c r="C13" s="152">
        <v>15</v>
      </c>
      <c r="D13" s="152">
        <v>0.54723334312438965</v>
      </c>
      <c r="E13" s="153">
        <v>0.99009900990099009</v>
      </c>
      <c r="F13" s="161">
        <v>2233</v>
      </c>
      <c r="G13" s="158">
        <v>4040.1249611107141</v>
      </c>
      <c r="H13" s="155">
        <v>60601.874416660714</v>
      </c>
    </row>
    <row r="14" spans="1:8">
      <c r="A14" s="150" t="s">
        <v>2</v>
      </c>
      <c r="B14" s="151">
        <v>41022</v>
      </c>
      <c r="C14" s="152">
        <v>15</v>
      </c>
      <c r="D14" s="152">
        <v>0.4812999963760376</v>
      </c>
      <c r="E14" s="153">
        <v>1</v>
      </c>
      <c r="F14" s="161">
        <v>779</v>
      </c>
      <c r="G14" s="158">
        <v>1618.5331516008796</v>
      </c>
      <c r="H14" s="155">
        <v>24277.997274013189</v>
      </c>
    </row>
    <row r="15" spans="1:8">
      <c r="A15" s="150" t="s">
        <v>4</v>
      </c>
      <c r="B15" s="151">
        <v>41006</v>
      </c>
      <c r="C15" s="152">
        <v>2.8019801980198018</v>
      </c>
      <c r="D15" s="152">
        <v>0.34039998054504395</v>
      </c>
      <c r="E15" s="153">
        <v>0.90990990990990994</v>
      </c>
      <c r="F15" s="161">
        <v>517</v>
      </c>
      <c r="G15" s="158">
        <v>1381.9725332245546</v>
      </c>
      <c r="H15" s="155">
        <v>3872.2596723024644</v>
      </c>
    </row>
    <row r="16" spans="1:8">
      <c r="A16" s="150" t="s">
        <v>4</v>
      </c>
      <c r="B16" s="151">
        <v>41007</v>
      </c>
      <c r="C16" s="152">
        <v>0.70370370370370372</v>
      </c>
      <c r="D16" s="152">
        <v>0.44200003147125244</v>
      </c>
      <c r="E16" s="153">
        <v>1</v>
      </c>
      <c r="F16" s="161">
        <v>196</v>
      </c>
      <c r="G16" s="158">
        <v>443.43888245344573</v>
      </c>
      <c r="H16" s="155">
        <v>312.04958394872102</v>
      </c>
    </row>
    <row r="17" spans="1:8">
      <c r="A17" s="150" t="s">
        <v>4</v>
      </c>
      <c r="B17" s="151">
        <v>41008</v>
      </c>
      <c r="C17" s="152">
        <v>2.7878787878787881</v>
      </c>
      <c r="D17" s="152">
        <v>0.53840005397796631</v>
      </c>
      <c r="E17" s="153">
        <v>0.94285714285714284</v>
      </c>
      <c r="F17" s="161">
        <v>143</v>
      </c>
      <c r="G17" s="158">
        <v>250.42451320795965</v>
      </c>
      <c r="H17" s="155">
        <v>698.15318833734227</v>
      </c>
    </row>
    <row r="18" spans="1:8">
      <c r="A18" s="150" t="s">
        <v>21</v>
      </c>
      <c r="B18" s="151">
        <v>40844</v>
      </c>
      <c r="C18" s="152">
        <v>13.297872340425529</v>
      </c>
      <c r="D18" s="152">
        <v>0.55700004100799561</v>
      </c>
      <c r="E18" s="153">
        <v>0.98947368421052651</v>
      </c>
      <c r="F18" s="161">
        <v>1172.6000000000001</v>
      </c>
      <c r="G18" s="158">
        <v>2083.0462418019965</v>
      </c>
      <c r="H18" s="155">
        <v>27700.083002686122</v>
      </c>
    </row>
    <row r="19" spans="1:8">
      <c r="A19" s="150" t="s">
        <v>21</v>
      </c>
      <c r="B19" s="151">
        <v>40845</v>
      </c>
      <c r="C19" s="152">
        <v>14.506666666666664</v>
      </c>
      <c r="D19" s="152">
        <v>0.67974996566772461</v>
      </c>
      <c r="E19" s="153">
        <v>0.96153846153846156</v>
      </c>
      <c r="F19" s="161">
        <v>2011.9565217391303</v>
      </c>
      <c r="G19" s="158">
        <v>2846.0076150132181</v>
      </c>
      <c r="H19" s="155">
        <v>41286.083801791741</v>
      </c>
    </row>
    <row r="20" spans="1:8">
      <c r="A20" s="150" t="s">
        <v>21</v>
      </c>
      <c r="B20" s="151">
        <v>40858</v>
      </c>
      <c r="C20" s="152">
        <v>14.056179775280897</v>
      </c>
      <c r="D20" s="152">
        <v>0.6446000337600708</v>
      </c>
      <c r="E20" s="153">
        <v>0.97802197802197799</v>
      </c>
      <c r="F20" s="161">
        <v>959.99999999999989</v>
      </c>
      <c r="G20" s="158">
        <v>1456.5638376161969</v>
      </c>
      <c r="H20" s="155">
        <v>20473.723155706317</v>
      </c>
    </row>
    <row r="21" spans="1:8">
      <c r="A21" s="150" t="s">
        <v>21</v>
      </c>
      <c r="B21" s="151">
        <v>40859</v>
      </c>
      <c r="C21" s="152">
        <v>3.8181818181818192</v>
      </c>
      <c r="D21" s="152">
        <v>0.69173336029052734</v>
      </c>
      <c r="E21" s="153">
        <v>0.94285714285714295</v>
      </c>
      <c r="F21" s="161">
        <v>1056.8571428571429</v>
      </c>
      <c r="G21" s="158">
        <v>1440.5338289654478</v>
      </c>
      <c r="H21" s="155">
        <v>5500.22007423171</v>
      </c>
    </row>
    <row r="22" spans="1:8">
      <c r="A22" s="150" t="s">
        <v>21</v>
      </c>
      <c r="B22" s="151">
        <v>40872</v>
      </c>
      <c r="C22" s="152">
        <v>13.598130841121499</v>
      </c>
      <c r="D22" s="152">
        <v>0.67066669464111328</v>
      </c>
      <c r="E22" s="153">
        <v>0.97272727272727277</v>
      </c>
      <c r="F22" s="161">
        <v>3267</v>
      </c>
      <c r="G22" s="158">
        <v>4738.4192854552821</v>
      </c>
      <c r="H22" s="155">
        <v>64433.645423714348</v>
      </c>
    </row>
    <row r="23" spans="1:8">
      <c r="A23" s="150" t="s">
        <v>21</v>
      </c>
      <c r="B23" s="151">
        <v>40873</v>
      </c>
      <c r="C23" s="152">
        <v>15.038461538461537</v>
      </c>
      <c r="D23" s="152">
        <v>0.69173336029052734</v>
      </c>
      <c r="E23" s="153">
        <v>0.95121951219512191</v>
      </c>
      <c r="F23" s="161">
        <v>2036.7307692307693</v>
      </c>
      <c r="G23" s="158">
        <v>2800.7584424825063</v>
      </c>
      <c r="H23" s="155">
        <v>42119.098115794608</v>
      </c>
    </row>
    <row r="24" spans="1:8">
      <c r="A24" s="150" t="s">
        <v>21</v>
      </c>
      <c r="B24" s="151">
        <v>40887</v>
      </c>
      <c r="C24" s="152">
        <v>7.2388059701492526</v>
      </c>
      <c r="D24" s="152">
        <v>0.67066669464111328</v>
      </c>
      <c r="E24" s="153">
        <v>0.95714285714285718</v>
      </c>
      <c r="F24" s="161">
        <v>1592</v>
      </c>
      <c r="G24" s="158">
        <v>2272.0248981304017</v>
      </c>
      <c r="H24" s="155">
        <v>16446.747396914099</v>
      </c>
    </row>
    <row r="25" spans="1:8">
      <c r="A25" s="150" t="s">
        <v>21</v>
      </c>
      <c r="B25" s="151">
        <v>40899</v>
      </c>
      <c r="C25" s="152">
        <v>15.080645161290322</v>
      </c>
      <c r="D25" s="152">
        <v>0.69173336029052734</v>
      </c>
      <c r="E25" s="153">
        <v>0.96875</v>
      </c>
      <c r="F25" s="161">
        <v>1341</v>
      </c>
      <c r="G25" s="158">
        <v>1878.0267435047256</v>
      </c>
      <c r="H25" s="155">
        <v>28321.854922208357</v>
      </c>
    </row>
    <row r="26" spans="1:8">
      <c r="A26" s="150" t="s">
        <v>0</v>
      </c>
      <c r="B26" s="151">
        <v>40928</v>
      </c>
      <c r="C26" s="152">
        <v>7.1707317073170733</v>
      </c>
      <c r="D26" s="152">
        <v>0.66017496585845947</v>
      </c>
      <c r="E26" s="153">
        <v>0.9111111111111112</v>
      </c>
      <c r="F26" s="161">
        <v>800</v>
      </c>
      <c r="G26" s="158">
        <v>1104.0844118363034</v>
      </c>
      <c r="H26" s="155">
        <v>7917.093099509103</v>
      </c>
    </row>
    <row r="27" spans="1:8">
      <c r="A27" s="150" t="s">
        <v>0</v>
      </c>
      <c r="B27" s="151">
        <v>40957</v>
      </c>
      <c r="C27" s="152">
        <v>8.4124999999999996</v>
      </c>
      <c r="D27" s="152">
        <v>0.59427499771118164</v>
      </c>
      <c r="E27" s="153">
        <v>0.87912087912087933</v>
      </c>
      <c r="F27" s="161">
        <v>4623</v>
      </c>
      <c r="G27" s="158">
        <v>6838.8807199171761</v>
      </c>
      <c r="H27" s="155">
        <v>57532.08405630324</v>
      </c>
    </row>
    <row r="28" spans="1:8">
      <c r="A28" s="150" t="s">
        <v>21</v>
      </c>
      <c r="B28" s="151">
        <v>40958</v>
      </c>
      <c r="C28" s="152">
        <v>14.906976744186043</v>
      </c>
      <c r="D28" s="152">
        <v>0.55700004100799561</v>
      </c>
      <c r="E28" s="153">
        <v>0.9772727272727274</v>
      </c>
      <c r="F28" s="161">
        <v>5709</v>
      </c>
      <c r="G28" s="158">
        <v>10016.606084809806</v>
      </c>
      <c r="H28" s="155">
        <v>149317.31396193223</v>
      </c>
    </row>
    <row r="29" spans="1:8">
      <c r="A29" s="150" t="s">
        <v>21</v>
      </c>
      <c r="B29" s="151">
        <v>40978</v>
      </c>
      <c r="C29" s="152">
        <v>11.55952380952381</v>
      </c>
      <c r="D29" s="152">
        <v>0.49590003490447998</v>
      </c>
      <c r="E29" s="153">
        <v>0.9882352941176471</v>
      </c>
      <c r="F29" s="161">
        <v>2690</v>
      </c>
      <c r="G29" s="158">
        <v>5360.6629442736803</v>
      </c>
      <c r="H29" s="155">
        <v>61966.710939163619</v>
      </c>
    </row>
    <row r="30" spans="1:8">
      <c r="A30" s="150" t="s">
        <v>21</v>
      </c>
      <c r="B30" s="151">
        <v>40979</v>
      </c>
      <c r="C30" s="152">
        <v>11.234567901234568</v>
      </c>
      <c r="D30" s="152">
        <v>0.49590003490447998</v>
      </c>
      <c r="E30" s="153">
        <v>0.97590361445783125</v>
      </c>
      <c r="F30" s="161">
        <v>3296</v>
      </c>
      <c r="G30" s="158">
        <v>6486.3441961091776</v>
      </c>
      <c r="H30" s="155">
        <v>72871.274301967293</v>
      </c>
    </row>
    <row r="31" spans="1:8">
      <c r="A31" s="150" t="s">
        <v>21</v>
      </c>
      <c r="B31" s="151">
        <v>40992</v>
      </c>
      <c r="C31" s="152">
        <v>14.542372881355933</v>
      </c>
      <c r="D31" s="152">
        <v>0.46290004253387451</v>
      </c>
      <c r="E31" s="153">
        <v>0.98333333333333328</v>
      </c>
      <c r="F31" s="161">
        <v>2629</v>
      </c>
      <c r="G31" s="158">
        <v>5584.7550135927077</v>
      </c>
      <c r="H31" s="155">
        <v>81215.589858687177</v>
      </c>
    </row>
    <row r="32" spans="1:8">
      <c r="A32" s="150" t="s">
        <v>21</v>
      </c>
      <c r="B32" s="151">
        <v>40993</v>
      </c>
      <c r="C32" s="152">
        <v>8.5</v>
      </c>
      <c r="D32" s="152">
        <v>0.49590003490447998</v>
      </c>
      <c r="E32" s="153">
        <v>0.98666666666666658</v>
      </c>
      <c r="F32" s="161">
        <v>2898</v>
      </c>
      <c r="G32" s="158">
        <v>5766.0008040748944</v>
      </c>
      <c r="H32" s="155">
        <v>49011.00683463661</v>
      </c>
    </row>
    <row r="33" spans="1:8">
      <c r="A33" s="150" t="s">
        <v>21</v>
      </c>
      <c r="B33" s="151">
        <v>41006</v>
      </c>
      <c r="C33" s="152">
        <v>15</v>
      </c>
      <c r="D33" s="152">
        <v>0.37010002136230469</v>
      </c>
      <c r="E33" s="153">
        <v>0.9800000000000002</v>
      </c>
      <c r="F33" s="161">
        <v>5295</v>
      </c>
      <c r="G33" s="158">
        <v>14020.804378501231</v>
      </c>
      <c r="H33" s="155">
        <v>210312.06567751843</v>
      </c>
    </row>
    <row r="34" spans="1:8">
      <c r="A34" s="150" t="s">
        <v>21</v>
      </c>
      <c r="B34" s="151">
        <v>41007</v>
      </c>
      <c r="C34" s="152">
        <v>13.671052631578947</v>
      </c>
      <c r="D34" s="152">
        <v>0.49590003490447998</v>
      </c>
      <c r="E34" s="153">
        <v>0.92682926829268297</v>
      </c>
      <c r="F34" s="161">
        <v>5373</v>
      </c>
      <c r="G34" s="158">
        <v>10042.05143783828</v>
      </c>
      <c r="H34" s="155">
        <v>137285.41373571014</v>
      </c>
    </row>
    <row r="35" spans="1:8">
      <c r="A35" s="150" t="s">
        <v>21</v>
      </c>
      <c r="B35" s="151">
        <v>41008</v>
      </c>
      <c r="C35" s="152">
        <v>13.952095808383234</v>
      </c>
      <c r="D35" s="152">
        <v>0.4138333797454834</v>
      </c>
      <c r="E35" s="153">
        <v>0.99404761904761885</v>
      </c>
      <c r="F35" s="161">
        <v>2329</v>
      </c>
      <c r="G35" s="158">
        <v>5594.3696619778839</v>
      </c>
      <c r="H35" s="155">
        <v>78053.18151142796</v>
      </c>
    </row>
    <row r="36" spans="1:8">
      <c r="A36" s="150" t="s">
        <v>21</v>
      </c>
      <c r="B36" s="151">
        <v>41020</v>
      </c>
      <c r="C36" s="152">
        <v>15</v>
      </c>
      <c r="D36" s="152">
        <v>0.4138333797454834</v>
      </c>
      <c r="E36" s="153">
        <v>0.98360655737704927</v>
      </c>
      <c r="F36" s="161">
        <v>2529</v>
      </c>
      <c r="G36" s="158">
        <v>6010.9723027573309</v>
      </c>
      <c r="H36" s="155">
        <v>90164.58454135996</v>
      </c>
    </row>
    <row r="37" spans="1:8">
      <c r="A37" s="150" t="s">
        <v>21</v>
      </c>
      <c r="B37" s="151">
        <v>41021</v>
      </c>
      <c r="C37" s="152">
        <v>15</v>
      </c>
      <c r="D37" s="152">
        <v>0.49590003490447998</v>
      </c>
      <c r="E37" s="153">
        <v>1</v>
      </c>
      <c r="F37" s="161">
        <v>2928</v>
      </c>
      <c r="G37" s="158">
        <v>5904.4157973572028</v>
      </c>
      <c r="H37" s="155">
        <v>88566.236960358045</v>
      </c>
    </row>
    <row r="38" spans="1:8">
      <c r="A38" s="150" t="s">
        <v>21</v>
      </c>
      <c r="B38" s="151">
        <v>41022</v>
      </c>
      <c r="C38" s="152">
        <v>15</v>
      </c>
      <c r="D38" s="152">
        <v>0.49590003490447998</v>
      </c>
      <c r="E38" s="153">
        <v>1</v>
      </c>
      <c r="F38" s="161">
        <v>1623</v>
      </c>
      <c r="G38" s="158">
        <v>3272.8370352154166</v>
      </c>
      <c r="H38" s="155">
        <v>49092.555528231249</v>
      </c>
    </row>
    <row r="39" spans="1:8">
      <c r="A39" s="150" t="s">
        <v>3</v>
      </c>
      <c r="B39" s="151">
        <v>40844</v>
      </c>
      <c r="C39" s="152">
        <v>14.365384615384615</v>
      </c>
      <c r="D39" s="152">
        <v>0.57695996761322021</v>
      </c>
      <c r="E39" s="153">
        <v>0.96296296296296291</v>
      </c>
      <c r="F39" s="161">
        <v>632.6</v>
      </c>
      <c r="G39" s="158">
        <v>1055.8277949341941</v>
      </c>
      <c r="H39" s="155">
        <v>15167.372361843132</v>
      </c>
    </row>
    <row r="40" spans="1:8">
      <c r="A40" s="150" t="s">
        <v>3</v>
      </c>
      <c r="B40" s="151">
        <v>40845</v>
      </c>
      <c r="C40" s="152">
        <v>12.844827586206895</v>
      </c>
      <c r="D40" s="152">
        <v>0.59835004806518555</v>
      </c>
      <c r="E40" s="153">
        <v>0.92063492063492058</v>
      </c>
      <c r="F40" s="161">
        <v>910.1538461538463</v>
      </c>
      <c r="G40" s="158">
        <v>1400.383298420207</v>
      </c>
      <c r="H40" s="155">
        <v>17987.682022811277</v>
      </c>
    </row>
    <row r="41" spans="1:8">
      <c r="A41" s="150" t="s">
        <v>3</v>
      </c>
      <c r="B41" s="151">
        <v>40858</v>
      </c>
      <c r="C41" s="152">
        <v>14.011363636363638</v>
      </c>
      <c r="D41" s="152">
        <v>0.50336670875549316</v>
      </c>
      <c r="E41" s="153">
        <v>0.92631578947368431</v>
      </c>
      <c r="F41" s="161">
        <v>938.36363636363637</v>
      </c>
      <c r="G41" s="158">
        <v>1726.8147406502344</v>
      </c>
      <c r="H41" s="155">
        <v>24195.0292638834</v>
      </c>
    </row>
    <row r="42" spans="1:8">
      <c r="A42" s="150" t="s">
        <v>3</v>
      </c>
      <c r="B42" s="151">
        <v>40859</v>
      </c>
      <c r="C42" s="152">
        <v>10.80722891566265</v>
      </c>
      <c r="D42" s="152">
        <v>0.60496664047241211</v>
      </c>
      <c r="E42" s="153">
        <v>0.97647058823529409</v>
      </c>
      <c r="F42" s="161">
        <v>990.64516129032268</v>
      </c>
      <c r="G42" s="158">
        <v>1598.9904213928667</v>
      </c>
      <c r="H42" s="155">
        <v>17280.655517944593</v>
      </c>
    </row>
    <row r="43" spans="1:8">
      <c r="A43" s="150" t="s">
        <v>3</v>
      </c>
      <c r="B43" s="151">
        <v>40872</v>
      </c>
      <c r="C43" s="152">
        <v>14.351063829787234</v>
      </c>
      <c r="D43" s="152">
        <v>0.56036663055419922</v>
      </c>
      <c r="E43" s="153">
        <v>0.9494949494949495</v>
      </c>
      <c r="F43" s="161">
        <v>1114</v>
      </c>
      <c r="G43" s="158">
        <v>1887.5809444457425</v>
      </c>
      <c r="H43" s="155">
        <v>27088.79461763092</v>
      </c>
    </row>
    <row r="44" spans="1:8">
      <c r="A44" s="150" t="s">
        <v>3</v>
      </c>
      <c r="B44" s="151">
        <v>40873</v>
      </c>
      <c r="C44" s="152">
        <v>15</v>
      </c>
      <c r="D44" s="152">
        <v>0.57695996761322021</v>
      </c>
      <c r="E44" s="153">
        <v>0.98795180722891562</v>
      </c>
      <c r="F44" s="161">
        <v>1231.6129032258063</v>
      </c>
      <c r="G44" s="158">
        <v>2108.94041502041</v>
      </c>
      <c r="H44" s="155">
        <v>31634.106225306154</v>
      </c>
    </row>
    <row r="45" spans="1:8">
      <c r="A45" s="150" t="s">
        <v>3</v>
      </c>
      <c r="B45" s="151">
        <v>40887</v>
      </c>
      <c r="C45" s="152">
        <v>15.041666666666666</v>
      </c>
      <c r="D45" s="152">
        <v>0.59484994411468506</v>
      </c>
      <c r="E45" s="153">
        <v>0.96</v>
      </c>
      <c r="F45" s="161">
        <v>852</v>
      </c>
      <c r="G45" s="158">
        <v>1375.0022305496052</v>
      </c>
      <c r="H45" s="155">
        <v>20682.32521785031</v>
      </c>
    </row>
    <row r="46" spans="1:8">
      <c r="A46" s="150" t="s">
        <v>3</v>
      </c>
      <c r="B46" s="151">
        <v>40899</v>
      </c>
      <c r="C46" s="152">
        <v>14.1</v>
      </c>
      <c r="D46" s="152">
        <v>0.53382503986358643</v>
      </c>
      <c r="E46" s="153">
        <v>0.90909090909090906</v>
      </c>
      <c r="F46" s="161">
        <v>1363</v>
      </c>
      <c r="G46" s="158">
        <v>2321.1554658574019</v>
      </c>
      <c r="H46" s="155">
        <v>32728.292068589362</v>
      </c>
    </row>
    <row r="47" spans="1:8">
      <c r="A47" s="150" t="s">
        <v>3</v>
      </c>
      <c r="B47" s="151">
        <v>40900</v>
      </c>
      <c r="C47" s="152">
        <v>12.523809523809524</v>
      </c>
      <c r="D47" s="152">
        <v>0.54509997367858887</v>
      </c>
      <c r="E47" s="153">
        <v>0.93333333333333346</v>
      </c>
      <c r="F47" s="161">
        <v>1234</v>
      </c>
      <c r="G47" s="158">
        <v>2112.8845880525359</v>
      </c>
      <c r="H47" s="155">
        <v>26461.364126562712</v>
      </c>
    </row>
    <row r="48" spans="1:8">
      <c r="A48" s="150" t="s">
        <v>3</v>
      </c>
      <c r="B48" s="151">
        <v>40928</v>
      </c>
      <c r="C48" s="152">
        <v>13.333333333333334</v>
      </c>
      <c r="D48" s="152">
        <v>1.496999979019165</v>
      </c>
      <c r="E48" s="153">
        <v>1</v>
      </c>
      <c r="F48" s="161">
        <v>209</v>
      </c>
      <c r="G48" s="158">
        <v>139.61256040693928</v>
      </c>
      <c r="H48" s="155">
        <v>1861.5008054258572</v>
      </c>
    </row>
    <row r="49" spans="1:8">
      <c r="A49" s="150" t="s">
        <v>3</v>
      </c>
      <c r="B49" s="151">
        <v>40957</v>
      </c>
      <c r="C49" s="152">
        <v>8.203125</v>
      </c>
      <c r="D49" s="152">
        <v>0.41836667060852051</v>
      </c>
      <c r="E49" s="153">
        <v>0.98461538461538467</v>
      </c>
      <c r="F49" s="161">
        <v>2667</v>
      </c>
      <c r="G49" s="158">
        <v>6276.7170887435168</v>
      </c>
      <c r="H49" s="155">
        <v>51488.694868599167</v>
      </c>
    </row>
    <row r="50" spans="1:8">
      <c r="A50" s="150" t="s">
        <v>3</v>
      </c>
      <c r="B50" s="151">
        <v>40958</v>
      </c>
      <c r="C50" s="152">
        <v>14.101123595505618</v>
      </c>
      <c r="D50" s="152">
        <v>0.50337004661560059</v>
      </c>
      <c r="E50" s="153">
        <v>0.96216216216216222</v>
      </c>
      <c r="F50" s="161">
        <v>4056</v>
      </c>
      <c r="G50" s="158">
        <v>7752.8048320878816</v>
      </c>
      <c r="H50" s="155">
        <v>109323.25914910439</v>
      </c>
    </row>
    <row r="51" spans="1:8">
      <c r="A51" s="150" t="s">
        <v>3</v>
      </c>
      <c r="B51" s="151">
        <v>40978</v>
      </c>
      <c r="C51" s="152">
        <v>12.031746031746032</v>
      </c>
      <c r="D51" s="152">
        <v>0.56277501583099365</v>
      </c>
      <c r="E51" s="153">
        <v>0.96923076923076923</v>
      </c>
      <c r="F51" s="161">
        <v>1160</v>
      </c>
      <c r="G51" s="158">
        <v>1997.7924759995599</v>
      </c>
      <c r="H51" s="155">
        <v>24036.931695359781</v>
      </c>
    </row>
    <row r="52" spans="1:8">
      <c r="A52" s="150" t="s">
        <v>3</v>
      </c>
      <c r="B52" s="151">
        <v>40979</v>
      </c>
      <c r="C52" s="152">
        <v>12.409090909090908</v>
      </c>
      <c r="D52" s="152">
        <v>0.58516669273376465</v>
      </c>
      <c r="E52" s="153">
        <v>0.93617021276595747</v>
      </c>
      <c r="F52" s="161">
        <v>1225</v>
      </c>
      <c r="G52" s="158">
        <v>1959.7979941077497</v>
      </c>
      <c r="H52" s="155">
        <v>24319.311472337075</v>
      </c>
    </row>
    <row r="53" spans="1:8">
      <c r="A53" s="150" t="s">
        <v>3</v>
      </c>
      <c r="B53" s="151">
        <v>40992</v>
      </c>
      <c r="C53" s="152">
        <v>14.941747572815531</v>
      </c>
      <c r="D53" s="152">
        <v>0.5880666971206665</v>
      </c>
      <c r="E53" s="153">
        <v>0.98095238095238091</v>
      </c>
      <c r="F53" s="161">
        <v>1690</v>
      </c>
      <c r="G53" s="158">
        <v>2819.0841819926336</v>
      </c>
      <c r="H53" s="155">
        <v>42122.044233851091</v>
      </c>
    </row>
    <row r="54" spans="1:8">
      <c r="A54" s="150" t="s">
        <v>3</v>
      </c>
      <c r="B54" s="151">
        <v>40993</v>
      </c>
      <c r="C54" s="152">
        <v>14.824561403508772</v>
      </c>
      <c r="D54" s="152">
        <v>0.63963329792022705</v>
      </c>
      <c r="E54" s="153">
        <v>0.99130434782608712</v>
      </c>
      <c r="F54" s="161">
        <v>2373</v>
      </c>
      <c r="G54" s="158">
        <v>3677.677858610612</v>
      </c>
      <c r="H54" s="155">
        <v>54519.961237297677</v>
      </c>
    </row>
    <row r="55" spans="1:8">
      <c r="A55" s="150" t="s">
        <v>3</v>
      </c>
      <c r="B55" s="151">
        <v>41006</v>
      </c>
      <c r="C55" s="152">
        <v>14.940789473684211</v>
      </c>
      <c r="D55" s="152">
        <v>0.5880666971206665</v>
      </c>
      <c r="E55" s="153">
        <v>0.98064516129032253</v>
      </c>
      <c r="F55" s="161">
        <v>2717</v>
      </c>
      <c r="G55" s="158">
        <v>4530.8005304015551</v>
      </c>
      <c r="H55" s="155">
        <v>67693.736871986388</v>
      </c>
    </row>
    <row r="56" spans="1:8">
      <c r="A56" s="150" t="s">
        <v>3</v>
      </c>
      <c r="B56" s="151">
        <v>41007</v>
      </c>
      <c r="C56" s="152">
        <v>14.302752293577981</v>
      </c>
      <c r="D56" s="152">
        <v>0.56093335151672363</v>
      </c>
      <c r="E56" s="153">
        <v>0.99090909090909107</v>
      </c>
      <c r="F56" s="161">
        <v>4536</v>
      </c>
      <c r="G56" s="158">
        <v>8013.0083622414622</v>
      </c>
      <c r="H56" s="155">
        <v>114608.07373150863</v>
      </c>
    </row>
    <row r="57" spans="1:8">
      <c r="A57" s="150" t="s">
        <v>3</v>
      </c>
      <c r="B57" s="151">
        <v>41022</v>
      </c>
      <c r="C57" s="152">
        <v>15</v>
      </c>
      <c r="D57" s="152">
        <v>0.58099997043609619</v>
      </c>
      <c r="E57" s="153">
        <v>1</v>
      </c>
      <c r="F57" s="161">
        <v>730</v>
      </c>
      <c r="G57" s="158">
        <v>1256.4544529185862</v>
      </c>
      <c r="H57" s="155">
        <v>18846.816793778791</v>
      </c>
    </row>
    <row r="58" spans="1:8">
      <c r="A58" s="150" t="s">
        <v>1</v>
      </c>
      <c r="B58" s="151">
        <v>40844</v>
      </c>
      <c r="C58" s="152">
        <v>11.941176470588236</v>
      </c>
      <c r="D58" s="152">
        <v>0.46533334255218506</v>
      </c>
      <c r="E58" s="153">
        <v>0.94444444444444442</v>
      </c>
      <c r="F58" s="161">
        <v>512.21428571428567</v>
      </c>
      <c r="G58" s="158">
        <v>1039.5943988339611</v>
      </c>
      <c r="H58" s="155">
        <v>12413.980174311415</v>
      </c>
    </row>
    <row r="59" spans="1:8">
      <c r="A59" s="150" t="s">
        <v>1</v>
      </c>
      <c r="B59" s="151">
        <v>40845</v>
      </c>
      <c r="C59" s="152">
        <v>15.013333333333334</v>
      </c>
      <c r="D59" s="152">
        <v>0.46535003185272217</v>
      </c>
      <c r="E59" s="153">
        <v>0.9375</v>
      </c>
      <c r="F59" s="161">
        <v>744.64285714285711</v>
      </c>
      <c r="G59" s="158">
        <v>1500.1668223638799</v>
      </c>
      <c r="H59" s="155">
        <v>22522.504559756384</v>
      </c>
    </row>
    <row r="60" spans="1:8">
      <c r="A60" s="150" t="s">
        <v>1</v>
      </c>
      <c r="B60" s="151">
        <v>40858</v>
      </c>
      <c r="C60" s="152">
        <v>11.7</v>
      </c>
      <c r="D60" s="152">
        <v>0.45920002460479736</v>
      </c>
      <c r="E60" s="153">
        <v>0.95890410958904104</v>
      </c>
      <c r="F60" s="161">
        <v>550</v>
      </c>
      <c r="G60" s="158">
        <v>1148.5131359212535</v>
      </c>
      <c r="H60" s="155">
        <v>13437.603690278665</v>
      </c>
    </row>
    <row r="61" spans="1:8">
      <c r="A61" s="150" t="s">
        <v>1</v>
      </c>
      <c r="B61" s="151">
        <v>40859</v>
      </c>
      <c r="C61" s="152">
        <v>8.5762711864406782</v>
      </c>
      <c r="D61" s="152">
        <v>0.45920002460479736</v>
      </c>
      <c r="E61" s="153">
        <v>0.95161290322580649</v>
      </c>
      <c r="F61" s="161">
        <v>398.95652173913049</v>
      </c>
      <c r="G61" s="158">
        <v>826.76862711360832</v>
      </c>
      <c r="H61" s="155">
        <v>7090.5919545675561</v>
      </c>
    </row>
    <row r="62" spans="1:8">
      <c r="A62" s="150" t="s">
        <v>1</v>
      </c>
      <c r="B62" s="151">
        <v>40873</v>
      </c>
      <c r="C62" s="152">
        <v>14.419354838709678</v>
      </c>
      <c r="D62" s="152">
        <v>0.43809998035430908</v>
      </c>
      <c r="E62" s="153">
        <v>0.92537313432835822</v>
      </c>
      <c r="F62" s="161">
        <v>416.89655172413791</v>
      </c>
      <c r="G62" s="158">
        <v>880.58636397940552</v>
      </c>
      <c r="H62" s="155">
        <v>12697.487248348203</v>
      </c>
    </row>
    <row r="63" spans="1:8">
      <c r="A63" s="150" t="s">
        <v>1</v>
      </c>
      <c r="B63" s="151">
        <v>40899</v>
      </c>
      <c r="C63" s="152">
        <v>14.969696969696969</v>
      </c>
      <c r="D63" s="152">
        <v>0.46533334255218506</v>
      </c>
      <c r="E63" s="153">
        <v>1</v>
      </c>
      <c r="F63" s="161">
        <v>601</v>
      </c>
      <c r="G63" s="158">
        <v>1291.5472523497508</v>
      </c>
      <c r="H63" s="155">
        <v>19334.070989720509</v>
      </c>
    </row>
    <row r="64" spans="1:8">
      <c r="A64" s="150" t="s">
        <v>1</v>
      </c>
      <c r="B64" s="151">
        <v>40900</v>
      </c>
      <c r="C64" s="152">
        <v>8.0749999999999993</v>
      </c>
      <c r="D64" s="152">
        <v>0.46533334255218506</v>
      </c>
      <c r="E64" s="153">
        <v>0.93023255813953487</v>
      </c>
      <c r="F64" s="161">
        <v>793</v>
      </c>
      <c r="G64" s="158">
        <v>1585.26018049507</v>
      </c>
      <c r="H64" s="155">
        <v>12800.975957497689</v>
      </c>
    </row>
    <row r="65" spans="1:8">
      <c r="A65" s="150" t="s">
        <v>1</v>
      </c>
      <c r="B65" s="151">
        <v>40928</v>
      </c>
      <c r="C65" s="152">
        <v>7.9090909090909092</v>
      </c>
      <c r="D65" s="152">
        <v>1.4839999675750732</v>
      </c>
      <c r="E65" s="153">
        <v>0.91666666666666663</v>
      </c>
      <c r="F65" s="161">
        <v>167</v>
      </c>
      <c r="G65" s="158">
        <v>103.15588724943086</v>
      </c>
      <c r="H65" s="155">
        <v>815.86929006368052</v>
      </c>
    </row>
    <row r="66" spans="1:8">
      <c r="A66" s="150" t="s">
        <v>1</v>
      </c>
      <c r="B66" s="151">
        <v>40957</v>
      </c>
      <c r="C66" s="152">
        <v>6.1147540983606561</v>
      </c>
      <c r="D66" s="152">
        <v>0.4244999885559082</v>
      </c>
      <c r="E66" s="153">
        <v>0.83561643835616439</v>
      </c>
      <c r="F66" s="161">
        <v>944</v>
      </c>
      <c r="G66" s="158">
        <v>1858.2377834489116</v>
      </c>
      <c r="H66" s="155">
        <v>11362.667102072854</v>
      </c>
    </row>
    <row r="67" spans="1:8">
      <c r="A67" s="150" t="s">
        <v>1</v>
      </c>
      <c r="B67" s="151">
        <v>40958</v>
      </c>
      <c r="C67" s="152">
        <v>9.6610169491525415</v>
      </c>
      <c r="D67" s="152">
        <v>0.50205004215240479</v>
      </c>
      <c r="E67" s="153">
        <v>0.90769230769230769</v>
      </c>
      <c r="F67" s="161">
        <v>2529</v>
      </c>
      <c r="G67" s="158">
        <v>4572.3606282598348</v>
      </c>
      <c r="H67" s="155">
        <v>44173.653527256029</v>
      </c>
    </row>
    <row r="68" spans="1:8">
      <c r="A68" s="150" t="s">
        <v>1</v>
      </c>
      <c r="B68" s="151">
        <v>40978</v>
      </c>
      <c r="C68" s="152">
        <v>14.275862068965518</v>
      </c>
      <c r="D68" s="152">
        <v>0.51489996910095215</v>
      </c>
      <c r="E68" s="153">
        <v>0.96666666666666667</v>
      </c>
      <c r="F68" s="161">
        <v>850</v>
      </c>
      <c r="G68" s="158">
        <v>1595.7792114482909</v>
      </c>
      <c r="H68" s="155">
        <v>22781.123915158358</v>
      </c>
    </row>
    <row r="69" spans="1:8">
      <c r="A69" s="150" t="s">
        <v>1</v>
      </c>
      <c r="B69" s="151">
        <v>40979</v>
      </c>
      <c r="C69" s="152">
        <v>14.615384615384615</v>
      </c>
      <c r="D69" s="152">
        <v>0.51856660842895508</v>
      </c>
      <c r="E69" s="153">
        <v>1</v>
      </c>
      <c r="F69" s="161">
        <v>890</v>
      </c>
      <c r="G69" s="158">
        <v>1716.2693963198601</v>
      </c>
      <c r="H69" s="155">
        <v>25083.937330828725</v>
      </c>
    </row>
    <row r="70" spans="1:8">
      <c r="A70" s="150" t="s">
        <v>1</v>
      </c>
      <c r="B70" s="151">
        <v>40992</v>
      </c>
      <c r="C70" s="152">
        <v>13.774647887323944</v>
      </c>
      <c r="D70" s="152">
        <v>0.51856660842895508</v>
      </c>
      <c r="E70" s="153">
        <v>1</v>
      </c>
      <c r="F70" s="161">
        <v>1000</v>
      </c>
      <c r="G70" s="158">
        <v>1928.3925801346743</v>
      </c>
      <c r="H70" s="155">
        <v>26562.928779883259</v>
      </c>
    </row>
    <row r="71" spans="1:8">
      <c r="A71" s="150" t="s">
        <v>1</v>
      </c>
      <c r="B71" s="151">
        <v>40993</v>
      </c>
      <c r="C71" s="152">
        <v>14.783333333333333</v>
      </c>
      <c r="D71" s="152">
        <v>0.48730003833770752</v>
      </c>
      <c r="E71" s="153">
        <v>0.967741935483871</v>
      </c>
      <c r="F71" s="161">
        <v>1115</v>
      </c>
      <c r="G71" s="158">
        <v>2214.3077635399809</v>
      </c>
      <c r="H71" s="155">
        <v>32734.849770999383</v>
      </c>
    </row>
    <row r="72" spans="1:8">
      <c r="A72" s="150" t="s">
        <v>1</v>
      </c>
      <c r="B72" s="151">
        <v>41006</v>
      </c>
      <c r="C72" s="152">
        <v>15</v>
      </c>
      <c r="D72" s="152">
        <v>0.48070001602172852</v>
      </c>
      <c r="E72" s="153">
        <v>1</v>
      </c>
      <c r="F72" s="161">
        <v>2781</v>
      </c>
      <c r="G72" s="158">
        <v>5785.3128922598034</v>
      </c>
      <c r="H72" s="155">
        <v>86779.693383897044</v>
      </c>
    </row>
    <row r="73" spans="1:8">
      <c r="A73" s="150" t="s">
        <v>1</v>
      </c>
      <c r="B73" s="151">
        <v>41007</v>
      </c>
      <c r="C73" s="152">
        <v>15</v>
      </c>
      <c r="D73" s="152">
        <v>0.48730003833770752</v>
      </c>
      <c r="E73" s="153">
        <v>1</v>
      </c>
      <c r="F73" s="161">
        <v>1163</v>
      </c>
      <c r="G73" s="158">
        <v>2386.619964092883</v>
      </c>
      <c r="H73" s="155">
        <v>35799.299461393246</v>
      </c>
    </row>
    <row r="74" spans="1:8">
      <c r="A74" s="150" t="s">
        <v>1</v>
      </c>
      <c r="B74" s="151">
        <v>41008</v>
      </c>
      <c r="C74" s="152">
        <v>15.058823529411764</v>
      </c>
      <c r="D74" s="152">
        <v>0.51684999465942383</v>
      </c>
      <c r="E74" s="153">
        <v>0.98550724637681164</v>
      </c>
      <c r="F74" s="161">
        <v>1235</v>
      </c>
      <c r="G74" s="158">
        <v>2354.8446587048265</v>
      </c>
      <c r="H74" s="155">
        <v>35461.190154613854</v>
      </c>
    </row>
    <row r="75" spans="1:8">
      <c r="A75" s="150" t="s">
        <v>1</v>
      </c>
      <c r="B75" s="151">
        <v>41020</v>
      </c>
      <c r="C75" s="152">
        <v>15</v>
      </c>
      <c r="D75" s="152">
        <v>0.51856660842895508</v>
      </c>
      <c r="E75" s="153">
        <v>0.9910714285714286</v>
      </c>
      <c r="F75" s="161">
        <v>1825</v>
      </c>
      <c r="G75" s="158">
        <v>3487.8939903641217</v>
      </c>
      <c r="H75" s="155">
        <v>52318.409855461825</v>
      </c>
    </row>
    <row r="76" spans="1:8">
      <c r="A76" s="150" t="s">
        <v>1</v>
      </c>
      <c r="B76" s="151">
        <v>41021</v>
      </c>
      <c r="C76" s="152">
        <v>15</v>
      </c>
      <c r="D76" s="152">
        <v>0.48730003833770752</v>
      </c>
      <c r="E76" s="153">
        <v>1</v>
      </c>
      <c r="F76" s="161">
        <v>1318</v>
      </c>
      <c r="G76" s="158">
        <v>2704.6991510528114</v>
      </c>
      <c r="H76" s="155">
        <v>40570.487265792173</v>
      </c>
    </row>
    <row r="77" spans="1:8">
      <c r="A77" s="150" t="s">
        <v>1</v>
      </c>
      <c r="B77" s="151">
        <v>41034</v>
      </c>
      <c r="C77" s="152">
        <v>15</v>
      </c>
      <c r="D77" s="152">
        <v>0.52785003185272217</v>
      </c>
      <c r="E77" s="153">
        <v>1</v>
      </c>
      <c r="F77" s="161">
        <v>2060</v>
      </c>
      <c r="G77" s="158">
        <v>3902.6236159719892</v>
      </c>
      <c r="H77" s="155">
        <v>58539.354239579829</v>
      </c>
    </row>
    <row r="78" spans="1:8">
      <c r="A78" s="150" t="s">
        <v>1</v>
      </c>
      <c r="B78" s="151">
        <v>41035</v>
      </c>
      <c r="C78" s="152">
        <v>15</v>
      </c>
      <c r="D78" s="152">
        <v>0.51684999465942383</v>
      </c>
      <c r="E78" s="153">
        <v>1</v>
      </c>
      <c r="F78" s="161">
        <v>1858</v>
      </c>
      <c r="G78" s="158">
        <v>3594.853476247632</v>
      </c>
      <c r="H78" s="155">
        <v>53922.802143714493</v>
      </c>
    </row>
    <row r="79" spans="1:8">
      <c r="A79" s="150" t="s">
        <v>1</v>
      </c>
      <c r="B79" s="151">
        <v>41036</v>
      </c>
      <c r="C79" s="152">
        <v>15</v>
      </c>
      <c r="D79" s="152">
        <v>0.51684999465942383</v>
      </c>
      <c r="E79" s="153">
        <v>1</v>
      </c>
      <c r="F79" s="161">
        <v>1235</v>
      </c>
      <c r="G79" s="158">
        <v>2389.4747272151917</v>
      </c>
      <c r="H79" s="155">
        <v>35842.120908227873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workbookViewId="0">
      <selection activeCell="H16" sqref="H16"/>
    </sheetView>
  </sheetViews>
  <sheetFormatPr defaultRowHeight="15"/>
  <cols>
    <col min="1" max="1" width="18.42578125" customWidth="1"/>
    <col min="2" max="2" width="5.42578125" customWidth="1"/>
    <col min="3" max="3" width="7.7109375" style="1" customWidth="1"/>
    <col min="4" max="4" width="9.140625" style="1"/>
    <col min="5" max="5" width="3.7109375" style="1" customWidth="1"/>
    <col min="6" max="6" width="12.7109375" customWidth="1"/>
    <col min="7" max="7" width="3.7109375" customWidth="1"/>
    <col min="8" max="8" width="12.7109375" customWidth="1"/>
    <col min="9" max="9" width="3.7109375" customWidth="1"/>
    <col min="10" max="10" width="12.7109375" customWidth="1"/>
    <col min="11" max="11" width="3.7109375" customWidth="1"/>
    <col min="12" max="12" width="12.7109375" customWidth="1"/>
    <col min="13" max="13" width="3.7109375" customWidth="1"/>
    <col min="14" max="14" width="12.7109375" customWidth="1"/>
    <col min="15" max="15" width="11.140625" bestFit="1" customWidth="1"/>
  </cols>
  <sheetData>
    <row r="1" spans="1:15">
      <c r="A1" s="14" t="s">
        <v>8</v>
      </c>
      <c r="B1" s="14" t="s">
        <v>5</v>
      </c>
      <c r="C1" s="14" t="s">
        <v>6</v>
      </c>
      <c r="D1" s="14" t="s">
        <v>7</v>
      </c>
      <c r="E1" s="132" t="s">
        <v>0</v>
      </c>
      <c r="F1" s="132"/>
      <c r="G1" s="132" t="s">
        <v>1</v>
      </c>
      <c r="H1" s="132"/>
      <c r="I1" s="132" t="s">
        <v>2</v>
      </c>
      <c r="J1" s="132"/>
      <c r="K1" s="132" t="s">
        <v>3</v>
      </c>
      <c r="L1" s="132"/>
      <c r="M1" s="132" t="s">
        <v>4</v>
      </c>
      <c r="N1" s="132"/>
      <c r="O1" s="17" t="s">
        <v>22</v>
      </c>
    </row>
    <row r="2" spans="1:15">
      <c r="A2" s="5">
        <v>40844</v>
      </c>
      <c r="B2" s="6">
        <f>+A2</f>
        <v>40844</v>
      </c>
      <c r="C2" s="98">
        <v>-1.8</v>
      </c>
      <c r="D2" s="7">
        <v>0.85277777777777775</v>
      </c>
      <c r="E2" s="60"/>
      <c r="F2" s="10">
        <f>+Harvest!F2/Effort!F2</f>
        <v>13.297872340425531</v>
      </c>
      <c r="G2" s="61"/>
      <c r="H2" s="10">
        <f>+Harvest!H2/Effort!H2</f>
        <v>11.941176470588232</v>
      </c>
      <c r="I2" s="61"/>
      <c r="J2" s="10">
        <f>+Harvest!J2/Effort!J2</f>
        <v>13.097560975609756</v>
      </c>
      <c r="K2" s="8"/>
      <c r="L2" s="10">
        <f>+Harvest!L2/Effort!L2</f>
        <v>14.365384615384613</v>
      </c>
      <c r="M2" s="62"/>
      <c r="N2" s="9" t="s">
        <v>16</v>
      </c>
      <c r="O2" s="49">
        <f>Harvest!O2/Effort!O2</f>
        <v>13.174011205406474</v>
      </c>
    </row>
    <row r="3" spans="1:15">
      <c r="A3" s="5">
        <v>40845</v>
      </c>
      <c r="B3" s="6">
        <f t="shared" ref="B3" si="0">+A3</f>
        <v>40845</v>
      </c>
      <c r="C3" s="16">
        <v>-1.5</v>
      </c>
      <c r="D3" s="15">
        <v>0.88680555555555562</v>
      </c>
      <c r="E3" s="66"/>
      <c r="F3" s="10">
        <f>+Harvest!F3/Effort!F3</f>
        <v>14.506666666666662</v>
      </c>
      <c r="G3" s="9"/>
      <c r="H3" s="10">
        <f>+Harvest!H3/Effort!H3</f>
        <v>15.013333333333334</v>
      </c>
      <c r="I3" s="9"/>
      <c r="J3" s="10">
        <f>+Harvest!J3/Effort!J3</f>
        <v>14.999999999999998</v>
      </c>
      <c r="K3" s="9"/>
      <c r="L3" s="10">
        <f>+Harvest!L3/Effort!L3</f>
        <v>12.844827586206895</v>
      </c>
      <c r="M3" s="9"/>
      <c r="N3" s="9" t="s">
        <v>16</v>
      </c>
      <c r="O3" s="49">
        <f>Harvest!O3/Effort!O3</f>
        <v>14.474879651898922</v>
      </c>
    </row>
    <row r="4" spans="1:15">
      <c r="A4" s="5"/>
      <c r="B4" s="6"/>
      <c r="C4" s="16"/>
      <c r="D4" s="15"/>
      <c r="E4" s="2"/>
      <c r="F4" s="10"/>
      <c r="G4" s="2"/>
      <c r="H4" s="10"/>
      <c r="I4" s="2"/>
      <c r="J4" s="10"/>
      <c r="K4" s="2"/>
      <c r="L4" s="10"/>
      <c r="M4" s="2"/>
      <c r="N4" s="10"/>
      <c r="O4" s="49"/>
    </row>
    <row r="5" spans="1:15">
      <c r="A5" s="5">
        <v>40858</v>
      </c>
      <c r="B5" s="6">
        <f t="shared" ref="B5:B9" si="1">+A5</f>
        <v>40858</v>
      </c>
      <c r="C5" s="16">
        <v>-0.4</v>
      </c>
      <c r="D5" s="15">
        <v>0.78333333333333333</v>
      </c>
      <c r="E5" s="4"/>
      <c r="F5" s="10">
        <f>+Harvest!F5/Effort!F5</f>
        <v>14.056179775280897</v>
      </c>
      <c r="G5" s="9"/>
      <c r="H5" s="10">
        <f>+Harvest!H5/Effort!H5</f>
        <v>11.7</v>
      </c>
      <c r="I5" s="9"/>
      <c r="J5" s="9" t="s">
        <v>16</v>
      </c>
      <c r="K5" s="9"/>
      <c r="L5" s="10">
        <f>+Harvest!L5/Effort!L5</f>
        <v>14.011363636363637</v>
      </c>
      <c r="M5" s="2"/>
      <c r="N5" s="9" t="s">
        <v>16</v>
      </c>
      <c r="O5" s="49">
        <f>Harvest!O5/Effort!O5</f>
        <v>13.413621563890931</v>
      </c>
    </row>
    <row r="6" spans="1:15">
      <c r="A6" s="5">
        <v>40859</v>
      </c>
      <c r="B6" s="6">
        <f t="shared" si="1"/>
        <v>40859</v>
      </c>
      <c r="C6" s="16">
        <v>-0.4</v>
      </c>
      <c r="D6" s="15">
        <v>0.80763888888888891</v>
      </c>
      <c r="E6" s="3"/>
      <c r="F6" s="10">
        <f>+Harvest!F6/Effort!F6</f>
        <v>3.8181818181818183</v>
      </c>
      <c r="G6" s="9"/>
      <c r="H6" s="10">
        <f>+Harvest!H6/Effort!H6</f>
        <v>8.5762711864406782</v>
      </c>
      <c r="I6" s="9"/>
      <c r="J6" s="9" t="s">
        <v>16</v>
      </c>
      <c r="K6" s="9"/>
      <c r="L6" s="10">
        <f>+Harvest!L6/Effort!L6</f>
        <v>10.80722891566265</v>
      </c>
      <c r="M6" s="2"/>
      <c r="N6" s="9" t="s">
        <v>16</v>
      </c>
      <c r="O6" s="49">
        <f>Harvest!O6/Effort!O6</f>
        <v>7.7261264196508828</v>
      </c>
    </row>
    <row r="7" spans="1:15">
      <c r="A7" s="5"/>
      <c r="B7" s="6"/>
      <c r="C7" s="16"/>
      <c r="D7" s="15"/>
      <c r="E7" s="3"/>
      <c r="F7" s="10"/>
      <c r="G7" s="2"/>
      <c r="H7" s="10"/>
      <c r="I7" s="2"/>
      <c r="J7" s="10"/>
      <c r="K7" s="2"/>
      <c r="L7" s="10"/>
      <c r="M7" s="2"/>
      <c r="N7" s="10"/>
      <c r="O7" s="49"/>
    </row>
    <row r="8" spans="1:15">
      <c r="A8" s="5">
        <v>40872</v>
      </c>
      <c r="B8" s="6">
        <f t="shared" si="1"/>
        <v>40872</v>
      </c>
      <c r="C8" s="16">
        <v>-1.9</v>
      </c>
      <c r="D8" s="15">
        <v>0.76874999999999993</v>
      </c>
      <c r="F8" s="10">
        <f>+Harvest!F8/Effort!F8</f>
        <v>13.598130841121495</v>
      </c>
      <c r="G8" s="116" t="s">
        <v>61</v>
      </c>
      <c r="H8" s="10">
        <f>+Harvest!H8/Effort!H8</f>
        <v>12.669666182483102</v>
      </c>
      <c r="I8" s="9"/>
      <c r="J8" s="10">
        <f>+Harvest!J8/Effort!J8</f>
        <v>14.618421052631579</v>
      </c>
      <c r="K8" s="9"/>
      <c r="L8" s="10">
        <f>+Harvest!L8/Effort!L8</f>
        <v>14.351063829787233</v>
      </c>
      <c r="N8" s="9" t="s">
        <v>16</v>
      </c>
      <c r="O8" s="49">
        <f>Harvest!O8/Effort!O8</f>
        <v>13.885986477421975</v>
      </c>
    </row>
    <row r="9" spans="1:15">
      <c r="A9" s="5">
        <v>40873</v>
      </c>
      <c r="B9" s="6">
        <f t="shared" si="1"/>
        <v>40873</v>
      </c>
      <c r="C9" s="16">
        <v>-1.8</v>
      </c>
      <c r="D9" s="15">
        <v>0.80138888888888893</v>
      </c>
      <c r="E9" s="2"/>
      <c r="F9" s="10">
        <f>+Harvest!F9/Effort!F9</f>
        <v>15.038461538461537</v>
      </c>
      <c r="G9" s="9"/>
      <c r="H9" s="10">
        <f>+Harvest!H9/Effort!H9</f>
        <v>14.419354838709678</v>
      </c>
      <c r="I9" s="9"/>
      <c r="J9" s="9" t="s">
        <v>16</v>
      </c>
      <c r="K9" s="9"/>
      <c r="L9" s="10">
        <f>+Harvest!L9/Effort!L9</f>
        <v>15.000000000000002</v>
      </c>
      <c r="N9" s="9" t="s">
        <v>16</v>
      </c>
      <c r="O9" s="49">
        <f>Harvest!O9/Effort!O9</f>
        <v>14.930299334601251</v>
      </c>
    </row>
    <row r="10" spans="1:15">
      <c r="A10" s="59"/>
      <c r="B10" s="6"/>
      <c r="C10" s="64"/>
      <c r="D10" s="65"/>
      <c r="F10" s="9"/>
      <c r="H10" s="10"/>
      <c r="J10" s="9"/>
      <c r="L10" s="9"/>
      <c r="N10" s="9"/>
      <c r="O10" s="49"/>
    </row>
    <row r="11" spans="1:15">
      <c r="A11" s="59">
        <v>40887</v>
      </c>
      <c r="B11" s="6">
        <f t="shared" ref="B11" si="2">+A11</f>
        <v>40887</v>
      </c>
      <c r="C11" s="64">
        <v>-0.5</v>
      </c>
      <c r="D11" s="65">
        <v>0.77083333333333337</v>
      </c>
      <c r="F11" s="10">
        <f>+Harvest!F11/Effort!F11</f>
        <v>7.2388059701492526</v>
      </c>
      <c r="G11" s="116" t="s">
        <v>61</v>
      </c>
      <c r="H11" s="10">
        <f>+Harvest!H11/Effort!H11</f>
        <v>11.180928462380264</v>
      </c>
      <c r="J11" s="10">
        <f>+Harvest!J11/Effort!J11</f>
        <v>13.327586206896552</v>
      </c>
      <c r="L11" s="10">
        <f>+Harvest!L11/Effort!L11</f>
        <v>15.041666666666666</v>
      </c>
      <c r="N11" s="9" t="s">
        <v>16</v>
      </c>
      <c r="O11" s="49">
        <f>Harvest!O11/Effort!O11</f>
        <v>11.275301767342588</v>
      </c>
    </row>
    <row r="12" spans="1:15">
      <c r="A12" s="59"/>
      <c r="B12" s="6"/>
      <c r="C12" s="64"/>
      <c r="D12" s="65"/>
      <c r="E12" s="92"/>
      <c r="F12" s="10"/>
      <c r="G12" s="2"/>
      <c r="H12" s="10"/>
      <c r="J12" s="9"/>
      <c r="L12" s="9"/>
      <c r="N12" s="9"/>
      <c r="O12" s="49"/>
    </row>
    <row r="13" spans="1:15">
      <c r="A13" s="59">
        <v>40899</v>
      </c>
      <c r="B13" s="6">
        <f t="shared" ref="B13:B14" si="3">+A13</f>
        <v>40899</v>
      </c>
      <c r="C13" s="64">
        <v>-0.9</v>
      </c>
      <c r="D13" s="15">
        <v>0.69444444444444453</v>
      </c>
      <c r="F13" s="10">
        <f>+Harvest!F13/Effort!F13</f>
        <v>15.08064516129032</v>
      </c>
      <c r="H13" s="10">
        <f>+Harvest!H13/Effort!H13</f>
        <v>14.969696969696967</v>
      </c>
      <c r="J13" s="10">
        <f>+Harvest!J13/Effort!J13</f>
        <v>14.80263157894737</v>
      </c>
      <c r="L13" s="10">
        <f>+Harvest!L13/Effort!L13</f>
        <v>8.9103575878794281</v>
      </c>
      <c r="N13" s="9" t="s">
        <v>16</v>
      </c>
      <c r="O13" s="49">
        <f>Harvest!O13/Effort!O13</f>
        <v>13.06570951223304</v>
      </c>
    </row>
    <row r="14" spans="1:15">
      <c r="A14" s="59">
        <v>40900</v>
      </c>
      <c r="B14" s="6">
        <f t="shared" si="3"/>
        <v>40900</v>
      </c>
      <c r="C14" s="64">
        <v>-1.4</v>
      </c>
      <c r="D14" s="65">
        <v>0.7284722222222223</v>
      </c>
      <c r="E14" s="116" t="s">
        <v>61</v>
      </c>
      <c r="F14" s="10">
        <f>+Harvest!F14/Effort!F14</f>
        <v>8.390139770921186</v>
      </c>
      <c r="H14" s="10">
        <f>+Harvest!H14/Effort!H14</f>
        <v>8.0749999999999993</v>
      </c>
      <c r="J14" s="10">
        <f>+Harvest!J14/Effort!J14</f>
        <v>4.2745098039215685</v>
      </c>
      <c r="L14" s="10">
        <f>+Harvest!L14/Effort!L14</f>
        <v>9.7886677458863893</v>
      </c>
      <c r="N14" s="9" t="s">
        <v>16</v>
      </c>
      <c r="O14" s="49">
        <f>Harvest!O14/Effort!O14</f>
        <v>7.2691272715092632</v>
      </c>
    </row>
    <row r="15" spans="1:15">
      <c r="A15" s="59"/>
      <c r="B15" s="6"/>
      <c r="C15" s="64"/>
      <c r="D15" s="65"/>
      <c r="F15" s="9"/>
      <c r="H15" s="10"/>
      <c r="J15" s="9"/>
      <c r="L15" s="9"/>
      <c r="N15" s="9"/>
      <c r="O15" s="49"/>
    </row>
    <row r="16" spans="1:15">
      <c r="A16" s="59">
        <v>40928</v>
      </c>
      <c r="B16" s="6">
        <f t="shared" ref="B16:B17" si="4">+A16</f>
        <v>40928</v>
      </c>
      <c r="C16" s="64">
        <v>-0.5</v>
      </c>
      <c r="D16" s="65">
        <v>0.68611111111111101</v>
      </c>
      <c r="F16" s="10">
        <f>+Harvest!F16/Effort!F16</f>
        <v>7.1707317073170742</v>
      </c>
      <c r="H16" s="10">
        <f>+Harvest!H16/Effort!H16</f>
        <v>7.9090909090909101</v>
      </c>
      <c r="J16" s="10">
        <f>+Harvest!J16/Effort!J16</f>
        <v>6.9444444444444446</v>
      </c>
      <c r="L16" s="10">
        <f>+Harvest!L16/Effort!L16</f>
        <v>13.333333333333334</v>
      </c>
      <c r="N16" s="9" t="s">
        <v>16</v>
      </c>
      <c r="O16" s="49">
        <f>Harvest!O16/Effort!O16</f>
        <v>7.6027867866330485</v>
      </c>
    </row>
    <row r="17" spans="1:15">
      <c r="A17" s="59">
        <v>40929</v>
      </c>
      <c r="B17" s="6">
        <f t="shared" si="4"/>
        <v>40929</v>
      </c>
      <c r="C17" s="64">
        <v>-0.8</v>
      </c>
      <c r="D17" s="65">
        <v>0.72013888888888899</v>
      </c>
      <c r="F17" s="10">
        <f>+Harvest!F17/Effort!F17</f>
        <v>11.484712285528774</v>
      </c>
      <c r="H17" s="10">
        <f>+Harvest!H17/Effort!H17</f>
        <v>13.654014187394814</v>
      </c>
      <c r="J17" s="10">
        <f>+Harvest!J17/Effort!J17</f>
        <v>12.387755102040817</v>
      </c>
      <c r="L17" s="10">
        <f>+Harvest!L17/Effort!L17</f>
        <v>17.723925182376853</v>
      </c>
      <c r="N17" s="9" t="s">
        <v>16</v>
      </c>
      <c r="O17" s="49">
        <f>Harvest!O17/Effort!O17</f>
        <v>13.726659550485888</v>
      </c>
    </row>
    <row r="18" spans="1:15">
      <c r="A18" s="59"/>
      <c r="B18" s="6"/>
      <c r="C18" s="64"/>
      <c r="D18" s="65"/>
      <c r="F18" s="9"/>
      <c r="H18" s="10"/>
      <c r="I18" s="69"/>
      <c r="J18" s="9"/>
      <c r="K18" s="69"/>
      <c r="L18" s="9"/>
      <c r="N18" s="9"/>
      <c r="O18" s="49"/>
    </row>
    <row r="19" spans="1:15">
      <c r="A19" s="59">
        <v>40957</v>
      </c>
      <c r="B19" s="6">
        <f t="shared" ref="B19:B20" si="5">+A19</f>
        <v>40957</v>
      </c>
      <c r="C19" s="64">
        <v>0</v>
      </c>
      <c r="D19" s="65">
        <v>0.67569444444444438</v>
      </c>
      <c r="F19" s="10">
        <f>+Harvest!F19/Effort!F19</f>
        <v>8.4124999999999996</v>
      </c>
      <c r="H19" s="10">
        <f>+Harvest!H19/Effort!H19</f>
        <v>6.1147540983606561</v>
      </c>
      <c r="I19" s="69"/>
      <c r="J19" s="9" t="s">
        <v>16</v>
      </c>
      <c r="K19" s="69"/>
      <c r="L19" s="10">
        <f>+Harvest!L19/Effort!L19</f>
        <v>8.203125</v>
      </c>
      <c r="N19" s="9" t="s">
        <v>16</v>
      </c>
      <c r="O19" s="49">
        <f>Harvest!O19/Effort!O19</f>
        <v>8.0395864697760384</v>
      </c>
    </row>
    <row r="20" spans="1:15">
      <c r="A20" s="59">
        <v>40958</v>
      </c>
      <c r="B20" s="6">
        <f t="shared" si="5"/>
        <v>40958</v>
      </c>
      <c r="C20" s="68">
        <v>-0.2</v>
      </c>
      <c r="D20" s="65">
        <v>0.70833333333333337</v>
      </c>
      <c r="F20" s="10">
        <f>+Harvest!F20/Effort!F20</f>
        <v>14.906976744186048</v>
      </c>
      <c r="H20" s="10">
        <f>+Harvest!H20/Effort!H20</f>
        <v>9.6610169491525415</v>
      </c>
      <c r="I20" s="69"/>
      <c r="J20" s="9" t="s">
        <v>16</v>
      </c>
      <c r="K20" s="69"/>
      <c r="L20" s="10">
        <f>+Harvest!L20/Effort!L20</f>
        <v>14.101123595505616</v>
      </c>
      <c r="N20" s="9" t="s">
        <v>16</v>
      </c>
      <c r="O20" s="49">
        <f>Harvest!O20/Effort!O20</f>
        <v>13.553724959824249</v>
      </c>
    </row>
    <row r="21" spans="1:15">
      <c r="A21" s="59"/>
      <c r="B21" s="6"/>
      <c r="C21" s="64"/>
      <c r="D21" s="65"/>
      <c r="F21" s="10"/>
      <c r="H21" s="10"/>
      <c r="I21" s="69"/>
      <c r="J21" s="10"/>
      <c r="K21" s="69"/>
      <c r="L21" s="10"/>
      <c r="N21" s="10"/>
      <c r="O21" s="49"/>
    </row>
    <row r="22" spans="1:15">
      <c r="A22" s="59">
        <v>40978</v>
      </c>
      <c r="B22" s="6">
        <f t="shared" ref="B22:B23" si="6">+A22</f>
        <v>40978</v>
      </c>
      <c r="C22" s="64">
        <v>-0.3</v>
      </c>
      <c r="D22" s="15">
        <v>0.31875000000000003</v>
      </c>
      <c r="F22" s="10">
        <f>+Harvest!F22/Effort!F22</f>
        <v>11.55952380952381</v>
      </c>
      <c r="H22" s="10">
        <f>+Harvest!H22/Effort!H22</f>
        <v>14.275862068965516</v>
      </c>
      <c r="J22" s="10">
        <f>+Harvest!J22/Effort!J22</f>
        <v>12.761904761904763</v>
      </c>
      <c r="L22" s="10">
        <f>+Harvest!L22/Effort!L22</f>
        <v>12.03174603174603</v>
      </c>
      <c r="N22" s="9" t="s">
        <v>16</v>
      </c>
      <c r="O22" s="49">
        <f>Harvest!O22/Effort!O22</f>
        <v>12.330446465557001</v>
      </c>
    </row>
    <row r="23" spans="1:15">
      <c r="A23" s="59">
        <v>40979</v>
      </c>
      <c r="B23" s="6">
        <f t="shared" si="6"/>
        <v>40979</v>
      </c>
      <c r="C23" s="64">
        <v>-0.4</v>
      </c>
      <c r="D23" s="65">
        <v>0.39444444444444443</v>
      </c>
      <c r="F23" s="10">
        <f>+Harvest!F23/Effort!F23</f>
        <v>11.234567901234566</v>
      </c>
      <c r="H23" s="10">
        <f>+Harvest!H23/Effort!H23</f>
        <v>14.615384615384615</v>
      </c>
      <c r="J23" s="10">
        <f>+Harvest!J23/Effort!J23</f>
        <v>14.506172839506172</v>
      </c>
      <c r="L23" s="10">
        <f>+Harvest!L23/Effort!L23</f>
        <v>12.409090909090908</v>
      </c>
      <c r="N23" s="9" t="s">
        <v>16</v>
      </c>
      <c r="O23" s="49">
        <f>Harvest!O23/Effort!O23</f>
        <v>12.63472446751789</v>
      </c>
    </row>
    <row r="24" spans="1:15">
      <c r="A24" s="59"/>
      <c r="B24" s="6"/>
      <c r="D24" s="65"/>
      <c r="E24" s="64"/>
      <c r="F24" s="10"/>
      <c r="G24" s="67"/>
      <c r="H24" s="10"/>
      <c r="I24" s="67"/>
      <c r="J24" s="9"/>
      <c r="K24" s="67"/>
      <c r="L24" s="9"/>
      <c r="M24" s="67"/>
      <c r="N24" s="9"/>
      <c r="O24" s="49"/>
    </row>
    <row r="25" spans="1:15">
      <c r="A25" s="59">
        <v>40992</v>
      </c>
      <c r="B25" s="6">
        <f t="shared" ref="B25:B26" si="7">+A25</f>
        <v>40992</v>
      </c>
      <c r="C25" s="64">
        <v>0.3</v>
      </c>
      <c r="D25" s="65">
        <v>0.35069444444444442</v>
      </c>
      <c r="E25" s="64"/>
      <c r="F25" s="10">
        <f>+Harvest!F25/Effort!F25</f>
        <v>14.542372881355933</v>
      </c>
      <c r="H25" s="10">
        <f>+Harvest!H25/Effort!H25</f>
        <v>13.774647887323944</v>
      </c>
      <c r="J25" s="10">
        <f>+Harvest!J25/Effort!J25</f>
        <v>14.6025641025641</v>
      </c>
      <c r="L25" s="10">
        <f>+Harvest!L25/Effort!L25</f>
        <v>14.941747572815531</v>
      </c>
      <c r="M25" s="67"/>
      <c r="N25" s="9" t="s">
        <v>16</v>
      </c>
      <c r="O25" s="49">
        <f>Harvest!O25/Effort!O25</f>
        <v>14.534634174541765</v>
      </c>
    </row>
    <row r="26" spans="1:15">
      <c r="A26" s="59">
        <v>40993</v>
      </c>
      <c r="B26" s="6">
        <f t="shared" si="7"/>
        <v>40993</v>
      </c>
      <c r="C26" s="64">
        <v>0.3</v>
      </c>
      <c r="D26" s="65">
        <v>0.3743055555555555</v>
      </c>
      <c r="E26" s="64"/>
      <c r="F26" s="10">
        <f>+Harvest!F26/Effort!F26</f>
        <v>8.5000000000000018</v>
      </c>
      <c r="H26" s="10">
        <f>+Harvest!H26/Effort!H26</f>
        <v>14.783333333333333</v>
      </c>
      <c r="I26" s="69"/>
      <c r="J26" s="9" t="s">
        <v>16</v>
      </c>
      <c r="K26" s="69"/>
      <c r="L26" s="10">
        <f>+Harvest!L26/Effort!L26</f>
        <v>14.824561403508774</v>
      </c>
      <c r="M26" s="67"/>
      <c r="N26" s="9" t="s">
        <v>16</v>
      </c>
      <c r="O26" s="49">
        <f>Harvest!O26/Effort!O26</f>
        <v>11.688623820696327</v>
      </c>
    </row>
    <row r="27" spans="1:15">
      <c r="A27" s="59"/>
      <c r="B27" s="70"/>
      <c r="C27" s="64"/>
      <c r="D27" s="65"/>
      <c r="F27" s="10"/>
      <c r="H27" s="10"/>
      <c r="J27" s="10"/>
      <c r="K27" s="69"/>
      <c r="L27" s="10"/>
      <c r="M27" s="67"/>
      <c r="N27" s="10"/>
      <c r="O27" s="19"/>
    </row>
    <row r="28" spans="1:15">
      <c r="A28" s="59">
        <v>41006</v>
      </c>
      <c r="B28" s="6">
        <f t="shared" ref="B28:B30" si="8">+A28</f>
        <v>41006</v>
      </c>
      <c r="C28" s="68">
        <v>-1.2</v>
      </c>
      <c r="D28" s="65">
        <v>0.31666666666666665</v>
      </c>
      <c r="F28" s="10">
        <f>+Harvest!F28/Effort!F28</f>
        <v>14.999999999999998</v>
      </c>
      <c r="G28" s="2"/>
      <c r="H28" s="10">
        <f>+Harvest!H28/Effort!H28</f>
        <v>14.999999999999998</v>
      </c>
      <c r="J28" s="10">
        <f>+Harvest!J28/Effort!J28</f>
        <v>15</v>
      </c>
      <c r="K28" s="69"/>
      <c r="L28" s="10">
        <f>+Harvest!L28/Effort!L28</f>
        <v>14.940789473684209</v>
      </c>
      <c r="M28" s="67"/>
      <c r="N28" s="10">
        <f>+Harvest!N28/Effort!N28</f>
        <v>1</v>
      </c>
      <c r="O28" s="10">
        <f>+Harvest!O28/Effort!O28</f>
        <v>13.3106640335308</v>
      </c>
    </row>
    <row r="29" spans="1:15">
      <c r="A29" s="59">
        <v>41007</v>
      </c>
      <c r="B29" s="6">
        <f t="shared" si="8"/>
        <v>41007</v>
      </c>
      <c r="C29" s="64">
        <v>-1.5</v>
      </c>
      <c r="D29" s="65">
        <v>0.34930555555555554</v>
      </c>
      <c r="F29" s="10">
        <f>+Harvest!F29/Effort!F29</f>
        <v>13.671052631578945</v>
      </c>
      <c r="G29" s="99"/>
      <c r="H29" s="10">
        <f>+Harvest!H29/Effort!H29</f>
        <v>15</v>
      </c>
      <c r="J29" s="9" t="s">
        <v>16</v>
      </c>
      <c r="K29" s="67"/>
      <c r="L29" s="10">
        <f>+Harvest!L29/Effort!L29</f>
        <v>14.302752293577983</v>
      </c>
      <c r="M29" s="67"/>
      <c r="N29" s="10">
        <f>+Harvest!N29/Effort!N29</f>
        <v>1</v>
      </c>
      <c r="O29" s="10">
        <f>+Harvest!O29/Effort!O29</f>
        <v>13.877257030849321</v>
      </c>
    </row>
    <row r="30" spans="1:15">
      <c r="A30" s="59">
        <v>41008</v>
      </c>
      <c r="B30" s="6">
        <f t="shared" si="8"/>
        <v>41008</v>
      </c>
      <c r="C30" s="64">
        <v>-1.5</v>
      </c>
      <c r="D30" s="65">
        <v>0.38263888888888892</v>
      </c>
      <c r="F30" s="10">
        <f>+Harvest!F30/Effort!F30</f>
        <v>13.952095808383234</v>
      </c>
      <c r="G30" s="99"/>
      <c r="H30" s="10">
        <f>+Harvest!H30/Effort!H30</f>
        <v>15.058823529411763</v>
      </c>
      <c r="J30" s="9" t="s">
        <v>16</v>
      </c>
      <c r="K30" s="67"/>
      <c r="L30" s="9" t="s">
        <v>16</v>
      </c>
      <c r="M30" s="67"/>
      <c r="N30" s="10">
        <f>+Harvest!N30/Effort!N30</f>
        <v>1</v>
      </c>
      <c r="O30" s="10">
        <f>+Harvest!O30/Effort!O30</f>
        <v>13.207779678063213</v>
      </c>
    </row>
    <row r="31" spans="1:15">
      <c r="A31" s="59"/>
      <c r="B31" s="70"/>
      <c r="C31" s="68"/>
      <c r="D31" s="65"/>
      <c r="F31" s="10"/>
      <c r="H31" s="10"/>
      <c r="J31" s="9"/>
      <c r="K31" s="67"/>
      <c r="L31" s="9"/>
      <c r="M31" s="67"/>
      <c r="N31" s="9"/>
      <c r="O31" s="19"/>
    </row>
    <row r="32" spans="1:15">
      <c r="A32" s="59">
        <v>41020</v>
      </c>
      <c r="B32" s="6">
        <f t="shared" ref="B32:B33" si="9">+A32</f>
        <v>41020</v>
      </c>
      <c r="C32" s="68">
        <v>-0.3</v>
      </c>
      <c r="D32" s="65">
        <v>0.31111111111111112</v>
      </c>
      <c r="E32" s="64"/>
      <c r="F32" s="10">
        <f>+Harvest!F32/Effort!F32</f>
        <v>15</v>
      </c>
      <c r="G32" s="99"/>
      <c r="H32" s="10">
        <f>+Harvest!H32/Effort!H32</f>
        <v>15</v>
      </c>
      <c r="I32" s="67"/>
      <c r="J32" s="9" t="s">
        <v>16</v>
      </c>
      <c r="K32" s="67"/>
      <c r="L32" s="9" t="s">
        <v>16</v>
      </c>
      <c r="M32" s="67"/>
      <c r="N32" s="9" t="s">
        <v>16</v>
      </c>
      <c r="O32" s="10">
        <f>+Harvest!O32/Effort!O32</f>
        <v>14.999999999999996</v>
      </c>
    </row>
    <row r="33" spans="1:15">
      <c r="A33" s="59">
        <v>41021</v>
      </c>
      <c r="B33" s="6">
        <f t="shared" si="9"/>
        <v>41021</v>
      </c>
      <c r="C33" s="64">
        <v>-0.4</v>
      </c>
      <c r="D33" s="65">
        <v>0.33402777777777781</v>
      </c>
      <c r="E33" s="64"/>
      <c r="F33" s="10">
        <f>+Harvest!F33/Effort!F33</f>
        <v>15</v>
      </c>
      <c r="G33" s="99"/>
      <c r="H33" s="10">
        <f>+Harvest!H33/Effort!H33</f>
        <v>15</v>
      </c>
      <c r="I33" s="69"/>
      <c r="J33" s="9" t="s">
        <v>16</v>
      </c>
      <c r="K33" s="67"/>
      <c r="L33" s="9" t="s">
        <v>16</v>
      </c>
      <c r="M33" s="69"/>
      <c r="N33" s="9" t="s">
        <v>16</v>
      </c>
      <c r="O33" s="10">
        <f>+Harvest!O33/Effort!O33</f>
        <v>15.000000000000004</v>
      </c>
    </row>
    <row r="34" spans="1:15">
      <c r="A34" s="59">
        <v>41022</v>
      </c>
      <c r="B34" s="6">
        <v>41021</v>
      </c>
      <c r="C34" s="64">
        <v>-0.4</v>
      </c>
      <c r="D34" s="65">
        <v>0.3576388888888889</v>
      </c>
      <c r="E34" s="64"/>
      <c r="F34" s="10">
        <f>+Harvest!F34/Effort!F34</f>
        <v>15</v>
      </c>
      <c r="G34" s="99"/>
      <c r="H34" s="10">
        <f>+Harvest!H34/Effort!H34</f>
        <v>15.000000000000002</v>
      </c>
      <c r="I34" s="69"/>
      <c r="J34" s="10">
        <f>+Harvest!J34/Effort!J34</f>
        <v>14.999999999999996</v>
      </c>
      <c r="K34" s="69"/>
      <c r="L34" s="10">
        <f>+Harvest!L34/Effort!L34</f>
        <v>14.999999999999998</v>
      </c>
      <c r="M34" s="67"/>
      <c r="N34" s="9" t="s">
        <v>16</v>
      </c>
      <c r="O34" s="10">
        <f>+Harvest!O34/Effort!O34</f>
        <v>15.000000000000004</v>
      </c>
    </row>
    <row r="35" spans="1:15">
      <c r="A35" s="59"/>
      <c r="B35" s="6"/>
      <c r="C35" s="64"/>
      <c r="D35" s="65"/>
      <c r="F35" s="9"/>
      <c r="G35" s="69"/>
      <c r="H35" s="10"/>
      <c r="J35" s="9"/>
      <c r="K35" s="69"/>
      <c r="L35" s="10"/>
      <c r="M35" s="69"/>
      <c r="N35" s="9"/>
      <c r="O35" s="19"/>
    </row>
    <row r="36" spans="1:15">
      <c r="A36" s="59">
        <v>41034</v>
      </c>
      <c r="B36" s="6">
        <v>41034</v>
      </c>
      <c r="C36" s="64">
        <v>-1.5</v>
      </c>
      <c r="D36" s="65">
        <v>0.27152777777777776</v>
      </c>
      <c r="F36" s="9" t="s">
        <v>16</v>
      </c>
      <c r="G36" s="69"/>
      <c r="H36" s="10">
        <f>+Harvest!H36/Effort!H36</f>
        <v>14.999999999999998</v>
      </c>
      <c r="J36" s="9" t="s">
        <v>16</v>
      </c>
      <c r="K36" s="69"/>
      <c r="L36" s="9" t="s">
        <v>16</v>
      </c>
      <c r="M36" s="69"/>
      <c r="N36" s="9" t="s">
        <v>16</v>
      </c>
      <c r="O36" s="10">
        <f>+Harvest!O36/Effort!O36</f>
        <v>14.999999999999998</v>
      </c>
    </row>
    <row r="37" spans="1:15">
      <c r="A37" s="59">
        <v>41035</v>
      </c>
      <c r="B37" s="6">
        <v>41035</v>
      </c>
      <c r="C37" s="64">
        <v>-2.1</v>
      </c>
      <c r="D37" s="65">
        <v>0.30486111111111108</v>
      </c>
      <c r="F37" s="9" t="s">
        <v>16</v>
      </c>
      <c r="G37" s="69"/>
      <c r="H37" s="10">
        <f>+Harvest!H37/Effort!H37</f>
        <v>15.000000000000004</v>
      </c>
      <c r="J37" s="9" t="s">
        <v>16</v>
      </c>
      <c r="K37" s="69"/>
      <c r="L37" s="9" t="s">
        <v>16</v>
      </c>
      <c r="M37" s="69"/>
      <c r="N37" s="9" t="s">
        <v>16</v>
      </c>
      <c r="O37" s="10">
        <f>+Harvest!O37/Effort!O37</f>
        <v>15.000000000000004</v>
      </c>
    </row>
    <row r="38" spans="1:15">
      <c r="A38" s="59">
        <v>41036</v>
      </c>
      <c r="B38" s="70">
        <v>41036</v>
      </c>
      <c r="C38" s="64">
        <v>-2.2999999999999998</v>
      </c>
      <c r="D38" s="65">
        <v>0.33819444444444446</v>
      </c>
      <c r="F38" s="9" t="s">
        <v>16</v>
      </c>
      <c r="H38" s="10">
        <f>+Harvest!H38/Effort!H38</f>
        <v>14.999999999999998</v>
      </c>
      <c r="J38" s="9" t="s">
        <v>16</v>
      </c>
      <c r="L38" s="9" t="s">
        <v>16</v>
      </c>
      <c r="N38" s="9" t="s">
        <v>16</v>
      </c>
      <c r="O38" s="10">
        <f>+Harvest!O38/Effort!O38</f>
        <v>14.999999999999998</v>
      </c>
    </row>
    <row r="40" spans="1:15">
      <c r="A40" s="21" t="s">
        <v>29</v>
      </c>
      <c r="F40" s="49">
        <f>Harvest!F40/Effort!F40</f>
        <v>12.948341777722248</v>
      </c>
      <c r="H40" s="49">
        <f>Harvest!H40/Effort!H40</f>
        <v>13.538338219526645</v>
      </c>
      <c r="J40" s="49">
        <f>Harvest!J40/Effort!J40</f>
        <v>13.178426515162323</v>
      </c>
      <c r="L40" s="49">
        <f>Harvest!L40/Effort!L40</f>
        <v>13.435768476930379</v>
      </c>
      <c r="N40" s="49">
        <f>Harvest!N40/Effort!N40</f>
        <v>1</v>
      </c>
      <c r="O40" s="49"/>
    </row>
    <row r="41" spans="1:15">
      <c r="A41" s="20" t="s">
        <v>28</v>
      </c>
    </row>
  </sheetData>
  <mergeCells count="5">
    <mergeCell ref="E1:F1"/>
    <mergeCell ref="G1:H1"/>
    <mergeCell ref="I1:J1"/>
    <mergeCell ref="K1:L1"/>
    <mergeCell ref="M1:N1"/>
  </mergeCells>
  <pageMargins left="0.2" right="0.37" top="0.75" bottom="0.5" header="0.2" footer="0.25"/>
  <pageSetup scale="87" orientation="landscape" r:id="rId1"/>
  <headerFooter>
    <oddHeader>&amp;L&amp;12 2010 Fall / 2011 Spring Razor Clam Harvest Totals
&amp;"-,Italic"(Clams per Digger Trip)&amp;C&amp;12Non-Indian fishery&amp;R&amp;12&amp;KFF0000PRELIMINARY ESTIMATE</oddHeader>
    <oddFooter>&amp;LPage 2 of 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47"/>
  <sheetViews>
    <sheetView showRuler="0" topLeftCell="C16" zoomScaleNormal="100" workbookViewId="0">
      <selection activeCell="I44" sqref="I44"/>
    </sheetView>
  </sheetViews>
  <sheetFormatPr defaultRowHeight="15"/>
  <cols>
    <col min="1" max="1" width="8" customWidth="1"/>
    <col min="2" max="2" width="4.5703125" bestFit="1" customWidth="1"/>
    <col min="3" max="3" width="4.5703125" customWidth="1"/>
    <col min="4" max="4" width="8.42578125" bestFit="1" customWidth="1"/>
    <col min="5" max="5" width="7.5703125" bestFit="1" customWidth="1"/>
    <col min="6" max="6" width="8.85546875" bestFit="1" customWidth="1"/>
    <col min="7" max="7" width="7.5703125" bestFit="1" customWidth="1"/>
    <col min="8" max="8" width="6.42578125" bestFit="1" customWidth="1"/>
    <col min="9" max="9" width="7.42578125" bestFit="1" customWidth="1"/>
    <col min="10" max="10" width="7" bestFit="1" customWidth="1"/>
    <col min="11" max="11" width="7.5703125" bestFit="1" customWidth="1"/>
    <col min="12" max="12" width="8.85546875" bestFit="1" customWidth="1"/>
    <col min="13" max="19" width="7.5703125" bestFit="1" customWidth="1"/>
  </cols>
  <sheetData>
    <row r="1" spans="1:21" ht="15.75" thickBot="1">
      <c r="A1" s="135" t="s">
        <v>59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</row>
    <row r="2" spans="1:21" ht="15.75" thickTop="1">
      <c r="A2" s="27"/>
      <c r="B2" s="27"/>
      <c r="C2" s="27"/>
      <c r="D2" s="27"/>
      <c r="E2" s="138" t="s">
        <v>30</v>
      </c>
      <c r="F2" s="139"/>
      <c r="G2" s="140"/>
      <c r="H2" s="138" t="s">
        <v>31</v>
      </c>
      <c r="I2" s="139"/>
      <c r="J2" s="140"/>
      <c r="K2" s="138" t="s">
        <v>32</v>
      </c>
      <c r="L2" s="139"/>
      <c r="M2" s="140"/>
      <c r="N2" s="138" t="s">
        <v>33</v>
      </c>
      <c r="O2" s="139"/>
      <c r="P2" s="140"/>
      <c r="Q2" s="141" t="s">
        <v>34</v>
      </c>
      <c r="R2" s="142"/>
      <c r="S2" s="143"/>
      <c r="T2" s="136" t="s">
        <v>35</v>
      </c>
      <c r="U2" s="137"/>
    </row>
    <row r="3" spans="1:21" ht="15.75" thickBot="1">
      <c r="A3" s="28" t="s">
        <v>36</v>
      </c>
      <c r="B3" s="28" t="s">
        <v>37</v>
      </c>
      <c r="C3" s="28" t="s">
        <v>38</v>
      </c>
      <c r="D3" s="28" t="s">
        <v>39</v>
      </c>
      <c r="E3" s="29" t="s">
        <v>40</v>
      </c>
      <c r="F3" s="28" t="s">
        <v>41</v>
      </c>
      <c r="G3" s="28" t="s">
        <v>11</v>
      </c>
      <c r="H3" s="29" t="s">
        <v>40</v>
      </c>
      <c r="I3" s="28" t="s">
        <v>41</v>
      </c>
      <c r="J3" s="28" t="s">
        <v>11</v>
      </c>
      <c r="K3" s="29" t="s">
        <v>40</v>
      </c>
      <c r="L3" s="28" t="s">
        <v>41</v>
      </c>
      <c r="M3" s="28" t="s">
        <v>11</v>
      </c>
      <c r="N3" s="29" t="s">
        <v>40</v>
      </c>
      <c r="O3" s="28" t="s">
        <v>41</v>
      </c>
      <c r="P3" s="28" t="s">
        <v>11</v>
      </c>
      <c r="Q3" s="29" t="s">
        <v>40</v>
      </c>
      <c r="R3" s="28" t="s">
        <v>41</v>
      </c>
      <c r="S3" s="28" t="s">
        <v>11</v>
      </c>
      <c r="T3" s="29" t="s">
        <v>40</v>
      </c>
      <c r="U3" s="30" t="s">
        <v>41</v>
      </c>
    </row>
    <row r="4" spans="1:21" ht="15.75" thickTop="1">
      <c r="A4" s="31">
        <v>40844</v>
      </c>
      <c r="B4" s="22">
        <v>40844</v>
      </c>
      <c r="C4" s="23">
        <v>-1.8</v>
      </c>
      <c r="D4" s="24">
        <v>0.85277777777777775</v>
      </c>
      <c r="E4" s="34">
        <f>Effort!F2</f>
        <v>2083.0462418019965</v>
      </c>
      <c r="F4" s="35">
        <f>Harvest!F2</f>
        <v>27700.083002686122</v>
      </c>
      <c r="G4" s="32">
        <f>CPUE!F2</f>
        <v>13.297872340425531</v>
      </c>
      <c r="H4" s="34">
        <f>Effort!H2</f>
        <v>1039.5943988339611</v>
      </c>
      <c r="I4" s="35">
        <f>Harvest!H2</f>
        <v>12413.980174311415</v>
      </c>
      <c r="J4" s="32">
        <f>CPUE!H2</f>
        <v>11.941176470588232</v>
      </c>
      <c r="K4" s="34">
        <f>Effort!J2</f>
        <v>3064.0267246430517</v>
      </c>
      <c r="L4" s="35">
        <f>Harvest!J2</f>
        <v>40131.276856910212</v>
      </c>
      <c r="M4" s="32">
        <f>CPUE!J2</f>
        <v>13.097560975609756</v>
      </c>
      <c r="N4" s="34">
        <f>Effort!L2</f>
        <v>1055.8277949341941</v>
      </c>
      <c r="O4" s="35">
        <f>Harvest!L2</f>
        <v>15167.372361843132</v>
      </c>
      <c r="P4" s="32">
        <f>CPUE!L2</f>
        <v>14.365384615384613</v>
      </c>
      <c r="Q4" s="34" t="str">
        <f>Effort!N2</f>
        <v>CLOSED</v>
      </c>
      <c r="R4" s="35" t="str">
        <f>Harvest!N2</f>
        <v>CLOSED</v>
      </c>
      <c r="S4" s="36" t="str">
        <f>CPUE!N2</f>
        <v>CLOSED</v>
      </c>
      <c r="T4" s="34">
        <f>+E4+H4+K4+N4</f>
        <v>7242.4951602132023</v>
      </c>
      <c r="U4" s="35">
        <f>+F4+I4+L4+O4</f>
        <v>95412.712395750888</v>
      </c>
    </row>
    <row r="5" spans="1:21">
      <c r="A5" s="31">
        <v>40845</v>
      </c>
      <c r="B5" s="22">
        <v>40845</v>
      </c>
      <c r="C5" s="25">
        <v>-1.5</v>
      </c>
      <c r="D5" s="26">
        <v>0.88680555555555562</v>
      </c>
      <c r="E5" s="34">
        <f>Effort!F3</f>
        <v>2846.0076150132181</v>
      </c>
      <c r="F5" s="35">
        <f>Harvest!F3</f>
        <v>41286.083801791741</v>
      </c>
      <c r="G5" s="32">
        <f>CPUE!F3</f>
        <v>14.506666666666662</v>
      </c>
      <c r="H5" s="34">
        <f>Effort!H3</f>
        <v>1500.1668223638799</v>
      </c>
      <c r="I5" s="35">
        <f>Harvest!H3</f>
        <v>22522.504559756384</v>
      </c>
      <c r="J5" s="32">
        <f>CPUE!H3</f>
        <v>15.013333333333334</v>
      </c>
      <c r="K5" s="34">
        <f>Effort!J3</f>
        <v>2636.4646866223748</v>
      </c>
      <c r="L5" s="35">
        <f>Harvest!J3</f>
        <v>39546.970299335619</v>
      </c>
      <c r="M5" s="32">
        <f>CPUE!J3</f>
        <v>14.999999999999998</v>
      </c>
      <c r="N5" s="34">
        <f>Effort!L3</f>
        <v>1400.383298420207</v>
      </c>
      <c r="O5" s="35">
        <f>Harvest!L3</f>
        <v>17987.682022811277</v>
      </c>
      <c r="P5" s="32">
        <f>CPUE!L3</f>
        <v>12.844827586206895</v>
      </c>
      <c r="Q5" s="34" t="str">
        <f>Effort!N3</f>
        <v>CLOSED</v>
      </c>
      <c r="R5" s="35" t="str">
        <f>Harvest!N3</f>
        <v>CLOSED</v>
      </c>
      <c r="S5" s="36" t="str">
        <f>CPUE!N3</f>
        <v>CLOSED</v>
      </c>
      <c r="T5" s="34">
        <f>E5+H5+K5+N5</f>
        <v>8383.0224224196791</v>
      </c>
      <c r="U5" s="35">
        <f>F5+I5+L5+O5</f>
        <v>121343.24068369502</v>
      </c>
    </row>
    <row r="6" spans="1:21">
      <c r="A6" s="133" t="s">
        <v>42</v>
      </c>
      <c r="B6" s="133"/>
      <c r="C6" s="133"/>
      <c r="D6" s="134"/>
      <c r="E6" s="38">
        <f>SUM(E4:E5)</f>
        <v>4929.0538568152151</v>
      </c>
      <c r="F6" s="39">
        <f>SUM(F4:F5)</f>
        <v>68986.166804477863</v>
      </c>
      <c r="G6" s="37">
        <f>F6/E6</f>
        <v>13.995823297628066</v>
      </c>
      <c r="H6" s="38">
        <f>SUM(H4:H5)</f>
        <v>2539.7612211978412</v>
      </c>
      <c r="I6" s="39">
        <f>SUM(I4:I5)</f>
        <v>34936.484734067795</v>
      </c>
      <c r="J6" s="37">
        <f>I6/H6</f>
        <v>13.755814697253513</v>
      </c>
      <c r="K6" s="38">
        <f>SUM(K4:K5)</f>
        <v>5700.491411265426</v>
      </c>
      <c r="L6" s="39">
        <f>SUM(L4:L5)</f>
        <v>79678.247156245838</v>
      </c>
      <c r="M6" s="37">
        <f>L6/K6</f>
        <v>13.977434822335505</v>
      </c>
      <c r="N6" s="38">
        <f>SUM(N4:N5)</f>
        <v>2456.2110933544009</v>
      </c>
      <c r="O6" s="39">
        <f>SUM(O4:O5)</f>
        <v>33155.05438465441</v>
      </c>
      <c r="P6" s="37">
        <f>O6/N6</f>
        <v>13.498454784427825</v>
      </c>
      <c r="Q6" s="38"/>
      <c r="R6" s="39"/>
      <c r="S6" s="37"/>
      <c r="T6" s="38">
        <f>SUM(T4:T5)</f>
        <v>15625.517582632881</v>
      </c>
      <c r="U6" s="39">
        <f>SUM(U4:U5)</f>
        <v>216755.95307944593</v>
      </c>
    </row>
    <row r="7" spans="1:21">
      <c r="A7" s="41">
        <v>40858</v>
      </c>
      <c r="B7" s="22">
        <f>+A7</f>
        <v>40858</v>
      </c>
      <c r="C7" s="32">
        <v>-0.4</v>
      </c>
      <c r="D7" s="33">
        <v>0.78333333333333333</v>
      </c>
      <c r="E7" s="34">
        <f>Effort!F5</f>
        <v>1456.5638376161969</v>
      </c>
      <c r="F7" s="35">
        <f>Harvest!F5</f>
        <v>20473.723155706317</v>
      </c>
      <c r="G7" s="32">
        <f>CPUE!F5</f>
        <v>14.056179775280897</v>
      </c>
      <c r="H7" s="34">
        <f>Effort!H5</f>
        <v>1148.5131359212535</v>
      </c>
      <c r="I7" s="35">
        <f>Harvest!H5</f>
        <v>13437.603690278665</v>
      </c>
      <c r="J7" s="32">
        <f>CPUE!H5</f>
        <v>11.7</v>
      </c>
      <c r="K7" s="34" t="str">
        <f>Effort!J5</f>
        <v>CLOSED</v>
      </c>
      <c r="L7" s="35" t="str">
        <f>Harvest!J5</f>
        <v>CLOSED</v>
      </c>
      <c r="M7" s="32" t="str">
        <f>CPUE!J5</f>
        <v>CLOSED</v>
      </c>
      <c r="N7" s="34">
        <f>Effort!L5</f>
        <v>1726.8147406502344</v>
      </c>
      <c r="O7" s="35">
        <f>Harvest!L5</f>
        <v>24195.0292638834</v>
      </c>
      <c r="P7" s="32">
        <f>CPUE!L5</f>
        <v>14.011363636363637</v>
      </c>
      <c r="Q7" s="34" t="s">
        <v>16</v>
      </c>
      <c r="R7" s="35" t="s">
        <v>16</v>
      </c>
      <c r="S7" s="36" t="s">
        <v>16</v>
      </c>
      <c r="T7" s="34">
        <f>E7+H7+N7</f>
        <v>4331.8917141876846</v>
      </c>
      <c r="U7" s="42">
        <f>F7+I7+O7</f>
        <v>58106.356109868379</v>
      </c>
    </row>
    <row r="8" spans="1:21">
      <c r="A8" s="41">
        <v>40859</v>
      </c>
      <c r="B8" s="22">
        <f>+A8</f>
        <v>40859</v>
      </c>
      <c r="C8" s="32">
        <v>-0.4</v>
      </c>
      <c r="D8" s="33">
        <v>0.80763888888888891</v>
      </c>
      <c r="E8" s="34">
        <f>Effort!F6</f>
        <v>1440.5338289654478</v>
      </c>
      <c r="F8" s="35">
        <f>Harvest!F6</f>
        <v>5500.22007423171</v>
      </c>
      <c r="G8" s="32">
        <f>CPUE!F6</f>
        <v>3.8181818181818183</v>
      </c>
      <c r="H8" s="34">
        <f>Effort!H6</f>
        <v>826.76862711360832</v>
      </c>
      <c r="I8" s="35">
        <f>Harvest!H6</f>
        <v>7090.5919545675561</v>
      </c>
      <c r="J8" s="32">
        <f>CPUE!H6</f>
        <v>8.5762711864406782</v>
      </c>
      <c r="K8" s="34" t="str">
        <f>Effort!J6</f>
        <v>CLOSED</v>
      </c>
      <c r="L8" s="35" t="str">
        <f>Harvest!J6</f>
        <v>CLOSED</v>
      </c>
      <c r="M8" s="32" t="str">
        <f>CPUE!J6</f>
        <v>CLOSED</v>
      </c>
      <c r="N8" s="34">
        <f>Effort!L6</f>
        <v>1598.9904213928667</v>
      </c>
      <c r="O8" s="35">
        <f>Harvest!L6</f>
        <v>17280.655517944593</v>
      </c>
      <c r="P8" s="32">
        <f>CPUE!L6</f>
        <v>10.80722891566265</v>
      </c>
      <c r="Q8" s="34" t="s">
        <v>16</v>
      </c>
      <c r="R8" s="35" t="s">
        <v>16</v>
      </c>
      <c r="S8" s="36" t="s">
        <v>16</v>
      </c>
      <c r="T8" s="34">
        <f>E8+H8+N8</f>
        <v>3866.292877471923</v>
      </c>
      <c r="U8" s="42">
        <f>F8+I8+O8</f>
        <v>29871.467546743857</v>
      </c>
    </row>
    <row r="9" spans="1:21">
      <c r="A9" s="133" t="s">
        <v>42</v>
      </c>
      <c r="B9" s="133"/>
      <c r="C9" s="133"/>
      <c r="D9" s="134"/>
      <c r="E9" s="38">
        <f>SUM(E7:E8)</f>
        <v>2897.0976665816447</v>
      </c>
      <c r="F9" s="39">
        <f>SUM(F7:F8)</f>
        <v>25973.943229938028</v>
      </c>
      <c r="G9" s="37">
        <f>F9/E9</f>
        <v>8.9655048670089563</v>
      </c>
      <c r="H9" s="38">
        <f>SUM(H7:H8)</f>
        <v>1975.2817630348618</v>
      </c>
      <c r="I9" s="39">
        <f>SUM(I7:I8)</f>
        <v>20528.195644846222</v>
      </c>
      <c r="J9" s="37">
        <f>I9/H9</f>
        <v>10.392540461319452</v>
      </c>
      <c r="K9" s="38"/>
      <c r="L9" s="39"/>
      <c r="M9" s="37"/>
      <c r="N9" s="38">
        <f>SUM(N7:N8)</f>
        <v>3325.8051620431011</v>
      </c>
      <c r="O9" s="39">
        <f>SUM(O7:O8)</f>
        <v>41475.684781827993</v>
      </c>
      <c r="P9" s="37">
        <f>O9/N9</f>
        <v>12.470870288850218</v>
      </c>
      <c r="Q9" s="38"/>
      <c r="R9" s="39"/>
      <c r="S9" s="37"/>
      <c r="T9" s="38">
        <f>SUM(T7:T8)</f>
        <v>8198.1845916596067</v>
      </c>
      <c r="U9" s="39">
        <f>SUM(U7:U8)</f>
        <v>87977.823656612236</v>
      </c>
    </row>
    <row r="10" spans="1:21">
      <c r="A10" s="41">
        <v>40872</v>
      </c>
      <c r="B10" s="22">
        <v>40872</v>
      </c>
      <c r="C10" s="32">
        <v>-1.9</v>
      </c>
      <c r="D10" s="33">
        <v>0.76874999999999993</v>
      </c>
      <c r="E10" s="34">
        <f>Effort!F8</f>
        <v>4738.4192854552821</v>
      </c>
      <c r="F10" s="35">
        <f>Harvest!F8</f>
        <v>64433.645423714348</v>
      </c>
      <c r="G10" s="32">
        <f>CPUE!F8</f>
        <v>13.598130841121495</v>
      </c>
      <c r="H10" s="34">
        <f>Effort!H8</f>
        <v>1699.7808238970301</v>
      </c>
      <c r="I10" s="35">
        <f>Harvest!H8</f>
        <v>21535.655622161466</v>
      </c>
      <c r="J10" s="32">
        <f>CPUE!H8</f>
        <v>12.669666182483102</v>
      </c>
      <c r="K10" s="34">
        <f>Effort!J8</f>
        <v>3486.4376286146244</v>
      </c>
      <c r="L10" s="35">
        <f>Harvest!J8</f>
        <v>50966.213228826942</v>
      </c>
      <c r="M10" s="32">
        <f>CPUE!J8</f>
        <v>14.618421052631579</v>
      </c>
      <c r="N10" s="34">
        <f>Effort!L8</f>
        <v>1887.5809444457425</v>
      </c>
      <c r="O10" s="35">
        <f>Harvest!L8</f>
        <v>27088.79461763092</v>
      </c>
      <c r="P10" s="32">
        <f>CPUE!L8</f>
        <v>14.351063829787233</v>
      </c>
      <c r="Q10" s="34" t="s">
        <v>16</v>
      </c>
      <c r="R10" s="35" t="s">
        <v>16</v>
      </c>
      <c r="S10" s="36" t="s">
        <v>16</v>
      </c>
      <c r="T10" s="34">
        <f>+E10+H10+K10+N10</f>
        <v>11812.218682412678</v>
      </c>
      <c r="U10" s="42">
        <f>+F10+I10+L10+O10</f>
        <v>164024.30889233368</v>
      </c>
    </row>
    <row r="11" spans="1:21">
      <c r="A11" s="41">
        <v>40873</v>
      </c>
      <c r="B11" s="22">
        <v>40873</v>
      </c>
      <c r="C11" s="32">
        <v>-1.8</v>
      </c>
      <c r="D11" s="33">
        <v>0.80138888888888893</v>
      </c>
      <c r="E11" s="34">
        <f>Effort!F9</f>
        <v>2800.7584424825063</v>
      </c>
      <c r="F11" s="35">
        <f>Harvest!F9</f>
        <v>42119.098115794608</v>
      </c>
      <c r="G11" s="32">
        <f>CPUE!F9</f>
        <v>15.038461538461537</v>
      </c>
      <c r="H11" s="34">
        <f>Effort!H9</f>
        <v>880.58636397940552</v>
      </c>
      <c r="I11" s="35">
        <f>Harvest!H9</f>
        <v>12697.487248348203</v>
      </c>
      <c r="J11" s="32">
        <f>CPUE!H9</f>
        <v>14.419354838709678</v>
      </c>
      <c r="K11" s="34" t="str">
        <f>Effort!J9</f>
        <v>CLOSED</v>
      </c>
      <c r="L11" s="35" t="str">
        <f>Harvest!J9</f>
        <v>CLOSED</v>
      </c>
      <c r="M11" s="32" t="str">
        <f>CPUE!J9</f>
        <v>CLOSED</v>
      </c>
      <c r="N11" s="34">
        <f>Effort!L9</f>
        <v>2108.94041502041</v>
      </c>
      <c r="O11" s="35">
        <f>Harvest!L9</f>
        <v>31634.106225306154</v>
      </c>
      <c r="P11" s="32">
        <f>CPUE!L9</f>
        <v>15.000000000000002</v>
      </c>
      <c r="Q11" s="34" t="s">
        <v>16</v>
      </c>
      <c r="R11" s="35" t="s">
        <v>16</v>
      </c>
      <c r="S11" s="36" t="s">
        <v>16</v>
      </c>
      <c r="T11" s="34">
        <f>+E11+H11+N11</f>
        <v>5790.2852214823215</v>
      </c>
      <c r="U11" s="42">
        <f>+F11+I11+O11</f>
        <v>86450.691589448965</v>
      </c>
    </row>
    <row r="12" spans="1:21">
      <c r="A12" s="133" t="s">
        <v>42</v>
      </c>
      <c r="B12" s="133"/>
      <c r="C12" s="133"/>
      <c r="D12" s="134"/>
      <c r="E12" s="38">
        <f>SUM(E10:E11)</f>
        <v>7539.1777279377884</v>
      </c>
      <c r="F12" s="39">
        <f>SUM(F10:F11)</f>
        <v>106552.74353950896</v>
      </c>
      <c r="G12" s="37">
        <f>F12/E12</f>
        <v>14.133204891119421</v>
      </c>
      <c r="H12" s="38">
        <f>SUM(H10:H11)</f>
        <v>2580.3671878764358</v>
      </c>
      <c r="I12" s="39">
        <f>SUM(I10:I11)</f>
        <v>34233.14287050967</v>
      </c>
      <c r="J12" s="37">
        <f>I12/H12</f>
        <v>13.266771888648341</v>
      </c>
      <c r="K12" s="38">
        <f>SUM(K10:K11)</f>
        <v>3486.4376286146244</v>
      </c>
      <c r="L12" s="39">
        <f>SUM(L10:L11)</f>
        <v>50966.213228826942</v>
      </c>
      <c r="M12" s="37">
        <f>L12/K12</f>
        <v>14.618421052631579</v>
      </c>
      <c r="N12" s="38">
        <f>SUM(N10:N11)</f>
        <v>3996.5213594661527</v>
      </c>
      <c r="O12" s="39">
        <f>SUM(O10:O11)</f>
        <v>58722.900842937073</v>
      </c>
      <c r="P12" s="37">
        <f>O12/N12</f>
        <v>14.693503565005633</v>
      </c>
      <c r="Q12" s="38"/>
      <c r="R12" s="39"/>
      <c r="S12" s="37"/>
      <c r="T12" s="38">
        <f>SUM(T10:T11)</f>
        <v>17602.503903894998</v>
      </c>
      <c r="U12" s="39">
        <f>SUM(U10:U11)</f>
        <v>250475.00048178266</v>
      </c>
    </row>
    <row r="13" spans="1:21">
      <c r="A13" s="41">
        <v>40887</v>
      </c>
      <c r="B13" s="22">
        <v>40873</v>
      </c>
      <c r="C13" s="32">
        <v>-0.5</v>
      </c>
      <c r="D13" s="33">
        <v>0.77083333333333337</v>
      </c>
      <c r="E13" s="34">
        <f>Effort!F11</f>
        <v>2272.0248981304017</v>
      </c>
      <c r="F13" s="42">
        <f>Harvest!F11</f>
        <v>16446.747396914099</v>
      </c>
      <c r="G13" s="40">
        <f>CPUE!F11</f>
        <v>7.2388059701492526</v>
      </c>
      <c r="H13" s="34">
        <f>Effort!H11</f>
        <v>1095.1615443859198</v>
      </c>
      <c r="I13" s="42">
        <f>Harvest!H11</f>
        <v>12244.922882528857</v>
      </c>
      <c r="J13" s="40">
        <f>CPUE!H11</f>
        <v>11.180928462380264</v>
      </c>
      <c r="K13" s="34">
        <f>Effort!J11</f>
        <v>1995.6360581718907</v>
      </c>
      <c r="L13" s="42">
        <f>Harvest!J11</f>
        <v>26597.011602877094</v>
      </c>
      <c r="M13" s="40">
        <f>CPUE!J11</f>
        <v>13.327586206896552</v>
      </c>
      <c r="N13" s="34">
        <f>Effort!L11</f>
        <v>1375.0022305496052</v>
      </c>
      <c r="O13" s="42">
        <f>Harvest!L11</f>
        <v>20682.32521785031</v>
      </c>
      <c r="P13" s="40">
        <f>CPUE!L11</f>
        <v>15.041666666666666</v>
      </c>
      <c r="Q13" s="34" t="s">
        <v>16</v>
      </c>
      <c r="R13" s="42" t="s">
        <v>16</v>
      </c>
      <c r="S13" s="40" t="s">
        <v>16</v>
      </c>
      <c r="T13" s="34">
        <f t="shared" ref="T13:U14" si="0">+E13+H13+K13+N13</f>
        <v>6737.8247312378171</v>
      </c>
      <c r="U13" s="42">
        <f t="shared" si="0"/>
        <v>75971.007100170362</v>
      </c>
    </row>
    <row r="14" spans="1:21">
      <c r="A14" s="133" t="s">
        <v>42</v>
      </c>
      <c r="B14" s="133"/>
      <c r="C14" s="133"/>
      <c r="D14" s="134"/>
      <c r="E14" s="38">
        <f>+E13</f>
        <v>2272.0248981304017</v>
      </c>
      <c r="F14" s="39">
        <f>+F13</f>
        <v>16446.747396914099</v>
      </c>
      <c r="G14" s="37">
        <f>F14/E14</f>
        <v>7.2388059701492526</v>
      </c>
      <c r="H14" s="38">
        <f>+H13</f>
        <v>1095.1615443859198</v>
      </c>
      <c r="I14" s="39">
        <f>+I13</f>
        <v>12244.922882528857</v>
      </c>
      <c r="J14" s="37">
        <f>I14/H14</f>
        <v>11.180928462380264</v>
      </c>
      <c r="K14" s="38">
        <f>+K13</f>
        <v>1995.6360581718907</v>
      </c>
      <c r="L14" s="39">
        <f>+L13</f>
        <v>26597.011602877094</v>
      </c>
      <c r="M14" s="37">
        <f>L14/K14</f>
        <v>13.327586206896552</v>
      </c>
      <c r="N14" s="38">
        <f>+N13</f>
        <v>1375.0022305496052</v>
      </c>
      <c r="O14" s="39">
        <f>+O13</f>
        <v>20682.32521785031</v>
      </c>
      <c r="P14" s="37">
        <f>O14/N14</f>
        <v>15.041666666666666</v>
      </c>
      <c r="Q14" s="38"/>
      <c r="R14" s="39"/>
      <c r="S14" s="37"/>
      <c r="T14" s="38">
        <f t="shared" si="0"/>
        <v>6737.8247312378171</v>
      </c>
      <c r="U14" s="39">
        <f t="shared" si="0"/>
        <v>75971.007100170362</v>
      </c>
    </row>
    <row r="15" spans="1:21">
      <c r="A15" s="41">
        <v>40899</v>
      </c>
      <c r="B15" s="22">
        <v>40899</v>
      </c>
      <c r="C15" s="32">
        <v>-0.9</v>
      </c>
      <c r="D15" s="33">
        <v>0.69444444444444453</v>
      </c>
      <c r="E15" s="34">
        <f>Effort!F13</f>
        <v>1878.0267435047256</v>
      </c>
      <c r="F15" s="42">
        <f>Harvest!F13</f>
        <v>28321.854922208357</v>
      </c>
      <c r="G15" s="40">
        <f>CPUE!F13</f>
        <v>15.08064516129032</v>
      </c>
      <c r="H15" s="34">
        <f>Effort!H13</f>
        <v>1291.5472523497508</v>
      </c>
      <c r="I15" s="42">
        <f>Harvest!H13</f>
        <v>19334.070989720509</v>
      </c>
      <c r="J15" s="40">
        <f>CPUE!H13</f>
        <v>14.969696969696967</v>
      </c>
      <c r="K15" s="34">
        <f>Effort!J13</f>
        <v>1958.6515091281108</v>
      </c>
      <c r="L15" s="42">
        <f>Harvest!J13</f>
        <v>28993.196681172696</v>
      </c>
      <c r="M15" s="40">
        <f>CPUE!J13</f>
        <v>14.80263157894737</v>
      </c>
      <c r="N15" s="34">
        <f>Effort!L13</f>
        <v>2321.1554658574019</v>
      </c>
      <c r="O15" s="42">
        <f>Harvest!L13</f>
        <v>20682.32521785031</v>
      </c>
      <c r="P15" s="40">
        <f>CPUE!L13</f>
        <v>8.9103575878794281</v>
      </c>
      <c r="Q15" s="34" t="s">
        <v>16</v>
      </c>
      <c r="R15" s="42" t="s">
        <v>16</v>
      </c>
      <c r="S15" s="40" t="s">
        <v>16</v>
      </c>
      <c r="T15" s="34">
        <f t="shared" ref="T15:T16" si="1">+E15+H15+K15+N15</f>
        <v>7449.3809708399895</v>
      </c>
      <c r="U15" s="42">
        <f t="shared" ref="U15:U16" si="2">+F15+I15+L15+O15</f>
        <v>97331.447810951853</v>
      </c>
    </row>
    <row r="16" spans="1:21">
      <c r="A16" s="41">
        <v>40900</v>
      </c>
      <c r="B16" s="22">
        <v>40900</v>
      </c>
      <c r="C16" s="32">
        <v>-1.4</v>
      </c>
      <c r="D16" s="33">
        <v>0.7284722222222223</v>
      </c>
      <c r="E16" s="34">
        <f>Effort!F14</f>
        <v>2276.9490349747994</v>
      </c>
      <c r="F16" s="42">
        <f>Harvest!F14</f>
        <v>19103.920654702677</v>
      </c>
      <c r="G16" s="40">
        <f>CPUE!F14</f>
        <v>8.390139770921186</v>
      </c>
      <c r="H16" s="34">
        <f>Effort!H14</f>
        <v>1585.26018049507</v>
      </c>
      <c r="I16" s="42">
        <f>Harvest!H14</f>
        <v>12800.975957497689</v>
      </c>
      <c r="J16" s="40">
        <f>CPUE!H14</f>
        <v>8.0749999999999993</v>
      </c>
      <c r="K16" s="34">
        <f>Effort!J14</f>
        <v>3056.652347791689</v>
      </c>
      <c r="L16" s="42">
        <f>Harvest!J14</f>
        <v>13065.690427815454</v>
      </c>
      <c r="M16" s="40">
        <f>CPUE!J14</f>
        <v>4.2745098039215685</v>
      </c>
      <c r="N16" s="34">
        <f>Effort!L14</f>
        <v>2112.8845880525359</v>
      </c>
      <c r="O16" s="42">
        <f>Harvest!L14</f>
        <v>20682.32521785031</v>
      </c>
      <c r="P16" s="40">
        <f>CPUE!L14</f>
        <v>9.7886677458863893</v>
      </c>
      <c r="Q16" s="34" t="s">
        <v>16</v>
      </c>
      <c r="R16" s="42" t="s">
        <v>16</v>
      </c>
      <c r="S16" s="40" t="s">
        <v>16</v>
      </c>
      <c r="T16" s="34">
        <f t="shared" si="1"/>
        <v>9031.7461513140952</v>
      </c>
      <c r="U16" s="42">
        <f t="shared" si="2"/>
        <v>65652.912257866119</v>
      </c>
    </row>
    <row r="17" spans="1:21">
      <c r="A17" s="133" t="s">
        <v>42</v>
      </c>
      <c r="B17" s="133"/>
      <c r="C17" s="133"/>
      <c r="D17" s="134"/>
      <c r="E17" s="38">
        <f>SUM(E15:E16)</f>
        <v>4154.9757784795247</v>
      </c>
      <c r="F17" s="39">
        <f>SUM(F15:F16)</f>
        <v>47425.775576911037</v>
      </c>
      <c r="G17" s="37">
        <f>F17/E17</f>
        <v>11.414212285556587</v>
      </c>
      <c r="H17" s="38">
        <f>SUM(H15:H16)</f>
        <v>2876.8074328448211</v>
      </c>
      <c r="I17" s="39">
        <f>SUM(I15:I16)</f>
        <v>32135.046947218198</v>
      </c>
      <c r="J17" s="37">
        <f>I17/H17</f>
        <v>11.17038512217707</v>
      </c>
      <c r="K17" s="38">
        <f>SUM(K15:K16)</f>
        <v>5015.3038569197997</v>
      </c>
      <c r="L17" s="39">
        <f>SUM(L15:L16)</f>
        <v>42058.88710898815</v>
      </c>
      <c r="M17" s="37">
        <f>L17/K17</f>
        <v>8.3861094579459934</v>
      </c>
      <c r="N17" s="38">
        <f>SUM(N15:N16)</f>
        <v>4434.0400539099373</v>
      </c>
      <c r="O17" s="39">
        <f>SUM(O15:O16)</f>
        <v>41364.65043570062</v>
      </c>
      <c r="P17" s="37">
        <f>O17/N17</f>
        <v>9.3288851550236362</v>
      </c>
      <c r="Q17" s="38"/>
      <c r="R17" s="39"/>
      <c r="S17" s="37"/>
      <c r="T17" s="38">
        <f>SUM(T15:T16)</f>
        <v>16481.127122154085</v>
      </c>
      <c r="U17" s="39">
        <f>SUM(U15:U16)</f>
        <v>162984.36006881797</v>
      </c>
    </row>
    <row r="18" spans="1:21">
      <c r="A18" s="41">
        <v>40928</v>
      </c>
      <c r="B18" s="22">
        <v>40928</v>
      </c>
      <c r="C18" s="32">
        <v>-0.5</v>
      </c>
      <c r="D18" s="33">
        <v>0.68611111111111101</v>
      </c>
      <c r="E18" s="34">
        <f>Effort!F16</f>
        <v>1104.0844118363034</v>
      </c>
      <c r="F18" s="42">
        <f>Harvest!F16</f>
        <v>7917.093099509103</v>
      </c>
      <c r="G18" s="40">
        <f>CPUE!F16</f>
        <v>7.1707317073170742</v>
      </c>
      <c r="H18" s="34">
        <f>Effort!H16</f>
        <v>103.15588724943086</v>
      </c>
      <c r="I18" s="42">
        <f>Harvest!H16</f>
        <v>815.86929006368052</v>
      </c>
      <c r="J18" s="40">
        <f>CPUE!H16</f>
        <v>7.9090909090909101</v>
      </c>
      <c r="K18" s="34">
        <f>Effort!J16</f>
        <v>538.66818003817878</v>
      </c>
      <c r="L18" s="42">
        <f>Harvest!J16</f>
        <v>3740.7512502651307</v>
      </c>
      <c r="M18" s="40">
        <f>CPUE!J16</f>
        <v>6.9444444444444446</v>
      </c>
      <c r="N18" s="34">
        <f>Effort!L16</f>
        <v>139.61256040693928</v>
      </c>
      <c r="O18" s="42">
        <f>Harvest!L16</f>
        <v>1861.5008054258572</v>
      </c>
      <c r="P18" s="40">
        <f>CPUE!L16</f>
        <v>13.333333333333334</v>
      </c>
      <c r="Q18" s="34" t="s">
        <v>16</v>
      </c>
      <c r="R18" s="42" t="s">
        <v>16</v>
      </c>
      <c r="S18" s="40" t="s">
        <v>16</v>
      </c>
      <c r="T18" s="34">
        <f t="shared" ref="T18:T19" si="3">+E18+H18+K18+N18</f>
        <v>1885.5210395308522</v>
      </c>
      <c r="U18" s="42">
        <f t="shared" ref="U18:U19" si="4">+F18+I18+L18+O18</f>
        <v>14335.214445263773</v>
      </c>
    </row>
    <row r="19" spans="1:21">
      <c r="A19" s="41">
        <v>40929</v>
      </c>
      <c r="B19" s="22">
        <v>40929</v>
      </c>
      <c r="C19" s="32">
        <v>-0.8</v>
      </c>
      <c r="D19" s="33">
        <v>0.72013888888888899</v>
      </c>
      <c r="E19" s="34">
        <f>Effort!F17</f>
        <v>1996.7486689317957</v>
      </c>
      <c r="F19" s="42">
        <f>Harvest!F17</f>
        <v>22932.08396919422</v>
      </c>
      <c r="G19" s="40">
        <f>CPUE!F17</f>
        <v>11.484712285528774</v>
      </c>
      <c r="H19" s="34">
        <f>Effort!H17</f>
        <v>933.85909930348976</v>
      </c>
      <c r="I19" s="42">
        <f>Harvest!H17</f>
        <v>12750.925390917591</v>
      </c>
      <c r="J19" s="40">
        <f>CPUE!H17</f>
        <v>13.654014187394814</v>
      </c>
      <c r="K19" s="34">
        <f>Effort!J17</f>
        <v>1672.1441641465926</v>
      </c>
      <c r="L19" s="42">
        <f>Harvest!J17</f>
        <v>20714.11240075473</v>
      </c>
      <c r="M19" s="40">
        <f>CPUE!J17</f>
        <v>12.387755102040817</v>
      </c>
      <c r="N19" s="34">
        <f>Effort!L17</f>
        <v>1696.9817957961438</v>
      </c>
      <c r="O19" s="42">
        <f>Harvest!L17</f>
        <v>30077.178384546369</v>
      </c>
      <c r="P19" s="40">
        <f>CPUE!L17</f>
        <v>17.723925182376853</v>
      </c>
      <c r="Q19" s="34" t="s">
        <v>16</v>
      </c>
      <c r="R19" s="42" t="s">
        <v>16</v>
      </c>
      <c r="S19" s="40" t="s">
        <v>16</v>
      </c>
      <c r="T19" s="34">
        <f t="shared" si="3"/>
        <v>6299.7337281780219</v>
      </c>
      <c r="U19" s="42">
        <f t="shared" si="4"/>
        <v>86474.300145412912</v>
      </c>
    </row>
    <row r="20" spans="1:21">
      <c r="A20" s="133" t="s">
        <v>42</v>
      </c>
      <c r="B20" s="133"/>
      <c r="C20" s="133"/>
      <c r="D20" s="134"/>
      <c r="E20" s="38">
        <f>SUM(E18:E19)</f>
        <v>3100.8330807680991</v>
      </c>
      <c r="F20" s="39">
        <f>SUM(F18:F19)</f>
        <v>30849.177068703324</v>
      </c>
      <c r="G20" s="37">
        <f>F20/E20</f>
        <v>9.9486738773638717</v>
      </c>
      <c r="H20" s="38">
        <f>SUM(H18:H19)</f>
        <v>1037.0149865529206</v>
      </c>
      <c r="I20" s="39">
        <f>SUM(I18:I19)</f>
        <v>13566.794680981271</v>
      </c>
      <c r="J20" s="37">
        <f>I20/H20</f>
        <v>13.082544473226795</v>
      </c>
      <c r="K20" s="38">
        <f>SUM(K18:K19)</f>
        <v>2210.8123441847715</v>
      </c>
      <c r="L20" s="39">
        <f>SUM(L18:L19)</f>
        <v>24454.863651019859</v>
      </c>
      <c r="M20" s="37">
        <f>L20/K20</f>
        <v>11.061483221470565</v>
      </c>
      <c r="N20" s="38">
        <f>SUM(N18:N19)</f>
        <v>1836.5943562030832</v>
      </c>
      <c r="O20" s="39">
        <f>SUM(O18:O19)</f>
        <v>31938.679189972227</v>
      </c>
      <c r="P20" s="37">
        <f>O20/N20</f>
        <v>17.390165162001935</v>
      </c>
      <c r="Q20" s="38"/>
      <c r="R20" s="39"/>
      <c r="S20" s="37"/>
      <c r="T20" s="38">
        <f>SUM(T18:T19)</f>
        <v>8185.2547677088742</v>
      </c>
      <c r="U20" s="39">
        <f>SUM(U18:U19)</f>
        <v>100809.51459067668</v>
      </c>
    </row>
    <row r="21" spans="1:21">
      <c r="A21" s="41">
        <v>40957</v>
      </c>
      <c r="B21" s="22">
        <v>40957</v>
      </c>
      <c r="C21" s="32">
        <v>0</v>
      </c>
      <c r="D21" s="33">
        <v>0.67569444444444438</v>
      </c>
      <c r="E21" s="34">
        <f>Effort!F19</f>
        <v>6838.8807199171761</v>
      </c>
      <c r="F21" s="42">
        <f>Harvest!F19</f>
        <v>57532.08405630324</v>
      </c>
      <c r="G21" s="40">
        <f>CPUE!F19</f>
        <v>8.4124999999999996</v>
      </c>
      <c r="H21" s="34">
        <f>Effort!H19</f>
        <v>1858.2377834489116</v>
      </c>
      <c r="I21" s="42">
        <f>Harvest!H19</f>
        <v>11362.667102072854</v>
      </c>
      <c r="J21" s="40">
        <f>CPUE!H19</f>
        <v>6.1147540983606561</v>
      </c>
      <c r="K21" s="34" t="str">
        <f>Effort!J19</f>
        <v>CLOSED</v>
      </c>
      <c r="L21" s="42" t="str">
        <f>Harvest!J19</f>
        <v>CLOSED</v>
      </c>
      <c r="M21" s="40" t="str">
        <f>CPUE!J19</f>
        <v>CLOSED</v>
      </c>
      <c r="N21" s="34">
        <f>Effort!L19</f>
        <v>6276.7170887435168</v>
      </c>
      <c r="O21" s="42">
        <f>Harvest!L19</f>
        <v>51488.694868599167</v>
      </c>
      <c r="P21" s="40">
        <f>CPUE!L19</f>
        <v>8.203125</v>
      </c>
      <c r="Q21" s="34" t="s">
        <v>16</v>
      </c>
      <c r="R21" s="42" t="s">
        <v>16</v>
      </c>
      <c r="S21" s="40" t="s">
        <v>16</v>
      </c>
      <c r="T21" s="34">
        <f>+E21+H21+N21</f>
        <v>14973.835592109604</v>
      </c>
      <c r="U21" s="42">
        <f>+F21+I21+O21</f>
        <v>120383.44602697526</v>
      </c>
    </row>
    <row r="22" spans="1:21">
      <c r="A22" s="41">
        <v>40958</v>
      </c>
      <c r="B22" s="22">
        <v>40958</v>
      </c>
      <c r="C22" s="32">
        <v>-0.2</v>
      </c>
      <c r="D22" s="33">
        <v>0.70833333333333337</v>
      </c>
      <c r="E22" s="34">
        <f>Effort!F20</f>
        <v>10016.606084809806</v>
      </c>
      <c r="F22" s="42">
        <f>Harvest!F20</f>
        <v>149317.31396193223</v>
      </c>
      <c r="G22" s="40">
        <f>CPUE!F20</f>
        <v>14.906976744186048</v>
      </c>
      <c r="H22" s="34">
        <f>Effort!H20</f>
        <v>4572.3606282598348</v>
      </c>
      <c r="I22" s="42">
        <f>Harvest!H20</f>
        <v>44173.653527256029</v>
      </c>
      <c r="J22" s="40">
        <f>CPUE!H20</f>
        <v>9.6610169491525415</v>
      </c>
      <c r="K22" s="34" t="s">
        <v>16</v>
      </c>
      <c r="L22" s="42" t="s">
        <v>16</v>
      </c>
      <c r="M22" s="40" t="s">
        <v>16</v>
      </c>
      <c r="N22" s="34">
        <f>Effort!L20</f>
        <v>7752.8048320878816</v>
      </c>
      <c r="O22" s="42">
        <f>Harvest!L20</f>
        <v>109323.25914910439</v>
      </c>
      <c r="P22" s="40">
        <f>CPUE!L20</f>
        <v>14.101123595505616</v>
      </c>
      <c r="Q22" s="34" t="s">
        <v>16</v>
      </c>
      <c r="R22" s="42" t="s">
        <v>16</v>
      </c>
      <c r="S22" s="40" t="s">
        <v>16</v>
      </c>
      <c r="T22" s="34">
        <f>+E22+H22+N22</f>
        <v>22341.77154515752</v>
      </c>
      <c r="U22" s="42">
        <f>+F22+I22+O22</f>
        <v>302814.22663829266</v>
      </c>
    </row>
    <row r="23" spans="1:21">
      <c r="A23" s="133" t="s">
        <v>42</v>
      </c>
      <c r="B23" s="133"/>
      <c r="C23" s="133"/>
      <c r="D23" s="134"/>
      <c r="E23" s="38">
        <f>SUM(E21:E22)</f>
        <v>16855.486804726981</v>
      </c>
      <c r="F23" s="39">
        <f>SUM(F21:F22)</f>
        <v>206849.39801823546</v>
      </c>
      <c r="G23" s="37">
        <f>F23/E23</f>
        <v>12.271932600619181</v>
      </c>
      <c r="H23" s="38">
        <f>SUM(H21:H22)</f>
        <v>6430.5984117087464</v>
      </c>
      <c r="I23" s="39">
        <f>SUM(I21:I22)</f>
        <v>55536.320629328882</v>
      </c>
      <c r="J23" s="37">
        <f>I23/H23</f>
        <v>8.6362601228851581</v>
      </c>
      <c r="K23" s="38"/>
      <c r="L23" s="39"/>
      <c r="M23" s="37"/>
      <c r="N23" s="38">
        <f>SUM(N21:N22)</f>
        <v>14029.521920831397</v>
      </c>
      <c r="O23" s="39">
        <f>SUM(O21:O22)</f>
        <v>160811.95401770354</v>
      </c>
      <c r="P23" s="37">
        <f>O23/N23</f>
        <v>11.462397288030591</v>
      </c>
      <c r="Q23" s="38"/>
      <c r="R23" s="39"/>
      <c r="S23" s="37"/>
      <c r="T23" s="38">
        <f>SUM(T21:T22)</f>
        <v>37315.607137267129</v>
      </c>
      <c r="U23" s="39">
        <f>SUM(U21:U22)</f>
        <v>423197.67266526795</v>
      </c>
    </row>
    <row r="24" spans="1:21">
      <c r="A24" s="41">
        <v>40978</v>
      </c>
      <c r="B24" s="22">
        <v>40978</v>
      </c>
      <c r="C24" s="32">
        <v>-0.3</v>
      </c>
      <c r="D24" s="33">
        <v>0.31875000000000003</v>
      </c>
      <c r="E24" s="34">
        <f>Effort!F22</f>
        <v>5360.6629442736803</v>
      </c>
      <c r="F24" s="42">
        <f>Harvest!F22</f>
        <v>61966.710939163619</v>
      </c>
      <c r="G24" s="40">
        <f>CPUE!F22</f>
        <v>11.55952380952381</v>
      </c>
      <c r="H24" s="34">
        <f>Effort!H22</f>
        <v>1595.7792114482909</v>
      </c>
      <c r="I24" s="42">
        <f>Harvest!H22</f>
        <v>22781.123915158358</v>
      </c>
      <c r="J24" s="40">
        <f>CPUE!H22</f>
        <v>14.275862068965516</v>
      </c>
      <c r="K24" s="34">
        <f>Effort!J22</f>
        <v>3766.167508081347</v>
      </c>
      <c r="L24" s="42">
        <f>Harvest!J22</f>
        <v>48063.471055514339</v>
      </c>
      <c r="M24" s="40">
        <f>CPUE!J22</f>
        <v>12.761904761904763</v>
      </c>
      <c r="N24" s="34">
        <f>Effort!L22</f>
        <v>1997.7924759995599</v>
      </c>
      <c r="O24" s="42">
        <f>Harvest!L22</f>
        <v>24036.931695359781</v>
      </c>
      <c r="P24" s="40">
        <f>CPUE!L22</f>
        <v>12.03174603174603</v>
      </c>
      <c r="Q24" s="34" t="s">
        <v>16</v>
      </c>
      <c r="R24" s="42" t="s">
        <v>16</v>
      </c>
      <c r="S24" s="40" t="s">
        <v>16</v>
      </c>
      <c r="T24" s="34">
        <f>+E24+H24+K24+N24</f>
        <v>12720.402139802878</v>
      </c>
      <c r="U24" s="42">
        <f>+F24+I24+L24+O24</f>
        <v>156848.2376051961</v>
      </c>
    </row>
    <row r="25" spans="1:21">
      <c r="A25" s="41">
        <v>40979</v>
      </c>
      <c r="B25" s="22">
        <v>40979</v>
      </c>
      <c r="C25" s="32">
        <v>-0.4</v>
      </c>
      <c r="D25" s="33">
        <v>0.39444444444444443</v>
      </c>
      <c r="E25" s="34">
        <f>Effort!F23</f>
        <v>6486.3441961091776</v>
      </c>
      <c r="F25" s="42">
        <f>Harvest!F23</f>
        <v>72871.274301967293</v>
      </c>
      <c r="G25" s="40">
        <f>CPUE!F23</f>
        <v>11.234567901234566</v>
      </c>
      <c r="H25" s="34">
        <f>Effort!H23</f>
        <v>1716.2693963198601</v>
      </c>
      <c r="I25" s="42">
        <f>Harvest!H23</f>
        <v>25083.937330828725</v>
      </c>
      <c r="J25" s="40">
        <f>CPUE!H23</f>
        <v>14.615384615384615</v>
      </c>
      <c r="K25" s="34">
        <f>Effort!J23</f>
        <v>3272.7310611104044</v>
      </c>
      <c r="L25" s="42">
        <f>Harvest!J23</f>
        <v>47474.802429687967</v>
      </c>
      <c r="M25" s="40">
        <f>CPUE!J23</f>
        <v>14.506172839506172</v>
      </c>
      <c r="N25" s="34">
        <f>Effort!L23</f>
        <v>1959.7979941077497</v>
      </c>
      <c r="O25" s="42">
        <f>Harvest!L23</f>
        <v>24319.311472337075</v>
      </c>
      <c r="P25" s="40">
        <f>CPUE!L23</f>
        <v>12.409090909090908</v>
      </c>
      <c r="Q25" s="34" t="s">
        <v>16</v>
      </c>
      <c r="R25" s="42" t="s">
        <v>16</v>
      </c>
      <c r="S25" s="40" t="s">
        <v>16</v>
      </c>
      <c r="T25" s="34">
        <f>+E25+H25+K25+N25</f>
        <v>13435.142647647192</v>
      </c>
      <c r="U25" s="42">
        <f>+F25+I25+L25+O25</f>
        <v>169749.32553482105</v>
      </c>
    </row>
    <row r="26" spans="1:21">
      <c r="A26" s="133" t="s">
        <v>42</v>
      </c>
      <c r="B26" s="133"/>
      <c r="C26" s="133"/>
      <c r="D26" s="134"/>
      <c r="E26" s="38">
        <f>SUM(E24:E25)</f>
        <v>11847.007140382859</v>
      </c>
      <c r="F26" s="39">
        <f>SUM(F24:F25)</f>
        <v>134837.98524113093</v>
      </c>
      <c r="G26" s="37">
        <f>F26/E26</f>
        <v>11.381607493213124</v>
      </c>
      <c r="H26" s="38">
        <f>SUM(H24:H25)</f>
        <v>3312.0486077681508</v>
      </c>
      <c r="I26" s="39">
        <f>SUM(I24:I25)</f>
        <v>47865.061245987083</v>
      </c>
      <c r="J26" s="37">
        <f>I26/H26</f>
        <v>14.451799147428975</v>
      </c>
      <c r="K26" s="38">
        <f>SUM(K24:K25)</f>
        <v>7038.8985691917514</v>
      </c>
      <c r="L26" s="39">
        <f>SUM(L24:L25)</f>
        <v>95538.273485202313</v>
      </c>
      <c r="M26" s="37">
        <f>L26/K26</f>
        <v>13.57290100802981</v>
      </c>
      <c r="N26" s="38">
        <f>SUM(N24:N25)</f>
        <v>3957.5904701073096</v>
      </c>
      <c r="O26" s="39">
        <f>SUM(O24:O25)</f>
        <v>48356.243167696855</v>
      </c>
      <c r="P26" s="37">
        <f>O26/N26</f>
        <v>12.218607138091699</v>
      </c>
      <c r="Q26" s="38"/>
      <c r="R26" s="39"/>
      <c r="S26" s="37"/>
      <c r="T26" s="38">
        <f>SUM(T24:T25)</f>
        <v>26155.544787450068</v>
      </c>
      <c r="U26" s="39">
        <f>SUM(U24:U25)</f>
        <v>326597.56314001716</v>
      </c>
    </row>
    <row r="27" spans="1:21">
      <c r="A27" s="41">
        <v>40992</v>
      </c>
      <c r="B27" s="22">
        <v>40992</v>
      </c>
      <c r="C27" s="32">
        <v>0.3</v>
      </c>
      <c r="D27" s="33">
        <v>0.35069444444444442</v>
      </c>
      <c r="E27" s="34">
        <f>Effort!F25</f>
        <v>5584.7550135927077</v>
      </c>
      <c r="F27" s="42">
        <f>Harvest!F25</f>
        <v>81215.589858687177</v>
      </c>
      <c r="G27" s="40">
        <f>CPUE!F25</f>
        <v>14.542372881355933</v>
      </c>
      <c r="H27" s="34">
        <f>Effort!H25</f>
        <v>1928.3925801346743</v>
      </c>
      <c r="I27" s="42">
        <f>Harvest!H25</f>
        <v>26562.928779883259</v>
      </c>
      <c r="J27" s="40">
        <f>CPUE!H25</f>
        <v>13.774647887323944</v>
      </c>
      <c r="K27" s="34">
        <f>Effort!J25</f>
        <v>4043.0808958700318</v>
      </c>
      <c r="L27" s="42">
        <f>Harvest!J25</f>
        <v>59039.347953794429</v>
      </c>
      <c r="M27" s="40">
        <f>CPUE!J25</f>
        <v>14.6025641025641</v>
      </c>
      <c r="N27" s="34">
        <f>Effort!L25</f>
        <v>2819.0841819926336</v>
      </c>
      <c r="O27" s="42">
        <f>Harvest!L25</f>
        <v>42122.044233851091</v>
      </c>
      <c r="P27" s="40">
        <f>CPUE!L25</f>
        <v>14.941747572815531</v>
      </c>
      <c r="Q27" s="34" t="s">
        <v>16</v>
      </c>
      <c r="R27" s="42" t="s">
        <v>16</v>
      </c>
      <c r="S27" s="40" t="s">
        <v>16</v>
      </c>
      <c r="T27" s="34">
        <f>+E27+H27+K27+N27</f>
        <v>14375.312671590047</v>
      </c>
      <c r="U27" s="42">
        <f>+F27+I27+L27+O27</f>
        <v>208939.91082621599</v>
      </c>
    </row>
    <row r="28" spans="1:21">
      <c r="A28" s="41">
        <v>40993</v>
      </c>
      <c r="B28" s="22">
        <v>40993</v>
      </c>
      <c r="C28" s="32">
        <v>0.3</v>
      </c>
      <c r="D28" s="33">
        <v>0.3743055555555555</v>
      </c>
      <c r="E28" s="34">
        <f>Effort!F26</f>
        <v>5766.0008040748944</v>
      </c>
      <c r="F28" s="42">
        <f>Harvest!F26</f>
        <v>49011.00683463661</v>
      </c>
      <c r="G28" s="40">
        <f>CPUE!F26</f>
        <v>8.5000000000000018</v>
      </c>
      <c r="H28" s="34">
        <f>Effort!H26</f>
        <v>2214.3077635399809</v>
      </c>
      <c r="I28" s="42">
        <f>Harvest!H26</f>
        <v>32734.849770999383</v>
      </c>
      <c r="J28" s="40">
        <f>CPUE!H26</f>
        <v>14.783333333333333</v>
      </c>
      <c r="K28" s="34" t="str">
        <f>Effort!J26</f>
        <v>CLOSED</v>
      </c>
      <c r="L28" s="42" t="str">
        <f>Harvest!J26</f>
        <v>CLOSED</v>
      </c>
      <c r="M28" s="40" t="str">
        <f>CPUE!J26</f>
        <v>CLOSED</v>
      </c>
      <c r="N28" s="34">
        <f>Effort!L26</f>
        <v>3677.677858610612</v>
      </c>
      <c r="O28" s="42">
        <f>Harvest!L26</f>
        <v>54519.961237297677</v>
      </c>
      <c r="P28" s="40">
        <f>CPUE!L26</f>
        <v>14.824561403508774</v>
      </c>
      <c r="Q28" s="34" t="s">
        <v>16</v>
      </c>
      <c r="R28" s="42" t="s">
        <v>16</v>
      </c>
      <c r="S28" s="40" t="s">
        <v>16</v>
      </c>
      <c r="T28" s="34">
        <f>+E28+H28+N28</f>
        <v>11657.986426225487</v>
      </c>
      <c r="U28" s="42">
        <f>+F28+I28+O28</f>
        <v>136265.81784293367</v>
      </c>
    </row>
    <row r="29" spans="1:21">
      <c r="A29" s="133" t="s">
        <v>42</v>
      </c>
      <c r="B29" s="133"/>
      <c r="C29" s="133"/>
      <c r="D29" s="134"/>
      <c r="E29" s="38">
        <f>SUM(E27:E28)</f>
        <v>11350.755817667603</v>
      </c>
      <c r="F29" s="39">
        <f>SUM(F27:F28)</f>
        <v>130226.59669332378</v>
      </c>
      <c r="G29" s="37">
        <f>F29/E29</f>
        <v>11.472944954962765</v>
      </c>
      <c r="H29" s="38">
        <f>SUM(H27:H28)</f>
        <v>4142.7003436746554</v>
      </c>
      <c r="I29" s="39">
        <f>SUM(I27:I28)</f>
        <v>59297.778550882642</v>
      </c>
      <c r="J29" s="37">
        <f>I29/H29</f>
        <v>14.313798641367423</v>
      </c>
      <c r="K29" s="38">
        <f>SUM(K27:K28)</f>
        <v>4043.0808958700318</v>
      </c>
      <c r="L29" s="39">
        <f>SUM(L27:L28)</f>
        <v>59039.347953794429</v>
      </c>
      <c r="M29" s="37">
        <f>L29/K29</f>
        <v>14.6025641025641</v>
      </c>
      <c r="N29" s="38">
        <f>SUM(N27:N28)</f>
        <v>6496.7620406032456</v>
      </c>
      <c r="O29" s="39">
        <f>SUM(O27:O28)</f>
        <v>96642.005471148761</v>
      </c>
      <c r="P29" s="37">
        <f>O29/N29</f>
        <v>14.875410991992441</v>
      </c>
      <c r="Q29" s="38"/>
      <c r="R29" s="39"/>
      <c r="S29" s="37"/>
      <c r="T29" s="38">
        <f>SUM(T27:T28)</f>
        <v>26033.299097815536</v>
      </c>
      <c r="U29" s="39">
        <f>SUM(U27:U28)</f>
        <v>345205.72866914968</v>
      </c>
    </row>
    <row r="30" spans="1:21">
      <c r="A30" s="41">
        <v>41006</v>
      </c>
      <c r="B30" s="22">
        <v>41006</v>
      </c>
      <c r="C30" s="32">
        <v>-1.2</v>
      </c>
      <c r="D30" s="33">
        <v>0.31666666666666665</v>
      </c>
      <c r="E30" s="34">
        <f>Effort!F28</f>
        <v>14020.804378501231</v>
      </c>
      <c r="F30" s="42">
        <f>Harvest!F28</f>
        <v>210312.06567751843</v>
      </c>
      <c r="G30" s="40">
        <f>CPUE!F28</f>
        <v>14.999999999999998</v>
      </c>
      <c r="H30" s="34">
        <f>Effort!H28</f>
        <v>5785.3128922598034</v>
      </c>
      <c r="I30" s="42">
        <f>Harvest!H28</f>
        <v>86779.693383897044</v>
      </c>
      <c r="J30" s="40">
        <f>CPUE!H28</f>
        <v>14.999999999999998</v>
      </c>
      <c r="K30" s="34">
        <f>Effort!J28</f>
        <v>4040.1249611107141</v>
      </c>
      <c r="L30" s="42">
        <f>Harvest!J28</f>
        <v>60601.874416660714</v>
      </c>
      <c r="M30" s="40">
        <f>CPUE!J28</f>
        <v>15</v>
      </c>
      <c r="N30" s="34">
        <f>Effort!L28</f>
        <v>4530.8005304015551</v>
      </c>
      <c r="O30" s="42">
        <f>Harvest!L28</f>
        <v>67693.736871986388</v>
      </c>
      <c r="P30" s="40">
        <f>CPUE!L28</f>
        <v>14.940789473684209</v>
      </c>
      <c r="Q30" s="34">
        <f>+Effort!N28</f>
        <v>3872.2596723024644</v>
      </c>
      <c r="R30" s="42">
        <f>+Harvest!N28</f>
        <v>3872.2596723024644</v>
      </c>
      <c r="S30" s="40">
        <f>+CPUE!N28</f>
        <v>1</v>
      </c>
      <c r="T30" s="34">
        <f>+E30+H30+K30+N30+Q30</f>
        <v>32249.302434575769</v>
      </c>
      <c r="U30" s="42">
        <f>+F30+I30+L30+O30+R30</f>
        <v>429259.63002236496</v>
      </c>
    </row>
    <row r="31" spans="1:21">
      <c r="A31" s="41">
        <v>41007</v>
      </c>
      <c r="B31" s="22">
        <v>41007</v>
      </c>
      <c r="C31" s="32">
        <v>-1.5</v>
      </c>
      <c r="D31" s="33">
        <v>0.34930555555555554</v>
      </c>
      <c r="E31" s="34">
        <f>Effort!F29</f>
        <v>10042.05143783828</v>
      </c>
      <c r="F31" s="42">
        <f>Harvest!F29</f>
        <v>137285.41373571014</v>
      </c>
      <c r="G31" s="40">
        <f>CPUE!F29</f>
        <v>13.671052631578945</v>
      </c>
      <c r="H31" s="34">
        <f>Effort!H29</f>
        <v>2386.619964092883</v>
      </c>
      <c r="I31" s="42">
        <f>Harvest!H29</f>
        <v>35799.299461393246</v>
      </c>
      <c r="J31" s="40">
        <f>CPUE!H29</f>
        <v>15</v>
      </c>
      <c r="K31" s="34" t="str">
        <f>Effort!J29</f>
        <v>CLOSED</v>
      </c>
      <c r="L31" s="42" t="str">
        <f>Harvest!J29</f>
        <v>CLOSED</v>
      </c>
      <c r="M31" s="40" t="str">
        <f>CPUE!J29</f>
        <v>CLOSED</v>
      </c>
      <c r="N31" s="34">
        <f>Effort!L29</f>
        <v>8013.0083622414622</v>
      </c>
      <c r="O31" s="42">
        <f>Harvest!L29</f>
        <v>114608.07373150863</v>
      </c>
      <c r="P31" s="40">
        <f>CPUE!L29</f>
        <v>14.302752293577983</v>
      </c>
      <c r="Q31" s="34">
        <f>+Effort!N29</f>
        <v>312.04958394872102</v>
      </c>
      <c r="R31" s="42">
        <f>+Harvest!N29</f>
        <v>312.04958394872102</v>
      </c>
      <c r="S31" s="40">
        <f>+CPUE!N29</f>
        <v>1</v>
      </c>
      <c r="T31" s="34">
        <f>+E31+H31+N31+Q31</f>
        <v>20753.729348121342</v>
      </c>
      <c r="U31" s="42">
        <f>+F31+I31+O31+R31</f>
        <v>288004.83651256078</v>
      </c>
    </row>
    <row r="32" spans="1:21">
      <c r="A32" s="41">
        <v>41008</v>
      </c>
      <c r="B32" s="22">
        <v>41008</v>
      </c>
      <c r="C32" s="32">
        <v>-1.5</v>
      </c>
      <c r="D32" s="33">
        <v>0.38263888888888892</v>
      </c>
      <c r="E32" s="34">
        <f>Effort!F30</f>
        <v>5594.3696619778839</v>
      </c>
      <c r="F32" s="42">
        <f>Harvest!F30</f>
        <v>78053.18151142796</v>
      </c>
      <c r="G32" s="40">
        <f>CPUE!F30</f>
        <v>13.952095808383234</v>
      </c>
      <c r="H32" s="34">
        <f>Effort!H30</f>
        <v>2354.8446587048265</v>
      </c>
      <c r="I32" s="42">
        <f>Harvest!H30</f>
        <v>35461.190154613854</v>
      </c>
      <c r="J32" s="40">
        <f>CPUE!H30</f>
        <v>15.058823529411763</v>
      </c>
      <c r="K32" s="34" t="str">
        <f>Effort!J30</f>
        <v>CLOSED</v>
      </c>
      <c r="L32" s="42" t="str">
        <f>Harvest!J30</f>
        <v>CLOSED</v>
      </c>
      <c r="M32" s="40" t="str">
        <f>CPUE!J30</f>
        <v>CLOSED</v>
      </c>
      <c r="N32" s="34" t="str">
        <f>Effort!L30</f>
        <v>CLOSED</v>
      </c>
      <c r="O32" s="42" t="str">
        <f>Harvest!L30</f>
        <v>CLOSED</v>
      </c>
      <c r="P32" s="40" t="str">
        <f>CPUE!L30</f>
        <v>CLOSED</v>
      </c>
      <c r="Q32" s="34">
        <f>+Effort!N30</f>
        <v>698.15318833734227</v>
      </c>
      <c r="R32" s="42">
        <f>+Harvest!N30</f>
        <v>698.15318833734227</v>
      </c>
      <c r="S32" s="40">
        <f>+CPUE!N30</f>
        <v>1</v>
      </c>
      <c r="T32" s="34">
        <f>+E32+H32+Q32</f>
        <v>8647.3675090200522</v>
      </c>
      <c r="U32" s="42">
        <f>+F32+I32+R32</f>
        <v>114212.52485437915</v>
      </c>
    </row>
    <row r="33" spans="1:21">
      <c r="A33" s="133" t="s">
        <v>42</v>
      </c>
      <c r="B33" s="133"/>
      <c r="C33" s="133"/>
      <c r="D33" s="134"/>
      <c r="E33" s="38">
        <f>SUM(E30:E32)</f>
        <v>29657.225478317392</v>
      </c>
      <c r="F33" s="39">
        <f>SUM(F30:F32)</f>
        <v>425650.66092465655</v>
      </c>
      <c r="G33" s="37">
        <f>F33/E33</f>
        <v>14.352342609926636</v>
      </c>
      <c r="H33" s="38">
        <f>SUM(H30:H32)</f>
        <v>10526.777515057514</v>
      </c>
      <c r="I33" s="39">
        <f>SUM(I30:I32)</f>
        <v>158040.18299990415</v>
      </c>
      <c r="J33" s="37">
        <f>I33/H33</f>
        <v>15.013158848835106</v>
      </c>
      <c r="K33" s="38">
        <f>SUM(K30:K32)</f>
        <v>4040.1249611107141</v>
      </c>
      <c r="L33" s="39">
        <f>SUM(L30:L32)</f>
        <v>60601.874416660714</v>
      </c>
      <c r="M33" s="37">
        <f>L33/K33</f>
        <v>15</v>
      </c>
      <c r="N33" s="38">
        <f>SUM(N30:N32)</f>
        <v>12543.808892643017</v>
      </c>
      <c r="O33" s="39">
        <f>SUM(O30:O32)</f>
        <v>182301.81060349502</v>
      </c>
      <c r="P33" s="37">
        <f>O33/N33</f>
        <v>14.533210140854074</v>
      </c>
      <c r="Q33" s="38">
        <f>SUM(Q30:Q32)</f>
        <v>4882.4624445885274</v>
      </c>
      <c r="R33" s="39">
        <f>SUM(R30:R32)</f>
        <v>4882.4624445885274</v>
      </c>
      <c r="S33" s="37">
        <f>R33/Q33</f>
        <v>1</v>
      </c>
      <c r="T33" s="38">
        <f>SUM(T30:T32)</f>
        <v>61650.399291717171</v>
      </c>
      <c r="U33" s="39">
        <f>SUM(U30:U32)</f>
        <v>831476.99138930487</v>
      </c>
    </row>
    <row r="34" spans="1:21">
      <c r="A34" s="41">
        <v>41020</v>
      </c>
      <c r="B34" s="22">
        <v>41020</v>
      </c>
      <c r="C34" s="32">
        <v>-0.3</v>
      </c>
      <c r="D34" s="33">
        <v>0.31111111111111112</v>
      </c>
      <c r="E34" s="34">
        <f>Effort!F32</f>
        <v>6010.9723027573309</v>
      </c>
      <c r="F34" s="42">
        <f>Harvest!F32</f>
        <v>90164.58454135996</v>
      </c>
      <c r="G34" s="40">
        <f>CPUE!F32</f>
        <v>15</v>
      </c>
      <c r="H34" s="34">
        <f>Effort!H32</f>
        <v>3487.8939903641217</v>
      </c>
      <c r="I34" s="42">
        <f>Harvest!H32</f>
        <v>52318.409855461825</v>
      </c>
      <c r="J34" s="40">
        <f>CPUE!H32</f>
        <v>15</v>
      </c>
      <c r="K34" s="34" t="str">
        <f>Effort!J32</f>
        <v>CLOSED</v>
      </c>
      <c r="L34" s="42" t="str">
        <f>Harvest!J32</f>
        <v>CLOSED</v>
      </c>
      <c r="M34" s="40" t="str">
        <f>CPUE!J32</f>
        <v>CLOSED</v>
      </c>
      <c r="N34" s="34" t="str">
        <f>Effort!L32</f>
        <v>CLOSED</v>
      </c>
      <c r="O34" s="42" t="str">
        <f>Harvest!L32</f>
        <v>CLOSED</v>
      </c>
      <c r="P34" s="40" t="str">
        <f>CPUE!L32</f>
        <v>CLOSED</v>
      </c>
      <c r="Q34" s="34" t="str">
        <f>+Effort!N32</f>
        <v>CLOSED</v>
      </c>
      <c r="R34" s="42" t="str">
        <f>+Harvest!N32</f>
        <v>CLOSED</v>
      </c>
      <c r="S34" s="40" t="str">
        <f>+CPUE!N32</f>
        <v>CLOSED</v>
      </c>
      <c r="T34" s="34">
        <f>+E34+H34</f>
        <v>9498.8662931214531</v>
      </c>
      <c r="U34" s="42">
        <f>+F34+I34</f>
        <v>142482.99439682177</v>
      </c>
    </row>
    <row r="35" spans="1:21">
      <c r="A35" s="41">
        <v>41021</v>
      </c>
      <c r="B35" s="22">
        <v>41021</v>
      </c>
      <c r="C35" s="32">
        <v>-0.4</v>
      </c>
      <c r="D35" s="33">
        <v>0.33402777777777781</v>
      </c>
      <c r="E35" s="34">
        <f>Effort!F33</f>
        <v>5904.4157973572028</v>
      </c>
      <c r="F35" s="42">
        <f>Harvest!F33</f>
        <v>88566.236960358045</v>
      </c>
      <c r="G35" s="40">
        <f>CPUE!F33</f>
        <v>15</v>
      </c>
      <c r="H35" s="34">
        <f>Effort!H33</f>
        <v>2704.6991510528114</v>
      </c>
      <c r="I35" s="42">
        <f>Harvest!H33</f>
        <v>40570.487265792173</v>
      </c>
      <c r="J35" s="40">
        <f>CPUE!H33</f>
        <v>15</v>
      </c>
      <c r="K35" s="34" t="str">
        <f>Effort!J33</f>
        <v>CLOSED</v>
      </c>
      <c r="L35" s="42" t="str">
        <f>Harvest!J33</f>
        <v>CLOSED</v>
      </c>
      <c r="M35" s="40" t="str">
        <f>CPUE!J33</f>
        <v>CLOSED</v>
      </c>
      <c r="N35" s="34" t="str">
        <f>Effort!L33</f>
        <v>CLOSED</v>
      </c>
      <c r="O35" s="42" t="str">
        <f>Harvest!L33</f>
        <v>CLOSED</v>
      </c>
      <c r="P35" s="40" t="str">
        <f>CPUE!L33</f>
        <v>CLOSED</v>
      </c>
      <c r="Q35" s="34" t="str">
        <f>+Effort!N33</f>
        <v>CLOSED</v>
      </c>
      <c r="R35" s="42" t="str">
        <f>+Harvest!N33</f>
        <v>CLOSED</v>
      </c>
      <c r="S35" s="40" t="str">
        <f>+CPUE!N33</f>
        <v>CLOSED</v>
      </c>
      <c r="T35" s="34">
        <f>+E35+H35</f>
        <v>8609.1149484100133</v>
      </c>
      <c r="U35" s="42">
        <f>+F35+I35</f>
        <v>129136.72422615023</v>
      </c>
    </row>
    <row r="36" spans="1:21">
      <c r="A36" s="41">
        <v>41022</v>
      </c>
      <c r="B36" s="22">
        <v>41021</v>
      </c>
      <c r="C36" s="32">
        <v>-0.4</v>
      </c>
      <c r="D36" s="33">
        <v>0.3576388888888889</v>
      </c>
      <c r="E36" s="34">
        <f>Effort!F34</f>
        <v>3272.8370352154166</v>
      </c>
      <c r="F36" s="42">
        <f>Harvest!F34</f>
        <v>49092.555528231249</v>
      </c>
      <c r="G36" s="40">
        <f>CPUE!F34</f>
        <v>15</v>
      </c>
      <c r="H36" s="34">
        <f>Effort!H34</f>
        <v>1700.9389880515516</v>
      </c>
      <c r="I36" s="42">
        <f>Harvest!H34</f>
        <v>25514.084820773278</v>
      </c>
      <c r="J36" s="40">
        <f>CPUE!H34</f>
        <v>15.000000000000002</v>
      </c>
      <c r="K36" s="34">
        <f>Effort!J34</f>
        <v>1618.5331516008796</v>
      </c>
      <c r="L36" s="42">
        <f>Harvest!J34</f>
        <v>24277.997274013189</v>
      </c>
      <c r="M36" s="40">
        <f>CPUE!J34</f>
        <v>14.999999999999996</v>
      </c>
      <c r="N36" s="34">
        <f>Effort!L34</f>
        <v>1256.4544529185862</v>
      </c>
      <c r="O36" s="42">
        <f>Harvest!L34</f>
        <v>18846.816793778791</v>
      </c>
      <c r="P36" s="40">
        <f>CPUE!L34</f>
        <v>14.999999999999998</v>
      </c>
      <c r="Q36" s="34" t="str">
        <f>+Effort!N34</f>
        <v>CLOSED</v>
      </c>
      <c r="R36" s="42" t="str">
        <f>+Harvest!N34</f>
        <v>CLOSED</v>
      </c>
      <c r="S36" s="40" t="str">
        <f>+CPUE!N34</f>
        <v>CLOSED</v>
      </c>
      <c r="T36" s="34">
        <f>+E36+H36+K36+N36</f>
        <v>7848.7636277864331</v>
      </c>
      <c r="U36" s="42">
        <f>+F36+I36+L36+O36</f>
        <v>117731.45441679652</v>
      </c>
    </row>
    <row r="37" spans="1:21">
      <c r="A37" s="133" t="s">
        <v>42</v>
      </c>
      <c r="B37" s="133"/>
      <c r="C37" s="133"/>
      <c r="D37" s="134"/>
      <c r="E37" s="38">
        <f>SUM(E34:E36)</f>
        <v>15188.225135329951</v>
      </c>
      <c r="F37" s="39">
        <f>SUM(F34:F36)</f>
        <v>227823.37702994928</v>
      </c>
      <c r="G37" s="37">
        <f>F37/E37</f>
        <v>15.000000000000002</v>
      </c>
      <c r="H37" s="38">
        <f>SUM(H34:H36)</f>
        <v>7893.5321294684854</v>
      </c>
      <c r="I37" s="39">
        <f>SUM(I34:I36)</f>
        <v>118402.98194202728</v>
      </c>
      <c r="J37" s="37">
        <f>I37/H37</f>
        <v>15</v>
      </c>
      <c r="K37" s="38">
        <f>SUM(K34:K36)</f>
        <v>1618.5331516008796</v>
      </c>
      <c r="L37" s="39">
        <f>SUM(L34:L36)</f>
        <v>24277.997274013189</v>
      </c>
      <c r="M37" s="37">
        <f>L37/K37</f>
        <v>14.999999999999996</v>
      </c>
      <c r="N37" s="38">
        <f>SUM(N34:N36)</f>
        <v>1256.4544529185862</v>
      </c>
      <c r="O37" s="39">
        <f>SUM(O34:O36)</f>
        <v>18846.816793778791</v>
      </c>
      <c r="P37" s="37">
        <f>O37/N37</f>
        <v>14.999999999999998</v>
      </c>
      <c r="Q37" s="38"/>
      <c r="R37" s="39"/>
      <c r="S37" s="37"/>
      <c r="T37" s="38">
        <f>+E37+H37+K37+N37</f>
        <v>25956.744869317903</v>
      </c>
      <c r="U37" s="39">
        <f>+F37+I37+L37+O37</f>
        <v>389351.17303976853</v>
      </c>
    </row>
    <row r="38" spans="1:21">
      <c r="A38" s="41">
        <v>41034</v>
      </c>
      <c r="B38" s="22">
        <v>41034</v>
      </c>
      <c r="C38" s="32">
        <v>-1.5</v>
      </c>
      <c r="D38" s="33">
        <v>0.27152777777777776</v>
      </c>
      <c r="E38" s="34" t="str">
        <f>Effort!F36</f>
        <v>CLOSED</v>
      </c>
      <c r="F38" s="42" t="str">
        <f>Harvest!F36</f>
        <v>CLOSED</v>
      </c>
      <c r="G38" s="40" t="str">
        <f>CPUE!F36</f>
        <v>CLOSED</v>
      </c>
      <c r="H38" s="34">
        <f>Effort!H36</f>
        <v>3902.6236159719892</v>
      </c>
      <c r="I38" s="42">
        <f>Harvest!H36</f>
        <v>58539.354239579829</v>
      </c>
      <c r="J38" s="40">
        <f>CPUE!H36</f>
        <v>14.999999999999998</v>
      </c>
      <c r="K38" s="34" t="str">
        <f>Effort!J36</f>
        <v>CLOSED</v>
      </c>
      <c r="L38" s="42" t="str">
        <f>Harvest!J36</f>
        <v>CLOSED</v>
      </c>
      <c r="M38" s="40" t="str">
        <f>CPUE!J36</f>
        <v>CLOSED</v>
      </c>
      <c r="N38" s="34" t="str">
        <f>Effort!L36</f>
        <v>CLOSED</v>
      </c>
      <c r="O38" s="42" t="str">
        <f>Harvest!L36</f>
        <v>CLOSED</v>
      </c>
      <c r="P38" s="40" t="str">
        <f>CPUE!L36</f>
        <v>CLOSED</v>
      </c>
      <c r="Q38" s="34" t="str">
        <f>+Effort!N36</f>
        <v>CLOSED</v>
      </c>
      <c r="R38" s="42" t="str">
        <f>+Harvest!N36</f>
        <v>CLOSED</v>
      </c>
      <c r="S38" s="40" t="str">
        <f>+CPUE!N36</f>
        <v>CLOSED</v>
      </c>
      <c r="T38" s="34">
        <f>+H38</f>
        <v>3902.6236159719892</v>
      </c>
      <c r="U38" s="42">
        <f>+I38</f>
        <v>58539.354239579829</v>
      </c>
    </row>
    <row r="39" spans="1:21">
      <c r="A39" s="41">
        <v>41035</v>
      </c>
      <c r="B39" s="22">
        <v>41035</v>
      </c>
      <c r="C39" s="32">
        <v>-2.1</v>
      </c>
      <c r="D39" s="33">
        <v>0.30486111111111108</v>
      </c>
      <c r="E39" s="34" t="str">
        <f>Effort!F37</f>
        <v>CLOSED</v>
      </c>
      <c r="F39" s="42" t="str">
        <f>Harvest!F37</f>
        <v>CLOSED</v>
      </c>
      <c r="G39" s="40" t="str">
        <f>CPUE!F37</f>
        <v>CLOSED</v>
      </c>
      <c r="H39" s="34">
        <f>Effort!H37</f>
        <v>3594.853476247632</v>
      </c>
      <c r="I39" s="42">
        <f>Harvest!H37</f>
        <v>53922.802143714493</v>
      </c>
      <c r="J39" s="40">
        <f>CPUE!H37</f>
        <v>15.000000000000004</v>
      </c>
      <c r="K39" s="34" t="str">
        <f>Effort!J37</f>
        <v>CLOSED</v>
      </c>
      <c r="L39" s="42" t="str">
        <f>Harvest!J37</f>
        <v>CLOSED</v>
      </c>
      <c r="M39" s="40" t="str">
        <f>CPUE!J37</f>
        <v>CLOSED</v>
      </c>
      <c r="N39" s="34" t="str">
        <f>Effort!L37</f>
        <v>CLOSED</v>
      </c>
      <c r="O39" s="42" t="str">
        <f>Harvest!L37</f>
        <v>CLOSED</v>
      </c>
      <c r="P39" s="40" t="str">
        <f>CPUE!L37</f>
        <v>CLOSED</v>
      </c>
      <c r="Q39" s="34" t="str">
        <f>+Effort!N37</f>
        <v>CLOSED</v>
      </c>
      <c r="R39" s="42" t="str">
        <f>+Harvest!N37</f>
        <v>CLOSED</v>
      </c>
      <c r="S39" s="40" t="str">
        <f>+CPUE!N37</f>
        <v>CLOSED</v>
      </c>
      <c r="T39" s="34">
        <f t="shared" ref="T39:U40" si="5">+H39</f>
        <v>3594.853476247632</v>
      </c>
      <c r="U39" s="42">
        <f t="shared" si="5"/>
        <v>53922.802143714493</v>
      </c>
    </row>
    <row r="40" spans="1:21">
      <c r="A40" s="41">
        <v>41036</v>
      </c>
      <c r="B40" s="22">
        <v>41036</v>
      </c>
      <c r="C40" s="32">
        <v>-2.2999999999999998</v>
      </c>
      <c r="D40" s="33">
        <v>0.33819444444444446</v>
      </c>
      <c r="E40" s="34" t="str">
        <f>Effort!F38</f>
        <v>CLOSED</v>
      </c>
      <c r="F40" s="42" t="str">
        <f>Harvest!F38</f>
        <v>CLOSED</v>
      </c>
      <c r="G40" s="40" t="str">
        <f>CPUE!F38</f>
        <v>CLOSED</v>
      </c>
      <c r="H40" s="34">
        <f>Effort!H38</f>
        <v>2389.4747272151917</v>
      </c>
      <c r="I40" s="42">
        <f>Harvest!H38</f>
        <v>35842.120908227873</v>
      </c>
      <c r="J40" s="40">
        <f>CPUE!H38</f>
        <v>14.999999999999998</v>
      </c>
      <c r="K40" s="34" t="str">
        <f>Effort!J38</f>
        <v>CLOSED</v>
      </c>
      <c r="L40" s="42" t="str">
        <f>Harvest!J38</f>
        <v>CLOSED</v>
      </c>
      <c r="M40" s="40" t="str">
        <f>CPUE!J38</f>
        <v>CLOSED</v>
      </c>
      <c r="N40" s="34" t="str">
        <f>Effort!L38</f>
        <v>CLOSED</v>
      </c>
      <c r="O40" s="42" t="str">
        <f>Harvest!L38</f>
        <v>CLOSED</v>
      </c>
      <c r="P40" s="40" t="str">
        <f>CPUE!L38</f>
        <v>CLOSED</v>
      </c>
      <c r="Q40" s="34" t="str">
        <f>+Effort!N38</f>
        <v>CLOSED</v>
      </c>
      <c r="R40" s="42" t="str">
        <f>+Harvest!N38</f>
        <v>CLOSED</v>
      </c>
      <c r="S40" s="40" t="str">
        <f>+CPUE!N38</f>
        <v>CLOSED</v>
      </c>
      <c r="T40" s="34">
        <f t="shared" si="5"/>
        <v>2389.4747272151917</v>
      </c>
      <c r="U40" s="42">
        <f t="shared" si="5"/>
        <v>35842.120908227873</v>
      </c>
    </row>
    <row r="41" spans="1:21">
      <c r="A41" s="133" t="s">
        <v>42</v>
      </c>
      <c r="B41" s="133"/>
      <c r="C41" s="133"/>
      <c r="D41" s="134"/>
      <c r="E41" s="38"/>
      <c r="F41" s="39"/>
      <c r="G41" s="37"/>
      <c r="H41" s="38">
        <f>SUM(H38:H40)</f>
        <v>9886.9518194348129</v>
      </c>
      <c r="I41" s="39">
        <f>SUM(I38:I40)</f>
        <v>148304.27729152219</v>
      </c>
      <c r="J41" s="37">
        <f>I41/H41</f>
        <v>15</v>
      </c>
      <c r="K41" s="38"/>
      <c r="L41" s="39"/>
      <c r="M41" s="37"/>
      <c r="N41" s="38"/>
      <c r="O41" s="39"/>
      <c r="P41" s="37"/>
      <c r="Q41" s="38"/>
      <c r="R41" s="39"/>
      <c r="S41" s="37"/>
      <c r="T41" s="38">
        <f>SUM(T38:T40)</f>
        <v>9886.9518194348129</v>
      </c>
      <c r="U41" s="39">
        <f>SUM(U38:U40)</f>
        <v>148304.27729152219</v>
      </c>
    </row>
    <row r="42" spans="1:21">
      <c r="A42" s="41"/>
      <c r="B42" s="22"/>
      <c r="C42" s="32"/>
      <c r="D42" s="33"/>
      <c r="E42" s="34"/>
      <c r="F42" s="42"/>
      <c r="G42" s="40"/>
      <c r="H42" s="34"/>
      <c r="I42" s="42"/>
      <c r="J42" s="40"/>
      <c r="K42" s="34"/>
      <c r="L42" s="42"/>
      <c r="M42" s="40"/>
      <c r="N42" s="34"/>
      <c r="O42" s="42"/>
      <c r="P42" s="40"/>
      <c r="Q42" s="34"/>
      <c r="R42" s="42"/>
      <c r="S42" s="40"/>
      <c r="T42" s="34"/>
      <c r="U42" s="42"/>
    </row>
    <row r="43" spans="1:21" ht="15.75" thickBot="1">
      <c r="A43" s="79"/>
      <c r="B43" s="115"/>
      <c r="C43" s="115"/>
      <c r="D43" s="115"/>
      <c r="E43" s="81"/>
      <c r="F43" s="81"/>
      <c r="G43" s="82"/>
      <c r="H43" s="81"/>
      <c r="I43" s="81"/>
      <c r="J43" s="82"/>
      <c r="K43" s="81"/>
      <c r="L43" s="81"/>
      <c r="M43" s="82"/>
      <c r="N43" s="81"/>
      <c r="O43" s="81"/>
      <c r="P43" s="82"/>
      <c r="Q43" s="81"/>
      <c r="R43" s="81"/>
      <c r="S43" s="82"/>
      <c r="T43" s="81"/>
      <c r="U43" s="81"/>
    </row>
    <row r="44" spans="1:21" ht="15.75" thickTop="1">
      <c r="A44" s="43" t="s">
        <v>48</v>
      </c>
      <c r="B44" s="47"/>
      <c r="C44" s="47"/>
      <c r="D44" s="47"/>
      <c r="E44" s="44">
        <f>+E6+E9+E12+E14+E17+E20+E23+E26+E29+E33+E37</f>
        <v>109791.86338513746</v>
      </c>
      <c r="F44" s="44">
        <f>+F6+F9+F12+F14+F17+F20+F23+F26+F29+F33+F37</f>
        <v>1421622.5715237493</v>
      </c>
      <c r="G44" s="45">
        <f>F44/E44</f>
        <v>12.94834177772225</v>
      </c>
      <c r="H44" s="44">
        <f>+H6+H9+H12+H14+H17+H20+H23+H26+H29+H33+H37+H41</f>
        <v>54297.002963005165</v>
      </c>
      <c r="I44" s="44">
        <f>+I6+I9+I12+I14+I17+I20+I23+I26+I29+I33+I37</f>
        <v>586786.91312828206</v>
      </c>
      <c r="J44" s="45">
        <f>I44/H44</f>
        <v>10.806985305028432</v>
      </c>
      <c r="K44" s="44">
        <f>+K6+K9+K12+K14+K17+K20+K23+K26+K29+K33+K37</f>
        <v>35149.318876929894</v>
      </c>
      <c r="L44" s="44">
        <f>+L6+L9+L12+L14+L17+L20+L23+L26+L29+L33+L37</f>
        <v>463212.71587762848</v>
      </c>
      <c r="M44" s="45">
        <f>L44/K44</f>
        <v>13.178426515162323</v>
      </c>
      <c r="N44" s="44">
        <f>+N6+N9+N12+N14+N17+N20+N23+N26+N29+N33+N37</f>
        <v>55708.312032629845</v>
      </c>
      <c r="O44" s="44">
        <f>+O6+O9+O12+O14+O17+O20+O23+O26+O29+O33+O37</f>
        <v>734298.12490676565</v>
      </c>
      <c r="P44" s="45">
        <f>O44/N44</f>
        <v>13.181123213294772</v>
      </c>
      <c r="Q44" s="44">
        <f t="shared" ref="Q44:R44" si="6">+Q6+Q9+Q12+Q14+Q17+Q20+Q23+Q26+Q29+Q33</f>
        <v>4882.4624445885274</v>
      </c>
      <c r="R44" s="44">
        <f t="shared" si="6"/>
        <v>4882.4624445885274</v>
      </c>
      <c r="S44" s="45">
        <f>R44/Q44</f>
        <v>1</v>
      </c>
      <c r="T44" s="44">
        <f>+T6+T9+T12+T14+T17+T20+T23+T26+T29+T33+T37</f>
        <v>249942.00788285607</v>
      </c>
      <c r="U44" s="44">
        <f>+U6+U9+U12+U14+U17+U20+U23+U26+U29+U33+U37</f>
        <v>3210802.7878810139</v>
      </c>
    </row>
    <row r="45" spans="1:21">
      <c r="A45" s="79" t="s">
        <v>47</v>
      </c>
      <c r="B45" s="80"/>
      <c r="C45" s="80"/>
      <c r="D45" s="80"/>
      <c r="E45" s="81"/>
      <c r="F45" s="81">
        <f>+Harvest!F42</f>
        <v>4415</v>
      </c>
      <c r="G45" s="82"/>
      <c r="H45" s="81"/>
      <c r="I45" s="81">
        <f>Harvest!H42</f>
        <v>17521</v>
      </c>
      <c r="J45" s="82"/>
      <c r="K45" s="81"/>
      <c r="L45" s="81">
        <f>Harvest!J42</f>
        <v>3076</v>
      </c>
      <c r="M45" s="82"/>
      <c r="N45" s="81"/>
      <c r="O45" s="81">
        <f>Harvest!L42</f>
        <v>8518</v>
      </c>
      <c r="P45" s="82"/>
      <c r="Q45" s="81"/>
      <c r="R45" s="81"/>
      <c r="S45" s="82"/>
      <c r="T45" s="81"/>
      <c r="U45" s="81">
        <f>F45+I45+L45+O45+R45</f>
        <v>33530</v>
      </c>
    </row>
    <row r="46" spans="1:21">
      <c r="A46" s="89" t="s">
        <v>43</v>
      </c>
      <c r="B46" s="90"/>
      <c r="C46" s="90"/>
      <c r="D46" s="90"/>
      <c r="E46" s="83">
        <f>E44</f>
        <v>109791.86338513746</v>
      </c>
      <c r="F46" s="83">
        <f>F44+F45</f>
        <v>1426037.5715237493</v>
      </c>
      <c r="G46" s="84">
        <f>F46/E46</f>
        <v>12.988554229391029</v>
      </c>
      <c r="H46" s="83">
        <f>H44</f>
        <v>54297.002963005165</v>
      </c>
      <c r="I46" s="83">
        <f>I44+I45</f>
        <v>604307.91312828206</v>
      </c>
      <c r="J46" s="84">
        <f>I46/H46</f>
        <v>11.129673465403284</v>
      </c>
      <c r="K46" s="83">
        <f>K44</f>
        <v>35149.318876929894</v>
      </c>
      <c r="L46" s="83">
        <f>L44+L45</f>
        <v>466288.71587762848</v>
      </c>
      <c r="M46" s="84">
        <f>L46/K46</f>
        <v>13.265938879506285</v>
      </c>
      <c r="N46" s="83">
        <f>N44</f>
        <v>55708.312032629845</v>
      </c>
      <c r="O46" s="83">
        <f>O44+O45</f>
        <v>742816.12490676565</v>
      </c>
      <c r="P46" s="84">
        <f>O46/N46</f>
        <v>13.334026787091995</v>
      </c>
      <c r="Q46" s="83">
        <f>Q44</f>
        <v>4882.4624445885274</v>
      </c>
      <c r="R46" s="83">
        <f>R44+R45</f>
        <v>4882.4624445885274</v>
      </c>
      <c r="S46" s="84"/>
      <c r="T46" s="83">
        <f>SUM(T44:T45)</f>
        <v>249942.00788285607</v>
      </c>
      <c r="U46" s="85">
        <f>SUM(U44:U45)</f>
        <v>3244332.7878810139</v>
      </c>
    </row>
    <row r="47" spans="1:21">
      <c r="A47" s="91" t="s">
        <v>26</v>
      </c>
      <c r="B47" s="87"/>
      <c r="C47" s="87"/>
      <c r="D47" s="87"/>
      <c r="E47" s="87"/>
      <c r="F47" s="86">
        <f>Harvest!F45</f>
        <v>1.3027440344719123</v>
      </c>
      <c r="G47" s="87"/>
      <c r="H47" s="87"/>
      <c r="I47" s="86">
        <f>Harvest!H45</f>
        <v>1.2211499597558704</v>
      </c>
      <c r="J47" s="87"/>
      <c r="K47" s="87"/>
      <c r="L47" s="86">
        <f>Harvest!J45</f>
        <v>1.2555804224228306</v>
      </c>
      <c r="M47" s="87"/>
      <c r="N47" s="87"/>
      <c r="O47" s="86">
        <f>Harvest!L45</f>
        <v>1.2261117252687954</v>
      </c>
      <c r="P47" s="87"/>
      <c r="Q47" s="87"/>
      <c r="R47" s="86">
        <f>Harvest!N45</f>
        <v>3.3774524089842634E-2</v>
      </c>
      <c r="S47" s="87"/>
      <c r="T47" s="87"/>
      <c r="U47" s="88"/>
    </row>
  </sheetData>
  <mergeCells count="19">
    <mergeCell ref="A41:D41"/>
    <mergeCell ref="A6:D6"/>
    <mergeCell ref="A9:D9"/>
    <mergeCell ref="A1:U1"/>
    <mergeCell ref="T2:U2"/>
    <mergeCell ref="N2:P2"/>
    <mergeCell ref="K2:M2"/>
    <mergeCell ref="H2:J2"/>
    <mergeCell ref="E2:G2"/>
    <mergeCell ref="Q2:S2"/>
    <mergeCell ref="A37:D37"/>
    <mergeCell ref="A12:D12"/>
    <mergeCell ref="A17:D17"/>
    <mergeCell ref="A20:D20"/>
    <mergeCell ref="A14:D14"/>
    <mergeCell ref="A33:D33"/>
    <mergeCell ref="A29:D29"/>
    <mergeCell ref="A26:D26"/>
    <mergeCell ref="A23:D23"/>
  </mergeCells>
  <pageMargins left="0.2" right="0" top="0.4" bottom="0" header="0.2" footer="0"/>
  <pageSetup scale="83" orientation="landscape" r:id="rId1"/>
  <headerFooter>
    <oddHeader>&amp;L&amp;KFF0000PRELIMINARY ESTIMATE</oddHeader>
  </headerFooter>
  <ignoredErrors>
    <ignoredError sqref="P6 G6 J6 M26 J26 G2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8"/>
  <sheetViews>
    <sheetView workbookViewId="0">
      <selection activeCell="I37" sqref="I37"/>
    </sheetView>
  </sheetViews>
  <sheetFormatPr defaultRowHeight="15"/>
  <cols>
    <col min="1" max="1" width="8" customWidth="1"/>
    <col min="2" max="2" width="4.5703125" bestFit="1" customWidth="1"/>
    <col min="3" max="3" width="4.5703125" customWidth="1"/>
    <col min="4" max="4" width="8.42578125" bestFit="1" customWidth="1"/>
    <col min="5" max="5" width="7.5703125" bestFit="1" customWidth="1"/>
    <col min="6" max="6" width="8.85546875" bestFit="1" customWidth="1"/>
    <col min="7" max="7" width="7.5703125" bestFit="1" customWidth="1"/>
    <col min="8" max="8" width="8.42578125" bestFit="1" customWidth="1"/>
    <col min="9" max="9" width="7.5703125" bestFit="1" customWidth="1"/>
    <col min="10" max="10" width="12" bestFit="1" customWidth="1"/>
    <col min="11" max="11" width="7.5703125" bestFit="1" customWidth="1"/>
    <col min="12" max="12" width="8.42578125" bestFit="1" customWidth="1"/>
    <col min="13" max="15" width="7.5703125" bestFit="1" customWidth="1"/>
    <col min="16" max="16" width="8.42578125" bestFit="1" customWidth="1"/>
  </cols>
  <sheetData>
    <row r="1" spans="1:18" ht="15.75" thickBot="1">
      <c r="A1" s="144" t="s">
        <v>60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</row>
    <row r="2" spans="1:18" ht="15.75" thickTop="1">
      <c r="A2" s="27"/>
      <c r="B2" s="27"/>
      <c r="C2" s="27"/>
      <c r="D2" s="27"/>
      <c r="E2" s="138" t="s">
        <v>32</v>
      </c>
      <c r="F2" s="139"/>
      <c r="G2" s="139"/>
      <c r="H2" s="140"/>
      <c r="I2" s="138" t="s">
        <v>33</v>
      </c>
      <c r="J2" s="139"/>
      <c r="K2" s="139"/>
      <c r="L2" s="140"/>
      <c r="M2" s="138" t="s">
        <v>34</v>
      </c>
      <c r="N2" s="139"/>
      <c r="O2" s="139"/>
      <c r="P2" s="140"/>
      <c r="Q2" s="136" t="s">
        <v>35</v>
      </c>
      <c r="R2" s="137"/>
    </row>
    <row r="3" spans="1:18" ht="15.75" thickBot="1">
      <c r="A3" s="28" t="s">
        <v>36</v>
      </c>
      <c r="B3" s="28" t="s">
        <v>37</v>
      </c>
      <c r="C3" s="28" t="s">
        <v>38</v>
      </c>
      <c r="D3" s="28" t="s">
        <v>39</v>
      </c>
      <c r="E3" s="29" t="s">
        <v>40</v>
      </c>
      <c r="F3" s="28" t="s">
        <v>41</v>
      </c>
      <c r="G3" s="28" t="s">
        <v>11</v>
      </c>
      <c r="H3" s="28" t="s">
        <v>46</v>
      </c>
      <c r="I3" s="29" t="s">
        <v>40</v>
      </c>
      <c r="J3" s="28" t="s">
        <v>41</v>
      </c>
      <c r="K3" s="28" t="s">
        <v>11</v>
      </c>
      <c r="L3" s="28" t="s">
        <v>46</v>
      </c>
      <c r="M3" s="29" t="s">
        <v>40</v>
      </c>
      <c r="N3" s="28" t="s">
        <v>41</v>
      </c>
      <c r="O3" s="28" t="s">
        <v>11</v>
      </c>
      <c r="P3" s="28" t="s">
        <v>46</v>
      </c>
      <c r="Q3" s="29" t="s">
        <v>40</v>
      </c>
      <c r="R3" s="30" t="s">
        <v>41</v>
      </c>
    </row>
    <row r="4" spans="1:18" ht="15.75" thickTop="1">
      <c r="A4" s="31">
        <v>40844</v>
      </c>
      <c r="B4" s="22">
        <v>40844</v>
      </c>
      <c r="C4" s="23">
        <v>-1.8</v>
      </c>
      <c r="D4" s="24">
        <v>0.85277777777777775</v>
      </c>
      <c r="E4" s="34">
        <v>2125.5961114448337</v>
      </c>
      <c r="F4" s="35">
        <v>27840.1246791677</v>
      </c>
      <c r="G4" s="32">
        <f>+F4/E4</f>
        <v>13.097560975609756</v>
      </c>
      <c r="H4" s="32"/>
      <c r="I4" s="34">
        <v>866.8738235809185</v>
      </c>
      <c r="J4" s="35">
        <v>12452.975888748962</v>
      </c>
      <c r="K4" s="32">
        <f t="shared" ref="K4:K5" si="0">+J4/I4</f>
        <v>14.365384615384613</v>
      </c>
      <c r="L4" s="32"/>
      <c r="M4" s="34" t="str">
        <f>+'Summary Table'!Q5</f>
        <v>CLOSED</v>
      </c>
      <c r="N4" s="35" t="str">
        <f>+'Summary Table'!R5</f>
        <v>CLOSED</v>
      </c>
      <c r="O4" s="32" t="str">
        <f>+'Summary Table'!S5</f>
        <v>CLOSED</v>
      </c>
      <c r="P4" s="32"/>
      <c r="Q4" s="34">
        <f t="shared" ref="Q4:R6" si="1">+E4+I4</f>
        <v>2992.4699350257524</v>
      </c>
      <c r="R4" s="35">
        <f t="shared" si="1"/>
        <v>40293.100567916663</v>
      </c>
    </row>
    <row r="5" spans="1:18">
      <c r="A5" s="31">
        <v>40845</v>
      </c>
      <c r="B5" s="22">
        <v>40845</v>
      </c>
      <c r="C5" s="25">
        <v>-1.5</v>
      </c>
      <c r="D5" s="26">
        <v>0.88680555555555562</v>
      </c>
      <c r="E5" s="34">
        <v>1919.1157037797179</v>
      </c>
      <c r="F5" s="35">
        <v>28786.73555669577</v>
      </c>
      <c r="G5" s="32">
        <f>+F5/E5</f>
        <v>15</v>
      </c>
      <c r="H5" s="32"/>
      <c r="I5" s="34">
        <v>1174.4697062453945</v>
      </c>
      <c r="J5" s="35">
        <v>15085.860881945151</v>
      </c>
      <c r="K5" s="32">
        <f t="shared" si="0"/>
        <v>12.844827586206895</v>
      </c>
      <c r="L5" s="32"/>
      <c r="M5" s="34" t="s">
        <v>16</v>
      </c>
      <c r="N5" s="35" t="s">
        <v>16</v>
      </c>
      <c r="O5" s="32" t="s">
        <v>16</v>
      </c>
      <c r="P5" s="32"/>
      <c r="Q5" s="34">
        <f t="shared" si="1"/>
        <v>3093.5854100251127</v>
      </c>
      <c r="R5" s="35">
        <f t="shared" si="1"/>
        <v>43872.596438640918</v>
      </c>
    </row>
    <row r="6" spans="1:18">
      <c r="A6" s="133" t="s">
        <v>42</v>
      </c>
      <c r="B6" s="133"/>
      <c r="C6" s="133"/>
      <c r="D6" s="134"/>
      <c r="E6" s="38">
        <f>SUM(E4:E5)</f>
        <v>4044.7118152245516</v>
      </c>
      <c r="F6" s="39">
        <f>SUM(F4:F5)</f>
        <v>56626.860235863467</v>
      </c>
      <c r="G6" s="37">
        <f>+F6/E6</f>
        <v>14.000221232750471</v>
      </c>
      <c r="H6" s="37">
        <v>105</v>
      </c>
      <c r="I6" s="38">
        <f>SUM(I4:I5)</f>
        <v>2041.343529826313</v>
      </c>
      <c r="J6" s="39">
        <f>SUM(J4:J5)</f>
        <v>27538.836770694114</v>
      </c>
      <c r="K6" s="37">
        <f>+J6/I6</f>
        <v>13.490545010342892</v>
      </c>
      <c r="L6" s="37">
        <v>109.58</v>
      </c>
      <c r="M6" s="38"/>
      <c r="N6" s="39"/>
      <c r="O6" s="37"/>
      <c r="P6" s="37"/>
      <c r="Q6" s="38">
        <f t="shared" si="1"/>
        <v>6086.0553450508651</v>
      </c>
      <c r="R6" s="39">
        <f t="shared" si="1"/>
        <v>84165.697006557573</v>
      </c>
    </row>
    <row r="7" spans="1:18">
      <c r="A7" s="41">
        <v>40858</v>
      </c>
      <c r="B7" s="22">
        <f>+A7</f>
        <v>40858</v>
      </c>
      <c r="C7" s="32">
        <v>-0.4</v>
      </c>
      <c r="D7" s="33">
        <v>0.78333333333333333</v>
      </c>
      <c r="E7" s="34" t="s">
        <v>16</v>
      </c>
      <c r="F7" s="35" t="s">
        <v>16</v>
      </c>
      <c r="G7" s="32" t="s">
        <v>16</v>
      </c>
      <c r="H7" s="32"/>
      <c r="I7" s="34">
        <v>1300.9051648190148</v>
      </c>
      <c r="J7" s="35">
        <v>18227.455320702786</v>
      </c>
      <c r="K7" s="32">
        <v>14.011363636363635</v>
      </c>
      <c r="L7" s="32"/>
      <c r="M7" s="34" t="s">
        <v>16</v>
      </c>
      <c r="N7" s="35" t="s">
        <v>16</v>
      </c>
      <c r="O7" s="32" t="s">
        <v>16</v>
      </c>
      <c r="P7" s="32"/>
      <c r="Q7" s="34">
        <f>+I7</f>
        <v>1300.9051648190148</v>
      </c>
      <c r="R7" s="35">
        <f>+J7</f>
        <v>18227.455320702786</v>
      </c>
    </row>
    <row r="8" spans="1:18">
      <c r="A8" s="41">
        <v>40859</v>
      </c>
      <c r="B8" s="22">
        <f>+A8</f>
        <v>40859</v>
      </c>
      <c r="C8" s="32">
        <v>-0.4</v>
      </c>
      <c r="D8" s="33">
        <v>0.80763888888888891</v>
      </c>
      <c r="E8" s="34" t="s">
        <v>16</v>
      </c>
      <c r="F8" s="35" t="s">
        <v>16</v>
      </c>
      <c r="G8" s="32" t="s">
        <v>16</v>
      </c>
      <c r="H8" s="32"/>
      <c r="I8" s="34">
        <v>1349.4657992791858</v>
      </c>
      <c r="J8" s="35">
        <v>14583.985806667826</v>
      </c>
      <c r="K8" s="32">
        <v>10.80722891566265</v>
      </c>
      <c r="L8" s="32"/>
      <c r="M8" s="34" t="s">
        <v>16</v>
      </c>
      <c r="N8" s="35" t="s">
        <v>16</v>
      </c>
      <c r="O8" s="32" t="s">
        <v>16</v>
      </c>
      <c r="P8" s="32"/>
      <c r="Q8" s="34">
        <f>+I8</f>
        <v>1349.4657992791858</v>
      </c>
      <c r="R8" s="35">
        <f>+J8</f>
        <v>14583.985806667826</v>
      </c>
    </row>
    <row r="9" spans="1:18">
      <c r="A9" s="133" t="s">
        <v>42</v>
      </c>
      <c r="B9" s="133"/>
      <c r="C9" s="133"/>
      <c r="D9" s="134"/>
      <c r="E9" s="38"/>
      <c r="F9" s="39"/>
      <c r="G9" s="37"/>
      <c r="H9" s="37"/>
      <c r="I9" s="38">
        <v>2650.3709640982006</v>
      </c>
      <c r="J9" s="39">
        <v>32811.441127370614</v>
      </c>
      <c r="K9" s="37">
        <v>12.379942872840383</v>
      </c>
      <c r="L9" s="37">
        <v>108.54</v>
      </c>
      <c r="M9" s="38"/>
      <c r="N9" s="39"/>
      <c r="O9" s="37"/>
      <c r="P9" s="37"/>
      <c r="Q9" s="38">
        <f>I9</f>
        <v>2650.3709640982006</v>
      </c>
      <c r="R9" s="39">
        <f>J9</f>
        <v>32811.441127370614</v>
      </c>
    </row>
    <row r="10" spans="1:18">
      <c r="A10" s="31">
        <v>40872</v>
      </c>
      <c r="B10" s="22">
        <v>40872</v>
      </c>
      <c r="C10" s="32">
        <v>-1.9</v>
      </c>
      <c r="D10" s="33">
        <v>0.76874999999999993</v>
      </c>
      <c r="E10" s="34">
        <v>2591.1949312075594</v>
      </c>
      <c r="F10" s="35">
        <v>37879.178533836821</v>
      </c>
      <c r="G10" s="32">
        <v>14.618421052631579</v>
      </c>
      <c r="H10" s="32"/>
      <c r="I10" s="34">
        <v>1522.7540193422878</v>
      </c>
      <c r="J10" s="35">
        <v>21853.140128646235</v>
      </c>
      <c r="K10" s="32">
        <v>14.351063829787233</v>
      </c>
      <c r="L10" s="32"/>
      <c r="M10" s="34" t="s">
        <v>16</v>
      </c>
      <c r="N10" s="35" t="s">
        <v>16</v>
      </c>
      <c r="O10" s="32" t="s">
        <v>16</v>
      </c>
      <c r="P10" s="32"/>
      <c r="Q10" s="34">
        <f>+E10+I10</f>
        <v>4113.9489505498477</v>
      </c>
      <c r="R10" s="35">
        <f>+F10+J10</f>
        <v>59732.318662483056</v>
      </c>
    </row>
    <row r="11" spans="1:18">
      <c r="A11" s="31">
        <v>40873</v>
      </c>
      <c r="B11" s="22">
        <v>40873</v>
      </c>
      <c r="C11" s="32">
        <v>-1.8</v>
      </c>
      <c r="D11" s="33">
        <v>0.80138888888888893</v>
      </c>
      <c r="E11" s="34" t="s">
        <v>16</v>
      </c>
      <c r="F11" s="35" t="s">
        <v>16</v>
      </c>
      <c r="G11" s="32" t="s">
        <v>16</v>
      </c>
      <c r="H11" s="32"/>
      <c r="I11" s="34">
        <v>1731.5183877944946</v>
      </c>
      <c r="J11" s="35">
        <v>25972.775816917419</v>
      </c>
      <c r="K11" s="32">
        <v>15</v>
      </c>
      <c r="L11" s="32"/>
      <c r="M11" s="34" t="s">
        <v>16</v>
      </c>
      <c r="N11" s="35" t="s">
        <v>16</v>
      </c>
      <c r="O11" s="32" t="s">
        <v>16</v>
      </c>
      <c r="P11" s="32"/>
      <c r="Q11" s="34">
        <f>+I11</f>
        <v>1731.5183877944946</v>
      </c>
      <c r="R11" s="35">
        <f>+J11</f>
        <v>25972.775816917419</v>
      </c>
    </row>
    <row r="12" spans="1:18">
      <c r="A12" s="133" t="s">
        <v>42</v>
      </c>
      <c r="B12" s="133"/>
      <c r="C12" s="133"/>
      <c r="D12" s="134"/>
      <c r="E12" s="38">
        <f>SUM(E10:E11)</f>
        <v>2591.1949312075594</v>
      </c>
      <c r="F12" s="39">
        <f>SUM(F10:F11)</f>
        <v>37879.178533836821</v>
      </c>
      <c r="G12" s="37">
        <f>+F12/E12</f>
        <v>14.618421052631579</v>
      </c>
      <c r="H12" s="37">
        <v>110.27</v>
      </c>
      <c r="I12" s="38">
        <f>SUM(I10:I11)</f>
        <v>3254.2724071367825</v>
      </c>
      <c r="J12" s="39">
        <f>SUM(J10:J11)</f>
        <v>47825.915945563655</v>
      </c>
      <c r="K12" s="37">
        <f>+J12/I12</f>
        <v>14.696346821083271</v>
      </c>
      <c r="L12" s="37">
        <v>116.29</v>
      </c>
      <c r="M12" s="38"/>
      <c r="N12" s="39"/>
      <c r="O12" s="37"/>
      <c r="P12" s="37"/>
      <c r="Q12" s="38">
        <f>SUM(Q10:Q11)</f>
        <v>5845.4673383443424</v>
      </c>
      <c r="R12" s="39">
        <f>SUM(R10:R11)</f>
        <v>85705.094479400475</v>
      </c>
    </row>
    <row r="13" spans="1:18">
      <c r="A13" s="41">
        <v>40887</v>
      </c>
      <c r="B13" s="22">
        <v>40873</v>
      </c>
      <c r="C13" s="32">
        <v>-0.5</v>
      </c>
      <c r="D13" s="33">
        <v>0.77083333333333337</v>
      </c>
      <c r="E13" s="34">
        <v>1489.71790154775</v>
      </c>
      <c r="F13" s="42">
        <v>19854.343756834664</v>
      </c>
      <c r="G13" s="40">
        <v>13.327586206896548</v>
      </c>
      <c r="H13" s="40"/>
      <c r="I13" s="34">
        <v>1149.3003337097168</v>
      </c>
      <c r="J13" s="42">
        <v>17287.392519550322</v>
      </c>
      <c r="K13" s="40">
        <v>15.041666666666664</v>
      </c>
      <c r="L13" s="40"/>
      <c r="M13" s="34" t="s">
        <v>16</v>
      </c>
      <c r="N13" s="35" t="s">
        <v>16</v>
      </c>
      <c r="O13" s="32" t="s">
        <v>16</v>
      </c>
      <c r="P13" s="40"/>
      <c r="Q13" s="34">
        <f>+E13+I13</f>
        <v>2639.0182352574666</v>
      </c>
      <c r="R13" s="35">
        <f>+F13+J13</f>
        <v>37141.736276384981</v>
      </c>
    </row>
    <row r="14" spans="1:18">
      <c r="A14" s="133" t="s">
        <v>42</v>
      </c>
      <c r="B14" s="133"/>
      <c r="C14" s="133"/>
      <c r="D14" s="134"/>
      <c r="E14" s="38">
        <f>SUM(E13)</f>
        <v>1489.71790154775</v>
      </c>
      <c r="F14" s="39">
        <f>SUM(F13)</f>
        <v>19854.343756834664</v>
      </c>
      <c r="G14" s="37">
        <f>+F14/E14</f>
        <v>13.327586206896548</v>
      </c>
      <c r="H14" s="37">
        <v>108.23</v>
      </c>
      <c r="I14" s="38">
        <f>SUM(I13)</f>
        <v>1149.3003337097168</v>
      </c>
      <c r="J14" s="39">
        <f>SUM(J13)</f>
        <v>17287.392519550322</v>
      </c>
      <c r="K14" s="37">
        <f>+J14/I14</f>
        <v>15.041666666666664</v>
      </c>
      <c r="L14" s="37">
        <v>116.44</v>
      </c>
      <c r="M14" s="38"/>
      <c r="N14" s="39"/>
      <c r="O14" s="37"/>
      <c r="P14" s="37"/>
      <c r="Q14" s="38">
        <f>SUM(Q13)</f>
        <v>2639.0182352574666</v>
      </c>
      <c r="R14" s="39">
        <f>SUM(R13)</f>
        <v>37141.736276384981</v>
      </c>
    </row>
    <row r="15" spans="1:18">
      <c r="A15" s="41">
        <v>40899</v>
      </c>
      <c r="B15" s="22">
        <v>40899</v>
      </c>
      <c r="C15" s="32">
        <v>-0.9</v>
      </c>
      <c r="D15" s="33">
        <v>0.69444444444444453</v>
      </c>
      <c r="E15" s="34">
        <f>+'Summary Table'!K15</f>
        <v>1958.6515091281108</v>
      </c>
      <c r="F15" s="42">
        <f>+'Summary Table'!L15</f>
        <v>28993.196681172696</v>
      </c>
      <c r="G15" s="40">
        <f>+'Summary Table'!M15</f>
        <v>14.80263157894737</v>
      </c>
      <c r="H15" s="40"/>
      <c r="I15" s="34">
        <f>+'Summary Table'!N15</f>
        <v>2321.1554658574019</v>
      </c>
      <c r="J15" s="42">
        <f>+'Summary Table'!O15</f>
        <v>20682.32521785031</v>
      </c>
      <c r="K15" s="40">
        <f>+'Summary Table'!P15</f>
        <v>8.9103575878794281</v>
      </c>
      <c r="L15" s="40"/>
      <c r="M15" s="34" t="s">
        <v>16</v>
      </c>
      <c r="N15" s="42" t="s">
        <v>16</v>
      </c>
      <c r="O15" s="40" t="s">
        <v>16</v>
      </c>
      <c r="P15" s="40"/>
      <c r="Q15" s="34">
        <f>+E15+I15</f>
        <v>4279.8069749855131</v>
      </c>
      <c r="R15" s="35">
        <f>+F15+J15</f>
        <v>49675.521899023006</v>
      </c>
    </row>
    <row r="16" spans="1:18">
      <c r="A16" s="41">
        <v>40900</v>
      </c>
      <c r="B16" s="22">
        <v>40900</v>
      </c>
      <c r="C16" s="32">
        <v>-1.4</v>
      </c>
      <c r="D16" s="33">
        <v>0.7284722222222223</v>
      </c>
      <c r="E16" s="34">
        <f>+'Summary Table'!K16</f>
        <v>3056.652347791689</v>
      </c>
      <c r="F16" s="42">
        <f>+'Summary Table'!L16</f>
        <v>13065.690427815454</v>
      </c>
      <c r="G16" s="40">
        <f>+'Summary Table'!M16</f>
        <v>4.2745098039215685</v>
      </c>
      <c r="H16" s="40"/>
      <c r="I16" s="34">
        <f>+'Summary Table'!N16</f>
        <v>2112.8845880525359</v>
      </c>
      <c r="J16" s="42">
        <f>+'Summary Table'!O16</f>
        <v>20682.32521785031</v>
      </c>
      <c r="K16" s="40">
        <f>+'Summary Table'!P16</f>
        <v>9.7886677458863893</v>
      </c>
      <c r="L16" s="40"/>
      <c r="M16" s="34" t="s">
        <v>16</v>
      </c>
      <c r="N16" s="42" t="s">
        <v>16</v>
      </c>
      <c r="O16" s="40" t="s">
        <v>16</v>
      </c>
      <c r="P16" s="40"/>
      <c r="Q16" s="34">
        <f>+E16+I16</f>
        <v>5169.5369358442249</v>
      </c>
      <c r="R16" s="35">
        <f>+F16+J16</f>
        <v>33748.015645665764</v>
      </c>
    </row>
    <row r="17" spans="1:18">
      <c r="A17" s="133" t="s">
        <v>42</v>
      </c>
      <c r="B17" s="133"/>
      <c r="C17" s="133"/>
      <c r="D17" s="134"/>
      <c r="E17" s="38">
        <f>SUM(E15:E16)</f>
        <v>5015.3038569197997</v>
      </c>
      <c r="F17" s="39">
        <f>SUM(F15:F16)</f>
        <v>42058.88710898815</v>
      </c>
      <c r="G17" s="37">
        <f>+F17/E17</f>
        <v>8.3861094579459934</v>
      </c>
      <c r="H17" s="37">
        <v>116.56</v>
      </c>
      <c r="I17" s="38">
        <f>SUM(I15:I16)</f>
        <v>4434.0400539099373</v>
      </c>
      <c r="J17" s="39">
        <f>SUM(J15:J16)</f>
        <v>41364.65043570062</v>
      </c>
      <c r="K17" s="37">
        <f>+J17/I17</f>
        <v>9.3288851550236362</v>
      </c>
      <c r="L17" s="37">
        <v>117.43</v>
      </c>
      <c r="M17" s="38"/>
      <c r="N17" s="39"/>
      <c r="O17" s="37"/>
      <c r="P17" s="37"/>
      <c r="Q17" s="38">
        <f>SUM(Q15:Q16)</f>
        <v>9449.3439108297389</v>
      </c>
      <c r="R17" s="39">
        <f>SUM(R15:R16)</f>
        <v>83423.537544688763</v>
      </c>
    </row>
    <row r="18" spans="1:18">
      <c r="A18" s="41">
        <v>40928</v>
      </c>
      <c r="B18" s="22">
        <v>40928</v>
      </c>
      <c r="C18" s="32">
        <v>-0.5</v>
      </c>
      <c r="D18" s="33">
        <v>0.68611111111111101</v>
      </c>
      <c r="E18" s="34">
        <v>348.01619180043537</v>
      </c>
      <c r="F18" s="42">
        <v>1615.789461930593</v>
      </c>
      <c r="G18" s="40">
        <v>4.6428571428571432</v>
      </c>
      <c r="H18" s="40"/>
      <c r="I18" s="34">
        <v>312.79635787010193</v>
      </c>
      <c r="J18" s="42">
        <v>4170.6181049346924</v>
      </c>
      <c r="K18" s="40">
        <v>13.333333333333334</v>
      </c>
      <c r="L18" s="40"/>
      <c r="M18" s="34" t="s">
        <v>16</v>
      </c>
      <c r="N18" s="42" t="s">
        <v>16</v>
      </c>
      <c r="O18" s="40" t="s">
        <v>16</v>
      </c>
      <c r="P18" s="40"/>
      <c r="Q18" s="34">
        <f>+E18+I18</f>
        <v>660.81254967053724</v>
      </c>
      <c r="R18" s="35">
        <f>+F18+J18</f>
        <v>5786.4075668652858</v>
      </c>
    </row>
    <row r="19" spans="1:18">
      <c r="A19" s="41">
        <v>40929</v>
      </c>
      <c r="B19" s="22">
        <v>40929</v>
      </c>
      <c r="C19" s="32">
        <v>-0.8</v>
      </c>
      <c r="D19" s="33">
        <v>0.72013888888888899</v>
      </c>
      <c r="E19" s="34">
        <v>1249.0206559896469</v>
      </c>
      <c r="F19" s="42">
        <v>15472.562003790117</v>
      </c>
      <c r="G19" s="40">
        <v>12.387755102040817</v>
      </c>
      <c r="H19" s="40"/>
      <c r="I19" s="34">
        <v>1062.2266961833789</v>
      </c>
      <c r="J19" s="42">
        <v>12088.889297265725</v>
      </c>
      <c r="K19" s="40">
        <v>11.38070558827185</v>
      </c>
      <c r="L19" s="40"/>
      <c r="M19" s="34" t="s">
        <v>16</v>
      </c>
      <c r="N19" s="42" t="s">
        <v>16</v>
      </c>
      <c r="O19" s="40" t="s">
        <v>16</v>
      </c>
      <c r="P19" s="40"/>
      <c r="Q19" s="34">
        <f>+E19+I19</f>
        <v>2311.2473521730258</v>
      </c>
      <c r="R19" s="35">
        <f>+F19+J19</f>
        <v>27561.451301055844</v>
      </c>
    </row>
    <row r="20" spans="1:18">
      <c r="A20" s="133" t="s">
        <v>42</v>
      </c>
      <c r="B20" s="133"/>
      <c r="C20" s="133"/>
      <c r="D20" s="134"/>
      <c r="E20" s="38">
        <v>1597.0368477900822</v>
      </c>
      <c r="F20" s="39">
        <v>17088.351465720709</v>
      </c>
      <c r="G20" s="37">
        <v>10.700035812803511</v>
      </c>
      <c r="H20" s="37"/>
      <c r="I20" s="38">
        <v>1375.0230540534808</v>
      </c>
      <c r="J20" s="39">
        <v>16259.507402200417</v>
      </c>
      <c r="K20" s="37">
        <v>11.82489802935916</v>
      </c>
      <c r="L20" s="37"/>
      <c r="M20" s="38"/>
      <c r="N20" s="39"/>
      <c r="O20" s="37"/>
      <c r="P20" s="37"/>
      <c r="Q20" s="38">
        <f>SUM(Q18:Q19)</f>
        <v>2972.0599018435632</v>
      </c>
      <c r="R20" s="39">
        <f>SUM(R18:R19)</f>
        <v>33347.858867921132</v>
      </c>
    </row>
    <row r="21" spans="1:18">
      <c r="A21" s="41">
        <v>40957</v>
      </c>
      <c r="B21" s="22">
        <v>40957</v>
      </c>
      <c r="C21" s="32">
        <v>0</v>
      </c>
      <c r="D21" s="33">
        <v>0.67569444444444438</v>
      </c>
      <c r="E21" s="34" t="s">
        <v>16</v>
      </c>
      <c r="F21" s="42" t="s">
        <v>16</v>
      </c>
      <c r="G21" s="40" t="s">
        <v>16</v>
      </c>
      <c r="H21" s="40"/>
      <c r="I21" s="34">
        <v>4153.3204573411213</v>
      </c>
      <c r="J21" s="42">
        <v>34070.206876626384</v>
      </c>
      <c r="K21" s="40">
        <v>8.203125</v>
      </c>
      <c r="L21" s="40"/>
      <c r="M21" s="34" t="s">
        <v>16</v>
      </c>
      <c r="N21" s="42" t="s">
        <v>16</v>
      </c>
      <c r="O21" s="40" t="s">
        <v>16</v>
      </c>
      <c r="P21" s="40"/>
      <c r="Q21" s="34">
        <f>+I21</f>
        <v>4153.3204573411213</v>
      </c>
      <c r="R21" s="42">
        <f>+J21</f>
        <v>34070.206876626384</v>
      </c>
    </row>
    <row r="22" spans="1:18">
      <c r="A22" s="41">
        <v>40958</v>
      </c>
      <c r="B22" s="22">
        <v>40958</v>
      </c>
      <c r="C22" s="32">
        <v>-0.2</v>
      </c>
      <c r="D22" s="33">
        <v>0.70833333333333337</v>
      </c>
      <c r="E22" s="34" t="s">
        <v>16</v>
      </c>
      <c r="F22" s="42" t="s">
        <v>16</v>
      </c>
      <c r="G22" s="40" t="s">
        <v>16</v>
      </c>
      <c r="H22" s="40"/>
      <c r="I22" s="34">
        <v>5840.6428874866378</v>
      </c>
      <c r="J22" s="42">
        <v>82359.627233659892</v>
      </c>
      <c r="K22" s="40">
        <v>14.101123595505618</v>
      </c>
      <c r="L22" s="40"/>
      <c r="M22" s="34" t="s">
        <v>16</v>
      </c>
      <c r="N22" s="42" t="s">
        <v>16</v>
      </c>
      <c r="O22" s="40" t="s">
        <v>16</v>
      </c>
      <c r="P22" s="40"/>
      <c r="Q22" s="34">
        <f>+I22</f>
        <v>5840.6428874866378</v>
      </c>
      <c r="R22" s="42">
        <f>+J22</f>
        <v>82359.627233659892</v>
      </c>
    </row>
    <row r="23" spans="1:18">
      <c r="A23" s="133" t="s">
        <v>42</v>
      </c>
      <c r="B23" s="133"/>
      <c r="C23" s="133"/>
      <c r="D23" s="134"/>
      <c r="E23" s="38"/>
      <c r="F23" s="39"/>
      <c r="G23" s="37"/>
      <c r="H23" s="37"/>
      <c r="I23" s="38">
        <v>9993.96334482776</v>
      </c>
      <c r="J23" s="39">
        <v>116429.83411028628</v>
      </c>
      <c r="K23" s="37">
        <v>11.650016124037812</v>
      </c>
      <c r="L23" s="37">
        <v>112.99</v>
      </c>
      <c r="M23" s="38"/>
      <c r="N23" s="39"/>
      <c r="O23" s="37"/>
      <c r="P23" s="37"/>
      <c r="Q23" s="38">
        <f>SUM(Q21:Q22)</f>
        <v>9993.96334482776</v>
      </c>
      <c r="R23" s="39">
        <f>SUM(R21:R22)</f>
        <v>116429.83411028628</v>
      </c>
    </row>
    <row r="24" spans="1:18">
      <c r="A24" s="41">
        <v>40978</v>
      </c>
      <c r="B24" s="22">
        <v>40978</v>
      </c>
      <c r="C24" s="32">
        <v>-0.3</v>
      </c>
      <c r="D24" s="33">
        <v>0.31875000000000003</v>
      </c>
      <c r="E24" s="34">
        <v>2590.0132618413045</v>
      </c>
      <c r="F24" s="42">
        <v>33053.502579689026</v>
      </c>
      <c r="G24" s="40">
        <v>12.761904761904761</v>
      </c>
      <c r="H24" s="40"/>
      <c r="I24" s="34">
        <v>1615.8831052780151</v>
      </c>
      <c r="J24" s="42">
        <v>19441.895139694214</v>
      </c>
      <c r="K24" s="40">
        <v>12.031746031746032</v>
      </c>
      <c r="L24" s="40"/>
      <c r="M24" s="34" t="s">
        <v>16</v>
      </c>
      <c r="N24" s="42" t="s">
        <v>16</v>
      </c>
      <c r="O24" s="40" t="s">
        <v>16</v>
      </c>
      <c r="P24" s="40"/>
      <c r="Q24" s="34">
        <f>+E24+I24</f>
        <v>4205.8963671193196</v>
      </c>
      <c r="R24" s="35">
        <f>+F24+J24</f>
        <v>52495.39771938324</v>
      </c>
    </row>
    <row r="25" spans="1:18">
      <c r="A25" s="41">
        <v>40979</v>
      </c>
      <c r="B25" s="22">
        <v>40979</v>
      </c>
      <c r="C25" s="32">
        <v>-0.4</v>
      </c>
      <c r="D25" s="33">
        <v>0.39444444444444443</v>
      </c>
      <c r="E25" s="34">
        <v>2492.0716535463566</v>
      </c>
      <c r="F25" s="42">
        <v>36150.422134777393</v>
      </c>
      <c r="G25" s="40">
        <v>14.506172839506172</v>
      </c>
      <c r="H25" s="40"/>
      <c r="I25" s="34">
        <v>1622.5428779074484</v>
      </c>
      <c r="J25" s="42">
        <v>20134.282075851519</v>
      </c>
      <c r="K25" s="40">
        <v>12.409090909090908</v>
      </c>
      <c r="L25" s="40"/>
      <c r="M25" s="34" t="s">
        <v>16</v>
      </c>
      <c r="N25" s="42" t="s">
        <v>16</v>
      </c>
      <c r="O25" s="40" t="s">
        <v>16</v>
      </c>
      <c r="P25" s="40"/>
      <c r="Q25" s="34">
        <f>+E25+I25</f>
        <v>4114.6145314538053</v>
      </c>
      <c r="R25" s="35">
        <f>+F25+J25</f>
        <v>56284.704210628915</v>
      </c>
    </row>
    <row r="26" spans="1:18">
      <c r="A26" s="133" t="s">
        <v>42</v>
      </c>
      <c r="B26" s="133"/>
      <c r="C26" s="133"/>
      <c r="D26" s="134"/>
      <c r="E26" s="38">
        <v>5082.0849153876607</v>
      </c>
      <c r="F26" s="39">
        <v>69203.924714466411</v>
      </c>
      <c r="G26" s="37">
        <v>13.617231090517414</v>
      </c>
      <c r="H26" s="37">
        <v>115.32</v>
      </c>
      <c r="I26" s="38">
        <v>3238.4259831854633</v>
      </c>
      <c r="J26" s="39">
        <v>39576.177215545729</v>
      </c>
      <c r="K26" s="37">
        <v>12.220806472351978</v>
      </c>
      <c r="L26" s="37">
        <v>116.55</v>
      </c>
      <c r="M26" s="38"/>
      <c r="N26" s="39"/>
      <c r="O26" s="37"/>
      <c r="P26" s="37"/>
      <c r="Q26" s="38">
        <f>SUM(Q24:Q25)</f>
        <v>8320.510898573124</v>
      </c>
      <c r="R26" s="39">
        <f>SUM(R24:R25)</f>
        <v>108780.10193001216</v>
      </c>
    </row>
    <row r="27" spans="1:18">
      <c r="A27" s="41">
        <v>40992</v>
      </c>
      <c r="B27" s="22">
        <v>40992</v>
      </c>
      <c r="C27" s="32">
        <v>0.3</v>
      </c>
      <c r="D27" s="33">
        <v>0.35069444444444442</v>
      </c>
      <c r="E27" s="34">
        <v>3354.6807132025801</v>
      </c>
      <c r="F27" s="42">
        <v>48986.940158176127</v>
      </c>
      <c r="G27" s="40">
        <v>14.602564102564099</v>
      </c>
      <c r="H27" s="82"/>
      <c r="I27" s="34">
        <v>2340.7164764971958</v>
      </c>
      <c r="J27" s="42">
        <v>34974.394731351305</v>
      </c>
      <c r="K27" s="40">
        <v>14.941747572815535</v>
      </c>
      <c r="L27" s="82"/>
      <c r="M27" s="34" t="s">
        <v>16</v>
      </c>
      <c r="N27" s="42" t="s">
        <v>16</v>
      </c>
      <c r="O27" s="40" t="s">
        <v>16</v>
      </c>
      <c r="P27" s="82"/>
      <c r="Q27" s="34">
        <f>+E27+I27</f>
        <v>5695.3971896997755</v>
      </c>
      <c r="R27" s="42">
        <f>+F27+J27</f>
        <v>83961.334889527439</v>
      </c>
    </row>
    <row r="28" spans="1:18">
      <c r="A28" s="41">
        <v>40993</v>
      </c>
      <c r="B28" s="22">
        <v>40993</v>
      </c>
      <c r="C28" s="32">
        <v>0.3</v>
      </c>
      <c r="D28" s="33">
        <v>0.3743055555555555</v>
      </c>
      <c r="E28" s="34" t="s">
        <v>16</v>
      </c>
      <c r="F28" s="42" t="s">
        <v>16</v>
      </c>
      <c r="G28" s="40" t="s">
        <v>16</v>
      </c>
      <c r="H28" s="82"/>
      <c r="I28" s="34">
        <v>3200.0793128697769</v>
      </c>
      <c r="J28" s="42">
        <v>47439.772269736168</v>
      </c>
      <c r="K28" s="40">
        <v>14.824561403508772</v>
      </c>
      <c r="L28" s="82"/>
      <c r="M28" s="34" t="s">
        <v>16</v>
      </c>
      <c r="N28" s="42" t="s">
        <v>16</v>
      </c>
      <c r="O28" s="40" t="s">
        <v>16</v>
      </c>
      <c r="P28" s="82"/>
      <c r="Q28" s="97">
        <f>+I28</f>
        <v>3200.0793128697769</v>
      </c>
      <c r="R28" s="81">
        <f>+J28</f>
        <v>47439.772269736168</v>
      </c>
    </row>
    <row r="29" spans="1:18">
      <c r="A29" s="133" t="s">
        <v>42</v>
      </c>
      <c r="B29" s="133"/>
      <c r="C29" s="133"/>
      <c r="D29" s="134"/>
      <c r="E29" s="38">
        <v>3354.6807132025801</v>
      </c>
      <c r="F29" s="39">
        <v>48986.940158176127</v>
      </c>
      <c r="G29" s="37">
        <v>14.602564102564099</v>
      </c>
      <c r="H29" s="37">
        <v>110.45</v>
      </c>
      <c r="I29" s="38">
        <v>5540.7957893669727</v>
      </c>
      <c r="J29" s="39">
        <v>82414.16700108748</v>
      </c>
      <c r="K29" s="37">
        <v>14.874066855025381</v>
      </c>
      <c r="L29" s="37">
        <v>116.94</v>
      </c>
      <c r="M29" s="38"/>
      <c r="N29" s="39"/>
      <c r="O29" s="37"/>
      <c r="P29" s="37"/>
      <c r="Q29" s="38">
        <f>SUM(Q27:Q28)</f>
        <v>8895.4765025695524</v>
      </c>
      <c r="R29" s="39">
        <f>SUM(R27:R28)</f>
        <v>131401.1071592636</v>
      </c>
    </row>
    <row r="30" spans="1:18">
      <c r="A30" s="41">
        <v>41006</v>
      </c>
      <c r="B30" s="22">
        <v>41006</v>
      </c>
      <c r="C30" s="32">
        <v>-1.2</v>
      </c>
      <c r="D30" s="33">
        <v>0.31666666666666665</v>
      </c>
      <c r="E30" s="34">
        <v>3211.9088562408301</v>
      </c>
      <c r="F30" s="42">
        <v>48178.632843612446</v>
      </c>
      <c r="G30" s="40">
        <v>14.999999999999998</v>
      </c>
      <c r="H30" s="40"/>
      <c r="I30" s="34">
        <v>3761.9733106859267</v>
      </c>
      <c r="J30" s="42">
        <v>56206.851240577227</v>
      </c>
      <c r="K30" s="40">
        <v>14.940789473684209</v>
      </c>
      <c r="L30" s="40"/>
      <c r="M30" s="34">
        <v>780.71472266558055</v>
      </c>
      <c r="N30" s="42">
        <v>2187.5471932114783</v>
      </c>
      <c r="O30" s="40">
        <v>2.8019801980198022</v>
      </c>
      <c r="P30" s="40"/>
      <c r="Q30" s="34">
        <f>+E30+I30+M30</f>
        <v>7754.596889592337</v>
      </c>
      <c r="R30" s="42">
        <f>+F30+J30+N30</f>
        <v>106573.03127740114</v>
      </c>
    </row>
    <row r="31" spans="1:18">
      <c r="A31" s="41">
        <v>41007</v>
      </c>
      <c r="B31" s="22">
        <v>41007</v>
      </c>
      <c r="C31" s="32">
        <v>-1.5</v>
      </c>
      <c r="D31" s="33">
        <v>0.34930555555555554</v>
      </c>
      <c r="E31" s="34" t="s">
        <v>16</v>
      </c>
      <c r="F31" s="42" t="s">
        <v>16</v>
      </c>
      <c r="G31" s="40" t="s">
        <v>16</v>
      </c>
      <c r="H31" s="40"/>
      <c r="I31" s="34">
        <v>6468.2644419063226</v>
      </c>
      <c r="J31" s="42">
        <v>92513.984081944553</v>
      </c>
      <c r="K31" s="40">
        <v>14.302752293577981</v>
      </c>
      <c r="L31" s="40"/>
      <c r="M31" s="34">
        <v>305.36799383163452</v>
      </c>
      <c r="N31" s="42">
        <v>214.88858825189098</v>
      </c>
      <c r="O31" s="40">
        <v>0.70370370370370372</v>
      </c>
      <c r="P31" s="40"/>
      <c r="Q31" s="34">
        <f>+I31+M31</f>
        <v>6773.6324357379572</v>
      </c>
      <c r="R31" s="42">
        <f>+J31+N31</f>
        <v>92728.872670196448</v>
      </c>
    </row>
    <row r="32" spans="1:18">
      <c r="A32" s="41">
        <v>41008</v>
      </c>
      <c r="B32" s="22">
        <v>41008</v>
      </c>
      <c r="C32" s="32">
        <v>-1.5</v>
      </c>
      <c r="D32" s="33">
        <v>0.38263888888888892</v>
      </c>
      <c r="E32" s="34" t="s">
        <v>16</v>
      </c>
      <c r="F32" s="42" t="s">
        <v>16</v>
      </c>
      <c r="G32" s="40" t="s">
        <v>16</v>
      </c>
      <c r="H32" s="40"/>
      <c r="I32" s="34" t="s">
        <v>16</v>
      </c>
      <c r="J32" s="42" t="s">
        <v>16</v>
      </c>
      <c r="K32" s="40" t="s">
        <v>16</v>
      </c>
      <c r="L32" s="40"/>
      <c r="M32" s="34">
        <v>197.06543272222794</v>
      </c>
      <c r="N32" s="42">
        <v>549.39453971045361</v>
      </c>
      <c r="O32" s="40">
        <v>2.7878787878787876</v>
      </c>
      <c r="P32" s="40"/>
      <c r="Q32" s="34">
        <f>+M32</f>
        <v>197.06543272222794</v>
      </c>
      <c r="R32" s="42">
        <f>+N32</f>
        <v>549.39453971045361</v>
      </c>
    </row>
    <row r="33" spans="1:18" ht="15.75" thickBot="1">
      <c r="A33" s="148" t="s">
        <v>42</v>
      </c>
      <c r="B33" s="148"/>
      <c r="C33" s="148"/>
      <c r="D33" s="149"/>
      <c r="E33" s="38">
        <v>3211.9088562408301</v>
      </c>
      <c r="F33" s="39">
        <v>48178.632843612446</v>
      </c>
      <c r="G33" s="37">
        <v>14.999999999999998</v>
      </c>
      <c r="H33" s="37">
        <v>121.5</v>
      </c>
      <c r="I33" s="38">
        <v>10230.237752592249</v>
      </c>
      <c r="J33" s="39">
        <v>148720.83532252177</v>
      </c>
      <c r="K33" s="37">
        <v>14.537378203633368</v>
      </c>
      <c r="L33" s="37">
        <v>119.59003831417624</v>
      </c>
      <c r="M33" s="38">
        <v>1283.1481492194432</v>
      </c>
      <c r="N33" s="39">
        <v>2951.830321173823</v>
      </c>
      <c r="O33" s="37">
        <v>2.3004594777068124</v>
      </c>
      <c r="P33" s="37">
        <v>98.97</v>
      </c>
      <c r="Q33" s="38">
        <f>SUM(Q30:Q32)</f>
        <v>14725.294758052522</v>
      </c>
      <c r="R33" s="39">
        <f>SUM(R30:R32)</f>
        <v>199851.29848730806</v>
      </c>
    </row>
    <row r="34" spans="1:18" ht="15.75" thickTop="1">
      <c r="A34" s="147" t="s">
        <v>43</v>
      </c>
      <c r="B34" s="147"/>
      <c r="C34" s="147"/>
      <c r="D34" s="147"/>
      <c r="E34" s="44">
        <f>+E6+E9+E12+E14+E17+E20+E23+E26+E29+E33</f>
        <v>26386.639837520812</v>
      </c>
      <c r="F34" s="44">
        <f>+F6+F9+F12+F14+F17+F20+F23+F26+F29+F33</f>
        <v>339877.11881749885</v>
      </c>
      <c r="G34" s="45">
        <f>F34/E34</f>
        <v>12.88065175825102</v>
      </c>
      <c r="H34" s="45"/>
      <c r="I34" s="44">
        <f>+I6+I9+I12+I14+I17+I20+I23+I26+I29+I33</f>
        <v>43907.773212706881</v>
      </c>
      <c r="J34" s="44">
        <f>+J6+J9+J12+J14+J17+J20+J23+J26+J29+J33</f>
        <v>570228.75785052101</v>
      </c>
      <c r="K34" s="45">
        <f>J34/I34</f>
        <v>12.986966000031567</v>
      </c>
      <c r="L34" s="45"/>
      <c r="M34" s="44">
        <f>+M6+M9+M12+M14+M17+M20+M23+M26+M29+M33</f>
        <v>1283.1481492194432</v>
      </c>
      <c r="N34" s="44">
        <f>+N6+N9+N12+N14+N17+N20+N23+N26+N29+N33</f>
        <v>2951.830321173823</v>
      </c>
      <c r="O34" s="45"/>
      <c r="P34" s="45"/>
      <c r="Q34" s="44">
        <f>+Q6+Q9+Q12+Q14+Q17+Q20+Q23+Q26+Q29+Q33</f>
        <v>71577.561199447126</v>
      </c>
      <c r="R34" s="44">
        <f>+R6+R9+R12+R14+R17+R20+R23+R26+R29+R33</f>
        <v>913057.70698919357</v>
      </c>
    </row>
    <row r="35" spans="1:18">
      <c r="A35" s="145" t="s">
        <v>50</v>
      </c>
      <c r="B35" s="145"/>
      <c r="C35" s="145"/>
      <c r="D35" s="145"/>
      <c r="E35" s="81"/>
      <c r="F35" s="81">
        <f>+Harvest!J42</f>
        <v>3076</v>
      </c>
      <c r="G35" s="82"/>
      <c r="H35" s="82"/>
      <c r="I35" s="81"/>
      <c r="J35" s="81">
        <f>+Harvest!L42</f>
        <v>8518</v>
      </c>
      <c r="K35" s="82"/>
      <c r="L35" s="82"/>
      <c r="M35" s="81"/>
      <c r="N35" s="81"/>
      <c r="O35" s="82"/>
      <c r="P35" s="82"/>
      <c r="Q35" s="81"/>
      <c r="R35" s="81">
        <f>F35+J35+N35</f>
        <v>11594</v>
      </c>
    </row>
    <row r="36" spans="1:18">
      <c r="A36" s="145" t="s">
        <v>52</v>
      </c>
      <c r="B36" s="145"/>
      <c r="C36" s="145"/>
      <c r="D36" s="145"/>
      <c r="E36" s="81"/>
      <c r="F36" s="81">
        <f>F34+F35</f>
        <v>342953.11881749885</v>
      </c>
      <c r="G36" s="82"/>
      <c r="H36" s="82"/>
      <c r="I36" s="81"/>
      <c r="J36" s="81">
        <f>J34+J35</f>
        <v>578746.75785052101</v>
      </c>
      <c r="K36" s="82"/>
      <c r="L36" s="82"/>
      <c r="M36" s="81"/>
      <c r="N36" s="81">
        <f>N34+N35</f>
        <v>2951.830321173823</v>
      </c>
      <c r="O36" s="82"/>
      <c r="P36" s="82"/>
      <c r="Q36" s="81"/>
      <c r="R36" s="81">
        <f>F36+J36+N36</f>
        <v>924651.70698919368</v>
      </c>
    </row>
    <row r="37" spans="1:18">
      <c r="A37" s="146" t="s">
        <v>26</v>
      </c>
      <c r="B37" s="146"/>
      <c r="C37" s="146"/>
      <c r="D37" s="146"/>
      <c r="E37" s="48"/>
      <c r="F37" s="46">
        <f>Harvest!J45</f>
        <v>1.2555804224228306</v>
      </c>
      <c r="G37" s="48"/>
      <c r="H37" s="48"/>
      <c r="I37" s="48"/>
      <c r="J37" s="46">
        <f>Harvest!L45</f>
        <v>1.2261117252687954</v>
      </c>
      <c r="K37" s="48"/>
      <c r="L37" s="48"/>
      <c r="M37" s="48"/>
      <c r="N37" s="46">
        <f>Harvest!N45</f>
        <v>3.3774524089842634E-2</v>
      </c>
      <c r="O37" s="48"/>
      <c r="P37" s="48"/>
      <c r="Q37" s="48"/>
      <c r="R37" s="48"/>
    </row>
    <row r="38" spans="1:18">
      <c r="A38" s="146" t="s">
        <v>51</v>
      </c>
      <c r="B38" s="146"/>
      <c r="C38" s="146"/>
      <c r="D38" s="146"/>
      <c r="F38" s="81">
        <f>Harvest!J46</f>
        <v>-94915.677918136818</v>
      </c>
      <c r="J38" s="81">
        <f>Harvest!L46</f>
        <v>-136985.42481789633</v>
      </c>
      <c r="N38" s="81">
        <f>Harvest!N46</f>
        <v>139678.04806329694</v>
      </c>
    </row>
  </sheetData>
  <mergeCells count="20">
    <mergeCell ref="A33:D33"/>
    <mergeCell ref="A17:D17"/>
    <mergeCell ref="A23:D23"/>
    <mergeCell ref="A26:D26"/>
    <mergeCell ref="A1:R1"/>
    <mergeCell ref="A35:D35"/>
    <mergeCell ref="A37:D37"/>
    <mergeCell ref="A29:D29"/>
    <mergeCell ref="A38:D38"/>
    <mergeCell ref="A36:D36"/>
    <mergeCell ref="Q2:R2"/>
    <mergeCell ref="E2:H2"/>
    <mergeCell ref="I2:L2"/>
    <mergeCell ref="M2:P2"/>
    <mergeCell ref="A34:D34"/>
    <mergeCell ref="A6:D6"/>
    <mergeCell ref="A9:D9"/>
    <mergeCell ref="A12:D12"/>
    <mergeCell ref="A14:D14"/>
    <mergeCell ref="A20:D20"/>
  </mergeCells>
  <pageMargins left="0.7" right="0.7" top="0.75" bottom="0.75" header="0.3" footer="0.3"/>
  <pageSetup scale="8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selection activeCell="C12" sqref="C12"/>
    </sheetView>
  </sheetViews>
  <sheetFormatPr defaultRowHeight="15"/>
  <cols>
    <col min="1" max="1" width="21.5703125" customWidth="1"/>
    <col min="2" max="3" width="10.5703125" bestFit="1" customWidth="1"/>
    <col min="4" max="5" width="13.28515625" bestFit="1" customWidth="1"/>
  </cols>
  <sheetData>
    <row r="1" spans="1:5">
      <c r="A1" s="3" t="s">
        <v>45</v>
      </c>
      <c r="B1" s="3"/>
    </row>
    <row r="2" spans="1:5">
      <c r="A2" s="3"/>
      <c r="B2" s="3"/>
    </row>
    <row r="3" spans="1:5" ht="15.75" thickBot="1">
      <c r="A3" s="3"/>
      <c r="B3" s="3" t="s">
        <v>58</v>
      </c>
      <c r="C3" t="s">
        <v>57</v>
      </c>
    </row>
    <row r="4" spans="1:5">
      <c r="A4" s="50" t="s">
        <v>30</v>
      </c>
      <c r="B4" s="51">
        <v>1094641.4136540764</v>
      </c>
      <c r="C4" s="51">
        <v>1276247.6927039789</v>
      </c>
      <c r="D4" s="96"/>
      <c r="E4" s="96"/>
    </row>
    <row r="5" spans="1:5">
      <c r="A5" s="52" t="s">
        <v>31</v>
      </c>
      <c r="B5" s="53">
        <v>616314.30636927264</v>
      </c>
      <c r="C5" s="53">
        <v>845427.66684737173</v>
      </c>
      <c r="D5" s="96"/>
      <c r="E5" s="96"/>
    </row>
    <row r="6" spans="1:5">
      <c r="A6" s="52" t="s">
        <v>32</v>
      </c>
      <c r="B6" s="53">
        <v>371373.03795949166</v>
      </c>
      <c r="C6" s="53">
        <v>683167.40704835602</v>
      </c>
    </row>
    <row r="7" spans="1:5">
      <c r="A7" s="52" t="s">
        <v>33</v>
      </c>
      <c r="B7" s="53">
        <v>605830.70008886908</v>
      </c>
      <c r="C7" s="53">
        <v>545586.68998891278</v>
      </c>
    </row>
    <row r="8" spans="1:5" ht="15.75" thickBot="1">
      <c r="A8" s="54" t="s">
        <v>34</v>
      </c>
      <c r="B8" s="55">
        <v>144560.51050788548</v>
      </c>
      <c r="C8" s="55">
        <v>258924.12448845015</v>
      </c>
    </row>
    <row r="9" spans="1:5" ht="16.5" thickBot="1">
      <c r="A9" s="56" t="s">
        <v>44</v>
      </c>
      <c r="B9" s="57">
        <f>SUM(B4:B8)</f>
        <v>2832719.968579595</v>
      </c>
      <c r="C9" s="57">
        <f>SUM(C4:C8)</f>
        <v>3609353.5810770695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1"/>
  <sheetViews>
    <sheetView workbookViewId="0">
      <selection activeCell="E54" sqref="E54:E57"/>
    </sheetView>
  </sheetViews>
  <sheetFormatPr defaultRowHeight="15"/>
  <cols>
    <col min="1" max="1" width="10.7109375" bestFit="1" customWidth="1"/>
    <col min="2" max="2" width="10.28515625" bestFit="1" customWidth="1"/>
    <col min="3" max="3" width="11.5703125" bestFit="1" customWidth="1"/>
    <col min="4" max="4" width="15.85546875" bestFit="1" customWidth="1"/>
    <col min="5" max="5" width="11.28515625" bestFit="1" customWidth="1"/>
    <col min="6" max="6" width="11.5703125" bestFit="1" customWidth="1"/>
    <col min="7" max="7" width="10.5703125" bestFit="1" customWidth="1"/>
  </cols>
  <sheetData>
    <row r="1" spans="1:7">
      <c r="A1" s="12" t="s">
        <v>8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spans="1:7">
      <c r="A2" s="112">
        <v>40458</v>
      </c>
      <c r="B2" s="13" t="s">
        <v>17</v>
      </c>
      <c r="C2" s="77">
        <v>14.648148148148149</v>
      </c>
      <c r="D2" s="77">
        <v>1.3792999982833862</v>
      </c>
      <c r="E2" s="77">
        <v>3</v>
      </c>
      <c r="F2" s="77">
        <v>4</v>
      </c>
      <c r="G2" s="77">
        <v>59</v>
      </c>
    </row>
    <row r="3" spans="1:7">
      <c r="A3" s="112">
        <v>40458</v>
      </c>
      <c r="B3" s="13" t="s">
        <v>18</v>
      </c>
      <c r="C3" s="77">
        <v>14.8</v>
      </c>
      <c r="D3" s="77">
        <v>1.3792999982833862</v>
      </c>
      <c r="E3" s="77">
        <v>755</v>
      </c>
      <c r="F3" s="77">
        <v>1041</v>
      </c>
      <c r="G3" s="77">
        <v>15249</v>
      </c>
    </row>
    <row r="4" spans="1:7">
      <c r="A4" s="112">
        <v>40458</v>
      </c>
      <c r="B4" s="13" t="s">
        <v>19</v>
      </c>
      <c r="C4" s="77">
        <v>14.545454545454545</v>
      </c>
      <c r="D4" s="77">
        <v>1.3792999982833862</v>
      </c>
      <c r="E4" s="77">
        <v>653</v>
      </c>
      <c r="F4" s="77">
        <v>901</v>
      </c>
      <c r="G4" s="77">
        <v>13198</v>
      </c>
    </row>
    <row r="5" spans="1:7">
      <c r="A5" s="112">
        <v>40458</v>
      </c>
      <c r="B5" s="13" t="s">
        <v>20</v>
      </c>
      <c r="C5" s="77">
        <v>14.647058823529411</v>
      </c>
      <c r="D5" s="77">
        <v>1.3792999982833862</v>
      </c>
      <c r="E5" s="77">
        <v>607</v>
      </c>
      <c r="F5" s="77">
        <v>837</v>
      </c>
      <c r="G5" s="77">
        <v>12260</v>
      </c>
    </row>
    <row r="6" spans="1:7">
      <c r="A6" s="112">
        <v>40459</v>
      </c>
      <c r="B6" s="13" t="s">
        <v>17</v>
      </c>
      <c r="C6" s="77">
        <v>14.666666666666666</v>
      </c>
      <c r="D6" s="77">
        <v>1.3792999982833862</v>
      </c>
      <c r="E6" s="77">
        <v>12</v>
      </c>
      <c r="F6" s="77">
        <v>15</v>
      </c>
      <c r="G6" s="77">
        <v>220</v>
      </c>
    </row>
    <row r="7" spans="1:7">
      <c r="A7" s="112">
        <v>40459</v>
      </c>
      <c r="B7" s="13" t="s">
        <v>18</v>
      </c>
      <c r="C7" s="77">
        <v>15</v>
      </c>
      <c r="D7" s="77">
        <v>1.3792999982833862</v>
      </c>
      <c r="E7" s="77">
        <v>547</v>
      </c>
      <c r="F7" s="77">
        <v>687</v>
      </c>
      <c r="G7" s="77">
        <v>10076</v>
      </c>
    </row>
    <row r="8" spans="1:7">
      <c r="A8" s="112">
        <v>40459</v>
      </c>
      <c r="B8" s="13" t="s">
        <v>19</v>
      </c>
      <c r="C8" s="77">
        <v>13.857142857142858</v>
      </c>
      <c r="D8" s="77">
        <v>1.3792999982833862</v>
      </c>
      <c r="E8" s="77">
        <v>443</v>
      </c>
      <c r="F8" s="77">
        <v>556</v>
      </c>
      <c r="G8" s="77">
        <v>8155</v>
      </c>
    </row>
    <row r="9" spans="1:7">
      <c r="A9" s="112">
        <v>40459</v>
      </c>
      <c r="B9" s="13" t="s">
        <v>20</v>
      </c>
      <c r="C9" s="77">
        <v>14.956521739130435</v>
      </c>
      <c r="D9" s="77">
        <v>1.3792999982833862</v>
      </c>
      <c r="E9" s="77">
        <v>447</v>
      </c>
      <c r="F9" s="77">
        <v>561</v>
      </c>
      <c r="G9" s="77">
        <v>8391</v>
      </c>
    </row>
    <row r="10" spans="1:7">
      <c r="A10" s="112">
        <v>40461</v>
      </c>
      <c r="B10" s="13" t="s">
        <v>17</v>
      </c>
      <c r="C10" s="77">
        <v>10.16</v>
      </c>
      <c r="D10" s="77">
        <v>1.3792999982833862</v>
      </c>
      <c r="E10" s="77">
        <v>0</v>
      </c>
      <c r="F10" s="77">
        <v>0</v>
      </c>
      <c r="G10" s="77">
        <v>0</v>
      </c>
    </row>
    <row r="11" spans="1:7">
      <c r="A11" s="112">
        <v>40461</v>
      </c>
      <c r="B11" s="13" t="s">
        <v>18</v>
      </c>
      <c r="C11" s="77">
        <v>9.7142857142857135</v>
      </c>
      <c r="D11" s="77">
        <v>1.3792999982833862</v>
      </c>
      <c r="E11" s="77">
        <v>254</v>
      </c>
      <c r="F11" s="77">
        <v>337</v>
      </c>
      <c r="G11" s="77">
        <v>3424</v>
      </c>
    </row>
    <row r="12" spans="1:7">
      <c r="A12" s="112">
        <v>40461</v>
      </c>
      <c r="B12" s="13" t="s">
        <v>19</v>
      </c>
      <c r="C12" s="77">
        <v>10.142857142857142</v>
      </c>
      <c r="D12" s="77">
        <v>1.3792999982833862</v>
      </c>
      <c r="E12" s="77">
        <v>326</v>
      </c>
      <c r="F12" s="77">
        <v>432</v>
      </c>
      <c r="G12" s="77">
        <v>4389</v>
      </c>
    </row>
    <row r="13" spans="1:7">
      <c r="A13" s="112">
        <v>40461</v>
      </c>
      <c r="B13" s="13" t="s">
        <v>20</v>
      </c>
      <c r="C13" s="77">
        <v>11</v>
      </c>
      <c r="D13" s="77">
        <v>1.3792999982833862</v>
      </c>
      <c r="E13" s="77">
        <v>216</v>
      </c>
      <c r="F13" s="77">
        <v>286</v>
      </c>
      <c r="G13" s="77">
        <v>2906</v>
      </c>
    </row>
    <row r="14" spans="1:7">
      <c r="A14" s="112">
        <v>40489</v>
      </c>
      <c r="B14" s="100" t="s">
        <v>17</v>
      </c>
      <c r="C14" s="101">
        <v>13.333333333333334</v>
      </c>
      <c r="D14" s="101">
        <v>1.4302999973297119</v>
      </c>
      <c r="E14" s="101">
        <v>4</v>
      </c>
      <c r="F14" s="101">
        <v>5</v>
      </c>
      <c r="G14" s="101">
        <v>67</v>
      </c>
    </row>
    <row r="15" spans="1:7">
      <c r="A15" s="112">
        <v>40489</v>
      </c>
      <c r="B15" s="100" t="s">
        <v>18</v>
      </c>
      <c r="C15" s="101">
        <v>15</v>
      </c>
      <c r="D15" s="101">
        <v>1.4302999973297119</v>
      </c>
      <c r="E15" s="101">
        <v>284</v>
      </c>
      <c r="F15" s="101">
        <v>353</v>
      </c>
      <c r="G15" s="101">
        <v>4707</v>
      </c>
    </row>
    <row r="16" spans="1:7">
      <c r="A16" s="112">
        <v>40489</v>
      </c>
      <c r="B16" s="100" t="s">
        <v>19</v>
      </c>
      <c r="C16" s="101">
        <v>11.071428571428571</v>
      </c>
      <c r="D16" s="101">
        <v>1.4302999973297119</v>
      </c>
      <c r="E16" s="101">
        <v>311</v>
      </c>
      <c r="F16" s="101">
        <v>386</v>
      </c>
      <c r="G16" s="101">
        <v>5147</v>
      </c>
    </row>
    <row r="17" spans="1:7">
      <c r="A17" s="112">
        <v>40489</v>
      </c>
      <c r="B17" s="100" t="s">
        <v>20</v>
      </c>
      <c r="C17" s="101">
        <v>15</v>
      </c>
      <c r="D17" s="101">
        <v>1.4302999973297119</v>
      </c>
      <c r="E17" s="101">
        <v>113</v>
      </c>
      <c r="F17" s="101">
        <v>140</v>
      </c>
      <c r="G17" s="101">
        <v>2100</v>
      </c>
    </row>
    <row r="18" spans="1:7">
      <c r="A18" s="112">
        <v>40488</v>
      </c>
      <c r="B18" s="100" t="s">
        <v>17</v>
      </c>
      <c r="C18" s="101">
        <v>10</v>
      </c>
      <c r="D18" s="101">
        <v>1.4333000183105469</v>
      </c>
      <c r="E18" s="101">
        <v>10</v>
      </c>
      <c r="F18" s="101">
        <v>14</v>
      </c>
      <c r="G18" s="101">
        <v>140</v>
      </c>
    </row>
    <row r="19" spans="1:7">
      <c r="A19" s="112">
        <v>40488</v>
      </c>
      <c r="B19" s="100" t="s">
        <v>18</v>
      </c>
      <c r="C19" s="101">
        <v>1.5238095238095237</v>
      </c>
      <c r="D19" s="101">
        <v>1.4333000183105469</v>
      </c>
      <c r="E19" s="101">
        <v>315</v>
      </c>
      <c r="F19" s="101">
        <v>442</v>
      </c>
      <c r="G19" s="101">
        <v>674</v>
      </c>
    </row>
    <row r="20" spans="1:7">
      <c r="A20" s="112">
        <v>40488</v>
      </c>
      <c r="B20" s="100" t="s">
        <v>19</v>
      </c>
      <c r="C20" s="101">
        <v>10.388888888888889</v>
      </c>
      <c r="D20" s="101">
        <v>1.4333000183105469</v>
      </c>
      <c r="E20" s="101">
        <v>344</v>
      </c>
      <c r="F20" s="101">
        <v>483</v>
      </c>
      <c r="G20" s="101">
        <v>5018</v>
      </c>
    </row>
    <row r="21" spans="1:7">
      <c r="A21" s="112">
        <v>40488</v>
      </c>
      <c r="B21" s="100" t="s">
        <v>20</v>
      </c>
      <c r="C21" s="101">
        <v>14.6</v>
      </c>
      <c r="D21" s="101">
        <v>1.4333000183105469</v>
      </c>
      <c r="E21" s="101">
        <v>231</v>
      </c>
      <c r="F21" s="101">
        <v>324</v>
      </c>
      <c r="G21" s="101">
        <v>2220</v>
      </c>
    </row>
    <row r="22" spans="1:7">
      <c r="A22" s="112">
        <v>40490</v>
      </c>
      <c r="B22" s="100" t="s">
        <v>17</v>
      </c>
      <c r="C22" s="101">
        <v>11.904761904761905</v>
      </c>
      <c r="D22" s="101">
        <v>1.7713500261306763</v>
      </c>
      <c r="E22" s="101">
        <v>0</v>
      </c>
      <c r="F22" s="101">
        <v>0</v>
      </c>
      <c r="G22" s="101">
        <v>0</v>
      </c>
    </row>
    <row r="23" spans="1:7">
      <c r="A23" s="112">
        <v>40490</v>
      </c>
      <c r="B23" s="100" t="s">
        <v>18</v>
      </c>
      <c r="C23" s="101">
        <v>14.5</v>
      </c>
      <c r="D23" s="101">
        <v>1.7713500261306763</v>
      </c>
      <c r="E23" s="101">
        <v>98</v>
      </c>
      <c r="F23" s="101">
        <v>166</v>
      </c>
      <c r="G23" s="101">
        <v>2407</v>
      </c>
    </row>
    <row r="24" spans="1:7">
      <c r="A24" s="112">
        <v>40490</v>
      </c>
      <c r="B24" s="100" t="s">
        <v>19</v>
      </c>
      <c r="C24" s="101">
        <v>15</v>
      </c>
      <c r="D24" s="101">
        <v>1.7713500261306763</v>
      </c>
      <c r="E24" s="101">
        <v>89</v>
      </c>
      <c r="F24" s="101">
        <v>150</v>
      </c>
      <c r="G24" s="101">
        <v>2250</v>
      </c>
    </row>
    <row r="25" spans="1:7">
      <c r="A25" s="112">
        <v>40490</v>
      </c>
      <c r="B25" s="100" t="s">
        <v>20</v>
      </c>
      <c r="C25" s="101">
        <v>0</v>
      </c>
      <c r="D25" s="101">
        <v>1.7713500261306763</v>
      </c>
      <c r="E25" s="101">
        <v>0</v>
      </c>
      <c r="F25" s="101">
        <v>0</v>
      </c>
      <c r="G25" s="101">
        <v>0</v>
      </c>
    </row>
    <row r="26" spans="1:7">
      <c r="A26" s="112">
        <v>40503</v>
      </c>
      <c r="B26" s="100" t="s">
        <v>17</v>
      </c>
      <c r="C26" s="101">
        <v>15</v>
      </c>
      <c r="D26" s="101">
        <v>1.4651999473571777</v>
      </c>
      <c r="E26" s="101">
        <v>0</v>
      </c>
      <c r="F26" s="101">
        <v>0</v>
      </c>
      <c r="G26" s="101">
        <v>0</v>
      </c>
    </row>
    <row r="27" spans="1:7">
      <c r="A27" s="112">
        <v>40503</v>
      </c>
      <c r="B27" s="100" t="s">
        <v>18</v>
      </c>
      <c r="C27" s="101">
        <v>15</v>
      </c>
      <c r="D27" s="101">
        <v>1.4651999473571777</v>
      </c>
      <c r="E27" s="101">
        <v>78</v>
      </c>
      <c r="F27" s="101">
        <v>114</v>
      </c>
      <c r="G27" s="101">
        <v>1710</v>
      </c>
    </row>
    <row r="28" spans="1:7">
      <c r="A28" s="112">
        <v>40503</v>
      </c>
      <c r="B28" s="100" t="s">
        <v>19</v>
      </c>
      <c r="C28" s="101">
        <v>15</v>
      </c>
      <c r="D28" s="101">
        <v>1.4651999473571777</v>
      </c>
      <c r="E28" s="101">
        <v>101</v>
      </c>
      <c r="F28" s="101">
        <v>148</v>
      </c>
      <c r="G28" s="101">
        <v>2220</v>
      </c>
    </row>
    <row r="29" spans="1:7">
      <c r="A29" s="112">
        <v>40503</v>
      </c>
      <c r="B29" s="100" t="s">
        <v>20</v>
      </c>
      <c r="C29" s="101">
        <v>15</v>
      </c>
      <c r="D29" s="101">
        <v>1.4651999473571777</v>
      </c>
      <c r="E29" s="101">
        <v>77</v>
      </c>
      <c r="F29" s="101">
        <v>113</v>
      </c>
      <c r="G29" s="101">
        <v>1695</v>
      </c>
    </row>
    <row r="30" spans="1:7">
      <c r="A30" s="112">
        <v>40867</v>
      </c>
      <c r="B30" s="100" t="s">
        <v>17</v>
      </c>
      <c r="C30" s="101">
        <v>14.604651162790697</v>
      </c>
      <c r="D30" s="101">
        <v>1.4651999473571777</v>
      </c>
      <c r="E30" s="101">
        <v>0</v>
      </c>
      <c r="F30" s="101">
        <v>0</v>
      </c>
      <c r="G30" s="101">
        <v>0</v>
      </c>
    </row>
    <row r="31" spans="1:7">
      <c r="A31" s="112">
        <v>40867</v>
      </c>
      <c r="B31" s="100" t="s">
        <v>18</v>
      </c>
      <c r="C31" s="101">
        <v>13.555555555555555</v>
      </c>
      <c r="D31" s="101">
        <v>1.4651999473571777</v>
      </c>
      <c r="E31" s="101">
        <v>319</v>
      </c>
      <c r="F31" s="101">
        <v>467</v>
      </c>
      <c r="G31" s="101">
        <v>6820</v>
      </c>
    </row>
    <row r="32" spans="1:7">
      <c r="A32" s="112">
        <v>40867</v>
      </c>
      <c r="B32" s="100" t="s">
        <v>19</v>
      </c>
      <c r="C32" s="101">
        <v>15</v>
      </c>
      <c r="D32" s="101">
        <v>1.4651999473571777</v>
      </c>
      <c r="E32" s="101">
        <v>395</v>
      </c>
      <c r="F32" s="101">
        <v>579</v>
      </c>
      <c r="G32" s="101">
        <v>8456</v>
      </c>
    </row>
    <row r="33" spans="1:7">
      <c r="A33" s="112">
        <v>40867</v>
      </c>
      <c r="B33" s="100" t="s">
        <v>20</v>
      </c>
      <c r="C33" s="101">
        <v>14.777777777777779</v>
      </c>
      <c r="D33" s="101">
        <v>1.4651999473571777</v>
      </c>
      <c r="E33" s="101">
        <v>322</v>
      </c>
      <c r="F33" s="101">
        <v>472</v>
      </c>
      <c r="G33" s="101">
        <v>6975</v>
      </c>
    </row>
    <row r="34" spans="1:7">
      <c r="A34" s="112">
        <v>40515</v>
      </c>
      <c r="B34" s="100" t="s">
        <v>17</v>
      </c>
      <c r="C34" s="101">
        <v>15</v>
      </c>
      <c r="D34" s="101">
        <v>1.3781499862670898</v>
      </c>
      <c r="E34" s="101">
        <v>0</v>
      </c>
      <c r="F34" s="101">
        <v>0</v>
      </c>
      <c r="G34" s="101">
        <v>0</v>
      </c>
    </row>
    <row r="35" spans="1:7">
      <c r="A35" s="112">
        <v>40515</v>
      </c>
      <c r="B35" s="100" t="s">
        <v>18</v>
      </c>
      <c r="C35" s="101">
        <v>15</v>
      </c>
      <c r="D35" s="101">
        <v>1.3781499862670898</v>
      </c>
      <c r="E35" s="101">
        <v>354</v>
      </c>
      <c r="F35" s="101">
        <v>471</v>
      </c>
      <c r="G35" s="101">
        <v>7065</v>
      </c>
    </row>
    <row r="36" spans="1:7">
      <c r="A36" s="112">
        <v>40515</v>
      </c>
      <c r="B36" s="100" t="s">
        <v>19</v>
      </c>
      <c r="C36" s="101">
        <v>15</v>
      </c>
      <c r="D36" s="101">
        <v>1.3781499862670898</v>
      </c>
      <c r="E36" s="101">
        <v>332</v>
      </c>
      <c r="F36" s="101">
        <v>441</v>
      </c>
      <c r="G36" s="101">
        <v>6615</v>
      </c>
    </row>
    <row r="37" spans="1:7">
      <c r="A37" s="112">
        <v>40515</v>
      </c>
      <c r="B37" s="100" t="s">
        <v>20</v>
      </c>
      <c r="C37" s="101">
        <v>15</v>
      </c>
      <c r="D37" s="101">
        <v>1.3781499862670898</v>
      </c>
      <c r="E37" s="101">
        <v>254</v>
      </c>
      <c r="F37" s="101">
        <v>338</v>
      </c>
      <c r="G37" s="101">
        <v>5070</v>
      </c>
    </row>
    <row r="38" spans="1:7">
      <c r="A38" s="112">
        <v>40516</v>
      </c>
      <c r="B38" s="100" t="s">
        <v>17</v>
      </c>
      <c r="C38" s="101">
        <v>15</v>
      </c>
      <c r="D38" s="101">
        <v>1.3781499862670898</v>
      </c>
      <c r="E38" s="101">
        <v>0</v>
      </c>
      <c r="F38" s="101">
        <v>0</v>
      </c>
      <c r="G38" s="101">
        <v>0</v>
      </c>
    </row>
    <row r="39" spans="1:7">
      <c r="A39" s="112">
        <v>40516</v>
      </c>
      <c r="B39" s="100" t="s">
        <v>18</v>
      </c>
      <c r="C39" s="101">
        <v>15</v>
      </c>
      <c r="D39" s="101">
        <v>1.3781499862670898</v>
      </c>
      <c r="E39" s="101">
        <v>666</v>
      </c>
      <c r="F39" s="101">
        <v>867</v>
      </c>
      <c r="G39" s="101">
        <v>13005</v>
      </c>
    </row>
    <row r="40" spans="1:7">
      <c r="A40" s="112">
        <v>40516</v>
      </c>
      <c r="B40" s="100" t="s">
        <v>19</v>
      </c>
      <c r="C40" s="101">
        <v>15</v>
      </c>
      <c r="D40" s="101">
        <v>1.3781499862670898</v>
      </c>
      <c r="E40" s="101">
        <v>457</v>
      </c>
      <c r="F40" s="101">
        <v>595</v>
      </c>
      <c r="G40" s="101">
        <v>8925</v>
      </c>
    </row>
    <row r="41" spans="1:7">
      <c r="A41" s="112">
        <v>40516</v>
      </c>
      <c r="B41" s="100" t="s">
        <v>20</v>
      </c>
      <c r="C41" s="101">
        <v>15</v>
      </c>
      <c r="D41" s="101">
        <v>1.3781499862670898</v>
      </c>
      <c r="E41" s="101">
        <v>359</v>
      </c>
      <c r="F41" s="101">
        <v>467</v>
      </c>
      <c r="G41" s="101">
        <v>7005</v>
      </c>
    </row>
    <row r="42" spans="1:7">
      <c r="A42" s="112">
        <v>40518</v>
      </c>
      <c r="B42" s="100" t="s">
        <v>17</v>
      </c>
      <c r="C42" s="101">
        <v>15</v>
      </c>
      <c r="D42" s="101">
        <v>1.5666500329971313</v>
      </c>
      <c r="E42" s="101">
        <v>0</v>
      </c>
      <c r="F42" s="101">
        <v>0</v>
      </c>
      <c r="G42" s="101">
        <v>0</v>
      </c>
    </row>
    <row r="43" spans="1:7">
      <c r="A43" s="112">
        <v>40518</v>
      </c>
      <c r="B43" s="100" t="s">
        <v>18</v>
      </c>
      <c r="C43" s="101">
        <v>15</v>
      </c>
      <c r="D43" s="101">
        <v>1.5666500329971313</v>
      </c>
      <c r="E43" s="101">
        <v>72</v>
      </c>
      <c r="F43" s="101">
        <v>113</v>
      </c>
      <c r="G43" s="101">
        <v>1695</v>
      </c>
    </row>
    <row r="44" spans="1:7">
      <c r="A44" s="112">
        <v>40518</v>
      </c>
      <c r="B44" s="100" t="s">
        <v>19</v>
      </c>
      <c r="C44" s="101">
        <v>15</v>
      </c>
      <c r="D44" s="101">
        <v>1.5666500329971313</v>
      </c>
      <c r="E44" s="101">
        <v>123</v>
      </c>
      <c r="F44" s="101">
        <v>193</v>
      </c>
      <c r="G44" s="101">
        <v>2895</v>
      </c>
    </row>
    <row r="45" spans="1:7">
      <c r="A45" s="112">
        <v>40518</v>
      </c>
      <c r="B45" s="100" t="s">
        <v>20</v>
      </c>
      <c r="C45" s="101">
        <v>15</v>
      </c>
      <c r="D45" s="101">
        <v>1.5666500329971313</v>
      </c>
      <c r="E45" s="101">
        <v>36</v>
      </c>
      <c r="F45" s="101">
        <v>56</v>
      </c>
      <c r="G45" s="101">
        <v>840</v>
      </c>
    </row>
    <row r="46" spans="1:7">
      <c r="A46" s="112">
        <v>40545</v>
      </c>
      <c r="B46" s="100" t="s">
        <v>17</v>
      </c>
      <c r="C46" s="101">
        <v>7.2105263157894735</v>
      </c>
      <c r="D46" s="101">
        <v>1.4206750392913818</v>
      </c>
      <c r="E46" s="101">
        <v>0</v>
      </c>
      <c r="F46" s="101">
        <v>0</v>
      </c>
      <c r="G46" s="101">
        <v>0</v>
      </c>
    </row>
    <row r="47" spans="1:7">
      <c r="A47" s="112">
        <v>40545</v>
      </c>
      <c r="B47" s="100" t="s">
        <v>18</v>
      </c>
      <c r="C47" s="101">
        <v>7</v>
      </c>
      <c r="D47" s="101">
        <v>1.4206750392913818</v>
      </c>
      <c r="E47" s="101">
        <v>323</v>
      </c>
      <c r="F47" s="101">
        <v>447</v>
      </c>
      <c r="G47" s="101">
        <v>3129</v>
      </c>
    </row>
    <row r="48" spans="1:7">
      <c r="A48" s="112">
        <v>40545</v>
      </c>
      <c r="B48" s="100" t="s">
        <v>19</v>
      </c>
      <c r="C48" s="101">
        <v>12</v>
      </c>
      <c r="D48" s="101">
        <v>1.4206750392913818</v>
      </c>
      <c r="E48" s="101">
        <v>365</v>
      </c>
      <c r="F48" s="101">
        <v>505</v>
      </c>
      <c r="G48" s="101">
        <v>3641</v>
      </c>
    </row>
    <row r="49" spans="1:7">
      <c r="A49" s="112">
        <v>40545</v>
      </c>
      <c r="B49" s="100" t="s">
        <v>20</v>
      </c>
      <c r="C49" s="101">
        <v>4.0909090909090908</v>
      </c>
      <c r="D49" s="101">
        <v>1.4206750392913818</v>
      </c>
      <c r="E49" s="101">
        <v>263</v>
      </c>
      <c r="F49" s="101">
        <v>364</v>
      </c>
      <c r="G49" s="101">
        <v>2625</v>
      </c>
    </row>
    <row r="50" spans="1:7">
      <c r="A50" s="112">
        <v>40563</v>
      </c>
      <c r="B50" s="107" t="s">
        <v>17</v>
      </c>
      <c r="C50" s="108">
        <v>1.2962962962962963</v>
      </c>
      <c r="D50" s="108">
        <v>1.5346666574478149</v>
      </c>
      <c r="E50" s="108">
        <v>0</v>
      </c>
      <c r="F50" s="108">
        <v>0</v>
      </c>
      <c r="G50" s="108">
        <v>0</v>
      </c>
    </row>
    <row r="51" spans="1:7">
      <c r="A51" s="112">
        <v>40563</v>
      </c>
      <c r="B51" s="107" t="s">
        <v>18</v>
      </c>
      <c r="C51" s="108">
        <v>0.72727272727272729</v>
      </c>
      <c r="D51" s="108">
        <v>1.5346666574478149</v>
      </c>
      <c r="E51" s="108">
        <v>125</v>
      </c>
      <c r="F51" s="108">
        <v>192</v>
      </c>
      <c r="G51" s="108">
        <v>140</v>
      </c>
    </row>
    <row r="52" spans="1:7">
      <c r="A52" s="112">
        <v>40563</v>
      </c>
      <c r="B52" s="107" t="s">
        <v>19</v>
      </c>
      <c r="C52" s="108">
        <v>2.7777777777777777</v>
      </c>
      <c r="D52" s="108">
        <v>1.5346666574478149</v>
      </c>
      <c r="E52" s="108">
        <v>129</v>
      </c>
      <c r="F52" s="108">
        <v>198</v>
      </c>
      <c r="G52" s="108">
        <v>550</v>
      </c>
    </row>
    <row r="53" spans="1:7">
      <c r="A53" s="112">
        <v>40563</v>
      </c>
      <c r="B53" s="107" t="s">
        <v>20</v>
      </c>
      <c r="C53" s="108">
        <v>0.2857142857142857</v>
      </c>
      <c r="D53" s="108">
        <v>1.5346666574478149</v>
      </c>
      <c r="E53" s="108">
        <v>110</v>
      </c>
      <c r="F53" s="108">
        <v>169</v>
      </c>
      <c r="G53" s="108">
        <v>48</v>
      </c>
    </row>
    <row r="54" spans="1:7">
      <c r="A54" s="112">
        <v>40564</v>
      </c>
      <c r="B54" s="107" t="s">
        <v>17</v>
      </c>
      <c r="C54" s="108">
        <v>3.0338983050847457</v>
      </c>
      <c r="D54">
        <v>1.534667</v>
      </c>
      <c r="E54" s="109">
        <v>0</v>
      </c>
      <c r="F54" s="108">
        <f>+E54*D54</f>
        <v>0</v>
      </c>
      <c r="G54" s="108">
        <f>+F54*C54</f>
        <v>0</v>
      </c>
    </row>
    <row r="55" spans="1:7">
      <c r="A55" s="112">
        <v>40564</v>
      </c>
      <c r="B55" s="107" t="s">
        <v>18</v>
      </c>
      <c r="C55" s="108">
        <v>3.0338983050847457</v>
      </c>
      <c r="D55">
        <v>1.534667</v>
      </c>
      <c r="E55" s="109">
        <v>158.5625</v>
      </c>
      <c r="F55" s="109">
        <f t="shared" ref="F55:F57" si="0">+E55*D55</f>
        <v>243.3406361875</v>
      </c>
      <c r="G55" s="109">
        <f t="shared" ref="G55:G57" si="1">+F55*C55</f>
        <v>738.27074368749993</v>
      </c>
    </row>
    <row r="56" spans="1:7">
      <c r="A56" s="112">
        <v>40564</v>
      </c>
      <c r="B56" s="107" t="s">
        <v>19</v>
      </c>
      <c r="C56" s="108">
        <v>3.0338983050847457</v>
      </c>
      <c r="D56">
        <v>1.534667</v>
      </c>
      <c r="E56" s="109">
        <v>199.125</v>
      </c>
      <c r="F56" s="109">
        <f t="shared" si="0"/>
        <v>305.59056637499998</v>
      </c>
      <c r="G56" s="109">
        <f t="shared" si="1"/>
        <v>927.13070137499994</v>
      </c>
    </row>
    <row r="57" spans="1:7">
      <c r="A57" s="112">
        <v>40564</v>
      </c>
      <c r="B57" s="107" t="s">
        <v>20</v>
      </c>
      <c r="C57" s="108">
        <v>3.0338983050847457</v>
      </c>
      <c r="D57">
        <v>1.534667</v>
      </c>
      <c r="E57" s="109">
        <v>55.3125</v>
      </c>
      <c r="F57" s="109">
        <f t="shared" si="0"/>
        <v>84.886268437500007</v>
      </c>
      <c r="G57" s="109">
        <f t="shared" si="1"/>
        <v>257.5363059375</v>
      </c>
    </row>
    <row r="58" spans="1:7">
      <c r="A58" s="112">
        <v>40565</v>
      </c>
      <c r="B58" s="13" t="s">
        <v>17</v>
      </c>
      <c r="C58" s="77">
        <v>7.66</v>
      </c>
      <c r="D58" s="77">
        <v>1.4673500061035156</v>
      </c>
      <c r="E58" s="77">
        <v>0</v>
      </c>
      <c r="F58" s="77">
        <v>0</v>
      </c>
      <c r="G58" s="77">
        <v>0</v>
      </c>
    </row>
    <row r="59" spans="1:7">
      <c r="A59" s="112">
        <v>40565</v>
      </c>
      <c r="B59" s="13" t="s">
        <v>18</v>
      </c>
      <c r="C59" s="77">
        <v>4.7777777777777777</v>
      </c>
      <c r="D59" s="77">
        <v>1.4673500061035156</v>
      </c>
      <c r="E59" s="77">
        <v>327</v>
      </c>
      <c r="F59" s="77">
        <v>428</v>
      </c>
      <c r="G59" s="77">
        <v>2045</v>
      </c>
    </row>
    <row r="60" spans="1:7">
      <c r="A60" s="112">
        <v>40565</v>
      </c>
      <c r="B60" s="13" t="s">
        <v>19</v>
      </c>
      <c r="C60" s="77">
        <v>12.090909090909092</v>
      </c>
      <c r="D60" s="77">
        <v>1.4673500061035156</v>
      </c>
      <c r="E60" s="77">
        <v>653</v>
      </c>
      <c r="F60" s="77">
        <v>856</v>
      </c>
      <c r="G60" s="77">
        <v>6557</v>
      </c>
    </row>
    <row r="61" spans="1:7">
      <c r="A61" s="112">
        <v>40565</v>
      </c>
      <c r="B61" s="13" t="s">
        <v>20</v>
      </c>
      <c r="C61" s="77">
        <v>3.1</v>
      </c>
      <c r="D61" s="77">
        <v>1.4673500061035156</v>
      </c>
      <c r="E61" s="77">
        <v>493</v>
      </c>
      <c r="F61" s="77">
        <v>646</v>
      </c>
      <c r="G61" s="77">
        <v>4948</v>
      </c>
    </row>
    <row r="62" spans="1:7">
      <c r="A62" s="112">
        <v>40591</v>
      </c>
      <c r="B62" s="107" t="s">
        <v>17</v>
      </c>
      <c r="C62" s="108">
        <v>13.845070422535212</v>
      </c>
      <c r="D62" s="108">
        <v>1.4254666566848755</v>
      </c>
      <c r="E62" s="108">
        <v>0</v>
      </c>
      <c r="F62" s="108">
        <v>0</v>
      </c>
      <c r="G62" s="108">
        <v>0</v>
      </c>
    </row>
    <row r="63" spans="1:7">
      <c r="A63" s="112">
        <v>40591</v>
      </c>
      <c r="B63" s="107" t="s">
        <v>18</v>
      </c>
      <c r="C63" s="108">
        <v>13.916666666666666</v>
      </c>
      <c r="D63" s="108">
        <v>1.4254666566848755</v>
      </c>
      <c r="E63" s="108">
        <v>437</v>
      </c>
      <c r="F63" s="108">
        <v>606</v>
      </c>
      <c r="G63" s="108">
        <v>8434</v>
      </c>
    </row>
    <row r="64" spans="1:7">
      <c r="A64" s="112">
        <v>40591</v>
      </c>
      <c r="B64" s="107" t="s">
        <v>19</v>
      </c>
      <c r="C64" s="108">
        <v>12.823529411764707</v>
      </c>
      <c r="D64" s="108">
        <v>1.4254666566848755</v>
      </c>
      <c r="E64" s="108">
        <v>461</v>
      </c>
      <c r="F64" s="108">
        <v>639</v>
      </c>
      <c r="G64" s="108">
        <v>8847</v>
      </c>
    </row>
    <row r="65" spans="1:7">
      <c r="A65" s="112">
        <v>40591</v>
      </c>
      <c r="B65" s="107" t="s">
        <v>20</v>
      </c>
      <c r="C65" s="108">
        <v>14.666666666666666</v>
      </c>
      <c r="D65" s="108">
        <v>1.4254666566848755</v>
      </c>
      <c r="E65" s="108">
        <v>317</v>
      </c>
      <c r="F65" s="108">
        <v>439</v>
      </c>
      <c r="G65" s="108">
        <v>6439</v>
      </c>
    </row>
    <row r="66" spans="1:7">
      <c r="A66" s="112">
        <v>40621</v>
      </c>
      <c r="B66" s="110" t="s">
        <v>17</v>
      </c>
      <c r="C66" s="111">
        <v>5.4328358208955221</v>
      </c>
      <c r="D66" s="111">
        <v>1.4673500061035156</v>
      </c>
      <c r="E66" s="111">
        <v>37</v>
      </c>
      <c r="F66" s="111">
        <v>47</v>
      </c>
      <c r="G66" s="111">
        <v>255</v>
      </c>
    </row>
    <row r="67" spans="1:7">
      <c r="A67" s="112">
        <v>40621</v>
      </c>
      <c r="B67" s="110" t="s">
        <v>18</v>
      </c>
      <c r="C67" s="111">
        <v>3.8333333333333335</v>
      </c>
      <c r="D67" s="111">
        <v>1.4673500061035156</v>
      </c>
      <c r="E67" s="111">
        <v>776</v>
      </c>
      <c r="F67" s="111">
        <v>978</v>
      </c>
      <c r="G67" s="111">
        <v>5313</v>
      </c>
    </row>
    <row r="68" spans="1:7">
      <c r="A68" s="112">
        <v>40621</v>
      </c>
      <c r="B68" s="110" t="s">
        <v>19</v>
      </c>
      <c r="C68" s="111">
        <v>8.1333333333333329</v>
      </c>
      <c r="D68" s="111">
        <v>1.4673500061035156</v>
      </c>
      <c r="E68" s="111">
        <v>865</v>
      </c>
      <c r="F68" s="111">
        <v>1090</v>
      </c>
      <c r="G68" s="111">
        <v>5922</v>
      </c>
    </row>
    <row r="69" spans="1:7">
      <c r="A69" s="112">
        <v>40621</v>
      </c>
      <c r="B69" s="110" t="s">
        <v>20</v>
      </c>
      <c r="C69" s="111">
        <v>6.5</v>
      </c>
      <c r="D69" s="111">
        <v>1.4673500061035156</v>
      </c>
      <c r="E69" s="111">
        <v>88</v>
      </c>
      <c r="F69" s="111">
        <v>111</v>
      </c>
      <c r="G69" s="111">
        <v>722</v>
      </c>
    </row>
    <row r="70" spans="1:7">
      <c r="A70" s="112">
        <v>40622</v>
      </c>
      <c r="B70" s="110" t="s">
        <v>17</v>
      </c>
      <c r="C70" s="111">
        <v>13.984848484848484</v>
      </c>
      <c r="D70" s="111">
        <v>1.4663000106811523</v>
      </c>
      <c r="E70" s="111">
        <v>3</v>
      </c>
      <c r="F70" s="111">
        <v>4</v>
      </c>
      <c r="G70" s="111">
        <v>56</v>
      </c>
    </row>
    <row r="71" spans="1:7">
      <c r="A71" s="112">
        <v>40622</v>
      </c>
      <c r="B71" s="110" t="s">
        <v>18</v>
      </c>
      <c r="C71" s="111">
        <v>13.318181818181818</v>
      </c>
      <c r="D71" s="111">
        <v>1.4663000106811523</v>
      </c>
      <c r="E71" s="111">
        <v>321</v>
      </c>
      <c r="F71" s="111">
        <v>464</v>
      </c>
      <c r="G71" s="111">
        <v>6180</v>
      </c>
    </row>
    <row r="72" spans="1:7">
      <c r="A72" s="112">
        <v>40622</v>
      </c>
      <c r="B72" s="110" t="s">
        <v>19</v>
      </c>
      <c r="C72" s="111">
        <v>14.096774193548388</v>
      </c>
      <c r="D72" s="111">
        <v>1.4663000106811523</v>
      </c>
      <c r="E72" s="111">
        <v>437</v>
      </c>
      <c r="F72" s="111">
        <v>631</v>
      </c>
      <c r="G72" s="111">
        <v>8895</v>
      </c>
    </row>
    <row r="73" spans="1:7">
      <c r="A73" s="112">
        <v>40622</v>
      </c>
      <c r="B73" s="110" t="s">
        <v>20</v>
      </c>
      <c r="C73" s="111">
        <v>14.846153846153847</v>
      </c>
      <c r="D73" s="111">
        <v>1.4663000106811523</v>
      </c>
      <c r="E73" s="111">
        <v>247</v>
      </c>
      <c r="F73" s="111">
        <v>357</v>
      </c>
      <c r="G73" s="111">
        <v>5300</v>
      </c>
    </row>
    <row r="74" spans="1:7">
      <c r="A74" s="112">
        <v>40623</v>
      </c>
      <c r="B74" s="110" t="s">
        <v>17</v>
      </c>
      <c r="C74" s="111">
        <v>7.5666666666666664</v>
      </c>
      <c r="D74" s="111">
        <v>1.4318000078201294</v>
      </c>
      <c r="E74" s="111">
        <v>0</v>
      </c>
      <c r="F74" s="111">
        <v>0</v>
      </c>
      <c r="G74" s="111">
        <v>0</v>
      </c>
    </row>
    <row r="75" spans="1:7">
      <c r="A75" s="112">
        <v>40623</v>
      </c>
      <c r="B75" s="110" t="s">
        <v>18</v>
      </c>
      <c r="C75" s="111">
        <v>5.25</v>
      </c>
      <c r="D75" s="111">
        <v>1.4318000078201294</v>
      </c>
      <c r="E75" s="111">
        <v>346</v>
      </c>
      <c r="F75" s="111">
        <v>479</v>
      </c>
      <c r="G75" s="111">
        <v>3624</v>
      </c>
    </row>
    <row r="76" spans="1:7">
      <c r="A76" s="112">
        <v>40623</v>
      </c>
      <c r="B76" s="110" t="s">
        <v>19</v>
      </c>
      <c r="C76" s="111">
        <v>11.916666666666666</v>
      </c>
      <c r="D76" s="111">
        <v>1.4318000078201294</v>
      </c>
      <c r="E76" s="111">
        <v>362</v>
      </c>
      <c r="F76" s="111">
        <v>502</v>
      </c>
      <c r="G76" s="111">
        <v>3798</v>
      </c>
    </row>
    <row r="77" spans="1:7">
      <c r="A77" s="112">
        <v>40623</v>
      </c>
      <c r="B77" s="110" t="s">
        <v>20</v>
      </c>
      <c r="C77" s="111">
        <v>0</v>
      </c>
      <c r="D77" s="111">
        <v>1.4318000078201294</v>
      </c>
      <c r="E77" s="111">
        <v>179</v>
      </c>
      <c r="F77" s="111">
        <v>248</v>
      </c>
      <c r="G77" s="111">
        <v>1877</v>
      </c>
    </row>
    <row r="78" spans="1:7">
      <c r="A78" s="112">
        <v>40624</v>
      </c>
      <c r="B78" s="110" t="s">
        <v>17</v>
      </c>
      <c r="C78" s="111">
        <v>13.208333333333334</v>
      </c>
      <c r="D78" s="111">
        <v>1.5509999990463257</v>
      </c>
      <c r="E78" s="111">
        <v>0</v>
      </c>
      <c r="F78" s="111">
        <v>0</v>
      </c>
      <c r="G78" s="111">
        <v>0</v>
      </c>
    </row>
    <row r="79" spans="1:7">
      <c r="A79" s="112">
        <v>40624</v>
      </c>
      <c r="B79" s="110" t="s">
        <v>18</v>
      </c>
      <c r="C79" s="111">
        <v>12.272727272727273</v>
      </c>
      <c r="D79" s="111">
        <v>1.5509999990463257</v>
      </c>
      <c r="E79" s="111">
        <v>184</v>
      </c>
      <c r="F79" s="111">
        <v>285</v>
      </c>
      <c r="G79" s="111">
        <v>3498</v>
      </c>
    </row>
    <row r="80" spans="1:7">
      <c r="A80" s="112">
        <v>40624</v>
      </c>
      <c r="B80" s="110" t="s">
        <v>19</v>
      </c>
      <c r="C80" s="111">
        <v>13.642857142857142</v>
      </c>
      <c r="D80" s="111">
        <v>1.5509999990463257</v>
      </c>
      <c r="E80" s="111">
        <v>233</v>
      </c>
      <c r="F80" s="111">
        <v>361</v>
      </c>
      <c r="G80" s="111">
        <v>4925</v>
      </c>
    </row>
    <row r="81" spans="1:7">
      <c r="A81" s="112">
        <v>40624</v>
      </c>
      <c r="B81" s="110" t="s">
        <v>20</v>
      </c>
      <c r="C81" s="111">
        <v>13</v>
      </c>
      <c r="D81" s="111">
        <v>1.5509999990463257</v>
      </c>
      <c r="E81" s="111">
        <v>51</v>
      </c>
      <c r="F81" s="111">
        <v>79</v>
      </c>
      <c r="G81" s="111">
        <v>1027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2"/>
  <sheetViews>
    <sheetView workbookViewId="0">
      <selection activeCell="A2" sqref="A2:E10"/>
    </sheetView>
  </sheetViews>
  <sheetFormatPr defaultRowHeight="15"/>
  <cols>
    <col min="1" max="1" width="9.42578125" style="3" bestFit="1" customWidth="1"/>
    <col min="2" max="2" width="12.5703125" style="3" bestFit="1" customWidth="1"/>
    <col min="3" max="3" width="10.140625" style="118" bestFit="1" customWidth="1"/>
    <col min="4" max="4" width="14.7109375" style="3" bestFit="1" customWidth="1"/>
  </cols>
  <sheetData>
    <row r="1" spans="1:13">
      <c r="A1" s="95" t="s">
        <v>49</v>
      </c>
      <c r="B1" s="95" t="s">
        <v>9</v>
      </c>
      <c r="C1" s="117" t="s">
        <v>8</v>
      </c>
      <c r="D1" s="95" t="s">
        <v>53</v>
      </c>
      <c r="E1" s="12" t="s">
        <v>56</v>
      </c>
      <c r="I1" s="95" t="s">
        <v>49</v>
      </c>
      <c r="J1" s="95" t="s">
        <v>9</v>
      </c>
      <c r="K1" s="95" t="s">
        <v>8</v>
      </c>
      <c r="L1" s="95" t="s">
        <v>53</v>
      </c>
      <c r="M1" s="95" t="s">
        <v>56</v>
      </c>
    </row>
    <row r="2" spans="1:13">
      <c r="A2" s="124">
        <v>416</v>
      </c>
      <c r="B2" s="125" t="s">
        <v>1</v>
      </c>
      <c r="C2" s="126">
        <v>40899</v>
      </c>
      <c r="D2" s="124">
        <v>773</v>
      </c>
      <c r="E2" s="174">
        <v>19334.070989720509</v>
      </c>
      <c r="I2" s="124">
        <v>416</v>
      </c>
      <c r="J2" s="125" t="s">
        <v>1</v>
      </c>
      <c r="K2" s="126">
        <v>40899</v>
      </c>
      <c r="L2" s="124">
        <v>773</v>
      </c>
      <c r="M2" s="174">
        <v>19334.070989720509</v>
      </c>
    </row>
    <row r="3" spans="1:13">
      <c r="A3" s="124">
        <v>531</v>
      </c>
      <c r="B3" s="125" t="s">
        <v>1</v>
      </c>
      <c r="C3" s="126">
        <v>40979</v>
      </c>
      <c r="D3" s="124">
        <v>2007</v>
      </c>
      <c r="E3" s="174">
        <v>25083.937330828725</v>
      </c>
      <c r="F3" s="9"/>
      <c r="G3" s="102"/>
      <c r="I3" s="124">
        <v>531</v>
      </c>
      <c r="J3" s="125" t="s">
        <v>1</v>
      </c>
      <c r="K3" s="126">
        <v>40979</v>
      </c>
      <c r="L3" s="124">
        <v>2007</v>
      </c>
      <c r="M3" s="174">
        <v>25083.937330828725</v>
      </c>
    </row>
    <row r="4" spans="1:13">
      <c r="A4" s="124">
        <v>543</v>
      </c>
      <c r="B4" s="125" t="s">
        <v>1</v>
      </c>
      <c r="C4" s="126">
        <v>40992</v>
      </c>
      <c r="D4" s="124">
        <v>797</v>
      </c>
      <c r="E4" s="174">
        <v>26562.928779883259</v>
      </c>
      <c r="I4" s="124">
        <v>543</v>
      </c>
      <c r="J4" s="125" t="s">
        <v>1</v>
      </c>
      <c r="K4" s="126">
        <v>40992</v>
      </c>
      <c r="L4" s="124">
        <v>797</v>
      </c>
      <c r="M4" s="174">
        <v>26562.928779883259</v>
      </c>
    </row>
    <row r="5" spans="1:13">
      <c r="A5" s="124">
        <v>544</v>
      </c>
      <c r="B5" s="125" t="s">
        <v>1</v>
      </c>
      <c r="C5" s="126">
        <v>40993</v>
      </c>
      <c r="D5" s="124">
        <v>163</v>
      </c>
      <c r="E5" s="174">
        <v>32734.849770999383</v>
      </c>
      <c r="I5" s="124">
        <v>544</v>
      </c>
      <c r="J5" s="125" t="s">
        <v>1</v>
      </c>
      <c r="K5" s="126">
        <v>40993</v>
      </c>
      <c r="L5" s="124">
        <v>163</v>
      </c>
      <c r="M5" s="174">
        <v>32734.849770999383</v>
      </c>
    </row>
    <row r="6" spans="1:13">
      <c r="A6" s="124">
        <v>553</v>
      </c>
      <c r="B6" s="125" t="s">
        <v>1</v>
      </c>
      <c r="C6" s="126">
        <v>41006</v>
      </c>
      <c r="D6" s="124">
        <v>3471</v>
      </c>
      <c r="E6" s="174">
        <v>86779.693383897044</v>
      </c>
      <c r="I6" s="124">
        <v>553</v>
      </c>
      <c r="J6" s="125" t="s">
        <v>1</v>
      </c>
      <c r="K6" s="126">
        <v>41006</v>
      </c>
      <c r="L6" s="124">
        <v>3471</v>
      </c>
      <c r="M6" s="174">
        <v>86779.693383897044</v>
      </c>
    </row>
    <row r="7" spans="1:13">
      <c r="A7" s="124">
        <v>554</v>
      </c>
      <c r="B7" s="125" t="s">
        <v>1</v>
      </c>
      <c r="C7" s="126">
        <v>41007</v>
      </c>
      <c r="D7" s="124">
        <v>715</v>
      </c>
      <c r="E7" s="174">
        <v>35799.299461393246</v>
      </c>
      <c r="I7" s="124">
        <v>554</v>
      </c>
      <c r="J7" s="125" t="s">
        <v>1</v>
      </c>
      <c r="K7" s="126">
        <v>41007</v>
      </c>
      <c r="L7" s="124">
        <v>715</v>
      </c>
      <c r="M7" s="174">
        <v>35799.299461393246</v>
      </c>
    </row>
    <row r="8" spans="1:13">
      <c r="A8" s="124">
        <v>555</v>
      </c>
      <c r="B8" s="125" t="s">
        <v>1</v>
      </c>
      <c r="C8" s="126">
        <v>41008</v>
      </c>
      <c r="D8" s="124">
        <v>3120</v>
      </c>
      <c r="E8" s="174">
        <v>35461.190154613854</v>
      </c>
      <c r="I8" s="124">
        <v>555</v>
      </c>
      <c r="J8" s="125" t="s">
        <v>1</v>
      </c>
      <c r="K8" s="126">
        <v>41008</v>
      </c>
      <c r="L8" s="124">
        <v>3120</v>
      </c>
      <c r="M8" s="174">
        <v>35461.190154613854</v>
      </c>
    </row>
    <row r="9" spans="1:13">
      <c r="A9" s="124">
        <v>563</v>
      </c>
      <c r="B9" s="125" t="s">
        <v>1</v>
      </c>
      <c r="C9" s="126">
        <v>41021</v>
      </c>
      <c r="D9" s="124">
        <v>1352</v>
      </c>
      <c r="E9" s="174">
        <v>40570.487265792173</v>
      </c>
      <c r="I9" s="124">
        <v>563</v>
      </c>
      <c r="J9" s="125" t="s">
        <v>1</v>
      </c>
      <c r="K9" s="126">
        <v>41021</v>
      </c>
      <c r="L9" s="124">
        <v>1352</v>
      </c>
      <c r="M9" s="174">
        <v>40570.487265792173</v>
      </c>
    </row>
    <row r="10" spans="1:13">
      <c r="A10" s="124">
        <v>571</v>
      </c>
      <c r="B10" s="125" t="s">
        <v>1</v>
      </c>
      <c r="C10" s="126">
        <v>41035</v>
      </c>
      <c r="D10" s="124">
        <v>5123</v>
      </c>
      <c r="E10" s="174">
        <v>53922.802143714493</v>
      </c>
      <c r="I10" s="124">
        <v>571</v>
      </c>
      <c r="J10" s="125" t="s">
        <v>1</v>
      </c>
      <c r="K10" s="126">
        <v>41035</v>
      </c>
      <c r="L10" s="124">
        <v>5123</v>
      </c>
      <c r="M10" s="174">
        <v>53922.802143714493</v>
      </c>
    </row>
    <row r="11" spans="1:13">
      <c r="E11" s="11"/>
    </row>
    <row r="12" spans="1:13">
      <c r="E12" s="11"/>
    </row>
    <row r="13" spans="1:13">
      <c r="E13" s="11"/>
    </row>
    <row r="14" spans="1:13">
      <c r="E14" s="11"/>
    </row>
    <row r="15" spans="1:13">
      <c r="E15" s="11"/>
    </row>
    <row r="16" spans="1:13">
      <c r="E16" s="11"/>
    </row>
    <row r="17" spans="4:6">
      <c r="E17" s="11"/>
    </row>
    <row r="18" spans="4:6">
      <c r="E18" s="11"/>
    </row>
    <row r="19" spans="4:6">
      <c r="E19" s="11"/>
    </row>
    <row r="20" spans="4:6">
      <c r="E20" s="11"/>
    </row>
    <row r="21" spans="4:6">
      <c r="E21" s="11"/>
    </row>
    <row r="22" spans="4:6">
      <c r="D22" s="114">
        <f>SUM(D2:D21)</f>
        <v>17521</v>
      </c>
      <c r="E22" s="11">
        <f>SUM(E2:E21)</f>
        <v>356249.25928084267</v>
      </c>
      <c r="F22" s="120">
        <f>+D22/E22</f>
        <v>4.9181856645455185E-2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2"/>
  <sheetViews>
    <sheetView workbookViewId="0">
      <selection activeCell="I1" sqref="I1:L1048576"/>
    </sheetView>
  </sheetViews>
  <sheetFormatPr defaultRowHeight="15"/>
  <cols>
    <col min="1" max="1" width="7.85546875" style="3" bestFit="1" customWidth="1"/>
    <col min="2" max="2" width="11.5703125" style="3" bestFit="1" customWidth="1"/>
    <col min="3" max="3" width="9.7109375" style="3" bestFit="1" customWidth="1"/>
    <col min="4" max="4" width="14.7109375" style="3" bestFit="1" customWidth="1"/>
    <col min="5" max="5" width="9.140625" style="3"/>
  </cols>
  <sheetData>
    <row r="1" spans="1:13">
      <c r="A1" s="103" t="s">
        <v>49</v>
      </c>
      <c r="B1" s="103" t="s">
        <v>9</v>
      </c>
      <c r="C1" s="103" t="s">
        <v>8</v>
      </c>
      <c r="D1" s="103" t="s">
        <v>53</v>
      </c>
      <c r="E1" s="12" t="s">
        <v>56</v>
      </c>
      <c r="I1" s="169" t="s">
        <v>49</v>
      </c>
      <c r="J1" s="169" t="s">
        <v>9</v>
      </c>
      <c r="K1" s="169" t="s">
        <v>8</v>
      </c>
      <c r="L1" s="169" t="s">
        <v>53</v>
      </c>
      <c r="M1" s="169" t="s">
        <v>56</v>
      </c>
    </row>
    <row r="2" spans="1:13">
      <c r="A2" s="170">
        <v>415</v>
      </c>
      <c r="B2" s="171" t="s">
        <v>21</v>
      </c>
      <c r="C2" s="172">
        <v>40899</v>
      </c>
      <c r="D2" s="170">
        <v>96</v>
      </c>
      <c r="E2" s="173">
        <v>28321.854922208357</v>
      </c>
      <c r="I2" s="170">
        <v>415</v>
      </c>
      <c r="J2" s="171" t="s">
        <v>21</v>
      </c>
      <c r="K2" s="172">
        <v>40899</v>
      </c>
      <c r="L2" s="170">
        <v>96</v>
      </c>
      <c r="M2" s="173">
        <v>28321.854922208357</v>
      </c>
    </row>
    <row r="3" spans="1:13">
      <c r="A3" s="170">
        <v>545</v>
      </c>
      <c r="B3" s="171" t="s">
        <v>21</v>
      </c>
      <c r="C3" s="172">
        <v>40992</v>
      </c>
      <c r="D3" s="170">
        <v>406</v>
      </c>
      <c r="E3" s="173">
        <v>81215.589858687177</v>
      </c>
      <c r="I3" s="170">
        <v>545</v>
      </c>
      <c r="J3" s="171" t="s">
        <v>21</v>
      </c>
      <c r="K3" s="172">
        <v>40992</v>
      </c>
      <c r="L3" s="170">
        <v>406</v>
      </c>
      <c r="M3" s="173">
        <v>81215.589858687177</v>
      </c>
    </row>
    <row r="4" spans="1:13">
      <c r="A4" s="170">
        <v>558</v>
      </c>
      <c r="B4" s="171" t="s">
        <v>21</v>
      </c>
      <c r="C4" s="172">
        <v>41008</v>
      </c>
      <c r="D4" s="170">
        <v>2732</v>
      </c>
      <c r="E4" s="173">
        <v>78053.18151142796</v>
      </c>
      <c r="I4" s="170">
        <v>558</v>
      </c>
      <c r="J4" s="171" t="s">
        <v>21</v>
      </c>
      <c r="K4" s="172">
        <v>41008</v>
      </c>
      <c r="L4" s="170">
        <v>2732</v>
      </c>
      <c r="M4" s="173">
        <v>78053.18151142796</v>
      </c>
    </row>
    <row r="5" spans="1:13">
      <c r="A5" s="170">
        <v>565</v>
      </c>
      <c r="B5" s="171" t="s">
        <v>21</v>
      </c>
      <c r="C5" s="172">
        <v>41021</v>
      </c>
      <c r="D5" s="170">
        <v>1181</v>
      </c>
      <c r="E5" s="173">
        <v>88566.236960358045</v>
      </c>
      <c r="I5" s="170">
        <v>565</v>
      </c>
      <c r="J5" s="171" t="s">
        <v>21</v>
      </c>
      <c r="K5" s="172">
        <v>41021</v>
      </c>
      <c r="L5" s="170">
        <v>1181</v>
      </c>
      <c r="M5" s="173">
        <v>88566.236960358045</v>
      </c>
    </row>
    <row r="6" spans="1:13">
      <c r="A6" s="104"/>
      <c r="B6" s="105"/>
      <c r="C6" s="106"/>
      <c r="D6" s="113"/>
      <c r="E6" s="127"/>
    </row>
    <row r="7" spans="1:13">
      <c r="A7" s="104"/>
      <c r="B7" s="105"/>
      <c r="C7" s="106"/>
      <c r="D7" s="113"/>
      <c r="E7" s="127"/>
    </row>
    <row r="8" spans="1:13">
      <c r="A8" s="104"/>
      <c r="B8" s="105"/>
      <c r="C8" s="106"/>
      <c r="D8" s="113"/>
      <c r="E8" s="127"/>
    </row>
    <row r="9" spans="1:13">
      <c r="A9" s="104"/>
      <c r="B9" s="105"/>
      <c r="C9" s="106"/>
      <c r="D9" s="113"/>
      <c r="E9" s="127"/>
    </row>
    <row r="10" spans="1:13">
      <c r="A10" s="104"/>
      <c r="B10" s="105"/>
      <c r="C10" s="106"/>
      <c r="D10" s="113"/>
      <c r="E10" s="127"/>
    </row>
    <row r="11" spans="1:13">
      <c r="A11" s="104"/>
      <c r="B11" s="105"/>
      <c r="C11" s="106"/>
      <c r="D11" s="113"/>
      <c r="E11" s="127"/>
    </row>
    <row r="12" spans="1:13">
      <c r="A12" s="104"/>
      <c r="B12" s="105"/>
      <c r="C12" s="106"/>
      <c r="D12" s="113"/>
      <c r="E12" s="127"/>
    </row>
    <row r="13" spans="1:13">
      <c r="A13" s="104"/>
      <c r="B13" s="105"/>
      <c r="C13" s="106"/>
      <c r="D13" s="113"/>
      <c r="E13" s="127"/>
    </row>
    <row r="14" spans="1:13">
      <c r="A14" s="104"/>
      <c r="B14" s="105"/>
      <c r="C14" s="106"/>
      <c r="D14" s="113"/>
      <c r="E14" s="127"/>
    </row>
    <row r="15" spans="1:13">
      <c r="A15" s="104"/>
      <c r="B15" s="105"/>
      <c r="C15" s="106"/>
      <c r="D15" s="113"/>
      <c r="E15" s="127"/>
    </row>
    <row r="16" spans="1:13">
      <c r="A16" s="104"/>
      <c r="B16" s="105"/>
      <c r="C16" s="106"/>
      <c r="D16" s="113"/>
      <c r="E16" s="127"/>
    </row>
    <row r="17" spans="1:6">
      <c r="A17" s="104"/>
      <c r="B17" s="105"/>
      <c r="C17" s="106"/>
      <c r="D17" s="113"/>
      <c r="E17" s="127"/>
    </row>
    <row r="18" spans="1:6">
      <c r="A18" s="128"/>
      <c r="B18" s="129"/>
      <c r="C18" s="130"/>
      <c r="D18" s="128"/>
      <c r="E18" s="127"/>
    </row>
    <row r="19" spans="1:6">
      <c r="A19" s="104"/>
      <c r="B19" s="105"/>
      <c r="C19" s="106"/>
      <c r="D19" s="113"/>
      <c r="E19" s="127"/>
    </row>
    <row r="20" spans="1:6">
      <c r="A20" s="104"/>
      <c r="B20" s="105"/>
      <c r="C20" s="106"/>
      <c r="D20" s="113"/>
      <c r="E20" s="127"/>
    </row>
    <row r="21" spans="1:6">
      <c r="A21" s="104"/>
      <c r="B21" s="105"/>
      <c r="C21" s="106"/>
      <c r="D21" s="113"/>
      <c r="E21" s="127"/>
    </row>
    <row r="22" spans="1:6">
      <c r="D22" s="131">
        <f>SUM(D2:D21)</f>
        <v>4415</v>
      </c>
      <c r="E22" s="127">
        <f>SUM(E2:E21)</f>
        <v>276156.86325268156</v>
      </c>
      <c r="F22" s="120">
        <f>+D22/E22</f>
        <v>1.598729051307447E-2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selection activeCell="H1" sqref="H1:M1048576"/>
    </sheetView>
  </sheetViews>
  <sheetFormatPr defaultRowHeight="15"/>
  <cols>
    <col min="1" max="2" width="14.28515625" customWidth="1"/>
    <col min="3" max="3" width="14.28515625" style="119" customWidth="1"/>
    <col min="4" max="4" width="14.28515625" customWidth="1"/>
  </cols>
  <sheetData>
    <row r="1" spans="1:5">
      <c r="A1" s="95" t="s">
        <v>49</v>
      </c>
      <c r="B1" s="95" t="s">
        <v>9</v>
      </c>
      <c r="C1" s="117" t="s">
        <v>8</v>
      </c>
      <c r="D1" s="95" t="s">
        <v>53</v>
      </c>
      <c r="E1" s="12" t="s">
        <v>56</v>
      </c>
    </row>
    <row r="2" spans="1:5">
      <c r="A2" s="167">
        <v>417</v>
      </c>
      <c r="B2" s="164" t="s">
        <v>2</v>
      </c>
      <c r="C2" s="165">
        <v>40899</v>
      </c>
      <c r="D2" s="167">
        <v>580</v>
      </c>
      <c r="E2" s="166">
        <v>28993.196681172696</v>
      </c>
    </row>
    <row r="3" spans="1:5">
      <c r="A3" s="167">
        <v>525</v>
      </c>
      <c r="B3" s="164" t="s">
        <v>2</v>
      </c>
      <c r="C3" s="165">
        <v>40978</v>
      </c>
      <c r="D3" s="167">
        <v>481</v>
      </c>
      <c r="E3" s="166">
        <v>48063.471055514339</v>
      </c>
    </row>
    <row r="4" spans="1:5">
      <c r="A4" s="167">
        <v>542</v>
      </c>
      <c r="B4" s="164" t="s">
        <v>2</v>
      </c>
      <c r="C4" s="165">
        <v>40992</v>
      </c>
      <c r="D4" s="167">
        <v>1772</v>
      </c>
      <c r="E4" s="166">
        <v>59039.347953794429</v>
      </c>
    </row>
    <row r="5" spans="1:5">
      <c r="A5" s="167">
        <v>568</v>
      </c>
      <c r="B5" s="164" t="s">
        <v>2</v>
      </c>
      <c r="C5" s="165">
        <v>41022</v>
      </c>
      <c r="D5" s="167">
        <v>243</v>
      </c>
      <c r="E5" s="166">
        <v>24277.997274013189</v>
      </c>
    </row>
    <row r="6" spans="1:5">
      <c r="A6" s="3"/>
      <c r="B6" s="3"/>
      <c r="C6" s="118"/>
      <c r="D6" s="3"/>
      <c r="E6" s="11"/>
    </row>
    <row r="7" spans="1:5">
      <c r="A7" s="3"/>
      <c r="B7" s="3"/>
      <c r="C7" s="118"/>
      <c r="D7" s="3"/>
      <c r="E7" s="11"/>
    </row>
    <row r="8" spans="1:5">
      <c r="A8" s="3"/>
      <c r="B8" s="3"/>
      <c r="C8" s="118"/>
      <c r="D8" s="3"/>
      <c r="E8" s="11"/>
    </row>
    <row r="9" spans="1:5">
      <c r="A9" s="3"/>
      <c r="B9" s="3"/>
      <c r="C9" s="118"/>
      <c r="D9" s="3"/>
      <c r="E9" s="11"/>
    </row>
    <row r="10" spans="1:5">
      <c r="A10" s="3"/>
      <c r="B10" s="3"/>
      <c r="C10" s="118"/>
      <c r="D10" s="3"/>
      <c r="E10" s="11"/>
    </row>
    <row r="11" spans="1:5">
      <c r="A11" s="3"/>
      <c r="B11" s="3"/>
      <c r="C11" s="118"/>
      <c r="D11" s="3"/>
      <c r="E11" s="11"/>
    </row>
    <row r="12" spans="1:5">
      <c r="A12" s="3"/>
      <c r="B12" s="3"/>
      <c r="C12" s="118"/>
      <c r="D12" s="3"/>
      <c r="E12" s="11"/>
    </row>
    <row r="13" spans="1:5">
      <c r="A13" s="3"/>
      <c r="B13" s="3"/>
      <c r="C13" s="118"/>
      <c r="D13" s="3"/>
      <c r="E13" s="11"/>
    </row>
    <row r="14" spans="1:5">
      <c r="A14" s="3"/>
      <c r="B14" s="3"/>
      <c r="C14" s="118"/>
      <c r="D14" s="3"/>
      <c r="E14" s="11"/>
    </row>
    <row r="15" spans="1:5">
      <c r="A15" s="3"/>
      <c r="B15" s="3"/>
      <c r="C15" s="118"/>
      <c r="D15" s="3"/>
      <c r="E15" s="11"/>
    </row>
    <row r="16" spans="1:5">
      <c r="A16" s="3"/>
      <c r="B16" s="3"/>
      <c r="C16" s="118"/>
      <c r="D16" s="3"/>
      <c r="E16" s="11"/>
    </row>
    <row r="17" spans="1:6">
      <c r="A17" s="3"/>
      <c r="B17" s="3"/>
      <c r="C17" s="118"/>
      <c r="D17" s="3"/>
      <c r="E17" s="11"/>
    </row>
    <row r="18" spans="1:6">
      <c r="A18" s="3"/>
      <c r="B18" s="3"/>
      <c r="C18" s="118"/>
      <c r="D18" s="3"/>
      <c r="E18" s="11"/>
    </row>
    <row r="19" spans="1:6">
      <c r="A19" s="3"/>
      <c r="B19" s="3"/>
      <c r="C19" s="118"/>
      <c r="D19" s="3"/>
      <c r="E19" s="11"/>
    </row>
    <row r="20" spans="1:6">
      <c r="A20" s="3"/>
      <c r="B20" s="3"/>
      <c r="C20" s="118"/>
      <c r="D20" s="3"/>
      <c r="E20" s="11"/>
    </row>
    <row r="21" spans="1:6">
      <c r="A21" s="3"/>
      <c r="B21" s="3"/>
      <c r="C21" s="118"/>
      <c r="D21" s="3"/>
      <c r="E21" s="11"/>
    </row>
    <row r="22" spans="1:6">
      <c r="A22" s="3"/>
      <c r="B22" s="3"/>
      <c r="C22" s="118"/>
      <c r="D22" s="114">
        <f>SUM(D2:D21)</f>
        <v>3076</v>
      </c>
      <c r="E22" s="11">
        <f>SUM(E2:E21)</f>
        <v>160374.01296449464</v>
      </c>
      <c r="F22" s="120">
        <f>+D22/E22</f>
        <v>1.918016481062302E-2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D1:I22"/>
  <sheetViews>
    <sheetView topLeftCell="C1" workbookViewId="0">
      <selection activeCell="L1" sqref="L1:P1048576"/>
    </sheetView>
  </sheetViews>
  <sheetFormatPr defaultRowHeight="15"/>
  <cols>
    <col min="4" max="5" width="15.140625" customWidth="1"/>
    <col min="6" max="6" width="15.140625" style="119" customWidth="1"/>
    <col min="7" max="7" width="15.140625" customWidth="1"/>
    <col min="8" max="8" width="16.7109375" bestFit="1" customWidth="1"/>
  </cols>
  <sheetData>
    <row r="1" spans="4:8">
      <c r="D1" s="95" t="s">
        <v>49</v>
      </c>
      <c r="E1" s="95" t="s">
        <v>9</v>
      </c>
      <c r="F1" s="117" t="s">
        <v>8</v>
      </c>
      <c r="G1" s="95" t="s">
        <v>53</v>
      </c>
      <c r="H1" s="12" t="s">
        <v>56</v>
      </c>
    </row>
    <row r="2" spans="4:8">
      <c r="D2" s="121">
        <v>418</v>
      </c>
      <c r="E2" s="122" t="s">
        <v>3</v>
      </c>
      <c r="F2" s="123">
        <v>40899</v>
      </c>
      <c r="G2" s="121">
        <v>655</v>
      </c>
      <c r="H2" s="168">
        <v>32728.292068589362</v>
      </c>
    </row>
    <row r="3" spans="4:8">
      <c r="D3" s="121">
        <v>540</v>
      </c>
      <c r="E3" s="122" t="s">
        <v>3</v>
      </c>
      <c r="F3" s="123">
        <v>40992</v>
      </c>
      <c r="G3" s="121">
        <v>1263</v>
      </c>
      <c r="H3" s="168">
        <v>42122.044233851091</v>
      </c>
    </row>
    <row r="4" spans="4:8">
      <c r="D4" s="121">
        <v>541</v>
      </c>
      <c r="E4" s="122" t="s">
        <v>3</v>
      </c>
      <c r="F4" s="123">
        <v>40993</v>
      </c>
      <c r="G4" s="121">
        <v>544</v>
      </c>
      <c r="H4" s="168">
        <v>54519.961237297677</v>
      </c>
    </row>
    <row r="5" spans="4:8">
      <c r="D5" s="121">
        <v>551</v>
      </c>
      <c r="E5" s="122" t="s">
        <v>3</v>
      </c>
      <c r="F5" s="123">
        <v>41006</v>
      </c>
      <c r="G5" s="121">
        <v>3386</v>
      </c>
      <c r="H5" s="168">
        <v>67693.736871986388</v>
      </c>
    </row>
    <row r="6" spans="4:8">
      <c r="D6" s="121">
        <v>552</v>
      </c>
      <c r="E6" s="122" t="s">
        <v>3</v>
      </c>
      <c r="F6" s="123">
        <v>41007</v>
      </c>
      <c r="G6" s="121">
        <v>2293</v>
      </c>
      <c r="H6" s="168">
        <v>114608.07373150863</v>
      </c>
    </row>
    <row r="7" spans="4:8">
      <c r="D7" s="121">
        <v>567</v>
      </c>
      <c r="E7" s="122" t="s">
        <v>3</v>
      </c>
      <c r="F7" s="123">
        <v>41022</v>
      </c>
      <c r="G7" s="121">
        <v>377</v>
      </c>
      <c r="H7" s="168">
        <v>18846.816793778791</v>
      </c>
    </row>
    <row r="8" spans="4:8">
      <c r="D8" s="3"/>
      <c r="E8" s="3"/>
      <c r="F8" s="118"/>
      <c r="G8" s="3"/>
      <c r="H8" s="11"/>
    </row>
    <row r="9" spans="4:8">
      <c r="D9" s="3"/>
      <c r="E9" s="3"/>
      <c r="F9" s="118"/>
      <c r="G9" s="3"/>
      <c r="H9" s="11"/>
    </row>
    <row r="10" spans="4:8">
      <c r="D10" s="3"/>
      <c r="E10" s="3"/>
      <c r="F10" s="118"/>
      <c r="G10" s="3"/>
      <c r="H10" s="11"/>
    </row>
    <row r="11" spans="4:8">
      <c r="D11" s="3"/>
      <c r="E11" s="3"/>
      <c r="F11" s="118"/>
      <c r="G11" s="3"/>
      <c r="H11" s="11"/>
    </row>
    <row r="12" spans="4:8">
      <c r="D12" s="3"/>
      <c r="E12" s="3"/>
      <c r="F12" s="118"/>
      <c r="G12" s="3"/>
      <c r="H12" s="11"/>
    </row>
    <row r="13" spans="4:8">
      <c r="D13" s="3"/>
      <c r="E13" s="3"/>
      <c r="F13" s="118"/>
      <c r="G13" s="3"/>
      <c r="H13" s="11"/>
    </row>
    <row r="14" spans="4:8">
      <c r="D14" s="3"/>
      <c r="E14" s="3"/>
      <c r="F14" s="118"/>
      <c r="G14" s="3"/>
      <c r="H14" s="11"/>
    </row>
    <row r="15" spans="4:8">
      <c r="D15" s="3"/>
      <c r="E15" s="3"/>
      <c r="F15" s="118"/>
      <c r="G15" s="3"/>
      <c r="H15" s="11"/>
    </row>
    <row r="16" spans="4:8">
      <c r="D16" s="3"/>
      <c r="E16" s="3"/>
      <c r="F16" s="118"/>
      <c r="G16" s="3"/>
      <c r="H16" s="11"/>
    </row>
    <row r="17" spans="4:9">
      <c r="D17" s="3"/>
      <c r="E17" s="3"/>
      <c r="F17" s="118"/>
      <c r="G17" s="3"/>
      <c r="H17" s="11"/>
    </row>
    <row r="18" spans="4:9">
      <c r="D18" s="3"/>
      <c r="E18" s="3"/>
      <c r="F18" s="118"/>
      <c r="G18" s="3"/>
      <c r="H18" s="11"/>
    </row>
    <row r="19" spans="4:9">
      <c r="D19" s="3"/>
      <c r="E19" s="3"/>
      <c r="F19" s="118"/>
      <c r="G19" s="3"/>
      <c r="H19" s="11"/>
    </row>
    <row r="20" spans="4:9">
      <c r="D20" s="3"/>
      <c r="E20" s="3"/>
      <c r="F20" s="118"/>
      <c r="G20" s="3"/>
      <c r="H20" s="11"/>
    </row>
    <row r="21" spans="4:9">
      <c r="D21" s="3"/>
      <c r="E21" s="3"/>
      <c r="F21" s="118"/>
      <c r="G21" s="3"/>
      <c r="H21" s="11"/>
    </row>
    <row r="22" spans="4:9">
      <c r="D22" s="3"/>
      <c r="E22" s="3"/>
      <c r="F22" s="118"/>
      <c r="G22" s="114">
        <f>SUM(G2:G21)</f>
        <v>8518</v>
      </c>
      <c r="H22" s="11">
        <f>SUM(H2:H21)</f>
        <v>330518.92493701191</v>
      </c>
      <c r="I22" s="120">
        <f>+G22/H22</f>
        <v>2.5771595383300074E-2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DFC7247A834468B68F53E17E77B58" ma:contentTypeVersion="9" ma:contentTypeDescription="Create a new document." ma:contentTypeScope="" ma:versionID="b9b11016910d6c9cdeb171003dc4cdb7">
  <xsd:schema xmlns:xsd="http://www.w3.org/2001/XMLSchema" xmlns:xs="http://www.w3.org/2001/XMLSchema" xmlns:p="http://schemas.microsoft.com/office/2006/metadata/properties" xmlns:ns2="edc15492-e82e-424f-ac49-b101091fc76a" targetNamespace="http://schemas.microsoft.com/office/2006/metadata/properties" ma:root="true" ma:fieldsID="49cd9fd3fa5f1ac2094569d06a163469" ns2:_="">
    <xsd:import namespace="edc15492-e82e-424f-ac49-b101091fc7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5492-e82e-424f-ac49-b101091fc7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c15492-e82e-424f-ac49-b101091fc76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26710F-9CDD-4320-B686-42B7BDADA66F}"/>
</file>

<file path=customXml/itemProps2.xml><?xml version="1.0" encoding="utf-8"?>
<ds:datastoreItem xmlns:ds="http://schemas.openxmlformats.org/officeDocument/2006/customXml" ds:itemID="{A26EB80C-CE04-4644-9FDA-1DF3D62FE26D}"/>
</file>

<file path=customXml/itemProps3.xml><?xml version="1.0" encoding="utf-8"?>
<ds:datastoreItem xmlns:ds="http://schemas.openxmlformats.org/officeDocument/2006/customXml" ds:itemID="{EB851D49-79B1-4405-AB45-19071AED08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Harvest</vt:lpstr>
      <vt:lpstr>Effort</vt:lpstr>
      <vt:lpstr>Copy Sheet</vt:lpstr>
      <vt:lpstr>CPUE</vt:lpstr>
      <vt:lpstr>Summary Table</vt:lpstr>
      <vt:lpstr>Tribal Update</vt:lpstr>
      <vt:lpstr>TAC</vt:lpstr>
      <vt:lpstr>Twin Harbors Data</vt:lpstr>
      <vt:lpstr>TH Wastage</vt:lpstr>
      <vt:lpstr>LB Wastage</vt:lpstr>
      <vt:lpstr>Cop Wastage</vt:lpstr>
      <vt:lpstr>Moc Wastage</vt:lpstr>
      <vt:lpstr>'Summary Table'!Print_Area</vt:lpstr>
    </vt:vector>
  </TitlesOfParts>
  <Company>WDFW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Deibert</dc:creator>
  <cp:lastModifiedBy>John Deibert</cp:lastModifiedBy>
  <cp:lastPrinted>2013-05-07T21:42:44Z</cp:lastPrinted>
  <dcterms:created xsi:type="dcterms:W3CDTF">2009-10-21T21:07:28Z</dcterms:created>
  <dcterms:modified xsi:type="dcterms:W3CDTF">2013-05-07T21:57:21Z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0x010100245DFC7247A834468B68F53E17E77B58</vt:lpwstr>
  </property>
</Properties>
</file>